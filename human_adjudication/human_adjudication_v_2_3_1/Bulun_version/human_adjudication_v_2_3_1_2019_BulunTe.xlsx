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etup" sheetId="1" state="visible" r:id="rId1"/>
    <sheet name="Checks" sheetId="2" state="visible" r:id="rId2"/>
    <sheet name="Papers" sheetId="3" state="visible" r:id="rId3"/>
    <sheet name="C_jama.2019.10517" sheetId="4" state="visible" r:id="rId4"/>
    <sheet name="C_jama.2019.12618" sheetId="5" state="visible" r:id="rId5"/>
    <sheet name="C_jama.2019.14231" sheetId="6" state="visible" r:id="rId6"/>
    <sheet name="C_jama.2019.14630" sheetId="7" state="visible" r:id="rId7"/>
    <sheet name="C_jama.2019.14901" sheetId="8" state="visible" r:id="rId8"/>
    <sheet name="C_jama.2019.17380" sheetId="9" state="visible" r:id="rId9"/>
    <sheet name="C_jama.2019.2210" sheetId="10" state="visible" r:id="rId10"/>
    <sheet name="C_jama.2019.4755" sheetId="11" state="visible" r:id="rId11"/>
    <sheet name="C_jama.2019.7505" sheetId="12" state="visible" r:id="rId12"/>
    <sheet name="Codebook" sheetId="13" state="visible" r:id="rId13"/>
  </sheets>
  <definedNames>
    <definedName name="_xlnm._FilterDatabase" localSheetId="3" hidden="1">'C_jama.2019.10517'!$A$1:$R$4</definedName>
    <definedName name="_xlnm._FilterDatabase" localSheetId="4" hidden="1">'C_jama.2019.12618'!$A$1:$R$9</definedName>
    <definedName name="_xlnm._FilterDatabase" localSheetId="5" hidden="1">'C_jama.2019.14231'!$A$1:$R$12</definedName>
    <definedName name="_xlnm._FilterDatabase" localSheetId="6" hidden="1">'C_jama.2019.14630'!$A$1:$R$10</definedName>
    <definedName name="_xlnm._FilterDatabase" localSheetId="7" hidden="1">'C_jama.2019.14901'!$A$1:$R$7</definedName>
    <definedName name="_xlnm._FilterDatabase" localSheetId="8" hidden="1">'C_jama.2019.17380'!$A$1:$R$8</definedName>
    <definedName name="_xlnm._FilterDatabase" localSheetId="9" hidden="1">'C_jama.2019.2210'!$A$1:$R$10</definedName>
    <definedName name="_xlnm._FilterDatabase" localSheetId="10" hidden="1">'C_jama.2019.4755'!$A$1:$R$6</definedName>
    <definedName name="_xlnm._FilterDatabase" localSheetId="11" hidden="1">'C_jama.2019.7505'!$A$1:$R$5</definedName>
  </definedNames>
  <calcPr calcId="124519" calcMode="auto" fullCalcOnLoad="1" forceFullCalc="1"/>
</workbook>
</file>

<file path=xl/styles.xml><?xml version="1.0" encoding="utf-8"?>
<styleSheet xmlns="http://schemas.openxmlformats.org/spreadsheetml/2006/main">
  <numFmts count="0"/>
  <fonts count="7">
    <font>
      <name val="Carlito"/>
      <sz val="11"/>
    </font>
    <font>
      <name val="Calibri"/>
      <color rgb="FF173F57"/>
      <sz val="11"/>
    </font>
    <font>
      <name val="Calibri"/>
      <b val="1"/>
      <color rgb="FFFFFFFF"/>
      <sz val="11"/>
    </font>
    <font>
      <name val="Calibri"/>
      <b val="1"/>
      <color rgb="00173F57"/>
      <sz val="11"/>
    </font>
    <font>
      <name val="Calibri"/>
      <b val="1"/>
      <color rgb="00FFFFFF"/>
      <sz val="11"/>
    </font>
    <font>
      <name val="Calibri"/>
      <color rgb="00173F57"/>
      <sz val="11"/>
    </font>
    <font>
      <name val="Calibri"/>
      <color rgb="000563C1"/>
      <sz val="11"/>
      <u val="single"/>
    </font>
  </fonts>
  <fills count="11">
    <fill>
      <patternFill/>
    </fill>
    <fill>
      <patternFill patternType="gray125"/>
    </fill>
    <fill>
      <patternFill patternType="solid">
        <fgColor rgb="FF173F57"/>
      </patternFill>
    </fill>
    <fill>
      <patternFill patternType="solid">
        <fgColor rgb="FFF4F8FA"/>
      </patternFill>
    </fill>
    <fill>
      <patternFill patternType="solid">
        <fgColor rgb="FFFFF2CC"/>
      </patternFill>
    </fill>
    <fill>
      <patternFill patternType="solid">
        <fgColor rgb="FFEAF3FC"/>
      </patternFill>
    </fill>
    <fill>
      <patternFill patternType="solid">
        <fgColor rgb="00173F57"/>
      </patternFill>
    </fill>
    <fill>
      <patternFill patternType="solid">
        <fgColor rgb="00F4F8FA"/>
      </patternFill>
    </fill>
    <fill>
      <patternFill patternType="solid">
        <fgColor rgb="00FFF2CC"/>
      </patternFill>
    </fill>
    <fill>
      <patternFill patternType="solid">
        <fgColor rgb="00EAF3FC"/>
      </patternFill>
    </fill>
    <fill>
      <patternFill patternType="solid">
        <fgColor rgb="00FCE4D6"/>
      </patternFill>
    </fill>
  </fills>
  <borders count="1">
    <border/>
  </borders>
  <cellStyleXfs count="1">
    <xf numFmtId="0" fontId="0" fillId="0" borderId="0" applyProtection="1">
      <protection locked="0" hidden="0"/>
    </xf>
  </cellStyleXfs>
  <cellXfs count="26">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2"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5" borderId="0" applyAlignment="1" applyProtection="1" pivotButton="0" quotePrefix="0" xfId="0">
      <alignment vertical="center" wrapText="1"/>
      <protection locked="0" hidden="0"/>
    </xf>
    <xf numFmtId="0" fontId="0" fillId="0" borderId="0" applyProtection="1" pivotButton="0" quotePrefix="0" xfId="0">
      <protection locked="0" hidden="0"/>
    </xf>
    <xf numFmtId="0" fontId="4" fillId="6" borderId="0" applyAlignment="1" applyProtection="1" pivotButton="0" quotePrefix="0" xfId="0">
      <alignment vertical="center" wrapText="1"/>
      <protection locked="0" hidden="0"/>
    </xf>
    <xf numFmtId="0" fontId="5" fillId="7" borderId="0" applyAlignment="1" applyProtection="1" pivotButton="0" quotePrefix="0" xfId="0">
      <alignment vertical="center" wrapText="1"/>
      <protection locked="0" hidden="0"/>
    </xf>
    <xf numFmtId="0" fontId="5" fillId="0" borderId="0" applyAlignment="1" applyProtection="1" pivotButton="0" quotePrefix="0" xfId="0">
      <alignment vertical="center" wrapText="1"/>
      <protection locked="0" hidden="0"/>
    </xf>
    <xf numFmtId="0" fontId="5" fillId="8" borderId="0" applyAlignment="1" applyProtection="1" pivotButton="0" quotePrefix="0" xfId="0">
      <alignment vertical="center" wrapText="1"/>
      <protection locked="0" hidden="0"/>
    </xf>
    <xf numFmtId="0" fontId="5" fillId="10" borderId="0" applyAlignment="1" applyProtection="1" pivotButton="0" quotePrefix="0" xfId="0">
      <alignment vertical="center" wrapText="1"/>
      <protection locked="0" hidden="0"/>
    </xf>
    <xf numFmtId="0" fontId="6" fillId="0" borderId="0" applyAlignment="1" applyProtection="1" pivotButton="0" quotePrefix="0" xfId="0">
      <alignment vertical="center" wrapText="1"/>
      <protection locked="0" hidden="0"/>
    </xf>
    <xf numFmtId="0" fontId="6" fillId="3" borderId="0" applyAlignment="1" applyProtection="1" pivotButton="0" quotePrefix="0" xfId="0">
      <alignment vertical="center" wrapText="1"/>
      <protection locked="0" hidden="0"/>
    </xf>
    <xf numFmtId="0" fontId="2" fillId="0" borderId="0" applyAlignment="1" applyProtection="1" pivotButton="0" quotePrefix="0" xfId="0">
      <alignment vertical="center" wrapText="1"/>
      <protection locked="0" hidden="0"/>
    </xf>
    <xf numFmtId="0" fontId="1" fillId="8" borderId="0" applyAlignment="1" applyProtection="1" pivotButton="0" quotePrefix="0" xfId="0">
      <alignment vertical="center" wrapText="1"/>
      <protection locked="0" hidden="0"/>
    </xf>
    <xf numFmtId="0" fontId="1" fillId="9" borderId="0" applyAlignment="1" applyProtection="1" pivotButton="0" quotePrefix="0" xfId="0">
      <alignment vertical="center" wrapText="1"/>
      <protection locked="0" hidden="0"/>
    </xf>
    <xf numFmtId="0" fontId="6" fillId="7" borderId="0" applyAlignment="1" applyProtection="1" pivotButton="0" quotePrefix="0" xfId="0">
      <alignment vertical="center" wrapText="1"/>
      <protection locked="0" hidden="0"/>
    </xf>
  </cellXfs>
  <cellStyles count="1">
    <cellStyle name="Normal" xfId="0"/>
  </cellStyles>
  <dxfs count="74">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00687783"/>
      </font>
      <fill>
        <patternFill patternType="solid">
          <fgColor rgb="00EDF2F5"/>
        </patternFill>
      </fill>
    </dxf>
    <dxf>
      <font>
        <color rgb="009C0006"/>
      </font>
      <fill>
        <patternFill patternType="solid">
          <fgColor rgb="00FFF2CC"/>
        </patternFill>
      </fill>
    </dxf>
    <dxf>
      <font>
        <color rgb="00375623"/>
      </font>
      <fill>
        <patternFill patternType="solid">
          <fgColor rgb="00E2F0D9"/>
        </patternFill>
      </fill>
    </dxf>
    <dxf>
      <fill>
        <patternFill patternType="solid">
          <fgColor rgb="00FCE4D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omments/comment1.xml><?xml version="1.0" encoding="utf-8"?>
<comments xmlns="http://schemas.openxmlformats.org/spreadsheetml/2006/main">
  <authors>
    <author>Review instructions</author>
  </authors>
  <commentList>
    <comment ref="B2" authorId="0" shapeId="0">
      <text>
        <t>Required identity. Whitespace-only or padded input is invalid.</t>
      </text>
    </comment>
  </commentList>
</comments>
</file>

<file path=xl/comments/comment2.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List>
</comments>
</file>

<file path=xl/comments/comment3.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 ref="E9" authorId="0" shapeId="0">
      <text>
        <t>Baseline AI-suggested domain. Confirm or edit; this is not a human decision.</t>
      </text>
    </comment>
  </commentList>
</comments>
</file>

<file path=xl/comments/comment4.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 ref="E9" authorId="0" shapeId="0">
      <text>
        <t>Baseline AI-suggested domain. Confirm or edit; this is not a human decision.</t>
      </text>
    </comment>
    <comment ref="E10" authorId="0" shapeId="0">
      <text>
        <t>Baseline AI-suggested domain. Confirm or edit; this is not a human decision.</t>
      </text>
    </comment>
    <comment ref="E11" authorId="0" shapeId="0">
      <text>
        <t>Baseline AI-suggested domain. Confirm or edit; this is not a human decision.</t>
      </text>
    </comment>
    <comment ref="E12" authorId="0" shapeId="0">
      <text>
        <t>Baseline AI-suggested domain. Confirm or edit; this is not a human decision.</t>
      </text>
    </comment>
  </commentList>
</comments>
</file>

<file path=xl/comments/comment5.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 ref="E9" authorId="0" shapeId="0">
      <text>
        <t>Baseline AI-suggested domain. Confirm or edit; this is not a human decision.</t>
      </text>
    </comment>
    <comment ref="E10" authorId="0" shapeId="0">
      <text>
        <t>Baseline AI-suggested domain. Confirm or edit; this is not a human decision.</t>
      </text>
    </comment>
  </commentList>
</comments>
</file>

<file path=xl/comments/comment6.xml><?xml version="1.0" encoding="utf-8"?>
<comments xmlns="http://schemas.openxmlformats.org/spreadsheetml/2006/main">
  <authors>
    <author>Source navigation</author>
    <author>Review instructions</author>
  </authors>
  <commentList>
    <comment ref="A2" authorId="0" shapeId="0">
      <text>
        <t>The baseline has no separate Evidence rows for this candidate. This link opens its embedded Candidates statement and rationale. Consult Links for original documents.</t>
      </text>
    </comment>
    <comment ref="E2" authorId="1" shapeId="0">
      <text>
        <t>Baseline AI-suggested domain. Confirm or edit; this is not a human decision.</t>
      </text>
    </comment>
    <comment ref="A3" authorId="0" shapeId="0">
      <text>
        <t>The baseline has no separate Evidence rows for this candidate. This link opens its embedded Candidates statement and rationale. Consult Links for original documents.</t>
      </text>
    </comment>
    <comment ref="E3" authorId="1" shapeId="0">
      <text>
        <t>Baseline AI-suggested domain. Confirm or edit; this is not a human decision.</t>
      </text>
    </comment>
    <comment ref="A4" authorId="0" shapeId="0">
      <text>
        <t>The baseline has no separate Evidence rows for this candidate. This link opens its embedded Candidates statement and rationale. Consult Links for original documents.</t>
      </text>
    </comment>
    <comment ref="E4" authorId="1" shapeId="0">
      <text>
        <t>Baseline AI-suggested domain. Confirm or edit; this is not a human decision.</t>
      </text>
    </comment>
    <comment ref="A5" authorId="0" shapeId="0">
      <text>
        <t>The baseline has no separate Evidence rows for this candidate. This link opens its embedded Candidates statement and rationale. Consult Links for original documents.</t>
      </text>
    </comment>
    <comment ref="E5" authorId="1" shapeId="0">
      <text>
        <t>Baseline AI-suggested domain. Confirm or edit; this is not a human decision.</t>
      </text>
    </comment>
    <comment ref="A6" authorId="0" shapeId="0">
      <text>
        <t>The baseline has no separate Evidence rows for this candidate. This link opens its embedded Candidates statement and rationale. Consult Links for original documents.</t>
      </text>
    </comment>
    <comment ref="E6" authorId="1" shapeId="0">
      <text>
        <t>Baseline AI-suggested domain. Confirm or edit; this is not a human decision.</t>
      </text>
    </comment>
    <comment ref="A7" authorId="0" shapeId="0">
      <text>
        <t>The baseline has no separate Evidence rows for this candidate. This link opens its embedded Candidates statement and rationale. Consult Links for original documents.</t>
      </text>
    </comment>
    <comment ref="E7" authorId="1" shapeId="0">
      <text>
        <t>Baseline AI-suggested domain. Confirm or edit; this is not a human decision.</t>
      </text>
    </comment>
  </commentList>
</comments>
</file>

<file path=xl/comments/comment7.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List>
</comments>
</file>

<file path=xl/comments/comment8.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 ref="E9" authorId="0" shapeId="0">
      <text>
        <t>Baseline AI-suggested domain. Confirm or edit; this is not a human decision.</t>
      </text>
    </comment>
    <comment ref="E10" authorId="0" shapeId="0">
      <text>
        <t>Baseline AI-suggested domain. Confirm or edit; this is not a human decision.</t>
      </text>
    </comment>
  </commentList>
</comments>
</file>

<file path=xl/comments/comment9.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List>
</comments>
</file>

<file path=xl/comments/comment10.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List>
</comment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7.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8.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9.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0.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1.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2.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sheet1.xml><?xml version="1.0" encoding="utf-8"?>
<worksheet xmlns="http://schemas.openxmlformats.org/spreadsheetml/2006/main">
  <sheetPr>
    <outlinePr summaryBelow="1" summaryRight="1"/>
    <pageSetUpPr/>
  </sheetPr>
  <dimension ref="A1:B7"/>
  <sheetViews>
    <sheetView showGridLines="0" tabSelected="1"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7" customWidth="1" style="14" min="1" max="1"/>
    <col width="90" customWidth="1" style="14" min="2" max="2"/>
  </cols>
  <sheetData>
    <row r="1" ht="44" customFormat="1" customHeight="1" s="14">
      <c r="A1" s="15" t="inlineStr">
        <is>
          <t>Field</t>
        </is>
      </c>
      <c r="B1" s="15" t="inlineStr">
        <is>
          <t>Value</t>
        </is>
      </c>
    </row>
    <row r="2" ht="45" customFormat="1" customHeight="1" s="14">
      <c r="A2" s="16" t="inlineStr">
        <is>
          <t>Reviewer ID or name (required)</t>
        </is>
      </c>
      <c r="B2" s="18" t="inlineStr">
        <is>
          <t>BulunTe</t>
        </is>
      </c>
    </row>
    <row r="3" ht="45" customFormat="1" customHeight="1" s="14">
      <c r="A3" s="17" t="inlineStr">
        <is>
          <t>Reviewer name (optional)</t>
        </is>
      </c>
      <c r="B3" s="18" t="n"/>
    </row>
    <row r="4" ht="45" customFormat="1" customHeight="1" s="14">
      <c r="A4" s="16" t="inlineStr">
        <is>
          <t>Reviewer role</t>
        </is>
      </c>
      <c r="B4" s="16" t="inlineStr">
        <is>
          <t>R_B</t>
        </is>
      </c>
    </row>
    <row r="5" ht="45" customFormat="1" customHeight="1" s="14">
      <c r="A5" s="17" t="inlineStr">
        <is>
          <t>Year</t>
        </is>
      </c>
      <c r="B5" s="17" t="n">
        <v>2019</v>
      </c>
    </row>
    <row r="6" ht="45" customFormat="1" customHeight="1" s="14">
      <c r="A6" s="16" t="inlineStr">
        <is>
          <t>Schema</t>
        </is>
      </c>
      <c r="B6" s="16" t="inlineStr">
        <is>
          <t>xlsx-adjudication-independent-primary-2.3.1</t>
        </is>
      </c>
    </row>
    <row r="7" ht="45" customFormat="1" customHeight="1" s="14">
      <c r="A7" s="17" t="inlineStr">
        <is>
          <t>Identity guidance</t>
        </is>
      </c>
      <c r="B7" s="17" t="inlineStr">
        <is>
          <t>Enter your own ID or name in B2. Do not enter the role label as your identity. B3 is optional.</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0"/>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6" customWidth="1" style="14" min="1" max="1"/>
    <col width="108" customWidth="1" style="14" min="2" max="2"/>
  </cols>
  <sheetData>
    <row r="1" ht="44" customFormat="1" customHeight="1" s="14">
      <c r="A1" s="15" t="inlineStr">
        <is>
          <t>Check</t>
        </is>
      </c>
      <c r="B1" s="15" t="inlineStr">
        <is>
          <t>Result</t>
        </is>
      </c>
    </row>
    <row r="2" ht="53" customFormat="1" customHeight="1" s="14">
      <c r="A2" s="16" t="inlineStr">
        <is>
          <t>Reviewer role</t>
        </is>
      </c>
      <c r="B2" s="16">
        <f>Setup!$B$4</f>
        <v/>
      </c>
    </row>
    <row r="3" ht="53" customFormat="1" customHeight="1" s="14">
      <c r="A3" s="17" t="inlineStr">
        <is>
          <t>Total candidates</t>
        </is>
      </c>
      <c r="B3" s="17" t="n">
        <v>62</v>
      </c>
    </row>
    <row r="4" ht="53" customFormat="1" customHeight="1" s="14">
      <c r="A4" s="16" t="inlineStr">
        <is>
          <t>Primary ready</t>
        </is>
      </c>
      <c r="B4" s="16">
        <f>COUNTIF('C_jama.2019.10517'!$G$2:$G$4,"PRIMARY READY")+COUNTIF('C_jama.2019.12618'!$G$2:$G$9,"PRIMARY READY")+COUNTIF('C_jama.2019.14231'!$G$2:$G$12,"PRIMARY READY")+COUNTIF('C_jama.2019.14630'!$G$2:$G$10,"PRIMARY READY")+COUNTIF('C_jama.2019.14901'!$G$2:$G$7,"PRIMARY READY")+COUNTIF('C_jama.2019.17380'!$G$2:$G$8,"PRIMARY READY")+COUNTIF('C_jama.2019.2210'!$G$2:$G$10,"PRIMARY READY")+COUNTIF('C_jama.2019.4755'!$G$2:$G$6,"PRIMARY READY")+COUNTIF('C_jama.2019.7505'!$G$2:$G$5,"PRIMARY READY")</f>
        <v/>
      </c>
    </row>
    <row r="5" ht="53" customFormat="1" customHeight="1" s="14">
      <c r="A5" s="17" t="inlineStr">
        <is>
          <t>Unfinished</t>
        </is>
      </c>
      <c r="B5" s="17">
        <f>B3-B4</f>
        <v/>
      </c>
    </row>
    <row r="6" ht="53" customFormat="1" customHeight="1" s="14">
      <c r="A6" s="16" t="inlineStr">
        <is>
          <t>Discuss / unresolved</t>
        </is>
      </c>
      <c r="B6" s="19">
        <f>COUNTIF('C_jama.2019.10517'!$D$2:$D$4,"discuss")+COUNTIF('C_jama.2019.12618'!$D$2:$D$9,"discuss")+COUNTIF('C_jama.2019.14231'!$D$2:$D$12,"discuss")+COUNTIF('C_jama.2019.14630'!$D$2:$D$10,"discuss")+COUNTIF('C_jama.2019.14901'!$D$2:$D$7,"discuss")+COUNTIF('C_jama.2019.17380'!$D$2:$D$8,"discuss")+COUNTIF('C_jama.2019.2210'!$D$2:$D$10,"discuss")+COUNTIF('C_jama.2019.4755'!$D$2:$D$6,"discuss")+COUNTIF('C_jama.2019.7505'!$D$2:$D$5,"discuss")</f>
        <v/>
      </c>
    </row>
    <row r="7" ht="53" customFormat="1" customHeight="1" s="14">
      <c r="A7" s="17" t="inlineStr">
        <is>
          <t>Workflow status</t>
        </is>
      </c>
      <c r="B7" s="17">
        <f>IF(B4=B3,"PRIMARY READY","ACTION NEEDED")</f>
        <v/>
      </c>
    </row>
    <row r="8" ht="53" customFormat="1" customHeight="1" s="14">
      <c r="A8" s="16" t="inlineStr">
        <is>
          <t>Ready discuss rows</t>
        </is>
      </c>
      <c r="B8" s="16">
        <f>COUNTIFS('C_jama.2019.10517'!$G$2:$G$4,"PRIMARY READY",'C_jama.2019.10517'!$D$2:$D$4,"discuss")+COUNTIFS('C_jama.2019.12618'!$G$2:$G$9,"PRIMARY READY",'C_jama.2019.12618'!$D$2:$D$9,"discuss")+COUNTIFS('C_jama.2019.14231'!$G$2:$G$12,"PRIMARY READY",'C_jama.2019.14231'!$D$2:$D$12,"discuss")+COUNTIFS('C_jama.2019.14630'!$G$2:$G$10,"PRIMARY READY",'C_jama.2019.14630'!$D$2:$D$10,"discuss")+COUNTIFS('C_jama.2019.14901'!$G$2:$G$7,"PRIMARY READY",'C_jama.2019.14901'!$D$2:$D$7,"discuss")+COUNTIFS('C_jama.2019.17380'!$G$2:$G$8,"PRIMARY READY",'C_jama.2019.17380'!$D$2:$D$8,"discuss")+COUNTIFS('C_jama.2019.2210'!$G$2:$G$10,"PRIMARY READY",'C_jama.2019.2210'!$D$2:$D$10,"discuss")+COUNTIFS('C_jama.2019.4755'!$G$2:$G$6,"PRIMARY READY",'C_jama.2019.4755'!$D$2:$D$6,"discuss")+COUNTIFS('C_jama.2019.7505'!$G$2:$G$5,"PRIMARY READY",'C_jama.2019.7505'!$D$2:$D$5,"discuss")</f>
        <v/>
      </c>
    </row>
    <row r="9" ht="53" customFormat="1" customHeight="1" s="14">
      <c r="A9" s="16" t="inlineStr">
        <is>
          <t>Next action</t>
        </is>
      </c>
      <c r="B9" s="16">
        <f>IF(B7="PRIMARY READY",IF(B6&gt;0,"Save and deliver this independent review. Discuss rows remain unresolved.","Save and deliver this independent review."),"Inspect G on each C_ sheet, correct entries and manually confirm F.")</f>
        <v/>
      </c>
    </row>
    <row r="10" ht="76" customFormat="1" customHeight="1" s="14">
      <c r="A10" s="17" t="inlineStr">
        <is>
          <t>Scope</t>
        </is>
      </c>
      <c r="B10" s="17" t="inlineStr">
        <is>
          <t>Entry checks and independent completion only. Discuss is not a confirmed absence of error. Review the evidence; preserve ordinary Excel backups.</t>
        </is>
      </c>
    </row>
    <row r="11" ht="53" customFormat="1" customHeight="1" s="14"/>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showGridLines="0" tabSelected="0" workbookViewId="0">
      <pane xSplit="1" ySplit="1" topLeftCell="B2" activePane="bottomRight" state="frozen"/>
      <selection activeCell="A1" sqref="A1"/>
    </sheetView>
  </sheetViews>
  <sheetFormatPr baseColWidth="8" defaultRowHeight="15"/>
  <cols>
    <col width="32" customWidth="1" style="14" min="1" max="1"/>
    <col width="34" customWidth="1" style="14" min="2" max="2"/>
    <col width="18" customWidth="1" style="14" min="3" max="3"/>
  </cols>
  <sheetData>
    <row r="1" ht="42" customFormat="1" customHeight="1" s="14">
      <c r="A1" s="5" t="inlineStr">
        <is>
          <t>Paper</t>
        </is>
      </c>
      <c r="B1" s="5" t="inlineStr">
        <is>
          <t>Review worksheet</t>
        </is>
      </c>
      <c r="C1" s="5" t="inlineStr">
        <is>
          <t>Candidates</t>
        </is>
      </c>
    </row>
    <row r="2" ht="36" customFormat="1" customHeight="1" s="14">
      <c r="A2" s="11" t="inlineStr">
        <is>
          <t>jama.2019.10517</t>
        </is>
      </c>
      <c r="B2" s="20" t="inlineStr">
        <is>
          <t>C_jama.2019.10517</t>
        </is>
      </c>
      <c r="C2" s="11" t="n">
        <v>3</v>
      </c>
    </row>
    <row r="3" ht="36" customFormat="1" customHeight="1" s="14">
      <c r="A3" s="12" t="inlineStr">
        <is>
          <t>jama.2019.12618</t>
        </is>
      </c>
      <c r="B3" s="21" t="inlineStr">
        <is>
          <t>C_jama.2019.12618</t>
        </is>
      </c>
      <c r="C3" s="12" t="n">
        <v>8</v>
      </c>
    </row>
    <row r="4" ht="36" customFormat="1" customHeight="1" s="14">
      <c r="A4" s="11" t="inlineStr">
        <is>
          <t>jama.2019.14231</t>
        </is>
      </c>
      <c r="B4" s="20" t="inlineStr">
        <is>
          <t>C_jama.2019.14231</t>
        </is>
      </c>
      <c r="C4" s="11" t="n">
        <v>11</v>
      </c>
    </row>
    <row r="5" ht="36" customFormat="1" customHeight="1" s="14">
      <c r="A5" s="12" t="inlineStr">
        <is>
          <t>jama.2019.14630</t>
        </is>
      </c>
      <c r="B5" s="21" t="inlineStr">
        <is>
          <t>C_jama.2019.14630</t>
        </is>
      </c>
      <c r="C5" s="12" t="n">
        <v>9</v>
      </c>
    </row>
    <row r="6" ht="36" customFormat="1" customHeight="1" s="14">
      <c r="A6" s="11" t="inlineStr">
        <is>
          <t>jama.2019.14901</t>
        </is>
      </c>
      <c r="B6" s="20" t="inlineStr">
        <is>
          <t>C_jama.2019.14901</t>
        </is>
      </c>
      <c r="C6" s="11" t="n">
        <v>6</v>
      </c>
    </row>
    <row r="7" ht="36" customFormat="1" customHeight="1" s="14">
      <c r="A7" s="12" t="inlineStr">
        <is>
          <t>jama.2019.17380</t>
        </is>
      </c>
      <c r="B7" s="21" t="inlineStr">
        <is>
          <t>C_jama.2019.17380</t>
        </is>
      </c>
      <c r="C7" s="12" t="n">
        <v>7</v>
      </c>
    </row>
    <row r="8" ht="36" customFormat="1" customHeight="1" s="14">
      <c r="A8" s="11" t="inlineStr">
        <is>
          <t>jama.2019.2210</t>
        </is>
      </c>
      <c r="B8" s="20" t="inlineStr">
        <is>
          <t>C_jama.2019.2210</t>
        </is>
      </c>
      <c r="C8" s="11" t="n">
        <v>9</v>
      </c>
    </row>
    <row r="9" ht="36" customFormat="1" customHeight="1" s="14">
      <c r="A9" s="12" t="inlineStr">
        <is>
          <t>jama.2019.4755</t>
        </is>
      </c>
      <c r="B9" s="21" t="inlineStr">
        <is>
          <t>C_jama.2019.4755</t>
        </is>
      </c>
      <c r="C9" s="12" t="n">
        <v>5</v>
      </c>
    </row>
    <row r="10" ht="36" customFormat="1" customHeight="1" s="14">
      <c r="A10" s="11" t="inlineStr">
        <is>
          <t>jama.2019.7505</t>
        </is>
      </c>
      <c r="B10" s="20" t="inlineStr">
        <is>
          <t>C_jama.2019.7505</t>
        </is>
      </c>
      <c r="C10" s="11" t="n">
        <v>4</v>
      </c>
    </row>
    <row r="11" ht="36" customFormat="1" customHeight="1" s="14"/>
  </sheetData>
  <hyperlinks>
    <hyperlink ref="B2" location="'C_jama.2019.10517'!A1"/>
    <hyperlink ref="B3" location="'C_jama.2019.12618'!A1"/>
    <hyperlink ref="B4" location="'C_jama.2019.14231'!A1"/>
    <hyperlink ref="B5" location="'C_jama.2019.14630'!A1"/>
    <hyperlink ref="B6" location="'C_jama.2019.14901'!A1"/>
    <hyperlink ref="B7" location="'C_jama.2019.17380'!A1"/>
    <hyperlink ref="B8" location="'C_jama.2019.2210'!A1"/>
    <hyperlink ref="B9" location="'C_jama.2019.4755'!A1"/>
    <hyperlink ref="B10" location="'C_jama.2019.7505'!A1"/>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R4"/>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12" t="inlineStr">
        <is>
          <t>2019::jama.2019.10517::C001</t>
        </is>
      </c>
      <c r="B2" s="12" t="inlineStr">
        <is>
          <t>Table 5 absolute difference does not reproduce from the displayed counts</t>
        </is>
      </c>
      <c r="C2" s="12" t="inlineStr">
        <is>
          <t>jama_flint_2019_oi_190079.pdf — PDF p. 9, Table 5, total-cholesterol and LDL rows.</t>
        </is>
      </c>
      <c r="D2" s="23" t="inlineStr">
        <is>
          <t>retain</t>
        </is>
      </c>
      <c r="E2" s="23" t="inlineStr">
        <is>
          <t>statistical_results</t>
        </is>
      </c>
      <c r="F2" s="23" t="inlineStr">
        <is>
          <t>primary_done</t>
        </is>
      </c>
      <c r="G2" s="12">
        <f>IFERROR(IF(OR(NOT(EXACT(Setup!$B$4,"R_B")),Setup!$B$5&lt;&gt;2019),"CHECK SETUP",IF(OR(LEN(TRIM(CLEAN(SUBSTITUTE(Setup!$B$2,CHAR(160)," "))))=0,Setup!$B$2&lt;&gt;TRIM(CLEAN(SUBSTITUTE(Setup!$B$2,CHAR(160)," ")))),"CHECK REVIEWER ID",IF(OR(A2="",COUNTIF($A$2:$A$4,A2)&lt;&gt;1,LEFT(A2,LEN("2019::jama.2019.10517::"))&lt;&gt;"2019::jama.2019.10517::"),"CHECK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t="inlineStr">
        <is>
          <t>confirmed_issue</t>
        </is>
      </c>
      <c r="I2" s="23" t="inlineStr">
        <is>
          <t>minor_presentation</t>
        </is>
      </c>
      <c r="J2" s="24" t="inlineStr">
        <is>
          <t>unlikely</t>
        </is>
      </c>
      <c r="K2" s="23">
        <f>IF(AND(OR(D2="retain",D2=""),OR(E2="report_internal_inconsistency",E2="plan_material")),"","not_applicable")</f>
        <v/>
      </c>
      <c r="L2" s="24">
        <f>IF(AND(OR(D2="retain",D2=""),E2="protocol_report"),"","not_applicable")</f>
        <v/>
      </c>
      <c r="M2" s="11" t="n"/>
      <c r="N2" s="11" t="n"/>
      <c r="O2" s="11" t="n"/>
      <c r="P2" s="11" t="n"/>
      <c r="Q2" s="11" t="n"/>
      <c r="R2" s="24" t="inlineStr">
        <is>
          <t>Confirmed: 9/64 - 6/62 = 4.385 pp, which rounds to 4.4, not the printed 4.3 (both cholesterol rows). Triglyceride (3.0) and glucose (-0.2) rows reproduce. Off by 0.1 pp in a post hoc table; interpretation unchanged. The printed CI (-8 to 17.2) also does not match Wald or Newcombe intervals and its method is not stated.</t>
        </is>
      </c>
    </row>
    <row r="3" ht="176" customFormat="1" customHeight="1" s="14">
      <c r="A3" s="11" t="inlineStr">
        <is>
          <t>2019::jama.2019.10517::C002</t>
        </is>
      </c>
      <c r="B3" s="11" t="inlineStr">
        <is>
          <t>HbA1c interaction is labelled with a concentration unit while matched displays use percent</t>
        </is>
      </c>
      <c r="C3" s="11" t="inlineStr">
        <is>
          <t>jama_flint_2019_oi_190079.pdf — PDF p. 1, abstract Results; jama_flint_2019_oi_190079.pdf — PDF p. 7, Secondary Outcomes; jama_flint_2019_oi_190079.pdf — PDF p. 8, Table 4; and joi190079supp2_prod.pdf — PDF p. 9, eFigure 8.</t>
        </is>
      </c>
      <c r="D3" s="23" t="inlineStr">
        <is>
          <t>retain</t>
        </is>
      </c>
      <c r="E3" s="23" t="inlineStr">
        <is>
          <t>report_internal_inconsistency</t>
        </is>
      </c>
      <c r="F3" s="23" t="inlineStr">
        <is>
          <t>primary_done</t>
        </is>
      </c>
      <c r="G3" s="11">
        <f>IFERROR(IF(OR(NOT(EXACT(Setup!$B$4,"R_B")),Setup!$B$5&lt;&gt;2019),"CHECK SETUP",IF(OR(LEN(TRIM(CLEAN(SUBSTITUTE(Setup!$B$2,CHAR(160)," "))))=0,Setup!$B$2&lt;&gt;TRIM(CLEAN(SUBSTITUTE(Setup!$B$2,CHAR(160)," ")))),"CHECK REVIEWER ID",IF(OR(A3="",COUNTIF($A$2:$A$4,A3)&lt;&gt;1,LEFT(A3,LEN("2019::jama.2019.10517::"))&lt;&gt;"2019::jama.2019.10517::"),"CHECK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t="inlineStr">
        <is>
          <t>minor_presentation</t>
        </is>
      </c>
      <c r="L3" s="24">
        <f>IF(AND(OR(D3="retain",D3=""),E3="protocol_report"),"","not_applicable")</f>
        <v/>
      </c>
      <c r="M3" s="11" t="n"/>
      <c r="N3" s="11" t="n"/>
      <c r="O3" s="11" t="n"/>
      <c r="P3" s="11" t="n"/>
      <c r="Q3" s="11" t="n"/>
      <c r="R3" s="24" t="inlineStr">
        <is>
          <t>Confirmed: abstract and Secondary Outcomes give the HbA1c daily treatment-by-time estimate as -0.0002 mg/dL (95% CI -0.0021 to 0.0016), while Table 4 labels HbA1c in % and eFigure 8 uses HbA1c (%). mg/dL is not a valid HbA1c unit; the label looks carried over from the lipid estimates. The value itself is consistent with a % scale.</t>
        </is>
      </c>
    </row>
    <row r="4" ht="134" customFormat="1" customHeight="1" s="14">
      <c r="A4" s="12" t="inlineStr">
        <is>
          <t>2019::jama.2019.10517::C003</t>
        </is>
      </c>
      <c r="B4" s="12" t="inlineStr">
        <is>
          <t>Protocol recruitment target conflicts between 82 and 98 participants per site</t>
        </is>
      </c>
      <c r="C4" s="12" t="inlineStr">
        <is>
          <t>joi190079supp1_prod.pdf — PDF p. 7, Figure 1 and Section 3.9.1; joi190079supp1_prod.pdf — PDF p. 17, Table 4; and joi190079supp1_prod.pdf — PDF p. 21, Section 4.2.1.</t>
        </is>
      </c>
      <c r="D4" s="23" t="inlineStr">
        <is>
          <t>retain</t>
        </is>
      </c>
      <c r="E4" s="23" t="inlineStr">
        <is>
          <t>plan_material</t>
        </is>
      </c>
      <c r="F4" s="23" t="inlineStr">
        <is>
          <t>primary_done</t>
        </is>
      </c>
      <c r="G4" s="12">
        <f>IFERROR(IF(OR(NOT(EXACT(Setup!$B$4,"R_B")),Setup!$B$5&lt;&gt;2019),"CHECK SETUP",IF(OR(LEN(TRIM(CLEAN(SUBSTITUTE(Setup!$B$2,CHAR(160)," "))))=0,Setup!$B$2&lt;&gt;TRIM(CLEAN(SUBSTITUTE(Setup!$B$2,CHAR(160)," ")))),"CHECK REVIEWER ID",IF(OR(A4="",COUNTIF($A$2:$A$4,A4)&lt;&gt;1,LEFT(A4,LEN("2019::jama.2019.10517::"))&lt;&gt;"2019::jama.2019.10517::"),"CHECK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t="inlineStr">
        <is>
          <t>minor_presentation</t>
        </is>
      </c>
      <c r="L4" s="24">
        <f>IF(AND(OR(D4="retain",D4=""),E4="protocol_report"),"","not_applicable")</f>
        <v/>
      </c>
      <c r="M4" s="11" t="n"/>
      <c r="N4" s="11" t="n"/>
      <c r="O4" s="11" t="n"/>
      <c r="P4" s="11" t="n"/>
      <c r="Q4" s="11" t="n"/>
      <c r="R4" s="24" t="inlineStr">
        <is>
          <t>Confirmed within the protocol/data-analytic plan: section 4.2.1 says each of four sites will recruit 82 patients (=328), while Figure 1/3.9.1 (N=392), the text 'we plan to recruit 392 patients' and site Table 4 (98 per site; 98x4=392) agree on 392. The 82 is an isolated stray value; the intended target is clear and the RCT target (44/site, 176) is unaffected.</t>
        </is>
      </c>
    </row>
  </sheetData>
  <autoFilter ref="A1:R4"/>
  <conditionalFormatting sqref="H2:H4">
    <cfRule type="expression" priority="8" dxfId="70">
      <formula>NOT(AND(OR($D2="retain",$D2=""),$E2="statistical_results"))</formula>
    </cfRule>
  </conditionalFormatting>
  <conditionalFormatting sqref="I2:I4">
    <cfRule type="expression" priority="9" dxfId="70">
      <formula>NOT(AND(OR($D2="retain",$D2=""),$E2="statistical_results"))</formula>
    </cfRule>
  </conditionalFormatting>
  <conditionalFormatting sqref="J2:J4">
    <cfRule type="expression" priority="10" dxfId="70">
      <formula>NOT(AND(OR($D2="retain",$D2=""),$E2="statistical_results"))</formula>
    </cfRule>
  </conditionalFormatting>
  <conditionalFormatting sqref="K2:K4">
    <cfRule type="expression" priority="11" dxfId="70">
      <formula>NOT(AND(OR($D2="retain",$D2=""),OR($E2="report_internal_inconsistency",$E2="plan_material")))</formula>
    </cfRule>
  </conditionalFormatting>
  <conditionalFormatting sqref="L2:L4">
    <cfRule type="expression" priority="12" dxfId="70">
      <formula>NOT(AND(OR($D2="retain",$D2=""),$E2="protocol_report"))</formula>
    </cfRule>
  </conditionalFormatting>
  <conditionalFormatting sqref="G2:G4">
    <cfRule type="expression" priority="13" dxfId="71">
      <formula>$G2&lt;&gt;"PRIMARY READY"</formula>
    </cfRule>
    <cfRule type="expression" priority="14" dxfId="72">
      <formula>$G2="PRIMARY READY"</formula>
    </cfRule>
  </conditionalFormatting>
  <conditionalFormatting sqref="D2:D4">
    <cfRule type="expression" priority="15" dxfId="73">
      <formula>$D2="discuss"</formula>
    </cfRule>
  </conditionalFormatting>
  <dataValidations count="8">
    <dataValidation sqref="D2:D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4"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R9"/>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12" t="inlineStr">
        <is>
          <t>2019::jama.2019.12618::C001</t>
        </is>
      </c>
      <c r="B2" s="12" t="inlineStr">
        <is>
          <t>protocol timeline end date</t>
        </is>
      </c>
      <c r="C2" s="12" t="inlineStr">
        <is>
          <t>joi190092supp2_prod.pdf — PDF p. 11, Table 1.</t>
        </is>
      </c>
      <c r="D2" s="23" t="inlineStr">
        <is>
          <t>retain</t>
        </is>
      </c>
      <c r="E2" s="23" t="inlineStr">
        <is>
          <t>plan_material</t>
        </is>
      </c>
      <c r="F2" s="23" t="inlineStr">
        <is>
          <t>primary_done</t>
        </is>
      </c>
      <c r="G2" s="12">
        <f>IFERROR(IF(OR(NOT(EXACT(Setup!$B$4,"R_B")),Setup!$B$5&lt;&gt;2019),"CHECK SETUP",IF(OR(LEN(TRIM(CLEAN(SUBSTITUTE(Setup!$B$2,CHAR(160)," "))))=0,Setup!$B$2&lt;&gt;TRIM(CLEAN(SUBSTITUTE(Setup!$B$2,CHAR(160)," ")))),"CHECK REVIEWER ID",IF(OR(A2="",COUNTIF($A$2:$A$9,A2)&lt;&gt;1,LEFT(A2,LEN("2019::jama.2019.12618::"))&lt;&gt;"2019::jama.2019.12618::"),"CHECK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t="inlineStr">
        <is>
          <t>minor_presentation</t>
        </is>
      </c>
      <c r="L2" s="24">
        <f>IF(AND(OR(D2="retain",D2=""),E2="protocol_report"),"","not_applicable")</f>
        <v/>
      </c>
      <c r="M2" s="11" t="n"/>
      <c r="N2" s="11" t="n"/>
      <c r="O2" s="11" t="n"/>
      <c r="P2" s="11" t="n"/>
      <c r="Q2" s="11" t="n"/>
      <c r="R2" s="24" t="inlineStr">
        <is>
          <t>Confirmed in the original MOP (Sept 2012) Table 1: enrollment through May 2015, 6-month follow-up through Dec 2015, but full 12-month follow-up 'through July 2015', earlier than both. May 2015 + 12 + 1 months is about June 2016; the April 2016 database lock is also earlier than that. Administrative projection only; no effect on trial conduct or results.</t>
        </is>
      </c>
    </row>
    <row r="3" ht="120" customFormat="1" customHeight="1" s="14">
      <c r="A3" s="11" t="inlineStr">
        <is>
          <t>2019::jama.2019.12618::C002</t>
        </is>
      </c>
      <c r="B3" s="11" t="inlineStr">
        <is>
          <t>eligible failure total vs switching denominators</t>
        </is>
      </c>
      <c r="C3" s="11" t="inlineStr">
        <is>
          <t>jama_rathinam_2019_oi_190092.pdf — PDF p. 7; jama_rathinam_2019_oi_190092.pdf — PDF p. 6, Table 2; jama_rathinam_2019_oi_190092.pdf — PDF p. 3, Figure 1.</t>
        </is>
      </c>
      <c r="D3" s="23" t="inlineStr">
        <is>
          <t>retain</t>
        </is>
      </c>
      <c r="E3" s="23" t="inlineStr">
        <is>
          <t>statistical_results</t>
        </is>
      </c>
      <c r="F3" s="23" t="inlineStr">
        <is>
          <t>primary_done</t>
        </is>
      </c>
      <c r="G3" s="11">
        <f>IFERROR(IF(OR(NOT(EXACT(Setup!$B$4,"R_B")),Setup!$B$5&lt;&gt;2019),"CHECK SETUP",IF(OR(LEN(TRIM(CLEAN(SUBSTITUTE(Setup!$B$2,CHAR(160)," "))))=0,Setup!$B$2&lt;&gt;TRIM(CLEAN(SUBSTITUTE(Setup!$B$2,CHAR(160)," ")))),"CHECK REVIEWER ID",IF(OR(A3="",COUNTIF($A$2:$A$9,A3)&lt;&gt;1,LEFT(A3,LEN("2019::jama.2019.12618::"))&lt;&gt;"2019::jama.2019.12618::"),"CHECK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t="inlineStr">
        <is>
          <t>probable_issue</t>
        </is>
      </c>
      <c r="I3" s="23" t="inlineStr">
        <is>
          <t>minor_presentation</t>
        </is>
      </c>
      <c r="J3" s="24" t="inlineStr">
        <is>
          <t>unlikely</t>
        </is>
      </c>
      <c r="K3" s="23">
        <f>IF(AND(OR(D3="retain",D3=""),OR(E3="report_internal_inconsistency",E3="plan_material")),"","not_applicable")</f>
        <v/>
      </c>
      <c r="L3" s="24">
        <f>IF(AND(OR(D3="retain",D3=""),E3="protocol_report"),"","not_applicable")</f>
        <v/>
      </c>
      <c r="M3" s="11" t="n"/>
      <c r="N3" s="11" t="n"/>
      <c r="O3" s="11" t="n"/>
      <c r="P3" s="11" t="n"/>
      <c r="Q3" s="11" t="n"/>
      <c r="R3" s="24" t="inlineStr">
        <is>
          <t>The 12-month paragraph says 49 of 68 eligible failures switched, then gives 20/32 and 29/42, i.e., all 6-month failures (Table 2: 32+42=74). Excluding the 3+2 safety failures (eligibility criterion stated) gives 69, not 68. Mixed denominators and an unreconciled 68; numerators and arm percentages are correct. Descriptive, not an outcome estimate.</t>
        </is>
      </c>
    </row>
    <row r="4" ht="134" customFormat="1" customHeight="1" s="14">
      <c r="A4" s="12" t="inlineStr">
        <is>
          <t>2019::jama.2019.12618::C003</t>
        </is>
      </c>
      <c r="B4" s="12" t="inlineStr">
        <is>
          <t>allocation block sizes</t>
        </is>
      </c>
      <c r="C4" s="12" t="inlineStr">
        <is>
          <t>jama_rathinam_2019_oi_190092.pdf — PDF p. 2; joi190092supp2_prod.pdf — PDF p. 13; joi190092supp3_prod.pdf — PDF p. 9; joi190092supp3_prod.pdf — PDF pp. 49–50 and p. 50.</t>
        </is>
      </c>
      <c r="D4" s="23" t="inlineStr">
        <is>
          <t>exclude</t>
        </is>
      </c>
      <c r="E4" s="23" t="inlineStr">
        <is>
          <t>protocol_report</t>
        </is>
      </c>
      <c r="F4" s="23" t="inlineStr">
        <is>
          <t>primary_done</t>
        </is>
      </c>
      <c r="G4" s="12">
        <f>IFERROR(IF(OR(NOT(EXACT(Setup!$B$4,"R_B")),Setup!$B$5&lt;&gt;2019),"CHECK SETUP",IF(OR(LEN(TRIM(CLEAN(SUBSTITUTE(Setup!$B$2,CHAR(160)," "))))=0,Setup!$B$2&lt;&gt;TRIM(CLEAN(SUBSTITUTE(Setup!$B$2,CHAR(160)," ")))),"CHECK REVIEWER ID",IF(OR(A4="",COUNTIF($A$2:$A$9,A4)&lt;&gt;1,LEFT(A4,LEN("2019::jama.2019.12618::"))&lt;&gt;"2019::jama.2019.12618::"),"CHECK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f>IF(AND(OR(D4="retain",D4=""),OR(E4="report_internal_inconsistency",E4="plan_material")),"","not_applicable")</f>
        <v/>
      </c>
      <c r="L4" s="24">
        <f>IF(AND(OR(D4="retain",D4=""),E4="protocol_report"),"","not_applicable")</f>
        <v/>
      </c>
      <c r="M4" s="11" t="n"/>
      <c r="N4" s="11" t="n"/>
      <c r="O4" s="11" t="n"/>
      <c r="P4" s="11" t="n"/>
      <c r="Q4" s="11" t="n"/>
      <c r="R4" s="24" t="inlineStr">
        <is>
          <t>Exclude. Article: permuted blocks of 4 and 6. Only the Sept 2012 MOP says 4, 6 or 8; the original SAP (29 Jan 2013) and final SAP v1.5 (Mar 2017) both specify blocks of 4 (p=2/3) and 6 (p=1/3), matching the article; the final protocol v4.5 gives no sizes. The difference is a superseded early-draft detail with no bearing on validity.</t>
        </is>
      </c>
    </row>
    <row r="5" ht="134" customFormat="1" customHeight="1" s="14">
      <c r="A5" s="11" t="inlineStr">
        <is>
          <t>2019::jama.2019.12618::C004</t>
        </is>
      </c>
      <c r="B5" s="11" t="inlineStr">
        <is>
          <t>six-month success injection-after-90-days criterion</t>
        </is>
      </c>
      <c r="C5" s="11" t="inlineStr">
        <is>
          <t>jama_rathinam_2019_oi_190092.pdf — PDF p. 3; jama_rathinam_2019_oi_190092.pdf — PDF p. 6; joi190092supp2_prod.pdf — PDF p. 80, §2.5.1; joi190092supp3_prod.pdf — PDF p. 70.</t>
        </is>
      </c>
      <c r="D5" s="23" t="inlineStr">
        <is>
          <t>retain</t>
        </is>
      </c>
      <c r="E5" s="23" t="inlineStr">
        <is>
          <t>protocol_report</t>
        </is>
      </c>
      <c r="F5" s="23" t="inlineStr">
        <is>
          <t>primary_done</t>
        </is>
      </c>
      <c r="G5" s="11">
        <f>IFERROR(IF(OR(NOT(EXACT(Setup!$B$4,"R_B")),Setup!$B$5&lt;&gt;2019),"CHECK SETUP",IF(OR(LEN(TRIM(CLEAN(SUBSTITUTE(Setup!$B$2,CHAR(160)," "))))=0,Setup!$B$2&lt;&gt;TRIM(CLEAN(SUBSTITUTE(Setup!$B$2,CHAR(160)," ")))),"CHECK REVIEWER ID",IF(OR(A5="",COUNTIF($A$2:$A$9,A5)&lt;&gt;1,LEFT(A5,LEN("2019::jama.2019.12618::"))&lt;&gt;"2019::jama.2019.12618::"),"CHECK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f>IF(AND(OR(D5="retain",D5=""),OR(E5="report_internal_inconsistency",E5="plan_material")),"","not_applicable")</f>
        <v/>
      </c>
      <c r="L5" s="24" t="inlineStr">
        <is>
          <t>substantive_difference</t>
        </is>
      </c>
      <c r="M5" s="11" t="n"/>
      <c r="N5" s="11" t="n"/>
      <c r="O5" s="11" t="n"/>
      <c r="P5" s="11" t="n"/>
      <c r="Q5" s="11" t="n"/>
      <c r="R5" s="24" t="inlineStr">
        <is>
          <t>Confirmed. Final MOP v4.5 2.5.1 (referenced by the SAP as the success definition) requires no periocular/intravitreal corticosteroid injection after day 90. The article's 3-part success definition omits it and calls such injections protocol deviations; 4 MTX and 4 MMF patients had them. How these 8 were classified is not stated. Primary-endpoint definition difference.</t>
        </is>
      </c>
    </row>
    <row r="6" ht="92" customFormat="1" customHeight="1" s="14">
      <c r="A6" s="12" t="inlineStr">
        <is>
          <t>2019::jama.2019.12618::C005</t>
        </is>
      </c>
      <c r="B6" s="12" t="inlineStr">
        <is>
          <t>missed-dose Welch P=.87 compatibility</t>
        </is>
      </c>
      <c r="C6" s="12" t="inlineStr">
        <is>
          <t>jama_rathinam_2019_oi_190092.pdf — PDF p. 4; jama_rathinam_2019_oi_190092.pdf — PDF p. 6, Table 2.</t>
        </is>
      </c>
      <c r="D6" s="23" t="inlineStr">
        <is>
          <t>retain</t>
        </is>
      </c>
      <c r="E6" s="23" t="inlineStr">
        <is>
          <t>statistical_results</t>
        </is>
      </c>
      <c r="F6" s="23" t="inlineStr">
        <is>
          <t>primary_done</t>
        </is>
      </c>
      <c r="G6" s="12">
        <f>IFERROR(IF(OR(NOT(EXACT(Setup!$B$4,"R_B")),Setup!$B$5&lt;&gt;2019),"CHECK SETUP",IF(OR(LEN(TRIM(CLEAN(SUBSTITUTE(Setup!$B$2,CHAR(160)," "))))=0,Setup!$B$2&lt;&gt;TRIM(CLEAN(SUBSTITUTE(Setup!$B$2,CHAR(160)," ")))),"CHECK REVIEWER ID",IF(OR(A6="",COUNTIF($A$2:$A$9,A6)&lt;&gt;1,LEFT(A6,LEN("2019::jama.2019.12618::"))&lt;&gt;"2019::jama.2019.12618::"),"CHECK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t="inlineStr">
        <is>
          <t>confirmed_issue</t>
        </is>
      </c>
      <c r="I6" s="23" t="inlineStr">
        <is>
          <t>substantive</t>
        </is>
      </c>
      <c r="J6" s="24" t="inlineStr">
        <is>
          <t>direct</t>
        </is>
      </c>
      <c r="K6" s="23">
        <f>IF(AND(OR(D6="retain",D6=""),OR(E6="report_internal_inconsistency",E6="plan_material")),"","not_applicable")</f>
        <v/>
      </c>
      <c r="L6" s="24">
        <f>IF(AND(OR(D6="retain",D6=""),E6="protocol_report"),"","not_applicable")</f>
        <v/>
      </c>
      <c r="M6" s="11" t="n"/>
      <c r="N6" s="11" t="n"/>
      <c r="O6" s="11" t="n"/>
      <c r="P6" s="11" t="n"/>
      <c r="Q6" s="11" t="n"/>
      <c r="R6" s="24" t="inlineStr">
        <is>
          <t>Missed doses 4.6% (SD 1.0) vs 4.3% (SD 0.5), Welch test, P=.87 cannot all be right: Welch P is .009 with n=96/98 and .006 with 107/108. 10 of 194 patients missed &gt;=20% (sensitivity n=184), which needs an SD of at least about 3.5, so the 'SD' values cannot be SDs. If they are SEs, P is about .86-.87. The dispersion label (or P) is wrong; extracted SDs would be off about 10-fold.</t>
        </is>
      </c>
    </row>
    <row r="7" ht="148" customFormat="1" customHeight="1" s="14">
      <c r="A7" s="11" t="inlineStr">
        <is>
          <t>2019::jama.2019.12618::C006</t>
        </is>
      </c>
      <c r="B7" s="11" t="inlineStr">
        <is>
          <t>main Table 3 MMF n=109 header vs supplement N=108/percentages</t>
        </is>
      </c>
      <c r="C7" s="11" t="inlineStr">
        <is>
          <t>jama_rathinam_2019_oi_190092.pdf — PDF p. 8, Table 3; joi190092supp1_prod.pdf — PDF p. 10, eTable 4; joi190092supp1_prod.pdf — PDF p. 11, eTable 5; joi190092supp1_prod.pdf — PDF p. 12, eTable 6.</t>
        </is>
      </c>
      <c r="D7" s="23" t="inlineStr">
        <is>
          <t>retain</t>
        </is>
      </c>
      <c r="E7" s="23" t="inlineStr">
        <is>
          <t>report_internal_inconsistency</t>
        </is>
      </c>
      <c r="F7" s="23" t="inlineStr">
        <is>
          <t>primary_done</t>
        </is>
      </c>
      <c r="G7" s="11">
        <f>IFERROR(IF(OR(NOT(EXACT(Setup!$B$4,"R_B")),Setup!$B$5&lt;&gt;2019),"CHECK SETUP",IF(OR(LEN(TRIM(CLEAN(SUBSTITUTE(Setup!$B$2,CHAR(160)," "))))=0,Setup!$B$2&lt;&gt;TRIM(CLEAN(SUBSTITUTE(Setup!$B$2,CHAR(160)," ")))),"CHECK REVIEWER ID",IF(OR(A7="",COUNTIF($A$2:$A$9,A7)&lt;&gt;1,LEFT(A7,LEN("2019::jama.2019.12618::"))&lt;&gt;"2019::jama.2019.12618::"),"CHECK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f>IF(AND(OR(D7="retain",D7=""),E7="statistical_results"),"","not_applicable")</f>
        <v/>
      </c>
      <c r="I7" s="23">
        <f>IF(AND(OR(D7="retain",D7=""),E7="statistical_results"),"","not_applicable")</f>
        <v/>
      </c>
      <c r="J7" s="24">
        <f>IF(AND(OR(D7="retain",D7=""),E7="statistical_results"),"","not_applicable")</f>
        <v/>
      </c>
      <c r="K7" s="23" t="inlineStr">
        <is>
          <t>minor_presentation</t>
        </is>
      </c>
      <c r="L7" s="24">
        <f>IF(AND(OR(D7="retain",D7=""),E7="protocol_report"),"","not_applicable")</f>
        <v/>
      </c>
      <c r="M7" s="11" t="n"/>
      <c r="N7" s="11" t="n"/>
      <c r="O7" s="11" t="n"/>
      <c r="P7" s="11" t="n"/>
      <c r="Q7" s="11" t="n"/>
      <c r="R7" s="24" t="inlineStr">
        <is>
          <t>Confirmed. Main Table 3 heads the MMF column n=109 (randomized), but all 30 MMF percentages reproduce with 108 (only 9 also reproduce with 109), and eTables 4-6 label MMF N=108. Footnote b says one MMF patient never received drug, so the intended treated denominator is inferable, but the header does not match the percentages.</t>
        </is>
      </c>
    </row>
    <row r="8" ht="92" customFormat="1" customHeight="1" s="14">
      <c r="A8" s="12" t="inlineStr">
        <is>
          <t>2019::jama.2019.12618::C007</t>
        </is>
      </c>
      <c r="B8" s="12" t="inlineStr">
        <is>
          <t>eTable 9 MMF serious diarrhea 1 (3.4) vs N=20</t>
        </is>
      </c>
      <c r="C8" s="12" t="inlineStr">
        <is>
          <t>joi190092supp1_prod.pdf — PDF p. 15, eTable 9, MMF N=20, Serious Systemic diarrhea row.</t>
        </is>
      </c>
      <c r="D8" s="23" t="inlineStr">
        <is>
          <t>retain</t>
        </is>
      </c>
      <c r="E8" s="23" t="inlineStr">
        <is>
          <t>statistical_results</t>
        </is>
      </c>
      <c r="F8" s="23" t="inlineStr">
        <is>
          <t>primary_done</t>
        </is>
      </c>
      <c r="G8" s="12">
        <f>IFERROR(IF(OR(NOT(EXACT(Setup!$B$4,"R_B")),Setup!$B$5&lt;&gt;2019),"CHECK SETUP",IF(OR(LEN(TRIM(CLEAN(SUBSTITUTE(Setup!$B$2,CHAR(160)," "))))=0,Setup!$B$2&lt;&gt;TRIM(CLEAN(SUBSTITUTE(Setup!$B$2,CHAR(160)," ")))),"CHECK REVIEWER ID",IF(OR(A8="",COUNTIF($A$2:$A$9,A8)&lt;&gt;1,LEFT(A8,LEN("2019::jama.2019.12618::"))&lt;&gt;"2019::jama.2019.12618::"),"CHECK KEY",IF(NOT(OR(EXACT(F8,"no"),EXACT(F8,"primary_done"),EXACT(F8,""))),"CHECK COMPLETE FLAG",IF(OR(D8="",E8=""),"MISSING D / E",IF(OR(NOT(OR(EXACT(D8,"retain"),EXACT(D8,"exclude"),EXACT(D8,"discuss"))),NOT(OR(EXACT(E8,"statistical_results"),EXACT(E8,"report_internal_inconsistency"),EXACT(E8,"plan_material"),EXACT(E8,"protocol_report")))),"INVALID D / E",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AND(AND(D8="retain",E8="statistical_results"),OR(H8="",EXACT(H8,"not_applicable"))),AND(AND(D8="retain",E8="statistical_results"),OR(I8="",EXACT(I8,"not_applicable"))),AND(AND(D8="retain",OR(E8="report_internal_inconsistency",E8="plan_material")),OR(K8="",EXACT(K8,"not_applicable")))),"MISSING REQUIRED JUDGMENT",IF(OR(AND(AND(D8="retain",E8="statistical_results"),H8&lt;&gt;"",NOT(OR(EXACT(H8,"confirmed_issue"),EXACT(H8,"probable_issue"),EXACT(H8,"not_issue"),EXACT(H8,"indeterminate")))),AND(AND(D8="retain",E8="statistical_results"),I8&lt;&gt;"",NOT(OR(EXACT(I8,"substantive"),EXACT(I8,"minor_presentation"),EXACT(I8,"indeterminate")))),AND(AND(D8="retain",E8="statistical_results"),J8&lt;&gt;"",NOT(OR(EXACT(J8,"direct"),EXACT(J8,"possible"),EXACT(J8,"unlikely"),EXACT(J8,"unknown")))),AND(AND(D8="retain",OR(E8="report_internal_inconsistency",E8="plan_material")),K8&lt;&gt;"",NOT(OR(EXACT(K8,"substantive_inconsistency"),EXACT(K8,"minor_presentation"),EXACT(K8,"non_inconsistency"),EXACT(K8,"indeterminate")))),AND(AND(D8="retain",E8="protocol_report"),L8&lt;&gt;"",NOT(OR(EXACT(L8,"substantive_difference"),EXACT(L8,"minor_presentation"),EXACT(L8,"version_timing"),EXACT(L8,"non_inconsistency"),EXACT(L8,"indeterminate"))))),"INVALID ACTIVE JUDGMENT",IF(F8&lt;&gt;"primary_done","PRIMARY DRAFT","PRIMARY READY")))))))))),"CHECK INPUT ERROR")</f>
        <v/>
      </c>
      <c r="H8" s="23" t="inlineStr">
        <is>
          <t>confirmed_issue</t>
        </is>
      </c>
      <c r="I8" s="23" t="inlineStr">
        <is>
          <t>minor_presentation</t>
        </is>
      </c>
      <c r="J8" s="24" t="inlineStr">
        <is>
          <t>unlikely</t>
        </is>
      </c>
      <c r="K8" s="23">
        <f>IF(AND(OR(D8="retain",D8=""),OR(E8="report_internal_inconsistency",E8="plan_material")),"","not_applicable")</f>
        <v/>
      </c>
      <c r="L8" s="24">
        <f>IF(AND(OR(D8="retain",D8=""),E8="protocol_report"),"","not_applicable")</f>
        <v/>
      </c>
      <c r="M8" s="11" t="n"/>
      <c r="N8" s="11" t="n"/>
      <c r="O8" s="11" t="n"/>
      <c r="P8" s="11" t="n"/>
      <c r="Q8" s="11" t="n"/>
      <c r="R8" s="24" t="inlineStr">
        <is>
          <t>Confirmed. eTable 9 (switchers) MMF N=20, serious systemic diarrhea 1 (3.4); 1/20 = 5.0%. 3.4% is 1/29, the MTX column denominator, and other MMF count-1 cells in the same table show 5.0. Single-cell percentage error; the count is clear.</t>
        </is>
      </c>
    </row>
    <row r="9" ht="120" customFormat="1" customHeight="1" s="14">
      <c r="A9" s="11" t="inlineStr">
        <is>
          <t>2019::jama.2019.12618::C008</t>
        </is>
      </c>
      <c r="B9" s="11" t="inlineStr">
        <is>
          <t>eTable 8 serious-ocular hypertension label vs eTable 1 surgery-required definition</t>
        </is>
      </c>
      <c r="C9" s="11" t="inlineStr">
        <is>
          <t>joi190092supp1_prod.pdf — PDF p. 5, eTable 1; joi190092supp1_prod.pdf — PDF p. 14, eTable 8; joi190092supp1_prod.pdf — PDF p. 15, eTable 9.</t>
        </is>
      </c>
      <c r="D9" s="23" t="inlineStr">
        <is>
          <t>retain</t>
        </is>
      </c>
      <c r="E9" s="23" t="inlineStr">
        <is>
          <t>report_internal_inconsistency</t>
        </is>
      </c>
      <c r="F9" s="23" t="inlineStr">
        <is>
          <t>primary_done</t>
        </is>
      </c>
      <c r="G9" s="11">
        <f>IFERROR(IF(OR(NOT(EXACT(Setup!$B$4,"R_B")),Setup!$B$5&lt;&gt;2019),"CHECK SETUP",IF(OR(LEN(TRIM(CLEAN(SUBSTITUTE(Setup!$B$2,CHAR(160)," "))))=0,Setup!$B$2&lt;&gt;TRIM(CLEAN(SUBSTITUTE(Setup!$B$2,CHAR(160)," ")))),"CHECK REVIEWER ID",IF(OR(A9="",COUNTIF($A$2:$A$9,A9)&lt;&gt;1,LEFT(A9,LEN("2019::jama.2019.12618::"))&lt;&gt;"2019::jama.2019.12618::"),"CHECK KEY",IF(NOT(OR(EXACT(F9,"no"),EXACT(F9,"primary_done"),EXACT(F9,""))),"CHECK COMPLETE FLAG",IF(OR(D9="",E9=""),"MISSING D / E",IF(OR(NOT(OR(EXACT(D9,"retain"),EXACT(D9,"exclude"),EXACT(D9,"discuss"))),NOT(OR(EXACT(E9,"statistical_results"),EXACT(E9,"report_internal_inconsistency"),EXACT(E9,"plan_material"),EXACT(E9,"protocol_report")))),"INVALID D / E",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AND(AND(D9="retain",E9="statistical_results"),OR(H9="",EXACT(H9,"not_applicable"))),AND(AND(D9="retain",E9="statistical_results"),OR(I9="",EXACT(I9,"not_applicable"))),AND(AND(D9="retain",OR(E9="report_internal_inconsistency",E9="plan_material")),OR(K9="",EXACT(K9,"not_applicable")))),"MISSING REQUIRED JUDGMENT",IF(OR(AND(AND(D9="retain",E9="statistical_results"),H9&lt;&gt;"",NOT(OR(EXACT(H9,"confirmed_issue"),EXACT(H9,"probable_issue"),EXACT(H9,"not_issue"),EXACT(H9,"indeterminate")))),AND(AND(D9="retain",E9="statistical_results"),I9&lt;&gt;"",NOT(OR(EXACT(I9,"substantive"),EXACT(I9,"minor_presentation"),EXACT(I9,"indeterminate")))),AND(AND(D9="retain",E9="statistical_results"),J9&lt;&gt;"",NOT(OR(EXACT(J9,"direct"),EXACT(J9,"possible"),EXACT(J9,"unlikely"),EXACT(J9,"unknown")))),AND(AND(D9="retain",OR(E9="report_internal_inconsistency",E9="plan_material")),K9&lt;&gt;"",NOT(OR(EXACT(K9,"substantive_inconsistency"),EXACT(K9,"minor_presentation"),EXACT(K9,"non_inconsistency"),EXACT(K9,"indeterminate")))),AND(AND(D9="retain",E9="protocol_report"),L9&lt;&gt;"",NOT(OR(EXACT(L9,"substantive_difference"),EXACT(L9,"minor_presentation"),EXACT(L9,"version_timing"),EXACT(L9,"non_inconsistency"),EXACT(L9,"indeterminate"))))),"INVALID ACTIVE JUDGMENT",IF(F9&lt;&gt;"primary_done","PRIMARY DRAFT","PRIMARY READY")))))))))),"CHECK INPUT ERROR")</f>
        <v/>
      </c>
      <c r="H9" s="23">
        <f>IF(AND(OR(D9="retain",D9=""),E9="statistical_results"),"","not_applicable")</f>
        <v/>
      </c>
      <c r="I9" s="23">
        <f>IF(AND(OR(D9="retain",D9=""),E9="statistical_results"),"","not_applicable")</f>
        <v/>
      </c>
      <c r="J9" s="24">
        <f>IF(AND(OR(D9="retain",D9=""),E9="statistical_results"),"","not_applicable")</f>
        <v/>
      </c>
      <c r="K9" s="23" t="inlineStr">
        <is>
          <t>minor_presentation</t>
        </is>
      </c>
      <c r="L9" s="24">
        <f>IF(AND(OR(D9="retain",D9=""),E9="protocol_report"),"","not_applicable")</f>
        <v/>
      </c>
      <c r="M9" s="11" t="n"/>
      <c r="N9" s="11" t="n"/>
      <c r="O9" s="11" t="n"/>
      <c r="P9" s="11" t="n"/>
      <c r="Q9" s="11" t="n"/>
      <c r="R9" s="24" t="inlineStr">
        <is>
          <t>Confirmed. eTable 1 defines ocular hypertension &gt;=24 mm Hg as nonserious and 'surgery required' as serious. eTable 8 lists 'Ocular hypertension &gt;24mm Hg' under both Non-Serious and Serious Ocular (serious row MTX 1, MMF 0); eTable 9 labels the serious row 'surgery required'. Likely a copied label; one event, and the section header shows it was classed serious.</t>
        </is>
      </c>
    </row>
  </sheetData>
  <autoFilter ref="A1:R9"/>
  <conditionalFormatting sqref="H2:H9">
    <cfRule type="expression" priority="8" dxfId="70">
      <formula>NOT(AND(OR($D2="retain",$D2=""),$E2="statistical_results"))</formula>
    </cfRule>
  </conditionalFormatting>
  <conditionalFormatting sqref="I2:I9">
    <cfRule type="expression" priority="9" dxfId="70">
      <formula>NOT(AND(OR($D2="retain",$D2=""),$E2="statistical_results"))</formula>
    </cfRule>
  </conditionalFormatting>
  <conditionalFormatting sqref="J2:J9">
    <cfRule type="expression" priority="10" dxfId="70">
      <formula>NOT(AND(OR($D2="retain",$D2=""),$E2="statistical_results"))</formula>
    </cfRule>
  </conditionalFormatting>
  <conditionalFormatting sqref="K2:K9">
    <cfRule type="expression" priority="11" dxfId="70">
      <formula>NOT(AND(OR($D2="retain",$D2=""),OR($E2="report_internal_inconsistency",$E2="plan_material")))</formula>
    </cfRule>
  </conditionalFormatting>
  <conditionalFormatting sqref="L2:L9">
    <cfRule type="expression" priority="12" dxfId="70">
      <formula>NOT(AND(OR($D2="retain",$D2=""),$E2="protocol_report"))</formula>
    </cfRule>
  </conditionalFormatting>
  <conditionalFormatting sqref="G2:G9">
    <cfRule type="expression" priority="13" dxfId="71">
      <formula>$G2&lt;&gt;"PRIMARY READY"</formula>
    </cfRule>
    <cfRule type="expression" priority="14" dxfId="72">
      <formula>$G2="PRIMARY READY"</formula>
    </cfRule>
  </conditionalFormatting>
  <conditionalFormatting sqref="D2:D9">
    <cfRule type="expression" priority="15" dxfId="73">
      <formula>$D2="discuss"</formula>
    </cfRule>
  </conditionalFormatting>
  <dataValidations count="8">
    <dataValidation sqref="D2:D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9"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R12"/>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12" t="inlineStr">
        <is>
          <t>2019::jama.2019.14231::C001</t>
        </is>
      </c>
      <c r="B2" s="12" t="inlineStr">
        <is>
          <t>Protocol matching direction conflicts with the final matched cohort</t>
        </is>
      </c>
      <c r="C2" s="12" t="inlineStr">
        <is>
          <t>Main article — PDF p. 1, PDF p. 3, PDF p. 4; protocol — PDF p. 3.</t>
        </is>
      </c>
      <c r="D2" s="23" t="inlineStr">
        <is>
          <t>retain</t>
        </is>
      </c>
      <c r="E2" s="23" t="inlineStr">
        <is>
          <t>protocol_report</t>
        </is>
      </c>
      <c r="F2" s="23" t="inlineStr">
        <is>
          <t>primary_done</t>
        </is>
      </c>
      <c r="G2" s="12">
        <f>IFERROR(IF(OR(NOT(EXACT(Setup!$B$4,"R_B")),Setup!$B$5&lt;&gt;2019),"CHECK SETUP",IF(OR(LEN(TRIM(CLEAN(SUBSTITUTE(Setup!$B$2,CHAR(160)," "))))=0,Setup!$B$2&lt;&gt;TRIM(CLEAN(SUBSTITUTE(Setup!$B$2,CHAR(160)," ")))),"CHECK REVIEWER ID",IF(OR(A2="",COUNTIF($A$2:$A$12,A2)&lt;&gt;1,LEFT(A2,LEN("2019::jama.2019.14231::"))&lt;&gt;"2019::jama.2019.14231::"),"CHECK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f>IF(AND(OR(D2="retain",D2=""),OR(E2="report_internal_inconsistency",E2="plan_material")),"","not_applicable")</f>
        <v/>
      </c>
      <c r="L2" s="24" t="inlineStr">
        <is>
          <t>minor_presentation</t>
        </is>
      </c>
      <c r="M2" s="11" t="n"/>
      <c r="N2" s="11" t="n"/>
      <c r="O2" s="11" t="n"/>
      <c r="P2" s="11" t="n"/>
      <c r="Q2" s="11" t="n"/>
      <c r="R2" s="24" t="inlineStr">
        <is>
          <t>Protocol (6 Jan 2019) Matching Process says each nonsurgical patient will be matched to five surgical patients, but its own sensitivity section specifies 1:5 matching on nonsurgical index dates. The article matches each surgical patient to 5 controls (2287 x 5 = 11,435). The protocol sentence is inverted wording; planned and reported design are the same.</t>
        </is>
      </c>
    </row>
    <row r="3" ht="92" customFormat="1" customHeight="1" s="14">
      <c r="A3" s="11" t="inlineStr">
        <is>
          <t>2019::jama.2019.14231::C002</t>
        </is>
      </c>
      <c r="B3" s="11" t="inlineStr">
        <is>
          <t>Heart-failure ARD does not reconcile with displayed 8-year incidences</t>
        </is>
      </c>
      <c r="C3" s="11" t="inlineStr">
        <is>
          <t>Main article — PDF p. 4, PDF p. 7; Supplement 1 — PDF p. 7.</t>
        </is>
      </c>
      <c r="D3" s="23" t="inlineStr">
        <is>
          <t>retain</t>
        </is>
      </c>
      <c r="E3" s="23" t="inlineStr">
        <is>
          <t>statistical_results</t>
        </is>
      </c>
      <c r="F3" s="23" t="inlineStr">
        <is>
          <t>primary_done</t>
        </is>
      </c>
      <c r="G3" s="11">
        <f>IFERROR(IF(OR(NOT(EXACT(Setup!$B$4,"R_B")),Setup!$B$5&lt;&gt;2019),"CHECK SETUP",IF(OR(LEN(TRIM(CLEAN(SUBSTITUTE(Setup!$B$2,CHAR(160)," "))))=0,Setup!$B$2&lt;&gt;TRIM(CLEAN(SUBSTITUTE(Setup!$B$2,CHAR(160)," ")))),"CHECK REVIEWER ID",IF(OR(A3="",COUNTIF($A$2:$A$12,A3)&lt;&gt;1,LEFT(A3,LEN("2019::jama.2019.14231::"))&lt;&gt;"2019::jama.2019.14231::"),"CHECK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t="inlineStr">
        <is>
          <t>confirmed_issue</t>
        </is>
      </c>
      <c r="I3" s="23" t="inlineStr">
        <is>
          <t>substantive</t>
        </is>
      </c>
      <c r="J3" s="24" t="inlineStr">
        <is>
          <t>direct</t>
        </is>
      </c>
      <c r="K3" s="23">
        <f>IF(AND(OR(D3="retain",D3=""),OR(E3="report_internal_inconsistency",E3="plan_material")),"","not_applicable")</f>
        <v/>
      </c>
      <c r="L3" s="24">
        <f>IF(AND(OR(D3="retain",D3=""),E3="protocol_report"),"","not_applicable")</f>
        <v/>
      </c>
      <c r="M3" s="11" t="n"/>
      <c r="N3" s="11" t="n"/>
      <c r="O3" s="11" t="n"/>
      <c r="P3" s="11" t="n"/>
      <c r="Q3" s="11" t="n"/>
      <c r="R3" s="24" t="inlineStr">
        <is>
          <t>Table 2 heart failure: 8-year KM incidence 18.9% (controls) - 6.8% (surgery) = 12.1 pp, but the ARD is printed as 12.9 (95% CI 10.4-15.1); the gap (0.8) exceeds rounding (possible 12.0-12.2). Composite and mortality rows reproduce exactly; all 5 component rows are larger by 0.3-0.9 and sit near their bootstrap-CI midpoints, which suggests a different estimand or population.</t>
        </is>
      </c>
    </row>
    <row r="4" ht="92" customFormat="1" customHeight="1" s="14">
      <c r="A4" s="12" t="inlineStr">
        <is>
          <t>2019::jama.2019.14231::C003</t>
        </is>
      </c>
      <c r="B4" s="12" t="inlineStr">
        <is>
          <t>Coronary-disease ARD does not reconcile with displayed 8-year incidences</t>
        </is>
      </c>
      <c r="C4" s="12" t="inlineStr">
        <is>
          <t>Main article — PDF p. 4, PDF p. 7; Supplement 1 — PDF p. 7.</t>
        </is>
      </c>
      <c r="D4" s="23" t="inlineStr">
        <is>
          <t>retain</t>
        </is>
      </c>
      <c r="E4" s="23" t="inlineStr">
        <is>
          <t>statistical_results</t>
        </is>
      </c>
      <c r="F4" s="23" t="inlineStr">
        <is>
          <t>primary_done</t>
        </is>
      </c>
      <c r="G4" s="12">
        <f>IFERROR(IF(OR(NOT(EXACT(Setup!$B$4,"R_B")),Setup!$B$5&lt;&gt;2019),"CHECK SETUP",IF(OR(LEN(TRIM(CLEAN(SUBSTITUTE(Setup!$B$2,CHAR(160)," "))))=0,Setup!$B$2&lt;&gt;TRIM(CLEAN(SUBSTITUTE(Setup!$B$2,CHAR(160)," ")))),"CHECK REVIEWER ID",IF(OR(A4="",COUNTIF($A$2:$A$12,A4)&lt;&gt;1,LEFT(A4,LEN("2019::jama.2019.14231::"))&lt;&gt;"2019::jama.2019.14231::"),"CHECK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t="inlineStr">
        <is>
          <t>confirmed_issue</t>
        </is>
      </c>
      <c r="I4" s="23" t="inlineStr">
        <is>
          <t>substantive</t>
        </is>
      </c>
      <c r="J4" s="24" t="inlineStr">
        <is>
          <t>direct</t>
        </is>
      </c>
      <c r="K4" s="23">
        <f>IF(AND(OR(D4="retain",D4=""),OR(E4="report_internal_inconsistency",E4="plan_material")),"","not_applicable")</f>
        <v/>
      </c>
      <c r="L4" s="24">
        <f>IF(AND(OR(D4="retain",D4=""),E4="protocol_report"),"","not_applicable")</f>
        <v/>
      </c>
      <c r="M4" s="11" t="n"/>
      <c r="N4" s="11" t="n"/>
      <c r="O4" s="11" t="n"/>
      <c r="P4" s="11" t="n"/>
      <c r="Q4" s="11" t="n"/>
      <c r="R4" s="24" t="inlineStr">
        <is>
          <t>Table 2 coronary artery disease: 11.6% - 7.9% = 3.7 pp vs printed ARD 4.2 (1.9-6.8); the gap of 0.5 exceeds rounding (3.6-3.8 possible). This is part of a systematic pattern across all 5 component outcomes (printed ARD exceeds the displayed incidence difference), while composite and mortality rows reproduce. The extractable ARD is ambiguous (about 14% relative).</t>
        </is>
      </c>
    </row>
    <row r="5" ht="92" customFormat="1" customHeight="1" s="14">
      <c r="A5" s="11" t="inlineStr">
        <is>
          <t>2019::jama.2019.14231::C004</t>
        </is>
      </c>
      <c r="B5" s="11" t="inlineStr">
        <is>
          <t>Cerebrovascular-disease ARD does not reconcile with displayed 8-year incidences</t>
        </is>
      </c>
      <c r="C5" s="11" t="inlineStr">
        <is>
          <t>Main article — PDF p. 4, PDF p. 7; Supplement 1 — PDF p. 7.</t>
        </is>
      </c>
      <c r="D5" s="23" t="inlineStr">
        <is>
          <t>retain</t>
        </is>
      </c>
      <c r="E5" s="23" t="inlineStr">
        <is>
          <t>statistical_results</t>
        </is>
      </c>
      <c r="F5" s="23" t="inlineStr">
        <is>
          <t>primary_done</t>
        </is>
      </c>
      <c r="G5" s="11">
        <f>IFERROR(IF(OR(NOT(EXACT(Setup!$B$4,"R_B")),Setup!$B$5&lt;&gt;2019),"CHECK SETUP",IF(OR(LEN(TRIM(CLEAN(SUBSTITUTE(Setup!$B$2,CHAR(160)," "))))=0,Setup!$B$2&lt;&gt;TRIM(CLEAN(SUBSTITUTE(Setup!$B$2,CHAR(160)," ")))),"CHECK REVIEWER ID",IF(OR(A5="",COUNTIF($A$2:$A$12,A5)&lt;&gt;1,LEFT(A5,LEN("2019::jama.2019.14231::"))&lt;&gt;"2019::jama.2019.14231::"),"CHECK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t="inlineStr">
        <is>
          <t>confirmed_issue</t>
        </is>
      </c>
      <c r="I5" s="23" t="inlineStr">
        <is>
          <t>substantive</t>
        </is>
      </c>
      <c r="J5" s="24" t="inlineStr">
        <is>
          <t>direct</t>
        </is>
      </c>
      <c r="K5" s="23">
        <f>IF(AND(OR(D5="retain",D5=""),OR(E5="report_internal_inconsistency",E5="plan_material")),"","not_applicable")</f>
        <v/>
      </c>
      <c r="L5" s="24">
        <f>IF(AND(OR(D5="retain",D5=""),E5="protocol_report"),"","not_applicable")</f>
        <v/>
      </c>
      <c r="M5" s="11" t="n"/>
      <c r="N5" s="11" t="n"/>
      <c r="O5" s="11" t="n"/>
      <c r="P5" s="11" t="n"/>
      <c r="Q5" s="11" t="n"/>
      <c r="R5" s="24" t="inlineStr">
        <is>
          <t>Table 2 cerebrovascular disease: 5.6% - 4.1% = 1.5 pp vs printed ARD 1.8 (-0.03 to 3.4); the difference can only be 1.4-1.6 from the displayed values. Same systematic pattern as the other component outcomes. 1.5 vs 1.8 is a 20% relative difference in an extractable estimate whose CI touches zero.</t>
        </is>
      </c>
    </row>
    <row r="6" ht="92" customFormat="1" customHeight="1" s="14">
      <c r="A6" s="12" t="inlineStr">
        <is>
          <t>2019::jama.2019.14231::C005</t>
        </is>
      </c>
      <c r="B6" s="12" t="inlineStr">
        <is>
          <t>Nephropathy ARD does not reconcile with displayed 8-year incidences</t>
        </is>
      </c>
      <c r="C6" s="12" t="inlineStr">
        <is>
          <t>Main article — PDF p. 4, PDF p. 7; Supplement 1 — PDF p. 7.</t>
        </is>
      </c>
      <c r="D6" s="23" t="inlineStr">
        <is>
          <t>retain</t>
        </is>
      </c>
      <c r="E6" s="23" t="inlineStr">
        <is>
          <t>statistical_results</t>
        </is>
      </c>
      <c r="F6" s="23" t="inlineStr">
        <is>
          <t>primary_done</t>
        </is>
      </c>
      <c r="G6" s="12">
        <f>IFERROR(IF(OR(NOT(EXACT(Setup!$B$4,"R_B")),Setup!$B$5&lt;&gt;2019),"CHECK SETUP",IF(OR(LEN(TRIM(CLEAN(SUBSTITUTE(Setup!$B$2,CHAR(160)," "))))=0,Setup!$B$2&lt;&gt;TRIM(CLEAN(SUBSTITUTE(Setup!$B$2,CHAR(160)," ")))),"CHECK REVIEWER ID",IF(OR(A6="",COUNTIF($A$2:$A$12,A6)&lt;&gt;1,LEFT(A6,LEN("2019::jama.2019.14231::"))&lt;&gt;"2019::jama.2019.14231::"),"CHECK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t="inlineStr">
        <is>
          <t>confirmed_issue</t>
        </is>
      </c>
      <c r="I6" s="23" t="inlineStr">
        <is>
          <t>substantive</t>
        </is>
      </c>
      <c r="J6" s="24" t="inlineStr">
        <is>
          <t>direct</t>
        </is>
      </c>
      <c r="K6" s="23">
        <f>IF(AND(OR(D6="retain",D6=""),OR(E6="report_internal_inconsistency",E6="plan_material")),"","not_applicable")</f>
        <v/>
      </c>
      <c r="L6" s="24">
        <f>IF(AND(OR(D6="retain",D6=""),E6="protocol_report"),"","not_applicable")</f>
        <v/>
      </c>
      <c r="M6" s="11" t="n"/>
      <c r="N6" s="11" t="n"/>
      <c r="O6" s="11" t="n"/>
      <c r="P6" s="11" t="n"/>
      <c r="Q6" s="11" t="n"/>
      <c r="R6" s="24" t="inlineStr">
        <is>
          <t>Table 2 nephropathy: 16.3% - 6.1% = 10.2 pp vs printed ARD 11.1 (8.8-13.6); the gap of 0.9 is far beyond rounding. It belongs to the systematic component-outcome pattern (printed ARDs near bootstrap-CI midpoints, not the KM incidence difference). The extractable ARD is ambiguous.</t>
        </is>
      </c>
    </row>
    <row r="7" ht="92" customFormat="1" customHeight="1" s="14">
      <c r="A7" s="11" t="inlineStr">
        <is>
          <t>2019::jama.2019.14231::C006</t>
        </is>
      </c>
      <c r="B7" s="11" t="inlineStr">
        <is>
          <t>Atrial-fibrillation ARD does not reconcile with displayed 8-year incidences</t>
        </is>
      </c>
      <c r="C7" s="11" t="inlineStr">
        <is>
          <t>Main article — PDF p. 4, PDF p. 7; Supplement 1 — PDF p. 7.</t>
        </is>
      </c>
      <c r="D7" s="23" t="inlineStr">
        <is>
          <t>retain</t>
        </is>
      </c>
      <c r="E7" s="23" t="inlineStr">
        <is>
          <t>statistical_results</t>
        </is>
      </c>
      <c r="F7" s="23" t="inlineStr">
        <is>
          <t>primary_done</t>
        </is>
      </c>
      <c r="G7" s="11">
        <f>IFERROR(IF(OR(NOT(EXACT(Setup!$B$4,"R_B")),Setup!$B$5&lt;&gt;2019),"CHECK SETUP",IF(OR(LEN(TRIM(CLEAN(SUBSTITUTE(Setup!$B$2,CHAR(160)," "))))=0,Setup!$B$2&lt;&gt;TRIM(CLEAN(SUBSTITUTE(Setup!$B$2,CHAR(160)," ")))),"CHECK REVIEWER ID",IF(OR(A7="",COUNTIF($A$2:$A$12,A7)&lt;&gt;1,LEFT(A7,LEN("2019::jama.2019.14231::"))&lt;&gt;"2019::jama.2019.14231::"),"CHECK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t="inlineStr">
        <is>
          <t>confirmed_issue</t>
        </is>
      </c>
      <c r="I7" s="23" t="inlineStr">
        <is>
          <t>substantive</t>
        </is>
      </c>
      <c r="J7" s="24" t="inlineStr">
        <is>
          <t>direct</t>
        </is>
      </c>
      <c r="K7" s="23">
        <f>IF(AND(OR(D7="retain",D7=""),OR(E7="report_internal_inconsistency",E7="plan_material")),"","not_applicable")</f>
        <v/>
      </c>
      <c r="L7" s="24">
        <f>IF(AND(OR(D7="retain",D7=""),E7="protocol_report"),"","not_applicable")</f>
        <v/>
      </c>
      <c r="M7" s="11" t="n"/>
      <c r="N7" s="11" t="n"/>
      <c r="O7" s="11" t="n"/>
      <c r="P7" s="11" t="n"/>
      <c r="Q7" s="11" t="n"/>
      <c r="R7" s="24" t="inlineStr">
        <is>
          <t>Table 2 atrial fibrillation: 13.6% - 7.9% = 5.7 pp vs printed ARD 6.5 (4.4-8.7); the gap of 0.8 is beyond rounding (5.6-5.8 possible). Same systematic pattern across component outcomes. AF also violated proportional hazards per the text, so the 8-year ARD is the more interpretable summary, which makes the ambiguity matter more.</t>
        </is>
      </c>
    </row>
    <row r="8" ht="92" customFormat="1" customHeight="1" s="14">
      <c r="A8" s="12" t="inlineStr">
        <is>
          <t>2019::jama.2019.14231::C007</t>
        </is>
      </c>
      <c r="B8" s="12" t="inlineStr">
        <is>
          <t>Supplement tables use different nonsurgical medication denominators at baseline</t>
        </is>
      </c>
      <c r="C8" s="12" t="inlineStr">
        <is>
          <t>Supplement 1 — PDF p. 5, PDF p. 14.</t>
        </is>
      </c>
      <c r="D8" s="23" t="inlineStr">
        <is>
          <t>exclude</t>
        </is>
      </c>
      <c r="E8" s="23" t="inlineStr">
        <is>
          <t>statistical_results</t>
        </is>
      </c>
      <c r="F8" s="23" t="inlineStr">
        <is>
          <t>primary_done</t>
        </is>
      </c>
      <c r="G8" s="12">
        <f>IFERROR(IF(OR(NOT(EXACT(Setup!$B$4,"R_B")),Setup!$B$5&lt;&gt;2019),"CHECK SETUP",IF(OR(LEN(TRIM(CLEAN(SUBSTITUTE(Setup!$B$2,CHAR(160)," "))))=0,Setup!$B$2&lt;&gt;TRIM(CLEAN(SUBSTITUTE(Setup!$B$2,CHAR(160)," ")))),"CHECK REVIEWER ID",IF(OR(A8="",COUNTIF($A$2:$A$12,A8)&lt;&gt;1,LEFT(A8,LEN("2019::jama.2019.14231::"))&lt;&gt;"2019::jama.2019.14231::"),"CHECK KEY",IF(NOT(OR(EXACT(F8,"no"),EXACT(F8,"primary_done"),EXACT(F8,""))),"CHECK COMPLETE FLAG",IF(OR(D8="",E8=""),"MISSING D / E",IF(OR(NOT(OR(EXACT(D8,"retain"),EXACT(D8,"exclude"),EXACT(D8,"discuss"))),NOT(OR(EXACT(E8,"statistical_results"),EXACT(E8,"report_internal_inconsistency"),EXACT(E8,"plan_material"),EXACT(E8,"protocol_report")))),"INVALID D / E",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AND(AND(D8="retain",E8="statistical_results"),OR(H8="",EXACT(H8,"not_applicable"))),AND(AND(D8="retain",E8="statistical_results"),OR(I8="",EXACT(I8,"not_applicable"))),AND(AND(D8="retain",OR(E8="report_internal_inconsistency",E8="plan_material")),OR(K8="",EXACT(K8,"not_applicable")))),"MISSING REQUIRED JUDGMENT",IF(OR(AND(AND(D8="retain",E8="statistical_results"),H8&lt;&gt;"",NOT(OR(EXACT(H8,"confirmed_issue"),EXACT(H8,"probable_issue"),EXACT(H8,"not_issue"),EXACT(H8,"indeterminate")))),AND(AND(D8="retain",E8="statistical_results"),I8&lt;&gt;"",NOT(OR(EXACT(I8,"substantive"),EXACT(I8,"minor_presentation"),EXACT(I8,"indeterminate")))),AND(AND(D8="retain",E8="statistical_results"),J8&lt;&gt;"",NOT(OR(EXACT(J8,"direct"),EXACT(J8,"possible"),EXACT(J8,"unlikely"),EXACT(J8,"unknown")))),AND(AND(D8="retain",OR(E8="report_internal_inconsistency",E8="plan_material")),K8&lt;&gt;"",NOT(OR(EXACT(K8,"substantive_inconsistency"),EXACT(K8,"minor_presentation"),EXACT(K8,"non_inconsistency"),EXACT(K8,"indeterminate")))),AND(AND(D8="retain",E8="protocol_report"),L8&lt;&gt;"",NOT(OR(EXACT(L8,"substantive_difference"),EXACT(L8,"minor_presentation"),EXACT(L8,"version_timing"),EXACT(L8,"non_inconsistency"),EXACT(L8,"indeterminate"))))),"INVALID ACTIVE JUDGMENT",IF(F8&lt;&gt;"primary_done","PRIMARY DRAFT","PRIMARY READY")))))))))),"CHECK INPUT ERROR")</f>
        <v/>
      </c>
      <c r="H8" s="23">
        <f>IF(AND(OR(D8="retain",D8=""),E8="statistical_results"),"","not_applicable")</f>
        <v/>
      </c>
      <c r="I8" s="23">
        <f>IF(AND(OR(D8="retain",D8=""),E8="statistical_results"),"","not_applicable")</f>
        <v/>
      </c>
      <c r="J8" s="24">
        <f>IF(AND(OR(D8="retain",D8=""),E8="statistical_results"),"","not_applicable")</f>
        <v/>
      </c>
      <c r="K8" s="23">
        <f>IF(AND(OR(D8="retain",D8=""),OR(E8="report_internal_inconsistency",E8="plan_material")),"","not_applicable")</f>
        <v/>
      </c>
      <c r="L8" s="24">
        <f>IF(AND(OR(D8="retain",D8=""),E8="protocol_report"),"","not_applicable")</f>
        <v/>
      </c>
      <c r="M8" s="11" t="n"/>
      <c r="N8" s="11" t="n"/>
      <c r="O8" s="11" t="n"/>
      <c r="P8" s="11" t="n"/>
      <c r="Q8" s="11" t="n"/>
      <c r="R8" s="24" t="inlineStr">
        <is>
          <t>Exclude. eTable 3 (medication class at index date) uses matched control N=11,435; eTable 10 is explicitly a table of sample sizes 'for computing proportions ... over time' and gives 11,433 at year 0. The two tables serve different computations, and every eTable 3 control percentage is identical to one decimal under either denominator. Not a reporting error of consequence.</t>
        </is>
      </c>
    </row>
    <row r="9" ht="92" customFormat="1" customHeight="1" s="14">
      <c r="A9" s="11" t="inlineStr">
        <is>
          <t>2019::jama.2019.14231::C008</t>
        </is>
      </c>
      <c r="B9" s="11" t="inlineStr">
        <is>
          <t>Medication comparison is labeled as two different named tests</t>
        </is>
      </c>
      <c r="C9" s="11" t="inlineStr">
        <is>
          <t>Main article — PDF p. 4, PDF p. 10; Supplement 1 — PDF p. 12.</t>
        </is>
      </c>
      <c r="D9" s="23" t="inlineStr">
        <is>
          <t>retain</t>
        </is>
      </c>
      <c r="E9" s="23" t="inlineStr">
        <is>
          <t>report_internal_inconsistency</t>
        </is>
      </c>
      <c r="F9" s="23" t="inlineStr">
        <is>
          <t>primary_done</t>
        </is>
      </c>
      <c r="G9" s="11">
        <f>IFERROR(IF(OR(NOT(EXACT(Setup!$B$4,"R_B")),Setup!$B$5&lt;&gt;2019),"CHECK SETUP",IF(OR(LEN(TRIM(CLEAN(SUBSTITUTE(Setup!$B$2,CHAR(160)," "))))=0,Setup!$B$2&lt;&gt;TRIM(CLEAN(SUBSTITUTE(Setup!$B$2,CHAR(160)," ")))),"CHECK REVIEWER ID",IF(OR(A9="",COUNTIF($A$2:$A$12,A9)&lt;&gt;1,LEFT(A9,LEN("2019::jama.2019.14231::"))&lt;&gt;"2019::jama.2019.14231::"),"CHECK KEY",IF(NOT(OR(EXACT(F9,"no"),EXACT(F9,"primary_done"),EXACT(F9,""))),"CHECK COMPLETE FLAG",IF(OR(D9="",E9=""),"MISSING D / E",IF(OR(NOT(OR(EXACT(D9,"retain"),EXACT(D9,"exclude"),EXACT(D9,"discuss"))),NOT(OR(EXACT(E9,"statistical_results"),EXACT(E9,"report_internal_inconsistency"),EXACT(E9,"plan_material"),EXACT(E9,"protocol_report")))),"INVALID D / E",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AND(AND(D9="retain",E9="statistical_results"),OR(H9="",EXACT(H9,"not_applicable"))),AND(AND(D9="retain",E9="statistical_results"),OR(I9="",EXACT(I9,"not_applicable"))),AND(AND(D9="retain",OR(E9="report_internal_inconsistency",E9="plan_material")),OR(K9="",EXACT(K9,"not_applicable")))),"MISSING REQUIRED JUDGMENT",IF(OR(AND(AND(D9="retain",E9="statistical_results"),H9&lt;&gt;"",NOT(OR(EXACT(H9,"confirmed_issue"),EXACT(H9,"probable_issue"),EXACT(H9,"not_issue"),EXACT(H9,"indeterminate")))),AND(AND(D9="retain",E9="statistical_results"),I9&lt;&gt;"",NOT(OR(EXACT(I9,"substantive"),EXACT(I9,"minor_presentation"),EXACT(I9,"indeterminate")))),AND(AND(D9="retain",E9="statistical_results"),J9&lt;&gt;"",NOT(OR(EXACT(J9,"direct"),EXACT(J9,"possible"),EXACT(J9,"unlikely"),EXACT(J9,"unknown")))),AND(AND(D9="retain",OR(E9="report_internal_inconsistency",E9="plan_material")),K9&lt;&gt;"",NOT(OR(EXACT(K9,"substantive_inconsistency"),EXACT(K9,"minor_presentation"),EXACT(K9,"non_inconsistency"),EXACT(K9,"indeterminate")))),AND(AND(D9="retain",E9="protocol_report"),L9&lt;&gt;"",NOT(OR(EXACT(L9,"substantive_difference"),EXACT(L9,"minor_presentation"),EXACT(L9,"version_timing"),EXACT(L9,"non_inconsistency"),EXACT(L9,"indeterminate"))))),"INVALID ACTIVE JUDGMENT",IF(F9&lt;&gt;"primary_done","PRIMARY DRAFT","PRIMARY READY")))))))))),"CHECK INPUT ERROR")</f>
        <v/>
      </c>
      <c r="H9" s="23">
        <f>IF(AND(OR(D9="retain",D9=""),E9="statistical_results"),"","not_applicable")</f>
        <v/>
      </c>
      <c r="I9" s="23">
        <f>IF(AND(OR(D9="retain",D9=""),E9="statistical_results"),"","not_applicable")</f>
        <v/>
      </c>
      <c r="J9" s="24">
        <f>IF(AND(OR(D9="retain",D9=""),E9="statistical_results"),"","not_applicable")</f>
        <v/>
      </c>
      <c r="K9" s="23" t="inlineStr">
        <is>
          <t>minor_presentation</t>
        </is>
      </c>
      <c r="L9" s="24">
        <f>IF(AND(OR(D9="retain",D9=""),E9="protocol_report"),"","not_applicable")</f>
        <v/>
      </c>
      <c r="M9" s="11" t="n"/>
      <c r="N9" s="11" t="n"/>
      <c r="O9" s="11" t="n"/>
      <c r="P9" s="11" t="n"/>
      <c r="Q9" s="11" t="n"/>
      <c r="R9" s="24" t="inlineStr">
        <is>
          <t>Confirmed. Main Methods and the eTable 8 note say a 2-sample proportions test compared medication proportions at 1, 2, 5 and 8 years; the Figure 5 legend says the displayed 8-year P values come from a Fisher exact test. With 348 vs 1219 patients at year 8 and P&lt;.001/.008, the choice is unlikely to change conclusions, but the named test conflicts.</t>
        </is>
      </c>
    </row>
    <row r="10" ht="92" customFormat="1" customHeight="1" s="14">
      <c r="A10" s="12" t="inlineStr">
        <is>
          <t>2019::jama.2019.14231::C009</t>
        </is>
      </c>
      <c r="B10" s="12" t="inlineStr">
        <is>
          <t>Time-varying-HR narrative cites eTable 4 while the displayed table is eTable 7</t>
        </is>
      </c>
      <c r="C10" s="12" t="inlineStr">
        <is>
          <t>Supplement 1 — PDF p. 6, PDF p. 10, PDF p. 19.</t>
        </is>
      </c>
      <c r="D10" s="23" t="inlineStr">
        <is>
          <t>retain</t>
        </is>
      </c>
      <c r="E10" s="23" t="inlineStr">
        <is>
          <t>report_internal_inconsistency</t>
        </is>
      </c>
      <c r="F10" s="23" t="inlineStr">
        <is>
          <t>primary_done</t>
        </is>
      </c>
      <c r="G10" s="12">
        <f>IFERROR(IF(OR(NOT(EXACT(Setup!$B$4,"R_B")),Setup!$B$5&lt;&gt;2019),"CHECK SETUP",IF(OR(LEN(TRIM(CLEAN(SUBSTITUTE(Setup!$B$2,CHAR(160)," "))))=0,Setup!$B$2&lt;&gt;TRIM(CLEAN(SUBSTITUTE(Setup!$B$2,CHAR(160)," ")))),"CHECK REVIEWER ID",IF(OR(A10="",COUNTIF($A$2:$A$12,A10)&lt;&gt;1,LEFT(A10,LEN("2019::jama.2019.14231::"))&lt;&gt;"2019::jama.2019.14231::"),"CHECK KEY",IF(NOT(OR(EXACT(F10,"no"),EXACT(F10,"primary_done"),EXACT(F10,""))),"CHECK COMPLETE FLAG",IF(OR(D10="",E10=""),"MISSING D / E",IF(OR(NOT(OR(EXACT(D10,"retain"),EXACT(D10,"exclude"),EXACT(D10,"discuss"))),NOT(OR(EXACT(E10,"statistical_results"),EXACT(E10,"report_internal_inconsistency"),EXACT(E10,"plan_material"),EXACT(E10,"protocol_report")))),"INVALID D / E",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AND(AND(D10="retain",E10="statistical_results"),OR(H10="",EXACT(H10,"not_applicable"))),AND(AND(D10="retain",E10="statistical_results"),OR(I10="",EXACT(I10,"not_applicable"))),AND(AND(D10="retain",OR(E10="report_internal_inconsistency",E10="plan_material")),OR(K10="",EXACT(K10,"not_applicable")))),"MISSING REQUIRED JUDGMENT",IF(OR(AND(AND(D10="retain",E10="statistical_results"),H10&lt;&gt;"",NOT(OR(EXACT(H10,"confirmed_issue"),EXACT(H10,"probable_issue"),EXACT(H10,"not_issue"),EXACT(H10,"indeterminate")))),AND(AND(D10="retain",E10="statistical_results"),I10&lt;&gt;"",NOT(OR(EXACT(I10,"substantive"),EXACT(I10,"minor_presentation"),EXACT(I10,"indeterminate")))),AND(AND(D10="retain",E10="statistical_results"),J10&lt;&gt;"",NOT(OR(EXACT(J10,"direct"),EXACT(J10,"possible"),EXACT(J10,"unlikely"),EXACT(J10,"unknown")))),AND(AND(D10="retain",OR(E10="report_internal_inconsistency",E10="plan_material")),K10&lt;&gt;"",NOT(OR(EXACT(K10,"substantive_inconsistency"),EXACT(K10,"minor_presentation"),EXACT(K10,"non_inconsistency"),EXACT(K10,"indeterminate")))),AND(AND(D10="retain",E10="protocol_report"),L10&lt;&gt;"",NOT(OR(EXACT(L10,"substantive_difference"),EXACT(L10,"minor_presentation"),EXACT(L10,"version_timing"),EXACT(L10,"non_inconsistency"),EXACT(L10,"indeterminate"))))),"INVALID ACTIVE JUDGMENT",IF(F10&lt;&gt;"primary_done","PRIMARY DRAFT","PRIMARY READY")))))))))),"CHECK INPUT ERROR")</f>
        <v/>
      </c>
      <c r="H10" s="23">
        <f>IF(AND(OR(D10="retain",D10=""),E10="statistical_results"),"","not_applicable")</f>
        <v/>
      </c>
      <c r="I10" s="23">
        <f>IF(AND(OR(D10="retain",D10=""),E10="statistical_results"),"","not_applicable")</f>
        <v/>
      </c>
      <c r="J10" s="24">
        <f>IF(AND(OR(D10="retain",D10=""),E10="statistical_results"),"","not_applicable")</f>
        <v/>
      </c>
      <c r="K10" s="23" t="inlineStr">
        <is>
          <t>minor_presentation</t>
        </is>
      </c>
      <c r="L10" s="24">
        <f>IF(AND(OR(D10="retain",D10=""),E10="protocol_report"),"","not_applicable")</f>
        <v/>
      </c>
      <c r="M10" s="11" t="n"/>
      <c r="N10" s="11" t="n"/>
      <c r="O10" s="11" t="n"/>
      <c r="P10" s="11" t="n"/>
      <c r="Q10" s="11" t="n"/>
      <c r="R10" s="24" t="inlineStr">
        <is>
          <t>Confirmed. Supplement section B (p.19) says 'eTable 4 displays adjusted hazard ratios ... at 2, 5, and 8 years', but the table directly below (and on p.10) is eTable 7, while eTable 4 (p.6) shows cause-specific event rates per 100 patient-years. Wrong cross-reference; the intended table is obvious from adjacency.</t>
        </is>
      </c>
    </row>
    <row r="11" ht="92" customFormat="1" customHeight="1" s="14">
      <c r="A11" s="11" t="inlineStr">
        <is>
          <t>2019::jama.2019.14231::C010</t>
        </is>
      </c>
      <c r="B11" s="11" t="inlineStr">
        <is>
          <t>Biguanide count and percentage do not reconcile in eTable 3</t>
        </is>
      </c>
      <c r="C11" s="11" t="inlineStr">
        <is>
          <t>Supplement 1 — PDF p. 5.</t>
        </is>
      </c>
      <c r="D11" s="23" t="inlineStr">
        <is>
          <t>retain</t>
        </is>
      </c>
      <c r="E11" s="23" t="inlineStr">
        <is>
          <t>statistical_results</t>
        </is>
      </c>
      <c r="F11" s="23" t="inlineStr">
        <is>
          <t>primary_done</t>
        </is>
      </c>
      <c r="G11" s="11">
        <f>IFERROR(IF(OR(NOT(EXACT(Setup!$B$4,"R_B")),Setup!$B$5&lt;&gt;2019),"CHECK SETUP",IF(OR(LEN(TRIM(CLEAN(SUBSTITUTE(Setup!$B$2,CHAR(160)," "))))=0,Setup!$B$2&lt;&gt;TRIM(CLEAN(SUBSTITUTE(Setup!$B$2,CHAR(160)," ")))),"CHECK REVIEWER ID",IF(OR(A11="",COUNTIF($A$2:$A$12,A11)&lt;&gt;1,LEFT(A11,LEN("2019::jama.2019.14231::"))&lt;&gt;"2019::jama.2019.14231::"),"CHECK KEY",IF(NOT(OR(EXACT(F11,"no"),EXACT(F11,"primary_done"),EXACT(F11,""))),"CHECK COMPLETE FLAG",IF(OR(D11="",E11=""),"MISSING D / E",IF(OR(NOT(OR(EXACT(D11,"retain"),EXACT(D11,"exclude"),EXACT(D11,"discuss"))),NOT(OR(EXACT(E11,"statistical_results"),EXACT(E11,"report_internal_inconsistency"),EXACT(E11,"plan_material"),EXACT(E11,"protocol_report")))),"INVALID D / E",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AND(AND(D11="retain",E11="statistical_results"),OR(H11="",EXACT(H11,"not_applicable"))),AND(AND(D11="retain",E11="statistical_results"),OR(I11="",EXACT(I11,"not_applicable"))),AND(AND(D11="retain",OR(E11="report_internal_inconsistency",E11="plan_material")),OR(K11="",EXACT(K11,"not_applicable")))),"MISSING REQUIRED JUDGMENT",IF(OR(AND(AND(D11="retain",E11="statistical_results"),H11&lt;&gt;"",NOT(OR(EXACT(H11,"confirmed_issue"),EXACT(H11,"probable_issue"),EXACT(H11,"not_issue"),EXACT(H11,"indeterminate")))),AND(AND(D11="retain",E11="statistical_results"),I11&lt;&gt;"",NOT(OR(EXACT(I11,"substantive"),EXACT(I11,"minor_presentation"),EXACT(I11,"indeterminate")))),AND(AND(D11="retain",E11="statistical_results"),J11&lt;&gt;"",NOT(OR(EXACT(J11,"direct"),EXACT(J11,"possible"),EXACT(J11,"unlikely"),EXACT(J11,"unknown")))),AND(AND(D11="retain",OR(E11="report_internal_inconsistency",E11="plan_material")),K11&lt;&gt;"",NOT(OR(EXACT(K11,"substantive_inconsistency"),EXACT(K11,"minor_presentation"),EXACT(K11,"non_inconsistency"),EXACT(K11,"indeterminate")))),AND(AND(D11="retain",E11="protocol_report"),L11&lt;&gt;"",NOT(OR(EXACT(L11,"substantive_difference"),EXACT(L11,"minor_presentation"),EXACT(L11,"version_timing"),EXACT(L11,"non_inconsistency"),EXACT(L11,"indeterminate"))))),"INVALID ACTIVE JUDGMENT",IF(F11&lt;&gt;"primary_done","PRIMARY DRAFT","PRIMARY READY")))))))))),"CHECK INPUT ERROR")</f>
        <v/>
      </c>
      <c r="H11" s="23" t="inlineStr">
        <is>
          <t>confirmed_issue</t>
        </is>
      </c>
      <c r="I11" s="23" t="inlineStr">
        <is>
          <t>minor_presentation</t>
        </is>
      </c>
      <c r="J11" s="24" t="inlineStr">
        <is>
          <t>unlikely</t>
        </is>
      </c>
      <c r="K11" s="23">
        <f>IF(AND(OR(D11="retain",D11=""),OR(E11="report_internal_inconsistency",E11="plan_material")),"","not_applicable")</f>
        <v/>
      </c>
      <c r="L11" s="24">
        <f>IF(AND(OR(D11="retain",D11=""),E11="protocol_report"),"","not_applicable")</f>
        <v/>
      </c>
      <c r="M11" s="11" t="n"/>
      <c r="N11" s="11" t="n"/>
      <c r="O11" s="11" t="n"/>
      <c r="P11" s="11" t="n"/>
      <c r="Q11" s="11" t="n"/>
      <c r="R11" s="24" t="inlineStr">
        <is>
          <t>Confirmed. eTable 3 surgery group (N=2287): biguanides 1530 (67.9%); 1530/2287 = 66.9%, and 67.9% would need about 1553. The other 11 surgery-group and 12 control-group percentages in the table reproduce. Probably a one-digit typo in a supplementary baseline table; the surgery-control comparison (66.9 vs 66.5) is unaffected in substance.</t>
        </is>
      </c>
    </row>
    <row r="12" ht="92" customFormat="1" customHeight="1" s="14">
      <c r="A12" s="12" t="inlineStr">
        <is>
          <t>2019::jama.2019.14231::C011</t>
        </is>
      </c>
      <c r="B12" s="12" t="inlineStr">
        <is>
          <t>Standardized-difference footnote says absolute value while columns contain negative values</t>
        </is>
      </c>
      <c r="C12" s="12" t="inlineStr">
        <is>
          <t>Main article — PDF p. 5, PDF p. 6.</t>
        </is>
      </c>
      <c r="D12" s="23" t="inlineStr">
        <is>
          <t>retain</t>
        </is>
      </c>
      <c r="E12" s="23" t="inlineStr">
        <is>
          <t>report_internal_inconsistency</t>
        </is>
      </c>
      <c r="F12" s="23" t="inlineStr">
        <is>
          <t>primary_done</t>
        </is>
      </c>
      <c r="G12" s="12">
        <f>IFERROR(IF(OR(NOT(EXACT(Setup!$B$4,"R_B")),Setup!$B$5&lt;&gt;2019),"CHECK SETUP",IF(OR(LEN(TRIM(CLEAN(SUBSTITUTE(Setup!$B$2,CHAR(160)," "))))=0,Setup!$B$2&lt;&gt;TRIM(CLEAN(SUBSTITUTE(Setup!$B$2,CHAR(160)," ")))),"CHECK REVIEWER ID",IF(OR(A12="",COUNTIF($A$2:$A$12,A12)&lt;&gt;1,LEFT(A12,LEN("2019::jama.2019.14231::"))&lt;&gt;"2019::jama.2019.14231::"),"CHECK KEY",IF(NOT(OR(EXACT(F12,"no"),EXACT(F12,"primary_done"),EXACT(F12,""))),"CHECK COMPLETE FLAG",IF(OR(D12="",E12=""),"MISSING D / E",IF(OR(NOT(OR(EXACT(D12,"retain"),EXACT(D12,"exclude"),EXACT(D12,"discuss"))),NOT(OR(EXACT(E12,"statistical_results"),EXACT(E12,"report_internal_inconsistency"),EXACT(E12,"plan_material"),EXACT(E12,"protocol_report")))),"INVALID D / E",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AND(AND(D12="retain",E12="statistical_results"),OR(H12="",EXACT(H12,"not_applicable"))),AND(AND(D12="retain",E12="statistical_results"),OR(I12="",EXACT(I12,"not_applicable"))),AND(AND(D12="retain",OR(E12="report_internal_inconsistency",E12="plan_material")),OR(K12="",EXACT(K12,"not_applicable")))),"MISSING REQUIRED JUDGMENT",IF(OR(AND(AND(D12="retain",E12="statistical_results"),H12&lt;&gt;"",NOT(OR(EXACT(H12,"confirmed_issue"),EXACT(H12,"probable_issue"),EXACT(H12,"not_issue"),EXACT(H12,"indeterminate")))),AND(AND(D12="retain",E12="statistical_results"),I12&lt;&gt;"",NOT(OR(EXACT(I12,"substantive"),EXACT(I12,"minor_presentation"),EXACT(I12,"indeterminate")))),AND(AND(D12="retain",E12="statistical_results"),J12&lt;&gt;"",NOT(OR(EXACT(J12,"direct"),EXACT(J12,"possible"),EXACT(J12,"unlikely"),EXACT(J12,"unknown")))),AND(AND(D12="retain",OR(E12="report_internal_inconsistency",E12="plan_material")),K12&lt;&gt;"",NOT(OR(EXACT(K12,"substantive_inconsistency"),EXACT(K12,"minor_presentation"),EXACT(K12,"non_inconsistency"),EXACT(K12,"indeterminate")))),AND(AND(D12="retain",E12="protocol_report"),L12&lt;&gt;"",NOT(OR(EXACT(L12,"substantive_difference"),EXACT(L12,"minor_presentation"),EXACT(L12,"version_timing"),EXACT(L12,"non_inconsistency"),EXACT(L12,"indeterminate"))))),"INVALID ACTIVE JUDGMENT",IF(F12&lt;&gt;"primary_done","PRIMARY DRAFT","PRIMARY READY")))))))))),"CHECK INPUT ERROR")</f>
        <v/>
      </c>
      <c r="H12" s="23">
        <f>IF(AND(OR(D12="retain",D12=""),E12="statistical_results"),"","not_applicable")</f>
        <v/>
      </c>
      <c r="I12" s="23">
        <f>IF(AND(OR(D12="retain",D12=""),E12="statistical_results"),"","not_applicable")</f>
        <v/>
      </c>
      <c r="J12" s="24">
        <f>IF(AND(OR(D12="retain",D12=""),E12="statistical_results"),"","not_applicable")</f>
        <v/>
      </c>
      <c r="K12" s="23" t="inlineStr">
        <is>
          <t>minor_presentation</t>
        </is>
      </c>
      <c r="L12" s="24">
        <f>IF(AND(OR(D12="retain",D12=""),E12="protocol_report"),"","not_applicable")</f>
        <v/>
      </c>
      <c r="M12" s="11" t="n"/>
      <c r="N12" s="11" t="n"/>
      <c r="O12" s="11" t="n"/>
      <c r="P12" s="11" t="n"/>
      <c r="Q12" s="11" t="n"/>
      <c r="R12" s="24" t="inlineStr">
        <is>
          <t>Confirmed. Table 1 footnote b defines standardized differences as 'the absolute value' of (surgery - control)/pooled SD, yet the columns are signed (e.g., age -75.3/-19.9, men -28.0/-2.9). The signs follow the stated surgery-minus-control direction (women +28.0, men -28.0), so the values are interpretable; the word 'absolute' is wrong.</t>
        </is>
      </c>
    </row>
  </sheetData>
  <autoFilter ref="A1:R12"/>
  <conditionalFormatting sqref="H2:H12">
    <cfRule type="expression" priority="8" dxfId="70">
      <formula>NOT(AND(OR($D2="retain",$D2=""),$E2="statistical_results"))</formula>
    </cfRule>
  </conditionalFormatting>
  <conditionalFormatting sqref="I2:I12">
    <cfRule type="expression" priority="9" dxfId="70">
      <formula>NOT(AND(OR($D2="retain",$D2=""),$E2="statistical_results"))</formula>
    </cfRule>
  </conditionalFormatting>
  <conditionalFormatting sqref="J2:J12">
    <cfRule type="expression" priority="10" dxfId="70">
      <formula>NOT(AND(OR($D2="retain",$D2=""),$E2="statistical_results"))</formula>
    </cfRule>
  </conditionalFormatting>
  <conditionalFormatting sqref="K2:K12">
    <cfRule type="expression" priority="11" dxfId="70">
      <formula>NOT(AND(OR($D2="retain",$D2=""),OR($E2="report_internal_inconsistency",$E2="plan_material")))</formula>
    </cfRule>
  </conditionalFormatting>
  <conditionalFormatting sqref="L2:L12">
    <cfRule type="expression" priority="12" dxfId="70">
      <formula>NOT(AND(OR($D2="retain",$D2=""),$E2="protocol_report"))</formula>
    </cfRule>
  </conditionalFormatting>
  <conditionalFormatting sqref="G2:G12">
    <cfRule type="expression" priority="13" dxfId="71">
      <formula>$G2&lt;&gt;"PRIMARY READY"</formula>
    </cfRule>
    <cfRule type="expression" priority="14" dxfId="72">
      <formula>$G2="PRIMARY READY"</formula>
    </cfRule>
  </conditionalFormatting>
  <conditionalFormatting sqref="D2:D12">
    <cfRule type="expression" priority="15" dxfId="73">
      <formula>$D2="discuss"</formula>
    </cfRule>
  </conditionalFormatting>
  <dataValidations count="8">
    <dataValidation sqref="D2:D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12"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R10"/>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106" customFormat="1" customHeight="1" s="14">
      <c r="A2" s="12" t="inlineStr">
        <is>
          <t>2019::jama.2019.14630::C001</t>
        </is>
      </c>
      <c r="B2" s="12" t="inlineStr">
        <is>
          <t>eTable 2 assigns the N=3,311 column a second intervention-group label</t>
        </is>
      </c>
      <c r="C2" s="12" t="inlineStr">
        <is>
          <t>Supplement 3 eTable 2 opening header — PDF p. 3; Supplement 3 eTable 2 continuation — PDF p. 5; main article Table 2 — PDF p. 5.</t>
        </is>
      </c>
      <c r="D2" s="23" t="inlineStr">
        <is>
          <t>retain</t>
        </is>
      </c>
      <c r="E2" s="23" t="inlineStr">
        <is>
          <t>report_internal_inconsistency</t>
        </is>
      </c>
      <c r="F2" s="23" t="inlineStr">
        <is>
          <t>primary_done</t>
        </is>
      </c>
      <c r="G2" s="12">
        <f>IFERROR(IF(OR(NOT(EXACT(Setup!$B$4,"R_B")),Setup!$B$5&lt;&gt;2019),"CHECK SETUP",IF(OR(LEN(TRIM(CLEAN(SUBSTITUTE(Setup!$B$2,CHAR(160)," "))))=0,Setup!$B$2&lt;&gt;TRIM(CLEAN(SUBSTITUTE(Setup!$B$2,CHAR(160)," ")))),"CHECK REVIEWER ID",IF(OR(A2="",COUNTIF($A$2:$A$10,A2)&lt;&gt;1,LEFT(A2,LEN("2019::jama.2019.14630::"))&lt;&gt;"2019::jama.2019.14630::"),"CHECK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t="inlineStr">
        <is>
          <t>minor_presentation</t>
        </is>
      </c>
      <c r="L2" s="24">
        <f>IF(AND(OR(D2="retain",D2=""),E2="protocol_report"),"","not_applicable")</f>
        <v/>
      </c>
      <c r="M2" s="11" t="n"/>
      <c r="N2" s="11" t="n"/>
      <c r="O2" s="11" t="n"/>
      <c r="P2" s="11" t="n"/>
      <c r="Q2" s="11" t="n"/>
      <c r="R2" s="24" t="inlineStr">
        <is>
          <t>Confirmed. The opening page of Supplement 3 eTable 2 heads both columns 'Intervention group' (N=3,272 and N=3,311); the continuation pages and main Table 2 label N=3,311 as Control. The N values and column order identify the arms, so the meaning is recoverable, but the first page alone mislabels the control column.</t>
        </is>
      </c>
    </row>
    <row r="3" ht="92" customFormat="1" customHeight="1" s="14">
      <c r="A3" s="11" t="inlineStr">
        <is>
          <t>2019::jama.2019.14630::C002</t>
        </is>
      </c>
      <c r="B3" s="11" t="inlineStr">
        <is>
          <t>eTable 2 red-wine median lies above its printed upper quartile</t>
        </is>
      </c>
      <c r="C3" s="11" t="inlineStr">
        <is>
          <t>Supplement 3 eTable 2 red-wine row and footnote — PDF p. 7.</t>
        </is>
      </c>
      <c r="D3" s="23" t="inlineStr">
        <is>
          <t>retain</t>
        </is>
      </c>
      <c r="E3" s="23" t="inlineStr">
        <is>
          <t>statistical_results</t>
        </is>
      </c>
      <c r="F3" s="23" t="inlineStr">
        <is>
          <t>primary_done</t>
        </is>
      </c>
      <c r="G3" s="11">
        <f>IFERROR(IF(OR(NOT(EXACT(Setup!$B$4,"R_B")),Setup!$B$5&lt;&gt;2019),"CHECK SETUP",IF(OR(LEN(TRIM(CLEAN(SUBSTITUTE(Setup!$B$2,CHAR(160)," "))))=0,Setup!$B$2&lt;&gt;TRIM(CLEAN(SUBSTITUTE(Setup!$B$2,CHAR(160)," ")))),"CHECK REVIEWER ID",IF(OR(A3="",COUNTIF($A$2:$A$10,A3)&lt;&gt;1,LEFT(A3,LEN("2019::jama.2019.14630::"))&lt;&gt;"2019::jama.2019.14630::"),"CHECK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t="inlineStr">
        <is>
          <t>confirmed_issue</t>
        </is>
      </c>
      <c r="I3" s="23" t="inlineStr">
        <is>
          <t>minor_presentation</t>
        </is>
      </c>
      <c r="J3" s="24" t="inlineStr">
        <is>
          <t>possible</t>
        </is>
      </c>
      <c r="K3" s="23">
        <f>IF(AND(OR(D3="retain",D3=""),OR(E3="report_internal_inconsistency",E3="plan_material")),"","not_applicable")</f>
        <v/>
      </c>
      <c r="L3" s="24">
        <f>IF(AND(OR(D3="retain",D3=""),E3="protocol_report"),"","not_applicable")</f>
        <v/>
      </c>
      <c r="M3" s="11" t="n"/>
      <c r="N3" s="11" t="n"/>
      <c r="O3" s="11" t="n"/>
      <c r="P3" s="11" t="n"/>
      <c r="Q3" s="11" t="n"/>
      <c r="R3" s="24" t="inlineStr">
        <is>
          <t>Confirmed impossible value: eTable 2 (MI, all randomized) intervention red wine baseline 33 (0, 29) g/week under a 'median (IQR)' footnote; a median cannot exceed Q3. The same baseline appears as 0 (0, 29) in eTable 7 and 4 (0, 29) in completers' eTable 4. Baseline descriptive in a supplement; trial outcomes unaffected, but the extracted value would be wrong.</t>
        </is>
      </c>
    </row>
    <row r="4" ht="92" customFormat="1" customHeight="1" s="14">
      <c r="A4" s="12" t="inlineStr">
        <is>
          <t>2019::jama.2019.14630::C003</t>
        </is>
      </c>
      <c r="B4" s="12" t="inlineStr">
        <is>
          <t>all-randomized red-wine baseline summaries differ between eTables 2 and 7</t>
        </is>
      </c>
      <c r="C4" s="12" t="inlineStr">
        <is>
          <t>Supplement 3 eTable 2 — PDF p. 7; Supplement 3 eTable 7 — PDF p. 19.</t>
        </is>
      </c>
      <c r="D4" s="23" t="inlineStr">
        <is>
          <t>retain</t>
        </is>
      </c>
      <c r="E4" s="23" t="inlineStr">
        <is>
          <t>report_internal_inconsistency</t>
        </is>
      </c>
      <c r="F4" s="23" t="inlineStr">
        <is>
          <t>primary_done</t>
        </is>
      </c>
      <c r="G4" s="12">
        <f>IFERROR(IF(OR(NOT(EXACT(Setup!$B$4,"R_B")),Setup!$B$5&lt;&gt;2019),"CHECK SETUP",IF(OR(LEN(TRIM(CLEAN(SUBSTITUTE(Setup!$B$2,CHAR(160)," "))))=0,Setup!$B$2&lt;&gt;TRIM(CLEAN(SUBSTITUTE(Setup!$B$2,CHAR(160)," ")))),"CHECK REVIEWER ID",IF(OR(A4="",COUNTIF($A$2:$A$10,A4)&lt;&gt;1,LEFT(A4,LEN("2019::jama.2019.14630::"))&lt;&gt;"2019::jama.2019.14630::"),"CHECK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t="inlineStr">
        <is>
          <t>minor_presentation</t>
        </is>
      </c>
      <c r="L4" s="24">
        <f>IF(AND(OR(D4="retain",D4=""),E4="protocol_report"),"","not_applicable")</f>
        <v/>
      </c>
      <c r="M4" s="11" t="n"/>
      <c r="N4" s="11" t="n"/>
      <c r="O4" s="11" t="n"/>
      <c r="P4" s="11" t="n"/>
      <c r="Q4" s="11" t="n"/>
      <c r="R4" s="24" t="inlineStr">
        <is>
          <t>Confirmed. Baseline red wine (all randomized, same Ns 3,272/3,311, median (IQR)): eTable 2 gives 33 (0, 29) / 4 (0, 29), eTable 7 gives 0 (0, 29) / 0 (0, 29). The main Methods state that baseline values were not imputed, so the two all-randomized baseline summaries should be identical. Overlaps C002; low materiality (baseline descriptor only).</t>
        </is>
      </c>
    </row>
    <row r="5" ht="92" customFormat="1" customHeight="1" s="14">
      <c r="A5" s="11" t="inlineStr">
        <is>
          <t>2019::jama.2019.14630::C004</t>
        </is>
      </c>
      <c r="B5" s="11" t="inlineStr">
        <is>
          <t>PDQS baseline mean differs between the principal and baseline-value-carried-forward tables</t>
        </is>
      </c>
      <c r="C5" s="11" t="inlineStr">
        <is>
          <t>main article Table 2 — PDF p. 5; Supplement 3 eTable 6 — PDF p. 16.</t>
        </is>
      </c>
      <c r="D5" s="23" t="inlineStr">
        <is>
          <t>retain</t>
        </is>
      </c>
      <c r="E5" s="23" t="inlineStr">
        <is>
          <t>report_internal_inconsistency</t>
        </is>
      </c>
      <c r="F5" s="23" t="inlineStr">
        <is>
          <t>primary_done</t>
        </is>
      </c>
      <c r="G5" s="11">
        <f>IFERROR(IF(OR(NOT(EXACT(Setup!$B$4,"R_B")),Setup!$B$5&lt;&gt;2019),"CHECK SETUP",IF(OR(LEN(TRIM(CLEAN(SUBSTITUTE(Setup!$B$2,CHAR(160)," "))))=0,Setup!$B$2&lt;&gt;TRIM(CLEAN(SUBSTITUTE(Setup!$B$2,CHAR(160)," ")))),"CHECK REVIEWER ID",IF(OR(A5="",COUNTIF($A$2:$A$10,A5)&lt;&gt;1,LEFT(A5,LEN("2019::jama.2019.14630::"))&lt;&gt;"2019::jama.2019.14630::"),"CHECK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t="inlineStr">
        <is>
          <t>minor_presentation</t>
        </is>
      </c>
      <c r="L5" s="24">
        <f>IF(AND(OR(D5="retain",D5=""),E5="protocol_report"),"","not_applicable")</f>
        <v/>
      </c>
      <c r="M5" s="11" t="n"/>
      <c r="N5" s="11" t="n"/>
      <c r="O5" s="11" t="n"/>
      <c r="P5" s="11" t="n"/>
      <c r="Q5" s="11" t="n"/>
      <c r="R5" s="24" t="inlineStr">
        <is>
          <t>Confirmed but trivial. Baseline PDQS mean (SD) is 21.1 (3.7) in both arms in main Table 2 and the Results text, and 21.0 (3.7) in both arms in eTable 6 (same all-randomized Ns) and eTable 3. Baseline was not imputed, so the values should match; an identical 0.1 shift in both arms points to a rounding or truncation difference around 21.05.</t>
        </is>
      </c>
    </row>
    <row r="6" ht="106" customFormat="1" customHeight="1" s="14">
      <c r="A6" s="12" t="inlineStr">
        <is>
          <t>2019::jama.2019.14630::C005</t>
        </is>
      </c>
      <c r="B6" s="12" t="inlineStr">
        <is>
          <t>intervention baseline energy SD differs between Table 3 and eTable 8</t>
        </is>
      </c>
      <c r="C6" s="12" t="inlineStr">
        <is>
          <t>main article Statistical Analysis — PDF p. 4; main article Table 3 — PDF p. 7; Supplement 3 eTable 8 — PDF p. 21.</t>
        </is>
      </c>
      <c r="D6" s="23" t="inlineStr">
        <is>
          <t>retain</t>
        </is>
      </c>
      <c r="E6" s="23" t="inlineStr">
        <is>
          <t>report_internal_inconsistency</t>
        </is>
      </c>
      <c r="F6" s="23" t="inlineStr">
        <is>
          <t>primary_done</t>
        </is>
      </c>
      <c r="G6" s="12">
        <f>IFERROR(IF(OR(NOT(EXACT(Setup!$B$4,"R_B")),Setup!$B$5&lt;&gt;2019),"CHECK SETUP",IF(OR(LEN(TRIM(CLEAN(SUBSTITUTE(Setup!$B$2,CHAR(160)," "))))=0,Setup!$B$2&lt;&gt;TRIM(CLEAN(SUBSTITUTE(Setup!$B$2,CHAR(160)," ")))),"CHECK REVIEWER ID",IF(OR(A6="",COUNTIF($A$2:$A$10,A6)&lt;&gt;1,LEFT(A6,LEN("2019::jama.2019.14630::"))&lt;&gt;"2019::jama.2019.14630::"),"CHECK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t="inlineStr">
        <is>
          <t>minor_presentation</t>
        </is>
      </c>
      <c r="L6" s="24">
        <f>IF(AND(OR(D6="retain",D6=""),E6="protocol_report"),"","not_applicable")</f>
        <v/>
      </c>
      <c r="M6" s="11" t="n"/>
      <c r="N6" s="11" t="n"/>
      <c r="O6" s="11" t="n"/>
      <c r="P6" s="11" t="n"/>
      <c r="Q6" s="11" t="n"/>
      <c r="R6" s="24" t="inlineStr">
        <is>
          <t>Confirmed. Intervention baseline energy is 2355 (SD 555) kcal/d in main Table 3 and the Results text, but 2,355 (544) in eTable 8 (all randomized) and eTable 5 (completers); the control is 2369 (555) everywhere. Main's intervention SD likely duplicates the control SD. A 2% SD difference; no interpretive effect.</t>
        </is>
      </c>
    </row>
    <row r="7" ht="92" customFormat="1" customHeight="1" s="14">
      <c r="A7" s="11" t="inlineStr">
        <is>
          <t>2019::jama.2019.14630::C006</t>
        </is>
      </c>
      <c r="B7" s="11" t="inlineStr">
        <is>
          <t>baseline body-weight summaries differ between Table 1 and eTable 9</t>
        </is>
      </c>
      <c r="C7" s="11" t="inlineStr">
        <is>
          <t>main article Table 1 — PDF p. 4; Supplement 3 eTable 9 — PDF p. 23.</t>
        </is>
      </c>
      <c r="D7" s="23" t="inlineStr">
        <is>
          <t>retain</t>
        </is>
      </c>
      <c r="E7" s="23" t="inlineStr">
        <is>
          <t>report_internal_inconsistency</t>
        </is>
      </c>
      <c r="F7" s="23" t="inlineStr">
        <is>
          <t>primary_done</t>
        </is>
      </c>
      <c r="G7" s="11">
        <f>IFERROR(IF(OR(NOT(EXACT(Setup!$B$4,"R_B")),Setup!$B$5&lt;&gt;2019),"CHECK SETUP",IF(OR(LEN(TRIM(CLEAN(SUBSTITUTE(Setup!$B$2,CHAR(160)," "))))=0,Setup!$B$2&lt;&gt;TRIM(CLEAN(SUBSTITUTE(Setup!$B$2,CHAR(160)," ")))),"CHECK REVIEWER ID",IF(OR(A7="",COUNTIF($A$2:$A$10,A7)&lt;&gt;1,LEFT(A7,LEN("2019::jama.2019.14630::"))&lt;&gt;"2019::jama.2019.14630::"),"CHECK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f>IF(AND(OR(D7="retain",D7=""),E7="statistical_results"),"","not_applicable")</f>
        <v/>
      </c>
      <c r="I7" s="23">
        <f>IF(AND(OR(D7="retain",D7=""),E7="statistical_results"),"","not_applicable")</f>
        <v/>
      </c>
      <c r="J7" s="24">
        <f>IF(AND(OR(D7="retain",D7=""),E7="statistical_results"),"","not_applicable")</f>
        <v/>
      </c>
      <c r="K7" s="23" t="inlineStr">
        <is>
          <t>minor_presentation</t>
        </is>
      </c>
      <c r="L7" s="24">
        <f>IF(AND(OR(D7="retain",D7=""),E7="protocol_report"),"","not_applicable")</f>
        <v/>
      </c>
      <c r="M7" s="11" t="n"/>
      <c r="N7" s="11" t="n"/>
      <c r="O7" s="11" t="n"/>
      <c r="P7" s="11" t="n"/>
      <c r="Q7" s="11" t="n"/>
      <c r="R7" s="24" t="inlineStr">
        <is>
          <t>Confirmed. Baseline weight is 86.7 (13.0) / 86.4 (13.0) kg in Table 1 but 86.5 (12.9) / 86.3 (13.0) in eTable 9's all-randomized MI panel with the same Ns. eTable 9 is labelled multiple imputation and it is not stated whether baseline risk factors were imputed, which could explain the difference. Differences of 0.1-0.2 kg do not affect interpretation.</t>
        </is>
      </c>
    </row>
    <row r="8" ht="92" customFormat="1" customHeight="1" s="14">
      <c r="A8" s="12" t="inlineStr">
        <is>
          <t>2019::jama.2019.14630::C007</t>
        </is>
      </c>
      <c r="B8" s="12" t="inlineStr">
        <is>
          <t>baseline BMI means differ between Table 1 and eTable 9</t>
        </is>
      </c>
      <c r="C8" s="12" t="inlineStr">
        <is>
          <t>main article Table 1 — PDF p. 4; Supplement 3 eTable 9 — PDF p. 23.</t>
        </is>
      </c>
      <c r="D8" s="23" t="inlineStr">
        <is>
          <t>retain</t>
        </is>
      </c>
      <c r="E8" s="23" t="inlineStr">
        <is>
          <t>report_internal_inconsistency</t>
        </is>
      </c>
      <c r="F8" s="23" t="inlineStr">
        <is>
          <t>primary_done</t>
        </is>
      </c>
      <c r="G8" s="12">
        <f>IFERROR(IF(OR(NOT(EXACT(Setup!$B$4,"R_B")),Setup!$B$5&lt;&gt;2019),"CHECK SETUP",IF(OR(LEN(TRIM(CLEAN(SUBSTITUTE(Setup!$B$2,CHAR(160)," "))))=0,Setup!$B$2&lt;&gt;TRIM(CLEAN(SUBSTITUTE(Setup!$B$2,CHAR(160)," ")))),"CHECK REVIEWER ID",IF(OR(A8="",COUNTIF($A$2:$A$10,A8)&lt;&gt;1,LEFT(A8,LEN("2019::jama.2019.14630::"))&lt;&gt;"2019::jama.2019.14630::"),"CHECK KEY",IF(NOT(OR(EXACT(F8,"no"),EXACT(F8,"primary_done"),EXACT(F8,""))),"CHECK COMPLETE FLAG",IF(OR(D8="",E8=""),"MISSING D / E",IF(OR(NOT(OR(EXACT(D8,"retain"),EXACT(D8,"exclude"),EXACT(D8,"discuss"))),NOT(OR(EXACT(E8,"statistical_results"),EXACT(E8,"report_internal_inconsistency"),EXACT(E8,"plan_material"),EXACT(E8,"protocol_report")))),"INVALID D / E",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AND(AND(D8="retain",E8="statistical_results"),OR(H8="",EXACT(H8,"not_applicable"))),AND(AND(D8="retain",E8="statistical_results"),OR(I8="",EXACT(I8,"not_applicable"))),AND(AND(D8="retain",OR(E8="report_internal_inconsistency",E8="plan_material")),OR(K8="",EXACT(K8,"not_applicable")))),"MISSING REQUIRED JUDGMENT",IF(OR(AND(AND(D8="retain",E8="statistical_results"),H8&lt;&gt;"",NOT(OR(EXACT(H8,"confirmed_issue"),EXACT(H8,"probable_issue"),EXACT(H8,"not_issue"),EXACT(H8,"indeterminate")))),AND(AND(D8="retain",E8="statistical_results"),I8&lt;&gt;"",NOT(OR(EXACT(I8,"substantive"),EXACT(I8,"minor_presentation"),EXACT(I8,"indeterminate")))),AND(AND(D8="retain",E8="statistical_results"),J8&lt;&gt;"",NOT(OR(EXACT(J8,"direct"),EXACT(J8,"possible"),EXACT(J8,"unlikely"),EXACT(J8,"unknown")))),AND(AND(D8="retain",OR(E8="report_internal_inconsistency",E8="plan_material")),K8&lt;&gt;"",NOT(OR(EXACT(K8,"substantive_inconsistency"),EXACT(K8,"minor_presentation"),EXACT(K8,"non_inconsistency"),EXACT(K8,"indeterminate")))),AND(AND(D8="retain",E8="protocol_report"),L8&lt;&gt;"",NOT(OR(EXACT(L8,"substantive_difference"),EXACT(L8,"minor_presentation"),EXACT(L8,"version_timing"),EXACT(L8,"non_inconsistency"),EXACT(L8,"indeterminate"))))),"INVALID ACTIVE JUDGMENT",IF(F8&lt;&gt;"primary_done","PRIMARY DRAFT","PRIMARY READY")))))))))),"CHECK INPUT ERROR")</f>
        <v/>
      </c>
      <c r="H8" s="23">
        <f>IF(AND(OR(D8="retain",D8=""),E8="statistical_results"),"","not_applicable")</f>
        <v/>
      </c>
      <c r="I8" s="23">
        <f>IF(AND(OR(D8="retain",D8=""),E8="statistical_results"),"","not_applicable")</f>
        <v/>
      </c>
      <c r="J8" s="24">
        <f>IF(AND(OR(D8="retain",D8=""),E8="statistical_results"),"","not_applicable")</f>
        <v/>
      </c>
      <c r="K8" s="23" t="inlineStr">
        <is>
          <t>minor_presentation</t>
        </is>
      </c>
      <c r="L8" s="24">
        <f>IF(AND(OR(D8="retain",D8=""),E8="protocol_report"),"","not_applicable")</f>
        <v/>
      </c>
      <c r="M8" s="11" t="n"/>
      <c r="N8" s="11" t="n"/>
      <c r="O8" s="11" t="n"/>
      <c r="P8" s="11" t="n"/>
      <c r="Q8" s="11" t="n"/>
      <c r="R8" s="24" t="inlineStr">
        <is>
          <t>Confirmed. Baseline BMI is 32.5 (3.4/3.5) in Table 1 and 32.6 (3.4/3.5) in eTable 9's all-randomized MI panel (same Ns); eTable 9's completers panel shows 32.5. Weight moves the other way (C006), so a single rounding convention does not explain both. Undocumented baseline imputation may contribute. A 0.1 kg/m2 difference is immaterial.</t>
        </is>
      </c>
    </row>
    <row r="9" ht="92" customFormat="1" customHeight="1" s="14">
      <c r="A9" s="11" t="inlineStr">
        <is>
          <t>2019::jama.2019.14630::C008</t>
        </is>
      </c>
      <c r="B9" s="11" t="inlineStr">
        <is>
          <t>Figure 4 threshold labels do not preserve the Methods boundary operators</t>
        </is>
      </c>
      <c r="C9" s="11" t="inlineStr">
        <is>
          <t>main article Outcomes — PDF p. 4; main article Figure 4 — PDF p. 10.</t>
        </is>
      </c>
      <c r="D9" s="23" t="inlineStr">
        <is>
          <t>retain</t>
        </is>
      </c>
      <c r="E9" s="23" t="inlineStr">
        <is>
          <t>report_internal_inconsistency</t>
        </is>
      </c>
      <c r="F9" s="23" t="inlineStr">
        <is>
          <t>primary_done</t>
        </is>
      </c>
      <c r="G9" s="11">
        <f>IFERROR(IF(OR(NOT(EXACT(Setup!$B$4,"R_B")),Setup!$B$5&lt;&gt;2019),"CHECK SETUP",IF(OR(LEN(TRIM(CLEAN(SUBSTITUTE(Setup!$B$2,CHAR(160)," "))))=0,Setup!$B$2&lt;&gt;TRIM(CLEAN(SUBSTITUTE(Setup!$B$2,CHAR(160)," ")))),"CHECK REVIEWER ID",IF(OR(A9="",COUNTIF($A$2:$A$10,A9)&lt;&gt;1,LEFT(A9,LEN("2019::jama.2019.14630::"))&lt;&gt;"2019::jama.2019.14630::"),"CHECK KEY",IF(NOT(OR(EXACT(F9,"no"),EXACT(F9,"primary_done"),EXACT(F9,""))),"CHECK COMPLETE FLAG",IF(OR(D9="",E9=""),"MISSING D / E",IF(OR(NOT(OR(EXACT(D9,"retain"),EXACT(D9,"exclude"),EXACT(D9,"discuss"))),NOT(OR(EXACT(E9,"statistical_results"),EXACT(E9,"report_internal_inconsistency"),EXACT(E9,"plan_material"),EXACT(E9,"protocol_report")))),"INVALID D / E",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AND(AND(D9="retain",E9="statistical_results"),OR(H9="",EXACT(H9,"not_applicable"))),AND(AND(D9="retain",E9="statistical_results"),OR(I9="",EXACT(I9,"not_applicable"))),AND(AND(D9="retain",OR(E9="report_internal_inconsistency",E9="plan_material")),OR(K9="",EXACT(K9,"not_applicable")))),"MISSING REQUIRED JUDGMENT",IF(OR(AND(AND(D9="retain",E9="statistical_results"),H9&lt;&gt;"",NOT(OR(EXACT(H9,"confirmed_issue"),EXACT(H9,"probable_issue"),EXACT(H9,"not_issue"),EXACT(H9,"indeterminate")))),AND(AND(D9="retain",E9="statistical_results"),I9&lt;&gt;"",NOT(OR(EXACT(I9,"substantive"),EXACT(I9,"minor_presentation"),EXACT(I9,"indeterminate")))),AND(AND(D9="retain",E9="statistical_results"),J9&lt;&gt;"",NOT(OR(EXACT(J9,"direct"),EXACT(J9,"possible"),EXACT(J9,"unlikely"),EXACT(J9,"unknown")))),AND(AND(D9="retain",OR(E9="report_internal_inconsistency",E9="plan_material")),K9&lt;&gt;"",NOT(OR(EXACT(K9,"substantive_inconsistency"),EXACT(K9,"minor_presentation"),EXACT(K9,"non_inconsistency"),EXACT(K9,"indeterminate")))),AND(AND(D9="retain",E9="protocol_report"),L9&lt;&gt;"",NOT(OR(EXACT(L9,"substantive_difference"),EXACT(L9,"minor_presentation"),EXACT(L9,"version_timing"),EXACT(L9,"non_inconsistency"),EXACT(L9,"indeterminate"))))),"INVALID ACTIVE JUDGMENT",IF(F9&lt;&gt;"primary_done","PRIMARY DRAFT","PRIMARY READY")))))))))),"CHECK INPUT ERROR")</f>
        <v/>
      </c>
      <c r="H9" s="23">
        <f>IF(AND(OR(D9="retain",D9=""),E9="statistical_results"),"","not_applicable")</f>
        <v/>
      </c>
      <c r="I9" s="23">
        <f>IF(AND(OR(D9="retain",D9=""),E9="statistical_results"),"","not_applicable")</f>
        <v/>
      </c>
      <c r="J9" s="24">
        <f>IF(AND(OR(D9="retain",D9=""),E9="statistical_results"),"","not_applicable")</f>
        <v/>
      </c>
      <c r="K9" s="23" t="inlineStr">
        <is>
          <t>minor_presentation</t>
        </is>
      </c>
      <c r="L9" s="24">
        <f>IF(AND(OR(D9="retain",D9=""),E9="protocol_report"),"","not_applicable")</f>
        <v/>
      </c>
      <c r="M9" s="11" t="n"/>
      <c r="N9" s="11" t="n"/>
      <c r="O9" s="11" t="n"/>
      <c r="P9" s="11" t="n"/>
      <c r="Q9" s="11" t="n"/>
      <c r="R9" s="24" t="inlineStr">
        <is>
          <t>Confirmed. Methods define clinically meaningful change as reductions of 'at least' 5% (weight, BMI, waist, lipids), at least 5 mm Hg SBP or 2.5 mm Hg DBP, and an HDL increase of at least 5%; Figure 4 panels say '&gt;5%', '&gt;10%', '&gt;5 mm Hg', and 'Reduction 2.5 mm Hg' with no operator. Probably loose figure typography; for integer-valued BP, &gt;= and &gt; could classify differently.</t>
        </is>
      </c>
    </row>
    <row r="10" ht="148" customFormat="1" customHeight="1" s="14">
      <c r="A10" s="12" t="inlineStr">
        <is>
          <t>2019::jama.2019.14630::C009</t>
        </is>
      </c>
      <c r="B10" s="12" t="inlineStr">
        <is>
          <t>eTable 4 total-olive-oil baseline row conflicts with the table’s median/IQR convention</t>
        </is>
      </c>
      <c r="C10" s="12" t="inlineStr">
        <is>
          <t>Supplement 3 eTable 4 row — PDF p. 10; Supplement 3 eTable 4 footnote — PDF p. 11; Supplement 3 eTable 2 comparator — PDF p. 3; Supplement 3 eTable 7 comparator — PDF p. 17.</t>
        </is>
      </c>
      <c r="D10" s="23" t="inlineStr">
        <is>
          <t>retain</t>
        </is>
      </c>
      <c r="E10" s="23" t="inlineStr">
        <is>
          <t>report_internal_inconsistency</t>
        </is>
      </c>
      <c r="F10" s="23" t="inlineStr">
        <is>
          <t>primary_done</t>
        </is>
      </c>
      <c r="G10" s="12">
        <f>IFERROR(IF(OR(NOT(EXACT(Setup!$B$4,"R_B")),Setup!$B$5&lt;&gt;2019),"CHECK SETUP",IF(OR(LEN(TRIM(CLEAN(SUBSTITUTE(Setup!$B$2,CHAR(160)," "))))=0,Setup!$B$2&lt;&gt;TRIM(CLEAN(SUBSTITUTE(Setup!$B$2,CHAR(160)," ")))),"CHECK REVIEWER ID",IF(OR(A10="",COUNTIF($A$2:$A$10,A10)&lt;&gt;1,LEFT(A10,LEN("2019::jama.2019.14630::"))&lt;&gt;"2019::jama.2019.14630::"),"CHECK KEY",IF(NOT(OR(EXACT(F10,"no"),EXACT(F10,"primary_done"),EXACT(F10,""))),"CHECK COMPLETE FLAG",IF(OR(D10="",E10=""),"MISSING D / E",IF(OR(NOT(OR(EXACT(D10,"retain"),EXACT(D10,"exclude"),EXACT(D10,"discuss"))),NOT(OR(EXACT(E10,"statistical_results"),EXACT(E10,"report_internal_inconsistency"),EXACT(E10,"plan_material"),EXACT(E10,"protocol_report")))),"INVALID D / E",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AND(AND(D10="retain",E10="statistical_results"),OR(H10="",EXACT(H10,"not_applicable"))),AND(AND(D10="retain",E10="statistical_results"),OR(I10="",EXACT(I10,"not_applicable"))),AND(AND(D10="retain",OR(E10="report_internal_inconsistency",E10="plan_material")),OR(K10="",EXACT(K10,"not_applicable")))),"MISSING REQUIRED JUDGMENT",IF(OR(AND(AND(D10="retain",E10="statistical_results"),H10&lt;&gt;"",NOT(OR(EXACT(H10,"confirmed_issue"),EXACT(H10,"probable_issue"),EXACT(H10,"not_issue"),EXACT(H10,"indeterminate")))),AND(AND(D10="retain",E10="statistical_results"),I10&lt;&gt;"",NOT(OR(EXACT(I10,"substantive"),EXACT(I10,"minor_presentation"),EXACT(I10,"indeterminate")))),AND(AND(D10="retain",E10="statistical_results"),J10&lt;&gt;"",NOT(OR(EXACT(J10,"direct"),EXACT(J10,"possible"),EXACT(J10,"unlikely"),EXACT(J10,"unknown")))),AND(AND(D10="retain",OR(E10="report_internal_inconsistency",E10="plan_material")),K10&lt;&gt;"",NOT(OR(EXACT(K10,"substantive_inconsistency"),EXACT(K10,"minor_presentation"),EXACT(K10,"non_inconsistency"),EXACT(K10,"indeterminate")))),AND(AND(D10="retain",E10="protocol_report"),L10&lt;&gt;"",NOT(OR(EXACT(L10,"substantive_difference"),EXACT(L10,"minor_presentation"),EXACT(L10,"version_timing"),EXACT(L10,"non_inconsistency"),EXACT(L10,"indeterminate"))))),"INVALID ACTIVE JUDGMENT",IF(F10&lt;&gt;"primary_done","PRIMARY DRAFT","PRIMARY READY")))))))))),"CHECK INPUT ERROR")</f>
        <v/>
      </c>
      <c r="H10" s="23">
        <f>IF(AND(OR(D10="retain",D10=""),E10="statistical_results"),"","not_applicable")</f>
        <v/>
      </c>
      <c r="I10" s="23">
        <f>IF(AND(OR(D10="retain",D10=""),E10="statistical_results"),"","not_applicable")</f>
        <v/>
      </c>
      <c r="J10" s="24">
        <f>IF(AND(OR(D10="retain",D10=""),E10="statistical_results"),"","not_applicable")</f>
        <v/>
      </c>
      <c r="K10" s="23" t="inlineStr">
        <is>
          <t>minor_presentation</t>
        </is>
      </c>
      <c r="L10" s="24">
        <f>IF(AND(OR(D10="retain",D10=""),E10="protocol_report"),"","not_applicable")</f>
        <v/>
      </c>
      <c r="M10" s="11" t="n"/>
      <c r="N10" s="11" t="n"/>
      <c r="O10" s="11" t="n"/>
      <c r="P10" s="11" t="n"/>
      <c r="Q10" s="11" t="n"/>
      <c r="R10" s="24" t="inlineStr">
        <is>
          <t>Confirmed. eTable 4 (completers) labels total olive oil 'Baseline, mean (SD)' but prints 350 (175, 350), a 3-value median (Q1, Q3) form; its own footnote and eTables 2 and 7 call baseline food data median (IQR). The row label is wrong; the meaning is clear from the footnote and parallel tables.</t>
        </is>
      </c>
    </row>
  </sheetData>
  <autoFilter ref="A1:R10"/>
  <conditionalFormatting sqref="H2:H10">
    <cfRule type="expression" priority="8" dxfId="70">
      <formula>NOT(AND(OR($D2="retain",$D2=""),$E2="statistical_results"))</formula>
    </cfRule>
  </conditionalFormatting>
  <conditionalFormatting sqref="I2:I10">
    <cfRule type="expression" priority="9" dxfId="70">
      <formula>NOT(AND(OR($D2="retain",$D2=""),$E2="statistical_results"))</formula>
    </cfRule>
  </conditionalFormatting>
  <conditionalFormatting sqref="J2:J10">
    <cfRule type="expression" priority="10" dxfId="70">
      <formula>NOT(AND(OR($D2="retain",$D2=""),$E2="statistical_results"))</formula>
    </cfRule>
  </conditionalFormatting>
  <conditionalFormatting sqref="K2:K10">
    <cfRule type="expression" priority="11" dxfId="70">
      <formula>NOT(AND(OR($D2="retain",$D2=""),OR($E2="report_internal_inconsistency",$E2="plan_material")))</formula>
    </cfRule>
  </conditionalFormatting>
  <conditionalFormatting sqref="L2:L10">
    <cfRule type="expression" priority="12" dxfId="70">
      <formula>NOT(AND(OR($D2="retain",$D2=""),$E2="protocol_report"))</formula>
    </cfRule>
  </conditionalFormatting>
  <conditionalFormatting sqref="G2:G10">
    <cfRule type="expression" priority="13" dxfId="71">
      <formula>$G2&lt;&gt;"PRIMARY READY"</formula>
    </cfRule>
    <cfRule type="expression" priority="14" dxfId="72">
      <formula>$G2="PRIMARY READY"</formula>
    </cfRule>
  </conditionalFormatting>
  <conditionalFormatting sqref="D2:D10">
    <cfRule type="expression" priority="15" dxfId="73">
      <formula>$D2="discuss"</formula>
    </cfRule>
  </conditionalFormatting>
  <dataValidations count="8">
    <dataValidation sqref="D2:D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10"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R7"/>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12" t="inlineStr">
        <is>
          <t>2019::jama.2019.14901::C001</t>
        </is>
      </c>
      <c r="B2" s="12" t="inlineStr">
        <is>
          <t>Day-7 respiratory-failure absolute difference differs across matched article locations</t>
        </is>
      </c>
      <c r="C2" s="12" t="n"/>
      <c r="D2" s="23" t="inlineStr">
        <is>
          <t>retain</t>
        </is>
      </c>
      <c r="E2" s="23" t="inlineStr">
        <is>
          <t>statistical_results</t>
        </is>
      </c>
      <c r="F2" s="23" t="inlineStr">
        <is>
          <t>primary_done</t>
        </is>
      </c>
      <c r="G2" s="12">
        <f>IFERROR(IF(OR(NOT(EXACT(Setup!$B$4,"R_B")),Setup!$B$5&lt;&gt;2019),"CHECK SETUP",IF(OR(LEN(TRIM(CLEAN(SUBSTITUTE(Setup!$B$2,CHAR(160)," "))))=0,Setup!$B$2&lt;&gt;TRIM(CLEAN(SUBSTITUTE(Setup!$B$2,CHAR(160)," ")))),"CHECK REVIEWER ID",IF(OR(A2="",COUNTIF($A$2:$A$7,A2)&lt;&gt;1,LEFT(A2,LEN("2019::jama.2019.14901::"))&lt;&gt;"2019::jama.2019.14901::"),"CHECK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t="inlineStr">
        <is>
          <t>confirmed_issue</t>
        </is>
      </c>
      <c r="I2" s="23" t="inlineStr">
        <is>
          <t>minor_presentation</t>
        </is>
      </c>
      <c r="J2" s="24" t="inlineStr">
        <is>
          <t>possible</t>
        </is>
      </c>
      <c r="K2" s="23">
        <f>IF(AND(OR(D2="retain",D2=""),OR(E2="report_internal_inconsistency",E2="plan_material")),"","not_applicable")</f>
        <v/>
      </c>
      <c r="L2" s="24">
        <f>IF(AND(OR(D2="retain",D2=""),E2="protocol_report"),"","not_applicable")</f>
        <v/>
      </c>
      <c r="M2" s="11" t="n"/>
      <c r="N2" s="11" t="n"/>
      <c r="O2" s="11" t="n"/>
      <c r="P2" s="11" t="n"/>
      <c r="Q2" s="11" t="n"/>
      <c r="R2" s="24" t="inlineStr">
        <is>
          <t>Confirmed. Day-7 postextubation respiratory failure: Table 2 gives 70/339 vs 88/302, difference -8.5 (-15.2 to -1.8), P=.01; the abstract and Results text print -8.7 with the same CI and P. Recomputed: 20.65% - 29.14% = -8.49 pp, Wald CI -15.19 to -1.79, so -8.5 is correct and -8.7 is a transcription error. 0.2 pp; inference unchanged.</t>
        </is>
      </c>
    </row>
    <row r="3" ht="92" customFormat="1" customHeight="1" s="14">
      <c r="A3" s="11" t="inlineStr">
        <is>
          <t>2019::jama.2019.14901::C002</t>
        </is>
      </c>
      <c r="B3" s="11" t="inlineStr">
        <is>
          <t>Reintubation respiratory-acidosis cutoff differs between article and protocol</t>
        </is>
      </c>
      <c r="C3" s="11" t="n"/>
      <c r="D3" s="23" t="inlineStr">
        <is>
          <t>retain</t>
        </is>
      </c>
      <c r="E3" s="23" t="inlineStr">
        <is>
          <t>protocol_report</t>
        </is>
      </c>
      <c r="F3" s="23" t="inlineStr">
        <is>
          <t>primary_done</t>
        </is>
      </c>
      <c r="G3" s="11">
        <f>IFERROR(IF(OR(NOT(EXACT(Setup!$B$4,"R_B")),Setup!$B$5&lt;&gt;2019),"CHECK SETUP",IF(OR(LEN(TRIM(CLEAN(SUBSTITUTE(Setup!$B$2,CHAR(160)," "))))=0,Setup!$B$2&lt;&gt;TRIM(CLEAN(SUBSTITUTE(Setup!$B$2,CHAR(160)," ")))),"CHECK REVIEWER ID",IF(OR(A3="",COUNTIF($A$2:$A$7,A3)&lt;&gt;1,LEFT(A3,LEN("2019::jama.2019.14901::"))&lt;&gt;"2019::jama.2019.14901::"),"CHECK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f>IF(AND(OR(D3="retain",D3=""),OR(E3="report_internal_inconsistency",E3="plan_material")),"","not_applicable")</f>
        <v/>
      </c>
      <c r="L3" s="24" t="inlineStr">
        <is>
          <t>substantive_difference</t>
        </is>
      </c>
      <c r="M3" s="11" t="n"/>
      <c r="N3" s="11" t="n"/>
      <c r="O3" s="11" t="n"/>
      <c r="P3" s="11" t="n"/>
      <c r="Q3" s="11" t="n"/>
      <c r="R3" s="24" t="inlineStr">
        <is>
          <t>Confirmed. Protocol v4 (17 Oct 2017) section 5.4 reintubation criteria include respiratory acidosis 'pH &lt; 7.35 and PaCO2 &gt; 45 mm Hg'; the article's reintubation (primary-outcome) criteria say 'pH below 7.25 and PaCO2 &gt; 45', while it keeps pH &lt; 7.35 for postextubation respiratory failure. A different operational threshold in the criteria governing the primary outcome; no amended protocol supplied.</t>
        </is>
      </c>
    </row>
    <row r="4" ht="92" customFormat="1" customHeight="1" s="14">
      <c r="A4" s="12" t="inlineStr">
        <is>
          <t>2019::jama.2019.14901::C003</t>
        </is>
      </c>
      <c r="B4" s="12" t="inlineStr">
        <is>
          <t>Hypercapnic ineffective-cough percentages conflict with printed fractions</t>
        </is>
      </c>
      <c r="C4" s="12" t="n"/>
      <c r="D4" s="23" t="inlineStr">
        <is>
          <t>retain</t>
        </is>
      </c>
      <c r="E4" s="23" t="inlineStr">
        <is>
          <t>statistical_results</t>
        </is>
      </c>
      <c r="F4" s="23" t="inlineStr">
        <is>
          <t>primary_done</t>
        </is>
      </c>
      <c r="G4" s="12">
        <f>IFERROR(IF(OR(NOT(EXACT(Setup!$B$4,"R_B")),Setup!$B$5&lt;&gt;2019),"CHECK SETUP",IF(OR(LEN(TRIM(CLEAN(SUBSTITUTE(Setup!$B$2,CHAR(160)," "))))=0,Setup!$B$2&lt;&gt;TRIM(CLEAN(SUBSTITUTE(Setup!$B$2,CHAR(160)," ")))),"CHECK REVIEWER ID",IF(OR(A4="",COUNTIF($A$2:$A$7,A4)&lt;&gt;1,LEFT(A4,LEN("2019::jama.2019.14901::"))&lt;&gt;"2019::jama.2019.14901::"),"CHECK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t="inlineStr">
        <is>
          <t>confirmed_issue</t>
        </is>
      </c>
      <c r="I4" s="23" t="inlineStr">
        <is>
          <t>substantive</t>
        </is>
      </c>
      <c r="J4" s="24" t="inlineStr">
        <is>
          <t>possible</t>
        </is>
      </c>
      <c r="K4" s="23">
        <f>IF(AND(OR(D4="retain",D4=""),OR(E4="report_internal_inconsistency",E4="plan_material")),"","not_applicable")</f>
        <v/>
      </c>
      <c r="L4" s="24">
        <f>IF(AND(OR(D4="retain",D4=""),E4="protocol_report"),"","not_applicable")</f>
        <v/>
      </c>
      <c r="M4" s="11" t="n"/>
      <c r="N4" s="11" t="n"/>
      <c r="O4" s="11" t="n"/>
      <c r="P4" s="11" t="n"/>
      <c r="Q4" s="11" t="n"/>
      <c r="R4" s="24" t="inlineStr">
        <is>
          <t>Confirmed. Supplement 2 hypercapnic strata: ineffective cough 14/45 (69) and 16/59 (73); 14/45 = 31.1% and 16/59 = 27.1%, so the printed percentages are the complements. The counts are right (they sum with the nonhypercapnic strata to main Table 1: 65/284, 86/322). The printed % inverts the characteristic (31% shown as 69%).</t>
        </is>
      </c>
    </row>
    <row r="5" ht="92" customFormat="1" customHeight="1" s="14">
      <c r="A5" s="11" t="inlineStr">
        <is>
          <t>2019::jama.2019.14901::C004</t>
        </is>
      </c>
      <c r="B5" s="11" t="inlineStr">
        <is>
          <t>Hypercapnic abundant-secretion percentages conflict with printed fractions</t>
        </is>
      </c>
      <c r="C5" s="11" t="n"/>
      <c r="D5" s="23" t="inlineStr">
        <is>
          <t>retain</t>
        </is>
      </c>
      <c r="E5" s="23" t="inlineStr">
        <is>
          <t>statistical_results</t>
        </is>
      </c>
      <c r="F5" s="23" t="inlineStr">
        <is>
          <t>primary_done</t>
        </is>
      </c>
      <c r="G5" s="11">
        <f>IFERROR(IF(OR(NOT(EXACT(Setup!$B$4,"R_B")),Setup!$B$5&lt;&gt;2019),"CHECK SETUP",IF(OR(LEN(TRIM(CLEAN(SUBSTITUTE(Setup!$B$2,CHAR(160)," "))))=0,Setup!$B$2&lt;&gt;TRIM(CLEAN(SUBSTITUTE(Setup!$B$2,CHAR(160)," ")))),"CHECK REVIEWER ID",IF(OR(A5="",COUNTIF($A$2:$A$7,A5)&lt;&gt;1,LEFT(A5,LEN("2019::jama.2019.14901::"))&lt;&gt;"2019::jama.2019.14901::"),"CHECK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t="inlineStr">
        <is>
          <t>confirmed_issue</t>
        </is>
      </c>
      <c r="I5" s="23" t="inlineStr">
        <is>
          <t>substantive</t>
        </is>
      </c>
      <c r="J5" s="24" t="inlineStr">
        <is>
          <t>possible</t>
        </is>
      </c>
      <c r="K5" s="23">
        <f>IF(AND(OR(D5="retain",D5=""),OR(E5="report_internal_inconsistency",E5="plan_material")),"","not_applicable")</f>
        <v/>
      </c>
      <c r="L5" s="24">
        <f>IF(AND(OR(D5="retain",D5=""),E5="protocol_report"),"","not_applicable")</f>
        <v/>
      </c>
      <c r="M5" s="11" t="n"/>
      <c r="N5" s="11" t="n"/>
      <c r="O5" s="11" t="n"/>
      <c r="P5" s="11" t="n"/>
      <c r="Q5" s="11" t="n"/>
      <c r="R5" s="24" t="inlineStr">
        <is>
          <t>Confirmed. Supplement 2 hypercapnic strata: abundant secretions 20/46 (57) and 23/61 (62); 20/46 = 43.5% and 23/61 = 37.7%, so the printed values are the complements (56.5, 62.3). Counts reconcile with main Table 1 (121/288, 114/326). Same complement error as C003, separate cells; misstates the prevalence (minority shown as majority).</t>
        </is>
      </c>
    </row>
    <row r="6" ht="92" customFormat="1" customHeight="1" s="14">
      <c r="A6" s="12" t="inlineStr">
        <is>
          <t>2019::jama.2019.14901::C005</t>
        </is>
      </c>
      <c r="B6" s="12" t="inlineStr">
        <is>
          <t>Matched nonhypercapnic day-7 reintubation P values differ across article and supplement</t>
        </is>
      </c>
      <c r="C6" s="12" t="n"/>
      <c r="D6" s="23" t="inlineStr">
        <is>
          <t>retain</t>
        </is>
      </c>
      <c r="E6" s="23" t="inlineStr">
        <is>
          <t>report_internal_inconsistency</t>
        </is>
      </c>
      <c r="F6" s="23" t="inlineStr">
        <is>
          <t>primary_done</t>
        </is>
      </c>
      <c r="G6" s="12">
        <f>IFERROR(IF(OR(NOT(EXACT(Setup!$B$4,"R_B")),Setup!$B$5&lt;&gt;2019),"CHECK SETUP",IF(OR(LEN(TRIM(CLEAN(SUBSTITUTE(Setup!$B$2,CHAR(160)," "))))=0,Setup!$B$2&lt;&gt;TRIM(CLEAN(SUBSTITUTE(Setup!$B$2,CHAR(160)," ")))),"CHECK REVIEWER ID",IF(OR(A6="",COUNTIF($A$2:$A$7,A6)&lt;&gt;1,LEFT(A6,LEN("2019::jama.2019.14901::"))&lt;&gt;"2019::jama.2019.14901::"),"CHECK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t="inlineStr">
        <is>
          <t>minor_presentation</t>
        </is>
      </c>
      <c r="L6" s="24">
        <f>IF(AND(OR(D6="retain",D6=""),E6="protocol_report"),"","not_applicable")</f>
        <v/>
      </c>
      <c r="M6" s="11" t="n"/>
      <c r="N6" s="11" t="n"/>
      <c r="O6" s="11" t="n"/>
      <c r="P6" s="11" t="n"/>
      <c r="Q6" s="11" t="n"/>
      <c r="R6" s="24" t="inlineStr">
        <is>
          <t>Confirmed but trivial. Nonhypercapnic day-7 reintubation: main Results give P=.10; eTable 4 gives P=.1057, which rounds to .11. Recomputed uncorrected chi-square for 45/254 vs 35/276: P=0.1057, so the supplement is exact and the main text truncated. Both are clearly nonsignificant, with identical difference and CI.</t>
        </is>
      </c>
    </row>
    <row r="7" ht="92" customFormat="1" customHeight="1" s="14">
      <c r="A7" s="11" t="inlineStr">
        <is>
          <t>2019::jama.2019.14901::C006</t>
        </is>
      </c>
      <c r="B7" s="11" t="inlineStr">
        <is>
          <t>Protocol total-duration breakdown does not arithmetically reach the printed total</t>
        </is>
      </c>
      <c r="C7" s="11" t="n"/>
      <c r="D7" s="23" t="inlineStr">
        <is>
          <t>retain</t>
        </is>
      </c>
      <c r="E7" s="23" t="inlineStr">
        <is>
          <t>plan_material</t>
        </is>
      </c>
      <c r="F7" s="23" t="inlineStr">
        <is>
          <t>primary_done</t>
        </is>
      </c>
      <c r="G7" s="11">
        <f>IFERROR(IF(OR(NOT(EXACT(Setup!$B$4,"R_B")),Setup!$B$5&lt;&gt;2019),"CHECK SETUP",IF(OR(LEN(TRIM(CLEAN(SUBSTITUTE(Setup!$B$2,CHAR(160)," "))))=0,Setup!$B$2&lt;&gt;TRIM(CLEAN(SUBSTITUTE(Setup!$B$2,CHAR(160)," ")))),"CHECK REVIEWER ID",IF(OR(A7="",COUNTIF($A$2:$A$7,A7)&lt;&gt;1,LEFT(A7,LEN("2019::jama.2019.14901::"))&lt;&gt;"2019::jama.2019.14901::"),"CHECK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f>IF(AND(OR(D7="retain",D7=""),E7="statistical_results"),"","not_applicable")</f>
        <v/>
      </c>
      <c r="I7" s="23">
        <f>IF(AND(OR(D7="retain",D7=""),E7="statistical_results"),"","not_applicable")</f>
        <v/>
      </c>
      <c r="J7" s="24">
        <f>IF(AND(OR(D7="retain",D7=""),E7="statistical_results"),"","not_applicable")</f>
        <v/>
      </c>
      <c r="K7" s="23" t="inlineStr">
        <is>
          <t>minor_presentation</t>
        </is>
      </c>
      <c r="L7" s="24">
        <f>IF(AND(OR(D7="retain",D7=""),E7="protocol_report"),"","not_applicable")</f>
        <v/>
      </c>
      <c r="M7" s="11" t="n"/>
      <c r="N7" s="11" t="n"/>
      <c r="O7" s="11" t="n"/>
      <c r="P7" s="11" t="n"/>
      <c r="Q7" s="11" t="n"/>
      <c r="R7" s="24" t="inlineStr">
        <is>
          <t>Confirmed. Protocol v4 French summary (p.11): total duration 51 months = 39 months study + 12 analysis, with 36 months inclusion and 3 months per patient (36+3+12=51). The English section (p.32) says 51 months 'with 36 months for the study and 12 months for analysis' (=48). The English text omits the 3-month follow-up; the intended timeline is clear.</t>
        </is>
      </c>
    </row>
  </sheetData>
  <autoFilter ref="A1:R7"/>
  <conditionalFormatting sqref="H2:H7">
    <cfRule type="expression" priority="8" dxfId="70">
      <formula>NOT(AND(OR($D2="retain",$D2=""),$E2="statistical_results"))</formula>
    </cfRule>
  </conditionalFormatting>
  <conditionalFormatting sqref="I2:I7">
    <cfRule type="expression" priority="9" dxfId="70">
      <formula>NOT(AND(OR($D2="retain",$D2=""),$E2="statistical_results"))</formula>
    </cfRule>
  </conditionalFormatting>
  <conditionalFormatting sqref="J2:J7">
    <cfRule type="expression" priority="10" dxfId="70">
      <formula>NOT(AND(OR($D2="retain",$D2=""),$E2="statistical_results"))</formula>
    </cfRule>
  </conditionalFormatting>
  <conditionalFormatting sqref="K2:K7">
    <cfRule type="expression" priority="11" dxfId="70">
      <formula>NOT(AND(OR($D2="retain",$D2=""),OR($E2="report_internal_inconsistency",$E2="plan_material")))</formula>
    </cfRule>
  </conditionalFormatting>
  <conditionalFormatting sqref="L2:L7">
    <cfRule type="expression" priority="12" dxfId="70">
      <formula>NOT(AND(OR($D2="retain",$D2=""),$E2="protocol_report"))</formula>
    </cfRule>
  </conditionalFormatting>
  <conditionalFormatting sqref="G2:G7">
    <cfRule type="expression" priority="13" dxfId="71">
      <formula>$G2&lt;&gt;"PRIMARY READY"</formula>
    </cfRule>
    <cfRule type="expression" priority="14" dxfId="72">
      <formula>$G2="PRIMARY READY"</formula>
    </cfRule>
  </conditionalFormatting>
  <conditionalFormatting sqref="D2:D7">
    <cfRule type="expression" priority="15" dxfId="73">
      <formula>$D2="discuss"</formula>
    </cfRule>
  </conditionalFormatting>
  <dataValidations count="8">
    <dataValidation sqref="D2:D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7"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R8"/>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12" t="inlineStr">
        <is>
          <t>2019::jama.2019.17380::C001</t>
        </is>
      </c>
      <c r="B2" s="12" t="inlineStr">
        <is>
          <t>Figure 2 omega-3 eGFR contributor counts conflict with Table 2</t>
        </is>
      </c>
      <c r="C2" s="12" t="inlineStr">
        <is>
          <t>Figure 2 panel B — PDF p. 7; Table 2 — PDF p. 8.</t>
        </is>
      </c>
      <c r="D2" s="23" t="inlineStr">
        <is>
          <t>retain</t>
        </is>
      </c>
      <c r="E2" s="23" t="inlineStr">
        <is>
          <t>report_internal_inconsistency</t>
        </is>
      </c>
      <c r="F2" s="23" t="inlineStr">
        <is>
          <t>primary_done</t>
        </is>
      </c>
      <c r="G2" s="12">
        <f>IFERROR(IF(OR(NOT(EXACT(Setup!$B$4,"R_B")),Setup!$B$5&lt;&gt;2019),"CHECK SETUP",IF(OR(LEN(TRIM(CLEAN(SUBSTITUTE(Setup!$B$2,CHAR(160)," "))))=0,Setup!$B$2&lt;&gt;TRIM(CLEAN(SUBSTITUTE(Setup!$B$2,CHAR(160)," ")))),"CHECK REVIEWER ID",IF(OR(A2="",COUNTIF($A$2:$A$8,A2)&lt;&gt;1,LEFT(A2,LEN("2019::jama.2019.17380::"))&lt;&gt;"2019::jama.2019.17380::"),"CHECK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t="inlineStr">
        <is>
          <t>minor_presentation</t>
        </is>
      </c>
      <c r="L2" s="24">
        <f>IF(AND(OR(D2="retain",D2=""),E2="protocol_report"),"","not_applicable")</f>
        <v/>
      </c>
      <c r="M2" s="11" t="n"/>
      <c r="N2" s="11" t="n"/>
      <c r="O2" s="11" t="n"/>
      <c r="P2" s="11" t="n"/>
      <c r="Q2" s="11" t="n"/>
      <c r="R2" s="24" t="inlineStr">
        <is>
          <t>Confirmed. Figure 2B (eGFR, omega-3 vs placebo) prints participant counts 607/459/438 (placebo) and 701/531/496 (omega-3), identical to panel A's vitamin D counts. Table 2 gives omega-3 eGFR counts 651/491/462 (placebo) and 657/499/472 (active); totals match (1308/990/934). Copied count annotations in the figure; the correct Ns are in Table 2.</t>
        </is>
      </c>
    </row>
    <row r="3" ht="92" customFormat="1" customHeight="1" s="14">
      <c r="A3" s="11" t="inlineStr">
        <is>
          <t>2019::jama.2019.17380::C002</t>
        </is>
      </c>
      <c r="B3" s="11" t="inlineStr">
        <is>
          <t>Figure 2 omega-3 urine-ACR contributor counts conflict with eTable 6</t>
        </is>
      </c>
      <c r="C3" s="11" t="inlineStr">
        <is>
          <t>Figure 2 panel D — PDF p. 7; eTable 6 — PDF p. 11.</t>
        </is>
      </c>
      <c r="D3" s="23" t="inlineStr">
        <is>
          <t>retain</t>
        </is>
      </c>
      <c r="E3" s="23" t="inlineStr">
        <is>
          <t>report_internal_inconsistency</t>
        </is>
      </c>
      <c r="F3" s="23" t="inlineStr">
        <is>
          <t>primary_done</t>
        </is>
      </c>
      <c r="G3" s="11">
        <f>IFERROR(IF(OR(NOT(EXACT(Setup!$B$4,"R_B")),Setup!$B$5&lt;&gt;2019),"CHECK SETUP",IF(OR(LEN(TRIM(CLEAN(SUBSTITUTE(Setup!$B$2,CHAR(160)," "))))=0,Setup!$B$2&lt;&gt;TRIM(CLEAN(SUBSTITUTE(Setup!$B$2,CHAR(160)," ")))),"CHECK REVIEWER ID",IF(OR(A3="",COUNTIF($A$2:$A$8,A3)&lt;&gt;1,LEFT(A3,LEN("2019::jama.2019.17380::"))&lt;&gt;"2019::jama.2019.17380::"),"CHECK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t="inlineStr">
        <is>
          <t>minor_presentation</t>
        </is>
      </c>
      <c r="L3" s="24">
        <f>IF(AND(OR(D3="retain",D3=""),E3="protocol_report"),"","not_applicable")</f>
        <v/>
      </c>
      <c r="M3" s="11" t="n"/>
      <c r="N3" s="11" t="n"/>
      <c r="O3" s="11" t="n"/>
      <c r="P3" s="11" t="n"/>
      <c r="Q3" s="11" t="n"/>
      <c r="R3" s="24" t="inlineStr">
        <is>
          <t>Confirmed. Figure 2D (urine ACR, omega-3 vs placebo) repeats panel C's vitamin D counts: 609/463/440 (placebo) and 702/529/505 (omega-3). eTable 6 gives omega-3 ACR counts 653/490/467 (placebo) and 658/502/478 (active); totals agree (1311/992/945). Same copied-annotation error as C001, in a different panel.</t>
        </is>
      </c>
    </row>
    <row r="4" ht="92" customFormat="1" customHeight="1" s="14">
      <c r="A4" s="12" t="inlineStr">
        <is>
          <t>2019::jama.2019.17380::C003</t>
        </is>
      </c>
      <c r="B4" s="12" t="inlineStr">
        <is>
          <t>Figure 3 assigns vitamin-D arm sizes to the opposite column labels</t>
        </is>
      </c>
      <c r="C4" s="12" t="inlineStr">
        <is>
          <t>Abstract — PDF p. 1; Table 2 and Figure 3 — PDF p. 8.</t>
        </is>
      </c>
      <c r="D4" s="23" t="inlineStr">
        <is>
          <t>retain</t>
        </is>
      </c>
      <c r="E4" s="23" t="inlineStr">
        <is>
          <t>report_internal_inconsistency</t>
        </is>
      </c>
      <c r="F4" s="23" t="inlineStr">
        <is>
          <t>primary_done</t>
        </is>
      </c>
      <c r="G4" s="12">
        <f>IFERROR(IF(OR(NOT(EXACT(Setup!$B$4,"R_B")),Setup!$B$5&lt;&gt;2019),"CHECK SETUP",IF(OR(LEN(TRIM(CLEAN(SUBSTITUTE(Setup!$B$2,CHAR(160)," "))))=0,Setup!$B$2&lt;&gt;TRIM(CLEAN(SUBSTITUTE(Setup!$B$2,CHAR(160)," ")))),"CHECK REVIEWER ID",IF(OR(A4="",COUNTIF($A$2:$A$8,A4)&lt;&gt;1,LEFT(A4,LEN("2019::jama.2019.17380::"))&lt;&gt;"2019::jama.2019.17380::"),"CHECK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t="inlineStr">
        <is>
          <t>minor_presentation</t>
        </is>
      </c>
      <c r="L4" s="24">
        <f>IF(AND(OR(D4="retain",D4=""),E4="protocol_report"),"","not_applicable")</f>
        <v/>
      </c>
      <c r="M4" s="11" t="n"/>
      <c r="N4" s="11" t="n"/>
      <c r="O4" s="11" t="n"/>
      <c r="P4" s="11" t="n"/>
      <c r="Q4" s="11" t="n"/>
      <c r="R4" s="24" t="inlineStr">
        <is>
          <t>Confirmed. Figure 3 (vitamin D subgroups) puts N=703 under Placebo and 609 under Vitamin D; randomized vitamin D = 370+333 = 703 and placebo = 289+320 = 609. Every subgroup N is transposed the same way (omega-3 rows: 333/370 under Placebo are vitamin D cells). Mean changes (-13.1 placebo, -12.3 vitamin D) match Table 2 under the printed headings, so only the N columns are swapped.</t>
        </is>
      </c>
    </row>
    <row r="5" ht="92" customFormat="1" customHeight="1" s="14">
      <c r="A5" s="11" t="inlineStr">
        <is>
          <t>2019::jama.2019.17380::C004</t>
        </is>
      </c>
      <c r="B5" s="11" t="inlineStr">
        <is>
          <t>Figure 4 assigns omega-3 arm sizes to the opposite column labels</t>
        </is>
      </c>
      <c r="C5" s="11" t="inlineStr">
        <is>
          <t>Abstract — PDF p. 1; Table 2 — PDF p. 8; Figure 4 — PDF p. 9.</t>
        </is>
      </c>
      <c r="D5" s="23" t="inlineStr">
        <is>
          <t>retain</t>
        </is>
      </c>
      <c r="E5" s="23" t="inlineStr">
        <is>
          <t>report_internal_inconsistency</t>
        </is>
      </c>
      <c r="F5" s="23" t="inlineStr">
        <is>
          <t>primary_done</t>
        </is>
      </c>
      <c r="G5" s="11">
        <f>IFERROR(IF(OR(NOT(EXACT(Setup!$B$4,"R_B")),Setup!$B$5&lt;&gt;2019),"CHECK SETUP",IF(OR(LEN(TRIM(CLEAN(SUBSTITUTE(Setup!$B$2,CHAR(160)," "))))=0,Setup!$B$2&lt;&gt;TRIM(CLEAN(SUBSTITUTE(Setup!$B$2,CHAR(160)," ")))),"CHECK REVIEWER ID",IF(OR(A5="",COUNTIF($A$2:$A$8,A5)&lt;&gt;1,LEFT(A5,LEN("2019::jama.2019.17380::"))&lt;&gt;"2019::jama.2019.17380::"),"CHECK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t="inlineStr">
        <is>
          <t>minor_presentation</t>
        </is>
      </c>
      <c r="L5" s="24">
        <f>IF(AND(OR(D5="retain",D5=""),E5="protocol_report"),"","not_applicable")</f>
        <v/>
      </c>
      <c r="M5" s="11" t="n"/>
      <c r="N5" s="11" t="n"/>
      <c r="O5" s="11" t="n"/>
      <c r="P5" s="11" t="n"/>
      <c r="Q5" s="11" t="n"/>
      <c r="R5" s="24" t="inlineStr">
        <is>
          <t>Confirmed. Figure 4 (omega-3 subgroups) puts N=659 under Placebo and 653 under Omega-3; randomized omega-3 = 370+289 = 659 and omega-3 placebo = 333+320 = 653. Mean changes (-13.1 placebo, -12.2 omega-3) agree with Table 2 by heading, so the N columns are transposed while estimates are aligned. Same pattern as C003.</t>
        </is>
      </c>
    </row>
    <row r="6" ht="92" customFormat="1" customHeight="1" s="14">
      <c r="A6" s="12" t="inlineStr">
        <is>
          <t>2019::jama.2019.17380::C005</t>
        </is>
      </c>
      <c r="B6" s="12" t="inlineStr">
        <is>
          <t>eFigure 2 places vitamin-D participant counts under the opposite headings</t>
        </is>
      </c>
      <c r="C6" s="12" t="inlineStr">
        <is>
          <t>Abstract — PDF p. 1; eTable 6 — PDF p. 11; eFigure 2 — PDF p. 18.</t>
        </is>
      </c>
      <c r="D6" s="23" t="inlineStr">
        <is>
          <t>retain</t>
        </is>
      </c>
      <c r="E6" s="23" t="inlineStr">
        <is>
          <t>report_internal_inconsistency</t>
        </is>
      </c>
      <c r="F6" s="23" t="inlineStr">
        <is>
          <t>primary_done</t>
        </is>
      </c>
      <c r="G6" s="12">
        <f>IFERROR(IF(OR(NOT(EXACT(Setup!$B$4,"R_B")),Setup!$B$5&lt;&gt;2019),"CHECK SETUP",IF(OR(LEN(TRIM(CLEAN(SUBSTITUTE(Setup!$B$2,CHAR(160)," "))))=0,Setup!$B$2&lt;&gt;TRIM(CLEAN(SUBSTITUTE(Setup!$B$2,CHAR(160)," ")))),"CHECK REVIEWER ID",IF(OR(A6="",COUNTIF($A$2:$A$8,A6)&lt;&gt;1,LEFT(A6,LEN("2019::jama.2019.17380::"))&lt;&gt;"2019::jama.2019.17380::"),"CHECK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t="inlineStr">
        <is>
          <t>minor_presentation</t>
        </is>
      </c>
      <c r="L6" s="24">
        <f>IF(AND(OR(D6="retain",D6=""),E6="protocol_report"),"","not_applicable")</f>
        <v/>
      </c>
      <c r="M6" s="11" t="n"/>
      <c r="N6" s="11" t="n"/>
      <c r="O6" s="11" t="n"/>
      <c r="P6" s="11" t="n"/>
      <c r="Q6" s="11" t="n"/>
      <c r="R6" s="24" t="inlineStr">
        <is>
          <t>Confirmed. eFigure 2 (urine ACR, vitamin D subgroups) prints Placebo N=703, ratio 3.02 and Active N=609, ratio 2.97. eTable 6 gives active vitamin D baseline N=702 with year-5 ratio 2.97 and placebo N=609 with 3.02, and randomized totals are 703 active / 609 placebo. Ratios are aligned with the headings; the N columns are transposed throughout.</t>
        </is>
      </c>
    </row>
    <row r="7" ht="92" customFormat="1" customHeight="1" s="14">
      <c r="A7" s="11" t="inlineStr">
        <is>
          <t>2019::jama.2019.17380::C006</t>
        </is>
      </c>
      <c r="B7" s="11" t="inlineStr">
        <is>
          <t>eFigure 3 places omega-3 participant counts under the opposite headings</t>
        </is>
      </c>
      <c r="C7" s="11" t="inlineStr">
        <is>
          <t>Abstract — PDF p. 1; eTable 6 — PDF p. 11; eFigure 3 — PDF p. 19.</t>
        </is>
      </c>
      <c r="D7" s="23" t="inlineStr">
        <is>
          <t>retain</t>
        </is>
      </c>
      <c r="E7" s="23" t="inlineStr">
        <is>
          <t>report_internal_inconsistency</t>
        </is>
      </c>
      <c r="F7" s="23" t="inlineStr">
        <is>
          <t>primary_done</t>
        </is>
      </c>
      <c r="G7" s="11">
        <f>IFERROR(IF(OR(NOT(EXACT(Setup!$B$4,"R_B")),Setup!$B$5&lt;&gt;2019),"CHECK SETUP",IF(OR(LEN(TRIM(CLEAN(SUBSTITUTE(Setup!$B$2,CHAR(160)," "))))=0,Setup!$B$2&lt;&gt;TRIM(CLEAN(SUBSTITUTE(Setup!$B$2,CHAR(160)," ")))),"CHECK REVIEWER ID",IF(OR(A7="",COUNTIF($A$2:$A$8,A7)&lt;&gt;1,LEFT(A7,LEN("2019::jama.2019.17380::"))&lt;&gt;"2019::jama.2019.17380::"),"CHECK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f>IF(AND(OR(D7="retain",D7=""),E7="statistical_results"),"","not_applicable")</f>
        <v/>
      </c>
      <c r="I7" s="23">
        <f>IF(AND(OR(D7="retain",D7=""),E7="statistical_results"),"","not_applicable")</f>
        <v/>
      </c>
      <c r="J7" s="24">
        <f>IF(AND(OR(D7="retain",D7=""),E7="statistical_results"),"","not_applicable")</f>
        <v/>
      </c>
      <c r="K7" s="23" t="inlineStr">
        <is>
          <t>minor_presentation</t>
        </is>
      </c>
      <c r="L7" s="24">
        <f>IF(AND(OR(D7="retain",D7=""),E7="protocol_report"),"","not_applicable")</f>
        <v/>
      </c>
      <c r="M7" s="11" t="n"/>
      <c r="N7" s="11" t="n"/>
      <c r="O7" s="11" t="n"/>
      <c r="P7" s="11" t="n"/>
      <c r="Q7" s="11" t="n"/>
      <c r="R7" s="24" t="inlineStr">
        <is>
          <t>Confirmed. eFigure 3 (urine ACR, omega-3 subgroups) prints Placebo N=659, ratio 3.05 and Active N=653, ratio 2.94; eTable 6 gives omega-3 placebo N=653 (3.05) and active N=658 (2.94); randomized omega-3 = 659. Its vitamin D randomization rows (Placebo column 289/370; Active 320/333) are the opposite factorial cells. Ns are transposed; ratios are aligned.</t>
        </is>
      </c>
    </row>
    <row r="8" ht="92" customFormat="1" customHeight="1" s="14">
      <c r="A8" s="12" t="inlineStr">
        <is>
          <t>2019::jama.2019.17380::C007</t>
        </is>
      </c>
      <c r="B8" s="12" t="inlineStr">
        <is>
          <t>Imputation count differs between the analytic-plan addendum and article methods</t>
        </is>
      </c>
      <c r="C8" s="12" t="inlineStr">
        <is>
          <t>Analytic-plan addendum, Section 15c — PDF p. 32; Article Data Analysis — PDF p. 3.</t>
        </is>
      </c>
      <c r="D8" s="23" t="inlineStr">
        <is>
          <t>retain</t>
        </is>
      </c>
      <c r="E8" s="23" t="inlineStr">
        <is>
          <t>protocol_report</t>
        </is>
      </c>
      <c r="F8" s="23" t="inlineStr">
        <is>
          <t>primary_done</t>
        </is>
      </c>
      <c r="G8" s="12">
        <f>IFERROR(IF(OR(NOT(EXACT(Setup!$B$4,"R_B")),Setup!$B$5&lt;&gt;2019),"CHECK SETUP",IF(OR(LEN(TRIM(CLEAN(SUBSTITUTE(Setup!$B$2,CHAR(160)," "))))=0,Setup!$B$2&lt;&gt;TRIM(CLEAN(SUBSTITUTE(Setup!$B$2,CHAR(160)," ")))),"CHECK REVIEWER ID",IF(OR(A8="",COUNTIF($A$2:$A$8,A8)&lt;&gt;1,LEFT(A8,LEN("2019::jama.2019.17380::"))&lt;&gt;"2019::jama.2019.17380::"),"CHECK KEY",IF(NOT(OR(EXACT(F8,"no"),EXACT(F8,"primary_done"),EXACT(F8,""))),"CHECK COMPLETE FLAG",IF(OR(D8="",E8=""),"MISSING D / E",IF(OR(NOT(OR(EXACT(D8,"retain"),EXACT(D8,"exclude"),EXACT(D8,"discuss"))),NOT(OR(EXACT(E8,"statistical_results"),EXACT(E8,"report_internal_inconsistency"),EXACT(E8,"plan_material"),EXACT(E8,"protocol_report")))),"INVALID D / E",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AND(AND(D8="retain",E8="statistical_results"),OR(H8="",EXACT(H8,"not_applicable"))),AND(AND(D8="retain",E8="statistical_results"),OR(I8="",EXACT(I8,"not_applicable"))),AND(AND(D8="retain",OR(E8="report_internal_inconsistency",E8="plan_material")),OR(K8="",EXACT(K8,"not_applicable")))),"MISSING REQUIRED JUDGMENT",IF(OR(AND(AND(D8="retain",E8="statistical_results"),H8&lt;&gt;"",NOT(OR(EXACT(H8,"confirmed_issue"),EXACT(H8,"probable_issue"),EXACT(H8,"not_issue"),EXACT(H8,"indeterminate")))),AND(AND(D8="retain",E8="statistical_results"),I8&lt;&gt;"",NOT(OR(EXACT(I8,"substantive"),EXACT(I8,"minor_presentation"),EXACT(I8,"indeterminate")))),AND(AND(D8="retain",E8="statistical_results"),J8&lt;&gt;"",NOT(OR(EXACT(J8,"direct"),EXACT(J8,"possible"),EXACT(J8,"unlikely"),EXACT(J8,"unknown")))),AND(AND(D8="retain",OR(E8="report_internal_inconsistency",E8="plan_material")),K8&lt;&gt;"",NOT(OR(EXACT(K8,"substantive_inconsistency"),EXACT(K8,"minor_presentation"),EXACT(K8,"non_inconsistency"),EXACT(K8,"indeterminate")))),AND(AND(D8="retain",E8="protocol_report"),L8&lt;&gt;"",NOT(OR(EXACT(L8,"substantive_difference"),EXACT(L8,"minor_presentation"),EXACT(L8,"version_timing"),EXACT(L8,"non_inconsistency"),EXACT(L8,"indeterminate"))))),"INVALID ACTIVE JUDGMENT",IF(F8&lt;&gt;"primary_done","PRIMARY DRAFT","PRIMARY READY")))))))))),"CHECK INPUT ERROR")</f>
        <v/>
      </c>
      <c r="H8" s="23">
        <f>IF(AND(OR(D8="retain",D8=""),E8="statistical_results"),"","not_applicable")</f>
        <v/>
      </c>
      <c r="I8" s="23">
        <f>IF(AND(OR(D8="retain",D8=""),E8="statistical_results"),"","not_applicable")</f>
        <v/>
      </c>
      <c r="J8" s="24">
        <f>IF(AND(OR(D8="retain",D8=""),E8="statistical_results"),"","not_applicable")</f>
        <v/>
      </c>
      <c r="K8" s="23">
        <f>IF(AND(OR(D8="retain",D8=""),OR(E8="report_internal_inconsistency",E8="plan_material")),"","not_applicable")</f>
        <v/>
      </c>
      <c r="L8" s="24">
        <f>IF(AND(OR(D8="retain",D8=""),E8="protocol_report"),"","not_applicable")</f>
        <v/>
      </c>
      <c r="M8" s="11" t="n"/>
      <c r="N8" s="11" t="n"/>
      <c r="O8" s="11" t="n"/>
      <c r="P8" s="11" t="n"/>
      <c r="Q8" s="11" t="n"/>
      <c r="R8" s="24" t="inlineStr">
        <is>
          <t>Confirmed difference, immaterial. The analytic plan (section 15c) says results from 10 imputation datasets (chained equations) will be combined with Rubin's rules; the article reports multiple imputation with M=20 and Rubin's rules. More imputations only reduce Monte Carlo error; the estimand and method are unchanged. L left blank: a real difference that is neither wording-only nor meaningful.</t>
        </is>
      </c>
    </row>
  </sheetData>
  <autoFilter ref="A1:R8"/>
  <conditionalFormatting sqref="H2:H8">
    <cfRule type="expression" priority="8" dxfId="70">
      <formula>NOT(AND(OR($D2="retain",$D2=""),$E2="statistical_results"))</formula>
    </cfRule>
  </conditionalFormatting>
  <conditionalFormatting sqref="I2:I8">
    <cfRule type="expression" priority="9" dxfId="70">
      <formula>NOT(AND(OR($D2="retain",$D2=""),$E2="statistical_results"))</formula>
    </cfRule>
  </conditionalFormatting>
  <conditionalFormatting sqref="J2:J8">
    <cfRule type="expression" priority="10" dxfId="70">
      <formula>NOT(AND(OR($D2="retain",$D2=""),$E2="statistical_results"))</formula>
    </cfRule>
  </conditionalFormatting>
  <conditionalFormatting sqref="K2:K8">
    <cfRule type="expression" priority="11" dxfId="70">
      <formula>NOT(AND(OR($D2="retain",$D2=""),OR($E2="report_internal_inconsistency",$E2="plan_material")))</formula>
    </cfRule>
  </conditionalFormatting>
  <conditionalFormatting sqref="L2:L8">
    <cfRule type="expression" priority="12" dxfId="70">
      <formula>NOT(AND(OR($D2="retain",$D2=""),$E2="protocol_report"))</formula>
    </cfRule>
  </conditionalFormatting>
  <conditionalFormatting sqref="G2:G8">
    <cfRule type="expression" priority="13" dxfId="71">
      <formula>$G2&lt;&gt;"PRIMARY READY"</formula>
    </cfRule>
    <cfRule type="expression" priority="14" dxfId="72">
      <formula>$G2="PRIMARY READY"</formula>
    </cfRule>
  </conditionalFormatting>
  <conditionalFormatting sqref="D2:D8">
    <cfRule type="expression" priority="15" dxfId="73">
      <formula>$D2="discuss"</formula>
    </cfRule>
  </conditionalFormatting>
  <dataValidations count="8">
    <dataValidation sqref="D2:D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8"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R10"/>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12" t="inlineStr">
        <is>
          <t>2019::jama.2019.2210::C001</t>
        </is>
      </c>
      <c r="B2" s="12" t="inlineStr">
        <is>
          <t>Table 1 SNP percentages use unlabelled, variable available-case denominators</t>
        </is>
      </c>
      <c r="C2" s="12" t="inlineStr">
        <is>
          <t>main article — PDF p. 5; Supplement 2 — PDF p. 7, p. 13, and p. 27.</t>
        </is>
      </c>
      <c r="D2" s="23" t="inlineStr">
        <is>
          <t>retain</t>
        </is>
      </c>
      <c r="E2" s="23" t="inlineStr">
        <is>
          <t>statistical_results</t>
        </is>
      </c>
      <c r="F2" s="23" t="inlineStr">
        <is>
          <t>primary_done</t>
        </is>
      </c>
      <c r="G2" s="12">
        <f>IFERROR(IF(OR(NOT(EXACT(Setup!$B$4,"R_B")),Setup!$B$5&lt;&gt;2019),"CHECK SETUP",IF(OR(LEN(TRIM(CLEAN(SUBSTITUTE(Setup!$B$2,CHAR(160)," "))))=0,Setup!$B$2&lt;&gt;TRIM(CLEAN(SUBSTITUTE(Setup!$B$2,CHAR(160)," ")))),"CHECK REVIEWER ID",IF(OR(A2="",COUNTIF($A$2:$A$10,A2)&lt;&gt;1,LEFT(A2,LEN("2019::jama.2019.2210::"))&lt;&gt;"2019::jama.2019.2210::"),"CHECK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t="inlineStr">
        <is>
          <t>confirmed_issue</t>
        </is>
      </c>
      <c r="I2" s="23" t="inlineStr">
        <is>
          <t>minor_presentation</t>
        </is>
      </c>
      <c r="J2" s="24" t="inlineStr">
        <is>
          <t>unlikely</t>
        </is>
      </c>
      <c r="K2" s="23">
        <f>IF(AND(OR(D2="retain",D2=""),OR(E2="report_internal_inconsistency",E2="plan_material")),"","not_applicable")</f>
        <v/>
      </c>
      <c r="L2" s="24">
        <f>IF(AND(OR(D2="retain",D2=""),E2="protocol_report"),"","not_applicable")</f>
        <v/>
      </c>
      <c r="M2" s="11" t="n"/>
      <c r="N2" s="11" t="n"/>
      <c r="O2" s="11" t="n"/>
      <c r="P2" s="11" t="n"/>
      <c r="Q2" s="11" t="n"/>
      <c r="R2" s="24" t="inlineStr">
        <is>
          <t>Confirmed. Table 1 heads arms n=251/166, but SNP genotype counts total 230-245 (vitamin D) and 148-157 (placebo); all percentages are computed on these available-case totals, not the headers. Missing genotypes (up to 21 and 18 per arm) are not stated anywhere in the table. Values are correct for available cases; the omission is a reporting gap.</t>
        </is>
      </c>
    </row>
    <row r="3" ht="92" customFormat="1" customHeight="1" s="14">
      <c r="A3" s="11" t="inlineStr">
        <is>
          <t>2019::jama.2019.2210::C002</t>
        </is>
      </c>
      <c r="B3" s="11" t="inlineStr">
        <is>
          <t>Figure 3 caption says panel-C risk numbers are absent although the panel prints them</t>
        </is>
      </c>
      <c r="C3" s="11" t="inlineStr">
        <is>
          <t>main article — PDF p. 7.</t>
        </is>
      </c>
      <c r="D3" s="23" t="inlineStr">
        <is>
          <t>retain</t>
        </is>
      </c>
      <c r="E3" s="23" t="inlineStr">
        <is>
          <t>report_internal_inconsistency</t>
        </is>
      </c>
      <c r="F3" s="23" t="inlineStr">
        <is>
          <t>primary_done</t>
        </is>
      </c>
      <c r="G3" s="11">
        <f>IFERROR(IF(OR(NOT(EXACT(Setup!$B$4,"R_B")),Setup!$B$5&lt;&gt;2019),"CHECK SETUP",IF(OR(LEN(TRIM(CLEAN(SUBSTITUTE(Setup!$B$2,CHAR(160)," "))))=0,Setup!$B$2&lt;&gt;TRIM(CLEAN(SUBSTITUTE(Setup!$B$2,CHAR(160)," ")))),"CHECK REVIEWER ID",IF(OR(A3="",COUNTIF($A$2:$A$10,A3)&lt;&gt;1,LEFT(A3,LEN("2019::jama.2019.2210::"))&lt;&gt;"2019::jama.2019.2210::"),"CHECK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t="inlineStr">
        <is>
          <t>minor_presentation</t>
        </is>
      </c>
      <c r="L3" s="24">
        <f>IF(AND(OR(D3="retain",D3=""),E3="protocol_report"),"","not_applicable")</f>
        <v/>
      </c>
      <c r="M3" s="11" t="n"/>
      <c r="N3" s="11" t="n"/>
      <c r="O3" s="11" t="n"/>
      <c r="P3" s="11" t="n"/>
      <c r="Q3" s="11" t="n"/>
      <c r="R3" s="24" t="inlineStr">
        <is>
          <t>Confirmed. The Figure 3 caption says 'Numbers at risk for panel C are not given because of weighting', yet Figure 3C (overall death, middle 25(OH)D subgroup) prints numbers at risk (90...11; 142...20). Figure 2C, the competing-risk relapse panel, is the one with no at-risk table, so the sentence appears to belong to the Figure 2 caption. Caption misplacement; no numbers affected.</t>
        </is>
      </c>
    </row>
    <row r="4" ht="92" customFormat="1" customHeight="1" s="14">
      <c r="A4" s="12" t="inlineStr">
        <is>
          <t>2019::jama.2019.2210::C003</t>
        </is>
      </c>
      <c r="B4" s="12" t="inlineStr">
        <is>
          <t>Final protocol gives different accrual stopping thresholds</t>
        </is>
      </c>
      <c r="C4" s="12" t="inlineStr">
        <is>
          <t>Supplement 1 — PDF p. 18 and Supplement 1 — PDF p. 31.</t>
        </is>
      </c>
      <c r="D4" s="23" t="inlineStr">
        <is>
          <t>retain</t>
        </is>
      </c>
      <c r="E4" s="23" t="inlineStr">
        <is>
          <t>plan_material</t>
        </is>
      </c>
      <c r="F4" s="23" t="inlineStr">
        <is>
          <t>primary_done</t>
        </is>
      </c>
      <c r="G4" s="12">
        <f>IFERROR(IF(OR(NOT(EXACT(Setup!$B$4,"R_B")),Setup!$B$5&lt;&gt;2019),"CHECK SETUP",IF(OR(LEN(TRIM(CLEAN(SUBSTITUTE(Setup!$B$2,CHAR(160)," "))))=0,Setup!$B$2&lt;&gt;TRIM(CLEAN(SUBSTITUTE(Setup!$B$2,CHAR(160)," ")))),"CHECK REVIEWER ID",IF(OR(A4="",COUNTIF($A$2:$A$10,A4)&lt;&gt;1,LEFT(A4,LEN("2019::jama.2019.2210::"))&lt;&gt;"2019::jama.2019.2210::"),"CHECK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t="inlineStr">
        <is>
          <t>minor_presentation</t>
        </is>
      </c>
      <c r="L4" s="24">
        <f>IF(AND(OR(D4="retain",D4=""),E4="protocol_report"),"","not_applicable")</f>
        <v/>
      </c>
      <c r="M4" s="11" t="n"/>
      <c r="N4" s="11" t="n"/>
      <c r="O4" s="11" t="n"/>
      <c r="P4" s="11" t="n"/>
      <c r="Q4" s="11" t="n"/>
      <c r="R4" s="24" t="inlineStr">
        <is>
          <t>Confirmed but trivial. The final protocol synopsis says entry stops 'if the number of randomized patients reaches &gt;400', and the study-design section says 'after enrolling 400 patients, enrollment will finish'; the target is 240+160=400 in both places. Two loose wordings of the same ~400 stopping rule. (The trial actually randomized 417.)</t>
        </is>
      </c>
    </row>
    <row r="5" ht="92" customFormat="1" customHeight="1" s="14">
      <c r="A5" s="11" t="inlineStr">
        <is>
          <t>2019::jama.2019.2210::C004</t>
        </is>
      </c>
      <c r="B5" s="11" t="inlineStr">
        <is>
          <t>Final protocol assigns de novo cancer incompatible endpoint labels</t>
        </is>
      </c>
      <c r="C5" s="11" t="inlineStr">
        <is>
          <t>Supplement 1 — PDF p. 19, p. 25, p. 26, and p. 45; main article — PDF p. 8.</t>
        </is>
      </c>
      <c r="D5" s="23" t="inlineStr">
        <is>
          <t>retain</t>
        </is>
      </c>
      <c r="E5" s="23" t="inlineStr">
        <is>
          <t>protocol_report</t>
        </is>
      </c>
      <c r="F5" s="23" t="inlineStr">
        <is>
          <t>primary_done</t>
        </is>
      </c>
      <c r="G5" s="11">
        <f>IFERROR(IF(OR(NOT(EXACT(Setup!$B$4,"R_B")),Setup!$B$5&lt;&gt;2019),"CHECK SETUP",IF(OR(LEN(TRIM(CLEAN(SUBSTITUTE(Setup!$B$2,CHAR(160)," "))))=0,Setup!$B$2&lt;&gt;TRIM(CLEAN(SUBSTITUTE(Setup!$B$2,CHAR(160)," ")))),"CHECK REVIEWER ID",IF(OR(A5="",COUNTIF($A$2:$A$10,A5)&lt;&gt;1,LEFT(A5,LEN("2019::jama.2019.2210::"))&lt;&gt;"2019::jama.2019.2210::"),"CHECK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f>IF(AND(OR(D5="retain",D5=""),OR(E5="report_internal_inconsistency",E5="plan_material")),"","not_applicable")</f>
        <v/>
      </c>
      <c r="L5" s="24" t="inlineStr">
        <is>
          <t>substantive_difference</t>
        </is>
      </c>
      <c r="M5" s="11" t="n"/>
      <c r="N5" s="11" t="n"/>
      <c r="O5" s="11" t="n"/>
      <c r="P5" s="11" t="n"/>
      <c r="Q5" s="11" t="n"/>
      <c r="R5" s="24" t="inlineStr">
        <is>
          <t>Confirmed. Final protocol body lists de novo cancer as a Tertiary outcome, and the change summary says it was separated from secondary and safety outcomes (2012); the synopsis still says 'adverse event, not as an outcome' (stale carry-over). The article reports it under Safety Outcomes (Table 3, per protocol) with no tertiary-outcome analysis.</t>
        </is>
      </c>
    </row>
    <row r="6" ht="92" customFormat="1" customHeight="1" s="14">
      <c r="A6" s="12" t="inlineStr">
        <is>
          <t>2019::jama.2019.2210::C005</t>
        </is>
      </c>
      <c r="B6" s="12" t="inlineStr">
        <is>
          <t>One final-protocol high-25(OH)D stratum label omits the boundary operator</t>
        </is>
      </c>
      <c r="C6" s="12" t="inlineStr">
        <is>
          <t>Supplement 1 — PDF p. 23 and p. 31; main article — PDF p. 3.</t>
        </is>
      </c>
      <c r="D6" s="23" t="inlineStr">
        <is>
          <t>retain</t>
        </is>
      </c>
      <c r="E6" s="23" t="inlineStr">
        <is>
          <t>plan_material</t>
        </is>
      </c>
      <c r="F6" s="23" t="inlineStr">
        <is>
          <t>primary_done</t>
        </is>
      </c>
      <c r="G6" s="12">
        <f>IFERROR(IF(OR(NOT(EXACT(Setup!$B$4,"R_B")),Setup!$B$5&lt;&gt;2019),"CHECK SETUP",IF(OR(LEN(TRIM(CLEAN(SUBSTITUTE(Setup!$B$2,CHAR(160)," "))))=0,Setup!$B$2&lt;&gt;TRIM(CLEAN(SUBSTITUTE(Setup!$B$2,CHAR(160)," ")))),"CHECK REVIEWER ID",IF(OR(A6="",COUNTIF($A$2:$A$10,A6)&lt;&gt;1,LEFT(A6,LEN("2019::jama.2019.2210::"))&lt;&gt;"2019::jama.2019.2210::"),"CHECK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t="inlineStr">
        <is>
          <t>minor_presentation</t>
        </is>
      </c>
      <c r="L6" s="24">
        <f>IF(AND(OR(D6="retain",D6=""),E6="protocol_report"),"","not_applicable")</f>
        <v/>
      </c>
      <c r="M6" s="11" t="n"/>
      <c r="N6" s="11" t="n"/>
      <c r="O6" s="11" t="n"/>
      <c r="P6" s="11" t="n"/>
      <c r="Q6" s="11" t="n"/>
      <c r="R6" s="24" t="inlineStr">
        <is>
          <t>Confirmed. Final protocol p.23 defines low (&lt;20), middle (&gt;=20 to &lt;=40) and high '(40 ng/mL)' 25(OH)D with no operator; p.31 gives high as &gt;40 ng/mL, as does the article. The missing operator is a typographic omission; since middle already includes 40, the only coherent reading of 'high' is &gt;40.</t>
        </is>
      </c>
    </row>
    <row r="7" ht="92" customFormat="1" customHeight="1" s="14">
      <c r="A7" s="11" t="inlineStr">
        <is>
          <t>2019::jama.2019.2210::C006</t>
        </is>
      </c>
      <c r="B7" s="11" t="inlineStr">
        <is>
          <t>Supplement labels Cdx2 genotype panels as CDK2</t>
        </is>
      </c>
      <c r="C7" s="11" t="inlineStr">
        <is>
          <t>main article — PDF p. 5; Supplement 1 — PDF p. 27; Supplement 2 — PDF p. 13, p. 14, and p. 15.</t>
        </is>
      </c>
      <c r="D7" s="23" t="inlineStr">
        <is>
          <t>retain</t>
        </is>
      </c>
      <c r="E7" s="23" t="inlineStr">
        <is>
          <t>report_internal_inconsistency</t>
        </is>
      </c>
      <c r="F7" s="23" t="inlineStr">
        <is>
          <t>primary_done</t>
        </is>
      </c>
      <c r="G7" s="11">
        <f>IFERROR(IF(OR(NOT(EXACT(Setup!$B$4,"R_B")),Setup!$B$5&lt;&gt;2019),"CHECK SETUP",IF(OR(LEN(TRIM(CLEAN(SUBSTITUTE(Setup!$B$2,CHAR(160)," "))))=0,Setup!$B$2&lt;&gt;TRIM(CLEAN(SUBSTITUTE(Setup!$B$2,CHAR(160)," ")))),"CHECK REVIEWER ID",IF(OR(A7="",COUNTIF($A$2:$A$10,A7)&lt;&gt;1,LEFT(A7,LEN("2019::jama.2019.2210::"))&lt;&gt;"2019::jama.2019.2210::"),"CHECK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f>IF(AND(OR(D7="retain",D7=""),E7="statistical_results"),"","not_applicable")</f>
        <v/>
      </c>
      <c r="I7" s="23">
        <f>IF(AND(OR(D7="retain",D7=""),E7="statistical_results"),"","not_applicable")</f>
        <v/>
      </c>
      <c r="J7" s="24">
        <f>IF(AND(OR(D7="retain",D7=""),E7="statistical_results"),"","not_applicable")</f>
        <v/>
      </c>
      <c r="K7" s="23" t="inlineStr">
        <is>
          <t>minor_presentation</t>
        </is>
      </c>
      <c r="L7" s="24">
        <f>IF(AND(OR(D7="retain",D7=""),E7="protocol_report"),"","not_applicable")</f>
        <v/>
      </c>
      <c r="M7" s="11" t="n"/>
      <c r="N7" s="11" t="n"/>
      <c r="O7" s="11" t="n"/>
      <c r="P7" s="11" t="n"/>
      <c r="Q7" s="11" t="n"/>
      <c r="R7" s="24" t="inlineStr">
        <is>
          <t>Confirmed. Supplement 2 eFigures 3G-3I are titled 'CDK2 GG/GA/AA', but the article, protocol and primer appendix identify the VDR polymorphism Cdx2/CDX2 (rs11568820), and the time-zero at-risk counts match Table 1's Cdx2 rows (e.g., GG 89 vitamin D / 49 placebo). CDK2 is a different gene; this is a label typo with the intended SNP clear from context.</t>
        </is>
      </c>
    </row>
    <row r="8" ht="92" customFormat="1" customHeight="1" s="14">
      <c r="A8" s="12" t="inlineStr">
        <is>
          <t>2019::jama.2019.2210::C007</t>
        </is>
      </c>
      <c r="B8" s="12" t="inlineStr">
        <is>
          <t>Table 1 BMI categories use smaller, unlabelled denominators than the arm headers</t>
        </is>
      </c>
      <c r="C8" s="12" t="inlineStr">
        <is>
          <t>main article — PDF p. 5; Supplement 2 — PDF p. 32 and p. 33.</t>
        </is>
      </c>
      <c r="D8" s="23" t="inlineStr">
        <is>
          <t>retain</t>
        </is>
      </c>
      <c r="E8" s="23" t="inlineStr">
        <is>
          <t>statistical_results</t>
        </is>
      </c>
      <c r="F8" s="23" t="inlineStr">
        <is>
          <t>primary_done</t>
        </is>
      </c>
      <c r="G8" s="12">
        <f>IFERROR(IF(OR(NOT(EXACT(Setup!$B$4,"R_B")),Setup!$B$5&lt;&gt;2019),"CHECK SETUP",IF(OR(LEN(TRIM(CLEAN(SUBSTITUTE(Setup!$B$2,CHAR(160)," "))))=0,Setup!$B$2&lt;&gt;TRIM(CLEAN(SUBSTITUTE(Setup!$B$2,CHAR(160)," ")))),"CHECK REVIEWER ID",IF(OR(A8="",COUNTIF($A$2:$A$10,A8)&lt;&gt;1,LEFT(A8,LEN("2019::jama.2019.2210::"))&lt;&gt;"2019::jama.2019.2210::"),"CHECK KEY",IF(NOT(OR(EXACT(F8,"no"),EXACT(F8,"primary_done"),EXACT(F8,""))),"CHECK COMPLETE FLAG",IF(OR(D8="",E8=""),"MISSING D / E",IF(OR(NOT(OR(EXACT(D8,"retain"),EXACT(D8,"exclude"),EXACT(D8,"discuss"))),NOT(OR(EXACT(E8,"statistical_results"),EXACT(E8,"report_internal_inconsistency"),EXACT(E8,"plan_material"),EXACT(E8,"protocol_report")))),"INVALID D / E",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AND(AND(D8="retain",E8="statistical_results"),OR(H8="",EXACT(H8,"not_applicable"))),AND(AND(D8="retain",E8="statistical_results"),OR(I8="",EXACT(I8,"not_applicable"))),AND(AND(D8="retain",OR(E8="report_internal_inconsistency",E8="plan_material")),OR(K8="",EXACT(K8,"not_applicable")))),"MISSING REQUIRED JUDGMENT",IF(OR(AND(AND(D8="retain",E8="statistical_results"),H8&lt;&gt;"",NOT(OR(EXACT(H8,"confirmed_issue"),EXACT(H8,"probable_issue"),EXACT(H8,"not_issue"),EXACT(H8,"indeterminate")))),AND(AND(D8="retain",E8="statistical_results"),I8&lt;&gt;"",NOT(OR(EXACT(I8,"substantive"),EXACT(I8,"minor_presentation"),EXACT(I8,"indeterminate")))),AND(AND(D8="retain",E8="statistical_results"),J8&lt;&gt;"",NOT(OR(EXACT(J8,"direct"),EXACT(J8,"possible"),EXACT(J8,"unlikely"),EXACT(J8,"unknown")))),AND(AND(D8="retain",OR(E8="report_internal_inconsistency",E8="plan_material")),K8&lt;&gt;"",NOT(OR(EXACT(K8,"substantive_inconsistency"),EXACT(K8,"minor_presentation"),EXACT(K8,"non_inconsistency"),EXACT(K8,"indeterminate")))),AND(AND(D8="retain",E8="protocol_report"),L8&lt;&gt;"",NOT(OR(EXACT(L8,"substantive_difference"),EXACT(L8,"minor_presentation"),EXACT(L8,"version_timing"),EXACT(L8,"non_inconsistency"),EXACT(L8,"indeterminate"))))),"INVALID ACTIVE JUDGMENT",IF(F8&lt;&gt;"primary_done","PRIMARY DRAFT","PRIMARY READY")))))))))),"CHECK INPUT ERROR")</f>
        <v/>
      </c>
      <c r="H8" s="23" t="inlineStr">
        <is>
          <t>confirmed_issue</t>
        </is>
      </c>
      <c r="I8" s="23" t="inlineStr">
        <is>
          <t>minor_presentation</t>
        </is>
      </c>
      <c r="J8" s="24" t="inlineStr">
        <is>
          <t>unlikely</t>
        </is>
      </c>
      <c r="K8" s="23">
        <f>IF(AND(OR(D8="retain",D8=""),OR(E8="report_internal_inconsistency",E8="plan_material")),"","not_applicable")</f>
        <v/>
      </c>
      <c r="L8" s="24">
        <f>IF(AND(OR(D8="retain",D8=""),E8="protocol_report"),"","not_applicable")</f>
        <v/>
      </c>
      <c r="M8" s="11" t="n"/>
      <c r="N8" s="11" t="n"/>
      <c r="O8" s="11" t="n"/>
      <c r="P8" s="11" t="n"/>
      <c r="Q8" s="11" t="n"/>
      <c r="R8" s="24" t="inlineStr">
        <is>
          <t>Confirmed. Table 1 BMI quartile counts total 249 (vitamin D) and 165 (placebo) under headers 251/166; 2 and 1 participants are unaccounted for with no missing-data note. Supplement 2 BMI subgroups repeat 249/165. Percentages round identically with either denominator. Same unlabeled-denominator pattern as C001 but smaller.</t>
        </is>
      </c>
    </row>
    <row r="9" ht="92" customFormat="1" customHeight="1" s="14">
      <c r="A9" s="11" t="inlineStr">
        <is>
          <t>2019::jama.2019.2210::C008</t>
        </is>
      </c>
      <c r="B9" s="11" t="inlineStr">
        <is>
          <t>Report and protocol use different time-origin labels despite a same-visit equivalence statement</t>
        </is>
      </c>
      <c r="C9" s="11" t="inlineStr">
        <is>
          <t>main article — PDF p. 2 and p. 6; Supplement 1 — PDF p. 25 and p. 29; Supplement 2 — PDF p. 2 and p. 3.</t>
        </is>
      </c>
      <c r="D9" s="23" t="inlineStr">
        <is>
          <t>exclude</t>
        </is>
      </c>
      <c r="E9" s="23" t="inlineStr">
        <is>
          <t>protocol_report</t>
        </is>
      </c>
      <c r="F9" s="23" t="inlineStr">
        <is>
          <t>primary_done</t>
        </is>
      </c>
      <c r="G9" s="11">
        <f>IFERROR(IF(OR(NOT(EXACT(Setup!$B$4,"R_B")),Setup!$B$5&lt;&gt;2019),"CHECK SETUP",IF(OR(LEN(TRIM(CLEAN(SUBSTITUTE(Setup!$B$2,CHAR(160)," "))))=0,Setup!$B$2&lt;&gt;TRIM(CLEAN(SUBSTITUTE(Setup!$B$2,CHAR(160)," ")))),"CHECK REVIEWER ID",IF(OR(A9="",COUNTIF($A$2:$A$10,A9)&lt;&gt;1,LEFT(A9,LEN("2019::jama.2019.2210::"))&lt;&gt;"2019::jama.2019.2210::"),"CHECK KEY",IF(NOT(OR(EXACT(F9,"no"),EXACT(F9,"primary_done"),EXACT(F9,""))),"CHECK COMPLETE FLAG",IF(OR(D9="",E9=""),"MISSING D / E",IF(OR(NOT(OR(EXACT(D9,"retain"),EXACT(D9,"exclude"),EXACT(D9,"discuss"))),NOT(OR(EXACT(E9,"statistical_results"),EXACT(E9,"report_internal_inconsistency"),EXACT(E9,"plan_material"),EXACT(E9,"protocol_report")))),"INVALID D / E",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AND(AND(D9="retain",E9="statistical_results"),OR(H9="",EXACT(H9,"not_applicable"))),AND(AND(D9="retain",E9="statistical_results"),OR(I9="",EXACT(I9,"not_applicable"))),AND(AND(D9="retain",OR(E9="report_internal_inconsistency",E9="plan_material")),OR(K9="",EXACT(K9,"not_applicable")))),"MISSING REQUIRED JUDGMENT",IF(OR(AND(AND(D9="retain",E9="statistical_results"),H9&lt;&gt;"",NOT(OR(EXACT(H9,"confirmed_issue"),EXACT(H9,"probable_issue"),EXACT(H9,"not_issue"),EXACT(H9,"indeterminate")))),AND(AND(D9="retain",E9="statistical_results"),I9&lt;&gt;"",NOT(OR(EXACT(I9,"substantive"),EXACT(I9,"minor_presentation"),EXACT(I9,"indeterminate")))),AND(AND(D9="retain",E9="statistical_results"),J9&lt;&gt;"",NOT(OR(EXACT(J9,"direct"),EXACT(J9,"possible"),EXACT(J9,"unlikely"),EXACT(J9,"unknown")))),AND(AND(D9="retain",OR(E9="report_internal_inconsistency",E9="plan_material")),K9&lt;&gt;"",NOT(OR(EXACT(K9,"substantive_inconsistency"),EXACT(K9,"minor_presentation"),EXACT(K9,"non_inconsistency"),EXACT(K9,"indeterminate")))),AND(AND(D9="retain",E9="protocol_report"),L9&lt;&gt;"",NOT(OR(EXACT(L9,"substantive_difference"),EXACT(L9,"minor_presentation"),EXACT(L9,"version_timing"),EXACT(L9,"non_inconsistency"),EXACT(L9,"indeterminate"))))),"INVALID ACTIVE JUDGMENT",IF(F9&lt;&gt;"primary_done","PRIMARY DRAFT","PRIMARY READY")))))))))),"CHECK INPUT ERROR")</f>
        <v/>
      </c>
      <c r="H9" s="23">
        <f>IF(AND(OR(D9="retain",D9=""),E9="statistical_results"),"","not_applicable")</f>
        <v/>
      </c>
      <c r="I9" s="23">
        <f>IF(AND(OR(D9="retain",D9=""),E9="statistical_results"),"","not_applicable")</f>
        <v/>
      </c>
      <c r="J9" s="24">
        <f>IF(AND(OR(D9="retain",D9=""),E9="statistical_results"),"","not_applicable")</f>
        <v/>
      </c>
      <c r="K9" s="23">
        <f>IF(AND(OR(D9="retain",D9=""),OR(E9="report_internal_inconsistency",E9="plan_material")),"","not_applicable")</f>
        <v/>
      </c>
      <c r="L9" s="24">
        <f>IF(AND(OR(D9="retain",D9=""),E9="protocol_report"),"","not_applicable")</f>
        <v/>
      </c>
      <c r="M9" s="11" t="n"/>
      <c r="N9" s="11" t="n"/>
      <c r="O9" s="11" t="n"/>
      <c r="P9" s="11" t="n"/>
      <c r="Q9" s="11" t="n"/>
      <c r="R9" s="24" t="inlineStr">
        <is>
          <t>Exclude. The protocol times RFS/OS from starting supplementation; the article times them from randomization 'ie, time from starting the study medication' and states patients were randomized at the first postoperative outpatient visit and took study medication from that day. The article explicitly equates the two origins; no actual difference in time origin is shown.</t>
        </is>
      </c>
    </row>
    <row r="10" ht="92" customFormat="1" customHeight="1" s="14">
      <c r="A10" s="12" t="inlineStr">
        <is>
          <t>2019::jama.2019.2210::C009</t>
        </is>
      </c>
      <c r="B10" s="12" t="inlineStr">
        <is>
          <t>Table 2 hazard-ratio direction footnote is opposite the displayed outcome direction</t>
        </is>
      </c>
      <c r="C10" s="12" t="inlineStr">
        <is>
          <t>main article — PDF p. 4, p. 6, and p. 7.</t>
        </is>
      </c>
      <c r="D10" s="23" t="inlineStr">
        <is>
          <t>retain</t>
        </is>
      </c>
      <c r="E10" s="23" t="inlineStr">
        <is>
          <t>report_internal_inconsistency</t>
        </is>
      </c>
      <c r="F10" s="23" t="inlineStr">
        <is>
          <t>primary_done</t>
        </is>
      </c>
      <c r="G10" s="12">
        <f>IFERROR(IF(OR(NOT(EXACT(Setup!$B$4,"R_B")),Setup!$B$5&lt;&gt;2019),"CHECK SETUP",IF(OR(LEN(TRIM(CLEAN(SUBSTITUTE(Setup!$B$2,CHAR(160)," "))))=0,Setup!$B$2&lt;&gt;TRIM(CLEAN(SUBSTITUTE(Setup!$B$2,CHAR(160)," ")))),"CHECK REVIEWER ID",IF(OR(A10="",COUNTIF($A$2:$A$10,A10)&lt;&gt;1,LEFT(A10,LEN("2019::jama.2019.2210::"))&lt;&gt;"2019::jama.2019.2210::"),"CHECK KEY",IF(NOT(OR(EXACT(F10,"no"),EXACT(F10,"primary_done"),EXACT(F10,""))),"CHECK COMPLETE FLAG",IF(OR(D10="",E10=""),"MISSING D / E",IF(OR(NOT(OR(EXACT(D10,"retain"),EXACT(D10,"exclude"),EXACT(D10,"discuss"))),NOT(OR(EXACT(E10,"statistical_results"),EXACT(E10,"report_internal_inconsistency"),EXACT(E10,"plan_material"),EXACT(E10,"protocol_report")))),"INVALID D / E",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AND(AND(D10="retain",E10="statistical_results"),OR(H10="",EXACT(H10,"not_applicable"))),AND(AND(D10="retain",E10="statistical_results"),OR(I10="",EXACT(I10,"not_applicable"))),AND(AND(D10="retain",OR(E10="report_internal_inconsistency",E10="plan_material")),OR(K10="",EXACT(K10,"not_applicable")))),"MISSING REQUIRED JUDGMENT",IF(OR(AND(AND(D10="retain",E10="statistical_results"),H10&lt;&gt;"",NOT(OR(EXACT(H10,"confirmed_issue"),EXACT(H10,"probable_issue"),EXACT(H10,"not_issue"),EXACT(H10,"indeterminate")))),AND(AND(D10="retain",E10="statistical_results"),I10&lt;&gt;"",NOT(OR(EXACT(I10,"substantive"),EXACT(I10,"minor_presentation"),EXACT(I10,"indeterminate")))),AND(AND(D10="retain",E10="statistical_results"),J10&lt;&gt;"",NOT(OR(EXACT(J10,"direct"),EXACT(J10,"possible"),EXACT(J10,"unlikely"),EXACT(J10,"unknown")))),AND(AND(D10="retain",OR(E10="report_internal_inconsistency",E10="plan_material")),K10&lt;&gt;"",NOT(OR(EXACT(K10,"substantive_inconsistency"),EXACT(K10,"minor_presentation"),EXACT(K10,"non_inconsistency"),EXACT(K10,"indeterminate")))),AND(AND(D10="retain",E10="protocol_report"),L10&lt;&gt;"",NOT(OR(EXACT(L10,"substantive_difference"),EXACT(L10,"minor_presentation"),EXACT(L10,"version_timing"),EXACT(L10,"non_inconsistency"),EXACT(L10,"indeterminate"))))),"INVALID ACTIVE JUDGMENT",IF(F10&lt;&gt;"primary_done","PRIMARY DRAFT","PRIMARY READY")))))))))),"CHECK INPUT ERROR")</f>
        <v/>
      </c>
      <c r="H10" s="23">
        <f>IF(AND(OR(D10="retain",D10=""),E10="statistical_results"),"","not_applicable")</f>
        <v/>
      </c>
      <c r="I10" s="23">
        <f>IF(AND(OR(D10="retain",D10=""),E10="statistical_results"),"","not_applicable")</f>
        <v/>
      </c>
      <c r="J10" s="24">
        <f>IF(AND(OR(D10="retain",D10=""),E10="statistical_results"),"","not_applicable")</f>
        <v/>
      </c>
      <c r="K10" s="23" t="inlineStr">
        <is>
          <t>substantive_inconsistency</t>
        </is>
      </c>
      <c r="L10" s="24">
        <f>IF(AND(OR(D10="retain",D10=""),E10="protocol_report"),"","not_applicable")</f>
        <v/>
      </c>
      <c r="M10" s="11" t="n"/>
      <c r="N10" s="11" t="n"/>
      <c r="O10" s="11" t="n"/>
      <c r="P10" s="11" t="n"/>
      <c r="Q10" s="11" t="n"/>
      <c r="R10" s="24" t="inlineStr">
        <is>
          <t>Confirmed. Table 2 footnote: 'HR values greater than 1 indicate that vitamin D ... was associated with a decreased probability of the outcome.' Elsewhere HR&lt;1 means fewer events with vitamin D (relapse 41/251 vs 36/166, HR 0.75; middle-subgroup HR 0.44 described as lower with vitamin D). The footnote reverses the direction of the main subgroup results.</t>
        </is>
      </c>
    </row>
  </sheetData>
  <autoFilter ref="A1:R10"/>
  <conditionalFormatting sqref="H2:H10">
    <cfRule type="expression" priority="8" dxfId="70">
      <formula>NOT(AND(OR($D2="retain",$D2=""),$E2="statistical_results"))</formula>
    </cfRule>
  </conditionalFormatting>
  <conditionalFormatting sqref="I2:I10">
    <cfRule type="expression" priority="9" dxfId="70">
      <formula>NOT(AND(OR($D2="retain",$D2=""),$E2="statistical_results"))</formula>
    </cfRule>
  </conditionalFormatting>
  <conditionalFormatting sqref="J2:J10">
    <cfRule type="expression" priority="10" dxfId="70">
      <formula>NOT(AND(OR($D2="retain",$D2=""),$E2="statistical_results"))</formula>
    </cfRule>
  </conditionalFormatting>
  <conditionalFormatting sqref="K2:K10">
    <cfRule type="expression" priority="11" dxfId="70">
      <formula>NOT(AND(OR($D2="retain",$D2=""),OR($E2="report_internal_inconsistency",$E2="plan_material")))</formula>
    </cfRule>
  </conditionalFormatting>
  <conditionalFormatting sqref="L2:L10">
    <cfRule type="expression" priority="12" dxfId="70">
      <formula>NOT(AND(OR($D2="retain",$D2=""),$E2="protocol_report"))</formula>
    </cfRule>
  </conditionalFormatting>
  <conditionalFormatting sqref="G2:G10">
    <cfRule type="expression" priority="13" dxfId="71">
      <formula>$G2&lt;&gt;"PRIMARY READY"</formula>
    </cfRule>
    <cfRule type="expression" priority="14" dxfId="72">
      <formula>$G2="PRIMARY READY"</formula>
    </cfRule>
  </conditionalFormatting>
  <conditionalFormatting sqref="D2:D10">
    <cfRule type="expression" priority="15" dxfId="73">
      <formula>$D2="discuss"</formula>
    </cfRule>
  </conditionalFormatting>
  <dataValidations count="8">
    <dataValidation sqref="D2:D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10"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R6"/>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190" customFormat="1" customHeight="1" s="14">
      <c r="A2" s="12" t="inlineStr">
        <is>
          <t>2019::jama.2019.4755::C001</t>
        </is>
      </c>
      <c r="B2" s="12" t="inlineStr">
        <is>
          <t>Women’s quantitative 10.2 µg Hb/g PPV difference point estimate is absent</t>
        </is>
      </c>
      <c r="C2" s="12" t="inlineStr">
        <is>
          <t>joi190039supp3_prod.pdf — PDF p. 7, DOC-004 eTable 5, Women/Quantitative/10.2, Difference in PPV; comparator joi190039supp3_prod.pdf — PDF p. 6, DOC-004 eTable 4, same population, test, cutoff, day, and per-protocol analysis.</t>
        </is>
      </c>
      <c r="D2" s="23" t="inlineStr">
        <is>
          <t>retain</t>
        </is>
      </c>
      <c r="E2" s="23" t="inlineStr">
        <is>
          <t>statistical_results</t>
        </is>
      </c>
      <c r="F2" s="23" t="inlineStr">
        <is>
          <t>primary_done</t>
        </is>
      </c>
      <c r="G2" s="12">
        <f>IFERROR(IF(OR(NOT(EXACT(Setup!$B$4,"R_B")),Setup!$B$5&lt;&gt;2019),"CHECK SETUP",IF(OR(LEN(TRIM(CLEAN(SUBSTITUTE(Setup!$B$2,CHAR(160)," "))))=0,Setup!$B$2&lt;&gt;TRIM(CLEAN(SUBSTITUTE(Setup!$B$2,CHAR(160)," ")))),"CHECK REVIEWER ID",IF(OR(A2="",COUNTIF($A$2:$A$6,A2)&lt;&gt;1,LEFT(A2,LEN("2019::jama.2019.4755::"))&lt;&gt;"2019::jama.2019.4755::"),"CHECK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t="inlineStr">
        <is>
          <t>confirmed_issue</t>
        </is>
      </c>
      <c r="I2" s="23" t="inlineStr">
        <is>
          <t>minor_presentation</t>
        </is>
      </c>
      <c r="J2" s="24" t="inlineStr">
        <is>
          <t>possible</t>
        </is>
      </c>
      <c r="K2" s="23">
        <f>IF(AND(OR(D2="retain",D2=""),OR(E2="report_internal_inconsistency",E2="plan_material")),"","not_applicable")</f>
        <v/>
      </c>
      <c r="L2" s="24">
        <f>IF(AND(OR(D2="retain",D2=""),E2="protocol_report"),"","not_applicable")</f>
        <v/>
      </c>
      <c r="M2" s="11" t="n"/>
      <c r="N2" s="11" t="n"/>
      <c r="O2" s="11" t="n"/>
      <c r="P2" s="11" t="n"/>
      <c r="Q2" s="11" t="n"/>
      <c r="R2" s="24" t="inlineStr">
        <is>
          <t>Confirmed. eTable 5, women, quantitative FIT 10.2: the PPV-difference point estimate shows only '-' with CI [-34.7, -1.3]. From eTable 4, aspirin 11/(11+58)=15.9% and placebo 14/(14+27)=34.1%, difference -18.2 pp. All three missing women's values are two-digit negatives, which suggests clipping in a narrow column. Recoverable from the arm PPVs.</t>
        </is>
      </c>
    </row>
    <row r="3" ht="190" customFormat="1" customHeight="1" s="14">
      <c r="A3" s="11" t="inlineStr">
        <is>
          <t>2019::jama.2019.4755::C002</t>
        </is>
      </c>
      <c r="B3" s="11" t="inlineStr">
        <is>
          <t>Women’s quantitative 17.0 µg Hb/g PPV difference point estimate is absent</t>
        </is>
      </c>
      <c r="C3" s="11" t="inlineStr">
        <is>
          <t>joi190039supp3_prod.pdf — PDF p. 7, DOC-004 eTable 5, Women/Quantitative/17.0, Difference in PPV; comparator joi190039supp3_prod.pdf — PDF p. 6, DOC-004 eTable 4, same population, test, cutoff, day, and per-protocol analysis.</t>
        </is>
      </c>
      <c r="D3" s="23" t="inlineStr">
        <is>
          <t>retain</t>
        </is>
      </c>
      <c r="E3" s="23" t="inlineStr">
        <is>
          <t>statistical_results</t>
        </is>
      </c>
      <c r="F3" s="23" t="inlineStr">
        <is>
          <t>primary_done</t>
        </is>
      </c>
      <c r="G3" s="11">
        <f>IFERROR(IF(OR(NOT(EXACT(Setup!$B$4,"R_B")),Setup!$B$5&lt;&gt;2019),"CHECK SETUP",IF(OR(LEN(TRIM(CLEAN(SUBSTITUTE(Setup!$B$2,CHAR(160)," "))))=0,Setup!$B$2&lt;&gt;TRIM(CLEAN(SUBSTITUTE(Setup!$B$2,CHAR(160)," ")))),"CHECK REVIEWER ID",IF(OR(A3="",COUNTIF($A$2:$A$6,A3)&lt;&gt;1,LEFT(A3,LEN("2019::jama.2019.4755::"))&lt;&gt;"2019::jama.2019.4755::"),"CHECK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t="inlineStr">
        <is>
          <t>confirmed_issue</t>
        </is>
      </c>
      <c r="I3" s="23" t="inlineStr">
        <is>
          <t>minor_presentation</t>
        </is>
      </c>
      <c r="J3" s="24" t="inlineStr">
        <is>
          <t>possible</t>
        </is>
      </c>
      <c r="K3" s="23">
        <f>IF(AND(OR(D3="retain",D3=""),OR(E3="report_internal_inconsistency",E3="plan_material")),"","not_applicable")</f>
        <v/>
      </c>
      <c r="L3" s="24">
        <f>IF(AND(OR(D3="retain",D3=""),E3="protocol_report"),"","not_applicable")</f>
        <v/>
      </c>
      <c r="M3" s="11" t="n"/>
      <c r="N3" s="11" t="n"/>
      <c r="O3" s="11" t="n"/>
      <c r="P3" s="11" t="n"/>
      <c r="Q3" s="11" t="n"/>
      <c r="R3" s="24" t="inlineStr">
        <is>
          <t>Confirmed. eTable 5, women, quantitative FIT 17.0: the PPV-difference point estimate shows only '-' with CI [-48.4, -0.7]. From eTable 4, aspirin 6/35 = 17.1% and placebo 9/21 = 42.9%; difference -25.7 pp (count-based; -25.8 from the rounded PPVs). Same apparent clipping defect as C001; recoverable from the arm values.</t>
        </is>
      </c>
    </row>
    <row r="4" ht="176" customFormat="1" customHeight="1" s="14">
      <c r="A4" s="12" t="inlineStr">
        <is>
          <t>2019::jama.2019.4755::C003</t>
        </is>
      </c>
      <c r="B4" s="12" t="inlineStr">
        <is>
          <t>Women’s qualitative 10.2 µg Hb/g PPV difference point estimate is absent</t>
        </is>
      </c>
      <c r="C4" s="12" t="inlineStr">
        <is>
          <t>joi190039supp3_prod.pdf — PDF p. 7, DOC-004 eTable 5, Women/Qualitative/10.2, Difference in PPV; comparator joi190039supp3_prod.pdf — PDF p. 6, DOC-004 eTable 4, same population, test, cutoff, day, and per-protocol analysis.</t>
        </is>
      </c>
      <c r="D4" s="23" t="inlineStr">
        <is>
          <t>retain</t>
        </is>
      </c>
      <c r="E4" s="23" t="inlineStr">
        <is>
          <t>statistical_results</t>
        </is>
      </c>
      <c r="F4" s="23" t="inlineStr">
        <is>
          <t>primary_done</t>
        </is>
      </c>
      <c r="G4" s="12">
        <f>IFERROR(IF(OR(NOT(EXACT(Setup!$B$4,"R_B")),Setup!$B$5&lt;&gt;2019),"CHECK SETUP",IF(OR(LEN(TRIM(CLEAN(SUBSTITUTE(Setup!$B$2,CHAR(160)," "))))=0,Setup!$B$2&lt;&gt;TRIM(CLEAN(SUBSTITUTE(Setup!$B$2,CHAR(160)," ")))),"CHECK REVIEWER ID",IF(OR(A4="",COUNTIF($A$2:$A$6,A4)&lt;&gt;1,LEFT(A4,LEN("2019::jama.2019.4755::"))&lt;&gt;"2019::jama.2019.4755::"),"CHECK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t="inlineStr">
        <is>
          <t>confirmed_issue</t>
        </is>
      </c>
      <c r="I4" s="23" t="inlineStr">
        <is>
          <t>minor_presentation</t>
        </is>
      </c>
      <c r="J4" s="24" t="inlineStr">
        <is>
          <t>possible</t>
        </is>
      </c>
      <c r="K4" s="23">
        <f>IF(AND(OR(D4="retain",D4=""),OR(E4="report_internal_inconsistency",E4="plan_material")),"","not_applicable")</f>
        <v/>
      </c>
      <c r="L4" s="24">
        <f>IF(AND(OR(D4="retain",D4=""),E4="protocol_report"),"","not_applicable")</f>
        <v/>
      </c>
      <c r="M4" s="11" t="n"/>
      <c r="N4" s="11" t="n"/>
      <c r="O4" s="11" t="n"/>
      <c r="P4" s="11" t="n"/>
      <c r="Q4" s="11" t="n"/>
      <c r="R4" s="24" t="inlineStr">
        <is>
          <t>Confirmed. eTable 5, women, qualitative FIT 10.2: the PPV-difference point estimate shows only '-' with CI [-38.9, -3.9]. From eTable 4, aspirin 6/62 = 9.7% and placebo 10/32 = 31.25% (printed 31.2); difference -21.6 pp. Same clipping pattern as C001/C002; recoverable from the arm PPVs.</t>
        </is>
      </c>
    </row>
    <row r="5" ht="204" customFormat="1" customHeight="1" s="14">
      <c r="A5" s="11" t="inlineStr">
        <is>
          <t>2019::jama.2019.4755::C004</t>
        </is>
      </c>
      <c r="B5" s="11" t="inlineStr">
        <is>
          <t>eTable 5 visible cutoff header truncates after [µg</t>
        </is>
      </c>
      <c r="C5" s="11" t="inlineStr">
        <is>
          <t>joi190039supp3_prod.pdf — PDF p. 7, DOC-004 eTable 5 visible cutoff header; comparator joi190039supp3_prod.pdf — PDF p. 6, DOC-004 eTable 4 header Cutoff [µg Hb/g]; additional matched main-table display jama_brenner_2019_oi_190039.pdf — PDF p. 5.</t>
        </is>
      </c>
      <c r="D5" s="23" t="inlineStr">
        <is>
          <t>retain</t>
        </is>
      </c>
      <c r="E5" s="23" t="inlineStr">
        <is>
          <t>report_internal_inconsistency</t>
        </is>
      </c>
      <c r="F5" s="23" t="inlineStr">
        <is>
          <t>primary_done</t>
        </is>
      </c>
      <c r="G5" s="11">
        <f>IFERROR(IF(OR(NOT(EXACT(Setup!$B$4,"R_B")),Setup!$B$5&lt;&gt;2019),"CHECK SETUP",IF(OR(LEN(TRIM(CLEAN(SUBSTITUTE(Setup!$B$2,CHAR(160)," "))))=0,Setup!$B$2&lt;&gt;TRIM(CLEAN(SUBSTITUTE(Setup!$B$2,CHAR(160)," ")))),"CHECK REVIEWER ID",IF(OR(A5="",COUNTIF($A$2:$A$6,A5)&lt;&gt;1,LEFT(A5,LEN("2019::jama.2019.4755::"))&lt;&gt;"2019::jama.2019.4755::"),"CHECK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t="inlineStr">
        <is>
          <t>minor_presentation</t>
        </is>
      </c>
      <c r="L5" s="24">
        <f>IF(AND(OR(D5="retain",D5=""),E5="protocol_report"),"","not_applicable")</f>
        <v/>
      </c>
      <c r="M5" s="11" t="n"/>
      <c r="N5" s="11" t="n"/>
      <c r="O5" s="11" t="n"/>
      <c r="P5" s="11" t="n"/>
      <c r="Q5" s="11" t="n"/>
      <c r="R5" s="24" t="inlineStr">
        <is>
          <t>Confirmed. The eTable 5 column header shows 'Cutoff [µg' with the remainder of the unit ('Hb/g]') not rendered, whereas eTable 4 on the previous page and the main tables print 'Cutoff [µg Hb/g]'. A truncated unit label; the values 10.2 and 17.0 match the µg Hb/g cutoffs used throughout.</t>
        </is>
      </c>
    </row>
    <row r="6" ht="176" customFormat="1" customHeight="1" s="14">
      <c r="A6" s="12" t="inlineStr">
        <is>
          <t>2019::jama.2019.4755::C005</t>
        </is>
      </c>
      <c r="B6" s="12" t="inlineStr">
        <is>
          <t>One SAP occurrence omits the microgram prefix from the 10.2 cutoff</t>
        </is>
      </c>
      <c r="C6" s="12" t="inlineStr">
        <is>
          <t>joi190039supp2_prod.pdf — PDF p. 6, DOC-003 §3.2; comparator joi190039supp2_prod.pdf — PDF p. 8, DOC-003 §5.4; matched context jama_brenner_2019_oi_190039.pdf — PDF p. 1 and jama_brenner_2019_oi_190039.pdf — PDF p. 5.</t>
        </is>
      </c>
      <c r="D6" s="23" t="inlineStr">
        <is>
          <t>retain</t>
        </is>
      </c>
      <c r="E6" s="23" t="inlineStr">
        <is>
          <t>plan_material</t>
        </is>
      </c>
      <c r="F6" s="23" t="inlineStr">
        <is>
          <t>primary_done</t>
        </is>
      </c>
      <c r="G6" s="12">
        <f>IFERROR(IF(OR(NOT(EXACT(Setup!$B$4,"R_B")),Setup!$B$5&lt;&gt;2019),"CHECK SETUP",IF(OR(LEN(TRIM(CLEAN(SUBSTITUTE(Setup!$B$2,CHAR(160)," "))))=0,Setup!$B$2&lt;&gt;TRIM(CLEAN(SUBSTITUTE(Setup!$B$2,CHAR(160)," ")))),"CHECK REVIEWER ID",IF(OR(A6="",COUNTIF($A$2:$A$6,A6)&lt;&gt;1,LEFT(A6,LEN("2019::jama.2019.4755::"))&lt;&gt;"2019::jama.2019.4755::"),"CHECK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t="inlineStr">
        <is>
          <t>minor_presentation</t>
        </is>
      </c>
      <c r="L6" s="24">
        <f>IF(AND(OR(D6="retain",D6=""),E6="protocol_report"),"","not_applicable")</f>
        <v/>
      </c>
      <c r="M6" s="11" t="n"/>
      <c r="N6" s="11" t="n"/>
      <c r="O6" s="11" t="n"/>
      <c r="P6" s="11" t="n"/>
      <c r="Q6" s="11" t="n"/>
      <c r="R6" s="24" t="inlineStr">
        <is>
          <t>Confirmed but trivial. SAP section 3 (p.6) defines positivity at '17 μg Hb/g feces and 10.2 Hb/g feces', omitting μg for the lower cutoff; section 5.4 (p.8) gives '10.2 μg Hb/g feces'. A dropped unit prefix in a coordinated phrase; the intended unit is clear.</t>
        </is>
      </c>
    </row>
  </sheetData>
  <autoFilter ref="A1:R6"/>
  <conditionalFormatting sqref="H2:H6">
    <cfRule type="expression" priority="8" dxfId="70">
      <formula>NOT(AND(OR($D2="retain",$D2=""),$E2="statistical_results"))</formula>
    </cfRule>
  </conditionalFormatting>
  <conditionalFormatting sqref="I2:I6">
    <cfRule type="expression" priority="9" dxfId="70">
      <formula>NOT(AND(OR($D2="retain",$D2=""),$E2="statistical_results"))</formula>
    </cfRule>
  </conditionalFormatting>
  <conditionalFormatting sqref="J2:J6">
    <cfRule type="expression" priority="10" dxfId="70">
      <formula>NOT(AND(OR($D2="retain",$D2=""),$E2="statistical_results"))</formula>
    </cfRule>
  </conditionalFormatting>
  <conditionalFormatting sqref="K2:K6">
    <cfRule type="expression" priority="11" dxfId="70">
      <formula>NOT(AND(OR($D2="retain",$D2=""),OR($E2="report_internal_inconsistency",$E2="plan_material")))</formula>
    </cfRule>
  </conditionalFormatting>
  <conditionalFormatting sqref="L2:L6">
    <cfRule type="expression" priority="12" dxfId="70">
      <formula>NOT(AND(OR($D2="retain",$D2=""),$E2="protocol_report"))</formula>
    </cfRule>
  </conditionalFormatting>
  <conditionalFormatting sqref="G2:G6">
    <cfRule type="expression" priority="13" dxfId="71">
      <formula>$G2&lt;&gt;"PRIMARY READY"</formula>
    </cfRule>
    <cfRule type="expression" priority="14" dxfId="72">
      <formula>$G2="PRIMARY READY"</formula>
    </cfRule>
  </conditionalFormatting>
  <conditionalFormatting sqref="D2:D6">
    <cfRule type="expression" priority="15" dxfId="73">
      <formula>$D2="discuss"</formula>
    </cfRule>
  </conditionalFormatting>
  <dataValidations count="8">
    <dataValidation sqref="D2:D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6"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R5"/>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12" t="inlineStr">
        <is>
          <t>2019::jama.2019.7505::C001</t>
        </is>
      </c>
      <c r="B2" s="12" t="inlineStr">
        <is>
          <t>Hypoxemia confidence-interval endpoint sign differs between abstract and Table 3</t>
        </is>
      </c>
      <c r="C2" s="12" t="inlineStr">
        <is>
          <t>DOC-001, jama_bluth_2019_oi_190055_16092.pdf — PDF p. 1, abstract and PDF p. 9, Table 3.</t>
        </is>
      </c>
      <c r="D2" s="23" t="inlineStr">
        <is>
          <t>retain</t>
        </is>
      </c>
      <c r="E2" s="23" t="inlineStr">
        <is>
          <t>statistical_results</t>
        </is>
      </c>
      <c r="F2" s="23" t="inlineStr">
        <is>
          <t>primary_done</t>
        </is>
      </c>
      <c r="G2" s="12">
        <f>IFERROR(IF(OR(NOT(EXACT(Setup!$B$4,"R_B")),Setup!$B$5&lt;&gt;2019),"CHECK SETUP",IF(OR(LEN(TRIM(CLEAN(SUBSTITUTE(Setup!$B$2,CHAR(160)," "))))=0,Setup!$B$2&lt;&gt;TRIM(CLEAN(SUBSTITUTE(Setup!$B$2,CHAR(160)," ")))),"CHECK REVIEWER ID",IF(OR(A2="",COUNTIF($A$2:$A$5,A2)&lt;&gt;1,LEFT(A2,LEN("2019::jama.2019.7505::"))&lt;&gt;"2019::jama.2019.7505::"),"CHECK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t="inlineStr">
        <is>
          <t>confirmed_issue</t>
        </is>
      </c>
      <c r="I2" s="23" t="inlineStr">
        <is>
          <t>substantive</t>
        </is>
      </c>
      <c r="J2" s="24" t="inlineStr">
        <is>
          <t>direct</t>
        </is>
      </c>
      <c r="K2" s="23">
        <f>IF(AND(OR(D2="retain",D2=""),OR(E2="report_internal_inconsistency",E2="plan_material")),"","not_applicable")</f>
        <v/>
      </c>
      <c r="L2" s="24">
        <f>IF(AND(OR(D2="retain",D2=""),E2="protocol_report"),"","not_applicable")</f>
        <v/>
      </c>
      <c r="M2" s="11" t="n"/>
      <c r="N2" s="11" t="n"/>
      <c r="O2" s="11" t="n"/>
      <c r="P2" s="11" t="n"/>
      <c r="Q2" s="11" t="n"/>
      <c r="R2" s="24" t="inlineStr">
        <is>
          <t>Confirmed. Hypoxemia, 49/989 (5.0%) vs 134/987 (13.6%): the abstract prints difference -8.6% (95% CI -11.1% to 6.1%), P&lt;.001; Table 3 prints -8.6 (-11.1 to -6.1). Recomputed Wald CI: -11.15 to -6.09, so Table 3 is right and the abstract dropped a minus sign. As printed, the abstract CI crosses 0 and contradicts its own P&lt;.001.</t>
        </is>
      </c>
    </row>
    <row r="3" ht="120" customFormat="1" customHeight="1" s="14">
      <c r="A3" s="11" t="inlineStr">
        <is>
          <t>2019::jama.2019.7505::C002</t>
        </is>
      </c>
      <c r="B3" s="11" t="inlineStr">
        <is>
          <t>DIC row finite risk ratio and narrow interval do not reconcile with zero comparator events</t>
        </is>
      </c>
      <c r="C3" s="11" t="inlineStr">
        <is>
          <t>DOC-001, jama_bluth_2019_oi_190055_16092.pdf — PDF p. 9, Table 3; PDF p. 10, continued Table 3 footnotes; and PDF p. 4, binary-outcome method.</t>
        </is>
      </c>
      <c r="D3" s="23" t="inlineStr">
        <is>
          <t>retain</t>
        </is>
      </c>
      <c r="E3" s="23" t="inlineStr">
        <is>
          <t>statistical_results</t>
        </is>
      </c>
      <c r="F3" s="23" t="inlineStr">
        <is>
          <t>primary_done</t>
        </is>
      </c>
      <c r="G3" s="11">
        <f>IFERROR(IF(OR(NOT(EXACT(Setup!$B$4,"R_B")),Setup!$B$5&lt;&gt;2019),"CHECK SETUP",IF(OR(LEN(TRIM(CLEAN(SUBSTITUTE(Setup!$B$2,CHAR(160)," "))))=0,Setup!$B$2&lt;&gt;TRIM(CLEAN(SUBSTITUTE(Setup!$B$2,CHAR(160)," ")))),"CHECK REVIEWER ID",IF(OR(A3="",COUNTIF($A$2:$A$5,A3)&lt;&gt;1,LEFT(A3,LEN("2019::jama.2019.7505::"))&lt;&gt;"2019::jama.2019.7505::"),"CHECK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t="inlineStr">
        <is>
          <t>confirmed_issue</t>
        </is>
      </c>
      <c r="I3" s="23" t="inlineStr">
        <is>
          <t>substantive</t>
        </is>
      </c>
      <c r="J3" s="24" t="inlineStr">
        <is>
          <t>possible</t>
        </is>
      </c>
      <c r="K3" s="23">
        <f>IF(AND(OR(D3="retain",D3=""),OR(E3="report_internal_inconsistency",E3="plan_material")),"","not_applicable")</f>
        <v/>
      </c>
      <c r="L3" s="24">
        <f>IF(AND(OR(D3="retain",D3=""),E3="protocol_report"),"","not_applicable")</f>
        <v/>
      </c>
      <c r="M3" s="11" t="n"/>
      <c r="N3" s="11" t="n"/>
      <c r="O3" s="11" t="n"/>
      <c r="P3" s="11" t="n"/>
      <c r="Q3" s="11" t="n"/>
      <c r="R3" s="24" t="inlineStr">
        <is>
          <t>Confirmed. DIC: 1/989 vs 0/987 with RR 2.00 (95% CI 1.91-2.09) and P&gt;.99. A ratio with zero comparator events is undefined; zero-cell corrections give about 3.0 with a CI spanning about 0.12-73. The printed CI excludes 1 and implies a precise doubling, contradicting P&gt;.99 (Fisher P=1.0). 2.00 equals p_high/mean(p_high,p_low) exactly; other Table 3 RRs also differ from crude risk ratios.</t>
        </is>
      </c>
    </row>
    <row r="4" ht="162" customFormat="1" customHeight="1" s="14">
      <c r="A4" s="12" t="inlineStr">
        <is>
          <t>2019::jama.2019.7505::C003</t>
        </is>
      </c>
      <c r="B4" s="12" t="inlineStr">
        <is>
          <t>Protocol analysis sentence combines odds-ratio and relative-risk labels</t>
        </is>
      </c>
      <c r="C4" s="12" t="inlineStr">
        <is>
          <t>DOC-002, joi190055supp1_prod_16092.pdf — physical PDF p. 23 (footer p. 22), section 8.2 Analysis; comparator definitions in DOC-004, joi190055supp3_prod_16092.pdf — PDF p. 2 and PDF p. 3.</t>
        </is>
      </c>
      <c r="D4" s="23" t="inlineStr">
        <is>
          <t>retain</t>
        </is>
      </c>
      <c r="E4" s="23" t="inlineStr">
        <is>
          <t>plan_material</t>
        </is>
      </c>
      <c r="F4" s="23" t="inlineStr">
        <is>
          <t>primary_done</t>
        </is>
      </c>
      <c r="G4" s="12">
        <f>IFERROR(IF(OR(NOT(EXACT(Setup!$B$4,"R_B")),Setup!$B$5&lt;&gt;2019),"CHECK SETUP",IF(OR(LEN(TRIM(CLEAN(SUBSTITUTE(Setup!$B$2,CHAR(160)," "))))=0,Setup!$B$2&lt;&gt;TRIM(CLEAN(SUBSTITUTE(Setup!$B$2,CHAR(160)," ")))),"CHECK REVIEWER ID",IF(OR(A4="",COUNTIF($A$2:$A$5,A4)&lt;&gt;1,LEFT(A4,LEN("2019::jama.2019.7505::"))&lt;&gt;"2019::jama.2019.7505::"),"CHECK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t="inlineStr">
        <is>
          <t>minor_presentation</t>
        </is>
      </c>
      <c r="L4" s="24">
        <f>IF(AND(OR(D4="retain",D4=""),E4="protocol_report"),"","not_applicable")</f>
        <v/>
      </c>
      <c r="M4" s="11" t="n"/>
      <c r="N4" s="11" t="n"/>
      <c r="O4" s="11" t="n"/>
      <c r="P4" s="11" t="n"/>
      <c r="Q4" s="11" t="n"/>
      <c r="R4" s="24" t="inlineStr">
        <is>
          <t>Confirmed. Protocol v2.6 section 8.2: PPC rates 'will be compared ... and the odds ratio relative risks with corresponding 95% confidence levels interval will be calculated using logistic regression', an unresolved edit. The updated SAP (finalized 20 Jan 2018, before database lock) specifies risk ratios with Wald/chi-square for the primary outcome and ORs only for named exploratory analyses.</t>
        </is>
      </c>
    </row>
    <row r="5" ht="134" customFormat="1" customHeight="1" s="14">
      <c r="A5" s="11" t="inlineStr">
        <is>
          <t>2019::jama.2019.7505::C004</t>
        </is>
      </c>
      <c r="B5" s="11" t="inlineStr">
        <is>
          <t>eFigure 11 mortality values are described as extra-pulmonary complications</t>
        </is>
      </c>
      <c r="C5" s="11" t="inlineStr">
        <is>
          <t>DOC-005, joi190055supp4_prod_16092.pdf — PDF p. 41, eFigure 11; comparator PDF p. 40, eFigure 10; and DOC-001, jama_bluth_2019_oi_190055_16092.pdf — PDF p. 10, Table 3.</t>
        </is>
      </c>
      <c r="D5" s="23" t="inlineStr">
        <is>
          <t>retain</t>
        </is>
      </c>
      <c r="E5" s="23" t="inlineStr">
        <is>
          <t>report_internal_inconsistency</t>
        </is>
      </c>
      <c r="F5" s="23" t="inlineStr">
        <is>
          <t>primary_done</t>
        </is>
      </c>
      <c r="G5" s="11">
        <f>IFERROR(IF(OR(NOT(EXACT(Setup!$B$4,"R_B")),Setup!$B$5&lt;&gt;2019),"CHECK SETUP",IF(OR(LEN(TRIM(CLEAN(SUBSTITUTE(Setup!$B$2,CHAR(160)," "))))=0,Setup!$B$2&lt;&gt;TRIM(CLEAN(SUBSTITUTE(Setup!$B$2,CHAR(160)," ")))),"CHECK REVIEWER ID",IF(OR(A5="",COUNTIF($A$2:$A$5,A5)&lt;&gt;1,LEFT(A5,LEN("2019::jama.2019.7505::"))&lt;&gt;"2019::jama.2019.7505::"),"CHECK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t="inlineStr">
        <is>
          <t>minor_presentation</t>
        </is>
      </c>
      <c r="L5" s="24">
        <f>IF(AND(OR(D5="retain",D5=""),E5="protocol_report"),"","not_applicable")</f>
        <v/>
      </c>
      <c r="M5" s="11" t="n"/>
      <c r="N5" s="11" t="n"/>
      <c r="O5" s="11" t="n"/>
      <c r="P5" s="11" t="n"/>
      <c r="Q5" s="11" t="n"/>
      <c r="R5" s="24" t="inlineStr">
        <is>
          <t>Confirmed. eFigure 11 is titled 'Probability of death in the first 5 postoperative days' and reports 0.5% vs 0.3%, HR for 5-day mortality 1.67 (0.40-6.97), but its narrative calls these 'the rate of postoperative extra-pulmonary complications', text copied from eFigure 10 (16.9% vs 15.2%). Table 3 mortality at 5 days is 5 (0.5) vs 3 (0.3). Copied label; meaning clear from title and HR label.</t>
        </is>
      </c>
    </row>
  </sheetData>
  <autoFilter ref="A1:R5"/>
  <conditionalFormatting sqref="H2:H5">
    <cfRule type="expression" priority="8" dxfId="70">
      <formula>NOT(AND(OR($D2="retain",$D2=""),$E2="statistical_results"))</formula>
    </cfRule>
  </conditionalFormatting>
  <conditionalFormatting sqref="I2:I5">
    <cfRule type="expression" priority="9" dxfId="70">
      <formula>NOT(AND(OR($D2="retain",$D2=""),$E2="statistical_results"))</formula>
    </cfRule>
  </conditionalFormatting>
  <conditionalFormatting sqref="J2:J5">
    <cfRule type="expression" priority="10" dxfId="70">
      <formula>NOT(AND(OR($D2="retain",$D2=""),$E2="statistical_results"))</formula>
    </cfRule>
  </conditionalFormatting>
  <conditionalFormatting sqref="K2:K5">
    <cfRule type="expression" priority="11" dxfId="70">
      <formula>NOT(AND(OR($D2="retain",$D2=""),OR($E2="report_internal_inconsistency",$E2="plan_material")))</formula>
    </cfRule>
  </conditionalFormatting>
  <conditionalFormatting sqref="L2:L5">
    <cfRule type="expression" priority="12" dxfId="70">
      <formula>NOT(AND(OR($D2="retain",$D2=""),$E2="protocol_report"))</formula>
    </cfRule>
  </conditionalFormatting>
  <conditionalFormatting sqref="G2:G5">
    <cfRule type="expression" priority="13" dxfId="71">
      <formula>$G2&lt;&gt;"PRIMARY READY"</formula>
    </cfRule>
    <cfRule type="expression" priority="14" dxfId="72">
      <formula>$G2="PRIMARY READY"</formula>
    </cfRule>
  </conditionalFormatting>
  <conditionalFormatting sqref="D2:D5">
    <cfRule type="expression" priority="15" dxfId="73">
      <formula>$D2="discuss"</formula>
    </cfRule>
  </conditionalFormatting>
  <dataValidations count="8">
    <dataValidation sqref="D2:D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5"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E59"/>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style="14" min="1" max="1"/>
    <col width="29" customWidth="1" style="14" min="2" max="2"/>
    <col width="43" customWidth="1" style="14" min="3" max="3"/>
    <col width="99" customWidth="1" style="14" min="4" max="4"/>
    <col width="28" customWidth="1" style="14" min="5" max="5"/>
  </cols>
  <sheetData>
    <row r="1" ht="44" customFormat="1" customHeight="1" s="14">
      <c r="A1" s="15" t="inlineStr">
        <is>
          <t>Field name</t>
        </is>
      </c>
      <c r="B1" s="15" t="inlineStr">
        <is>
          <t>Option / value</t>
        </is>
      </c>
      <c r="C1" s="15" t="inlineStr">
        <is>
          <t>Requirement / scope</t>
        </is>
      </c>
      <c r="D1" s="15" t="inlineStr">
        <is>
          <t>Explanation and example</t>
        </is>
      </c>
      <c r="E1" s="15" t="inlineStr">
        <is>
          <t>Internal key</t>
        </is>
      </c>
    </row>
    <row r="2" ht="113" customFormat="1" customHeight="1" s="14">
      <c r="A2" s="16" t="inlineStr">
        <is>
          <t>Working method</t>
        </is>
      </c>
      <c r="B2" s="16" t="inlineStr">
        <is>
          <t>GUIDE</t>
        </is>
      </c>
      <c r="C2" s="16" t="inlineStr">
        <is>
          <t>Independent primary review</t>
        </is>
      </c>
      <c r="D2" s="16" t="inlineStr">
        <is>
          <t>No inherited blanks or control words. Keep the existing answers; edit directly. Blank = no answer; indeterminate/unknown = uncertain; not_applicable = inactive. Clear obsolete answers after changing a branch.</t>
        </is>
      </c>
      <c r="E2" s="16" t="n"/>
    </row>
    <row r="3" ht="113" customFormat="1" customHeight="1" s="14">
      <c r="A3" s="17" t="inlineStr">
        <is>
          <t>Required judgments</t>
        </is>
      </c>
      <c r="B3" s="17" t="inlineStr">
        <is>
          <t>GUIDE</t>
        </is>
      </c>
      <c r="C3" s="17" t="inlineStr">
        <is>
          <t>Retain only</t>
        </is>
      </c>
      <c r="D3" s="17" t="inlineStr">
        <is>
          <t>statistical_results: issue + substantiveness; report_internal_inconsistency or plan_material: internalStatus. protocol_report: no extra required judgment; interpretation is optional.</t>
        </is>
      </c>
      <c r="E3" s="17" t="n"/>
    </row>
    <row r="4" ht="113" customFormat="1" customHeight="1" s="14">
      <c r="A4" s="16" t="inlineStr">
        <is>
          <t>How to read this Codebook</t>
        </is>
      </c>
      <c r="B4" s="16" t="n"/>
      <c r="C4" s="16" t="n"/>
      <c r="D4" s="16" t="n"/>
      <c r="E4" s="16" t="n"/>
    </row>
    <row r="5" ht="113" customFormat="1" customHeight="1" s="14">
      <c r="A5" s="17" t="inlineStr">
        <is>
          <t>1  |  Common decisions and optional notes</t>
        </is>
      </c>
      <c r="B5" s="17" t="n"/>
      <c r="C5" s="17" t="n"/>
      <c r="D5" s="17" t="n"/>
      <c r="E5" s="17" t="n"/>
    </row>
    <row r="6" ht="113" customFormat="1" customHeight="1" s="14">
      <c r="A6" s="16" t="inlineStr">
        <is>
          <t>Disposition</t>
        </is>
      </c>
      <c r="B6" s="16" t="inlineStr">
        <is>
          <t>FIELD</t>
        </is>
      </c>
      <c r="C6" s="16" t="inlineStr">
        <is>
          <t>Required; all domains</t>
        </is>
      </c>
      <c r="D6" s="16" t="inlineStr">
        <is>
          <t>Keep, exclude, or defer for discussion. Blank means untouched, not discuss. No AI disposition is preselected. Enter your own independent assessment.</t>
        </is>
      </c>
      <c r="E6" s="16" t="inlineStr">
        <is>
          <t>disposition</t>
        </is>
      </c>
    </row>
    <row r="7" ht="113" customFormat="1" customHeight="1" s="14">
      <c r="A7" s="17" t="n"/>
      <c r="B7" s="17" t="inlineStr">
        <is>
          <t>retain</t>
        </is>
      </c>
      <c r="C7" s="17" t="inlineStr">
        <is>
          <t>Option</t>
        </is>
      </c>
      <c r="D7" s="17" t="inlineStr">
        <is>
          <t>Retain candidate. After human review, keep this finding in the applicable review results; retaining a protocol discrepancy does not automatically confirm an issue.</t>
        </is>
      </c>
      <c r="E7" s="17" t="n"/>
    </row>
    <row r="8" ht="113" customFormat="1" customHeight="1" s="14">
      <c r="A8" s="16" t="n"/>
      <c r="B8" s="16" t="inlineStr">
        <is>
          <t>exclude</t>
        </is>
      </c>
      <c r="C8" s="16" t="inlineStr">
        <is>
          <t>Option</t>
        </is>
      </c>
      <c r="D8" s="16" t="inlineStr">
        <is>
          <t>Do not retain. The candidate has been assessed and should not remain as a finding, for example because the apparent mismatch has a satisfactory explanation.</t>
        </is>
      </c>
      <c r="E8" s="16" t="n"/>
    </row>
    <row r="9" ht="113" customFormat="1" customHeight="1" s="14">
      <c r="A9" s="17" t="n"/>
      <c r="B9" s="17" t="inlineStr">
        <is>
          <t>discuss</t>
        </is>
      </c>
      <c r="C9" s="17" t="inlineStr">
        <is>
          <t>Option</t>
        </is>
      </c>
      <c r="D9" s="17" t="inlineStr">
        <is>
          <t>Needs discussion. The reviewer has considered the candidate but cannot settle the disposition without further discussion. This is a decision to defer, not an untouched blank.</t>
        </is>
      </c>
      <c r="E9" s="17" t="n"/>
    </row>
    <row r="10" ht="113" customFormat="1" customHeight="1" s="14">
      <c r="A10" s="16" t="inlineStr">
        <is>
          <t>Review domain</t>
        </is>
      </c>
      <c r="B10" s="16" t="inlineStr">
        <is>
          <t>FIELD</t>
        </is>
      </c>
      <c r="C10" s="16" t="inlineStr">
        <is>
          <t>Required; all domains</t>
        </is>
      </c>
      <c r="D10" s="16" t="inlineStr">
        <is>
          <t>Choose the assessment branch first. It controls automatic not_applicable defaults and which judgments are required. All four choices are available; the frozen document relationship code does not change.</t>
        </is>
      </c>
      <c r="E10" s="16" t="inlineStr">
        <is>
          <t>domain</t>
        </is>
      </c>
    </row>
    <row r="11" ht="113" customFormat="1" customHeight="1" s="14">
      <c r="A11" s="17" t="n"/>
      <c r="B11" s="17" t="inlineStr">
        <is>
          <t>statistical_results</t>
        </is>
      </c>
      <c r="C11" s="17" t="inlineStr">
        <is>
          <t>Option</t>
        </is>
      </c>
      <c r="D11" s="17" t="inlineStr">
        <is>
          <t>Statistical results (S_C / S_W). Assess reported numbers, estimates, intervals, denominators or statistical claims in the current report materials.</t>
        </is>
      </c>
      <c r="E11" s="17" t="n"/>
    </row>
    <row r="12" ht="113" customFormat="1" customHeight="1" s="14">
      <c r="A12" s="16" t="n"/>
      <c r="B12" s="16" t="inlineStr">
        <is>
          <t>report_internal_inconsistency</t>
        </is>
      </c>
      <c r="C12" s="16" t="inlineStr">
        <is>
          <t>Option</t>
        </is>
      </c>
      <c r="D12" s="1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2" s="16" t="n"/>
    </row>
    <row r="13" ht="113" customFormat="1" customHeight="1" s="14">
      <c r="A13" s="17" t="n"/>
      <c r="B13" s="17" t="inlineStr">
        <is>
          <t>protocol_report</t>
        </is>
      </c>
      <c r="C13" s="17" t="inlineStr">
        <is>
          <t>Option</t>
        </is>
      </c>
      <c r="D13" s="17" t="inlineStr">
        <is>
          <t>Protocol-report (P_R). Assess whether planned and reported conduct or analyses meaningfully differ, using the compared materials. No search for acknowledgment or reasons for changes is required.</t>
        </is>
      </c>
      <c r="E13" s="17" t="n"/>
    </row>
    <row r="14" ht="113" customFormat="1" customHeight="1" s="14">
      <c r="A14" s="16" t="n"/>
      <c r="B14" s="16" t="inlineStr">
        <is>
          <t>plan_material</t>
        </is>
      </c>
      <c r="C14" s="16" t="inlineStr">
        <is>
          <t>Option</t>
        </is>
      </c>
      <c r="D14" s="16" t="inlineStr">
        <is>
          <t>Plan material (P_P). Assess an inconsistency involving planning materials themselves rather than a planned-versus-reported result. The original relationship code remains unchanged.</t>
        </is>
      </c>
      <c r="E14" s="16" t="n"/>
    </row>
    <row r="15" ht="113" customFormat="1" customHeight="1" s="14">
      <c r="A15" s="17" t="inlineStr">
        <is>
          <t>Complete</t>
        </is>
      </c>
      <c r="B15" s="17" t="inlineStr">
        <is>
          <t>FIELD</t>
        </is>
      </c>
      <c r="C15" s="17" t="inlineStr">
        <is>
          <t>Independent primary review</t>
        </is>
      </c>
      <c r="D15" s="17" t="inlineStr">
        <is>
          <t>Use no while drafting, then primary_done after manual review. Before changing a completed row, reset F to no, review again, then mark primary_done. Formulas cannot erase a completion flag.</t>
        </is>
      </c>
      <c r="E15" s="17" t="inlineStr">
        <is>
          <t>reviewComplete</t>
        </is>
      </c>
    </row>
    <row r="16" ht="113" customFormat="1" customHeight="1" s="14">
      <c r="A16" s="16" t="n"/>
      <c r="B16" s="16" t="inlineStr">
        <is>
          <t>no</t>
        </is>
      </c>
      <c r="C16" s="16" t="inlineStr">
        <is>
          <t>Option</t>
        </is>
      </c>
      <c r="D16" s="16" t="inlineStr">
        <is>
          <t>Draft. Independent primary review is not yet confirmed complete; AI suggestions and partially filled fields do not count as completed human review.</t>
        </is>
      </c>
      <c r="E16" s="16" t="n"/>
    </row>
    <row r="17" ht="113" customFormat="1" customHeight="1" s="14">
      <c r="A17" s="17" t="inlineStr">
        <is>
          <t>Validation hint</t>
        </is>
      </c>
      <c r="B17" s="17" t="inlineStr">
        <is>
          <t>FIELD</t>
        </is>
      </c>
      <c r="C17" s="17" t="inlineStr">
        <is>
          <t>Calculated</t>
        </is>
      </c>
      <c r="D17" s="17" t="inlineStr">
        <is>
          <t>Calculated entry checks for this reviewer only. PRIMARY READY requires valid identity, key, fields and primary_done. Discuss can be ready and remains unresolved. Checks do not establish scientific accuracy.</t>
        </is>
      </c>
      <c r="E17" s="17" t="inlineStr">
        <is>
          <t>readiness</t>
        </is>
      </c>
    </row>
    <row r="18" ht="113" customFormat="1" customHeight="1" s="14">
      <c r="A18" s="16" t="inlineStr">
        <is>
          <t>Notes (optional)</t>
        </is>
      </c>
      <c r="B18" s="16" t="inlineStr">
        <is>
          <t>FIELD</t>
        </is>
      </c>
      <c r="C18" s="16" t="inlineStr">
        <is>
          <t>Optional</t>
        </is>
      </c>
      <c r="D18" s="16" t="inlineStr">
        <is>
          <t>Optional English context. Clearing removes the text; no inheritance and no control words.</t>
        </is>
      </c>
      <c r="E18" s="16" t="inlineStr">
        <is>
          <t>notes</t>
        </is>
      </c>
    </row>
    <row r="19" ht="113" customFormat="1" customHeight="1" s="14">
      <c r="A19" s="17" t="inlineStr">
        <is>
          <t>2  |  Statistical results: two required judgments</t>
        </is>
      </c>
      <c r="B19" s="17" t="n"/>
      <c r="C19" s="17" t="n"/>
      <c r="D19" s="17" t="n"/>
      <c r="E19" s="17" t="n"/>
    </row>
    <row r="20" ht="113" customFormat="1" customHeight="1" s="14">
      <c r="A20" s="16" t="inlineStr">
        <is>
          <t>Statistcal_or_numerical issue</t>
        </is>
      </c>
      <c r="B20" s="16" t="inlineStr">
        <is>
          <t>FIELD</t>
        </is>
      </c>
      <c r="C20" s="16" t="inlineStr">
        <is>
          <t>Required; retained statistical_results</t>
        </is>
      </c>
      <c r="D20" s="16" t="inlineStr">
        <is>
          <t>Does a statistical or numerical reporting issue exist? Example: a reported percentage conflicts with its stated numerator and denominator after checking definitions. Certainty is separate from importance.</t>
        </is>
      </c>
      <c r="E20" s="16" t="inlineStr">
        <is>
          <t>statisticalIssueStatus</t>
        </is>
      </c>
    </row>
    <row r="21" ht="113" customFormat="1" customHeight="1" s="14">
      <c r="A21" s="17" t="n"/>
      <c r="B21" s="17" t="inlineStr">
        <is>
          <t>confirmed_issue</t>
        </is>
      </c>
      <c r="C21" s="17" t="inlineStr">
        <is>
          <t>Option</t>
        </is>
      </c>
      <c r="D21" s="17" t="inlineStr">
        <is>
          <t>Confirmed statistical or numerical reporting issue. The available evidence establishes a reporting issue or contradiction, even if the correct replacement value is not known.</t>
        </is>
      </c>
      <c r="E21" s="17" t="n"/>
    </row>
    <row r="22" ht="113" customFormat="1" customHeight="1" s="14">
      <c r="A22" s="16" t="n"/>
      <c r="B22" s="16" t="inlineStr">
        <is>
          <t>probable_issue</t>
        </is>
      </c>
      <c r="C22" s="16" t="inlineStr">
        <is>
          <t>Option</t>
        </is>
      </c>
      <c r="D22" s="16" t="inlineStr">
        <is>
          <t>Probable statistical or numerical reporting issue. The evidence favors a reporting issue, but an unresolved limitation or plausible alternative prevents confirmation.</t>
        </is>
      </c>
      <c r="E22" s="16" t="n"/>
    </row>
    <row r="23" ht="113" customFormat="1" customHeight="1" s="14">
      <c r="A23" s="17" t="n"/>
      <c r="B23" s="17" t="inlineStr">
        <is>
          <t>not_issue</t>
        </is>
      </c>
      <c r="C23" s="17" t="inlineStr">
        <is>
          <t>Option</t>
        </is>
      </c>
      <c r="D23" s="17" t="inlineStr">
        <is>
          <t>Not a statistical or numerical issue. The apparent discrepancy is consistent with a valid calculation, definition, analysis method or reporting context.</t>
        </is>
      </c>
      <c r="E23" s="17" t="n"/>
    </row>
    <row r="24" ht="113" customFormat="1" customHeight="1" s="14">
      <c r="A24" s="16" t="n"/>
      <c r="B24" s="16" t="inlineStr">
        <is>
          <t>indeterminate</t>
        </is>
      </c>
      <c r="C24" s="16" t="inlineStr">
        <is>
          <t>Option</t>
        </is>
      </c>
      <c r="D24" s="16" t="inlineStr">
        <is>
          <t>Indeterminate. The available evidence does not support deciding whether a statistical or numerical reporting issue exists; neither confirmation nor dismissal is justified.</t>
        </is>
      </c>
      <c r="E24" s="16" t="n"/>
    </row>
    <row r="25" ht="113" customFormat="1" customHeight="1" s="14">
      <c r="A25" s="17" t="n"/>
      <c r="B25" s="17" t="inlineStr">
        <is>
          <t>not_applicable</t>
        </is>
      </c>
      <c r="C25" s="17" t="inlineStr">
        <is>
          <t>Option</t>
        </is>
      </c>
      <c r="D25" s="17" t="inlineStr">
        <is>
          <t>Automatic default outside this field's review domain or for a non-retained candidate. It is not an issue verdict, missing evidence, or an unanswered applicable question. Do not choose it for an applicable field.</t>
        </is>
      </c>
      <c r="E25" s="17" t="n"/>
    </row>
    <row r="26" ht="113" customFormat="1" customHeight="1" s="14">
      <c r="A26" s="16" t="inlineStr">
        <is>
          <t>Substantiveness</t>
        </is>
      </c>
      <c r="B26" s="16" t="inlineStr">
        <is>
          <t>FIELD</t>
        </is>
      </c>
      <c r="C26" s="16" t="inlineStr">
        <is>
          <t>Required; retained statistical_results</t>
        </is>
      </c>
      <c r="D26" s="16" t="inlineStr">
        <is>
          <t>Could the issue meaningfully affect interpretation or data use? A harmless spacing typo is minor_presentation; an ambiguous extractable effect estimate may be substantive. An issue can be confirmed yet minor.</t>
        </is>
      </c>
      <c r="E26" s="16" t="inlineStr">
        <is>
          <t>substantiveStatus</t>
        </is>
      </c>
    </row>
    <row r="27" ht="113" customFormat="1" customHeight="1" s="14">
      <c r="A27" s="17" t="n"/>
      <c r="B27" s="17" t="inlineStr">
        <is>
          <t>substantive</t>
        </is>
      </c>
      <c r="C27" s="17" t="inlineStr">
        <is>
          <t>Option</t>
        </is>
      </c>
      <c r="D27" s="17" t="inlineStr">
        <is>
          <t>Substantive. The issue could meaningfully change interpretation, data extraction or downstream analysis, rather than only the presentation of the result.</t>
        </is>
      </c>
      <c r="E27" s="17" t="n"/>
    </row>
    <row r="28" ht="113" customFormat="1" customHeight="1" s="14">
      <c r="A28" s="16" t="n"/>
      <c r="B28" s="16" t="inlineStr">
        <is>
          <t>minor_presentation</t>
        </is>
      </c>
      <c r="C28" s="16" t="inlineStr">
        <is>
          <t>Option</t>
        </is>
      </c>
      <c r="D28" s="16" t="inlineStr">
        <is>
          <t>Minor or presentation only. The intended result remains clear and the issue is a small formatting, labeling or typographic problem without a meaningful change in interpretation.</t>
        </is>
      </c>
      <c r="E28" s="16" t="n"/>
    </row>
    <row r="29" ht="113" customFormat="1" customHeight="1" s="14">
      <c r="A29" s="17" t="n"/>
      <c r="B29" s="17" t="inlineStr">
        <is>
          <t>indeterminate</t>
        </is>
      </c>
      <c r="C29" s="17" t="inlineStr">
        <is>
          <t>Option</t>
        </is>
      </c>
      <c r="D29" s="17" t="inlineStr">
        <is>
          <t>Indeterminate. There is not enough information to decide whether the issue is substantive or limited to presentation.</t>
        </is>
      </c>
      <c r="E29" s="17" t="n"/>
    </row>
    <row r="30" ht="113" customFormat="1" customHeight="1" s="14">
      <c r="A30" s="16" t="n"/>
      <c r="B30" s="16" t="inlineStr">
        <is>
          <t>not_applicable</t>
        </is>
      </c>
      <c r="C30" s="16" t="inlineStr">
        <is>
          <t>Option</t>
        </is>
      </c>
      <c r="D30" s="16" t="inlineStr">
        <is>
          <t>Automatic default outside this field's review domain or for a non-retained candidate. It is not an issue verdict, missing evidence, or an unanswered applicable question. Do not choose it for an applicable field.</t>
        </is>
      </c>
      <c r="E30" s="16" t="n"/>
    </row>
    <row r="31" ht="113" customFormat="1" customHeight="1" s="14">
      <c r="A31" s="17" t="inlineStr">
        <is>
          <t>Downstream impact</t>
        </is>
      </c>
      <c r="B31" s="17" t="inlineStr">
        <is>
          <t>FIELD</t>
        </is>
      </c>
      <c r="C31" s="17" t="inlineStr">
        <is>
          <t>Optional; retained statistical_results</t>
        </is>
      </c>
      <c r="D31" s="17"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1" s="17" t="inlineStr">
        <is>
          <t>downstreamImpact</t>
        </is>
      </c>
    </row>
    <row r="32" ht="113" customFormat="1" customHeight="1" s="14">
      <c r="A32" s="16" t="n"/>
      <c r="B32" s="16" t="inlineStr">
        <is>
          <t>direct</t>
        </is>
      </c>
      <c r="C32" s="16" t="inlineStr">
        <is>
          <t>Option</t>
        </is>
      </c>
      <c r="D32" s="16" t="inlineStr">
        <is>
          <t>Direct extraction or analysis impact. The affected value or definition is itself an input to data extraction or subsequent analysis; this describes potential impact, not proven downstream harm.</t>
        </is>
      </c>
      <c r="E32" s="16" t="n"/>
    </row>
    <row r="33" ht="113" customFormat="1" customHeight="1" s="14">
      <c r="A33" s="17" t="n"/>
      <c r="B33" s="17" t="inlineStr">
        <is>
          <t>possible</t>
        </is>
      </c>
      <c r="C33" s="17" t="inlineStr">
        <is>
          <t>Option</t>
        </is>
      </c>
      <c r="D33" s="17" t="inlineStr">
        <is>
          <t>Possible downstream impact. A plausible route to affecting later interpretation, extraction or analysis exists, but the connection is indirect or uncertain.</t>
        </is>
      </c>
      <c r="E33" s="17" t="n"/>
    </row>
    <row r="34" ht="113" customFormat="1" customHeight="1" s="14">
      <c r="A34" s="16" t="n"/>
      <c r="B34" s="16" t="inlineStr">
        <is>
          <t>unlikely</t>
        </is>
      </c>
      <c r="C34" s="16" t="inlineStr">
        <is>
          <t>Option</t>
        </is>
      </c>
      <c r="D34" s="16" t="inlineStr">
        <is>
          <t>Unlikely downstream impact. The issue is unlikely to change extracted information or later analysis because the relevant result remains clear and usable.</t>
        </is>
      </c>
      <c r="E34" s="16" t="n"/>
    </row>
    <row r="35" ht="113" customFormat="1" customHeight="1" s="14">
      <c r="A35" s="17" t="n"/>
      <c r="B35" s="17" t="inlineStr">
        <is>
          <t>unknown</t>
        </is>
      </c>
      <c r="C35" s="17" t="inlineStr">
        <is>
          <t>Option</t>
        </is>
      </c>
      <c r="D35" s="17" t="inlineStr">
        <is>
          <t>Unable to assess. The materials do not establish enough about the affected information or its likely use to judge downstream impact.</t>
        </is>
      </c>
      <c r="E35" s="17" t="n"/>
    </row>
    <row r="36" ht="113" customFormat="1" customHeight="1" s="14">
      <c r="A36" s="16" t="n"/>
      <c r="B36" s="16" t="inlineStr">
        <is>
          <t>not_applicable</t>
        </is>
      </c>
      <c r="C36" s="16" t="inlineStr">
        <is>
          <t>Option</t>
        </is>
      </c>
      <c r="D36" s="16" t="inlineStr">
        <is>
          <t>Automatic default outside this field's review domain or for a non-retained candidate. It is not an issue verdict, missing evidence, or an unanswered applicable question. Do not choose it for an applicable field.</t>
        </is>
      </c>
      <c r="E36" s="16" t="n"/>
    </row>
    <row r="37" ht="113" customFormat="1" customHeight="1" s="14">
      <c r="A37" s="17" t="inlineStr">
        <is>
          <t>3  |  Report internal or planning-material inconsistency</t>
        </is>
      </c>
      <c r="B37" s="17" t="n"/>
      <c r="C37" s="17" t="n"/>
      <c r="D37" s="17" t="n"/>
      <c r="E37" s="17" t="n"/>
    </row>
    <row r="38" ht="113" customFormat="1" customHeight="1" s="14">
      <c r="A38" s="16" t="inlineStr">
        <is>
          <t>Report-internal or planning-material inconsistency</t>
        </is>
      </c>
      <c r="B38" s="16" t="inlineStr">
        <is>
          <t>FIELD</t>
        </is>
      </c>
      <c r="C38" s="16" t="inlineStr">
        <is>
          <t>Required; retained report_internal_inconsistency or plan_material</t>
        </is>
      </c>
      <c r="D38" s="16"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8" s="16" t="inlineStr">
        <is>
          <t>internalStatus</t>
        </is>
      </c>
    </row>
    <row r="39" ht="113" customFormat="1" customHeight="1" s="14">
      <c r="A39" s="17" t="n"/>
      <c r="B39" s="17" t="inlineStr">
        <is>
          <t>substantive_inconsistency</t>
        </is>
      </c>
      <c r="C39" s="17" t="inlineStr">
        <is>
          <t>Option</t>
        </is>
      </c>
      <c r="D39" s="17" t="inlineStr">
        <is>
          <t>Substantive inconsistency. Conflicting statements, values, labels, or descriptions in the compared report or planning materials could materially change how the study, population, procedures or results are understood.</t>
        </is>
      </c>
      <c r="E39" s="17" t="n"/>
    </row>
    <row r="40" ht="113" customFormat="1" customHeight="1" s="14">
      <c r="A40" s="16" t="n"/>
      <c r="B40" s="16" t="inlineStr">
        <is>
          <t>minor_presentation</t>
        </is>
      </c>
      <c r="C40" s="16" t="inlineStr">
        <is>
          <t>Option</t>
        </is>
      </c>
      <c r="D40" s="16" t="inlineStr">
        <is>
          <t>Minor presentation inconsistency. A real discrepancy exists, but it mainly affects presentation, including minor wording or labeling problems, and the intended meaning remains clear. Example: an imprecise label whose intended meaning is clear from context.</t>
        </is>
      </c>
      <c r="E40" s="16" t="n"/>
    </row>
    <row r="41" ht="113" customFormat="1" customHeight="1" s="14">
      <c r="A41" s="17" t="n"/>
      <c r="B41" s="17" t="inlineStr">
        <is>
          <t>non_inconsistency</t>
        </is>
      </c>
      <c r="C41" s="17" t="inlineStr">
        <is>
          <t>Option</t>
        </is>
      </c>
      <c r="D41" s="17"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1" s="17" t="n"/>
    </row>
    <row r="42" ht="113" customFormat="1" customHeight="1" s="14">
      <c r="A42" s="16" t="n"/>
      <c r="B42" s="16" t="inlineStr">
        <is>
          <t>indeterminate</t>
        </is>
      </c>
      <c r="C42" s="16" t="inlineStr">
        <is>
          <t>Option</t>
        </is>
      </c>
      <c r="D42" s="16" t="inlineStr">
        <is>
          <t>Indeterminate. The available material is insufficient to establish whether the statements conflict or how important any conflict is.</t>
        </is>
      </c>
      <c r="E42" s="16" t="n"/>
    </row>
    <row r="43" ht="113" customFormat="1" customHeight="1" s="14">
      <c r="A43" s="17" t="n"/>
      <c r="B43" s="17" t="inlineStr">
        <is>
          <t>not_applicable</t>
        </is>
      </c>
      <c r="C43" s="17" t="inlineStr">
        <is>
          <t>Option</t>
        </is>
      </c>
      <c r="D43" s="17" t="inlineStr">
        <is>
          <t>Automatic default outside this field's review domain or for a non-retained candidate. It is not an issue verdict, missing evidence, or an unanswered applicable question. Do not choose it for an applicable field.</t>
        </is>
      </c>
      <c r="E43" s="17" t="n"/>
    </row>
    <row r="44" ht="113" customFormat="1" customHeight="1" s="14">
      <c r="A44" s="16" t="inlineStr">
        <is>
          <t>4  |  Protocol versus report: optional description only</t>
        </is>
      </c>
      <c r="B44" s="16" t="n"/>
      <c r="C44" s="16" t="n"/>
      <c r="D44" s="16" t="n"/>
      <c r="E44" s="16" t="n"/>
    </row>
    <row r="45" ht="113" customFormat="1" customHeight="1" s="14">
      <c r="A45" s="17" t="inlineStr">
        <is>
          <t>Protocol interpretation</t>
        </is>
      </c>
      <c r="B45" s="17" t="inlineStr">
        <is>
          <t>FIELD</t>
        </is>
      </c>
      <c r="C45" s="17" t="inlineStr">
        <is>
          <t>Optional; retained protocol_report</t>
        </is>
      </c>
      <c r="D45" s="17"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5" s="17" t="inlineStr">
        <is>
          <t>protocolInterpretation</t>
        </is>
      </c>
    </row>
    <row r="46" ht="113" customFormat="1" customHeight="1" s="14">
      <c r="A46" s="16" t="n"/>
      <c r="B46" s="16" t="inlineStr">
        <is>
          <t>substantive_difference</t>
        </is>
      </c>
      <c r="C46" s="16" t="inlineStr">
        <is>
          <t>Option</t>
        </is>
      </c>
      <c r="D46" s="16"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6" s="16" t="n"/>
    </row>
    <row r="47" ht="113" customFormat="1" customHeight="1" s="14">
      <c r="A47" s="17" t="n"/>
      <c r="B47" s="17" t="inlineStr">
        <is>
          <t>minor_presentation</t>
        </is>
      </c>
      <c r="C47" s="17" t="inlineStr">
        <is>
          <t>Option</t>
        </is>
      </c>
      <c r="D47" s="17" t="inlineStr">
        <is>
          <t>Minor presentation difference. A minor wording, labeling or presentation problem exists, but the intended planned and reported meaning or conduct remains clear. Example: an imprecise outcome label clarified by the same definition in both documents.</t>
        </is>
      </c>
      <c r="E47" s="17" t="n"/>
    </row>
    <row r="48" ht="113" customFormat="1" customHeight="1" s="14">
      <c r="A48" s="16" t="n"/>
      <c r="B48" s="16" t="inlineStr">
        <is>
          <t>version_timing</t>
        </is>
      </c>
      <c r="C48" s="16" t="inlineStr">
        <is>
          <t>Option</t>
        </is>
      </c>
      <c r="D48" s="16" t="inlineStr">
        <is>
          <t>Version or timing ambiguity. The difference may reflect which protocol version or date is being compared; the sequence cannot be resolved from the available material.</t>
        </is>
      </c>
      <c r="E48" s="16" t="n"/>
    </row>
    <row r="49" ht="113" customFormat="1" customHeight="1" s="14">
      <c r="A49" s="17" t="n"/>
      <c r="B49" s="17" t="inlineStr">
        <is>
          <t>non_inconsistency</t>
        </is>
      </c>
      <c r="C49" s="17" t="inlineStr">
        <is>
          <t>Option</t>
        </is>
      </c>
      <c r="D49" s="17"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9" s="17" t="n"/>
    </row>
    <row r="50" ht="113" customFormat="1" customHeight="1" s="14">
      <c r="A50" s="16" t="n"/>
      <c r="B50" s="16" t="inlineStr">
        <is>
          <t>indeterminate</t>
        </is>
      </c>
      <c r="C50" s="16" t="inlineStr">
        <is>
          <t>Option</t>
        </is>
      </c>
      <c r="D50" s="16" t="inlineStr">
        <is>
          <t>Indeterminate. The available evidence cannot support a more specific interpretation of the planned-versus-reported difference.</t>
        </is>
      </c>
      <c r="E50" s="16" t="n"/>
    </row>
    <row r="51" ht="113" customFormat="1" customHeight="1" s="14">
      <c r="A51" s="17" t="n"/>
      <c r="B51" s="17" t="inlineStr">
        <is>
          <t>not_applicable</t>
        </is>
      </c>
      <c r="C51" s="17" t="inlineStr">
        <is>
          <t>Option</t>
        </is>
      </c>
      <c r="D51" s="17" t="inlineStr">
        <is>
          <t>Automatic default outside this field's review domain or for a non-retained candidate. It is not an issue verdict, missing evidence, or an unanswered applicable question. Do not choose it for an applicable field.</t>
        </is>
      </c>
      <c r="E51" s="17" t="n"/>
    </row>
    <row r="52" ht="113" customFormat="1" customHeight="1" s="14">
      <c r="A52" s="16" t="inlineStr">
        <is>
          <t>5  |  Candidate context</t>
        </is>
      </c>
      <c r="B52" s="16" t="n"/>
      <c r="C52" s="16" t="n"/>
      <c r="D52" s="16" t="n"/>
      <c r="E52" s="16" t="n"/>
    </row>
    <row r="53" ht="113" customFormat="1" customHeight="1" s="14">
      <c r="A53" s="17" t="inlineStr">
        <is>
          <t>Candidate key</t>
        </is>
      </c>
      <c r="B53" s="17" t="inlineStr">
        <is>
          <t>FIELD</t>
        </is>
      </c>
      <c r="C53" s="17" t="inlineStr">
        <is>
          <t>Reference</t>
        </is>
      </c>
      <c r="D53" s="17" t="inlineStr">
        <is>
          <t>Unique candidate identity used for matching, even after complete rows are reordered. Never edit this value.</t>
        </is>
      </c>
      <c r="E53" s="17" t="inlineStr">
        <is>
          <t>key</t>
        </is>
      </c>
    </row>
    <row r="54" ht="113" customFormat="1" customHeight="1" s="14">
      <c r="A54" s="16" t="inlineStr">
        <is>
          <t>Candidate title</t>
        </is>
      </c>
      <c r="B54" s="16" t="inlineStr">
        <is>
          <t>FIELD</t>
        </is>
      </c>
      <c r="C54" s="16" t="inlineStr">
        <is>
          <t>Reference</t>
        </is>
      </c>
      <c r="D54" s="16" t="inlineStr">
        <is>
          <t>Short candidate title. A candidate is an AI flag for human assessment, not a confirmed issue.</t>
        </is>
      </c>
      <c r="E54" s="16" t="inlineStr">
        <is>
          <t>title</t>
        </is>
      </c>
    </row>
    <row r="55" ht="113" customFormat="1" customHeight="1" s="14">
      <c r="A55" s="17" t="inlineStr">
        <is>
          <t>Source location</t>
        </is>
      </c>
      <c r="B55" s="17" t="inlineStr">
        <is>
          <t>FIELD</t>
        </is>
      </c>
      <c r="C55" s="17" t="inlineStr">
        <is>
          <t>Source reference</t>
        </is>
      </c>
      <c r="D55" s="17" t="inlineStr">
        <is>
          <t>Where to check the source claim. Open the original documents named here (file and PDF page).</t>
        </is>
      </c>
      <c r="E55" s="17" t="inlineStr">
        <is>
          <t>locations</t>
        </is>
      </c>
    </row>
    <row r="56" ht="113" customFormat="1" customHeight="1" s="14">
      <c r="A56" s="16" t="inlineStr">
        <is>
          <t>Complete</t>
        </is>
      </c>
      <c r="B56" s="16" t="inlineStr">
        <is>
          <t>primary_done</t>
        </is>
      </c>
      <c r="C56" s="16" t="inlineStr">
        <is>
          <t>Independent primary review</t>
        </is>
      </c>
      <c r="D56" s="16" t="inlineStr">
        <is>
          <t>Human reviewed; independent primary assessment complete. Scientific uncertainty can remain as discuss.</t>
        </is>
      </c>
      <c r="E56" s="16" t="inlineStr">
        <is>
          <t>reviewComplete</t>
        </is>
      </c>
    </row>
    <row r="57" ht="113" customFormat="1" customHeight="1" s="14">
      <c r="A57" s="17" t="inlineStr">
        <is>
          <t>Suggested review domain</t>
        </is>
      </c>
      <c r="B57" s="17" t="inlineStr">
        <is>
          <t>GUIDE</t>
        </is>
      </c>
      <c r="C57" s="17" t="inlineStr">
        <is>
          <t>Column E</t>
        </is>
      </c>
      <c r="D57" s="17" t="inlineStr">
        <is>
          <t>The initial domain is the unchanged baseline AI suggestion; confirm or edit it. D remains blank. AI suggestions are not human judgments.</t>
        </is>
      </c>
      <c r="E57" s="17" t="n"/>
    </row>
    <row r="58" ht="113" customFormat="1" customHeight="1" s="14">
      <c r="A58" s="16" t="inlineStr">
        <is>
          <t>Untouched defaults</t>
        </is>
      </c>
      <c r="B58" s="16" t="inlineStr">
        <is>
          <t>GUIDE</t>
        </is>
      </c>
      <c r="C58" s="16" t="inlineStr">
        <is>
          <t>H-L</t>
        </is>
      </c>
      <c r="D58" s="16" t="inlineStr">
        <is>
          <t>An untouched formula displays blank for a potentially applicable field while D is blank or retain; otherwise not_applicable. Choosing a judgment replaces that formula. Literal answers never clear automatically; clear stale inactive answers.</t>
        </is>
      </c>
      <c r="E58" s="16" t="n"/>
    </row>
    <row r="59" ht="113" customFormat="1" customHeight="1" s="14">
      <c r="A59" s="17" t="inlineStr">
        <is>
          <t>Protection</t>
        </is>
      </c>
      <c r="B59" s="17" t="inlineStr">
        <is>
          <t>GUIDE</t>
        </is>
      </c>
      <c r="C59" s="17" t="inlineStr">
        <is>
          <t>All cells</t>
        </is>
      </c>
      <c r="D59" s="17" t="inlineStr">
        <is>
          <t>Protected ranges: none. Every style and cell, including unused cells, is explicitly unlocked. Preserve reference and calculation cells; undo accidental edits or use backups.</t>
        </is>
      </c>
      <c r="E59" s="17" t="n"/>
    </row>
    <row r="60" customFormat="1" s="14"/>
    <row r="61" customFormat="1" s="14"/>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Human adjudication construction</dc:creator>
  <dc:title>2019 independent primary review R_B v.2.3.1</dc:title>
  <dc:description>xlsx-adjudication-independent-primary-2.3.1</dc:description>
  <dc:subject>Blank independent primary assessment template</dc:subject>
  <dcterms:created xsi:type="dcterms:W3CDTF">2026-10-10T17:56:13Z</dcterms:created>
  <dcterms:modified xsi:type="dcterms:W3CDTF">2026-10-10T23:23:54Z</dcterms:modified>
</cp:coreProperties>
</file>