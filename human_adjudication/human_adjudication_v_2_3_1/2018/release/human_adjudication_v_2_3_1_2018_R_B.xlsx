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7.21906" sheetId="5" state="visible" r:id="rId5"/>
    <sheet name="C_jama.2018.0156" sheetId="6" state="visible" r:id="rId6"/>
    <sheet name="C_jama.2018.0948" sheetId="7" state="visible" r:id="rId7"/>
    <sheet name="C_jama.2018.14280" sheetId="8" state="visible" r:id="rId8"/>
    <sheet name="C_jama.2018.14282" sheetId="9" state="visible" r:id="rId9"/>
    <sheet name="C_jama.2018.17075" sheetId="10" state="visible" r:id="rId10"/>
    <sheet name="C_jama.2018.18020" sheetId="11" state="visible" r:id="rId11"/>
    <sheet name="C_jama.2018.6496" sheetId="12" state="visible" r:id="rId12"/>
    <sheet name="C_jama.2018.8802" sheetId="13" state="visible" r:id="rId13"/>
    <sheet name="C_jama.2018.9128"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Manifest" sheetId="23" state="visible" r:id="rId23"/>
    <sheet name="Rule_defaults" sheetId="24" state="visible" r:id="rId24"/>
  </sheets>
  <definedNames>
    <definedName name="_xlnm._FilterDatabase" localSheetId="4" hidden="1">'C_jama.2017.21906'!$A$1:$R$7</definedName>
    <definedName name="_xlnm._FilterDatabase" localSheetId="5" hidden="1">'C_jama.2018.0156'!$A$1:$R$9</definedName>
    <definedName name="_xlnm._FilterDatabase" localSheetId="6" hidden="1">'C_jama.2018.0948'!$A$1:$R$8</definedName>
    <definedName name="_xlnm._FilterDatabase" localSheetId="7" hidden="1">'C_jama.2018.14280'!$A$1:$R$24</definedName>
    <definedName name="_xlnm._FilterDatabase" localSheetId="8" hidden="1">'C_jama.2018.14282'!$A$1:$R$29</definedName>
    <definedName name="_xlnm._FilterDatabase" localSheetId="9" hidden="1">'C_jama.2018.17075'!$A$1:$R$9</definedName>
    <definedName name="_xlnm._FilterDatabase" localSheetId="10" hidden="1">'C_jama.2018.18020'!$A$1:$R$15</definedName>
    <definedName name="_xlnm._FilterDatabase" localSheetId="11" hidden="1">'C_jama.2018.6496'!$A$1:$R$5</definedName>
    <definedName name="_xlnm._FilterDatabase" localSheetId="12" hidden="1">'C_jama.2018.8802'!$A$1:$R$9</definedName>
    <definedName name="_xlnm._FilterDatabase" localSheetId="13" hidden="1">'C_jama.2018.9128'!$A$1:$R$14</definedName>
    <definedName name="_xlnm._FilterDatabase" localSheetId="14" hidden="1">'Decisions'!$A$1:$R$120</definedName>
  </definedNames>
  <calcPr calcId="124519" calcMode="auto" fullCalcOnLoad="1" forceFullCalc="1"/>
</workbook>
</file>

<file path=xl/styles.xml><?xml version="1.0" encoding="utf-8"?>
<s:styleSheet xmlns:s="http://schemas.openxmlformats.org/spreadsheetml/2006/main">
  <s:numFmts count="0"/>
  <s:fonts count="5">
    <s:font>
      <s:name val="Carlito"/>
      <s:sz val="11"/>
    </s:font>
    <s:font>
      <s:name val="Calibri"/>
      <s:color rgb="FF173F57"/>
      <s:sz val="11"/>
    </s:font>
    <s:font>
      <s:name val="Calibri"/>
      <s:b val="1"/>
      <s:color rgb="FFFFFFFF"/>
      <s:sz val="11"/>
    </s:font>
    <s:font>
      <s:name val="Calibri"/>
      <s:color rgb="00173F57"/>
      <s:sz val="11"/>
    </s:font>
    <s:font>
      <s:name val="Calibri"/>
      <s:b val="1"/>
      <s:color rgb="00FFFFFF"/>
      <s:sz val="11"/>
    </s:font>
  </s:fonts>
  <s:fills count="10">
    <s:fill>
      <s:patternFill/>
    </s:fill>
    <s:fill>
      <s:patternFill patternType="gray125"/>
    </s:fill>
    <s:fill>
      <s:patternFill patternType="solid">
        <s:fgColor rgb="FF173F57"/>
      </s:patternFill>
    </s:fill>
    <s:fill>
      <s:patternFill patternType="solid">
        <s:fgColor rgb="FFF4F8FA"/>
      </s:patternFill>
    </s:fill>
    <s:fill>
      <s:patternFill patternType="solid">
        <s:fgColor rgb="FFFFF2CC"/>
      </s:patternFill>
    </s:fill>
    <s:fill>
      <s:patternFill patternType="solid">
        <s:fgColor rgb="FFEAF3FC"/>
      </s:patternFill>
    </s:fill>
    <s:fill>
      <s:patternFill patternType="solid">
        <s:fgColor rgb="00173F57"/>
      </s:patternFill>
    </s:fill>
    <s:fill>
      <s:patternFill patternType="solid">
        <s:fgColor rgb="00F4F8FA"/>
      </s:patternFill>
    </s:fill>
    <s:fill>
      <s:patternFill patternType="solid">
        <s:fgColor rgb="00FFF2CC"/>
      </s:patternFill>
    </s:fill>
    <s:fill>
      <s:patternFill patternType="solid">
        <s:fgColor rgb="00EAF3FC"/>
      </s:patternFill>
    </s:fill>
  </s:fills>
  <s:borders count="1">
    <s:border/>
  </s:borders>
  <s:cellStyleXfs count="1">
    <s:xf numFmtId="0" fontId="0" fillId="0" borderId="0" applyProtection="1">
      <s:protection locked="0" hidden="0"/>
    </s:xf>
  </s:cellStyleXfs>
  <s:cellXfs count="25">
    <s:xf numFmtId="0" fontId="0" fillId="0" borderId="0" pivotButton="0" quotePrefix="0" xfId="0" applyProtection="1">
      <s:protection locked="0" hidden="0"/>
    </s:xf>
    <s:xf numFmtId="0" fontId="1" fillId="0" borderId="0" pivotButton="0" quotePrefix="0" xfId="0" applyProtection="1">
      <s:protection locked="0" hidden="0"/>
    </s:xf>
    <s:xf numFmtId="0" fontId="1" fillId="0" borderId="0" applyAlignment="1" pivotButton="0" quotePrefix="0" xfId="0" applyProtection="1">
      <s:alignment wrapText="1"/>
      <s:protection locked="0" hidden="0"/>
    </s:xf>
    <s:xf numFmtId="0" fontId="1" fillId="0" borderId="0" applyAlignment="1" pivotButton="0" quotePrefix="0" xfId="0" applyProtection="1">
      <s:alignment vertical="center" wrapText="1"/>
      <s:protection locked="0" hidden="0"/>
    </s:xf>
    <s:xf numFmtId="0" fontId="1" fillId="2" borderId="0" applyAlignment="1" pivotButton="0" quotePrefix="0" xfId="0" applyProtection="1">
      <s:alignment vertical="center" wrapText="1"/>
      <s:protection locked="0" hidden="0"/>
    </s:xf>
    <s:xf numFmtId="0" fontId="2" fillId="2" borderId="0" applyAlignment="1" pivotButton="0" quotePrefix="0" xfId="0" applyProtection="1">
      <s:alignment vertical="center" wrapText="1"/>
      <s:protection locked="0" hidden="0"/>
    </s:xf>
    <s:xf numFmtId="0" fontId="1" fillId="3" borderId="0" applyAlignment="1" pivotButton="0" quotePrefix="0" xfId="0" applyProtection="1">
      <s:alignment vertical="center" wrapText="1"/>
      <s:protection locked="0" hidden="0"/>
    </s:xf>
    <s:xf numFmtId="0" fontId="1" fillId="4" borderId="0" applyAlignment="1" pivotButton="0" quotePrefix="0" xfId="0" applyProtection="1">
      <s:alignment vertical="center" wrapText="1"/>
      <s:protection locked="0" hidden="0"/>
    </s:xf>
    <s:xf numFmtId="0" fontId="0" fillId="0" borderId="0" pivotButton="0" quotePrefix="0" xfId="0" applyProtection="1">
      <s:protection locked="0" hidden="0"/>
    </s:xf>
    <s:xf numFmtId="0" fontId="1" fillId="0" borderId="0" pivotButton="0" quotePrefix="0" xfId="0" applyProtection="1">
      <s:protection locked="0" hidden="0"/>
    </s:xf>
    <s:xf numFmtId="0" fontId="1" fillId="0" borderId="0" applyAlignment="1" pivotButton="0" quotePrefix="0" xfId="0" applyProtection="1">
      <s:alignment wrapText="1"/>
      <s:protection locked="0" hidden="0"/>
    </s:xf>
    <s:xf numFmtId="0" fontId="1" fillId="0" borderId="0" applyAlignment="1" pivotButton="0" quotePrefix="0" xfId="0" applyProtection="1">
      <s:alignment vertical="center" wrapText="1"/>
      <s:protection locked="0" hidden="0"/>
    </s:xf>
    <s:xf numFmtId="0" fontId="1" fillId="3" borderId="0" applyAlignment="1" pivotButton="0" quotePrefix="0" xfId="0" applyProtection="1">
      <s:alignment vertical="center" wrapText="1"/>
      <s:protection locked="0" hidden="0"/>
    </s:xf>
    <s:xf numFmtId="0" fontId="1" fillId="5" borderId="0" applyAlignment="1" pivotButton="0" quotePrefix="0" xfId="0" applyProtection="1">
      <s:alignment vertical="center" wrapText="1"/>
      <s:protection locked="0" hidden="0"/>
    </s:xf>
    <s:xf numFmtId="0" fontId="0" fillId="0" borderId="0" pivotButton="0" quotePrefix="0" xfId="0" applyProtection="1">
      <s:protection locked="0" hidden="0"/>
    </s:xf>
    <s:xf numFmtId="0" fontId="4" fillId="6" borderId="0" applyAlignment="1" applyProtection="1" pivotButton="0" quotePrefix="0" xfId="0">
      <s:alignment vertical="center" wrapText="1"/>
      <s:protection locked="0" hidden="0"/>
    </s:xf>
    <s:xf numFmtId="0" fontId="3" fillId="7" borderId="0" applyAlignment="1" applyProtection="1" pivotButton="0" quotePrefix="0" xfId="0">
      <s:alignment vertical="center" wrapText="1"/>
      <s:protection locked="0" hidden="0"/>
    </s:xf>
    <s:xf numFmtId="0" fontId="3" fillId="0" borderId="0" applyAlignment="1" applyProtection="1" pivotButton="0" quotePrefix="0" xfId="0">
      <s:alignment vertical="center" wrapText="1"/>
      <s:protection locked="0" hidden="0"/>
    </s:xf>
    <s:xf numFmtId="0" fontId="3" fillId="8" borderId="0" applyAlignment="1" applyProtection="1" pivotButton="0" quotePrefix="0" xfId="0">
      <s:alignment vertical="center" wrapText="1"/>
      <s:protection locked="0" hidden="0"/>
    </s:xf>
    <s:xf numFmtId="0" fontId="2" fillId="2"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8" borderId="0" applyAlignment="1" applyProtection="1" pivotButton="0" quotePrefix="0" xfId="0">
      <s:alignment vertical="center" wrapText="1"/>
      <s:protection locked="0" hidden="0"/>
    </s:xf>
    <s:xf numFmtId="0" fontId="1" fillId="9" borderId="0" applyAlignment="1" applyProtection="1" pivotButton="0" quotePrefix="0" xfId="0">
      <s:alignment vertical="center" wrapText="1"/>
      <s:protection locked="0" hidden="0"/>
    </s:xf>
    <s:xf numFmtId="0" fontId="1" fillId="4" borderId="0" applyAlignment="1" applyProtection="1" pivotButton="0" quotePrefix="0" xfId="0">
      <s:alignment vertical="center" wrapText="1"/>
      <s:protection locked="0" hidden="0"/>
    </s:xf>
    <s:xf numFmtId="0" fontId="1" fillId="0" borderId="0" applyAlignment="1" applyProtection="1" pivotButton="0" quotePrefix="0" xfId="0">
      <s:alignment vertical="center" wrapText="1"/>
      <s:protection locked="0" hidden="0"/>
    </s:xf>
  </s:cellXfs>
  <s:cellStyles count="1">
    <s:cellStyle name="Normal" xfId="0"/>
  </s:cellStyles>
  <s:dxfs count="72">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00687783"/>
      </s:font>
      <s:fill>
        <s:patternFill patternType="solid">
          <s:fgColor rgb="00EDF2F5"/>
        </s:patternFill>
      </s:fill>
    </s:dxf>
    <s:dxf>
      <s:font>
        <s:color rgb="009C0006"/>
      </s:font>
      <s:fill>
        <s:patternFill patternType="solid">
          <s:fgColor rgb="00FFF2CC"/>
        </s:patternFill>
      </s:fill>
    </s:dxf>
  </s:dxf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ables/table1.xml><?xml version="1.0" encoding="utf-8"?>
<table xmlns="http://schemas.openxmlformats.org/spreadsheetml/2006/main" id="1" name="ReviewTable2" displayName="ReviewTable2" ref="A1:AB120" headerRowCount="1" totalsRowCount="0" totalsRowShown="0">
  <tableColumns count="28">
    <tableColumn id="1" name="additionalSensitivityExclude"/>
    <tableColumn id="2" name="ambiguity"/>
    <tableColumn id="3" name="broadPlanInvolved"/>
    <tableColumn id="4" name="category"/>
    <tableColumn id="5" name="currentReportCrossDocument"/>
    <tableColumn id="6" name="id"/>
    <tableColumn id="7" name="key"/>
    <tableColumn id="8" name="legacyRelationship"/>
    <tableColumn id="9" name="locations"/>
    <tableColumn id="10" name="originalCrossDocument"/>
    <tableColumn id="11" name="package"/>
    <tableColumn id="12" name="planMechanism"/>
    <tableColumn id="13" name="primary"/>
    <tableColumn id="14" name="rationale"/>
    <tableColumn id="15" name="reportHref"/>
    <tableColumn id="16" name="reportPath"/>
    <tableColumn id="17" name="sourceId"/>
    <tableColumn id="18" name="sourceStatus"/>
    <tableColumn id="19" name="statement"/>
    <tableColumn id="20" name="submissionInvolved"/>
    <tableColumn id="21" name="subtype"/>
    <tableColumn id="22" name="suggestedDomain"/>
    <tableColumn id="23" name="title"/>
    <tableColumn id="24" name="year"/>
    <tableColumn id="25" name="ai_source"/>
    <tableColumn id="26" name="ai_relationship"/>
    <tableColumn id="27" name="ai_domain"/>
    <tableColumn id="28" name="ai_disposition"/>
  </tableColumns>
  <tableStyleInfo name="TableStyleMedium2" showFirstColumn="0" showLastColumn="0" showRowStripes="1" showColumnStripes="0"/>
</table>
</file>

<file path=xl/tables/table2.xml><?xml version="1.0" encoding="utf-8"?>
<table xmlns="http://schemas.openxmlformats.org/spreadsheetml/2006/main" id="2" name="ReviewTable3" displayName="ReviewTable3" ref="A1:D477" headerRowCount="1" totalsRowCount="0" totalsRowShown="0">
  <tableColumns count="4">
    <tableColumn id="1" name="key"/>
    <tableColumn id="2" name="order"/>
    <tableColumn id="3" name="section"/>
    <tableColumn id="4" name="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Relationships xmlns="http://schemas.openxmlformats.org/package/2006/relationships"><Relationship Type="http://schemas.openxmlformats.org/officeDocument/2006/relationships/hyperlink" Target="../../../../2018/jama.2017.21906/.ai_paper_validation/final_report_1_5_2.html" TargetMode="External" Id="rId1" /><Relationship Type="http://schemas.openxmlformats.org/officeDocument/2006/relationships/hyperlink" Target="../../../../2018/jama.2017.21906/.ai_paper_validation/final_report_1_5_2.html" TargetMode="External" Id="rId2" /><Relationship Type="http://schemas.openxmlformats.org/officeDocument/2006/relationships/hyperlink" Target="../../../../2018/jama.2017.21906/.ai_paper_validation/final_report_1_5_2.html" TargetMode="External" Id="rId3" /><Relationship Type="http://schemas.openxmlformats.org/officeDocument/2006/relationships/hyperlink" Target="../../../../2018/jama.2017.21906/.ai_paper_validation/final_report_1_5_2.html" TargetMode="External" Id="rId4" /><Relationship Type="http://schemas.openxmlformats.org/officeDocument/2006/relationships/hyperlink" Target="../../../../2018/jama.2017.21906/.ai_paper_validation/final_report_1_5_2.html" TargetMode="External" Id="rId5" /><Relationship Type="http://schemas.openxmlformats.org/officeDocument/2006/relationships/hyperlink" Target="../../../../2018/jama.2017.21906/.ai_paper_validation/final_report_1_5_2.html" TargetMode="External" Id="rId6" /><Relationship Type="http://schemas.openxmlformats.org/officeDocument/2006/relationships/hyperlink" Target="../../../../2018/jama.2018.0156/.ai_paper_validation/final_report_1_5_2.html" TargetMode="External" Id="rId7" /><Relationship Type="http://schemas.openxmlformats.org/officeDocument/2006/relationships/hyperlink" Target="../../../../2018/jama.2018.0156/.ai_paper_validation/final_report_1_5_2.html" TargetMode="External" Id="rId8" /><Relationship Type="http://schemas.openxmlformats.org/officeDocument/2006/relationships/hyperlink" Target="../../../../2018/jama.2018.0156/.ai_paper_validation/final_report_1_5_2.html" TargetMode="External" Id="rId9" /><Relationship Type="http://schemas.openxmlformats.org/officeDocument/2006/relationships/hyperlink" Target="../../../../2018/jama.2018.0156/.ai_paper_validation/final_report_1_5_2.html" TargetMode="External" Id="rId10" /><Relationship Type="http://schemas.openxmlformats.org/officeDocument/2006/relationships/hyperlink" Target="../../../../2018/jama.2018.0156/.ai_paper_validation/final_report_1_5_2.html" TargetMode="External" Id="rId11" /><Relationship Type="http://schemas.openxmlformats.org/officeDocument/2006/relationships/hyperlink" Target="../../../../2018/jama.2018.0156/.ai_paper_validation/final_report_1_5_2.html" TargetMode="External" Id="rId12" /><Relationship Type="http://schemas.openxmlformats.org/officeDocument/2006/relationships/hyperlink" Target="../../../../2018/jama.2018.0156/.ai_paper_validation/final_report_1_5_2.html" TargetMode="External" Id="rId13" /><Relationship Type="http://schemas.openxmlformats.org/officeDocument/2006/relationships/hyperlink" Target="../../../../2018/jama.2018.0156/.ai_paper_validation/final_report_1_5_2.html" TargetMode="External" Id="rId14" /><Relationship Type="http://schemas.openxmlformats.org/officeDocument/2006/relationships/hyperlink" Target="../../../../2018/jama.2018.0948/.ai_paper_validation/final_report_1_5_2.html" TargetMode="External" Id="rId15" /><Relationship Type="http://schemas.openxmlformats.org/officeDocument/2006/relationships/hyperlink" Target="../../../../2018/jama.2018.0948/.ai_paper_validation/final_report_1_5_2.html" TargetMode="External" Id="rId16" /><Relationship Type="http://schemas.openxmlformats.org/officeDocument/2006/relationships/hyperlink" Target="../../../../2018/jama.2018.0948/.ai_paper_validation/final_report_1_5_2.html" TargetMode="External" Id="rId17" /><Relationship Type="http://schemas.openxmlformats.org/officeDocument/2006/relationships/hyperlink" Target="../../../../2018/jama.2018.0948/.ai_paper_validation/final_report_1_5_2.html" TargetMode="External" Id="rId18" /><Relationship Type="http://schemas.openxmlformats.org/officeDocument/2006/relationships/hyperlink" Target="../../../../2018/jama.2018.0948/.ai_paper_validation/final_report_1_5_2.html" TargetMode="External" Id="rId19" /><Relationship Type="http://schemas.openxmlformats.org/officeDocument/2006/relationships/hyperlink" Target="../../../../2018/jama.2018.0948/.ai_paper_validation/final_report_1_5_2.html" TargetMode="External" Id="rId20" /><Relationship Type="http://schemas.openxmlformats.org/officeDocument/2006/relationships/hyperlink" Target="../../../../2018/jama.2018.0948/.ai_paper_validation/final_report_1_5_2.html" TargetMode="External" Id="rId21" /><Relationship Type="http://schemas.openxmlformats.org/officeDocument/2006/relationships/hyperlink" Target="../../../../2018/jama.2018.14280/.ai_paper_validation/final_report_1_5_2.html" TargetMode="External" Id="rId22" /><Relationship Type="http://schemas.openxmlformats.org/officeDocument/2006/relationships/hyperlink" Target="../../../../2018/jama.2018.14280/.ai_paper_validation/final_report_1_5_2.html" TargetMode="External" Id="rId23" /><Relationship Type="http://schemas.openxmlformats.org/officeDocument/2006/relationships/hyperlink" Target="../../../../2018/jama.2018.14280/.ai_paper_validation/final_report_1_5_2.html" TargetMode="External" Id="rId24" /><Relationship Type="http://schemas.openxmlformats.org/officeDocument/2006/relationships/hyperlink" Target="../../../../2018/jama.2018.14280/.ai_paper_validation/final_report_1_5_2.html" TargetMode="External" Id="rId25" /><Relationship Type="http://schemas.openxmlformats.org/officeDocument/2006/relationships/hyperlink" Target="../../../../2018/jama.2018.14280/.ai_paper_validation/final_report_1_5_2.html" TargetMode="External" Id="rId26" /><Relationship Type="http://schemas.openxmlformats.org/officeDocument/2006/relationships/hyperlink" Target="../../../../2018/jama.2018.14280/.ai_paper_validation/final_report_1_5_2.html" TargetMode="External" Id="rId27" /><Relationship Type="http://schemas.openxmlformats.org/officeDocument/2006/relationships/hyperlink" Target="../../../../2018/jama.2018.14280/.ai_paper_validation/final_report_1_5_2.html" TargetMode="External" Id="rId28" /><Relationship Type="http://schemas.openxmlformats.org/officeDocument/2006/relationships/hyperlink" Target="../../../../2018/jama.2018.14280/.ai_paper_validation/final_report_1_5_2.html" TargetMode="External" Id="rId29" /><Relationship Type="http://schemas.openxmlformats.org/officeDocument/2006/relationships/hyperlink" Target="../../../../2018/jama.2018.14280/.ai_paper_validation/final_report_1_5_2.html" TargetMode="External" Id="rId30" /><Relationship Type="http://schemas.openxmlformats.org/officeDocument/2006/relationships/hyperlink" Target="../../../../2018/jama.2018.14280/.ai_paper_validation/final_report_1_5_2.html" TargetMode="External" Id="rId31" /><Relationship Type="http://schemas.openxmlformats.org/officeDocument/2006/relationships/hyperlink" Target="../../../../2018/jama.2018.14280/.ai_paper_validation/final_report_1_5_2.html" TargetMode="External" Id="rId32" /><Relationship Type="http://schemas.openxmlformats.org/officeDocument/2006/relationships/hyperlink" Target="../../../../2018/jama.2018.14280/.ai_paper_validation/final_report_1_5_2.html" TargetMode="External" Id="rId33" /><Relationship Type="http://schemas.openxmlformats.org/officeDocument/2006/relationships/hyperlink" Target="../../../../2018/jama.2018.14280/.ai_paper_validation/final_report_1_5_2.html" TargetMode="External" Id="rId34" /><Relationship Type="http://schemas.openxmlformats.org/officeDocument/2006/relationships/hyperlink" Target="../../../../2018/jama.2018.14280/.ai_paper_validation/final_report_1_5_2.html" TargetMode="External" Id="rId35" /><Relationship Type="http://schemas.openxmlformats.org/officeDocument/2006/relationships/hyperlink" Target="../../../../2018/jama.2018.14280/.ai_paper_validation/final_report_1_5_2.html" TargetMode="External" Id="rId36" /><Relationship Type="http://schemas.openxmlformats.org/officeDocument/2006/relationships/hyperlink" Target="../../../../2018/jama.2018.14280/.ai_paper_validation/final_report_1_5_2.html" TargetMode="External" Id="rId37" /><Relationship Type="http://schemas.openxmlformats.org/officeDocument/2006/relationships/hyperlink" Target="../../../../2018/jama.2018.14280/.ai_paper_validation/final_report_1_5_2.html" TargetMode="External" Id="rId38" /><Relationship Type="http://schemas.openxmlformats.org/officeDocument/2006/relationships/hyperlink" Target="../../../../2018/jama.2018.14280/.ai_paper_validation/final_report_1_5_2.html" TargetMode="External" Id="rId39" /><Relationship Type="http://schemas.openxmlformats.org/officeDocument/2006/relationships/hyperlink" Target="../../../../2018/jama.2018.14280/.ai_paper_validation/final_report_1_5_2.html" TargetMode="External" Id="rId40" /><Relationship Type="http://schemas.openxmlformats.org/officeDocument/2006/relationships/hyperlink" Target="../../../../2018/jama.2018.14280/.ai_paper_validation/final_report_1_5_2.html" TargetMode="External" Id="rId41" /><Relationship Type="http://schemas.openxmlformats.org/officeDocument/2006/relationships/hyperlink" Target="../../../../2018/jama.2018.14280/.ai_paper_validation/final_report_1_5_2.html" TargetMode="External" Id="rId42" /><Relationship Type="http://schemas.openxmlformats.org/officeDocument/2006/relationships/hyperlink" Target="../../../../2018/jama.2018.14280/.ai_paper_validation/final_report_1_5_2.html" TargetMode="External" Id="rId43" /><Relationship Type="http://schemas.openxmlformats.org/officeDocument/2006/relationships/hyperlink" Target="../../../../2018/jama.2018.14280/.ai_paper_validation/final_report_1_5_2.html" TargetMode="External" Id="rId44" /><Relationship Type="http://schemas.openxmlformats.org/officeDocument/2006/relationships/hyperlink" Target="../../../../2018/jama.2018.14282/.ai_paper_validation/final_report_1_5_2.html" TargetMode="External" Id="rId45" /><Relationship Type="http://schemas.openxmlformats.org/officeDocument/2006/relationships/hyperlink" Target="../../../../2018/jama.2018.14282/.ai_paper_validation/final_report_1_5_2.html" TargetMode="External" Id="rId46" /><Relationship Type="http://schemas.openxmlformats.org/officeDocument/2006/relationships/hyperlink" Target="../../../../2018/jama.2018.14282/.ai_paper_validation/final_report_1_5_2.html" TargetMode="External" Id="rId47" /><Relationship Type="http://schemas.openxmlformats.org/officeDocument/2006/relationships/hyperlink" Target="../../../../2018/jama.2018.14282/.ai_paper_validation/final_report_1_5_2.html" TargetMode="External" Id="rId48" /><Relationship Type="http://schemas.openxmlformats.org/officeDocument/2006/relationships/hyperlink" Target="../../../../2018/jama.2018.14282/.ai_paper_validation/final_report_1_5_2.html" TargetMode="External" Id="rId49" /><Relationship Type="http://schemas.openxmlformats.org/officeDocument/2006/relationships/hyperlink" Target="../../../../2018/jama.2018.14282/.ai_paper_validation/final_report_1_5_2.html" TargetMode="External" Id="rId50" /><Relationship Type="http://schemas.openxmlformats.org/officeDocument/2006/relationships/hyperlink" Target="../../../../2018/jama.2018.14282/.ai_paper_validation/final_report_1_5_2.html" TargetMode="External" Id="rId51" /><Relationship Type="http://schemas.openxmlformats.org/officeDocument/2006/relationships/hyperlink" Target="../../../../2018/jama.2018.14282/.ai_paper_validation/final_report_1_5_2.html" TargetMode="External" Id="rId52" /><Relationship Type="http://schemas.openxmlformats.org/officeDocument/2006/relationships/hyperlink" Target="../../../../2018/jama.2018.14282/.ai_paper_validation/final_report_1_5_2.html" TargetMode="External" Id="rId53" /><Relationship Type="http://schemas.openxmlformats.org/officeDocument/2006/relationships/hyperlink" Target="../../../../2018/jama.2018.14282/.ai_paper_validation/final_report_1_5_2.html" TargetMode="External" Id="rId54" /><Relationship Type="http://schemas.openxmlformats.org/officeDocument/2006/relationships/hyperlink" Target="../../../../2018/jama.2018.14282/.ai_paper_validation/final_report_1_5_2.html" TargetMode="External" Id="rId55" /><Relationship Type="http://schemas.openxmlformats.org/officeDocument/2006/relationships/hyperlink" Target="../../../../2018/jama.2018.14282/.ai_paper_validation/final_report_1_5_2.html" TargetMode="External" Id="rId56" /><Relationship Type="http://schemas.openxmlformats.org/officeDocument/2006/relationships/hyperlink" Target="../../../../2018/jama.2018.14282/.ai_paper_validation/final_report_1_5_2.html" TargetMode="External" Id="rId57" /><Relationship Type="http://schemas.openxmlformats.org/officeDocument/2006/relationships/hyperlink" Target="../../../../2018/jama.2018.14282/.ai_paper_validation/final_report_1_5_2.html" TargetMode="External" Id="rId58" /><Relationship Type="http://schemas.openxmlformats.org/officeDocument/2006/relationships/hyperlink" Target="../../../../2018/jama.2018.14282/.ai_paper_validation/final_report_1_5_2.html" TargetMode="External" Id="rId59" /><Relationship Type="http://schemas.openxmlformats.org/officeDocument/2006/relationships/hyperlink" Target="../../../../2018/jama.2018.14282/.ai_paper_validation/final_report_1_5_2.html" TargetMode="External" Id="rId60" /><Relationship Type="http://schemas.openxmlformats.org/officeDocument/2006/relationships/hyperlink" Target="../../../../2018/jama.2018.14282/.ai_paper_validation/final_report_1_5_2.html" TargetMode="External" Id="rId61" /><Relationship Type="http://schemas.openxmlformats.org/officeDocument/2006/relationships/hyperlink" Target="../../../../2018/jama.2018.14282/.ai_paper_validation/final_report_1_5_2.html" TargetMode="External" Id="rId62" /><Relationship Type="http://schemas.openxmlformats.org/officeDocument/2006/relationships/hyperlink" Target="../../../../2018/jama.2018.14282/.ai_paper_validation/final_report_1_5_2.html" TargetMode="External" Id="rId63" /><Relationship Type="http://schemas.openxmlformats.org/officeDocument/2006/relationships/hyperlink" Target="../../../../2018/jama.2018.14282/.ai_paper_validation/final_report_1_5_2.html" TargetMode="External" Id="rId64" /><Relationship Type="http://schemas.openxmlformats.org/officeDocument/2006/relationships/hyperlink" Target="../../../../2018/jama.2018.14282/.ai_paper_validation/final_report_1_5_2.html" TargetMode="External" Id="rId65" /><Relationship Type="http://schemas.openxmlformats.org/officeDocument/2006/relationships/hyperlink" Target="../../../../2018/jama.2018.14282/.ai_paper_validation/final_report_1_5_2.html" TargetMode="External" Id="rId66" /><Relationship Type="http://schemas.openxmlformats.org/officeDocument/2006/relationships/hyperlink" Target="../../../../2018/jama.2018.14282/.ai_paper_validation/final_report_1_5_2.html" TargetMode="External" Id="rId67" /><Relationship Type="http://schemas.openxmlformats.org/officeDocument/2006/relationships/hyperlink" Target="../../../../2018/jama.2018.14282/.ai_paper_validation/final_report_1_5_2.html" TargetMode="External" Id="rId68" /><Relationship Type="http://schemas.openxmlformats.org/officeDocument/2006/relationships/hyperlink" Target="../../../../2018/jama.2018.14282/.ai_paper_validation/final_report_1_5_2.html" TargetMode="External" Id="rId69" /><Relationship Type="http://schemas.openxmlformats.org/officeDocument/2006/relationships/hyperlink" Target="../../../../2018/jama.2018.14282/.ai_paper_validation/final_report_1_5_2.html" TargetMode="External" Id="rId70" /><Relationship Type="http://schemas.openxmlformats.org/officeDocument/2006/relationships/hyperlink" Target="../../../../2018/jama.2018.14282/.ai_paper_validation/final_report_1_5_2.html" TargetMode="External" Id="rId71" /><Relationship Type="http://schemas.openxmlformats.org/officeDocument/2006/relationships/hyperlink" Target="../../../../2018/jama.2018.14282/.ai_paper_validation/final_report_1_5_2.html" TargetMode="External" Id="rId72" /><Relationship Type="http://schemas.openxmlformats.org/officeDocument/2006/relationships/hyperlink" Target="../../../../2018/jama.2018.17075/.ai_paper_validation/final_report_1_5_2.html" TargetMode="External" Id="rId73" /><Relationship Type="http://schemas.openxmlformats.org/officeDocument/2006/relationships/hyperlink" Target="../../../../2018/jama.2018.17075/.ai_paper_validation/final_report_1_5_2.html" TargetMode="External" Id="rId74" /><Relationship Type="http://schemas.openxmlformats.org/officeDocument/2006/relationships/hyperlink" Target="../../../../2018/jama.2018.17075/.ai_paper_validation/final_report_1_5_2.html" TargetMode="External" Id="rId75" /><Relationship Type="http://schemas.openxmlformats.org/officeDocument/2006/relationships/hyperlink" Target="../../../../2018/jama.2018.17075/.ai_paper_validation/final_report_1_5_2.html" TargetMode="External" Id="rId76" /><Relationship Type="http://schemas.openxmlformats.org/officeDocument/2006/relationships/hyperlink" Target="../../../../2018/jama.2018.17075/.ai_paper_validation/final_report_1_5_2.html" TargetMode="External" Id="rId77" /><Relationship Type="http://schemas.openxmlformats.org/officeDocument/2006/relationships/hyperlink" Target="../../../../2018/jama.2018.17075/.ai_paper_validation/final_report_1_5_2.html" TargetMode="External" Id="rId78" /><Relationship Type="http://schemas.openxmlformats.org/officeDocument/2006/relationships/hyperlink" Target="../../../../2018/jama.2018.17075/.ai_paper_validation/final_report_1_5_2.html" TargetMode="External" Id="rId79" /><Relationship Type="http://schemas.openxmlformats.org/officeDocument/2006/relationships/hyperlink" Target="../../../../2018/jama.2018.17075/.ai_paper_validation/final_report_1_5_2.html" TargetMode="External" Id="rId80" /><Relationship Type="http://schemas.openxmlformats.org/officeDocument/2006/relationships/hyperlink" Target="../../../../2018/jama.2018.18020/.ai_paper_validation/final_report_1_5_2.html" TargetMode="External" Id="rId81" /><Relationship Type="http://schemas.openxmlformats.org/officeDocument/2006/relationships/hyperlink" Target="../../../../2018/jama.2018.18020/.ai_paper_validation/final_report_1_5_2.html" TargetMode="External" Id="rId82" /><Relationship Type="http://schemas.openxmlformats.org/officeDocument/2006/relationships/hyperlink" Target="../../../../2018/jama.2018.18020/.ai_paper_validation/final_report_1_5_2.html" TargetMode="External" Id="rId83" /><Relationship Type="http://schemas.openxmlformats.org/officeDocument/2006/relationships/hyperlink" Target="../../../../2018/jama.2018.18020/.ai_paper_validation/final_report_1_5_2.html" TargetMode="External" Id="rId84" /><Relationship Type="http://schemas.openxmlformats.org/officeDocument/2006/relationships/hyperlink" Target="../../../../2018/jama.2018.18020/.ai_paper_validation/final_report_1_5_2.html" TargetMode="External" Id="rId85" /><Relationship Type="http://schemas.openxmlformats.org/officeDocument/2006/relationships/hyperlink" Target="../../../../2018/jama.2018.18020/.ai_paper_validation/final_report_1_5_2.html" TargetMode="External" Id="rId86" /><Relationship Type="http://schemas.openxmlformats.org/officeDocument/2006/relationships/hyperlink" Target="../../../../2018/jama.2018.18020/.ai_paper_validation/final_report_1_5_2.html" TargetMode="External" Id="rId87" /><Relationship Type="http://schemas.openxmlformats.org/officeDocument/2006/relationships/hyperlink" Target="../../../../2018/jama.2018.18020/.ai_paper_validation/final_report_1_5_2.html" TargetMode="External" Id="rId88" /><Relationship Type="http://schemas.openxmlformats.org/officeDocument/2006/relationships/hyperlink" Target="../../../../2018/jama.2018.18020/.ai_paper_validation/final_report_1_5_2.html" TargetMode="External" Id="rId89" /><Relationship Type="http://schemas.openxmlformats.org/officeDocument/2006/relationships/hyperlink" Target="../../../../2018/jama.2018.18020/.ai_paper_validation/final_report_1_5_2.html" TargetMode="External" Id="rId90" /><Relationship Type="http://schemas.openxmlformats.org/officeDocument/2006/relationships/hyperlink" Target="../../../../2018/jama.2018.18020/.ai_paper_validation/final_report_1_5_2.html" TargetMode="External" Id="rId91" /><Relationship Type="http://schemas.openxmlformats.org/officeDocument/2006/relationships/hyperlink" Target="../../../../2018/jama.2018.18020/.ai_paper_validation/final_report_1_5_2.html" TargetMode="External" Id="rId92" /><Relationship Type="http://schemas.openxmlformats.org/officeDocument/2006/relationships/hyperlink" Target="../../../../2018/jama.2018.18020/.ai_paper_validation/final_report_1_5_2.html" TargetMode="External" Id="rId93" /><Relationship Type="http://schemas.openxmlformats.org/officeDocument/2006/relationships/hyperlink" Target="../../../../2018/jama.2018.18020/.ai_paper_validation/final_report_1_5_2.html" TargetMode="External" Id="rId94" /><Relationship Type="http://schemas.openxmlformats.org/officeDocument/2006/relationships/hyperlink" Target="../../../../2018/jama.2018.6496/.ai_paper_validation/final_report_1_5_2.html" TargetMode="External" Id="rId95" /><Relationship Type="http://schemas.openxmlformats.org/officeDocument/2006/relationships/hyperlink" Target="../../../../2018/jama.2018.6496/.ai_paper_validation/final_report_1_5_2.html" TargetMode="External" Id="rId96" /><Relationship Type="http://schemas.openxmlformats.org/officeDocument/2006/relationships/hyperlink" Target="../../../../2018/jama.2018.6496/.ai_paper_validation/final_report_1_5_2.html" TargetMode="External" Id="rId97" /><Relationship Type="http://schemas.openxmlformats.org/officeDocument/2006/relationships/hyperlink" Target="../../../../2018/jama.2018.6496/.ai_paper_validation/final_report_1_5_2.html" TargetMode="External" Id="rId98" /><Relationship Type="http://schemas.openxmlformats.org/officeDocument/2006/relationships/hyperlink" Target="../../../../2018/jama.2018.8802/.ai_paper_validation/final_report_1_5_2.html" TargetMode="External" Id="rId99" /><Relationship Type="http://schemas.openxmlformats.org/officeDocument/2006/relationships/hyperlink" Target="../../../../2018/jama.2018.8802/.ai_paper_validation/final_report_1_5_2.html" TargetMode="External" Id="rId100" /><Relationship Type="http://schemas.openxmlformats.org/officeDocument/2006/relationships/hyperlink" Target="../../../../2018/jama.2018.8802/.ai_paper_validation/final_report_1_5_2.html" TargetMode="External" Id="rId101" /><Relationship Type="http://schemas.openxmlformats.org/officeDocument/2006/relationships/hyperlink" Target="../../../../2018/jama.2018.8802/.ai_paper_validation/final_report_1_5_2.html" TargetMode="External" Id="rId102" /><Relationship Type="http://schemas.openxmlformats.org/officeDocument/2006/relationships/hyperlink" Target="../../../../2018/jama.2018.8802/.ai_paper_validation/final_report_1_5_2.html" TargetMode="External" Id="rId103" /><Relationship Type="http://schemas.openxmlformats.org/officeDocument/2006/relationships/hyperlink" Target="../../../../2018/jama.2018.8802/.ai_paper_validation/final_report_1_5_2.html" TargetMode="External" Id="rId104" /><Relationship Type="http://schemas.openxmlformats.org/officeDocument/2006/relationships/hyperlink" Target="../../../../2018/jama.2018.8802/.ai_paper_validation/final_report_1_5_2.html" TargetMode="External" Id="rId105" /><Relationship Type="http://schemas.openxmlformats.org/officeDocument/2006/relationships/hyperlink" Target="../../../../2018/jama.2018.8802/.ai_paper_validation/final_report_1_5_2.html" TargetMode="External" Id="rId106" /><Relationship Type="http://schemas.openxmlformats.org/officeDocument/2006/relationships/hyperlink" Target="../../../../2018/jama.2018.9128/.ai_paper_validation/final_report_1_5_2.html" TargetMode="External" Id="rId107" /><Relationship Type="http://schemas.openxmlformats.org/officeDocument/2006/relationships/hyperlink" Target="../../../../2018/jama.2018.9128/.ai_paper_validation/final_report_1_5_2.html" TargetMode="External" Id="rId108" /><Relationship Type="http://schemas.openxmlformats.org/officeDocument/2006/relationships/hyperlink" Target="../../../../2018/jama.2018.9128/.ai_paper_validation/final_report_1_5_2.html" TargetMode="External" Id="rId109" /><Relationship Type="http://schemas.openxmlformats.org/officeDocument/2006/relationships/hyperlink" Target="../../../../2018/jama.2018.9128/.ai_paper_validation/final_report_1_5_2.html" TargetMode="External" Id="rId110" /><Relationship Type="http://schemas.openxmlformats.org/officeDocument/2006/relationships/hyperlink" Target="../../../../2018/jama.2018.9128/.ai_paper_validation/final_report_1_5_2.html" TargetMode="External" Id="rId111" /><Relationship Type="http://schemas.openxmlformats.org/officeDocument/2006/relationships/hyperlink" Target="../../../../2018/jama.2018.9128/.ai_paper_validation/final_report_1_5_2.html" TargetMode="External" Id="rId112" /><Relationship Type="http://schemas.openxmlformats.org/officeDocument/2006/relationships/hyperlink" Target="../../../../2018/jama.2018.9128/.ai_paper_validation/final_report_1_5_2.html" TargetMode="External" Id="rId113" /><Relationship Type="http://schemas.openxmlformats.org/officeDocument/2006/relationships/hyperlink" Target="../../../../2018/jama.2018.9128/.ai_paper_validation/final_report_1_5_2.html" TargetMode="External" Id="rId114" /><Relationship Type="http://schemas.openxmlformats.org/officeDocument/2006/relationships/hyperlink" Target="../../../../2018/jama.2018.9128/.ai_paper_validation/final_report_1_5_2.html" TargetMode="External" Id="rId115" /><Relationship Type="http://schemas.openxmlformats.org/officeDocument/2006/relationships/hyperlink" Target="../../../../2018/jama.2018.9128/.ai_paper_validation/final_report_1_5_2.html" TargetMode="External" Id="rId116" /><Relationship Type="http://schemas.openxmlformats.org/officeDocument/2006/relationships/hyperlink" Target="../../../../2018/jama.2018.9128/.ai_paper_validation/final_report_1_5_2.html" TargetMode="External" Id="rId117" /><Relationship Type="http://schemas.openxmlformats.org/officeDocument/2006/relationships/hyperlink" Target="../../../../2018/jama.2018.9128/.ai_paper_validation/final_report_1_5_2.html" TargetMode="External" Id="rId118" /><Relationship Type="http://schemas.openxmlformats.org/officeDocument/2006/relationships/hyperlink" Target="../../../../2018/jama.2018.9128/.ai_paper_validation/final_report_1_5_2.html" TargetMode="External" Id="rId119" /><Relationship Type="http://schemas.openxmlformats.org/officeDocument/2006/relationships/table" Target="/xl/tables/table1.xml" Id="rId120" /></Relationships>
</file>

<file path=xl/worksheets/_rels/sheet19.xml.rels><Relationships xmlns="http://schemas.openxmlformats.org/package/2006/relationships"><Relationship Type="http://schemas.openxmlformats.org/officeDocument/2006/relationships/table" Target="/xl/tables/table2.xml" Id="rId1" /></Relationships>
</file>

<file path=xl/worksheets/_rels/sheet20.xml.rels><Relationships xmlns="http://schemas.openxmlformats.org/package/2006/relationships"><Relationship Type="http://schemas.openxmlformats.org/officeDocument/2006/relationships/hyperlink" Target="../../../../2018/jama.2017.21906/jama_huffman_2018_oi_170166.pdf#page=6" TargetMode="External" Id="rId1" /><Relationship Type="http://schemas.openxmlformats.org/officeDocument/2006/relationships/hyperlink" Target="../../../../2018/jama.2017.21906/.ai_paper_validation/review_1_5_2/source_inventory.md" TargetMode="External" Id="rId2" /><Relationship Type="http://schemas.openxmlformats.org/officeDocument/2006/relationships/hyperlink" Target="../../../../2018/jama.2017.21906/.ai_paper_validation/review_1_5_2/verification/evidence_recheck.md" TargetMode="External" Id="rId3" /><Relationship Type="http://schemas.openxmlformats.org/officeDocument/2006/relationships/hyperlink" Target="../../../../2018/jama.2017.21906/jama_huffman_2018_oi_170166.pdf#page=6" TargetMode="External" Id="rId4" /><Relationship Type="http://schemas.openxmlformats.org/officeDocument/2006/relationships/hyperlink" Target="../../../../2018/jama.2017.21906/jama_huffman_2018_oi_170166.pdf#page=7" TargetMode="External" Id="rId5" /><Relationship Type="http://schemas.openxmlformats.org/officeDocument/2006/relationships/hyperlink" Target="../../../../2018/jama.2017.21906/.ai_paper_validation/review_1_5_2/source_inventory.md" TargetMode="External" Id="rId6" /><Relationship Type="http://schemas.openxmlformats.org/officeDocument/2006/relationships/hyperlink" Target="../../../../2018/jama.2017.21906/.ai_paper_validation/review_1_5_2/verification/evidence_recheck.md" TargetMode="External" Id="rId7" /><Relationship Type="http://schemas.openxmlformats.org/officeDocument/2006/relationships/hyperlink" Target="../../../../2018/jama.2017.21906/joi170166supp3_prod.pdf#page=17" TargetMode="External" Id="rId8" /><Relationship Type="http://schemas.openxmlformats.org/officeDocument/2006/relationships/hyperlink" Target="../../../../2018/jama.2017.21906/.ai_paper_validation/review_1_5_2/source_inventory.md" TargetMode="External" Id="rId9" /><Relationship Type="http://schemas.openxmlformats.org/officeDocument/2006/relationships/hyperlink" Target="../../../../2018/jama.2017.21906/.ai_paper_validation/review_1_5_2/verification/evidence_recheck.md" TargetMode="External" Id="rId10" /><Relationship Type="http://schemas.openxmlformats.org/officeDocument/2006/relationships/hyperlink" Target="../../../../2018/jama.2017.21906/joi170166supp2_prod.pdf#page=7" TargetMode="External" Id="rId11" /><Relationship Type="http://schemas.openxmlformats.org/officeDocument/2006/relationships/hyperlink" Target="../../../../2018/jama.2017.21906/jama_huffman_2018_oi_170166.pdf#page=3" TargetMode="External" Id="rId12" /><Relationship Type="http://schemas.openxmlformats.org/officeDocument/2006/relationships/hyperlink" Target="../../../../2018/jama.2017.21906/jama_huffman_2018_oi_170166.pdf#page=9" TargetMode="External" Id="rId13" /><Relationship Type="http://schemas.openxmlformats.org/officeDocument/2006/relationships/hyperlink" Target="../../../../2018/jama.2017.21906/.ai_paper_validation/review_1_5_2/source_inventory.md" TargetMode="External" Id="rId14" /><Relationship Type="http://schemas.openxmlformats.org/officeDocument/2006/relationships/hyperlink" Target="../../../../2018/jama.2017.21906/.ai_paper_validation/review_1_5_2/verification/evidence_recheck.md" TargetMode="External" Id="rId15" /><Relationship Type="http://schemas.openxmlformats.org/officeDocument/2006/relationships/hyperlink" Target="../../../../2018/jama.2017.21906/jama_huffman_2018_oi_170166.pdf#page=3" TargetMode="External" Id="rId16" /><Relationship Type="http://schemas.openxmlformats.org/officeDocument/2006/relationships/hyperlink" Target="../../../../2018/jama.2017.21906/jama_huffman_2018_oi_170166.pdf#page=7" TargetMode="External" Id="rId17" /><Relationship Type="http://schemas.openxmlformats.org/officeDocument/2006/relationships/hyperlink" Target="../../../../2018/jama.2017.21906/joi170166supp3_prod.pdf#page=21" TargetMode="External" Id="rId18" /><Relationship Type="http://schemas.openxmlformats.org/officeDocument/2006/relationships/hyperlink" Target="../../../../2018/jama.2017.21906/joi170166supp3_prod.pdf#page=22" TargetMode="External" Id="rId19" /><Relationship Type="http://schemas.openxmlformats.org/officeDocument/2006/relationships/hyperlink" Target="../../../../2018/jama.2017.21906/.ai_paper_validation/review_1_5_2/source_inventory.md" TargetMode="External" Id="rId20" /><Relationship Type="http://schemas.openxmlformats.org/officeDocument/2006/relationships/hyperlink" Target="../../../../2018/jama.2017.21906/.ai_paper_validation/review_1_5_2/verification/evidence_recheck.md" TargetMode="External" Id="rId21" /><Relationship Type="http://schemas.openxmlformats.org/officeDocument/2006/relationships/hyperlink" Target="../../../../2018/jama.2017.21906/jama_huffman_2018_oi_170166.pdf#page=3" TargetMode="External" Id="rId22" /><Relationship Type="http://schemas.openxmlformats.org/officeDocument/2006/relationships/hyperlink" Target="../../../../2018/jama.2017.21906/jama_huffman_2018_oi_170166.pdf#page=9" TargetMode="External" Id="rId23" /><Relationship Type="http://schemas.openxmlformats.org/officeDocument/2006/relationships/hyperlink" Target="../../../../2018/jama.2017.21906/joi170166supp2_prod.pdf#page=7" TargetMode="External" Id="rId24" /><Relationship Type="http://schemas.openxmlformats.org/officeDocument/2006/relationships/hyperlink" Target="../../../../2018/jama.2017.21906/.ai_paper_validation/review_1_5_2/source_inventory.md" TargetMode="External" Id="rId25" /><Relationship Type="http://schemas.openxmlformats.org/officeDocument/2006/relationships/hyperlink" Target="../../../../2018/jama.2018.0156/jama_jabre_2018_oi_180004.pdf#page=3" TargetMode="External" Id="rId26" /><Relationship Type="http://schemas.openxmlformats.org/officeDocument/2006/relationships/hyperlink" Target="../../../../2018/jama.2018.0156/jama_jabre_2018_oi_180004.pdf#page=4" TargetMode="External" Id="rId27" /><Relationship Type="http://schemas.openxmlformats.org/officeDocument/2006/relationships/hyperlink" Target="../../../../2018/jama.2018.0156/.ai_paper_validation/review_1_5_2/source_inventory.md" TargetMode="External" Id="rId28" /><Relationship Type="http://schemas.openxmlformats.org/officeDocument/2006/relationships/hyperlink" Target="../../../../2018/jama.2018.0156/jama_jabre_2018_oi_180004.pdf#page=3" TargetMode="External" Id="rId29" /><Relationship Type="http://schemas.openxmlformats.org/officeDocument/2006/relationships/hyperlink" Target="../../../../2018/jama.2018.0156/jama_jabre_2018_oi_180004.pdf#page=4" TargetMode="External" Id="rId30" /><Relationship Type="http://schemas.openxmlformats.org/officeDocument/2006/relationships/hyperlink" Target="../../../../2018/jama.2018.0156/.ai_paper_validation/review_1_5_2/source_inventory.md" TargetMode="External" Id="rId31" /><Relationship Type="http://schemas.openxmlformats.org/officeDocument/2006/relationships/hyperlink" Target="../../../../2018/jama.2018.0156/jama_jabre_2018_oi_180004.pdf#page=6" TargetMode="External" Id="rId32" /><Relationship Type="http://schemas.openxmlformats.org/officeDocument/2006/relationships/hyperlink" Target="../../../../2018/jama.2018.0156/joi180004supp1_prod.pdf#page=123" TargetMode="External" Id="rId33" /><Relationship Type="http://schemas.openxmlformats.org/officeDocument/2006/relationships/hyperlink" Target="../../../../2018/jama.2018.0156/.ai_paper_validation/review_1_5_2/source_inventory.md" TargetMode="External" Id="rId34" /><Relationship Type="http://schemas.openxmlformats.org/officeDocument/2006/relationships/hyperlink" Target="../../../../2018/jama.2018.0156/.ai_paper_validation/review_1_5_2/verification/evidence_recheck.md" TargetMode="External" Id="rId35" /><Relationship Type="http://schemas.openxmlformats.org/officeDocument/2006/relationships/hyperlink" Target="../../../../2018/jama.2018.0156/jama_jabre_2018_oi_180004.pdf#page=3" TargetMode="External" Id="rId36" /><Relationship Type="http://schemas.openxmlformats.org/officeDocument/2006/relationships/hyperlink" Target="../../../../2018/jama.2018.0156/jama_jabre_2018_oi_180004.pdf#page=6" TargetMode="External" Id="rId37" /><Relationship Type="http://schemas.openxmlformats.org/officeDocument/2006/relationships/hyperlink" Target="../../../../2018/jama.2018.0156/joi180004supp1_prod.pdf#page=124" TargetMode="External" Id="rId38" /><Relationship Type="http://schemas.openxmlformats.org/officeDocument/2006/relationships/hyperlink" Target="../../../../2018/jama.2018.0156/.ai_paper_validation/review_1_5_2/source_inventory.md" TargetMode="External" Id="rId39" /><Relationship Type="http://schemas.openxmlformats.org/officeDocument/2006/relationships/hyperlink" Target="../../../../2018/jama.2018.0156/.ai_paper_validation/review_1_5_2/verification/evidence_recheck.md" TargetMode="External" Id="rId40" /><Relationship Type="http://schemas.openxmlformats.org/officeDocument/2006/relationships/hyperlink" Target="../../../../2018/jama.2018.0156/jama_jabre_2018_oi_180004.pdf#page=6" TargetMode="External" Id="rId41" /><Relationship Type="http://schemas.openxmlformats.org/officeDocument/2006/relationships/hyperlink" Target="../../../../2018/jama.2018.0156/.ai_paper_validation/review_1_5_2/source_inventory.md" TargetMode="External" Id="rId42" /><Relationship Type="http://schemas.openxmlformats.org/officeDocument/2006/relationships/hyperlink" Target="../../../../2018/jama.2018.0156/jama_jabre_2018_oi_180004.pdf#page=2" TargetMode="External" Id="rId43" /><Relationship Type="http://schemas.openxmlformats.org/officeDocument/2006/relationships/hyperlink" Target="../../../../2018/jama.2018.0156/joi180004supp2_prod.pdf#page=2" TargetMode="External" Id="rId44" /><Relationship Type="http://schemas.openxmlformats.org/officeDocument/2006/relationships/hyperlink" Target="../../../../2018/jama.2018.0156/.ai_paper_validation/review_1_5_2/source_inventory.md" TargetMode="External" Id="rId45" /><Relationship Type="http://schemas.openxmlformats.org/officeDocument/2006/relationships/hyperlink" Target="../../../../2018/jama.2018.0156/jama_jabre_2018_oi_180004.pdf#page=1" TargetMode="External" Id="rId46" /><Relationship Type="http://schemas.openxmlformats.org/officeDocument/2006/relationships/hyperlink" Target="../../../../2018/jama.2018.0156/jama_jabre_2018_oi_180004.pdf#page=3" TargetMode="External" Id="rId47" /><Relationship Type="http://schemas.openxmlformats.org/officeDocument/2006/relationships/hyperlink" Target="../../../../2018/jama.2018.0156/joi180004supp1_prod.pdf#page=110" TargetMode="External" Id="rId48" /><Relationship Type="http://schemas.openxmlformats.org/officeDocument/2006/relationships/hyperlink" Target="../../../../2018/jama.2018.0156/.ai_paper_validation/review_1_5_2/source_inventory.md" TargetMode="External" Id="rId49" /><Relationship Type="http://schemas.openxmlformats.org/officeDocument/2006/relationships/hyperlink" Target="../../../../2018/jama.2018.0156/.ai_paper_validation/review_1_5_2/verification/evidence_recheck.md" TargetMode="External" Id="rId50" /><Relationship Type="http://schemas.openxmlformats.org/officeDocument/2006/relationships/hyperlink" Target="../../../../2018/jama.2018.0156/joi180004supp1_prod.pdf#page=110" TargetMode="External" Id="rId51" /><Relationship Type="http://schemas.openxmlformats.org/officeDocument/2006/relationships/hyperlink" Target="../../../../2018/jama.2018.0156/jama_jabre_2018_oi_180004.pdf#page=1" TargetMode="External" Id="rId52" /><Relationship Type="http://schemas.openxmlformats.org/officeDocument/2006/relationships/hyperlink" Target="../../../../2018/jama.2018.0156/jama_jabre_2018_oi_180004.pdf#page=4" TargetMode="External" Id="rId53" /><Relationship Type="http://schemas.openxmlformats.org/officeDocument/2006/relationships/hyperlink" Target="../../../../2018/jama.2018.0156/jama_jabre_2018_oi_180004.pdf#page=6" TargetMode="External" Id="rId54" /><Relationship Type="http://schemas.openxmlformats.org/officeDocument/2006/relationships/hyperlink" Target="../../../../2018/jama.2018.0156/.ai_paper_validation/review_1_5_2/source_inventory.md" TargetMode="External" Id="rId55" /><Relationship Type="http://schemas.openxmlformats.org/officeDocument/2006/relationships/hyperlink" Target="../../../../2018/jama.2018.0156/.ai_paper_validation/review_1_5_2/verification/evidence_recheck.md" TargetMode="External" Id="rId56" /><Relationship Type="http://schemas.openxmlformats.org/officeDocument/2006/relationships/hyperlink" Target="../../../../2018/jama.2018.0156/.ai_paper_validation/review_1_5_2/preprocessing/native_text/jama_jabre_2018_oi_180004.txt" TargetMode="External" Id="rId57" /><Relationship Type="http://schemas.openxmlformats.org/officeDocument/2006/relationships/hyperlink" Target="../../../../2018/jama.2018.0948/jama_parshuram_2018_oi_180015.pdf#page=4" TargetMode="External" Id="rId58" /><Relationship Type="http://schemas.openxmlformats.org/officeDocument/2006/relationships/hyperlink" Target="../../../../2018/jama.2018.0948/joi180015supp1_prod.pdf#page=24" TargetMode="External" Id="rId59" /><Relationship Type="http://schemas.openxmlformats.org/officeDocument/2006/relationships/hyperlink" Target="../../../../2018/jama.2018.0948/joi180015supp3_prod.pdf#page=6" TargetMode="External" Id="rId60" /><Relationship Type="http://schemas.openxmlformats.org/officeDocument/2006/relationships/hyperlink" Target="../../../../2018/jama.2018.0948/.ai_paper_validation/review_1_5_2/source_inventory.md" TargetMode="External" Id="rId61" /><Relationship Type="http://schemas.openxmlformats.org/officeDocument/2006/relationships/hyperlink" Target="../../../../2018/jama.2018.0948/.ai_paper_validation/review_1_5_2/candidate_ledger.md" TargetMode="External" Id="rId62" /><Relationship Type="http://schemas.openxmlformats.org/officeDocument/2006/relationships/hyperlink" Target="../../../../2018/jama.2018.0948/joi180015supp1_prod.pdf#page=1" TargetMode="External" Id="rId63" /><Relationship Type="http://schemas.openxmlformats.org/officeDocument/2006/relationships/hyperlink" Target="../../../../2018/jama.2018.0948/joi180015supp1_prod.pdf#page=14" TargetMode="External" Id="rId64" /><Relationship Type="http://schemas.openxmlformats.org/officeDocument/2006/relationships/hyperlink" Target="../../../../2018/jama.2018.0948/joi180015supp1_prod.pdf#page=29" TargetMode="External" Id="rId65" /><Relationship Type="http://schemas.openxmlformats.org/officeDocument/2006/relationships/hyperlink" Target="../../../../2018/jama.2018.0948/jama_parshuram_2018_oi_180015.pdf#page=4" TargetMode="External" Id="rId66" /><Relationship Type="http://schemas.openxmlformats.org/officeDocument/2006/relationships/hyperlink" Target="../../../../2018/jama.2018.0948/.ai_paper_validation/review_1_5_2/source_inventory.md" TargetMode="External" Id="rId67" /><Relationship Type="http://schemas.openxmlformats.org/officeDocument/2006/relationships/hyperlink" Target="../../../../2018/jama.2018.0948/.ai_paper_validation/review_1_5_2/candidate_ledger.md" TargetMode="External" Id="rId68" /><Relationship Type="http://schemas.openxmlformats.org/officeDocument/2006/relationships/hyperlink" Target="../../../../2018/jama.2018.0948/joi180015supp1_prod.pdf#page=11" TargetMode="External" Id="rId69" /><Relationship Type="http://schemas.openxmlformats.org/officeDocument/2006/relationships/hyperlink" Target="../../../../2018/jama.2018.0948/joi180015supp1_prod.pdf#page=24" TargetMode="External" Id="rId70" /><Relationship Type="http://schemas.openxmlformats.org/officeDocument/2006/relationships/hyperlink" Target="../../../../2018/jama.2018.0948/joi180015supp1_prod.pdf#page=27" TargetMode="External" Id="rId71" /><Relationship Type="http://schemas.openxmlformats.org/officeDocument/2006/relationships/hyperlink" Target="../../../../2018/jama.2018.0948/.ai_paper_validation/review_1_5_2/source_inventory.md" TargetMode="External" Id="rId72" /><Relationship Type="http://schemas.openxmlformats.org/officeDocument/2006/relationships/hyperlink" Target="../../../../2018/jama.2018.0948/.ai_paper_validation/review_1_5_2/candidate_ledger.md" TargetMode="External" Id="rId73" /><Relationship Type="http://schemas.openxmlformats.org/officeDocument/2006/relationships/hyperlink" Target="../../../../2018/jama.2018.0948/joi180015supp1_prod.pdf#page=11" TargetMode="External" Id="rId74" /><Relationship Type="http://schemas.openxmlformats.org/officeDocument/2006/relationships/hyperlink" Target="../../../../2018/jama.2018.0948/joi180015supp1_prod.pdf#page=28" TargetMode="External" Id="rId75" /><Relationship Type="http://schemas.openxmlformats.org/officeDocument/2006/relationships/hyperlink" Target="../../../../2018/jama.2018.0948/joi180015supp3_prod.pdf#page=6" TargetMode="External" Id="rId76" /><Relationship Type="http://schemas.openxmlformats.org/officeDocument/2006/relationships/hyperlink" Target="../../../../2018/jama.2018.0948/jama_parshuram_2018_oi_180015.pdf#page=7" TargetMode="External" Id="rId77" /><Relationship Type="http://schemas.openxmlformats.org/officeDocument/2006/relationships/hyperlink" Target="../../../../2018/jama.2018.0948/.ai_paper_validation/review_1_5_2/source_inventory.md" TargetMode="External" Id="rId78" /><Relationship Type="http://schemas.openxmlformats.org/officeDocument/2006/relationships/hyperlink" Target="../../../../2018/jama.2018.0948/.ai_paper_validation/review_1_5_2/verification/evidence_recheck.md" TargetMode="External" Id="rId79" /><Relationship Type="http://schemas.openxmlformats.org/officeDocument/2006/relationships/hyperlink" Target="../../../../2018/jama.2018.0948/.ai_paper_validation/review_1_5_2/candidate_ledger.md" TargetMode="External" Id="rId80" /><Relationship Type="http://schemas.openxmlformats.org/officeDocument/2006/relationships/hyperlink" Target="../../../../2018/jama.2018.0948/joi180015supp1_prod.pdf#page=14" TargetMode="External" Id="rId81" /><Relationship Type="http://schemas.openxmlformats.org/officeDocument/2006/relationships/hyperlink" Target="../../../../2018/jama.2018.0948/joi180015supp1_prod.pdf#page=30" TargetMode="External" Id="rId82" /><Relationship Type="http://schemas.openxmlformats.org/officeDocument/2006/relationships/hyperlink" Target="../../../../2018/jama.2018.0948/.ai_paper_validation/review_1_5_2/source_inventory.md" TargetMode="External" Id="rId83" /><Relationship Type="http://schemas.openxmlformats.org/officeDocument/2006/relationships/hyperlink" Target="../../../../2018/jama.2018.0948/.ai_paper_validation/review_1_5_2/candidate_ledger.md" TargetMode="External" Id="rId84" /><Relationship Type="http://schemas.openxmlformats.org/officeDocument/2006/relationships/hyperlink" Target="../../../../2018/jama.2018.0948/.ai_paper_validation/review_1_5_2/preprocessing/native_text/joi180015supp1_prod.txt" TargetMode="External" Id="rId85" /><Relationship Type="http://schemas.openxmlformats.org/officeDocument/2006/relationships/hyperlink" Target="../../../../2018/jama.2018.0948/joi180015supp1_prod.pdf#page=30" TargetMode="External" Id="rId86" /><Relationship Type="http://schemas.openxmlformats.org/officeDocument/2006/relationships/hyperlink" Target="../../../../2018/jama.2018.0948/.ai_paper_validation/review_1_5_2/source_inventory.md" TargetMode="External" Id="rId87" /><Relationship Type="http://schemas.openxmlformats.org/officeDocument/2006/relationships/hyperlink" Target="../../../../2018/jama.2018.0948/.ai_paper_validation/review_1_5_2/candidate_ledger.md" TargetMode="External" Id="rId88" /><Relationship Type="http://schemas.openxmlformats.org/officeDocument/2006/relationships/hyperlink" Target="../../../../2018/jama.2018.0948/joi180015supp1_prod.pdf#page=30" TargetMode="External" Id="rId89" /><Relationship Type="http://schemas.openxmlformats.org/officeDocument/2006/relationships/hyperlink" Target="../../../../2018/jama.2018.0948/.ai_paper_validation/review_1_5_2/source_inventory.md" TargetMode="External" Id="rId90" /><Relationship Type="http://schemas.openxmlformats.org/officeDocument/2006/relationships/hyperlink" Target="../../../../2018/jama.2018.0948/.ai_paper_validation/review_1_5_2/candidate_ledger.md" TargetMode="External" Id="rId91" /><Relationship Type="http://schemas.openxmlformats.org/officeDocument/2006/relationships/hyperlink" Target="../../../../2018/jama.2018.0948/.ai_paper_validation/review_1_5_2/preprocessing/native_text/joi180015supp1_prod.txt" TargetMode="External" Id="rId92" /><Relationship Type="http://schemas.openxmlformats.org/officeDocument/2006/relationships/hyperlink" Target="../../../../2018/jama.2018.14280/.ai_paper_validation/review_1_5_2/source_inventory.md" TargetMode="External" Id="rId93" /><Relationship Type="http://schemas.openxmlformats.org/officeDocument/2006/relationships/hyperlink" Target="../../../../2018/jama.2018.14280/.ai_paper_validation/review_1_5_2/source_inventory.md" TargetMode="External" Id="rId94" /><Relationship Type="http://schemas.openxmlformats.org/officeDocument/2006/relationships/hyperlink" Target="../../../../2018/jama.2018.14280/.ai_paper_validation/review_1_5_2/source_inventory.md" TargetMode="External" Id="rId95" /><Relationship Type="http://schemas.openxmlformats.org/officeDocument/2006/relationships/hyperlink" Target="../../../../2018/jama.2018.14280/.ai_paper_validation/review_1_5_2/source_inventory.md" TargetMode="External" Id="rId96" /><Relationship Type="http://schemas.openxmlformats.org/officeDocument/2006/relationships/hyperlink" Target="../../../../2018/jama.2018.14280/.ai_paper_validation/review_1_5_2/source_inventory.md" TargetMode="External" Id="rId97" /><Relationship Type="http://schemas.openxmlformats.org/officeDocument/2006/relationships/hyperlink" Target="../../../../2018/jama.2018.14280/.ai_paper_validation/review_1_5_2/source_inventory.md" TargetMode="External" Id="rId98" /><Relationship Type="http://schemas.openxmlformats.org/officeDocument/2006/relationships/hyperlink" Target="../../../../2018/jama.2018.14280/.ai_paper_validation/review_1_5_2/source_inventory.md" TargetMode="External" Id="rId99" /><Relationship Type="http://schemas.openxmlformats.org/officeDocument/2006/relationships/hyperlink" Target="../../../../2018/jama.2018.14280/.ai_paper_validation/review_1_5_2/source_inventory.md" TargetMode="External" Id="rId100" /><Relationship Type="http://schemas.openxmlformats.org/officeDocument/2006/relationships/hyperlink" Target="../../../../2018/jama.2018.14280/.ai_paper_validation/review_1_5_2/source_inventory.md" TargetMode="External" Id="rId101" /><Relationship Type="http://schemas.openxmlformats.org/officeDocument/2006/relationships/hyperlink" Target="../../../../2018/jama.2018.14280/.ai_paper_validation/review_1_5_2/source_inventory.md" TargetMode="External" Id="rId102" /><Relationship Type="http://schemas.openxmlformats.org/officeDocument/2006/relationships/hyperlink" Target="../../../../2018/jama.2018.14280/.ai_paper_validation/review_1_5_2/source_inventory.md" TargetMode="External" Id="rId103" /><Relationship Type="http://schemas.openxmlformats.org/officeDocument/2006/relationships/hyperlink" Target="../../../../2018/jama.2018.14280/.ai_paper_validation/review_1_5_2/verification/evidence_recheck.md" TargetMode="External" Id="rId104" /><Relationship Type="http://schemas.openxmlformats.org/officeDocument/2006/relationships/hyperlink" Target="../../../../2018/jama.2018.14280/.ai_paper_validation/review_1_5_2/source_inventory.md" TargetMode="External" Id="rId105" /><Relationship Type="http://schemas.openxmlformats.org/officeDocument/2006/relationships/hyperlink" Target="../../../../2018/jama.2018.14280/.ai_paper_validation/review_1_5_2/source_inventory.md" TargetMode="External" Id="rId106" /><Relationship Type="http://schemas.openxmlformats.org/officeDocument/2006/relationships/hyperlink" Target="../../../../2018/jama.2018.14280/.ai_paper_validation/review_1_5_2/source_inventory.md" TargetMode="External" Id="rId107" /><Relationship Type="http://schemas.openxmlformats.org/officeDocument/2006/relationships/hyperlink" Target="../../../../2018/jama.2018.14280/.ai_paper_validation/review_1_5_2/source_inventory.md" TargetMode="External" Id="rId108" /><Relationship Type="http://schemas.openxmlformats.org/officeDocument/2006/relationships/hyperlink" Target="../../../../2018/jama.2018.14280/.ai_paper_validation/review_1_5_2/source_inventory.md" TargetMode="External" Id="rId109" /><Relationship Type="http://schemas.openxmlformats.org/officeDocument/2006/relationships/hyperlink" Target="../../../../2018/jama.2018.14280/.ai_paper_validation/review_1_5_2/source_inventory.md" TargetMode="External" Id="rId110" /><Relationship Type="http://schemas.openxmlformats.org/officeDocument/2006/relationships/hyperlink" Target="../../../../2018/jama.2018.14280/.ai_paper_validation/review_1_5_2/source_inventory.md" TargetMode="External" Id="rId111" /><Relationship Type="http://schemas.openxmlformats.org/officeDocument/2006/relationships/hyperlink" Target="../../../../2018/jama.2018.14280/.ai_paper_validation/review_1_5_2/source_inventory.md" TargetMode="External" Id="rId112" /><Relationship Type="http://schemas.openxmlformats.org/officeDocument/2006/relationships/hyperlink" Target="../../../../2018/jama.2018.14280/.ai_paper_validation/review_1_5_2/source_inventory.md" TargetMode="External" Id="rId113" /><Relationship Type="http://schemas.openxmlformats.org/officeDocument/2006/relationships/hyperlink" Target="../../../../2018/jama.2018.14280/.ai_paper_validation/review_1_5_2/source_inventory.md" TargetMode="External" Id="rId114" /><Relationship Type="http://schemas.openxmlformats.org/officeDocument/2006/relationships/hyperlink" Target="../../../../2018/jama.2018.14280/.ai_paper_validation/review_1_5_2/source_inventory.md" TargetMode="External" Id="rId115" /><Relationship Type="http://schemas.openxmlformats.org/officeDocument/2006/relationships/hyperlink" Target="../../../../2018/jama.2018.14280/.ai_paper_validation/review_1_5_2/source_inventory.md" TargetMode="External" Id="rId116" /><Relationship Type="http://schemas.openxmlformats.org/officeDocument/2006/relationships/hyperlink" Target="../../../../2018/jama.2018.14280/.ai_paper_validation/review_1_5_2/verification/evidence_recheck.md" TargetMode="External" Id="rId117" /><Relationship Type="http://schemas.openxmlformats.org/officeDocument/2006/relationships/hyperlink" Target="../../../../2018/jama.2018.14282/jama_azoulay_2018_oi_180109.pdf#page=4" TargetMode="External" Id="rId118" /><Relationship Type="http://schemas.openxmlformats.org/officeDocument/2006/relationships/hyperlink" Target="../../../../2018/jama.2018.14282/.ai_paper_validation/review_1_5_2/source_inventory.md" TargetMode="External" Id="rId119" /><Relationship Type="http://schemas.openxmlformats.org/officeDocument/2006/relationships/hyperlink" Target="../../../../2018/jama.2018.14282/jama_azoulay_2018_oi_180109.pdf#page=4" TargetMode="External" Id="rId120" /><Relationship Type="http://schemas.openxmlformats.org/officeDocument/2006/relationships/hyperlink" Target="../../../../2018/jama.2018.14282/.ai_paper_validation/review_1_5_2/source_inventory.md" TargetMode="External" Id="rId121" /><Relationship Type="http://schemas.openxmlformats.org/officeDocument/2006/relationships/hyperlink" Target="../../../../2018/jama.2018.14282/jama_azoulay_2018_oi_180109.pdf#page=4" TargetMode="External" Id="rId122" /><Relationship Type="http://schemas.openxmlformats.org/officeDocument/2006/relationships/hyperlink" Target="../../../../2018/jama.2018.14282/.ai_paper_validation/review_1_5_2/source_inventory.md" TargetMode="External" Id="rId123" /><Relationship Type="http://schemas.openxmlformats.org/officeDocument/2006/relationships/hyperlink" Target="../../../../2018/jama.2018.14282/jama_azoulay_2018_oi_180109.pdf#page=4" TargetMode="External" Id="rId124" /><Relationship Type="http://schemas.openxmlformats.org/officeDocument/2006/relationships/hyperlink" Target="../../../../2018/jama.2018.14282/.ai_paper_validation/review_1_5_2/source_inventory.md" TargetMode="External" Id="rId125" /><Relationship Type="http://schemas.openxmlformats.org/officeDocument/2006/relationships/hyperlink" Target="../../../../2018/jama.2018.14282/jama_azoulay_2018_oi_180109.pdf#page=4" TargetMode="External" Id="rId126" /><Relationship Type="http://schemas.openxmlformats.org/officeDocument/2006/relationships/hyperlink" Target="../../../../2018/jama.2018.14282/.ai_paper_validation/review_1_5_2/source_inventory.md" TargetMode="External" Id="rId127" /><Relationship Type="http://schemas.openxmlformats.org/officeDocument/2006/relationships/hyperlink" Target="../../../../2018/jama.2018.14282/jama_azoulay_2018_oi_180109.pdf#page=4" TargetMode="External" Id="rId128" /><Relationship Type="http://schemas.openxmlformats.org/officeDocument/2006/relationships/hyperlink" Target="../../../../2018/jama.2018.14282/.ai_paper_validation/review_1_5_2/source_inventory.md" TargetMode="External" Id="rId129" /><Relationship Type="http://schemas.openxmlformats.org/officeDocument/2006/relationships/hyperlink" Target="../../../../2018/jama.2018.14282/jama_azoulay_2018_oi_180109.pdf#page=4" TargetMode="External" Id="rId130" /><Relationship Type="http://schemas.openxmlformats.org/officeDocument/2006/relationships/hyperlink" Target="../../../../2018/jama.2018.14282/.ai_paper_validation/review_1_5_2/source_inventory.md" TargetMode="External" Id="rId131" /><Relationship Type="http://schemas.openxmlformats.org/officeDocument/2006/relationships/hyperlink" Target="../../../../2018/jama.2018.14282/jama_azoulay_2018_oi_180109.pdf#page=4" TargetMode="External" Id="rId132" /><Relationship Type="http://schemas.openxmlformats.org/officeDocument/2006/relationships/hyperlink" Target="../../../../2018/jama.2018.14282/.ai_paper_validation/review_1_5_2/source_inventory.md" TargetMode="External" Id="rId133" /><Relationship Type="http://schemas.openxmlformats.org/officeDocument/2006/relationships/hyperlink" Target="../../../../2018/jama.2018.14282/jama_azoulay_2018_oi_180109.pdf#page=4" TargetMode="External" Id="rId134" /><Relationship Type="http://schemas.openxmlformats.org/officeDocument/2006/relationships/hyperlink" Target="../../../../2018/jama.2018.14282/.ai_paper_validation/review_1_5_2/source_inventory.md" TargetMode="External" Id="rId135" /><Relationship Type="http://schemas.openxmlformats.org/officeDocument/2006/relationships/hyperlink" Target="../../../../2018/jama.2018.14282/jama_azoulay_2018_oi_180109.pdf#page=4" TargetMode="External" Id="rId136" /><Relationship Type="http://schemas.openxmlformats.org/officeDocument/2006/relationships/hyperlink" Target="../../../../2018/jama.2018.14282/.ai_paper_validation/review_1_5_2/source_inventory.md" TargetMode="External" Id="rId137" /><Relationship Type="http://schemas.openxmlformats.org/officeDocument/2006/relationships/hyperlink" Target="../../../../2018/jama.2018.14282/jama_azoulay_2018_oi_180109.pdf#page=4" TargetMode="External" Id="rId138" /><Relationship Type="http://schemas.openxmlformats.org/officeDocument/2006/relationships/hyperlink" Target="../../../../2018/jama.2018.14282/.ai_paper_validation/review_1_5_2/source_inventory.md" TargetMode="External" Id="rId139" /><Relationship Type="http://schemas.openxmlformats.org/officeDocument/2006/relationships/hyperlink" Target="../../../../2018/jama.2018.14282/jama_azoulay_2018_oi_180109.pdf#page=4" TargetMode="External" Id="rId140" /><Relationship Type="http://schemas.openxmlformats.org/officeDocument/2006/relationships/hyperlink" Target="../../../../2018/jama.2018.14282/.ai_paper_validation/review_1_5_2/source_inventory.md" TargetMode="External" Id="rId141" /><Relationship Type="http://schemas.openxmlformats.org/officeDocument/2006/relationships/hyperlink" Target="../../../../2018/jama.2018.14282/jama_azoulay_2018_oi_180109.pdf#page=4" TargetMode="External" Id="rId142" /><Relationship Type="http://schemas.openxmlformats.org/officeDocument/2006/relationships/hyperlink" Target="../../../../2018/jama.2018.14282/.ai_paper_validation/review_1_5_2/source_inventory.md" TargetMode="External" Id="rId143" /><Relationship Type="http://schemas.openxmlformats.org/officeDocument/2006/relationships/hyperlink" Target="../../../../2018/jama.2018.14282/jama_azoulay_2018_oi_180109.pdf#page=4" TargetMode="External" Id="rId144" /><Relationship Type="http://schemas.openxmlformats.org/officeDocument/2006/relationships/hyperlink" Target="../../../../2018/jama.2018.14282/.ai_paper_validation/review_1_5_2/source_inventory.md" TargetMode="External" Id="rId145" /><Relationship Type="http://schemas.openxmlformats.org/officeDocument/2006/relationships/hyperlink" Target="../../../../2018/jama.2018.14282/jama_azoulay_2018_oi_180109.pdf#page=5" TargetMode="External" Id="rId146" /><Relationship Type="http://schemas.openxmlformats.org/officeDocument/2006/relationships/hyperlink" Target="../../../../2018/jama.2018.14282/.ai_paper_validation/review_1_5_2/source_inventory.md" TargetMode="External" Id="rId147" /><Relationship Type="http://schemas.openxmlformats.org/officeDocument/2006/relationships/hyperlink" Target="../../../../2018/jama.2018.14282/jama_azoulay_2018_oi_180109.pdf#page=5" TargetMode="External" Id="rId148" /><Relationship Type="http://schemas.openxmlformats.org/officeDocument/2006/relationships/hyperlink" Target="../../../../2018/jama.2018.14282/.ai_paper_validation/review_1_5_2/source_inventory.md" TargetMode="External" Id="rId149" /><Relationship Type="http://schemas.openxmlformats.org/officeDocument/2006/relationships/hyperlink" Target="../../../../2018/jama.2018.14282/jama_azoulay_2018_oi_180109.pdf#page=1" TargetMode="External" Id="rId150" /><Relationship Type="http://schemas.openxmlformats.org/officeDocument/2006/relationships/hyperlink" Target="../../../../2018/jama.2018.14282/jama_azoulay_2018_oi_180109.pdf#page=6" TargetMode="External" Id="rId151" /><Relationship Type="http://schemas.openxmlformats.org/officeDocument/2006/relationships/hyperlink" Target="../../../../2018/jama.2018.14282/.ai_paper_validation/review_1_5_2/source_inventory.md" TargetMode="External" Id="rId152" /><Relationship Type="http://schemas.openxmlformats.org/officeDocument/2006/relationships/hyperlink" Target="../../../../2018/jama.2018.14282/.ai_paper_validation/review_1_5_2/candidate_ledger.md" TargetMode="External" Id="rId153" /><Relationship Type="http://schemas.openxmlformats.org/officeDocument/2006/relationships/hyperlink" Target="../../../../2018/jama.2018.14282/jama_azoulay_2018_oi_180109.pdf#page=6" TargetMode="External" Id="rId154" /><Relationship Type="http://schemas.openxmlformats.org/officeDocument/2006/relationships/hyperlink" Target="../../../../2018/jama.2018.14282/.ai_paper_validation/review_1_5_2/source_inventory.md" TargetMode="External" Id="rId155" /><Relationship Type="http://schemas.openxmlformats.org/officeDocument/2006/relationships/hyperlink" Target="../../../../2018/jama.2018.14282/.ai_paper_validation/review_1_5_2/verification/evidence_recheck.md" TargetMode="External" Id="rId156" /><Relationship Type="http://schemas.openxmlformats.org/officeDocument/2006/relationships/hyperlink" Target="../../../../2018/jama.2018.14282/.ai_paper_validation/review_1_5_2/candidate_ledger.md" TargetMode="External" Id="rId157" /><Relationship Type="http://schemas.openxmlformats.org/officeDocument/2006/relationships/hyperlink" Target="../../../../2018/jama.2018.14282/joi180109supp2_prod.pdf#page=2" TargetMode="External" Id="rId158" /><Relationship Type="http://schemas.openxmlformats.org/officeDocument/2006/relationships/hyperlink" Target="../../../../2018/jama.2018.14282/.ai_paper_validation/review_1_5_2/source_inventory.md" TargetMode="External" Id="rId159" /><Relationship Type="http://schemas.openxmlformats.org/officeDocument/2006/relationships/hyperlink" Target="../../../../2018/jama.2018.14282/.ai_paper_validation/review_1_5_2/candidate_ledger.md" TargetMode="External" Id="rId160" /><Relationship Type="http://schemas.openxmlformats.org/officeDocument/2006/relationships/hyperlink" Target="../../../../2018/jama.2018.14282/joi180109supp2_prod.pdf#page=2" TargetMode="External" Id="rId161" /><Relationship Type="http://schemas.openxmlformats.org/officeDocument/2006/relationships/hyperlink" Target="../../../../2018/jama.2018.14282/.ai_paper_validation/review_1_5_2/source_inventory.md" TargetMode="External" Id="rId162" /><Relationship Type="http://schemas.openxmlformats.org/officeDocument/2006/relationships/hyperlink" Target="../../../../2018/jama.2018.14282/.ai_paper_validation/review_1_5_2/candidate_ledger.md" TargetMode="External" Id="rId163" /><Relationship Type="http://schemas.openxmlformats.org/officeDocument/2006/relationships/hyperlink" Target="../../../../2018/jama.2018.14282/joi180109supp2_prod.pdf#page=2" TargetMode="External" Id="rId164" /><Relationship Type="http://schemas.openxmlformats.org/officeDocument/2006/relationships/hyperlink" Target="../../../../2018/jama.2018.14282/.ai_paper_validation/review_1_5_2/source_inventory.md" TargetMode="External" Id="rId165" /><Relationship Type="http://schemas.openxmlformats.org/officeDocument/2006/relationships/hyperlink" Target="../../../../2018/jama.2018.14282/.ai_paper_validation/review_1_5_2/candidate_ledger.md" TargetMode="External" Id="rId166" /><Relationship Type="http://schemas.openxmlformats.org/officeDocument/2006/relationships/hyperlink" Target="../../../../2018/jama.2018.14282/jama_azoulay_2018_oi_180109.pdf#page=4" TargetMode="External" Id="rId167" /><Relationship Type="http://schemas.openxmlformats.org/officeDocument/2006/relationships/hyperlink" Target="../../../../2018/jama.2018.14282/jama_azoulay_2018_oi_180109.pdf#page=6" TargetMode="External" Id="rId168" /><Relationship Type="http://schemas.openxmlformats.org/officeDocument/2006/relationships/hyperlink" Target="../../../../2018/jama.2018.14282/joi180109supp2_prod.pdf#page=3" TargetMode="External" Id="rId169" /><Relationship Type="http://schemas.openxmlformats.org/officeDocument/2006/relationships/hyperlink" Target="../../../../2018/jama.2018.14282/.ai_paper_validation/review_1_5_2/source_inventory.md" TargetMode="External" Id="rId170" /><Relationship Type="http://schemas.openxmlformats.org/officeDocument/2006/relationships/hyperlink" Target="../../../../2018/jama.2018.14282/.ai_paper_validation/review_1_5_2/candidate_ledger.md" TargetMode="External" Id="rId171" /><Relationship Type="http://schemas.openxmlformats.org/officeDocument/2006/relationships/hyperlink" Target="../../../../2018/jama.2018.14282/jama_azoulay_2018_oi_180109.pdf#page=5" TargetMode="External" Id="rId172" /><Relationship Type="http://schemas.openxmlformats.org/officeDocument/2006/relationships/hyperlink" Target="../../../../2018/jama.2018.14282/jama_azoulay_2018_oi_180109.pdf#page=7" TargetMode="External" Id="rId173" /><Relationship Type="http://schemas.openxmlformats.org/officeDocument/2006/relationships/hyperlink" Target="../../../../2018/jama.2018.14282/.ai_paper_validation/review_1_5_2/source_inventory.md" TargetMode="External" Id="rId174" /><Relationship Type="http://schemas.openxmlformats.org/officeDocument/2006/relationships/hyperlink" Target="../../../../2018/jama.2018.14282/.ai_paper_validation/review_1_5_2/candidate_ledger.md" TargetMode="External" Id="rId175" /><Relationship Type="http://schemas.openxmlformats.org/officeDocument/2006/relationships/hyperlink" Target="../../../../2018/jama.2018.14282/jama_azoulay_2018_oi_180109.pdf#page=5" TargetMode="External" Id="rId176" /><Relationship Type="http://schemas.openxmlformats.org/officeDocument/2006/relationships/hyperlink" Target="../../../../2018/jama.2018.14282/jama_azoulay_2018_oi_180109.pdf#page=6" TargetMode="External" Id="rId177" /><Relationship Type="http://schemas.openxmlformats.org/officeDocument/2006/relationships/hyperlink" Target="../../../../2018/jama.2018.14282/jama_azoulay_2018_oi_180109.pdf#page=7" TargetMode="External" Id="rId178" /><Relationship Type="http://schemas.openxmlformats.org/officeDocument/2006/relationships/hyperlink" Target="../../../../2018/jama.2018.14282/.ai_paper_validation/review_1_5_2/source_inventory.md" TargetMode="External" Id="rId179" /><Relationship Type="http://schemas.openxmlformats.org/officeDocument/2006/relationships/hyperlink" Target="../../../../2018/jama.2018.14282/.ai_paper_validation/review_1_5_2/candidate_ledger.md" TargetMode="External" Id="rId180" /><Relationship Type="http://schemas.openxmlformats.org/officeDocument/2006/relationships/hyperlink" Target="../../../../2018/jama.2018.14282/jama_azoulay_2018_oi_180109.pdf#page=3" TargetMode="External" Id="rId181" /><Relationship Type="http://schemas.openxmlformats.org/officeDocument/2006/relationships/hyperlink" Target="../../../../2018/jama.2018.14282/joi180109supp1_prod.pdf#page=91" TargetMode="External" Id="rId182" /><Relationship Type="http://schemas.openxmlformats.org/officeDocument/2006/relationships/hyperlink" Target="../../../../2018/jama.2018.14282/joi180109supp1_prod.pdf#page=103" TargetMode="External" Id="rId183" /><Relationship Type="http://schemas.openxmlformats.org/officeDocument/2006/relationships/hyperlink" Target="../../../../2018/jama.2018.14282/.ai_paper_validation/review_1_5_2/source_inventory.md" TargetMode="External" Id="rId184" /><Relationship Type="http://schemas.openxmlformats.org/officeDocument/2006/relationships/hyperlink" Target="../../../../2018/jama.2018.14282/.ai_paper_validation/review_1_5_2/verification/evidence_recheck.md" TargetMode="External" Id="rId185" /><Relationship Type="http://schemas.openxmlformats.org/officeDocument/2006/relationships/hyperlink" Target="../../../../2018/jama.2018.14282/.ai_paper_validation/review_1_5_2/candidate_ledger.md" TargetMode="External" Id="rId186" /><Relationship Type="http://schemas.openxmlformats.org/officeDocument/2006/relationships/hyperlink" Target="../../../../2018/jama.2018.14282/joi180109supp1_prod.pdf#page=40" TargetMode="External" Id="rId187" /><Relationship Type="http://schemas.openxmlformats.org/officeDocument/2006/relationships/hyperlink" Target="../../../../2018/jama.2018.14282/joi180109supp1_prod.pdf#page=42" TargetMode="External" Id="rId188" /><Relationship Type="http://schemas.openxmlformats.org/officeDocument/2006/relationships/hyperlink" Target="../../../../2018/jama.2018.14282/.ai_paper_validation/review_1_5_2/source_inventory.md" TargetMode="External" Id="rId189" /><Relationship Type="http://schemas.openxmlformats.org/officeDocument/2006/relationships/hyperlink" Target="../../../../2018/jama.2018.14282/.ai_paper_validation/review_1_5_2/verification/evidence_recheck.md" TargetMode="External" Id="rId190" /><Relationship Type="http://schemas.openxmlformats.org/officeDocument/2006/relationships/hyperlink" Target="../../../../2018/jama.2018.14282/.ai_paper_validation/review_1_5_2/candidate_ledger.md" TargetMode="External" Id="rId191" /><Relationship Type="http://schemas.openxmlformats.org/officeDocument/2006/relationships/hyperlink" Target="../../../../2018/jama.2018.14282/joi180109supp1_prod.pdf#page=52" TargetMode="External" Id="rId192" /><Relationship Type="http://schemas.openxmlformats.org/officeDocument/2006/relationships/hyperlink" Target="../../../../2018/jama.2018.14282/joi180109supp1_prod.pdf#page=104" TargetMode="External" Id="rId193" /><Relationship Type="http://schemas.openxmlformats.org/officeDocument/2006/relationships/hyperlink" Target="../../../../2018/jama.2018.14282/.ai_paper_validation/review_1_5_2/source_inventory.md" TargetMode="External" Id="rId194" /><Relationship Type="http://schemas.openxmlformats.org/officeDocument/2006/relationships/hyperlink" Target="../../../../2018/jama.2018.14282/.ai_paper_validation/review_1_5_2/verification/evidence_recheck.md" TargetMode="External" Id="rId195" /><Relationship Type="http://schemas.openxmlformats.org/officeDocument/2006/relationships/hyperlink" Target="../../../../2018/jama.2018.14282/.ai_paper_validation/review_1_5_2/candidate_ledger.md" TargetMode="External" Id="rId196" /><Relationship Type="http://schemas.openxmlformats.org/officeDocument/2006/relationships/hyperlink" Target="../../../../2018/jama.2018.14282/joi180109supp1_prod.pdf#page=54" TargetMode="External" Id="rId197" /><Relationship Type="http://schemas.openxmlformats.org/officeDocument/2006/relationships/hyperlink" Target="../../../../2018/jama.2018.14282/joi180109supp1_prod.pdf#page=82" TargetMode="External" Id="rId198" /><Relationship Type="http://schemas.openxmlformats.org/officeDocument/2006/relationships/hyperlink" Target="../../../../2018/jama.2018.14282/joi180109supp1_prod.pdf#page=104" TargetMode="External" Id="rId199" /><Relationship Type="http://schemas.openxmlformats.org/officeDocument/2006/relationships/hyperlink" Target="../../../../2018/jama.2018.14282/.ai_paper_validation/review_1_5_2/source_inventory.md" TargetMode="External" Id="rId200" /><Relationship Type="http://schemas.openxmlformats.org/officeDocument/2006/relationships/hyperlink" Target="../../../../2018/jama.2018.14282/.ai_paper_validation/review_1_5_2/verification/evidence_recheck.md" TargetMode="External" Id="rId201" /><Relationship Type="http://schemas.openxmlformats.org/officeDocument/2006/relationships/hyperlink" Target="../../../../2018/jama.2018.14282/.ai_paper_validation/review_1_5_2/candidate_ledger.md" TargetMode="External" Id="rId202" /><Relationship Type="http://schemas.openxmlformats.org/officeDocument/2006/relationships/hyperlink" Target="../../../../2018/jama.2018.17075/jama_cooper_2018_oi_180132.pdf#page=5" TargetMode="External" Id="rId203" /><Relationship Type="http://schemas.openxmlformats.org/officeDocument/2006/relationships/hyperlink" Target="../../../../2018/jama.2018.17075/.ai_paper_validation/review_1_5_2/source_inventory.md" TargetMode="External" Id="rId204" /><Relationship Type="http://schemas.openxmlformats.org/officeDocument/2006/relationships/hyperlink" Target="../../../../2018/jama.2018.17075/jama_cooper_2018_oi_180132.pdf#page=1" TargetMode="External" Id="rId205" /><Relationship Type="http://schemas.openxmlformats.org/officeDocument/2006/relationships/hyperlink" Target="../../../../2018/jama.2018.17075/jama_cooper_2018_oi_180132.pdf#page=5" TargetMode="External" Id="rId206" /><Relationship Type="http://schemas.openxmlformats.org/officeDocument/2006/relationships/hyperlink" Target="../../../../2018/jama.2018.17075/jama_cooper_2018_oi_180132.pdf#page=7" TargetMode="External" Id="rId207" /><Relationship Type="http://schemas.openxmlformats.org/officeDocument/2006/relationships/hyperlink" Target="../../../../2018/jama.2018.17075/.ai_paper_validation/review_1_5_2/source_inventory.md" TargetMode="External" Id="rId208" /><Relationship Type="http://schemas.openxmlformats.org/officeDocument/2006/relationships/hyperlink" Target="../../../../2018/jama.2018.17075/jama_cooper_2018_oi_180132.pdf#page=7" TargetMode="External" Id="rId209" /><Relationship Type="http://schemas.openxmlformats.org/officeDocument/2006/relationships/hyperlink" Target="../../../../2018/jama.2018.17075/joi180132supp2_prod.pdf#page=10" TargetMode="External" Id="rId210" /><Relationship Type="http://schemas.openxmlformats.org/officeDocument/2006/relationships/hyperlink" Target="../../../../2018/jama.2018.17075/jama_cooper_2018_oi_180132.pdf#page=3" TargetMode="External" Id="rId211" /><Relationship Type="http://schemas.openxmlformats.org/officeDocument/2006/relationships/hyperlink" Target="../../../../2018/jama.2018.17075/.ai_paper_validation/review_1_5_2/source_inventory.md" TargetMode="External" Id="rId212" /><Relationship Type="http://schemas.openxmlformats.org/officeDocument/2006/relationships/hyperlink" Target="../../../../2018/jama.2018.17075/.ai_paper_validation/review_1_5_2/verification/evidence_recheck.md" TargetMode="External" Id="rId213" /><Relationship Type="http://schemas.openxmlformats.org/officeDocument/2006/relationships/hyperlink" Target="../../../../2018/jama.2018.17075/jama_cooper_2018_oi_180132.pdf#page=7" TargetMode="External" Id="rId214" /><Relationship Type="http://schemas.openxmlformats.org/officeDocument/2006/relationships/hyperlink" Target="../../../../2018/jama.2018.17075/joi180132supp2_prod.pdf#page=10" TargetMode="External" Id="rId215" /><Relationship Type="http://schemas.openxmlformats.org/officeDocument/2006/relationships/hyperlink" Target="../../../../2018/jama.2018.17075/jama_cooper_2018_oi_180132.pdf#page=3" TargetMode="External" Id="rId216" /><Relationship Type="http://schemas.openxmlformats.org/officeDocument/2006/relationships/hyperlink" Target="../../../../2018/jama.2018.17075/.ai_paper_validation/review_1_5_2/source_inventory.md" TargetMode="External" Id="rId217" /><Relationship Type="http://schemas.openxmlformats.org/officeDocument/2006/relationships/hyperlink" Target="../../../../2018/jama.2018.17075/.ai_paper_validation/review_1_5_2/verification/evidence_recheck.md" TargetMode="External" Id="rId218" /><Relationship Type="http://schemas.openxmlformats.org/officeDocument/2006/relationships/hyperlink" Target="../../../../2018/jama.2018.17075/joi180132supp2_prod.pdf#page=18" TargetMode="External" Id="rId219" /><Relationship Type="http://schemas.openxmlformats.org/officeDocument/2006/relationships/hyperlink" Target="../../../../2018/jama.2018.17075/.ai_paper_validation/review_1_5_2/source_inventory.md" TargetMode="External" Id="rId220" /><Relationship Type="http://schemas.openxmlformats.org/officeDocument/2006/relationships/hyperlink" Target="../../../../2018/jama.2018.17075/joi180132supp2_prod.pdf#page=18" TargetMode="External" Id="rId221" /><Relationship Type="http://schemas.openxmlformats.org/officeDocument/2006/relationships/hyperlink" Target="../../../../2018/jama.2018.17075/.ai_paper_validation/review_1_5_2/source_inventory.md" TargetMode="External" Id="rId222" /><Relationship Type="http://schemas.openxmlformats.org/officeDocument/2006/relationships/hyperlink" Target="../../../../2018/jama.2018.17075/joi180132supp2_prod.pdf#page=22" TargetMode="External" Id="rId223" /><Relationship Type="http://schemas.openxmlformats.org/officeDocument/2006/relationships/hyperlink" Target="../../../../2018/jama.2018.17075/.ai_paper_validation/review_1_5_2/source_inventory.md" TargetMode="External" Id="rId224" /><Relationship Type="http://schemas.openxmlformats.org/officeDocument/2006/relationships/hyperlink" Target="../../../../2018/jama.2018.17075/jama_cooper_2018_oi_180132.pdf#page=1" TargetMode="External" Id="rId225" /><Relationship Type="http://schemas.openxmlformats.org/officeDocument/2006/relationships/hyperlink" Target="../../../../2018/jama.2018.17075/jama_cooper_2018_oi_180132.pdf#page=5" TargetMode="External" Id="rId226" /><Relationship Type="http://schemas.openxmlformats.org/officeDocument/2006/relationships/hyperlink" Target="../../../../2018/jama.2018.17075/.ai_paper_validation/review_1_5_2/source_inventory.md" TargetMode="External" Id="rId227" /><Relationship Type="http://schemas.openxmlformats.org/officeDocument/2006/relationships/hyperlink" Target="../../../../2018/jama.2018.18020/jama_stunnenberg_2018_oi_180136.pdf#page=1" TargetMode="External" Id="rId228" /><Relationship Type="http://schemas.openxmlformats.org/officeDocument/2006/relationships/hyperlink" Target="../../../../2018/jama.2018.18020/jama_stunnenberg_2018_oi_180136.pdf#page=4" TargetMode="External" Id="rId229" /><Relationship Type="http://schemas.openxmlformats.org/officeDocument/2006/relationships/hyperlink" Target="../../../../2018/jama.2018.18020/.ai_paper_validation/review_1_5_2/source_inventory.md" TargetMode="External" Id="rId230" /><Relationship Type="http://schemas.openxmlformats.org/officeDocument/2006/relationships/hyperlink" Target="../../../../2018/jama.2018.18020/jama_stunnenberg_2018_oi_180136.pdf#page=5" TargetMode="External" Id="rId231" /><Relationship Type="http://schemas.openxmlformats.org/officeDocument/2006/relationships/hyperlink" Target="../../../../2018/jama.2018.18020/jama_stunnenberg_2018_oi_180136.pdf#page=8" TargetMode="External" Id="rId232" /><Relationship Type="http://schemas.openxmlformats.org/officeDocument/2006/relationships/hyperlink" Target="../../../../2018/jama.2018.18020/.ai_paper_validation/review_1_5_2/source_inventory.md" TargetMode="External" Id="rId233" /><Relationship Type="http://schemas.openxmlformats.org/officeDocument/2006/relationships/hyperlink" Target="../../../../2018/jama.2018.18020/jama_stunnenberg_2018_oi_180136.pdf#page=7" TargetMode="External" Id="rId234" /><Relationship Type="http://schemas.openxmlformats.org/officeDocument/2006/relationships/hyperlink" Target="../../../../2018/jama.2018.18020/jama_stunnenberg_2018_oi_180136.pdf#page=8" TargetMode="External" Id="rId235" /><Relationship Type="http://schemas.openxmlformats.org/officeDocument/2006/relationships/hyperlink" Target="../../../../2018/jama.2018.18020/.ai_paper_validation/review_1_5_2/source_inventory.md" TargetMode="External" Id="rId236" /><Relationship Type="http://schemas.openxmlformats.org/officeDocument/2006/relationships/hyperlink" Target="../../../../2018/jama.2018.18020/joi180136supp2_prod.pdf#page=6" TargetMode="External" Id="rId237" /><Relationship Type="http://schemas.openxmlformats.org/officeDocument/2006/relationships/hyperlink" Target="../../../../2018/jama.2018.18020/jama_stunnenberg_2018_oi_180136.pdf#page=8" TargetMode="External" Id="rId238" /><Relationship Type="http://schemas.openxmlformats.org/officeDocument/2006/relationships/hyperlink" Target="../../../../2018/jama.2018.18020/.ai_paper_validation/review_1_5_2/source_inventory.md" TargetMode="External" Id="rId239" /><Relationship Type="http://schemas.openxmlformats.org/officeDocument/2006/relationships/hyperlink" Target="../../../../2018/jama.2018.18020/.ai_paper_validation/review_1_5_2/verification/evidence_recheck.md" TargetMode="External" Id="rId240" /><Relationship Type="http://schemas.openxmlformats.org/officeDocument/2006/relationships/hyperlink" Target="../../../../2018/jama.2018.18020/joi180136supp2_prod.pdf#page=11" TargetMode="External" Id="rId241" /><Relationship Type="http://schemas.openxmlformats.org/officeDocument/2006/relationships/hyperlink" Target="../../../../2018/jama.2018.18020/joi180136supp2_prod.pdf#page=13" TargetMode="External" Id="rId242" /><Relationship Type="http://schemas.openxmlformats.org/officeDocument/2006/relationships/hyperlink" Target="../../../../2018/jama.2018.18020/joi180136supp2_prod.pdf#page=14" TargetMode="External" Id="rId243" /><Relationship Type="http://schemas.openxmlformats.org/officeDocument/2006/relationships/hyperlink" Target="../../../../2018/jama.2018.18020/.ai_paper_validation/review_1_5_2/source_inventory.md" TargetMode="External" Id="rId244" /><Relationship Type="http://schemas.openxmlformats.org/officeDocument/2006/relationships/hyperlink" Target="../../../../2018/jama.2018.18020/.ai_paper_validation/review_1_5_2/verification/evidence_recheck.md" TargetMode="External" Id="rId245" /><Relationship Type="http://schemas.openxmlformats.org/officeDocument/2006/relationships/hyperlink" Target="../../../../2018/jama.2018.18020/joi180136supp2_prod.pdf#page=13" TargetMode="External" Id="rId246" /><Relationship Type="http://schemas.openxmlformats.org/officeDocument/2006/relationships/hyperlink" Target="../../../../2018/jama.2018.18020/joi180136supp2_prod.pdf#page=14" TargetMode="External" Id="rId247" /><Relationship Type="http://schemas.openxmlformats.org/officeDocument/2006/relationships/hyperlink" Target="../../../../2018/jama.2018.18020/.ai_paper_validation/review_1_5_2/source_inventory.md" TargetMode="External" Id="rId248" /><Relationship Type="http://schemas.openxmlformats.org/officeDocument/2006/relationships/hyperlink" Target="../../../../2018/jama.2018.18020/.ai_paper_validation/review_1_5_2/verification/evidence_recheck.md" TargetMode="External" Id="rId249" /><Relationship Type="http://schemas.openxmlformats.org/officeDocument/2006/relationships/hyperlink" Target="../../../../2018/jama.2018.18020/joi180136supp2_prod.pdf#page=11" TargetMode="External" Id="rId250" /><Relationship Type="http://schemas.openxmlformats.org/officeDocument/2006/relationships/hyperlink" Target="../../../../2018/jama.2018.18020/joi180136supp2_prod.pdf#page=12" TargetMode="External" Id="rId251" /><Relationship Type="http://schemas.openxmlformats.org/officeDocument/2006/relationships/hyperlink" Target="../../../../2018/jama.2018.18020/joi180136supp2_prod.pdf#page=13" TargetMode="External" Id="rId252" /><Relationship Type="http://schemas.openxmlformats.org/officeDocument/2006/relationships/hyperlink" Target="../../../../2018/jama.2018.18020/joi180136supp2_prod.pdf#page=14" TargetMode="External" Id="rId253" /><Relationship Type="http://schemas.openxmlformats.org/officeDocument/2006/relationships/hyperlink" Target="../../../../2018/jama.2018.18020/.ai_paper_validation/review_1_5_2/source_inventory.md" TargetMode="External" Id="rId254" /><Relationship Type="http://schemas.openxmlformats.org/officeDocument/2006/relationships/hyperlink" Target="../../../../2018/jama.2018.18020/.ai_paper_validation/review_1_5_2/verification/evidence_recheck.md" TargetMode="External" Id="rId255" /><Relationship Type="http://schemas.openxmlformats.org/officeDocument/2006/relationships/hyperlink" Target="../../../../2018/jama.2018.18020/jama_stunnenberg_2018_oi_180136.pdf#page=4" TargetMode="External" Id="rId256" /><Relationship Type="http://schemas.openxmlformats.org/officeDocument/2006/relationships/hyperlink" Target="../../../../2018/jama.2018.18020/jama_stunnenberg_2018_oi_180136.pdf#page=5" TargetMode="External" Id="rId257" /><Relationship Type="http://schemas.openxmlformats.org/officeDocument/2006/relationships/hyperlink" Target="../../../../2018/jama.2018.18020/jama_stunnenberg_2018_oi_180136.pdf#page=6" TargetMode="External" Id="rId258" /><Relationship Type="http://schemas.openxmlformats.org/officeDocument/2006/relationships/hyperlink" Target="../../../../2018/jama.2018.18020/joi180136supp2_prod.pdf#page=4" TargetMode="External" Id="rId259" /><Relationship Type="http://schemas.openxmlformats.org/officeDocument/2006/relationships/hyperlink" Target="../../../../2018/jama.2018.18020/.ai_paper_validation/review_1_5_2/source_inventory.md" TargetMode="External" Id="rId260" /><Relationship Type="http://schemas.openxmlformats.org/officeDocument/2006/relationships/hyperlink" Target="../../../../2018/jama.2018.18020/.ai_paper_validation/review_1_5_2/verification/evidence_recheck.md" TargetMode="External" Id="rId261" /><Relationship Type="http://schemas.openxmlformats.org/officeDocument/2006/relationships/hyperlink" Target="../../../../2018/jama.2018.18020/jama_stunnenberg_2018_oi_180136.pdf#page=7" TargetMode="External" Id="rId262" /><Relationship Type="http://schemas.openxmlformats.org/officeDocument/2006/relationships/hyperlink" Target="../../../../2018/jama.2018.18020/jama_stunnenberg_2018_oi_180136.pdf#page=3" TargetMode="External" Id="rId263" /><Relationship Type="http://schemas.openxmlformats.org/officeDocument/2006/relationships/hyperlink" Target="../../../../2018/jama.2018.18020/jama_stunnenberg_2018_oi_180136.pdf#page=4" TargetMode="External" Id="rId264" /><Relationship Type="http://schemas.openxmlformats.org/officeDocument/2006/relationships/hyperlink" Target="../../../../2018/jama.2018.18020/.ai_paper_validation/review_1_5_2/source_inventory.md" TargetMode="External" Id="rId265" /><Relationship Type="http://schemas.openxmlformats.org/officeDocument/2006/relationships/hyperlink" Target="../../../../2018/jama.2018.18020/jama_stunnenberg_2018_oi_180136.pdf#page=7" TargetMode="External" Id="rId266" /><Relationship Type="http://schemas.openxmlformats.org/officeDocument/2006/relationships/hyperlink" Target="../../../../2018/jama.2018.18020/jama_stunnenberg_2018_oi_180136.pdf#page=8" TargetMode="External" Id="rId267" /><Relationship Type="http://schemas.openxmlformats.org/officeDocument/2006/relationships/hyperlink" Target="../../../../2018/jama.2018.18020/jama_stunnenberg_2018_oi_180136.pdf#page=3" TargetMode="External" Id="rId268" /><Relationship Type="http://schemas.openxmlformats.org/officeDocument/2006/relationships/hyperlink" Target="../../../../2018/jama.2018.18020/jama_stunnenberg_2018_oi_180136.pdf#page=4" TargetMode="External" Id="rId269" /><Relationship Type="http://schemas.openxmlformats.org/officeDocument/2006/relationships/hyperlink" Target="../../../../2018/jama.2018.18020/.ai_paper_validation/review_1_5_2/source_inventory.md" TargetMode="External" Id="rId270" /><Relationship Type="http://schemas.openxmlformats.org/officeDocument/2006/relationships/hyperlink" Target="../../../../2018/jama.2018.18020/jama_stunnenberg_2018_oi_180136.pdf#page=7" TargetMode="External" Id="rId271" /><Relationship Type="http://schemas.openxmlformats.org/officeDocument/2006/relationships/hyperlink" Target="../../../../2018/jama.2018.18020/jama_stunnenberg_2018_oi_180136.pdf#page=6" TargetMode="External" Id="rId272" /><Relationship Type="http://schemas.openxmlformats.org/officeDocument/2006/relationships/hyperlink" Target="../../../../2018/jama.2018.18020/jama_stunnenberg_2018_oi_180136.pdf#page=8" TargetMode="External" Id="rId273" /><Relationship Type="http://schemas.openxmlformats.org/officeDocument/2006/relationships/hyperlink" Target="../../../../2018/jama.2018.18020/jama_stunnenberg_2018_oi_180136.pdf#page=3" TargetMode="External" Id="rId274" /><Relationship Type="http://schemas.openxmlformats.org/officeDocument/2006/relationships/hyperlink" Target="../../../../2018/jama.2018.18020/jama_stunnenberg_2018_oi_180136.pdf#page=4" TargetMode="External" Id="rId275" /><Relationship Type="http://schemas.openxmlformats.org/officeDocument/2006/relationships/hyperlink" Target="../../../../2018/jama.2018.18020/.ai_paper_validation/review_1_5_2/source_inventory.md" TargetMode="External" Id="rId276" /><Relationship Type="http://schemas.openxmlformats.org/officeDocument/2006/relationships/hyperlink" Target="../../../../2018/jama.2018.18020/jama_stunnenberg_2018_oi_180136.pdf#page=8" TargetMode="External" Id="rId277" /><Relationship Type="http://schemas.openxmlformats.org/officeDocument/2006/relationships/hyperlink" Target="../../../../2018/jama.2018.18020/jama_stunnenberg_2018_oi_180136.pdf#page=3" TargetMode="External" Id="rId278" /><Relationship Type="http://schemas.openxmlformats.org/officeDocument/2006/relationships/hyperlink" Target="../../../../2018/jama.2018.18020/jama_stunnenberg_2018_oi_180136.pdf#page=4" TargetMode="External" Id="rId279" /><Relationship Type="http://schemas.openxmlformats.org/officeDocument/2006/relationships/hyperlink" Target="../../../../2018/jama.2018.18020/.ai_paper_validation/review_1_5_2/source_inventory.md" TargetMode="External" Id="rId280" /><Relationship Type="http://schemas.openxmlformats.org/officeDocument/2006/relationships/hyperlink" Target="../../../../2018/jama.2018.18020/jama_stunnenberg_2018_oi_180136.pdf#page=7" TargetMode="External" Id="rId281" /><Relationship Type="http://schemas.openxmlformats.org/officeDocument/2006/relationships/hyperlink" Target="../../../../2018/jama.2018.18020/.ai_paper_validation/review_1_5_2/source_inventory.md" TargetMode="External" Id="rId282" /><Relationship Type="http://schemas.openxmlformats.org/officeDocument/2006/relationships/hyperlink" Target="../../../../2018/jama.2018.18020/jama_stunnenberg_2018_oi_180136.pdf#page=7" TargetMode="External" Id="rId283" /><Relationship Type="http://schemas.openxmlformats.org/officeDocument/2006/relationships/hyperlink" Target="../../../../2018/jama.2018.18020/.ai_paper_validation/review_1_5_2/source_inventory.md" TargetMode="External" Id="rId284" /><Relationship Type="http://schemas.openxmlformats.org/officeDocument/2006/relationships/hyperlink" Target="../../../../2018/jama.2018.6496/jama_driver_2018_oi_180054.pdf#page=7" TargetMode="External" Id="rId285" /><Relationship Type="http://schemas.openxmlformats.org/officeDocument/2006/relationships/hyperlink" Target="../../../../2018/jama.2018.6496/joi180054supp2_prod.pdf#page=2" TargetMode="External" Id="rId286" /><Relationship Type="http://schemas.openxmlformats.org/officeDocument/2006/relationships/hyperlink" Target="../../../../2018/jama.2018.6496/joi180054supp2_prod.pdf#page=3" TargetMode="External" Id="rId287" /><Relationship Type="http://schemas.openxmlformats.org/officeDocument/2006/relationships/hyperlink" Target="../../../../2018/jama.2018.6496/jama_driver_2018_oi_180054.pdf#page=4" TargetMode="External" Id="rId288" /><Relationship Type="http://schemas.openxmlformats.org/officeDocument/2006/relationships/hyperlink" Target="../../../../2018/jama.2018.6496/.ai_paper_validation/review_1_5_2/source_inventory.md" TargetMode="External" Id="rId289" /><Relationship Type="http://schemas.openxmlformats.org/officeDocument/2006/relationships/hyperlink" Target="../../../../2018/jama.2018.6496/.ai_paper_validation/review_1_5_2/verification/evidence_recheck.md" TargetMode="External" Id="rId290" /><Relationship Type="http://schemas.openxmlformats.org/officeDocument/2006/relationships/hyperlink" Target="../../../../2018/jama.2018.6496/jama_driver_2018_oi_180054.pdf#page=7" TargetMode="External" Id="rId291" /><Relationship Type="http://schemas.openxmlformats.org/officeDocument/2006/relationships/hyperlink" Target="../../../../2018/jama.2018.6496/jama_driver_2018_oi_180054.pdf#page=9" TargetMode="External" Id="rId292" /><Relationship Type="http://schemas.openxmlformats.org/officeDocument/2006/relationships/hyperlink" Target="../../../../2018/jama.2018.6496/joi180054supp1_prod.pdf#page=9" TargetMode="External" Id="rId293" /><Relationship Type="http://schemas.openxmlformats.org/officeDocument/2006/relationships/hyperlink" Target="../../../../2018/jama.2018.6496/joi180054supp1_prod.pdf#page=21" TargetMode="External" Id="rId294" /><Relationship Type="http://schemas.openxmlformats.org/officeDocument/2006/relationships/hyperlink" Target="../../../../2018/jama.2018.6496/.ai_paper_validation/review_1_5_2/source_inventory.md" TargetMode="External" Id="rId295" /><Relationship Type="http://schemas.openxmlformats.org/officeDocument/2006/relationships/hyperlink" Target="../../../../2018/jama.2018.6496/.ai_paper_validation/review_1_5_2/verification/evidence_recheck.md" TargetMode="External" Id="rId296" /><Relationship Type="http://schemas.openxmlformats.org/officeDocument/2006/relationships/hyperlink" Target="../../../../2018/jama.2018.6496/joi180054supp1_prod.pdf#page=9" TargetMode="External" Id="rId297" /><Relationship Type="http://schemas.openxmlformats.org/officeDocument/2006/relationships/hyperlink" Target="../../../../2018/jama.2018.6496/joi180054supp1_prod.pdf#page=10" TargetMode="External" Id="rId298" /><Relationship Type="http://schemas.openxmlformats.org/officeDocument/2006/relationships/hyperlink" Target="../../../../2018/jama.2018.6496/jama_driver_2018_oi_180054.pdf#page=7" TargetMode="External" Id="rId299" /><Relationship Type="http://schemas.openxmlformats.org/officeDocument/2006/relationships/hyperlink" Target="../../../../2018/jama.2018.6496/jama_driver_2018_oi_180054.pdf#page=9" TargetMode="External" Id="rId300" /><Relationship Type="http://schemas.openxmlformats.org/officeDocument/2006/relationships/hyperlink" Target="../../../../2018/jama.2018.6496/joi180054supp2_prod.pdf#page=3" TargetMode="External" Id="rId301" /><Relationship Type="http://schemas.openxmlformats.org/officeDocument/2006/relationships/hyperlink" Target="../../../../2018/jama.2018.6496/joi180054supp2_prod.pdf#page=10" TargetMode="External" Id="rId302" /><Relationship Type="http://schemas.openxmlformats.org/officeDocument/2006/relationships/hyperlink" Target="../../../../2018/jama.2018.6496/.ai_paper_validation/review_1_5_2/source_inventory.md" TargetMode="External" Id="rId303" /><Relationship Type="http://schemas.openxmlformats.org/officeDocument/2006/relationships/hyperlink" Target="../../../../2018/jama.2018.6496/.ai_paper_validation/review_1_5_2/verification/evidence_recheck.md" TargetMode="External" Id="rId304" /><Relationship Type="http://schemas.openxmlformats.org/officeDocument/2006/relationships/hyperlink" Target="../../../../2018/jama.2018.6496/joi180054supp1_prod.pdf#page=9" TargetMode="External" Id="rId305" /><Relationship Type="http://schemas.openxmlformats.org/officeDocument/2006/relationships/hyperlink" Target="../../../../2018/jama.2018.6496/jama_driver_2018_oi_180054.pdf#page=3" TargetMode="External" Id="rId306" /><Relationship Type="http://schemas.openxmlformats.org/officeDocument/2006/relationships/hyperlink" Target="../../../../2018/jama.2018.6496/jama_driver_2018_oi_180054.pdf#page=7" TargetMode="External" Id="rId307" /><Relationship Type="http://schemas.openxmlformats.org/officeDocument/2006/relationships/hyperlink" Target="../../../../2018/jama.2018.6496/joi180054supp2_prod.pdf#page=3" TargetMode="External" Id="rId308" /><Relationship Type="http://schemas.openxmlformats.org/officeDocument/2006/relationships/hyperlink" Target="../../../../2018/jama.2018.6496/joi180054supp2_prod.pdf#page=10" TargetMode="External" Id="rId309" /><Relationship Type="http://schemas.openxmlformats.org/officeDocument/2006/relationships/hyperlink" Target="../../../../2018/jama.2018.6496/.ai_paper_validation/review_1_5_2/source_inventory.md" TargetMode="External" Id="rId310" /><Relationship Type="http://schemas.openxmlformats.org/officeDocument/2006/relationships/hyperlink" Target="../../../../2018/jama.2018.6496/.ai_paper_validation/review_1_5_2/verification/evidence_recheck.md" TargetMode="External" Id="rId311" /><Relationship Type="http://schemas.openxmlformats.org/officeDocument/2006/relationships/hyperlink" Target="../../../../2018/jama.2018.8802/jama_wang_2018_oi_180070.pdf#page=6" TargetMode="External" Id="rId312" /><Relationship Type="http://schemas.openxmlformats.org/officeDocument/2006/relationships/hyperlink" Target="../../../../2018/jama.2018.8802/.ai_paper_validation/review_1_5_2/source_inventory.md" TargetMode="External" Id="rId313" /><Relationship Type="http://schemas.openxmlformats.org/officeDocument/2006/relationships/hyperlink" Target="../../../../2018/jama.2018.8802/jama_wang_2018_oi_180070.pdf#page=7" TargetMode="External" Id="rId314" /><Relationship Type="http://schemas.openxmlformats.org/officeDocument/2006/relationships/hyperlink" Target="../../../../2018/jama.2018.8802/joi180070supp1_prod.pdf#page=15" TargetMode="External" Id="rId315" /><Relationship Type="http://schemas.openxmlformats.org/officeDocument/2006/relationships/hyperlink" Target="../../../../2018/jama.2018.8802/joi180070supp2_prod.pdf#page=3" TargetMode="External" Id="rId316" /><Relationship Type="http://schemas.openxmlformats.org/officeDocument/2006/relationships/hyperlink" Target="../../../../2018/jama.2018.8802/joi180070supp2_prod.pdf#page=8" TargetMode="External" Id="rId317" /><Relationship Type="http://schemas.openxmlformats.org/officeDocument/2006/relationships/hyperlink" Target="../../../../2018/jama.2018.8802/.ai_paper_validation/review_1_5_2/source_inventory.md" TargetMode="External" Id="rId318" /><Relationship Type="http://schemas.openxmlformats.org/officeDocument/2006/relationships/hyperlink" Target="../../../../2018/jama.2018.8802/.ai_paper_validation/review_1_5_2/verification/evidence_recheck.md" TargetMode="External" Id="rId319" /><Relationship Type="http://schemas.openxmlformats.org/officeDocument/2006/relationships/hyperlink" Target="../../../../2018/jama.2018.8802/joi180070supp2_prod.pdf#page=8" TargetMode="External" Id="rId320" /><Relationship Type="http://schemas.openxmlformats.org/officeDocument/2006/relationships/hyperlink" Target="../../../../2018/jama.2018.8802/.ai_paper_validation/review_1_5_2/source_inventory.md" TargetMode="External" Id="rId321" /><Relationship Type="http://schemas.openxmlformats.org/officeDocument/2006/relationships/hyperlink" Target="../../../../2018/jama.2018.8802/joi180070supp2_prod.pdf#page=8" TargetMode="External" Id="rId322" /><Relationship Type="http://schemas.openxmlformats.org/officeDocument/2006/relationships/hyperlink" Target="../../../../2018/jama.2018.8802/.ai_paper_validation/review_1_5_2/source_inventory.md" TargetMode="External" Id="rId323" /><Relationship Type="http://schemas.openxmlformats.org/officeDocument/2006/relationships/hyperlink" Target="../../../../2018/jama.2018.8802/joi180070supp2_prod.pdf#page=8" TargetMode="External" Id="rId324" /><Relationship Type="http://schemas.openxmlformats.org/officeDocument/2006/relationships/hyperlink" Target="../../../../2018/jama.2018.8802/.ai_paper_validation/review_1_5_2/source_inventory.md" TargetMode="External" Id="rId325" /><Relationship Type="http://schemas.openxmlformats.org/officeDocument/2006/relationships/hyperlink" Target="../../../../2018/jama.2018.8802/joi180070supp2_prod.pdf#page=8" TargetMode="External" Id="rId326" /><Relationship Type="http://schemas.openxmlformats.org/officeDocument/2006/relationships/hyperlink" Target="../../../../2018/jama.2018.8802/.ai_paper_validation/review_1_5_2/source_inventory.md" TargetMode="External" Id="rId327" /><Relationship Type="http://schemas.openxmlformats.org/officeDocument/2006/relationships/hyperlink" Target="../../../../2018/jama.2018.8802/jama_wang_2018_oi_180070.pdf#page=6" TargetMode="External" Id="rId328" /><Relationship Type="http://schemas.openxmlformats.org/officeDocument/2006/relationships/hyperlink" Target="../../../../2018/jama.2018.8802/joi180070supp2_prod.pdf#page=2" TargetMode="External" Id="rId329" /><Relationship Type="http://schemas.openxmlformats.org/officeDocument/2006/relationships/hyperlink" Target="../../../../2018/jama.2018.8802/jama_wang_2018_oi_180070.pdf#page=5" TargetMode="External" Id="rId330" /><Relationship Type="http://schemas.openxmlformats.org/officeDocument/2006/relationships/hyperlink" Target="../../../../2018/jama.2018.8802/joi180070supp1_prod.pdf#page=4" TargetMode="External" Id="rId331" /><Relationship Type="http://schemas.openxmlformats.org/officeDocument/2006/relationships/hyperlink" Target="../../../../2018/jama.2018.8802/joi180070supp1_prod.pdf#page=7" TargetMode="External" Id="rId332" /><Relationship Type="http://schemas.openxmlformats.org/officeDocument/2006/relationships/hyperlink" Target="../../../../2018/jama.2018.8802/.ai_paper_validation/review_1_5_2/source_inventory.md" TargetMode="External" Id="rId333" /><Relationship Type="http://schemas.openxmlformats.org/officeDocument/2006/relationships/hyperlink" Target="../../../../2018/jama.2018.8802/.ai_paper_validation/review_1_5_2/verification/evidence_recheck.md" TargetMode="External" Id="rId334" /><Relationship Type="http://schemas.openxmlformats.org/officeDocument/2006/relationships/hyperlink" Target="../../../../2018/jama.2018.8802/jama_wang_2018_oi_180070.pdf#page=8" TargetMode="External" Id="rId335" /><Relationship Type="http://schemas.openxmlformats.org/officeDocument/2006/relationships/hyperlink" Target="../../../../2018/jama.2018.8802/jama_wang_2018_oi_180070.pdf#page=4" TargetMode="External" Id="rId336" /><Relationship Type="http://schemas.openxmlformats.org/officeDocument/2006/relationships/hyperlink" Target="../../../../2018/jama.2018.8802/.ai_paper_validation/review_1_5_2/source_inventory.md" TargetMode="External" Id="rId337" /><Relationship Type="http://schemas.openxmlformats.org/officeDocument/2006/relationships/hyperlink" Target="../../../../2018/jama.2018.9128/jama_barkin_2018_oi_180075.pdf#page=3" TargetMode="External" Id="rId338" /><Relationship Type="http://schemas.openxmlformats.org/officeDocument/2006/relationships/hyperlink" Target="../../../../2018/jama.2018.9128/jama_barkin_2018_oi_180075.pdf#page=7" TargetMode="External" Id="rId339" /><Relationship Type="http://schemas.openxmlformats.org/officeDocument/2006/relationships/hyperlink" Target="../../../../2018/jama.2018.9128/joi180075supp2_prod.pdf#page=2" TargetMode="External" Id="rId340" /><Relationship Type="http://schemas.openxmlformats.org/officeDocument/2006/relationships/hyperlink" Target="../../../../2018/jama.2018.9128/.ai_paper_validation/review_1_5_2/source_inventory.md" TargetMode="External" Id="rId341" /><Relationship Type="http://schemas.openxmlformats.org/officeDocument/2006/relationships/hyperlink" Target="../../../../2018/jama.2018.9128/jama_barkin_2018_oi_180075.pdf#page=3" TargetMode="External" Id="rId342" /><Relationship Type="http://schemas.openxmlformats.org/officeDocument/2006/relationships/hyperlink" Target="../../../../2018/jama.2018.9128/jama_barkin_2018_oi_180075.pdf#page=7" TargetMode="External" Id="rId343" /><Relationship Type="http://schemas.openxmlformats.org/officeDocument/2006/relationships/hyperlink" Target="../../../../2018/jama.2018.9128/joi180075supp2_prod.pdf#page=2" TargetMode="External" Id="rId344" /><Relationship Type="http://schemas.openxmlformats.org/officeDocument/2006/relationships/hyperlink" Target="../../../../2018/jama.2018.9128/.ai_paper_validation/review_1_5_2/source_inventory.md" TargetMode="External" Id="rId345" /><Relationship Type="http://schemas.openxmlformats.org/officeDocument/2006/relationships/hyperlink" Target="../../../../2018/jama.2018.9128/jama_barkin_2018_oi_180075.pdf#page=3" TargetMode="External" Id="rId346" /><Relationship Type="http://schemas.openxmlformats.org/officeDocument/2006/relationships/hyperlink" Target="../../../../2018/jama.2018.9128/jama_barkin_2018_oi_180075.pdf#page=7" TargetMode="External" Id="rId347" /><Relationship Type="http://schemas.openxmlformats.org/officeDocument/2006/relationships/hyperlink" Target="../../../../2018/jama.2018.9128/joi180075supp2_prod.pdf#page=2" TargetMode="External" Id="rId348" /><Relationship Type="http://schemas.openxmlformats.org/officeDocument/2006/relationships/hyperlink" Target="../../../../2018/jama.2018.9128/.ai_paper_validation/review_1_5_2/source_inventory.md" TargetMode="External" Id="rId349" /><Relationship Type="http://schemas.openxmlformats.org/officeDocument/2006/relationships/hyperlink" Target="../../../../2018/jama.2018.9128/jama_barkin_2018_oi_180075.pdf#page=3" TargetMode="External" Id="rId350" /><Relationship Type="http://schemas.openxmlformats.org/officeDocument/2006/relationships/hyperlink" Target="../../../../2018/jama.2018.9128/jama_barkin_2018_oi_180075.pdf#page=7" TargetMode="External" Id="rId351" /><Relationship Type="http://schemas.openxmlformats.org/officeDocument/2006/relationships/hyperlink" Target="../../../../2018/jama.2018.9128/joi180075supp2_prod.pdf#page=2" TargetMode="External" Id="rId352" /><Relationship Type="http://schemas.openxmlformats.org/officeDocument/2006/relationships/hyperlink" Target="../../../../2018/jama.2018.9128/.ai_paper_validation/review_1_5_2/source_inventory.md" TargetMode="External" Id="rId353" /><Relationship Type="http://schemas.openxmlformats.org/officeDocument/2006/relationships/hyperlink" Target="../../../../2018/jama.2018.9128/jama_barkin_2018_oi_180075.pdf#page=3" TargetMode="External" Id="rId354" /><Relationship Type="http://schemas.openxmlformats.org/officeDocument/2006/relationships/hyperlink" Target="../../../../2018/jama.2018.9128/jama_barkin_2018_oi_180075.pdf#page=7" TargetMode="External" Id="rId355" /><Relationship Type="http://schemas.openxmlformats.org/officeDocument/2006/relationships/hyperlink" Target="../../../../2018/jama.2018.9128/joi180075supp2_prod.pdf#page=2" TargetMode="External" Id="rId356" /><Relationship Type="http://schemas.openxmlformats.org/officeDocument/2006/relationships/hyperlink" Target="../../../../2018/jama.2018.9128/.ai_paper_validation/review_1_5_2/source_inventory.md" TargetMode="External" Id="rId357" /><Relationship Type="http://schemas.openxmlformats.org/officeDocument/2006/relationships/hyperlink" Target="../../../../2018/jama.2018.9128/jama_barkin_2018_oi_180075.pdf#page=3" TargetMode="External" Id="rId358" /><Relationship Type="http://schemas.openxmlformats.org/officeDocument/2006/relationships/hyperlink" Target="../../../../2018/jama.2018.9128/jama_barkin_2018_oi_180075.pdf#page=7" TargetMode="External" Id="rId359" /><Relationship Type="http://schemas.openxmlformats.org/officeDocument/2006/relationships/hyperlink" Target="../../../../2018/jama.2018.9128/joi180075supp2_prod.pdf#page=2" TargetMode="External" Id="rId360" /><Relationship Type="http://schemas.openxmlformats.org/officeDocument/2006/relationships/hyperlink" Target="../../../../2018/jama.2018.9128/.ai_paper_validation/review_1_5_2/source_inventory.md" TargetMode="External" Id="rId361" /><Relationship Type="http://schemas.openxmlformats.org/officeDocument/2006/relationships/hyperlink" Target="../../../../2018/jama.2018.9128/jama_barkin_2018_oi_180075.pdf#page=3" TargetMode="External" Id="rId362" /><Relationship Type="http://schemas.openxmlformats.org/officeDocument/2006/relationships/hyperlink" Target="../../../../2018/jama.2018.9128/jama_barkin_2018_oi_180075.pdf#page=7" TargetMode="External" Id="rId363" /><Relationship Type="http://schemas.openxmlformats.org/officeDocument/2006/relationships/hyperlink" Target="../../../../2018/jama.2018.9128/joi180075supp2_prod.pdf#page=2" TargetMode="External" Id="rId364" /><Relationship Type="http://schemas.openxmlformats.org/officeDocument/2006/relationships/hyperlink" Target="../../../../2018/jama.2018.9128/.ai_paper_validation/review_1_5_2/source_inventory.md" TargetMode="External" Id="rId365" /><Relationship Type="http://schemas.openxmlformats.org/officeDocument/2006/relationships/hyperlink" Target="../../../../2018/jama.2018.9128/jama_barkin_2018_oi_180075.pdf#page=3" TargetMode="External" Id="rId366" /><Relationship Type="http://schemas.openxmlformats.org/officeDocument/2006/relationships/hyperlink" Target="../../../../2018/jama.2018.9128/jama_barkin_2018_oi_180075.pdf#page=7" TargetMode="External" Id="rId367" /><Relationship Type="http://schemas.openxmlformats.org/officeDocument/2006/relationships/hyperlink" Target="../../../../2018/jama.2018.9128/joi180075supp2_prod.pdf#page=2" TargetMode="External" Id="rId368" /><Relationship Type="http://schemas.openxmlformats.org/officeDocument/2006/relationships/hyperlink" Target="../../../../2018/jama.2018.9128/.ai_paper_validation/review_1_5_2/source_inventory.md" TargetMode="External" Id="rId369" /><Relationship Type="http://schemas.openxmlformats.org/officeDocument/2006/relationships/hyperlink" Target="../../../../2018/jama.2018.9128/joi180075supp1_prod.pdf#page=110" TargetMode="External" Id="rId370" /><Relationship Type="http://schemas.openxmlformats.org/officeDocument/2006/relationships/hyperlink" Target="../../../../2018/jama.2018.9128/joi180075supp1_prod.pdf#page=15" TargetMode="External" Id="rId371" /><Relationship Type="http://schemas.openxmlformats.org/officeDocument/2006/relationships/hyperlink" Target="../../../../2018/jama.2018.9128/jama_barkin_2018_oi_180075.pdf#page=4" TargetMode="External" Id="rId372" /><Relationship Type="http://schemas.openxmlformats.org/officeDocument/2006/relationships/hyperlink" Target="../../../../2018/jama.2018.9128/joi180075supp2_prod.pdf#page=2" TargetMode="External" Id="rId373" /><Relationship Type="http://schemas.openxmlformats.org/officeDocument/2006/relationships/hyperlink" Target="../../../../2018/jama.2018.9128/.ai_paper_validation/review_1_5_2/source_inventory.md" TargetMode="External" Id="rId374" /><Relationship Type="http://schemas.openxmlformats.org/officeDocument/2006/relationships/hyperlink" Target="../../../../2018/jama.2018.9128/.ai_paper_validation/review_1_5_2/verification/evidence_recheck.md" TargetMode="External" Id="rId375" /><Relationship Type="http://schemas.openxmlformats.org/officeDocument/2006/relationships/hyperlink" Target="../../../../2018/jama.2018.9128/joi180075supp1_prod.pdf#page=64" TargetMode="External" Id="rId376" /><Relationship Type="http://schemas.openxmlformats.org/officeDocument/2006/relationships/hyperlink" Target="../../../../2018/jama.2018.9128/jama_barkin_2018_oi_180075.pdf#page=4" TargetMode="External" Id="rId377" /><Relationship Type="http://schemas.openxmlformats.org/officeDocument/2006/relationships/hyperlink" Target="../../../../2018/jama.2018.9128/joi180075supp2_prod.pdf#page=2" TargetMode="External" Id="rId378" /><Relationship Type="http://schemas.openxmlformats.org/officeDocument/2006/relationships/hyperlink" Target="../../../../2018/jama.2018.9128/.ai_paper_validation/review_1_5_2/source_inventory.md" TargetMode="External" Id="rId379" /><Relationship Type="http://schemas.openxmlformats.org/officeDocument/2006/relationships/hyperlink" Target="../../../../2018/jama.2018.9128/.ai_paper_validation/review_1_5_2/verification/evidence_recheck.md" TargetMode="External" Id="rId380" /><Relationship Type="http://schemas.openxmlformats.org/officeDocument/2006/relationships/hyperlink" Target="../../../../2018/jama.2018.9128/joi180075supp1_prod.pdf#page=16" TargetMode="External" Id="rId381" /><Relationship Type="http://schemas.openxmlformats.org/officeDocument/2006/relationships/hyperlink" Target="../../../../2018/jama.2018.9128/joi180075supp1_prod.pdf#page=110" TargetMode="External" Id="rId382" /><Relationship Type="http://schemas.openxmlformats.org/officeDocument/2006/relationships/hyperlink" Target="../../../../2018/jama.2018.9128/jama_barkin_2018_oi_180075.pdf#page=3" TargetMode="External" Id="rId383" /><Relationship Type="http://schemas.openxmlformats.org/officeDocument/2006/relationships/hyperlink" Target="../../../../2018/jama.2018.9128/joi180075supp2_prod.pdf#page=2" TargetMode="External" Id="rId384" /><Relationship Type="http://schemas.openxmlformats.org/officeDocument/2006/relationships/hyperlink" Target="../../../../2018/jama.2018.9128/.ai_paper_validation/review_1_5_2/source_inventory.md" TargetMode="External" Id="rId385" /><Relationship Type="http://schemas.openxmlformats.org/officeDocument/2006/relationships/hyperlink" Target="../../../../2018/jama.2018.9128/.ai_paper_validation/review_1_5_2/verification/evidence_recheck.md" TargetMode="External" Id="rId386" /><Relationship Type="http://schemas.openxmlformats.org/officeDocument/2006/relationships/hyperlink" Target="../../../../2018/jama.2018.9128/joi180075supp1_prod.pdf#page=14" TargetMode="External" Id="rId387" /><Relationship Type="http://schemas.openxmlformats.org/officeDocument/2006/relationships/hyperlink" Target="../../../../2018/jama.2018.9128/joi180075supp1_prod.pdf#page=64" TargetMode="External" Id="rId388" /><Relationship Type="http://schemas.openxmlformats.org/officeDocument/2006/relationships/hyperlink" Target="../../../../2018/jama.2018.9128/jama_barkin_2018_oi_180075.pdf#page=1" TargetMode="External" Id="rId389" /><Relationship Type="http://schemas.openxmlformats.org/officeDocument/2006/relationships/hyperlink" Target="../../../../2018/jama.2018.9128/jama_barkin_2018_oi_180075.pdf#page=3" TargetMode="External" Id="rId390" /><Relationship Type="http://schemas.openxmlformats.org/officeDocument/2006/relationships/hyperlink" Target="../../../../2018/jama.2018.9128/.ai_paper_validation/review_1_5_2/source_inventory.md" TargetMode="External" Id="rId391" /><Relationship Type="http://schemas.openxmlformats.org/officeDocument/2006/relationships/hyperlink" Target="../../../../2018/jama.2018.9128/.ai_paper_validation/review_1_5_2/verification/evidence_recheck.md" TargetMode="External" Id="rId392" /><Relationship Type="http://schemas.openxmlformats.org/officeDocument/2006/relationships/hyperlink" Target="../../../../2018/jama.2018.9128/jama_barkin_2018_oi_180075.pdf#page=3" TargetMode="External" Id="rId393" /><Relationship Type="http://schemas.openxmlformats.org/officeDocument/2006/relationships/hyperlink" Target="../../../../2018/jama.2018.9128/jama_barkin_2018_oi_180075.pdf#page=7" TargetMode="External" Id="rId394" /><Relationship Type="http://schemas.openxmlformats.org/officeDocument/2006/relationships/hyperlink" Target="../../../../2018/jama.2018.9128/joi180075supp2_prod.pdf#page=2" TargetMode="External" Id="rId395" /><Relationship Type="http://schemas.openxmlformats.org/officeDocument/2006/relationships/hyperlink" Target="../../../../2018/jama.2018.9128/.ai_paper_validation/review_1_5_2/source_inventory.md" TargetMode="External" Id="rId396"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14" min="1" max="1"/>
    <col width="115" customWidth="1" style="14" min="2" max="2"/>
  </cols>
  <sheetData>
    <row r="1" ht="42" customHeight="1" s="14">
      <c r="A1" s="15" t="inlineStr">
        <is>
          <t>Step</t>
        </is>
      </c>
      <c r="B1" s="15" t="inlineStr">
        <is>
          <t>Instructions</t>
        </is>
      </c>
    </row>
    <row r="2" ht="80" customHeight="1" s="14">
      <c r="A2" s="16" t="inlineStr">
        <is>
          <t>Release</t>
        </is>
      </c>
      <c r="B2" s="16" t="inlineStr">
        <is>
          <t>v.2.3.1 | 2018 | 10 papers / 119 candidates | Independent primary review; Excel only.</t>
        </is>
      </c>
    </row>
    <row r="3" ht="80" customHeight="1" s="14">
      <c r="A3" s="17" t="inlineStr">
        <is>
          <t>Coordinator</t>
        </is>
      </c>
      <c r="B3" s="17" t="inlineStr">
        <is>
          <t>Assign two different people to the two role files. Distribute only the corresponding file to each person. Role labels are not person IDs. This standalone workbook cannot verify the other person’s identity.</t>
        </is>
      </c>
    </row>
    <row r="4" ht="80" customHeight="1" s="14">
      <c r="A4" s="16" t="inlineStr">
        <is>
          <t>1. Begin</t>
        </is>
      </c>
      <c r="B4" s="16" t="inlineStr">
        <is>
          <t>Save As a working copy in this release folder to preserve relative source links. Enter your own reviewer ID/name in Setup B2/B3. Keep backups using normal Excel saves.</t>
        </is>
      </c>
    </row>
    <row r="5" ht="80" customHeight="1" s="14">
      <c r="A5" s="17" t="inlineStr">
        <is>
          <t>2. Read evidence</t>
        </is>
      </c>
      <c r="B5" s="17" t="inlineStr">
        <is>
          <t>Use Papers to open a C_ paper sheet. Click a candidate key to open embedded Evidence; use Candidates, Links and Relations for full source context. Links opens original documents. AI suggestions are not human-confirmed findings.</t>
        </is>
      </c>
    </row>
    <row r="6" ht="80" customHeight="1" s="14">
      <c r="A6" s="16" t="inlineStr">
        <is>
          <t>3. Assess</t>
        </is>
      </c>
      <c r="B6" s="16" t="inlineStr">
        <is>
          <t>Choose D (retain/exclude/discuss), confirm or change suggested domain E, answer applicable H–L, and optionally add English notes in R. Yellow = common/required; blue = optional; gray = inactive. See Codebook and Rule_defaults. M–Q are empty hidden spacers.</t>
        </is>
      </c>
    </row>
    <row r="7" ht="80" customHeight="1" s="14">
      <c r="A7" s="17" t="inlineStr">
        <is>
          <t>4. Mark completion</t>
        </is>
      </c>
      <c r="B7" s="17" t="inlineStr">
        <is>
          <t>After manual review set F=primary_done. G must show PRIMARY READY. Use no while drafting. Inspect Checks and filter Decisions readiness for outstanding rows.</t>
        </is>
      </c>
    </row>
    <row r="8" ht="80" customHeight="1" s="14">
      <c r="A8" s="16" t="inlineStr">
        <is>
          <t>5. Save and deliver</t>
        </is>
      </c>
      <c r="B8" s="16" t="inlineStr">
        <is>
          <t>When Checks shows PRIMARY READY, save, close and deliver this workbook. Decisions, Paper_counts and Protocol_plan_table update inside Excel. Preserve access to original source folders; embedded evidence requires no refresh. No scripts or external calculation services are needed.</t>
        </is>
      </c>
    </row>
    <row r="9" ht="80" customHeight="1" s="14">
      <c r="A9" s="17" t="inlineStr">
        <is>
          <t>Changes after completion</t>
        </is>
      </c>
      <c r="B9" s="17" t="inlineStr">
        <is>
          <t>Manually reset F to no BEFORE editing a completed row, review again, then mark primary_done. Excel formulas cannot erase an entered completion flag. Domain/disposition changes never automatically erase literal judgments.</t>
        </is>
      </c>
    </row>
    <row r="10" ht="80" customHeight="1" s="14">
      <c r="A10" s="16" t="inlineStr">
        <is>
          <t>Blank and inactive inputs</t>
        </is>
      </c>
      <c r="B10" s="16" t="inlineStr">
        <is>
          <t>Untouched H–L formulas display blank when potentially applicable and not_applicable otherwise. Choosing an answer replaces its formula. Blank means no answer, never an inherited answer. Clear stale inactive answers or choose not_applicable; G flags CLEAR INACTIVE VALUES. Newly active required fields need answers.</t>
        </is>
      </c>
    </row>
    <row r="11" ht="80" customHeight="1" s="14">
      <c r="A11" s="17" t="inlineStr">
        <is>
          <t>Applicability</t>
        </is>
      </c>
      <c r="B11" s="17" t="inlineStr">
        <is>
          <t>For retain: statistical_results requires H/I; J optional. report_internal_inconsistency and plan_material require K. protocol_report has optional L and no further required judgments. For exclude/discuss all H–L are inactive. D and a valid E are always required.</t>
        </is>
      </c>
    </row>
    <row r="12" ht="80" customHeight="1" s="14">
      <c r="A12" s="16" t="inlineStr">
        <is>
          <t>Optional fields</t>
        </is>
      </c>
      <c r="B12" s="16" t="inlineStr">
        <is>
          <t>Active J/L may be blank; if populated they need a listed active option. not_applicable is invalid for active judgments. R is optional English notes. Dropdowns assist entry; G also checks pasted values.</t>
        </is>
      </c>
    </row>
    <row r="13" ht="80" customHeight="1" s="14">
      <c r="A13" s="17" t="inlineStr">
        <is>
          <t>Unresolved assessments</t>
        </is>
      </c>
      <c r="B13" s="17" t="inlineStr">
        <is>
          <t>discuss is a completed independent primary response when all entry checks pass. It records unresolved uncertainty; it does not initiate a shared workflow. Checks displays the discuss total separately. A discuss outcome stays blank.</t>
        </is>
      </c>
    </row>
    <row r="14" ht="80" customHeight="1" s="14">
      <c r="A14" s="16" t="inlineStr">
        <is>
          <t>Results and paper counts</t>
        </is>
      </c>
      <c r="B14" s="16" t="inlineStr">
        <is>
          <t>Outcomes stay blank until the row is ready. Retained P_R/P_P are descriptive and never temporal. Paper outcome counts stay blank until ALL its rows are ready AND none is discuss. Review completion and scientific resolution are separate. Indeterminate codes retain baseline classification rules; see Codebook.</t>
        </is>
      </c>
    </row>
    <row r="15" ht="80" customHeight="1" s="14">
      <c r="A15" s="17" t="inlineStr">
        <is>
          <t>Editable workbook</t>
        </is>
      </c>
      <c r="B15" s="17" t="inlineStr">
        <is>
          <t>All cells, including unused cells, are unlocked. No sheet or structure protection, passwords or runtime unlock steps. Fixed Rule_defaults are visible references and are also unlocked. Preserve reference cells and formulas; undo accidental changes or restore your backup.</t>
        </is>
      </c>
    </row>
    <row r="16" ht="80" customHeight="1" s="14">
      <c r="A16" s="16" t="inlineStr">
        <is>
          <t>Source navigation</t>
        </is>
      </c>
      <c r="B16" s="16" t="inlineStr">
        <is>
          <t>Source text and href cell values are preserved exactly. Clickable link targets are adjusted for this release location. If you Save As elsewhere, keep the same directory depth and source tree or use embedded evidence and locate originals manually.</t>
        </is>
      </c>
    </row>
    <row r="17" ht="80" customHeight="1" s="14">
      <c r="A17" s="17" t="inlineStr">
        <is>
          <t>Validation limits</t>
        </is>
      </c>
      <c r="B17" s="17" t="inlineStr">
        <is>
          <t>Entry checks do not establish scientific accuracy. Construction validation and pending desktop Excel recalculation/rendering checks are recorded in the accompanying VALIDATION.md.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65" customWidth="1" style="14" min="2" max="2"/>
  </cols>
  <sheetData>
    <row r="1" ht="42" customHeight="1" s="14">
      <c r="A1" s="15" t="inlineStr">
        <is>
          <t>Field</t>
        </is>
      </c>
      <c r="B1" s="15" t="inlineStr">
        <is>
          <t>Value</t>
        </is>
      </c>
    </row>
    <row r="2" ht="42" customHeight="1" s="14">
      <c r="A2" s="16" t="inlineStr">
        <is>
          <t>reviewerId</t>
        </is>
      </c>
      <c r="B2" s="18" t="n"/>
    </row>
    <row r="3" ht="42" customHeight="1" s="14">
      <c r="A3" s="17" t="inlineStr">
        <is>
          <t>reviewerName (optional)</t>
        </is>
      </c>
      <c r="B3" s="18" t="n"/>
    </row>
    <row r="4" ht="42" customHeight="1" s="14">
      <c r="A4" s="16" t="inlineStr">
        <is>
          <t>reviewerRole</t>
        </is>
      </c>
      <c r="B4" s="16" t="inlineStr">
        <is>
          <t>R_B</t>
        </is>
      </c>
    </row>
    <row r="5" ht="42" customHeight="1" s="14">
      <c r="A5" s="17" t="inlineStr">
        <is>
          <t>year</t>
        </is>
      </c>
      <c r="B5" s="17" t="n">
        <v>2018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14" min="1" max="1"/>
    <col width="100" customWidth="1" style="14" min="2" max="2"/>
  </cols>
  <sheetData>
    <row r="1" ht="42" customHeight="1" s="14">
      <c r="A1" s="15" t="inlineStr">
        <is>
          <t>Check</t>
        </is>
      </c>
      <c r="B1" s="15" t="inlineStr">
        <is>
          <t>Result</t>
        </is>
      </c>
    </row>
    <row r="2" ht="55" customHeight="1" s="14">
      <c r="A2" s="16" t="inlineStr">
        <is>
          <t>Reviewer role</t>
        </is>
      </c>
      <c r="B2" s="16">
        <f>Setup!B4</f>
        <v/>
      </c>
    </row>
    <row r="3" ht="55" customHeight="1" s="14">
      <c r="A3" s="17" t="inlineStr">
        <is>
          <t>Candidates</t>
        </is>
      </c>
      <c r="B3" s="17" t="n">
        <v>119</v>
      </c>
    </row>
    <row r="4" ht="55" customHeight="1" s="14">
      <c r="A4" s="16" t="inlineStr">
        <is>
          <t>Primary ready rows</t>
        </is>
      </c>
      <c r="B4" s="16">
        <f>COUNTIF(Decisions!G2:G120,"PRIMARY READY")</f>
        <v/>
      </c>
    </row>
    <row r="5" ht="55" customHeight="1" s="14">
      <c r="A5" s="17" t="inlineStr">
        <is>
          <t>Discuss / unresolved rows</t>
        </is>
      </c>
      <c r="B5" s="17">
        <f>COUNTIF(Decisions!I2:I120,"discuss")</f>
        <v/>
      </c>
    </row>
    <row r="6" ht="55" customHeight="1" s="14">
      <c r="A6" s="16" t="inlineStr">
        <is>
          <t>Unfinished rows</t>
        </is>
      </c>
      <c r="B6" s="16">
        <f>B3-B4</f>
        <v/>
      </c>
    </row>
    <row r="7" ht="55" customHeight="1" s="14">
      <c r="A7" s="17" t="inlineStr">
        <is>
          <t>Workflow status</t>
        </is>
      </c>
      <c r="B7" s="17">
        <f>IF(B4=B3,"PRIMARY READY","ACTION NEEDED")</f>
        <v/>
      </c>
    </row>
    <row r="8" ht="55" customHeight="1" s="14">
      <c r="A8" s="16" t="inlineStr">
        <is>
          <t>Meaning</t>
        </is>
      </c>
      <c r="B8" s="16" t="inlineStr">
        <is>
          <t>PRIMARY READY means independent entry is complete. Discuss remains unresolved and is not counted as absence of error.</t>
        </is>
      </c>
    </row>
    <row r="9" ht="55" customHeight="1" s="14">
      <c r="A9" s="17" t="inlineStr">
        <is>
          <t>Next action</t>
        </is>
      </c>
      <c r="B9" s="17" t="inlineStr">
        <is>
          <t>Inspect G on paper sheets and readiness in Decisions. Save and deliver this file after review.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Height="1" s="14">
      <c r="A1" s="15" t="inlineStr">
        <is>
          <t>Paper</t>
        </is>
      </c>
      <c r="B1" s="15" t="inlineStr">
        <is>
          <t>Review worksheet</t>
        </is>
      </c>
      <c r="C1" s="15" t="inlineStr">
        <is>
          <t>Candidates</t>
        </is>
      </c>
    </row>
    <row r="2" ht="36" customHeight="1" s="14">
      <c r="A2" s="16" t="inlineStr">
        <is>
          <t>jama.2017.21906</t>
        </is>
      </c>
      <c r="B2" s="16" t="inlineStr">
        <is>
          <t>C_jama.2017.21906</t>
        </is>
      </c>
      <c r="C2" s="16" t="n">
        <v>6</v>
      </c>
    </row>
    <row r="3" ht="36" customHeight="1" s="14">
      <c r="A3" s="17" t="inlineStr">
        <is>
          <t>jama.2018.0156</t>
        </is>
      </c>
      <c r="B3" s="17" t="inlineStr">
        <is>
          <t>C_jama.2018.0156</t>
        </is>
      </c>
      <c r="C3" s="17" t="n">
        <v>8</v>
      </c>
    </row>
    <row r="4" ht="36" customHeight="1" s="14">
      <c r="A4" s="16" t="inlineStr">
        <is>
          <t>jama.2018.0948</t>
        </is>
      </c>
      <c r="B4" s="16" t="inlineStr">
        <is>
          <t>C_jama.2018.0948</t>
        </is>
      </c>
      <c r="C4" s="16" t="n">
        <v>7</v>
      </c>
    </row>
    <row r="5" ht="36" customHeight="1" s="14">
      <c r="A5" s="17" t="inlineStr">
        <is>
          <t>jama.2018.14280</t>
        </is>
      </c>
      <c r="B5" s="17" t="inlineStr">
        <is>
          <t>C_jama.2018.14280</t>
        </is>
      </c>
      <c r="C5" s="17" t="n">
        <v>23</v>
      </c>
    </row>
    <row r="6" ht="36" customHeight="1" s="14">
      <c r="A6" s="16" t="inlineStr">
        <is>
          <t>jama.2018.14282</t>
        </is>
      </c>
      <c r="B6" s="16" t="inlineStr">
        <is>
          <t>C_jama.2018.14282</t>
        </is>
      </c>
      <c r="C6" s="16" t="n">
        <v>28</v>
      </c>
    </row>
    <row r="7" ht="36" customHeight="1" s="14">
      <c r="A7" s="17" t="inlineStr">
        <is>
          <t>jama.2018.17075</t>
        </is>
      </c>
      <c r="B7" s="17" t="inlineStr">
        <is>
          <t>C_jama.2018.17075</t>
        </is>
      </c>
      <c r="C7" s="17" t="n">
        <v>8</v>
      </c>
    </row>
    <row r="8" ht="36" customHeight="1" s="14">
      <c r="A8" s="16" t="inlineStr">
        <is>
          <t>jama.2018.18020</t>
        </is>
      </c>
      <c r="B8" s="16" t="inlineStr">
        <is>
          <t>C_jama.2018.18020</t>
        </is>
      </c>
      <c r="C8" s="16" t="n">
        <v>14</v>
      </c>
    </row>
    <row r="9" ht="36" customHeight="1" s="14">
      <c r="A9" s="17" t="inlineStr">
        <is>
          <t>jama.2018.6496</t>
        </is>
      </c>
      <c r="B9" s="17" t="inlineStr">
        <is>
          <t>C_jama.2018.6496</t>
        </is>
      </c>
      <c r="C9" s="17" t="n">
        <v>4</v>
      </c>
    </row>
    <row r="10" ht="36" customHeight="1" s="14">
      <c r="A10" s="16" t="inlineStr">
        <is>
          <t>jama.2018.8802</t>
        </is>
      </c>
      <c r="B10" s="16" t="inlineStr">
        <is>
          <t>C_jama.2018.8802</t>
        </is>
      </c>
      <c r="C10" s="16" t="n">
        <v>8</v>
      </c>
    </row>
    <row r="11" ht="36"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n"/>
      <c r="E2" s="21" t="inlineStr">
        <is>
          <t>statistical_results</t>
        </is>
      </c>
      <c r="F2" s="21" t="inlineStr">
        <is>
          <t>no</t>
        </is>
      </c>
      <c r="G2" s="20">
        <f>IFERROR(IF(LEN(TRIM(CLEAN(SUBSTITUTE(Setup!$B$2,CHAR(160)," "))))=0,"CHECK REVIEWER ID",IF(OR(A2="",COUNTIF($A$2:$A$7,A2)&lt;&gt;1,COUNTIFS(Decisions!$C$2:$C$120,A2,Decisions!$B$2:$B$120,"jama.2017.21906")&lt;&gt;1),"CHECK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n"/>
      <c r="E3" s="21" t="inlineStr">
        <is>
          <t>report_internal_inconsistency</t>
        </is>
      </c>
      <c r="F3" s="21" t="inlineStr">
        <is>
          <t>no</t>
        </is>
      </c>
      <c r="G3" s="24">
        <f>IFERROR(IF(LEN(TRIM(CLEAN(SUBSTITUTE(Setup!$B$2,CHAR(160)," "))))=0,"CHECK REVIEWER ID",IF(OR(A3="",COUNTIF($A$2:$A$7,A3)&lt;&gt;1,COUNTIFS(Decisions!$C$2:$C$120,A3,Decisions!$B$2:$B$120,"jama.2017.21906")&lt;&gt;1),"CHECK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n"/>
      <c r="E4" s="21" t="inlineStr">
        <is>
          <t>report_internal_inconsistency</t>
        </is>
      </c>
      <c r="F4" s="21" t="inlineStr">
        <is>
          <t>no</t>
        </is>
      </c>
      <c r="G4" s="20">
        <f>IFERROR(IF(LEN(TRIM(CLEAN(SUBSTITUTE(Setup!$B$2,CHAR(160)," "))))=0,"CHECK REVIEWER ID",IF(OR(A4="",COUNTIF($A$2:$A$7,A4)&lt;&gt;1,COUNTIFS(Decisions!$C$2:$C$120,A4,Decisions!$B$2:$B$120,"jama.2017.21906")&lt;&gt;1),"CHECK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n"/>
      <c r="E5" s="21" t="inlineStr">
        <is>
          <t>protocol_report</t>
        </is>
      </c>
      <c r="F5" s="21" t="inlineStr">
        <is>
          <t>no</t>
        </is>
      </c>
      <c r="G5" s="24">
        <f>IFERROR(IF(LEN(TRIM(CLEAN(SUBSTITUTE(Setup!$B$2,CHAR(160)," "))))=0,"CHECK REVIEWER ID",IF(OR(A5="",COUNTIF($A$2:$A$7,A5)&lt;&gt;1,COUNTIFS(Decisions!$C$2:$C$120,A5,Decisions!$B$2:$B$120,"jama.2017.21906")&lt;&gt;1),"CHECK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n"/>
      <c r="E6" s="21" t="inlineStr">
        <is>
          <t>report_internal_inconsistency</t>
        </is>
      </c>
      <c r="F6" s="21" t="inlineStr">
        <is>
          <t>no</t>
        </is>
      </c>
      <c r="G6" s="20">
        <f>IFERROR(IF(LEN(TRIM(CLEAN(SUBSTITUTE(Setup!$B$2,CHAR(160)," "))))=0,"CHECK REVIEWER ID",IF(OR(A6="",COUNTIF($A$2:$A$7,A6)&lt;&gt;1,COUNTIFS(Decisions!$C$2:$C$120,A6,Decisions!$B$2:$B$120,"jama.2017.21906")&lt;&gt;1),"CHECK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n"/>
      <c r="E7" s="21" t="inlineStr">
        <is>
          <t>protocol_report</t>
        </is>
      </c>
      <c r="F7" s="21" t="inlineStr">
        <is>
          <t>no</t>
        </is>
      </c>
      <c r="G7" s="24">
        <f>IFERROR(IF(LEN(TRIM(CLEAN(SUBSTITUTE(Setup!$B$2,CHAR(160)," "))))=0,"CHECK REVIEWER ID",IF(OR(A7="",COUNTIF($A$2:$A$7,A7)&lt;&gt;1,COUNTIFS(Decisions!$C$2:$C$120,A7,Decisions!$B$2:$B$120,"jama.2017.21906")&lt;&gt;1),"CHECK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 ref="A5" location="'Evidence'!A14"/>
    <hyperlink ref="A6" location="'Evidence'!A18"/>
    <hyperlink ref="A7" location="'Evidence'!A22"/>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n"/>
      <c r="E2" s="21" t="inlineStr">
        <is>
          <t>statistical_results</t>
        </is>
      </c>
      <c r="F2" s="21" t="inlineStr">
        <is>
          <t>no</t>
        </is>
      </c>
      <c r="G2" s="20">
        <f>IFERROR(IF(LEN(TRIM(CLEAN(SUBSTITUTE(Setup!$B$2,CHAR(160)," "))))=0,"CHECK REVIEWER ID",IF(OR(A2="",COUNTIF($A$2:$A$9,A2)&lt;&gt;1,COUNTIFS(Decisions!$C$2:$C$120,A2,Decisions!$B$2:$B$120,"jama.2018.0156")&lt;&gt;1),"CHECK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n"/>
      <c r="E3" s="21" t="inlineStr">
        <is>
          <t>report_internal_inconsistency</t>
        </is>
      </c>
      <c r="F3" s="21" t="inlineStr">
        <is>
          <t>no</t>
        </is>
      </c>
      <c r="G3" s="24">
        <f>IFERROR(IF(LEN(TRIM(CLEAN(SUBSTITUTE(Setup!$B$2,CHAR(160)," "))))=0,"CHECK REVIEWER ID",IF(OR(A3="",COUNTIF($A$2:$A$9,A3)&lt;&gt;1,COUNTIFS(Decisions!$C$2:$C$120,A3,Decisions!$B$2:$B$120,"jama.2018.0156")&lt;&gt;1),"CHECK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n"/>
      <c r="E4" s="21" t="inlineStr">
        <is>
          <t>statistical_results</t>
        </is>
      </c>
      <c r="F4" s="21" t="inlineStr">
        <is>
          <t>no</t>
        </is>
      </c>
      <c r="G4" s="20">
        <f>IFERROR(IF(LEN(TRIM(CLEAN(SUBSTITUTE(Setup!$B$2,CHAR(160)," "))))=0,"CHECK REVIEWER ID",IF(OR(A4="",COUNTIF($A$2:$A$9,A4)&lt;&gt;1,COUNTIFS(Decisions!$C$2:$C$120,A4,Decisions!$B$2:$B$120,"jama.2018.0156")&lt;&gt;1),"CHECK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n"/>
      <c r="E5" s="21" t="inlineStr">
        <is>
          <t>statistical_results</t>
        </is>
      </c>
      <c r="F5" s="21" t="inlineStr">
        <is>
          <t>no</t>
        </is>
      </c>
      <c r="G5" s="24">
        <f>IFERROR(IF(LEN(TRIM(CLEAN(SUBSTITUTE(Setup!$B$2,CHAR(160)," "))))=0,"CHECK REVIEWER ID",IF(OR(A5="",COUNTIF($A$2:$A$9,A5)&lt;&gt;1,COUNTIFS(Decisions!$C$2:$C$120,A5,Decisions!$B$2:$B$120,"jama.2018.0156")&lt;&gt;1),"CHECK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n"/>
      <c r="E6" s="21" t="inlineStr">
        <is>
          <t>statistical_results</t>
        </is>
      </c>
      <c r="F6" s="21" t="inlineStr">
        <is>
          <t>no</t>
        </is>
      </c>
      <c r="G6" s="20">
        <f>IFERROR(IF(LEN(TRIM(CLEAN(SUBSTITUTE(Setup!$B$2,CHAR(160)," "))))=0,"CHECK REVIEWER ID",IF(OR(A6="",COUNTIF($A$2:$A$9,A6)&lt;&gt;1,COUNTIFS(Decisions!$C$2:$C$120,A6,Decisions!$B$2:$B$120,"jama.2018.0156")&lt;&gt;1),"CHECK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n"/>
      <c r="E7" s="21" t="inlineStr">
        <is>
          <t>report_internal_inconsistency</t>
        </is>
      </c>
      <c r="F7" s="21" t="inlineStr">
        <is>
          <t>no</t>
        </is>
      </c>
      <c r="G7" s="24">
        <f>IFERROR(IF(LEN(TRIM(CLEAN(SUBSTITUTE(Setup!$B$2,CHAR(160)," "))))=0,"CHECK REVIEWER ID",IF(OR(A7="",COUNTIF($A$2:$A$9,A7)&lt;&gt;1,COUNTIFS(Decisions!$C$2:$C$120,A7,Decisions!$B$2:$B$120,"jama.2018.0156")&lt;&gt;1),"CHECK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n"/>
      <c r="E8" s="21" t="inlineStr">
        <is>
          <t>protocol_report</t>
        </is>
      </c>
      <c r="F8" s="21" t="inlineStr">
        <is>
          <t>no</t>
        </is>
      </c>
      <c r="G8" s="20">
        <f>IFERROR(IF(LEN(TRIM(CLEAN(SUBSTITUTE(Setup!$B$2,CHAR(160)," "))))=0,"CHECK REVIEWER ID",IF(OR(A8="",COUNTIF($A$2:$A$9,A8)&lt;&gt;1,COUNTIFS(Decisions!$C$2:$C$120,A8,Decisions!$B$2:$B$120,"jama.2018.0156")&lt;&gt;1),"CHECK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n"/>
      <c r="E9" s="21" t="inlineStr">
        <is>
          <t>protocol_report</t>
        </is>
      </c>
      <c r="F9" s="21" t="inlineStr">
        <is>
          <t>no</t>
        </is>
      </c>
      <c r="G9" s="24">
        <f>IFERROR(IF(LEN(TRIM(CLEAN(SUBSTITUTE(Setup!$B$2,CHAR(160)," "))))=0,"CHECK REVIEWER ID",IF(OR(A9="",COUNTIF($A$2:$A$9,A9)&lt;&gt;1,COUNTIFS(Decisions!$C$2:$C$120,A9,Decisions!$B$2:$B$120,"jama.2018.0156")&lt;&gt;1),"CHECK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6"/>
    <hyperlink ref="A3" location="'Evidence'!A30"/>
    <hyperlink ref="A4" location="'Evidence'!A34"/>
    <hyperlink ref="A5" location="'Evidence'!A38"/>
    <hyperlink ref="A6" location="'Evidence'!A42"/>
    <hyperlink ref="A7" location="'Evidence'!A46"/>
    <hyperlink ref="A8" location="'Evidence'!A50"/>
    <hyperlink ref="A9" location="'Evidence'!A5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n"/>
      <c r="E2" s="21" t="inlineStr">
        <is>
          <t>protocol_report</t>
        </is>
      </c>
      <c r="F2" s="21" t="inlineStr">
        <is>
          <t>no</t>
        </is>
      </c>
      <c r="G2" s="20">
        <f>IFERROR(IF(LEN(TRIM(CLEAN(SUBSTITUTE(Setup!$B$2,CHAR(160)," "))))=0,"CHECK REVIEWER ID",IF(OR(A2="",COUNTIF($A$2:$A$8,A2)&lt;&gt;1,COUNTIFS(Decisions!$C$2:$C$120,A2,Decisions!$B$2:$B$120,"jama.2018.0948")&lt;&gt;1),"CHECK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2018::jama.2018.0948::C002</t>
        </is>
      </c>
      <c r="B3" s="24" t="inlineStr">
        <is>
          <t>Mortality absolute-risk-reduction percent/unit conflict</t>
        </is>
      </c>
      <c r="C3" s="24" t="inlineStr">
        <is>
          <t>Supplement 1 — PDF p. 1, p. 14, p. 29; main article — PDF p. 4.</t>
        </is>
      </c>
      <c r="D3" s="21" t="n"/>
      <c r="E3" s="21" t="inlineStr">
        <is>
          <t>plan_material</t>
        </is>
      </c>
      <c r="F3" s="21" t="inlineStr">
        <is>
          <t>no</t>
        </is>
      </c>
      <c r="G3" s="24">
        <f>IFERROR(IF(LEN(TRIM(CLEAN(SUBSTITUTE(Setup!$B$2,CHAR(160)," "))))=0,"CHECK REVIEWER ID",IF(OR(A3="",COUNTIF($A$2:$A$8,A3)&lt;&gt;1,COUNTIFS(Decisions!$C$2:$C$120,A3,Decisions!$B$2:$B$120,"jama.2018.0948")&lt;&gt;1),"CHECK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n"/>
      <c r="E4" s="21" t="inlineStr">
        <is>
          <t>plan_material</t>
        </is>
      </c>
      <c r="F4" s="21" t="inlineStr">
        <is>
          <t>no</t>
        </is>
      </c>
      <c r="G4" s="20">
        <f>IFERROR(IF(LEN(TRIM(CLEAN(SUBSTITUTE(Setup!$B$2,CHAR(160)," "))))=0,"CHECK REVIEWER ID",IF(OR(A4="",COUNTIF($A$2:$A$8,A4)&lt;&gt;1,COUNTIFS(Decisions!$C$2:$C$120,A4,Decisions!$B$2:$B$120,"jama.2018.0948")&lt;&gt;1),"CHECK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n"/>
      <c r="E5" s="21" t="inlineStr">
        <is>
          <t>plan_material</t>
        </is>
      </c>
      <c r="F5" s="21" t="inlineStr">
        <is>
          <t>no</t>
        </is>
      </c>
      <c r="G5" s="24">
        <f>IFERROR(IF(LEN(TRIM(CLEAN(SUBSTITUTE(Setup!$B$2,CHAR(160)," "))))=0,"CHECK REVIEWER ID",IF(OR(A5="",COUNTIF($A$2:$A$8,A5)&lt;&gt;1,COUNTIFS(Decisions!$C$2:$C$120,A5,Decisions!$B$2:$B$120,"jama.2018.0948")&lt;&gt;1),"CHECK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2018::jama.2018.0948::C005</t>
        </is>
      </c>
      <c r="B6" s="20" t="inlineStr">
        <is>
          <t>The same SCDE reference count is labelled annual and two-year</t>
        </is>
      </c>
      <c r="C6" s="20" t="inlineStr">
        <is>
          <t>Supplement 1 — PDF p. 14 and PDF p. 30.</t>
        </is>
      </c>
      <c r="D6" s="21" t="n"/>
      <c r="E6" s="21" t="inlineStr">
        <is>
          <t>plan_material</t>
        </is>
      </c>
      <c r="F6" s="21" t="inlineStr">
        <is>
          <t>no</t>
        </is>
      </c>
      <c r="G6" s="20">
        <f>IFERROR(IF(LEN(TRIM(CLEAN(SUBSTITUTE(Setup!$B$2,CHAR(160)," "))))=0,"CHECK REVIEWER ID",IF(OR(A6="",COUNTIF($A$2:$A$8,A6)&lt;&gt;1,COUNTIFS(Decisions!$C$2:$C$120,A6,Decisions!$B$2:$B$120,"jama.2018.0948")&lt;&gt;1),"CHECK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2018::jama.2018.0948::C006</t>
        </is>
      </c>
      <c r="B7" s="24" t="inlineStr">
        <is>
          <t>Stat-call absolute reduction does not reproduce from the printed inputs</t>
        </is>
      </c>
      <c r="C7" s="24" t="inlineStr">
        <is>
          <t>Supplement 1 — PDF p. 30.</t>
        </is>
      </c>
      <c r="D7" s="21" t="n"/>
      <c r="E7" s="21" t="inlineStr">
        <is>
          <t>plan_material</t>
        </is>
      </c>
      <c r="F7" s="21" t="inlineStr">
        <is>
          <t>no</t>
        </is>
      </c>
      <c r="G7" s="24">
        <f>IFERROR(IF(LEN(TRIM(CLEAN(SUBSTITUTE(Setup!$B$2,CHAR(160)," "))))=0,"CHECK REVIEWER ID",IF(OR(A7="",COUNTIF($A$2:$A$8,A7)&lt;&gt;1,COUNTIFS(Decisions!$C$2:$C$120,A7,Decisions!$B$2:$B$120,"jama.2018.0948")&lt;&gt;1),"CHECK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2018::jama.2018.0948::C007</t>
        </is>
      </c>
      <c r="B8" s="20" t="inlineStr">
        <is>
          <t>Urgent PICU admission rates do not match the printed counts and denominators at conventional rounding</t>
        </is>
      </c>
      <c r="C8" s="20" t="inlineStr">
        <is>
          <t>Supplement 1 — PDF p. 30.</t>
        </is>
      </c>
      <c r="D8" s="21" t="n"/>
      <c r="E8" s="21" t="inlineStr">
        <is>
          <t>plan_material</t>
        </is>
      </c>
      <c r="F8" s="21" t="inlineStr">
        <is>
          <t>no</t>
        </is>
      </c>
      <c r="G8" s="20">
        <f>IFERROR(IF(LEN(TRIM(CLEAN(SUBSTITUTE(Setup!$B$2,CHAR(160)," "))))=0,"CHECK REVIEWER ID",IF(OR(A8="",COUNTIF($A$2:$A$8,A8)&lt;&gt;1,COUNTIFS(Decisions!$C$2:$C$120,A8,Decisions!$B$2:$B$120,"jama.2018.0948")&lt;&gt;1),"CHECK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58"/>
    <hyperlink ref="A3" location="'Evidence'!A62"/>
    <hyperlink ref="A4" location="'Evidence'!A66"/>
    <hyperlink ref="A5" location="'Evidence'!A70"/>
    <hyperlink ref="A6" location="'Evidence'!A74"/>
    <hyperlink ref="A7" location="'Evidence'!A78"/>
    <hyperlink ref="A8" location="'Evidence'!A82"/>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n"/>
      <c r="E2" s="21" t="inlineStr">
        <is>
          <t>statistical_results</t>
        </is>
      </c>
      <c r="F2" s="21" t="inlineStr">
        <is>
          <t>no</t>
        </is>
      </c>
      <c r="G2" s="20">
        <f>IFERROR(IF(LEN(TRIM(CLEAN(SUBSTITUTE(Setup!$B$2,CHAR(160)," "))))=0,"CHECK REVIEWER ID",IF(OR(A2="",COUNTIF($A$2:$A$24,A2)&lt;&gt;1,COUNTIFS(Decisions!$C$2:$C$120,A2,Decisions!$B$2:$B$120,"jama.2018.14280")&lt;&gt;1),"CHECK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2018::jama.2018.14280::C002</t>
        </is>
      </c>
      <c r="B3" s="24" t="inlineStr">
        <is>
          <t>At-risk-for-ARDS percentages use undisclosed denominators</t>
        </is>
      </c>
      <c r="C3" s="24" t="inlineStr">
        <is>
          <t>DOC-001, Table 1, Patients at risk for ARDS, low and intermediate arms.</t>
        </is>
      </c>
      <c r="D3" s="21" t="n"/>
      <c r="E3" s="21" t="inlineStr">
        <is>
          <t>statistical_results</t>
        </is>
      </c>
      <c r="F3" s="21" t="inlineStr">
        <is>
          <t>no</t>
        </is>
      </c>
      <c r="G3" s="24">
        <f>IFERROR(IF(LEN(TRIM(CLEAN(SUBSTITUTE(Setup!$B$2,CHAR(160)," "))))=0,"CHECK REVIEWER ID",IF(OR(A3="",COUNTIF($A$2:$A$24,A3)&lt;&gt;1,COUNTIFS(Decisions!$C$2:$C$120,A3,Decisions!$B$2:$B$120,"jama.2018.14280")&lt;&gt;1),"CHECK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2018::jama.2018.14280::C003</t>
        </is>
      </c>
      <c r="B4" s="20" t="inlineStr">
        <is>
          <t>Septic-shock percentages use undisclosed denominators</t>
        </is>
      </c>
      <c r="C4" s="20" t="inlineStr">
        <is>
          <t>DOC-001, Table 1, Septic shock, low and intermediate arms.</t>
        </is>
      </c>
      <c r="D4" s="21" t="n"/>
      <c r="E4" s="21" t="inlineStr">
        <is>
          <t>statistical_results</t>
        </is>
      </c>
      <c r="F4" s="21" t="inlineStr">
        <is>
          <t>no</t>
        </is>
      </c>
      <c r="G4" s="20">
        <f>IFERROR(IF(LEN(TRIM(CLEAN(SUBSTITUTE(Setup!$B$2,CHAR(160)," "))))=0,"CHECK REVIEWER ID",IF(OR(A4="",COUNTIF($A$2:$A$24,A4)&lt;&gt;1,COUNTIFS(Decisions!$C$2:$C$120,A4,Decisions!$B$2:$B$120,"jama.2018.14280")&lt;&gt;1),"CHECK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2018::jama.2018.14280::C004</t>
        </is>
      </c>
      <c r="B5" s="24" t="inlineStr">
        <is>
          <t>Tobacco-use categories use undisclosed denominators</t>
        </is>
      </c>
      <c r="C5" s="24" t="inlineStr">
        <is>
          <t>DOC-001, Table 1, Patient tobacco use, both arms.</t>
        </is>
      </c>
      <c r="D5" s="21" t="n"/>
      <c r="E5" s="21" t="inlineStr">
        <is>
          <t>statistical_results</t>
        </is>
      </c>
      <c r="F5" s="21" t="inlineStr">
        <is>
          <t>no</t>
        </is>
      </c>
      <c r="G5" s="24">
        <f>IFERROR(IF(LEN(TRIM(CLEAN(SUBSTITUTE(Setup!$B$2,CHAR(160)," "))))=0,"CHECK REVIEWER ID",IF(OR(A5="",COUNTIF($A$2:$A$24,A5)&lt;&gt;1,COUNTIFS(Decisions!$C$2:$C$120,A5,Decisions!$B$2:$B$120,"jama.2018.14280")&lt;&gt;1),"CHECK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2018::jama.2018.14280::C005</t>
        </is>
      </c>
      <c r="B6" s="20" t="inlineStr">
        <is>
          <t>Alcohol-use categories use undisclosed denominators</t>
        </is>
      </c>
      <c r="C6" s="20" t="inlineStr">
        <is>
          <t>DOC-001, Table 1, Patient alcohol use, both arms.</t>
        </is>
      </c>
      <c r="D6" s="21" t="n"/>
      <c r="E6" s="21" t="inlineStr">
        <is>
          <t>statistical_results</t>
        </is>
      </c>
      <c r="F6" s="21" t="inlineStr">
        <is>
          <t>no</t>
        </is>
      </c>
      <c r="G6" s="20">
        <f>IFERROR(IF(LEN(TRIM(CLEAN(SUBSTITUTE(Setup!$B$2,CHAR(160)," "))))=0,"CHECK REVIEWER ID",IF(OR(A6="",COUNTIF($A$2:$A$24,A6)&lt;&gt;1,COUNTIFS(Decisions!$C$2:$C$120,A6,Decisions!$B$2:$B$120,"jama.2018.14280")&lt;&gt;1),"CHECK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2018::jama.2018.14280::C006</t>
        </is>
      </c>
      <c r="B7" s="24" t="inlineStr">
        <is>
          <t>ICU-admission categories use undisclosed denominators</t>
        </is>
      </c>
      <c r="C7" s="24" t="inlineStr">
        <is>
          <t>DOC-001, Table 1, Reason for ICU admission, both arms.</t>
        </is>
      </c>
      <c r="D7" s="21" t="n"/>
      <c r="E7" s="21" t="inlineStr">
        <is>
          <t>statistical_results</t>
        </is>
      </c>
      <c r="F7" s="21" t="inlineStr">
        <is>
          <t>no</t>
        </is>
      </c>
      <c r="G7" s="24">
        <f>IFERROR(IF(LEN(TRIM(CLEAN(SUBSTITUTE(Setup!$B$2,CHAR(160)," "))))=0,"CHECK REVIEWER ID",IF(OR(A7="",COUNTIF($A$2:$A$24,A7)&lt;&gt;1,COUNTIFS(Decisions!$C$2:$C$120,A7,Decisions!$B$2:$B$120,"jama.2018.14280")&lt;&gt;1),"CHECK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2018::jama.2018.14280::C007</t>
        </is>
      </c>
      <c r="B8" s="20" t="inlineStr">
        <is>
          <t>Sedative-infusion percentages omit effective denominators</t>
        </is>
      </c>
      <c r="C8" s="20" t="inlineStr">
        <is>
          <t>DOC-004, Supplement 3, eTable 4, Sedative infusion.</t>
        </is>
      </c>
      <c r="D8" s="21" t="n"/>
      <c r="E8" s="21" t="inlineStr">
        <is>
          <t>statistical_results</t>
        </is>
      </c>
      <c r="F8" s="21" t="inlineStr">
        <is>
          <t>no</t>
        </is>
      </c>
      <c r="G8" s="20">
        <f>IFERROR(IF(LEN(TRIM(CLEAN(SUBSTITUTE(Setup!$B$2,CHAR(160)," "))))=0,"CHECK REVIEWER ID",IF(OR(A8="",COUNTIF($A$2:$A$24,A8)&lt;&gt;1,COUNTIFS(Decisions!$C$2:$C$120,A8,Decisions!$B$2:$B$120,"jama.2018.14280")&lt;&gt;1),"CHECK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2018::jama.2018.14280::C008</t>
        </is>
      </c>
      <c r="B9" s="24" t="inlineStr">
        <is>
          <t>Analgesic-infusion percentages omit effective denominators</t>
        </is>
      </c>
      <c r="C9" s="24" t="inlineStr">
        <is>
          <t>DOC-004, Supplement 3, eTable 4, Analgesic infusion.</t>
        </is>
      </c>
      <c r="D9" s="21" t="n"/>
      <c r="E9" s="21" t="inlineStr">
        <is>
          <t>statistical_results</t>
        </is>
      </c>
      <c r="F9" s="21" t="inlineStr">
        <is>
          <t>no</t>
        </is>
      </c>
      <c r="G9" s="24">
        <f>IFERROR(IF(LEN(TRIM(CLEAN(SUBSTITUTE(Setup!$B$2,CHAR(160)," "))))=0,"CHECK REVIEWER ID",IF(OR(A9="",COUNTIF($A$2:$A$24,A9)&lt;&gt;1,COUNTIFS(Decisions!$C$2:$C$120,A9,Decisions!$B$2:$B$120,"jama.2018.14280")&lt;&gt;1),"CHECK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2018::jama.2018.14280::C009</t>
        </is>
      </c>
      <c r="B10" s="20" t="inlineStr">
        <is>
          <t>Neuromuscular-blockade percentages omit effective denominators</t>
        </is>
      </c>
      <c r="C10" s="20" t="inlineStr">
        <is>
          <t>DOC-004, Supplement 3, eTable 4, Neuromuscular blockade.</t>
        </is>
      </c>
      <c r="D10" s="21" t="n"/>
      <c r="E10" s="21" t="inlineStr">
        <is>
          <t>statistical_results</t>
        </is>
      </c>
      <c r="F10" s="21" t="inlineStr">
        <is>
          <t>no</t>
        </is>
      </c>
      <c r="G10" s="20">
        <f>IFERROR(IF(LEN(TRIM(CLEAN(SUBSTITUTE(Setup!$B$2,CHAR(160)," "))))=0,"CHECK REVIEWER ID",IF(OR(A10="",COUNTIF($A$2:$A$24,A10)&lt;&gt;1,COUNTIFS(Decisions!$C$2:$C$120,A10,Decisions!$B$2:$B$120,"jama.2018.14280")&lt;&gt;1),"CHECK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2018::jama.2018.14280::C010</t>
        </is>
      </c>
      <c r="B11" s="24" t="inlineStr">
        <is>
          <t>Vasopressor-use percentages omit effective denominators</t>
        </is>
      </c>
      <c r="C11" s="24" t="inlineStr">
        <is>
          <t>DOC-004, Supplement 3, eTable 4, Use of vasopressors.</t>
        </is>
      </c>
      <c r="D11" s="21" t="n"/>
      <c r="E11" s="21" t="inlineStr">
        <is>
          <t>statistical_results</t>
        </is>
      </c>
      <c r="F11" s="21" t="inlineStr">
        <is>
          <t>no</t>
        </is>
      </c>
      <c r="G11" s="24">
        <f>IFERROR(IF(LEN(TRIM(CLEAN(SUBSTITUTE(Setup!$B$2,CHAR(160)," "))))=0,"CHECK REVIEWER ID",IF(OR(A11="",COUNTIF($A$2:$A$24,A11)&lt;&gt;1,COUNTIFS(Decisions!$C$2:$C$120,A11,Decisions!$B$2:$B$120,"jama.2018.14280")&lt;&gt;1),"CHECK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n"/>
      <c r="E12" s="21" t="inlineStr">
        <is>
          <t>report_internal_inconsistency</t>
        </is>
      </c>
      <c r="F12" s="21" t="inlineStr">
        <is>
          <t>no</t>
        </is>
      </c>
      <c r="G12" s="20">
        <f>IFERROR(IF(LEN(TRIM(CLEAN(SUBSTITUTE(Setup!$B$2,CHAR(160)," "))))=0,"CHECK REVIEWER ID",IF(OR(A12="",COUNTIF($A$2:$A$24,A12)&lt;&gt;1,COUNTIFS(Decisions!$C$2:$C$120,A12,Decisions!$B$2:$B$120,"jama.2018.14280")&lt;&gt;1),"CHECK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2018::jama.2018.14280::C012</t>
        </is>
      </c>
      <c r="B13" s="24" t="inlineStr">
        <is>
          <t>ICU-mortality RR does not reproduce from printed risks</t>
        </is>
      </c>
      <c r="C13" s="24" t="inlineStr">
        <is>
          <t>DOC-001, Table 2, ICU mortality and footnote c.</t>
        </is>
      </c>
      <c r="D13" s="21" t="n"/>
      <c r="E13" s="21" t="inlineStr">
        <is>
          <t>statistical_results</t>
        </is>
      </c>
      <c r="F13" s="21" t="inlineStr">
        <is>
          <t>no</t>
        </is>
      </c>
      <c r="G13" s="24">
        <f>IFERROR(IF(LEN(TRIM(CLEAN(SUBSTITUTE(Setup!$B$2,CHAR(160)," "))))=0,"CHECK REVIEWER ID",IF(OR(A13="",COUNTIF($A$2:$A$24,A13)&lt;&gt;1,COUNTIFS(Decisions!$C$2:$C$120,A13,Decisions!$B$2:$B$120,"jama.2018.14280")&lt;&gt;1),"CHECK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2018::jama.2018.14280::C013</t>
        </is>
      </c>
      <c r="B14" s="20" t="inlineStr">
        <is>
          <t>Hospital-mortality RR does not reproduce from printed risks</t>
        </is>
      </c>
      <c r="C14" s="20" t="inlineStr">
        <is>
          <t>DOC-001, Table 2, hospital mortality and footnote c.</t>
        </is>
      </c>
      <c r="D14" s="21" t="n"/>
      <c r="E14" s="21" t="inlineStr">
        <is>
          <t>statistical_results</t>
        </is>
      </c>
      <c r="F14" s="21" t="inlineStr">
        <is>
          <t>no</t>
        </is>
      </c>
      <c r="G14" s="20">
        <f>IFERROR(IF(LEN(TRIM(CLEAN(SUBSTITUTE(Setup!$B$2,CHAR(160)," "))))=0,"CHECK REVIEWER ID",IF(OR(A14="",COUNTIF($A$2:$A$24,A14)&lt;&gt;1,COUNTIFS(Decisions!$C$2:$C$120,A14,Decisions!$B$2:$B$120,"jama.2018.14280")&lt;&gt;1),"CHECK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2018::jama.2018.14280::C014</t>
        </is>
      </c>
      <c r="B15" s="24" t="inlineStr">
        <is>
          <t>ARDS RR does not reproduce from printed risks</t>
        </is>
      </c>
      <c r="C15" s="24" t="inlineStr">
        <is>
          <t>DOC-001, Table 2, Development of ARDS and footnote c.</t>
        </is>
      </c>
      <c r="D15" s="21" t="n"/>
      <c r="E15" s="21" t="inlineStr">
        <is>
          <t>statistical_results</t>
        </is>
      </c>
      <c r="F15" s="21" t="inlineStr">
        <is>
          <t>no</t>
        </is>
      </c>
      <c r="G15" s="24">
        <f>IFERROR(IF(LEN(TRIM(CLEAN(SUBSTITUTE(Setup!$B$2,CHAR(160)," "))))=0,"CHECK REVIEWER ID",IF(OR(A15="",COUNTIF($A$2:$A$24,A15)&lt;&gt;1,COUNTIFS(Decisions!$C$2:$C$120,A15,Decisions!$B$2:$B$120,"jama.2018.14280")&lt;&gt;1),"CHECK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14">
      <c r="A16" s="20" t="inlineStr">
        <is>
          <t>2018::jama.2018.14280::C015</t>
        </is>
      </c>
      <c r="B16" s="20" t="inlineStr">
        <is>
          <t>Pneumonia RR does not reproduce from printed risks</t>
        </is>
      </c>
      <c r="C16" s="20" t="inlineStr">
        <is>
          <t>DOC-001, Table 2, Development of pneumonia and footnote c.</t>
        </is>
      </c>
      <c r="D16" s="21" t="n"/>
      <c r="E16" s="21" t="inlineStr">
        <is>
          <t>statistical_results</t>
        </is>
      </c>
      <c r="F16" s="21" t="inlineStr">
        <is>
          <t>no</t>
        </is>
      </c>
      <c r="G16" s="20">
        <f>IFERROR(IF(LEN(TRIM(CLEAN(SUBSTITUTE(Setup!$B$2,CHAR(160)," "))))=0,"CHECK REVIEWER ID",IF(OR(A16="",COUNTIF($A$2:$A$24,A16)&lt;&gt;1,COUNTIFS(Decisions!$C$2:$C$120,A16,Decisions!$B$2:$B$120,"jama.2018.14280")&lt;&gt;1),"CHECK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14">
      <c r="A17" s="24" t="inlineStr">
        <is>
          <t>2018::jama.2018.14280::C016</t>
        </is>
      </c>
      <c r="B17" s="24" t="inlineStr">
        <is>
          <t>Pneumothorax RR does not reproduce from printed risks</t>
        </is>
      </c>
      <c r="C17" s="24" t="inlineStr">
        <is>
          <t>DOC-001, Table 2, Pneumothorax and footnote c.</t>
        </is>
      </c>
      <c r="D17" s="21" t="n"/>
      <c r="E17" s="21" t="inlineStr">
        <is>
          <t>statistical_results</t>
        </is>
      </c>
      <c r="F17" s="21" t="inlineStr">
        <is>
          <t>no</t>
        </is>
      </c>
      <c r="G17" s="24">
        <f>IFERROR(IF(LEN(TRIM(CLEAN(SUBSTITUTE(Setup!$B$2,CHAR(160)," "))))=0,"CHECK REVIEWER ID",IF(OR(A17="",COUNTIF($A$2:$A$24,A17)&lt;&gt;1,COUNTIFS(Decisions!$C$2:$C$120,A17,Decisions!$B$2:$B$120,"jama.2018.14280")&lt;&gt;1),"CHECK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14">
      <c r="A18" s="20" t="inlineStr">
        <is>
          <t>2018::jama.2018.14280::C017</t>
        </is>
      </c>
      <c r="B18" s="20" t="inlineStr">
        <is>
          <t>Atelectasis RR does not reproduce from printed risks</t>
        </is>
      </c>
      <c r="C18" s="20" t="inlineStr">
        <is>
          <t>DOC-001, Table 2, Atelectasis and footnote c.</t>
        </is>
      </c>
      <c r="D18" s="21" t="n"/>
      <c r="E18" s="21" t="inlineStr">
        <is>
          <t>statistical_results</t>
        </is>
      </c>
      <c r="F18" s="21" t="inlineStr">
        <is>
          <t>no</t>
        </is>
      </c>
      <c r="G18" s="20">
        <f>IFERROR(IF(LEN(TRIM(CLEAN(SUBSTITUTE(Setup!$B$2,CHAR(160)," "))))=0,"CHECK REVIEWER ID",IF(OR(A18="",COUNTIF($A$2:$A$24,A18)&lt;&gt;1,COUNTIFS(Decisions!$C$2:$C$120,A18,Decisions!$B$2:$B$120,"jama.2018.14280")&lt;&gt;1),"CHECK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14">
      <c r="A19" s="24" t="inlineStr">
        <is>
          <t>2018::jama.2018.14280::C018</t>
        </is>
      </c>
      <c r="B19" s="24" t="inlineStr">
        <is>
          <t>Extrapulmonary-infection RR does not reproduce from printed risks</t>
        </is>
      </c>
      <c r="C19" s="24" t="inlineStr">
        <is>
          <t>DOC-001, Table 2, Extrapulmonary infection and footnote c.</t>
        </is>
      </c>
      <c r="D19" s="21" t="n"/>
      <c r="E19" s="21" t="inlineStr">
        <is>
          <t>statistical_results</t>
        </is>
      </c>
      <c r="F19" s="21" t="inlineStr">
        <is>
          <t>no</t>
        </is>
      </c>
      <c r="G19" s="24">
        <f>IFERROR(IF(LEN(TRIM(CLEAN(SUBSTITUTE(Setup!$B$2,CHAR(160)," "))))=0,"CHECK REVIEWER ID",IF(OR(A19="",COUNTIF($A$2:$A$24,A19)&lt;&gt;1,COUNTIFS(Decisions!$C$2:$C$120,A19,Decisions!$B$2:$B$120,"jama.2018.14280")&lt;&gt;1),"CHECK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Height="1" s="14">
      <c r="A20" s="20" t="inlineStr">
        <is>
          <t>2018::jama.2018.14280::C019</t>
        </is>
      </c>
      <c r="B20" s="20" t="inlineStr">
        <is>
          <t>Extrapulmonary-sepsis RR does not reproduce from printed risks</t>
        </is>
      </c>
      <c r="C20" s="20" t="inlineStr">
        <is>
          <t>DOC-001, Table 2, Extrapulmonary sepsis and footnote c.</t>
        </is>
      </c>
      <c r="D20" s="21" t="n"/>
      <c r="E20" s="21" t="inlineStr">
        <is>
          <t>statistical_results</t>
        </is>
      </c>
      <c r="F20" s="21" t="inlineStr">
        <is>
          <t>no</t>
        </is>
      </c>
      <c r="G20" s="20">
        <f>IFERROR(IF(LEN(TRIM(CLEAN(SUBSTITUTE(Setup!$B$2,CHAR(160)," "))))=0,"CHECK REVIEWER ID",IF(OR(A20="",COUNTIF($A$2:$A$24,A20)&lt;&gt;1,COUNTIFS(Decisions!$C$2:$C$120,A20,Decisions!$B$2:$B$120,"jama.2018.14280")&lt;&gt;1),"CHECK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Height="1" s="14">
      <c r="A21" s="24" t="inlineStr">
        <is>
          <t>2018::jama.2018.14280::C020</t>
        </is>
      </c>
      <c r="B21" s="24" t="inlineStr">
        <is>
          <t>Delirium RR does not reproduce from printed risks</t>
        </is>
      </c>
      <c r="C21" s="24" t="inlineStr">
        <is>
          <t>DOC-001, Table 2, Delirium and footnote c.</t>
        </is>
      </c>
      <c r="D21" s="21" t="n"/>
      <c r="E21" s="21" t="inlineStr">
        <is>
          <t>statistical_results</t>
        </is>
      </c>
      <c r="F21" s="21" t="inlineStr">
        <is>
          <t>no</t>
        </is>
      </c>
      <c r="G21" s="24">
        <f>IFERROR(IF(LEN(TRIM(CLEAN(SUBSTITUTE(Setup!$B$2,CHAR(160)," "))))=0,"CHECK REVIEWER ID",IF(OR(A21="",COUNTIF($A$2:$A$24,A21)&lt;&gt;1,COUNTIFS(Decisions!$C$2:$C$120,A21,Decisions!$B$2:$B$120,"jama.2018.14280")&lt;&gt;1),"CHECK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f>IF(AND(OR(D21="retain",D21=""),E21="statistical_results"),"","not_applicable")</f>
        <v/>
      </c>
      <c r="I21" s="21">
        <f>IF(AND(OR(D21="retain",D21=""),E21="statistical_results"),"","not_applicable")</f>
        <v/>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Height="1" s="14">
      <c r="A22" s="20" t="inlineStr">
        <is>
          <t>2018::jama.2018.14280::C021</t>
        </is>
      </c>
      <c r="B22" s="20" t="inlineStr">
        <is>
          <t>Tracheostomy RR does not reproduce from printed risks</t>
        </is>
      </c>
      <c r="C22" s="20" t="inlineStr">
        <is>
          <t>DOC-001, Table 2, Need for tracheostomy and footnote c.</t>
        </is>
      </c>
      <c r="D22" s="21" t="n"/>
      <c r="E22" s="21" t="inlineStr">
        <is>
          <t>statistical_results</t>
        </is>
      </c>
      <c r="F22" s="21" t="inlineStr">
        <is>
          <t>no</t>
        </is>
      </c>
      <c r="G22" s="20">
        <f>IFERROR(IF(LEN(TRIM(CLEAN(SUBSTITUTE(Setup!$B$2,CHAR(160)," "))))=0,"CHECK REVIEWER ID",IF(OR(A22="",COUNTIF($A$2:$A$24,A22)&lt;&gt;1,COUNTIFS(Decisions!$C$2:$C$120,A22,Decisions!$B$2:$B$120,"jama.2018.14280")&lt;&gt;1),"CHECK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f>IF(AND(OR(D22="retain",D22=""),E22="statistical_results"),"","not_applicable")</f>
        <v/>
      </c>
      <c r="I22" s="21">
        <f>IF(AND(OR(D22="retain",D22=""),E22="statistical_results"),"","not_applicable")</f>
        <v/>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Height="1" s="14">
      <c r="A23" s="24" t="inlineStr">
        <is>
          <t>2018::jama.2018.14280::C022</t>
        </is>
      </c>
      <c r="B23" s="24" t="inlineStr">
        <is>
          <t>The same subgroup intervals are labelled IQR and 95% CI</t>
        </is>
      </c>
      <c r="C23" s="24" t="inlineStr">
        <is>
          <t>DOC-001, Subgroups and Exploratory Analyses; DOC-004, Supplement 3 eTable 5.</t>
        </is>
      </c>
      <c r="D23" s="21" t="n"/>
      <c r="E23" s="21" t="inlineStr">
        <is>
          <t>report_internal_inconsistency</t>
        </is>
      </c>
      <c r="F23" s="21" t="inlineStr">
        <is>
          <t>no</t>
        </is>
      </c>
      <c r="G23" s="24">
        <f>IFERROR(IF(LEN(TRIM(CLEAN(SUBSTITUTE(Setup!$B$2,CHAR(160)," "))))=0,"CHECK REVIEWER ID",IF(OR(A23="",COUNTIF($A$2:$A$24,A23)&lt;&gt;1,COUNTIFS(Decisions!$C$2:$C$120,A23,Decisions!$B$2:$B$120,"jama.2018.14280")&lt;&gt;1),"CHECK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Height="1" s="14">
      <c r="A24" s="20" t="inlineStr">
        <is>
          <t>2018::jama.2018.14280::C023</t>
        </is>
      </c>
      <c r="B24" s="20" t="inlineStr">
        <is>
          <t>Enrollment completion dates differ by two days</t>
        </is>
      </c>
      <c r="C24" s="20" t="inlineStr">
        <is>
          <t>DOC-001 abstract and Results/Patients; DOC-003 SAP abstract and introduction.</t>
        </is>
      </c>
      <c r="D24" s="21" t="n"/>
      <c r="E24" s="21" t="inlineStr">
        <is>
          <t>protocol_report</t>
        </is>
      </c>
      <c r="F24" s="21" t="inlineStr">
        <is>
          <t>no</t>
        </is>
      </c>
      <c r="G24" s="20">
        <f>IFERROR(IF(LEN(TRIM(CLEAN(SUBSTITUTE(Setup!$B$2,CHAR(160)," "))))=0,"CHECK REVIEWER ID",IF(OR(A24="",COUNTIF($A$2:$A$24,A24)&lt;&gt;1,COUNTIFS(Decisions!$C$2:$C$120,A24,Decisions!$B$2:$B$120,"jama.2018.14280")&lt;&gt;1),"CHECK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86"/>
    <hyperlink ref="A3" location="'Evidence'!A90"/>
    <hyperlink ref="A4" location="'Evidence'!A94"/>
    <hyperlink ref="A5" location="'Evidence'!A98"/>
    <hyperlink ref="A6" location="'Evidence'!A102"/>
    <hyperlink ref="A7" location="'Evidence'!A106"/>
    <hyperlink ref="A8" location="'Evidence'!A110"/>
    <hyperlink ref="A9" location="'Evidence'!A114"/>
    <hyperlink ref="A10" location="'Evidence'!A118"/>
    <hyperlink ref="A11" location="'Evidence'!A122"/>
    <hyperlink ref="A12" location="'Evidence'!A126"/>
    <hyperlink ref="A13" location="'Evidence'!A130"/>
    <hyperlink ref="A14" location="'Evidence'!A134"/>
    <hyperlink ref="A15" location="'Evidence'!A138"/>
    <hyperlink ref="A16" location="'Evidence'!A142"/>
    <hyperlink ref="A17" location="'Evidence'!A146"/>
    <hyperlink ref="A18" location="'Evidence'!A150"/>
    <hyperlink ref="A19" location="'Evidence'!A154"/>
    <hyperlink ref="A20" location="'Evidence'!A158"/>
    <hyperlink ref="A21" location="'Evidence'!A162"/>
    <hyperlink ref="A22" location="'Evidence'!A166"/>
    <hyperlink ref="A23" location="'Evidence'!A170"/>
    <hyperlink ref="A24" location="'Evidence'!A174"/>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2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2018::jama.2018.14282::C001</t>
        </is>
      </c>
      <c r="B2" s="20" t="inlineStr">
        <is>
          <t>Standard-arm men percentage does not reconcile</t>
        </is>
      </c>
      <c r="C2" s="20" t="inlineStr">
        <is>
          <t>DOC-001 Table 1 — PDF p. 4</t>
        </is>
      </c>
      <c r="D2" s="21" t="n"/>
      <c r="E2" s="21" t="inlineStr">
        <is>
          <t>statistical_results</t>
        </is>
      </c>
      <c r="F2" s="21" t="inlineStr">
        <is>
          <t>no</t>
        </is>
      </c>
      <c r="G2" s="20">
        <f>IFERROR(IF(LEN(TRIM(CLEAN(SUBSTITUTE(Setup!$B$2,CHAR(160)," "))))=0,"CHECK REVIEWER ID",IF(OR(A2="",COUNTIF($A$2:$A$29,A2)&lt;&gt;1,COUNTIFS(Decisions!$C$2:$C$120,A2,Decisions!$B$2:$B$120,"jama.2018.14282")&lt;&gt;1),"CHECK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2018::jama.2018.14282::C002</t>
        </is>
      </c>
      <c r="B3" s="24" t="inlineStr">
        <is>
          <t>Standard-arm women percentage does not reconcile</t>
        </is>
      </c>
      <c r="C3" s="24" t="inlineStr">
        <is>
          <t>DOC-001 Table 1 — PDF p. 4</t>
        </is>
      </c>
      <c r="D3" s="21" t="n"/>
      <c r="E3" s="21" t="inlineStr">
        <is>
          <t>statistical_results</t>
        </is>
      </c>
      <c r="F3" s="21" t="inlineStr">
        <is>
          <t>no</t>
        </is>
      </c>
      <c r="G3" s="24">
        <f>IFERROR(IF(LEN(TRIM(CLEAN(SUBSTITUTE(Setup!$B$2,CHAR(160)," "))))=0,"CHECK REVIEWER ID",IF(OR(A3="",COUNTIF($A$2:$A$29,A3)&lt;&gt;1,COUNTIFS(Decisions!$C$2:$C$120,A3,Decisions!$B$2:$B$120,"jama.2018.14282")&lt;&gt;1),"CHECK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2018::jama.2018.14282::C003</t>
        </is>
      </c>
      <c r="B4" s="20" t="inlineStr">
        <is>
          <t>Standard-arm heart-failure percentage does not reconcile</t>
        </is>
      </c>
      <c r="C4" s="20" t="inlineStr">
        <is>
          <t>DOC-001 Table 1 — PDF p. 4</t>
        </is>
      </c>
      <c r="D4" s="21" t="n"/>
      <c r="E4" s="21" t="inlineStr">
        <is>
          <t>statistical_results</t>
        </is>
      </c>
      <c r="F4" s="21" t="inlineStr">
        <is>
          <t>no</t>
        </is>
      </c>
      <c r="G4" s="20">
        <f>IFERROR(IF(LEN(TRIM(CLEAN(SUBSTITUTE(Setup!$B$2,CHAR(160)," "))))=0,"CHECK REVIEWER ID",IF(OR(A4="",COUNTIF($A$2:$A$29,A4)&lt;&gt;1,COUNTIFS(Decisions!$C$2:$C$120,A4,Decisions!$B$2:$B$120,"jama.2018.14282")&lt;&gt;1),"CHECK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2018::jama.2018.14282::C004</t>
        </is>
      </c>
      <c r="B5" s="24" t="inlineStr">
        <is>
          <t>High-flow liver-disease percentage conflicts with displayed count</t>
        </is>
      </c>
      <c r="C5" s="24" t="inlineStr">
        <is>
          <t>DOC-001 Table 1 — PDF p. 4</t>
        </is>
      </c>
      <c r="D5" s="21" t="n"/>
      <c r="E5" s="21" t="inlineStr">
        <is>
          <t>statistical_results</t>
        </is>
      </c>
      <c r="F5" s="21" t="inlineStr">
        <is>
          <t>no</t>
        </is>
      </c>
      <c r="G5" s="24">
        <f>IFERROR(IF(LEN(TRIM(CLEAN(SUBSTITUTE(Setup!$B$2,CHAR(160)," "))))=0,"CHECK REVIEWER ID",IF(OR(A5="",COUNTIF($A$2:$A$29,A5)&lt;&gt;1,COUNTIFS(Decisions!$C$2:$C$120,A5,Decisions!$B$2:$B$120,"jama.2018.14282")&lt;&gt;1),"CHECK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2018::jama.2018.14282::C005</t>
        </is>
      </c>
      <c r="B6" s="20" t="inlineStr">
        <is>
          <t>Standard-arm kidney-disease percentage conflicts with displayed count</t>
        </is>
      </c>
      <c r="C6" s="20" t="inlineStr">
        <is>
          <t>DOC-001 Table 1 — PDF p. 4</t>
        </is>
      </c>
      <c r="D6" s="21" t="n"/>
      <c r="E6" s="21" t="inlineStr">
        <is>
          <t>statistical_results</t>
        </is>
      </c>
      <c r="F6" s="21" t="inlineStr">
        <is>
          <t>no</t>
        </is>
      </c>
      <c r="G6" s="20">
        <f>IFERROR(IF(LEN(TRIM(CLEAN(SUBSTITUTE(Setup!$B$2,CHAR(160)," "))))=0,"CHECK REVIEWER ID",IF(OR(A6="",COUNTIF($A$2:$A$29,A6)&lt;&gt;1,COUNTIFS(Decisions!$C$2:$C$120,A6,Decisions!$B$2:$B$120,"jama.2018.14282")&lt;&gt;1),"CHECK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2018::jama.2018.14282::C006</t>
        </is>
      </c>
      <c r="B7" s="24" t="inlineStr">
        <is>
          <t>Standard-arm nontransplant immunosuppression percentage does not reconcile</t>
        </is>
      </c>
      <c r="C7" s="24" t="inlineStr">
        <is>
          <t>DOC-001 Table 1 — PDF p. 4</t>
        </is>
      </c>
      <c r="D7" s="21" t="n"/>
      <c r="E7" s="21" t="inlineStr">
        <is>
          <t>statistical_results</t>
        </is>
      </c>
      <c r="F7" s="21" t="inlineStr">
        <is>
          <t>no</t>
        </is>
      </c>
      <c r="G7" s="24">
        <f>IFERROR(IF(LEN(TRIM(CLEAN(SUBSTITUTE(Setup!$B$2,CHAR(160)," "))))=0,"CHECK REVIEWER ID",IF(OR(A7="",COUNTIF($A$2:$A$29,A7)&lt;&gt;1,COUNTIFS(Decisions!$C$2:$C$120,A7,Decisions!$B$2:$B$120,"jama.2018.14282")&lt;&gt;1),"CHECK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2018::jama.2018.14282::C007</t>
        </is>
      </c>
      <c r="B8" s="20" t="inlineStr">
        <is>
          <t>High-flow ≥3-days-after-ICU-admission percentage does not reconcile</t>
        </is>
      </c>
      <c r="C8" s="20" t="inlineStr">
        <is>
          <t>DOC-001 Table 1 — PDF p. 4</t>
        </is>
      </c>
      <c r="D8" s="21" t="n"/>
      <c r="E8" s="21" t="inlineStr">
        <is>
          <t>statistical_results</t>
        </is>
      </c>
      <c r="F8" s="21" t="inlineStr">
        <is>
          <t>no</t>
        </is>
      </c>
      <c r="G8" s="20">
        <f>IFERROR(IF(LEN(TRIM(CLEAN(SUBSTITUTE(Setup!$B$2,CHAR(160)," "))))=0,"CHECK REVIEWER ID",IF(OR(A8="",COUNTIF($A$2:$A$29,A8)&lt;&gt;1,COUNTIFS(Decisions!$C$2:$C$120,A8,Decisions!$B$2:$B$120,"jama.2018.14282")&lt;&gt;1),"CHECK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2018::jama.2018.14282::C008</t>
        </is>
      </c>
      <c r="B9" s="24" t="inlineStr">
        <is>
          <t>Standard-arm ≥3-days-after-ICU-admission percentage does not reconcile</t>
        </is>
      </c>
      <c r="C9" s="24" t="inlineStr">
        <is>
          <t>DOC-001 Table 1 — PDF p. 4</t>
        </is>
      </c>
      <c r="D9" s="21" t="n"/>
      <c r="E9" s="21" t="inlineStr">
        <is>
          <t>statistical_results</t>
        </is>
      </c>
      <c r="F9" s="21" t="inlineStr">
        <is>
          <t>no</t>
        </is>
      </c>
      <c r="G9" s="24">
        <f>IFERROR(IF(LEN(TRIM(CLEAN(SUBSTITUTE(Setup!$B$2,CHAR(160)," "))))=0,"CHECK REVIEWER ID",IF(OR(A9="",COUNTIF($A$2:$A$29,A9)&lt;&gt;1,COUNTIFS(Decisions!$C$2:$C$120,A9,Decisions!$B$2:$B$120,"jama.2018.14282")&lt;&gt;1),"CHECK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2018::jama.2018.14282::C009</t>
        </is>
      </c>
      <c r="B10" s="20" t="inlineStr">
        <is>
          <t>Standard-arm vasopressor percentage does not reconcile</t>
        </is>
      </c>
      <c r="C10" s="20" t="inlineStr">
        <is>
          <t>DOC-001 Table 1 — PDF p. 4</t>
        </is>
      </c>
      <c r="D10" s="21" t="n"/>
      <c r="E10" s="21" t="inlineStr">
        <is>
          <t>statistical_results</t>
        </is>
      </c>
      <c r="F10" s="21" t="inlineStr">
        <is>
          <t>no</t>
        </is>
      </c>
      <c r="G10" s="20">
        <f>IFERROR(IF(LEN(TRIM(CLEAN(SUBSTITUTE(Setup!$B$2,CHAR(160)," "))))=0,"CHECK REVIEWER ID",IF(OR(A10="",COUNTIF($A$2:$A$29,A10)&lt;&gt;1,COUNTIFS(Decisions!$C$2:$C$120,A10,Decisions!$B$2:$B$120,"jama.2018.14282")&lt;&gt;1),"CHECK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2018::jama.2018.14282::C010</t>
        </is>
      </c>
      <c r="B11" s="24" t="inlineStr">
        <is>
          <t>High-flow do-not-intubate percentage does not reconcile</t>
        </is>
      </c>
      <c r="C11" s="24" t="inlineStr">
        <is>
          <t>DOC-001 Table 1 — PDF p. 4</t>
        </is>
      </c>
      <c r="D11" s="21" t="n"/>
      <c r="E11" s="21" t="inlineStr">
        <is>
          <t>statistical_results</t>
        </is>
      </c>
      <c r="F11" s="21" t="inlineStr">
        <is>
          <t>no</t>
        </is>
      </c>
      <c r="G11" s="24">
        <f>IFERROR(IF(LEN(TRIM(CLEAN(SUBSTITUTE(Setup!$B$2,CHAR(160)," "))))=0,"CHECK REVIEWER ID",IF(OR(A11="",COUNTIF($A$2:$A$29,A11)&lt;&gt;1,COUNTIFS(Decisions!$C$2:$C$120,A11,Decisions!$B$2:$B$120,"jama.2018.14282")&lt;&gt;1),"CHECK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2018::jama.2018.14282::C011</t>
        </is>
      </c>
      <c r="B12" s="20" t="inlineStr">
        <is>
          <t>High-flow do-not-resuscitate percentage does not reconcile</t>
        </is>
      </c>
      <c r="C12" s="20" t="inlineStr">
        <is>
          <t>DOC-001 Table 1 — PDF p. 4</t>
        </is>
      </c>
      <c r="D12" s="21" t="n"/>
      <c r="E12" s="21" t="inlineStr">
        <is>
          <t>statistical_results</t>
        </is>
      </c>
      <c r="F12" s="21" t="inlineStr">
        <is>
          <t>no</t>
        </is>
      </c>
      <c r="G12" s="20">
        <f>IFERROR(IF(LEN(TRIM(CLEAN(SUBSTITUTE(Setup!$B$2,CHAR(160)," "))))=0,"CHECK REVIEWER ID",IF(OR(A12="",COUNTIF($A$2:$A$29,A12)&lt;&gt;1,COUNTIFS(Decisions!$C$2:$C$120,A12,Decisions!$B$2:$B$120,"jama.2018.14282")&lt;&gt;1),"CHECK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2018::jama.2018.14282::C012</t>
        </is>
      </c>
      <c r="B13" s="24" t="inlineStr">
        <is>
          <t>Standard-arm do-not-resuscitate percentage does not reconcile</t>
        </is>
      </c>
      <c r="C13" s="24" t="inlineStr">
        <is>
          <t>DOC-001 Table 1 — PDF p. 4</t>
        </is>
      </c>
      <c r="D13" s="21" t="n"/>
      <c r="E13" s="21" t="inlineStr">
        <is>
          <t>statistical_results</t>
        </is>
      </c>
      <c r="F13" s="21" t="inlineStr">
        <is>
          <t>no</t>
        </is>
      </c>
      <c r="G13" s="24">
        <f>IFERROR(IF(LEN(TRIM(CLEAN(SUBSTITUTE(Setup!$B$2,CHAR(160)," "))))=0,"CHECK REVIEWER ID",IF(OR(A13="",COUNTIF($A$2:$A$29,A13)&lt;&gt;1,COUNTIFS(Decisions!$C$2:$C$120,A13,Decisions!$B$2:$B$120,"jama.2018.14282")&lt;&gt;1),"CHECK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2018::jama.2018.14282::C013</t>
        </is>
      </c>
      <c r="B14" s="20" t="inlineStr">
        <is>
          <t>Standard-arm unknown-goals percentage does not reconcile</t>
        </is>
      </c>
      <c r="C14" s="20" t="inlineStr">
        <is>
          <t>DOC-001 Table 1 — PDF p. 4</t>
        </is>
      </c>
      <c r="D14" s="21" t="n"/>
      <c r="E14" s="21" t="inlineStr">
        <is>
          <t>statistical_results</t>
        </is>
      </c>
      <c r="F14" s="21" t="inlineStr">
        <is>
          <t>no</t>
        </is>
      </c>
      <c r="G14" s="20">
        <f>IFERROR(IF(LEN(TRIM(CLEAN(SUBSTITUTE(Setup!$B$2,CHAR(160)," "))))=0,"CHECK REVIEWER ID",IF(OR(A14="",COUNTIF($A$2:$A$29,A14)&lt;&gt;1,COUNTIFS(Decisions!$C$2:$C$120,A14,Decisions!$B$2:$B$120,"jama.2018.14282")&lt;&gt;1),"CHECK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2018::jama.2018.14282::C014</t>
        </is>
      </c>
      <c r="B15" s="24" t="inlineStr">
        <is>
          <t>High-flow pre-randomization standard-oxygen percentage does not reconcile</t>
        </is>
      </c>
      <c r="C15" s="24" t="inlineStr">
        <is>
          <t>DOC-001 Table 1 — PDF p. 4</t>
        </is>
      </c>
      <c r="D15" s="21" t="n"/>
      <c r="E15" s="21" t="inlineStr">
        <is>
          <t>statistical_results</t>
        </is>
      </c>
      <c r="F15" s="21" t="inlineStr">
        <is>
          <t>no</t>
        </is>
      </c>
      <c r="G15" s="24">
        <f>IFERROR(IF(LEN(TRIM(CLEAN(SUBSTITUTE(Setup!$B$2,CHAR(160)," "))))=0,"CHECK REVIEWER ID",IF(OR(A15="",COUNTIF($A$2:$A$29,A15)&lt;&gt;1,COUNTIFS(Decisions!$C$2:$C$120,A15,Decisions!$B$2:$B$120,"jama.2018.14282")&lt;&gt;1),"CHECK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row r="16" ht="92" customHeight="1" s="14">
      <c r="A16" s="20" t="inlineStr">
        <is>
          <t>2018::jama.2018.14282::C015</t>
        </is>
      </c>
      <c r="B16" s="20" t="inlineStr">
        <is>
          <t>High-flow ICU-acquired-infection percentage does not reconcile</t>
        </is>
      </c>
      <c r="C16" s="20" t="inlineStr">
        <is>
          <t>DOC-001 Table 2 — PDF p. 5</t>
        </is>
      </c>
      <c r="D16" s="21" t="n"/>
      <c r="E16" s="21" t="inlineStr">
        <is>
          <t>statistical_results</t>
        </is>
      </c>
      <c r="F16" s="21" t="inlineStr">
        <is>
          <t>no</t>
        </is>
      </c>
      <c r="G16" s="20">
        <f>IFERROR(IF(LEN(TRIM(CLEAN(SUBSTITUTE(Setup!$B$2,CHAR(160)," "))))=0,"CHECK REVIEWER ID",IF(OR(A16="",COUNTIF($A$2:$A$29,A16)&lt;&gt;1,COUNTIFS(Decisions!$C$2:$C$120,A16,Decisions!$B$2:$B$120,"jama.2018.14282")&lt;&gt;1),"CHECK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n"/>
    </row>
    <row r="17" ht="92" customHeight="1" s="14">
      <c r="A17" s="24" t="inlineStr">
        <is>
          <t>2018::jama.2018.14282::C016</t>
        </is>
      </c>
      <c r="B17" s="24" t="inlineStr">
        <is>
          <t>Standard-arm hospital-mortality percentage does not reconcile</t>
        </is>
      </c>
      <c r="C17" s="24" t="inlineStr">
        <is>
          <t>DOC-001 Table 2 — PDF p. 5</t>
        </is>
      </c>
      <c r="D17" s="21" t="n"/>
      <c r="E17" s="21" t="inlineStr">
        <is>
          <t>statistical_results</t>
        </is>
      </c>
      <c r="F17" s="21" t="inlineStr">
        <is>
          <t>no</t>
        </is>
      </c>
      <c r="G17" s="24">
        <f>IFERROR(IF(LEN(TRIM(CLEAN(SUBSTITUTE(Setup!$B$2,CHAR(160)," "))))=0,"CHECK REVIEWER ID",IF(OR(A17="",COUNTIF($A$2:$A$29,A17)&lt;&gt;1,COUNTIFS(Decisions!$C$2:$C$120,A17,Decisions!$B$2:$B$120,"jama.2018.14282")&lt;&gt;1),"CHECK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f>IF(AND(OR(D17="retain",D17=""),E17="protocol_report"),"","not_applicable")</f>
        <v/>
      </c>
      <c r="M17" s="24" t="n"/>
      <c r="N17" s="23" t="n"/>
      <c r="O17" s="23" t="n"/>
      <c r="P17" s="23" t="n"/>
      <c r="Q17" s="23" t="n"/>
      <c r="R17" s="22" t="n"/>
    </row>
    <row r="18" ht="92" customHeight="1" s="14">
      <c r="A18" s="20" t="inlineStr">
        <is>
          <t>2018::jama.2018.14282::C017</t>
        </is>
      </c>
      <c r="B18" s="20" t="inlineStr">
        <is>
          <t>Respiratory-rate confidence-interval endpoint differs between matched occurrences</t>
        </is>
      </c>
      <c r="C18" s="20" t="inlineStr">
        <is>
          <t>DOC-001 abstract — PDF p. 1; DOC-001 results — PDF p. 6</t>
        </is>
      </c>
      <c r="D18" s="21" t="n"/>
      <c r="E18" s="21" t="inlineStr">
        <is>
          <t>report_internal_inconsistency</t>
        </is>
      </c>
      <c r="F18" s="21" t="inlineStr">
        <is>
          <t>no</t>
        </is>
      </c>
      <c r="G18" s="20">
        <f>IFERROR(IF(LEN(TRIM(CLEAN(SUBSTITUTE(Setup!$B$2,CHAR(160)," "))))=0,"CHECK REVIEWER ID",IF(OR(A18="",COUNTIF($A$2:$A$29,A18)&lt;&gt;1,COUNTIFS(Decisions!$C$2:$C$120,A18,Decisions!$B$2:$B$120,"jama.2018.14282")&lt;&gt;1),"CHECK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f>IF(AND(OR(D18="retain",D18=""),E18="statistical_results"),"","not_applicable")</f>
        <v/>
      </c>
      <c r="I18" s="21">
        <f>IF(AND(OR(D18="retain",D18=""),E18="statistical_results"),"","not_applicable")</f>
        <v/>
      </c>
      <c r="J18" s="22">
        <f>IF(AND(OR(D18="retain",D18=""),E18="statistical_results"),"","not_applicable")</f>
        <v/>
      </c>
      <c r="K18" s="21">
        <f>IF(AND(OR(D18="retain",D18=""),OR(E18="report_internal_inconsistency",E18="plan_material")),"","not_applicable")</f>
        <v/>
      </c>
      <c r="L18" s="22">
        <f>IF(AND(OR(D18="retain",D18=""),E18="protocol_report"),"","not_applicable")</f>
        <v/>
      </c>
      <c r="M18" s="20" t="n"/>
      <c r="N18" s="23" t="n"/>
      <c r="O18" s="23" t="n"/>
      <c r="P18" s="23" t="n"/>
      <c r="Q18" s="23" t="n"/>
      <c r="R18" s="22" t="n"/>
    </row>
    <row r="19" ht="92" customHeight="1" s="14">
      <c r="A19" s="24" t="inlineStr">
        <is>
          <t>2018::jama.2018.14282::C018</t>
        </is>
      </c>
      <c r="B19" s="24" t="inlineStr">
        <is>
          <t>Arm-attributed support-needs percentages use the overall-population denominator</t>
        </is>
      </c>
      <c r="C19" s="24" t="inlineStr">
        <is>
          <t>DOC-001 post hoc outcomes — PDF p. 6</t>
        </is>
      </c>
      <c r="D19" s="21" t="n"/>
      <c r="E19" s="21" t="inlineStr">
        <is>
          <t>statistical_results</t>
        </is>
      </c>
      <c r="F19" s="21" t="inlineStr">
        <is>
          <t>no</t>
        </is>
      </c>
      <c r="G19" s="24">
        <f>IFERROR(IF(LEN(TRIM(CLEAN(SUBSTITUTE(Setup!$B$2,CHAR(160)," "))))=0,"CHECK REVIEWER ID",IF(OR(A19="",COUNTIF($A$2:$A$29,A19)&lt;&gt;1,COUNTIFS(Decisions!$C$2:$C$120,A19,Decisions!$B$2:$B$120,"jama.2018.14282")&lt;&gt;1),"CHECK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f>IF(AND(OR(D19="retain",D19=""),E19="statistical_results"),"","not_applicable")</f>
        <v/>
      </c>
      <c r="I19" s="21">
        <f>IF(AND(OR(D19="retain",D19=""),E19="statistical_results"),"","not_applicable")</f>
        <v/>
      </c>
      <c r="J19" s="22">
        <f>IF(AND(OR(D19="retain",D19=""),E19="statistical_results"),"","not_applicable")</f>
        <v/>
      </c>
      <c r="K19" s="21">
        <f>IF(AND(OR(D19="retain",D19=""),OR(E19="report_internal_inconsistency",E19="plan_material")),"","not_applicable")</f>
        <v/>
      </c>
      <c r="L19" s="22">
        <f>IF(AND(OR(D19="retain",D19=""),E19="protocol_report"),"","not_applicable")</f>
        <v/>
      </c>
      <c r="M19" s="24" t="n"/>
      <c r="N19" s="23" t="n"/>
      <c r="O19" s="23" t="n"/>
      <c r="P19" s="23" t="n"/>
      <c r="Q19" s="23" t="n"/>
      <c r="R19" s="22" t="n"/>
    </row>
    <row r="20" ht="92" customHeight="1" s="14">
      <c r="A20" s="20" t="inlineStr">
        <is>
          <t>2018::jama.2018.14282::C019</t>
        </is>
      </c>
      <c r="B20" s="20" t="inlineStr">
        <is>
          <t>eTable high-flow invasive-MV percentage does not reconcile</t>
        </is>
      </c>
      <c r="C20" s="20" t="inlineStr">
        <is>
          <t>DOC-003 eTable — PDF p. 2</t>
        </is>
      </c>
      <c r="D20" s="21" t="n"/>
      <c r="E20" s="21" t="inlineStr">
        <is>
          <t>statistical_results</t>
        </is>
      </c>
      <c r="F20" s="21" t="inlineStr">
        <is>
          <t>no</t>
        </is>
      </c>
      <c r="G20" s="20">
        <f>IFERROR(IF(LEN(TRIM(CLEAN(SUBSTITUTE(Setup!$B$2,CHAR(160)," "))))=0,"CHECK REVIEWER ID",IF(OR(A20="",COUNTIF($A$2:$A$29,A20)&lt;&gt;1,COUNTIFS(Decisions!$C$2:$C$120,A20,Decisions!$B$2:$B$120,"jama.2018.14282")&lt;&gt;1),"CHECK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f>IF(AND(OR(D20="retain",D20=""),E20="statistical_results"),"","not_applicable")</f>
        <v/>
      </c>
      <c r="I20" s="21">
        <f>IF(AND(OR(D20="retain",D20=""),E20="statistical_results"),"","not_applicable")</f>
        <v/>
      </c>
      <c r="J20" s="22">
        <f>IF(AND(OR(D20="retain",D20=""),E20="statistical_results"),"","not_applicable")</f>
        <v/>
      </c>
      <c r="K20" s="21">
        <f>IF(AND(OR(D20="retain",D20=""),OR(E20="report_internal_inconsistency",E20="plan_material")),"","not_applicable")</f>
        <v/>
      </c>
      <c r="L20" s="22">
        <f>IF(AND(OR(D20="retain",D20=""),E20="protocol_report"),"","not_applicable")</f>
        <v/>
      </c>
      <c r="M20" s="20" t="n"/>
      <c r="N20" s="23" t="n"/>
      <c r="O20" s="23" t="n"/>
      <c r="P20" s="23" t="n"/>
      <c r="Q20" s="23" t="n"/>
      <c r="R20" s="22" t="n"/>
    </row>
    <row r="21" ht="92" customHeight="1" s="14">
      <c r="A21" s="24" t="inlineStr">
        <is>
          <t>2018::jama.2018.14282::C020</t>
        </is>
      </c>
      <c r="B21" s="24" t="inlineStr">
        <is>
          <t>eTable standard-arm invasive-MV percentage does not reconcile</t>
        </is>
      </c>
      <c r="C21" s="24" t="inlineStr">
        <is>
          <t>DOC-003 eTable — PDF p. 2</t>
        </is>
      </c>
      <c r="D21" s="21" t="n"/>
      <c r="E21" s="21" t="inlineStr">
        <is>
          <t>statistical_results</t>
        </is>
      </c>
      <c r="F21" s="21" t="inlineStr">
        <is>
          <t>no</t>
        </is>
      </c>
      <c r="G21" s="24">
        <f>IFERROR(IF(LEN(TRIM(CLEAN(SUBSTITUTE(Setup!$B$2,CHAR(160)," "))))=0,"CHECK REVIEWER ID",IF(OR(A21="",COUNTIF($A$2:$A$29,A21)&lt;&gt;1,COUNTIFS(Decisions!$C$2:$C$120,A21,Decisions!$B$2:$B$120,"jama.2018.14282")&lt;&gt;1),"CHECK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f>IF(AND(OR(D21="retain",D21=""),E21="statistical_results"),"","not_applicable")</f>
        <v/>
      </c>
      <c r="I21" s="21">
        <f>IF(AND(OR(D21="retain",D21=""),E21="statistical_results"),"","not_applicable")</f>
        <v/>
      </c>
      <c r="J21" s="22">
        <f>IF(AND(OR(D21="retain",D21=""),E21="statistical_results"),"","not_applicable")</f>
        <v/>
      </c>
      <c r="K21" s="21">
        <f>IF(AND(OR(D21="retain",D21=""),OR(E21="report_internal_inconsistency",E21="plan_material")),"","not_applicable")</f>
        <v/>
      </c>
      <c r="L21" s="22">
        <f>IF(AND(OR(D21="retain",D21=""),E21="protocol_report"),"","not_applicable")</f>
        <v/>
      </c>
      <c r="M21" s="24" t="n"/>
      <c r="N21" s="23" t="n"/>
      <c r="O21" s="23" t="n"/>
      <c r="P21" s="23" t="n"/>
      <c r="Q21" s="23" t="n"/>
      <c r="R21" s="22" t="n"/>
    </row>
    <row r="22" ht="92" customHeight="1" s="14">
      <c r="A22" s="20" t="inlineStr">
        <is>
          <t>2018::jama.2018.14282::C021</t>
        </is>
      </c>
      <c r="B22" s="20" t="inlineStr">
        <is>
          <t>eTable standard-oxygen-only percentage does not reconcile</t>
        </is>
      </c>
      <c r="C22" s="20" t="inlineStr">
        <is>
          <t>DOC-003 eTable — PDF p. 2</t>
        </is>
      </c>
      <c r="D22" s="21" t="n"/>
      <c r="E22" s="21" t="inlineStr">
        <is>
          <t>statistical_results</t>
        </is>
      </c>
      <c r="F22" s="21" t="inlineStr">
        <is>
          <t>no</t>
        </is>
      </c>
      <c r="G22" s="20">
        <f>IFERROR(IF(LEN(TRIM(CLEAN(SUBSTITUTE(Setup!$B$2,CHAR(160)," "))))=0,"CHECK REVIEWER ID",IF(OR(A22="",COUNTIF($A$2:$A$29,A22)&lt;&gt;1,COUNTIFS(Decisions!$C$2:$C$120,A22,Decisions!$B$2:$B$120,"jama.2018.14282")&lt;&gt;1),"CHECK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f>IF(AND(OR(D22="retain",D22=""),E22="statistical_results"),"","not_applicable")</f>
        <v/>
      </c>
      <c r="I22" s="21">
        <f>IF(AND(OR(D22="retain",D22=""),E22="statistical_results"),"","not_applicable")</f>
        <v/>
      </c>
      <c r="J22" s="22">
        <f>IF(AND(OR(D22="retain",D22=""),E22="statistical_results"),"","not_applicable")</f>
        <v/>
      </c>
      <c r="K22" s="21">
        <f>IF(AND(OR(D22="retain",D22=""),OR(E22="report_internal_inconsistency",E22="plan_material")),"","not_applicable")</f>
        <v/>
      </c>
      <c r="L22" s="22">
        <f>IF(AND(OR(D22="retain",D22=""),E22="protocol_report"),"","not_applicable")</f>
        <v/>
      </c>
      <c r="M22" s="20" t="n"/>
      <c r="N22" s="23" t="n"/>
      <c r="O22" s="23" t="n"/>
      <c r="P22" s="23" t="n"/>
      <c r="Q22" s="23" t="n"/>
      <c r="R22" s="22" t="n"/>
    </row>
    <row r="23" ht="92"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n"/>
      <c r="E23" s="21" t="inlineStr">
        <is>
          <t>statistical_results</t>
        </is>
      </c>
      <c r="F23" s="21" t="inlineStr">
        <is>
          <t>no</t>
        </is>
      </c>
      <c r="G23" s="24">
        <f>IFERROR(IF(LEN(TRIM(CLEAN(SUBSTITUTE(Setup!$B$2,CHAR(160)," "))))=0,"CHECK REVIEWER ID",IF(OR(A23="",COUNTIF($A$2:$A$29,A23)&lt;&gt;1,COUNTIFS(Decisions!$C$2:$C$120,A23,Decisions!$B$2:$B$120,"jama.2018.14282")&lt;&gt;1),"CHECK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f>IF(AND(OR(D23="retain",D23=""),OR(E23="report_internal_inconsistency",E23="plan_material")),"","not_applicable")</f>
        <v/>
      </c>
      <c r="L23" s="22">
        <f>IF(AND(OR(D23="retain",D23=""),E23="protocol_report"),"","not_applicable")</f>
        <v/>
      </c>
      <c r="M23" s="24" t="n"/>
      <c r="N23" s="23" t="n"/>
      <c r="O23" s="23" t="n"/>
      <c r="P23" s="23" t="n"/>
      <c r="Q23" s="23" t="n"/>
      <c r="R23" s="22" t="n"/>
    </row>
    <row r="24" ht="92"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n"/>
      <c r="E24" s="21" t="inlineStr">
        <is>
          <t>report_internal_inconsistency</t>
        </is>
      </c>
      <c r="F24" s="21" t="inlineStr">
        <is>
          <t>no</t>
        </is>
      </c>
      <c r="G24" s="20">
        <f>IFERROR(IF(LEN(TRIM(CLEAN(SUBSTITUTE(Setup!$B$2,CHAR(160)," "))))=0,"CHECK REVIEWER ID",IF(OR(A24="",COUNTIF($A$2:$A$29,A24)&lt;&gt;1,COUNTIFS(Decisions!$C$2:$C$120,A24,Decisions!$B$2:$B$120,"jama.2018.14282")&lt;&gt;1),"CHECK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f>IF(AND(OR(D24="retain",D24=""),E24="protocol_report"),"","not_applicable")</f>
        <v/>
      </c>
      <c r="M24" s="20" t="n"/>
      <c r="N24" s="23" t="n"/>
      <c r="O24" s="23" t="n"/>
      <c r="P24" s="23" t="n"/>
      <c r="Q24" s="23" t="n"/>
      <c r="R24" s="22" t="n"/>
    </row>
    <row r="25" ht="92"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n"/>
      <c r="E25" s="21" t="inlineStr">
        <is>
          <t>report_internal_inconsistency</t>
        </is>
      </c>
      <c r="F25" s="21" t="inlineStr">
        <is>
          <t>no</t>
        </is>
      </c>
      <c r="G25" s="24">
        <f>IFERROR(IF(LEN(TRIM(CLEAN(SUBSTITUTE(Setup!$B$2,CHAR(160)," "))))=0,"CHECK REVIEWER ID",IF(OR(A25="",COUNTIF($A$2:$A$29,A25)&lt;&gt;1,COUNTIFS(Decisions!$C$2:$C$120,A25,Decisions!$B$2:$B$120,"jama.2018.14282")&lt;&gt;1),"CHECK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f>IF(AND(OR(D25="retain",D25=""),E25="statistical_results"),"","not_applicable")</f>
        <v/>
      </c>
      <c r="I25" s="21">
        <f>IF(AND(OR(D25="retain",D25=""),E25="statistical_results"),"","not_applicable")</f>
        <v/>
      </c>
      <c r="J25" s="22">
        <f>IF(AND(OR(D25="retain",D25=""),E25="statistical_results"),"","not_applicable")</f>
        <v/>
      </c>
      <c r="K25" s="21">
        <f>IF(AND(OR(D25="retain",D25=""),OR(E25="report_internal_inconsistency",E25="plan_material")),"","not_applicable")</f>
        <v/>
      </c>
      <c r="L25" s="22">
        <f>IF(AND(OR(D25="retain",D25=""),E25="protocol_report"),"","not_applicable")</f>
        <v/>
      </c>
      <c r="M25" s="24" t="n"/>
      <c r="N25" s="23" t="n"/>
      <c r="O25" s="23" t="n"/>
      <c r="P25" s="23" t="n"/>
      <c r="Q25" s="23" t="n"/>
      <c r="R25" s="22" t="n"/>
    </row>
    <row r="26" ht="92"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n"/>
      <c r="E26" s="21" t="inlineStr">
        <is>
          <t>statistical_results</t>
        </is>
      </c>
      <c r="F26" s="21" t="inlineStr">
        <is>
          <t>no</t>
        </is>
      </c>
      <c r="G26" s="20">
        <f>IFERROR(IF(LEN(TRIM(CLEAN(SUBSTITUTE(Setup!$B$2,CHAR(160)," "))))=0,"CHECK REVIEWER ID",IF(OR(A26="",COUNTIF($A$2:$A$29,A26)&lt;&gt;1,COUNTIFS(Decisions!$C$2:$C$120,A26,Decisions!$B$2:$B$120,"jama.2018.14282")&lt;&gt;1),"CHECK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f>IF(AND(OR(D26="retain",D26=""),E26="statistical_results"),"","not_applicable")</f>
        <v/>
      </c>
      <c r="I26" s="21">
        <f>IF(AND(OR(D26="retain",D26=""),E26="statistical_results"),"","not_applicable")</f>
        <v/>
      </c>
      <c r="J26" s="22">
        <f>IF(AND(OR(D26="retain",D26=""),E26="statistical_results"),"","not_applicable")</f>
        <v/>
      </c>
      <c r="K26" s="21">
        <f>IF(AND(OR(D26="retain",D26=""),OR(E26="report_internal_inconsistency",E26="plan_material")),"","not_applicable")</f>
        <v/>
      </c>
      <c r="L26" s="22">
        <f>IF(AND(OR(D26="retain",D26=""),E26="protocol_report"),"","not_applicable")</f>
        <v/>
      </c>
      <c r="M26" s="20" t="n"/>
      <c r="N26" s="23" t="n"/>
      <c r="O26" s="23" t="n"/>
      <c r="P26" s="23" t="n"/>
      <c r="Q26" s="23" t="n"/>
      <c r="R26" s="22" t="n"/>
    </row>
    <row r="27" ht="92" customHeight="1" s="14">
      <c r="A27" s="24" t="inlineStr">
        <is>
          <t>2018::jama.2018.14282::C026</t>
        </is>
      </c>
      <c r="B27" s="24" t="inlineStr">
        <is>
          <t>Noninferiority bound/sign wording conflicts with its explanatory axis</t>
        </is>
      </c>
      <c r="C27" s="24" t="inlineStr">
        <is>
          <t>DOC-002 Figure 4 — PDF p. 40; DOC-002 — PDF p. 42</t>
        </is>
      </c>
      <c r="D27" s="21" t="n"/>
      <c r="E27" s="21" t="inlineStr">
        <is>
          <t>plan_material</t>
        </is>
      </c>
      <c r="F27" s="21" t="inlineStr">
        <is>
          <t>no</t>
        </is>
      </c>
      <c r="G27" s="24">
        <f>IFERROR(IF(LEN(TRIM(CLEAN(SUBSTITUTE(Setup!$B$2,CHAR(160)," "))))=0,"CHECK REVIEWER ID",IF(OR(A27="",COUNTIF($A$2:$A$29,A27)&lt;&gt;1,COUNTIFS(Decisions!$C$2:$C$120,A27,Decisions!$B$2:$B$120,"jama.2018.14282")&lt;&gt;1),"CHECK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f>IF(AND(OR(D27="retain",D27=""),OR(E27="report_internal_inconsistency",E27="plan_material")),"","not_applicable")</f>
        <v/>
      </c>
      <c r="L27" s="22">
        <f>IF(AND(OR(D27="retain",D27=""),E27="protocol_report"),"","not_applicable")</f>
        <v/>
      </c>
      <c r="M27" s="24" t="n"/>
      <c r="N27" s="23" t="n"/>
      <c r="O27" s="23" t="n"/>
      <c r="P27" s="23" t="n"/>
      <c r="Q27" s="23" t="n"/>
      <c r="R27" s="22" t="n"/>
    </row>
    <row r="28" ht="92" customHeight="1" s="14">
      <c r="A28" s="20" t="inlineStr">
        <is>
          <t>2018::jama.2018.14282::C027</t>
        </is>
      </c>
      <c r="B28" s="20" t="inlineStr">
        <is>
          <t>Primary-hypothesis intervention is labelled NIV while plans identify HFNO</t>
        </is>
      </c>
      <c r="C28" s="20" t="inlineStr">
        <is>
          <t>DOC-002 — PDF p. 52; DOC-002 — PDF p. 104</t>
        </is>
      </c>
      <c r="D28" s="21" t="n"/>
      <c r="E28" s="21" t="inlineStr">
        <is>
          <t>plan_material</t>
        </is>
      </c>
      <c r="F28" s="21" t="inlineStr">
        <is>
          <t>no</t>
        </is>
      </c>
      <c r="G28" s="20">
        <f>IFERROR(IF(LEN(TRIM(CLEAN(SUBSTITUTE(Setup!$B$2,CHAR(160)," "))))=0,"CHECK REVIEWER ID",IF(OR(A28="",COUNTIF($A$2:$A$29,A28)&lt;&gt;1,COUNTIFS(Decisions!$C$2:$C$120,A28,Decisions!$B$2:$B$120,"jama.2018.14282")&lt;&gt;1),"CHECK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f>IF(AND(OR(D28="retain",D28=""),OR(E28="report_internal_inconsistency",E28="plan_material")),"","not_applicable")</f>
        <v/>
      </c>
      <c r="L28" s="22">
        <f>IF(AND(OR(D28="retain",D28=""),E28="protocol_report"),"","not_applicable")</f>
        <v/>
      </c>
      <c r="M28" s="20" t="n"/>
      <c r="N28" s="23" t="n"/>
      <c r="O28" s="23" t="n"/>
      <c r="P28" s="23" t="n"/>
      <c r="Q28" s="23" t="n"/>
      <c r="R28" s="22" t="n"/>
    </row>
    <row r="29" ht="92"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n"/>
      <c r="E29" s="21" t="inlineStr">
        <is>
          <t>plan_material</t>
        </is>
      </c>
      <c r="F29" s="21" t="inlineStr">
        <is>
          <t>no</t>
        </is>
      </c>
      <c r="G29" s="24">
        <f>IFERROR(IF(LEN(TRIM(CLEAN(SUBSTITUTE(Setup!$B$2,CHAR(160)," "))))=0,"CHECK REVIEWER ID",IF(OR(A29="",COUNTIF($A$2:$A$29,A29)&lt;&gt;1,COUNTIFS(Decisions!$C$2:$C$120,A29,Decisions!$B$2:$B$120,"jama.2018.14282")&lt;&gt;1),"CHECK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f>IF(AND(OR(D29="retain",D29=""),OR(E29="report_internal_inconsistency",E29="plan_material")),"","not_applicable")</f>
        <v/>
      </c>
      <c r="L29" s="22">
        <f>IF(AND(OR(D29="retain",D29=""),E29="protocol_report"),"","not_applicable")</f>
        <v/>
      </c>
      <c r="M29" s="24" t="n"/>
      <c r="N29" s="23" t="n"/>
      <c r="O29" s="23" t="n"/>
      <c r="P29" s="23" t="n"/>
      <c r="Q29" s="23" t="n"/>
      <c r="R29" s="22" t="n"/>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178"/>
    <hyperlink ref="A3" location="'Evidence'!A182"/>
    <hyperlink ref="A4" location="'Evidence'!A186"/>
    <hyperlink ref="A5" location="'Evidence'!A190"/>
    <hyperlink ref="A6" location="'Evidence'!A194"/>
    <hyperlink ref="A7" location="'Evidence'!A198"/>
    <hyperlink ref="A8" location="'Evidence'!A202"/>
    <hyperlink ref="A9" location="'Evidence'!A206"/>
    <hyperlink ref="A10" location="'Evidence'!A210"/>
    <hyperlink ref="A11" location="'Evidence'!A214"/>
    <hyperlink ref="A12" location="'Evidence'!A218"/>
    <hyperlink ref="A13" location="'Evidence'!A222"/>
    <hyperlink ref="A14" location="'Evidence'!A226"/>
    <hyperlink ref="A15" location="'Evidence'!A230"/>
    <hyperlink ref="A16" location="'Evidence'!A234"/>
    <hyperlink ref="A17" location="'Evidence'!A238"/>
    <hyperlink ref="A18" location="'Evidence'!A242"/>
    <hyperlink ref="A19" location="'Evidence'!A246"/>
    <hyperlink ref="A20" location="'Evidence'!A250"/>
    <hyperlink ref="A21" location="'Evidence'!A254"/>
    <hyperlink ref="A22" location="'Evidence'!A258"/>
    <hyperlink ref="A23" location="'Evidence'!A262"/>
    <hyperlink ref="A24" location="'Evidence'!A266"/>
    <hyperlink ref="A25" location="'Evidence'!A270"/>
    <hyperlink ref="A26" location="'Evidence'!A274"/>
    <hyperlink ref="A27" location="'Evidence'!A278"/>
    <hyperlink ref="A28" location="'Evidence'!A282"/>
    <hyperlink ref="A29" location="'Evidence'!A286"/>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n"/>
      <c r="E2" s="21" t="inlineStr">
        <is>
          <t>statistical_results</t>
        </is>
      </c>
      <c r="F2" s="21" t="inlineStr">
        <is>
          <t>no</t>
        </is>
      </c>
      <c r="G2" s="20">
        <f>IFERROR(IF(LEN(TRIM(CLEAN(SUBSTITUTE(Setup!$B$2,CHAR(160)," "))))=0,"CHECK REVIEWER ID",IF(OR(A2="",COUNTIF($A$2:$A$9,A2)&lt;&gt;1,COUNTIFS(Decisions!$C$2:$C$120,A2,Decisions!$B$2:$B$120,"jama.2018.17075")&lt;&gt;1),"CHECK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n"/>
      <c r="E3" s="21" t="inlineStr">
        <is>
          <t>report_internal_inconsistency</t>
        </is>
      </c>
      <c r="F3" s="21" t="inlineStr">
        <is>
          <t>no</t>
        </is>
      </c>
      <c r="G3" s="24">
        <f>IFERROR(IF(LEN(TRIM(CLEAN(SUBSTITUTE(Setup!$B$2,CHAR(160)," "))))=0,"CHECK REVIEWER ID",IF(OR(A3="",COUNTIF($A$2:$A$9,A3)&lt;&gt;1,COUNTIFS(Decisions!$C$2:$C$120,A3,Decisions!$B$2:$B$120,"jama.2018.17075")&lt;&gt;1),"CHECK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n"/>
      <c r="E4" s="21" t="inlineStr">
        <is>
          <t>statistical_results</t>
        </is>
      </c>
      <c r="F4" s="21" t="inlineStr">
        <is>
          <t>no</t>
        </is>
      </c>
      <c r="G4" s="20">
        <f>IFERROR(IF(LEN(TRIM(CLEAN(SUBSTITUTE(Setup!$B$2,CHAR(160)," "))))=0,"CHECK REVIEWER ID",IF(OR(A4="",COUNTIF($A$2:$A$9,A4)&lt;&gt;1,COUNTIFS(Decisions!$C$2:$C$120,A4,Decisions!$B$2:$B$120,"jama.2018.17075")&lt;&gt;1),"CHECK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n"/>
      <c r="E5" s="21" t="inlineStr">
        <is>
          <t>statistical_results</t>
        </is>
      </c>
      <c r="F5" s="21" t="inlineStr">
        <is>
          <t>no</t>
        </is>
      </c>
      <c r="G5" s="24">
        <f>IFERROR(IF(LEN(TRIM(CLEAN(SUBSTITUTE(Setup!$B$2,CHAR(160)," "))))=0,"CHECK REVIEWER ID",IF(OR(A5="",COUNTIF($A$2:$A$9,A5)&lt;&gt;1,COUNTIFS(Decisions!$C$2:$C$120,A5,Decisions!$B$2:$B$120,"jama.2018.17075")&lt;&gt;1),"CHECK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n"/>
      <c r="E6" s="21" t="inlineStr">
        <is>
          <t>report_internal_inconsistency</t>
        </is>
      </c>
      <c r="F6" s="21" t="inlineStr">
        <is>
          <t>no</t>
        </is>
      </c>
      <c r="G6" s="20">
        <f>IFERROR(IF(LEN(TRIM(CLEAN(SUBSTITUTE(Setup!$B$2,CHAR(160)," "))))=0,"CHECK REVIEWER ID",IF(OR(A6="",COUNTIF($A$2:$A$9,A6)&lt;&gt;1,COUNTIFS(Decisions!$C$2:$C$120,A6,Decisions!$B$2:$B$120,"jama.2018.17075")&lt;&gt;1),"CHECK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n"/>
      <c r="E7" s="21" t="inlineStr">
        <is>
          <t>report_internal_inconsistency</t>
        </is>
      </c>
      <c r="F7" s="21" t="inlineStr">
        <is>
          <t>no</t>
        </is>
      </c>
      <c r="G7" s="24">
        <f>IFERROR(IF(LEN(TRIM(CLEAN(SUBSTITUTE(Setup!$B$2,CHAR(160)," "))))=0,"CHECK REVIEWER ID",IF(OR(A7="",COUNTIF($A$2:$A$9,A7)&lt;&gt;1,COUNTIFS(Decisions!$C$2:$C$120,A7,Decisions!$B$2:$B$120,"jama.2018.17075")&lt;&gt;1),"CHECK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n"/>
      <c r="E8" s="21" t="inlineStr">
        <is>
          <t>statistical_results</t>
        </is>
      </c>
      <c r="F8" s="21" t="inlineStr">
        <is>
          <t>no</t>
        </is>
      </c>
      <c r="G8" s="20">
        <f>IFERROR(IF(LEN(TRIM(CLEAN(SUBSTITUTE(Setup!$B$2,CHAR(160)," "))))=0,"CHECK REVIEWER ID",IF(OR(A8="",COUNTIF($A$2:$A$9,A8)&lt;&gt;1,COUNTIFS(Decisions!$C$2:$C$120,A8,Decisions!$B$2:$B$120,"jama.2018.17075")&lt;&gt;1),"CHECK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n"/>
      <c r="E9" s="21" t="inlineStr">
        <is>
          <t>statistical_results</t>
        </is>
      </c>
      <c r="F9" s="21" t="inlineStr">
        <is>
          <t>no</t>
        </is>
      </c>
      <c r="G9" s="24">
        <f>IFERROR(IF(LEN(TRIM(CLEAN(SUBSTITUTE(Setup!$B$2,CHAR(160)," "))))=0,"CHECK REVIEWER ID",IF(OR(A9="",COUNTIF($A$2:$A$9,A9)&lt;&gt;1,COUNTIFS(Decisions!$C$2:$C$120,A9,Decisions!$B$2:$B$120,"jama.2018.17075")&lt;&gt;1),"CHECK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290"/>
    <hyperlink ref="A3" location="'Evidence'!A294"/>
    <hyperlink ref="A4" location="'Evidence'!A298"/>
    <hyperlink ref="A5" location="'Evidence'!A302"/>
    <hyperlink ref="A6" location="'Evidence'!A306"/>
    <hyperlink ref="A7" location="'Evidence'!A310"/>
    <hyperlink ref="A8" location="'Evidence'!A314"/>
    <hyperlink ref="A9" location="'Evidence'!A318"/>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1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n"/>
      <c r="E2" s="21" t="inlineStr">
        <is>
          <t>statistical_results</t>
        </is>
      </c>
      <c r="F2" s="21" t="inlineStr">
        <is>
          <t>no</t>
        </is>
      </c>
      <c r="G2" s="20">
        <f>IFERROR(IF(LEN(TRIM(CLEAN(SUBSTITUTE(Setup!$B$2,CHAR(160)," "))))=0,"CHECK REVIEWER ID",IF(OR(A2="",COUNTIF($A$2:$A$15,A2)&lt;&gt;1,COUNTIFS(Decisions!$C$2:$C$120,A2,Decisions!$B$2:$B$120,"jama.2018.18020")&lt;&gt;1),"CHECK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n"/>
      <c r="E3" s="21" t="inlineStr">
        <is>
          <t>report_internal_inconsistency</t>
        </is>
      </c>
      <c r="F3" s="21" t="inlineStr">
        <is>
          <t>no</t>
        </is>
      </c>
      <c r="G3" s="24">
        <f>IFERROR(IF(LEN(TRIM(CLEAN(SUBSTITUTE(Setup!$B$2,CHAR(160)," "))))=0,"CHECK REVIEWER ID",IF(OR(A3="",COUNTIF($A$2:$A$15,A3)&lt;&gt;1,COUNTIFS(Decisions!$C$2:$C$120,A3,Decisions!$B$2:$B$120,"jama.2018.18020")&lt;&gt;1),"CHECK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n"/>
      <c r="E4" s="21" t="inlineStr">
        <is>
          <t>report_internal_inconsistency</t>
        </is>
      </c>
      <c r="F4" s="21" t="inlineStr">
        <is>
          <t>no</t>
        </is>
      </c>
      <c r="G4" s="20">
        <f>IFERROR(IF(LEN(TRIM(CLEAN(SUBSTITUTE(Setup!$B$2,CHAR(160)," "))))=0,"CHECK REVIEWER ID",IF(OR(A4="",COUNTIF($A$2:$A$15,A4)&lt;&gt;1,COUNTIFS(Decisions!$C$2:$C$120,A4,Decisions!$B$2:$B$120,"jama.2018.18020")&lt;&gt;1),"CHECK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n"/>
      <c r="E5" s="21" t="inlineStr">
        <is>
          <t>statistical_results</t>
        </is>
      </c>
      <c r="F5" s="21" t="inlineStr">
        <is>
          <t>no</t>
        </is>
      </c>
      <c r="G5" s="24">
        <f>IFERROR(IF(LEN(TRIM(CLEAN(SUBSTITUTE(Setup!$B$2,CHAR(160)," "))))=0,"CHECK REVIEWER ID",IF(OR(A5="",COUNTIF($A$2:$A$15,A5)&lt;&gt;1,COUNTIFS(Decisions!$C$2:$C$120,A5,Decisions!$B$2:$B$120,"jama.2018.18020")&lt;&gt;1),"CHECK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n"/>
      <c r="E6" s="21" t="inlineStr">
        <is>
          <t>report_internal_inconsistency</t>
        </is>
      </c>
      <c r="F6" s="21" t="inlineStr">
        <is>
          <t>no</t>
        </is>
      </c>
      <c r="G6" s="20">
        <f>IFERROR(IF(LEN(TRIM(CLEAN(SUBSTITUTE(Setup!$B$2,CHAR(160)," "))))=0,"CHECK REVIEWER ID",IF(OR(A6="",COUNTIF($A$2:$A$15,A6)&lt;&gt;1,COUNTIFS(Decisions!$C$2:$C$120,A6,Decisions!$B$2:$B$120,"jama.2018.18020")&lt;&gt;1),"CHECK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n"/>
      <c r="E7" s="21" t="inlineStr">
        <is>
          <t>report_internal_inconsistency</t>
        </is>
      </c>
      <c r="F7" s="21" t="inlineStr">
        <is>
          <t>no</t>
        </is>
      </c>
      <c r="G7" s="24">
        <f>IFERROR(IF(LEN(TRIM(CLEAN(SUBSTITUTE(Setup!$B$2,CHAR(160)," "))))=0,"CHECK REVIEWER ID",IF(OR(A7="",COUNTIF($A$2:$A$15,A7)&lt;&gt;1,COUNTIFS(Decisions!$C$2:$C$120,A7,Decisions!$B$2:$B$120,"jama.2018.18020")&lt;&gt;1),"CHECK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n"/>
      <c r="E8" s="21" t="inlineStr">
        <is>
          <t>report_internal_inconsistency</t>
        </is>
      </c>
      <c r="F8" s="21" t="inlineStr">
        <is>
          <t>no</t>
        </is>
      </c>
      <c r="G8" s="20">
        <f>IFERROR(IF(LEN(TRIM(CLEAN(SUBSTITUTE(Setup!$B$2,CHAR(160)," "))))=0,"CHECK REVIEWER ID",IF(OR(A8="",COUNTIF($A$2:$A$15,A8)&lt;&gt;1,COUNTIFS(Decisions!$C$2:$C$120,A8,Decisions!$B$2:$B$120,"jama.2018.18020")&lt;&gt;1),"CHECK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n"/>
      <c r="E9" s="21" t="inlineStr">
        <is>
          <t>report_internal_inconsistency</t>
        </is>
      </c>
      <c r="F9" s="21" t="inlineStr">
        <is>
          <t>no</t>
        </is>
      </c>
      <c r="G9" s="24">
        <f>IFERROR(IF(LEN(TRIM(CLEAN(SUBSTITUTE(Setup!$B$2,CHAR(160)," "))))=0,"CHECK REVIEWER ID",IF(OR(A9="",COUNTIF($A$2:$A$15,A9)&lt;&gt;1,COUNTIFS(Decisions!$C$2:$C$120,A9,Decisions!$B$2:$B$120,"jama.2018.18020")&lt;&gt;1),"CHECK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n"/>
      <c r="E10" s="21" t="inlineStr">
        <is>
          <t>statistical_results</t>
        </is>
      </c>
      <c r="F10" s="21" t="inlineStr">
        <is>
          <t>no</t>
        </is>
      </c>
      <c r="G10" s="20">
        <f>IFERROR(IF(LEN(TRIM(CLEAN(SUBSTITUTE(Setup!$B$2,CHAR(160)," "))))=0,"CHECK REVIEWER ID",IF(OR(A10="",COUNTIF($A$2:$A$15,A10)&lt;&gt;1,COUNTIFS(Decisions!$C$2:$C$120,A10,Decisions!$B$2:$B$120,"jama.2018.18020")&lt;&gt;1),"CHECK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n"/>
      <c r="E11" s="21" t="inlineStr">
        <is>
          <t>statistical_results</t>
        </is>
      </c>
      <c r="F11" s="21" t="inlineStr">
        <is>
          <t>no</t>
        </is>
      </c>
      <c r="G11" s="24">
        <f>IFERROR(IF(LEN(TRIM(CLEAN(SUBSTITUTE(Setup!$B$2,CHAR(160)," "))))=0,"CHECK REVIEWER ID",IF(OR(A11="",COUNTIF($A$2:$A$15,A11)&lt;&gt;1,COUNTIFS(Decisions!$C$2:$C$120,A11,Decisions!$B$2:$B$120,"jama.2018.18020")&lt;&gt;1),"CHECK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n"/>
      <c r="E12" s="21" t="inlineStr">
        <is>
          <t>statistical_results</t>
        </is>
      </c>
      <c r="F12" s="21" t="inlineStr">
        <is>
          <t>no</t>
        </is>
      </c>
      <c r="G12" s="20">
        <f>IFERROR(IF(LEN(TRIM(CLEAN(SUBSTITUTE(Setup!$B$2,CHAR(160)," "))))=0,"CHECK REVIEWER ID",IF(OR(A12="",COUNTIF($A$2:$A$15,A12)&lt;&gt;1,COUNTIFS(Decisions!$C$2:$C$120,A12,Decisions!$B$2:$B$120,"jama.2018.18020")&lt;&gt;1),"CHECK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n"/>
      <c r="E13" s="21" t="inlineStr">
        <is>
          <t>statistical_results</t>
        </is>
      </c>
      <c r="F13" s="21" t="inlineStr">
        <is>
          <t>no</t>
        </is>
      </c>
      <c r="G13" s="24">
        <f>IFERROR(IF(LEN(TRIM(CLEAN(SUBSTITUTE(Setup!$B$2,CHAR(160)," "))))=0,"CHECK REVIEWER ID",IF(OR(A13="",COUNTIF($A$2:$A$15,A13)&lt;&gt;1,COUNTIFS(Decisions!$C$2:$C$120,A13,Decisions!$B$2:$B$120,"jama.2018.18020")&lt;&gt;1),"CHECK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n"/>
      <c r="E14" s="21" t="inlineStr">
        <is>
          <t>statistical_results</t>
        </is>
      </c>
      <c r="F14" s="21" t="inlineStr">
        <is>
          <t>no</t>
        </is>
      </c>
      <c r="G14" s="20">
        <f>IFERROR(IF(LEN(TRIM(CLEAN(SUBSTITUTE(Setup!$B$2,CHAR(160)," "))))=0,"CHECK REVIEWER ID",IF(OR(A14="",COUNTIF($A$2:$A$15,A14)&lt;&gt;1,COUNTIFS(Decisions!$C$2:$C$120,A14,Decisions!$B$2:$B$120,"jama.2018.18020")&lt;&gt;1),"CHECK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row r="15" ht="92"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n"/>
      <c r="E15" s="21" t="inlineStr">
        <is>
          <t>statistical_results</t>
        </is>
      </c>
      <c r="F15" s="21" t="inlineStr">
        <is>
          <t>no</t>
        </is>
      </c>
      <c r="G15" s="24">
        <f>IFERROR(IF(LEN(TRIM(CLEAN(SUBSTITUTE(Setup!$B$2,CHAR(160)," "))))=0,"CHECK REVIEWER ID",IF(OR(A15="",COUNTIF($A$2:$A$15,A15)&lt;&gt;1,COUNTIFS(Decisions!$C$2:$C$120,A15,Decisions!$B$2:$B$120,"jama.2018.18020")&lt;&gt;1),"CHECK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n"/>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22"/>
    <hyperlink ref="A3" location="'Evidence'!A326"/>
    <hyperlink ref="A4" location="'Evidence'!A330"/>
    <hyperlink ref="A5" location="'Evidence'!A334"/>
    <hyperlink ref="A6" location="'Evidence'!A338"/>
    <hyperlink ref="A7" location="'Evidence'!A342"/>
    <hyperlink ref="A8" location="'Evidence'!A346"/>
    <hyperlink ref="A9" location="'Evidence'!A350"/>
    <hyperlink ref="A10" location="'Evidence'!A354"/>
    <hyperlink ref="A11" location="'Evidence'!A358"/>
    <hyperlink ref="A12" location="'Evidence'!A362"/>
    <hyperlink ref="A13" location="'Evidence'!A366"/>
    <hyperlink ref="A14" location="'Evidence'!A370"/>
    <hyperlink ref="A15" location="'Evidence'!A374"/>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n"/>
      <c r="E2" s="21" t="inlineStr">
        <is>
          <t>statistical_results</t>
        </is>
      </c>
      <c r="F2" s="21" t="inlineStr">
        <is>
          <t>no</t>
        </is>
      </c>
      <c r="G2" s="20">
        <f>IFERROR(IF(LEN(TRIM(CLEAN(SUBSTITUTE(Setup!$B$2,CHAR(160)," "))))=0,"CHECK REVIEWER ID",IF(OR(A2="",COUNTIF($A$2:$A$5,A2)&lt;&gt;1,COUNTIFS(Decisions!$C$2:$C$120,A2,Decisions!$B$2:$B$120,"jama.2018.6496")&lt;&gt;1),"CHECK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n"/>
      <c r="E3" s="21" t="inlineStr">
        <is>
          <t>statistical_results</t>
        </is>
      </c>
      <c r="F3" s="21" t="inlineStr">
        <is>
          <t>no</t>
        </is>
      </c>
      <c r="G3" s="24">
        <f>IFERROR(IF(LEN(TRIM(CLEAN(SUBSTITUTE(Setup!$B$2,CHAR(160)," "))))=0,"CHECK REVIEWER ID",IF(OR(A3="",COUNTIF($A$2:$A$5,A3)&lt;&gt;1,COUNTIFS(Decisions!$C$2:$C$120,A3,Decisions!$B$2:$B$120,"jama.2018.6496")&lt;&gt;1),"CHECK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n"/>
      <c r="E4" s="21" t="inlineStr">
        <is>
          <t>protocol_report</t>
        </is>
      </c>
      <c r="F4" s="21" t="inlineStr">
        <is>
          <t>no</t>
        </is>
      </c>
      <c r="G4" s="20">
        <f>IFERROR(IF(LEN(TRIM(CLEAN(SUBSTITUTE(Setup!$B$2,CHAR(160)," "))))=0,"CHECK REVIEWER ID",IF(OR(A4="",COUNTIF($A$2:$A$5,A4)&lt;&gt;1,COUNTIFS(Decisions!$C$2:$C$120,A4,Decisions!$B$2:$B$120,"jama.2018.6496")&lt;&gt;1),"CHECK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n"/>
      <c r="E5" s="21" t="inlineStr">
        <is>
          <t>protocol_report</t>
        </is>
      </c>
      <c r="F5" s="21" t="inlineStr">
        <is>
          <t>no</t>
        </is>
      </c>
      <c r="G5" s="24">
        <f>IFERROR(IF(LEN(TRIM(CLEAN(SUBSTITUTE(Setup!$B$2,CHAR(160)," "))))=0,"CHECK REVIEWER ID",IF(OR(A5="",COUNTIF($A$2:$A$5,A5)&lt;&gt;1,COUNTIFS(Decisions!$C$2:$C$120,A5,Decisions!$B$2:$B$120,"jama.2018.6496")&lt;&gt;1),"CHECK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78"/>
    <hyperlink ref="A3" location="'Evidence'!A382"/>
    <hyperlink ref="A4" location="'Evidence'!A386"/>
    <hyperlink ref="A5" location="'Evidence'!A390"/>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n"/>
      <c r="E2" s="21" t="inlineStr">
        <is>
          <t>statistical_results</t>
        </is>
      </c>
      <c r="F2" s="21" t="inlineStr">
        <is>
          <t>no</t>
        </is>
      </c>
      <c r="G2" s="20">
        <f>IFERROR(IF(LEN(TRIM(CLEAN(SUBSTITUTE(Setup!$B$2,CHAR(160)," "))))=0,"CHECK REVIEWER ID",IF(OR(A2="",COUNTIF($A$2:$A$9,A2)&lt;&gt;1,COUNTIFS(Decisions!$C$2:$C$120,A2,Decisions!$B$2:$B$120,"jama.2018.8802")&lt;&gt;1),"CHECK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n"/>
      <c r="E3" s="21" t="inlineStr">
        <is>
          <t>protocol_report</t>
        </is>
      </c>
      <c r="F3" s="21" t="inlineStr">
        <is>
          <t>no</t>
        </is>
      </c>
      <c r="G3" s="24">
        <f>IFERROR(IF(LEN(TRIM(CLEAN(SUBSTITUTE(Setup!$B$2,CHAR(160)," "))))=0,"CHECK REVIEWER ID",IF(OR(A3="",COUNTIF($A$2:$A$9,A3)&lt;&gt;1,COUNTIFS(Decisions!$C$2:$C$120,A3,Decisions!$B$2:$B$120,"jama.2018.8802")&lt;&gt;1),"CHECK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n"/>
      <c r="E4" s="21" t="inlineStr">
        <is>
          <t>statistical_results</t>
        </is>
      </c>
      <c r="F4" s="21" t="inlineStr">
        <is>
          <t>no</t>
        </is>
      </c>
      <c r="G4" s="20">
        <f>IFERROR(IF(LEN(TRIM(CLEAN(SUBSTITUTE(Setup!$B$2,CHAR(160)," "))))=0,"CHECK REVIEWER ID",IF(OR(A4="",COUNTIF($A$2:$A$9,A4)&lt;&gt;1,COUNTIFS(Decisions!$C$2:$C$120,A4,Decisions!$B$2:$B$120,"jama.2018.8802")&lt;&gt;1),"CHECK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n"/>
      <c r="E5" s="21" t="inlineStr">
        <is>
          <t>statistical_results</t>
        </is>
      </c>
      <c r="F5" s="21" t="inlineStr">
        <is>
          <t>no</t>
        </is>
      </c>
      <c r="G5" s="24">
        <f>IFERROR(IF(LEN(TRIM(CLEAN(SUBSTITUTE(Setup!$B$2,CHAR(160)," "))))=0,"CHECK REVIEWER ID",IF(OR(A5="",COUNTIF($A$2:$A$9,A5)&lt;&gt;1,COUNTIFS(Decisions!$C$2:$C$120,A5,Decisions!$B$2:$B$120,"jama.2018.8802")&lt;&gt;1),"CHECK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n"/>
      <c r="E6" s="21" t="inlineStr">
        <is>
          <t>statistical_results</t>
        </is>
      </c>
      <c r="F6" s="21" t="inlineStr">
        <is>
          <t>no</t>
        </is>
      </c>
      <c r="G6" s="20">
        <f>IFERROR(IF(LEN(TRIM(CLEAN(SUBSTITUTE(Setup!$B$2,CHAR(160)," "))))=0,"CHECK REVIEWER ID",IF(OR(A6="",COUNTIF($A$2:$A$9,A6)&lt;&gt;1,COUNTIFS(Decisions!$C$2:$C$120,A6,Decisions!$B$2:$B$120,"jama.2018.8802")&lt;&gt;1),"CHECK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n"/>
      <c r="E7" s="21" t="inlineStr">
        <is>
          <t>statistical_results</t>
        </is>
      </c>
      <c r="F7" s="21" t="inlineStr">
        <is>
          <t>no</t>
        </is>
      </c>
      <c r="G7" s="24">
        <f>IFERROR(IF(LEN(TRIM(CLEAN(SUBSTITUTE(Setup!$B$2,CHAR(160)," "))))=0,"CHECK REVIEWER ID",IF(OR(A7="",COUNTIF($A$2:$A$9,A7)&lt;&gt;1,COUNTIFS(Decisions!$C$2:$C$120,A7,Decisions!$B$2:$B$120,"jama.2018.8802")&lt;&gt;1),"CHECK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n"/>
      <c r="E8" s="21" t="inlineStr">
        <is>
          <t>report_internal_inconsistency</t>
        </is>
      </c>
      <c r="F8" s="21" t="inlineStr">
        <is>
          <t>no</t>
        </is>
      </c>
      <c r="G8" s="20">
        <f>IFERROR(IF(LEN(TRIM(CLEAN(SUBSTITUTE(Setup!$B$2,CHAR(160)," "))))=0,"CHECK REVIEWER ID",IF(OR(A8="",COUNTIF($A$2:$A$9,A8)&lt;&gt;1,COUNTIFS(Decisions!$C$2:$C$120,A8,Decisions!$B$2:$B$120,"jama.2018.8802")&lt;&gt;1),"CHECK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n"/>
      <c r="E9" s="21" t="inlineStr">
        <is>
          <t>statistical_results</t>
        </is>
      </c>
      <c r="F9" s="21" t="inlineStr">
        <is>
          <t>no</t>
        </is>
      </c>
      <c r="G9" s="24">
        <f>IFERROR(IF(LEN(TRIM(CLEAN(SUBSTITUTE(Setup!$B$2,CHAR(160)," "))))=0,"CHECK REVIEWER ID",IF(OR(A9="",COUNTIF($A$2:$A$9,A9)&lt;&gt;1,COUNTIFS(Decisions!$C$2:$C$120,A9,Decisions!$B$2:$B$120,"jama.2018.8802")&lt;&gt;1),"CHECK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394"/>
    <hyperlink ref="A3" location="'Evidence'!A398"/>
    <hyperlink ref="A4" location="'Evidence'!A402"/>
    <hyperlink ref="A5" location="'Evidence'!A406"/>
    <hyperlink ref="A6" location="'Evidence'!A410"/>
    <hyperlink ref="A7" location="'Evidence'!A414"/>
    <hyperlink ref="A8" location="'Evidence'!A418"/>
    <hyperlink ref="A9" location="'Evidence'!A422"/>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n"/>
      <c r="E2" s="21" t="inlineStr">
        <is>
          <t>report_internal_inconsistency</t>
        </is>
      </c>
      <c r="F2" s="21" t="inlineStr">
        <is>
          <t>no</t>
        </is>
      </c>
      <c r="G2" s="20">
        <f>IFERROR(IF(LEN(TRIM(CLEAN(SUBSTITUTE(Setup!$B$2,CHAR(160)," "))))=0,"CHECK REVIEWER ID",IF(OR(A2="",COUNTIF($A$2:$A$14,A2)&lt;&gt;1,COUNTIFS(Decisions!$C$2:$C$120,A2,Decisions!$B$2:$B$120,"jama.2018.9128")&lt;&gt;1),"CHECK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t="n"/>
    </row>
    <row r="3" ht="92"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n"/>
      <c r="E3" s="21" t="inlineStr">
        <is>
          <t>report_internal_inconsistency</t>
        </is>
      </c>
      <c r="F3" s="21" t="inlineStr">
        <is>
          <t>no</t>
        </is>
      </c>
      <c r="G3" s="24">
        <f>IFERROR(IF(LEN(TRIM(CLEAN(SUBSTITUTE(Setup!$B$2,CHAR(160)," "))))=0,"CHECK REVIEWER ID",IF(OR(A3="",COUNTIF($A$2:$A$14,A3)&lt;&gt;1,COUNTIFS(Decisions!$C$2:$C$120,A3,Decisions!$B$2:$B$120,"jama.2018.9128")&lt;&gt;1),"CHECK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n"/>
    </row>
    <row r="4" ht="92"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n"/>
      <c r="E4" s="21" t="inlineStr">
        <is>
          <t>report_internal_inconsistency</t>
        </is>
      </c>
      <c r="F4" s="21" t="inlineStr">
        <is>
          <t>no</t>
        </is>
      </c>
      <c r="G4" s="20">
        <f>IFERROR(IF(LEN(TRIM(CLEAN(SUBSTITUTE(Setup!$B$2,CHAR(160)," "))))=0,"CHECK REVIEWER ID",IF(OR(A4="",COUNTIF($A$2:$A$14,A4)&lt;&gt;1,COUNTIFS(Decisions!$C$2:$C$120,A4,Decisions!$B$2:$B$120,"jama.2018.9128")&lt;&gt;1),"CHECK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n"/>
    </row>
    <row r="5" ht="92"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n"/>
      <c r="E5" s="21" t="inlineStr">
        <is>
          <t>report_internal_inconsistency</t>
        </is>
      </c>
      <c r="F5" s="21" t="inlineStr">
        <is>
          <t>no</t>
        </is>
      </c>
      <c r="G5" s="24">
        <f>IFERROR(IF(LEN(TRIM(CLEAN(SUBSTITUTE(Setup!$B$2,CHAR(160)," "))))=0,"CHECK REVIEWER ID",IF(OR(A5="",COUNTIF($A$2:$A$14,A5)&lt;&gt;1,COUNTIFS(Decisions!$C$2:$C$120,A5,Decisions!$B$2:$B$120,"jama.2018.9128")&lt;&gt;1),"CHECK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n"/>
    </row>
    <row r="6" ht="92"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n"/>
      <c r="E6" s="21" t="inlineStr">
        <is>
          <t>report_internal_inconsistency</t>
        </is>
      </c>
      <c r="F6" s="21" t="inlineStr">
        <is>
          <t>no</t>
        </is>
      </c>
      <c r="G6" s="20">
        <f>IFERROR(IF(LEN(TRIM(CLEAN(SUBSTITUTE(Setup!$B$2,CHAR(160)," "))))=0,"CHECK REVIEWER ID",IF(OR(A6="",COUNTIF($A$2:$A$14,A6)&lt;&gt;1,COUNTIFS(Decisions!$C$2:$C$120,A6,Decisions!$B$2:$B$120,"jama.2018.9128")&lt;&gt;1),"CHECK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n"/>
    </row>
    <row r="7" ht="92"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n"/>
      <c r="E7" s="21" t="inlineStr">
        <is>
          <t>report_internal_inconsistency</t>
        </is>
      </c>
      <c r="F7" s="21" t="inlineStr">
        <is>
          <t>no</t>
        </is>
      </c>
      <c r="G7" s="24">
        <f>IFERROR(IF(LEN(TRIM(CLEAN(SUBSTITUTE(Setup!$B$2,CHAR(160)," "))))=0,"CHECK REVIEWER ID",IF(OR(A7="",COUNTIF($A$2:$A$14,A7)&lt;&gt;1,COUNTIFS(Decisions!$C$2:$C$120,A7,Decisions!$B$2:$B$120,"jama.2018.9128")&lt;&gt;1),"CHECK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f>IF(AND(OR(D7="retain",D7=""),E7="protocol_report"),"","not_applicable")</f>
        <v/>
      </c>
      <c r="M7" s="24" t="n"/>
      <c r="N7" s="23" t="n"/>
      <c r="O7" s="23" t="n"/>
      <c r="P7" s="23" t="n"/>
      <c r="Q7" s="23" t="n"/>
      <c r="R7" s="22" t="n"/>
    </row>
    <row r="8" ht="92"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n"/>
      <c r="E8" s="21" t="inlineStr">
        <is>
          <t>report_internal_inconsistency</t>
        </is>
      </c>
      <c r="F8" s="21" t="inlineStr">
        <is>
          <t>no</t>
        </is>
      </c>
      <c r="G8" s="20">
        <f>IFERROR(IF(LEN(TRIM(CLEAN(SUBSTITUTE(Setup!$B$2,CHAR(160)," "))))=0,"CHECK REVIEWER ID",IF(OR(A8="",COUNTIF($A$2:$A$14,A8)&lt;&gt;1,COUNTIFS(Decisions!$C$2:$C$120,A8,Decisions!$B$2:$B$120,"jama.2018.9128")&lt;&gt;1),"CHECK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f>IF(AND(OR(D8="retain",D8=""),E8="protocol_report"),"","not_applicable")</f>
        <v/>
      </c>
      <c r="M8" s="20" t="n"/>
      <c r="N8" s="23" t="n"/>
      <c r="O8" s="23" t="n"/>
      <c r="P8" s="23" t="n"/>
      <c r="Q8" s="23" t="n"/>
      <c r="R8" s="22" t="n"/>
    </row>
    <row r="9" ht="92"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n"/>
      <c r="E9" s="21" t="inlineStr">
        <is>
          <t>report_internal_inconsistency</t>
        </is>
      </c>
      <c r="F9" s="21" t="inlineStr">
        <is>
          <t>no</t>
        </is>
      </c>
      <c r="G9" s="24">
        <f>IFERROR(IF(LEN(TRIM(CLEAN(SUBSTITUTE(Setup!$B$2,CHAR(160)," "))))=0,"CHECK REVIEWER ID",IF(OR(A9="",COUNTIF($A$2:$A$14,A9)&lt;&gt;1,COUNTIFS(Decisions!$C$2:$C$120,A9,Decisions!$B$2:$B$120,"jama.2018.9128")&lt;&gt;1),"CHECK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n"/>
    </row>
    <row r="10" ht="92"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n"/>
      <c r="E10" s="21" t="inlineStr">
        <is>
          <t>plan_material</t>
        </is>
      </c>
      <c r="F10" s="21" t="inlineStr">
        <is>
          <t>no</t>
        </is>
      </c>
      <c r="G10" s="20">
        <f>IFERROR(IF(LEN(TRIM(CLEAN(SUBSTITUTE(Setup!$B$2,CHAR(160)," "))))=0,"CHECK REVIEWER ID",IF(OR(A10="",COUNTIF($A$2:$A$14,A10)&lt;&gt;1,COUNTIFS(Decisions!$C$2:$C$120,A10,Decisions!$B$2:$B$120,"jama.2018.9128")&lt;&gt;1),"CHECK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f>IF(AND(OR(D10="retain",D10=""),E10="protocol_report"),"","not_applicable")</f>
        <v/>
      </c>
      <c r="M10" s="20" t="n"/>
      <c r="N10" s="23" t="n"/>
      <c r="O10" s="23" t="n"/>
      <c r="P10" s="23" t="n"/>
      <c r="Q10" s="23" t="n"/>
      <c r="R10" s="22" t="n"/>
    </row>
    <row r="11" ht="92"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n"/>
      <c r="E11" s="21" t="inlineStr">
        <is>
          <t>plan_material</t>
        </is>
      </c>
      <c r="F11" s="21" t="inlineStr">
        <is>
          <t>no</t>
        </is>
      </c>
      <c r="G11" s="24">
        <f>IFERROR(IF(LEN(TRIM(CLEAN(SUBSTITUTE(Setup!$B$2,CHAR(160)," "))))=0,"CHECK REVIEWER ID",IF(OR(A11="",COUNTIF($A$2:$A$14,A11)&lt;&gt;1,COUNTIFS(Decisions!$C$2:$C$120,A11,Decisions!$B$2:$B$120,"jama.2018.9128")&lt;&gt;1),"CHECK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n"/>
    </row>
    <row r="12" ht="92"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n"/>
      <c r="E12" s="21" t="inlineStr">
        <is>
          <t>protocol_report</t>
        </is>
      </c>
      <c r="F12" s="21" t="inlineStr">
        <is>
          <t>no</t>
        </is>
      </c>
      <c r="G12" s="20">
        <f>IFERROR(IF(LEN(TRIM(CLEAN(SUBSTITUTE(Setup!$B$2,CHAR(160)," "))))=0,"CHECK REVIEWER ID",IF(OR(A12="",COUNTIF($A$2:$A$14,A12)&lt;&gt;1,COUNTIFS(Decisions!$C$2:$C$120,A12,Decisions!$B$2:$B$120,"jama.2018.9128")&lt;&gt;1),"CHECK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f>IF(AND(OR(D12="retain",D12=""),E12="protocol_report"),"","not_applicable")</f>
        <v/>
      </c>
      <c r="M12" s="20" t="n"/>
      <c r="N12" s="23" t="n"/>
      <c r="O12" s="23" t="n"/>
      <c r="P12" s="23" t="n"/>
      <c r="Q12" s="23" t="n"/>
      <c r="R12" s="22" t="n"/>
    </row>
    <row r="13" ht="92"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n"/>
      <c r="E13" s="21" t="inlineStr">
        <is>
          <t>protocol_report</t>
        </is>
      </c>
      <c r="F13" s="21" t="inlineStr">
        <is>
          <t>no</t>
        </is>
      </c>
      <c r="G13" s="24">
        <f>IFERROR(IF(LEN(TRIM(CLEAN(SUBSTITUTE(Setup!$B$2,CHAR(160)," "))))=0,"CHECK REVIEWER ID",IF(OR(A13="",COUNTIF($A$2:$A$14,A13)&lt;&gt;1,COUNTIFS(Decisions!$C$2:$C$120,A13,Decisions!$B$2:$B$120,"jama.2018.9128")&lt;&gt;1),"CHECK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n"/>
    </row>
    <row r="14" ht="92"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n"/>
      <c r="E14" s="21" t="inlineStr">
        <is>
          <t>report_internal_inconsistency</t>
        </is>
      </c>
      <c r="F14" s="21" t="inlineStr">
        <is>
          <t>no</t>
        </is>
      </c>
      <c r="G14" s="20">
        <f>IFERROR(IF(LEN(TRIM(CLEAN(SUBSTITUTE(Setup!$B$2,CHAR(160)," "))))=0,"CHECK REVIEWER ID",IF(OR(A14="",COUNTIF($A$2:$A$14,A14)&lt;&gt;1,COUNTIFS(Decisions!$C$2:$C$120,A14,Decisions!$B$2:$B$120,"jama.2018.9128")&lt;&gt;1),"CHECK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f>IF(AND(OR(D14="retain",D14=""),OR(E14="report_internal_inconsistency",E14="plan_material")),"","not_applicable")</f>
        <v/>
      </c>
      <c r="L14" s="22">
        <f>IF(AND(OR(D14="retain",D14=""),E14="protocol_report"),"","not_applicable")</f>
        <v/>
      </c>
      <c r="M14" s="20" t="n"/>
      <c r="N14" s="23" t="n"/>
      <c r="O14" s="23" t="n"/>
      <c r="P14" s="23" t="n"/>
      <c r="Q14" s="23" t="n"/>
      <c r="R14" s="22" t="n"/>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hyperlinks>
    <hyperlink ref="A2" location="'Evidence'!A426"/>
    <hyperlink ref="A3" location="'Evidence'!A430"/>
    <hyperlink ref="A4" location="'Evidence'!A434"/>
    <hyperlink ref="A5" location="'Evidence'!A438"/>
    <hyperlink ref="A6" location="'Evidence'!A442"/>
    <hyperlink ref="A7" location="'Evidence'!A446"/>
    <hyperlink ref="A8" location="'Evidence'!A450"/>
    <hyperlink ref="A9" location="'Evidence'!A454"/>
    <hyperlink ref="A10" location="'Evidence'!A458"/>
    <hyperlink ref="A11" location="'Evidence'!A462"/>
    <hyperlink ref="A12" location="'Evidence'!A466"/>
    <hyperlink ref="A13" location="'Evidence'!A470"/>
    <hyperlink ref="A14" location="'Evidence'!A474"/>
  </hyperlink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12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20" customWidth="1" style="14" min="5" max="5"/>
    <col width="24" customWidth="1" style="14" min="6" max="6"/>
    <col width="28" customWidth="1" style="14" min="7" max="7"/>
    <col width="28" customWidth="1" style="14" min="8" max="8"/>
    <col width="20" customWidth="1" style="14" min="9" max="9"/>
    <col width="35" customWidth="1" style="14" min="10" max="10"/>
    <col width="26" customWidth="1" style="14" min="11" max="11"/>
    <col width="24" customWidth="1" style="14" min="12" max="12"/>
    <col width="24" customWidth="1" style="14" min="13" max="13"/>
    <col width="30" customWidth="1" style="14" min="14" max="14"/>
    <col width="28" customWidth="1" style="14" min="15" max="15"/>
    <col width="55" customWidth="1" style="14" min="16" max="16"/>
    <col width="22" customWidth="1" style="14" min="17" max="17"/>
    <col width="35" customWidth="1" style="14" min="18" max="18"/>
  </cols>
  <sheetData>
    <row r="1" ht="42" customHeight="1" s="14">
      <c r="A1" s="15" t="inlineStr">
        <is>
          <t>year</t>
        </is>
      </c>
      <c r="B1" s="15" t="inlineStr">
        <is>
          <t>paper</t>
        </is>
      </c>
      <c r="C1" s="15" t="inlineStr">
        <is>
          <t>candidate_key</t>
        </is>
      </c>
      <c r="D1" s="15" t="inlineStr">
        <is>
          <t>relationship</t>
        </is>
      </c>
      <c r="E1" s="15" t="inlineStr">
        <is>
          <t>reviewer_role</t>
        </is>
      </c>
      <c r="F1" s="15" t="inlineStr">
        <is>
          <t>reviewer_id</t>
        </is>
      </c>
      <c r="G1" s="15" t="inlineStr">
        <is>
          <t>readiness</t>
        </is>
      </c>
      <c r="H1" s="15" t="inlineStr">
        <is>
          <t>outcome</t>
        </is>
      </c>
      <c r="I1" s="15" t="inlineStr">
        <is>
          <t>disposition</t>
        </is>
      </c>
      <c r="J1" s="15" t="inlineStr">
        <is>
          <t>domain</t>
        </is>
      </c>
      <c r="K1" s="15" t="inlineStr">
        <is>
          <t>statistical_issue</t>
        </is>
      </c>
      <c r="L1" s="15" t="inlineStr">
        <is>
          <t>substantiveness</t>
        </is>
      </c>
      <c r="M1" s="15" t="inlineStr">
        <is>
          <t>downstream_impact</t>
        </is>
      </c>
      <c r="N1" s="15" t="inlineStr">
        <is>
          <t>internal_status</t>
        </is>
      </c>
      <c r="O1" s="15" t="inlineStr">
        <is>
          <t>protocol_interpretation</t>
        </is>
      </c>
      <c r="P1" s="15" t="inlineStr">
        <is>
          <t>notes</t>
        </is>
      </c>
      <c r="Q1" s="15" t="inlineStr">
        <is>
          <t>ai_disposition</t>
        </is>
      </c>
      <c r="R1" s="15" t="inlineStr">
        <is>
          <t>ai_domain</t>
        </is>
      </c>
    </row>
    <row r="2" ht="70" customHeight="1" s="14">
      <c r="A2" s="16" t="n">
        <v>2018</v>
      </c>
      <c r="B2" s="16" t="inlineStr">
        <is>
          <t>jama.2017.21906</t>
        </is>
      </c>
      <c r="C2" s="16" t="inlineStr">
        <is>
          <t>2018::jama.2017.21906::C001</t>
        </is>
      </c>
      <c r="D2" s="16" t="inlineStr">
        <is>
          <t>S_W</t>
        </is>
      </c>
      <c r="E2" s="16">
        <f>Setup!$B$4</f>
        <v/>
      </c>
      <c r="F2" s="16">
        <f>IF(Setup!$B$2="","",Setup!$B$2)</f>
        <v/>
      </c>
      <c r="G2" s="16">
        <f>IFERROR(INDEX('C_jama.2017.21906'!$G$2:$G$7,MATCH($C2,'C_jama.2017.21906'!$A$2:$A$7,0)),"CHECK KEY")</f>
        <v/>
      </c>
      <c r="H2" s="16">
        <f>IF(OR(G2&lt;&gt;"PRIMARY READY",I2="discuss"),"",IF(I2&lt;&gt;"retain","not_eligible",IF(D2="P_R","protocol_descriptive",IF(D2="P_P","plan_descriptive",IF(AND(OR(D2="S_C",D2="S_W"),J2="statistical_results",OR(K2="confirmed_issue",K2="probable_issue"),L2="substantive"),"primary_temporal",IF(AND(OR(D2="S_C",D2="S_W"),J2="report_internal_inconsistency",N2="substantive_inconsistency"),"secondary_temporal","not_eligible"))))))</f>
        <v/>
      </c>
      <c r="I2" s="16">
        <f>IFERROR(IF(INDEX('C_jama.2017.21906'!$D$2:$D$7,MATCH($C2,'C_jama.2017.21906'!$A$2:$A$7,0))="","",INDEX('C_jama.2017.21906'!$D$2:$D$7,MATCH($C2,'C_jama.2017.21906'!$A$2:$A$7,0))),"")</f>
        <v/>
      </c>
      <c r="J2" s="16">
        <f>IFERROR(IF(INDEX('C_jama.2017.21906'!$E$2:$E$7,MATCH($C2,'C_jama.2017.21906'!$A$2:$A$7,0))="","",INDEX('C_jama.2017.21906'!$E$2:$E$7,MATCH($C2,'C_jama.2017.21906'!$A$2:$A$7,0))),"")</f>
        <v/>
      </c>
      <c r="K2" s="16">
        <f>IFERROR(IF(AND(I2="retain",J2="statistical_results"),IF(INDEX('C_jama.2017.21906'!$H$2:$H$7,MATCH($C2,'C_jama.2017.21906'!$A$2:$A$7,0))="","",INDEX('C_jama.2017.21906'!$H$2:$H$7,MATCH($C2,'C_jama.2017.21906'!$A$2:$A$7,0))),"not_applicable"),"")</f>
        <v/>
      </c>
      <c r="L2" s="16">
        <f>IFERROR(IF(AND(I2="retain",J2="statistical_results"),IF(INDEX('C_jama.2017.21906'!$I$2:$I$7,MATCH($C2,'C_jama.2017.21906'!$A$2:$A$7,0))="","",INDEX('C_jama.2017.21906'!$I$2:$I$7,MATCH($C2,'C_jama.2017.21906'!$A$2:$A$7,0))),"not_applicable"),"")</f>
        <v/>
      </c>
      <c r="M2" s="16">
        <f>IFERROR(IF(AND(I2="retain",J2="statistical_results"),IF(INDEX('C_jama.2017.21906'!$J$2:$J$7,MATCH($C2,'C_jama.2017.21906'!$A$2:$A$7,0))="","",INDEX('C_jama.2017.21906'!$J$2:$J$7,MATCH($C2,'C_jama.2017.21906'!$A$2:$A$7,0))),"not_applicable"),"")</f>
        <v/>
      </c>
      <c r="N2" s="16">
        <f>IFERROR(IF(AND(I2="retain",OR(J2="report_internal_inconsistency",J2="plan_material")),IF(INDEX('C_jama.2017.21906'!$K$2:$K$7,MATCH($C2,'C_jama.2017.21906'!$A$2:$A$7,0))="","",INDEX('C_jama.2017.21906'!$K$2:$K$7,MATCH($C2,'C_jama.2017.21906'!$A$2:$A$7,0))),"not_applicable"),"")</f>
        <v/>
      </c>
      <c r="O2" s="16">
        <f>IFERROR(IF(AND(I2="retain",J2="protocol_report"),IF(INDEX('C_jama.2017.21906'!$L$2:$L$7,MATCH($C2,'C_jama.2017.21906'!$A$2:$A$7,0))="","",INDEX('C_jama.2017.21906'!$L$2:$L$7,MATCH($C2,'C_jama.2017.21906'!$A$2:$A$7,0))),"not_applicable"),"")</f>
        <v/>
      </c>
      <c r="P2" s="16">
        <f>IFERROR(IF(INDEX('C_jama.2017.21906'!$R$2:$R$7,MATCH($C2,'C_jama.2017.21906'!$A$2:$A$7,0))="","",INDEX('C_jama.2017.21906'!$R$2:$R$7,MATCH($C2,'C_jama.2017.21906'!$A$2:$A$7,0))),"")</f>
        <v/>
      </c>
      <c r="Q2" s="16" t="inlineStr">
        <is>
          <t>retain</t>
        </is>
      </c>
      <c r="R2" s="16" t="inlineStr">
        <is>
          <t>statistical_results</t>
        </is>
      </c>
    </row>
    <row r="3" ht="70" customHeight="1" s="14">
      <c r="A3" s="17" t="n">
        <v>2018</v>
      </c>
      <c r="B3" s="17" t="inlineStr">
        <is>
          <t>jama.2017.21906</t>
        </is>
      </c>
      <c r="C3" s="17" t="inlineStr">
        <is>
          <t>2018::jama.2017.21906::C002</t>
        </is>
      </c>
      <c r="D3" s="17" t="inlineStr">
        <is>
          <t>S_W</t>
        </is>
      </c>
      <c r="E3" s="17">
        <f>Setup!$B$4</f>
        <v/>
      </c>
      <c r="F3" s="17">
        <f>IF(Setup!$B$2="","",Setup!$B$2)</f>
        <v/>
      </c>
      <c r="G3" s="17">
        <f>IFERROR(INDEX('C_jama.2017.21906'!$G$2:$G$7,MATCH($C3,'C_jama.2017.21906'!$A$2:$A$7,0)),"CHECK KEY")</f>
        <v/>
      </c>
      <c r="H3" s="17">
        <f>IF(OR(G3&lt;&gt;"PRIMARY READY",I3="discuss"),"",IF(I3&lt;&gt;"retain","not_eligible",IF(D3="P_R","protocol_descriptive",IF(D3="P_P","plan_descriptive",IF(AND(OR(D3="S_C",D3="S_W"),J3="statistical_results",OR(K3="confirmed_issue",K3="probable_issue"),L3="substantive"),"primary_temporal",IF(AND(OR(D3="S_C",D3="S_W"),J3="report_internal_inconsistency",N3="substantive_inconsistency"),"secondary_temporal","not_eligible"))))))</f>
        <v/>
      </c>
      <c r="I3" s="17">
        <f>IFERROR(IF(INDEX('C_jama.2017.21906'!$D$2:$D$7,MATCH($C3,'C_jama.2017.21906'!$A$2:$A$7,0))="","",INDEX('C_jama.2017.21906'!$D$2:$D$7,MATCH($C3,'C_jama.2017.21906'!$A$2:$A$7,0))),"")</f>
        <v/>
      </c>
      <c r="J3" s="17">
        <f>IFERROR(IF(INDEX('C_jama.2017.21906'!$E$2:$E$7,MATCH($C3,'C_jama.2017.21906'!$A$2:$A$7,0))="","",INDEX('C_jama.2017.21906'!$E$2:$E$7,MATCH($C3,'C_jama.2017.21906'!$A$2:$A$7,0))),"")</f>
        <v/>
      </c>
      <c r="K3" s="17">
        <f>IFERROR(IF(AND(I3="retain",J3="statistical_results"),IF(INDEX('C_jama.2017.21906'!$H$2:$H$7,MATCH($C3,'C_jama.2017.21906'!$A$2:$A$7,0))="","",INDEX('C_jama.2017.21906'!$H$2:$H$7,MATCH($C3,'C_jama.2017.21906'!$A$2:$A$7,0))),"not_applicable"),"")</f>
        <v/>
      </c>
      <c r="L3" s="17">
        <f>IFERROR(IF(AND(I3="retain",J3="statistical_results"),IF(INDEX('C_jama.2017.21906'!$I$2:$I$7,MATCH($C3,'C_jama.2017.21906'!$A$2:$A$7,0))="","",INDEX('C_jama.2017.21906'!$I$2:$I$7,MATCH($C3,'C_jama.2017.21906'!$A$2:$A$7,0))),"not_applicable"),"")</f>
        <v/>
      </c>
      <c r="M3" s="17">
        <f>IFERROR(IF(AND(I3="retain",J3="statistical_results"),IF(INDEX('C_jama.2017.21906'!$J$2:$J$7,MATCH($C3,'C_jama.2017.21906'!$A$2:$A$7,0))="","",INDEX('C_jama.2017.21906'!$J$2:$J$7,MATCH($C3,'C_jama.2017.21906'!$A$2:$A$7,0))),"not_applicable"),"")</f>
        <v/>
      </c>
      <c r="N3" s="17">
        <f>IFERROR(IF(AND(I3="retain",OR(J3="report_internal_inconsistency",J3="plan_material")),IF(INDEX('C_jama.2017.21906'!$K$2:$K$7,MATCH($C3,'C_jama.2017.21906'!$A$2:$A$7,0))="","",INDEX('C_jama.2017.21906'!$K$2:$K$7,MATCH($C3,'C_jama.2017.21906'!$A$2:$A$7,0))),"not_applicable"),"")</f>
        <v/>
      </c>
      <c r="O3" s="17">
        <f>IFERROR(IF(AND(I3="retain",J3="protocol_report"),IF(INDEX('C_jama.2017.21906'!$L$2:$L$7,MATCH($C3,'C_jama.2017.21906'!$A$2:$A$7,0))="","",INDEX('C_jama.2017.21906'!$L$2:$L$7,MATCH($C3,'C_jama.2017.21906'!$A$2:$A$7,0))),"not_applicable"),"")</f>
        <v/>
      </c>
      <c r="P3" s="17">
        <f>IFERROR(IF(INDEX('C_jama.2017.21906'!$R$2:$R$7,MATCH($C3,'C_jama.2017.21906'!$A$2:$A$7,0))="","",INDEX('C_jama.2017.21906'!$R$2:$R$7,MATCH($C3,'C_jama.2017.21906'!$A$2:$A$7,0))),"")</f>
        <v/>
      </c>
      <c r="Q3" s="17" t="inlineStr">
        <is>
          <t>retain</t>
        </is>
      </c>
      <c r="R3" s="17" t="inlineStr">
        <is>
          <t>report_internal_inconsistency</t>
        </is>
      </c>
    </row>
    <row r="4" ht="70" customHeight="1" s="14">
      <c r="A4" s="16" t="n">
        <v>2018</v>
      </c>
      <c r="B4" s="16" t="inlineStr">
        <is>
          <t>jama.2017.21906</t>
        </is>
      </c>
      <c r="C4" s="16" t="inlineStr">
        <is>
          <t>2018::jama.2017.21906::C003</t>
        </is>
      </c>
      <c r="D4" s="16" t="inlineStr">
        <is>
          <t>S_W</t>
        </is>
      </c>
      <c r="E4" s="16">
        <f>Setup!$B$4</f>
        <v/>
      </c>
      <c r="F4" s="16">
        <f>IF(Setup!$B$2="","",Setup!$B$2)</f>
        <v/>
      </c>
      <c r="G4" s="16">
        <f>IFERROR(INDEX('C_jama.2017.21906'!$G$2:$G$7,MATCH($C4,'C_jama.2017.21906'!$A$2:$A$7,0)),"CHECK KEY")</f>
        <v/>
      </c>
      <c r="H4" s="16">
        <f>IF(OR(G4&lt;&gt;"PRIMARY READY",I4="discuss"),"",IF(I4&lt;&gt;"retain","not_eligible",IF(D4="P_R","protocol_descriptive",IF(D4="P_P","plan_descriptive",IF(AND(OR(D4="S_C",D4="S_W"),J4="statistical_results",OR(K4="confirmed_issue",K4="probable_issue"),L4="substantive"),"primary_temporal",IF(AND(OR(D4="S_C",D4="S_W"),J4="report_internal_inconsistency",N4="substantive_inconsistency"),"secondary_temporal","not_eligible"))))))</f>
        <v/>
      </c>
      <c r="I4" s="16">
        <f>IFERROR(IF(INDEX('C_jama.2017.21906'!$D$2:$D$7,MATCH($C4,'C_jama.2017.21906'!$A$2:$A$7,0))="","",INDEX('C_jama.2017.21906'!$D$2:$D$7,MATCH($C4,'C_jama.2017.21906'!$A$2:$A$7,0))),"")</f>
        <v/>
      </c>
      <c r="J4" s="16">
        <f>IFERROR(IF(INDEX('C_jama.2017.21906'!$E$2:$E$7,MATCH($C4,'C_jama.2017.21906'!$A$2:$A$7,0))="","",INDEX('C_jama.2017.21906'!$E$2:$E$7,MATCH($C4,'C_jama.2017.21906'!$A$2:$A$7,0))),"")</f>
        <v/>
      </c>
      <c r="K4" s="16">
        <f>IFERROR(IF(AND(I4="retain",J4="statistical_results"),IF(INDEX('C_jama.2017.21906'!$H$2:$H$7,MATCH($C4,'C_jama.2017.21906'!$A$2:$A$7,0))="","",INDEX('C_jama.2017.21906'!$H$2:$H$7,MATCH($C4,'C_jama.2017.21906'!$A$2:$A$7,0))),"not_applicable"),"")</f>
        <v/>
      </c>
      <c r="L4" s="16">
        <f>IFERROR(IF(AND(I4="retain",J4="statistical_results"),IF(INDEX('C_jama.2017.21906'!$I$2:$I$7,MATCH($C4,'C_jama.2017.21906'!$A$2:$A$7,0))="","",INDEX('C_jama.2017.21906'!$I$2:$I$7,MATCH($C4,'C_jama.2017.21906'!$A$2:$A$7,0))),"not_applicable"),"")</f>
        <v/>
      </c>
      <c r="M4" s="16">
        <f>IFERROR(IF(AND(I4="retain",J4="statistical_results"),IF(INDEX('C_jama.2017.21906'!$J$2:$J$7,MATCH($C4,'C_jama.2017.21906'!$A$2:$A$7,0))="","",INDEX('C_jama.2017.21906'!$J$2:$J$7,MATCH($C4,'C_jama.2017.21906'!$A$2:$A$7,0))),"not_applicable"),"")</f>
        <v/>
      </c>
      <c r="N4" s="16">
        <f>IFERROR(IF(AND(I4="retain",OR(J4="report_internal_inconsistency",J4="plan_material")),IF(INDEX('C_jama.2017.21906'!$K$2:$K$7,MATCH($C4,'C_jama.2017.21906'!$A$2:$A$7,0))="","",INDEX('C_jama.2017.21906'!$K$2:$K$7,MATCH($C4,'C_jama.2017.21906'!$A$2:$A$7,0))),"not_applicable"),"")</f>
        <v/>
      </c>
      <c r="O4" s="16">
        <f>IFERROR(IF(AND(I4="retain",J4="protocol_report"),IF(INDEX('C_jama.2017.21906'!$L$2:$L$7,MATCH($C4,'C_jama.2017.21906'!$A$2:$A$7,0))="","",INDEX('C_jama.2017.21906'!$L$2:$L$7,MATCH($C4,'C_jama.2017.21906'!$A$2:$A$7,0))),"not_applicable"),"")</f>
        <v/>
      </c>
      <c r="P4" s="16">
        <f>IFERROR(IF(INDEX('C_jama.2017.21906'!$R$2:$R$7,MATCH($C4,'C_jama.2017.21906'!$A$2:$A$7,0))="","",INDEX('C_jama.2017.21906'!$R$2:$R$7,MATCH($C4,'C_jama.2017.21906'!$A$2:$A$7,0))),"")</f>
        <v/>
      </c>
      <c r="Q4" s="16" t="inlineStr">
        <is>
          <t>retain</t>
        </is>
      </c>
      <c r="R4" s="16" t="inlineStr">
        <is>
          <t>report_internal_inconsistency</t>
        </is>
      </c>
    </row>
    <row r="5" ht="70" customHeight="1" s="14">
      <c r="A5" s="17" t="n">
        <v>2018</v>
      </c>
      <c r="B5" s="17" t="inlineStr">
        <is>
          <t>jama.2017.21906</t>
        </is>
      </c>
      <c r="C5" s="17" t="inlineStr">
        <is>
          <t>2018::jama.2017.21906::C004</t>
        </is>
      </c>
      <c r="D5" s="17" t="inlineStr">
        <is>
          <t>P_R</t>
        </is>
      </c>
      <c r="E5" s="17">
        <f>Setup!$B$4</f>
        <v/>
      </c>
      <c r="F5" s="17">
        <f>IF(Setup!$B$2="","",Setup!$B$2)</f>
        <v/>
      </c>
      <c r="G5" s="17">
        <f>IFERROR(INDEX('C_jama.2017.21906'!$G$2:$G$7,MATCH($C5,'C_jama.2017.21906'!$A$2:$A$7,0)),"CHECK KEY")</f>
        <v/>
      </c>
      <c r="H5" s="17">
        <f>IF(OR(G5&lt;&gt;"PRIMARY READY",I5="discuss"),"",IF(I5&lt;&gt;"retain","not_eligible",IF(D5="P_R","protocol_descriptive",IF(D5="P_P","plan_descriptive",IF(AND(OR(D5="S_C",D5="S_W"),J5="statistical_results",OR(K5="confirmed_issue",K5="probable_issue"),L5="substantive"),"primary_temporal",IF(AND(OR(D5="S_C",D5="S_W"),J5="report_internal_inconsistency",N5="substantive_inconsistency"),"secondary_temporal","not_eligible"))))))</f>
        <v/>
      </c>
      <c r="I5" s="17">
        <f>IFERROR(IF(INDEX('C_jama.2017.21906'!$D$2:$D$7,MATCH($C5,'C_jama.2017.21906'!$A$2:$A$7,0))="","",INDEX('C_jama.2017.21906'!$D$2:$D$7,MATCH($C5,'C_jama.2017.21906'!$A$2:$A$7,0))),"")</f>
        <v/>
      </c>
      <c r="J5" s="17">
        <f>IFERROR(IF(INDEX('C_jama.2017.21906'!$E$2:$E$7,MATCH($C5,'C_jama.2017.21906'!$A$2:$A$7,0))="","",INDEX('C_jama.2017.21906'!$E$2:$E$7,MATCH($C5,'C_jama.2017.21906'!$A$2:$A$7,0))),"")</f>
        <v/>
      </c>
      <c r="K5" s="17">
        <f>IFERROR(IF(AND(I5="retain",J5="statistical_results"),IF(INDEX('C_jama.2017.21906'!$H$2:$H$7,MATCH($C5,'C_jama.2017.21906'!$A$2:$A$7,0))="","",INDEX('C_jama.2017.21906'!$H$2:$H$7,MATCH($C5,'C_jama.2017.21906'!$A$2:$A$7,0))),"not_applicable"),"")</f>
        <v/>
      </c>
      <c r="L5" s="17">
        <f>IFERROR(IF(AND(I5="retain",J5="statistical_results"),IF(INDEX('C_jama.2017.21906'!$I$2:$I$7,MATCH($C5,'C_jama.2017.21906'!$A$2:$A$7,0))="","",INDEX('C_jama.2017.21906'!$I$2:$I$7,MATCH($C5,'C_jama.2017.21906'!$A$2:$A$7,0))),"not_applicable"),"")</f>
        <v/>
      </c>
      <c r="M5" s="17">
        <f>IFERROR(IF(AND(I5="retain",J5="statistical_results"),IF(INDEX('C_jama.2017.21906'!$J$2:$J$7,MATCH($C5,'C_jama.2017.21906'!$A$2:$A$7,0))="","",INDEX('C_jama.2017.21906'!$J$2:$J$7,MATCH($C5,'C_jama.2017.21906'!$A$2:$A$7,0))),"not_applicable"),"")</f>
        <v/>
      </c>
      <c r="N5" s="17">
        <f>IFERROR(IF(AND(I5="retain",OR(J5="report_internal_inconsistency",J5="plan_material")),IF(INDEX('C_jama.2017.21906'!$K$2:$K$7,MATCH($C5,'C_jama.2017.21906'!$A$2:$A$7,0))="","",INDEX('C_jama.2017.21906'!$K$2:$K$7,MATCH($C5,'C_jama.2017.21906'!$A$2:$A$7,0))),"not_applicable"),"")</f>
        <v/>
      </c>
      <c r="O5" s="17">
        <f>IFERROR(IF(AND(I5="retain",J5="protocol_report"),IF(INDEX('C_jama.2017.21906'!$L$2:$L$7,MATCH($C5,'C_jama.2017.21906'!$A$2:$A$7,0))="","",INDEX('C_jama.2017.21906'!$L$2:$L$7,MATCH($C5,'C_jama.2017.21906'!$A$2:$A$7,0))),"not_applicable"),"")</f>
        <v/>
      </c>
      <c r="P5" s="17">
        <f>IFERROR(IF(INDEX('C_jama.2017.21906'!$R$2:$R$7,MATCH($C5,'C_jama.2017.21906'!$A$2:$A$7,0))="","",INDEX('C_jama.2017.21906'!$R$2:$R$7,MATCH($C5,'C_jama.2017.21906'!$A$2:$A$7,0))),"")</f>
        <v/>
      </c>
      <c r="Q5" s="17" t="inlineStr">
        <is>
          <t>retain</t>
        </is>
      </c>
      <c r="R5" s="17" t="inlineStr">
        <is>
          <t>protocol_report</t>
        </is>
      </c>
    </row>
    <row r="6" ht="70" customHeight="1" s="14">
      <c r="A6" s="16" t="n">
        <v>2018</v>
      </c>
      <c r="B6" s="16" t="inlineStr">
        <is>
          <t>jama.2017.21906</t>
        </is>
      </c>
      <c r="C6" s="16" t="inlineStr">
        <is>
          <t>2018::jama.2017.21906::C005</t>
        </is>
      </c>
      <c r="D6" s="16" t="inlineStr">
        <is>
          <t>S_C</t>
        </is>
      </c>
      <c r="E6" s="16">
        <f>Setup!$B$4</f>
        <v/>
      </c>
      <c r="F6" s="16">
        <f>IF(Setup!$B$2="","",Setup!$B$2)</f>
        <v/>
      </c>
      <c r="G6" s="16">
        <f>IFERROR(INDEX('C_jama.2017.21906'!$G$2:$G$7,MATCH($C6,'C_jama.2017.21906'!$A$2:$A$7,0)),"CHECK KEY")</f>
        <v/>
      </c>
      <c r="H6" s="16">
        <f>IF(OR(G6&lt;&gt;"PRIMARY READY",I6="discuss"),"",IF(I6&lt;&gt;"retain","not_eligible",IF(D6="P_R","protocol_descriptive",IF(D6="P_P","plan_descriptive",IF(AND(OR(D6="S_C",D6="S_W"),J6="statistical_results",OR(K6="confirmed_issue",K6="probable_issue"),L6="substantive"),"primary_temporal",IF(AND(OR(D6="S_C",D6="S_W"),J6="report_internal_inconsistency",N6="substantive_inconsistency"),"secondary_temporal","not_eligible"))))))</f>
        <v/>
      </c>
      <c r="I6" s="16">
        <f>IFERROR(IF(INDEX('C_jama.2017.21906'!$D$2:$D$7,MATCH($C6,'C_jama.2017.21906'!$A$2:$A$7,0))="","",INDEX('C_jama.2017.21906'!$D$2:$D$7,MATCH($C6,'C_jama.2017.21906'!$A$2:$A$7,0))),"")</f>
        <v/>
      </c>
      <c r="J6" s="16">
        <f>IFERROR(IF(INDEX('C_jama.2017.21906'!$E$2:$E$7,MATCH($C6,'C_jama.2017.21906'!$A$2:$A$7,0))="","",INDEX('C_jama.2017.21906'!$E$2:$E$7,MATCH($C6,'C_jama.2017.21906'!$A$2:$A$7,0))),"")</f>
        <v/>
      </c>
      <c r="K6" s="16">
        <f>IFERROR(IF(AND(I6="retain",J6="statistical_results"),IF(INDEX('C_jama.2017.21906'!$H$2:$H$7,MATCH($C6,'C_jama.2017.21906'!$A$2:$A$7,0))="","",INDEX('C_jama.2017.21906'!$H$2:$H$7,MATCH($C6,'C_jama.2017.21906'!$A$2:$A$7,0))),"not_applicable"),"")</f>
        <v/>
      </c>
      <c r="L6" s="16">
        <f>IFERROR(IF(AND(I6="retain",J6="statistical_results"),IF(INDEX('C_jama.2017.21906'!$I$2:$I$7,MATCH($C6,'C_jama.2017.21906'!$A$2:$A$7,0))="","",INDEX('C_jama.2017.21906'!$I$2:$I$7,MATCH($C6,'C_jama.2017.21906'!$A$2:$A$7,0))),"not_applicable"),"")</f>
        <v/>
      </c>
      <c r="M6" s="16">
        <f>IFERROR(IF(AND(I6="retain",J6="statistical_results"),IF(INDEX('C_jama.2017.21906'!$J$2:$J$7,MATCH($C6,'C_jama.2017.21906'!$A$2:$A$7,0))="","",INDEX('C_jama.2017.21906'!$J$2:$J$7,MATCH($C6,'C_jama.2017.21906'!$A$2:$A$7,0))),"not_applicable"),"")</f>
        <v/>
      </c>
      <c r="N6" s="16">
        <f>IFERROR(IF(AND(I6="retain",OR(J6="report_internal_inconsistency",J6="plan_material")),IF(INDEX('C_jama.2017.21906'!$K$2:$K$7,MATCH($C6,'C_jama.2017.21906'!$A$2:$A$7,0))="","",INDEX('C_jama.2017.21906'!$K$2:$K$7,MATCH($C6,'C_jama.2017.21906'!$A$2:$A$7,0))),"not_applicable"),"")</f>
        <v/>
      </c>
      <c r="O6" s="16">
        <f>IFERROR(IF(AND(I6="retain",J6="protocol_report"),IF(INDEX('C_jama.2017.21906'!$L$2:$L$7,MATCH($C6,'C_jama.2017.21906'!$A$2:$A$7,0))="","",INDEX('C_jama.2017.21906'!$L$2:$L$7,MATCH($C6,'C_jama.2017.21906'!$A$2:$A$7,0))),"not_applicable"),"")</f>
        <v/>
      </c>
      <c r="P6" s="16">
        <f>IFERROR(IF(INDEX('C_jama.2017.21906'!$R$2:$R$7,MATCH($C6,'C_jama.2017.21906'!$A$2:$A$7,0))="","",INDEX('C_jama.2017.21906'!$R$2:$R$7,MATCH($C6,'C_jama.2017.21906'!$A$2:$A$7,0))),"")</f>
        <v/>
      </c>
      <c r="Q6" s="16" t="inlineStr">
        <is>
          <t>retain</t>
        </is>
      </c>
      <c r="R6" s="16" t="inlineStr">
        <is>
          <t>report_internal_inconsistency</t>
        </is>
      </c>
    </row>
    <row r="7" ht="70" customHeight="1" s="14">
      <c r="A7" s="17" t="n">
        <v>2018</v>
      </c>
      <c r="B7" s="17" t="inlineStr">
        <is>
          <t>jama.2017.21906</t>
        </is>
      </c>
      <c r="C7" s="17" t="inlineStr">
        <is>
          <t>2018::jama.2017.21906::C006</t>
        </is>
      </c>
      <c r="D7" s="17" t="inlineStr">
        <is>
          <t>P_R</t>
        </is>
      </c>
      <c r="E7" s="17">
        <f>Setup!$B$4</f>
        <v/>
      </c>
      <c r="F7" s="17">
        <f>IF(Setup!$B$2="","",Setup!$B$2)</f>
        <v/>
      </c>
      <c r="G7" s="17">
        <f>IFERROR(INDEX('C_jama.2017.21906'!$G$2:$G$7,MATCH($C7,'C_jama.2017.21906'!$A$2:$A$7,0)),"CHECK KEY")</f>
        <v/>
      </c>
      <c r="H7" s="17">
        <f>IF(OR(G7&lt;&gt;"PRIMARY READY",I7="discuss"),"",IF(I7&lt;&gt;"retain","not_eligible",IF(D7="P_R","protocol_descriptive",IF(D7="P_P","plan_descriptive",IF(AND(OR(D7="S_C",D7="S_W"),J7="statistical_results",OR(K7="confirmed_issue",K7="probable_issue"),L7="substantive"),"primary_temporal",IF(AND(OR(D7="S_C",D7="S_W"),J7="report_internal_inconsistency",N7="substantive_inconsistency"),"secondary_temporal","not_eligible"))))))</f>
        <v/>
      </c>
      <c r="I7" s="17">
        <f>IFERROR(IF(INDEX('C_jama.2017.21906'!$D$2:$D$7,MATCH($C7,'C_jama.2017.21906'!$A$2:$A$7,0))="","",INDEX('C_jama.2017.21906'!$D$2:$D$7,MATCH($C7,'C_jama.2017.21906'!$A$2:$A$7,0))),"")</f>
        <v/>
      </c>
      <c r="J7" s="17">
        <f>IFERROR(IF(INDEX('C_jama.2017.21906'!$E$2:$E$7,MATCH($C7,'C_jama.2017.21906'!$A$2:$A$7,0))="","",INDEX('C_jama.2017.21906'!$E$2:$E$7,MATCH($C7,'C_jama.2017.21906'!$A$2:$A$7,0))),"")</f>
        <v/>
      </c>
      <c r="K7" s="17">
        <f>IFERROR(IF(AND(I7="retain",J7="statistical_results"),IF(INDEX('C_jama.2017.21906'!$H$2:$H$7,MATCH($C7,'C_jama.2017.21906'!$A$2:$A$7,0))="","",INDEX('C_jama.2017.21906'!$H$2:$H$7,MATCH($C7,'C_jama.2017.21906'!$A$2:$A$7,0))),"not_applicable"),"")</f>
        <v/>
      </c>
      <c r="L7" s="17">
        <f>IFERROR(IF(AND(I7="retain",J7="statistical_results"),IF(INDEX('C_jama.2017.21906'!$I$2:$I$7,MATCH($C7,'C_jama.2017.21906'!$A$2:$A$7,0))="","",INDEX('C_jama.2017.21906'!$I$2:$I$7,MATCH($C7,'C_jama.2017.21906'!$A$2:$A$7,0))),"not_applicable"),"")</f>
        <v/>
      </c>
      <c r="M7" s="17">
        <f>IFERROR(IF(AND(I7="retain",J7="statistical_results"),IF(INDEX('C_jama.2017.21906'!$J$2:$J$7,MATCH($C7,'C_jama.2017.21906'!$A$2:$A$7,0))="","",INDEX('C_jama.2017.21906'!$J$2:$J$7,MATCH($C7,'C_jama.2017.21906'!$A$2:$A$7,0))),"not_applicable"),"")</f>
        <v/>
      </c>
      <c r="N7" s="17">
        <f>IFERROR(IF(AND(I7="retain",OR(J7="report_internal_inconsistency",J7="plan_material")),IF(INDEX('C_jama.2017.21906'!$K$2:$K$7,MATCH($C7,'C_jama.2017.21906'!$A$2:$A$7,0))="","",INDEX('C_jama.2017.21906'!$K$2:$K$7,MATCH($C7,'C_jama.2017.21906'!$A$2:$A$7,0))),"not_applicable"),"")</f>
        <v/>
      </c>
      <c r="O7" s="17">
        <f>IFERROR(IF(AND(I7="retain",J7="protocol_report"),IF(INDEX('C_jama.2017.21906'!$L$2:$L$7,MATCH($C7,'C_jama.2017.21906'!$A$2:$A$7,0))="","",INDEX('C_jama.2017.21906'!$L$2:$L$7,MATCH($C7,'C_jama.2017.21906'!$A$2:$A$7,0))),"not_applicable"),"")</f>
        <v/>
      </c>
      <c r="P7" s="17">
        <f>IFERROR(IF(INDEX('C_jama.2017.21906'!$R$2:$R$7,MATCH($C7,'C_jama.2017.21906'!$A$2:$A$7,0))="","",INDEX('C_jama.2017.21906'!$R$2:$R$7,MATCH($C7,'C_jama.2017.21906'!$A$2:$A$7,0))),"")</f>
        <v/>
      </c>
      <c r="Q7" s="17" t="inlineStr">
        <is>
          <t>retain</t>
        </is>
      </c>
      <c r="R7" s="17" t="inlineStr">
        <is>
          <t>protocol_report</t>
        </is>
      </c>
    </row>
    <row r="8" ht="70" customHeight="1" s="14">
      <c r="A8" s="16" t="n">
        <v>2018</v>
      </c>
      <c r="B8" s="16" t="inlineStr">
        <is>
          <t>jama.2018.0156</t>
        </is>
      </c>
      <c r="C8" s="16" t="inlineStr">
        <is>
          <t>2018::jama.2018.0156::C001</t>
        </is>
      </c>
      <c r="D8" s="16" t="inlineStr">
        <is>
          <t>S_W</t>
        </is>
      </c>
      <c r="E8" s="16">
        <f>Setup!$B$4</f>
        <v/>
      </c>
      <c r="F8" s="16">
        <f>IF(Setup!$B$2="","",Setup!$B$2)</f>
        <v/>
      </c>
      <c r="G8" s="16">
        <f>IFERROR(INDEX('C_jama.2018.0156'!$G$2:$G$9,MATCH($C8,'C_jama.2018.0156'!$A$2:$A$9,0)),"CHECK KEY")</f>
        <v/>
      </c>
      <c r="H8" s="16">
        <f>IF(OR(G8&lt;&gt;"PRIMARY READY",I8="discuss"),"",IF(I8&lt;&gt;"retain","not_eligible",IF(D8="P_R","protocol_descriptive",IF(D8="P_P","plan_descriptive",IF(AND(OR(D8="S_C",D8="S_W"),J8="statistical_results",OR(K8="confirmed_issue",K8="probable_issue"),L8="substantive"),"primary_temporal",IF(AND(OR(D8="S_C",D8="S_W"),J8="report_internal_inconsistency",N8="substantive_inconsistency"),"secondary_temporal","not_eligible"))))))</f>
        <v/>
      </c>
      <c r="I8" s="16">
        <f>IFERROR(IF(INDEX('C_jama.2018.0156'!$D$2:$D$9,MATCH($C8,'C_jama.2018.0156'!$A$2:$A$9,0))="","",INDEX('C_jama.2018.0156'!$D$2:$D$9,MATCH($C8,'C_jama.2018.0156'!$A$2:$A$9,0))),"")</f>
        <v/>
      </c>
      <c r="J8" s="16">
        <f>IFERROR(IF(INDEX('C_jama.2018.0156'!$E$2:$E$9,MATCH($C8,'C_jama.2018.0156'!$A$2:$A$9,0))="","",INDEX('C_jama.2018.0156'!$E$2:$E$9,MATCH($C8,'C_jama.2018.0156'!$A$2:$A$9,0))),"")</f>
        <v/>
      </c>
      <c r="K8" s="16">
        <f>IFERROR(IF(AND(I8="retain",J8="statistical_results"),IF(INDEX('C_jama.2018.0156'!$H$2:$H$9,MATCH($C8,'C_jama.2018.0156'!$A$2:$A$9,0))="","",INDEX('C_jama.2018.0156'!$H$2:$H$9,MATCH($C8,'C_jama.2018.0156'!$A$2:$A$9,0))),"not_applicable"),"")</f>
        <v/>
      </c>
      <c r="L8" s="16">
        <f>IFERROR(IF(AND(I8="retain",J8="statistical_results"),IF(INDEX('C_jama.2018.0156'!$I$2:$I$9,MATCH($C8,'C_jama.2018.0156'!$A$2:$A$9,0))="","",INDEX('C_jama.2018.0156'!$I$2:$I$9,MATCH($C8,'C_jama.2018.0156'!$A$2:$A$9,0))),"not_applicable"),"")</f>
        <v/>
      </c>
      <c r="M8" s="16">
        <f>IFERROR(IF(AND(I8="retain",J8="statistical_results"),IF(INDEX('C_jama.2018.0156'!$J$2:$J$9,MATCH($C8,'C_jama.2018.0156'!$A$2:$A$9,0))="","",INDEX('C_jama.2018.0156'!$J$2:$J$9,MATCH($C8,'C_jama.2018.0156'!$A$2:$A$9,0))),"not_applicable"),"")</f>
        <v/>
      </c>
      <c r="N8" s="16">
        <f>IFERROR(IF(AND(I8="retain",OR(J8="report_internal_inconsistency",J8="plan_material")),IF(INDEX('C_jama.2018.0156'!$K$2:$K$9,MATCH($C8,'C_jama.2018.0156'!$A$2:$A$9,0))="","",INDEX('C_jama.2018.0156'!$K$2:$K$9,MATCH($C8,'C_jama.2018.0156'!$A$2:$A$9,0))),"not_applicable"),"")</f>
        <v/>
      </c>
      <c r="O8" s="16">
        <f>IFERROR(IF(AND(I8="retain",J8="protocol_report"),IF(INDEX('C_jama.2018.0156'!$L$2:$L$9,MATCH($C8,'C_jama.2018.0156'!$A$2:$A$9,0))="","",INDEX('C_jama.2018.0156'!$L$2:$L$9,MATCH($C8,'C_jama.2018.0156'!$A$2:$A$9,0))),"not_applicable"),"")</f>
        <v/>
      </c>
      <c r="P8" s="16">
        <f>IFERROR(IF(INDEX('C_jama.2018.0156'!$R$2:$R$9,MATCH($C8,'C_jama.2018.0156'!$A$2:$A$9,0))="","",INDEX('C_jama.2018.0156'!$R$2:$R$9,MATCH($C8,'C_jama.2018.0156'!$A$2:$A$9,0))),"")</f>
        <v/>
      </c>
      <c r="Q8" s="16" t="inlineStr">
        <is>
          <t>retain</t>
        </is>
      </c>
      <c r="R8" s="16" t="inlineStr">
        <is>
          <t>statistical_results</t>
        </is>
      </c>
    </row>
    <row r="9" ht="70" customHeight="1" s="14">
      <c r="A9" s="17" t="n">
        <v>2018</v>
      </c>
      <c r="B9" s="17" t="inlineStr">
        <is>
          <t>jama.2018.0156</t>
        </is>
      </c>
      <c r="C9" s="17" t="inlineStr">
        <is>
          <t>2018::jama.2018.0156::C002</t>
        </is>
      </c>
      <c r="D9" s="17" t="inlineStr">
        <is>
          <t>S_W</t>
        </is>
      </c>
      <c r="E9" s="17">
        <f>Setup!$B$4</f>
        <v/>
      </c>
      <c r="F9" s="17">
        <f>IF(Setup!$B$2="","",Setup!$B$2)</f>
        <v/>
      </c>
      <c r="G9" s="17">
        <f>IFERROR(INDEX('C_jama.2018.0156'!$G$2:$G$9,MATCH($C9,'C_jama.2018.0156'!$A$2:$A$9,0)),"CHECK KEY")</f>
        <v/>
      </c>
      <c r="H9" s="17">
        <f>IF(OR(G9&lt;&gt;"PRIMARY READY",I9="discuss"),"",IF(I9&lt;&gt;"retain","not_eligible",IF(D9="P_R","protocol_descriptive",IF(D9="P_P","plan_descriptive",IF(AND(OR(D9="S_C",D9="S_W"),J9="statistical_results",OR(K9="confirmed_issue",K9="probable_issue"),L9="substantive"),"primary_temporal",IF(AND(OR(D9="S_C",D9="S_W"),J9="report_internal_inconsistency",N9="substantive_inconsistency"),"secondary_temporal","not_eligible"))))))</f>
        <v/>
      </c>
      <c r="I9" s="17">
        <f>IFERROR(IF(INDEX('C_jama.2018.0156'!$D$2:$D$9,MATCH($C9,'C_jama.2018.0156'!$A$2:$A$9,0))="","",INDEX('C_jama.2018.0156'!$D$2:$D$9,MATCH($C9,'C_jama.2018.0156'!$A$2:$A$9,0))),"")</f>
        <v/>
      </c>
      <c r="J9" s="17">
        <f>IFERROR(IF(INDEX('C_jama.2018.0156'!$E$2:$E$9,MATCH($C9,'C_jama.2018.0156'!$A$2:$A$9,0))="","",INDEX('C_jama.2018.0156'!$E$2:$E$9,MATCH($C9,'C_jama.2018.0156'!$A$2:$A$9,0))),"")</f>
        <v/>
      </c>
      <c r="K9" s="17">
        <f>IFERROR(IF(AND(I9="retain",J9="statistical_results"),IF(INDEX('C_jama.2018.0156'!$H$2:$H$9,MATCH($C9,'C_jama.2018.0156'!$A$2:$A$9,0))="","",INDEX('C_jama.2018.0156'!$H$2:$H$9,MATCH($C9,'C_jama.2018.0156'!$A$2:$A$9,0))),"not_applicable"),"")</f>
        <v/>
      </c>
      <c r="L9" s="17">
        <f>IFERROR(IF(AND(I9="retain",J9="statistical_results"),IF(INDEX('C_jama.2018.0156'!$I$2:$I$9,MATCH($C9,'C_jama.2018.0156'!$A$2:$A$9,0))="","",INDEX('C_jama.2018.0156'!$I$2:$I$9,MATCH($C9,'C_jama.2018.0156'!$A$2:$A$9,0))),"not_applicable"),"")</f>
        <v/>
      </c>
      <c r="M9" s="17">
        <f>IFERROR(IF(AND(I9="retain",J9="statistical_results"),IF(INDEX('C_jama.2018.0156'!$J$2:$J$9,MATCH($C9,'C_jama.2018.0156'!$A$2:$A$9,0))="","",INDEX('C_jama.2018.0156'!$J$2:$J$9,MATCH($C9,'C_jama.2018.0156'!$A$2:$A$9,0))),"not_applicable"),"")</f>
        <v/>
      </c>
      <c r="N9" s="17">
        <f>IFERROR(IF(AND(I9="retain",OR(J9="report_internal_inconsistency",J9="plan_material")),IF(INDEX('C_jama.2018.0156'!$K$2:$K$9,MATCH($C9,'C_jama.2018.0156'!$A$2:$A$9,0))="","",INDEX('C_jama.2018.0156'!$K$2:$K$9,MATCH($C9,'C_jama.2018.0156'!$A$2:$A$9,0))),"not_applicable"),"")</f>
        <v/>
      </c>
      <c r="O9" s="17">
        <f>IFERROR(IF(AND(I9="retain",J9="protocol_report"),IF(INDEX('C_jama.2018.0156'!$L$2:$L$9,MATCH($C9,'C_jama.2018.0156'!$A$2:$A$9,0))="","",INDEX('C_jama.2018.0156'!$L$2:$L$9,MATCH($C9,'C_jama.2018.0156'!$A$2:$A$9,0))),"not_applicable"),"")</f>
        <v/>
      </c>
      <c r="P9" s="17">
        <f>IFERROR(IF(INDEX('C_jama.2018.0156'!$R$2:$R$9,MATCH($C9,'C_jama.2018.0156'!$A$2:$A$9,0))="","",INDEX('C_jama.2018.0156'!$R$2:$R$9,MATCH($C9,'C_jama.2018.0156'!$A$2:$A$9,0))),"")</f>
        <v/>
      </c>
      <c r="Q9" s="17" t="inlineStr">
        <is>
          <t>retain</t>
        </is>
      </c>
      <c r="R9" s="17" t="inlineStr">
        <is>
          <t>report_internal_inconsistency</t>
        </is>
      </c>
    </row>
    <row r="10" ht="70" customHeight="1" s="14">
      <c r="A10" s="16" t="n">
        <v>2018</v>
      </c>
      <c r="B10" s="16" t="inlineStr">
        <is>
          <t>jama.2018.0156</t>
        </is>
      </c>
      <c r="C10" s="16" t="inlineStr">
        <is>
          <t>2018::jama.2018.0156::C003</t>
        </is>
      </c>
      <c r="D10" s="16" t="inlineStr">
        <is>
          <t>S_W</t>
        </is>
      </c>
      <c r="E10" s="16">
        <f>Setup!$B$4</f>
        <v/>
      </c>
      <c r="F10" s="16">
        <f>IF(Setup!$B$2="","",Setup!$B$2)</f>
        <v/>
      </c>
      <c r="G10" s="16">
        <f>IFERROR(INDEX('C_jama.2018.0156'!$G$2:$G$9,MATCH($C10,'C_jama.2018.0156'!$A$2:$A$9,0)),"CHECK KEY")</f>
        <v/>
      </c>
      <c r="H10" s="16">
        <f>IF(OR(G10&lt;&gt;"PRIMARY READY",I10="discuss"),"",IF(I10&lt;&gt;"retain","not_eligible",IF(D10="P_R","protocol_descriptive",IF(D10="P_P","plan_descriptive",IF(AND(OR(D10="S_C",D10="S_W"),J10="statistical_results",OR(K10="confirmed_issue",K10="probable_issue"),L10="substantive"),"primary_temporal",IF(AND(OR(D10="S_C",D10="S_W"),J10="report_internal_inconsistency",N10="substantive_inconsistency"),"secondary_temporal","not_eligible"))))))</f>
        <v/>
      </c>
      <c r="I10" s="16">
        <f>IFERROR(IF(INDEX('C_jama.2018.0156'!$D$2:$D$9,MATCH($C10,'C_jama.2018.0156'!$A$2:$A$9,0))="","",INDEX('C_jama.2018.0156'!$D$2:$D$9,MATCH($C10,'C_jama.2018.0156'!$A$2:$A$9,0))),"")</f>
        <v/>
      </c>
      <c r="J10" s="16">
        <f>IFERROR(IF(INDEX('C_jama.2018.0156'!$E$2:$E$9,MATCH($C10,'C_jama.2018.0156'!$A$2:$A$9,0))="","",INDEX('C_jama.2018.0156'!$E$2:$E$9,MATCH($C10,'C_jama.2018.0156'!$A$2:$A$9,0))),"")</f>
        <v/>
      </c>
      <c r="K10" s="16">
        <f>IFERROR(IF(AND(I10="retain",J10="statistical_results"),IF(INDEX('C_jama.2018.0156'!$H$2:$H$9,MATCH($C10,'C_jama.2018.0156'!$A$2:$A$9,0))="","",INDEX('C_jama.2018.0156'!$H$2:$H$9,MATCH($C10,'C_jama.2018.0156'!$A$2:$A$9,0))),"not_applicable"),"")</f>
        <v/>
      </c>
      <c r="L10" s="16">
        <f>IFERROR(IF(AND(I10="retain",J10="statistical_results"),IF(INDEX('C_jama.2018.0156'!$I$2:$I$9,MATCH($C10,'C_jama.2018.0156'!$A$2:$A$9,0))="","",INDEX('C_jama.2018.0156'!$I$2:$I$9,MATCH($C10,'C_jama.2018.0156'!$A$2:$A$9,0))),"not_applicable"),"")</f>
        <v/>
      </c>
      <c r="M10" s="16">
        <f>IFERROR(IF(AND(I10="retain",J10="statistical_results"),IF(INDEX('C_jama.2018.0156'!$J$2:$J$9,MATCH($C10,'C_jama.2018.0156'!$A$2:$A$9,0))="","",INDEX('C_jama.2018.0156'!$J$2:$J$9,MATCH($C10,'C_jama.2018.0156'!$A$2:$A$9,0))),"not_applicable"),"")</f>
        <v/>
      </c>
      <c r="N10" s="16">
        <f>IFERROR(IF(AND(I10="retain",OR(J10="report_internal_inconsistency",J10="plan_material")),IF(INDEX('C_jama.2018.0156'!$K$2:$K$9,MATCH($C10,'C_jama.2018.0156'!$A$2:$A$9,0))="","",INDEX('C_jama.2018.0156'!$K$2:$K$9,MATCH($C10,'C_jama.2018.0156'!$A$2:$A$9,0))),"not_applicable"),"")</f>
        <v/>
      </c>
      <c r="O10" s="16">
        <f>IFERROR(IF(AND(I10="retain",J10="protocol_report"),IF(INDEX('C_jama.2018.0156'!$L$2:$L$9,MATCH($C10,'C_jama.2018.0156'!$A$2:$A$9,0))="","",INDEX('C_jama.2018.0156'!$L$2:$L$9,MATCH($C10,'C_jama.2018.0156'!$A$2:$A$9,0))),"not_applicable"),"")</f>
        <v/>
      </c>
      <c r="P10" s="16">
        <f>IFERROR(IF(INDEX('C_jama.2018.0156'!$R$2:$R$9,MATCH($C10,'C_jama.2018.0156'!$A$2:$A$9,0))="","",INDEX('C_jama.2018.0156'!$R$2:$R$9,MATCH($C10,'C_jama.2018.0156'!$A$2:$A$9,0))),"")</f>
        <v/>
      </c>
      <c r="Q10" s="16" t="inlineStr">
        <is>
          <t>retain</t>
        </is>
      </c>
      <c r="R10" s="16" t="inlineStr">
        <is>
          <t>statistical_results</t>
        </is>
      </c>
    </row>
    <row r="11" ht="70" customHeight="1" s="14">
      <c r="A11" s="17" t="n">
        <v>2018</v>
      </c>
      <c r="B11" s="17" t="inlineStr">
        <is>
          <t>jama.2018.0156</t>
        </is>
      </c>
      <c r="C11" s="17" t="inlineStr">
        <is>
          <t>2018::jama.2018.0156::C004</t>
        </is>
      </c>
      <c r="D11" s="17" t="inlineStr">
        <is>
          <t>S_W</t>
        </is>
      </c>
      <c r="E11" s="17">
        <f>Setup!$B$4</f>
        <v/>
      </c>
      <c r="F11" s="17">
        <f>IF(Setup!$B$2="","",Setup!$B$2)</f>
        <v/>
      </c>
      <c r="G11" s="17">
        <f>IFERROR(INDEX('C_jama.2018.0156'!$G$2:$G$9,MATCH($C11,'C_jama.2018.0156'!$A$2:$A$9,0)),"CHECK KEY")</f>
        <v/>
      </c>
      <c r="H11" s="17">
        <f>IF(OR(G11&lt;&gt;"PRIMARY READY",I11="discuss"),"",IF(I11&lt;&gt;"retain","not_eligible",IF(D11="P_R","protocol_descriptive",IF(D11="P_P","plan_descriptive",IF(AND(OR(D11="S_C",D11="S_W"),J11="statistical_results",OR(K11="confirmed_issue",K11="probable_issue"),L11="substantive"),"primary_temporal",IF(AND(OR(D11="S_C",D11="S_W"),J11="report_internal_inconsistency",N11="substantive_inconsistency"),"secondary_temporal","not_eligible"))))))</f>
        <v/>
      </c>
      <c r="I11" s="17">
        <f>IFERROR(IF(INDEX('C_jama.2018.0156'!$D$2:$D$9,MATCH($C11,'C_jama.2018.0156'!$A$2:$A$9,0))="","",INDEX('C_jama.2018.0156'!$D$2:$D$9,MATCH($C11,'C_jama.2018.0156'!$A$2:$A$9,0))),"")</f>
        <v/>
      </c>
      <c r="J11" s="17">
        <f>IFERROR(IF(INDEX('C_jama.2018.0156'!$E$2:$E$9,MATCH($C11,'C_jama.2018.0156'!$A$2:$A$9,0))="","",INDEX('C_jama.2018.0156'!$E$2:$E$9,MATCH($C11,'C_jama.2018.0156'!$A$2:$A$9,0))),"")</f>
        <v/>
      </c>
      <c r="K11" s="17">
        <f>IFERROR(IF(AND(I11="retain",J11="statistical_results"),IF(INDEX('C_jama.2018.0156'!$H$2:$H$9,MATCH($C11,'C_jama.2018.0156'!$A$2:$A$9,0))="","",INDEX('C_jama.2018.0156'!$H$2:$H$9,MATCH($C11,'C_jama.2018.0156'!$A$2:$A$9,0))),"not_applicable"),"")</f>
        <v/>
      </c>
      <c r="L11" s="17">
        <f>IFERROR(IF(AND(I11="retain",J11="statistical_results"),IF(INDEX('C_jama.2018.0156'!$I$2:$I$9,MATCH($C11,'C_jama.2018.0156'!$A$2:$A$9,0))="","",INDEX('C_jama.2018.0156'!$I$2:$I$9,MATCH($C11,'C_jama.2018.0156'!$A$2:$A$9,0))),"not_applicable"),"")</f>
        <v/>
      </c>
      <c r="M11" s="17">
        <f>IFERROR(IF(AND(I11="retain",J11="statistical_results"),IF(INDEX('C_jama.2018.0156'!$J$2:$J$9,MATCH($C11,'C_jama.2018.0156'!$A$2:$A$9,0))="","",INDEX('C_jama.2018.0156'!$J$2:$J$9,MATCH($C11,'C_jama.2018.0156'!$A$2:$A$9,0))),"not_applicable"),"")</f>
        <v/>
      </c>
      <c r="N11" s="17">
        <f>IFERROR(IF(AND(I11="retain",OR(J11="report_internal_inconsistency",J11="plan_material")),IF(INDEX('C_jama.2018.0156'!$K$2:$K$9,MATCH($C11,'C_jama.2018.0156'!$A$2:$A$9,0))="","",INDEX('C_jama.2018.0156'!$K$2:$K$9,MATCH($C11,'C_jama.2018.0156'!$A$2:$A$9,0))),"not_applicable"),"")</f>
        <v/>
      </c>
      <c r="O11" s="17">
        <f>IFERROR(IF(AND(I11="retain",J11="protocol_report"),IF(INDEX('C_jama.2018.0156'!$L$2:$L$9,MATCH($C11,'C_jama.2018.0156'!$A$2:$A$9,0))="","",INDEX('C_jama.2018.0156'!$L$2:$L$9,MATCH($C11,'C_jama.2018.0156'!$A$2:$A$9,0))),"not_applicable"),"")</f>
        <v/>
      </c>
      <c r="P11" s="17">
        <f>IFERROR(IF(INDEX('C_jama.2018.0156'!$R$2:$R$9,MATCH($C11,'C_jama.2018.0156'!$A$2:$A$9,0))="","",INDEX('C_jama.2018.0156'!$R$2:$R$9,MATCH($C11,'C_jama.2018.0156'!$A$2:$A$9,0))),"")</f>
        <v/>
      </c>
      <c r="Q11" s="17" t="inlineStr">
        <is>
          <t>retain</t>
        </is>
      </c>
      <c r="R11" s="17" t="inlineStr">
        <is>
          <t>statistical_results</t>
        </is>
      </c>
    </row>
    <row r="12" ht="70" customHeight="1" s="14">
      <c r="A12" s="16" t="n">
        <v>2018</v>
      </c>
      <c r="B12" s="16" t="inlineStr">
        <is>
          <t>jama.2018.0156</t>
        </is>
      </c>
      <c r="C12" s="16" t="inlineStr">
        <is>
          <t>2018::jama.2018.0156::C005</t>
        </is>
      </c>
      <c r="D12" s="16" t="inlineStr">
        <is>
          <t>S_W</t>
        </is>
      </c>
      <c r="E12" s="16">
        <f>Setup!$B$4</f>
        <v/>
      </c>
      <c r="F12" s="16">
        <f>IF(Setup!$B$2="","",Setup!$B$2)</f>
        <v/>
      </c>
      <c r="G12" s="16">
        <f>IFERROR(INDEX('C_jama.2018.0156'!$G$2:$G$9,MATCH($C12,'C_jama.2018.0156'!$A$2:$A$9,0)),"CHECK KEY")</f>
        <v/>
      </c>
      <c r="H12" s="16">
        <f>IF(OR(G12&lt;&gt;"PRIMARY READY",I12="discuss"),"",IF(I12&lt;&gt;"retain","not_eligible",IF(D12="P_R","protocol_descriptive",IF(D12="P_P","plan_descriptive",IF(AND(OR(D12="S_C",D12="S_W"),J12="statistical_results",OR(K12="confirmed_issue",K12="probable_issue"),L12="substantive"),"primary_temporal",IF(AND(OR(D12="S_C",D12="S_W"),J12="report_internal_inconsistency",N12="substantive_inconsistency"),"secondary_temporal","not_eligible"))))))</f>
        <v/>
      </c>
      <c r="I12" s="16">
        <f>IFERROR(IF(INDEX('C_jama.2018.0156'!$D$2:$D$9,MATCH($C12,'C_jama.2018.0156'!$A$2:$A$9,0))="","",INDEX('C_jama.2018.0156'!$D$2:$D$9,MATCH($C12,'C_jama.2018.0156'!$A$2:$A$9,0))),"")</f>
        <v/>
      </c>
      <c r="J12" s="16">
        <f>IFERROR(IF(INDEX('C_jama.2018.0156'!$E$2:$E$9,MATCH($C12,'C_jama.2018.0156'!$A$2:$A$9,0))="","",INDEX('C_jama.2018.0156'!$E$2:$E$9,MATCH($C12,'C_jama.2018.0156'!$A$2:$A$9,0))),"")</f>
        <v/>
      </c>
      <c r="K12" s="16">
        <f>IFERROR(IF(AND(I12="retain",J12="statistical_results"),IF(INDEX('C_jama.2018.0156'!$H$2:$H$9,MATCH($C12,'C_jama.2018.0156'!$A$2:$A$9,0))="","",INDEX('C_jama.2018.0156'!$H$2:$H$9,MATCH($C12,'C_jama.2018.0156'!$A$2:$A$9,0))),"not_applicable"),"")</f>
        <v/>
      </c>
      <c r="L12" s="16">
        <f>IFERROR(IF(AND(I12="retain",J12="statistical_results"),IF(INDEX('C_jama.2018.0156'!$I$2:$I$9,MATCH($C12,'C_jama.2018.0156'!$A$2:$A$9,0))="","",INDEX('C_jama.2018.0156'!$I$2:$I$9,MATCH($C12,'C_jama.2018.0156'!$A$2:$A$9,0))),"not_applicable"),"")</f>
        <v/>
      </c>
      <c r="M12" s="16">
        <f>IFERROR(IF(AND(I12="retain",J12="statistical_results"),IF(INDEX('C_jama.2018.0156'!$J$2:$J$9,MATCH($C12,'C_jama.2018.0156'!$A$2:$A$9,0))="","",INDEX('C_jama.2018.0156'!$J$2:$J$9,MATCH($C12,'C_jama.2018.0156'!$A$2:$A$9,0))),"not_applicable"),"")</f>
        <v/>
      </c>
      <c r="N12" s="16">
        <f>IFERROR(IF(AND(I12="retain",OR(J12="report_internal_inconsistency",J12="plan_material")),IF(INDEX('C_jama.2018.0156'!$K$2:$K$9,MATCH($C12,'C_jama.2018.0156'!$A$2:$A$9,0))="","",INDEX('C_jama.2018.0156'!$K$2:$K$9,MATCH($C12,'C_jama.2018.0156'!$A$2:$A$9,0))),"not_applicable"),"")</f>
        <v/>
      </c>
      <c r="O12" s="16">
        <f>IFERROR(IF(AND(I12="retain",J12="protocol_report"),IF(INDEX('C_jama.2018.0156'!$L$2:$L$9,MATCH($C12,'C_jama.2018.0156'!$A$2:$A$9,0))="","",INDEX('C_jama.2018.0156'!$L$2:$L$9,MATCH($C12,'C_jama.2018.0156'!$A$2:$A$9,0))),"not_applicable"),"")</f>
        <v/>
      </c>
      <c r="P12" s="16">
        <f>IFERROR(IF(INDEX('C_jama.2018.0156'!$R$2:$R$9,MATCH($C12,'C_jama.2018.0156'!$A$2:$A$9,0))="","",INDEX('C_jama.2018.0156'!$R$2:$R$9,MATCH($C12,'C_jama.2018.0156'!$A$2:$A$9,0))),"")</f>
        <v/>
      </c>
      <c r="Q12" s="16" t="inlineStr">
        <is>
          <t>retain</t>
        </is>
      </c>
      <c r="R12" s="16" t="inlineStr">
        <is>
          <t>statistical_results</t>
        </is>
      </c>
    </row>
    <row r="13" ht="70" customHeight="1" s="14">
      <c r="A13" s="17" t="n">
        <v>2018</v>
      </c>
      <c r="B13" s="17" t="inlineStr">
        <is>
          <t>jama.2018.0156</t>
        </is>
      </c>
      <c r="C13" s="17" t="inlineStr">
        <is>
          <t>2018::jama.2018.0156::C006</t>
        </is>
      </c>
      <c r="D13" s="17" t="inlineStr">
        <is>
          <t>S_C</t>
        </is>
      </c>
      <c r="E13" s="17">
        <f>Setup!$B$4</f>
        <v/>
      </c>
      <c r="F13" s="17">
        <f>IF(Setup!$B$2="","",Setup!$B$2)</f>
        <v/>
      </c>
      <c r="G13" s="17">
        <f>IFERROR(INDEX('C_jama.2018.0156'!$G$2:$G$9,MATCH($C13,'C_jama.2018.0156'!$A$2:$A$9,0)),"CHECK KEY")</f>
        <v/>
      </c>
      <c r="H13" s="17">
        <f>IF(OR(G13&lt;&gt;"PRIMARY READY",I13="discuss"),"",IF(I13&lt;&gt;"retain","not_eligible",IF(D13="P_R","protocol_descriptive",IF(D13="P_P","plan_descriptive",IF(AND(OR(D13="S_C",D13="S_W"),J13="statistical_results",OR(K13="confirmed_issue",K13="probable_issue"),L13="substantive"),"primary_temporal",IF(AND(OR(D13="S_C",D13="S_W"),J13="report_internal_inconsistency",N13="substantive_inconsistency"),"secondary_temporal","not_eligible"))))))</f>
        <v/>
      </c>
      <c r="I13" s="17">
        <f>IFERROR(IF(INDEX('C_jama.2018.0156'!$D$2:$D$9,MATCH($C13,'C_jama.2018.0156'!$A$2:$A$9,0))="","",INDEX('C_jama.2018.0156'!$D$2:$D$9,MATCH($C13,'C_jama.2018.0156'!$A$2:$A$9,0))),"")</f>
        <v/>
      </c>
      <c r="J13" s="17">
        <f>IFERROR(IF(INDEX('C_jama.2018.0156'!$E$2:$E$9,MATCH($C13,'C_jama.2018.0156'!$A$2:$A$9,0))="","",INDEX('C_jama.2018.0156'!$E$2:$E$9,MATCH($C13,'C_jama.2018.0156'!$A$2:$A$9,0))),"")</f>
        <v/>
      </c>
      <c r="K13" s="17">
        <f>IFERROR(IF(AND(I13="retain",J13="statistical_results"),IF(INDEX('C_jama.2018.0156'!$H$2:$H$9,MATCH($C13,'C_jama.2018.0156'!$A$2:$A$9,0))="","",INDEX('C_jama.2018.0156'!$H$2:$H$9,MATCH($C13,'C_jama.2018.0156'!$A$2:$A$9,0))),"not_applicable"),"")</f>
        <v/>
      </c>
      <c r="L13" s="17">
        <f>IFERROR(IF(AND(I13="retain",J13="statistical_results"),IF(INDEX('C_jama.2018.0156'!$I$2:$I$9,MATCH($C13,'C_jama.2018.0156'!$A$2:$A$9,0))="","",INDEX('C_jama.2018.0156'!$I$2:$I$9,MATCH($C13,'C_jama.2018.0156'!$A$2:$A$9,0))),"not_applicable"),"")</f>
        <v/>
      </c>
      <c r="M13" s="17">
        <f>IFERROR(IF(AND(I13="retain",J13="statistical_results"),IF(INDEX('C_jama.2018.0156'!$J$2:$J$9,MATCH($C13,'C_jama.2018.0156'!$A$2:$A$9,0))="","",INDEX('C_jama.2018.0156'!$J$2:$J$9,MATCH($C13,'C_jama.2018.0156'!$A$2:$A$9,0))),"not_applicable"),"")</f>
        <v/>
      </c>
      <c r="N13" s="17">
        <f>IFERROR(IF(AND(I13="retain",OR(J13="report_internal_inconsistency",J13="plan_material")),IF(INDEX('C_jama.2018.0156'!$K$2:$K$9,MATCH($C13,'C_jama.2018.0156'!$A$2:$A$9,0))="","",INDEX('C_jama.2018.0156'!$K$2:$K$9,MATCH($C13,'C_jama.2018.0156'!$A$2:$A$9,0))),"not_applicable"),"")</f>
        <v/>
      </c>
      <c r="O13" s="17">
        <f>IFERROR(IF(AND(I13="retain",J13="protocol_report"),IF(INDEX('C_jama.2018.0156'!$L$2:$L$9,MATCH($C13,'C_jama.2018.0156'!$A$2:$A$9,0))="","",INDEX('C_jama.2018.0156'!$L$2:$L$9,MATCH($C13,'C_jama.2018.0156'!$A$2:$A$9,0))),"not_applicable"),"")</f>
        <v/>
      </c>
      <c r="P13" s="17">
        <f>IFERROR(IF(INDEX('C_jama.2018.0156'!$R$2:$R$9,MATCH($C13,'C_jama.2018.0156'!$A$2:$A$9,0))="","",INDEX('C_jama.2018.0156'!$R$2:$R$9,MATCH($C13,'C_jama.2018.0156'!$A$2:$A$9,0))),"")</f>
        <v/>
      </c>
      <c r="Q13" s="17" t="inlineStr">
        <is>
          <t>retain</t>
        </is>
      </c>
      <c r="R13" s="17" t="inlineStr">
        <is>
          <t>report_internal_inconsistency</t>
        </is>
      </c>
    </row>
    <row r="14" ht="70" customHeight="1" s="14">
      <c r="A14" s="16" t="n">
        <v>2018</v>
      </c>
      <c r="B14" s="16" t="inlineStr">
        <is>
          <t>jama.2018.0156</t>
        </is>
      </c>
      <c r="C14" s="16" t="inlineStr">
        <is>
          <t>2018::jama.2018.0156::C007</t>
        </is>
      </c>
      <c r="D14" s="16" t="inlineStr">
        <is>
          <t>P_R</t>
        </is>
      </c>
      <c r="E14" s="16">
        <f>Setup!$B$4</f>
        <v/>
      </c>
      <c r="F14" s="16">
        <f>IF(Setup!$B$2="","",Setup!$B$2)</f>
        <v/>
      </c>
      <c r="G14" s="16">
        <f>IFERROR(INDEX('C_jama.2018.0156'!$G$2:$G$9,MATCH($C14,'C_jama.2018.0156'!$A$2:$A$9,0)),"CHECK KEY")</f>
        <v/>
      </c>
      <c r="H14" s="16">
        <f>IF(OR(G14&lt;&gt;"PRIMARY READY",I14="discuss"),"",IF(I14&lt;&gt;"retain","not_eligible",IF(D14="P_R","protocol_descriptive",IF(D14="P_P","plan_descriptive",IF(AND(OR(D14="S_C",D14="S_W"),J14="statistical_results",OR(K14="confirmed_issue",K14="probable_issue"),L14="substantive"),"primary_temporal",IF(AND(OR(D14="S_C",D14="S_W"),J14="report_internal_inconsistency",N14="substantive_inconsistency"),"secondary_temporal","not_eligible"))))))</f>
        <v/>
      </c>
      <c r="I14" s="16">
        <f>IFERROR(IF(INDEX('C_jama.2018.0156'!$D$2:$D$9,MATCH($C14,'C_jama.2018.0156'!$A$2:$A$9,0))="","",INDEX('C_jama.2018.0156'!$D$2:$D$9,MATCH($C14,'C_jama.2018.0156'!$A$2:$A$9,0))),"")</f>
        <v/>
      </c>
      <c r="J14" s="16">
        <f>IFERROR(IF(INDEX('C_jama.2018.0156'!$E$2:$E$9,MATCH($C14,'C_jama.2018.0156'!$A$2:$A$9,0))="","",INDEX('C_jama.2018.0156'!$E$2:$E$9,MATCH($C14,'C_jama.2018.0156'!$A$2:$A$9,0))),"")</f>
        <v/>
      </c>
      <c r="K14" s="16">
        <f>IFERROR(IF(AND(I14="retain",J14="statistical_results"),IF(INDEX('C_jama.2018.0156'!$H$2:$H$9,MATCH($C14,'C_jama.2018.0156'!$A$2:$A$9,0))="","",INDEX('C_jama.2018.0156'!$H$2:$H$9,MATCH($C14,'C_jama.2018.0156'!$A$2:$A$9,0))),"not_applicable"),"")</f>
        <v/>
      </c>
      <c r="L14" s="16">
        <f>IFERROR(IF(AND(I14="retain",J14="statistical_results"),IF(INDEX('C_jama.2018.0156'!$I$2:$I$9,MATCH($C14,'C_jama.2018.0156'!$A$2:$A$9,0))="","",INDEX('C_jama.2018.0156'!$I$2:$I$9,MATCH($C14,'C_jama.2018.0156'!$A$2:$A$9,0))),"not_applicable"),"")</f>
        <v/>
      </c>
      <c r="M14" s="16">
        <f>IFERROR(IF(AND(I14="retain",J14="statistical_results"),IF(INDEX('C_jama.2018.0156'!$J$2:$J$9,MATCH($C14,'C_jama.2018.0156'!$A$2:$A$9,0))="","",INDEX('C_jama.2018.0156'!$J$2:$J$9,MATCH($C14,'C_jama.2018.0156'!$A$2:$A$9,0))),"not_applicable"),"")</f>
        <v/>
      </c>
      <c r="N14" s="16">
        <f>IFERROR(IF(AND(I14="retain",OR(J14="report_internal_inconsistency",J14="plan_material")),IF(INDEX('C_jama.2018.0156'!$K$2:$K$9,MATCH($C14,'C_jama.2018.0156'!$A$2:$A$9,0))="","",INDEX('C_jama.2018.0156'!$K$2:$K$9,MATCH($C14,'C_jama.2018.0156'!$A$2:$A$9,0))),"not_applicable"),"")</f>
        <v/>
      </c>
      <c r="O14" s="16">
        <f>IFERROR(IF(AND(I14="retain",J14="protocol_report"),IF(INDEX('C_jama.2018.0156'!$L$2:$L$9,MATCH($C14,'C_jama.2018.0156'!$A$2:$A$9,0))="","",INDEX('C_jama.2018.0156'!$L$2:$L$9,MATCH($C14,'C_jama.2018.0156'!$A$2:$A$9,0))),"not_applicable"),"")</f>
        <v/>
      </c>
      <c r="P14" s="16">
        <f>IFERROR(IF(INDEX('C_jama.2018.0156'!$R$2:$R$9,MATCH($C14,'C_jama.2018.0156'!$A$2:$A$9,0))="","",INDEX('C_jama.2018.0156'!$R$2:$R$9,MATCH($C14,'C_jama.2018.0156'!$A$2:$A$9,0))),"")</f>
        <v/>
      </c>
      <c r="Q14" s="16" t="inlineStr">
        <is>
          <t>retain</t>
        </is>
      </c>
      <c r="R14" s="16" t="inlineStr">
        <is>
          <t>protocol_report</t>
        </is>
      </c>
    </row>
    <row r="15" ht="70" customHeight="1" s="14">
      <c r="A15" s="17" t="n">
        <v>2018</v>
      </c>
      <c r="B15" s="17" t="inlineStr">
        <is>
          <t>jama.2018.0156</t>
        </is>
      </c>
      <c r="C15" s="17" t="inlineStr">
        <is>
          <t>2018::jama.2018.0156::C008</t>
        </is>
      </c>
      <c r="D15" s="17" t="inlineStr">
        <is>
          <t>P_R</t>
        </is>
      </c>
      <c r="E15" s="17">
        <f>Setup!$B$4</f>
        <v/>
      </c>
      <c r="F15" s="17">
        <f>IF(Setup!$B$2="","",Setup!$B$2)</f>
        <v/>
      </c>
      <c r="G15" s="17">
        <f>IFERROR(INDEX('C_jama.2018.0156'!$G$2:$G$9,MATCH($C15,'C_jama.2018.0156'!$A$2:$A$9,0)),"CHECK KEY")</f>
        <v/>
      </c>
      <c r="H15" s="17">
        <f>IF(OR(G15&lt;&gt;"PRIMARY READY",I15="discuss"),"",IF(I15&lt;&gt;"retain","not_eligible",IF(D15="P_R","protocol_descriptive",IF(D15="P_P","plan_descriptive",IF(AND(OR(D15="S_C",D15="S_W"),J15="statistical_results",OR(K15="confirmed_issue",K15="probable_issue"),L15="substantive"),"primary_temporal",IF(AND(OR(D15="S_C",D15="S_W"),J15="report_internal_inconsistency",N15="substantive_inconsistency"),"secondary_temporal","not_eligible"))))))</f>
        <v/>
      </c>
      <c r="I15" s="17">
        <f>IFERROR(IF(INDEX('C_jama.2018.0156'!$D$2:$D$9,MATCH($C15,'C_jama.2018.0156'!$A$2:$A$9,0))="","",INDEX('C_jama.2018.0156'!$D$2:$D$9,MATCH($C15,'C_jama.2018.0156'!$A$2:$A$9,0))),"")</f>
        <v/>
      </c>
      <c r="J15" s="17">
        <f>IFERROR(IF(INDEX('C_jama.2018.0156'!$E$2:$E$9,MATCH($C15,'C_jama.2018.0156'!$A$2:$A$9,0))="","",INDEX('C_jama.2018.0156'!$E$2:$E$9,MATCH($C15,'C_jama.2018.0156'!$A$2:$A$9,0))),"")</f>
        <v/>
      </c>
      <c r="K15" s="17">
        <f>IFERROR(IF(AND(I15="retain",J15="statistical_results"),IF(INDEX('C_jama.2018.0156'!$H$2:$H$9,MATCH($C15,'C_jama.2018.0156'!$A$2:$A$9,0))="","",INDEX('C_jama.2018.0156'!$H$2:$H$9,MATCH($C15,'C_jama.2018.0156'!$A$2:$A$9,0))),"not_applicable"),"")</f>
        <v/>
      </c>
      <c r="L15" s="17">
        <f>IFERROR(IF(AND(I15="retain",J15="statistical_results"),IF(INDEX('C_jama.2018.0156'!$I$2:$I$9,MATCH($C15,'C_jama.2018.0156'!$A$2:$A$9,0))="","",INDEX('C_jama.2018.0156'!$I$2:$I$9,MATCH($C15,'C_jama.2018.0156'!$A$2:$A$9,0))),"not_applicable"),"")</f>
        <v/>
      </c>
      <c r="M15" s="17">
        <f>IFERROR(IF(AND(I15="retain",J15="statistical_results"),IF(INDEX('C_jama.2018.0156'!$J$2:$J$9,MATCH($C15,'C_jama.2018.0156'!$A$2:$A$9,0))="","",INDEX('C_jama.2018.0156'!$J$2:$J$9,MATCH($C15,'C_jama.2018.0156'!$A$2:$A$9,0))),"not_applicable"),"")</f>
        <v/>
      </c>
      <c r="N15" s="17">
        <f>IFERROR(IF(AND(I15="retain",OR(J15="report_internal_inconsistency",J15="plan_material")),IF(INDEX('C_jama.2018.0156'!$K$2:$K$9,MATCH($C15,'C_jama.2018.0156'!$A$2:$A$9,0))="","",INDEX('C_jama.2018.0156'!$K$2:$K$9,MATCH($C15,'C_jama.2018.0156'!$A$2:$A$9,0))),"not_applicable"),"")</f>
        <v/>
      </c>
      <c r="O15" s="17">
        <f>IFERROR(IF(AND(I15="retain",J15="protocol_report"),IF(INDEX('C_jama.2018.0156'!$L$2:$L$9,MATCH($C15,'C_jama.2018.0156'!$A$2:$A$9,0))="","",INDEX('C_jama.2018.0156'!$L$2:$L$9,MATCH($C15,'C_jama.2018.0156'!$A$2:$A$9,0))),"not_applicable"),"")</f>
        <v/>
      </c>
      <c r="P15" s="17">
        <f>IFERROR(IF(INDEX('C_jama.2018.0156'!$R$2:$R$9,MATCH($C15,'C_jama.2018.0156'!$A$2:$A$9,0))="","",INDEX('C_jama.2018.0156'!$R$2:$R$9,MATCH($C15,'C_jama.2018.0156'!$A$2:$A$9,0))),"")</f>
        <v/>
      </c>
      <c r="Q15" s="17" t="inlineStr">
        <is>
          <t>discuss</t>
        </is>
      </c>
      <c r="R15" s="17" t="inlineStr">
        <is>
          <t>protocol_report</t>
        </is>
      </c>
    </row>
    <row r="16" ht="70" customHeight="1" s="14">
      <c r="A16" s="16" t="n">
        <v>2018</v>
      </c>
      <c r="B16" s="16" t="inlineStr">
        <is>
          <t>jama.2018.0948</t>
        </is>
      </c>
      <c r="C16" s="16" t="inlineStr">
        <is>
          <t>2018::jama.2018.0948::C001</t>
        </is>
      </c>
      <c r="D16" s="16" t="inlineStr">
        <is>
          <t>P_R</t>
        </is>
      </c>
      <c r="E16" s="16">
        <f>Setup!$B$4</f>
        <v/>
      </c>
      <c r="F16" s="16">
        <f>IF(Setup!$B$2="","",Setup!$B$2)</f>
        <v/>
      </c>
      <c r="G16" s="16">
        <f>IFERROR(INDEX('C_jama.2018.0948'!$G$2:$G$8,MATCH($C16,'C_jama.2018.0948'!$A$2:$A$8,0)),"CHECK KEY")</f>
        <v/>
      </c>
      <c r="H16" s="16">
        <f>IF(OR(G16&lt;&gt;"PRIMARY READY",I16="discuss"),"",IF(I16&lt;&gt;"retain","not_eligible",IF(D16="P_R","protocol_descriptive",IF(D16="P_P","plan_descriptive",IF(AND(OR(D16="S_C",D16="S_W"),J16="statistical_results",OR(K16="confirmed_issue",K16="probable_issue"),L16="substantive"),"primary_temporal",IF(AND(OR(D16="S_C",D16="S_W"),J16="report_internal_inconsistency",N16="substantive_inconsistency"),"secondary_temporal","not_eligible"))))))</f>
        <v/>
      </c>
      <c r="I16" s="16">
        <f>IFERROR(IF(INDEX('C_jama.2018.0948'!$D$2:$D$8,MATCH($C16,'C_jama.2018.0948'!$A$2:$A$8,0))="","",INDEX('C_jama.2018.0948'!$D$2:$D$8,MATCH($C16,'C_jama.2018.0948'!$A$2:$A$8,0))),"")</f>
        <v/>
      </c>
      <c r="J16" s="16">
        <f>IFERROR(IF(INDEX('C_jama.2018.0948'!$E$2:$E$8,MATCH($C16,'C_jama.2018.0948'!$A$2:$A$8,0))="","",INDEX('C_jama.2018.0948'!$E$2:$E$8,MATCH($C16,'C_jama.2018.0948'!$A$2:$A$8,0))),"")</f>
        <v/>
      </c>
      <c r="K16" s="16">
        <f>IFERROR(IF(AND(I16="retain",J16="statistical_results"),IF(INDEX('C_jama.2018.0948'!$H$2:$H$8,MATCH($C16,'C_jama.2018.0948'!$A$2:$A$8,0))="","",INDEX('C_jama.2018.0948'!$H$2:$H$8,MATCH($C16,'C_jama.2018.0948'!$A$2:$A$8,0))),"not_applicable"),"")</f>
        <v/>
      </c>
      <c r="L16" s="16">
        <f>IFERROR(IF(AND(I16="retain",J16="statistical_results"),IF(INDEX('C_jama.2018.0948'!$I$2:$I$8,MATCH($C16,'C_jama.2018.0948'!$A$2:$A$8,0))="","",INDEX('C_jama.2018.0948'!$I$2:$I$8,MATCH($C16,'C_jama.2018.0948'!$A$2:$A$8,0))),"not_applicable"),"")</f>
        <v/>
      </c>
      <c r="M16" s="16">
        <f>IFERROR(IF(AND(I16="retain",J16="statistical_results"),IF(INDEX('C_jama.2018.0948'!$J$2:$J$8,MATCH($C16,'C_jama.2018.0948'!$A$2:$A$8,0))="","",INDEX('C_jama.2018.0948'!$J$2:$J$8,MATCH($C16,'C_jama.2018.0948'!$A$2:$A$8,0))),"not_applicable"),"")</f>
        <v/>
      </c>
      <c r="N16" s="16">
        <f>IFERROR(IF(AND(I16="retain",OR(J16="report_internal_inconsistency",J16="plan_material")),IF(INDEX('C_jama.2018.0948'!$K$2:$K$8,MATCH($C16,'C_jama.2018.0948'!$A$2:$A$8,0))="","",INDEX('C_jama.2018.0948'!$K$2:$K$8,MATCH($C16,'C_jama.2018.0948'!$A$2:$A$8,0))),"not_applicable"),"")</f>
        <v/>
      </c>
      <c r="O16" s="16">
        <f>IFERROR(IF(AND(I16="retain",J16="protocol_report"),IF(INDEX('C_jama.2018.0948'!$L$2:$L$8,MATCH($C16,'C_jama.2018.0948'!$A$2:$A$8,0))="","",INDEX('C_jama.2018.0948'!$L$2:$L$8,MATCH($C16,'C_jama.2018.0948'!$A$2:$A$8,0))),"not_applicable"),"")</f>
        <v/>
      </c>
      <c r="P16" s="16">
        <f>IFERROR(IF(INDEX('C_jama.2018.0948'!$R$2:$R$8,MATCH($C16,'C_jama.2018.0948'!$A$2:$A$8,0))="","",INDEX('C_jama.2018.0948'!$R$2:$R$8,MATCH($C16,'C_jama.2018.0948'!$A$2:$A$8,0))),"")</f>
        <v/>
      </c>
      <c r="Q16" s="16" t="inlineStr">
        <is>
          <t>retain</t>
        </is>
      </c>
      <c r="R16" s="16" t="inlineStr">
        <is>
          <t>protocol_report</t>
        </is>
      </c>
    </row>
    <row r="17" ht="70" customHeight="1" s="14">
      <c r="A17" s="17" t="n">
        <v>2018</v>
      </c>
      <c r="B17" s="17" t="inlineStr">
        <is>
          <t>jama.2018.0948</t>
        </is>
      </c>
      <c r="C17" s="17" t="inlineStr">
        <is>
          <t>2018::jama.2018.0948::C002</t>
        </is>
      </c>
      <c r="D17" s="17" t="inlineStr">
        <is>
          <t>P_P</t>
        </is>
      </c>
      <c r="E17" s="17">
        <f>Setup!$B$4</f>
        <v/>
      </c>
      <c r="F17" s="17">
        <f>IF(Setup!$B$2="","",Setup!$B$2)</f>
        <v/>
      </c>
      <c r="G17" s="17">
        <f>IFERROR(INDEX('C_jama.2018.0948'!$G$2:$G$8,MATCH($C17,'C_jama.2018.0948'!$A$2:$A$8,0)),"CHECK KEY")</f>
        <v/>
      </c>
      <c r="H17" s="17">
        <f>IF(OR(G17&lt;&gt;"PRIMARY READY",I17="discuss"),"",IF(I17&lt;&gt;"retain","not_eligible",IF(D17="P_R","protocol_descriptive",IF(D17="P_P","plan_descriptive",IF(AND(OR(D17="S_C",D17="S_W"),J17="statistical_results",OR(K17="confirmed_issue",K17="probable_issue"),L17="substantive"),"primary_temporal",IF(AND(OR(D17="S_C",D17="S_W"),J17="report_internal_inconsistency",N17="substantive_inconsistency"),"secondary_temporal","not_eligible"))))))</f>
        <v/>
      </c>
      <c r="I17" s="17">
        <f>IFERROR(IF(INDEX('C_jama.2018.0948'!$D$2:$D$8,MATCH($C17,'C_jama.2018.0948'!$A$2:$A$8,0))="","",INDEX('C_jama.2018.0948'!$D$2:$D$8,MATCH($C17,'C_jama.2018.0948'!$A$2:$A$8,0))),"")</f>
        <v/>
      </c>
      <c r="J17" s="17">
        <f>IFERROR(IF(INDEX('C_jama.2018.0948'!$E$2:$E$8,MATCH($C17,'C_jama.2018.0948'!$A$2:$A$8,0))="","",INDEX('C_jama.2018.0948'!$E$2:$E$8,MATCH($C17,'C_jama.2018.0948'!$A$2:$A$8,0))),"")</f>
        <v/>
      </c>
      <c r="K17" s="17">
        <f>IFERROR(IF(AND(I17="retain",J17="statistical_results"),IF(INDEX('C_jama.2018.0948'!$H$2:$H$8,MATCH($C17,'C_jama.2018.0948'!$A$2:$A$8,0))="","",INDEX('C_jama.2018.0948'!$H$2:$H$8,MATCH($C17,'C_jama.2018.0948'!$A$2:$A$8,0))),"not_applicable"),"")</f>
        <v/>
      </c>
      <c r="L17" s="17">
        <f>IFERROR(IF(AND(I17="retain",J17="statistical_results"),IF(INDEX('C_jama.2018.0948'!$I$2:$I$8,MATCH($C17,'C_jama.2018.0948'!$A$2:$A$8,0))="","",INDEX('C_jama.2018.0948'!$I$2:$I$8,MATCH($C17,'C_jama.2018.0948'!$A$2:$A$8,0))),"not_applicable"),"")</f>
        <v/>
      </c>
      <c r="M17" s="17">
        <f>IFERROR(IF(AND(I17="retain",J17="statistical_results"),IF(INDEX('C_jama.2018.0948'!$J$2:$J$8,MATCH($C17,'C_jama.2018.0948'!$A$2:$A$8,0))="","",INDEX('C_jama.2018.0948'!$J$2:$J$8,MATCH($C17,'C_jama.2018.0948'!$A$2:$A$8,0))),"not_applicable"),"")</f>
        <v/>
      </c>
      <c r="N17" s="17">
        <f>IFERROR(IF(AND(I17="retain",OR(J17="report_internal_inconsistency",J17="plan_material")),IF(INDEX('C_jama.2018.0948'!$K$2:$K$8,MATCH($C17,'C_jama.2018.0948'!$A$2:$A$8,0))="","",INDEX('C_jama.2018.0948'!$K$2:$K$8,MATCH($C17,'C_jama.2018.0948'!$A$2:$A$8,0))),"not_applicable"),"")</f>
        <v/>
      </c>
      <c r="O17" s="17">
        <f>IFERROR(IF(AND(I17="retain",J17="protocol_report"),IF(INDEX('C_jama.2018.0948'!$L$2:$L$8,MATCH($C17,'C_jama.2018.0948'!$A$2:$A$8,0))="","",INDEX('C_jama.2018.0948'!$L$2:$L$8,MATCH($C17,'C_jama.2018.0948'!$A$2:$A$8,0))),"not_applicable"),"")</f>
        <v/>
      </c>
      <c r="P17" s="17">
        <f>IFERROR(IF(INDEX('C_jama.2018.0948'!$R$2:$R$8,MATCH($C17,'C_jama.2018.0948'!$A$2:$A$8,0))="","",INDEX('C_jama.2018.0948'!$R$2:$R$8,MATCH($C17,'C_jama.2018.0948'!$A$2:$A$8,0))),"")</f>
        <v/>
      </c>
      <c r="Q17" s="17" t="inlineStr">
        <is>
          <t>retain</t>
        </is>
      </c>
      <c r="R17" s="17" t="inlineStr">
        <is>
          <t>plan_material</t>
        </is>
      </c>
    </row>
    <row r="18" ht="70" customHeight="1" s="14">
      <c r="A18" s="16" t="n">
        <v>2018</v>
      </c>
      <c r="B18" s="16" t="inlineStr">
        <is>
          <t>jama.2018.0948</t>
        </is>
      </c>
      <c r="C18" s="16" t="inlineStr">
        <is>
          <t>2018::jama.2018.0948::C003</t>
        </is>
      </c>
      <c r="D18" s="16" t="inlineStr">
        <is>
          <t>P_P</t>
        </is>
      </c>
      <c r="E18" s="16">
        <f>Setup!$B$4</f>
        <v/>
      </c>
      <c r="F18" s="16">
        <f>IF(Setup!$B$2="","",Setup!$B$2)</f>
        <v/>
      </c>
      <c r="G18" s="16">
        <f>IFERROR(INDEX('C_jama.2018.0948'!$G$2:$G$8,MATCH($C18,'C_jama.2018.0948'!$A$2:$A$8,0)),"CHECK KEY")</f>
        <v/>
      </c>
      <c r="H18" s="16">
        <f>IF(OR(G18&lt;&gt;"PRIMARY READY",I18="discuss"),"",IF(I18&lt;&gt;"retain","not_eligible",IF(D18="P_R","protocol_descriptive",IF(D18="P_P","plan_descriptive",IF(AND(OR(D18="S_C",D18="S_W"),J18="statistical_results",OR(K18="confirmed_issue",K18="probable_issue"),L18="substantive"),"primary_temporal",IF(AND(OR(D18="S_C",D18="S_W"),J18="report_internal_inconsistency",N18="substantive_inconsistency"),"secondary_temporal","not_eligible"))))))</f>
        <v/>
      </c>
      <c r="I18" s="16">
        <f>IFERROR(IF(INDEX('C_jama.2018.0948'!$D$2:$D$8,MATCH($C18,'C_jama.2018.0948'!$A$2:$A$8,0))="","",INDEX('C_jama.2018.0948'!$D$2:$D$8,MATCH($C18,'C_jama.2018.0948'!$A$2:$A$8,0))),"")</f>
        <v/>
      </c>
      <c r="J18" s="16">
        <f>IFERROR(IF(INDEX('C_jama.2018.0948'!$E$2:$E$8,MATCH($C18,'C_jama.2018.0948'!$A$2:$A$8,0))="","",INDEX('C_jama.2018.0948'!$E$2:$E$8,MATCH($C18,'C_jama.2018.0948'!$A$2:$A$8,0))),"")</f>
        <v/>
      </c>
      <c r="K18" s="16">
        <f>IFERROR(IF(AND(I18="retain",J18="statistical_results"),IF(INDEX('C_jama.2018.0948'!$H$2:$H$8,MATCH($C18,'C_jama.2018.0948'!$A$2:$A$8,0))="","",INDEX('C_jama.2018.0948'!$H$2:$H$8,MATCH($C18,'C_jama.2018.0948'!$A$2:$A$8,0))),"not_applicable"),"")</f>
        <v/>
      </c>
      <c r="L18" s="16">
        <f>IFERROR(IF(AND(I18="retain",J18="statistical_results"),IF(INDEX('C_jama.2018.0948'!$I$2:$I$8,MATCH($C18,'C_jama.2018.0948'!$A$2:$A$8,0))="","",INDEX('C_jama.2018.0948'!$I$2:$I$8,MATCH($C18,'C_jama.2018.0948'!$A$2:$A$8,0))),"not_applicable"),"")</f>
        <v/>
      </c>
      <c r="M18" s="16">
        <f>IFERROR(IF(AND(I18="retain",J18="statistical_results"),IF(INDEX('C_jama.2018.0948'!$J$2:$J$8,MATCH($C18,'C_jama.2018.0948'!$A$2:$A$8,0))="","",INDEX('C_jama.2018.0948'!$J$2:$J$8,MATCH($C18,'C_jama.2018.0948'!$A$2:$A$8,0))),"not_applicable"),"")</f>
        <v/>
      </c>
      <c r="N18" s="16">
        <f>IFERROR(IF(AND(I18="retain",OR(J18="report_internal_inconsistency",J18="plan_material")),IF(INDEX('C_jama.2018.0948'!$K$2:$K$8,MATCH($C18,'C_jama.2018.0948'!$A$2:$A$8,0))="","",INDEX('C_jama.2018.0948'!$K$2:$K$8,MATCH($C18,'C_jama.2018.0948'!$A$2:$A$8,0))),"not_applicable"),"")</f>
        <v/>
      </c>
      <c r="O18" s="16">
        <f>IFERROR(IF(AND(I18="retain",J18="protocol_report"),IF(INDEX('C_jama.2018.0948'!$L$2:$L$8,MATCH($C18,'C_jama.2018.0948'!$A$2:$A$8,0))="","",INDEX('C_jama.2018.0948'!$L$2:$L$8,MATCH($C18,'C_jama.2018.0948'!$A$2:$A$8,0))),"not_applicable"),"")</f>
        <v/>
      </c>
      <c r="P18" s="16">
        <f>IFERROR(IF(INDEX('C_jama.2018.0948'!$R$2:$R$8,MATCH($C18,'C_jama.2018.0948'!$A$2:$A$8,0))="","",INDEX('C_jama.2018.0948'!$R$2:$R$8,MATCH($C18,'C_jama.2018.0948'!$A$2:$A$8,0))),"")</f>
        <v/>
      </c>
      <c r="Q18" s="16" t="inlineStr">
        <is>
          <t>retain</t>
        </is>
      </c>
      <c r="R18" s="16" t="inlineStr">
        <is>
          <t>plan_material</t>
        </is>
      </c>
    </row>
    <row r="19" ht="70" customHeight="1" s="14">
      <c r="A19" s="17" t="n">
        <v>2018</v>
      </c>
      <c r="B19" s="17" t="inlineStr">
        <is>
          <t>jama.2018.0948</t>
        </is>
      </c>
      <c r="C19" s="17" t="inlineStr">
        <is>
          <t>2018::jama.2018.0948::C004</t>
        </is>
      </c>
      <c r="D19" s="17" t="inlineStr">
        <is>
          <t>P_P</t>
        </is>
      </c>
      <c r="E19" s="17">
        <f>Setup!$B$4</f>
        <v/>
      </c>
      <c r="F19" s="17">
        <f>IF(Setup!$B$2="","",Setup!$B$2)</f>
        <v/>
      </c>
      <c r="G19" s="17">
        <f>IFERROR(INDEX('C_jama.2018.0948'!$G$2:$G$8,MATCH($C19,'C_jama.2018.0948'!$A$2:$A$8,0)),"CHECK KEY")</f>
        <v/>
      </c>
      <c r="H19" s="17">
        <f>IF(OR(G19&lt;&gt;"PRIMARY READY",I19="discuss"),"",IF(I19&lt;&gt;"retain","not_eligible",IF(D19="P_R","protocol_descriptive",IF(D19="P_P","plan_descriptive",IF(AND(OR(D19="S_C",D19="S_W"),J19="statistical_results",OR(K19="confirmed_issue",K19="probable_issue"),L19="substantive"),"primary_temporal",IF(AND(OR(D19="S_C",D19="S_W"),J19="report_internal_inconsistency",N19="substantive_inconsistency"),"secondary_temporal","not_eligible"))))))</f>
        <v/>
      </c>
      <c r="I19" s="17">
        <f>IFERROR(IF(INDEX('C_jama.2018.0948'!$D$2:$D$8,MATCH($C19,'C_jama.2018.0948'!$A$2:$A$8,0))="","",INDEX('C_jama.2018.0948'!$D$2:$D$8,MATCH($C19,'C_jama.2018.0948'!$A$2:$A$8,0))),"")</f>
        <v/>
      </c>
      <c r="J19" s="17">
        <f>IFERROR(IF(INDEX('C_jama.2018.0948'!$E$2:$E$8,MATCH($C19,'C_jama.2018.0948'!$A$2:$A$8,0))="","",INDEX('C_jama.2018.0948'!$E$2:$E$8,MATCH($C19,'C_jama.2018.0948'!$A$2:$A$8,0))),"")</f>
        <v/>
      </c>
      <c r="K19" s="17">
        <f>IFERROR(IF(AND(I19="retain",J19="statistical_results"),IF(INDEX('C_jama.2018.0948'!$H$2:$H$8,MATCH($C19,'C_jama.2018.0948'!$A$2:$A$8,0))="","",INDEX('C_jama.2018.0948'!$H$2:$H$8,MATCH($C19,'C_jama.2018.0948'!$A$2:$A$8,0))),"not_applicable"),"")</f>
        <v/>
      </c>
      <c r="L19" s="17">
        <f>IFERROR(IF(AND(I19="retain",J19="statistical_results"),IF(INDEX('C_jama.2018.0948'!$I$2:$I$8,MATCH($C19,'C_jama.2018.0948'!$A$2:$A$8,0))="","",INDEX('C_jama.2018.0948'!$I$2:$I$8,MATCH($C19,'C_jama.2018.0948'!$A$2:$A$8,0))),"not_applicable"),"")</f>
        <v/>
      </c>
      <c r="M19" s="17">
        <f>IFERROR(IF(AND(I19="retain",J19="statistical_results"),IF(INDEX('C_jama.2018.0948'!$J$2:$J$8,MATCH($C19,'C_jama.2018.0948'!$A$2:$A$8,0))="","",INDEX('C_jama.2018.0948'!$J$2:$J$8,MATCH($C19,'C_jama.2018.0948'!$A$2:$A$8,0))),"not_applicable"),"")</f>
        <v/>
      </c>
      <c r="N19" s="17">
        <f>IFERROR(IF(AND(I19="retain",OR(J19="report_internal_inconsistency",J19="plan_material")),IF(INDEX('C_jama.2018.0948'!$K$2:$K$8,MATCH($C19,'C_jama.2018.0948'!$A$2:$A$8,0))="","",INDEX('C_jama.2018.0948'!$K$2:$K$8,MATCH($C19,'C_jama.2018.0948'!$A$2:$A$8,0))),"not_applicable"),"")</f>
        <v/>
      </c>
      <c r="O19" s="17">
        <f>IFERROR(IF(AND(I19="retain",J19="protocol_report"),IF(INDEX('C_jama.2018.0948'!$L$2:$L$8,MATCH($C19,'C_jama.2018.0948'!$A$2:$A$8,0))="","",INDEX('C_jama.2018.0948'!$L$2:$L$8,MATCH($C19,'C_jama.2018.0948'!$A$2:$A$8,0))),"not_applicable"),"")</f>
        <v/>
      </c>
      <c r="P19" s="17">
        <f>IFERROR(IF(INDEX('C_jama.2018.0948'!$R$2:$R$8,MATCH($C19,'C_jama.2018.0948'!$A$2:$A$8,0))="","",INDEX('C_jama.2018.0948'!$R$2:$R$8,MATCH($C19,'C_jama.2018.0948'!$A$2:$A$8,0))),"")</f>
        <v/>
      </c>
      <c r="Q19" s="17" t="inlineStr">
        <is>
          <t>retain</t>
        </is>
      </c>
      <c r="R19" s="17" t="inlineStr">
        <is>
          <t>plan_material</t>
        </is>
      </c>
    </row>
    <row r="20" ht="70" customHeight="1" s="14">
      <c r="A20" s="16" t="n">
        <v>2018</v>
      </c>
      <c r="B20" s="16" t="inlineStr">
        <is>
          <t>jama.2018.0948</t>
        </is>
      </c>
      <c r="C20" s="16" t="inlineStr">
        <is>
          <t>2018::jama.2018.0948::C005</t>
        </is>
      </c>
      <c r="D20" s="16" t="inlineStr">
        <is>
          <t>P_P</t>
        </is>
      </c>
      <c r="E20" s="16">
        <f>Setup!$B$4</f>
        <v/>
      </c>
      <c r="F20" s="16">
        <f>IF(Setup!$B$2="","",Setup!$B$2)</f>
        <v/>
      </c>
      <c r="G20" s="16">
        <f>IFERROR(INDEX('C_jama.2018.0948'!$G$2:$G$8,MATCH($C20,'C_jama.2018.0948'!$A$2:$A$8,0)),"CHECK KEY")</f>
        <v/>
      </c>
      <c r="H20" s="16">
        <f>IF(OR(G20&lt;&gt;"PRIMARY READY",I20="discuss"),"",IF(I20&lt;&gt;"retain","not_eligible",IF(D20="P_R","protocol_descriptive",IF(D20="P_P","plan_descriptive",IF(AND(OR(D20="S_C",D20="S_W"),J20="statistical_results",OR(K20="confirmed_issue",K20="probable_issue"),L20="substantive"),"primary_temporal",IF(AND(OR(D20="S_C",D20="S_W"),J20="report_internal_inconsistency",N20="substantive_inconsistency"),"secondary_temporal","not_eligible"))))))</f>
        <v/>
      </c>
      <c r="I20" s="16">
        <f>IFERROR(IF(INDEX('C_jama.2018.0948'!$D$2:$D$8,MATCH($C20,'C_jama.2018.0948'!$A$2:$A$8,0))="","",INDEX('C_jama.2018.0948'!$D$2:$D$8,MATCH($C20,'C_jama.2018.0948'!$A$2:$A$8,0))),"")</f>
        <v/>
      </c>
      <c r="J20" s="16">
        <f>IFERROR(IF(INDEX('C_jama.2018.0948'!$E$2:$E$8,MATCH($C20,'C_jama.2018.0948'!$A$2:$A$8,0))="","",INDEX('C_jama.2018.0948'!$E$2:$E$8,MATCH($C20,'C_jama.2018.0948'!$A$2:$A$8,0))),"")</f>
        <v/>
      </c>
      <c r="K20" s="16">
        <f>IFERROR(IF(AND(I20="retain",J20="statistical_results"),IF(INDEX('C_jama.2018.0948'!$H$2:$H$8,MATCH($C20,'C_jama.2018.0948'!$A$2:$A$8,0))="","",INDEX('C_jama.2018.0948'!$H$2:$H$8,MATCH($C20,'C_jama.2018.0948'!$A$2:$A$8,0))),"not_applicable"),"")</f>
        <v/>
      </c>
      <c r="L20" s="16">
        <f>IFERROR(IF(AND(I20="retain",J20="statistical_results"),IF(INDEX('C_jama.2018.0948'!$I$2:$I$8,MATCH($C20,'C_jama.2018.0948'!$A$2:$A$8,0))="","",INDEX('C_jama.2018.0948'!$I$2:$I$8,MATCH($C20,'C_jama.2018.0948'!$A$2:$A$8,0))),"not_applicable"),"")</f>
        <v/>
      </c>
      <c r="M20" s="16">
        <f>IFERROR(IF(AND(I20="retain",J20="statistical_results"),IF(INDEX('C_jama.2018.0948'!$J$2:$J$8,MATCH($C20,'C_jama.2018.0948'!$A$2:$A$8,0))="","",INDEX('C_jama.2018.0948'!$J$2:$J$8,MATCH($C20,'C_jama.2018.0948'!$A$2:$A$8,0))),"not_applicable"),"")</f>
        <v/>
      </c>
      <c r="N20" s="16">
        <f>IFERROR(IF(AND(I20="retain",OR(J20="report_internal_inconsistency",J20="plan_material")),IF(INDEX('C_jama.2018.0948'!$K$2:$K$8,MATCH($C20,'C_jama.2018.0948'!$A$2:$A$8,0))="","",INDEX('C_jama.2018.0948'!$K$2:$K$8,MATCH($C20,'C_jama.2018.0948'!$A$2:$A$8,0))),"not_applicable"),"")</f>
        <v/>
      </c>
      <c r="O20" s="16">
        <f>IFERROR(IF(AND(I20="retain",J20="protocol_report"),IF(INDEX('C_jama.2018.0948'!$L$2:$L$8,MATCH($C20,'C_jama.2018.0948'!$A$2:$A$8,0))="","",INDEX('C_jama.2018.0948'!$L$2:$L$8,MATCH($C20,'C_jama.2018.0948'!$A$2:$A$8,0))),"not_applicable"),"")</f>
        <v/>
      </c>
      <c r="P20" s="16">
        <f>IFERROR(IF(INDEX('C_jama.2018.0948'!$R$2:$R$8,MATCH($C20,'C_jama.2018.0948'!$A$2:$A$8,0))="","",INDEX('C_jama.2018.0948'!$R$2:$R$8,MATCH($C20,'C_jama.2018.0948'!$A$2:$A$8,0))),"")</f>
        <v/>
      </c>
      <c r="Q20" s="16" t="inlineStr">
        <is>
          <t>retain</t>
        </is>
      </c>
      <c r="R20" s="16" t="inlineStr">
        <is>
          <t>plan_material</t>
        </is>
      </c>
    </row>
    <row r="21" ht="70" customHeight="1" s="14">
      <c r="A21" s="17" t="n">
        <v>2018</v>
      </c>
      <c r="B21" s="17" t="inlineStr">
        <is>
          <t>jama.2018.0948</t>
        </is>
      </c>
      <c r="C21" s="17" t="inlineStr">
        <is>
          <t>2018::jama.2018.0948::C006</t>
        </is>
      </c>
      <c r="D21" s="17" t="inlineStr">
        <is>
          <t>P_P</t>
        </is>
      </c>
      <c r="E21" s="17">
        <f>Setup!$B$4</f>
        <v/>
      </c>
      <c r="F21" s="17">
        <f>IF(Setup!$B$2="","",Setup!$B$2)</f>
        <v/>
      </c>
      <c r="G21" s="17">
        <f>IFERROR(INDEX('C_jama.2018.0948'!$G$2:$G$8,MATCH($C21,'C_jama.2018.0948'!$A$2:$A$8,0)),"CHECK KEY")</f>
        <v/>
      </c>
      <c r="H21" s="17">
        <f>IF(OR(G21&lt;&gt;"PRIMARY READY",I21="discuss"),"",IF(I21&lt;&gt;"retain","not_eligible",IF(D21="P_R","protocol_descriptive",IF(D21="P_P","plan_descriptive",IF(AND(OR(D21="S_C",D21="S_W"),J21="statistical_results",OR(K21="confirmed_issue",K21="probable_issue"),L21="substantive"),"primary_temporal",IF(AND(OR(D21="S_C",D21="S_W"),J21="report_internal_inconsistency",N21="substantive_inconsistency"),"secondary_temporal","not_eligible"))))))</f>
        <v/>
      </c>
      <c r="I21" s="17">
        <f>IFERROR(IF(INDEX('C_jama.2018.0948'!$D$2:$D$8,MATCH($C21,'C_jama.2018.0948'!$A$2:$A$8,0))="","",INDEX('C_jama.2018.0948'!$D$2:$D$8,MATCH($C21,'C_jama.2018.0948'!$A$2:$A$8,0))),"")</f>
        <v/>
      </c>
      <c r="J21" s="17">
        <f>IFERROR(IF(INDEX('C_jama.2018.0948'!$E$2:$E$8,MATCH($C21,'C_jama.2018.0948'!$A$2:$A$8,0))="","",INDEX('C_jama.2018.0948'!$E$2:$E$8,MATCH($C21,'C_jama.2018.0948'!$A$2:$A$8,0))),"")</f>
        <v/>
      </c>
      <c r="K21" s="17">
        <f>IFERROR(IF(AND(I21="retain",J21="statistical_results"),IF(INDEX('C_jama.2018.0948'!$H$2:$H$8,MATCH($C21,'C_jama.2018.0948'!$A$2:$A$8,0))="","",INDEX('C_jama.2018.0948'!$H$2:$H$8,MATCH($C21,'C_jama.2018.0948'!$A$2:$A$8,0))),"not_applicable"),"")</f>
        <v/>
      </c>
      <c r="L21" s="17">
        <f>IFERROR(IF(AND(I21="retain",J21="statistical_results"),IF(INDEX('C_jama.2018.0948'!$I$2:$I$8,MATCH($C21,'C_jama.2018.0948'!$A$2:$A$8,0))="","",INDEX('C_jama.2018.0948'!$I$2:$I$8,MATCH($C21,'C_jama.2018.0948'!$A$2:$A$8,0))),"not_applicable"),"")</f>
        <v/>
      </c>
      <c r="M21" s="17">
        <f>IFERROR(IF(AND(I21="retain",J21="statistical_results"),IF(INDEX('C_jama.2018.0948'!$J$2:$J$8,MATCH($C21,'C_jama.2018.0948'!$A$2:$A$8,0))="","",INDEX('C_jama.2018.0948'!$J$2:$J$8,MATCH($C21,'C_jama.2018.0948'!$A$2:$A$8,0))),"not_applicable"),"")</f>
        <v/>
      </c>
      <c r="N21" s="17">
        <f>IFERROR(IF(AND(I21="retain",OR(J21="report_internal_inconsistency",J21="plan_material")),IF(INDEX('C_jama.2018.0948'!$K$2:$K$8,MATCH($C21,'C_jama.2018.0948'!$A$2:$A$8,0))="","",INDEX('C_jama.2018.0948'!$K$2:$K$8,MATCH($C21,'C_jama.2018.0948'!$A$2:$A$8,0))),"not_applicable"),"")</f>
        <v/>
      </c>
      <c r="O21" s="17">
        <f>IFERROR(IF(AND(I21="retain",J21="protocol_report"),IF(INDEX('C_jama.2018.0948'!$L$2:$L$8,MATCH($C21,'C_jama.2018.0948'!$A$2:$A$8,0))="","",INDEX('C_jama.2018.0948'!$L$2:$L$8,MATCH($C21,'C_jama.2018.0948'!$A$2:$A$8,0))),"not_applicable"),"")</f>
        <v/>
      </c>
      <c r="P21" s="17">
        <f>IFERROR(IF(INDEX('C_jama.2018.0948'!$R$2:$R$8,MATCH($C21,'C_jama.2018.0948'!$A$2:$A$8,0))="","",INDEX('C_jama.2018.0948'!$R$2:$R$8,MATCH($C21,'C_jama.2018.0948'!$A$2:$A$8,0))),"")</f>
        <v/>
      </c>
      <c r="Q21" s="17" t="inlineStr">
        <is>
          <t>retain</t>
        </is>
      </c>
      <c r="R21" s="17" t="inlineStr">
        <is>
          <t>plan_material</t>
        </is>
      </c>
    </row>
    <row r="22" ht="70" customHeight="1" s="14">
      <c r="A22" s="16" t="n">
        <v>2018</v>
      </c>
      <c r="B22" s="16" t="inlineStr">
        <is>
          <t>jama.2018.0948</t>
        </is>
      </c>
      <c r="C22" s="16" t="inlineStr">
        <is>
          <t>2018::jama.2018.0948::C007</t>
        </is>
      </c>
      <c r="D22" s="16" t="inlineStr">
        <is>
          <t>P_P</t>
        </is>
      </c>
      <c r="E22" s="16">
        <f>Setup!$B$4</f>
        <v/>
      </c>
      <c r="F22" s="16">
        <f>IF(Setup!$B$2="","",Setup!$B$2)</f>
        <v/>
      </c>
      <c r="G22" s="16">
        <f>IFERROR(INDEX('C_jama.2018.0948'!$G$2:$G$8,MATCH($C22,'C_jama.2018.0948'!$A$2:$A$8,0)),"CHECK KEY")</f>
        <v/>
      </c>
      <c r="H22" s="16">
        <f>IF(OR(G22&lt;&gt;"PRIMARY READY",I22="discuss"),"",IF(I22&lt;&gt;"retain","not_eligible",IF(D22="P_R","protocol_descriptive",IF(D22="P_P","plan_descriptive",IF(AND(OR(D22="S_C",D22="S_W"),J22="statistical_results",OR(K22="confirmed_issue",K22="probable_issue"),L22="substantive"),"primary_temporal",IF(AND(OR(D22="S_C",D22="S_W"),J22="report_internal_inconsistency",N22="substantive_inconsistency"),"secondary_temporal","not_eligible"))))))</f>
        <v/>
      </c>
      <c r="I22" s="16">
        <f>IFERROR(IF(INDEX('C_jama.2018.0948'!$D$2:$D$8,MATCH($C22,'C_jama.2018.0948'!$A$2:$A$8,0))="","",INDEX('C_jama.2018.0948'!$D$2:$D$8,MATCH($C22,'C_jama.2018.0948'!$A$2:$A$8,0))),"")</f>
        <v/>
      </c>
      <c r="J22" s="16">
        <f>IFERROR(IF(INDEX('C_jama.2018.0948'!$E$2:$E$8,MATCH($C22,'C_jama.2018.0948'!$A$2:$A$8,0))="","",INDEX('C_jama.2018.0948'!$E$2:$E$8,MATCH($C22,'C_jama.2018.0948'!$A$2:$A$8,0))),"")</f>
        <v/>
      </c>
      <c r="K22" s="16">
        <f>IFERROR(IF(AND(I22="retain",J22="statistical_results"),IF(INDEX('C_jama.2018.0948'!$H$2:$H$8,MATCH($C22,'C_jama.2018.0948'!$A$2:$A$8,0))="","",INDEX('C_jama.2018.0948'!$H$2:$H$8,MATCH($C22,'C_jama.2018.0948'!$A$2:$A$8,0))),"not_applicable"),"")</f>
        <v/>
      </c>
      <c r="L22" s="16">
        <f>IFERROR(IF(AND(I22="retain",J22="statistical_results"),IF(INDEX('C_jama.2018.0948'!$I$2:$I$8,MATCH($C22,'C_jama.2018.0948'!$A$2:$A$8,0))="","",INDEX('C_jama.2018.0948'!$I$2:$I$8,MATCH($C22,'C_jama.2018.0948'!$A$2:$A$8,0))),"not_applicable"),"")</f>
        <v/>
      </c>
      <c r="M22" s="16">
        <f>IFERROR(IF(AND(I22="retain",J22="statistical_results"),IF(INDEX('C_jama.2018.0948'!$J$2:$J$8,MATCH($C22,'C_jama.2018.0948'!$A$2:$A$8,0))="","",INDEX('C_jama.2018.0948'!$J$2:$J$8,MATCH($C22,'C_jama.2018.0948'!$A$2:$A$8,0))),"not_applicable"),"")</f>
        <v/>
      </c>
      <c r="N22" s="16">
        <f>IFERROR(IF(AND(I22="retain",OR(J22="report_internal_inconsistency",J22="plan_material")),IF(INDEX('C_jama.2018.0948'!$K$2:$K$8,MATCH($C22,'C_jama.2018.0948'!$A$2:$A$8,0))="","",INDEX('C_jama.2018.0948'!$K$2:$K$8,MATCH($C22,'C_jama.2018.0948'!$A$2:$A$8,0))),"not_applicable"),"")</f>
        <v/>
      </c>
      <c r="O22" s="16">
        <f>IFERROR(IF(AND(I22="retain",J22="protocol_report"),IF(INDEX('C_jama.2018.0948'!$L$2:$L$8,MATCH($C22,'C_jama.2018.0948'!$A$2:$A$8,0))="","",INDEX('C_jama.2018.0948'!$L$2:$L$8,MATCH($C22,'C_jama.2018.0948'!$A$2:$A$8,0))),"not_applicable"),"")</f>
        <v/>
      </c>
      <c r="P22" s="16">
        <f>IFERROR(IF(INDEX('C_jama.2018.0948'!$R$2:$R$8,MATCH($C22,'C_jama.2018.0948'!$A$2:$A$8,0))="","",INDEX('C_jama.2018.0948'!$R$2:$R$8,MATCH($C22,'C_jama.2018.0948'!$A$2:$A$8,0))),"")</f>
        <v/>
      </c>
      <c r="Q22" s="16" t="inlineStr">
        <is>
          <t>retain</t>
        </is>
      </c>
      <c r="R22" s="16" t="inlineStr">
        <is>
          <t>plan_material</t>
        </is>
      </c>
    </row>
    <row r="23" ht="70" customHeight="1" s="14">
      <c r="A23" s="17" t="n">
        <v>2018</v>
      </c>
      <c r="B23" s="17" t="inlineStr">
        <is>
          <t>jama.2018.14280</t>
        </is>
      </c>
      <c r="C23" s="17" t="inlineStr">
        <is>
          <t>2018::jama.2018.14280::C001</t>
        </is>
      </c>
      <c r="D23" s="17" t="inlineStr">
        <is>
          <t>S_W</t>
        </is>
      </c>
      <c r="E23" s="17">
        <f>Setup!$B$4</f>
        <v/>
      </c>
      <c r="F23" s="17">
        <f>IF(Setup!$B$2="","",Setup!$B$2)</f>
        <v/>
      </c>
      <c r="G23" s="17">
        <f>IFERROR(INDEX('C_jama.2018.14280'!$G$2:$G$24,MATCH($C23,'C_jama.2018.14280'!$A$2:$A$24,0)),"CHECK KEY")</f>
        <v/>
      </c>
      <c r="H23" s="17">
        <f>IF(OR(G23&lt;&gt;"PRIMARY READY",I23="discuss"),"",IF(I23&lt;&gt;"retain","not_eligible",IF(D23="P_R","protocol_descriptive",IF(D23="P_P","plan_descriptive",IF(AND(OR(D23="S_C",D23="S_W"),J23="statistical_results",OR(K23="confirmed_issue",K23="probable_issue"),L23="substantive"),"primary_temporal",IF(AND(OR(D23="S_C",D23="S_W"),J23="report_internal_inconsistency",N23="substantive_inconsistency"),"secondary_temporal","not_eligible"))))))</f>
        <v/>
      </c>
      <c r="I23" s="17">
        <f>IFERROR(IF(INDEX('C_jama.2018.14280'!$D$2:$D$24,MATCH($C23,'C_jama.2018.14280'!$A$2:$A$24,0))="","",INDEX('C_jama.2018.14280'!$D$2:$D$24,MATCH($C23,'C_jama.2018.14280'!$A$2:$A$24,0))),"")</f>
        <v/>
      </c>
      <c r="J23" s="17">
        <f>IFERROR(IF(INDEX('C_jama.2018.14280'!$E$2:$E$24,MATCH($C23,'C_jama.2018.14280'!$A$2:$A$24,0))="","",INDEX('C_jama.2018.14280'!$E$2:$E$24,MATCH($C23,'C_jama.2018.14280'!$A$2:$A$24,0))),"")</f>
        <v/>
      </c>
      <c r="K23" s="17">
        <f>IFERROR(IF(AND(I23="retain",J23="statistical_results"),IF(INDEX('C_jama.2018.14280'!$H$2:$H$24,MATCH($C23,'C_jama.2018.14280'!$A$2:$A$24,0))="","",INDEX('C_jama.2018.14280'!$H$2:$H$24,MATCH($C23,'C_jama.2018.14280'!$A$2:$A$24,0))),"not_applicable"),"")</f>
        <v/>
      </c>
      <c r="L23" s="17">
        <f>IFERROR(IF(AND(I23="retain",J23="statistical_results"),IF(INDEX('C_jama.2018.14280'!$I$2:$I$24,MATCH($C23,'C_jama.2018.14280'!$A$2:$A$24,0))="","",INDEX('C_jama.2018.14280'!$I$2:$I$24,MATCH($C23,'C_jama.2018.14280'!$A$2:$A$24,0))),"not_applicable"),"")</f>
        <v/>
      </c>
      <c r="M23" s="17">
        <f>IFERROR(IF(AND(I23="retain",J23="statistical_results"),IF(INDEX('C_jama.2018.14280'!$J$2:$J$24,MATCH($C23,'C_jama.2018.14280'!$A$2:$A$24,0))="","",INDEX('C_jama.2018.14280'!$J$2:$J$24,MATCH($C23,'C_jama.2018.14280'!$A$2:$A$24,0))),"not_applicable"),"")</f>
        <v/>
      </c>
      <c r="N23" s="17">
        <f>IFERROR(IF(AND(I23="retain",OR(J23="report_internal_inconsistency",J23="plan_material")),IF(INDEX('C_jama.2018.14280'!$K$2:$K$24,MATCH($C23,'C_jama.2018.14280'!$A$2:$A$24,0))="","",INDEX('C_jama.2018.14280'!$K$2:$K$24,MATCH($C23,'C_jama.2018.14280'!$A$2:$A$24,0))),"not_applicable"),"")</f>
        <v/>
      </c>
      <c r="O23" s="17">
        <f>IFERROR(IF(AND(I23="retain",J23="protocol_report"),IF(INDEX('C_jama.2018.14280'!$L$2:$L$24,MATCH($C23,'C_jama.2018.14280'!$A$2:$A$24,0))="","",INDEX('C_jama.2018.14280'!$L$2:$L$24,MATCH($C23,'C_jama.2018.14280'!$A$2:$A$24,0))),"not_applicable"),"")</f>
        <v/>
      </c>
      <c r="P23" s="17">
        <f>IFERROR(IF(INDEX('C_jama.2018.14280'!$R$2:$R$24,MATCH($C23,'C_jama.2018.14280'!$A$2:$A$24,0))="","",INDEX('C_jama.2018.14280'!$R$2:$R$24,MATCH($C23,'C_jama.2018.14280'!$A$2:$A$24,0))),"")</f>
        <v/>
      </c>
      <c r="Q23" s="17" t="inlineStr">
        <is>
          <t>retain</t>
        </is>
      </c>
      <c r="R23" s="17" t="inlineStr">
        <is>
          <t>statistical_results</t>
        </is>
      </c>
    </row>
    <row r="24" ht="70" customHeight="1" s="14">
      <c r="A24" s="16" t="n">
        <v>2018</v>
      </c>
      <c r="B24" s="16" t="inlineStr">
        <is>
          <t>jama.2018.14280</t>
        </is>
      </c>
      <c r="C24" s="16" t="inlineStr">
        <is>
          <t>2018::jama.2018.14280::C002</t>
        </is>
      </c>
      <c r="D24" s="16" t="inlineStr">
        <is>
          <t>S_W</t>
        </is>
      </c>
      <c r="E24" s="16">
        <f>Setup!$B$4</f>
        <v/>
      </c>
      <c r="F24" s="16">
        <f>IF(Setup!$B$2="","",Setup!$B$2)</f>
        <v/>
      </c>
      <c r="G24" s="16">
        <f>IFERROR(INDEX('C_jama.2018.14280'!$G$2:$G$24,MATCH($C24,'C_jama.2018.14280'!$A$2:$A$24,0)),"CHECK KEY")</f>
        <v/>
      </c>
      <c r="H24" s="16">
        <f>IF(OR(G24&lt;&gt;"PRIMARY READY",I24="discuss"),"",IF(I24&lt;&gt;"retain","not_eligible",IF(D24="P_R","protocol_descriptive",IF(D24="P_P","plan_descriptive",IF(AND(OR(D24="S_C",D24="S_W"),J24="statistical_results",OR(K24="confirmed_issue",K24="probable_issue"),L24="substantive"),"primary_temporal",IF(AND(OR(D24="S_C",D24="S_W"),J24="report_internal_inconsistency",N24="substantive_inconsistency"),"secondary_temporal","not_eligible"))))))</f>
        <v/>
      </c>
      <c r="I24" s="16">
        <f>IFERROR(IF(INDEX('C_jama.2018.14280'!$D$2:$D$24,MATCH($C24,'C_jama.2018.14280'!$A$2:$A$24,0))="","",INDEX('C_jama.2018.14280'!$D$2:$D$24,MATCH($C24,'C_jama.2018.14280'!$A$2:$A$24,0))),"")</f>
        <v/>
      </c>
      <c r="J24" s="16">
        <f>IFERROR(IF(INDEX('C_jama.2018.14280'!$E$2:$E$24,MATCH($C24,'C_jama.2018.14280'!$A$2:$A$24,0))="","",INDEX('C_jama.2018.14280'!$E$2:$E$24,MATCH($C24,'C_jama.2018.14280'!$A$2:$A$24,0))),"")</f>
        <v/>
      </c>
      <c r="K24" s="16">
        <f>IFERROR(IF(AND(I24="retain",J24="statistical_results"),IF(INDEX('C_jama.2018.14280'!$H$2:$H$24,MATCH($C24,'C_jama.2018.14280'!$A$2:$A$24,0))="","",INDEX('C_jama.2018.14280'!$H$2:$H$24,MATCH($C24,'C_jama.2018.14280'!$A$2:$A$24,0))),"not_applicable"),"")</f>
        <v/>
      </c>
      <c r="L24" s="16">
        <f>IFERROR(IF(AND(I24="retain",J24="statistical_results"),IF(INDEX('C_jama.2018.14280'!$I$2:$I$24,MATCH($C24,'C_jama.2018.14280'!$A$2:$A$24,0))="","",INDEX('C_jama.2018.14280'!$I$2:$I$24,MATCH($C24,'C_jama.2018.14280'!$A$2:$A$24,0))),"not_applicable"),"")</f>
        <v/>
      </c>
      <c r="M24" s="16">
        <f>IFERROR(IF(AND(I24="retain",J24="statistical_results"),IF(INDEX('C_jama.2018.14280'!$J$2:$J$24,MATCH($C24,'C_jama.2018.14280'!$A$2:$A$24,0))="","",INDEX('C_jama.2018.14280'!$J$2:$J$24,MATCH($C24,'C_jama.2018.14280'!$A$2:$A$24,0))),"not_applicable"),"")</f>
        <v/>
      </c>
      <c r="N24" s="16">
        <f>IFERROR(IF(AND(I24="retain",OR(J24="report_internal_inconsistency",J24="plan_material")),IF(INDEX('C_jama.2018.14280'!$K$2:$K$24,MATCH($C24,'C_jama.2018.14280'!$A$2:$A$24,0))="","",INDEX('C_jama.2018.14280'!$K$2:$K$24,MATCH($C24,'C_jama.2018.14280'!$A$2:$A$24,0))),"not_applicable"),"")</f>
        <v/>
      </c>
      <c r="O24" s="16">
        <f>IFERROR(IF(AND(I24="retain",J24="protocol_report"),IF(INDEX('C_jama.2018.14280'!$L$2:$L$24,MATCH($C24,'C_jama.2018.14280'!$A$2:$A$24,0))="","",INDEX('C_jama.2018.14280'!$L$2:$L$24,MATCH($C24,'C_jama.2018.14280'!$A$2:$A$24,0))),"not_applicable"),"")</f>
        <v/>
      </c>
      <c r="P24" s="16">
        <f>IFERROR(IF(INDEX('C_jama.2018.14280'!$R$2:$R$24,MATCH($C24,'C_jama.2018.14280'!$A$2:$A$24,0))="","",INDEX('C_jama.2018.14280'!$R$2:$R$24,MATCH($C24,'C_jama.2018.14280'!$A$2:$A$24,0))),"")</f>
        <v/>
      </c>
      <c r="Q24" s="16" t="inlineStr">
        <is>
          <t>retain</t>
        </is>
      </c>
      <c r="R24" s="16" t="inlineStr">
        <is>
          <t>statistical_results</t>
        </is>
      </c>
    </row>
    <row r="25" ht="70" customHeight="1" s="14">
      <c r="A25" s="17" t="n">
        <v>2018</v>
      </c>
      <c r="B25" s="17" t="inlineStr">
        <is>
          <t>jama.2018.14280</t>
        </is>
      </c>
      <c r="C25" s="17" t="inlineStr">
        <is>
          <t>2018::jama.2018.14280::C003</t>
        </is>
      </c>
      <c r="D25" s="17" t="inlineStr">
        <is>
          <t>S_W</t>
        </is>
      </c>
      <c r="E25" s="17">
        <f>Setup!$B$4</f>
        <v/>
      </c>
      <c r="F25" s="17">
        <f>IF(Setup!$B$2="","",Setup!$B$2)</f>
        <v/>
      </c>
      <c r="G25" s="17">
        <f>IFERROR(INDEX('C_jama.2018.14280'!$G$2:$G$24,MATCH($C25,'C_jama.2018.14280'!$A$2:$A$24,0)),"CHECK KEY")</f>
        <v/>
      </c>
      <c r="H25" s="17">
        <f>IF(OR(G25&lt;&gt;"PRIMARY READY",I25="discuss"),"",IF(I25&lt;&gt;"retain","not_eligible",IF(D25="P_R","protocol_descriptive",IF(D25="P_P","plan_descriptive",IF(AND(OR(D25="S_C",D25="S_W"),J25="statistical_results",OR(K25="confirmed_issue",K25="probable_issue"),L25="substantive"),"primary_temporal",IF(AND(OR(D25="S_C",D25="S_W"),J25="report_internal_inconsistency",N25="substantive_inconsistency"),"secondary_temporal","not_eligible"))))))</f>
        <v/>
      </c>
      <c r="I25" s="17">
        <f>IFERROR(IF(INDEX('C_jama.2018.14280'!$D$2:$D$24,MATCH($C25,'C_jama.2018.14280'!$A$2:$A$24,0))="","",INDEX('C_jama.2018.14280'!$D$2:$D$24,MATCH($C25,'C_jama.2018.14280'!$A$2:$A$24,0))),"")</f>
        <v/>
      </c>
      <c r="J25" s="17">
        <f>IFERROR(IF(INDEX('C_jama.2018.14280'!$E$2:$E$24,MATCH($C25,'C_jama.2018.14280'!$A$2:$A$24,0))="","",INDEX('C_jama.2018.14280'!$E$2:$E$24,MATCH($C25,'C_jama.2018.14280'!$A$2:$A$24,0))),"")</f>
        <v/>
      </c>
      <c r="K25" s="17">
        <f>IFERROR(IF(AND(I25="retain",J25="statistical_results"),IF(INDEX('C_jama.2018.14280'!$H$2:$H$24,MATCH($C25,'C_jama.2018.14280'!$A$2:$A$24,0))="","",INDEX('C_jama.2018.14280'!$H$2:$H$24,MATCH($C25,'C_jama.2018.14280'!$A$2:$A$24,0))),"not_applicable"),"")</f>
        <v/>
      </c>
      <c r="L25" s="17">
        <f>IFERROR(IF(AND(I25="retain",J25="statistical_results"),IF(INDEX('C_jama.2018.14280'!$I$2:$I$24,MATCH($C25,'C_jama.2018.14280'!$A$2:$A$24,0))="","",INDEX('C_jama.2018.14280'!$I$2:$I$24,MATCH($C25,'C_jama.2018.14280'!$A$2:$A$24,0))),"not_applicable"),"")</f>
        <v/>
      </c>
      <c r="M25" s="17">
        <f>IFERROR(IF(AND(I25="retain",J25="statistical_results"),IF(INDEX('C_jama.2018.14280'!$J$2:$J$24,MATCH($C25,'C_jama.2018.14280'!$A$2:$A$24,0))="","",INDEX('C_jama.2018.14280'!$J$2:$J$24,MATCH($C25,'C_jama.2018.14280'!$A$2:$A$24,0))),"not_applicable"),"")</f>
        <v/>
      </c>
      <c r="N25" s="17">
        <f>IFERROR(IF(AND(I25="retain",OR(J25="report_internal_inconsistency",J25="plan_material")),IF(INDEX('C_jama.2018.14280'!$K$2:$K$24,MATCH($C25,'C_jama.2018.14280'!$A$2:$A$24,0))="","",INDEX('C_jama.2018.14280'!$K$2:$K$24,MATCH($C25,'C_jama.2018.14280'!$A$2:$A$24,0))),"not_applicable"),"")</f>
        <v/>
      </c>
      <c r="O25" s="17">
        <f>IFERROR(IF(AND(I25="retain",J25="protocol_report"),IF(INDEX('C_jama.2018.14280'!$L$2:$L$24,MATCH($C25,'C_jama.2018.14280'!$A$2:$A$24,0))="","",INDEX('C_jama.2018.14280'!$L$2:$L$24,MATCH($C25,'C_jama.2018.14280'!$A$2:$A$24,0))),"not_applicable"),"")</f>
        <v/>
      </c>
      <c r="P25" s="17">
        <f>IFERROR(IF(INDEX('C_jama.2018.14280'!$R$2:$R$24,MATCH($C25,'C_jama.2018.14280'!$A$2:$A$24,0))="","",INDEX('C_jama.2018.14280'!$R$2:$R$24,MATCH($C25,'C_jama.2018.14280'!$A$2:$A$24,0))),"")</f>
        <v/>
      </c>
      <c r="Q25" s="17" t="inlineStr">
        <is>
          <t>retain</t>
        </is>
      </c>
      <c r="R25" s="17" t="inlineStr">
        <is>
          <t>statistical_results</t>
        </is>
      </c>
    </row>
    <row r="26" ht="70" customHeight="1" s="14">
      <c r="A26" s="16" t="n">
        <v>2018</v>
      </c>
      <c r="B26" s="16" t="inlineStr">
        <is>
          <t>jama.2018.14280</t>
        </is>
      </c>
      <c r="C26" s="16" t="inlineStr">
        <is>
          <t>2018::jama.2018.14280::C004</t>
        </is>
      </c>
      <c r="D26" s="16" t="inlineStr">
        <is>
          <t>S_W</t>
        </is>
      </c>
      <c r="E26" s="16">
        <f>Setup!$B$4</f>
        <v/>
      </c>
      <c r="F26" s="16">
        <f>IF(Setup!$B$2="","",Setup!$B$2)</f>
        <v/>
      </c>
      <c r="G26" s="16">
        <f>IFERROR(INDEX('C_jama.2018.14280'!$G$2:$G$24,MATCH($C26,'C_jama.2018.14280'!$A$2:$A$24,0)),"CHECK KEY")</f>
        <v/>
      </c>
      <c r="H26" s="16">
        <f>IF(OR(G26&lt;&gt;"PRIMARY READY",I26="discuss"),"",IF(I26&lt;&gt;"retain","not_eligible",IF(D26="P_R","protocol_descriptive",IF(D26="P_P","plan_descriptive",IF(AND(OR(D26="S_C",D26="S_W"),J26="statistical_results",OR(K26="confirmed_issue",K26="probable_issue"),L26="substantive"),"primary_temporal",IF(AND(OR(D26="S_C",D26="S_W"),J26="report_internal_inconsistency",N26="substantive_inconsistency"),"secondary_temporal","not_eligible"))))))</f>
        <v/>
      </c>
      <c r="I26" s="16">
        <f>IFERROR(IF(INDEX('C_jama.2018.14280'!$D$2:$D$24,MATCH($C26,'C_jama.2018.14280'!$A$2:$A$24,0))="","",INDEX('C_jama.2018.14280'!$D$2:$D$24,MATCH($C26,'C_jama.2018.14280'!$A$2:$A$24,0))),"")</f>
        <v/>
      </c>
      <c r="J26" s="16">
        <f>IFERROR(IF(INDEX('C_jama.2018.14280'!$E$2:$E$24,MATCH($C26,'C_jama.2018.14280'!$A$2:$A$24,0))="","",INDEX('C_jama.2018.14280'!$E$2:$E$24,MATCH($C26,'C_jama.2018.14280'!$A$2:$A$24,0))),"")</f>
        <v/>
      </c>
      <c r="K26" s="16">
        <f>IFERROR(IF(AND(I26="retain",J26="statistical_results"),IF(INDEX('C_jama.2018.14280'!$H$2:$H$24,MATCH($C26,'C_jama.2018.14280'!$A$2:$A$24,0))="","",INDEX('C_jama.2018.14280'!$H$2:$H$24,MATCH($C26,'C_jama.2018.14280'!$A$2:$A$24,0))),"not_applicable"),"")</f>
        <v/>
      </c>
      <c r="L26" s="16">
        <f>IFERROR(IF(AND(I26="retain",J26="statistical_results"),IF(INDEX('C_jama.2018.14280'!$I$2:$I$24,MATCH($C26,'C_jama.2018.14280'!$A$2:$A$24,0))="","",INDEX('C_jama.2018.14280'!$I$2:$I$24,MATCH($C26,'C_jama.2018.14280'!$A$2:$A$24,0))),"not_applicable"),"")</f>
        <v/>
      </c>
      <c r="M26" s="16">
        <f>IFERROR(IF(AND(I26="retain",J26="statistical_results"),IF(INDEX('C_jama.2018.14280'!$J$2:$J$24,MATCH($C26,'C_jama.2018.14280'!$A$2:$A$24,0))="","",INDEX('C_jama.2018.14280'!$J$2:$J$24,MATCH($C26,'C_jama.2018.14280'!$A$2:$A$24,0))),"not_applicable"),"")</f>
        <v/>
      </c>
      <c r="N26" s="16">
        <f>IFERROR(IF(AND(I26="retain",OR(J26="report_internal_inconsistency",J26="plan_material")),IF(INDEX('C_jama.2018.14280'!$K$2:$K$24,MATCH($C26,'C_jama.2018.14280'!$A$2:$A$24,0))="","",INDEX('C_jama.2018.14280'!$K$2:$K$24,MATCH($C26,'C_jama.2018.14280'!$A$2:$A$24,0))),"not_applicable"),"")</f>
        <v/>
      </c>
      <c r="O26" s="16">
        <f>IFERROR(IF(AND(I26="retain",J26="protocol_report"),IF(INDEX('C_jama.2018.14280'!$L$2:$L$24,MATCH($C26,'C_jama.2018.14280'!$A$2:$A$24,0))="","",INDEX('C_jama.2018.14280'!$L$2:$L$24,MATCH($C26,'C_jama.2018.14280'!$A$2:$A$24,0))),"not_applicable"),"")</f>
        <v/>
      </c>
      <c r="P26" s="16">
        <f>IFERROR(IF(INDEX('C_jama.2018.14280'!$R$2:$R$24,MATCH($C26,'C_jama.2018.14280'!$A$2:$A$24,0))="","",INDEX('C_jama.2018.14280'!$R$2:$R$24,MATCH($C26,'C_jama.2018.14280'!$A$2:$A$24,0))),"")</f>
        <v/>
      </c>
      <c r="Q26" s="16" t="inlineStr">
        <is>
          <t>retain</t>
        </is>
      </c>
      <c r="R26" s="16" t="inlineStr">
        <is>
          <t>statistical_results</t>
        </is>
      </c>
    </row>
    <row r="27" ht="70" customHeight="1" s="14">
      <c r="A27" s="17" t="n">
        <v>2018</v>
      </c>
      <c r="B27" s="17" t="inlineStr">
        <is>
          <t>jama.2018.14280</t>
        </is>
      </c>
      <c r="C27" s="17" t="inlineStr">
        <is>
          <t>2018::jama.2018.14280::C005</t>
        </is>
      </c>
      <c r="D27" s="17" t="inlineStr">
        <is>
          <t>S_W</t>
        </is>
      </c>
      <c r="E27" s="17">
        <f>Setup!$B$4</f>
        <v/>
      </c>
      <c r="F27" s="17">
        <f>IF(Setup!$B$2="","",Setup!$B$2)</f>
        <v/>
      </c>
      <c r="G27" s="17">
        <f>IFERROR(INDEX('C_jama.2018.14280'!$G$2:$G$24,MATCH($C27,'C_jama.2018.14280'!$A$2:$A$24,0)),"CHECK KEY")</f>
        <v/>
      </c>
      <c r="H27" s="17">
        <f>IF(OR(G27&lt;&gt;"PRIMARY READY",I27="discuss"),"",IF(I27&lt;&gt;"retain","not_eligible",IF(D27="P_R","protocol_descriptive",IF(D27="P_P","plan_descriptive",IF(AND(OR(D27="S_C",D27="S_W"),J27="statistical_results",OR(K27="confirmed_issue",K27="probable_issue"),L27="substantive"),"primary_temporal",IF(AND(OR(D27="S_C",D27="S_W"),J27="report_internal_inconsistency",N27="substantive_inconsistency"),"secondary_temporal","not_eligible"))))))</f>
        <v/>
      </c>
      <c r="I27" s="17">
        <f>IFERROR(IF(INDEX('C_jama.2018.14280'!$D$2:$D$24,MATCH($C27,'C_jama.2018.14280'!$A$2:$A$24,0))="","",INDEX('C_jama.2018.14280'!$D$2:$D$24,MATCH($C27,'C_jama.2018.14280'!$A$2:$A$24,0))),"")</f>
        <v/>
      </c>
      <c r="J27" s="17">
        <f>IFERROR(IF(INDEX('C_jama.2018.14280'!$E$2:$E$24,MATCH($C27,'C_jama.2018.14280'!$A$2:$A$24,0))="","",INDEX('C_jama.2018.14280'!$E$2:$E$24,MATCH($C27,'C_jama.2018.14280'!$A$2:$A$24,0))),"")</f>
        <v/>
      </c>
      <c r="K27" s="17">
        <f>IFERROR(IF(AND(I27="retain",J27="statistical_results"),IF(INDEX('C_jama.2018.14280'!$H$2:$H$24,MATCH($C27,'C_jama.2018.14280'!$A$2:$A$24,0))="","",INDEX('C_jama.2018.14280'!$H$2:$H$24,MATCH($C27,'C_jama.2018.14280'!$A$2:$A$24,0))),"not_applicable"),"")</f>
        <v/>
      </c>
      <c r="L27" s="17">
        <f>IFERROR(IF(AND(I27="retain",J27="statistical_results"),IF(INDEX('C_jama.2018.14280'!$I$2:$I$24,MATCH($C27,'C_jama.2018.14280'!$A$2:$A$24,0))="","",INDEX('C_jama.2018.14280'!$I$2:$I$24,MATCH($C27,'C_jama.2018.14280'!$A$2:$A$24,0))),"not_applicable"),"")</f>
        <v/>
      </c>
      <c r="M27" s="17">
        <f>IFERROR(IF(AND(I27="retain",J27="statistical_results"),IF(INDEX('C_jama.2018.14280'!$J$2:$J$24,MATCH($C27,'C_jama.2018.14280'!$A$2:$A$24,0))="","",INDEX('C_jama.2018.14280'!$J$2:$J$24,MATCH($C27,'C_jama.2018.14280'!$A$2:$A$24,0))),"not_applicable"),"")</f>
        <v/>
      </c>
      <c r="N27" s="17">
        <f>IFERROR(IF(AND(I27="retain",OR(J27="report_internal_inconsistency",J27="plan_material")),IF(INDEX('C_jama.2018.14280'!$K$2:$K$24,MATCH($C27,'C_jama.2018.14280'!$A$2:$A$24,0))="","",INDEX('C_jama.2018.14280'!$K$2:$K$24,MATCH($C27,'C_jama.2018.14280'!$A$2:$A$24,0))),"not_applicable"),"")</f>
        <v/>
      </c>
      <c r="O27" s="17">
        <f>IFERROR(IF(AND(I27="retain",J27="protocol_report"),IF(INDEX('C_jama.2018.14280'!$L$2:$L$24,MATCH($C27,'C_jama.2018.14280'!$A$2:$A$24,0))="","",INDEX('C_jama.2018.14280'!$L$2:$L$24,MATCH($C27,'C_jama.2018.14280'!$A$2:$A$24,0))),"not_applicable"),"")</f>
        <v/>
      </c>
      <c r="P27" s="17">
        <f>IFERROR(IF(INDEX('C_jama.2018.14280'!$R$2:$R$24,MATCH($C27,'C_jama.2018.14280'!$A$2:$A$24,0))="","",INDEX('C_jama.2018.14280'!$R$2:$R$24,MATCH($C27,'C_jama.2018.14280'!$A$2:$A$24,0))),"")</f>
        <v/>
      </c>
      <c r="Q27" s="17" t="inlineStr">
        <is>
          <t>retain</t>
        </is>
      </c>
      <c r="R27" s="17" t="inlineStr">
        <is>
          <t>statistical_results</t>
        </is>
      </c>
    </row>
    <row r="28" ht="70" customHeight="1" s="14">
      <c r="A28" s="16" t="n">
        <v>2018</v>
      </c>
      <c r="B28" s="16" t="inlineStr">
        <is>
          <t>jama.2018.14280</t>
        </is>
      </c>
      <c r="C28" s="16" t="inlineStr">
        <is>
          <t>2018::jama.2018.14280::C006</t>
        </is>
      </c>
      <c r="D28" s="16" t="inlineStr">
        <is>
          <t>S_W</t>
        </is>
      </c>
      <c r="E28" s="16">
        <f>Setup!$B$4</f>
        <v/>
      </c>
      <c r="F28" s="16">
        <f>IF(Setup!$B$2="","",Setup!$B$2)</f>
        <v/>
      </c>
      <c r="G28" s="16">
        <f>IFERROR(INDEX('C_jama.2018.14280'!$G$2:$G$24,MATCH($C28,'C_jama.2018.14280'!$A$2:$A$24,0)),"CHECK KEY")</f>
        <v/>
      </c>
      <c r="H28" s="16">
        <f>IF(OR(G28&lt;&gt;"PRIMARY READY",I28="discuss"),"",IF(I28&lt;&gt;"retain","not_eligible",IF(D28="P_R","protocol_descriptive",IF(D28="P_P","plan_descriptive",IF(AND(OR(D28="S_C",D28="S_W"),J28="statistical_results",OR(K28="confirmed_issue",K28="probable_issue"),L28="substantive"),"primary_temporal",IF(AND(OR(D28="S_C",D28="S_W"),J28="report_internal_inconsistency",N28="substantive_inconsistency"),"secondary_temporal","not_eligible"))))))</f>
        <v/>
      </c>
      <c r="I28" s="16">
        <f>IFERROR(IF(INDEX('C_jama.2018.14280'!$D$2:$D$24,MATCH($C28,'C_jama.2018.14280'!$A$2:$A$24,0))="","",INDEX('C_jama.2018.14280'!$D$2:$D$24,MATCH($C28,'C_jama.2018.14280'!$A$2:$A$24,0))),"")</f>
        <v/>
      </c>
      <c r="J28" s="16">
        <f>IFERROR(IF(INDEX('C_jama.2018.14280'!$E$2:$E$24,MATCH($C28,'C_jama.2018.14280'!$A$2:$A$24,0))="","",INDEX('C_jama.2018.14280'!$E$2:$E$24,MATCH($C28,'C_jama.2018.14280'!$A$2:$A$24,0))),"")</f>
        <v/>
      </c>
      <c r="K28" s="16">
        <f>IFERROR(IF(AND(I28="retain",J28="statistical_results"),IF(INDEX('C_jama.2018.14280'!$H$2:$H$24,MATCH($C28,'C_jama.2018.14280'!$A$2:$A$24,0))="","",INDEX('C_jama.2018.14280'!$H$2:$H$24,MATCH($C28,'C_jama.2018.14280'!$A$2:$A$24,0))),"not_applicable"),"")</f>
        <v/>
      </c>
      <c r="L28" s="16">
        <f>IFERROR(IF(AND(I28="retain",J28="statistical_results"),IF(INDEX('C_jama.2018.14280'!$I$2:$I$24,MATCH($C28,'C_jama.2018.14280'!$A$2:$A$24,0))="","",INDEX('C_jama.2018.14280'!$I$2:$I$24,MATCH($C28,'C_jama.2018.14280'!$A$2:$A$24,0))),"not_applicable"),"")</f>
        <v/>
      </c>
      <c r="M28" s="16">
        <f>IFERROR(IF(AND(I28="retain",J28="statistical_results"),IF(INDEX('C_jama.2018.14280'!$J$2:$J$24,MATCH($C28,'C_jama.2018.14280'!$A$2:$A$24,0))="","",INDEX('C_jama.2018.14280'!$J$2:$J$24,MATCH($C28,'C_jama.2018.14280'!$A$2:$A$24,0))),"not_applicable"),"")</f>
        <v/>
      </c>
      <c r="N28" s="16">
        <f>IFERROR(IF(AND(I28="retain",OR(J28="report_internal_inconsistency",J28="plan_material")),IF(INDEX('C_jama.2018.14280'!$K$2:$K$24,MATCH($C28,'C_jama.2018.14280'!$A$2:$A$24,0))="","",INDEX('C_jama.2018.14280'!$K$2:$K$24,MATCH($C28,'C_jama.2018.14280'!$A$2:$A$24,0))),"not_applicable"),"")</f>
        <v/>
      </c>
      <c r="O28" s="16">
        <f>IFERROR(IF(AND(I28="retain",J28="protocol_report"),IF(INDEX('C_jama.2018.14280'!$L$2:$L$24,MATCH($C28,'C_jama.2018.14280'!$A$2:$A$24,0))="","",INDEX('C_jama.2018.14280'!$L$2:$L$24,MATCH($C28,'C_jama.2018.14280'!$A$2:$A$24,0))),"not_applicable"),"")</f>
        <v/>
      </c>
      <c r="P28" s="16">
        <f>IFERROR(IF(INDEX('C_jama.2018.14280'!$R$2:$R$24,MATCH($C28,'C_jama.2018.14280'!$A$2:$A$24,0))="","",INDEX('C_jama.2018.14280'!$R$2:$R$24,MATCH($C28,'C_jama.2018.14280'!$A$2:$A$24,0))),"")</f>
        <v/>
      </c>
      <c r="Q28" s="16" t="inlineStr">
        <is>
          <t>retain</t>
        </is>
      </c>
      <c r="R28" s="16" t="inlineStr">
        <is>
          <t>statistical_results</t>
        </is>
      </c>
    </row>
    <row r="29" ht="70" customHeight="1" s="14">
      <c r="A29" s="17" t="n">
        <v>2018</v>
      </c>
      <c r="B29" s="17" t="inlineStr">
        <is>
          <t>jama.2018.14280</t>
        </is>
      </c>
      <c r="C29" s="17" t="inlineStr">
        <is>
          <t>2018::jama.2018.14280::C007</t>
        </is>
      </c>
      <c r="D29" s="17" t="inlineStr">
        <is>
          <t>S_W</t>
        </is>
      </c>
      <c r="E29" s="17">
        <f>Setup!$B$4</f>
        <v/>
      </c>
      <c r="F29" s="17">
        <f>IF(Setup!$B$2="","",Setup!$B$2)</f>
        <v/>
      </c>
      <c r="G29" s="17">
        <f>IFERROR(INDEX('C_jama.2018.14280'!$G$2:$G$24,MATCH($C29,'C_jama.2018.14280'!$A$2:$A$24,0)),"CHECK KEY")</f>
        <v/>
      </c>
      <c r="H29" s="17">
        <f>IF(OR(G29&lt;&gt;"PRIMARY READY",I29="discuss"),"",IF(I29&lt;&gt;"retain","not_eligible",IF(D29="P_R","protocol_descriptive",IF(D29="P_P","plan_descriptive",IF(AND(OR(D29="S_C",D29="S_W"),J29="statistical_results",OR(K29="confirmed_issue",K29="probable_issue"),L29="substantive"),"primary_temporal",IF(AND(OR(D29="S_C",D29="S_W"),J29="report_internal_inconsistency",N29="substantive_inconsistency"),"secondary_temporal","not_eligible"))))))</f>
        <v/>
      </c>
      <c r="I29" s="17">
        <f>IFERROR(IF(INDEX('C_jama.2018.14280'!$D$2:$D$24,MATCH($C29,'C_jama.2018.14280'!$A$2:$A$24,0))="","",INDEX('C_jama.2018.14280'!$D$2:$D$24,MATCH($C29,'C_jama.2018.14280'!$A$2:$A$24,0))),"")</f>
        <v/>
      </c>
      <c r="J29" s="17">
        <f>IFERROR(IF(INDEX('C_jama.2018.14280'!$E$2:$E$24,MATCH($C29,'C_jama.2018.14280'!$A$2:$A$24,0))="","",INDEX('C_jama.2018.14280'!$E$2:$E$24,MATCH($C29,'C_jama.2018.14280'!$A$2:$A$24,0))),"")</f>
        <v/>
      </c>
      <c r="K29" s="17">
        <f>IFERROR(IF(AND(I29="retain",J29="statistical_results"),IF(INDEX('C_jama.2018.14280'!$H$2:$H$24,MATCH($C29,'C_jama.2018.14280'!$A$2:$A$24,0))="","",INDEX('C_jama.2018.14280'!$H$2:$H$24,MATCH($C29,'C_jama.2018.14280'!$A$2:$A$24,0))),"not_applicable"),"")</f>
        <v/>
      </c>
      <c r="L29" s="17">
        <f>IFERROR(IF(AND(I29="retain",J29="statistical_results"),IF(INDEX('C_jama.2018.14280'!$I$2:$I$24,MATCH($C29,'C_jama.2018.14280'!$A$2:$A$24,0))="","",INDEX('C_jama.2018.14280'!$I$2:$I$24,MATCH($C29,'C_jama.2018.14280'!$A$2:$A$24,0))),"not_applicable"),"")</f>
        <v/>
      </c>
      <c r="M29" s="17">
        <f>IFERROR(IF(AND(I29="retain",J29="statistical_results"),IF(INDEX('C_jama.2018.14280'!$J$2:$J$24,MATCH($C29,'C_jama.2018.14280'!$A$2:$A$24,0))="","",INDEX('C_jama.2018.14280'!$J$2:$J$24,MATCH($C29,'C_jama.2018.14280'!$A$2:$A$24,0))),"not_applicable"),"")</f>
        <v/>
      </c>
      <c r="N29" s="17">
        <f>IFERROR(IF(AND(I29="retain",OR(J29="report_internal_inconsistency",J29="plan_material")),IF(INDEX('C_jama.2018.14280'!$K$2:$K$24,MATCH($C29,'C_jama.2018.14280'!$A$2:$A$24,0))="","",INDEX('C_jama.2018.14280'!$K$2:$K$24,MATCH($C29,'C_jama.2018.14280'!$A$2:$A$24,0))),"not_applicable"),"")</f>
        <v/>
      </c>
      <c r="O29" s="17">
        <f>IFERROR(IF(AND(I29="retain",J29="protocol_report"),IF(INDEX('C_jama.2018.14280'!$L$2:$L$24,MATCH($C29,'C_jama.2018.14280'!$A$2:$A$24,0))="","",INDEX('C_jama.2018.14280'!$L$2:$L$24,MATCH($C29,'C_jama.2018.14280'!$A$2:$A$24,0))),"not_applicable"),"")</f>
        <v/>
      </c>
      <c r="P29" s="17">
        <f>IFERROR(IF(INDEX('C_jama.2018.14280'!$R$2:$R$24,MATCH($C29,'C_jama.2018.14280'!$A$2:$A$24,0))="","",INDEX('C_jama.2018.14280'!$R$2:$R$24,MATCH($C29,'C_jama.2018.14280'!$A$2:$A$24,0))),"")</f>
        <v/>
      </c>
      <c r="Q29" s="17" t="inlineStr">
        <is>
          <t>retain</t>
        </is>
      </c>
      <c r="R29" s="17" t="inlineStr">
        <is>
          <t>statistical_results</t>
        </is>
      </c>
    </row>
    <row r="30" ht="70" customHeight="1" s="14">
      <c r="A30" s="16" t="n">
        <v>2018</v>
      </c>
      <c r="B30" s="16" t="inlineStr">
        <is>
          <t>jama.2018.14280</t>
        </is>
      </c>
      <c r="C30" s="16" t="inlineStr">
        <is>
          <t>2018::jama.2018.14280::C008</t>
        </is>
      </c>
      <c r="D30" s="16" t="inlineStr">
        <is>
          <t>S_W</t>
        </is>
      </c>
      <c r="E30" s="16">
        <f>Setup!$B$4</f>
        <v/>
      </c>
      <c r="F30" s="16">
        <f>IF(Setup!$B$2="","",Setup!$B$2)</f>
        <v/>
      </c>
      <c r="G30" s="16">
        <f>IFERROR(INDEX('C_jama.2018.14280'!$G$2:$G$24,MATCH($C30,'C_jama.2018.14280'!$A$2:$A$24,0)),"CHECK KEY")</f>
        <v/>
      </c>
      <c r="H30" s="16">
        <f>IF(OR(G30&lt;&gt;"PRIMARY READY",I30="discuss"),"",IF(I30&lt;&gt;"retain","not_eligible",IF(D30="P_R","protocol_descriptive",IF(D30="P_P","plan_descriptive",IF(AND(OR(D30="S_C",D30="S_W"),J30="statistical_results",OR(K30="confirmed_issue",K30="probable_issue"),L30="substantive"),"primary_temporal",IF(AND(OR(D30="S_C",D30="S_W"),J30="report_internal_inconsistency",N30="substantive_inconsistency"),"secondary_temporal","not_eligible"))))))</f>
        <v/>
      </c>
      <c r="I30" s="16">
        <f>IFERROR(IF(INDEX('C_jama.2018.14280'!$D$2:$D$24,MATCH($C30,'C_jama.2018.14280'!$A$2:$A$24,0))="","",INDEX('C_jama.2018.14280'!$D$2:$D$24,MATCH($C30,'C_jama.2018.14280'!$A$2:$A$24,0))),"")</f>
        <v/>
      </c>
      <c r="J30" s="16">
        <f>IFERROR(IF(INDEX('C_jama.2018.14280'!$E$2:$E$24,MATCH($C30,'C_jama.2018.14280'!$A$2:$A$24,0))="","",INDEX('C_jama.2018.14280'!$E$2:$E$24,MATCH($C30,'C_jama.2018.14280'!$A$2:$A$24,0))),"")</f>
        <v/>
      </c>
      <c r="K30" s="16">
        <f>IFERROR(IF(AND(I30="retain",J30="statistical_results"),IF(INDEX('C_jama.2018.14280'!$H$2:$H$24,MATCH($C30,'C_jama.2018.14280'!$A$2:$A$24,0))="","",INDEX('C_jama.2018.14280'!$H$2:$H$24,MATCH($C30,'C_jama.2018.14280'!$A$2:$A$24,0))),"not_applicable"),"")</f>
        <v/>
      </c>
      <c r="L30" s="16">
        <f>IFERROR(IF(AND(I30="retain",J30="statistical_results"),IF(INDEX('C_jama.2018.14280'!$I$2:$I$24,MATCH($C30,'C_jama.2018.14280'!$A$2:$A$24,0))="","",INDEX('C_jama.2018.14280'!$I$2:$I$24,MATCH($C30,'C_jama.2018.14280'!$A$2:$A$24,0))),"not_applicable"),"")</f>
        <v/>
      </c>
      <c r="M30" s="16">
        <f>IFERROR(IF(AND(I30="retain",J30="statistical_results"),IF(INDEX('C_jama.2018.14280'!$J$2:$J$24,MATCH($C30,'C_jama.2018.14280'!$A$2:$A$24,0))="","",INDEX('C_jama.2018.14280'!$J$2:$J$24,MATCH($C30,'C_jama.2018.14280'!$A$2:$A$24,0))),"not_applicable"),"")</f>
        <v/>
      </c>
      <c r="N30" s="16">
        <f>IFERROR(IF(AND(I30="retain",OR(J30="report_internal_inconsistency",J30="plan_material")),IF(INDEX('C_jama.2018.14280'!$K$2:$K$24,MATCH($C30,'C_jama.2018.14280'!$A$2:$A$24,0))="","",INDEX('C_jama.2018.14280'!$K$2:$K$24,MATCH($C30,'C_jama.2018.14280'!$A$2:$A$24,0))),"not_applicable"),"")</f>
        <v/>
      </c>
      <c r="O30" s="16">
        <f>IFERROR(IF(AND(I30="retain",J30="protocol_report"),IF(INDEX('C_jama.2018.14280'!$L$2:$L$24,MATCH($C30,'C_jama.2018.14280'!$A$2:$A$24,0))="","",INDEX('C_jama.2018.14280'!$L$2:$L$24,MATCH($C30,'C_jama.2018.14280'!$A$2:$A$24,0))),"not_applicable"),"")</f>
        <v/>
      </c>
      <c r="P30" s="16">
        <f>IFERROR(IF(INDEX('C_jama.2018.14280'!$R$2:$R$24,MATCH($C30,'C_jama.2018.14280'!$A$2:$A$24,0))="","",INDEX('C_jama.2018.14280'!$R$2:$R$24,MATCH($C30,'C_jama.2018.14280'!$A$2:$A$24,0))),"")</f>
        <v/>
      </c>
      <c r="Q30" s="16" t="inlineStr">
        <is>
          <t>retain</t>
        </is>
      </c>
      <c r="R30" s="16" t="inlineStr">
        <is>
          <t>statistical_results</t>
        </is>
      </c>
    </row>
    <row r="31" ht="70" customHeight="1" s="14">
      <c r="A31" s="17" t="n">
        <v>2018</v>
      </c>
      <c r="B31" s="17" t="inlineStr">
        <is>
          <t>jama.2018.14280</t>
        </is>
      </c>
      <c r="C31" s="17" t="inlineStr">
        <is>
          <t>2018::jama.2018.14280::C009</t>
        </is>
      </c>
      <c r="D31" s="17" t="inlineStr">
        <is>
          <t>S_W</t>
        </is>
      </c>
      <c r="E31" s="17">
        <f>Setup!$B$4</f>
        <v/>
      </c>
      <c r="F31" s="17">
        <f>IF(Setup!$B$2="","",Setup!$B$2)</f>
        <v/>
      </c>
      <c r="G31" s="17">
        <f>IFERROR(INDEX('C_jama.2018.14280'!$G$2:$G$24,MATCH($C31,'C_jama.2018.14280'!$A$2:$A$24,0)),"CHECK KEY")</f>
        <v/>
      </c>
      <c r="H31" s="17">
        <f>IF(OR(G31&lt;&gt;"PRIMARY READY",I31="discuss"),"",IF(I31&lt;&gt;"retain","not_eligible",IF(D31="P_R","protocol_descriptive",IF(D31="P_P","plan_descriptive",IF(AND(OR(D31="S_C",D31="S_W"),J31="statistical_results",OR(K31="confirmed_issue",K31="probable_issue"),L31="substantive"),"primary_temporal",IF(AND(OR(D31="S_C",D31="S_W"),J31="report_internal_inconsistency",N31="substantive_inconsistency"),"secondary_temporal","not_eligible"))))))</f>
        <v/>
      </c>
      <c r="I31" s="17">
        <f>IFERROR(IF(INDEX('C_jama.2018.14280'!$D$2:$D$24,MATCH($C31,'C_jama.2018.14280'!$A$2:$A$24,0))="","",INDEX('C_jama.2018.14280'!$D$2:$D$24,MATCH($C31,'C_jama.2018.14280'!$A$2:$A$24,0))),"")</f>
        <v/>
      </c>
      <c r="J31" s="17">
        <f>IFERROR(IF(INDEX('C_jama.2018.14280'!$E$2:$E$24,MATCH($C31,'C_jama.2018.14280'!$A$2:$A$24,0))="","",INDEX('C_jama.2018.14280'!$E$2:$E$24,MATCH($C31,'C_jama.2018.14280'!$A$2:$A$24,0))),"")</f>
        <v/>
      </c>
      <c r="K31" s="17">
        <f>IFERROR(IF(AND(I31="retain",J31="statistical_results"),IF(INDEX('C_jama.2018.14280'!$H$2:$H$24,MATCH($C31,'C_jama.2018.14280'!$A$2:$A$24,0))="","",INDEX('C_jama.2018.14280'!$H$2:$H$24,MATCH($C31,'C_jama.2018.14280'!$A$2:$A$24,0))),"not_applicable"),"")</f>
        <v/>
      </c>
      <c r="L31" s="17">
        <f>IFERROR(IF(AND(I31="retain",J31="statistical_results"),IF(INDEX('C_jama.2018.14280'!$I$2:$I$24,MATCH($C31,'C_jama.2018.14280'!$A$2:$A$24,0))="","",INDEX('C_jama.2018.14280'!$I$2:$I$24,MATCH($C31,'C_jama.2018.14280'!$A$2:$A$24,0))),"not_applicable"),"")</f>
        <v/>
      </c>
      <c r="M31" s="17">
        <f>IFERROR(IF(AND(I31="retain",J31="statistical_results"),IF(INDEX('C_jama.2018.14280'!$J$2:$J$24,MATCH($C31,'C_jama.2018.14280'!$A$2:$A$24,0))="","",INDEX('C_jama.2018.14280'!$J$2:$J$24,MATCH($C31,'C_jama.2018.14280'!$A$2:$A$24,0))),"not_applicable"),"")</f>
        <v/>
      </c>
      <c r="N31" s="17">
        <f>IFERROR(IF(AND(I31="retain",OR(J31="report_internal_inconsistency",J31="plan_material")),IF(INDEX('C_jama.2018.14280'!$K$2:$K$24,MATCH($C31,'C_jama.2018.14280'!$A$2:$A$24,0))="","",INDEX('C_jama.2018.14280'!$K$2:$K$24,MATCH($C31,'C_jama.2018.14280'!$A$2:$A$24,0))),"not_applicable"),"")</f>
        <v/>
      </c>
      <c r="O31" s="17">
        <f>IFERROR(IF(AND(I31="retain",J31="protocol_report"),IF(INDEX('C_jama.2018.14280'!$L$2:$L$24,MATCH($C31,'C_jama.2018.14280'!$A$2:$A$24,0))="","",INDEX('C_jama.2018.14280'!$L$2:$L$24,MATCH($C31,'C_jama.2018.14280'!$A$2:$A$24,0))),"not_applicable"),"")</f>
        <v/>
      </c>
      <c r="P31" s="17">
        <f>IFERROR(IF(INDEX('C_jama.2018.14280'!$R$2:$R$24,MATCH($C31,'C_jama.2018.14280'!$A$2:$A$24,0))="","",INDEX('C_jama.2018.14280'!$R$2:$R$24,MATCH($C31,'C_jama.2018.14280'!$A$2:$A$24,0))),"")</f>
        <v/>
      </c>
      <c r="Q31" s="17" t="inlineStr">
        <is>
          <t>retain</t>
        </is>
      </c>
      <c r="R31" s="17" t="inlineStr">
        <is>
          <t>statistical_results</t>
        </is>
      </c>
    </row>
    <row r="32" ht="70" customHeight="1" s="14">
      <c r="A32" s="16" t="n">
        <v>2018</v>
      </c>
      <c r="B32" s="16" t="inlineStr">
        <is>
          <t>jama.2018.14280</t>
        </is>
      </c>
      <c r="C32" s="16" t="inlineStr">
        <is>
          <t>2018::jama.2018.14280::C010</t>
        </is>
      </c>
      <c r="D32" s="16" t="inlineStr">
        <is>
          <t>S_W</t>
        </is>
      </c>
      <c r="E32" s="16">
        <f>Setup!$B$4</f>
        <v/>
      </c>
      <c r="F32" s="16">
        <f>IF(Setup!$B$2="","",Setup!$B$2)</f>
        <v/>
      </c>
      <c r="G32" s="16">
        <f>IFERROR(INDEX('C_jama.2018.14280'!$G$2:$G$24,MATCH($C32,'C_jama.2018.14280'!$A$2:$A$24,0)),"CHECK KEY")</f>
        <v/>
      </c>
      <c r="H32" s="16">
        <f>IF(OR(G32&lt;&gt;"PRIMARY READY",I32="discuss"),"",IF(I32&lt;&gt;"retain","not_eligible",IF(D32="P_R","protocol_descriptive",IF(D32="P_P","plan_descriptive",IF(AND(OR(D32="S_C",D32="S_W"),J32="statistical_results",OR(K32="confirmed_issue",K32="probable_issue"),L32="substantive"),"primary_temporal",IF(AND(OR(D32="S_C",D32="S_W"),J32="report_internal_inconsistency",N32="substantive_inconsistency"),"secondary_temporal","not_eligible"))))))</f>
        <v/>
      </c>
      <c r="I32" s="16">
        <f>IFERROR(IF(INDEX('C_jama.2018.14280'!$D$2:$D$24,MATCH($C32,'C_jama.2018.14280'!$A$2:$A$24,0))="","",INDEX('C_jama.2018.14280'!$D$2:$D$24,MATCH($C32,'C_jama.2018.14280'!$A$2:$A$24,0))),"")</f>
        <v/>
      </c>
      <c r="J32" s="16">
        <f>IFERROR(IF(INDEX('C_jama.2018.14280'!$E$2:$E$24,MATCH($C32,'C_jama.2018.14280'!$A$2:$A$24,0))="","",INDEX('C_jama.2018.14280'!$E$2:$E$24,MATCH($C32,'C_jama.2018.14280'!$A$2:$A$24,0))),"")</f>
        <v/>
      </c>
      <c r="K32" s="16">
        <f>IFERROR(IF(AND(I32="retain",J32="statistical_results"),IF(INDEX('C_jama.2018.14280'!$H$2:$H$24,MATCH($C32,'C_jama.2018.14280'!$A$2:$A$24,0))="","",INDEX('C_jama.2018.14280'!$H$2:$H$24,MATCH($C32,'C_jama.2018.14280'!$A$2:$A$24,0))),"not_applicable"),"")</f>
        <v/>
      </c>
      <c r="L32" s="16">
        <f>IFERROR(IF(AND(I32="retain",J32="statistical_results"),IF(INDEX('C_jama.2018.14280'!$I$2:$I$24,MATCH($C32,'C_jama.2018.14280'!$A$2:$A$24,0))="","",INDEX('C_jama.2018.14280'!$I$2:$I$24,MATCH($C32,'C_jama.2018.14280'!$A$2:$A$24,0))),"not_applicable"),"")</f>
        <v/>
      </c>
      <c r="M32" s="16">
        <f>IFERROR(IF(AND(I32="retain",J32="statistical_results"),IF(INDEX('C_jama.2018.14280'!$J$2:$J$24,MATCH($C32,'C_jama.2018.14280'!$A$2:$A$24,0))="","",INDEX('C_jama.2018.14280'!$J$2:$J$24,MATCH($C32,'C_jama.2018.14280'!$A$2:$A$24,0))),"not_applicable"),"")</f>
        <v/>
      </c>
      <c r="N32" s="16">
        <f>IFERROR(IF(AND(I32="retain",OR(J32="report_internal_inconsistency",J32="plan_material")),IF(INDEX('C_jama.2018.14280'!$K$2:$K$24,MATCH($C32,'C_jama.2018.14280'!$A$2:$A$24,0))="","",INDEX('C_jama.2018.14280'!$K$2:$K$24,MATCH($C32,'C_jama.2018.14280'!$A$2:$A$24,0))),"not_applicable"),"")</f>
        <v/>
      </c>
      <c r="O32" s="16">
        <f>IFERROR(IF(AND(I32="retain",J32="protocol_report"),IF(INDEX('C_jama.2018.14280'!$L$2:$L$24,MATCH($C32,'C_jama.2018.14280'!$A$2:$A$24,0))="","",INDEX('C_jama.2018.14280'!$L$2:$L$24,MATCH($C32,'C_jama.2018.14280'!$A$2:$A$24,0))),"not_applicable"),"")</f>
        <v/>
      </c>
      <c r="P32" s="16">
        <f>IFERROR(IF(INDEX('C_jama.2018.14280'!$R$2:$R$24,MATCH($C32,'C_jama.2018.14280'!$A$2:$A$24,0))="","",INDEX('C_jama.2018.14280'!$R$2:$R$24,MATCH($C32,'C_jama.2018.14280'!$A$2:$A$24,0))),"")</f>
        <v/>
      </c>
      <c r="Q32" s="16" t="inlineStr">
        <is>
          <t>retain</t>
        </is>
      </c>
      <c r="R32" s="16" t="inlineStr">
        <is>
          <t>statistical_results</t>
        </is>
      </c>
    </row>
    <row r="33" ht="70" customHeight="1" s="14">
      <c r="A33" s="17" t="n">
        <v>2018</v>
      </c>
      <c r="B33" s="17" t="inlineStr">
        <is>
          <t>jama.2018.14280</t>
        </is>
      </c>
      <c r="C33" s="17" t="inlineStr">
        <is>
          <t>2018::jama.2018.14280::C011</t>
        </is>
      </c>
      <c r="D33" s="17" t="inlineStr">
        <is>
          <t>S_W</t>
        </is>
      </c>
      <c r="E33" s="17">
        <f>Setup!$B$4</f>
        <v/>
      </c>
      <c r="F33" s="17">
        <f>IF(Setup!$B$2="","",Setup!$B$2)</f>
        <v/>
      </c>
      <c r="G33" s="17">
        <f>IFERROR(INDEX('C_jama.2018.14280'!$G$2:$G$24,MATCH($C33,'C_jama.2018.14280'!$A$2:$A$24,0)),"CHECK KEY")</f>
        <v/>
      </c>
      <c r="H33" s="17">
        <f>IF(OR(G33&lt;&gt;"PRIMARY READY",I33="discuss"),"",IF(I33&lt;&gt;"retain","not_eligible",IF(D33="P_R","protocol_descriptive",IF(D33="P_P","plan_descriptive",IF(AND(OR(D33="S_C",D33="S_W"),J33="statistical_results",OR(K33="confirmed_issue",K33="probable_issue"),L33="substantive"),"primary_temporal",IF(AND(OR(D33="S_C",D33="S_W"),J33="report_internal_inconsistency",N33="substantive_inconsistency"),"secondary_temporal","not_eligible"))))))</f>
        <v/>
      </c>
      <c r="I33" s="17">
        <f>IFERROR(IF(INDEX('C_jama.2018.14280'!$D$2:$D$24,MATCH($C33,'C_jama.2018.14280'!$A$2:$A$24,0))="","",INDEX('C_jama.2018.14280'!$D$2:$D$24,MATCH($C33,'C_jama.2018.14280'!$A$2:$A$24,0))),"")</f>
        <v/>
      </c>
      <c r="J33" s="17">
        <f>IFERROR(IF(INDEX('C_jama.2018.14280'!$E$2:$E$24,MATCH($C33,'C_jama.2018.14280'!$A$2:$A$24,0))="","",INDEX('C_jama.2018.14280'!$E$2:$E$24,MATCH($C33,'C_jama.2018.14280'!$A$2:$A$24,0))),"")</f>
        <v/>
      </c>
      <c r="K33" s="17">
        <f>IFERROR(IF(AND(I33="retain",J33="statistical_results"),IF(INDEX('C_jama.2018.14280'!$H$2:$H$24,MATCH($C33,'C_jama.2018.14280'!$A$2:$A$24,0))="","",INDEX('C_jama.2018.14280'!$H$2:$H$24,MATCH($C33,'C_jama.2018.14280'!$A$2:$A$24,0))),"not_applicable"),"")</f>
        <v/>
      </c>
      <c r="L33" s="17">
        <f>IFERROR(IF(AND(I33="retain",J33="statistical_results"),IF(INDEX('C_jama.2018.14280'!$I$2:$I$24,MATCH($C33,'C_jama.2018.14280'!$A$2:$A$24,0))="","",INDEX('C_jama.2018.14280'!$I$2:$I$24,MATCH($C33,'C_jama.2018.14280'!$A$2:$A$24,0))),"not_applicable"),"")</f>
        <v/>
      </c>
      <c r="M33" s="17">
        <f>IFERROR(IF(AND(I33="retain",J33="statistical_results"),IF(INDEX('C_jama.2018.14280'!$J$2:$J$24,MATCH($C33,'C_jama.2018.14280'!$A$2:$A$24,0))="","",INDEX('C_jama.2018.14280'!$J$2:$J$24,MATCH($C33,'C_jama.2018.14280'!$A$2:$A$24,0))),"not_applicable"),"")</f>
        <v/>
      </c>
      <c r="N33" s="17">
        <f>IFERROR(IF(AND(I33="retain",OR(J33="report_internal_inconsistency",J33="plan_material")),IF(INDEX('C_jama.2018.14280'!$K$2:$K$24,MATCH($C33,'C_jama.2018.14280'!$A$2:$A$24,0))="","",INDEX('C_jama.2018.14280'!$K$2:$K$24,MATCH($C33,'C_jama.2018.14280'!$A$2:$A$24,0))),"not_applicable"),"")</f>
        <v/>
      </c>
      <c r="O33" s="17">
        <f>IFERROR(IF(AND(I33="retain",J33="protocol_report"),IF(INDEX('C_jama.2018.14280'!$L$2:$L$24,MATCH($C33,'C_jama.2018.14280'!$A$2:$A$24,0))="","",INDEX('C_jama.2018.14280'!$L$2:$L$24,MATCH($C33,'C_jama.2018.14280'!$A$2:$A$24,0))),"not_applicable"),"")</f>
        <v/>
      </c>
      <c r="P33" s="17">
        <f>IFERROR(IF(INDEX('C_jama.2018.14280'!$R$2:$R$24,MATCH($C33,'C_jama.2018.14280'!$A$2:$A$24,0))="","",INDEX('C_jama.2018.14280'!$R$2:$R$24,MATCH($C33,'C_jama.2018.14280'!$A$2:$A$24,0))),"")</f>
        <v/>
      </c>
      <c r="Q33" s="17" t="inlineStr">
        <is>
          <t>retain</t>
        </is>
      </c>
      <c r="R33" s="17" t="inlineStr">
        <is>
          <t>report_internal_inconsistency</t>
        </is>
      </c>
    </row>
    <row r="34" ht="70" customHeight="1" s="14">
      <c r="A34" s="16" t="n">
        <v>2018</v>
      </c>
      <c r="B34" s="16" t="inlineStr">
        <is>
          <t>jama.2018.14280</t>
        </is>
      </c>
      <c r="C34" s="16" t="inlineStr">
        <is>
          <t>2018::jama.2018.14280::C012</t>
        </is>
      </c>
      <c r="D34" s="16" t="inlineStr">
        <is>
          <t>S_W</t>
        </is>
      </c>
      <c r="E34" s="16">
        <f>Setup!$B$4</f>
        <v/>
      </c>
      <c r="F34" s="16">
        <f>IF(Setup!$B$2="","",Setup!$B$2)</f>
        <v/>
      </c>
      <c r="G34" s="16">
        <f>IFERROR(INDEX('C_jama.2018.14280'!$G$2:$G$24,MATCH($C34,'C_jama.2018.14280'!$A$2:$A$24,0)),"CHECK KEY")</f>
        <v/>
      </c>
      <c r="H34" s="16">
        <f>IF(OR(G34&lt;&gt;"PRIMARY READY",I34="discuss"),"",IF(I34&lt;&gt;"retain","not_eligible",IF(D34="P_R","protocol_descriptive",IF(D34="P_P","plan_descriptive",IF(AND(OR(D34="S_C",D34="S_W"),J34="statistical_results",OR(K34="confirmed_issue",K34="probable_issue"),L34="substantive"),"primary_temporal",IF(AND(OR(D34="S_C",D34="S_W"),J34="report_internal_inconsistency",N34="substantive_inconsistency"),"secondary_temporal","not_eligible"))))))</f>
        <v/>
      </c>
      <c r="I34" s="16">
        <f>IFERROR(IF(INDEX('C_jama.2018.14280'!$D$2:$D$24,MATCH($C34,'C_jama.2018.14280'!$A$2:$A$24,0))="","",INDEX('C_jama.2018.14280'!$D$2:$D$24,MATCH($C34,'C_jama.2018.14280'!$A$2:$A$24,0))),"")</f>
        <v/>
      </c>
      <c r="J34" s="16">
        <f>IFERROR(IF(INDEX('C_jama.2018.14280'!$E$2:$E$24,MATCH($C34,'C_jama.2018.14280'!$A$2:$A$24,0))="","",INDEX('C_jama.2018.14280'!$E$2:$E$24,MATCH($C34,'C_jama.2018.14280'!$A$2:$A$24,0))),"")</f>
        <v/>
      </c>
      <c r="K34" s="16">
        <f>IFERROR(IF(AND(I34="retain",J34="statistical_results"),IF(INDEX('C_jama.2018.14280'!$H$2:$H$24,MATCH($C34,'C_jama.2018.14280'!$A$2:$A$24,0))="","",INDEX('C_jama.2018.14280'!$H$2:$H$24,MATCH($C34,'C_jama.2018.14280'!$A$2:$A$24,0))),"not_applicable"),"")</f>
        <v/>
      </c>
      <c r="L34" s="16">
        <f>IFERROR(IF(AND(I34="retain",J34="statistical_results"),IF(INDEX('C_jama.2018.14280'!$I$2:$I$24,MATCH($C34,'C_jama.2018.14280'!$A$2:$A$24,0))="","",INDEX('C_jama.2018.14280'!$I$2:$I$24,MATCH($C34,'C_jama.2018.14280'!$A$2:$A$24,0))),"not_applicable"),"")</f>
        <v/>
      </c>
      <c r="M34" s="16">
        <f>IFERROR(IF(AND(I34="retain",J34="statistical_results"),IF(INDEX('C_jama.2018.14280'!$J$2:$J$24,MATCH($C34,'C_jama.2018.14280'!$A$2:$A$24,0))="","",INDEX('C_jama.2018.14280'!$J$2:$J$24,MATCH($C34,'C_jama.2018.14280'!$A$2:$A$24,0))),"not_applicable"),"")</f>
        <v/>
      </c>
      <c r="N34" s="16">
        <f>IFERROR(IF(AND(I34="retain",OR(J34="report_internal_inconsistency",J34="plan_material")),IF(INDEX('C_jama.2018.14280'!$K$2:$K$24,MATCH($C34,'C_jama.2018.14280'!$A$2:$A$24,0))="","",INDEX('C_jama.2018.14280'!$K$2:$K$24,MATCH($C34,'C_jama.2018.14280'!$A$2:$A$24,0))),"not_applicable"),"")</f>
        <v/>
      </c>
      <c r="O34" s="16">
        <f>IFERROR(IF(AND(I34="retain",J34="protocol_report"),IF(INDEX('C_jama.2018.14280'!$L$2:$L$24,MATCH($C34,'C_jama.2018.14280'!$A$2:$A$24,0))="","",INDEX('C_jama.2018.14280'!$L$2:$L$24,MATCH($C34,'C_jama.2018.14280'!$A$2:$A$24,0))),"not_applicable"),"")</f>
        <v/>
      </c>
      <c r="P34" s="16">
        <f>IFERROR(IF(INDEX('C_jama.2018.14280'!$R$2:$R$24,MATCH($C34,'C_jama.2018.14280'!$A$2:$A$24,0))="","",INDEX('C_jama.2018.14280'!$R$2:$R$24,MATCH($C34,'C_jama.2018.14280'!$A$2:$A$24,0))),"")</f>
        <v/>
      </c>
      <c r="Q34" s="16" t="inlineStr">
        <is>
          <t>retain</t>
        </is>
      </c>
      <c r="R34" s="16" t="inlineStr">
        <is>
          <t>statistical_results</t>
        </is>
      </c>
    </row>
    <row r="35" ht="70" customHeight="1" s="14">
      <c r="A35" s="17" t="n">
        <v>2018</v>
      </c>
      <c r="B35" s="17" t="inlineStr">
        <is>
          <t>jama.2018.14280</t>
        </is>
      </c>
      <c r="C35" s="17" t="inlineStr">
        <is>
          <t>2018::jama.2018.14280::C013</t>
        </is>
      </c>
      <c r="D35" s="17" t="inlineStr">
        <is>
          <t>S_W</t>
        </is>
      </c>
      <c r="E35" s="17">
        <f>Setup!$B$4</f>
        <v/>
      </c>
      <c r="F35" s="17">
        <f>IF(Setup!$B$2="","",Setup!$B$2)</f>
        <v/>
      </c>
      <c r="G35" s="17">
        <f>IFERROR(INDEX('C_jama.2018.14280'!$G$2:$G$24,MATCH($C35,'C_jama.2018.14280'!$A$2:$A$24,0)),"CHECK KEY")</f>
        <v/>
      </c>
      <c r="H35" s="17">
        <f>IF(OR(G35&lt;&gt;"PRIMARY READY",I35="discuss"),"",IF(I35&lt;&gt;"retain","not_eligible",IF(D35="P_R","protocol_descriptive",IF(D35="P_P","plan_descriptive",IF(AND(OR(D35="S_C",D35="S_W"),J35="statistical_results",OR(K35="confirmed_issue",K35="probable_issue"),L35="substantive"),"primary_temporal",IF(AND(OR(D35="S_C",D35="S_W"),J35="report_internal_inconsistency",N35="substantive_inconsistency"),"secondary_temporal","not_eligible"))))))</f>
        <v/>
      </c>
      <c r="I35" s="17">
        <f>IFERROR(IF(INDEX('C_jama.2018.14280'!$D$2:$D$24,MATCH($C35,'C_jama.2018.14280'!$A$2:$A$24,0))="","",INDEX('C_jama.2018.14280'!$D$2:$D$24,MATCH($C35,'C_jama.2018.14280'!$A$2:$A$24,0))),"")</f>
        <v/>
      </c>
      <c r="J35" s="17">
        <f>IFERROR(IF(INDEX('C_jama.2018.14280'!$E$2:$E$24,MATCH($C35,'C_jama.2018.14280'!$A$2:$A$24,0))="","",INDEX('C_jama.2018.14280'!$E$2:$E$24,MATCH($C35,'C_jama.2018.14280'!$A$2:$A$24,0))),"")</f>
        <v/>
      </c>
      <c r="K35" s="17">
        <f>IFERROR(IF(AND(I35="retain",J35="statistical_results"),IF(INDEX('C_jama.2018.14280'!$H$2:$H$24,MATCH($C35,'C_jama.2018.14280'!$A$2:$A$24,0))="","",INDEX('C_jama.2018.14280'!$H$2:$H$24,MATCH($C35,'C_jama.2018.14280'!$A$2:$A$24,0))),"not_applicable"),"")</f>
        <v/>
      </c>
      <c r="L35" s="17">
        <f>IFERROR(IF(AND(I35="retain",J35="statistical_results"),IF(INDEX('C_jama.2018.14280'!$I$2:$I$24,MATCH($C35,'C_jama.2018.14280'!$A$2:$A$24,0))="","",INDEX('C_jama.2018.14280'!$I$2:$I$24,MATCH($C35,'C_jama.2018.14280'!$A$2:$A$24,0))),"not_applicable"),"")</f>
        <v/>
      </c>
      <c r="M35" s="17">
        <f>IFERROR(IF(AND(I35="retain",J35="statistical_results"),IF(INDEX('C_jama.2018.14280'!$J$2:$J$24,MATCH($C35,'C_jama.2018.14280'!$A$2:$A$24,0))="","",INDEX('C_jama.2018.14280'!$J$2:$J$24,MATCH($C35,'C_jama.2018.14280'!$A$2:$A$24,0))),"not_applicable"),"")</f>
        <v/>
      </c>
      <c r="N35" s="17">
        <f>IFERROR(IF(AND(I35="retain",OR(J35="report_internal_inconsistency",J35="plan_material")),IF(INDEX('C_jama.2018.14280'!$K$2:$K$24,MATCH($C35,'C_jama.2018.14280'!$A$2:$A$24,0))="","",INDEX('C_jama.2018.14280'!$K$2:$K$24,MATCH($C35,'C_jama.2018.14280'!$A$2:$A$24,0))),"not_applicable"),"")</f>
        <v/>
      </c>
      <c r="O35" s="17">
        <f>IFERROR(IF(AND(I35="retain",J35="protocol_report"),IF(INDEX('C_jama.2018.14280'!$L$2:$L$24,MATCH($C35,'C_jama.2018.14280'!$A$2:$A$24,0))="","",INDEX('C_jama.2018.14280'!$L$2:$L$24,MATCH($C35,'C_jama.2018.14280'!$A$2:$A$24,0))),"not_applicable"),"")</f>
        <v/>
      </c>
      <c r="P35" s="17">
        <f>IFERROR(IF(INDEX('C_jama.2018.14280'!$R$2:$R$24,MATCH($C35,'C_jama.2018.14280'!$A$2:$A$24,0))="","",INDEX('C_jama.2018.14280'!$R$2:$R$24,MATCH($C35,'C_jama.2018.14280'!$A$2:$A$24,0))),"")</f>
        <v/>
      </c>
      <c r="Q35" s="17" t="inlineStr">
        <is>
          <t>retain</t>
        </is>
      </c>
      <c r="R35" s="17" t="inlineStr">
        <is>
          <t>statistical_results</t>
        </is>
      </c>
    </row>
    <row r="36" ht="70" customHeight="1" s="14">
      <c r="A36" s="16" t="n">
        <v>2018</v>
      </c>
      <c r="B36" s="16" t="inlineStr">
        <is>
          <t>jama.2018.14280</t>
        </is>
      </c>
      <c r="C36" s="16" t="inlineStr">
        <is>
          <t>2018::jama.2018.14280::C014</t>
        </is>
      </c>
      <c r="D36" s="16" t="inlineStr">
        <is>
          <t>S_W</t>
        </is>
      </c>
      <c r="E36" s="16">
        <f>Setup!$B$4</f>
        <v/>
      </c>
      <c r="F36" s="16">
        <f>IF(Setup!$B$2="","",Setup!$B$2)</f>
        <v/>
      </c>
      <c r="G36" s="16">
        <f>IFERROR(INDEX('C_jama.2018.14280'!$G$2:$G$24,MATCH($C36,'C_jama.2018.14280'!$A$2:$A$24,0)),"CHECK KEY")</f>
        <v/>
      </c>
      <c r="H36" s="16">
        <f>IF(OR(G36&lt;&gt;"PRIMARY READY",I36="discuss"),"",IF(I36&lt;&gt;"retain","not_eligible",IF(D36="P_R","protocol_descriptive",IF(D36="P_P","plan_descriptive",IF(AND(OR(D36="S_C",D36="S_W"),J36="statistical_results",OR(K36="confirmed_issue",K36="probable_issue"),L36="substantive"),"primary_temporal",IF(AND(OR(D36="S_C",D36="S_W"),J36="report_internal_inconsistency",N36="substantive_inconsistency"),"secondary_temporal","not_eligible"))))))</f>
        <v/>
      </c>
      <c r="I36" s="16">
        <f>IFERROR(IF(INDEX('C_jama.2018.14280'!$D$2:$D$24,MATCH($C36,'C_jama.2018.14280'!$A$2:$A$24,0))="","",INDEX('C_jama.2018.14280'!$D$2:$D$24,MATCH($C36,'C_jama.2018.14280'!$A$2:$A$24,0))),"")</f>
        <v/>
      </c>
      <c r="J36" s="16">
        <f>IFERROR(IF(INDEX('C_jama.2018.14280'!$E$2:$E$24,MATCH($C36,'C_jama.2018.14280'!$A$2:$A$24,0))="","",INDEX('C_jama.2018.14280'!$E$2:$E$24,MATCH($C36,'C_jama.2018.14280'!$A$2:$A$24,0))),"")</f>
        <v/>
      </c>
      <c r="K36" s="16">
        <f>IFERROR(IF(AND(I36="retain",J36="statistical_results"),IF(INDEX('C_jama.2018.14280'!$H$2:$H$24,MATCH($C36,'C_jama.2018.14280'!$A$2:$A$24,0))="","",INDEX('C_jama.2018.14280'!$H$2:$H$24,MATCH($C36,'C_jama.2018.14280'!$A$2:$A$24,0))),"not_applicable"),"")</f>
        <v/>
      </c>
      <c r="L36" s="16">
        <f>IFERROR(IF(AND(I36="retain",J36="statistical_results"),IF(INDEX('C_jama.2018.14280'!$I$2:$I$24,MATCH($C36,'C_jama.2018.14280'!$A$2:$A$24,0))="","",INDEX('C_jama.2018.14280'!$I$2:$I$24,MATCH($C36,'C_jama.2018.14280'!$A$2:$A$24,0))),"not_applicable"),"")</f>
        <v/>
      </c>
      <c r="M36" s="16">
        <f>IFERROR(IF(AND(I36="retain",J36="statistical_results"),IF(INDEX('C_jama.2018.14280'!$J$2:$J$24,MATCH($C36,'C_jama.2018.14280'!$A$2:$A$24,0))="","",INDEX('C_jama.2018.14280'!$J$2:$J$24,MATCH($C36,'C_jama.2018.14280'!$A$2:$A$24,0))),"not_applicable"),"")</f>
        <v/>
      </c>
      <c r="N36" s="16">
        <f>IFERROR(IF(AND(I36="retain",OR(J36="report_internal_inconsistency",J36="plan_material")),IF(INDEX('C_jama.2018.14280'!$K$2:$K$24,MATCH($C36,'C_jama.2018.14280'!$A$2:$A$24,0))="","",INDEX('C_jama.2018.14280'!$K$2:$K$24,MATCH($C36,'C_jama.2018.14280'!$A$2:$A$24,0))),"not_applicable"),"")</f>
        <v/>
      </c>
      <c r="O36" s="16">
        <f>IFERROR(IF(AND(I36="retain",J36="protocol_report"),IF(INDEX('C_jama.2018.14280'!$L$2:$L$24,MATCH($C36,'C_jama.2018.14280'!$A$2:$A$24,0))="","",INDEX('C_jama.2018.14280'!$L$2:$L$24,MATCH($C36,'C_jama.2018.14280'!$A$2:$A$24,0))),"not_applicable"),"")</f>
        <v/>
      </c>
      <c r="P36" s="16">
        <f>IFERROR(IF(INDEX('C_jama.2018.14280'!$R$2:$R$24,MATCH($C36,'C_jama.2018.14280'!$A$2:$A$24,0))="","",INDEX('C_jama.2018.14280'!$R$2:$R$24,MATCH($C36,'C_jama.2018.14280'!$A$2:$A$24,0))),"")</f>
        <v/>
      </c>
      <c r="Q36" s="16" t="inlineStr">
        <is>
          <t>retain</t>
        </is>
      </c>
      <c r="R36" s="16" t="inlineStr">
        <is>
          <t>statistical_results</t>
        </is>
      </c>
    </row>
    <row r="37" ht="70" customHeight="1" s="14">
      <c r="A37" s="17" t="n">
        <v>2018</v>
      </c>
      <c r="B37" s="17" t="inlineStr">
        <is>
          <t>jama.2018.14280</t>
        </is>
      </c>
      <c r="C37" s="17" t="inlineStr">
        <is>
          <t>2018::jama.2018.14280::C015</t>
        </is>
      </c>
      <c r="D37" s="17" t="inlineStr">
        <is>
          <t>S_W</t>
        </is>
      </c>
      <c r="E37" s="17">
        <f>Setup!$B$4</f>
        <v/>
      </c>
      <c r="F37" s="17">
        <f>IF(Setup!$B$2="","",Setup!$B$2)</f>
        <v/>
      </c>
      <c r="G37" s="17">
        <f>IFERROR(INDEX('C_jama.2018.14280'!$G$2:$G$24,MATCH($C37,'C_jama.2018.14280'!$A$2:$A$24,0)),"CHECK KEY")</f>
        <v/>
      </c>
      <c r="H37" s="17">
        <f>IF(OR(G37&lt;&gt;"PRIMARY READY",I37="discuss"),"",IF(I37&lt;&gt;"retain","not_eligible",IF(D37="P_R","protocol_descriptive",IF(D37="P_P","plan_descriptive",IF(AND(OR(D37="S_C",D37="S_W"),J37="statistical_results",OR(K37="confirmed_issue",K37="probable_issue"),L37="substantive"),"primary_temporal",IF(AND(OR(D37="S_C",D37="S_W"),J37="report_internal_inconsistency",N37="substantive_inconsistency"),"secondary_temporal","not_eligible"))))))</f>
        <v/>
      </c>
      <c r="I37" s="17">
        <f>IFERROR(IF(INDEX('C_jama.2018.14280'!$D$2:$D$24,MATCH($C37,'C_jama.2018.14280'!$A$2:$A$24,0))="","",INDEX('C_jama.2018.14280'!$D$2:$D$24,MATCH($C37,'C_jama.2018.14280'!$A$2:$A$24,0))),"")</f>
        <v/>
      </c>
      <c r="J37" s="17">
        <f>IFERROR(IF(INDEX('C_jama.2018.14280'!$E$2:$E$24,MATCH($C37,'C_jama.2018.14280'!$A$2:$A$24,0))="","",INDEX('C_jama.2018.14280'!$E$2:$E$24,MATCH($C37,'C_jama.2018.14280'!$A$2:$A$24,0))),"")</f>
        <v/>
      </c>
      <c r="K37" s="17">
        <f>IFERROR(IF(AND(I37="retain",J37="statistical_results"),IF(INDEX('C_jama.2018.14280'!$H$2:$H$24,MATCH($C37,'C_jama.2018.14280'!$A$2:$A$24,0))="","",INDEX('C_jama.2018.14280'!$H$2:$H$24,MATCH($C37,'C_jama.2018.14280'!$A$2:$A$24,0))),"not_applicable"),"")</f>
        <v/>
      </c>
      <c r="L37" s="17">
        <f>IFERROR(IF(AND(I37="retain",J37="statistical_results"),IF(INDEX('C_jama.2018.14280'!$I$2:$I$24,MATCH($C37,'C_jama.2018.14280'!$A$2:$A$24,0))="","",INDEX('C_jama.2018.14280'!$I$2:$I$24,MATCH($C37,'C_jama.2018.14280'!$A$2:$A$24,0))),"not_applicable"),"")</f>
        <v/>
      </c>
      <c r="M37" s="17">
        <f>IFERROR(IF(AND(I37="retain",J37="statistical_results"),IF(INDEX('C_jama.2018.14280'!$J$2:$J$24,MATCH($C37,'C_jama.2018.14280'!$A$2:$A$24,0))="","",INDEX('C_jama.2018.14280'!$J$2:$J$24,MATCH($C37,'C_jama.2018.14280'!$A$2:$A$24,0))),"not_applicable"),"")</f>
        <v/>
      </c>
      <c r="N37" s="17">
        <f>IFERROR(IF(AND(I37="retain",OR(J37="report_internal_inconsistency",J37="plan_material")),IF(INDEX('C_jama.2018.14280'!$K$2:$K$24,MATCH($C37,'C_jama.2018.14280'!$A$2:$A$24,0))="","",INDEX('C_jama.2018.14280'!$K$2:$K$24,MATCH($C37,'C_jama.2018.14280'!$A$2:$A$24,0))),"not_applicable"),"")</f>
        <v/>
      </c>
      <c r="O37" s="17">
        <f>IFERROR(IF(AND(I37="retain",J37="protocol_report"),IF(INDEX('C_jama.2018.14280'!$L$2:$L$24,MATCH($C37,'C_jama.2018.14280'!$A$2:$A$24,0))="","",INDEX('C_jama.2018.14280'!$L$2:$L$24,MATCH($C37,'C_jama.2018.14280'!$A$2:$A$24,0))),"not_applicable"),"")</f>
        <v/>
      </c>
      <c r="P37" s="17">
        <f>IFERROR(IF(INDEX('C_jama.2018.14280'!$R$2:$R$24,MATCH($C37,'C_jama.2018.14280'!$A$2:$A$24,0))="","",INDEX('C_jama.2018.14280'!$R$2:$R$24,MATCH($C37,'C_jama.2018.14280'!$A$2:$A$24,0))),"")</f>
        <v/>
      </c>
      <c r="Q37" s="17" t="inlineStr">
        <is>
          <t>retain</t>
        </is>
      </c>
      <c r="R37" s="17" t="inlineStr">
        <is>
          <t>statistical_results</t>
        </is>
      </c>
    </row>
    <row r="38" ht="70" customHeight="1" s="14">
      <c r="A38" s="16" t="n">
        <v>2018</v>
      </c>
      <c r="B38" s="16" t="inlineStr">
        <is>
          <t>jama.2018.14280</t>
        </is>
      </c>
      <c r="C38" s="16" t="inlineStr">
        <is>
          <t>2018::jama.2018.14280::C016</t>
        </is>
      </c>
      <c r="D38" s="16" t="inlineStr">
        <is>
          <t>S_W</t>
        </is>
      </c>
      <c r="E38" s="16">
        <f>Setup!$B$4</f>
        <v/>
      </c>
      <c r="F38" s="16">
        <f>IF(Setup!$B$2="","",Setup!$B$2)</f>
        <v/>
      </c>
      <c r="G38" s="16">
        <f>IFERROR(INDEX('C_jama.2018.14280'!$G$2:$G$24,MATCH($C38,'C_jama.2018.14280'!$A$2:$A$24,0)),"CHECK KEY")</f>
        <v/>
      </c>
      <c r="H38" s="16">
        <f>IF(OR(G38&lt;&gt;"PRIMARY READY",I38="discuss"),"",IF(I38&lt;&gt;"retain","not_eligible",IF(D38="P_R","protocol_descriptive",IF(D38="P_P","plan_descriptive",IF(AND(OR(D38="S_C",D38="S_W"),J38="statistical_results",OR(K38="confirmed_issue",K38="probable_issue"),L38="substantive"),"primary_temporal",IF(AND(OR(D38="S_C",D38="S_W"),J38="report_internal_inconsistency",N38="substantive_inconsistency"),"secondary_temporal","not_eligible"))))))</f>
        <v/>
      </c>
      <c r="I38" s="16">
        <f>IFERROR(IF(INDEX('C_jama.2018.14280'!$D$2:$D$24,MATCH($C38,'C_jama.2018.14280'!$A$2:$A$24,0))="","",INDEX('C_jama.2018.14280'!$D$2:$D$24,MATCH($C38,'C_jama.2018.14280'!$A$2:$A$24,0))),"")</f>
        <v/>
      </c>
      <c r="J38" s="16">
        <f>IFERROR(IF(INDEX('C_jama.2018.14280'!$E$2:$E$24,MATCH($C38,'C_jama.2018.14280'!$A$2:$A$24,0))="","",INDEX('C_jama.2018.14280'!$E$2:$E$24,MATCH($C38,'C_jama.2018.14280'!$A$2:$A$24,0))),"")</f>
        <v/>
      </c>
      <c r="K38" s="16">
        <f>IFERROR(IF(AND(I38="retain",J38="statistical_results"),IF(INDEX('C_jama.2018.14280'!$H$2:$H$24,MATCH($C38,'C_jama.2018.14280'!$A$2:$A$24,0))="","",INDEX('C_jama.2018.14280'!$H$2:$H$24,MATCH($C38,'C_jama.2018.14280'!$A$2:$A$24,0))),"not_applicable"),"")</f>
        <v/>
      </c>
      <c r="L38" s="16">
        <f>IFERROR(IF(AND(I38="retain",J38="statistical_results"),IF(INDEX('C_jama.2018.14280'!$I$2:$I$24,MATCH($C38,'C_jama.2018.14280'!$A$2:$A$24,0))="","",INDEX('C_jama.2018.14280'!$I$2:$I$24,MATCH($C38,'C_jama.2018.14280'!$A$2:$A$24,0))),"not_applicable"),"")</f>
        <v/>
      </c>
      <c r="M38" s="16">
        <f>IFERROR(IF(AND(I38="retain",J38="statistical_results"),IF(INDEX('C_jama.2018.14280'!$J$2:$J$24,MATCH($C38,'C_jama.2018.14280'!$A$2:$A$24,0))="","",INDEX('C_jama.2018.14280'!$J$2:$J$24,MATCH($C38,'C_jama.2018.14280'!$A$2:$A$24,0))),"not_applicable"),"")</f>
        <v/>
      </c>
      <c r="N38" s="16">
        <f>IFERROR(IF(AND(I38="retain",OR(J38="report_internal_inconsistency",J38="plan_material")),IF(INDEX('C_jama.2018.14280'!$K$2:$K$24,MATCH($C38,'C_jama.2018.14280'!$A$2:$A$24,0))="","",INDEX('C_jama.2018.14280'!$K$2:$K$24,MATCH($C38,'C_jama.2018.14280'!$A$2:$A$24,0))),"not_applicable"),"")</f>
        <v/>
      </c>
      <c r="O38" s="16">
        <f>IFERROR(IF(AND(I38="retain",J38="protocol_report"),IF(INDEX('C_jama.2018.14280'!$L$2:$L$24,MATCH($C38,'C_jama.2018.14280'!$A$2:$A$24,0))="","",INDEX('C_jama.2018.14280'!$L$2:$L$24,MATCH($C38,'C_jama.2018.14280'!$A$2:$A$24,0))),"not_applicable"),"")</f>
        <v/>
      </c>
      <c r="P38" s="16">
        <f>IFERROR(IF(INDEX('C_jama.2018.14280'!$R$2:$R$24,MATCH($C38,'C_jama.2018.14280'!$A$2:$A$24,0))="","",INDEX('C_jama.2018.14280'!$R$2:$R$24,MATCH($C38,'C_jama.2018.14280'!$A$2:$A$24,0))),"")</f>
        <v/>
      </c>
      <c r="Q38" s="16" t="inlineStr">
        <is>
          <t>retain</t>
        </is>
      </c>
      <c r="R38" s="16" t="inlineStr">
        <is>
          <t>statistical_results</t>
        </is>
      </c>
    </row>
    <row r="39" ht="70" customHeight="1" s="14">
      <c r="A39" s="17" t="n">
        <v>2018</v>
      </c>
      <c r="B39" s="17" t="inlineStr">
        <is>
          <t>jama.2018.14280</t>
        </is>
      </c>
      <c r="C39" s="17" t="inlineStr">
        <is>
          <t>2018::jama.2018.14280::C017</t>
        </is>
      </c>
      <c r="D39" s="17" t="inlineStr">
        <is>
          <t>S_W</t>
        </is>
      </c>
      <c r="E39" s="17">
        <f>Setup!$B$4</f>
        <v/>
      </c>
      <c r="F39" s="17">
        <f>IF(Setup!$B$2="","",Setup!$B$2)</f>
        <v/>
      </c>
      <c r="G39" s="17">
        <f>IFERROR(INDEX('C_jama.2018.14280'!$G$2:$G$24,MATCH($C39,'C_jama.2018.14280'!$A$2:$A$24,0)),"CHECK KEY")</f>
        <v/>
      </c>
      <c r="H39" s="17">
        <f>IF(OR(G39&lt;&gt;"PRIMARY READY",I39="discuss"),"",IF(I39&lt;&gt;"retain","not_eligible",IF(D39="P_R","protocol_descriptive",IF(D39="P_P","plan_descriptive",IF(AND(OR(D39="S_C",D39="S_W"),J39="statistical_results",OR(K39="confirmed_issue",K39="probable_issue"),L39="substantive"),"primary_temporal",IF(AND(OR(D39="S_C",D39="S_W"),J39="report_internal_inconsistency",N39="substantive_inconsistency"),"secondary_temporal","not_eligible"))))))</f>
        <v/>
      </c>
      <c r="I39" s="17">
        <f>IFERROR(IF(INDEX('C_jama.2018.14280'!$D$2:$D$24,MATCH($C39,'C_jama.2018.14280'!$A$2:$A$24,0))="","",INDEX('C_jama.2018.14280'!$D$2:$D$24,MATCH($C39,'C_jama.2018.14280'!$A$2:$A$24,0))),"")</f>
        <v/>
      </c>
      <c r="J39" s="17">
        <f>IFERROR(IF(INDEX('C_jama.2018.14280'!$E$2:$E$24,MATCH($C39,'C_jama.2018.14280'!$A$2:$A$24,0))="","",INDEX('C_jama.2018.14280'!$E$2:$E$24,MATCH($C39,'C_jama.2018.14280'!$A$2:$A$24,0))),"")</f>
        <v/>
      </c>
      <c r="K39" s="17">
        <f>IFERROR(IF(AND(I39="retain",J39="statistical_results"),IF(INDEX('C_jama.2018.14280'!$H$2:$H$24,MATCH($C39,'C_jama.2018.14280'!$A$2:$A$24,0))="","",INDEX('C_jama.2018.14280'!$H$2:$H$24,MATCH($C39,'C_jama.2018.14280'!$A$2:$A$24,0))),"not_applicable"),"")</f>
        <v/>
      </c>
      <c r="L39" s="17">
        <f>IFERROR(IF(AND(I39="retain",J39="statistical_results"),IF(INDEX('C_jama.2018.14280'!$I$2:$I$24,MATCH($C39,'C_jama.2018.14280'!$A$2:$A$24,0))="","",INDEX('C_jama.2018.14280'!$I$2:$I$24,MATCH($C39,'C_jama.2018.14280'!$A$2:$A$24,0))),"not_applicable"),"")</f>
        <v/>
      </c>
      <c r="M39" s="17">
        <f>IFERROR(IF(AND(I39="retain",J39="statistical_results"),IF(INDEX('C_jama.2018.14280'!$J$2:$J$24,MATCH($C39,'C_jama.2018.14280'!$A$2:$A$24,0))="","",INDEX('C_jama.2018.14280'!$J$2:$J$24,MATCH($C39,'C_jama.2018.14280'!$A$2:$A$24,0))),"not_applicable"),"")</f>
        <v/>
      </c>
      <c r="N39" s="17">
        <f>IFERROR(IF(AND(I39="retain",OR(J39="report_internal_inconsistency",J39="plan_material")),IF(INDEX('C_jama.2018.14280'!$K$2:$K$24,MATCH($C39,'C_jama.2018.14280'!$A$2:$A$24,0))="","",INDEX('C_jama.2018.14280'!$K$2:$K$24,MATCH($C39,'C_jama.2018.14280'!$A$2:$A$24,0))),"not_applicable"),"")</f>
        <v/>
      </c>
      <c r="O39" s="17">
        <f>IFERROR(IF(AND(I39="retain",J39="protocol_report"),IF(INDEX('C_jama.2018.14280'!$L$2:$L$24,MATCH($C39,'C_jama.2018.14280'!$A$2:$A$24,0))="","",INDEX('C_jama.2018.14280'!$L$2:$L$24,MATCH($C39,'C_jama.2018.14280'!$A$2:$A$24,0))),"not_applicable"),"")</f>
        <v/>
      </c>
      <c r="P39" s="17">
        <f>IFERROR(IF(INDEX('C_jama.2018.14280'!$R$2:$R$24,MATCH($C39,'C_jama.2018.14280'!$A$2:$A$24,0))="","",INDEX('C_jama.2018.14280'!$R$2:$R$24,MATCH($C39,'C_jama.2018.14280'!$A$2:$A$24,0))),"")</f>
        <v/>
      </c>
      <c r="Q39" s="17" t="inlineStr">
        <is>
          <t>retain</t>
        </is>
      </c>
      <c r="R39" s="17" t="inlineStr">
        <is>
          <t>statistical_results</t>
        </is>
      </c>
    </row>
    <row r="40" ht="70" customHeight="1" s="14">
      <c r="A40" s="16" t="n">
        <v>2018</v>
      </c>
      <c r="B40" s="16" t="inlineStr">
        <is>
          <t>jama.2018.14280</t>
        </is>
      </c>
      <c r="C40" s="16" t="inlineStr">
        <is>
          <t>2018::jama.2018.14280::C018</t>
        </is>
      </c>
      <c r="D40" s="16" t="inlineStr">
        <is>
          <t>S_W</t>
        </is>
      </c>
      <c r="E40" s="16">
        <f>Setup!$B$4</f>
        <v/>
      </c>
      <c r="F40" s="16">
        <f>IF(Setup!$B$2="","",Setup!$B$2)</f>
        <v/>
      </c>
      <c r="G40" s="16">
        <f>IFERROR(INDEX('C_jama.2018.14280'!$G$2:$G$24,MATCH($C40,'C_jama.2018.14280'!$A$2:$A$24,0)),"CHECK KEY")</f>
        <v/>
      </c>
      <c r="H40" s="16">
        <f>IF(OR(G40&lt;&gt;"PRIMARY READY",I40="discuss"),"",IF(I40&lt;&gt;"retain","not_eligible",IF(D40="P_R","protocol_descriptive",IF(D40="P_P","plan_descriptive",IF(AND(OR(D40="S_C",D40="S_W"),J40="statistical_results",OR(K40="confirmed_issue",K40="probable_issue"),L40="substantive"),"primary_temporal",IF(AND(OR(D40="S_C",D40="S_W"),J40="report_internal_inconsistency",N40="substantive_inconsistency"),"secondary_temporal","not_eligible"))))))</f>
        <v/>
      </c>
      <c r="I40" s="16">
        <f>IFERROR(IF(INDEX('C_jama.2018.14280'!$D$2:$D$24,MATCH($C40,'C_jama.2018.14280'!$A$2:$A$24,0))="","",INDEX('C_jama.2018.14280'!$D$2:$D$24,MATCH($C40,'C_jama.2018.14280'!$A$2:$A$24,0))),"")</f>
        <v/>
      </c>
      <c r="J40" s="16">
        <f>IFERROR(IF(INDEX('C_jama.2018.14280'!$E$2:$E$24,MATCH($C40,'C_jama.2018.14280'!$A$2:$A$24,0))="","",INDEX('C_jama.2018.14280'!$E$2:$E$24,MATCH($C40,'C_jama.2018.14280'!$A$2:$A$24,0))),"")</f>
        <v/>
      </c>
      <c r="K40" s="16">
        <f>IFERROR(IF(AND(I40="retain",J40="statistical_results"),IF(INDEX('C_jama.2018.14280'!$H$2:$H$24,MATCH($C40,'C_jama.2018.14280'!$A$2:$A$24,0))="","",INDEX('C_jama.2018.14280'!$H$2:$H$24,MATCH($C40,'C_jama.2018.14280'!$A$2:$A$24,0))),"not_applicable"),"")</f>
        <v/>
      </c>
      <c r="L40" s="16">
        <f>IFERROR(IF(AND(I40="retain",J40="statistical_results"),IF(INDEX('C_jama.2018.14280'!$I$2:$I$24,MATCH($C40,'C_jama.2018.14280'!$A$2:$A$24,0))="","",INDEX('C_jama.2018.14280'!$I$2:$I$24,MATCH($C40,'C_jama.2018.14280'!$A$2:$A$24,0))),"not_applicable"),"")</f>
        <v/>
      </c>
      <c r="M40" s="16">
        <f>IFERROR(IF(AND(I40="retain",J40="statistical_results"),IF(INDEX('C_jama.2018.14280'!$J$2:$J$24,MATCH($C40,'C_jama.2018.14280'!$A$2:$A$24,0))="","",INDEX('C_jama.2018.14280'!$J$2:$J$24,MATCH($C40,'C_jama.2018.14280'!$A$2:$A$24,0))),"not_applicable"),"")</f>
        <v/>
      </c>
      <c r="N40" s="16">
        <f>IFERROR(IF(AND(I40="retain",OR(J40="report_internal_inconsistency",J40="plan_material")),IF(INDEX('C_jama.2018.14280'!$K$2:$K$24,MATCH($C40,'C_jama.2018.14280'!$A$2:$A$24,0))="","",INDEX('C_jama.2018.14280'!$K$2:$K$24,MATCH($C40,'C_jama.2018.14280'!$A$2:$A$24,0))),"not_applicable"),"")</f>
        <v/>
      </c>
      <c r="O40" s="16">
        <f>IFERROR(IF(AND(I40="retain",J40="protocol_report"),IF(INDEX('C_jama.2018.14280'!$L$2:$L$24,MATCH($C40,'C_jama.2018.14280'!$A$2:$A$24,0))="","",INDEX('C_jama.2018.14280'!$L$2:$L$24,MATCH($C40,'C_jama.2018.14280'!$A$2:$A$24,0))),"not_applicable"),"")</f>
        <v/>
      </c>
      <c r="P40" s="16">
        <f>IFERROR(IF(INDEX('C_jama.2018.14280'!$R$2:$R$24,MATCH($C40,'C_jama.2018.14280'!$A$2:$A$24,0))="","",INDEX('C_jama.2018.14280'!$R$2:$R$24,MATCH($C40,'C_jama.2018.14280'!$A$2:$A$24,0))),"")</f>
        <v/>
      </c>
      <c r="Q40" s="16" t="inlineStr">
        <is>
          <t>retain</t>
        </is>
      </c>
      <c r="R40" s="16" t="inlineStr">
        <is>
          <t>statistical_results</t>
        </is>
      </c>
    </row>
    <row r="41" ht="70" customHeight="1" s="14">
      <c r="A41" s="17" t="n">
        <v>2018</v>
      </c>
      <c r="B41" s="17" t="inlineStr">
        <is>
          <t>jama.2018.14280</t>
        </is>
      </c>
      <c r="C41" s="17" t="inlineStr">
        <is>
          <t>2018::jama.2018.14280::C019</t>
        </is>
      </c>
      <c r="D41" s="17" t="inlineStr">
        <is>
          <t>S_W</t>
        </is>
      </c>
      <c r="E41" s="17">
        <f>Setup!$B$4</f>
        <v/>
      </c>
      <c r="F41" s="17">
        <f>IF(Setup!$B$2="","",Setup!$B$2)</f>
        <v/>
      </c>
      <c r="G41" s="17">
        <f>IFERROR(INDEX('C_jama.2018.14280'!$G$2:$G$24,MATCH($C41,'C_jama.2018.14280'!$A$2:$A$24,0)),"CHECK KEY")</f>
        <v/>
      </c>
      <c r="H41" s="17">
        <f>IF(OR(G41&lt;&gt;"PRIMARY READY",I41="discuss"),"",IF(I41&lt;&gt;"retain","not_eligible",IF(D41="P_R","protocol_descriptive",IF(D41="P_P","plan_descriptive",IF(AND(OR(D41="S_C",D41="S_W"),J41="statistical_results",OR(K41="confirmed_issue",K41="probable_issue"),L41="substantive"),"primary_temporal",IF(AND(OR(D41="S_C",D41="S_W"),J41="report_internal_inconsistency",N41="substantive_inconsistency"),"secondary_temporal","not_eligible"))))))</f>
        <v/>
      </c>
      <c r="I41" s="17">
        <f>IFERROR(IF(INDEX('C_jama.2018.14280'!$D$2:$D$24,MATCH($C41,'C_jama.2018.14280'!$A$2:$A$24,0))="","",INDEX('C_jama.2018.14280'!$D$2:$D$24,MATCH($C41,'C_jama.2018.14280'!$A$2:$A$24,0))),"")</f>
        <v/>
      </c>
      <c r="J41" s="17">
        <f>IFERROR(IF(INDEX('C_jama.2018.14280'!$E$2:$E$24,MATCH($C41,'C_jama.2018.14280'!$A$2:$A$24,0))="","",INDEX('C_jama.2018.14280'!$E$2:$E$24,MATCH($C41,'C_jama.2018.14280'!$A$2:$A$24,0))),"")</f>
        <v/>
      </c>
      <c r="K41" s="17">
        <f>IFERROR(IF(AND(I41="retain",J41="statistical_results"),IF(INDEX('C_jama.2018.14280'!$H$2:$H$24,MATCH($C41,'C_jama.2018.14280'!$A$2:$A$24,0))="","",INDEX('C_jama.2018.14280'!$H$2:$H$24,MATCH($C41,'C_jama.2018.14280'!$A$2:$A$24,0))),"not_applicable"),"")</f>
        <v/>
      </c>
      <c r="L41" s="17">
        <f>IFERROR(IF(AND(I41="retain",J41="statistical_results"),IF(INDEX('C_jama.2018.14280'!$I$2:$I$24,MATCH($C41,'C_jama.2018.14280'!$A$2:$A$24,0))="","",INDEX('C_jama.2018.14280'!$I$2:$I$24,MATCH($C41,'C_jama.2018.14280'!$A$2:$A$24,0))),"not_applicable"),"")</f>
        <v/>
      </c>
      <c r="M41" s="17">
        <f>IFERROR(IF(AND(I41="retain",J41="statistical_results"),IF(INDEX('C_jama.2018.14280'!$J$2:$J$24,MATCH($C41,'C_jama.2018.14280'!$A$2:$A$24,0))="","",INDEX('C_jama.2018.14280'!$J$2:$J$24,MATCH($C41,'C_jama.2018.14280'!$A$2:$A$24,0))),"not_applicable"),"")</f>
        <v/>
      </c>
      <c r="N41" s="17">
        <f>IFERROR(IF(AND(I41="retain",OR(J41="report_internal_inconsistency",J41="plan_material")),IF(INDEX('C_jama.2018.14280'!$K$2:$K$24,MATCH($C41,'C_jama.2018.14280'!$A$2:$A$24,0))="","",INDEX('C_jama.2018.14280'!$K$2:$K$24,MATCH($C41,'C_jama.2018.14280'!$A$2:$A$24,0))),"not_applicable"),"")</f>
        <v/>
      </c>
      <c r="O41" s="17">
        <f>IFERROR(IF(AND(I41="retain",J41="protocol_report"),IF(INDEX('C_jama.2018.14280'!$L$2:$L$24,MATCH($C41,'C_jama.2018.14280'!$A$2:$A$24,0))="","",INDEX('C_jama.2018.14280'!$L$2:$L$24,MATCH($C41,'C_jama.2018.14280'!$A$2:$A$24,0))),"not_applicable"),"")</f>
        <v/>
      </c>
      <c r="P41" s="17">
        <f>IFERROR(IF(INDEX('C_jama.2018.14280'!$R$2:$R$24,MATCH($C41,'C_jama.2018.14280'!$A$2:$A$24,0))="","",INDEX('C_jama.2018.14280'!$R$2:$R$24,MATCH($C41,'C_jama.2018.14280'!$A$2:$A$24,0))),"")</f>
        <v/>
      </c>
      <c r="Q41" s="17" t="inlineStr">
        <is>
          <t>retain</t>
        </is>
      </c>
      <c r="R41" s="17" t="inlineStr">
        <is>
          <t>statistical_results</t>
        </is>
      </c>
    </row>
    <row r="42" ht="70" customHeight="1" s="14">
      <c r="A42" s="16" t="n">
        <v>2018</v>
      </c>
      <c r="B42" s="16" t="inlineStr">
        <is>
          <t>jama.2018.14280</t>
        </is>
      </c>
      <c r="C42" s="16" t="inlineStr">
        <is>
          <t>2018::jama.2018.14280::C020</t>
        </is>
      </c>
      <c r="D42" s="16" t="inlineStr">
        <is>
          <t>S_W</t>
        </is>
      </c>
      <c r="E42" s="16">
        <f>Setup!$B$4</f>
        <v/>
      </c>
      <c r="F42" s="16">
        <f>IF(Setup!$B$2="","",Setup!$B$2)</f>
        <v/>
      </c>
      <c r="G42" s="16">
        <f>IFERROR(INDEX('C_jama.2018.14280'!$G$2:$G$24,MATCH($C42,'C_jama.2018.14280'!$A$2:$A$24,0)),"CHECK KEY")</f>
        <v/>
      </c>
      <c r="H42" s="16">
        <f>IF(OR(G42&lt;&gt;"PRIMARY READY",I42="discuss"),"",IF(I42&lt;&gt;"retain","not_eligible",IF(D42="P_R","protocol_descriptive",IF(D42="P_P","plan_descriptive",IF(AND(OR(D42="S_C",D42="S_W"),J42="statistical_results",OR(K42="confirmed_issue",K42="probable_issue"),L42="substantive"),"primary_temporal",IF(AND(OR(D42="S_C",D42="S_W"),J42="report_internal_inconsistency",N42="substantive_inconsistency"),"secondary_temporal","not_eligible"))))))</f>
        <v/>
      </c>
      <c r="I42" s="16">
        <f>IFERROR(IF(INDEX('C_jama.2018.14280'!$D$2:$D$24,MATCH($C42,'C_jama.2018.14280'!$A$2:$A$24,0))="","",INDEX('C_jama.2018.14280'!$D$2:$D$24,MATCH($C42,'C_jama.2018.14280'!$A$2:$A$24,0))),"")</f>
        <v/>
      </c>
      <c r="J42" s="16">
        <f>IFERROR(IF(INDEX('C_jama.2018.14280'!$E$2:$E$24,MATCH($C42,'C_jama.2018.14280'!$A$2:$A$24,0))="","",INDEX('C_jama.2018.14280'!$E$2:$E$24,MATCH($C42,'C_jama.2018.14280'!$A$2:$A$24,0))),"")</f>
        <v/>
      </c>
      <c r="K42" s="16">
        <f>IFERROR(IF(AND(I42="retain",J42="statistical_results"),IF(INDEX('C_jama.2018.14280'!$H$2:$H$24,MATCH($C42,'C_jama.2018.14280'!$A$2:$A$24,0))="","",INDEX('C_jama.2018.14280'!$H$2:$H$24,MATCH($C42,'C_jama.2018.14280'!$A$2:$A$24,0))),"not_applicable"),"")</f>
        <v/>
      </c>
      <c r="L42" s="16">
        <f>IFERROR(IF(AND(I42="retain",J42="statistical_results"),IF(INDEX('C_jama.2018.14280'!$I$2:$I$24,MATCH($C42,'C_jama.2018.14280'!$A$2:$A$24,0))="","",INDEX('C_jama.2018.14280'!$I$2:$I$24,MATCH($C42,'C_jama.2018.14280'!$A$2:$A$24,0))),"not_applicable"),"")</f>
        <v/>
      </c>
      <c r="M42" s="16">
        <f>IFERROR(IF(AND(I42="retain",J42="statistical_results"),IF(INDEX('C_jama.2018.14280'!$J$2:$J$24,MATCH($C42,'C_jama.2018.14280'!$A$2:$A$24,0))="","",INDEX('C_jama.2018.14280'!$J$2:$J$24,MATCH($C42,'C_jama.2018.14280'!$A$2:$A$24,0))),"not_applicable"),"")</f>
        <v/>
      </c>
      <c r="N42" s="16">
        <f>IFERROR(IF(AND(I42="retain",OR(J42="report_internal_inconsistency",J42="plan_material")),IF(INDEX('C_jama.2018.14280'!$K$2:$K$24,MATCH($C42,'C_jama.2018.14280'!$A$2:$A$24,0))="","",INDEX('C_jama.2018.14280'!$K$2:$K$24,MATCH($C42,'C_jama.2018.14280'!$A$2:$A$24,0))),"not_applicable"),"")</f>
        <v/>
      </c>
      <c r="O42" s="16">
        <f>IFERROR(IF(AND(I42="retain",J42="protocol_report"),IF(INDEX('C_jama.2018.14280'!$L$2:$L$24,MATCH($C42,'C_jama.2018.14280'!$A$2:$A$24,0))="","",INDEX('C_jama.2018.14280'!$L$2:$L$24,MATCH($C42,'C_jama.2018.14280'!$A$2:$A$24,0))),"not_applicable"),"")</f>
        <v/>
      </c>
      <c r="P42" s="16">
        <f>IFERROR(IF(INDEX('C_jama.2018.14280'!$R$2:$R$24,MATCH($C42,'C_jama.2018.14280'!$A$2:$A$24,0))="","",INDEX('C_jama.2018.14280'!$R$2:$R$24,MATCH($C42,'C_jama.2018.14280'!$A$2:$A$24,0))),"")</f>
        <v/>
      </c>
      <c r="Q42" s="16" t="inlineStr">
        <is>
          <t>retain</t>
        </is>
      </c>
      <c r="R42" s="16" t="inlineStr">
        <is>
          <t>statistical_results</t>
        </is>
      </c>
    </row>
    <row r="43" ht="70" customHeight="1" s="14">
      <c r="A43" s="17" t="n">
        <v>2018</v>
      </c>
      <c r="B43" s="17" t="inlineStr">
        <is>
          <t>jama.2018.14280</t>
        </is>
      </c>
      <c r="C43" s="17" t="inlineStr">
        <is>
          <t>2018::jama.2018.14280::C021</t>
        </is>
      </c>
      <c r="D43" s="17" t="inlineStr">
        <is>
          <t>S_W</t>
        </is>
      </c>
      <c r="E43" s="17">
        <f>Setup!$B$4</f>
        <v/>
      </c>
      <c r="F43" s="17">
        <f>IF(Setup!$B$2="","",Setup!$B$2)</f>
        <v/>
      </c>
      <c r="G43" s="17">
        <f>IFERROR(INDEX('C_jama.2018.14280'!$G$2:$G$24,MATCH($C43,'C_jama.2018.14280'!$A$2:$A$24,0)),"CHECK KEY")</f>
        <v/>
      </c>
      <c r="H43" s="17">
        <f>IF(OR(G43&lt;&gt;"PRIMARY READY",I43="discuss"),"",IF(I43&lt;&gt;"retain","not_eligible",IF(D43="P_R","protocol_descriptive",IF(D43="P_P","plan_descriptive",IF(AND(OR(D43="S_C",D43="S_W"),J43="statistical_results",OR(K43="confirmed_issue",K43="probable_issue"),L43="substantive"),"primary_temporal",IF(AND(OR(D43="S_C",D43="S_W"),J43="report_internal_inconsistency",N43="substantive_inconsistency"),"secondary_temporal","not_eligible"))))))</f>
        <v/>
      </c>
      <c r="I43" s="17">
        <f>IFERROR(IF(INDEX('C_jama.2018.14280'!$D$2:$D$24,MATCH($C43,'C_jama.2018.14280'!$A$2:$A$24,0))="","",INDEX('C_jama.2018.14280'!$D$2:$D$24,MATCH($C43,'C_jama.2018.14280'!$A$2:$A$24,0))),"")</f>
        <v/>
      </c>
      <c r="J43" s="17">
        <f>IFERROR(IF(INDEX('C_jama.2018.14280'!$E$2:$E$24,MATCH($C43,'C_jama.2018.14280'!$A$2:$A$24,0))="","",INDEX('C_jama.2018.14280'!$E$2:$E$24,MATCH($C43,'C_jama.2018.14280'!$A$2:$A$24,0))),"")</f>
        <v/>
      </c>
      <c r="K43" s="17">
        <f>IFERROR(IF(AND(I43="retain",J43="statistical_results"),IF(INDEX('C_jama.2018.14280'!$H$2:$H$24,MATCH($C43,'C_jama.2018.14280'!$A$2:$A$24,0))="","",INDEX('C_jama.2018.14280'!$H$2:$H$24,MATCH($C43,'C_jama.2018.14280'!$A$2:$A$24,0))),"not_applicable"),"")</f>
        <v/>
      </c>
      <c r="L43" s="17">
        <f>IFERROR(IF(AND(I43="retain",J43="statistical_results"),IF(INDEX('C_jama.2018.14280'!$I$2:$I$24,MATCH($C43,'C_jama.2018.14280'!$A$2:$A$24,0))="","",INDEX('C_jama.2018.14280'!$I$2:$I$24,MATCH($C43,'C_jama.2018.14280'!$A$2:$A$24,0))),"not_applicable"),"")</f>
        <v/>
      </c>
      <c r="M43" s="17">
        <f>IFERROR(IF(AND(I43="retain",J43="statistical_results"),IF(INDEX('C_jama.2018.14280'!$J$2:$J$24,MATCH($C43,'C_jama.2018.14280'!$A$2:$A$24,0))="","",INDEX('C_jama.2018.14280'!$J$2:$J$24,MATCH($C43,'C_jama.2018.14280'!$A$2:$A$24,0))),"not_applicable"),"")</f>
        <v/>
      </c>
      <c r="N43" s="17">
        <f>IFERROR(IF(AND(I43="retain",OR(J43="report_internal_inconsistency",J43="plan_material")),IF(INDEX('C_jama.2018.14280'!$K$2:$K$24,MATCH($C43,'C_jama.2018.14280'!$A$2:$A$24,0))="","",INDEX('C_jama.2018.14280'!$K$2:$K$24,MATCH($C43,'C_jama.2018.14280'!$A$2:$A$24,0))),"not_applicable"),"")</f>
        <v/>
      </c>
      <c r="O43" s="17">
        <f>IFERROR(IF(AND(I43="retain",J43="protocol_report"),IF(INDEX('C_jama.2018.14280'!$L$2:$L$24,MATCH($C43,'C_jama.2018.14280'!$A$2:$A$24,0))="","",INDEX('C_jama.2018.14280'!$L$2:$L$24,MATCH($C43,'C_jama.2018.14280'!$A$2:$A$24,0))),"not_applicable"),"")</f>
        <v/>
      </c>
      <c r="P43" s="17">
        <f>IFERROR(IF(INDEX('C_jama.2018.14280'!$R$2:$R$24,MATCH($C43,'C_jama.2018.14280'!$A$2:$A$24,0))="","",INDEX('C_jama.2018.14280'!$R$2:$R$24,MATCH($C43,'C_jama.2018.14280'!$A$2:$A$24,0))),"")</f>
        <v/>
      </c>
      <c r="Q43" s="17" t="inlineStr">
        <is>
          <t>retain</t>
        </is>
      </c>
      <c r="R43" s="17" t="inlineStr">
        <is>
          <t>statistical_results</t>
        </is>
      </c>
    </row>
    <row r="44" ht="70" customHeight="1" s="14">
      <c r="A44" s="16" t="n">
        <v>2018</v>
      </c>
      <c r="B44" s="16" t="inlineStr">
        <is>
          <t>jama.2018.14280</t>
        </is>
      </c>
      <c r="C44" s="16" t="inlineStr">
        <is>
          <t>2018::jama.2018.14280::C022</t>
        </is>
      </c>
      <c r="D44" s="16" t="inlineStr">
        <is>
          <t>S_C</t>
        </is>
      </c>
      <c r="E44" s="16">
        <f>Setup!$B$4</f>
        <v/>
      </c>
      <c r="F44" s="16">
        <f>IF(Setup!$B$2="","",Setup!$B$2)</f>
        <v/>
      </c>
      <c r="G44" s="16">
        <f>IFERROR(INDEX('C_jama.2018.14280'!$G$2:$G$24,MATCH($C44,'C_jama.2018.14280'!$A$2:$A$24,0)),"CHECK KEY")</f>
        <v/>
      </c>
      <c r="H44" s="16">
        <f>IF(OR(G44&lt;&gt;"PRIMARY READY",I44="discuss"),"",IF(I44&lt;&gt;"retain","not_eligible",IF(D44="P_R","protocol_descriptive",IF(D44="P_P","plan_descriptive",IF(AND(OR(D44="S_C",D44="S_W"),J44="statistical_results",OR(K44="confirmed_issue",K44="probable_issue"),L44="substantive"),"primary_temporal",IF(AND(OR(D44="S_C",D44="S_W"),J44="report_internal_inconsistency",N44="substantive_inconsistency"),"secondary_temporal","not_eligible"))))))</f>
        <v/>
      </c>
      <c r="I44" s="16">
        <f>IFERROR(IF(INDEX('C_jama.2018.14280'!$D$2:$D$24,MATCH($C44,'C_jama.2018.14280'!$A$2:$A$24,0))="","",INDEX('C_jama.2018.14280'!$D$2:$D$24,MATCH($C44,'C_jama.2018.14280'!$A$2:$A$24,0))),"")</f>
        <v/>
      </c>
      <c r="J44" s="16">
        <f>IFERROR(IF(INDEX('C_jama.2018.14280'!$E$2:$E$24,MATCH($C44,'C_jama.2018.14280'!$A$2:$A$24,0))="","",INDEX('C_jama.2018.14280'!$E$2:$E$24,MATCH($C44,'C_jama.2018.14280'!$A$2:$A$24,0))),"")</f>
        <v/>
      </c>
      <c r="K44" s="16">
        <f>IFERROR(IF(AND(I44="retain",J44="statistical_results"),IF(INDEX('C_jama.2018.14280'!$H$2:$H$24,MATCH($C44,'C_jama.2018.14280'!$A$2:$A$24,0))="","",INDEX('C_jama.2018.14280'!$H$2:$H$24,MATCH($C44,'C_jama.2018.14280'!$A$2:$A$24,0))),"not_applicable"),"")</f>
        <v/>
      </c>
      <c r="L44" s="16">
        <f>IFERROR(IF(AND(I44="retain",J44="statistical_results"),IF(INDEX('C_jama.2018.14280'!$I$2:$I$24,MATCH($C44,'C_jama.2018.14280'!$A$2:$A$24,0))="","",INDEX('C_jama.2018.14280'!$I$2:$I$24,MATCH($C44,'C_jama.2018.14280'!$A$2:$A$24,0))),"not_applicable"),"")</f>
        <v/>
      </c>
      <c r="M44" s="16">
        <f>IFERROR(IF(AND(I44="retain",J44="statistical_results"),IF(INDEX('C_jama.2018.14280'!$J$2:$J$24,MATCH($C44,'C_jama.2018.14280'!$A$2:$A$24,0))="","",INDEX('C_jama.2018.14280'!$J$2:$J$24,MATCH($C44,'C_jama.2018.14280'!$A$2:$A$24,0))),"not_applicable"),"")</f>
        <v/>
      </c>
      <c r="N44" s="16">
        <f>IFERROR(IF(AND(I44="retain",OR(J44="report_internal_inconsistency",J44="plan_material")),IF(INDEX('C_jama.2018.14280'!$K$2:$K$24,MATCH($C44,'C_jama.2018.14280'!$A$2:$A$24,0))="","",INDEX('C_jama.2018.14280'!$K$2:$K$24,MATCH($C44,'C_jama.2018.14280'!$A$2:$A$24,0))),"not_applicable"),"")</f>
        <v/>
      </c>
      <c r="O44" s="16">
        <f>IFERROR(IF(AND(I44="retain",J44="protocol_report"),IF(INDEX('C_jama.2018.14280'!$L$2:$L$24,MATCH($C44,'C_jama.2018.14280'!$A$2:$A$24,0))="","",INDEX('C_jama.2018.14280'!$L$2:$L$24,MATCH($C44,'C_jama.2018.14280'!$A$2:$A$24,0))),"not_applicable"),"")</f>
        <v/>
      </c>
      <c r="P44" s="16">
        <f>IFERROR(IF(INDEX('C_jama.2018.14280'!$R$2:$R$24,MATCH($C44,'C_jama.2018.14280'!$A$2:$A$24,0))="","",INDEX('C_jama.2018.14280'!$R$2:$R$24,MATCH($C44,'C_jama.2018.14280'!$A$2:$A$24,0))),"")</f>
        <v/>
      </c>
      <c r="Q44" s="16" t="inlineStr">
        <is>
          <t>retain</t>
        </is>
      </c>
      <c r="R44" s="16" t="inlineStr">
        <is>
          <t>report_internal_inconsistency</t>
        </is>
      </c>
    </row>
    <row r="45" ht="70" customHeight="1" s="14">
      <c r="A45" s="17" t="n">
        <v>2018</v>
      </c>
      <c r="B45" s="17" t="inlineStr">
        <is>
          <t>jama.2018.14280</t>
        </is>
      </c>
      <c r="C45" s="17" t="inlineStr">
        <is>
          <t>2018::jama.2018.14280::C023</t>
        </is>
      </c>
      <c r="D45" s="17" t="inlineStr">
        <is>
          <t>P_R</t>
        </is>
      </c>
      <c r="E45" s="17">
        <f>Setup!$B$4</f>
        <v/>
      </c>
      <c r="F45" s="17">
        <f>IF(Setup!$B$2="","",Setup!$B$2)</f>
        <v/>
      </c>
      <c r="G45" s="17">
        <f>IFERROR(INDEX('C_jama.2018.14280'!$G$2:$G$24,MATCH($C45,'C_jama.2018.14280'!$A$2:$A$24,0)),"CHECK KEY")</f>
        <v/>
      </c>
      <c r="H45" s="17">
        <f>IF(OR(G45&lt;&gt;"PRIMARY READY",I45="discuss"),"",IF(I45&lt;&gt;"retain","not_eligible",IF(D45="P_R","protocol_descriptive",IF(D45="P_P","plan_descriptive",IF(AND(OR(D45="S_C",D45="S_W"),J45="statistical_results",OR(K45="confirmed_issue",K45="probable_issue"),L45="substantive"),"primary_temporal",IF(AND(OR(D45="S_C",D45="S_W"),J45="report_internal_inconsistency",N45="substantive_inconsistency"),"secondary_temporal","not_eligible"))))))</f>
        <v/>
      </c>
      <c r="I45" s="17">
        <f>IFERROR(IF(INDEX('C_jama.2018.14280'!$D$2:$D$24,MATCH($C45,'C_jama.2018.14280'!$A$2:$A$24,0))="","",INDEX('C_jama.2018.14280'!$D$2:$D$24,MATCH($C45,'C_jama.2018.14280'!$A$2:$A$24,0))),"")</f>
        <v/>
      </c>
      <c r="J45" s="17">
        <f>IFERROR(IF(INDEX('C_jama.2018.14280'!$E$2:$E$24,MATCH($C45,'C_jama.2018.14280'!$A$2:$A$24,0))="","",INDEX('C_jama.2018.14280'!$E$2:$E$24,MATCH($C45,'C_jama.2018.14280'!$A$2:$A$24,0))),"")</f>
        <v/>
      </c>
      <c r="K45" s="17">
        <f>IFERROR(IF(AND(I45="retain",J45="statistical_results"),IF(INDEX('C_jama.2018.14280'!$H$2:$H$24,MATCH($C45,'C_jama.2018.14280'!$A$2:$A$24,0))="","",INDEX('C_jama.2018.14280'!$H$2:$H$24,MATCH($C45,'C_jama.2018.14280'!$A$2:$A$24,0))),"not_applicable"),"")</f>
        <v/>
      </c>
      <c r="L45" s="17">
        <f>IFERROR(IF(AND(I45="retain",J45="statistical_results"),IF(INDEX('C_jama.2018.14280'!$I$2:$I$24,MATCH($C45,'C_jama.2018.14280'!$A$2:$A$24,0))="","",INDEX('C_jama.2018.14280'!$I$2:$I$24,MATCH($C45,'C_jama.2018.14280'!$A$2:$A$24,0))),"not_applicable"),"")</f>
        <v/>
      </c>
      <c r="M45" s="17">
        <f>IFERROR(IF(AND(I45="retain",J45="statistical_results"),IF(INDEX('C_jama.2018.14280'!$J$2:$J$24,MATCH($C45,'C_jama.2018.14280'!$A$2:$A$24,0))="","",INDEX('C_jama.2018.14280'!$J$2:$J$24,MATCH($C45,'C_jama.2018.14280'!$A$2:$A$24,0))),"not_applicable"),"")</f>
        <v/>
      </c>
      <c r="N45" s="17">
        <f>IFERROR(IF(AND(I45="retain",OR(J45="report_internal_inconsistency",J45="plan_material")),IF(INDEX('C_jama.2018.14280'!$K$2:$K$24,MATCH($C45,'C_jama.2018.14280'!$A$2:$A$24,0))="","",INDEX('C_jama.2018.14280'!$K$2:$K$24,MATCH($C45,'C_jama.2018.14280'!$A$2:$A$24,0))),"not_applicable"),"")</f>
        <v/>
      </c>
      <c r="O45" s="17">
        <f>IFERROR(IF(AND(I45="retain",J45="protocol_report"),IF(INDEX('C_jama.2018.14280'!$L$2:$L$24,MATCH($C45,'C_jama.2018.14280'!$A$2:$A$24,0))="","",INDEX('C_jama.2018.14280'!$L$2:$L$24,MATCH($C45,'C_jama.2018.14280'!$A$2:$A$24,0))),"not_applicable"),"")</f>
        <v/>
      </c>
      <c r="P45" s="17">
        <f>IFERROR(IF(INDEX('C_jama.2018.14280'!$R$2:$R$24,MATCH($C45,'C_jama.2018.14280'!$A$2:$A$24,0))="","",INDEX('C_jama.2018.14280'!$R$2:$R$24,MATCH($C45,'C_jama.2018.14280'!$A$2:$A$24,0))),"")</f>
        <v/>
      </c>
      <c r="Q45" s="17" t="inlineStr">
        <is>
          <t>retain</t>
        </is>
      </c>
      <c r="R45" s="17" t="inlineStr">
        <is>
          <t>protocol_report</t>
        </is>
      </c>
    </row>
    <row r="46" ht="70" customHeight="1" s="14">
      <c r="A46" s="16" t="n">
        <v>2018</v>
      </c>
      <c r="B46" s="16" t="inlineStr">
        <is>
          <t>jama.2018.14282</t>
        </is>
      </c>
      <c r="C46" s="16" t="inlineStr">
        <is>
          <t>2018::jama.2018.14282::C001</t>
        </is>
      </c>
      <c r="D46" s="16" t="inlineStr">
        <is>
          <t>S_W</t>
        </is>
      </c>
      <c r="E46" s="16">
        <f>Setup!$B$4</f>
        <v/>
      </c>
      <c r="F46" s="16">
        <f>IF(Setup!$B$2="","",Setup!$B$2)</f>
        <v/>
      </c>
      <c r="G46" s="16">
        <f>IFERROR(INDEX('C_jama.2018.14282'!$G$2:$G$29,MATCH($C46,'C_jama.2018.14282'!$A$2:$A$29,0)),"CHECK KEY")</f>
        <v/>
      </c>
      <c r="H46" s="16">
        <f>IF(OR(G46&lt;&gt;"PRIMARY READY",I46="discuss"),"",IF(I46&lt;&gt;"retain","not_eligible",IF(D46="P_R","protocol_descriptive",IF(D46="P_P","plan_descriptive",IF(AND(OR(D46="S_C",D46="S_W"),J46="statistical_results",OR(K46="confirmed_issue",K46="probable_issue"),L46="substantive"),"primary_temporal",IF(AND(OR(D46="S_C",D46="S_W"),J46="report_internal_inconsistency",N46="substantive_inconsistency"),"secondary_temporal","not_eligible"))))))</f>
        <v/>
      </c>
      <c r="I46" s="16">
        <f>IFERROR(IF(INDEX('C_jama.2018.14282'!$D$2:$D$29,MATCH($C46,'C_jama.2018.14282'!$A$2:$A$29,0))="","",INDEX('C_jama.2018.14282'!$D$2:$D$29,MATCH($C46,'C_jama.2018.14282'!$A$2:$A$29,0))),"")</f>
        <v/>
      </c>
      <c r="J46" s="16">
        <f>IFERROR(IF(INDEX('C_jama.2018.14282'!$E$2:$E$29,MATCH($C46,'C_jama.2018.14282'!$A$2:$A$29,0))="","",INDEX('C_jama.2018.14282'!$E$2:$E$29,MATCH($C46,'C_jama.2018.14282'!$A$2:$A$29,0))),"")</f>
        <v/>
      </c>
      <c r="K46" s="16">
        <f>IFERROR(IF(AND(I46="retain",J46="statistical_results"),IF(INDEX('C_jama.2018.14282'!$H$2:$H$29,MATCH($C46,'C_jama.2018.14282'!$A$2:$A$29,0))="","",INDEX('C_jama.2018.14282'!$H$2:$H$29,MATCH($C46,'C_jama.2018.14282'!$A$2:$A$29,0))),"not_applicable"),"")</f>
        <v/>
      </c>
      <c r="L46" s="16">
        <f>IFERROR(IF(AND(I46="retain",J46="statistical_results"),IF(INDEX('C_jama.2018.14282'!$I$2:$I$29,MATCH($C46,'C_jama.2018.14282'!$A$2:$A$29,0))="","",INDEX('C_jama.2018.14282'!$I$2:$I$29,MATCH($C46,'C_jama.2018.14282'!$A$2:$A$29,0))),"not_applicable"),"")</f>
        <v/>
      </c>
      <c r="M46" s="16">
        <f>IFERROR(IF(AND(I46="retain",J46="statistical_results"),IF(INDEX('C_jama.2018.14282'!$J$2:$J$29,MATCH($C46,'C_jama.2018.14282'!$A$2:$A$29,0))="","",INDEX('C_jama.2018.14282'!$J$2:$J$29,MATCH($C46,'C_jama.2018.14282'!$A$2:$A$29,0))),"not_applicable"),"")</f>
        <v/>
      </c>
      <c r="N46" s="16">
        <f>IFERROR(IF(AND(I46="retain",OR(J46="report_internal_inconsistency",J46="plan_material")),IF(INDEX('C_jama.2018.14282'!$K$2:$K$29,MATCH($C46,'C_jama.2018.14282'!$A$2:$A$29,0))="","",INDEX('C_jama.2018.14282'!$K$2:$K$29,MATCH($C46,'C_jama.2018.14282'!$A$2:$A$29,0))),"not_applicable"),"")</f>
        <v/>
      </c>
      <c r="O46" s="16">
        <f>IFERROR(IF(AND(I46="retain",J46="protocol_report"),IF(INDEX('C_jama.2018.14282'!$L$2:$L$29,MATCH($C46,'C_jama.2018.14282'!$A$2:$A$29,0))="","",INDEX('C_jama.2018.14282'!$L$2:$L$29,MATCH($C46,'C_jama.2018.14282'!$A$2:$A$29,0))),"not_applicable"),"")</f>
        <v/>
      </c>
      <c r="P46" s="16">
        <f>IFERROR(IF(INDEX('C_jama.2018.14282'!$R$2:$R$29,MATCH($C46,'C_jama.2018.14282'!$A$2:$A$29,0))="","",INDEX('C_jama.2018.14282'!$R$2:$R$29,MATCH($C46,'C_jama.2018.14282'!$A$2:$A$29,0))),"")</f>
        <v/>
      </c>
      <c r="Q46" s="16" t="inlineStr">
        <is>
          <t>retain</t>
        </is>
      </c>
      <c r="R46" s="16" t="inlineStr">
        <is>
          <t>statistical_results</t>
        </is>
      </c>
    </row>
    <row r="47" ht="70" customHeight="1" s="14">
      <c r="A47" s="17" t="n">
        <v>2018</v>
      </c>
      <c r="B47" s="17" t="inlineStr">
        <is>
          <t>jama.2018.14282</t>
        </is>
      </c>
      <c r="C47" s="17" t="inlineStr">
        <is>
          <t>2018::jama.2018.14282::C002</t>
        </is>
      </c>
      <c r="D47" s="17" t="inlineStr">
        <is>
          <t>S_W</t>
        </is>
      </c>
      <c r="E47" s="17">
        <f>Setup!$B$4</f>
        <v/>
      </c>
      <c r="F47" s="17">
        <f>IF(Setup!$B$2="","",Setup!$B$2)</f>
        <v/>
      </c>
      <c r="G47" s="17">
        <f>IFERROR(INDEX('C_jama.2018.14282'!$G$2:$G$29,MATCH($C47,'C_jama.2018.14282'!$A$2:$A$29,0)),"CHECK KEY")</f>
        <v/>
      </c>
      <c r="H47" s="17">
        <f>IF(OR(G47&lt;&gt;"PRIMARY READY",I47="discuss"),"",IF(I47&lt;&gt;"retain","not_eligible",IF(D47="P_R","protocol_descriptive",IF(D47="P_P","plan_descriptive",IF(AND(OR(D47="S_C",D47="S_W"),J47="statistical_results",OR(K47="confirmed_issue",K47="probable_issue"),L47="substantive"),"primary_temporal",IF(AND(OR(D47="S_C",D47="S_W"),J47="report_internal_inconsistency",N47="substantive_inconsistency"),"secondary_temporal","not_eligible"))))))</f>
        <v/>
      </c>
      <c r="I47" s="17">
        <f>IFERROR(IF(INDEX('C_jama.2018.14282'!$D$2:$D$29,MATCH($C47,'C_jama.2018.14282'!$A$2:$A$29,0))="","",INDEX('C_jama.2018.14282'!$D$2:$D$29,MATCH($C47,'C_jama.2018.14282'!$A$2:$A$29,0))),"")</f>
        <v/>
      </c>
      <c r="J47" s="17">
        <f>IFERROR(IF(INDEX('C_jama.2018.14282'!$E$2:$E$29,MATCH($C47,'C_jama.2018.14282'!$A$2:$A$29,0))="","",INDEX('C_jama.2018.14282'!$E$2:$E$29,MATCH($C47,'C_jama.2018.14282'!$A$2:$A$29,0))),"")</f>
        <v/>
      </c>
      <c r="K47" s="17">
        <f>IFERROR(IF(AND(I47="retain",J47="statistical_results"),IF(INDEX('C_jama.2018.14282'!$H$2:$H$29,MATCH($C47,'C_jama.2018.14282'!$A$2:$A$29,0))="","",INDEX('C_jama.2018.14282'!$H$2:$H$29,MATCH($C47,'C_jama.2018.14282'!$A$2:$A$29,0))),"not_applicable"),"")</f>
        <v/>
      </c>
      <c r="L47" s="17">
        <f>IFERROR(IF(AND(I47="retain",J47="statistical_results"),IF(INDEX('C_jama.2018.14282'!$I$2:$I$29,MATCH($C47,'C_jama.2018.14282'!$A$2:$A$29,0))="","",INDEX('C_jama.2018.14282'!$I$2:$I$29,MATCH($C47,'C_jama.2018.14282'!$A$2:$A$29,0))),"not_applicable"),"")</f>
        <v/>
      </c>
      <c r="M47" s="17">
        <f>IFERROR(IF(AND(I47="retain",J47="statistical_results"),IF(INDEX('C_jama.2018.14282'!$J$2:$J$29,MATCH($C47,'C_jama.2018.14282'!$A$2:$A$29,0))="","",INDEX('C_jama.2018.14282'!$J$2:$J$29,MATCH($C47,'C_jama.2018.14282'!$A$2:$A$29,0))),"not_applicable"),"")</f>
        <v/>
      </c>
      <c r="N47" s="17">
        <f>IFERROR(IF(AND(I47="retain",OR(J47="report_internal_inconsistency",J47="plan_material")),IF(INDEX('C_jama.2018.14282'!$K$2:$K$29,MATCH($C47,'C_jama.2018.14282'!$A$2:$A$29,0))="","",INDEX('C_jama.2018.14282'!$K$2:$K$29,MATCH($C47,'C_jama.2018.14282'!$A$2:$A$29,0))),"not_applicable"),"")</f>
        <v/>
      </c>
      <c r="O47" s="17">
        <f>IFERROR(IF(AND(I47="retain",J47="protocol_report"),IF(INDEX('C_jama.2018.14282'!$L$2:$L$29,MATCH($C47,'C_jama.2018.14282'!$A$2:$A$29,0))="","",INDEX('C_jama.2018.14282'!$L$2:$L$29,MATCH($C47,'C_jama.2018.14282'!$A$2:$A$29,0))),"not_applicable"),"")</f>
        <v/>
      </c>
      <c r="P47" s="17">
        <f>IFERROR(IF(INDEX('C_jama.2018.14282'!$R$2:$R$29,MATCH($C47,'C_jama.2018.14282'!$A$2:$A$29,0))="","",INDEX('C_jama.2018.14282'!$R$2:$R$29,MATCH($C47,'C_jama.2018.14282'!$A$2:$A$29,0))),"")</f>
        <v/>
      </c>
      <c r="Q47" s="17" t="inlineStr">
        <is>
          <t>retain</t>
        </is>
      </c>
      <c r="R47" s="17" t="inlineStr">
        <is>
          <t>statistical_results</t>
        </is>
      </c>
    </row>
    <row r="48" ht="70" customHeight="1" s="14">
      <c r="A48" s="16" t="n">
        <v>2018</v>
      </c>
      <c r="B48" s="16" t="inlineStr">
        <is>
          <t>jama.2018.14282</t>
        </is>
      </c>
      <c r="C48" s="16" t="inlineStr">
        <is>
          <t>2018::jama.2018.14282::C003</t>
        </is>
      </c>
      <c r="D48" s="16" t="inlineStr">
        <is>
          <t>S_W</t>
        </is>
      </c>
      <c r="E48" s="16">
        <f>Setup!$B$4</f>
        <v/>
      </c>
      <c r="F48" s="16">
        <f>IF(Setup!$B$2="","",Setup!$B$2)</f>
        <v/>
      </c>
      <c r="G48" s="16">
        <f>IFERROR(INDEX('C_jama.2018.14282'!$G$2:$G$29,MATCH($C48,'C_jama.2018.14282'!$A$2:$A$29,0)),"CHECK KEY")</f>
        <v/>
      </c>
      <c r="H48" s="16">
        <f>IF(OR(G48&lt;&gt;"PRIMARY READY",I48="discuss"),"",IF(I48&lt;&gt;"retain","not_eligible",IF(D48="P_R","protocol_descriptive",IF(D48="P_P","plan_descriptive",IF(AND(OR(D48="S_C",D48="S_W"),J48="statistical_results",OR(K48="confirmed_issue",K48="probable_issue"),L48="substantive"),"primary_temporal",IF(AND(OR(D48="S_C",D48="S_W"),J48="report_internal_inconsistency",N48="substantive_inconsistency"),"secondary_temporal","not_eligible"))))))</f>
        <v/>
      </c>
      <c r="I48" s="16">
        <f>IFERROR(IF(INDEX('C_jama.2018.14282'!$D$2:$D$29,MATCH($C48,'C_jama.2018.14282'!$A$2:$A$29,0))="","",INDEX('C_jama.2018.14282'!$D$2:$D$29,MATCH($C48,'C_jama.2018.14282'!$A$2:$A$29,0))),"")</f>
        <v/>
      </c>
      <c r="J48" s="16">
        <f>IFERROR(IF(INDEX('C_jama.2018.14282'!$E$2:$E$29,MATCH($C48,'C_jama.2018.14282'!$A$2:$A$29,0))="","",INDEX('C_jama.2018.14282'!$E$2:$E$29,MATCH($C48,'C_jama.2018.14282'!$A$2:$A$29,0))),"")</f>
        <v/>
      </c>
      <c r="K48" s="16">
        <f>IFERROR(IF(AND(I48="retain",J48="statistical_results"),IF(INDEX('C_jama.2018.14282'!$H$2:$H$29,MATCH($C48,'C_jama.2018.14282'!$A$2:$A$29,0))="","",INDEX('C_jama.2018.14282'!$H$2:$H$29,MATCH($C48,'C_jama.2018.14282'!$A$2:$A$29,0))),"not_applicable"),"")</f>
        <v/>
      </c>
      <c r="L48" s="16">
        <f>IFERROR(IF(AND(I48="retain",J48="statistical_results"),IF(INDEX('C_jama.2018.14282'!$I$2:$I$29,MATCH($C48,'C_jama.2018.14282'!$A$2:$A$29,0))="","",INDEX('C_jama.2018.14282'!$I$2:$I$29,MATCH($C48,'C_jama.2018.14282'!$A$2:$A$29,0))),"not_applicable"),"")</f>
        <v/>
      </c>
      <c r="M48" s="16">
        <f>IFERROR(IF(AND(I48="retain",J48="statistical_results"),IF(INDEX('C_jama.2018.14282'!$J$2:$J$29,MATCH($C48,'C_jama.2018.14282'!$A$2:$A$29,0))="","",INDEX('C_jama.2018.14282'!$J$2:$J$29,MATCH($C48,'C_jama.2018.14282'!$A$2:$A$29,0))),"not_applicable"),"")</f>
        <v/>
      </c>
      <c r="N48" s="16">
        <f>IFERROR(IF(AND(I48="retain",OR(J48="report_internal_inconsistency",J48="plan_material")),IF(INDEX('C_jama.2018.14282'!$K$2:$K$29,MATCH($C48,'C_jama.2018.14282'!$A$2:$A$29,0))="","",INDEX('C_jama.2018.14282'!$K$2:$K$29,MATCH($C48,'C_jama.2018.14282'!$A$2:$A$29,0))),"not_applicable"),"")</f>
        <v/>
      </c>
      <c r="O48" s="16">
        <f>IFERROR(IF(AND(I48="retain",J48="protocol_report"),IF(INDEX('C_jama.2018.14282'!$L$2:$L$29,MATCH($C48,'C_jama.2018.14282'!$A$2:$A$29,0))="","",INDEX('C_jama.2018.14282'!$L$2:$L$29,MATCH($C48,'C_jama.2018.14282'!$A$2:$A$29,0))),"not_applicable"),"")</f>
        <v/>
      </c>
      <c r="P48" s="16">
        <f>IFERROR(IF(INDEX('C_jama.2018.14282'!$R$2:$R$29,MATCH($C48,'C_jama.2018.14282'!$A$2:$A$29,0))="","",INDEX('C_jama.2018.14282'!$R$2:$R$29,MATCH($C48,'C_jama.2018.14282'!$A$2:$A$29,0))),"")</f>
        <v/>
      </c>
      <c r="Q48" s="16" t="inlineStr">
        <is>
          <t>retain</t>
        </is>
      </c>
      <c r="R48" s="16" t="inlineStr">
        <is>
          <t>statistical_results</t>
        </is>
      </c>
    </row>
    <row r="49" ht="70" customHeight="1" s="14">
      <c r="A49" s="17" t="n">
        <v>2018</v>
      </c>
      <c r="B49" s="17" t="inlineStr">
        <is>
          <t>jama.2018.14282</t>
        </is>
      </c>
      <c r="C49" s="17" t="inlineStr">
        <is>
          <t>2018::jama.2018.14282::C004</t>
        </is>
      </c>
      <c r="D49" s="17" t="inlineStr">
        <is>
          <t>S_W</t>
        </is>
      </c>
      <c r="E49" s="17">
        <f>Setup!$B$4</f>
        <v/>
      </c>
      <c r="F49" s="17">
        <f>IF(Setup!$B$2="","",Setup!$B$2)</f>
        <v/>
      </c>
      <c r="G49" s="17">
        <f>IFERROR(INDEX('C_jama.2018.14282'!$G$2:$G$29,MATCH($C49,'C_jama.2018.14282'!$A$2:$A$29,0)),"CHECK KEY")</f>
        <v/>
      </c>
      <c r="H49" s="17">
        <f>IF(OR(G49&lt;&gt;"PRIMARY READY",I49="discuss"),"",IF(I49&lt;&gt;"retain","not_eligible",IF(D49="P_R","protocol_descriptive",IF(D49="P_P","plan_descriptive",IF(AND(OR(D49="S_C",D49="S_W"),J49="statistical_results",OR(K49="confirmed_issue",K49="probable_issue"),L49="substantive"),"primary_temporal",IF(AND(OR(D49="S_C",D49="S_W"),J49="report_internal_inconsistency",N49="substantive_inconsistency"),"secondary_temporal","not_eligible"))))))</f>
        <v/>
      </c>
      <c r="I49" s="17">
        <f>IFERROR(IF(INDEX('C_jama.2018.14282'!$D$2:$D$29,MATCH($C49,'C_jama.2018.14282'!$A$2:$A$29,0))="","",INDEX('C_jama.2018.14282'!$D$2:$D$29,MATCH($C49,'C_jama.2018.14282'!$A$2:$A$29,0))),"")</f>
        <v/>
      </c>
      <c r="J49" s="17">
        <f>IFERROR(IF(INDEX('C_jama.2018.14282'!$E$2:$E$29,MATCH($C49,'C_jama.2018.14282'!$A$2:$A$29,0))="","",INDEX('C_jama.2018.14282'!$E$2:$E$29,MATCH($C49,'C_jama.2018.14282'!$A$2:$A$29,0))),"")</f>
        <v/>
      </c>
      <c r="K49" s="17">
        <f>IFERROR(IF(AND(I49="retain",J49="statistical_results"),IF(INDEX('C_jama.2018.14282'!$H$2:$H$29,MATCH($C49,'C_jama.2018.14282'!$A$2:$A$29,0))="","",INDEX('C_jama.2018.14282'!$H$2:$H$29,MATCH($C49,'C_jama.2018.14282'!$A$2:$A$29,0))),"not_applicable"),"")</f>
        <v/>
      </c>
      <c r="L49" s="17">
        <f>IFERROR(IF(AND(I49="retain",J49="statistical_results"),IF(INDEX('C_jama.2018.14282'!$I$2:$I$29,MATCH($C49,'C_jama.2018.14282'!$A$2:$A$29,0))="","",INDEX('C_jama.2018.14282'!$I$2:$I$29,MATCH($C49,'C_jama.2018.14282'!$A$2:$A$29,0))),"not_applicable"),"")</f>
        <v/>
      </c>
      <c r="M49" s="17">
        <f>IFERROR(IF(AND(I49="retain",J49="statistical_results"),IF(INDEX('C_jama.2018.14282'!$J$2:$J$29,MATCH($C49,'C_jama.2018.14282'!$A$2:$A$29,0))="","",INDEX('C_jama.2018.14282'!$J$2:$J$29,MATCH($C49,'C_jama.2018.14282'!$A$2:$A$29,0))),"not_applicable"),"")</f>
        <v/>
      </c>
      <c r="N49" s="17">
        <f>IFERROR(IF(AND(I49="retain",OR(J49="report_internal_inconsistency",J49="plan_material")),IF(INDEX('C_jama.2018.14282'!$K$2:$K$29,MATCH($C49,'C_jama.2018.14282'!$A$2:$A$29,0))="","",INDEX('C_jama.2018.14282'!$K$2:$K$29,MATCH($C49,'C_jama.2018.14282'!$A$2:$A$29,0))),"not_applicable"),"")</f>
        <v/>
      </c>
      <c r="O49" s="17">
        <f>IFERROR(IF(AND(I49="retain",J49="protocol_report"),IF(INDEX('C_jama.2018.14282'!$L$2:$L$29,MATCH($C49,'C_jama.2018.14282'!$A$2:$A$29,0))="","",INDEX('C_jama.2018.14282'!$L$2:$L$29,MATCH($C49,'C_jama.2018.14282'!$A$2:$A$29,0))),"not_applicable"),"")</f>
        <v/>
      </c>
      <c r="P49" s="17">
        <f>IFERROR(IF(INDEX('C_jama.2018.14282'!$R$2:$R$29,MATCH($C49,'C_jama.2018.14282'!$A$2:$A$29,0))="","",INDEX('C_jama.2018.14282'!$R$2:$R$29,MATCH($C49,'C_jama.2018.14282'!$A$2:$A$29,0))),"")</f>
        <v/>
      </c>
      <c r="Q49" s="17" t="inlineStr">
        <is>
          <t>retain</t>
        </is>
      </c>
      <c r="R49" s="17" t="inlineStr">
        <is>
          <t>statistical_results</t>
        </is>
      </c>
    </row>
    <row r="50" ht="70" customHeight="1" s="14">
      <c r="A50" s="16" t="n">
        <v>2018</v>
      </c>
      <c r="B50" s="16" t="inlineStr">
        <is>
          <t>jama.2018.14282</t>
        </is>
      </c>
      <c r="C50" s="16" t="inlineStr">
        <is>
          <t>2018::jama.2018.14282::C005</t>
        </is>
      </c>
      <c r="D50" s="16" t="inlineStr">
        <is>
          <t>S_W</t>
        </is>
      </c>
      <c r="E50" s="16">
        <f>Setup!$B$4</f>
        <v/>
      </c>
      <c r="F50" s="16">
        <f>IF(Setup!$B$2="","",Setup!$B$2)</f>
        <v/>
      </c>
      <c r="G50" s="16">
        <f>IFERROR(INDEX('C_jama.2018.14282'!$G$2:$G$29,MATCH($C50,'C_jama.2018.14282'!$A$2:$A$29,0)),"CHECK KEY")</f>
        <v/>
      </c>
      <c r="H50" s="16">
        <f>IF(OR(G50&lt;&gt;"PRIMARY READY",I50="discuss"),"",IF(I50&lt;&gt;"retain","not_eligible",IF(D50="P_R","protocol_descriptive",IF(D50="P_P","plan_descriptive",IF(AND(OR(D50="S_C",D50="S_W"),J50="statistical_results",OR(K50="confirmed_issue",K50="probable_issue"),L50="substantive"),"primary_temporal",IF(AND(OR(D50="S_C",D50="S_W"),J50="report_internal_inconsistency",N50="substantive_inconsistency"),"secondary_temporal","not_eligible"))))))</f>
        <v/>
      </c>
      <c r="I50" s="16">
        <f>IFERROR(IF(INDEX('C_jama.2018.14282'!$D$2:$D$29,MATCH($C50,'C_jama.2018.14282'!$A$2:$A$29,0))="","",INDEX('C_jama.2018.14282'!$D$2:$D$29,MATCH($C50,'C_jama.2018.14282'!$A$2:$A$29,0))),"")</f>
        <v/>
      </c>
      <c r="J50" s="16">
        <f>IFERROR(IF(INDEX('C_jama.2018.14282'!$E$2:$E$29,MATCH($C50,'C_jama.2018.14282'!$A$2:$A$29,0))="","",INDEX('C_jama.2018.14282'!$E$2:$E$29,MATCH($C50,'C_jama.2018.14282'!$A$2:$A$29,0))),"")</f>
        <v/>
      </c>
      <c r="K50" s="16">
        <f>IFERROR(IF(AND(I50="retain",J50="statistical_results"),IF(INDEX('C_jama.2018.14282'!$H$2:$H$29,MATCH($C50,'C_jama.2018.14282'!$A$2:$A$29,0))="","",INDEX('C_jama.2018.14282'!$H$2:$H$29,MATCH($C50,'C_jama.2018.14282'!$A$2:$A$29,0))),"not_applicable"),"")</f>
        <v/>
      </c>
      <c r="L50" s="16">
        <f>IFERROR(IF(AND(I50="retain",J50="statistical_results"),IF(INDEX('C_jama.2018.14282'!$I$2:$I$29,MATCH($C50,'C_jama.2018.14282'!$A$2:$A$29,0))="","",INDEX('C_jama.2018.14282'!$I$2:$I$29,MATCH($C50,'C_jama.2018.14282'!$A$2:$A$29,0))),"not_applicable"),"")</f>
        <v/>
      </c>
      <c r="M50" s="16">
        <f>IFERROR(IF(AND(I50="retain",J50="statistical_results"),IF(INDEX('C_jama.2018.14282'!$J$2:$J$29,MATCH($C50,'C_jama.2018.14282'!$A$2:$A$29,0))="","",INDEX('C_jama.2018.14282'!$J$2:$J$29,MATCH($C50,'C_jama.2018.14282'!$A$2:$A$29,0))),"not_applicable"),"")</f>
        <v/>
      </c>
      <c r="N50" s="16">
        <f>IFERROR(IF(AND(I50="retain",OR(J50="report_internal_inconsistency",J50="plan_material")),IF(INDEX('C_jama.2018.14282'!$K$2:$K$29,MATCH($C50,'C_jama.2018.14282'!$A$2:$A$29,0))="","",INDEX('C_jama.2018.14282'!$K$2:$K$29,MATCH($C50,'C_jama.2018.14282'!$A$2:$A$29,0))),"not_applicable"),"")</f>
        <v/>
      </c>
      <c r="O50" s="16">
        <f>IFERROR(IF(AND(I50="retain",J50="protocol_report"),IF(INDEX('C_jama.2018.14282'!$L$2:$L$29,MATCH($C50,'C_jama.2018.14282'!$A$2:$A$29,0))="","",INDEX('C_jama.2018.14282'!$L$2:$L$29,MATCH($C50,'C_jama.2018.14282'!$A$2:$A$29,0))),"not_applicable"),"")</f>
        <v/>
      </c>
      <c r="P50" s="16">
        <f>IFERROR(IF(INDEX('C_jama.2018.14282'!$R$2:$R$29,MATCH($C50,'C_jama.2018.14282'!$A$2:$A$29,0))="","",INDEX('C_jama.2018.14282'!$R$2:$R$29,MATCH($C50,'C_jama.2018.14282'!$A$2:$A$29,0))),"")</f>
        <v/>
      </c>
      <c r="Q50" s="16" t="inlineStr">
        <is>
          <t>retain</t>
        </is>
      </c>
      <c r="R50" s="16" t="inlineStr">
        <is>
          <t>statistical_results</t>
        </is>
      </c>
    </row>
    <row r="51" ht="70" customHeight="1" s="14">
      <c r="A51" s="17" t="n">
        <v>2018</v>
      </c>
      <c r="B51" s="17" t="inlineStr">
        <is>
          <t>jama.2018.14282</t>
        </is>
      </c>
      <c r="C51" s="17" t="inlineStr">
        <is>
          <t>2018::jama.2018.14282::C006</t>
        </is>
      </c>
      <c r="D51" s="17" t="inlineStr">
        <is>
          <t>S_W</t>
        </is>
      </c>
      <c r="E51" s="17">
        <f>Setup!$B$4</f>
        <v/>
      </c>
      <c r="F51" s="17">
        <f>IF(Setup!$B$2="","",Setup!$B$2)</f>
        <v/>
      </c>
      <c r="G51" s="17">
        <f>IFERROR(INDEX('C_jama.2018.14282'!$G$2:$G$29,MATCH($C51,'C_jama.2018.14282'!$A$2:$A$29,0)),"CHECK KEY")</f>
        <v/>
      </c>
      <c r="H51" s="17">
        <f>IF(OR(G51&lt;&gt;"PRIMARY READY",I51="discuss"),"",IF(I51&lt;&gt;"retain","not_eligible",IF(D51="P_R","protocol_descriptive",IF(D51="P_P","plan_descriptive",IF(AND(OR(D51="S_C",D51="S_W"),J51="statistical_results",OR(K51="confirmed_issue",K51="probable_issue"),L51="substantive"),"primary_temporal",IF(AND(OR(D51="S_C",D51="S_W"),J51="report_internal_inconsistency",N51="substantive_inconsistency"),"secondary_temporal","not_eligible"))))))</f>
        <v/>
      </c>
      <c r="I51" s="17">
        <f>IFERROR(IF(INDEX('C_jama.2018.14282'!$D$2:$D$29,MATCH($C51,'C_jama.2018.14282'!$A$2:$A$29,0))="","",INDEX('C_jama.2018.14282'!$D$2:$D$29,MATCH($C51,'C_jama.2018.14282'!$A$2:$A$29,0))),"")</f>
        <v/>
      </c>
      <c r="J51" s="17">
        <f>IFERROR(IF(INDEX('C_jama.2018.14282'!$E$2:$E$29,MATCH($C51,'C_jama.2018.14282'!$A$2:$A$29,0))="","",INDEX('C_jama.2018.14282'!$E$2:$E$29,MATCH($C51,'C_jama.2018.14282'!$A$2:$A$29,0))),"")</f>
        <v/>
      </c>
      <c r="K51" s="17">
        <f>IFERROR(IF(AND(I51="retain",J51="statistical_results"),IF(INDEX('C_jama.2018.14282'!$H$2:$H$29,MATCH($C51,'C_jama.2018.14282'!$A$2:$A$29,0))="","",INDEX('C_jama.2018.14282'!$H$2:$H$29,MATCH($C51,'C_jama.2018.14282'!$A$2:$A$29,0))),"not_applicable"),"")</f>
        <v/>
      </c>
      <c r="L51" s="17">
        <f>IFERROR(IF(AND(I51="retain",J51="statistical_results"),IF(INDEX('C_jama.2018.14282'!$I$2:$I$29,MATCH($C51,'C_jama.2018.14282'!$A$2:$A$29,0))="","",INDEX('C_jama.2018.14282'!$I$2:$I$29,MATCH($C51,'C_jama.2018.14282'!$A$2:$A$29,0))),"not_applicable"),"")</f>
        <v/>
      </c>
      <c r="M51" s="17">
        <f>IFERROR(IF(AND(I51="retain",J51="statistical_results"),IF(INDEX('C_jama.2018.14282'!$J$2:$J$29,MATCH($C51,'C_jama.2018.14282'!$A$2:$A$29,0))="","",INDEX('C_jama.2018.14282'!$J$2:$J$29,MATCH($C51,'C_jama.2018.14282'!$A$2:$A$29,0))),"not_applicable"),"")</f>
        <v/>
      </c>
      <c r="N51" s="17">
        <f>IFERROR(IF(AND(I51="retain",OR(J51="report_internal_inconsistency",J51="plan_material")),IF(INDEX('C_jama.2018.14282'!$K$2:$K$29,MATCH($C51,'C_jama.2018.14282'!$A$2:$A$29,0))="","",INDEX('C_jama.2018.14282'!$K$2:$K$29,MATCH($C51,'C_jama.2018.14282'!$A$2:$A$29,0))),"not_applicable"),"")</f>
        <v/>
      </c>
      <c r="O51" s="17">
        <f>IFERROR(IF(AND(I51="retain",J51="protocol_report"),IF(INDEX('C_jama.2018.14282'!$L$2:$L$29,MATCH($C51,'C_jama.2018.14282'!$A$2:$A$29,0))="","",INDEX('C_jama.2018.14282'!$L$2:$L$29,MATCH($C51,'C_jama.2018.14282'!$A$2:$A$29,0))),"not_applicable"),"")</f>
        <v/>
      </c>
      <c r="P51" s="17">
        <f>IFERROR(IF(INDEX('C_jama.2018.14282'!$R$2:$R$29,MATCH($C51,'C_jama.2018.14282'!$A$2:$A$29,0))="","",INDEX('C_jama.2018.14282'!$R$2:$R$29,MATCH($C51,'C_jama.2018.14282'!$A$2:$A$29,0))),"")</f>
        <v/>
      </c>
      <c r="Q51" s="17" t="inlineStr">
        <is>
          <t>retain</t>
        </is>
      </c>
      <c r="R51" s="17" t="inlineStr">
        <is>
          <t>statistical_results</t>
        </is>
      </c>
    </row>
    <row r="52" ht="70" customHeight="1" s="14">
      <c r="A52" s="16" t="n">
        <v>2018</v>
      </c>
      <c r="B52" s="16" t="inlineStr">
        <is>
          <t>jama.2018.14282</t>
        </is>
      </c>
      <c r="C52" s="16" t="inlineStr">
        <is>
          <t>2018::jama.2018.14282::C007</t>
        </is>
      </c>
      <c r="D52" s="16" t="inlineStr">
        <is>
          <t>S_W</t>
        </is>
      </c>
      <c r="E52" s="16">
        <f>Setup!$B$4</f>
        <v/>
      </c>
      <c r="F52" s="16">
        <f>IF(Setup!$B$2="","",Setup!$B$2)</f>
        <v/>
      </c>
      <c r="G52" s="16">
        <f>IFERROR(INDEX('C_jama.2018.14282'!$G$2:$G$29,MATCH($C52,'C_jama.2018.14282'!$A$2:$A$29,0)),"CHECK KEY")</f>
        <v/>
      </c>
      <c r="H52" s="16">
        <f>IF(OR(G52&lt;&gt;"PRIMARY READY",I52="discuss"),"",IF(I52&lt;&gt;"retain","not_eligible",IF(D52="P_R","protocol_descriptive",IF(D52="P_P","plan_descriptive",IF(AND(OR(D52="S_C",D52="S_W"),J52="statistical_results",OR(K52="confirmed_issue",K52="probable_issue"),L52="substantive"),"primary_temporal",IF(AND(OR(D52="S_C",D52="S_W"),J52="report_internal_inconsistency",N52="substantive_inconsistency"),"secondary_temporal","not_eligible"))))))</f>
        <v/>
      </c>
      <c r="I52" s="16">
        <f>IFERROR(IF(INDEX('C_jama.2018.14282'!$D$2:$D$29,MATCH($C52,'C_jama.2018.14282'!$A$2:$A$29,0))="","",INDEX('C_jama.2018.14282'!$D$2:$D$29,MATCH($C52,'C_jama.2018.14282'!$A$2:$A$29,0))),"")</f>
        <v/>
      </c>
      <c r="J52" s="16">
        <f>IFERROR(IF(INDEX('C_jama.2018.14282'!$E$2:$E$29,MATCH($C52,'C_jama.2018.14282'!$A$2:$A$29,0))="","",INDEX('C_jama.2018.14282'!$E$2:$E$29,MATCH($C52,'C_jama.2018.14282'!$A$2:$A$29,0))),"")</f>
        <v/>
      </c>
      <c r="K52" s="16">
        <f>IFERROR(IF(AND(I52="retain",J52="statistical_results"),IF(INDEX('C_jama.2018.14282'!$H$2:$H$29,MATCH($C52,'C_jama.2018.14282'!$A$2:$A$29,0))="","",INDEX('C_jama.2018.14282'!$H$2:$H$29,MATCH($C52,'C_jama.2018.14282'!$A$2:$A$29,0))),"not_applicable"),"")</f>
        <v/>
      </c>
      <c r="L52" s="16">
        <f>IFERROR(IF(AND(I52="retain",J52="statistical_results"),IF(INDEX('C_jama.2018.14282'!$I$2:$I$29,MATCH($C52,'C_jama.2018.14282'!$A$2:$A$29,0))="","",INDEX('C_jama.2018.14282'!$I$2:$I$29,MATCH($C52,'C_jama.2018.14282'!$A$2:$A$29,0))),"not_applicable"),"")</f>
        <v/>
      </c>
      <c r="M52" s="16">
        <f>IFERROR(IF(AND(I52="retain",J52="statistical_results"),IF(INDEX('C_jama.2018.14282'!$J$2:$J$29,MATCH($C52,'C_jama.2018.14282'!$A$2:$A$29,0))="","",INDEX('C_jama.2018.14282'!$J$2:$J$29,MATCH($C52,'C_jama.2018.14282'!$A$2:$A$29,0))),"not_applicable"),"")</f>
        <v/>
      </c>
      <c r="N52" s="16">
        <f>IFERROR(IF(AND(I52="retain",OR(J52="report_internal_inconsistency",J52="plan_material")),IF(INDEX('C_jama.2018.14282'!$K$2:$K$29,MATCH($C52,'C_jama.2018.14282'!$A$2:$A$29,0))="","",INDEX('C_jama.2018.14282'!$K$2:$K$29,MATCH($C52,'C_jama.2018.14282'!$A$2:$A$29,0))),"not_applicable"),"")</f>
        <v/>
      </c>
      <c r="O52" s="16">
        <f>IFERROR(IF(AND(I52="retain",J52="protocol_report"),IF(INDEX('C_jama.2018.14282'!$L$2:$L$29,MATCH($C52,'C_jama.2018.14282'!$A$2:$A$29,0))="","",INDEX('C_jama.2018.14282'!$L$2:$L$29,MATCH($C52,'C_jama.2018.14282'!$A$2:$A$29,0))),"not_applicable"),"")</f>
        <v/>
      </c>
      <c r="P52" s="16">
        <f>IFERROR(IF(INDEX('C_jama.2018.14282'!$R$2:$R$29,MATCH($C52,'C_jama.2018.14282'!$A$2:$A$29,0))="","",INDEX('C_jama.2018.14282'!$R$2:$R$29,MATCH($C52,'C_jama.2018.14282'!$A$2:$A$29,0))),"")</f>
        <v/>
      </c>
      <c r="Q52" s="16" t="inlineStr">
        <is>
          <t>retain</t>
        </is>
      </c>
      <c r="R52" s="16" t="inlineStr">
        <is>
          <t>statistical_results</t>
        </is>
      </c>
    </row>
    <row r="53" ht="70" customHeight="1" s="14">
      <c r="A53" s="17" t="n">
        <v>2018</v>
      </c>
      <c r="B53" s="17" t="inlineStr">
        <is>
          <t>jama.2018.14282</t>
        </is>
      </c>
      <c r="C53" s="17" t="inlineStr">
        <is>
          <t>2018::jama.2018.14282::C008</t>
        </is>
      </c>
      <c r="D53" s="17" t="inlineStr">
        <is>
          <t>S_W</t>
        </is>
      </c>
      <c r="E53" s="17">
        <f>Setup!$B$4</f>
        <v/>
      </c>
      <c r="F53" s="17">
        <f>IF(Setup!$B$2="","",Setup!$B$2)</f>
        <v/>
      </c>
      <c r="G53" s="17">
        <f>IFERROR(INDEX('C_jama.2018.14282'!$G$2:$G$29,MATCH($C53,'C_jama.2018.14282'!$A$2:$A$29,0)),"CHECK KEY")</f>
        <v/>
      </c>
      <c r="H53" s="17">
        <f>IF(OR(G53&lt;&gt;"PRIMARY READY",I53="discuss"),"",IF(I53&lt;&gt;"retain","not_eligible",IF(D53="P_R","protocol_descriptive",IF(D53="P_P","plan_descriptive",IF(AND(OR(D53="S_C",D53="S_W"),J53="statistical_results",OR(K53="confirmed_issue",K53="probable_issue"),L53="substantive"),"primary_temporal",IF(AND(OR(D53="S_C",D53="S_W"),J53="report_internal_inconsistency",N53="substantive_inconsistency"),"secondary_temporal","not_eligible"))))))</f>
        <v/>
      </c>
      <c r="I53" s="17">
        <f>IFERROR(IF(INDEX('C_jama.2018.14282'!$D$2:$D$29,MATCH($C53,'C_jama.2018.14282'!$A$2:$A$29,0))="","",INDEX('C_jama.2018.14282'!$D$2:$D$29,MATCH($C53,'C_jama.2018.14282'!$A$2:$A$29,0))),"")</f>
        <v/>
      </c>
      <c r="J53" s="17">
        <f>IFERROR(IF(INDEX('C_jama.2018.14282'!$E$2:$E$29,MATCH($C53,'C_jama.2018.14282'!$A$2:$A$29,0))="","",INDEX('C_jama.2018.14282'!$E$2:$E$29,MATCH($C53,'C_jama.2018.14282'!$A$2:$A$29,0))),"")</f>
        <v/>
      </c>
      <c r="K53" s="17">
        <f>IFERROR(IF(AND(I53="retain",J53="statistical_results"),IF(INDEX('C_jama.2018.14282'!$H$2:$H$29,MATCH($C53,'C_jama.2018.14282'!$A$2:$A$29,0))="","",INDEX('C_jama.2018.14282'!$H$2:$H$29,MATCH($C53,'C_jama.2018.14282'!$A$2:$A$29,0))),"not_applicable"),"")</f>
        <v/>
      </c>
      <c r="L53" s="17">
        <f>IFERROR(IF(AND(I53="retain",J53="statistical_results"),IF(INDEX('C_jama.2018.14282'!$I$2:$I$29,MATCH($C53,'C_jama.2018.14282'!$A$2:$A$29,0))="","",INDEX('C_jama.2018.14282'!$I$2:$I$29,MATCH($C53,'C_jama.2018.14282'!$A$2:$A$29,0))),"not_applicable"),"")</f>
        <v/>
      </c>
      <c r="M53" s="17">
        <f>IFERROR(IF(AND(I53="retain",J53="statistical_results"),IF(INDEX('C_jama.2018.14282'!$J$2:$J$29,MATCH($C53,'C_jama.2018.14282'!$A$2:$A$29,0))="","",INDEX('C_jama.2018.14282'!$J$2:$J$29,MATCH($C53,'C_jama.2018.14282'!$A$2:$A$29,0))),"not_applicable"),"")</f>
        <v/>
      </c>
      <c r="N53" s="17">
        <f>IFERROR(IF(AND(I53="retain",OR(J53="report_internal_inconsistency",J53="plan_material")),IF(INDEX('C_jama.2018.14282'!$K$2:$K$29,MATCH($C53,'C_jama.2018.14282'!$A$2:$A$29,0))="","",INDEX('C_jama.2018.14282'!$K$2:$K$29,MATCH($C53,'C_jama.2018.14282'!$A$2:$A$29,0))),"not_applicable"),"")</f>
        <v/>
      </c>
      <c r="O53" s="17">
        <f>IFERROR(IF(AND(I53="retain",J53="protocol_report"),IF(INDEX('C_jama.2018.14282'!$L$2:$L$29,MATCH($C53,'C_jama.2018.14282'!$A$2:$A$29,0))="","",INDEX('C_jama.2018.14282'!$L$2:$L$29,MATCH($C53,'C_jama.2018.14282'!$A$2:$A$29,0))),"not_applicable"),"")</f>
        <v/>
      </c>
      <c r="P53" s="17">
        <f>IFERROR(IF(INDEX('C_jama.2018.14282'!$R$2:$R$29,MATCH($C53,'C_jama.2018.14282'!$A$2:$A$29,0))="","",INDEX('C_jama.2018.14282'!$R$2:$R$29,MATCH($C53,'C_jama.2018.14282'!$A$2:$A$29,0))),"")</f>
        <v/>
      </c>
      <c r="Q53" s="17" t="inlineStr">
        <is>
          <t>retain</t>
        </is>
      </c>
      <c r="R53" s="17" t="inlineStr">
        <is>
          <t>statistical_results</t>
        </is>
      </c>
    </row>
    <row r="54" ht="70" customHeight="1" s="14">
      <c r="A54" s="16" t="n">
        <v>2018</v>
      </c>
      <c r="B54" s="16" t="inlineStr">
        <is>
          <t>jama.2018.14282</t>
        </is>
      </c>
      <c r="C54" s="16" t="inlineStr">
        <is>
          <t>2018::jama.2018.14282::C009</t>
        </is>
      </c>
      <c r="D54" s="16" t="inlineStr">
        <is>
          <t>S_W</t>
        </is>
      </c>
      <c r="E54" s="16">
        <f>Setup!$B$4</f>
        <v/>
      </c>
      <c r="F54" s="16">
        <f>IF(Setup!$B$2="","",Setup!$B$2)</f>
        <v/>
      </c>
      <c r="G54" s="16">
        <f>IFERROR(INDEX('C_jama.2018.14282'!$G$2:$G$29,MATCH($C54,'C_jama.2018.14282'!$A$2:$A$29,0)),"CHECK KEY")</f>
        <v/>
      </c>
      <c r="H54" s="16">
        <f>IF(OR(G54&lt;&gt;"PRIMARY READY",I54="discuss"),"",IF(I54&lt;&gt;"retain","not_eligible",IF(D54="P_R","protocol_descriptive",IF(D54="P_P","plan_descriptive",IF(AND(OR(D54="S_C",D54="S_W"),J54="statistical_results",OR(K54="confirmed_issue",K54="probable_issue"),L54="substantive"),"primary_temporal",IF(AND(OR(D54="S_C",D54="S_W"),J54="report_internal_inconsistency",N54="substantive_inconsistency"),"secondary_temporal","not_eligible"))))))</f>
        <v/>
      </c>
      <c r="I54" s="16">
        <f>IFERROR(IF(INDEX('C_jama.2018.14282'!$D$2:$D$29,MATCH($C54,'C_jama.2018.14282'!$A$2:$A$29,0))="","",INDEX('C_jama.2018.14282'!$D$2:$D$29,MATCH($C54,'C_jama.2018.14282'!$A$2:$A$29,0))),"")</f>
        <v/>
      </c>
      <c r="J54" s="16">
        <f>IFERROR(IF(INDEX('C_jama.2018.14282'!$E$2:$E$29,MATCH($C54,'C_jama.2018.14282'!$A$2:$A$29,0))="","",INDEX('C_jama.2018.14282'!$E$2:$E$29,MATCH($C54,'C_jama.2018.14282'!$A$2:$A$29,0))),"")</f>
        <v/>
      </c>
      <c r="K54" s="16">
        <f>IFERROR(IF(AND(I54="retain",J54="statistical_results"),IF(INDEX('C_jama.2018.14282'!$H$2:$H$29,MATCH($C54,'C_jama.2018.14282'!$A$2:$A$29,0))="","",INDEX('C_jama.2018.14282'!$H$2:$H$29,MATCH($C54,'C_jama.2018.14282'!$A$2:$A$29,0))),"not_applicable"),"")</f>
        <v/>
      </c>
      <c r="L54" s="16">
        <f>IFERROR(IF(AND(I54="retain",J54="statistical_results"),IF(INDEX('C_jama.2018.14282'!$I$2:$I$29,MATCH($C54,'C_jama.2018.14282'!$A$2:$A$29,0))="","",INDEX('C_jama.2018.14282'!$I$2:$I$29,MATCH($C54,'C_jama.2018.14282'!$A$2:$A$29,0))),"not_applicable"),"")</f>
        <v/>
      </c>
      <c r="M54" s="16">
        <f>IFERROR(IF(AND(I54="retain",J54="statistical_results"),IF(INDEX('C_jama.2018.14282'!$J$2:$J$29,MATCH($C54,'C_jama.2018.14282'!$A$2:$A$29,0))="","",INDEX('C_jama.2018.14282'!$J$2:$J$29,MATCH($C54,'C_jama.2018.14282'!$A$2:$A$29,0))),"not_applicable"),"")</f>
        <v/>
      </c>
      <c r="N54" s="16">
        <f>IFERROR(IF(AND(I54="retain",OR(J54="report_internal_inconsistency",J54="plan_material")),IF(INDEX('C_jama.2018.14282'!$K$2:$K$29,MATCH($C54,'C_jama.2018.14282'!$A$2:$A$29,0))="","",INDEX('C_jama.2018.14282'!$K$2:$K$29,MATCH($C54,'C_jama.2018.14282'!$A$2:$A$29,0))),"not_applicable"),"")</f>
        <v/>
      </c>
      <c r="O54" s="16">
        <f>IFERROR(IF(AND(I54="retain",J54="protocol_report"),IF(INDEX('C_jama.2018.14282'!$L$2:$L$29,MATCH($C54,'C_jama.2018.14282'!$A$2:$A$29,0))="","",INDEX('C_jama.2018.14282'!$L$2:$L$29,MATCH($C54,'C_jama.2018.14282'!$A$2:$A$29,0))),"not_applicable"),"")</f>
        <v/>
      </c>
      <c r="P54" s="16">
        <f>IFERROR(IF(INDEX('C_jama.2018.14282'!$R$2:$R$29,MATCH($C54,'C_jama.2018.14282'!$A$2:$A$29,0))="","",INDEX('C_jama.2018.14282'!$R$2:$R$29,MATCH($C54,'C_jama.2018.14282'!$A$2:$A$29,0))),"")</f>
        <v/>
      </c>
      <c r="Q54" s="16" t="inlineStr">
        <is>
          <t>retain</t>
        </is>
      </c>
      <c r="R54" s="16" t="inlineStr">
        <is>
          <t>statistical_results</t>
        </is>
      </c>
    </row>
    <row r="55" ht="70" customHeight="1" s="14">
      <c r="A55" s="17" t="n">
        <v>2018</v>
      </c>
      <c r="B55" s="17" t="inlineStr">
        <is>
          <t>jama.2018.14282</t>
        </is>
      </c>
      <c r="C55" s="17" t="inlineStr">
        <is>
          <t>2018::jama.2018.14282::C010</t>
        </is>
      </c>
      <c r="D55" s="17" t="inlineStr">
        <is>
          <t>S_W</t>
        </is>
      </c>
      <c r="E55" s="17">
        <f>Setup!$B$4</f>
        <v/>
      </c>
      <c r="F55" s="17">
        <f>IF(Setup!$B$2="","",Setup!$B$2)</f>
        <v/>
      </c>
      <c r="G55" s="17">
        <f>IFERROR(INDEX('C_jama.2018.14282'!$G$2:$G$29,MATCH($C55,'C_jama.2018.14282'!$A$2:$A$29,0)),"CHECK KEY")</f>
        <v/>
      </c>
      <c r="H55" s="17">
        <f>IF(OR(G55&lt;&gt;"PRIMARY READY",I55="discuss"),"",IF(I55&lt;&gt;"retain","not_eligible",IF(D55="P_R","protocol_descriptive",IF(D55="P_P","plan_descriptive",IF(AND(OR(D55="S_C",D55="S_W"),J55="statistical_results",OR(K55="confirmed_issue",K55="probable_issue"),L55="substantive"),"primary_temporal",IF(AND(OR(D55="S_C",D55="S_W"),J55="report_internal_inconsistency",N55="substantive_inconsistency"),"secondary_temporal","not_eligible"))))))</f>
        <v/>
      </c>
      <c r="I55" s="17">
        <f>IFERROR(IF(INDEX('C_jama.2018.14282'!$D$2:$D$29,MATCH($C55,'C_jama.2018.14282'!$A$2:$A$29,0))="","",INDEX('C_jama.2018.14282'!$D$2:$D$29,MATCH($C55,'C_jama.2018.14282'!$A$2:$A$29,0))),"")</f>
        <v/>
      </c>
      <c r="J55" s="17">
        <f>IFERROR(IF(INDEX('C_jama.2018.14282'!$E$2:$E$29,MATCH($C55,'C_jama.2018.14282'!$A$2:$A$29,0))="","",INDEX('C_jama.2018.14282'!$E$2:$E$29,MATCH($C55,'C_jama.2018.14282'!$A$2:$A$29,0))),"")</f>
        <v/>
      </c>
      <c r="K55" s="17">
        <f>IFERROR(IF(AND(I55="retain",J55="statistical_results"),IF(INDEX('C_jama.2018.14282'!$H$2:$H$29,MATCH($C55,'C_jama.2018.14282'!$A$2:$A$29,0))="","",INDEX('C_jama.2018.14282'!$H$2:$H$29,MATCH($C55,'C_jama.2018.14282'!$A$2:$A$29,0))),"not_applicable"),"")</f>
        <v/>
      </c>
      <c r="L55" s="17">
        <f>IFERROR(IF(AND(I55="retain",J55="statistical_results"),IF(INDEX('C_jama.2018.14282'!$I$2:$I$29,MATCH($C55,'C_jama.2018.14282'!$A$2:$A$29,0))="","",INDEX('C_jama.2018.14282'!$I$2:$I$29,MATCH($C55,'C_jama.2018.14282'!$A$2:$A$29,0))),"not_applicable"),"")</f>
        <v/>
      </c>
      <c r="M55" s="17">
        <f>IFERROR(IF(AND(I55="retain",J55="statistical_results"),IF(INDEX('C_jama.2018.14282'!$J$2:$J$29,MATCH($C55,'C_jama.2018.14282'!$A$2:$A$29,0))="","",INDEX('C_jama.2018.14282'!$J$2:$J$29,MATCH($C55,'C_jama.2018.14282'!$A$2:$A$29,0))),"not_applicable"),"")</f>
        <v/>
      </c>
      <c r="N55" s="17">
        <f>IFERROR(IF(AND(I55="retain",OR(J55="report_internal_inconsistency",J55="plan_material")),IF(INDEX('C_jama.2018.14282'!$K$2:$K$29,MATCH($C55,'C_jama.2018.14282'!$A$2:$A$29,0))="","",INDEX('C_jama.2018.14282'!$K$2:$K$29,MATCH($C55,'C_jama.2018.14282'!$A$2:$A$29,0))),"not_applicable"),"")</f>
        <v/>
      </c>
      <c r="O55" s="17">
        <f>IFERROR(IF(AND(I55="retain",J55="protocol_report"),IF(INDEX('C_jama.2018.14282'!$L$2:$L$29,MATCH($C55,'C_jama.2018.14282'!$A$2:$A$29,0))="","",INDEX('C_jama.2018.14282'!$L$2:$L$29,MATCH($C55,'C_jama.2018.14282'!$A$2:$A$29,0))),"not_applicable"),"")</f>
        <v/>
      </c>
      <c r="P55" s="17">
        <f>IFERROR(IF(INDEX('C_jama.2018.14282'!$R$2:$R$29,MATCH($C55,'C_jama.2018.14282'!$A$2:$A$29,0))="","",INDEX('C_jama.2018.14282'!$R$2:$R$29,MATCH($C55,'C_jama.2018.14282'!$A$2:$A$29,0))),"")</f>
        <v/>
      </c>
      <c r="Q55" s="17" t="inlineStr">
        <is>
          <t>retain</t>
        </is>
      </c>
      <c r="R55" s="17" t="inlineStr">
        <is>
          <t>statistical_results</t>
        </is>
      </c>
    </row>
    <row r="56" ht="70" customHeight="1" s="14">
      <c r="A56" s="16" t="n">
        <v>2018</v>
      </c>
      <c r="B56" s="16" t="inlineStr">
        <is>
          <t>jama.2018.14282</t>
        </is>
      </c>
      <c r="C56" s="16" t="inlineStr">
        <is>
          <t>2018::jama.2018.14282::C011</t>
        </is>
      </c>
      <c r="D56" s="16" t="inlineStr">
        <is>
          <t>S_W</t>
        </is>
      </c>
      <c r="E56" s="16">
        <f>Setup!$B$4</f>
        <v/>
      </c>
      <c r="F56" s="16">
        <f>IF(Setup!$B$2="","",Setup!$B$2)</f>
        <v/>
      </c>
      <c r="G56" s="16">
        <f>IFERROR(INDEX('C_jama.2018.14282'!$G$2:$G$29,MATCH($C56,'C_jama.2018.14282'!$A$2:$A$29,0)),"CHECK KEY")</f>
        <v/>
      </c>
      <c r="H56" s="16">
        <f>IF(OR(G56&lt;&gt;"PRIMARY READY",I56="discuss"),"",IF(I56&lt;&gt;"retain","not_eligible",IF(D56="P_R","protocol_descriptive",IF(D56="P_P","plan_descriptive",IF(AND(OR(D56="S_C",D56="S_W"),J56="statistical_results",OR(K56="confirmed_issue",K56="probable_issue"),L56="substantive"),"primary_temporal",IF(AND(OR(D56="S_C",D56="S_W"),J56="report_internal_inconsistency",N56="substantive_inconsistency"),"secondary_temporal","not_eligible"))))))</f>
        <v/>
      </c>
      <c r="I56" s="16">
        <f>IFERROR(IF(INDEX('C_jama.2018.14282'!$D$2:$D$29,MATCH($C56,'C_jama.2018.14282'!$A$2:$A$29,0))="","",INDEX('C_jama.2018.14282'!$D$2:$D$29,MATCH($C56,'C_jama.2018.14282'!$A$2:$A$29,0))),"")</f>
        <v/>
      </c>
      <c r="J56" s="16">
        <f>IFERROR(IF(INDEX('C_jama.2018.14282'!$E$2:$E$29,MATCH($C56,'C_jama.2018.14282'!$A$2:$A$29,0))="","",INDEX('C_jama.2018.14282'!$E$2:$E$29,MATCH($C56,'C_jama.2018.14282'!$A$2:$A$29,0))),"")</f>
        <v/>
      </c>
      <c r="K56" s="16">
        <f>IFERROR(IF(AND(I56="retain",J56="statistical_results"),IF(INDEX('C_jama.2018.14282'!$H$2:$H$29,MATCH($C56,'C_jama.2018.14282'!$A$2:$A$29,0))="","",INDEX('C_jama.2018.14282'!$H$2:$H$29,MATCH($C56,'C_jama.2018.14282'!$A$2:$A$29,0))),"not_applicable"),"")</f>
        <v/>
      </c>
      <c r="L56" s="16">
        <f>IFERROR(IF(AND(I56="retain",J56="statistical_results"),IF(INDEX('C_jama.2018.14282'!$I$2:$I$29,MATCH($C56,'C_jama.2018.14282'!$A$2:$A$29,0))="","",INDEX('C_jama.2018.14282'!$I$2:$I$29,MATCH($C56,'C_jama.2018.14282'!$A$2:$A$29,0))),"not_applicable"),"")</f>
        <v/>
      </c>
      <c r="M56" s="16">
        <f>IFERROR(IF(AND(I56="retain",J56="statistical_results"),IF(INDEX('C_jama.2018.14282'!$J$2:$J$29,MATCH($C56,'C_jama.2018.14282'!$A$2:$A$29,0))="","",INDEX('C_jama.2018.14282'!$J$2:$J$29,MATCH($C56,'C_jama.2018.14282'!$A$2:$A$29,0))),"not_applicable"),"")</f>
        <v/>
      </c>
      <c r="N56" s="16">
        <f>IFERROR(IF(AND(I56="retain",OR(J56="report_internal_inconsistency",J56="plan_material")),IF(INDEX('C_jama.2018.14282'!$K$2:$K$29,MATCH($C56,'C_jama.2018.14282'!$A$2:$A$29,0))="","",INDEX('C_jama.2018.14282'!$K$2:$K$29,MATCH($C56,'C_jama.2018.14282'!$A$2:$A$29,0))),"not_applicable"),"")</f>
        <v/>
      </c>
      <c r="O56" s="16">
        <f>IFERROR(IF(AND(I56="retain",J56="protocol_report"),IF(INDEX('C_jama.2018.14282'!$L$2:$L$29,MATCH($C56,'C_jama.2018.14282'!$A$2:$A$29,0))="","",INDEX('C_jama.2018.14282'!$L$2:$L$29,MATCH($C56,'C_jama.2018.14282'!$A$2:$A$29,0))),"not_applicable"),"")</f>
        <v/>
      </c>
      <c r="P56" s="16">
        <f>IFERROR(IF(INDEX('C_jama.2018.14282'!$R$2:$R$29,MATCH($C56,'C_jama.2018.14282'!$A$2:$A$29,0))="","",INDEX('C_jama.2018.14282'!$R$2:$R$29,MATCH($C56,'C_jama.2018.14282'!$A$2:$A$29,0))),"")</f>
        <v/>
      </c>
      <c r="Q56" s="16" t="inlineStr">
        <is>
          <t>retain</t>
        </is>
      </c>
      <c r="R56" s="16" t="inlineStr">
        <is>
          <t>statistical_results</t>
        </is>
      </c>
    </row>
    <row r="57" ht="70" customHeight="1" s="14">
      <c r="A57" s="17" t="n">
        <v>2018</v>
      </c>
      <c r="B57" s="17" t="inlineStr">
        <is>
          <t>jama.2018.14282</t>
        </is>
      </c>
      <c r="C57" s="17" t="inlineStr">
        <is>
          <t>2018::jama.2018.14282::C012</t>
        </is>
      </c>
      <c r="D57" s="17" t="inlineStr">
        <is>
          <t>S_W</t>
        </is>
      </c>
      <c r="E57" s="17">
        <f>Setup!$B$4</f>
        <v/>
      </c>
      <c r="F57" s="17">
        <f>IF(Setup!$B$2="","",Setup!$B$2)</f>
        <v/>
      </c>
      <c r="G57" s="17">
        <f>IFERROR(INDEX('C_jama.2018.14282'!$G$2:$G$29,MATCH($C57,'C_jama.2018.14282'!$A$2:$A$29,0)),"CHECK KEY")</f>
        <v/>
      </c>
      <c r="H57" s="17">
        <f>IF(OR(G57&lt;&gt;"PRIMARY READY",I57="discuss"),"",IF(I57&lt;&gt;"retain","not_eligible",IF(D57="P_R","protocol_descriptive",IF(D57="P_P","plan_descriptive",IF(AND(OR(D57="S_C",D57="S_W"),J57="statistical_results",OR(K57="confirmed_issue",K57="probable_issue"),L57="substantive"),"primary_temporal",IF(AND(OR(D57="S_C",D57="S_W"),J57="report_internal_inconsistency",N57="substantive_inconsistency"),"secondary_temporal","not_eligible"))))))</f>
        <v/>
      </c>
      <c r="I57" s="17">
        <f>IFERROR(IF(INDEX('C_jama.2018.14282'!$D$2:$D$29,MATCH($C57,'C_jama.2018.14282'!$A$2:$A$29,0))="","",INDEX('C_jama.2018.14282'!$D$2:$D$29,MATCH($C57,'C_jama.2018.14282'!$A$2:$A$29,0))),"")</f>
        <v/>
      </c>
      <c r="J57" s="17">
        <f>IFERROR(IF(INDEX('C_jama.2018.14282'!$E$2:$E$29,MATCH($C57,'C_jama.2018.14282'!$A$2:$A$29,0))="","",INDEX('C_jama.2018.14282'!$E$2:$E$29,MATCH($C57,'C_jama.2018.14282'!$A$2:$A$29,0))),"")</f>
        <v/>
      </c>
      <c r="K57" s="17">
        <f>IFERROR(IF(AND(I57="retain",J57="statistical_results"),IF(INDEX('C_jama.2018.14282'!$H$2:$H$29,MATCH($C57,'C_jama.2018.14282'!$A$2:$A$29,0))="","",INDEX('C_jama.2018.14282'!$H$2:$H$29,MATCH($C57,'C_jama.2018.14282'!$A$2:$A$29,0))),"not_applicable"),"")</f>
        <v/>
      </c>
      <c r="L57" s="17">
        <f>IFERROR(IF(AND(I57="retain",J57="statistical_results"),IF(INDEX('C_jama.2018.14282'!$I$2:$I$29,MATCH($C57,'C_jama.2018.14282'!$A$2:$A$29,0))="","",INDEX('C_jama.2018.14282'!$I$2:$I$29,MATCH($C57,'C_jama.2018.14282'!$A$2:$A$29,0))),"not_applicable"),"")</f>
        <v/>
      </c>
      <c r="M57" s="17">
        <f>IFERROR(IF(AND(I57="retain",J57="statistical_results"),IF(INDEX('C_jama.2018.14282'!$J$2:$J$29,MATCH($C57,'C_jama.2018.14282'!$A$2:$A$29,0))="","",INDEX('C_jama.2018.14282'!$J$2:$J$29,MATCH($C57,'C_jama.2018.14282'!$A$2:$A$29,0))),"not_applicable"),"")</f>
        <v/>
      </c>
      <c r="N57" s="17">
        <f>IFERROR(IF(AND(I57="retain",OR(J57="report_internal_inconsistency",J57="plan_material")),IF(INDEX('C_jama.2018.14282'!$K$2:$K$29,MATCH($C57,'C_jama.2018.14282'!$A$2:$A$29,0))="","",INDEX('C_jama.2018.14282'!$K$2:$K$29,MATCH($C57,'C_jama.2018.14282'!$A$2:$A$29,0))),"not_applicable"),"")</f>
        <v/>
      </c>
      <c r="O57" s="17">
        <f>IFERROR(IF(AND(I57="retain",J57="protocol_report"),IF(INDEX('C_jama.2018.14282'!$L$2:$L$29,MATCH($C57,'C_jama.2018.14282'!$A$2:$A$29,0))="","",INDEX('C_jama.2018.14282'!$L$2:$L$29,MATCH($C57,'C_jama.2018.14282'!$A$2:$A$29,0))),"not_applicable"),"")</f>
        <v/>
      </c>
      <c r="P57" s="17">
        <f>IFERROR(IF(INDEX('C_jama.2018.14282'!$R$2:$R$29,MATCH($C57,'C_jama.2018.14282'!$A$2:$A$29,0))="","",INDEX('C_jama.2018.14282'!$R$2:$R$29,MATCH($C57,'C_jama.2018.14282'!$A$2:$A$29,0))),"")</f>
        <v/>
      </c>
      <c r="Q57" s="17" t="inlineStr">
        <is>
          <t>retain</t>
        </is>
      </c>
      <c r="R57" s="17" t="inlineStr">
        <is>
          <t>statistical_results</t>
        </is>
      </c>
    </row>
    <row r="58" ht="70" customHeight="1" s="14">
      <c r="A58" s="16" t="n">
        <v>2018</v>
      </c>
      <c r="B58" s="16" t="inlineStr">
        <is>
          <t>jama.2018.14282</t>
        </is>
      </c>
      <c r="C58" s="16" t="inlineStr">
        <is>
          <t>2018::jama.2018.14282::C013</t>
        </is>
      </c>
      <c r="D58" s="16" t="inlineStr">
        <is>
          <t>S_W</t>
        </is>
      </c>
      <c r="E58" s="16">
        <f>Setup!$B$4</f>
        <v/>
      </c>
      <c r="F58" s="16">
        <f>IF(Setup!$B$2="","",Setup!$B$2)</f>
        <v/>
      </c>
      <c r="G58" s="16">
        <f>IFERROR(INDEX('C_jama.2018.14282'!$G$2:$G$29,MATCH($C58,'C_jama.2018.14282'!$A$2:$A$29,0)),"CHECK KEY")</f>
        <v/>
      </c>
      <c r="H58" s="16">
        <f>IF(OR(G58&lt;&gt;"PRIMARY READY",I58="discuss"),"",IF(I58&lt;&gt;"retain","not_eligible",IF(D58="P_R","protocol_descriptive",IF(D58="P_P","plan_descriptive",IF(AND(OR(D58="S_C",D58="S_W"),J58="statistical_results",OR(K58="confirmed_issue",K58="probable_issue"),L58="substantive"),"primary_temporal",IF(AND(OR(D58="S_C",D58="S_W"),J58="report_internal_inconsistency",N58="substantive_inconsistency"),"secondary_temporal","not_eligible"))))))</f>
        <v/>
      </c>
      <c r="I58" s="16">
        <f>IFERROR(IF(INDEX('C_jama.2018.14282'!$D$2:$D$29,MATCH($C58,'C_jama.2018.14282'!$A$2:$A$29,0))="","",INDEX('C_jama.2018.14282'!$D$2:$D$29,MATCH($C58,'C_jama.2018.14282'!$A$2:$A$29,0))),"")</f>
        <v/>
      </c>
      <c r="J58" s="16">
        <f>IFERROR(IF(INDEX('C_jama.2018.14282'!$E$2:$E$29,MATCH($C58,'C_jama.2018.14282'!$A$2:$A$29,0))="","",INDEX('C_jama.2018.14282'!$E$2:$E$29,MATCH($C58,'C_jama.2018.14282'!$A$2:$A$29,0))),"")</f>
        <v/>
      </c>
      <c r="K58" s="16">
        <f>IFERROR(IF(AND(I58="retain",J58="statistical_results"),IF(INDEX('C_jama.2018.14282'!$H$2:$H$29,MATCH($C58,'C_jama.2018.14282'!$A$2:$A$29,0))="","",INDEX('C_jama.2018.14282'!$H$2:$H$29,MATCH($C58,'C_jama.2018.14282'!$A$2:$A$29,0))),"not_applicable"),"")</f>
        <v/>
      </c>
      <c r="L58" s="16">
        <f>IFERROR(IF(AND(I58="retain",J58="statistical_results"),IF(INDEX('C_jama.2018.14282'!$I$2:$I$29,MATCH($C58,'C_jama.2018.14282'!$A$2:$A$29,0))="","",INDEX('C_jama.2018.14282'!$I$2:$I$29,MATCH($C58,'C_jama.2018.14282'!$A$2:$A$29,0))),"not_applicable"),"")</f>
        <v/>
      </c>
      <c r="M58" s="16">
        <f>IFERROR(IF(AND(I58="retain",J58="statistical_results"),IF(INDEX('C_jama.2018.14282'!$J$2:$J$29,MATCH($C58,'C_jama.2018.14282'!$A$2:$A$29,0))="","",INDEX('C_jama.2018.14282'!$J$2:$J$29,MATCH($C58,'C_jama.2018.14282'!$A$2:$A$29,0))),"not_applicable"),"")</f>
        <v/>
      </c>
      <c r="N58" s="16">
        <f>IFERROR(IF(AND(I58="retain",OR(J58="report_internal_inconsistency",J58="plan_material")),IF(INDEX('C_jama.2018.14282'!$K$2:$K$29,MATCH($C58,'C_jama.2018.14282'!$A$2:$A$29,0))="","",INDEX('C_jama.2018.14282'!$K$2:$K$29,MATCH($C58,'C_jama.2018.14282'!$A$2:$A$29,0))),"not_applicable"),"")</f>
        <v/>
      </c>
      <c r="O58" s="16">
        <f>IFERROR(IF(AND(I58="retain",J58="protocol_report"),IF(INDEX('C_jama.2018.14282'!$L$2:$L$29,MATCH($C58,'C_jama.2018.14282'!$A$2:$A$29,0))="","",INDEX('C_jama.2018.14282'!$L$2:$L$29,MATCH($C58,'C_jama.2018.14282'!$A$2:$A$29,0))),"not_applicable"),"")</f>
        <v/>
      </c>
      <c r="P58" s="16">
        <f>IFERROR(IF(INDEX('C_jama.2018.14282'!$R$2:$R$29,MATCH($C58,'C_jama.2018.14282'!$A$2:$A$29,0))="","",INDEX('C_jama.2018.14282'!$R$2:$R$29,MATCH($C58,'C_jama.2018.14282'!$A$2:$A$29,0))),"")</f>
        <v/>
      </c>
      <c r="Q58" s="16" t="inlineStr">
        <is>
          <t>retain</t>
        </is>
      </c>
      <c r="R58" s="16" t="inlineStr">
        <is>
          <t>statistical_results</t>
        </is>
      </c>
    </row>
    <row r="59" ht="70" customHeight="1" s="14">
      <c r="A59" s="17" t="n">
        <v>2018</v>
      </c>
      <c r="B59" s="17" t="inlineStr">
        <is>
          <t>jama.2018.14282</t>
        </is>
      </c>
      <c r="C59" s="17" t="inlineStr">
        <is>
          <t>2018::jama.2018.14282::C014</t>
        </is>
      </c>
      <c r="D59" s="17" t="inlineStr">
        <is>
          <t>S_W</t>
        </is>
      </c>
      <c r="E59" s="17">
        <f>Setup!$B$4</f>
        <v/>
      </c>
      <c r="F59" s="17">
        <f>IF(Setup!$B$2="","",Setup!$B$2)</f>
        <v/>
      </c>
      <c r="G59" s="17">
        <f>IFERROR(INDEX('C_jama.2018.14282'!$G$2:$G$29,MATCH($C59,'C_jama.2018.14282'!$A$2:$A$29,0)),"CHECK KEY")</f>
        <v/>
      </c>
      <c r="H59" s="17">
        <f>IF(OR(G59&lt;&gt;"PRIMARY READY",I59="discuss"),"",IF(I59&lt;&gt;"retain","not_eligible",IF(D59="P_R","protocol_descriptive",IF(D59="P_P","plan_descriptive",IF(AND(OR(D59="S_C",D59="S_W"),J59="statistical_results",OR(K59="confirmed_issue",K59="probable_issue"),L59="substantive"),"primary_temporal",IF(AND(OR(D59="S_C",D59="S_W"),J59="report_internal_inconsistency",N59="substantive_inconsistency"),"secondary_temporal","not_eligible"))))))</f>
        <v/>
      </c>
      <c r="I59" s="17">
        <f>IFERROR(IF(INDEX('C_jama.2018.14282'!$D$2:$D$29,MATCH($C59,'C_jama.2018.14282'!$A$2:$A$29,0))="","",INDEX('C_jama.2018.14282'!$D$2:$D$29,MATCH($C59,'C_jama.2018.14282'!$A$2:$A$29,0))),"")</f>
        <v/>
      </c>
      <c r="J59" s="17">
        <f>IFERROR(IF(INDEX('C_jama.2018.14282'!$E$2:$E$29,MATCH($C59,'C_jama.2018.14282'!$A$2:$A$29,0))="","",INDEX('C_jama.2018.14282'!$E$2:$E$29,MATCH($C59,'C_jama.2018.14282'!$A$2:$A$29,0))),"")</f>
        <v/>
      </c>
      <c r="K59" s="17">
        <f>IFERROR(IF(AND(I59="retain",J59="statistical_results"),IF(INDEX('C_jama.2018.14282'!$H$2:$H$29,MATCH($C59,'C_jama.2018.14282'!$A$2:$A$29,0))="","",INDEX('C_jama.2018.14282'!$H$2:$H$29,MATCH($C59,'C_jama.2018.14282'!$A$2:$A$29,0))),"not_applicable"),"")</f>
        <v/>
      </c>
      <c r="L59" s="17">
        <f>IFERROR(IF(AND(I59="retain",J59="statistical_results"),IF(INDEX('C_jama.2018.14282'!$I$2:$I$29,MATCH($C59,'C_jama.2018.14282'!$A$2:$A$29,0))="","",INDEX('C_jama.2018.14282'!$I$2:$I$29,MATCH($C59,'C_jama.2018.14282'!$A$2:$A$29,0))),"not_applicable"),"")</f>
        <v/>
      </c>
      <c r="M59" s="17">
        <f>IFERROR(IF(AND(I59="retain",J59="statistical_results"),IF(INDEX('C_jama.2018.14282'!$J$2:$J$29,MATCH($C59,'C_jama.2018.14282'!$A$2:$A$29,0))="","",INDEX('C_jama.2018.14282'!$J$2:$J$29,MATCH($C59,'C_jama.2018.14282'!$A$2:$A$29,0))),"not_applicable"),"")</f>
        <v/>
      </c>
      <c r="N59" s="17">
        <f>IFERROR(IF(AND(I59="retain",OR(J59="report_internal_inconsistency",J59="plan_material")),IF(INDEX('C_jama.2018.14282'!$K$2:$K$29,MATCH($C59,'C_jama.2018.14282'!$A$2:$A$29,0))="","",INDEX('C_jama.2018.14282'!$K$2:$K$29,MATCH($C59,'C_jama.2018.14282'!$A$2:$A$29,0))),"not_applicable"),"")</f>
        <v/>
      </c>
      <c r="O59" s="17">
        <f>IFERROR(IF(AND(I59="retain",J59="protocol_report"),IF(INDEX('C_jama.2018.14282'!$L$2:$L$29,MATCH($C59,'C_jama.2018.14282'!$A$2:$A$29,0))="","",INDEX('C_jama.2018.14282'!$L$2:$L$29,MATCH($C59,'C_jama.2018.14282'!$A$2:$A$29,0))),"not_applicable"),"")</f>
        <v/>
      </c>
      <c r="P59" s="17">
        <f>IFERROR(IF(INDEX('C_jama.2018.14282'!$R$2:$R$29,MATCH($C59,'C_jama.2018.14282'!$A$2:$A$29,0))="","",INDEX('C_jama.2018.14282'!$R$2:$R$29,MATCH($C59,'C_jama.2018.14282'!$A$2:$A$29,0))),"")</f>
        <v/>
      </c>
      <c r="Q59" s="17" t="inlineStr">
        <is>
          <t>retain</t>
        </is>
      </c>
      <c r="R59" s="17" t="inlineStr">
        <is>
          <t>statistical_results</t>
        </is>
      </c>
    </row>
    <row r="60" ht="70" customHeight="1" s="14">
      <c r="A60" s="16" t="n">
        <v>2018</v>
      </c>
      <c r="B60" s="16" t="inlineStr">
        <is>
          <t>jama.2018.14282</t>
        </is>
      </c>
      <c r="C60" s="16" t="inlineStr">
        <is>
          <t>2018::jama.2018.14282::C015</t>
        </is>
      </c>
      <c r="D60" s="16" t="inlineStr">
        <is>
          <t>S_W</t>
        </is>
      </c>
      <c r="E60" s="16">
        <f>Setup!$B$4</f>
        <v/>
      </c>
      <c r="F60" s="16">
        <f>IF(Setup!$B$2="","",Setup!$B$2)</f>
        <v/>
      </c>
      <c r="G60" s="16">
        <f>IFERROR(INDEX('C_jama.2018.14282'!$G$2:$G$29,MATCH($C60,'C_jama.2018.14282'!$A$2:$A$29,0)),"CHECK KEY")</f>
        <v/>
      </c>
      <c r="H60" s="16">
        <f>IF(OR(G60&lt;&gt;"PRIMARY READY",I60="discuss"),"",IF(I60&lt;&gt;"retain","not_eligible",IF(D60="P_R","protocol_descriptive",IF(D60="P_P","plan_descriptive",IF(AND(OR(D60="S_C",D60="S_W"),J60="statistical_results",OR(K60="confirmed_issue",K60="probable_issue"),L60="substantive"),"primary_temporal",IF(AND(OR(D60="S_C",D60="S_W"),J60="report_internal_inconsistency",N60="substantive_inconsistency"),"secondary_temporal","not_eligible"))))))</f>
        <v/>
      </c>
      <c r="I60" s="16">
        <f>IFERROR(IF(INDEX('C_jama.2018.14282'!$D$2:$D$29,MATCH($C60,'C_jama.2018.14282'!$A$2:$A$29,0))="","",INDEX('C_jama.2018.14282'!$D$2:$D$29,MATCH($C60,'C_jama.2018.14282'!$A$2:$A$29,0))),"")</f>
        <v/>
      </c>
      <c r="J60" s="16">
        <f>IFERROR(IF(INDEX('C_jama.2018.14282'!$E$2:$E$29,MATCH($C60,'C_jama.2018.14282'!$A$2:$A$29,0))="","",INDEX('C_jama.2018.14282'!$E$2:$E$29,MATCH($C60,'C_jama.2018.14282'!$A$2:$A$29,0))),"")</f>
        <v/>
      </c>
      <c r="K60" s="16">
        <f>IFERROR(IF(AND(I60="retain",J60="statistical_results"),IF(INDEX('C_jama.2018.14282'!$H$2:$H$29,MATCH($C60,'C_jama.2018.14282'!$A$2:$A$29,0))="","",INDEX('C_jama.2018.14282'!$H$2:$H$29,MATCH($C60,'C_jama.2018.14282'!$A$2:$A$29,0))),"not_applicable"),"")</f>
        <v/>
      </c>
      <c r="L60" s="16">
        <f>IFERROR(IF(AND(I60="retain",J60="statistical_results"),IF(INDEX('C_jama.2018.14282'!$I$2:$I$29,MATCH($C60,'C_jama.2018.14282'!$A$2:$A$29,0))="","",INDEX('C_jama.2018.14282'!$I$2:$I$29,MATCH($C60,'C_jama.2018.14282'!$A$2:$A$29,0))),"not_applicable"),"")</f>
        <v/>
      </c>
      <c r="M60" s="16">
        <f>IFERROR(IF(AND(I60="retain",J60="statistical_results"),IF(INDEX('C_jama.2018.14282'!$J$2:$J$29,MATCH($C60,'C_jama.2018.14282'!$A$2:$A$29,0))="","",INDEX('C_jama.2018.14282'!$J$2:$J$29,MATCH($C60,'C_jama.2018.14282'!$A$2:$A$29,0))),"not_applicable"),"")</f>
        <v/>
      </c>
      <c r="N60" s="16">
        <f>IFERROR(IF(AND(I60="retain",OR(J60="report_internal_inconsistency",J60="plan_material")),IF(INDEX('C_jama.2018.14282'!$K$2:$K$29,MATCH($C60,'C_jama.2018.14282'!$A$2:$A$29,0))="","",INDEX('C_jama.2018.14282'!$K$2:$K$29,MATCH($C60,'C_jama.2018.14282'!$A$2:$A$29,0))),"not_applicable"),"")</f>
        <v/>
      </c>
      <c r="O60" s="16">
        <f>IFERROR(IF(AND(I60="retain",J60="protocol_report"),IF(INDEX('C_jama.2018.14282'!$L$2:$L$29,MATCH($C60,'C_jama.2018.14282'!$A$2:$A$29,0))="","",INDEX('C_jama.2018.14282'!$L$2:$L$29,MATCH($C60,'C_jama.2018.14282'!$A$2:$A$29,0))),"not_applicable"),"")</f>
        <v/>
      </c>
      <c r="P60" s="16">
        <f>IFERROR(IF(INDEX('C_jama.2018.14282'!$R$2:$R$29,MATCH($C60,'C_jama.2018.14282'!$A$2:$A$29,0))="","",INDEX('C_jama.2018.14282'!$R$2:$R$29,MATCH($C60,'C_jama.2018.14282'!$A$2:$A$29,0))),"")</f>
        <v/>
      </c>
      <c r="Q60" s="16" t="inlineStr">
        <is>
          <t>retain</t>
        </is>
      </c>
      <c r="R60" s="16" t="inlineStr">
        <is>
          <t>statistical_results</t>
        </is>
      </c>
    </row>
    <row r="61" ht="70" customHeight="1" s="14">
      <c r="A61" s="17" t="n">
        <v>2018</v>
      </c>
      <c r="B61" s="17" t="inlineStr">
        <is>
          <t>jama.2018.14282</t>
        </is>
      </c>
      <c r="C61" s="17" t="inlineStr">
        <is>
          <t>2018::jama.2018.14282::C016</t>
        </is>
      </c>
      <c r="D61" s="17" t="inlineStr">
        <is>
          <t>S_W</t>
        </is>
      </c>
      <c r="E61" s="17">
        <f>Setup!$B$4</f>
        <v/>
      </c>
      <c r="F61" s="17">
        <f>IF(Setup!$B$2="","",Setup!$B$2)</f>
        <v/>
      </c>
      <c r="G61" s="17">
        <f>IFERROR(INDEX('C_jama.2018.14282'!$G$2:$G$29,MATCH($C61,'C_jama.2018.14282'!$A$2:$A$29,0)),"CHECK KEY")</f>
        <v/>
      </c>
      <c r="H61" s="17">
        <f>IF(OR(G61&lt;&gt;"PRIMARY READY",I61="discuss"),"",IF(I61&lt;&gt;"retain","not_eligible",IF(D61="P_R","protocol_descriptive",IF(D61="P_P","plan_descriptive",IF(AND(OR(D61="S_C",D61="S_W"),J61="statistical_results",OR(K61="confirmed_issue",K61="probable_issue"),L61="substantive"),"primary_temporal",IF(AND(OR(D61="S_C",D61="S_W"),J61="report_internal_inconsistency",N61="substantive_inconsistency"),"secondary_temporal","not_eligible"))))))</f>
        <v/>
      </c>
      <c r="I61" s="17">
        <f>IFERROR(IF(INDEX('C_jama.2018.14282'!$D$2:$D$29,MATCH($C61,'C_jama.2018.14282'!$A$2:$A$29,0))="","",INDEX('C_jama.2018.14282'!$D$2:$D$29,MATCH($C61,'C_jama.2018.14282'!$A$2:$A$29,0))),"")</f>
        <v/>
      </c>
      <c r="J61" s="17">
        <f>IFERROR(IF(INDEX('C_jama.2018.14282'!$E$2:$E$29,MATCH($C61,'C_jama.2018.14282'!$A$2:$A$29,0))="","",INDEX('C_jama.2018.14282'!$E$2:$E$29,MATCH($C61,'C_jama.2018.14282'!$A$2:$A$29,0))),"")</f>
        <v/>
      </c>
      <c r="K61" s="17">
        <f>IFERROR(IF(AND(I61="retain",J61="statistical_results"),IF(INDEX('C_jama.2018.14282'!$H$2:$H$29,MATCH($C61,'C_jama.2018.14282'!$A$2:$A$29,0))="","",INDEX('C_jama.2018.14282'!$H$2:$H$29,MATCH($C61,'C_jama.2018.14282'!$A$2:$A$29,0))),"not_applicable"),"")</f>
        <v/>
      </c>
      <c r="L61" s="17">
        <f>IFERROR(IF(AND(I61="retain",J61="statistical_results"),IF(INDEX('C_jama.2018.14282'!$I$2:$I$29,MATCH($C61,'C_jama.2018.14282'!$A$2:$A$29,0))="","",INDEX('C_jama.2018.14282'!$I$2:$I$29,MATCH($C61,'C_jama.2018.14282'!$A$2:$A$29,0))),"not_applicable"),"")</f>
        <v/>
      </c>
      <c r="M61" s="17">
        <f>IFERROR(IF(AND(I61="retain",J61="statistical_results"),IF(INDEX('C_jama.2018.14282'!$J$2:$J$29,MATCH($C61,'C_jama.2018.14282'!$A$2:$A$29,0))="","",INDEX('C_jama.2018.14282'!$J$2:$J$29,MATCH($C61,'C_jama.2018.14282'!$A$2:$A$29,0))),"not_applicable"),"")</f>
        <v/>
      </c>
      <c r="N61" s="17">
        <f>IFERROR(IF(AND(I61="retain",OR(J61="report_internal_inconsistency",J61="plan_material")),IF(INDEX('C_jama.2018.14282'!$K$2:$K$29,MATCH($C61,'C_jama.2018.14282'!$A$2:$A$29,0))="","",INDEX('C_jama.2018.14282'!$K$2:$K$29,MATCH($C61,'C_jama.2018.14282'!$A$2:$A$29,0))),"not_applicable"),"")</f>
        <v/>
      </c>
      <c r="O61" s="17">
        <f>IFERROR(IF(AND(I61="retain",J61="protocol_report"),IF(INDEX('C_jama.2018.14282'!$L$2:$L$29,MATCH($C61,'C_jama.2018.14282'!$A$2:$A$29,0))="","",INDEX('C_jama.2018.14282'!$L$2:$L$29,MATCH($C61,'C_jama.2018.14282'!$A$2:$A$29,0))),"not_applicable"),"")</f>
        <v/>
      </c>
      <c r="P61" s="17">
        <f>IFERROR(IF(INDEX('C_jama.2018.14282'!$R$2:$R$29,MATCH($C61,'C_jama.2018.14282'!$A$2:$A$29,0))="","",INDEX('C_jama.2018.14282'!$R$2:$R$29,MATCH($C61,'C_jama.2018.14282'!$A$2:$A$29,0))),"")</f>
        <v/>
      </c>
      <c r="Q61" s="17" t="inlineStr">
        <is>
          <t>retain</t>
        </is>
      </c>
      <c r="R61" s="17" t="inlineStr">
        <is>
          <t>statistical_results</t>
        </is>
      </c>
    </row>
    <row r="62" ht="70" customHeight="1" s="14">
      <c r="A62" s="16" t="n">
        <v>2018</v>
      </c>
      <c r="B62" s="16" t="inlineStr">
        <is>
          <t>jama.2018.14282</t>
        </is>
      </c>
      <c r="C62" s="16" t="inlineStr">
        <is>
          <t>2018::jama.2018.14282::C017</t>
        </is>
      </c>
      <c r="D62" s="16" t="inlineStr">
        <is>
          <t>S_W</t>
        </is>
      </c>
      <c r="E62" s="16">
        <f>Setup!$B$4</f>
        <v/>
      </c>
      <c r="F62" s="16">
        <f>IF(Setup!$B$2="","",Setup!$B$2)</f>
        <v/>
      </c>
      <c r="G62" s="16">
        <f>IFERROR(INDEX('C_jama.2018.14282'!$G$2:$G$29,MATCH($C62,'C_jama.2018.14282'!$A$2:$A$29,0)),"CHECK KEY")</f>
        <v/>
      </c>
      <c r="H62" s="16">
        <f>IF(OR(G62&lt;&gt;"PRIMARY READY",I62="discuss"),"",IF(I62&lt;&gt;"retain","not_eligible",IF(D62="P_R","protocol_descriptive",IF(D62="P_P","plan_descriptive",IF(AND(OR(D62="S_C",D62="S_W"),J62="statistical_results",OR(K62="confirmed_issue",K62="probable_issue"),L62="substantive"),"primary_temporal",IF(AND(OR(D62="S_C",D62="S_W"),J62="report_internal_inconsistency",N62="substantive_inconsistency"),"secondary_temporal","not_eligible"))))))</f>
        <v/>
      </c>
      <c r="I62" s="16">
        <f>IFERROR(IF(INDEX('C_jama.2018.14282'!$D$2:$D$29,MATCH($C62,'C_jama.2018.14282'!$A$2:$A$29,0))="","",INDEX('C_jama.2018.14282'!$D$2:$D$29,MATCH($C62,'C_jama.2018.14282'!$A$2:$A$29,0))),"")</f>
        <v/>
      </c>
      <c r="J62" s="16">
        <f>IFERROR(IF(INDEX('C_jama.2018.14282'!$E$2:$E$29,MATCH($C62,'C_jama.2018.14282'!$A$2:$A$29,0))="","",INDEX('C_jama.2018.14282'!$E$2:$E$29,MATCH($C62,'C_jama.2018.14282'!$A$2:$A$29,0))),"")</f>
        <v/>
      </c>
      <c r="K62" s="16">
        <f>IFERROR(IF(AND(I62="retain",J62="statistical_results"),IF(INDEX('C_jama.2018.14282'!$H$2:$H$29,MATCH($C62,'C_jama.2018.14282'!$A$2:$A$29,0))="","",INDEX('C_jama.2018.14282'!$H$2:$H$29,MATCH($C62,'C_jama.2018.14282'!$A$2:$A$29,0))),"not_applicable"),"")</f>
        <v/>
      </c>
      <c r="L62" s="16">
        <f>IFERROR(IF(AND(I62="retain",J62="statistical_results"),IF(INDEX('C_jama.2018.14282'!$I$2:$I$29,MATCH($C62,'C_jama.2018.14282'!$A$2:$A$29,0))="","",INDEX('C_jama.2018.14282'!$I$2:$I$29,MATCH($C62,'C_jama.2018.14282'!$A$2:$A$29,0))),"not_applicable"),"")</f>
        <v/>
      </c>
      <c r="M62" s="16">
        <f>IFERROR(IF(AND(I62="retain",J62="statistical_results"),IF(INDEX('C_jama.2018.14282'!$J$2:$J$29,MATCH($C62,'C_jama.2018.14282'!$A$2:$A$29,0))="","",INDEX('C_jama.2018.14282'!$J$2:$J$29,MATCH($C62,'C_jama.2018.14282'!$A$2:$A$29,0))),"not_applicable"),"")</f>
        <v/>
      </c>
      <c r="N62" s="16">
        <f>IFERROR(IF(AND(I62="retain",OR(J62="report_internal_inconsistency",J62="plan_material")),IF(INDEX('C_jama.2018.14282'!$K$2:$K$29,MATCH($C62,'C_jama.2018.14282'!$A$2:$A$29,0))="","",INDEX('C_jama.2018.14282'!$K$2:$K$29,MATCH($C62,'C_jama.2018.14282'!$A$2:$A$29,0))),"not_applicable"),"")</f>
        <v/>
      </c>
      <c r="O62" s="16">
        <f>IFERROR(IF(AND(I62="retain",J62="protocol_report"),IF(INDEX('C_jama.2018.14282'!$L$2:$L$29,MATCH($C62,'C_jama.2018.14282'!$A$2:$A$29,0))="","",INDEX('C_jama.2018.14282'!$L$2:$L$29,MATCH($C62,'C_jama.2018.14282'!$A$2:$A$29,0))),"not_applicable"),"")</f>
        <v/>
      </c>
      <c r="P62" s="16">
        <f>IFERROR(IF(INDEX('C_jama.2018.14282'!$R$2:$R$29,MATCH($C62,'C_jama.2018.14282'!$A$2:$A$29,0))="","",INDEX('C_jama.2018.14282'!$R$2:$R$29,MATCH($C62,'C_jama.2018.14282'!$A$2:$A$29,0))),"")</f>
        <v/>
      </c>
      <c r="Q62" s="16" t="inlineStr">
        <is>
          <t>retain</t>
        </is>
      </c>
      <c r="R62" s="16" t="inlineStr">
        <is>
          <t>report_internal_inconsistency</t>
        </is>
      </c>
    </row>
    <row r="63" ht="70" customHeight="1" s="14">
      <c r="A63" s="17" t="n">
        <v>2018</v>
      </c>
      <c r="B63" s="17" t="inlineStr">
        <is>
          <t>jama.2018.14282</t>
        </is>
      </c>
      <c r="C63" s="17" t="inlineStr">
        <is>
          <t>2018::jama.2018.14282::C018</t>
        </is>
      </c>
      <c r="D63" s="17" t="inlineStr">
        <is>
          <t>S_W</t>
        </is>
      </c>
      <c r="E63" s="17">
        <f>Setup!$B$4</f>
        <v/>
      </c>
      <c r="F63" s="17">
        <f>IF(Setup!$B$2="","",Setup!$B$2)</f>
        <v/>
      </c>
      <c r="G63" s="17">
        <f>IFERROR(INDEX('C_jama.2018.14282'!$G$2:$G$29,MATCH($C63,'C_jama.2018.14282'!$A$2:$A$29,0)),"CHECK KEY")</f>
        <v/>
      </c>
      <c r="H63" s="17">
        <f>IF(OR(G63&lt;&gt;"PRIMARY READY",I63="discuss"),"",IF(I63&lt;&gt;"retain","not_eligible",IF(D63="P_R","protocol_descriptive",IF(D63="P_P","plan_descriptive",IF(AND(OR(D63="S_C",D63="S_W"),J63="statistical_results",OR(K63="confirmed_issue",K63="probable_issue"),L63="substantive"),"primary_temporal",IF(AND(OR(D63="S_C",D63="S_W"),J63="report_internal_inconsistency",N63="substantive_inconsistency"),"secondary_temporal","not_eligible"))))))</f>
        <v/>
      </c>
      <c r="I63" s="17">
        <f>IFERROR(IF(INDEX('C_jama.2018.14282'!$D$2:$D$29,MATCH($C63,'C_jama.2018.14282'!$A$2:$A$29,0))="","",INDEX('C_jama.2018.14282'!$D$2:$D$29,MATCH($C63,'C_jama.2018.14282'!$A$2:$A$29,0))),"")</f>
        <v/>
      </c>
      <c r="J63" s="17">
        <f>IFERROR(IF(INDEX('C_jama.2018.14282'!$E$2:$E$29,MATCH($C63,'C_jama.2018.14282'!$A$2:$A$29,0))="","",INDEX('C_jama.2018.14282'!$E$2:$E$29,MATCH($C63,'C_jama.2018.14282'!$A$2:$A$29,0))),"")</f>
        <v/>
      </c>
      <c r="K63" s="17">
        <f>IFERROR(IF(AND(I63="retain",J63="statistical_results"),IF(INDEX('C_jama.2018.14282'!$H$2:$H$29,MATCH($C63,'C_jama.2018.14282'!$A$2:$A$29,0))="","",INDEX('C_jama.2018.14282'!$H$2:$H$29,MATCH($C63,'C_jama.2018.14282'!$A$2:$A$29,0))),"not_applicable"),"")</f>
        <v/>
      </c>
      <c r="L63" s="17">
        <f>IFERROR(IF(AND(I63="retain",J63="statistical_results"),IF(INDEX('C_jama.2018.14282'!$I$2:$I$29,MATCH($C63,'C_jama.2018.14282'!$A$2:$A$29,0))="","",INDEX('C_jama.2018.14282'!$I$2:$I$29,MATCH($C63,'C_jama.2018.14282'!$A$2:$A$29,0))),"not_applicable"),"")</f>
        <v/>
      </c>
      <c r="M63" s="17">
        <f>IFERROR(IF(AND(I63="retain",J63="statistical_results"),IF(INDEX('C_jama.2018.14282'!$J$2:$J$29,MATCH($C63,'C_jama.2018.14282'!$A$2:$A$29,0))="","",INDEX('C_jama.2018.14282'!$J$2:$J$29,MATCH($C63,'C_jama.2018.14282'!$A$2:$A$29,0))),"not_applicable"),"")</f>
        <v/>
      </c>
      <c r="N63" s="17">
        <f>IFERROR(IF(AND(I63="retain",OR(J63="report_internal_inconsistency",J63="plan_material")),IF(INDEX('C_jama.2018.14282'!$K$2:$K$29,MATCH($C63,'C_jama.2018.14282'!$A$2:$A$29,0))="","",INDEX('C_jama.2018.14282'!$K$2:$K$29,MATCH($C63,'C_jama.2018.14282'!$A$2:$A$29,0))),"not_applicable"),"")</f>
        <v/>
      </c>
      <c r="O63" s="17">
        <f>IFERROR(IF(AND(I63="retain",J63="protocol_report"),IF(INDEX('C_jama.2018.14282'!$L$2:$L$29,MATCH($C63,'C_jama.2018.14282'!$A$2:$A$29,0))="","",INDEX('C_jama.2018.14282'!$L$2:$L$29,MATCH($C63,'C_jama.2018.14282'!$A$2:$A$29,0))),"not_applicable"),"")</f>
        <v/>
      </c>
      <c r="P63" s="17">
        <f>IFERROR(IF(INDEX('C_jama.2018.14282'!$R$2:$R$29,MATCH($C63,'C_jama.2018.14282'!$A$2:$A$29,0))="","",INDEX('C_jama.2018.14282'!$R$2:$R$29,MATCH($C63,'C_jama.2018.14282'!$A$2:$A$29,0))),"")</f>
        <v/>
      </c>
      <c r="Q63" s="17" t="inlineStr">
        <is>
          <t>retain</t>
        </is>
      </c>
      <c r="R63" s="17" t="inlineStr">
        <is>
          <t>statistical_results</t>
        </is>
      </c>
    </row>
    <row r="64" ht="70" customHeight="1" s="14">
      <c r="A64" s="16" t="n">
        <v>2018</v>
      </c>
      <c r="B64" s="16" t="inlineStr">
        <is>
          <t>jama.2018.14282</t>
        </is>
      </c>
      <c r="C64" s="16" t="inlineStr">
        <is>
          <t>2018::jama.2018.14282::C019</t>
        </is>
      </c>
      <c r="D64" s="16" t="inlineStr">
        <is>
          <t>S_W</t>
        </is>
      </c>
      <c r="E64" s="16">
        <f>Setup!$B$4</f>
        <v/>
      </c>
      <c r="F64" s="16">
        <f>IF(Setup!$B$2="","",Setup!$B$2)</f>
        <v/>
      </c>
      <c r="G64" s="16">
        <f>IFERROR(INDEX('C_jama.2018.14282'!$G$2:$G$29,MATCH($C64,'C_jama.2018.14282'!$A$2:$A$29,0)),"CHECK KEY")</f>
        <v/>
      </c>
      <c r="H64" s="16">
        <f>IF(OR(G64&lt;&gt;"PRIMARY READY",I64="discuss"),"",IF(I64&lt;&gt;"retain","not_eligible",IF(D64="P_R","protocol_descriptive",IF(D64="P_P","plan_descriptive",IF(AND(OR(D64="S_C",D64="S_W"),J64="statistical_results",OR(K64="confirmed_issue",K64="probable_issue"),L64="substantive"),"primary_temporal",IF(AND(OR(D64="S_C",D64="S_W"),J64="report_internal_inconsistency",N64="substantive_inconsistency"),"secondary_temporal","not_eligible"))))))</f>
        <v/>
      </c>
      <c r="I64" s="16">
        <f>IFERROR(IF(INDEX('C_jama.2018.14282'!$D$2:$D$29,MATCH($C64,'C_jama.2018.14282'!$A$2:$A$29,0))="","",INDEX('C_jama.2018.14282'!$D$2:$D$29,MATCH($C64,'C_jama.2018.14282'!$A$2:$A$29,0))),"")</f>
        <v/>
      </c>
      <c r="J64" s="16">
        <f>IFERROR(IF(INDEX('C_jama.2018.14282'!$E$2:$E$29,MATCH($C64,'C_jama.2018.14282'!$A$2:$A$29,0))="","",INDEX('C_jama.2018.14282'!$E$2:$E$29,MATCH($C64,'C_jama.2018.14282'!$A$2:$A$29,0))),"")</f>
        <v/>
      </c>
      <c r="K64" s="16">
        <f>IFERROR(IF(AND(I64="retain",J64="statistical_results"),IF(INDEX('C_jama.2018.14282'!$H$2:$H$29,MATCH($C64,'C_jama.2018.14282'!$A$2:$A$29,0))="","",INDEX('C_jama.2018.14282'!$H$2:$H$29,MATCH($C64,'C_jama.2018.14282'!$A$2:$A$29,0))),"not_applicable"),"")</f>
        <v/>
      </c>
      <c r="L64" s="16">
        <f>IFERROR(IF(AND(I64="retain",J64="statistical_results"),IF(INDEX('C_jama.2018.14282'!$I$2:$I$29,MATCH($C64,'C_jama.2018.14282'!$A$2:$A$29,0))="","",INDEX('C_jama.2018.14282'!$I$2:$I$29,MATCH($C64,'C_jama.2018.14282'!$A$2:$A$29,0))),"not_applicable"),"")</f>
        <v/>
      </c>
      <c r="M64" s="16">
        <f>IFERROR(IF(AND(I64="retain",J64="statistical_results"),IF(INDEX('C_jama.2018.14282'!$J$2:$J$29,MATCH($C64,'C_jama.2018.14282'!$A$2:$A$29,0))="","",INDEX('C_jama.2018.14282'!$J$2:$J$29,MATCH($C64,'C_jama.2018.14282'!$A$2:$A$29,0))),"not_applicable"),"")</f>
        <v/>
      </c>
      <c r="N64" s="16">
        <f>IFERROR(IF(AND(I64="retain",OR(J64="report_internal_inconsistency",J64="plan_material")),IF(INDEX('C_jama.2018.14282'!$K$2:$K$29,MATCH($C64,'C_jama.2018.14282'!$A$2:$A$29,0))="","",INDEX('C_jama.2018.14282'!$K$2:$K$29,MATCH($C64,'C_jama.2018.14282'!$A$2:$A$29,0))),"not_applicable"),"")</f>
        <v/>
      </c>
      <c r="O64" s="16">
        <f>IFERROR(IF(AND(I64="retain",J64="protocol_report"),IF(INDEX('C_jama.2018.14282'!$L$2:$L$29,MATCH($C64,'C_jama.2018.14282'!$A$2:$A$29,0))="","",INDEX('C_jama.2018.14282'!$L$2:$L$29,MATCH($C64,'C_jama.2018.14282'!$A$2:$A$29,0))),"not_applicable"),"")</f>
        <v/>
      </c>
      <c r="P64" s="16">
        <f>IFERROR(IF(INDEX('C_jama.2018.14282'!$R$2:$R$29,MATCH($C64,'C_jama.2018.14282'!$A$2:$A$29,0))="","",INDEX('C_jama.2018.14282'!$R$2:$R$29,MATCH($C64,'C_jama.2018.14282'!$A$2:$A$29,0))),"")</f>
        <v/>
      </c>
      <c r="Q64" s="16" t="inlineStr">
        <is>
          <t>retain</t>
        </is>
      </c>
      <c r="R64" s="16" t="inlineStr">
        <is>
          <t>statistical_results</t>
        </is>
      </c>
    </row>
    <row r="65" ht="70" customHeight="1" s="14">
      <c r="A65" s="17" t="n">
        <v>2018</v>
      </c>
      <c r="B65" s="17" t="inlineStr">
        <is>
          <t>jama.2018.14282</t>
        </is>
      </c>
      <c r="C65" s="17" t="inlineStr">
        <is>
          <t>2018::jama.2018.14282::C020</t>
        </is>
      </c>
      <c r="D65" s="17" t="inlineStr">
        <is>
          <t>S_W</t>
        </is>
      </c>
      <c r="E65" s="17">
        <f>Setup!$B$4</f>
        <v/>
      </c>
      <c r="F65" s="17">
        <f>IF(Setup!$B$2="","",Setup!$B$2)</f>
        <v/>
      </c>
      <c r="G65" s="17">
        <f>IFERROR(INDEX('C_jama.2018.14282'!$G$2:$G$29,MATCH($C65,'C_jama.2018.14282'!$A$2:$A$29,0)),"CHECK KEY")</f>
        <v/>
      </c>
      <c r="H65" s="17">
        <f>IF(OR(G65&lt;&gt;"PRIMARY READY",I65="discuss"),"",IF(I65&lt;&gt;"retain","not_eligible",IF(D65="P_R","protocol_descriptive",IF(D65="P_P","plan_descriptive",IF(AND(OR(D65="S_C",D65="S_W"),J65="statistical_results",OR(K65="confirmed_issue",K65="probable_issue"),L65="substantive"),"primary_temporal",IF(AND(OR(D65="S_C",D65="S_W"),J65="report_internal_inconsistency",N65="substantive_inconsistency"),"secondary_temporal","not_eligible"))))))</f>
        <v/>
      </c>
      <c r="I65" s="17">
        <f>IFERROR(IF(INDEX('C_jama.2018.14282'!$D$2:$D$29,MATCH($C65,'C_jama.2018.14282'!$A$2:$A$29,0))="","",INDEX('C_jama.2018.14282'!$D$2:$D$29,MATCH($C65,'C_jama.2018.14282'!$A$2:$A$29,0))),"")</f>
        <v/>
      </c>
      <c r="J65" s="17">
        <f>IFERROR(IF(INDEX('C_jama.2018.14282'!$E$2:$E$29,MATCH($C65,'C_jama.2018.14282'!$A$2:$A$29,0))="","",INDEX('C_jama.2018.14282'!$E$2:$E$29,MATCH($C65,'C_jama.2018.14282'!$A$2:$A$29,0))),"")</f>
        <v/>
      </c>
      <c r="K65" s="17">
        <f>IFERROR(IF(AND(I65="retain",J65="statistical_results"),IF(INDEX('C_jama.2018.14282'!$H$2:$H$29,MATCH($C65,'C_jama.2018.14282'!$A$2:$A$29,0))="","",INDEX('C_jama.2018.14282'!$H$2:$H$29,MATCH($C65,'C_jama.2018.14282'!$A$2:$A$29,0))),"not_applicable"),"")</f>
        <v/>
      </c>
      <c r="L65" s="17">
        <f>IFERROR(IF(AND(I65="retain",J65="statistical_results"),IF(INDEX('C_jama.2018.14282'!$I$2:$I$29,MATCH($C65,'C_jama.2018.14282'!$A$2:$A$29,0))="","",INDEX('C_jama.2018.14282'!$I$2:$I$29,MATCH($C65,'C_jama.2018.14282'!$A$2:$A$29,0))),"not_applicable"),"")</f>
        <v/>
      </c>
      <c r="M65" s="17">
        <f>IFERROR(IF(AND(I65="retain",J65="statistical_results"),IF(INDEX('C_jama.2018.14282'!$J$2:$J$29,MATCH($C65,'C_jama.2018.14282'!$A$2:$A$29,0))="","",INDEX('C_jama.2018.14282'!$J$2:$J$29,MATCH($C65,'C_jama.2018.14282'!$A$2:$A$29,0))),"not_applicable"),"")</f>
        <v/>
      </c>
      <c r="N65" s="17">
        <f>IFERROR(IF(AND(I65="retain",OR(J65="report_internal_inconsistency",J65="plan_material")),IF(INDEX('C_jama.2018.14282'!$K$2:$K$29,MATCH($C65,'C_jama.2018.14282'!$A$2:$A$29,0))="","",INDEX('C_jama.2018.14282'!$K$2:$K$29,MATCH($C65,'C_jama.2018.14282'!$A$2:$A$29,0))),"not_applicable"),"")</f>
        <v/>
      </c>
      <c r="O65" s="17">
        <f>IFERROR(IF(AND(I65="retain",J65="protocol_report"),IF(INDEX('C_jama.2018.14282'!$L$2:$L$29,MATCH($C65,'C_jama.2018.14282'!$A$2:$A$29,0))="","",INDEX('C_jama.2018.14282'!$L$2:$L$29,MATCH($C65,'C_jama.2018.14282'!$A$2:$A$29,0))),"not_applicable"),"")</f>
        <v/>
      </c>
      <c r="P65" s="17">
        <f>IFERROR(IF(INDEX('C_jama.2018.14282'!$R$2:$R$29,MATCH($C65,'C_jama.2018.14282'!$A$2:$A$29,0))="","",INDEX('C_jama.2018.14282'!$R$2:$R$29,MATCH($C65,'C_jama.2018.14282'!$A$2:$A$29,0))),"")</f>
        <v/>
      </c>
      <c r="Q65" s="17" t="inlineStr">
        <is>
          <t>retain</t>
        </is>
      </c>
      <c r="R65" s="17" t="inlineStr">
        <is>
          <t>statistical_results</t>
        </is>
      </c>
    </row>
    <row r="66" ht="70" customHeight="1" s="14">
      <c r="A66" s="16" t="n">
        <v>2018</v>
      </c>
      <c r="B66" s="16" t="inlineStr">
        <is>
          <t>jama.2018.14282</t>
        </is>
      </c>
      <c r="C66" s="16" t="inlineStr">
        <is>
          <t>2018::jama.2018.14282::C021</t>
        </is>
      </c>
      <c r="D66" s="16" t="inlineStr">
        <is>
          <t>S_W</t>
        </is>
      </c>
      <c r="E66" s="16">
        <f>Setup!$B$4</f>
        <v/>
      </c>
      <c r="F66" s="16">
        <f>IF(Setup!$B$2="","",Setup!$B$2)</f>
        <v/>
      </c>
      <c r="G66" s="16">
        <f>IFERROR(INDEX('C_jama.2018.14282'!$G$2:$G$29,MATCH($C66,'C_jama.2018.14282'!$A$2:$A$29,0)),"CHECK KEY")</f>
        <v/>
      </c>
      <c r="H66" s="16">
        <f>IF(OR(G66&lt;&gt;"PRIMARY READY",I66="discuss"),"",IF(I66&lt;&gt;"retain","not_eligible",IF(D66="P_R","protocol_descriptive",IF(D66="P_P","plan_descriptive",IF(AND(OR(D66="S_C",D66="S_W"),J66="statistical_results",OR(K66="confirmed_issue",K66="probable_issue"),L66="substantive"),"primary_temporal",IF(AND(OR(D66="S_C",D66="S_W"),J66="report_internal_inconsistency",N66="substantive_inconsistency"),"secondary_temporal","not_eligible"))))))</f>
        <v/>
      </c>
      <c r="I66" s="16">
        <f>IFERROR(IF(INDEX('C_jama.2018.14282'!$D$2:$D$29,MATCH($C66,'C_jama.2018.14282'!$A$2:$A$29,0))="","",INDEX('C_jama.2018.14282'!$D$2:$D$29,MATCH($C66,'C_jama.2018.14282'!$A$2:$A$29,0))),"")</f>
        <v/>
      </c>
      <c r="J66" s="16">
        <f>IFERROR(IF(INDEX('C_jama.2018.14282'!$E$2:$E$29,MATCH($C66,'C_jama.2018.14282'!$A$2:$A$29,0))="","",INDEX('C_jama.2018.14282'!$E$2:$E$29,MATCH($C66,'C_jama.2018.14282'!$A$2:$A$29,0))),"")</f>
        <v/>
      </c>
      <c r="K66" s="16">
        <f>IFERROR(IF(AND(I66="retain",J66="statistical_results"),IF(INDEX('C_jama.2018.14282'!$H$2:$H$29,MATCH($C66,'C_jama.2018.14282'!$A$2:$A$29,0))="","",INDEX('C_jama.2018.14282'!$H$2:$H$29,MATCH($C66,'C_jama.2018.14282'!$A$2:$A$29,0))),"not_applicable"),"")</f>
        <v/>
      </c>
      <c r="L66" s="16">
        <f>IFERROR(IF(AND(I66="retain",J66="statistical_results"),IF(INDEX('C_jama.2018.14282'!$I$2:$I$29,MATCH($C66,'C_jama.2018.14282'!$A$2:$A$29,0))="","",INDEX('C_jama.2018.14282'!$I$2:$I$29,MATCH($C66,'C_jama.2018.14282'!$A$2:$A$29,0))),"not_applicable"),"")</f>
        <v/>
      </c>
      <c r="M66" s="16">
        <f>IFERROR(IF(AND(I66="retain",J66="statistical_results"),IF(INDEX('C_jama.2018.14282'!$J$2:$J$29,MATCH($C66,'C_jama.2018.14282'!$A$2:$A$29,0))="","",INDEX('C_jama.2018.14282'!$J$2:$J$29,MATCH($C66,'C_jama.2018.14282'!$A$2:$A$29,0))),"not_applicable"),"")</f>
        <v/>
      </c>
      <c r="N66" s="16">
        <f>IFERROR(IF(AND(I66="retain",OR(J66="report_internal_inconsistency",J66="plan_material")),IF(INDEX('C_jama.2018.14282'!$K$2:$K$29,MATCH($C66,'C_jama.2018.14282'!$A$2:$A$29,0))="","",INDEX('C_jama.2018.14282'!$K$2:$K$29,MATCH($C66,'C_jama.2018.14282'!$A$2:$A$29,0))),"not_applicable"),"")</f>
        <v/>
      </c>
      <c r="O66" s="16">
        <f>IFERROR(IF(AND(I66="retain",J66="protocol_report"),IF(INDEX('C_jama.2018.14282'!$L$2:$L$29,MATCH($C66,'C_jama.2018.14282'!$A$2:$A$29,0))="","",INDEX('C_jama.2018.14282'!$L$2:$L$29,MATCH($C66,'C_jama.2018.14282'!$A$2:$A$29,0))),"not_applicable"),"")</f>
        <v/>
      </c>
      <c r="P66" s="16">
        <f>IFERROR(IF(INDEX('C_jama.2018.14282'!$R$2:$R$29,MATCH($C66,'C_jama.2018.14282'!$A$2:$A$29,0))="","",INDEX('C_jama.2018.14282'!$R$2:$R$29,MATCH($C66,'C_jama.2018.14282'!$A$2:$A$29,0))),"")</f>
        <v/>
      </c>
      <c r="Q66" s="16" t="inlineStr">
        <is>
          <t>retain</t>
        </is>
      </c>
      <c r="R66" s="16" t="inlineStr">
        <is>
          <t>statistical_results</t>
        </is>
      </c>
    </row>
    <row r="67" ht="70" customHeight="1" s="14">
      <c r="A67" s="17" t="n">
        <v>2018</v>
      </c>
      <c r="B67" s="17" t="inlineStr">
        <is>
          <t>jama.2018.14282</t>
        </is>
      </c>
      <c r="C67" s="17" t="inlineStr">
        <is>
          <t>2018::jama.2018.14282::C022</t>
        </is>
      </c>
      <c r="D67" s="17" t="inlineStr">
        <is>
          <t>S_C</t>
        </is>
      </c>
      <c r="E67" s="17">
        <f>Setup!$B$4</f>
        <v/>
      </c>
      <c r="F67" s="17">
        <f>IF(Setup!$B$2="","",Setup!$B$2)</f>
        <v/>
      </c>
      <c r="G67" s="17">
        <f>IFERROR(INDEX('C_jama.2018.14282'!$G$2:$G$29,MATCH($C67,'C_jama.2018.14282'!$A$2:$A$29,0)),"CHECK KEY")</f>
        <v/>
      </c>
      <c r="H67" s="17">
        <f>IF(OR(G67&lt;&gt;"PRIMARY READY",I67="discuss"),"",IF(I67&lt;&gt;"retain","not_eligible",IF(D67="P_R","protocol_descriptive",IF(D67="P_P","plan_descriptive",IF(AND(OR(D67="S_C",D67="S_W"),J67="statistical_results",OR(K67="confirmed_issue",K67="probable_issue"),L67="substantive"),"primary_temporal",IF(AND(OR(D67="S_C",D67="S_W"),J67="report_internal_inconsistency",N67="substantive_inconsistency"),"secondary_temporal","not_eligible"))))))</f>
        <v/>
      </c>
      <c r="I67" s="17">
        <f>IFERROR(IF(INDEX('C_jama.2018.14282'!$D$2:$D$29,MATCH($C67,'C_jama.2018.14282'!$A$2:$A$29,0))="","",INDEX('C_jama.2018.14282'!$D$2:$D$29,MATCH($C67,'C_jama.2018.14282'!$A$2:$A$29,0))),"")</f>
        <v/>
      </c>
      <c r="J67" s="17">
        <f>IFERROR(IF(INDEX('C_jama.2018.14282'!$E$2:$E$29,MATCH($C67,'C_jama.2018.14282'!$A$2:$A$29,0))="","",INDEX('C_jama.2018.14282'!$E$2:$E$29,MATCH($C67,'C_jama.2018.14282'!$A$2:$A$29,0))),"")</f>
        <v/>
      </c>
      <c r="K67" s="17">
        <f>IFERROR(IF(AND(I67="retain",J67="statistical_results"),IF(INDEX('C_jama.2018.14282'!$H$2:$H$29,MATCH($C67,'C_jama.2018.14282'!$A$2:$A$29,0))="","",INDEX('C_jama.2018.14282'!$H$2:$H$29,MATCH($C67,'C_jama.2018.14282'!$A$2:$A$29,0))),"not_applicable"),"")</f>
        <v/>
      </c>
      <c r="L67" s="17">
        <f>IFERROR(IF(AND(I67="retain",J67="statistical_results"),IF(INDEX('C_jama.2018.14282'!$I$2:$I$29,MATCH($C67,'C_jama.2018.14282'!$A$2:$A$29,0))="","",INDEX('C_jama.2018.14282'!$I$2:$I$29,MATCH($C67,'C_jama.2018.14282'!$A$2:$A$29,0))),"not_applicable"),"")</f>
        <v/>
      </c>
      <c r="M67" s="17">
        <f>IFERROR(IF(AND(I67="retain",J67="statistical_results"),IF(INDEX('C_jama.2018.14282'!$J$2:$J$29,MATCH($C67,'C_jama.2018.14282'!$A$2:$A$29,0))="","",INDEX('C_jama.2018.14282'!$J$2:$J$29,MATCH($C67,'C_jama.2018.14282'!$A$2:$A$29,0))),"not_applicable"),"")</f>
        <v/>
      </c>
      <c r="N67" s="17">
        <f>IFERROR(IF(AND(I67="retain",OR(J67="report_internal_inconsistency",J67="plan_material")),IF(INDEX('C_jama.2018.14282'!$K$2:$K$29,MATCH($C67,'C_jama.2018.14282'!$A$2:$A$29,0))="","",INDEX('C_jama.2018.14282'!$K$2:$K$29,MATCH($C67,'C_jama.2018.14282'!$A$2:$A$29,0))),"not_applicable"),"")</f>
        <v/>
      </c>
      <c r="O67" s="17">
        <f>IFERROR(IF(AND(I67="retain",J67="protocol_report"),IF(INDEX('C_jama.2018.14282'!$L$2:$L$29,MATCH($C67,'C_jama.2018.14282'!$A$2:$A$29,0))="","",INDEX('C_jama.2018.14282'!$L$2:$L$29,MATCH($C67,'C_jama.2018.14282'!$A$2:$A$29,0))),"not_applicable"),"")</f>
        <v/>
      </c>
      <c r="P67" s="17">
        <f>IFERROR(IF(INDEX('C_jama.2018.14282'!$R$2:$R$29,MATCH($C67,'C_jama.2018.14282'!$A$2:$A$29,0))="","",INDEX('C_jama.2018.14282'!$R$2:$R$29,MATCH($C67,'C_jama.2018.14282'!$A$2:$A$29,0))),"")</f>
        <v/>
      </c>
      <c r="Q67" s="17" t="inlineStr">
        <is>
          <t>retain</t>
        </is>
      </c>
      <c r="R67" s="17" t="inlineStr">
        <is>
          <t>statistical_results</t>
        </is>
      </c>
    </row>
    <row r="68" ht="70" customHeight="1" s="14">
      <c r="A68" s="16" t="n">
        <v>2018</v>
      </c>
      <c r="B68" s="16" t="inlineStr">
        <is>
          <t>jama.2018.14282</t>
        </is>
      </c>
      <c r="C68" s="16" t="inlineStr">
        <is>
          <t>2018::jama.2018.14282::C023</t>
        </is>
      </c>
      <c r="D68" s="16" t="inlineStr">
        <is>
          <t>S_W</t>
        </is>
      </c>
      <c r="E68" s="16">
        <f>Setup!$B$4</f>
        <v/>
      </c>
      <c r="F68" s="16">
        <f>IF(Setup!$B$2="","",Setup!$B$2)</f>
        <v/>
      </c>
      <c r="G68" s="16">
        <f>IFERROR(INDEX('C_jama.2018.14282'!$G$2:$G$29,MATCH($C68,'C_jama.2018.14282'!$A$2:$A$29,0)),"CHECK KEY")</f>
        <v/>
      </c>
      <c r="H68" s="16">
        <f>IF(OR(G68&lt;&gt;"PRIMARY READY",I68="discuss"),"",IF(I68&lt;&gt;"retain","not_eligible",IF(D68="P_R","protocol_descriptive",IF(D68="P_P","plan_descriptive",IF(AND(OR(D68="S_C",D68="S_W"),J68="statistical_results",OR(K68="confirmed_issue",K68="probable_issue"),L68="substantive"),"primary_temporal",IF(AND(OR(D68="S_C",D68="S_W"),J68="report_internal_inconsistency",N68="substantive_inconsistency"),"secondary_temporal","not_eligible"))))))</f>
        <v/>
      </c>
      <c r="I68" s="16">
        <f>IFERROR(IF(INDEX('C_jama.2018.14282'!$D$2:$D$29,MATCH($C68,'C_jama.2018.14282'!$A$2:$A$29,0))="","",INDEX('C_jama.2018.14282'!$D$2:$D$29,MATCH($C68,'C_jama.2018.14282'!$A$2:$A$29,0))),"")</f>
        <v/>
      </c>
      <c r="J68" s="16">
        <f>IFERROR(IF(INDEX('C_jama.2018.14282'!$E$2:$E$29,MATCH($C68,'C_jama.2018.14282'!$A$2:$A$29,0))="","",INDEX('C_jama.2018.14282'!$E$2:$E$29,MATCH($C68,'C_jama.2018.14282'!$A$2:$A$29,0))),"")</f>
        <v/>
      </c>
      <c r="K68" s="16">
        <f>IFERROR(IF(AND(I68="retain",J68="statistical_results"),IF(INDEX('C_jama.2018.14282'!$H$2:$H$29,MATCH($C68,'C_jama.2018.14282'!$A$2:$A$29,0))="","",INDEX('C_jama.2018.14282'!$H$2:$H$29,MATCH($C68,'C_jama.2018.14282'!$A$2:$A$29,0))),"not_applicable"),"")</f>
        <v/>
      </c>
      <c r="L68" s="16">
        <f>IFERROR(IF(AND(I68="retain",J68="statistical_results"),IF(INDEX('C_jama.2018.14282'!$I$2:$I$29,MATCH($C68,'C_jama.2018.14282'!$A$2:$A$29,0))="","",INDEX('C_jama.2018.14282'!$I$2:$I$29,MATCH($C68,'C_jama.2018.14282'!$A$2:$A$29,0))),"not_applicable"),"")</f>
        <v/>
      </c>
      <c r="M68" s="16">
        <f>IFERROR(IF(AND(I68="retain",J68="statistical_results"),IF(INDEX('C_jama.2018.14282'!$J$2:$J$29,MATCH($C68,'C_jama.2018.14282'!$A$2:$A$29,0))="","",INDEX('C_jama.2018.14282'!$J$2:$J$29,MATCH($C68,'C_jama.2018.14282'!$A$2:$A$29,0))),"not_applicable"),"")</f>
        <v/>
      </c>
      <c r="N68" s="16">
        <f>IFERROR(IF(AND(I68="retain",OR(J68="report_internal_inconsistency",J68="plan_material")),IF(INDEX('C_jama.2018.14282'!$K$2:$K$29,MATCH($C68,'C_jama.2018.14282'!$A$2:$A$29,0))="","",INDEX('C_jama.2018.14282'!$K$2:$K$29,MATCH($C68,'C_jama.2018.14282'!$A$2:$A$29,0))),"not_applicable"),"")</f>
        <v/>
      </c>
      <c r="O68" s="16">
        <f>IFERROR(IF(AND(I68="retain",J68="protocol_report"),IF(INDEX('C_jama.2018.14282'!$L$2:$L$29,MATCH($C68,'C_jama.2018.14282'!$A$2:$A$29,0))="","",INDEX('C_jama.2018.14282'!$L$2:$L$29,MATCH($C68,'C_jama.2018.14282'!$A$2:$A$29,0))),"not_applicable"),"")</f>
        <v/>
      </c>
      <c r="P68" s="16">
        <f>IFERROR(IF(INDEX('C_jama.2018.14282'!$R$2:$R$29,MATCH($C68,'C_jama.2018.14282'!$A$2:$A$29,0))="","",INDEX('C_jama.2018.14282'!$R$2:$R$29,MATCH($C68,'C_jama.2018.14282'!$A$2:$A$29,0))),"")</f>
        <v/>
      </c>
      <c r="Q68" s="16" t="inlineStr">
        <is>
          <t>retain</t>
        </is>
      </c>
      <c r="R68" s="16" t="inlineStr">
        <is>
          <t>report_internal_inconsistency</t>
        </is>
      </c>
    </row>
    <row r="69" ht="70" customHeight="1" s="14">
      <c r="A69" s="17" t="n">
        <v>2018</v>
      </c>
      <c r="B69" s="17" t="inlineStr">
        <is>
          <t>jama.2018.14282</t>
        </is>
      </c>
      <c r="C69" s="17" t="inlineStr">
        <is>
          <t>2018::jama.2018.14282::C024</t>
        </is>
      </c>
      <c r="D69" s="17" t="inlineStr">
        <is>
          <t>S_W</t>
        </is>
      </c>
      <c r="E69" s="17">
        <f>Setup!$B$4</f>
        <v/>
      </c>
      <c r="F69" s="17">
        <f>IF(Setup!$B$2="","",Setup!$B$2)</f>
        <v/>
      </c>
      <c r="G69" s="17">
        <f>IFERROR(INDEX('C_jama.2018.14282'!$G$2:$G$29,MATCH($C69,'C_jama.2018.14282'!$A$2:$A$29,0)),"CHECK KEY")</f>
        <v/>
      </c>
      <c r="H69" s="17">
        <f>IF(OR(G69&lt;&gt;"PRIMARY READY",I69="discuss"),"",IF(I69&lt;&gt;"retain","not_eligible",IF(D69="P_R","protocol_descriptive",IF(D69="P_P","plan_descriptive",IF(AND(OR(D69="S_C",D69="S_W"),J69="statistical_results",OR(K69="confirmed_issue",K69="probable_issue"),L69="substantive"),"primary_temporal",IF(AND(OR(D69="S_C",D69="S_W"),J69="report_internal_inconsistency",N69="substantive_inconsistency"),"secondary_temporal","not_eligible"))))))</f>
        <v/>
      </c>
      <c r="I69" s="17">
        <f>IFERROR(IF(INDEX('C_jama.2018.14282'!$D$2:$D$29,MATCH($C69,'C_jama.2018.14282'!$A$2:$A$29,0))="","",INDEX('C_jama.2018.14282'!$D$2:$D$29,MATCH($C69,'C_jama.2018.14282'!$A$2:$A$29,0))),"")</f>
        <v/>
      </c>
      <c r="J69" s="17">
        <f>IFERROR(IF(INDEX('C_jama.2018.14282'!$E$2:$E$29,MATCH($C69,'C_jama.2018.14282'!$A$2:$A$29,0))="","",INDEX('C_jama.2018.14282'!$E$2:$E$29,MATCH($C69,'C_jama.2018.14282'!$A$2:$A$29,0))),"")</f>
        <v/>
      </c>
      <c r="K69" s="17">
        <f>IFERROR(IF(AND(I69="retain",J69="statistical_results"),IF(INDEX('C_jama.2018.14282'!$H$2:$H$29,MATCH($C69,'C_jama.2018.14282'!$A$2:$A$29,0))="","",INDEX('C_jama.2018.14282'!$H$2:$H$29,MATCH($C69,'C_jama.2018.14282'!$A$2:$A$29,0))),"not_applicable"),"")</f>
        <v/>
      </c>
      <c r="L69" s="17">
        <f>IFERROR(IF(AND(I69="retain",J69="statistical_results"),IF(INDEX('C_jama.2018.14282'!$I$2:$I$29,MATCH($C69,'C_jama.2018.14282'!$A$2:$A$29,0))="","",INDEX('C_jama.2018.14282'!$I$2:$I$29,MATCH($C69,'C_jama.2018.14282'!$A$2:$A$29,0))),"not_applicable"),"")</f>
        <v/>
      </c>
      <c r="M69" s="17">
        <f>IFERROR(IF(AND(I69="retain",J69="statistical_results"),IF(INDEX('C_jama.2018.14282'!$J$2:$J$29,MATCH($C69,'C_jama.2018.14282'!$A$2:$A$29,0))="","",INDEX('C_jama.2018.14282'!$J$2:$J$29,MATCH($C69,'C_jama.2018.14282'!$A$2:$A$29,0))),"not_applicable"),"")</f>
        <v/>
      </c>
      <c r="N69" s="17">
        <f>IFERROR(IF(AND(I69="retain",OR(J69="report_internal_inconsistency",J69="plan_material")),IF(INDEX('C_jama.2018.14282'!$K$2:$K$29,MATCH($C69,'C_jama.2018.14282'!$A$2:$A$29,0))="","",INDEX('C_jama.2018.14282'!$K$2:$K$29,MATCH($C69,'C_jama.2018.14282'!$A$2:$A$29,0))),"not_applicable"),"")</f>
        <v/>
      </c>
      <c r="O69" s="17">
        <f>IFERROR(IF(AND(I69="retain",J69="protocol_report"),IF(INDEX('C_jama.2018.14282'!$L$2:$L$29,MATCH($C69,'C_jama.2018.14282'!$A$2:$A$29,0))="","",INDEX('C_jama.2018.14282'!$L$2:$L$29,MATCH($C69,'C_jama.2018.14282'!$A$2:$A$29,0))),"not_applicable"),"")</f>
        <v/>
      </c>
      <c r="P69" s="17">
        <f>IFERROR(IF(INDEX('C_jama.2018.14282'!$R$2:$R$29,MATCH($C69,'C_jama.2018.14282'!$A$2:$A$29,0))="","",INDEX('C_jama.2018.14282'!$R$2:$R$29,MATCH($C69,'C_jama.2018.14282'!$A$2:$A$29,0))),"")</f>
        <v/>
      </c>
      <c r="Q69" s="17" t="inlineStr">
        <is>
          <t>retain</t>
        </is>
      </c>
      <c r="R69" s="17" t="inlineStr">
        <is>
          <t>report_internal_inconsistency</t>
        </is>
      </c>
    </row>
    <row r="70" ht="70" customHeight="1" s="14">
      <c r="A70" s="16" t="n">
        <v>2018</v>
      </c>
      <c r="B70" s="16" t="inlineStr">
        <is>
          <t>jama.2018.14282</t>
        </is>
      </c>
      <c r="C70" s="16" t="inlineStr">
        <is>
          <t>2018::jama.2018.14282::C025</t>
        </is>
      </c>
      <c r="D70" s="16" t="inlineStr">
        <is>
          <t>S_W</t>
        </is>
      </c>
      <c r="E70" s="16">
        <f>Setup!$B$4</f>
        <v/>
      </c>
      <c r="F70" s="16">
        <f>IF(Setup!$B$2="","",Setup!$B$2)</f>
        <v/>
      </c>
      <c r="G70" s="16">
        <f>IFERROR(INDEX('C_jama.2018.14282'!$G$2:$G$29,MATCH($C70,'C_jama.2018.14282'!$A$2:$A$29,0)),"CHECK KEY")</f>
        <v/>
      </c>
      <c r="H70" s="16">
        <f>IF(OR(G70&lt;&gt;"PRIMARY READY",I70="discuss"),"",IF(I70&lt;&gt;"retain","not_eligible",IF(D70="P_R","protocol_descriptive",IF(D70="P_P","plan_descriptive",IF(AND(OR(D70="S_C",D70="S_W"),J70="statistical_results",OR(K70="confirmed_issue",K70="probable_issue"),L70="substantive"),"primary_temporal",IF(AND(OR(D70="S_C",D70="S_W"),J70="report_internal_inconsistency",N70="substantive_inconsistency"),"secondary_temporal","not_eligible"))))))</f>
        <v/>
      </c>
      <c r="I70" s="16">
        <f>IFERROR(IF(INDEX('C_jama.2018.14282'!$D$2:$D$29,MATCH($C70,'C_jama.2018.14282'!$A$2:$A$29,0))="","",INDEX('C_jama.2018.14282'!$D$2:$D$29,MATCH($C70,'C_jama.2018.14282'!$A$2:$A$29,0))),"")</f>
        <v/>
      </c>
      <c r="J70" s="16">
        <f>IFERROR(IF(INDEX('C_jama.2018.14282'!$E$2:$E$29,MATCH($C70,'C_jama.2018.14282'!$A$2:$A$29,0))="","",INDEX('C_jama.2018.14282'!$E$2:$E$29,MATCH($C70,'C_jama.2018.14282'!$A$2:$A$29,0))),"")</f>
        <v/>
      </c>
      <c r="K70" s="16">
        <f>IFERROR(IF(AND(I70="retain",J70="statistical_results"),IF(INDEX('C_jama.2018.14282'!$H$2:$H$29,MATCH($C70,'C_jama.2018.14282'!$A$2:$A$29,0))="","",INDEX('C_jama.2018.14282'!$H$2:$H$29,MATCH($C70,'C_jama.2018.14282'!$A$2:$A$29,0))),"not_applicable"),"")</f>
        <v/>
      </c>
      <c r="L70" s="16">
        <f>IFERROR(IF(AND(I70="retain",J70="statistical_results"),IF(INDEX('C_jama.2018.14282'!$I$2:$I$29,MATCH($C70,'C_jama.2018.14282'!$A$2:$A$29,0))="","",INDEX('C_jama.2018.14282'!$I$2:$I$29,MATCH($C70,'C_jama.2018.14282'!$A$2:$A$29,0))),"not_applicable"),"")</f>
        <v/>
      </c>
      <c r="M70" s="16">
        <f>IFERROR(IF(AND(I70="retain",J70="statistical_results"),IF(INDEX('C_jama.2018.14282'!$J$2:$J$29,MATCH($C70,'C_jama.2018.14282'!$A$2:$A$29,0))="","",INDEX('C_jama.2018.14282'!$J$2:$J$29,MATCH($C70,'C_jama.2018.14282'!$A$2:$A$29,0))),"not_applicable"),"")</f>
        <v/>
      </c>
      <c r="N70" s="16">
        <f>IFERROR(IF(AND(I70="retain",OR(J70="report_internal_inconsistency",J70="plan_material")),IF(INDEX('C_jama.2018.14282'!$K$2:$K$29,MATCH($C70,'C_jama.2018.14282'!$A$2:$A$29,0))="","",INDEX('C_jama.2018.14282'!$K$2:$K$29,MATCH($C70,'C_jama.2018.14282'!$A$2:$A$29,0))),"not_applicable"),"")</f>
        <v/>
      </c>
      <c r="O70" s="16">
        <f>IFERROR(IF(AND(I70="retain",J70="protocol_report"),IF(INDEX('C_jama.2018.14282'!$L$2:$L$29,MATCH($C70,'C_jama.2018.14282'!$A$2:$A$29,0))="","",INDEX('C_jama.2018.14282'!$L$2:$L$29,MATCH($C70,'C_jama.2018.14282'!$A$2:$A$29,0))),"not_applicable"),"")</f>
        <v/>
      </c>
      <c r="P70" s="16">
        <f>IFERROR(IF(INDEX('C_jama.2018.14282'!$R$2:$R$29,MATCH($C70,'C_jama.2018.14282'!$A$2:$A$29,0))="","",INDEX('C_jama.2018.14282'!$R$2:$R$29,MATCH($C70,'C_jama.2018.14282'!$A$2:$A$29,0))),"")</f>
        <v/>
      </c>
      <c r="Q70" s="16" t="inlineStr">
        <is>
          <t>retain</t>
        </is>
      </c>
      <c r="R70" s="16" t="inlineStr">
        <is>
          <t>statistical_results</t>
        </is>
      </c>
    </row>
    <row r="71" ht="70" customHeight="1" s="14">
      <c r="A71" s="17" t="n">
        <v>2018</v>
      </c>
      <c r="B71" s="17" t="inlineStr">
        <is>
          <t>jama.2018.14282</t>
        </is>
      </c>
      <c r="C71" s="17" t="inlineStr">
        <is>
          <t>2018::jama.2018.14282::C026</t>
        </is>
      </c>
      <c r="D71" s="17" t="inlineStr">
        <is>
          <t>P_P</t>
        </is>
      </c>
      <c r="E71" s="17">
        <f>Setup!$B$4</f>
        <v/>
      </c>
      <c r="F71" s="17">
        <f>IF(Setup!$B$2="","",Setup!$B$2)</f>
        <v/>
      </c>
      <c r="G71" s="17">
        <f>IFERROR(INDEX('C_jama.2018.14282'!$G$2:$G$29,MATCH($C71,'C_jama.2018.14282'!$A$2:$A$29,0)),"CHECK KEY")</f>
        <v/>
      </c>
      <c r="H71" s="17">
        <f>IF(OR(G71&lt;&gt;"PRIMARY READY",I71="discuss"),"",IF(I71&lt;&gt;"retain","not_eligible",IF(D71="P_R","protocol_descriptive",IF(D71="P_P","plan_descriptive",IF(AND(OR(D71="S_C",D71="S_W"),J71="statistical_results",OR(K71="confirmed_issue",K71="probable_issue"),L71="substantive"),"primary_temporal",IF(AND(OR(D71="S_C",D71="S_W"),J71="report_internal_inconsistency",N71="substantive_inconsistency"),"secondary_temporal","not_eligible"))))))</f>
        <v/>
      </c>
      <c r="I71" s="17">
        <f>IFERROR(IF(INDEX('C_jama.2018.14282'!$D$2:$D$29,MATCH($C71,'C_jama.2018.14282'!$A$2:$A$29,0))="","",INDEX('C_jama.2018.14282'!$D$2:$D$29,MATCH($C71,'C_jama.2018.14282'!$A$2:$A$29,0))),"")</f>
        <v/>
      </c>
      <c r="J71" s="17">
        <f>IFERROR(IF(INDEX('C_jama.2018.14282'!$E$2:$E$29,MATCH($C71,'C_jama.2018.14282'!$A$2:$A$29,0))="","",INDEX('C_jama.2018.14282'!$E$2:$E$29,MATCH($C71,'C_jama.2018.14282'!$A$2:$A$29,0))),"")</f>
        <v/>
      </c>
      <c r="K71" s="17">
        <f>IFERROR(IF(AND(I71="retain",J71="statistical_results"),IF(INDEX('C_jama.2018.14282'!$H$2:$H$29,MATCH($C71,'C_jama.2018.14282'!$A$2:$A$29,0))="","",INDEX('C_jama.2018.14282'!$H$2:$H$29,MATCH($C71,'C_jama.2018.14282'!$A$2:$A$29,0))),"not_applicable"),"")</f>
        <v/>
      </c>
      <c r="L71" s="17">
        <f>IFERROR(IF(AND(I71="retain",J71="statistical_results"),IF(INDEX('C_jama.2018.14282'!$I$2:$I$29,MATCH($C71,'C_jama.2018.14282'!$A$2:$A$29,0))="","",INDEX('C_jama.2018.14282'!$I$2:$I$29,MATCH($C71,'C_jama.2018.14282'!$A$2:$A$29,0))),"not_applicable"),"")</f>
        <v/>
      </c>
      <c r="M71" s="17">
        <f>IFERROR(IF(AND(I71="retain",J71="statistical_results"),IF(INDEX('C_jama.2018.14282'!$J$2:$J$29,MATCH($C71,'C_jama.2018.14282'!$A$2:$A$29,0))="","",INDEX('C_jama.2018.14282'!$J$2:$J$29,MATCH($C71,'C_jama.2018.14282'!$A$2:$A$29,0))),"not_applicable"),"")</f>
        <v/>
      </c>
      <c r="N71" s="17">
        <f>IFERROR(IF(AND(I71="retain",OR(J71="report_internal_inconsistency",J71="plan_material")),IF(INDEX('C_jama.2018.14282'!$K$2:$K$29,MATCH($C71,'C_jama.2018.14282'!$A$2:$A$29,0))="","",INDEX('C_jama.2018.14282'!$K$2:$K$29,MATCH($C71,'C_jama.2018.14282'!$A$2:$A$29,0))),"not_applicable"),"")</f>
        <v/>
      </c>
      <c r="O71" s="17">
        <f>IFERROR(IF(AND(I71="retain",J71="protocol_report"),IF(INDEX('C_jama.2018.14282'!$L$2:$L$29,MATCH($C71,'C_jama.2018.14282'!$A$2:$A$29,0))="","",INDEX('C_jama.2018.14282'!$L$2:$L$29,MATCH($C71,'C_jama.2018.14282'!$A$2:$A$29,0))),"not_applicable"),"")</f>
        <v/>
      </c>
      <c r="P71" s="17">
        <f>IFERROR(IF(INDEX('C_jama.2018.14282'!$R$2:$R$29,MATCH($C71,'C_jama.2018.14282'!$A$2:$A$29,0))="","",INDEX('C_jama.2018.14282'!$R$2:$R$29,MATCH($C71,'C_jama.2018.14282'!$A$2:$A$29,0))),"")</f>
        <v/>
      </c>
      <c r="Q71" s="17" t="inlineStr">
        <is>
          <t>retain</t>
        </is>
      </c>
      <c r="R71" s="17" t="inlineStr">
        <is>
          <t>plan_material</t>
        </is>
      </c>
    </row>
    <row r="72" ht="70" customHeight="1" s="14">
      <c r="A72" s="16" t="n">
        <v>2018</v>
      </c>
      <c r="B72" s="16" t="inlineStr">
        <is>
          <t>jama.2018.14282</t>
        </is>
      </c>
      <c r="C72" s="16" t="inlineStr">
        <is>
          <t>2018::jama.2018.14282::C027</t>
        </is>
      </c>
      <c r="D72" s="16" t="inlineStr">
        <is>
          <t>P_P</t>
        </is>
      </c>
      <c r="E72" s="16">
        <f>Setup!$B$4</f>
        <v/>
      </c>
      <c r="F72" s="16">
        <f>IF(Setup!$B$2="","",Setup!$B$2)</f>
        <v/>
      </c>
      <c r="G72" s="16">
        <f>IFERROR(INDEX('C_jama.2018.14282'!$G$2:$G$29,MATCH($C72,'C_jama.2018.14282'!$A$2:$A$29,0)),"CHECK KEY")</f>
        <v/>
      </c>
      <c r="H72" s="16">
        <f>IF(OR(G72&lt;&gt;"PRIMARY READY",I72="discuss"),"",IF(I72&lt;&gt;"retain","not_eligible",IF(D72="P_R","protocol_descriptive",IF(D72="P_P","plan_descriptive",IF(AND(OR(D72="S_C",D72="S_W"),J72="statistical_results",OR(K72="confirmed_issue",K72="probable_issue"),L72="substantive"),"primary_temporal",IF(AND(OR(D72="S_C",D72="S_W"),J72="report_internal_inconsistency",N72="substantive_inconsistency"),"secondary_temporal","not_eligible"))))))</f>
        <v/>
      </c>
      <c r="I72" s="16">
        <f>IFERROR(IF(INDEX('C_jama.2018.14282'!$D$2:$D$29,MATCH($C72,'C_jama.2018.14282'!$A$2:$A$29,0))="","",INDEX('C_jama.2018.14282'!$D$2:$D$29,MATCH($C72,'C_jama.2018.14282'!$A$2:$A$29,0))),"")</f>
        <v/>
      </c>
      <c r="J72" s="16">
        <f>IFERROR(IF(INDEX('C_jama.2018.14282'!$E$2:$E$29,MATCH($C72,'C_jama.2018.14282'!$A$2:$A$29,0))="","",INDEX('C_jama.2018.14282'!$E$2:$E$29,MATCH($C72,'C_jama.2018.14282'!$A$2:$A$29,0))),"")</f>
        <v/>
      </c>
      <c r="K72" s="16">
        <f>IFERROR(IF(AND(I72="retain",J72="statistical_results"),IF(INDEX('C_jama.2018.14282'!$H$2:$H$29,MATCH($C72,'C_jama.2018.14282'!$A$2:$A$29,0))="","",INDEX('C_jama.2018.14282'!$H$2:$H$29,MATCH($C72,'C_jama.2018.14282'!$A$2:$A$29,0))),"not_applicable"),"")</f>
        <v/>
      </c>
      <c r="L72" s="16">
        <f>IFERROR(IF(AND(I72="retain",J72="statistical_results"),IF(INDEX('C_jama.2018.14282'!$I$2:$I$29,MATCH($C72,'C_jama.2018.14282'!$A$2:$A$29,0))="","",INDEX('C_jama.2018.14282'!$I$2:$I$29,MATCH($C72,'C_jama.2018.14282'!$A$2:$A$29,0))),"not_applicable"),"")</f>
        <v/>
      </c>
      <c r="M72" s="16">
        <f>IFERROR(IF(AND(I72="retain",J72="statistical_results"),IF(INDEX('C_jama.2018.14282'!$J$2:$J$29,MATCH($C72,'C_jama.2018.14282'!$A$2:$A$29,0))="","",INDEX('C_jama.2018.14282'!$J$2:$J$29,MATCH($C72,'C_jama.2018.14282'!$A$2:$A$29,0))),"not_applicable"),"")</f>
        <v/>
      </c>
      <c r="N72" s="16">
        <f>IFERROR(IF(AND(I72="retain",OR(J72="report_internal_inconsistency",J72="plan_material")),IF(INDEX('C_jama.2018.14282'!$K$2:$K$29,MATCH($C72,'C_jama.2018.14282'!$A$2:$A$29,0))="","",INDEX('C_jama.2018.14282'!$K$2:$K$29,MATCH($C72,'C_jama.2018.14282'!$A$2:$A$29,0))),"not_applicable"),"")</f>
        <v/>
      </c>
      <c r="O72" s="16">
        <f>IFERROR(IF(AND(I72="retain",J72="protocol_report"),IF(INDEX('C_jama.2018.14282'!$L$2:$L$29,MATCH($C72,'C_jama.2018.14282'!$A$2:$A$29,0))="","",INDEX('C_jama.2018.14282'!$L$2:$L$29,MATCH($C72,'C_jama.2018.14282'!$A$2:$A$29,0))),"not_applicable"),"")</f>
        <v/>
      </c>
      <c r="P72" s="16">
        <f>IFERROR(IF(INDEX('C_jama.2018.14282'!$R$2:$R$29,MATCH($C72,'C_jama.2018.14282'!$A$2:$A$29,0))="","",INDEX('C_jama.2018.14282'!$R$2:$R$29,MATCH($C72,'C_jama.2018.14282'!$A$2:$A$29,0))),"")</f>
        <v/>
      </c>
      <c r="Q72" s="16" t="inlineStr">
        <is>
          <t>retain</t>
        </is>
      </c>
      <c r="R72" s="16" t="inlineStr">
        <is>
          <t>plan_material</t>
        </is>
      </c>
    </row>
    <row r="73" ht="70" customHeight="1" s="14">
      <c r="A73" s="17" t="n">
        <v>2018</v>
      </c>
      <c r="B73" s="17" t="inlineStr">
        <is>
          <t>jama.2018.14282</t>
        </is>
      </c>
      <c r="C73" s="17" t="inlineStr">
        <is>
          <t>2018::jama.2018.14282::C028</t>
        </is>
      </c>
      <c r="D73" s="17" t="inlineStr">
        <is>
          <t>P_P</t>
        </is>
      </c>
      <c r="E73" s="17">
        <f>Setup!$B$4</f>
        <v/>
      </c>
      <c r="F73" s="17">
        <f>IF(Setup!$B$2="","",Setup!$B$2)</f>
        <v/>
      </c>
      <c r="G73" s="17">
        <f>IFERROR(INDEX('C_jama.2018.14282'!$G$2:$G$29,MATCH($C73,'C_jama.2018.14282'!$A$2:$A$29,0)),"CHECK KEY")</f>
        <v/>
      </c>
      <c r="H73" s="17">
        <f>IF(OR(G73&lt;&gt;"PRIMARY READY",I73="discuss"),"",IF(I73&lt;&gt;"retain","not_eligible",IF(D73="P_R","protocol_descriptive",IF(D73="P_P","plan_descriptive",IF(AND(OR(D73="S_C",D73="S_W"),J73="statistical_results",OR(K73="confirmed_issue",K73="probable_issue"),L73="substantive"),"primary_temporal",IF(AND(OR(D73="S_C",D73="S_W"),J73="report_internal_inconsistency",N73="substantive_inconsistency"),"secondary_temporal","not_eligible"))))))</f>
        <v/>
      </c>
      <c r="I73" s="17">
        <f>IFERROR(IF(INDEX('C_jama.2018.14282'!$D$2:$D$29,MATCH($C73,'C_jama.2018.14282'!$A$2:$A$29,0))="","",INDEX('C_jama.2018.14282'!$D$2:$D$29,MATCH($C73,'C_jama.2018.14282'!$A$2:$A$29,0))),"")</f>
        <v/>
      </c>
      <c r="J73" s="17">
        <f>IFERROR(IF(INDEX('C_jama.2018.14282'!$E$2:$E$29,MATCH($C73,'C_jama.2018.14282'!$A$2:$A$29,0))="","",INDEX('C_jama.2018.14282'!$E$2:$E$29,MATCH($C73,'C_jama.2018.14282'!$A$2:$A$29,0))),"")</f>
        <v/>
      </c>
      <c r="K73" s="17">
        <f>IFERROR(IF(AND(I73="retain",J73="statistical_results"),IF(INDEX('C_jama.2018.14282'!$H$2:$H$29,MATCH($C73,'C_jama.2018.14282'!$A$2:$A$29,0))="","",INDEX('C_jama.2018.14282'!$H$2:$H$29,MATCH($C73,'C_jama.2018.14282'!$A$2:$A$29,0))),"not_applicable"),"")</f>
        <v/>
      </c>
      <c r="L73" s="17">
        <f>IFERROR(IF(AND(I73="retain",J73="statistical_results"),IF(INDEX('C_jama.2018.14282'!$I$2:$I$29,MATCH($C73,'C_jama.2018.14282'!$A$2:$A$29,0))="","",INDEX('C_jama.2018.14282'!$I$2:$I$29,MATCH($C73,'C_jama.2018.14282'!$A$2:$A$29,0))),"not_applicable"),"")</f>
        <v/>
      </c>
      <c r="M73" s="17">
        <f>IFERROR(IF(AND(I73="retain",J73="statistical_results"),IF(INDEX('C_jama.2018.14282'!$J$2:$J$29,MATCH($C73,'C_jama.2018.14282'!$A$2:$A$29,0))="","",INDEX('C_jama.2018.14282'!$J$2:$J$29,MATCH($C73,'C_jama.2018.14282'!$A$2:$A$29,0))),"not_applicable"),"")</f>
        <v/>
      </c>
      <c r="N73" s="17">
        <f>IFERROR(IF(AND(I73="retain",OR(J73="report_internal_inconsistency",J73="plan_material")),IF(INDEX('C_jama.2018.14282'!$K$2:$K$29,MATCH($C73,'C_jama.2018.14282'!$A$2:$A$29,0))="","",INDEX('C_jama.2018.14282'!$K$2:$K$29,MATCH($C73,'C_jama.2018.14282'!$A$2:$A$29,0))),"not_applicable"),"")</f>
        <v/>
      </c>
      <c r="O73" s="17">
        <f>IFERROR(IF(AND(I73="retain",J73="protocol_report"),IF(INDEX('C_jama.2018.14282'!$L$2:$L$29,MATCH($C73,'C_jama.2018.14282'!$A$2:$A$29,0))="","",INDEX('C_jama.2018.14282'!$L$2:$L$29,MATCH($C73,'C_jama.2018.14282'!$A$2:$A$29,0))),"not_applicable"),"")</f>
        <v/>
      </c>
      <c r="P73" s="17">
        <f>IFERROR(IF(INDEX('C_jama.2018.14282'!$R$2:$R$29,MATCH($C73,'C_jama.2018.14282'!$A$2:$A$29,0))="","",INDEX('C_jama.2018.14282'!$R$2:$R$29,MATCH($C73,'C_jama.2018.14282'!$A$2:$A$29,0))),"")</f>
        <v/>
      </c>
      <c r="Q73" s="17" t="inlineStr">
        <is>
          <t>retain</t>
        </is>
      </c>
      <c r="R73" s="17" t="inlineStr">
        <is>
          <t>plan_material</t>
        </is>
      </c>
    </row>
    <row r="74" ht="70" customHeight="1" s="14">
      <c r="A74" s="16" t="n">
        <v>2018</v>
      </c>
      <c r="B74" s="16" t="inlineStr">
        <is>
          <t>jama.2018.17075</t>
        </is>
      </c>
      <c r="C74" s="16" t="inlineStr">
        <is>
          <t>2018::jama.2018.17075::C001</t>
        </is>
      </c>
      <c r="D74" s="16" t="inlineStr">
        <is>
          <t>S_W</t>
        </is>
      </c>
      <c r="E74" s="16">
        <f>Setup!$B$4</f>
        <v/>
      </c>
      <c r="F74" s="16">
        <f>IF(Setup!$B$2="","",Setup!$B$2)</f>
        <v/>
      </c>
      <c r="G74" s="16">
        <f>IFERROR(INDEX('C_jama.2018.17075'!$G$2:$G$9,MATCH($C74,'C_jama.2018.17075'!$A$2:$A$9,0)),"CHECK KEY")</f>
        <v/>
      </c>
      <c r="H74" s="16">
        <f>IF(OR(G74&lt;&gt;"PRIMARY READY",I74="discuss"),"",IF(I74&lt;&gt;"retain","not_eligible",IF(D74="P_R","protocol_descriptive",IF(D74="P_P","plan_descriptive",IF(AND(OR(D74="S_C",D74="S_W"),J74="statistical_results",OR(K74="confirmed_issue",K74="probable_issue"),L74="substantive"),"primary_temporal",IF(AND(OR(D74="S_C",D74="S_W"),J74="report_internal_inconsistency",N74="substantive_inconsistency"),"secondary_temporal","not_eligible"))))))</f>
        <v/>
      </c>
      <c r="I74" s="16">
        <f>IFERROR(IF(INDEX('C_jama.2018.17075'!$D$2:$D$9,MATCH($C74,'C_jama.2018.17075'!$A$2:$A$9,0))="","",INDEX('C_jama.2018.17075'!$D$2:$D$9,MATCH($C74,'C_jama.2018.17075'!$A$2:$A$9,0))),"")</f>
        <v/>
      </c>
      <c r="J74" s="16">
        <f>IFERROR(IF(INDEX('C_jama.2018.17075'!$E$2:$E$9,MATCH($C74,'C_jama.2018.17075'!$A$2:$A$9,0))="","",INDEX('C_jama.2018.17075'!$E$2:$E$9,MATCH($C74,'C_jama.2018.17075'!$A$2:$A$9,0))),"")</f>
        <v/>
      </c>
      <c r="K74" s="16">
        <f>IFERROR(IF(AND(I74="retain",J74="statistical_results"),IF(INDEX('C_jama.2018.17075'!$H$2:$H$9,MATCH($C74,'C_jama.2018.17075'!$A$2:$A$9,0))="","",INDEX('C_jama.2018.17075'!$H$2:$H$9,MATCH($C74,'C_jama.2018.17075'!$A$2:$A$9,0))),"not_applicable"),"")</f>
        <v/>
      </c>
      <c r="L74" s="16">
        <f>IFERROR(IF(AND(I74="retain",J74="statistical_results"),IF(INDEX('C_jama.2018.17075'!$I$2:$I$9,MATCH($C74,'C_jama.2018.17075'!$A$2:$A$9,0))="","",INDEX('C_jama.2018.17075'!$I$2:$I$9,MATCH($C74,'C_jama.2018.17075'!$A$2:$A$9,0))),"not_applicable"),"")</f>
        <v/>
      </c>
      <c r="M74" s="16">
        <f>IFERROR(IF(AND(I74="retain",J74="statistical_results"),IF(INDEX('C_jama.2018.17075'!$J$2:$J$9,MATCH($C74,'C_jama.2018.17075'!$A$2:$A$9,0))="","",INDEX('C_jama.2018.17075'!$J$2:$J$9,MATCH($C74,'C_jama.2018.17075'!$A$2:$A$9,0))),"not_applicable"),"")</f>
        <v/>
      </c>
      <c r="N74" s="16">
        <f>IFERROR(IF(AND(I74="retain",OR(J74="report_internal_inconsistency",J74="plan_material")),IF(INDEX('C_jama.2018.17075'!$K$2:$K$9,MATCH($C74,'C_jama.2018.17075'!$A$2:$A$9,0))="","",INDEX('C_jama.2018.17075'!$K$2:$K$9,MATCH($C74,'C_jama.2018.17075'!$A$2:$A$9,0))),"not_applicable"),"")</f>
        <v/>
      </c>
      <c r="O74" s="16">
        <f>IFERROR(IF(AND(I74="retain",J74="protocol_report"),IF(INDEX('C_jama.2018.17075'!$L$2:$L$9,MATCH($C74,'C_jama.2018.17075'!$A$2:$A$9,0))="","",INDEX('C_jama.2018.17075'!$L$2:$L$9,MATCH($C74,'C_jama.2018.17075'!$A$2:$A$9,0))),"not_applicable"),"")</f>
        <v/>
      </c>
      <c r="P74" s="16">
        <f>IFERROR(IF(INDEX('C_jama.2018.17075'!$R$2:$R$9,MATCH($C74,'C_jama.2018.17075'!$A$2:$A$9,0))="","",INDEX('C_jama.2018.17075'!$R$2:$R$9,MATCH($C74,'C_jama.2018.17075'!$A$2:$A$9,0))),"")</f>
        <v/>
      </c>
      <c r="Q74" s="16" t="inlineStr">
        <is>
          <t>retain</t>
        </is>
      </c>
      <c r="R74" s="16" t="inlineStr">
        <is>
          <t>statistical_results</t>
        </is>
      </c>
    </row>
    <row r="75" ht="70" customHeight="1" s="14">
      <c r="A75" s="17" t="n">
        <v>2018</v>
      </c>
      <c r="B75" s="17" t="inlineStr">
        <is>
          <t>jama.2018.17075</t>
        </is>
      </c>
      <c r="C75" s="17" t="inlineStr">
        <is>
          <t>2018::jama.2018.17075::C002</t>
        </is>
      </c>
      <c r="D75" s="17" t="inlineStr">
        <is>
          <t>S_W</t>
        </is>
      </c>
      <c r="E75" s="17">
        <f>Setup!$B$4</f>
        <v/>
      </c>
      <c r="F75" s="17">
        <f>IF(Setup!$B$2="","",Setup!$B$2)</f>
        <v/>
      </c>
      <c r="G75" s="17">
        <f>IFERROR(INDEX('C_jama.2018.17075'!$G$2:$G$9,MATCH($C75,'C_jama.2018.17075'!$A$2:$A$9,0)),"CHECK KEY")</f>
        <v/>
      </c>
      <c r="H75" s="17">
        <f>IF(OR(G75&lt;&gt;"PRIMARY READY",I75="discuss"),"",IF(I75&lt;&gt;"retain","not_eligible",IF(D75="P_R","protocol_descriptive",IF(D75="P_P","plan_descriptive",IF(AND(OR(D75="S_C",D75="S_W"),J75="statistical_results",OR(K75="confirmed_issue",K75="probable_issue"),L75="substantive"),"primary_temporal",IF(AND(OR(D75="S_C",D75="S_W"),J75="report_internal_inconsistency",N75="substantive_inconsistency"),"secondary_temporal","not_eligible"))))))</f>
        <v/>
      </c>
      <c r="I75" s="17">
        <f>IFERROR(IF(INDEX('C_jama.2018.17075'!$D$2:$D$9,MATCH($C75,'C_jama.2018.17075'!$A$2:$A$9,0))="","",INDEX('C_jama.2018.17075'!$D$2:$D$9,MATCH($C75,'C_jama.2018.17075'!$A$2:$A$9,0))),"")</f>
        <v/>
      </c>
      <c r="J75" s="17">
        <f>IFERROR(IF(INDEX('C_jama.2018.17075'!$E$2:$E$9,MATCH($C75,'C_jama.2018.17075'!$A$2:$A$9,0))="","",INDEX('C_jama.2018.17075'!$E$2:$E$9,MATCH($C75,'C_jama.2018.17075'!$A$2:$A$9,0))),"")</f>
        <v/>
      </c>
      <c r="K75" s="17">
        <f>IFERROR(IF(AND(I75="retain",J75="statistical_results"),IF(INDEX('C_jama.2018.17075'!$H$2:$H$9,MATCH($C75,'C_jama.2018.17075'!$A$2:$A$9,0))="","",INDEX('C_jama.2018.17075'!$H$2:$H$9,MATCH($C75,'C_jama.2018.17075'!$A$2:$A$9,0))),"not_applicable"),"")</f>
        <v/>
      </c>
      <c r="L75" s="17">
        <f>IFERROR(IF(AND(I75="retain",J75="statistical_results"),IF(INDEX('C_jama.2018.17075'!$I$2:$I$9,MATCH($C75,'C_jama.2018.17075'!$A$2:$A$9,0))="","",INDEX('C_jama.2018.17075'!$I$2:$I$9,MATCH($C75,'C_jama.2018.17075'!$A$2:$A$9,0))),"not_applicable"),"")</f>
        <v/>
      </c>
      <c r="M75" s="17">
        <f>IFERROR(IF(AND(I75="retain",J75="statistical_results"),IF(INDEX('C_jama.2018.17075'!$J$2:$J$9,MATCH($C75,'C_jama.2018.17075'!$A$2:$A$9,0))="","",INDEX('C_jama.2018.17075'!$J$2:$J$9,MATCH($C75,'C_jama.2018.17075'!$A$2:$A$9,0))),"not_applicable"),"")</f>
        <v/>
      </c>
      <c r="N75" s="17">
        <f>IFERROR(IF(AND(I75="retain",OR(J75="report_internal_inconsistency",J75="plan_material")),IF(INDEX('C_jama.2018.17075'!$K$2:$K$9,MATCH($C75,'C_jama.2018.17075'!$A$2:$A$9,0))="","",INDEX('C_jama.2018.17075'!$K$2:$K$9,MATCH($C75,'C_jama.2018.17075'!$A$2:$A$9,0))),"not_applicable"),"")</f>
        <v/>
      </c>
      <c r="O75" s="17">
        <f>IFERROR(IF(AND(I75="retain",J75="protocol_report"),IF(INDEX('C_jama.2018.17075'!$L$2:$L$9,MATCH($C75,'C_jama.2018.17075'!$A$2:$A$9,0))="","",INDEX('C_jama.2018.17075'!$L$2:$L$9,MATCH($C75,'C_jama.2018.17075'!$A$2:$A$9,0))),"not_applicable"),"")</f>
        <v/>
      </c>
      <c r="P75" s="17">
        <f>IFERROR(IF(INDEX('C_jama.2018.17075'!$R$2:$R$9,MATCH($C75,'C_jama.2018.17075'!$A$2:$A$9,0))="","",INDEX('C_jama.2018.17075'!$R$2:$R$9,MATCH($C75,'C_jama.2018.17075'!$A$2:$A$9,0))),"")</f>
        <v/>
      </c>
      <c r="Q75" s="17" t="inlineStr">
        <is>
          <t>retain</t>
        </is>
      </c>
      <c r="R75" s="17" t="inlineStr">
        <is>
          <t>report_internal_inconsistency</t>
        </is>
      </c>
    </row>
    <row r="76" ht="70" customHeight="1" s="14">
      <c r="A76" s="16" t="n">
        <v>2018</v>
      </c>
      <c r="B76" s="16" t="inlineStr">
        <is>
          <t>jama.2018.17075</t>
        </is>
      </c>
      <c r="C76" s="16" t="inlineStr">
        <is>
          <t>2018::jama.2018.17075::C003</t>
        </is>
      </c>
      <c r="D76" s="16" t="inlineStr">
        <is>
          <t>S_C</t>
        </is>
      </c>
      <c r="E76" s="16">
        <f>Setup!$B$4</f>
        <v/>
      </c>
      <c r="F76" s="16">
        <f>IF(Setup!$B$2="","",Setup!$B$2)</f>
        <v/>
      </c>
      <c r="G76" s="16">
        <f>IFERROR(INDEX('C_jama.2018.17075'!$G$2:$G$9,MATCH($C76,'C_jama.2018.17075'!$A$2:$A$9,0)),"CHECK KEY")</f>
        <v/>
      </c>
      <c r="H76" s="16">
        <f>IF(OR(G76&lt;&gt;"PRIMARY READY",I76="discuss"),"",IF(I76&lt;&gt;"retain","not_eligible",IF(D76="P_R","protocol_descriptive",IF(D76="P_P","plan_descriptive",IF(AND(OR(D76="S_C",D76="S_W"),J76="statistical_results",OR(K76="confirmed_issue",K76="probable_issue"),L76="substantive"),"primary_temporal",IF(AND(OR(D76="S_C",D76="S_W"),J76="report_internal_inconsistency",N76="substantive_inconsistency"),"secondary_temporal","not_eligible"))))))</f>
        <v/>
      </c>
      <c r="I76" s="16">
        <f>IFERROR(IF(INDEX('C_jama.2018.17075'!$D$2:$D$9,MATCH($C76,'C_jama.2018.17075'!$A$2:$A$9,0))="","",INDEX('C_jama.2018.17075'!$D$2:$D$9,MATCH($C76,'C_jama.2018.17075'!$A$2:$A$9,0))),"")</f>
        <v/>
      </c>
      <c r="J76" s="16">
        <f>IFERROR(IF(INDEX('C_jama.2018.17075'!$E$2:$E$9,MATCH($C76,'C_jama.2018.17075'!$A$2:$A$9,0))="","",INDEX('C_jama.2018.17075'!$E$2:$E$9,MATCH($C76,'C_jama.2018.17075'!$A$2:$A$9,0))),"")</f>
        <v/>
      </c>
      <c r="K76" s="16">
        <f>IFERROR(IF(AND(I76="retain",J76="statistical_results"),IF(INDEX('C_jama.2018.17075'!$H$2:$H$9,MATCH($C76,'C_jama.2018.17075'!$A$2:$A$9,0))="","",INDEX('C_jama.2018.17075'!$H$2:$H$9,MATCH($C76,'C_jama.2018.17075'!$A$2:$A$9,0))),"not_applicable"),"")</f>
        <v/>
      </c>
      <c r="L76" s="16">
        <f>IFERROR(IF(AND(I76="retain",J76="statistical_results"),IF(INDEX('C_jama.2018.17075'!$I$2:$I$9,MATCH($C76,'C_jama.2018.17075'!$A$2:$A$9,0))="","",INDEX('C_jama.2018.17075'!$I$2:$I$9,MATCH($C76,'C_jama.2018.17075'!$A$2:$A$9,0))),"not_applicable"),"")</f>
        <v/>
      </c>
      <c r="M76" s="16">
        <f>IFERROR(IF(AND(I76="retain",J76="statistical_results"),IF(INDEX('C_jama.2018.17075'!$J$2:$J$9,MATCH($C76,'C_jama.2018.17075'!$A$2:$A$9,0))="","",INDEX('C_jama.2018.17075'!$J$2:$J$9,MATCH($C76,'C_jama.2018.17075'!$A$2:$A$9,0))),"not_applicable"),"")</f>
        <v/>
      </c>
      <c r="N76" s="16">
        <f>IFERROR(IF(AND(I76="retain",OR(J76="report_internal_inconsistency",J76="plan_material")),IF(INDEX('C_jama.2018.17075'!$K$2:$K$9,MATCH($C76,'C_jama.2018.17075'!$A$2:$A$9,0))="","",INDEX('C_jama.2018.17075'!$K$2:$K$9,MATCH($C76,'C_jama.2018.17075'!$A$2:$A$9,0))),"not_applicable"),"")</f>
        <v/>
      </c>
      <c r="O76" s="16">
        <f>IFERROR(IF(AND(I76="retain",J76="protocol_report"),IF(INDEX('C_jama.2018.17075'!$L$2:$L$9,MATCH($C76,'C_jama.2018.17075'!$A$2:$A$9,0))="","",INDEX('C_jama.2018.17075'!$L$2:$L$9,MATCH($C76,'C_jama.2018.17075'!$A$2:$A$9,0))),"not_applicable"),"")</f>
        <v/>
      </c>
      <c r="P76" s="16">
        <f>IFERROR(IF(INDEX('C_jama.2018.17075'!$R$2:$R$9,MATCH($C76,'C_jama.2018.17075'!$A$2:$A$9,0))="","",INDEX('C_jama.2018.17075'!$R$2:$R$9,MATCH($C76,'C_jama.2018.17075'!$A$2:$A$9,0))),"")</f>
        <v/>
      </c>
      <c r="Q76" s="16" t="inlineStr">
        <is>
          <t>retain</t>
        </is>
      </c>
      <c r="R76" s="16" t="inlineStr">
        <is>
          <t>statistical_results</t>
        </is>
      </c>
    </row>
    <row r="77" ht="70" customHeight="1" s="14">
      <c r="A77" s="17" t="n">
        <v>2018</v>
      </c>
      <c r="B77" s="17" t="inlineStr">
        <is>
          <t>jama.2018.17075</t>
        </is>
      </c>
      <c r="C77" s="17" t="inlineStr">
        <is>
          <t>2018::jama.2018.17075::C004</t>
        </is>
      </c>
      <c r="D77" s="17" t="inlineStr">
        <is>
          <t>S_C</t>
        </is>
      </c>
      <c r="E77" s="17">
        <f>Setup!$B$4</f>
        <v/>
      </c>
      <c r="F77" s="17">
        <f>IF(Setup!$B$2="","",Setup!$B$2)</f>
        <v/>
      </c>
      <c r="G77" s="17">
        <f>IFERROR(INDEX('C_jama.2018.17075'!$G$2:$G$9,MATCH($C77,'C_jama.2018.17075'!$A$2:$A$9,0)),"CHECK KEY")</f>
        <v/>
      </c>
      <c r="H77" s="17">
        <f>IF(OR(G77&lt;&gt;"PRIMARY READY",I77="discuss"),"",IF(I77&lt;&gt;"retain","not_eligible",IF(D77="P_R","protocol_descriptive",IF(D77="P_P","plan_descriptive",IF(AND(OR(D77="S_C",D77="S_W"),J77="statistical_results",OR(K77="confirmed_issue",K77="probable_issue"),L77="substantive"),"primary_temporal",IF(AND(OR(D77="S_C",D77="S_W"),J77="report_internal_inconsistency",N77="substantive_inconsistency"),"secondary_temporal","not_eligible"))))))</f>
        <v/>
      </c>
      <c r="I77" s="17">
        <f>IFERROR(IF(INDEX('C_jama.2018.17075'!$D$2:$D$9,MATCH($C77,'C_jama.2018.17075'!$A$2:$A$9,0))="","",INDEX('C_jama.2018.17075'!$D$2:$D$9,MATCH($C77,'C_jama.2018.17075'!$A$2:$A$9,0))),"")</f>
        <v/>
      </c>
      <c r="J77" s="17">
        <f>IFERROR(IF(INDEX('C_jama.2018.17075'!$E$2:$E$9,MATCH($C77,'C_jama.2018.17075'!$A$2:$A$9,0))="","",INDEX('C_jama.2018.17075'!$E$2:$E$9,MATCH($C77,'C_jama.2018.17075'!$A$2:$A$9,0))),"")</f>
        <v/>
      </c>
      <c r="K77" s="17">
        <f>IFERROR(IF(AND(I77="retain",J77="statistical_results"),IF(INDEX('C_jama.2018.17075'!$H$2:$H$9,MATCH($C77,'C_jama.2018.17075'!$A$2:$A$9,0))="","",INDEX('C_jama.2018.17075'!$H$2:$H$9,MATCH($C77,'C_jama.2018.17075'!$A$2:$A$9,0))),"not_applicable"),"")</f>
        <v/>
      </c>
      <c r="L77" s="17">
        <f>IFERROR(IF(AND(I77="retain",J77="statistical_results"),IF(INDEX('C_jama.2018.17075'!$I$2:$I$9,MATCH($C77,'C_jama.2018.17075'!$A$2:$A$9,0))="","",INDEX('C_jama.2018.17075'!$I$2:$I$9,MATCH($C77,'C_jama.2018.17075'!$A$2:$A$9,0))),"not_applicable"),"")</f>
        <v/>
      </c>
      <c r="M77" s="17">
        <f>IFERROR(IF(AND(I77="retain",J77="statistical_results"),IF(INDEX('C_jama.2018.17075'!$J$2:$J$9,MATCH($C77,'C_jama.2018.17075'!$A$2:$A$9,0))="","",INDEX('C_jama.2018.17075'!$J$2:$J$9,MATCH($C77,'C_jama.2018.17075'!$A$2:$A$9,0))),"not_applicable"),"")</f>
        <v/>
      </c>
      <c r="N77" s="17">
        <f>IFERROR(IF(AND(I77="retain",OR(J77="report_internal_inconsistency",J77="plan_material")),IF(INDEX('C_jama.2018.17075'!$K$2:$K$9,MATCH($C77,'C_jama.2018.17075'!$A$2:$A$9,0))="","",INDEX('C_jama.2018.17075'!$K$2:$K$9,MATCH($C77,'C_jama.2018.17075'!$A$2:$A$9,0))),"not_applicable"),"")</f>
        <v/>
      </c>
      <c r="O77" s="17">
        <f>IFERROR(IF(AND(I77="retain",J77="protocol_report"),IF(INDEX('C_jama.2018.17075'!$L$2:$L$9,MATCH($C77,'C_jama.2018.17075'!$A$2:$A$9,0))="","",INDEX('C_jama.2018.17075'!$L$2:$L$9,MATCH($C77,'C_jama.2018.17075'!$A$2:$A$9,0))),"not_applicable"),"")</f>
        <v/>
      </c>
      <c r="P77" s="17">
        <f>IFERROR(IF(INDEX('C_jama.2018.17075'!$R$2:$R$9,MATCH($C77,'C_jama.2018.17075'!$A$2:$A$9,0))="","",INDEX('C_jama.2018.17075'!$R$2:$R$9,MATCH($C77,'C_jama.2018.17075'!$A$2:$A$9,0))),"")</f>
        <v/>
      </c>
      <c r="Q77" s="17" t="inlineStr">
        <is>
          <t>retain</t>
        </is>
      </c>
      <c r="R77" s="17" t="inlineStr">
        <is>
          <t>statistical_results</t>
        </is>
      </c>
    </row>
    <row r="78" ht="70" customHeight="1" s="14">
      <c r="A78" s="16" t="n">
        <v>2018</v>
      </c>
      <c r="B78" s="16" t="inlineStr">
        <is>
          <t>jama.2018.17075</t>
        </is>
      </c>
      <c r="C78" s="16" t="inlineStr">
        <is>
          <t>2018::jama.2018.17075::C005</t>
        </is>
      </c>
      <c r="D78" s="16" t="inlineStr">
        <is>
          <t>S_W</t>
        </is>
      </c>
      <c r="E78" s="16">
        <f>Setup!$B$4</f>
        <v/>
      </c>
      <c r="F78" s="16">
        <f>IF(Setup!$B$2="","",Setup!$B$2)</f>
        <v/>
      </c>
      <c r="G78" s="16">
        <f>IFERROR(INDEX('C_jama.2018.17075'!$G$2:$G$9,MATCH($C78,'C_jama.2018.17075'!$A$2:$A$9,0)),"CHECK KEY")</f>
        <v/>
      </c>
      <c r="H78" s="16">
        <f>IF(OR(G78&lt;&gt;"PRIMARY READY",I78="discuss"),"",IF(I78&lt;&gt;"retain","not_eligible",IF(D78="P_R","protocol_descriptive",IF(D78="P_P","plan_descriptive",IF(AND(OR(D78="S_C",D78="S_W"),J78="statistical_results",OR(K78="confirmed_issue",K78="probable_issue"),L78="substantive"),"primary_temporal",IF(AND(OR(D78="S_C",D78="S_W"),J78="report_internal_inconsistency",N78="substantive_inconsistency"),"secondary_temporal","not_eligible"))))))</f>
        <v/>
      </c>
      <c r="I78" s="16">
        <f>IFERROR(IF(INDEX('C_jama.2018.17075'!$D$2:$D$9,MATCH($C78,'C_jama.2018.17075'!$A$2:$A$9,0))="","",INDEX('C_jama.2018.17075'!$D$2:$D$9,MATCH($C78,'C_jama.2018.17075'!$A$2:$A$9,0))),"")</f>
        <v/>
      </c>
      <c r="J78" s="16">
        <f>IFERROR(IF(INDEX('C_jama.2018.17075'!$E$2:$E$9,MATCH($C78,'C_jama.2018.17075'!$A$2:$A$9,0))="","",INDEX('C_jama.2018.17075'!$E$2:$E$9,MATCH($C78,'C_jama.2018.17075'!$A$2:$A$9,0))),"")</f>
        <v/>
      </c>
      <c r="K78" s="16">
        <f>IFERROR(IF(AND(I78="retain",J78="statistical_results"),IF(INDEX('C_jama.2018.17075'!$H$2:$H$9,MATCH($C78,'C_jama.2018.17075'!$A$2:$A$9,0))="","",INDEX('C_jama.2018.17075'!$H$2:$H$9,MATCH($C78,'C_jama.2018.17075'!$A$2:$A$9,0))),"not_applicable"),"")</f>
        <v/>
      </c>
      <c r="L78" s="16">
        <f>IFERROR(IF(AND(I78="retain",J78="statistical_results"),IF(INDEX('C_jama.2018.17075'!$I$2:$I$9,MATCH($C78,'C_jama.2018.17075'!$A$2:$A$9,0))="","",INDEX('C_jama.2018.17075'!$I$2:$I$9,MATCH($C78,'C_jama.2018.17075'!$A$2:$A$9,0))),"not_applicable"),"")</f>
        <v/>
      </c>
      <c r="M78" s="16">
        <f>IFERROR(IF(AND(I78="retain",J78="statistical_results"),IF(INDEX('C_jama.2018.17075'!$J$2:$J$9,MATCH($C78,'C_jama.2018.17075'!$A$2:$A$9,0))="","",INDEX('C_jama.2018.17075'!$J$2:$J$9,MATCH($C78,'C_jama.2018.17075'!$A$2:$A$9,0))),"not_applicable"),"")</f>
        <v/>
      </c>
      <c r="N78" s="16">
        <f>IFERROR(IF(AND(I78="retain",OR(J78="report_internal_inconsistency",J78="plan_material")),IF(INDEX('C_jama.2018.17075'!$K$2:$K$9,MATCH($C78,'C_jama.2018.17075'!$A$2:$A$9,0))="","",INDEX('C_jama.2018.17075'!$K$2:$K$9,MATCH($C78,'C_jama.2018.17075'!$A$2:$A$9,0))),"not_applicable"),"")</f>
        <v/>
      </c>
      <c r="O78" s="16">
        <f>IFERROR(IF(AND(I78="retain",J78="protocol_report"),IF(INDEX('C_jama.2018.17075'!$L$2:$L$9,MATCH($C78,'C_jama.2018.17075'!$A$2:$A$9,0))="","",INDEX('C_jama.2018.17075'!$L$2:$L$9,MATCH($C78,'C_jama.2018.17075'!$A$2:$A$9,0))),"not_applicable"),"")</f>
        <v/>
      </c>
      <c r="P78" s="16">
        <f>IFERROR(IF(INDEX('C_jama.2018.17075'!$R$2:$R$9,MATCH($C78,'C_jama.2018.17075'!$A$2:$A$9,0))="","",INDEX('C_jama.2018.17075'!$R$2:$R$9,MATCH($C78,'C_jama.2018.17075'!$A$2:$A$9,0))),"")</f>
        <v/>
      </c>
      <c r="Q78" s="16" t="inlineStr">
        <is>
          <t>retain</t>
        </is>
      </c>
      <c r="R78" s="16" t="inlineStr">
        <is>
          <t>report_internal_inconsistency</t>
        </is>
      </c>
    </row>
    <row r="79" ht="70" customHeight="1" s="14">
      <c r="A79" s="17" t="n">
        <v>2018</v>
      </c>
      <c r="B79" s="17" t="inlineStr">
        <is>
          <t>jama.2018.17075</t>
        </is>
      </c>
      <c r="C79" s="17" t="inlineStr">
        <is>
          <t>2018::jama.2018.17075::C006</t>
        </is>
      </c>
      <c r="D79" s="17" t="inlineStr">
        <is>
          <t>S_W</t>
        </is>
      </c>
      <c r="E79" s="17">
        <f>Setup!$B$4</f>
        <v/>
      </c>
      <c r="F79" s="17">
        <f>IF(Setup!$B$2="","",Setup!$B$2)</f>
        <v/>
      </c>
      <c r="G79" s="17">
        <f>IFERROR(INDEX('C_jama.2018.17075'!$G$2:$G$9,MATCH($C79,'C_jama.2018.17075'!$A$2:$A$9,0)),"CHECK KEY")</f>
        <v/>
      </c>
      <c r="H79" s="17">
        <f>IF(OR(G79&lt;&gt;"PRIMARY READY",I79="discuss"),"",IF(I79&lt;&gt;"retain","not_eligible",IF(D79="P_R","protocol_descriptive",IF(D79="P_P","plan_descriptive",IF(AND(OR(D79="S_C",D79="S_W"),J79="statistical_results",OR(K79="confirmed_issue",K79="probable_issue"),L79="substantive"),"primary_temporal",IF(AND(OR(D79="S_C",D79="S_W"),J79="report_internal_inconsistency",N79="substantive_inconsistency"),"secondary_temporal","not_eligible"))))))</f>
        <v/>
      </c>
      <c r="I79" s="17">
        <f>IFERROR(IF(INDEX('C_jama.2018.17075'!$D$2:$D$9,MATCH($C79,'C_jama.2018.17075'!$A$2:$A$9,0))="","",INDEX('C_jama.2018.17075'!$D$2:$D$9,MATCH($C79,'C_jama.2018.17075'!$A$2:$A$9,0))),"")</f>
        <v/>
      </c>
      <c r="J79" s="17">
        <f>IFERROR(IF(INDEX('C_jama.2018.17075'!$E$2:$E$9,MATCH($C79,'C_jama.2018.17075'!$A$2:$A$9,0))="","",INDEX('C_jama.2018.17075'!$E$2:$E$9,MATCH($C79,'C_jama.2018.17075'!$A$2:$A$9,0))),"")</f>
        <v/>
      </c>
      <c r="K79" s="17">
        <f>IFERROR(IF(AND(I79="retain",J79="statistical_results"),IF(INDEX('C_jama.2018.17075'!$H$2:$H$9,MATCH($C79,'C_jama.2018.17075'!$A$2:$A$9,0))="","",INDEX('C_jama.2018.17075'!$H$2:$H$9,MATCH($C79,'C_jama.2018.17075'!$A$2:$A$9,0))),"not_applicable"),"")</f>
        <v/>
      </c>
      <c r="L79" s="17">
        <f>IFERROR(IF(AND(I79="retain",J79="statistical_results"),IF(INDEX('C_jama.2018.17075'!$I$2:$I$9,MATCH($C79,'C_jama.2018.17075'!$A$2:$A$9,0))="","",INDEX('C_jama.2018.17075'!$I$2:$I$9,MATCH($C79,'C_jama.2018.17075'!$A$2:$A$9,0))),"not_applicable"),"")</f>
        <v/>
      </c>
      <c r="M79" s="17">
        <f>IFERROR(IF(AND(I79="retain",J79="statistical_results"),IF(INDEX('C_jama.2018.17075'!$J$2:$J$9,MATCH($C79,'C_jama.2018.17075'!$A$2:$A$9,0))="","",INDEX('C_jama.2018.17075'!$J$2:$J$9,MATCH($C79,'C_jama.2018.17075'!$A$2:$A$9,0))),"not_applicable"),"")</f>
        <v/>
      </c>
      <c r="N79" s="17">
        <f>IFERROR(IF(AND(I79="retain",OR(J79="report_internal_inconsistency",J79="plan_material")),IF(INDEX('C_jama.2018.17075'!$K$2:$K$9,MATCH($C79,'C_jama.2018.17075'!$A$2:$A$9,0))="","",INDEX('C_jama.2018.17075'!$K$2:$K$9,MATCH($C79,'C_jama.2018.17075'!$A$2:$A$9,0))),"not_applicable"),"")</f>
        <v/>
      </c>
      <c r="O79" s="17">
        <f>IFERROR(IF(AND(I79="retain",J79="protocol_report"),IF(INDEX('C_jama.2018.17075'!$L$2:$L$9,MATCH($C79,'C_jama.2018.17075'!$A$2:$A$9,0))="","",INDEX('C_jama.2018.17075'!$L$2:$L$9,MATCH($C79,'C_jama.2018.17075'!$A$2:$A$9,0))),"not_applicable"),"")</f>
        <v/>
      </c>
      <c r="P79" s="17">
        <f>IFERROR(IF(INDEX('C_jama.2018.17075'!$R$2:$R$9,MATCH($C79,'C_jama.2018.17075'!$A$2:$A$9,0))="","",INDEX('C_jama.2018.17075'!$R$2:$R$9,MATCH($C79,'C_jama.2018.17075'!$A$2:$A$9,0))),"")</f>
        <v/>
      </c>
      <c r="Q79" s="17" t="inlineStr">
        <is>
          <t>retain</t>
        </is>
      </c>
      <c r="R79" s="17" t="inlineStr">
        <is>
          <t>report_internal_inconsistency</t>
        </is>
      </c>
    </row>
    <row r="80" ht="70" customHeight="1" s="14">
      <c r="A80" s="16" t="n">
        <v>2018</v>
      </c>
      <c r="B80" s="16" t="inlineStr">
        <is>
          <t>jama.2018.17075</t>
        </is>
      </c>
      <c r="C80" s="16" t="inlineStr">
        <is>
          <t>2018::jama.2018.17075::C007</t>
        </is>
      </c>
      <c r="D80" s="16" t="inlineStr">
        <is>
          <t>S_W</t>
        </is>
      </c>
      <c r="E80" s="16">
        <f>Setup!$B$4</f>
        <v/>
      </c>
      <c r="F80" s="16">
        <f>IF(Setup!$B$2="","",Setup!$B$2)</f>
        <v/>
      </c>
      <c r="G80" s="16">
        <f>IFERROR(INDEX('C_jama.2018.17075'!$G$2:$G$9,MATCH($C80,'C_jama.2018.17075'!$A$2:$A$9,0)),"CHECK KEY")</f>
        <v/>
      </c>
      <c r="H80" s="16">
        <f>IF(OR(G80&lt;&gt;"PRIMARY READY",I80="discuss"),"",IF(I80&lt;&gt;"retain","not_eligible",IF(D80="P_R","protocol_descriptive",IF(D80="P_P","plan_descriptive",IF(AND(OR(D80="S_C",D80="S_W"),J80="statistical_results",OR(K80="confirmed_issue",K80="probable_issue"),L80="substantive"),"primary_temporal",IF(AND(OR(D80="S_C",D80="S_W"),J80="report_internal_inconsistency",N80="substantive_inconsistency"),"secondary_temporal","not_eligible"))))))</f>
        <v/>
      </c>
      <c r="I80" s="16">
        <f>IFERROR(IF(INDEX('C_jama.2018.17075'!$D$2:$D$9,MATCH($C80,'C_jama.2018.17075'!$A$2:$A$9,0))="","",INDEX('C_jama.2018.17075'!$D$2:$D$9,MATCH($C80,'C_jama.2018.17075'!$A$2:$A$9,0))),"")</f>
        <v/>
      </c>
      <c r="J80" s="16">
        <f>IFERROR(IF(INDEX('C_jama.2018.17075'!$E$2:$E$9,MATCH($C80,'C_jama.2018.17075'!$A$2:$A$9,0))="","",INDEX('C_jama.2018.17075'!$E$2:$E$9,MATCH($C80,'C_jama.2018.17075'!$A$2:$A$9,0))),"")</f>
        <v/>
      </c>
      <c r="K80" s="16">
        <f>IFERROR(IF(AND(I80="retain",J80="statistical_results"),IF(INDEX('C_jama.2018.17075'!$H$2:$H$9,MATCH($C80,'C_jama.2018.17075'!$A$2:$A$9,0))="","",INDEX('C_jama.2018.17075'!$H$2:$H$9,MATCH($C80,'C_jama.2018.17075'!$A$2:$A$9,0))),"not_applicable"),"")</f>
        <v/>
      </c>
      <c r="L80" s="16">
        <f>IFERROR(IF(AND(I80="retain",J80="statistical_results"),IF(INDEX('C_jama.2018.17075'!$I$2:$I$9,MATCH($C80,'C_jama.2018.17075'!$A$2:$A$9,0))="","",INDEX('C_jama.2018.17075'!$I$2:$I$9,MATCH($C80,'C_jama.2018.17075'!$A$2:$A$9,0))),"not_applicable"),"")</f>
        <v/>
      </c>
      <c r="M80" s="16">
        <f>IFERROR(IF(AND(I80="retain",J80="statistical_results"),IF(INDEX('C_jama.2018.17075'!$J$2:$J$9,MATCH($C80,'C_jama.2018.17075'!$A$2:$A$9,0))="","",INDEX('C_jama.2018.17075'!$J$2:$J$9,MATCH($C80,'C_jama.2018.17075'!$A$2:$A$9,0))),"not_applicable"),"")</f>
        <v/>
      </c>
      <c r="N80" s="16">
        <f>IFERROR(IF(AND(I80="retain",OR(J80="report_internal_inconsistency",J80="plan_material")),IF(INDEX('C_jama.2018.17075'!$K$2:$K$9,MATCH($C80,'C_jama.2018.17075'!$A$2:$A$9,0))="","",INDEX('C_jama.2018.17075'!$K$2:$K$9,MATCH($C80,'C_jama.2018.17075'!$A$2:$A$9,0))),"not_applicable"),"")</f>
        <v/>
      </c>
      <c r="O80" s="16">
        <f>IFERROR(IF(AND(I80="retain",J80="protocol_report"),IF(INDEX('C_jama.2018.17075'!$L$2:$L$9,MATCH($C80,'C_jama.2018.17075'!$A$2:$A$9,0))="","",INDEX('C_jama.2018.17075'!$L$2:$L$9,MATCH($C80,'C_jama.2018.17075'!$A$2:$A$9,0))),"not_applicable"),"")</f>
        <v/>
      </c>
      <c r="P80" s="16">
        <f>IFERROR(IF(INDEX('C_jama.2018.17075'!$R$2:$R$9,MATCH($C80,'C_jama.2018.17075'!$A$2:$A$9,0))="","",INDEX('C_jama.2018.17075'!$R$2:$R$9,MATCH($C80,'C_jama.2018.17075'!$A$2:$A$9,0))),"")</f>
        <v/>
      </c>
      <c r="Q80" s="16" t="inlineStr">
        <is>
          <t>retain</t>
        </is>
      </c>
      <c r="R80" s="16" t="inlineStr">
        <is>
          <t>statistical_results</t>
        </is>
      </c>
    </row>
    <row r="81" ht="70" customHeight="1" s="14">
      <c r="A81" s="17" t="n">
        <v>2018</v>
      </c>
      <c r="B81" s="17" t="inlineStr">
        <is>
          <t>jama.2018.17075</t>
        </is>
      </c>
      <c r="C81" s="17" t="inlineStr">
        <is>
          <t>2018::jama.2018.17075::C008</t>
        </is>
      </c>
      <c r="D81" s="17" t="inlineStr">
        <is>
          <t>S_W</t>
        </is>
      </c>
      <c r="E81" s="17">
        <f>Setup!$B$4</f>
        <v/>
      </c>
      <c r="F81" s="17">
        <f>IF(Setup!$B$2="","",Setup!$B$2)</f>
        <v/>
      </c>
      <c r="G81" s="17">
        <f>IFERROR(INDEX('C_jama.2018.17075'!$G$2:$G$9,MATCH($C81,'C_jama.2018.17075'!$A$2:$A$9,0)),"CHECK KEY")</f>
        <v/>
      </c>
      <c r="H81" s="17">
        <f>IF(OR(G81&lt;&gt;"PRIMARY READY",I81="discuss"),"",IF(I81&lt;&gt;"retain","not_eligible",IF(D81="P_R","protocol_descriptive",IF(D81="P_P","plan_descriptive",IF(AND(OR(D81="S_C",D81="S_W"),J81="statistical_results",OR(K81="confirmed_issue",K81="probable_issue"),L81="substantive"),"primary_temporal",IF(AND(OR(D81="S_C",D81="S_W"),J81="report_internal_inconsistency",N81="substantive_inconsistency"),"secondary_temporal","not_eligible"))))))</f>
        <v/>
      </c>
      <c r="I81" s="17">
        <f>IFERROR(IF(INDEX('C_jama.2018.17075'!$D$2:$D$9,MATCH($C81,'C_jama.2018.17075'!$A$2:$A$9,0))="","",INDEX('C_jama.2018.17075'!$D$2:$D$9,MATCH($C81,'C_jama.2018.17075'!$A$2:$A$9,0))),"")</f>
        <v/>
      </c>
      <c r="J81" s="17">
        <f>IFERROR(IF(INDEX('C_jama.2018.17075'!$E$2:$E$9,MATCH($C81,'C_jama.2018.17075'!$A$2:$A$9,0))="","",INDEX('C_jama.2018.17075'!$E$2:$E$9,MATCH($C81,'C_jama.2018.17075'!$A$2:$A$9,0))),"")</f>
        <v/>
      </c>
      <c r="K81" s="17">
        <f>IFERROR(IF(AND(I81="retain",J81="statistical_results"),IF(INDEX('C_jama.2018.17075'!$H$2:$H$9,MATCH($C81,'C_jama.2018.17075'!$A$2:$A$9,0))="","",INDEX('C_jama.2018.17075'!$H$2:$H$9,MATCH($C81,'C_jama.2018.17075'!$A$2:$A$9,0))),"not_applicable"),"")</f>
        <v/>
      </c>
      <c r="L81" s="17">
        <f>IFERROR(IF(AND(I81="retain",J81="statistical_results"),IF(INDEX('C_jama.2018.17075'!$I$2:$I$9,MATCH($C81,'C_jama.2018.17075'!$A$2:$A$9,0))="","",INDEX('C_jama.2018.17075'!$I$2:$I$9,MATCH($C81,'C_jama.2018.17075'!$A$2:$A$9,0))),"not_applicable"),"")</f>
        <v/>
      </c>
      <c r="M81" s="17">
        <f>IFERROR(IF(AND(I81="retain",J81="statistical_results"),IF(INDEX('C_jama.2018.17075'!$J$2:$J$9,MATCH($C81,'C_jama.2018.17075'!$A$2:$A$9,0))="","",INDEX('C_jama.2018.17075'!$J$2:$J$9,MATCH($C81,'C_jama.2018.17075'!$A$2:$A$9,0))),"not_applicable"),"")</f>
        <v/>
      </c>
      <c r="N81" s="17">
        <f>IFERROR(IF(AND(I81="retain",OR(J81="report_internal_inconsistency",J81="plan_material")),IF(INDEX('C_jama.2018.17075'!$K$2:$K$9,MATCH($C81,'C_jama.2018.17075'!$A$2:$A$9,0))="","",INDEX('C_jama.2018.17075'!$K$2:$K$9,MATCH($C81,'C_jama.2018.17075'!$A$2:$A$9,0))),"not_applicable"),"")</f>
        <v/>
      </c>
      <c r="O81" s="17">
        <f>IFERROR(IF(AND(I81="retain",J81="protocol_report"),IF(INDEX('C_jama.2018.17075'!$L$2:$L$9,MATCH($C81,'C_jama.2018.17075'!$A$2:$A$9,0))="","",INDEX('C_jama.2018.17075'!$L$2:$L$9,MATCH($C81,'C_jama.2018.17075'!$A$2:$A$9,0))),"not_applicable"),"")</f>
        <v/>
      </c>
      <c r="P81" s="17">
        <f>IFERROR(IF(INDEX('C_jama.2018.17075'!$R$2:$R$9,MATCH($C81,'C_jama.2018.17075'!$A$2:$A$9,0))="","",INDEX('C_jama.2018.17075'!$R$2:$R$9,MATCH($C81,'C_jama.2018.17075'!$A$2:$A$9,0))),"")</f>
        <v/>
      </c>
      <c r="Q81" s="17" t="inlineStr">
        <is>
          <t>retain</t>
        </is>
      </c>
      <c r="R81" s="17" t="inlineStr">
        <is>
          <t>statistical_results</t>
        </is>
      </c>
    </row>
    <row r="82" ht="70" customHeight="1" s="14">
      <c r="A82" s="16" t="n">
        <v>2018</v>
      </c>
      <c r="B82" s="16" t="inlineStr">
        <is>
          <t>jama.2018.18020</t>
        </is>
      </c>
      <c r="C82" s="16" t="inlineStr">
        <is>
          <t>2018::jama.2018.18020::C001</t>
        </is>
      </c>
      <c r="D82" s="16" t="inlineStr">
        <is>
          <t>S_W</t>
        </is>
      </c>
      <c r="E82" s="16">
        <f>Setup!$B$4</f>
        <v/>
      </c>
      <c r="F82" s="16">
        <f>IF(Setup!$B$2="","",Setup!$B$2)</f>
        <v/>
      </c>
      <c r="G82" s="16">
        <f>IFERROR(INDEX('C_jama.2018.18020'!$G$2:$G$15,MATCH($C82,'C_jama.2018.18020'!$A$2:$A$15,0)),"CHECK KEY")</f>
        <v/>
      </c>
      <c r="H82" s="16">
        <f>IF(OR(G82&lt;&gt;"PRIMARY READY",I82="discuss"),"",IF(I82&lt;&gt;"retain","not_eligible",IF(D82="P_R","protocol_descriptive",IF(D82="P_P","plan_descriptive",IF(AND(OR(D82="S_C",D82="S_W"),J82="statistical_results",OR(K82="confirmed_issue",K82="probable_issue"),L82="substantive"),"primary_temporal",IF(AND(OR(D82="S_C",D82="S_W"),J82="report_internal_inconsistency",N82="substantive_inconsistency"),"secondary_temporal","not_eligible"))))))</f>
        <v/>
      </c>
      <c r="I82" s="16">
        <f>IFERROR(IF(INDEX('C_jama.2018.18020'!$D$2:$D$15,MATCH($C82,'C_jama.2018.18020'!$A$2:$A$15,0))="","",INDEX('C_jama.2018.18020'!$D$2:$D$15,MATCH($C82,'C_jama.2018.18020'!$A$2:$A$15,0))),"")</f>
        <v/>
      </c>
      <c r="J82" s="16">
        <f>IFERROR(IF(INDEX('C_jama.2018.18020'!$E$2:$E$15,MATCH($C82,'C_jama.2018.18020'!$A$2:$A$15,0))="","",INDEX('C_jama.2018.18020'!$E$2:$E$15,MATCH($C82,'C_jama.2018.18020'!$A$2:$A$15,0))),"")</f>
        <v/>
      </c>
      <c r="K82" s="16">
        <f>IFERROR(IF(AND(I82="retain",J82="statistical_results"),IF(INDEX('C_jama.2018.18020'!$H$2:$H$15,MATCH($C82,'C_jama.2018.18020'!$A$2:$A$15,0))="","",INDEX('C_jama.2018.18020'!$H$2:$H$15,MATCH($C82,'C_jama.2018.18020'!$A$2:$A$15,0))),"not_applicable"),"")</f>
        <v/>
      </c>
      <c r="L82" s="16">
        <f>IFERROR(IF(AND(I82="retain",J82="statistical_results"),IF(INDEX('C_jama.2018.18020'!$I$2:$I$15,MATCH($C82,'C_jama.2018.18020'!$A$2:$A$15,0))="","",INDEX('C_jama.2018.18020'!$I$2:$I$15,MATCH($C82,'C_jama.2018.18020'!$A$2:$A$15,0))),"not_applicable"),"")</f>
        <v/>
      </c>
      <c r="M82" s="16">
        <f>IFERROR(IF(AND(I82="retain",J82="statistical_results"),IF(INDEX('C_jama.2018.18020'!$J$2:$J$15,MATCH($C82,'C_jama.2018.18020'!$A$2:$A$15,0))="","",INDEX('C_jama.2018.18020'!$J$2:$J$15,MATCH($C82,'C_jama.2018.18020'!$A$2:$A$15,0))),"not_applicable"),"")</f>
        <v/>
      </c>
      <c r="N82" s="16">
        <f>IFERROR(IF(AND(I82="retain",OR(J82="report_internal_inconsistency",J82="plan_material")),IF(INDEX('C_jama.2018.18020'!$K$2:$K$15,MATCH($C82,'C_jama.2018.18020'!$A$2:$A$15,0))="","",INDEX('C_jama.2018.18020'!$K$2:$K$15,MATCH($C82,'C_jama.2018.18020'!$A$2:$A$15,0))),"not_applicable"),"")</f>
        <v/>
      </c>
      <c r="O82" s="16">
        <f>IFERROR(IF(AND(I82="retain",J82="protocol_report"),IF(INDEX('C_jama.2018.18020'!$L$2:$L$15,MATCH($C82,'C_jama.2018.18020'!$A$2:$A$15,0))="","",INDEX('C_jama.2018.18020'!$L$2:$L$15,MATCH($C82,'C_jama.2018.18020'!$A$2:$A$15,0))),"not_applicable"),"")</f>
        <v/>
      </c>
      <c r="P82" s="16">
        <f>IFERROR(IF(INDEX('C_jama.2018.18020'!$R$2:$R$15,MATCH($C82,'C_jama.2018.18020'!$A$2:$A$15,0))="","",INDEX('C_jama.2018.18020'!$R$2:$R$15,MATCH($C82,'C_jama.2018.18020'!$A$2:$A$15,0))),"")</f>
        <v/>
      </c>
      <c r="Q82" s="16" t="inlineStr">
        <is>
          <t>retain</t>
        </is>
      </c>
      <c r="R82" s="16" t="inlineStr">
        <is>
          <t>statistical_results</t>
        </is>
      </c>
    </row>
    <row r="83" ht="70" customHeight="1" s="14">
      <c r="A83" s="17" t="n">
        <v>2018</v>
      </c>
      <c r="B83" s="17" t="inlineStr">
        <is>
          <t>jama.2018.18020</t>
        </is>
      </c>
      <c r="C83" s="17" t="inlineStr">
        <is>
          <t>2018::jama.2018.18020::C002</t>
        </is>
      </c>
      <c r="D83" s="17" t="inlineStr">
        <is>
          <t>S_W</t>
        </is>
      </c>
      <c r="E83" s="17">
        <f>Setup!$B$4</f>
        <v/>
      </c>
      <c r="F83" s="17">
        <f>IF(Setup!$B$2="","",Setup!$B$2)</f>
        <v/>
      </c>
      <c r="G83" s="17">
        <f>IFERROR(INDEX('C_jama.2018.18020'!$G$2:$G$15,MATCH($C83,'C_jama.2018.18020'!$A$2:$A$15,0)),"CHECK KEY")</f>
        <v/>
      </c>
      <c r="H83" s="17">
        <f>IF(OR(G83&lt;&gt;"PRIMARY READY",I83="discuss"),"",IF(I83&lt;&gt;"retain","not_eligible",IF(D83="P_R","protocol_descriptive",IF(D83="P_P","plan_descriptive",IF(AND(OR(D83="S_C",D83="S_W"),J83="statistical_results",OR(K83="confirmed_issue",K83="probable_issue"),L83="substantive"),"primary_temporal",IF(AND(OR(D83="S_C",D83="S_W"),J83="report_internal_inconsistency",N83="substantive_inconsistency"),"secondary_temporal","not_eligible"))))))</f>
        <v/>
      </c>
      <c r="I83" s="17">
        <f>IFERROR(IF(INDEX('C_jama.2018.18020'!$D$2:$D$15,MATCH($C83,'C_jama.2018.18020'!$A$2:$A$15,0))="","",INDEX('C_jama.2018.18020'!$D$2:$D$15,MATCH($C83,'C_jama.2018.18020'!$A$2:$A$15,0))),"")</f>
        <v/>
      </c>
      <c r="J83" s="17">
        <f>IFERROR(IF(INDEX('C_jama.2018.18020'!$E$2:$E$15,MATCH($C83,'C_jama.2018.18020'!$A$2:$A$15,0))="","",INDEX('C_jama.2018.18020'!$E$2:$E$15,MATCH($C83,'C_jama.2018.18020'!$A$2:$A$15,0))),"")</f>
        <v/>
      </c>
      <c r="K83" s="17">
        <f>IFERROR(IF(AND(I83="retain",J83="statistical_results"),IF(INDEX('C_jama.2018.18020'!$H$2:$H$15,MATCH($C83,'C_jama.2018.18020'!$A$2:$A$15,0))="","",INDEX('C_jama.2018.18020'!$H$2:$H$15,MATCH($C83,'C_jama.2018.18020'!$A$2:$A$15,0))),"not_applicable"),"")</f>
        <v/>
      </c>
      <c r="L83" s="17">
        <f>IFERROR(IF(AND(I83="retain",J83="statistical_results"),IF(INDEX('C_jama.2018.18020'!$I$2:$I$15,MATCH($C83,'C_jama.2018.18020'!$A$2:$A$15,0))="","",INDEX('C_jama.2018.18020'!$I$2:$I$15,MATCH($C83,'C_jama.2018.18020'!$A$2:$A$15,0))),"not_applicable"),"")</f>
        <v/>
      </c>
      <c r="M83" s="17">
        <f>IFERROR(IF(AND(I83="retain",J83="statistical_results"),IF(INDEX('C_jama.2018.18020'!$J$2:$J$15,MATCH($C83,'C_jama.2018.18020'!$A$2:$A$15,0))="","",INDEX('C_jama.2018.18020'!$J$2:$J$15,MATCH($C83,'C_jama.2018.18020'!$A$2:$A$15,0))),"not_applicable"),"")</f>
        <v/>
      </c>
      <c r="N83" s="17">
        <f>IFERROR(IF(AND(I83="retain",OR(J83="report_internal_inconsistency",J83="plan_material")),IF(INDEX('C_jama.2018.18020'!$K$2:$K$15,MATCH($C83,'C_jama.2018.18020'!$A$2:$A$15,0))="","",INDEX('C_jama.2018.18020'!$K$2:$K$15,MATCH($C83,'C_jama.2018.18020'!$A$2:$A$15,0))),"not_applicable"),"")</f>
        <v/>
      </c>
      <c r="O83" s="17">
        <f>IFERROR(IF(AND(I83="retain",J83="protocol_report"),IF(INDEX('C_jama.2018.18020'!$L$2:$L$15,MATCH($C83,'C_jama.2018.18020'!$A$2:$A$15,0))="","",INDEX('C_jama.2018.18020'!$L$2:$L$15,MATCH($C83,'C_jama.2018.18020'!$A$2:$A$15,0))),"not_applicable"),"")</f>
        <v/>
      </c>
      <c r="P83" s="17">
        <f>IFERROR(IF(INDEX('C_jama.2018.18020'!$R$2:$R$15,MATCH($C83,'C_jama.2018.18020'!$A$2:$A$15,0))="","",INDEX('C_jama.2018.18020'!$R$2:$R$15,MATCH($C83,'C_jama.2018.18020'!$A$2:$A$15,0))),"")</f>
        <v/>
      </c>
      <c r="Q83" s="17" t="inlineStr">
        <is>
          <t>retain</t>
        </is>
      </c>
      <c r="R83" s="17" t="inlineStr">
        <is>
          <t>report_internal_inconsistency</t>
        </is>
      </c>
    </row>
    <row r="84" ht="70" customHeight="1" s="14">
      <c r="A84" s="16" t="n">
        <v>2018</v>
      </c>
      <c r="B84" s="16" t="inlineStr">
        <is>
          <t>jama.2018.18020</t>
        </is>
      </c>
      <c r="C84" s="16" t="inlineStr">
        <is>
          <t>2018::jama.2018.18020::C003</t>
        </is>
      </c>
      <c r="D84" s="16" t="inlineStr">
        <is>
          <t>S_W</t>
        </is>
      </c>
      <c r="E84" s="16">
        <f>Setup!$B$4</f>
        <v/>
      </c>
      <c r="F84" s="16">
        <f>IF(Setup!$B$2="","",Setup!$B$2)</f>
        <v/>
      </c>
      <c r="G84" s="16">
        <f>IFERROR(INDEX('C_jama.2018.18020'!$G$2:$G$15,MATCH($C84,'C_jama.2018.18020'!$A$2:$A$15,0)),"CHECK KEY")</f>
        <v/>
      </c>
      <c r="H84" s="16">
        <f>IF(OR(G84&lt;&gt;"PRIMARY READY",I84="discuss"),"",IF(I84&lt;&gt;"retain","not_eligible",IF(D84="P_R","protocol_descriptive",IF(D84="P_P","plan_descriptive",IF(AND(OR(D84="S_C",D84="S_W"),J84="statistical_results",OR(K84="confirmed_issue",K84="probable_issue"),L84="substantive"),"primary_temporal",IF(AND(OR(D84="S_C",D84="S_W"),J84="report_internal_inconsistency",N84="substantive_inconsistency"),"secondary_temporal","not_eligible"))))))</f>
        <v/>
      </c>
      <c r="I84" s="16">
        <f>IFERROR(IF(INDEX('C_jama.2018.18020'!$D$2:$D$15,MATCH($C84,'C_jama.2018.18020'!$A$2:$A$15,0))="","",INDEX('C_jama.2018.18020'!$D$2:$D$15,MATCH($C84,'C_jama.2018.18020'!$A$2:$A$15,0))),"")</f>
        <v/>
      </c>
      <c r="J84" s="16">
        <f>IFERROR(IF(INDEX('C_jama.2018.18020'!$E$2:$E$15,MATCH($C84,'C_jama.2018.18020'!$A$2:$A$15,0))="","",INDEX('C_jama.2018.18020'!$E$2:$E$15,MATCH($C84,'C_jama.2018.18020'!$A$2:$A$15,0))),"")</f>
        <v/>
      </c>
      <c r="K84" s="16">
        <f>IFERROR(IF(AND(I84="retain",J84="statistical_results"),IF(INDEX('C_jama.2018.18020'!$H$2:$H$15,MATCH($C84,'C_jama.2018.18020'!$A$2:$A$15,0))="","",INDEX('C_jama.2018.18020'!$H$2:$H$15,MATCH($C84,'C_jama.2018.18020'!$A$2:$A$15,0))),"not_applicable"),"")</f>
        <v/>
      </c>
      <c r="L84" s="16">
        <f>IFERROR(IF(AND(I84="retain",J84="statistical_results"),IF(INDEX('C_jama.2018.18020'!$I$2:$I$15,MATCH($C84,'C_jama.2018.18020'!$A$2:$A$15,0))="","",INDEX('C_jama.2018.18020'!$I$2:$I$15,MATCH($C84,'C_jama.2018.18020'!$A$2:$A$15,0))),"not_applicable"),"")</f>
        <v/>
      </c>
      <c r="M84" s="16">
        <f>IFERROR(IF(AND(I84="retain",J84="statistical_results"),IF(INDEX('C_jama.2018.18020'!$J$2:$J$15,MATCH($C84,'C_jama.2018.18020'!$A$2:$A$15,0))="","",INDEX('C_jama.2018.18020'!$J$2:$J$15,MATCH($C84,'C_jama.2018.18020'!$A$2:$A$15,0))),"not_applicable"),"")</f>
        <v/>
      </c>
      <c r="N84" s="16">
        <f>IFERROR(IF(AND(I84="retain",OR(J84="report_internal_inconsistency",J84="plan_material")),IF(INDEX('C_jama.2018.18020'!$K$2:$K$15,MATCH($C84,'C_jama.2018.18020'!$A$2:$A$15,0))="","",INDEX('C_jama.2018.18020'!$K$2:$K$15,MATCH($C84,'C_jama.2018.18020'!$A$2:$A$15,0))),"not_applicable"),"")</f>
        <v/>
      </c>
      <c r="O84" s="16">
        <f>IFERROR(IF(AND(I84="retain",J84="protocol_report"),IF(INDEX('C_jama.2018.18020'!$L$2:$L$15,MATCH($C84,'C_jama.2018.18020'!$A$2:$A$15,0))="","",INDEX('C_jama.2018.18020'!$L$2:$L$15,MATCH($C84,'C_jama.2018.18020'!$A$2:$A$15,0))),"not_applicable"),"")</f>
        <v/>
      </c>
      <c r="P84" s="16">
        <f>IFERROR(IF(INDEX('C_jama.2018.18020'!$R$2:$R$15,MATCH($C84,'C_jama.2018.18020'!$A$2:$A$15,0))="","",INDEX('C_jama.2018.18020'!$R$2:$R$15,MATCH($C84,'C_jama.2018.18020'!$A$2:$A$15,0))),"")</f>
        <v/>
      </c>
      <c r="Q84" s="16" t="inlineStr">
        <is>
          <t>retain</t>
        </is>
      </c>
      <c r="R84" s="16" t="inlineStr">
        <is>
          <t>report_internal_inconsistency</t>
        </is>
      </c>
    </row>
    <row r="85" ht="70" customHeight="1" s="14">
      <c r="A85" s="17" t="n">
        <v>2018</v>
      </c>
      <c r="B85" s="17" t="inlineStr">
        <is>
          <t>jama.2018.18020</t>
        </is>
      </c>
      <c r="C85" s="17" t="inlineStr">
        <is>
          <t>2018::jama.2018.18020::C004</t>
        </is>
      </c>
      <c r="D85" s="17" t="inlineStr">
        <is>
          <t>S_W</t>
        </is>
      </c>
      <c r="E85" s="17">
        <f>Setup!$B$4</f>
        <v/>
      </c>
      <c r="F85" s="17">
        <f>IF(Setup!$B$2="","",Setup!$B$2)</f>
        <v/>
      </c>
      <c r="G85" s="17">
        <f>IFERROR(INDEX('C_jama.2018.18020'!$G$2:$G$15,MATCH($C85,'C_jama.2018.18020'!$A$2:$A$15,0)),"CHECK KEY")</f>
        <v/>
      </c>
      <c r="H85" s="17">
        <f>IF(OR(G85&lt;&gt;"PRIMARY READY",I85="discuss"),"",IF(I85&lt;&gt;"retain","not_eligible",IF(D85="P_R","protocol_descriptive",IF(D85="P_P","plan_descriptive",IF(AND(OR(D85="S_C",D85="S_W"),J85="statistical_results",OR(K85="confirmed_issue",K85="probable_issue"),L85="substantive"),"primary_temporal",IF(AND(OR(D85="S_C",D85="S_W"),J85="report_internal_inconsistency",N85="substantive_inconsistency"),"secondary_temporal","not_eligible"))))))</f>
        <v/>
      </c>
      <c r="I85" s="17">
        <f>IFERROR(IF(INDEX('C_jama.2018.18020'!$D$2:$D$15,MATCH($C85,'C_jama.2018.18020'!$A$2:$A$15,0))="","",INDEX('C_jama.2018.18020'!$D$2:$D$15,MATCH($C85,'C_jama.2018.18020'!$A$2:$A$15,0))),"")</f>
        <v/>
      </c>
      <c r="J85" s="17">
        <f>IFERROR(IF(INDEX('C_jama.2018.18020'!$E$2:$E$15,MATCH($C85,'C_jama.2018.18020'!$A$2:$A$15,0))="","",INDEX('C_jama.2018.18020'!$E$2:$E$15,MATCH($C85,'C_jama.2018.18020'!$A$2:$A$15,0))),"")</f>
        <v/>
      </c>
      <c r="K85" s="17">
        <f>IFERROR(IF(AND(I85="retain",J85="statistical_results"),IF(INDEX('C_jama.2018.18020'!$H$2:$H$15,MATCH($C85,'C_jama.2018.18020'!$A$2:$A$15,0))="","",INDEX('C_jama.2018.18020'!$H$2:$H$15,MATCH($C85,'C_jama.2018.18020'!$A$2:$A$15,0))),"not_applicable"),"")</f>
        <v/>
      </c>
      <c r="L85" s="17">
        <f>IFERROR(IF(AND(I85="retain",J85="statistical_results"),IF(INDEX('C_jama.2018.18020'!$I$2:$I$15,MATCH($C85,'C_jama.2018.18020'!$A$2:$A$15,0))="","",INDEX('C_jama.2018.18020'!$I$2:$I$15,MATCH($C85,'C_jama.2018.18020'!$A$2:$A$15,0))),"not_applicable"),"")</f>
        <v/>
      </c>
      <c r="M85" s="17">
        <f>IFERROR(IF(AND(I85="retain",J85="statistical_results"),IF(INDEX('C_jama.2018.18020'!$J$2:$J$15,MATCH($C85,'C_jama.2018.18020'!$A$2:$A$15,0))="","",INDEX('C_jama.2018.18020'!$J$2:$J$15,MATCH($C85,'C_jama.2018.18020'!$A$2:$A$15,0))),"not_applicable"),"")</f>
        <v/>
      </c>
      <c r="N85" s="17">
        <f>IFERROR(IF(AND(I85="retain",OR(J85="report_internal_inconsistency",J85="plan_material")),IF(INDEX('C_jama.2018.18020'!$K$2:$K$15,MATCH($C85,'C_jama.2018.18020'!$A$2:$A$15,0))="","",INDEX('C_jama.2018.18020'!$K$2:$K$15,MATCH($C85,'C_jama.2018.18020'!$A$2:$A$15,0))),"not_applicable"),"")</f>
        <v/>
      </c>
      <c r="O85" s="17">
        <f>IFERROR(IF(AND(I85="retain",J85="protocol_report"),IF(INDEX('C_jama.2018.18020'!$L$2:$L$15,MATCH($C85,'C_jama.2018.18020'!$A$2:$A$15,0))="","",INDEX('C_jama.2018.18020'!$L$2:$L$15,MATCH($C85,'C_jama.2018.18020'!$A$2:$A$15,0))),"not_applicable"),"")</f>
        <v/>
      </c>
      <c r="P85" s="17">
        <f>IFERROR(IF(INDEX('C_jama.2018.18020'!$R$2:$R$15,MATCH($C85,'C_jama.2018.18020'!$A$2:$A$15,0))="","",INDEX('C_jama.2018.18020'!$R$2:$R$15,MATCH($C85,'C_jama.2018.18020'!$A$2:$A$15,0))),"")</f>
        <v/>
      </c>
      <c r="Q85" s="17" t="inlineStr">
        <is>
          <t>retain</t>
        </is>
      </c>
      <c r="R85" s="17" t="inlineStr">
        <is>
          <t>statistical_results</t>
        </is>
      </c>
    </row>
    <row r="86" ht="70" customHeight="1" s="14">
      <c r="A86" s="16" t="n">
        <v>2018</v>
      </c>
      <c r="B86" s="16" t="inlineStr">
        <is>
          <t>jama.2018.18020</t>
        </is>
      </c>
      <c r="C86" s="16" t="inlineStr">
        <is>
          <t>2018::jama.2018.18020::C005</t>
        </is>
      </c>
      <c r="D86" s="16" t="inlineStr">
        <is>
          <t>S_W</t>
        </is>
      </c>
      <c r="E86" s="16">
        <f>Setup!$B$4</f>
        <v/>
      </c>
      <c r="F86" s="16">
        <f>IF(Setup!$B$2="","",Setup!$B$2)</f>
        <v/>
      </c>
      <c r="G86" s="16">
        <f>IFERROR(INDEX('C_jama.2018.18020'!$G$2:$G$15,MATCH($C86,'C_jama.2018.18020'!$A$2:$A$15,0)),"CHECK KEY")</f>
        <v/>
      </c>
      <c r="H86" s="16">
        <f>IF(OR(G86&lt;&gt;"PRIMARY READY",I86="discuss"),"",IF(I86&lt;&gt;"retain","not_eligible",IF(D86="P_R","protocol_descriptive",IF(D86="P_P","plan_descriptive",IF(AND(OR(D86="S_C",D86="S_W"),J86="statistical_results",OR(K86="confirmed_issue",K86="probable_issue"),L86="substantive"),"primary_temporal",IF(AND(OR(D86="S_C",D86="S_W"),J86="report_internal_inconsistency",N86="substantive_inconsistency"),"secondary_temporal","not_eligible"))))))</f>
        <v/>
      </c>
      <c r="I86" s="16">
        <f>IFERROR(IF(INDEX('C_jama.2018.18020'!$D$2:$D$15,MATCH($C86,'C_jama.2018.18020'!$A$2:$A$15,0))="","",INDEX('C_jama.2018.18020'!$D$2:$D$15,MATCH($C86,'C_jama.2018.18020'!$A$2:$A$15,0))),"")</f>
        <v/>
      </c>
      <c r="J86" s="16">
        <f>IFERROR(IF(INDEX('C_jama.2018.18020'!$E$2:$E$15,MATCH($C86,'C_jama.2018.18020'!$A$2:$A$15,0))="","",INDEX('C_jama.2018.18020'!$E$2:$E$15,MATCH($C86,'C_jama.2018.18020'!$A$2:$A$15,0))),"")</f>
        <v/>
      </c>
      <c r="K86" s="16">
        <f>IFERROR(IF(AND(I86="retain",J86="statistical_results"),IF(INDEX('C_jama.2018.18020'!$H$2:$H$15,MATCH($C86,'C_jama.2018.18020'!$A$2:$A$15,0))="","",INDEX('C_jama.2018.18020'!$H$2:$H$15,MATCH($C86,'C_jama.2018.18020'!$A$2:$A$15,0))),"not_applicable"),"")</f>
        <v/>
      </c>
      <c r="L86" s="16">
        <f>IFERROR(IF(AND(I86="retain",J86="statistical_results"),IF(INDEX('C_jama.2018.18020'!$I$2:$I$15,MATCH($C86,'C_jama.2018.18020'!$A$2:$A$15,0))="","",INDEX('C_jama.2018.18020'!$I$2:$I$15,MATCH($C86,'C_jama.2018.18020'!$A$2:$A$15,0))),"not_applicable"),"")</f>
        <v/>
      </c>
      <c r="M86" s="16">
        <f>IFERROR(IF(AND(I86="retain",J86="statistical_results"),IF(INDEX('C_jama.2018.18020'!$J$2:$J$15,MATCH($C86,'C_jama.2018.18020'!$A$2:$A$15,0))="","",INDEX('C_jama.2018.18020'!$J$2:$J$15,MATCH($C86,'C_jama.2018.18020'!$A$2:$A$15,0))),"not_applicable"),"")</f>
        <v/>
      </c>
      <c r="N86" s="16">
        <f>IFERROR(IF(AND(I86="retain",OR(J86="report_internal_inconsistency",J86="plan_material")),IF(INDEX('C_jama.2018.18020'!$K$2:$K$15,MATCH($C86,'C_jama.2018.18020'!$A$2:$A$15,0))="","",INDEX('C_jama.2018.18020'!$K$2:$K$15,MATCH($C86,'C_jama.2018.18020'!$A$2:$A$15,0))),"not_applicable"),"")</f>
        <v/>
      </c>
      <c r="O86" s="16">
        <f>IFERROR(IF(AND(I86="retain",J86="protocol_report"),IF(INDEX('C_jama.2018.18020'!$L$2:$L$15,MATCH($C86,'C_jama.2018.18020'!$A$2:$A$15,0))="","",INDEX('C_jama.2018.18020'!$L$2:$L$15,MATCH($C86,'C_jama.2018.18020'!$A$2:$A$15,0))),"not_applicable"),"")</f>
        <v/>
      </c>
      <c r="P86" s="16">
        <f>IFERROR(IF(INDEX('C_jama.2018.18020'!$R$2:$R$15,MATCH($C86,'C_jama.2018.18020'!$A$2:$A$15,0))="","",INDEX('C_jama.2018.18020'!$R$2:$R$15,MATCH($C86,'C_jama.2018.18020'!$A$2:$A$15,0))),"")</f>
        <v/>
      </c>
      <c r="Q86" s="16" t="inlineStr">
        <is>
          <t>retain</t>
        </is>
      </c>
      <c r="R86" s="16" t="inlineStr">
        <is>
          <t>report_internal_inconsistency</t>
        </is>
      </c>
    </row>
    <row r="87" ht="70" customHeight="1" s="14">
      <c r="A87" s="17" t="n">
        <v>2018</v>
      </c>
      <c r="B87" s="17" t="inlineStr">
        <is>
          <t>jama.2018.18020</t>
        </is>
      </c>
      <c r="C87" s="17" t="inlineStr">
        <is>
          <t>2018::jama.2018.18020::C006</t>
        </is>
      </c>
      <c r="D87" s="17" t="inlineStr">
        <is>
          <t>S_W</t>
        </is>
      </c>
      <c r="E87" s="17">
        <f>Setup!$B$4</f>
        <v/>
      </c>
      <c r="F87" s="17">
        <f>IF(Setup!$B$2="","",Setup!$B$2)</f>
        <v/>
      </c>
      <c r="G87" s="17">
        <f>IFERROR(INDEX('C_jama.2018.18020'!$G$2:$G$15,MATCH($C87,'C_jama.2018.18020'!$A$2:$A$15,0)),"CHECK KEY")</f>
        <v/>
      </c>
      <c r="H87" s="17">
        <f>IF(OR(G87&lt;&gt;"PRIMARY READY",I87="discuss"),"",IF(I87&lt;&gt;"retain","not_eligible",IF(D87="P_R","protocol_descriptive",IF(D87="P_P","plan_descriptive",IF(AND(OR(D87="S_C",D87="S_W"),J87="statistical_results",OR(K87="confirmed_issue",K87="probable_issue"),L87="substantive"),"primary_temporal",IF(AND(OR(D87="S_C",D87="S_W"),J87="report_internal_inconsistency",N87="substantive_inconsistency"),"secondary_temporal","not_eligible"))))))</f>
        <v/>
      </c>
      <c r="I87" s="17">
        <f>IFERROR(IF(INDEX('C_jama.2018.18020'!$D$2:$D$15,MATCH($C87,'C_jama.2018.18020'!$A$2:$A$15,0))="","",INDEX('C_jama.2018.18020'!$D$2:$D$15,MATCH($C87,'C_jama.2018.18020'!$A$2:$A$15,0))),"")</f>
        <v/>
      </c>
      <c r="J87" s="17">
        <f>IFERROR(IF(INDEX('C_jama.2018.18020'!$E$2:$E$15,MATCH($C87,'C_jama.2018.18020'!$A$2:$A$15,0))="","",INDEX('C_jama.2018.18020'!$E$2:$E$15,MATCH($C87,'C_jama.2018.18020'!$A$2:$A$15,0))),"")</f>
        <v/>
      </c>
      <c r="K87" s="17">
        <f>IFERROR(IF(AND(I87="retain",J87="statistical_results"),IF(INDEX('C_jama.2018.18020'!$H$2:$H$15,MATCH($C87,'C_jama.2018.18020'!$A$2:$A$15,0))="","",INDEX('C_jama.2018.18020'!$H$2:$H$15,MATCH($C87,'C_jama.2018.18020'!$A$2:$A$15,0))),"not_applicable"),"")</f>
        <v/>
      </c>
      <c r="L87" s="17">
        <f>IFERROR(IF(AND(I87="retain",J87="statistical_results"),IF(INDEX('C_jama.2018.18020'!$I$2:$I$15,MATCH($C87,'C_jama.2018.18020'!$A$2:$A$15,0))="","",INDEX('C_jama.2018.18020'!$I$2:$I$15,MATCH($C87,'C_jama.2018.18020'!$A$2:$A$15,0))),"not_applicable"),"")</f>
        <v/>
      </c>
      <c r="M87" s="17">
        <f>IFERROR(IF(AND(I87="retain",J87="statistical_results"),IF(INDEX('C_jama.2018.18020'!$J$2:$J$15,MATCH($C87,'C_jama.2018.18020'!$A$2:$A$15,0))="","",INDEX('C_jama.2018.18020'!$J$2:$J$15,MATCH($C87,'C_jama.2018.18020'!$A$2:$A$15,0))),"not_applicable"),"")</f>
        <v/>
      </c>
      <c r="N87" s="17">
        <f>IFERROR(IF(AND(I87="retain",OR(J87="report_internal_inconsistency",J87="plan_material")),IF(INDEX('C_jama.2018.18020'!$K$2:$K$15,MATCH($C87,'C_jama.2018.18020'!$A$2:$A$15,0))="","",INDEX('C_jama.2018.18020'!$K$2:$K$15,MATCH($C87,'C_jama.2018.18020'!$A$2:$A$15,0))),"not_applicable"),"")</f>
        <v/>
      </c>
      <c r="O87" s="17">
        <f>IFERROR(IF(AND(I87="retain",J87="protocol_report"),IF(INDEX('C_jama.2018.18020'!$L$2:$L$15,MATCH($C87,'C_jama.2018.18020'!$A$2:$A$15,0))="","",INDEX('C_jama.2018.18020'!$L$2:$L$15,MATCH($C87,'C_jama.2018.18020'!$A$2:$A$15,0))),"not_applicable"),"")</f>
        <v/>
      </c>
      <c r="P87" s="17">
        <f>IFERROR(IF(INDEX('C_jama.2018.18020'!$R$2:$R$15,MATCH($C87,'C_jama.2018.18020'!$A$2:$A$15,0))="","",INDEX('C_jama.2018.18020'!$R$2:$R$15,MATCH($C87,'C_jama.2018.18020'!$A$2:$A$15,0))),"")</f>
        <v/>
      </c>
      <c r="Q87" s="17" t="inlineStr">
        <is>
          <t>retain</t>
        </is>
      </c>
      <c r="R87" s="17" t="inlineStr">
        <is>
          <t>report_internal_inconsistency</t>
        </is>
      </c>
    </row>
    <row r="88" ht="70" customHeight="1" s="14">
      <c r="A88" s="16" t="n">
        <v>2018</v>
      </c>
      <c r="B88" s="16" t="inlineStr">
        <is>
          <t>jama.2018.18020</t>
        </is>
      </c>
      <c r="C88" s="16" t="inlineStr">
        <is>
          <t>2018::jama.2018.18020::C007</t>
        </is>
      </c>
      <c r="D88" s="16" t="inlineStr">
        <is>
          <t>S_W</t>
        </is>
      </c>
      <c r="E88" s="16">
        <f>Setup!$B$4</f>
        <v/>
      </c>
      <c r="F88" s="16">
        <f>IF(Setup!$B$2="","",Setup!$B$2)</f>
        <v/>
      </c>
      <c r="G88" s="16">
        <f>IFERROR(INDEX('C_jama.2018.18020'!$G$2:$G$15,MATCH($C88,'C_jama.2018.18020'!$A$2:$A$15,0)),"CHECK KEY")</f>
        <v/>
      </c>
      <c r="H88" s="16">
        <f>IF(OR(G88&lt;&gt;"PRIMARY READY",I88="discuss"),"",IF(I88&lt;&gt;"retain","not_eligible",IF(D88="P_R","protocol_descriptive",IF(D88="P_P","plan_descriptive",IF(AND(OR(D88="S_C",D88="S_W"),J88="statistical_results",OR(K88="confirmed_issue",K88="probable_issue"),L88="substantive"),"primary_temporal",IF(AND(OR(D88="S_C",D88="S_W"),J88="report_internal_inconsistency",N88="substantive_inconsistency"),"secondary_temporal","not_eligible"))))))</f>
        <v/>
      </c>
      <c r="I88" s="16">
        <f>IFERROR(IF(INDEX('C_jama.2018.18020'!$D$2:$D$15,MATCH($C88,'C_jama.2018.18020'!$A$2:$A$15,0))="","",INDEX('C_jama.2018.18020'!$D$2:$D$15,MATCH($C88,'C_jama.2018.18020'!$A$2:$A$15,0))),"")</f>
        <v/>
      </c>
      <c r="J88" s="16">
        <f>IFERROR(IF(INDEX('C_jama.2018.18020'!$E$2:$E$15,MATCH($C88,'C_jama.2018.18020'!$A$2:$A$15,0))="","",INDEX('C_jama.2018.18020'!$E$2:$E$15,MATCH($C88,'C_jama.2018.18020'!$A$2:$A$15,0))),"")</f>
        <v/>
      </c>
      <c r="K88" s="16">
        <f>IFERROR(IF(AND(I88="retain",J88="statistical_results"),IF(INDEX('C_jama.2018.18020'!$H$2:$H$15,MATCH($C88,'C_jama.2018.18020'!$A$2:$A$15,0))="","",INDEX('C_jama.2018.18020'!$H$2:$H$15,MATCH($C88,'C_jama.2018.18020'!$A$2:$A$15,0))),"not_applicable"),"")</f>
        <v/>
      </c>
      <c r="L88" s="16">
        <f>IFERROR(IF(AND(I88="retain",J88="statistical_results"),IF(INDEX('C_jama.2018.18020'!$I$2:$I$15,MATCH($C88,'C_jama.2018.18020'!$A$2:$A$15,0))="","",INDEX('C_jama.2018.18020'!$I$2:$I$15,MATCH($C88,'C_jama.2018.18020'!$A$2:$A$15,0))),"not_applicable"),"")</f>
        <v/>
      </c>
      <c r="M88" s="16">
        <f>IFERROR(IF(AND(I88="retain",J88="statistical_results"),IF(INDEX('C_jama.2018.18020'!$J$2:$J$15,MATCH($C88,'C_jama.2018.18020'!$A$2:$A$15,0))="","",INDEX('C_jama.2018.18020'!$J$2:$J$15,MATCH($C88,'C_jama.2018.18020'!$A$2:$A$15,0))),"not_applicable"),"")</f>
        <v/>
      </c>
      <c r="N88" s="16">
        <f>IFERROR(IF(AND(I88="retain",OR(J88="report_internal_inconsistency",J88="plan_material")),IF(INDEX('C_jama.2018.18020'!$K$2:$K$15,MATCH($C88,'C_jama.2018.18020'!$A$2:$A$15,0))="","",INDEX('C_jama.2018.18020'!$K$2:$K$15,MATCH($C88,'C_jama.2018.18020'!$A$2:$A$15,0))),"not_applicable"),"")</f>
        <v/>
      </c>
      <c r="O88" s="16">
        <f>IFERROR(IF(AND(I88="retain",J88="protocol_report"),IF(INDEX('C_jama.2018.18020'!$L$2:$L$15,MATCH($C88,'C_jama.2018.18020'!$A$2:$A$15,0))="","",INDEX('C_jama.2018.18020'!$L$2:$L$15,MATCH($C88,'C_jama.2018.18020'!$A$2:$A$15,0))),"not_applicable"),"")</f>
        <v/>
      </c>
      <c r="P88" s="16">
        <f>IFERROR(IF(INDEX('C_jama.2018.18020'!$R$2:$R$15,MATCH($C88,'C_jama.2018.18020'!$A$2:$A$15,0))="","",INDEX('C_jama.2018.18020'!$R$2:$R$15,MATCH($C88,'C_jama.2018.18020'!$A$2:$A$15,0))),"")</f>
        <v/>
      </c>
      <c r="Q88" s="16" t="inlineStr">
        <is>
          <t>retain</t>
        </is>
      </c>
      <c r="R88" s="16" t="inlineStr">
        <is>
          <t>report_internal_inconsistency</t>
        </is>
      </c>
    </row>
    <row r="89" ht="70" customHeight="1" s="14">
      <c r="A89" s="17" t="n">
        <v>2018</v>
      </c>
      <c r="B89" s="17" t="inlineStr">
        <is>
          <t>jama.2018.18020</t>
        </is>
      </c>
      <c r="C89" s="17" t="inlineStr">
        <is>
          <t>2018::jama.2018.18020::C008</t>
        </is>
      </c>
      <c r="D89" s="17" t="inlineStr">
        <is>
          <t>S_W</t>
        </is>
      </c>
      <c r="E89" s="17">
        <f>Setup!$B$4</f>
        <v/>
      </c>
      <c r="F89" s="17">
        <f>IF(Setup!$B$2="","",Setup!$B$2)</f>
        <v/>
      </c>
      <c r="G89" s="17">
        <f>IFERROR(INDEX('C_jama.2018.18020'!$G$2:$G$15,MATCH($C89,'C_jama.2018.18020'!$A$2:$A$15,0)),"CHECK KEY")</f>
        <v/>
      </c>
      <c r="H89" s="17">
        <f>IF(OR(G89&lt;&gt;"PRIMARY READY",I89="discuss"),"",IF(I89&lt;&gt;"retain","not_eligible",IF(D89="P_R","protocol_descriptive",IF(D89="P_P","plan_descriptive",IF(AND(OR(D89="S_C",D89="S_W"),J89="statistical_results",OR(K89="confirmed_issue",K89="probable_issue"),L89="substantive"),"primary_temporal",IF(AND(OR(D89="S_C",D89="S_W"),J89="report_internal_inconsistency",N89="substantive_inconsistency"),"secondary_temporal","not_eligible"))))))</f>
        <v/>
      </c>
      <c r="I89" s="17">
        <f>IFERROR(IF(INDEX('C_jama.2018.18020'!$D$2:$D$15,MATCH($C89,'C_jama.2018.18020'!$A$2:$A$15,0))="","",INDEX('C_jama.2018.18020'!$D$2:$D$15,MATCH($C89,'C_jama.2018.18020'!$A$2:$A$15,0))),"")</f>
        <v/>
      </c>
      <c r="J89" s="17">
        <f>IFERROR(IF(INDEX('C_jama.2018.18020'!$E$2:$E$15,MATCH($C89,'C_jama.2018.18020'!$A$2:$A$15,0))="","",INDEX('C_jama.2018.18020'!$E$2:$E$15,MATCH($C89,'C_jama.2018.18020'!$A$2:$A$15,0))),"")</f>
        <v/>
      </c>
      <c r="K89" s="17">
        <f>IFERROR(IF(AND(I89="retain",J89="statistical_results"),IF(INDEX('C_jama.2018.18020'!$H$2:$H$15,MATCH($C89,'C_jama.2018.18020'!$A$2:$A$15,0))="","",INDEX('C_jama.2018.18020'!$H$2:$H$15,MATCH($C89,'C_jama.2018.18020'!$A$2:$A$15,0))),"not_applicable"),"")</f>
        <v/>
      </c>
      <c r="L89" s="17">
        <f>IFERROR(IF(AND(I89="retain",J89="statistical_results"),IF(INDEX('C_jama.2018.18020'!$I$2:$I$15,MATCH($C89,'C_jama.2018.18020'!$A$2:$A$15,0))="","",INDEX('C_jama.2018.18020'!$I$2:$I$15,MATCH($C89,'C_jama.2018.18020'!$A$2:$A$15,0))),"not_applicable"),"")</f>
        <v/>
      </c>
      <c r="M89" s="17">
        <f>IFERROR(IF(AND(I89="retain",J89="statistical_results"),IF(INDEX('C_jama.2018.18020'!$J$2:$J$15,MATCH($C89,'C_jama.2018.18020'!$A$2:$A$15,0))="","",INDEX('C_jama.2018.18020'!$J$2:$J$15,MATCH($C89,'C_jama.2018.18020'!$A$2:$A$15,0))),"not_applicable"),"")</f>
        <v/>
      </c>
      <c r="N89" s="17">
        <f>IFERROR(IF(AND(I89="retain",OR(J89="report_internal_inconsistency",J89="plan_material")),IF(INDEX('C_jama.2018.18020'!$K$2:$K$15,MATCH($C89,'C_jama.2018.18020'!$A$2:$A$15,0))="","",INDEX('C_jama.2018.18020'!$K$2:$K$15,MATCH($C89,'C_jama.2018.18020'!$A$2:$A$15,0))),"not_applicable"),"")</f>
        <v/>
      </c>
      <c r="O89" s="17">
        <f>IFERROR(IF(AND(I89="retain",J89="protocol_report"),IF(INDEX('C_jama.2018.18020'!$L$2:$L$15,MATCH($C89,'C_jama.2018.18020'!$A$2:$A$15,0))="","",INDEX('C_jama.2018.18020'!$L$2:$L$15,MATCH($C89,'C_jama.2018.18020'!$A$2:$A$15,0))),"not_applicable"),"")</f>
        <v/>
      </c>
      <c r="P89" s="17">
        <f>IFERROR(IF(INDEX('C_jama.2018.18020'!$R$2:$R$15,MATCH($C89,'C_jama.2018.18020'!$A$2:$A$15,0))="","",INDEX('C_jama.2018.18020'!$R$2:$R$15,MATCH($C89,'C_jama.2018.18020'!$A$2:$A$15,0))),"")</f>
        <v/>
      </c>
      <c r="Q89" s="17" t="inlineStr">
        <is>
          <t>retain</t>
        </is>
      </c>
      <c r="R89" s="17" t="inlineStr">
        <is>
          <t>report_internal_inconsistency</t>
        </is>
      </c>
    </row>
    <row r="90" ht="70" customHeight="1" s="14">
      <c r="A90" s="16" t="n">
        <v>2018</v>
      </c>
      <c r="B90" s="16" t="inlineStr">
        <is>
          <t>jama.2018.18020</t>
        </is>
      </c>
      <c r="C90" s="16" t="inlineStr">
        <is>
          <t>2018::jama.2018.18020::C009</t>
        </is>
      </c>
      <c r="D90" s="16" t="inlineStr">
        <is>
          <t>S_W</t>
        </is>
      </c>
      <c r="E90" s="16">
        <f>Setup!$B$4</f>
        <v/>
      </c>
      <c r="F90" s="16">
        <f>IF(Setup!$B$2="","",Setup!$B$2)</f>
        <v/>
      </c>
      <c r="G90" s="16">
        <f>IFERROR(INDEX('C_jama.2018.18020'!$G$2:$G$15,MATCH($C90,'C_jama.2018.18020'!$A$2:$A$15,0)),"CHECK KEY")</f>
        <v/>
      </c>
      <c r="H90" s="16">
        <f>IF(OR(G90&lt;&gt;"PRIMARY READY",I90="discuss"),"",IF(I90&lt;&gt;"retain","not_eligible",IF(D90="P_R","protocol_descriptive",IF(D90="P_P","plan_descriptive",IF(AND(OR(D90="S_C",D90="S_W"),J90="statistical_results",OR(K90="confirmed_issue",K90="probable_issue"),L90="substantive"),"primary_temporal",IF(AND(OR(D90="S_C",D90="S_W"),J90="report_internal_inconsistency",N90="substantive_inconsistency"),"secondary_temporal","not_eligible"))))))</f>
        <v/>
      </c>
      <c r="I90" s="16">
        <f>IFERROR(IF(INDEX('C_jama.2018.18020'!$D$2:$D$15,MATCH($C90,'C_jama.2018.18020'!$A$2:$A$15,0))="","",INDEX('C_jama.2018.18020'!$D$2:$D$15,MATCH($C90,'C_jama.2018.18020'!$A$2:$A$15,0))),"")</f>
        <v/>
      </c>
      <c r="J90" s="16">
        <f>IFERROR(IF(INDEX('C_jama.2018.18020'!$E$2:$E$15,MATCH($C90,'C_jama.2018.18020'!$A$2:$A$15,0))="","",INDEX('C_jama.2018.18020'!$E$2:$E$15,MATCH($C90,'C_jama.2018.18020'!$A$2:$A$15,0))),"")</f>
        <v/>
      </c>
      <c r="K90" s="16">
        <f>IFERROR(IF(AND(I90="retain",J90="statistical_results"),IF(INDEX('C_jama.2018.18020'!$H$2:$H$15,MATCH($C90,'C_jama.2018.18020'!$A$2:$A$15,0))="","",INDEX('C_jama.2018.18020'!$H$2:$H$15,MATCH($C90,'C_jama.2018.18020'!$A$2:$A$15,0))),"not_applicable"),"")</f>
        <v/>
      </c>
      <c r="L90" s="16">
        <f>IFERROR(IF(AND(I90="retain",J90="statistical_results"),IF(INDEX('C_jama.2018.18020'!$I$2:$I$15,MATCH($C90,'C_jama.2018.18020'!$A$2:$A$15,0))="","",INDEX('C_jama.2018.18020'!$I$2:$I$15,MATCH($C90,'C_jama.2018.18020'!$A$2:$A$15,0))),"not_applicable"),"")</f>
        <v/>
      </c>
      <c r="M90" s="16">
        <f>IFERROR(IF(AND(I90="retain",J90="statistical_results"),IF(INDEX('C_jama.2018.18020'!$J$2:$J$15,MATCH($C90,'C_jama.2018.18020'!$A$2:$A$15,0))="","",INDEX('C_jama.2018.18020'!$J$2:$J$15,MATCH($C90,'C_jama.2018.18020'!$A$2:$A$15,0))),"not_applicable"),"")</f>
        <v/>
      </c>
      <c r="N90" s="16">
        <f>IFERROR(IF(AND(I90="retain",OR(J90="report_internal_inconsistency",J90="plan_material")),IF(INDEX('C_jama.2018.18020'!$K$2:$K$15,MATCH($C90,'C_jama.2018.18020'!$A$2:$A$15,0))="","",INDEX('C_jama.2018.18020'!$K$2:$K$15,MATCH($C90,'C_jama.2018.18020'!$A$2:$A$15,0))),"not_applicable"),"")</f>
        <v/>
      </c>
      <c r="O90" s="16">
        <f>IFERROR(IF(AND(I90="retain",J90="protocol_report"),IF(INDEX('C_jama.2018.18020'!$L$2:$L$15,MATCH($C90,'C_jama.2018.18020'!$A$2:$A$15,0))="","",INDEX('C_jama.2018.18020'!$L$2:$L$15,MATCH($C90,'C_jama.2018.18020'!$A$2:$A$15,0))),"not_applicable"),"")</f>
        <v/>
      </c>
      <c r="P90" s="16">
        <f>IFERROR(IF(INDEX('C_jama.2018.18020'!$R$2:$R$15,MATCH($C90,'C_jama.2018.18020'!$A$2:$A$15,0))="","",INDEX('C_jama.2018.18020'!$R$2:$R$15,MATCH($C90,'C_jama.2018.18020'!$A$2:$A$15,0))),"")</f>
        <v/>
      </c>
      <c r="Q90" s="16" t="inlineStr">
        <is>
          <t>retain</t>
        </is>
      </c>
      <c r="R90" s="16" t="inlineStr">
        <is>
          <t>statistical_results</t>
        </is>
      </c>
    </row>
    <row r="91" ht="70" customHeight="1" s="14">
      <c r="A91" s="17" t="n">
        <v>2018</v>
      </c>
      <c r="B91" s="17" t="inlineStr">
        <is>
          <t>jama.2018.18020</t>
        </is>
      </c>
      <c r="C91" s="17" t="inlineStr">
        <is>
          <t>2018::jama.2018.18020::C010</t>
        </is>
      </c>
      <c r="D91" s="17" t="inlineStr">
        <is>
          <t>S_W</t>
        </is>
      </c>
      <c r="E91" s="17">
        <f>Setup!$B$4</f>
        <v/>
      </c>
      <c r="F91" s="17">
        <f>IF(Setup!$B$2="","",Setup!$B$2)</f>
        <v/>
      </c>
      <c r="G91" s="17">
        <f>IFERROR(INDEX('C_jama.2018.18020'!$G$2:$G$15,MATCH($C91,'C_jama.2018.18020'!$A$2:$A$15,0)),"CHECK KEY")</f>
        <v/>
      </c>
      <c r="H91" s="17">
        <f>IF(OR(G91&lt;&gt;"PRIMARY READY",I91="discuss"),"",IF(I91&lt;&gt;"retain","not_eligible",IF(D91="P_R","protocol_descriptive",IF(D91="P_P","plan_descriptive",IF(AND(OR(D91="S_C",D91="S_W"),J91="statistical_results",OR(K91="confirmed_issue",K91="probable_issue"),L91="substantive"),"primary_temporal",IF(AND(OR(D91="S_C",D91="S_W"),J91="report_internal_inconsistency",N91="substantive_inconsistency"),"secondary_temporal","not_eligible"))))))</f>
        <v/>
      </c>
      <c r="I91" s="17">
        <f>IFERROR(IF(INDEX('C_jama.2018.18020'!$D$2:$D$15,MATCH($C91,'C_jama.2018.18020'!$A$2:$A$15,0))="","",INDEX('C_jama.2018.18020'!$D$2:$D$15,MATCH($C91,'C_jama.2018.18020'!$A$2:$A$15,0))),"")</f>
        <v/>
      </c>
      <c r="J91" s="17">
        <f>IFERROR(IF(INDEX('C_jama.2018.18020'!$E$2:$E$15,MATCH($C91,'C_jama.2018.18020'!$A$2:$A$15,0))="","",INDEX('C_jama.2018.18020'!$E$2:$E$15,MATCH($C91,'C_jama.2018.18020'!$A$2:$A$15,0))),"")</f>
        <v/>
      </c>
      <c r="K91" s="17">
        <f>IFERROR(IF(AND(I91="retain",J91="statistical_results"),IF(INDEX('C_jama.2018.18020'!$H$2:$H$15,MATCH($C91,'C_jama.2018.18020'!$A$2:$A$15,0))="","",INDEX('C_jama.2018.18020'!$H$2:$H$15,MATCH($C91,'C_jama.2018.18020'!$A$2:$A$15,0))),"not_applicable"),"")</f>
        <v/>
      </c>
      <c r="L91" s="17">
        <f>IFERROR(IF(AND(I91="retain",J91="statistical_results"),IF(INDEX('C_jama.2018.18020'!$I$2:$I$15,MATCH($C91,'C_jama.2018.18020'!$A$2:$A$15,0))="","",INDEX('C_jama.2018.18020'!$I$2:$I$15,MATCH($C91,'C_jama.2018.18020'!$A$2:$A$15,0))),"not_applicable"),"")</f>
        <v/>
      </c>
      <c r="M91" s="17">
        <f>IFERROR(IF(AND(I91="retain",J91="statistical_results"),IF(INDEX('C_jama.2018.18020'!$J$2:$J$15,MATCH($C91,'C_jama.2018.18020'!$A$2:$A$15,0))="","",INDEX('C_jama.2018.18020'!$J$2:$J$15,MATCH($C91,'C_jama.2018.18020'!$A$2:$A$15,0))),"not_applicable"),"")</f>
        <v/>
      </c>
      <c r="N91" s="17">
        <f>IFERROR(IF(AND(I91="retain",OR(J91="report_internal_inconsistency",J91="plan_material")),IF(INDEX('C_jama.2018.18020'!$K$2:$K$15,MATCH($C91,'C_jama.2018.18020'!$A$2:$A$15,0))="","",INDEX('C_jama.2018.18020'!$K$2:$K$15,MATCH($C91,'C_jama.2018.18020'!$A$2:$A$15,0))),"not_applicable"),"")</f>
        <v/>
      </c>
      <c r="O91" s="17">
        <f>IFERROR(IF(AND(I91="retain",J91="protocol_report"),IF(INDEX('C_jama.2018.18020'!$L$2:$L$15,MATCH($C91,'C_jama.2018.18020'!$A$2:$A$15,0))="","",INDEX('C_jama.2018.18020'!$L$2:$L$15,MATCH($C91,'C_jama.2018.18020'!$A$2:$A$15,0))),"not_applicable"),"")</f>
        <v/>
      </c>
      <c r="P91" s="17">
        <f>IFERROR(IF(INDEX('C_jama.2018.18020'!$R$2:$R$15,MATCH($C91,'C_jama.2018.18020'!$A$2:$A$15,0))="","",INDEX('C_jama.2018.18020'!$R$2:$R$15,MATCH($C91,'C_jama.2018.18020'!$A$2:$A$15,0))),"")</f>
        <v/>
      </c>
      <c r="Q91" s="17" t="inlineStr">
        <is>
          <t>retain</t>
        </is>
      </c>
      <c r="R91" s="17" t="inlineStr">
        <is>
          <t>statistical_results</t>
        </is>
      </c>
    </row>
    <row r="92" ht="70" customHeight="1" s="14">
      <c r="A92" s="16" t="n">
        <v>2018</v>
      </c>
      <c r="B92" s="16" t="inlineStr">
        <is>
          <t>jama.2018.18020</t>
        </is>
      </c>
      <c r="C92" s="16" t="inlineStr">
        <is>
          <t>2018::jama.2018.18020::C011</t>
        </is>
      </c>
      <c r="D92" s="16" t="inlineStr">
        <is>
          <t>S_W</t>
        </is>
      </c>
      <c r="E92" s="16">
        <f>Setup!$B$4</f>
        <v/>
      </c>
      <c r="F92" s="16">
        <f>IF(Setup!$B$2="","",Setup!$B$2)</f>
        <v/>
      </c>
      <c r="G92" s="16">
        <f>IFERROR(INDEX('C_jama.2018.18020'!$G$2:$G$15,MATCH($C92,'C_jama.2018.18020'!$A$2:$A$15,0)),"CHECK KEY")</f>
        <v/>
      </c>
      <c r="H92" s="16">
        <f>IF(OR(G92&lt;&gt;"PRIMARY READY",I92="discuss"),"",IF(I92&lt;&gt;"retain","not_eligible",IF(D92="P_R","protocol_descriptive",IF(D92="P_P","plan_descriptive",IF(AND(OR(D92="S_C",D92="S_W"),J92="statistical_results",OR(K92="confirmed_issue",K92="probable_issue"),L92="substantive"),"primary_temporal",IF(AND(OR(D92="S_C",D92="S_W"),J92="report_internal_inconsistency",N92="substantive_inconsistency"),"secondary_temporal","not_eligible"))))))</f>
        <v/>
      </c>
      <c r="I92" s="16">
        <f>IFERROR(IF(INDEX('C_jama.2018.18020'!$D$2:$D$15,MATCH($C92,'C_jama.2018.18020'!$A$2:$A$15,0))="","",INDEX('C_jama.2018.18020'!$D$2:$D$15,MATCH($C92,'C_jama.2018.18020'!$A$2:$A$15,0))),"")</f>
        <v/>
      </c>
      <c r="J92" s="16">
        <f>IFERROR(IF(INDEX('C_jama.2018.18020'!$E$2:$E$15,MATCH($C92,'C_jama.2018.18020'!$A$2:$A$15,0))="","",INDEX('C_jama.2018.18020'!$E$2:$E$15,MATCH($C92,'C_jama.2018.18020'!$A$2:$A$15,0))),"")</f>
        <v/>
      </c>
      <c r="K92" s="16">
        <f>IFERROR(IF(AND(I92="retain",J92="statistical_results"),IF(INDEX('C_jama.2018.18020'!$H$2:$H$15,MATCH($C92,'C_jama.2018.18020'!$A$2:$A$15,0))="","",INDEX('C_jama.2018.18020'!$H$2:$H$15,MATCH($C92,'C_jama.2018.18020'!$A$2:$A$15,0))),"not_applicable"),"")</f>
        <v/>
      </c>
      <c r="L92" s="16">
        <f>IFERROR(IF(AND(I92="retain",J92="statistical_results"),IF(INDEX('C_jama.2018.18020'!$I$2:$I$15,MATCH($C92,'C_jama.2018.18020'!$A$2:$A$15,0))="","",INDEX('C_jama.2018.18020'!$I$2:$I$15,MATCH($C92,'C_jama.2018.18020'!$A$2:$A$15,0))),"not_applicable"),"")</f>
        <v/>
      </c>
      <c r="M92" s="16">
        <f>IFERROR(IF(AND(I92="retain",J92="statistical_results"),IF(INDEX('C_jama.2018.18020'!$J$2:$J$15,MATCH($C92,'C_jama.2018.18020'!$A$2:$A$15,0))="","",INDEX('C_jama.2018.18020'!$J$2:$J$15,MATCH($C92,'C_jama.2018.18020'!$A$2:$A$15,0))),"not_applicable"),"")</f>
        <v/>
      </c>
      <c r="N92" s="16">
        <f>IFERROR(IF(AND(I92="retain",OR(J92="report_internal_inconsistency",J92="plan_material")),IF(INDEX('C_jama.2018.18020'!$K$2:$K$15,MATCH($C92,'C_jama.2018.18020'!$A$2:$A$15,0))="","",INDEX('C_jama.2018.18020'!$K$2:$K$15,MATCH($C92,'C_jama.2018.18020'!$A$2:$A$15,0))),"not_applicable"),"")</f>
        <v/>
      </c>
      <c r="O92" s="16">
        <f>IFERROR(IF(AND(I92="retain",J92="protocol_report"),IF(INDEX('C_jama.2018.18020'!$L$2:$L$15,MATCH($C92,'C_jama.2018.18020'!$A$2:$A$15,0))="","",INDEX('C_jama.2018.18020'!$L$2:$L$15,MATCH($C92,'C_jama.2018.18020'!$A$2:$A$15,0))),"not_applicable"),"")</f>
        <v/>
      </c>
      <c r="P92" s="16">
        <f>IFERROR(IF(INDEX('C_jama.2018.18020'!$R$2:$R$15,MATCH($C92,'C_jama.2018.18020'!$A$2:$A$15,0))="","",INDEX('C_jama.2018.18020'!$R$2:$R$15,MATCH($C92,'C_jama.2018.18020'!$A$2:$A$15,0))),"")</f>
        <v/>
      </c>
      <c r="Q92" s="16" t="inlineStr">
        <is>
          <t>retain</t>
        </is>
      </c>
      <c r="R92" s="16" t="inlineStr">
        <is>
          <t>statistical_results</t>
        </is>
      </c>
    </row>
    <row r="93" ht="70" customHeight="1" s="14">
      <c r="A93" s="17" t="n">
        <v>2018</v>
      </c>
      <c r="B93" s="17" t="inlineStr">
        <is>
          <t>jama.2018.18020</t>
        </is>
      </c>
      <c r="C93" s="17" t="inlineStr">
        <is>
          <t>2018::jama.2018.18020::C012</t>
        </is>
      </c>
      <c r="D93" s="17" t="inlineStr">
        <is>
          <t>S_W</t>
        </is>
      </c>
      <c r="E93" s="17">
        <f>Setup!$B$4</f>
        <v/>
      </c>
      <c r="F93" s="17">
        <f>IF(Setup!$B$2="","",Setup!$B$2)</f>
        <v/>
      </c>
      <c r="G93" s="17">
        <f>IFERROR(INDEX('C_jama.2018.18020'!$G$2:$G$15,MATCH($C93,'C_jama.2018.18020'!$A$2:$A$15,0)),"CHECK KEY")</f>
        <v/>
      </c>
      <c r="H93" s="17">
        <f>IF(OR(G93&lt;&gt;"PRIMARY READY",I93="discuss"),"",IF(I93&lt;&gt;"retain","not_eligible",IF(D93="P_R","protocol_descriptive",IF(D93="P_P","plan_descriptive",IF(AND(OR(D93="S_C",D93="S_W"),J93="statistical_results",OR(K93="confirmed_issue",K93="probable_issue"),L93="substantive"),"primary_temporal",IF(AND(OR(D93="S_C",D93="S_W"),J93="report_internal_inconsistency",N93="substantive_inconsistency"),"secondary_temporal","not_eligible"))))))</f>
        <v/>
      </c>
      <c r="I93" s="17">
        <f>IFERROR(IF(INDEX('C_jama.2018.18020'!$D$2:$D$15,MATCH($C93,'C_jama.2018.18020'!$A$2:$A$15,0))="","",INDEX('C_jama.2018.18020'!$D$2:$D$15,MATCH($C93,'C_jama.2018.18020'!$A$2:$A$15,0))),"")</f>
        <v/>
      </c>
      <c r="J93" s="17">
        <f>IFERROR(IF(INDEX('C_jama.2018.18020'!$E$2:$E$15,MATCH($C93,'C_jama.2018.18020'!$A$2:$A$15,0))="","",INDEX('C_jama.2018.18020'!$E$2:$E$15,MATCH($C93,'C_jama.2018.18020'!$A$2:$A$15,0))),"")</f>
        <v/>
      </c>
      <c r="K93" s="17">
        <f>IFERROR(IF(AND(I93="retain",J93="statistical_results"),IF(INDEX('C_jama.2018.18020'!$H$2:$H$15,MATCH($C93,'C_jama.2018.18020'!$A$2:$A$15,0))="","",INDEX('C_jama.2018.18020'!$H$2:$H$15,MATCH($C93,'C_jama.2018.18020'!$A$2:$A$15,0))),"not_applicable"),"")</f>
        <v/>
      </c>
      <c r="L93" s="17">
        <f>IFERROR(IF(AND(I93="retain",J93="statistical_results"),IF(INDEX('C_jama.2018.18020'!$I$2:$I$15,MATCH($C93,'C_jama.2018.18020'!$A$2:$A$15,0))="","",INDEX('C_jama.2018.18020'!$I$2:$I$15,MATCH($C93,'C_jama.2018.18020'!$A$2:$A$15,0))),"not_applicable"),"")</f>
        <v/>
      </c>
      <c r="M93" s="17">
        <f>IFERROR(IF(AND(I93="retain",J93="statistical_results"),IF(INDEX('C_jama.2018.18020'!$J$2:$J$15,MATCH($C93,'C_jama.2018.18020'!$A$2:$A$15,0))="","",INDEX('C_jama.2018.18020'!$J$2:$J$15,MATCH($C93,'C_jama.2018.18020'!$A$2:$A$15,0))),"not_applicable"),"")</f>
        <v/>
      </c>
      <c r="N93" s="17">
        <f>IFERROR(IF(AND(I93="retain",OR(J93="report_internal_inconsistency",J93="plan_material")),IF(INDEX('C_jama.2018.18020'!$K$2:$K$15,MATCH($C93,'C_jama.2018.18020'!$A$2:$A$15,0))="","",INDEX('C_jama.2018.18020'!$K$2:$K$15,MATCH($C93,'C_jama.2018.18020'!$A$2:$A$15,0))),"not_applicable"),"")</f>
        <v/>
      </c>
      <c r="O93" s="17">
        <f>IFERROR(IF(AND(I93="retain",J93="protocol_report"),IF(INDEX('C_jama.2018.18020'!$L$2:$L$15,MATCH($C93,'C_jama.2018.18020'!$A$2:$A$15,0))="","",INDEX('C_jama.2018.18020'!$L$2:$L$15,MATCH($C93,'C_jama.2018.18020'!$A$2:$A$15,0))),"not_applicable"),"")</f>
        <v/>
      </c>
      <c r="P93" s="17">
        <f>IFERROR(IF(INDEX('C_jama.2018.18020'!$R$2:$R$15,MATCH($C93,'C_jama.2018.18020'!$A$2:$A$15,0))="","",INDEX('C_jama.2018.18020'!$R$2:$R$15,MATCH($C93,'C_jama.2018.18020'!$A$2:$A$15,0))),"")</f>
        <v/>
      </c>
      <c r="Q93" s="17" t="inlineStr">
        <is>
          <t>retain</t>
        </is>
      </c>
      <c r="R93" s="17" t="inlineStr">
        <is>
          <t>statistical_results</t>
        </is>
      </c>
    </row>
    <row r="94" ht="70" customHeight="1" s="14">
      <c r="A94" s="16" t="n">
        <v>2018</v>
      </c>
      <c r="B94" s="16" t="inlineStr">
        <is>
          <t>jama.2018.18020</t>
        </is>
      </c>
      <c r="C94" s="16" t="inlineStr">
        <is>
          <t>2018::jama.2018.18020::C013</t>
        </is>
      </c>
      <c r="D94" s="16" t="inlineStr">
        <is>
          <t>S_W</t>
        </is>
      </c>
      <c r="E94" s="16">
        <f>Setup!$B$4</f>
        <v/>
      </c>
      <c r="F94" s="16">
        <f>IF(Setup!$B$2="","",Setup!$B$2)</f>
        <v/>
      </c>
      <c r="G94" s="16">
        <f>IFERROR(INDEX('C_jama.2018.18020'!$G$2:$G$15,MATCH($C94,'C_jama.2018.18020'!$A$2:$A$15,0)),"CHECK KEY")</f>
        <v/>
      </c>
      <c r="H94" s="16">
        <f>IF(OR(G94&lt;&gt;"PRIMARY READY",I94="discuss"),"",IF(I94&lt;&gt;"retain","not_eligible",IF(D94="P_R","protocol_descriptive",IF(D94="P_P","plan_descriptive",IF(AND(OR(D94="S_C",D94="S_W"),J94="statistical_results",OR(K94="confirmed_issue",K94="probable_issue"),L94="substantive"),"primary_temporal",IF(AND(OR(D94="S_C",D94="S_W"),J94="report_internal_inconsistency",N94="substantive_inconsistency"),"secondary_temporal","not_eligible"))))))</f>
        <v/>
      </c>
      <c r="I94" s="16">
        <f>IFERROR(IF(INDEX('C_jama.2018.18020'!$D$2:$D$15,MATCH($C94,'C_jama.2018.18020'!$A$2:$A$15,0))="","",INDEX('C_jama.2018.18020'!$D$2:$D$15,MATCH($C94,'C_jama.2018.18020'!$A$2:$A$15,0))),"")</f>
        <v/>
      </c>
      <c r="J94" s="16">
        <f>IFERROR(IF(INDEX('C_jama.2018.18020'!$E$2:$E$15,MATCH($C94,'C_jama.2018.18020'!$A$2:$A$15,0))="","",INDEX('C_jama.2018.18020'!$E$2:$E$15,MATCH($C94,'C_jama.2018.18020'!$A$2:$A$15,0))),"")</f>
        <v/>
      </c>
      <c r="K94" s="16">
        <f>IFERROR(IF(AND(I94="retain",J94="statistical_results"),IF(INDEX('C_jama.2018.18020'!$H$2:$H$15,MATCH($C94,'C_jama.2018.18020'!$A$2:$A$15,0))="","",INDEX('C_jama.2018.18020'!$H$2:$H$15,MATCH($C94,'C_jama.2018.18020'!$A$2:$A$15,0))),"not_applicable"),"")</f>
        <v/>
      </c>
      <c r="L94" s="16">
        <f>IFERROR(IF(AND(I94="retain",J94="statistical_results"),IF(INDEX('C_jama.2018.18020'!$I$2:$I$15,MATCH($C94,'C_jama.2018.18020'!$A$2:$A$15,0))="","",INDEX('C_jama.2018.18020'!$I$2:$I$15,MATCH($C94,'C_jama.2018.18020'!$A$2:$A$15,0))),"not_applicable"),"")</f>
        <v/>
      </c>
      <c r="M94" s="16">
        <f>IFERROR(IF(AND(I94="retain",J94="statistical_results"),IF(INDEX('C_jama.2018.18020'!$J$2:$J$15,MATCH($C94,'C_jama.2018.18020'!$A$2:$A$15,0))="","",INDEX('C_jama.2018.18020'!$J$2:$J$15,MATCH($C94,'C_jama.2018.18020'!$A$2:$A$15,0))),"not_applicable"),"")</f>
        <v/>
      </c>
      <c r="N94" s="16">
        <f>IFERROR(IF(AND(I94="retain",OR(J94="report_internal_inconsistency",J94="plan_material")),IF(INDEX('C_jama.2018.18020'!$K$2:$K$15,MATCH($C94,'C_jama.2018.18020'!$A$2:$A$15,0))="","",INDEX('C_jama.2018.18020'!$K$2:$K$15,MATCH($C94,'C_jama.2018.18020'!$A$2:$A$15,0))),"not_applicable"),"")</f>
        <v/>
      </c>
      <c r="O94" s="16">
        <f>IFERROR(IF(AND(I94="retain",J94="protocol_report"),IF(INDEX('C_jama.2018.18020'!$L$2:$L$15,MATCH($C94,'C_jama.2018.18020'!$A$2:$A$15,0))="","",INDEX('C_jama.2018.18020'!$L$2:$L$15,MATCH($C94,'C_jama.2018.18020'!$A$2:$A$15,0))),"not_applicable"),"")</f>
        <v/>
      </c>
      <c r="P94" s="16">
        <f>IFERROR(IF(INDEX('C_jama.2018.18020'!$R$2:$R$15,MATCH($C94,'C_jama.2018.18020'!$A$2:$A$15,0))="","",INDEX('C_jama.2018.18020'!$R$2:$R$15,MATCH($C94,'C_jama.2018.18020'!$A$2:$A$15,0))),"")</f>
        <v/>
      </c>
      <c r="Q94" s="16" t="inlineStr">
        <is>
          <t>retain</t>
        </is>
      </c>
      <c r="R94" s="16" t="inlineStr">
        <is>
          <t>statistical_results</t>
        </is>
      </c>
    </row>
    <row r="95" ht="70" customHeight="1" s="14">
      <c r="A95" s="17" t="n">
        <v>2018</v>
      </c>
      <c r="B95" s="17" t="inlineStr">
        <is>
          <t>jama.2018.18020</t>
        </is>
      </c>
      <c r="C95" s="17" t="inlineStr">
        <is>
          <t>2018::jama.2018.18020::C014</t>
        </is>
      </c>
      <c r="D95" s="17" t="inlineStr">
        <is>
          <t>S_W</t>
        </is>
      </c>
      <c r="E95" s="17">
        <f>Setup!$B$4</f>
        <v/>
      </c>
      <c r="F95" s="17">
        <f>IF(Setup!$B$2="","",Setup!$B$2)</f>
        <v/>
      </c>
      <c r="G95" s="17">
        <f>IFERROR(INDEX('C_jama.2018.18020'!$G$2:$G$15,MATCH($C95,'C_jama.2018.18020'!$A$2:$A$15,0)),"CHECK KEY")</f>
        <v/>
      </c>
      <c r="H95" s="17">
        <f>IF(OR(G95&lt;&gt;"PRIMARY READY",I95="discuss"),"",IF(I95&lt;&gt;"retain","not_eligible",IF(D95="P_R","protocol_descriptive",IF(D95="P_P","plan_descriptive",IF(AND(OR(D95="S_C",D95="S_W"),J95="statistical_results",OR(K95="confirmed_issue",K95="probable_issue"),L95="substantive"),"primary_temporal",IF(AND(OR(D95="S_C",D95="S_W"),J95="report_internal_inconsistency",N95="substantive_inconsistency"),"secondary_temporal","not_eligible"))))))</f>
        <v/>
      </c>
      <c r="I95" s="17">
        <f>IFERROR(IF(INDEX('C_jama.2018.18020'!$D$2:$D$15,MATCH($C95,'C_jama.2018.18020'!$A$2:$A$15,0))="","",INDEX('C_jama.2018.18020'!$D$2:$D$15,MATCH($C95,'C_jama.2018.18020'!$A$2:$A$15,0))),"")</f>
        <v/>
      </c>
      <c r="J95" s="17">
        <f>IFERROR(IF(INDEX('C_jama.2018.18020'!$E$2:$E$15,MATCH($C95,'C_jama.2018.18020'!$A$2:$A$15,0))="","",INDEX('C_jama.2018.18020'!$E$2:$E$15,MATCH($C95,'C_jama.2018.18020'!$A$2:$A$15,0))),"")</f>
        <v/>
      </c>
      <c r="K95" s="17">
        <f>IFERROR(IF(AND(I95="retain",J95="statistical_results"),IF(INDEX('C_jama.2018.18020'!$H$2:$H$15,MATCH($C95,'C_jama.2018.18020'!$A$2:$A$15,0))="","",INDEX('C_jama.2018.18020'!$H$2:$H$15,MATCH($C95,'C_jama.2018.18020'!$A$2:$A$15,0))),"not_applicable"),"")</f>
        <v/>
      </c>
      <c r="L95" s="17">
        <f>IFERROR(IF(AND(I95="retain",J95="statistical_results"),IF(INDEX('C_jama.2018.18020'!$I$2:$I$15,MATCH($C95,'C_jama.2018.18020'!$A$2:$A$15,0))="","",INDEX('C_jama.2018.18020'!$I$2:$I$15,MATCH($C95,'C_jama.2018.18020'!$A$2:$A$15,0))),"not_applicable"),"")</f>
        <v/>
      </c>
      <c r="M95" s="17">
        <f>IFERROR(IF(AND(I95="retain",J95="statistical_results"),IF(INDEX('C_jama.2018.18020'!$J$2:$J$15,MATCH($C95,'C_jama.2018.18020'!$A$2:$A$15,0))="","",INDEX('C_jama.2018.18020'!$J$2:$J$15,MATCH($C95,'C_jama.2018.18020'!$A$2:$A$15,0))),"not_applicable"),"")</f>
        <v/>
      </c>
      <c r="N95" s="17">
        <f>IFERROR(IF(AND(I95="retain",OR(J95="report_internal_inconsistency",J95="plan_material")),IF(INDEX('C_jama.2018.18020'!$K$2:$K$15,MATCH($C95,'C_jama.2018.18020'!$A$2:$A$15,0))="","",INDEX('C_jama.2018.18020'!$K$2:$K$15,MATCH($C95,'C_jama.2018.18020'!$A$2:$A$15,0))),"not_applicable"),"")</f>
        <v/>
      </c>
      <c r="O95" s="17">
        <f>IFERROR(IF(AND(I95="retain",J95="protocol_report"),IF(INDEX('C_jama.2018.18020'!$L$2:$L$15,MATCH($C95,'C_jama.2018.18020'!$A$2:$A$15,0))="","",INDEX('C_jama.2018.18020'!$L$2:$L$15,MATCH($C95,'C_jama.2018.18020'!$A$2:$A$15,0))),"not_applicable"),"")</f>
        <v/>
      </c>
      <c r="P95" s="17">
        <f>IFERROR(IF(INDEX('C_jama.2018.18020'!$R$2:$R$15,MATCH($C95,'C_jama.2018.18020'!$A$2:$A$15,0))="","",INDEX('C_jama.2018.18020'!$R$2:$R$15,MATCH($C95,'C_jama.2018.18020'!$A$2:$A$15,0))),"")</f>
        <v/>
      </c>
      <c r="Q95" s="17" t="inlineStr">
        <is>
          <t>retain</t>
        </is>
      </c>
      <c r="R95" s="17" t="inlineStr">
        <is>
          <t>statistical_results</t>
        </is>
      </c>
    </row>
    <row r="96" ht="70" customHeight="1" s="14">
      <c r="A96" s="16" t="n">
        <v>2018</v>
      </c>
      <c r="B96" s="16" t="inlineStr">
        <is>
          <t>jama.2018.6496</t>
        </is>
      </c>
      <c r="C96" s="16" t="inlineStr">
        <is>
          <t>2018::jama.2018.6496::C001</t>
        </is>
      </c>
      <c r="D96" s="16" t="inlineStr">
        <is>
          <t>S_W</t>
        </is>
      </c>
      <c r="E96" s="16">
        <f>Setup!$B$4</f>
        <v/>
      </c>
      <c r="F96" s="16">
        <f>IF(Setup!$B$2="","",Setup!$B$2)</f>
        <v/>
      </c>
      <c r="G96" s="16">
        <f>IFERROR(INDEX('C_jama.2018.6496'!$G$2:$G$5,MATCH($C96,'C_jama.2018.6496'!$A$2:$A$5,0)),"CHECK KEY")</f>
        <v/>
      </c>
      <c r="H96" s="16">
        <f>IF(OR(G96&lt;&gt;"PRIMARY READY",I96="discuss"),"",IF(I96&lt;&gt;"retain","not_eligible",IF(D96="P_R","protocol_descriptive",IF(D96="P_P","plan_descriptive",IF(AND(OR(D96="S_C",D96="S_W"),J96="statistical_results",OR(K96="confirmed_issue",K96="probable_issue"),L96="substantive"),"primary_temporal",IF(AND(OR(D96="S_C",D96="S_W"),J96="report_internal_inconsistency",N96="substantive_inconsistency"),"secondary_temporal","not_eligible"))))))</f>
        <v/>
      </c>
      <c r="I96" s="16">
        <f>IFERROR(IF(INDEX('C_jama.2018.6496'!$D$2:$D$5,MATCH($C96,'C_jama.2018.6496'!$A$2:$A$5,0))="","",INDEX('C_jama.2018.6496'!$D$2:$D$5,MATCH($C96,'C_jama.2018.6496'!$A$2:$A$5,0))),"")</f>
        <v/>
      </c>
      <c r="J96" s="16">
        <f>IFERROR(IF(INDEX('C_jama.2018.6496'!$E$2:$E$5,MATCH($C96,'C_jama.2018.6496'!$A$2:$A$5,0))="","",INDEX('C_jama.2018.6496'!$E$2:$E$5,MATCH($C96,'C_jama.2018.6496'!$A$2:$A$5,0))),"")</f>
        <v/>
      </c>
      <c r="K96" s="16">
        <f>IFERROR(IF(AND(I96="retain",J96="statistical_results"),IF(INDEX('C_jama.2018.6496'!$H$2:$H$5,MATCH($C96,'C_jama.2018.6496'!$A$2:$A$5,0))="","",INDEX('C_jama.2018.6496'!$H$2:$H$5,MATCH($C96,'C_jama.2018.6496'!$A$2:$A$5,0))),"not_applicable"),"")</f>
        <v/>
      </c>
      <c r="L96" s="16">
        <f>IFERROR(IF(AND(I96="retain",J96="statistical_results"),IF(INDEX('C_jama.2018.6496'!$I$2:$I$5,MATCH($C96,'C_jama.2018.6496'!$A$2:$A$5,0))="","",INDEX('C_jama.2018.6496'!$I$2:$I$5,MATCH($C96,'C_jama.2018.6496'!$A$2:$A$5,0))),"not_applicable"),"")</f>
        <v/>
      </c>
      <c r="M96" s="16">
        <f>IFERROR(IF(AND(I96="retain",J96="statistical_results"),IF(INDEX('C_jama.2018.6496'!$J$2:$J$5,MATCH($C96,'C_jama.2018.6496'!$A$2:$A$5,0))="","",INDEX('C_jama.2018.6496'!$J$2:$J$5,MATCH($C96,'C_jama.2018.6496'!$A$2:$A$5,0))),"not_applicable"),"")</f>
        <v/>
      </c>
      <c r="N96" s="16">
        <f>IFERROR(IF(AND(I96="retain",OR(J96="report_internal_inconsistency",J96="plan_material")),IF(INDEX('C_jama.2018.6496'!$K$2:$K$5,MATCH($C96,'C_jama.2018.6496'!$A$2:$A$5,0))="","",INDEX('C_jama.2018.6496'!$K$2:$K$5,MATCH($C96,'C_jama.2018.6496'!$A$2:$A$5,0))),"not_applicable"),"")</f>
        <v/>
      </c>
      <c r="O96" s="16">
        <f>IFERROR(IF(AND(I96="retain",J96="protocol_report"),IF(INDEX('C_jama.2018.6496'!$L$2:$L$5,MATCH($C96,'C_jama.2018.6496'!$A$2:$A$5,0))="","",INDEX('C_jama.2018.6496'!$L$2:$L$5,MATCH($C96,'C_jama.2018.6496'!$A$2:$A$5,0))),"not_applicable"),"")</f>
        <v/>
      </c>
      <c r="P96" s="16">
        <f>IFERROR(IF(INDEX('C_jama.2018.6496'!$R$2:$R$5,MATCH($C96,'C_jama.2018.6496'!$A$2:$A$5,0))="","",INDEX('C_jama.2018.6496'!$R$2:$R$5,MATCH($C96,'C_jama.2018.6496'!$A$2:$A$5,0))),"")</f>
        <v/>
      </c>
      <c r="Q96" s="16" t="inlineStr">
        <is>
          <t>retain</t>
        </is>
      </c>
      <c r="R96" s="16" t="inlineStr">
        <is>
          <t>statistical_results</t>
        </is>
      </c>
    </row>
    <row r="97" ht="70" customHeight="1" s="14">
      <c r="A97" s="17" t="n">
        <v>2018</v>
      </c>
      <c r="B97" s="17" t="inlineStr">
        <is>
          <t>jama.2018.6496</t>
        </is>
      </c>
      <c r="C97" s="17" t="inlineStr">
        <is>
          <t>2018::jama.2018.6496::C002</t>
        </is>
      </c>
      <c r="D97" s="17" t="inlineStr">
        <is>
          <t>S_W</t>
        </is>
      </c>
      <c r="E97" s="17">
        <f>Setup!$B$4</f>
        <v/>
      </c>
      <c r="F97" s="17">
        <f>IF(Setup!$B$2="","",Setup!$B$2)</f>
        <v/>
      </c>
      <c r="G97" s="17">
        <f>IFERROR(INDEX('C_jama.2018.6496'!$G$2:$G$5,MATCH($C97,'C_jama.2018.6496'!$A$2:$A$5,0)),"CHECK KEY")</f>
        <v/>
      </c>
      <c r="H97" s="17">
        <f>IF(OR(G97&lt;&gt;"PRIMARY READY",I97="discuss"),"",IF(I97&lt;&gt;"retain","not_eligible",IF(D97="P_R","protocol_descriptive",IF(D97="P_P","plan_descriptive",IF(AND(OR(D97="S_C",D97="S_W"),J97="statistical_results",OR(K97="confirmed_issue",K97="probable_issue"),L97="substantive"),"primary_temporal",IF(AND(OR(D97="S_C",D97="S_W"),J97="report_internal_inconsistency",N97="substantive_inconsistency"),"secondary_temporal","not_eligible"))))))</f>
        <v/>
      </c>
      <c r="I97" s="17">
        <f>IFERROR(IF(INDEX('C_jama.2018.6496'!$D$2:$D$5,MATCH($C97,'C_jama.2018.6496'!$A$2:$A$5,0))="","",INDEX('C_jama.2018.6496'!$D$2:$D$5,MATCH($C97,'C_jama.2018.6496'!$A$2:$A$5,0))),"")</f>
        <v/>
      </c>
      <c r="J97" s="17">
        <f>IFERROR(IF(INDEX('C_jama.2018.6496'!$E$2:$E$5,MATCH($C97,'C_jama.2018.6496'!$A$2:$A$5,0))="","",INDEX('C_jama.2018.6496'!$E$2:$E$5,MATCH($C97,'C_jama.2018.6496'!$A$2:$A$5,0))),"")</f>
        <v/>
      </c>
      <c r="K97" s="17">
        <f>IFERROR(IF(AND(I97="retain",J97="statistical_results"),IF(INDEX('C_jama.2018.6496'!$H$2:$H$5,MATCH($C97,'C_jama.2018.6496'!$A$2:$A$5,0))="","",INDEX('C_jama.2018.6496'!$H$2:$H$5,MATCH($C97,'C_jama.2018.6496'!$A$2:$A$5,0))),"not_applicable"),"")</f>
        <v/>
      </c>
      <c r="L97" s="17">
        <f>IFERROR(IF(AND(I97="retain",J97="statistical_results"),IF(INDEX('C_jama.2018.6496'!$I$2:$I$5,MATCH($C97,'C_jama.2018.6496'!$A$2:$A$5,0))="","",INDEX('C_jama.2018.6496'!$I$2:$I$5,MATCH($C97,'C_jama.2018.6496'!$A$2:$A$5,0))),"not_applicable"),"")</f>
        <v/>
      </c>
      <c r="M97" s="17">
        <f>IFERROR(IF(AND(I97="retain",J97="statistical_results"),IF(INDEX('C_jama.2018.6496'!$J$2:$J$5,MATCH($C97,'C_jama.2018.6496'!$A$2:$A$5,0))="","",INDEX('C_jama.2018.6496'!$J$2:$J$5,MATCH($C97,'C_jama.2018.6496'!$A$2:$A$5,0))),"not_applicable"),"")</f>
        <v/>
      </c>
      <c r="N97" s="17">
        <f>IFERROR(IF(AND(I97="retain",OR(J97="report_internal_inconsistency",J97="plan_material")),IF(INDEX('C_jama.2018.6496'!$K$2:$K$5,MATCH($C97,'C_jama.2018.6496'!$A$2:$A$5,0))="","",INDEX('C_jama.2018.6496'!$K$2:$K$5,MATCH($C97,'C_jama.2018.6496'!$A$2:$A$5,0))),"not_applicable"),"")</f>
        <v/>
      </c>
      <c r="O97" s="17">
        <f>IFERROR(IF(AND(I97="retain",J97="protocol_report"),IF(INDEX('C_jama.2018.6496'!$L$2:$L$5,MATCH($C97,'C_jama.2018.6496'!$A$2:$A$5,0))="","",INDEX('C_jama.2018.6496'!$L$2:$L$5,MATCH($C97,'C_jama.2018.6496'!$A$2:$A$5,0))),"not_applicable"),"")</f>
        <v/>
      </c>
      <c r="P97" s="17">
        <f>IFERROR(IF(INDEX('C_jama.2018.6496'!$R$2:$R$5,MATCH($C97,'C_jama.2018.6496'!$A$2:$A$5,0))="","",INDEX('C_jama.2018.6496'!$R$2:$R$5,MATCH($C97,'C_jama.2018.6496'!$A$2:$A$5,0))),"")</f>
        <v/>
      </c>
      <c r="Q97" s="17" t="inlineStr">
        <is>
          <t>retain</t>
        </is>
      </c>
      <c r="R97" s="17" t="inlineStr">
        <is>
          <t>statistical_results</t>
        </is>
      </c>
    </row>
    <row r="98" ht="70" customHeight="1" s="14">
      <c r="A98" s="16" t="n">
        <v>2018</v>
      </c>
      <c r="B98" s="16" t="inlineStr">
        <is>
          <t>jama.2018.6496</t>
        </is>
      </c>
      <c r="C98" s="16" t="inlineStr">
        <is>
          <t>2018::jama.2018.6496::C003</t>
        </is>
      </c>
      <c r="D98" s="16" t="inlineStr">
        <is>
          <t>P_R</t>
        </is>
      </c>
      <c r="E98" s="16">
        <f>Setup!$B$4</f>
        <v/>
      </c>
      <c r="F98" s="16">
        <f>IF(Setup!$B$2="","",Setup!$B$2)</f>
        <v/>
      </c>
      <c r="G98" s="16">
        <f>IFERROR(INDEX('C_jama.2018.6496'!$G$2:$G$5,MATCH($C98,'C_jama.2018.6496'!$A$2:$A$5,0)),"CHECK KEY")</f>
        <v/>
      </c>
      <c r="H98" s="16">
        <f>IF(OR(G98&lt;&gt;"PRIMARY READY",I98="discuss"),"",IF(I98&lt;&gt;"retain","not_eligible",IF(D98="P_R","protocol_descriptive",IF(D98="P_P","plan_descriptive",IF(AND(OR(D98="S_C",D98="S_W"),J98="statistical_results",OR(K98="confirmed_issue",K98="probable_issue"),L98="substantive"),"primary_temporal",IF(AND(OR(D98="S_C",D98="S_W"),J98="report_internal_inconsistency",N98="substantive_inconsistency"),"secondary_temporal","not_eligible"))))))</f>
        <v/>
      </c>
      <c r="I98" s="16">
        <f>IFERROR(IF(INDEX('C_jama.2018.6496'!$D$2:$D$5,MATCH($C98,'C_jama.2018.6496'!$A$2:$A$5,0))="","",INDEX('C_jama.2018.6496'!$D$2:$D$5,MATCH($C98,'C_jama.2018.6496'!$A$2:$A$5,0))),"")</f>
        <v/>
      </c>
      <c r="J98" s="16">
        <f>IFERROR(IF(INDEX('C_jama.2018.6496'!$E$2:$E$5,MATCH($C98,'C_jama.2018.6496'!$A$2:$A$5,0))="","",INDEX('C_jama.2018.6496'!$E$2:$E$5,MATCH($C98,'C_jama.2018.6496'!$A$2:$A$5,0))),"")</f>
        <v/>
      </c>
      <c r="K98" s="16">
        <f>IFERROR(IF(AND(I98="retain",J98="statistical_results"),IF(INDEX('C_jama.2018.6496'!$H$2:$H$5,MATCH($C98,'C_jama.2018.6496'!$A$2:$A$5,0))="","",INDEX('C_jama.2018.6496'!$H$2:$H$5,MATCH($C98,'C_jama.2018.6496'!$A$2:$A$5,0))),"not_applicable"),"")</f>
        <v/>
      </c>
      <c r="L98" s="16">
        <f>IFERROR(IF(AND(I98="retain",J98="statistical_results"),IF(INDEX('C_jama.2018.6496'!$I$2:$I$5,MATCH($C98,'C_jama.2018.6496'!$A$2:$A$5,0))="","",INDEX('C_jama.2018.6496'!$I$2:$I$5,MATCH($C98,'C_jama.2018.6496'!$A$2:$A$5,0))),"not_applicable"),"")</f>
        <v/>
      </c>
      <c r="M98" s="16">
        <f>IFERROR(IF(AND(I98="retain",J98="statistical_results"),IF(INDEX('C_jama.2018.6496'!$J$2:$J$5,MATCH($C98,'C_jama.2018.6496'!$A$2:$A$5,0))="","",INDEX('C_jama.2018.6496'!$J$2:$J$5,MATCH($C98,'C_jama.2018.6496'!$A$2:$A$5,0))),"not_applicable"),"")</f>
        <v/>
      </c>
      <c r="N98" s="16">
        <f>IFERROR(IF(AND(I98="retain",OR(J98="report_internal_inconsistency",J98="plan_material")),IF(INDEX('C_jama.2018.6496'!$K$2:$K$5,MATCH($C98,'C_jama.2018.6496'!$A$2:$A$5,0))="","",INDEX('C_jama.2018.6496'!$K$2:$K$5,MATCH($C98,'C_jama.2018.6496'!$A$2:$A$5,0))),"not_applicable"),"")</f>
        <v/>
      </c>
      <c r="O98" s="16">
        <f>IFERROR(IF(AND(I98="retain",J98="protocol_report"),IF(INDEX('C_jama.2018.6496'!$L$2:$L$5,MATCH($C98,'C_jama.2018.6496'!$A$2:$A$5,0))="","",INDEX('C_jama.2018.6496'!$L$2:$L$5,MATCH($C98,'C_jama.2018.6496'!$A$2:$A$5,0))),"not_applicable"),"")</f>
        <v/>
      </c>
      <c r="P98" s="16">
        <f>IFERROR(IF(INDEX('C_jama.2018.6496'!$R$2:$R$5,MATCH($C98,'C_jama.2018.6496'!$A$2:$A$5,0))="","",INDEX('C_jama.2018.6496'!$R$2:$R$5,MATCH($C98,'C_jama.2018.6496'!$A$2:$A$5,0))),"")</f>
        <v/>
      </c>
      <c r="Q98" s="16" t="inlineStr">
        <is>
          <t>retain</t>
        </is>
      </c>
      <c r="R98" s="16" t="inlineStr">
        <is>
          <t>protocol_report</t>
        </is>
      </c>
    </row>
    <row r="99" ht="70" customHeight="1" s="14">
      <c r="A99" s="17" t="n">
        <v>2018</v>
      </c>
      <c r="B99" s="17" t="inlineStr">
        <is>
          <t>jama.2018.6496</t>
        </is>
      </c>
      <c r="C99" s="17" t="inlineStr">
        <is>
          <t>2018::jama.2018.6496::C004</t>
        </is>
      </c>
      <c r="D99" s="17" t="inlineStr">
        <is>
          <t>P_R</t>
        </is>
      </c>
      <c r="E99" s="17">
        <f>Setup!$B$4</f>
        <v/>
      </c>
      <c r="F99" s="17">
        <f>IF(Setup!$B$2="","",Setup!$B$2)</f>
        <v/>
      </c>
      <c r="G99" s="17">
        <f>IFERROR(INDEX('C_jama.2018.6496'!$G$2:$G$5,MATCH($C99,'C_jama.2018.6496'!$A$2:$A$5,0)),"CHECK KEY")</f>
        <v/>
      </c>
      <c r="H99" s="17">
        <f>IF(OR(G99&lt;&gt;"PRIMARY READY",I99="discuss"),"",IF(I99&lt;&gt;"retain","not_eligible",IF(D99="P_R","protocol_descriptive",IF(D99="P_P","plan_descriptive",IF(AND(OR(D99="S_C",D99="S_W"),J99="statistical_results",OR(K99="confirmed_issue",K99="probable_issue"),L99="substantive"),"primary_temporal",IF(AND(OR(D99="S_C",D99="S_W"),J99="report_internal_inconsistency",N99="substantive_inconsistency"),"secondary_temporal","not_eligible"))))))</f>
        <v/>
      </c>
      <c r="I99" s="17">
        <f>IFERROR(IF(INDEX('C_jama.2018.6496'!$D$2:$D$5,MATCH($C99,'C_jama.2018.6496'!$A$2:$A$5,0))="","",INDEX('C_jama.2018.6496'!$D$2:$D$5,MATCH($C99,'C_jama.2018.6496'!$A$2:$A$5,0))),"")</f>
        <v/>
      </c>
      <c r="J99" s="17">
        <f>IFERROR(IF(INDEX('C_jama.2018.6496'!$E$2:$E$5,MATCH($C99,'C_jama.2018.6496'!$A$2:$A$5,0))="","",INDEX('C_jama.2018.6496'!$E$2:$E$5,MATCH($C99,'C_jama.2018.6496'!$A$2:$A$5,0))),"")</f>
        <v/>
      </c>
      <c r="K99" s="17">
        <f>IFERROR(IF(AND(I99="retain",J99="statistical_results"),IF(INDEX('C_jama.2018.6496'!$H$2:$H$5,MATCH($C99,'C_jama.2018.6496'!$A$2:$A$5,0))="","",INDEX('C_jama.2018.6496'!$H$2:$H$5,MATCH($C99,'C_jama.2018.6496'!$A$2:$A$5,0))),"not_applicable"),"")</f>
        <v/>
      </c>
      <c r="L99" s="17">
        <f>IFERROR(IF(AND(I99="retain",J99="statistical_results"),IF(INDEX('C_jama.2018.6496'!$I$2:$I$5,MATCH($C99,'C_jama.2018.6496'!$A$2:$A$5,0))="","",INDEX('C_jama.2018.6496'!$I$2:$I$5,MATCH($C99,'C_jama.2018.6496'!$A$2:$A$5,0))),"not_applicable"),"")</f>
        <v/>
      </c>
      <c r="M99" s="17">
        <f>IFERROR(IF(AND(I99="retain",J99="statistical_results"),IF(INDEX('C_jama.2018.6496'!$J$2:$J$5,MATCH($C99,'C_jama.2018.6496'!$A$2:$A$5,0))="","",INDEX('C_jama.2018.6496'!$J$2:$J$5,MATCH($C99,'C_jama.2018.6496'!$A$2:$A$5,0))),"not_applicable"),"")</f>
        <v/>
      </c>
      <c r="N99" s="17">
        <f>IFERROR(IF(AND(I99="retain",OR(J99="report_internal_inconsistency",J99="plan_material")),IF(INDEX('C_jama.2018.6496'!$K$2:$K$5,MATCH($C99,'C_jama.2018.6496'!$A$2:$A$5,0))="","",INDEX('C_jama.2018.6496'!$K$2:$K$5,MATCH($C99,'C_jama.2018.6496'!$A$2:$A$5,0))),"not_applicable"),"")</f>
        <v/>
      </c>
      <c r="O99" s="17">
        <f>IFERROR(IF(AND(I99="retain",J99="protocol_report"),IF(INDEX('C_jama.2018.6496'!$L$2:$L$5,MATCH($C99,'C_jama.2018.6496'!$A$2:$A$5,0))="","",INDEX('C_jama.2018.6496'!$L$2:$L$5,MATCH($C99,'C_jama.2018.6496'!$A$2:$A$5,0))),"not_applicable"),"")</f>
        <v/>
      </c>
      <c r="P99" s="17">
        <f>IFERROR(IF(INDEX('C_jama.2018.6496'!$R$2:$R$5,MATCH($C99,'C_jama.2018.6496'!$A$2:$A$5,0))="","",INDEX('C_jama.2018.6496'!$R$2:$R$5,MATCH($C99,'C_jama.2018.6496'!$A$2:$A$5,0))),"")</f>
        <v/>
      </c>
      <c r="Q99" s="17" t="inlineStr">
        <is>
          <t>retain</t>
        </is>
      </c>
      <c r="R99" s="17" t="inlineStr">
        <is>
          <t>protocol_report</t>
        </is>
      </c>
    </row>
    <row r="100" ht="70" customHeight="1" s="14">
      <c r="A100" s="16" t="n">
        <v>2018</v>
      </c>
      <c r="B100" s="16" t="inlineStr">
        <is>
          <t>jama.2018.8802</t>
        </is>
      </c>
      <c r="C100" s="16" t="inlineStr">
        <is>
          <t>2018::jama.2018.8802::C001</t>
        </is>
      </c>
      <c r="D100" s="16" t="inlineStr">
        <is>
          <t>S_W</t>
        </is>
      </c>
      <c r="E100" s="16">
        <f>Setup!$B$4</f>
        <v/>
      </c>
      <c r="F100" s="16">
        <f>IF(Setup!$B$2="","",Setup!$B$2)</f>
        <v/>
      </c>
      <c r="G100" s="16">
        <f>IFERROR(INDEX('C_jama.2018.8802'!$G$2:$G$9,MATCH($C100,'C_jama.2018.8802'!$A$2:$A$9,0)),"CHECK KEY")</f>
        <v/>
      </c>
      <c r="H100" s="16">
        <f>IF(OR(G100&lt;&gt;"PRIMARY READY",I100="discuss"),"",IF(I100&lt;&gt;"retain","not_eligible",IF(D100="P_R","protocol_descriptive",IF(D100="P_P","plan_descriptive",IF(AND(OR(D100="S_C",D100="S_W"),J100="statistical_results",OR(K100="confirmed_issue",K100="probable_issue"),L100="substantive"),"primary_temporal",IF(AND(OR(D100="S_C",D100="S_W"),J100="report_internal_inconsistency",N100="substantive_inconsistency"),"secondary_temporal","not_eligible"))))))</f>
        <v/>
      </c>
      <c r="I100" s="16">
        <f>IFERROR(IF(INDEX('C_jama.2018.8802'!$D$2:$D$9,MATCH($C100,'C_jama.2018.8802'!$A$2:$A$9,0))="","",INDEX('C_jama.2018.8802'!$D$2:$D$9,MATCH($C100,'C_jama.2018.8802'!$A$2:$A$9,0))),"")</f>
        <v/>
      </c>
      <c r="J100" s="16">
        <f>IFERROR(IF(INDEX('C_jama.2018.8802'!$E$2:$E$9,MATCH($C100,'C_jama.2018.8802'!$A$2:$A$9,0))="","",INDEX('C_jama.2018.8802'!$E$2:$E$9,MATCH($C100,'C_jama.2018.8802'!$A$2:$A$9,0))),"")</f>
        <v/>
      </c>
      <c r="K100" s="16">
        <f>IFERROR(IF(AND(I100="retain",J100="statistical_results"),IF(INDEX('C_jama.2018.8802'!$H$2:$H$9,MATCH($C100,'C_jama.2018.8802'!$A$2:$A$9,0))="","",INDEX('C_jama.2018.8802'!$H$2:$H$9,MATCH($C100,'C_jama.2018.8802'!$A$2:$A$9,0))),"not_applicable"),"")</f>
        <v/>
      </c>
      <c r="L100" s="16">
        <f>IFERROR(IF(AND(I100="retain",J100="statistical_results"),IF(INDEX('C_jama.2018.8802'!$I$2:$I$9,MATCH($C100,'C_jama.2018.8802'!$A$2:$A$9,0))="","",INDEX('C_jama.2018.8802'!$I$2:$I$9,MATCH($C100,'C_jama.2018.8802'!$A$2:$A$9,0))),"not_applicable"),"")</f>
        <v/>
      </c>
      <c r="M100" s="16">
        <f>IFERROR(IF(AND(I100="retain",J100="statistical_results"),IF(INDEX('C_jama.2018.8802'!$J$2:$J$9,MATCH($C100,'C_jama.2018.8802'!$A$2:$A$9,0))="","",INDEX('C_jama.2018.8802'!$J$2:$J$9,MATCH($C100,'C_jama.2018.8802'!$A$2:$A$9,0))),"not_applicable"),"")</f>
        <v/>
      </c>
      <c r="N100" s="16">
        <f>IFERROR(IF(AND(I100="retain",OR(J100="report_internal_inconsistency",J100="plan_material")),IF(INDEX('C_jama.2018.8802'!$K$2:$K$9,MATCH($C100,'C_jama.2018.8802'!$A$2:$A$9,0))="","",INDEX('C_jama.2018.8802'!$K$2:$K$9,MATCH($C100,'C_jama.2018.8802'!$A$2:$A$9,0))),"not_applicable"),"")</f>
        <v/>
      </c>
      <c r="O100" s="16">
        <f>IFERROR(IF(AND(I100="retain",J100="protocol_report"),IF(INDEX('C_jama.2018.8802'!$L$2:$L$9,MATCH($C100,'C_jama.2018.8802'!$A$2:$A$9,0))="","",INDEX('C_jama.2018.8802'!$L$2:$L$9,MATCH($C100,'C_jama.2018.8802'!$A$2:$A$9,0))),"not_applicable"),"")</f>
        <v/>
      </c>
      <c r="P100" s="16">
        <f>IFERROR(IF(INDEX('C_jama.2018.8802'!$R$2:$R$9,MATCH($C100,'C_jama.2018.8802'!$A$2:$A$9,0))="","",INDEX('C_jama.2018.8802'!$R$2:$R$9,MATCH($C100,'C_jama.2018.8802'!$A$2:$A$9,0))),"")</f>
        <v/>
      </c>
      <c r="Q100" s="16" t="inlineStr">
        <is>
          <t>retain</t>
        </is>
      </c>
      <c r="R100" s="16" t="inlineStr">
        <is>
          <t>statistical_results</t>
        </is>
      </c>
    </row>
    <row r="101" ht="70" customHeight="1" s="14">
      <c r="A101" s="17" t="n">
        <v>2018</v>
      </c>
      <c r="B101" s="17" t="inlineStr">
        <is>
          <t>jama.2018.8802</t>
        </is>
      </c>
      <c r="C101" s="17" t="inlineStr">
        <is>
          <t>2018::jama.2018.8802::C002</t>
        </is>
      </c>
      <c r="D101" s="17" t="inlineStr">
        <is>
          <t>P_R</t>
        </is>
      </c>
      <c r="E101" s="17">
        <f>Setup!$B$4</f>
        <v/>
      </c>
      <c r="F101" s="17">
        <f>IF(Setup!$B$2="","",Setup!$B$2)</f>
        <v/>
      </c>
      <c r="G101" s="17">
        <f>IFERROR(INDEX('C_jama.2018.8802'!$G$2:$G$9,MATCH($C101,'C_jama.2018.8802'!$A$2:$A$9,0)),"CHECK KEY")</f>
        <v/>
      </c>
      <c r="H101" s="17">
        <f>IF(OR(G101&lt;&gt;"PRIMARY READY",I101="discuss"),"",IF(I101&lt;&gt;"retain","not_eligible",IF(D101="P_R","protocol_descriptive",IF(D101="P_P","plan_descriptive",IF(AND(OR(D101="S_C",D101="S_W"),J101="statistical_results",OR(K101="confirmed_issue",K101="probable_issue"),L101="substantive"),"primary_temporal",IF(AND(OR(D101="S_C",D101="S_W"),J101="report_internal_inconsistency",N101="substantive_inconsistency"),"secondary_temporal","not_eligible"))))))</f>
        <v/>
      </c>
      <c r="I101" s="17">
        <f>IFERROR(IF(INDEX('C_jama.2018.8802'!$D$2:$D$9,MATCH($C101,'C_jama.2018.8802'!$A$2:$A$9,0))="","",INDEX('C_jama.2018.8802'!$D$2:$D$9,MATCH($C101,'C_jama.2018.8802'!$A$2:$A$9,0))),"")</f>
        <v/>
      </c>
      <c r="J101" s="17">
        <f>IFERROR(IF(INDEX('C_jama.2018.8802'!$E$2:$E$9,MATCH($C101,'C_jama.2018.8802'!$A$2:$A$9,0))="","",INDEX('C_jama.2018.8802'!$E$2:$E$9,MATCH($C101,'C_jama.2018.8802'!$A$2:$A$9,0))),"")</f>
        <v/>
      </c>
      <c r="K101" s="17">
        <f>IFERROR(IF(AND(I101="retain",J101="statistical_results"),IF(INDEX('C_jama.2018.8802'!$H$2:$H$9,MATCH($C101,'C_jama.2018.8802'!$A$2:$A$9,0))="","",INDEX('C_jama.2018.8802'!$H$2:$H$9,MATCH($C101,'C_jama.2018.8802'!$A$2:$A$9,0))),"not_applicable"),"")</f>
        <v/>
      </c>
      <c r="L101" s="17">
        <f>IFERROR(IF(AND(I101="retain",J101="statistical_results"),IF(INDEX('C_jama.2018.8802'!$I$2:$I$9,MATCH($C101,'C_jama.2018.8802'!$A$2:$A$9,0))="","",INDEX('C_jama.2018.8802'!$I$2:$I$9,MATCH($C101,'C_jama.2018.8802'!$A$2:$A$9,0))),"not_applicable"),"")</f>
        <v/>
      </c>
      <c r="M101" s="17">
        <f>IFERROR(IF(AND(I101="retain",J101="statistical_results"),IF(INDEX('C_jama.2018.8802'!$J$2:$J$9,MATCH($C101,'C_jama.2018.8802'!$A$2:$A$9,0))="","",INDEX('C_jama.2018.8802'!$J$2:$J$9,MATCH($C101,'C_jama.2018.8802'!$A$2:$A$9,0))),"not_applicable"),"")</f>
        <v/>
      </c>
      <c r="N101" s="17">
        <f>IFERROR(IF(AND(I101="retain",OR(J101="report_internal_inconsistency",J101="plan_material")),IF(INDEX('C_jama.2018.8802'!$K$2:$K$9,MATCH($C101,'C_jama.2018.8802'!$A$2:$A$9,0))="","",INDEX('C_jama.2018.8802'!$K$2:$K$9,MATCH($C101,'C_jama.2018.8802'!$A$2:$A$9,0))),"not_applicable"),"")</f>
        <v/>
      </c>
      <c r="O101" s="17">
        <f>IFERROR(IF(AND(I101="retain",J101="protocol_report"),IF(INDEX('C_jama.2018.8802'!$L$2:$L$9,MATCH($C101,'C_jama.2018.8802'!$A$2:$A$9,0))="","",INDEX('C_jama.2018.8802'!$L$2:$L$9,MATCH($C101,'C_jama.2018.8802'!$A$2:$A$9,0))),"not_applicable"),"")</f>
        <v/>
      </c>
      <c r="P101" s="17">
        <f>IFERROR(IF(INDEX('C_jama.2018.8802'!$R$2:$R$9,MATCH($C101,'C_jama.2018.8802'!$A$2:$A$9,0))="","",INDEX('C_jama.2018.8802'!$R$2:$R$9,MATCH($C101,'C_jama.2018.8802'!$A$2:$A$9,0))),"")</f>
        <v/>
      </c>
      <c r="Q101" s="17" t="inlineStr">
        <is>
          <t>retain</t>
        </is>
      </c>
      <c r="R101" s="17" t="inlineStr">
        <is>
          <t>protocol_report</t>
        </is>
      </c>
    </row>
    <row r="102" ht="70" customHeight="1" s="14">
      <c r="A102" s="16" t="n">
        <v>2018</v>
      </c>
      <c r="B102" s="16" t="inlineStr">
        <is>
          <t>jama.2018.8802</t>
        </is>
      </c>
      <c r="C102" s="16" t="inlineStr">
        <is>
          <t>2018::jama.2018.8802::C003</t>
        </is>
      </c>
      <c r="D102" s="16" t="inlineStr">
        <is>
          <t>S_W</t>
        </is>
      </c>
      <c r="E102" s="16">
        <f>Setup!$B$4</f>
        <v/>
      </c>
      <c r="F102" s="16">
        <f>IF(Setup!$B$2="","",Setup!$B$2)</f>
        <v/>
      </c>
      <c r="G102" s="16">
        <f>IFERROR(INDEX('C_jama.2018.8802'!$G$2:$G$9,MATCH($C102,'C_jama.2018.8802'!$A$2:$A$9,0)),"CHECK KEY")</f>
        <v/>
      </c>
      <c r="H102" s="16">
        <f>IF(OR(G102&lt;&gt;"PRIMARY READY",I102="discuss"),"",IF(I102&lt;&gt;"retain","not_eligible",IF(D102="P_R","protocol_descriptive",IF(D102="P_P","plan_descriptive",IF(AND(OR(D102="S_C",D102="S_W"),J102="statistical_results",OR(K102="confirmed_issue",K102="probable_issue"),L102="substantive"),"primary_temporal",IF(AND(OR(D102="S_C",D102="S_W"),J102="report_internal_inconsistency",N102="substantive_inconsistency"),"secondary_temporal","not_eligible"))))))</f>
        <v/>
      </c>
      <c r="I102" s="16">
        <f>IFERROR(IF(INDEX('C_jama.2018.8802'!$D$2:$D$9,MATCH($C102,'C_jama.2018.8802'!$A$2:$A$9,0))="","",INDEX('C_jama.2018.8802'!$D$2:$D$9,MATCH($C102,'C_jama.2018.8802'!$A$2:$A$9,0))),"")</f>
        <v/>
      </c>
      <c r="J102" s="16">
        <f>IFERROR(IF(INDEX('C_jama.2018.8802'!$E$2:$E$9,MATCH($C102,'C_jama.2018.8802'!$A$2:$A$9,0))="","",INDEX('C_jama.2018.8802'!$E$2:$E$9,MATCH($C102,'C_jama.2018.8802'!$A$2:$A$9,0))),"")</f>
        <v/>
      </c>
      <c r="K102" s="16">
        <f>IFERROR(IF(AND(I102="retain",J102="statistical_results"),IF(INDEX('C_jama.2018.8802'!$H$2:$H$9,MATCH($C102,'C_jama.2018.8802'!$A$2:$A$9,0))="","",INDEX('C_jama.2018.8802'!$H$2:$H$9,MATCH($C102,'C_jama.2018.8802'!$A$2:$A$9,0))),"not_applicable"),"")</f>
        <v/>
      </c>
      <c r="L102" s="16">
        <f>IFERROR(IF(AND(I102="retain",J102="statistical_results"),IF(INDEX('C_jama.2018.8802'!$I$2:$I$9,MATCH($C102,'C_jama.2018.8802'!$A$2:$A$9,0))="","",INDEX('C_jama.2018.8802'!$I$2:$I$9,MATCH($C102,'C_jama.2018.8802'!$A$2:$A$9,0))),"not_applicable"),"")</f>
        <v/>
      </c>
      <c r="M102" s="16">
        <f>IFERROR(IF(AND(I102="retain",J102="statistical_results"),IF(INDEX('C_jama.2018.8802'!$J$2:$J$9,MATCH($C102,'C_jama.2018.8802'!$A$2:$A$9,0))="","",INDEX('C_jama.2018.8802'!$J$2:$J$9,MATCH($C102,'C_jama.2018.8802'!$A$2:$A$9,0))),"not_applicable"),"")</f>
        <v/>
      </c>
      <c r="N102" s="16">
        <f>IFERROR(IF(AND(I102="retain",OR(J102="report_internal_inconsistency",J102="plan_material")),IF(INDEX('C_jama.2018.8802'!$K$2:$K$9,MATCH($C102,'C_jama.2018.8802'!$A$2:$A$9,0))="","",INDEX('C_jama.2018.8802'!$K$2:$K$9,MATCH($C102,'C_jama.2018.8802'!$A$2:$A$9,0))),"not_applicable"),"")</f>
        <v/>
      </c>
      <c r="O102" s="16">
        <f>IFERROR(IF(AND(I102="retain",J102="protocol_report"),IF(INDEX('C_jama.2018.8802'!$L$2:$L$9,MATCH($C102,'C_jama.2018.8802'!$A$2:$A$9,0))="","",INDEX('C_jama.2018.8802'!$L$2:$L$9,MATCH($C102,'C_jama.2018.8802'!$A$2:$A$9,0))),"not_applicable"),"")</f>
        <v/>
      </c>
      <c r="P102" s="16">
        <f>IFERROR(IF(INDEX('C_jama.2018.8802'!$R$2:$R$9,MATCH($C102,'C_jama.2018.8802'!$A$2:$A$9,0))="","",INDEX('C_jama.2018.8802'!$R$2:$R$9,MATCH($C102,'C_jama.2018.8802'!$A$2:$A$9,0))),"")</f>
        <v/>
      </c>
      <c r="Q102" s="16" t="inlineStr">
        <is>
          <t>retain</t>
        </is>
      </c>
      <c r="R102" s="16" t="inlineStr">
        <is>
          <t>statistical_results</t>
        </is>
      </c>
    </row>
    <row r="103" ht="70" customHeight="1" s="14">
      <c r="A103" s="17" t="n">
        <v>2018</v>
      </c>
      <c r="B103" s="17" t="inlineStr">
        <is>
          <t>jama.2018.8802</t>
        </is>
      </c>
      <c r="C103" s="17" t="inlineStr">
        <is>
          <t>2018::jama.2018.8802::C004</t>
        </is>
      </c>
      <c r="D103" s="17" t="inlineStr">
        <is>
          <t>S_W</t>
        </is>
      </c>
      <c r="E103" s="17">
        <f>Setup!$B$4</f>
        <v/>
      </c>
      <c r="F103" s="17">
        <f>IF(Setup!$B$2="","",Setup!$B$2)</f>
        <v/>
      </c>
      <c r="G103" s="17">
        <f>IFERROR(INDEX('C_jama.2018.8802'!$G$2:$G$9,MATCH($C103,'C_jama.2018.8802'!$A$2:$A$9,0)),"CHECK KEY")</f>
        <v/>
      </c>
      <c r="H103" s="17">
        <f>IF(OR(G103&lt;&gt;"PRIMARY READY",I103="discuss"),"",IF(I103&lt;&gt;"retain","not_eligible",IF(D103="P_R","protocol_descriptive",IF(D103="P_P","plan_descriptive",IF(AND(OR(D103="S_C",D103="S_W"),J103="statistical_results",OR(K103="confirmed_issue",K103="probable_issue"),L103="substantive"),"primary_temporal",IF(AND(OR(D103="S_C",D103="S_W"),J103="report_internal_inconsistency",N103="substantive_inconsistency"),"secondary_temporal","not_eligible"))))))</f>
        <v/>
      </c>
      <c r="I103" s="17">
        <f>IFERROR(IF(INDEX('C_jama.2018.8802'!$D$2:$D$9,MATCH($C103,'C_jama.2018.8802'!$A$2:$A$9,0))="","",INDEX('C_jama.2018.8802'!$D$2:$D$9,MATCH($C103,'C_jama.2018.8802'!$A$2:$A$9,0))),"")</f>
        <v/>
      </c>
      <c r="J103" s="17">
        <f>IFERROR(IF(INDEX('C_jama.2018.8802'!$E$2:$E$9,MATCH($C103,'C_jama.2018.8802'!$A$2:$A$9,0))="","",INDEX('C_jama.2018.8802'!$E$2:$E$9,MATCH($C103,'C_jama.2018.8802'!$A$2:$A$9,0))),"")</f>
        <v/>
      </c>
      <c r="K103" s="17">
        <f>IFERROR(IF(AND(I103="retain",J103="statistical_results"),IF(INDEX('C_jama.2018.8802'!$H$2:$H$9,MATCH($C103,'C_jama.2018.8802'!$A$2:$A$9,0))="","",INDEX('C_jama.2018.8802'!$H$2:$H$9,MATCH($C103,'C_jama.2018.8802'!$A$2:$A$9,0))),"not_applicable"),"")</f>
        <v/>
      </c>
      <c r="L103" s="17">
        <f>IFERROR(IF(AND(I103="retain",J103="statistical_results"),IF(INDEX('C_jama.2018.8802'!$I$2:$I$9,MATCH($C103,'C_jama.2018.8802'!$A$2:$A$9,0))="","",INDEX('C_jama.2018.8802'!$I$2:$I$9,MATCH($C103,'C_jama.2018.8802'!$A$2:$A$9,0))),"not_applicable"),"")</f>
        <v/>
      </c>
      <c r="M103" s="17">
        <f>IFERROR(IF(AND(I103="retain",J103="statistical_results"),IF(INDEX('C_jama.2018.8802'!$J$2:$J$9,MATCH($C103,'C_jama.2018.8802'!$A$2:$A$9,0))="","",INDEX('C_jama.2018.8802'!$J$2:$J$9,MATCH($C103,'C_jama.2018.8802'!$A$2:$A$9,0))),"not_applicable"),"")</f>
        <v/>
      </c>
      <c r="N103" s="17">
        <f>IFERROR(IF(AND(I103="retain",OR(J103="report_internal_inconsistency",J103="plan_material")),IF(INDEX('C_jama.2018.8802'!$K$2:$K$9,MATCH($C103,'C_jama.2018.8802'!$A$2:$A$9,0))="","",INDEX('C_jama.2018.8802'!$K$2:$K$9,MATCH($C103,'C_jama.2018.8802'!$A$2:$A$9,0))),"not_applicable"),"")</f>
        <v/>
      </c>
      <c r="O103" s="17">
        <f>IFERROR(IF(AND(I103="retain",J103="protocol_report"),IF(INDEX('C_jama.2018.8802'!$L$2:$L$9,MATCH($C103,'C_jama.2018.8802'!$A$2:$A$9,0))="","",INDEX('C_jama.2018.8802'!$L$2:$L$9,MATCH($C103,'C_jama.2018.8802'!$A$2:$A$9,0))),"not_applicable"),"")</f>
        <v/>
      </c>
      <c r="P103" s="17">
        <f>IFERROR(IF(INDEX('C_jama.2018.8802'!$R$2:$R$9,MATCH($C103,'C_jama.2018.8802'!$A$2:$A$9,0))="","",INDEX('C_jama.2018.8802'!$R$2:$R$9,MATCH($C103,'C_jama.2018.8802'!$A$2:$A$9,0))),"")</f>
        <v/>
      </c>
      <c r="Q103" s="17" t="inlineStr">
        <is>
          <t>retain</t>
        </is>
      </c>
      <c r="R103" s="17" t="inlineStr">
        <is>
          <t>statistical_results</t>
        </is>
      </c>
    </row>
    <row r="104" ht="70" customHeight="1" s="14">
      <c r="A104" s="16" t="n">
        <v>2018</v>
      </c>
      <c r="B104" s="16" t="inlineStr">
        <is>
          <t>jama.2018.8802</t>
        </is>
      </c>
      <c r="C104" s="16" t="inlineStr">
        <is>
          <t>2018::jama.2018.8802::C005</t>
        </is>
      </c>
      <c r="D104" s="16" t="inlineStr">
        <is>
          <t>S_W</t>
        </is>
      </c>
      <c r="E104" s="16">
        <f>Setup!$B$4</f>
        <v/>
      </c>
      <c r="F104" s="16">
        <f>IF(Setup!$B$2="","",Setup!$B$2)</f>
        <v/>
      </c>
      <c r="G104" s="16">
        <f>IFERROR(INDEX('C_jama.2018.8802'!$G$2:$G$9,MATCH($C104,'C_jama.2018.8802'!$A$2:$A$9,0)),"CHECK KEY")</f>
        <v/>
      </c>
      <c r="H104" s="16">
        <f>IF(OR(G104&lt;&gt;"PRIMARY READY",I104="discuss"),"",IF(I104&lt;&gt;"retain","not_eligible",IF(D104="P_R","protocol_descriptive",IF(D104="P_P","plan_descriptive",IF(AND(OR(D104="S_C",D104="S_W"),J104="statistical_results",OR(K104="confirmed_issue",K104="probable_issue"),L104="substantive"),"primary_temporal",IF(AND(OR(D104="S_C",D104="S_W"),J104="report_internal_inconsistency",N104="substantive_inconsistency"),"secondary_temporal","not_eligible"))))))</f>
        <v/>
      </c>
      <c r="I104" s="16">
        <f>IFERROR(IF(INDEX('C_jama.2018.8802'!$D$2:$D$9,MATCH($C104,'C_jama.2018.8802'!$A$2:$A$9,0))="","",INDEX('C_jama.2018.8802'!$D$2:$D$9,MATCH($C104,'C_jama.2018.8802'!$A$2:$A$9,0))),"")</f>
        <v/>
      </c>
      <c r="J104" s="16">
        <f>IFERROR(IF(INDEX('C_jama.2018.8802'!$E$2:$E$9,MATCH($C104,'C_jama.2018.8802'!$A$2:$A$9,0))="","",INDEX('C_jama.2018.8802'!$E$2:$E$9,MATCH($C104,'C_jama.2018.8802'!$A$2:$A$9,0))),"")</f>
        <v/>
      </c>
      <c r="K104" s="16">
        <f>IFERROR(IF(AND(I104="retain",J104="statistical_results"),IF(INDEX('C_jama.2018.8802'!$H$2:$H$9,MATCH($C104,'C_jama.2018.8802'!$A$2:$A$9,0))="","",INDEX('C_jama.2018.8802'!$H$2:$H$9,MATCH($C104,'C_jama.2018.8802'!$A$2:$A$9,0))),"not_applicable"),"")</f>
        <v/>
      </c>
      <c r="L104" s="16">
        <f>IFERROR(IF(AND(I104="retain",J104="statistical_results"),IF(INDEX('C_jama.2018.8802'!$I$2:$I$9,MATCH($C104,'C_jama.2018.8802'!$A$2:$A$9,0))="","",INDEX('C_jama.2018.8802'!$I$2:$I$9,MATCH($C104,'C_jama.2018.8802'!$A$2:$A$9,0))),"not_applicable"),"")</f>
        <v/>
      </c>
      <c r="M104" s="16">
        <f>IFERROR(IF(AND(I104="retain",J104="statistical_results"),IF(INDEX('C_jama.2018.8802'!$J$2:$J$9,MATCH($C104,'C_jama.2018.8802'!$A$2:$A$9,0))="","",INDEX('C_jama.2018.8802'!$J$2:$J$9,MATCH($C104,'C_jama.2018.8802'!$A$2:$A$9,0))),"not_applicable"),"")</f>
        <v/>
      </c>
      <c r="N104" s="16">
        <f>IFERROR(IF(AND(I104="retain",OR(J104="report_internal_inconsistency",J104="plan_material")),IF(INDEX('C_jama.2018.8802'!$K$2:$K$9,MATCH($C104,'C_jama.2018.8802'!$A$2:$A$9,0))="","",INDEX('C_jama.2018.8802'!$K$2:$K$9,MATCH($C104,'C_jama.2018.8802'!$A$2:$A$9,0))),"not_applicable"),"")</f>
        <v/>
      </c>
      <c r="O104" s="16">
        <f>IFERROR(IF(AND(I104="retain",J104="protocol_report"),IF(INDEX('C_jama.2018.8802'!$L$2:$L$9,MATCH($C104,'C_jama.2018.8802'!$A$2:$A$9,0))="","",INDEX('C_jama.2018.8802'!$L$2:$L$9,MATCH($C104,'C_jama.2018.8802'!$A$2:$A$9,0))),"not_applicable"),"")</f>
        <v/>
      </c>
      <c r="P104" s="16">
        <f>IFERROR(IF(INDEX('C_jama.2018.8802'!$R$2:$R$9,MATCH($C104,'C_jama.2018.8802'!$A$2:$A$9,0))="","",INDEX('C_jama.2018.8802'!$R$2:$R$9,MATCH($C104,'C_jama.2018.8802'!$A$2:$A$9,0))),"")</f>
        <v/>
      </c>
      <c r="Q104" s="16" t="inlineStr">
        <is>
          <t>retain</t>
        </is>
      </c>
      <c r="R104" s="16" t="inlineStr">
        <is>
          <t>statistical_results</t>
        </is>
      </c>
    </row>
    <row r="105" ht="70" customHeight="1" s="14">
      <c r="A105" s="17" t="n">
        <v>2018</v>
      </c>
      <c r="B105" s="17" t="inlineStr">
        <is>
          <t>jama.2018.8802</t>
        </is>
      </c>
      <c r="C105" s="17" t="inlineStr">
        <is>
          <t>2018::jama.2018.8802::C006</t>
        </is>
      </c>
      <c r="D105" s="17" t="inlineStr">
        <is>
          <t>S_W</t>
        </is>
      </c>
      <c r="E105" s="17">
        <f>Setup!$B$4</f>
        <v/>
      </c>
      <c r="F105" s="17">
        <f>IF(Setup!$B$2="","",Setup!$B$2)</f>
        <v/>
      </c>
      <c r="G105" s="17">
        <f>IFERROR(INDEX('C_jama.2018.8802'!$G$2:$G$9,MATCH($C105,'C_jama.2018.8802'!$A$2:$A$9,0)),"CHECK KEY")</f>
        <v/>
      </c>
      <c r="H105" s="17">
        <f>IF(OR(G105&lt;&gt;"PRIMARY READY",I105="discuss"),"",IF(I105&lt;&gt;"retain","not_eligible",IF(D105="P_R","protocol_descriptive",IF(D105="P_P","plan_descriptive",IF(AND(OR(D105="S_C",D105="S_W"),J105="statistical_results",OR(K105="confirmed_issue",K105="probable_issue"),L105="substantive"),"primary_temporal",IF(AND(OR(D105="S_C",D105="S_W"),J105="report_internal_inconsistency",N105="substantive_inconsistency"),"secondary_temporal","not_eligible"))))))</f>
        <v/>
      </c>
      <c r="I105" s="17">
        <f>IFERROR(IF(INDEX('C_jama.2018.8802'!$D$2:$D$9,MATCH($C105,'C_jama.2018.8802'!$A$2:$A$9,0))="","",INDEX('C_jama.2018.8802'!$D$2:$D$9,MATCH($C105,'C_jama.2018.8802'!$A$2:$A$9,0))),"")</f>
        <v/>
      </c>
      <c r="J105" s="17">
        <f>IFERROR(IF(INDEX('C_jama.2018.8802'!$E$2:$E$9,MATCH($C105,'C_jama.2018.8802'!$A$2:$A$9,0))="","",INDEX('C_jama.2018.8802'!$E$2:$E$9,MATCH($C105,'C_jama.2018.8802'!$A$2:$A$9,0))),"")</f>
        <v/>
      </c>
      <c r="K105" s="17">
        <f>IFERROR(IF(AND(I105="retain",J105="statistical_results"),IF(INDEX('C_jama.2018.8802'!$H$2:$H$9,MATCH($C105,'C_jama.2018.8802'!$A$2:$A$9,0))="","",INDEX('C_jama.2018.8802'!$H$2:$H$9,MATCH($C105,'C_jama.2018.8802'!$A$2:$A$9,0))),"not_applicable"),"")</f>
        <v/>
      </c>
      <c r="L105" s="17">
        <f>IFERROR(IF(AND(I105="retain",J105="statistical_results"),IF(INDEX('C_jama.2018.8802'!$I$2:$I$9,MATCH($C105,'C_jama.2018.8802'!$A$2:$A$9,0))="","",INDEX('C_jama.2018.8802'!$I$2:$I$9,MATCH($C105,'C_jama.2018.8802'!$A$2:$A$9,0))),"not_applicable"),"")</f>
        <v/>
      </c>
      <c r="M105" s="17">
        <f>IFERROR(IF(AND(I105="retain",J105="statistical_results"),IF(INDEX('C_jama.2018.8802'!$J$2:$J$9,MATCH($C105,'C_jama.2018.8802'!$A$2:$A$9,0))="","",INDEX('C_jama.2018.8802'!$J$2:$J$9,MATCH($C105,'C_jama.2018.8802'!$A$2:$A$9,0))),"not_applicable"),"")</f>
        <v/>
      </c>
      <c r="N105" s="17">
        <f>IFERROR(IF(AND(I105="retain",OR(J105="report_internal_inconsistency",J105="plan_material")),IF(INDEX('C_jama.2018.8802'!$K$2:$K$9,MATCH($C105,'C_jama.2018.8802'!$A$2:$A$9,0))="","",INDEX('C_jama.2018.8802'!$K$2:$K$9,MATCH($C105,'C_jama.2018.8802'!$A$2:$A$9,0))),"not_applicable"),"")</f>
        <v/>
      </c>
      <c r="O105" s="17">
        <f>IFERROR(IF(AND(I105="retain",J105="protocol_report"),IF(INDEX('C_jama.2018.8802'!$L$2:$L$9,MATCH($C105,'C_jama.2018.8802'!$A$2:$A$9,0))="","",INDEX('C_jama.2018.8802'!$L$2:$L$9,MATCH($C105,'C_jama.2018.8802'!$A$2:$A$9,0))),"not_applicable"),"")</f>
        <v/>
      </c>
      <c r="P105" s="17">
        <f>IFERROR(IF(INDEX('C_jama.2018.8802'!$R$2:$R$9,MATCH($C105,'C_jama.2018.8802'!$A$2:$A$9,0))="","",INDEX('C_jama.2018.8802'!$R$2:$R$9,MATCH($C105,'C_jama.2018.8802'!$A$2:$A$9,0))),"")</f>
        <v/>
      </c>
      <c r="Q105" s="17" t="inlineStr">
        <is>
          <t>retain</t>
        </is>
      </c>
      <c r="R105" s="17" t="inlineStr">
        <is>
          <t>statistical_results</t>
        </is>
      </c>
    </row>
    <row r="106" ht="70" customHeight="1" s="14">
      <c r="A106" s="16" t="n">
        <v>2018</v>
      </c>
      <c r="B106" s="16" t="inlineStr">
        <is>
          <t>jama.2018.8802</t>
        </is>
      </c>
      <c r="C106" s="16" t="inlineStr">
        <is>
          <t>2018::jama.2018.8802::C007</t>
        </is>
      </c>
      <c r="D106" s="16" t="inlineStr">
        <is>
          <t>S_C</t>
        </is>
      </c>
      <c r="E106" s="16">
        <f>Setup!$B$4</f>
        <v/>
      </c>
      <c r="F106" s="16">
        <f>IF(Setup!$B$2="","",Setup!$B$2)</f>
        <v/>
      </c>
      <c r="G106" s="16">
        <f>IFERROR(INDEX('C_jama.2018.8802'!$G$2:$G$9,MATCH($C106,'C_jama.2018.8802'!$A$2:$A$9,0)),"CHECK KEY")</f>
        <v/>
      </c>
      <c r="H106" s="16">
        <f>IF(OR(G106&lt;&gt;"PRIMARY READY",I106="discuss"),"",IF(I106&lt;&gt;"retain","not_eligible",IF(D106="P_R","protocol_descriptive",IF(D106="P_P","plan_descriptive",IF(AND(OR(D106="S_C",D106="S_W"),J106="statistical_results",OR(K106="confirmed_issue",K106="probable_issue"),L106="substantive"),"primary_temporal",IF(AND(OR(D106="S_C",D106="S_W"),J106="report_internal_inconsistency",N106="substantive_inconsistency"),"secondary_temporal","not_eligible"))))))</f>
        <v/>
      </c>
      <c r="I106" s="16">
        <f>IFERROR(IF(INDEX('C_jama.2018.8802'!$D$2:$D$9,MATCH($C106,'C_jama.2018.8802'!$A$2:$A$9,0))="","",INDEX('C_jama.2018.8802'!$D$2:$D$9,MATCH($C106,'C_jama.2018.8802'!$A$2:$A$9,0))),"")</f>
        <v/>
      </c>
      <c r="J106" s="16">
        <f>IFERROR(IF(INDEX('C_jama.2018.8802'!$E$2:$E$9,MATCH($C106,'C_jama.2018.8802'!$A$2:$A$9,0))="","",INDEX('C_jama.2018.8802'!$E$2:$E$9,MATCH($C106,'C_jama.2018.8802'!$A$2:$A$9,0))),"")</f>
        <v/>
      </c>
      <c r="K106" s="16">
        <f>IFERROR(IF(AND(I106="retain",J106="statistical_results"),IF(INDEX('C_jama.2018.8802'!$H$2:$H$9,MATCH($C106,'C_jama.2018.8802'!$A$2:$A$9,0))="","",INDEX('C_jama.2018.8802'!$H$2:$H$9,MATCH($C106,'C_jama.2018.8802'!$A$2:$A$9,0))),"not_applicable"),"")</f>
        <v/>
      </c>
      <c r="L106" s="16">
        <f>IFERROR(IF(AND(I106="retain",J106="statistical_results"),IF(INDEX('C_jama.2018.8802'!$I$2:$I$9,MATCH($C106,'C_jama.2018.8802'!$A$2:$A$9,0))="","",INDEX('C_jama.2018.8802'!$I$2:$I$9,MATCH($C106,'C_jama.2018.8802'!$A$2:$A$9,0))),"not_applicable"),"")</f>
        <v/>
      </c>
      <c r="M106" s="16">
        <f>IFERROR(IF(AND(I106="retain",J106="statistical_results"),IF(INDEX('C_jama.2018.8802'!$J$2:$J$9,MATCH($C106,'C_jama.2018.8802'!$A$2:$A$9,0))="","",INDEX('C_jama.2018.8802'!$J$2:$J$9,MATCH($C106,'C_jama.2018.8802'!$A$2:$A$9,0))),"not_applicable"),"")</f>
        <v/>
      </c>
      <c r="N106" s="16">
        <f>IFERROR(IF(AND(I106="retain",OR(J106="report_internal_inconsistency",J106="plan_material")),IF(INDEX('C_jama.2018.8802'!$K$2:$K$9,MATCH($C106,'C_jama.2018.8802'!$A$2:$A$9,0))="","",INDEX('C_jama.2018.8802'!$K$2:$K$9,MATCH($C106,'C_jama.2018.8802'!$A$2:$A$9,0))),"not_applicable"),"")</f>
        <v/>
      </c>
      <c r="O106" s="16">
        <f>IFERROR(IF(AND(I106="retain",J106="protocol_report"),IF(INDEX('C_jama.2018.8802'!$L$2:$L$9,MATCH($C106,'C_jama.2018.8802'!$A$2:$A$9,0))="","",INDEX('C_jama.2018.8802'!$L$2:$L$9,MATCH($C106,'C_jama.2018.8802'!$A$2:$A$9,0))),"not_applicable"),"")</f>
        <v/>
      </c>
      <c r="P106" s="16">
        <f>IFERROR(IF(INDEX('C_jama.2018.8802'!$R$2:$R$9,MATCH($C106,'C_jama.2018.8802'!$A$2:$A$9,0))="","",INDEX('C_jama.2018.8802'!$R$2:$R$9,MATCH($C106,'C_jama.2018.8802'!$A$2:$A$9,0))),"")</f>
        <v/>
      </c>
      <c r="Q106" s="16" t="inlineStr">
        <is>
          <t>retain</t>
        </is>
      </c>
      <c r="R106" s="16" t="inlineStr">
        <is>
          <t>report_internal_inconsistency</t>
        </is>
      </c>
    </row>
    <row r="107" ht="70" customHeight="1" s="14">
      <c r="A107" s="17" t="n">
        <v>2018</v>
      </c>
      <c r="B107" s="17" t="inlineStr">
        <is>
          <t>jama.2018.8802</t>
        </is>
      </c>
      <c r="C107" s="17" t="inlineStr">
        <is>
          <t>2018::jama.2018.8802::C008</t>
        </is>
      </c>
      <c r="D107" s="17" t="inlineStr">
        <is>
          <t>S_W</t>
        </is>
      </c>
      <c r="E107" s="17">
        <f>Setup!$B$4</f>
        <v/>
      </c>
      <c r="F107" s="17">
        <f>IF(Setup!$B$2="","",Setup!$B$2)</f>
        <v/>
      </c>
      <c r="G107" s="17">
        <f>IFERROR(INDEX('C_jama.2018.8802'!$G$2:$G$9,MATCH($C107,'C_jama.2018.8802'!$A$2:$A$9,0)),"CHECK KEY")</f>
        <v/>
      </c>
      <c r="H107" s="17">
        <f>IF(OR(G107&lt;&gt;"PRIMARY READY",I107="discuss"),"",IF(I107&lt;&gt;"retain","not_eligible",IF(D107="P_R","protocol_descriptive",IF(D107="P_P","plan_descriptive",IF(AND(OR(D107="S_C",D107="S_W"),J107="statistical_results",OR(K107="confirmed_issue",K107="probable_issue"),L107="substantive"),"primary_temporal",IF(AND(OR(D107="S_C",D107="S_W"),J107="report_internal_inconsistency",N107="substantive_inconsistency"),"secondary_temporal","not_eligible"))))))</f>
        <v/>
      </c>
      <c r="I107" s="17">
        <f>IFERROR(IF(INDEX('C_jama.2018.8802'!$D$2:$D$9,MATCH($C107,'C_jama.2018.8802'!$A$2:$A$9,0))="","",INDEX('C_jama.2018.8802'!$D$2:$D$9,MATCH($C107,'C_jama.2018.8802'!$A$2:$A$9,0))),"")</f>
        <v/>
      </c>
      <c r="J107" s="17">
        <f>IFERROR(IF(INDEX('C_jama.2018.8802'!$E$2:$E$9,MATCH($C107,'C_jama.2018.8802'!$A$2:$A$9,0))="","",INDEX('C_jama.2018.8802'!$E$2:$E$9,MATCH($C107,'C_jama.2018.8802'!$A$2:$A$9,0))),"")</f>
        <v/>
      </c>
      <c r="K107" s="17">
        <f>IFERROR(IF(AND(I107="retain",J107="statistical_results"),IF(INDEX('C_jama.2018.8802'!$H$2:$H$9,MATCH($C107,'C_jama.2018.8802'!$A$2:$A$9,0))="","",INDEX('C_jama.2018.8802'!$H$2:$H$9,MATCH($C107,'C_jama.2018.8802'!$A$2:$A$9,0))),"not_applicable"),"")</f>
        <v/>
      </c>
      <c r="L107" s="17">
        <f>IFERROR(IF(AND(I107="retain",J107="statistical_results"),IF(INDEX('C_jama.2018.8802'!$I$2:$I$9,MATCH($C107,'C_jama.2018.8802'!$A$2:$A$9,0))="","",INDEX('C_jama.2018.8802'!$I$2:$I$9,MATCH($C107,'C_jama.2018.8802'!$A$2:$A$9,0))),"not_applicable"),"")</f>
        <v/>
      </c>
      <c r="M107" s="17">
        <f>IFERROR(IF(AND(I107="retain",J107="statistical_results"),IF(INDEX('C_jama.2018.8802'!$J$2:$J$9,MATCH($C107,'C_jama.2018.8802'!$A$2:$A$9,0))="","",INDEX('C_jama.2018.8802'!$J$2:$J$9,MATCH($C107,'C_jama.2018.8802'!$A$2:$A$9,0))),"not_applicable"),"")</f>
        <v/>
      </c>
      <c r="N107" s="17">
        <f>IFERROR(IF(AND(I107="retain",OR(J107="report_internal_inconsistency",J107="plan_material")),IF(INDEX('C_jama.2018.8802'!$K$2:$K$9,MATCH($C107,'C_jama.2018.8802'!$A$2:$A$9,0))="","",INDEX('C_jama.2018.8802'!$K$2:$K$9,MATCH($C107,'C_jama.2018.8802'!$A$2:$A$9,0))),"not_applicable"),"")</f>
        <v/>
      </c>
      <c r="O107" s="17">
        <f>IFERROR(IF(AND(I107="retain",J107="protocol_report"),IF(INDEX('C_jama.2018.8802'!$L$2:$L$9,MATCH($C107,'C_jama.2018.8802'!$A$2:$A$9,0))="","",INDEX('C_jama.2018.8802'!$L$2:$L$9,MATCH($C107,'C_jama.2018.8802'!$A$2:$A$9,0))),"not_applicable"),"")</f>
        <v/>
      </c>
      <c r="P107" s="17">
        <f>IFERROR(IF(INDEX('C_jama.2018.8802'!$R$2:$R$9,MATCH($C107,'C_jama.2018.8802'!$A$2:$A$9,0))="","",INDEX('C_jama.2018.8802'!$R$2:$R$9,MATCH($C107,'C_jama.2018.8802'!$A$2:$A$9,0))),"")</f>
        <v/>
      </c>
      <c r="Q107" s="17" t="inlineStr">
        <is>
          <t>retain</t>
        </is>
      </c>
      <c r="R107" s="17" t="inlineStr">
        <is>
          <t>statistical_results</t>
        </is>
      </c>
    </row>
    <row r="108" ht="70" customHeight="1" s="14">
      <c r="A108" s="16" t="n">
        <v>2018</v>
      </c>
      <c r="B108" s="16" t="inlineStr">
        <is>
          <t>jama.2018.9128</t>
        </is>
      </c>
      <c r="C108" s="16" t="inlineStr">
        <is>
          <t>2018::jama.2018.9128::C001</t>
        </is>
      </c>
      <c r="D108" s="16" t="inlineStr">
        <is>
          <t>S_C</t>
        </is>
      </c>
      <c r="E108" s="16">
        <f>Setup!$B$4</f>
        <v/>
      </c>
      <c r="F108" s="16">
        <f>IF(Setup!$B$2="","",Setup!$B$2)</f>
        <v/>
      </c>
      <c r="G108" s="16">
        <f>IFERROR(INDEX('C_jama.2018.9128'!$G$2:$G$14,MATCH($C108,'C_jama.2018.9128'!$A$2:$A$14,0)),"CHECK KEY")</f>
        <v/>
      </c>
      <c r="H108" s="16">
        <f>IF(OR(G108&lt;&gt;"PRIMARY READY",I108="discuss"),"",IF(I108&lt;&gt;"retain","not_eligible",IF(D108="P_R","protocol_descriptive",IF(D108="P_P","plan_descriptive",IF(AND(OR(D108="S_C",D108="S_W"),J108="statistical_results",OR(K108="confirmed_issue",K108="probable_issue"),L108="substantive"),"primary_temporal",IF(AND(OR(D108="S_C",D108="S_W"),J108="report_internal_inconsistency",N108="substantive_inconsistency"),"secondary_temporal","not_eligible"))))))</f>
        <v/>
      </c>
      <c r="I108" s="16">
        <f>IFERROR(IF(INDEX('C_jama.2018.9128'!$D$2:$D$14,MATCH($C108,'C_jama.2018.9128'!$A$2:$A$14,0))="","",INDEX('C_jama.2018.9128'!$D$2:$D$14,MATCH($C108,'C_jama.2018.9128'!$A$2:$A$14,0))),"")</f>
        <v/>
      </c>
      <c r="J108" s="16">
        <f>IFERROR(IF(INDEX('C_jama.2018.9128'!$E$2:$E$14,MATCH($C108,'C_jama.2018.9128'!$A$2:$A$14,0))="","",INDEX('C_jama.2018.9128'!$E$2:$E$14,MATCH($C108,'C_jama.2018.9128'!$A$2:$A$14,0))),"")</f>
        <v/>
      </c>
      <c r="K108" s="16">
        <f>IFERROR(IF(AND(I108="retain",J108="statistical_results"),IF(INDEX('C_jama.2018.9128'!$H$2:$H$14,MATCH($C108,'C_jama.2018.9128'!$A$2:$A$14,0))="","",INDEX('C_jama.2018.9128'!$H$2:$H$14,MATCH($C108,'C_jama.2018.9128'!$A$2:$A$14,0))),"not_applicable"),"")</f>
        <v/>
      </c>
      <c r="L108" s="16">
        <f>IFERROR(IF(AND(I108="retain",J108="statistical_results"),IF(INDEX('C_jama.2018.9128'!$I$2:$I$14,MATCH($C108,'C_jama.2018.9128'!$A$2:$A$14,0))="","",INDEX('C_jama.2018.9128'!$I$2:$I$14,MATCH($C108,'C_jama.2018.9128'!$A$2:$A$14,0))),"not_applicable"),"")</f>
        <v/>
      </c>
      <c r="M108" s="16">
        <f>IFERROR(IF(AND(I108="retain",J108="statistical_results"),IF(INDEX('C_jama.2018.9128'!$J$2:$J$14,MATCH($C108,'C_jama.2018.9128'!$A$2:$A$14,0))="","",INDEX('C_jama.2018.9128'!$J$2:$J$14,MATCH($C108,'C_jama.2018.9128'!$A$2:$A$14,0))),"not_applicable"),"")</f>
        <v/>
      </c>
      <c r="N108" s="16">
        <f>IFERROR(IF(AND(I108="retain",OR(J108="report_internal_inconsistency",J108="plan_material")),IF(INDEX('C_jama.2018.9128'!$K$2:$K$14,MATCH($C108,'C_jama.2018.9128'!$A$2:$A$14,0))="","",INDEX('C_jama.2018.9128'!$K$2:$K$14,MATCH($C108,'C_jama.2018.9128'!$A$2:$A$14,0))),"not_applicable"),"")</f>
        <v/>
      </c>
      <c r="O108" s="16">
        <f>IFERROR(IF(AND(I108="retain",J108="protocol_report"),IF(INDEX('C_jama.2018.9128'!$L$2:$L$14,MATCH($C108,'C_jama.2018.9128'!$A$2:$A$14,0))="","",INDEX('C_jama.2018.9128'!$L$2:$L$14,MATCH($C108,'C_jama.2018.9128'!$A$2:$A$14,0))),"not_applicable"),"")</f>
        <v/>
      </c>
      <c r="P108" s="16">
        <f>IFERROR(IF(INDEX('C_jama.2018.9128'!$R$2:$R$14,MATCH($C108,'C_jama.2018.9128'!$A$2:$A$14,0))="","",INDEX('C_jama.2018.9128'!$R$2:$R$14,MATCH($C108,'C_jama.2018.9128'!$A$2:$A$14,0))),"")</f>
        <v/>
      </c>
      <c r="Q108" s="16" t="inlineStr">
        <is>
          <t>retain</t>
        </is>
      </c>
      <c r="R108" s="16" t="inlineStr">
        <is>
          <t>report_internal_inconsistency</t>
        </is>
      </c>
    </row>
    <row r="109" ht="70" customHeight="1" s="14">
      <c r="A109" s="17" t="n">
        <v>2018</v>
      </c>
      <c r="B109" s="17" t="inlineStr">
        <is>
          <t>jama.2018.9128</t>
        </is>
      </c>
      <c r="C109" s="17" t="inlineStr">
        <is>
          <t>2018::jama.2018.9128::C002</t>
        </is>
      </c>
      <c r="D109" s="17" t="inlineStr">
        <is>
          <t>S_C</t>
        </is>
      </c>
      <c r="E109" s="17">
        <f>Setup!$B$4</f>
        <v/>
      </c>
      <c r="F109" s="17">
        <f>IF(Setup!$B$2="","",Setup!$B$2)</f>
        <v/>
      </c>
      <c r="G109" s="17">
        <f>IFERROR(INDEX('C_jama.2018.9128'!$G$2:$G$14,MATCH($C109,'C_jama.2018.9128'!$A$2:$A$14,0)),"CHECK KEY")</f>
        <v/>
      </c>
      <c r="H109" s="17">
        <f>IF(OR(G109&lt;&gt;"PRIMARY READY",I109="discuss"),"",IF(I109&lt;&gt;"retain","not_eligible",IF(D109="P_R","protocol_descriptive",IF(D109="P_P","plan_descriptive",IF(AND(OR(D109="S_C",D109="S_W"),J109="statistical_results",OR(K109="confirmed_issue",K109="probable_issue"),L109="substantive"),"primary_temporal",IF(AND(OR(D109="S_C",D109="S_W"),J109="report_internal_inconsistency",N109="substantive_inconsistency"),"secondary_temporal","not_eligible"))))))</f>
        <v/>
      </c>
      <c r="I109" s="17">
        <f>IFERROR(IF(INDEX('C_jama.2018.9128'!$D$2:$D$14,MATCH($C109,'C_jama.2018.9128'!$A$2:$A$14,0))="","",INDEX('C_jama.2018.9128'!$D$2:$D$14,MATCH($C109,'C_jama.2018.9128'!$A$2:$A$14,0))),"")</f>
        <v/>
      </c>
      <c r="J109" s="17">
        <f>IFERROR(IF(INDEX('C_jama.2018.9128'!$E$2:$E$14,MATCH($C109,'C_jama.2018.9128'!$A$2:$A$14,0))="","",INDEX('C_jama.2018.9128'!$E$2:$E$14,MATCH($C109,'C_jama.2018.9128'!$A$2:$A$14,0))),"")</f>
        <v/>
      </c>
      <c r="K109" s="17">
        <f>IFERROR(IF(AND(I109="retain",J109="statistical_results"),IF(INDEX('C_jama.2018.9128'!$H$2:$H$14,MATCH($C109,'C_jama.2018.9128'!$A$2:$A$14,0))="","",INDEX('C_jama.2018.9128'!$H$2:$H$14,MATCH($C109,'C_jama.2018.9128'!$A$2:$A$14,0))),"not_applicable"),"")</f>
        <v/>
      </c>
      <c r="L109" s="17">
        <f>IFERROR(IF(AND(I109="retain",J109="statistical_results"),IF(INDEX('C_jama.2018.9128'!$I$2:$I$14,MATCH($C109,'C_jama.2018.9128'!$A$2:$A$14,0))="","",INDEX('C_jama.2018.9128'!$I$2:$I$14,MATCH($C109,'C_jama.2018.9128'!$A$2:$A$14,0))),"not_applicable"),"")</f>
        <v/>
      </c>
      <c r="M109" s="17">
        <f>IFERROR(IF(AND(I109="retain",J109="statistical_results"),IF(INDEX('C_jama.2018.9128'!$J$2:$J$14,MATCH($C109,'C_jama.2018.9128'!$A$2:$A$14,0))="","",INDEX('C_jama.2018.9128'!$J$2:$J$14,MATCH($C109,'C_jama.2018.9128'!$A$2:$A$14,0))),"not_applicable"),"")</f>
        <v/>
      </c>
      <c r="N109" s="17">
        <f>IFERROR(IF(AND(I109="retain",OR(J109="report_internal_inconsistency",J109="plan_material")),IF(INDEX('C_jama.2018.9128'!$K$2:$K$14,MATCH($C109,'C_jama.2018.9128'!$A$2:$A$14,0))="","",INDEX('C_jama.2018.9128'!$K$2:$K$14,MATCH($C109,'C_jama.2018.9128'!$A$2:$A$14,0))),"not_applicable"),"")</f>
        <v/>
      </c>
      <c r="O109" s="17">
        <f>IFERROR(IF(AND(I109="retain",J109="protocol_report"),IF(INDEX('C_jama.2018.9128'!$L$2:$L$14,MATCH($C109,'C_jama.2018.9128'!$A$2:$A$14,0))="","",INDEX('C_jama.2018.9128'!$L$2:$L$14,MATCH($C109,'C_jama.2018.9128'!$A$2:$A$14,0))),"not_applicable"),"")</f>
        <v/>
      </c>
      <c r="P109" s="17">
        <f>IFERROR(IF(INDEX('C_jama.2018.9128'!$R$2:$R$14,MATCH($C109,'C_jama.2018.9128'!$A$2:$A$14,0))="","",INDEX('C_jama.2018.9128'!$R$2:$R$14,MATCH($C109,'C_jama.2018.9128'!$A$2:$A$14,0))),"")</f>
        <v/>
      </c>
      <c r="Q109" s="17" t="inlineStr">
        <is>
          <t>retain</t>
        </is>
      </c>
      <c r="R109" s="17" t="inlineStr">
        <is>
          <t>report_internal_inconsistency</t>
        </is>
      </c>
    </row>
    <row r="110" ht="70" customHeight="1" s="14">
      <c r="A110" s="16" t="n">
        <v>2018</v>
      </c>
      <c r="B110" s="16" t="inlineStr">
        <is>
          <t>jama.2018.9128</t>
        </is>
      </c>
      <c r="C110" s="16" t="inlineStr">
        <is>
          <t>2018::jama.2018.9128::C003</t>
        </is>
      </c>
      <c r="D110" s="16" t="inlineStr">
        <is>
          <t>S_C</t>
        </is>
      </c>
      <c r="E110" s="16">
        <f>Setup!$B$4</f>
        <v/>
      </c>
      <c r="F110" s="16">
        <f>IF(Setup!$B$2="","",Setup!$B$2)</f>
        <v/>
      </c>
      <c r="G110" s="16">
        <f>IFERROR(INDEX('C_jama.2018.9128'!$G$2:$G$14,MATCH($C110,'C_jama.2018.9128'!$A$2:$A$14,0)),"CHECK KEY")</f>
        <v/>
      </c>
      <c r="H110" s="16">
        <f>IF(OR(G110&lt;&gt;"PRIMARY READY",I110="discuss"),"",IF(I110&lt;&gt;"retain","not_eligible",IF(D110="P_R","protocol_descriptive",IF(D110="P_P","plan_descriptive",IF(AND(OR(D110="S_C",D110="S_W"),J110="statistical_results",OR(K110="confirmed_issue",K110="probable_issue"),L110="substantive"),"primary_temporal",IF(AND(OR(D110="S_C",D110="S_W"),J110="report_internal_inconsistency",N110="substantive_inconsistency"),"secondary_temporal","not_eligible"))))))</f>
        <v/>
      </c>
      <c r="I110" s="16">
        <f>IFERROR(IF(INDEX('C_jama.2018.9128'!$D$2:$D$14,MATCH($C110,'C_jama.2018.9128'!$A$2:$A$14,0))="","",INDEX('C_jama.2018.9128'!$D$2:$D$14,MATCH($C110,'C_jama.2018.9128'!$A$2:$A$14,0))),"")</f>
        <v/>
      </c>
      <c r="J110" s="16">
        <f>IFERROR(IF(INDEX('C_jama.2018.9128'!$E$2:$E$14,MATCH($C110,'C_jama.2018.9128'!$A$2:$A$14,0))="","",INDEX('C_jama.2018.9128'!$E$2:$E$14,MATCH($C110,'C_jama.2018.9128'!$A$2:$A$14,0))),"")</f>
        <v/>
      </c>
      <c r="K110" s="16">
        <f>IFERROR(IF(AND(I110="retain",J110="statistical_results"),IF(INDEX('C_jama.2018.9128'!$H$2:$H$14,MATCH($C110,'C_jama.2018.9128'!$A$2:$A$14,0))="","",INDEX('C_jama.2018.9128'!$H$2:$H$14,MATCH($C110,'C_jama.2018.9128'!$A$2:$A$14,0))),"not_applicable"),"")</f>
        <v/>
      </c>
      <c r="L110" s="16">
        <f>IFERROR(IF(AND(I110="retain",J110="statistical_results"),IF(INDEX('C_jama.2018.9128'!$I$2:$I$14,MATCH($C110,'C_jama.2018.9128'!$A$2:$A$14,0))="","",INDEX('C_jama.2018.9128'!$I$2:$I$14,MATCH($C110,'C_jama.2018.9128'!$A$2:$A$14,0))),"not_applicable"),"")</f>
        <v/>
      </c>
      <c r="M110" s="16">
        <f>IFERROR(IF(AND(I110="retain",J110="statistical_results"),IF(INDEX('C_jama.2018.9128'!$J$2:$J$14,MATCH($C110,'C_jama.2018.9128'!$A$2:$A$14,0))="","",INDEX('C_jama.2018.9128'!$J$2:$J$14,MATCH($C110,'C_jama.2018.9128'!$A$2:$A$14,0))),"not_applicable"),"")</f>
        <v/>
      </c>
      <c r="N110" s="16">
        <f>IFERROR(IF(AND(I110="retain",OR(J110="report_internal_inconsistency",J110="plan_material")),IF(INDEX('C_jama.2018.9128'!$K$2:$K$14,MATCH($C110,'C_jama.2018.9128'!$A$2:$A$14,0))="","",INDEX('C_jama.2018.9128'!$K$2:$K$14,MATCH($C110,'C_jama.2018.9128'!$A$2:$A$14,0))),"not_applicable"),"")</f>
        <v/>
      </c>
      <c r="O110" s="16">
        <f>IFERROR(IF(AND(I110="retain",J110="protocol_report"),IF(INDEX('C_jama.2018.9128'!$L$2:$L$14,MATCH($C110,'C_jama.2018.9128'!$A$2:$A$14,0))="","",INDEX('C_jama.2018.9128'!$L$2:$L$14,MATCH($C110,'C_jama.2018.9128'!$A$2:$A$14,0))),"not_applicable"),"")</f>
        <v/>
      </c>
      <c r="P110" s="16">
        <f>IFERROR(IF(INDEX('C_jama.2018.9128'!$R$2:$R$14,MATCH($C110,'C_jama.2018.9128'!$A$2:$A$14,0))="","",INDEX('C_jama.2018.9128'!$R$2:$R$14,MATCH($C110,'C_jama.2018.9128'!$A$2:$A$14,0))),"")</f>
        <v/>
      </c>
      <c r="Q110" s="16" t="inlineStr">
        <is>
          <t>retain</t>
        </is>
      </c>
      <c r="R110" s="16" t="inlineStr">
        <is>
          <t>report_internal_inconsistency</t>
        </is>
      </c>
    </row>
    <row r="111" ht="70" customHeight="1" s="14">
      <c r="A111" s="17" t="n">
        <v>2018</v>
      </c>
      <c r="B111" s="17" t="inlineStr">
        <is>
          <t>jama.2018.9128</t>
        </is>
      </c>
      <c r="C111" s="17" t="inlineStr">
        <is>
          <t>2018::jama.2018.9128::C004</t>
        </is>
      </c>
      <c r="D111" s="17" t="inlineStr">
        <is>
          <t>S_C</t>
        </is>
      </c>
      <c r="E111" s="17">
        <f>Setup!$B$4</f>
        <v/>
      </c>
      <c r="F111" s="17">
        <f>IF(Setup!$B$2="","",Setup!$B$2)</f>
        <v/>
      </c>
      <c r="G111" s="17">
        <f>IFERROR(INDEX('C_jama.2018.9128'!$G$2:$G$14,MATCH($C111,'C_jama.2018.9128'!$A$2:$A$14,0)),"CHECK KEY")</f>
        <v/>
      </c>
      <c r="H111" s="17">
        <f>IF(OR(G111&lt;&gt;"PRIMARY READY",I111="discuss"),"",IF(I111&lt;&gt;"retain","not_eligible",IF(D111="P_R","protocol_descriptive",IF(D111="P_P","plan_descriptive",IF(AND(OR(D111="S_C",D111="S_W"),J111="statistical_results",OR(K111="confirmed_issue",K111="probable_issue"),L111="substantive"),"primary_temporal",IF(AND(OR(D111="S_C",D111="S_W"),J111="report_internal_inconsistency",N111="substantive_inconsistency"),"secondary_temporal","not_eligible"))))))</f>
        <v/>
      </c>
      <c r="I111" s="17">
        <f>IFERROR(IF(INDEX('C_jama.2018.9128'!$D$2:$D$14,MATCH($C111,'C_jama.2018.9128'!$A$2:$A$14,0))="","",INDEX('C_jama.2018.9128'!$D$2:$D$14,MATCH($C111,'C_jama.2018.9128'!$A$2:$A$14,0))),"")</f>
        <v/>
      </c>
      <c r="J111" s="17">
        <f>IFERROR(IF(INDEX('C_jama.2018.9128'!$E$2:$E$14,MATCH($C111,'C_jama.2018.9128'!$A$2:$A$14,0))="","",INDEX('C_jama.2018.9128'!$E$2:$E$14,MATCH($C111,'C_jama.2018.9128'!$A$2:$A$14,0))),"")</f>
        <v/>
      </c>
      <c r="K111" s="17">
        <f>IFERROR(IF(AND(I111="retain",J111="statistical_results"),IF(INDEX('C_jama.2018.9128'!$H$2:$H$14,MATCH($C111,'C_jama.2018.9128'!$A$2:$A$14,0))="","",INDEX('C_jama.2018.9128'!$H$2:$H$14,MATCH($C111,'C_jama.2018.9128'!$A$2:$A$14,0))),"not_applicable"),"")</f>
        <v/>
      </c>
      <c r="L111" s="17">
        <f>IFERROR(IF(AND(I111="retain",J111="statistical_results"),IF(INDEX('C_jama.2018.9128'!$I$2:$I$14,MATCH($C111,'C_jama.2018.9128'!$A$2:$A$14,0))="","",INDEX('C_jama.2018.9128'!$I$2:$I$14,MATCH($C111,'C_jama.2018.9128'!$A$2:$A$14,0))),"not_applicable"),"")</f>
        <v/>
      </c>
      <c r="M111" s="17">
        <f>IFERROR(IF(AND(I111="retain",J111="statistical_results"),IF(INDEX('C_jama.2018.9128'!$J$2:$J$14,MATCH($C111,'C_jama.2018.9128'!$A$2:$A$14,0))="","",INDEX('C_jama.2018.9128'!$J$2:$J$14,MATCH($C111,'C_jama.2018.9128'!$A$2:$A$14,0))),"not_applicable"),"")</f>
        <v/>
      </c>
      <c r="N111" s="17">
        <f>IFERROR(IF(AND(I111="retain",OR(J111="report_internal_inconsistency",J111="plan_material")),IF(INDEX('C_jama.2018.9128'!$K$2:$K$14,MATCH($C111,'C_jama.2018.9128'!$A$2:$A$14,0))="","",INDEX('C_jama.2018.9128'!$K$2:$K$14,MATCH($C111,'C_jama.2018.9128'!$A$2:$A$14,0))),"not_applicable"),"")</f>
        <v/>
      </c>
      <c r="O111" s="17">
        <f>IFERROR(IF(AND(I111="retain",J111="protocol_report"),IF(INDEX('C_jama.2018.9128'!$L$2:$L$14,MATCH($C111,'C_jama.2018.9128'!$A$2:$A$14,0))="","",INDEX('C_jama.2018.9128'!$L$2:$L$14,MATCH($C111,'C_jama.2018.9128'!$A$2:$A$14,0))),"not_applicable"),"")</f>
        <v/>
      </c>
      <c r="P111" s="17">
        <f>IFERROR(IF(INDEX('C_jama.2018.9128'!$R$2:$R$14,MATCH($C111,'C_jama.2018.9128'!$A$2:$A$14,0))="","",INDEX('C_jama.2018.9128'!$R$2:$R$14,MATCH($C111,'C_jama.2018.9128'!$A$2:$A$14,0))),"")</f>
        <v/>
      </c>
      <c r="Q111" s="17" t="inlineStr">
        <is>
          <t>retain</t>
        </is>
      </c>
      <c r="R111" s="17" t="inlineStr">
        <is>
          <t>report_internal_inconsistency</t>
        </is>
      </c>
    </row>
    <row r="112" ht="70" customHeight="1" s="14">
      <c r="A112" s="16" t="n">
        <v>2018</v>
      </c>
      <c r="B112" s="16" t="inlineStr">
        <is>
          <t>jama.2018.9128</t>
        </is>
      </c>
      <c r="C112" s="16" t="inlineStr">
        <is>
          <t>2018::jama.2018.9128::C005</t>
        </is>
      </c>
      <c r="D112" s="16" t="inlineStr">
        <is>
          <t>S_C</t>
        </is>
      </c>
      <c r="E112" s="16">
        <f>Setup!$B$4</f>
        <v/>
      </c>
      <c r="F112" s="16">
        <f>IF(Setup!$B$2="","",Setup!$B$2)</f>
        <v/>
      </c>
      <c r="G112" s="16">
        <f>IFERROR(INDEX('C_jama.2018.9128'!$G$2:$G$14,MATCH($C112,'C_jama.2018.9128'!$A$2:$A$14,0)),"CHECK KEY")</f>
        <v/>
      </c>
      <c r="H112" s="16">
        <f>IF(OR(G112&lt;&gt;"PRIMARY READY",I112="discuss"),"",IF(I112&lt;&gt;"retain","not_eligible",IF(D112="P_R","protocol_descriptive",IF(D112="P_P","plan_descriptive",IF(AND(OR(D112="S_C",D112="S_W"),J112="statistical_results",OR(K112="confirmed_issue",K112="probable_issue"),L112="substantive"),"primary_temporal",IF(AND(OR(D112="S_C",D112="S_W"),J112="report_internal_inconsistency",N112="substantive_inconsistency"),"secondary_temporal","not_eligible"))))))</f>
        <v/>
      </c>
      <c r="I112" s="16">
        <f>IFERROR(IF(INDEX('C_jama.2018.9128'!$D$2:$D$14,MATCH($C112,'C_jama.2018.9128'!$A$2:$A$14,0))="","",INDEX('C_jama.2018.9128'!$D$2:$D$14,MATCH($C112,'C_jama.2018.9128'!$A$2:$A$14,0))),"")</f>
        <v/>
      </c>
      <c r="J112" s="16">
        <f>IFERROR(IF(INDEX('C_jama.2018.9128'!$E$2:$E$14,MATCH($C112,'C_jama.2018.9128'!$A$2:$A$14,0))="","",INDEX('C_jama.2018.9128'!$E$2:$E$14,MATCH($C112,'C_jama.2018.9128'!$A$2:$A$14,0))),"")</f>
        <v/>
      </c>
      <c r="K112" s="16">
        <f>IFERROR(IF(AND(I112="retain",J112="statistical_results"),IF(INDEX('C_jama.2018.9128'!$H$2:$H$14,MATCH($C112,'C_jama.2018.9128'!$A$2:$A$14,0))="","",INDEX('C_jama.2018.9128'!$H$2:$H$14,MATCH($C112,'C_jama.2018.9128'!$A$2:$A$14,0))),"not_applicable"),"")</f>
        <v/>
      </c>
      <c r="L112" s="16">
        <f>IFERROR(IF(AND(I112="retain",J112="statistical_results"),IF(INDEX('C_jama.2018.9128'!$I$2:$I$14,MATCH($C112,'C_jama.2018.9128'!$A$2:$A$14,0))="","",INDEX('C_jama.2018.9128'!$I$2:$I$14,MATCH($C112,'C_jama.2018.9128'!$A$2:$A$14,0))),"not_applicable"),"")</f>
        <v/>
      </c>
      <c r="M112" s="16">
        <f>IFERROR(IF(AND(I112="retain",J112="statistical_results"),IF(INDEX('C_jama.2018.9128'!$J$2:$J$14,MATCH($C112,'C_jama.2018.9128'!$A$2:$A$14,0))="","",INDEX('C_jama.2018.9128'!$J$2:$J$14,MATCH($C112,'C_jama.2018.9128'!$A$2:$A$14,0))),"not_applicable"),"")</f>
        <v/>
      </c>
      <c r="N112" s="16">
        <f>IFERROR(IF(AND(I112="retain",OR(J112="report_internal_inconsistency",J112="plan_material")),IF(INDEX('C_jama.2018.9128'!$K$2:$K$14,MATCH($C112,'C_jama.2018.9128'!$A$2:$A$14,0))="","",INDEX('C_jama.2018.9128'!$K$2:$K$14,MATCH($C112,'C_jama.2018.9128'!$A$2:$A$14,0))),"not_applicable"),"")</f>
        <v/>
      </c>
      <c r="O112" s="16">
        <f>IFERROR(IF(AND(I112="retain",J112="protocol_report"),IF(INDEX('C_jama.2018.9128'!$L$2:$L$14,MATCH($C112,'C_jama.2018.9128'!$A$2:$A$14,0))="","",INDEX('C_jama.2018.9128'!$L$2:$L$14,MATCH($C112,'C_jama.2018.9128'!$A$2:$A$14,0))),"not_applicable"),"")</f>
        <v/>
      </c>
      <c r="P112" s="16">
        <f>IFERROR(IF(INDEX('C_jama.2018.9128'!$R$2:$R$14,MATCH($C112,'C_jama.2018.9128'!$A$2:$A$14,0))="","",INDEX('C_jama.2018.9128'!$R$2:$R$14,MATCH($C112,'C_jama.2018.9128'!$A$2:$A$14,0))),"")</f>
        <v/>
      </c>
      <c r="Q112" s="16" t="inlineStr">
        <is>
          <t>retain</t>
        </is>
      </c>
      <c r="R112" s="16" t="inlineStr">
        <is>
          <t>report_internal_inconsistency</t>
        </is>
      </c>
    </row>
    <row r="113" ht="70" customHeight="1" s="14">
      <c r="A113" s="17" t="n">
        <v>2018</v>
      </c>
      <c r="B113" s="17" t="inlineStr">
        <is>
          <t>jama.2018.9128</t>
        </is>
      </c>
      <c r="C113" s="17" t="inlineStr">
        <is>
          <t>2018::jama.2018.9128::C006</t>
        </is>
      </c>
      <c r="D113" s="17" t="inlineStr">
        <is>
          <t>S_C</t>
        </is>
      </c>
      <c r="E113" s="17">
        <f>Setup!$B$4</f>
        <v/>
      </c>
      <c r="F113" s="17">
        <f>IF(Setup!$B$2="","",Setup!$B$2)</f>
        <v/>
      </c>
      <c r="G113" s="17">
        <f>IFERROR(INDEX('C_jama.2018.9128'!$G$2:$G$14,MATCH($C113,'C_jama.2018.9128'!$A$2:$A$14,0)),"CHECK KEY")</f>
        <v/>
      </c>
      <c r="H113" s="17">
        <f>IF(OR(G113&lt;&gt;"PRIMARY READY",I113="discuss"),"",IF(I113&lt;&gt;"retain","not_eligible",IF(D113="P_R","protocol_descriptive",IF(D113="P_P","plan_descriptive",IF(AND(OR(D113="S_C",D113="S_W"),J113="statistical_results",OR(K113="confirmed_issue",K113="probable_issue"),L113="substantive"),"primary_temporal",IF(AND(OR(D113="S_C",D113="S_W"),J113="report_internal_inconsistency",N113="substantive_inconsistency"),"secondary_temporal","not_eligible"))))))</f>
        <v/>
      </c>
      <c r="I113" s="17">
        <f>IFERROR(IF(INDEX('C_jama.2018.9128'!$D$2:$D$14,MATCH($C113,'C_jama.2018.9128'!$A$2:$A$14,0))="","",INDEX('C_jama.2018.9128'!$D$2:$D$14,MATCH($C113,'C_jama.2018.9128'!$A$2:$A$14,0))),"")</f>
        <v/>
      </c>
      <c r="J113" s="17">
        <f>IFERROR(IF(INDEX('C_jama.2018.9128'!$E$2:$E$14,MATCH($C113,'C_jama.2018.9128'!$A$2:$A$14,0))="","",INDEX('C_jama.2018.9128'!$E$2:$E$14,MATCH($C113,'C_jama.2018.9128'!$A$2:$A$14,0))),"")</f>
        <v/>
      </c>
      <c r="K113" s="17">
        <f>IFERROR(IF(AND(I113="retain",J113="statistical_results"),IF(INDEX('C_jama.2018.9128'!$H$2:$H$14,MATCH($C113,'C_jama.2018.9128'!$A$2:$A$14,0))="","",INDEX('C_jama.2018.9128'!$H$2:$H$14,MATCH($C113,'C_jama.2018.9128'!$A$2:$A$14,0))),"not_applicable"),"")</f>
        <v/>
      </c>
      <c r="L113" s="17">
        <f>IFERROR(IF(AND(I113="retain",J113="statistical_results"),IF(INDEX('C_jama.2018.9128'!$I$2:$I$14,MATCH($C113,'C_jama.2018.9128'!$A$2:$A$14,0))="","",INDEX('C_jama.2018.9128'!$I$2:$I$14,MATCH($C113,'C_jama.2018.9128'!$A$2:$A$14,0))),"not_applicable"),"")</f>
        <v/>
      </c>
      <c r="M113" s="17">
        <f>IFERROR(IF(AND(I113="retain",J113="statistical_results"),IF(INDEX('C_jama.2018.9128'!$J$2:$J$14,MATCH($C113,'C_jama.2018.9128'!$A$2:$A$14,0))="","",INDEX('C_jama.2018.9128'!$J$2:$J$14,MATCH($C113,'C_jama.2018.9128'!$A$2:$A$14,0))),"not_applicable"),"")</f>
        <v/>
      </c>
      <c r="N113" s="17">
        <f>IFERROR(IF(AND(I113="retain",OR(J113="report_internal_inconsistency",J113="plan_material")),IF(INDEX('C_jama.2018.9128'!$K$2:$K$14,MATCH($C113,'C_jama.2018.9128'!$A$2:$A$14,0))="","",INDEX('C_jama.2018.9128'!$K$2:$K$14,MATCH($C113,'C_jama.2018.9128'!$A$2:$A$14,0))),"not_applicable"),"")</f>
        <v/>
      </c>
      <c r="O113" s="17">
        <f>IFERROR(IF(AND(I113="retain",J113="protocol_report"),IF(INDEX('C_jama.2018.9128'!$L$2:$L$14,MATCH($C113,'C_jama.2018.9128'!$A$2:$A$14,0))="","",INDEX('C_jama.2018.9128'!$L$2:$L$14,MATCH($C113,'C_jama.2018.9128'!$A$2:$A$14,0))),"not_applicable"),"")</f>
        <v/>
      </c>
      <c r="P113" s="17">
        <f>IFERROR(IF(INDEX('C_jama.2018.9128'!$R$2:$R$14,MATCH($C113,'C_jama.2018.9128'!$A$2:$A$14,0))="","",INDEX('C_jama.2018.9128'!$R$2:$R$14,MATCH($C113,'C_jama.2018.9128'!$A$2:$A$14,0))),"")</f>
        <v/>
      </c>
      <c r="Q113" s="17" t="inlineStr">
        <is>
          <t>retain</t>
        </is>
      </c>
      <c r="R113" s="17" t="inlineStr">
        <is>
          <t>report_internal_inconsistency</t>
        </is>
      </c>
    </row>
    <row r="114" ht="70" customHeight="1" s="14">
      <c r="A114" s="16" t="n">
        <v>2018</v>
      </c>
      <c r="B114" s="16" t="inlineStr">
        <is>
          <t>jama.2018.9128</t>
        </is>
      </c>
      <c r="C114" s="16" t="inlineStr">
        <is>
          <t>2018::jama.2018.9128::C007</t>
        </is>
      </c>
      <c r="D114" s="16" t="inlineStr">
        <is>
          <t>S_C</t>
        </is>
      </c>
      <c r="E114" s="16">
        <f>Setup!$B$4</f>
        <v/>
      </c>
      <c r="F114" s="16">
        <f>IF(Setup!$B$2="","",Setup!$B$2)</f>
        <v/>
      </c>
      <c r="G114" s="16">
        <f>IFERROR(INDEX('C_jama.2018.9128'!$G$2:$G$14,MATCH($C114,'C_jama.2018.9128'!$A$2:$A$14,0)),"CHECK KEY")</f>
        <v/>
      </c>
      <c r="H114" s="16">
        <f>IF(OR(G114&lt;&gt;"PRIMARY READY",I114="discuss"),"",IF(I114&lt;&gt;"retain","not_eligible",IF(D114="P_R","protocol_descriptive",IF(D114="P_P","plan_descriptive",IF(AND(OR(D114="S_C",D114="S_W"),J114="statistical_results",OR(K114="confirmed_issue",K114="probable_issue"),L114="substantive"),"primary_temporal",IF(AND(OR(D114="S_C",D114="S_W"),J114="report_internal_inconsistency",N114="substantive_inconsistency"),"secondary_temporal","not_eligible"))))))</f>
        <v/>
      </c>
      <c r="I114" s="16">
        <f>IFERROR(IF(INDEX('C_jama.2018.9128'!$D$2:$D$14,MATCH($C114,'C_jama.2018.9128'!$A$2:$A$14,0))="","",INDEX('C_jama.2018.9128'!$D$2:$D$14,MATCH($C114,'C_jama.2018.9128'!$A$2:$A$14,0))),"")</f>
        <v/>
      </c>
      <c r="J114" s="16">
        <f>IFERROR(IF(INDEX('C_jama.2018.9128'!$E$2:$E$14,MATCH($C114,'C_jama.2018.9128'!$A$2:$A$14,0))="","",INDEX('C_jama.2018.9128'!$E$2:$E$14,MATCH($C114,'C_jama.2018.9128'!$A$2:$A$14,0))),"")</f>
        <v/>
      </c>
      <c r="K114" s="16">
        <f>IFERROR(IF(AND(I114="retain",J114="statistical_results"),IF(INDEX('C_jama.2018.9128'!$H$2:$H$14,MATCH($C114,'C_jama.2018.9128'!$A$2:$A$14,0))="","",INDEX('C_jama.2018.9128'!$H$2:$H$14,MATCH($C114,'C_jama.2018.9128'!$A$2:$A$14,0))),"not_applicable"),"")</f>
        <v/>
      </c>
      <c r="L114" s="16">
        <f>IFERROR(IF(AND(I114="retain",J114="statistical_results"),IF(INDEX('C_jama.2018.9128'!$I$2:$I$14,MATCH($C114,'C_jama.2018.9128'!$A$2:$A$14,0))="","",INDEX('C_jama.2018.9128'!$I$2:$I$14,MATCH($C114,'C_jama.2018.9128'!$A$2:$A$14,0))),"not_applicable"),"")</f>
        <v/>
      </c>
      <c r="M114" s="16">
        <f>IFERROR(IF(AND(I114="retain",J114="statistical_results"),IF(INDEX('C_jama.2018.9128'!$J$2:$J$14,MATCH($C114,'C_jama.2018.9128'!$A$2:$A$14,0))="","",INDEX('C_jama.2018.9128'!$J$2:$J$14,MATCH($C114,'C_jama.2018.9128'!$A$2:$A$14,0))),"not_applicable"),"")</f>
        <v/>
      </c>
      <c r="N114" s="16">
        <f>IFERROR(IF(AND(I114="retain",OR(J114="report_internal_inconsistency",J114="plan_material")),IF(INDEX('C_jama.2018.9128'!$K$2:$K$14,MATCH($C114,'C_jama.2018.9128'!$A$2:$A$14,0))="","",INDEX('C_jama.2018.9128'!$K$2:$K$14,MATCH($C114,'C_jama.2018.9128'!$A$2:$A$14,0))),"not_applicable"),"")</f>
        <v/>
      </c>
      <c r="O114" s="16">
        <f>IFERROR(IF(AND(I114="retain",J114="protocol_report"),IF(INDEX('C_jama.2018.9128'!$L$2:$L$14,MATCH($C114,'C_jama.2018.9128'!$A$2:$A$14,0))="","",INDEX('C_jama.2018.9128'!$L$2:$L$14,MATCH($C114,'C_jama.2018.9128'!$A$2:$A$14,0))),"not_applicable"),"")</f>
        <v/>
      </c>
      <c r="P114" s="16">
        <f>IFERROR(IF(INDEX('C_jama.2018.9128'!$R$2:$R$14,MATCH($C114,'C_jama.2018.9128'!$A$2:$A$14,0))="","",INDEX('C_jama.2018.9128'!$R$2:$R$14,MATCH($C114,'C_jama.2018.9128'!$A$2:$A$14,0))),"")</f>
        <v/>
      </c>
      <c r="Q114" s="16" t="inlineStr">
        <is>
          <t>retain</t>
        </is>
      </c>
      <c r="R114" s="16" t="inlineStr">
        <is>
          <t>report_internal_inconsistency</t>
        </is>
      </c>
    </row>
    <row r="115" ht="70" customHeight="1" s="14">
      <c r="A115" s="17" t="n">
        <v>2018</v>
      </c>
      <c r="B115" s="17" t="inlineStr">
        <is>
          <t>jama.2018.9128</t>
        </is>
      </c>
      <c r="C115" s="17" t="inlineStr">
        <is>
          <t>2018::jama.2018.9128::C008</t>
        </is>
      </c>
      <c r="D115" s="17" t="inlineStr">
        <is>
          <t>S_C</t>
        </is>
      </c>
      <c r="E115" s="17">
        <f>Setup!$B$4</f>
        <v/>
      </c>
      <c r="F115" s="17">
        <f>IF(Setup!$B$2="","",Setup!$B$2)</f>
        <v/>
      </c>
      <c r="G115" s="17">
        <f>IFERROR(INDEX('C_jama.2018.9128'!$G$2:$G$14,MATCH($C115,'C_jama.2018.9128'!$A$2:$A$14,0)),"CHECK KEY")</f>
        <v/>
      </c>
      <c r="H115" s="17">
        <f>IF(OR(G115&lt;&gt;"PRIMARY READY",I115="discuss"),"",IF(I115&lt;&gt;"retain","not_eligible",IF(D115="P_R","protocol_descriptive",IF(D115="P_P","plan_descriptive",IF(AND(OR(D115="S_C",D115="S_W"),J115="statistical_results",OR(K115="confirmed_issue",K115="probable_issue"),L115="substantive"),"primary_temporal",IF(AND(OR(D115="S_C",D115="S_W"),J115="report_internal_inconsistency",N115="substantive_inconsistency"),"secondary_temporal","not_eligible"))))))</f>
        <v/>
      </c>
      <c r="I115" s="17">
        <f>IFERROR(IF(INDEX('C_jama.2018.9128'!$D$2:$D$14,MATCH($C115,'C_jama.2018.9128'!$A$2:$A$14,0))="","",INDEX('C_jama.2018.9128'!$D$2:$D$14,MATCH($C115,'C_jama.2018.9128'!$A$2:$A$14,0))),"")</f>
        <v/>
      </c>
      <c r="J115" s="17">
        <f>IFERROR(IF(INDEX('C_jama.2018.9128'!$E$2:$E$14,MATCH($C115,'C_jama.2018.9128'!$A$2:$A$14,0))="","",INDEX('C_jama.2018.9128'!$E$2:$E$14,MATCH($C115,'C_jama.2018.9128'!$A$2:$A$14,0))),"")</f>
        <v/>
      </c>
      <c r="K115" s="17">
        <f>IFERROR(IF(AND(I115="retain",J115="statistical_results"),IF(INDEX('C_jama.2018.9128'!$H$2:$H$14,MATCH($C115,'C_jama.2018.9128'!$A$2:$A$14,0))="","",INDEX('C_jama.2018.9128'!$H$2:$H$14,MATCH($C115,'C_jama.2018.9128'!$A$2:$A$14,0))),"not_applicable"),"")</f>
        <v/>
      </c>
      <c r="L115" s="17">
        <f>IFERROR(IF(AND(I115="retain",J115="statistical_results"),IF(INDEX('C_jama.2018.9128'!$I$2:$I$14,MATCH($C115,'C_jama.2018.9128'!$A$2:$A$14,0))="","",INDEX('C_jama.2018.9128'!$I$2:$I$14,MATCH($C115,'C_jama.2018.9128'!$A$2:$A$14,0))),"not_applicable"),"")</f>
        <v/>
      </c>
      <c r="M115" s="17">
        <f>IFERROR(IF(AND(I115="retain",J115="statistical_results"),IF(INDEX('C_jama.2018.9128'!$J$2:$J$14,MATCH($C115,'C_jama.2018.9128'!$A$2:$A$14,0))="","",INDEX('C_jama.2018.9128'!$J$2:$J$14,MATCH($C115,'C_jama.2018.9128'!$A$2:$A$14,0))),"not_applicable"),"")</f>
        <v/>
      </c>
      <c r="N115" s="17">
        <f>IFERROR(IF(AND(I115="retain",OR(J115="report_internal_inconsistency",J115="plan_material")),IF(INDEX('C_jama.2018.9128'!$K$2:$K$14,MATCH($C115,'C_jama.2018.9128'!$A$2:$A$14,0))="","",INDEX('C_jama.2018.9128'!$K$2:$K$14,MATCH($C115,'C_jama.2018.9128'!$A$2:$A$14,0))),"not_applicable"),"")</f>
        <v/>
      </c>
      <c r="O115" s="17">
        <f>IFERROR(IF(AND(I115="retain",J115="protocol_report"),IF(INDEX('C_jama.2018.9128'!$L$2:$L$14,MATCH($C115,'C_jama.2018.9128'!$A$2:$A$14,0))="","",INDEX('C_jama.2018.9128'!$L$2:$L$14,MATCH($C115,'C_jama.2018.9128'!$A$2:$A$14,0))),"not_applicable"),"")</f>
        <v/>
      </c>
      <c r="P115" s="17">
        <f>IFERROR(IF(INDEX('C_jama.2018.9128'!$R$2:$R$14,MATCH($C115,'C_jama.2018.9128'!$A$2:$A$14,0))="","",INDEX('C_jama.2018.9128'!$R$2:$R$14,MATCH($C115,'C_jama.2018.9128'!$A$2:$A$14,0))),"")</f>
        <v/>
      </c>
      <c r="Q115" s="17" t="inlineStr">
        <is>
          <t>retain</t>
        </is>
      </c>
      <c r="R115" s="17" t="inlineStr">
        <is>
          <t>report_internal_inconsistency</t>
        </is>
      </c>
    </row>
    <row r="116" ht="70" customHeight="1" s="14">
      <c r="A116" s="16" t="n">
        <v>2018</v>
      </c>
      <c r="B116" s="16" t="inlineStr">
        <is>
          <t>jama.2018.9128</t>
        </is>
      </c>
      <c r="C116" s="16" t="inlineStr">
        <is>
          <t>2018::jama.2018.9128::C009</t>
        </is>
      </c>
      <c r="D116" s="16" t="inlineStr">
        <is>
          <t>P_P</t>
        </is>
      </c>
      <c r="E116" s="16">
        <f>Setup!$B$4</f>
        <v/>
      </c>
      <c r="F116" s="16">
        <f>IF(Setup!$B$2="","",Setup!$B$2)</f>
        <v/>
      </c>
      <c r="G116" s="16">
        <f>IFERROR(INDEX('C_jama.2018.9128'!$G$2:$G$14,MATCH($C116,'C_jama.2018.9128'!$A$2:$A$14,0)),"CHECK KEY")</f>
        <v/>
      </c>
      <c r="H116" s="16">
        <f>IF(OR(G116&lt;&gt;"PRIMARY READY",I116="discuss"),"",IF(I116&lt;&gt;"retain","not_eligible",IF(D116="P_R","protocol_descriptive",IF(D116="P_P","plan_descriptive",IF(AND(OR(D116="S_C",D116="S_W"),J116="statistical_results",OR(K116="confirmed_issue",K116="probable_issue"),L116="substantive"),"primary_temporal",IF(AND(OR(D116="S_C",D116="S_W"),J116="report_internal_inconsistency",N116="substantive_inconsistency"),"secondary_temporal","not_eligible"))))))</f>
        <v/>
      </c>
      <c r="I116" s="16">
        <f>IFERROR(IF(INDEX('C_jama.2018.9128'!$D$2:$D$14,MATCH($C116,'C_jama.2018.9128'!$A$2:$A$14,0))="","",INDEX('C_jama.2018.9128'!$D$2:$D$14,MATCH($C116,'C_jama.2018.9128'!$A$2:$A$14,0))),"")</f>
        <v/>
      </c>
      <c r="J116" s="16">
        <f>IFERROR(IF(INDEX('C_jama.2018.9128'!$E$2:$E$14,MATCH($C116,'C_jama.2018.9128'!$A$2:$A$14,0))="","",INDEX('C_jama.2018.9128'!$E$2:$E$14,MATCH($C116,'C_jama.2018.9128'!$A$2:$A$14,0))),"")</f>
        <v/>
      </c>
      <c r="K116" s="16">
        <f>IFERROR(IF(AND(I116="retain",J116="statistical_results"),IF(INDEX('C_jama.2018.9128'!$H$2:$H$14,MATCH($C116,'C_jama.2018.9128'!$A$2:$A$14,0))="","",INDEX('C_jama.2018.9128'!$H$2:$H$14,MATCH($C116,'C_jama.2018.9128'!$A$2:$A$14,0))),"not_applicable"),"")</f>
        <v/>
      </c>
      <c r="L116" s="16">
        <f>IFERROR(IF(AND(I116="retain",J116="statistical_results"),IF(INDEX('C_jama.2018.9128'!$I$2:$I$14,MATCH($C116,'C_jama.2018.9128'!$A$2:$A$14,0))="","",INDEX('C_jama.2018.9128'!$I$2:$I$14,MATCH($C116,'C_jama.2018.9128'!$A$2:$A$14,0))),"not_applicable"),"")</f>
        <v/>
      </c>
      <c r="M116" s="16">
        <f>IFERROR(IF(AND(I116="retain",J116="statistical_results"),IF(INDEX('C_jama.2018.9128'!$J$2:$J$14,MATCH($C116,'C_jama.2018.9128'!$A$2:$A$14,0))="","",INDEX('C_jama.2018.9128'!$J$2:$J$14,MATCH($C116,'C_jama.2018.9128'!$A$2:$A$14,0))),"not_applicable"),"")</f>
        <v/>
      </c>
      <c r="N116" s="16">
        <f>IFERROR(IF(AND(I116="retain",OR(J116="report_internal_inconsistency",J116="plan_material")),IF(INDEX('C_jama.2018.9128'!$K$2:$K$14,MATCH($C116,'C_jama.2018.9128'!$A$2:$A$14,0))="","",INDEX('C_jama.2018.9128'!$K$2:$K$14,MATCH($C116,'C_jama.2018.9128'!$A$2:$A$14,0))),"not_applicable"),"")</f>
        <v/>
      </c>
      <c r="O116" s="16">
        <f>IFERROR(IF(AND(I116="retain",J116="protocol_report"),IF(INDEX('C_jama.2018.9128'!$L$2:$L$14,MATCH($C116,'C_jama.2018.9128'!$A$2:$A$14,0))="","",INDEX('C_jama.2018.9128'!$L$2:$L$14,MATCH($C116,'C_jama.2018.9128'!$A$2:$A$14,0))),"not_applicable"),"")</f>
        <v/>
      </c>
      <c r="P116" s="16">
        <f>IFERROR(IF(INDEX('C_jama.2018.9128'!$R$2:$R$14,MATCH($C116,'C_jama.2018.9128'!$A$2:$A$14,0))="","",INDEX('C_jama.2018.9128'!$R$2:$R$14,MATCH($C116,'C_jama.2018.9128'!$A$2:$A$14,0))),"")</f>
        <v/>
      </c>
      <c r="Q116" s="16" t="inlineStr">
        <is>
          <t>retain</t>
        </is>
      </c>
      <c r="R116" s="16" t="inlineStr">
        <is>
          <t>plan_material</t>
        </is>
      </c>
    </row>
    <row r="117" ht="70" customHeight="1" s="14">
      <c r="A117" s="17" t="n">
        <v>2018</v>
      </c>
      <c r="B117" s="17" t="inlineStr">
        <is>
          <t>jama.2018.9128</t>
        </is>
      </c>
      <c r="C117" s="17" t="inlineStr">
        <is>
          <t>2018::jama.2018.9128::C010</t>
        </is>
      </c>
      <c r="D117" s="17" t="inlineStr">
        <is>
          <t>P_P</t>
        </is>
      </c>
      <c r="E117" s="17">
        <f>Setup!$B$4</f>
        <v/>
      </c>
      <c r="F117" s="17">
        <f>IF(Setup!$B$2="","",Setup!$B$2)</f>
        <v/>
      </c>
      <c r="G117" s="17">
        <f>IFERROR(INDEX('C_jama.2018.9128'!$G$2:$G$14,MATCH($C117,'C_jama.2018.9128'!$A$2:$A$14,0)),"CHECK KEY")</f>
        <v/>
      </c>
      <c r="H117" s="17">
        <f>IF(OR(G117&lt;&gt;"PRIMARY READY",I117="discuss"),"",IF(I117&lt;&gt;"retain","not_eligible",IF(D117="P_R","protocol_descriptive",IF(D117="P_P","plan_descriptive",IF(AND(OR(D117="S_C",D117="S_W"),J117="statistical_results",OR(K117="confirmed_issue",K117="probable_issue"),L117="substantive"),"primary_temporal",IF(AND(OR(D117="S_C",D117="S_W"),J117="report_internal_inconsistency",N117="substantive_inconsistency"),"secondary_temporal","not_eligible"))))))</f>
        <v/>
      </c>
      <c r="I117" s="17">
        <f>IFERROR(IF(INDEX('C_jama.2018.9128'!$D$2:$D$14,MATCH($C117,'C_jama.2018.9128'!$A$2:$A$14,0))="","",INDEX('C_jama.2018.9128'!$D$2:$D$14,MATCH($C117,'C_jama.2018.9128'!$A$2:$A$14,0))),"")</f>
        <v/>
      </c>
      <c r="J117" s="17">
        <f>IFERROR(IF(INDEX('C_jama.2018.9128'!$E$2:$E$14,MATCH($C117,'C_jama.2018.9128'!$A$2:$A$14,0))="","",INDEX('C_jama.2018.9128'!$E$2:$E$14,MATCH($C117,'C_jama.2018.9128'!$A$2:$A$14,0))),"")</f>
        <v/>
      </c>
      <c r="K117" s="17">
        <f>IFERROR(IF(AND(I117="retain",J117="statistical_results"),IF(INDEX('C_jama.2018.9128'!$H$2:$H$14,MATCH($C117,'C_jama.2018.9128'!$A$2:$A$14,0))="","",INDEX('C_jama.2018.9128'!$H$2:$H$14,MATCH($C117,'C_jama.2018.9128'!$A$2:$A$14,0))),"not_applicable"),"")</f>
        <v/>
      </c>
      <c r="L117" s="17">
        <f>IFERROR(IF(AND(I117="retain",J117="statistical_results"),IF(INDEX('C_jama.2018.9128'!$I$2:$I$14,MATCH($C117,'C_jama.2018.9128'!$A$2:$A$14,0))="","",INDEX('C_jama.2018.9128'!$I$2:$I$14,MATCH($C117,'C_jama.2018.9128'!$A$2:$A$14,0))),"not_applicable"),"")</f>
        <v/>
      </c>
      <c r="M117" s="17">
        <f>IFERROR(IF(AND(I117="retain",J117="statistical_results"),IF(INDEX('C_jama.2018.9128'!$J$2:$J$14,MATCH($C117,'C_jama.2018.9128'!$A$2:$A$14,0))="","",INDEX('C_jama.2018.9128'!$J$2:$J$14,MATCH($C117,'C_jama.2018.9128'!$A$2:$A$14,0))),"not_applicable"),"")</f>
        <v/>
      </c>
      <c r="N117" s="17">
        <f>IFERROR(IF(AND(I117="retain",OR(J117="report_internal_inconsistency",J117="plan_material")),IF(INDEX('C_jama.2018.9128'!$K$2:$K$14,MATCH($C117,'C_jama.2018.9128'!$A$2:$A$14,0))="","",INDEX('C_jama.2018.9128'!$K$2:$K$14,MATCH($C117,'C_jama.2018.9128'!$A$2:$A$14,0))),"not_applicable"),"")</f>
        <v/>
      </c>
      <c r="O117" s="17">
        <f>IFERROR(IF(AND(I117="retain",J117="protocol_report"),IF(INDEX('C_jama.2018.9128'!$L$2:$L$14,MATCH($C117,'C_jama.2018.9128'!$A$2:$A$14,0))="","",INDEX('C_jama.2018.9128'!$L$2:$L$14,MATCH($C117,'C_jama.2018.9128'!$A$2:$A$14,0))),"not_applicable"),"")</f>
        <v/>
      </c>
      <c r="P117" s="17">
        <f>IFERROR(IF(INDEX('C_jama.2018.9128'!$R$2:$R$14,MATCH($C117,'C_jama.2018.9128'!$A$2:$A$14,0))="","",INDEX('C_jama.2018.9128'!$R$2:$R$14,MATCH($C117,'C_jama.2018.9128'!$A$2:$A$14,0))),"")</f>
        <v/>
      </c>
      <c r="Q117" s="17" t="inlineStr">
        <is>
          <t>retain</t>
        </is>
      </c>
      <c r="R117" s="17" t="inlineStr">
        <is>
          <t>plan_material</t>
        </is>
      </c>
    </row>
    <row r="118" ht="70" customHeight="1" s="14">
      <c r="A118" s="16" t="n">
        <v>2018</v>
      </c>
      <c r="B118" s="16" t="inlineStr">
        <is>
          <t>jama.2018.9128</t>
        </is>
      </c>
      <c r="C118" s="16" t="inlineStr">
        <is>
          <t>2018::jama.2018.9128::C011</t>
        </is>
      </c>
      <c r="D118" s="16" t="inlineStr">
        <is>
          <t>P_R</t>
        </is>
      </c>
      <c r="E118" s="16">
        <f>Setup!$B$4</f>
        <v/>
      </c>
      <c r="F118" s="16">
        <f>IF(Setup!$B$2="","",Setup!$B$2)</f>
        <v/>
      </c>
      <c r="G118" s="16">
        <f>IFERROR(INDEX('C_jama.2018.9128'!$G$2:$G$14,MATCH($C118,'C_jama.2018.9128'!$A$2:$A$14,0)),"CHECK KEY")</f>
        <v/>
      </c>
      <c r="H118" s="16">
        <f>IF(OR(G118&lt;&gt;"PRIMARY READY",I118="discuss"),"",IF(I118&lt;&gt;"retain","not_eligible",IF(D118="P_R","protocol_descriptive",IF(D118="P_P","plan_descriptive",IF(AND(OR(D118="S_C",D118="S_W"),J118="statistical_results",OR(K118="confirmed_issue",K118="probable_issue"),L118="substantive"),"primary_temporal",IF(AND(OR(D118="S_C",D118="S_W"),J118="report_internal_inconsistency",N118="substantive_inconsistency"),"secondary_temporal","not_eligible"))))))</f>
        <v/>
      </c>
      <c r="I118" s="16">
        <f>IFERROR(IF(INDEX('C_jama.2018.9128'!$D$2:$D$14,MATCH($C118,'C_jama.2018.9128'!$A$2:$A$14,0))="","",INDEX('C_jama.2018.9128'!$D$2:$D$14,MATCH($C118,'C_jama.2018.9128'!$A$2:$A$14,0))),"")</f>
        <v/>
      </c>
      <c r="J118" s="16">
        <f>IFERROR(IF(INDEX('C_jama.2018.9128'!$E$2:$E$14,MATCH($C118,'C_jama.2018.9128'!$A$2:$A$14,0))="","",INDEX('C_jama.2018.9128'!$E$2:$E$14,MATCH($C118,'C_jama.2018.9128'!$A$2:$A$14,0))),"")</f>
        <v/>
      </c>
      <c r="K118" s="16">
        <f>IFERROR(IF(AND(I118="retain",J118="statistical_results"),IF(INDEX('C_jama.2018.9128'!$H$2:$H$14,MATCH($C118,'C_jama.2018.9128'!$A$2:$A$14,0))="","",INDEX('C_jama.2018.9128'!$H$2:$H$14,MATCH($C118,'C_jama.2018.9128'!$A$2:$A$14,0))),"not_applicable"),"")</f>
        <v/>
      </c>
      <c r="L118" s="16">
        <f>IFERROR(IF(AND(I118="retain",J118="statistical_results"),IF(INDEX('C_jama.2018.9128'!$I$2:$I$14,MATCH($C118,'C_jama.2018.9128'!$A$2:$A$14,0))="","",INDEX('C_jama.2018.9128'!$I$2:$I$14,MATCH($C118,'C_jama.2018.9128'!$A$2:$A$14,0))),"not_applicable"),"")</f>
        <v/>
      </c>
      <c r="M118" s="16">
        <f>IFERROR(IF(AND(I118="retain",J118="statistical_results"),IF(INDEX('C_jama.2018.9128'!$J$2:$J$14,MATCH($C118,'C_jama.2018.9128'!$A$2:$A$14,0))="","",INDEX('C_jama.2018.9128'!$J$2:$J$14,MATCH($C118,'C_jama.2018.9128'!$A$2:$A$14,0))),"not_applicable"),"")</f>
        <v/>
      </c>
      <c r="N118" s="16">
        <f>IFERROR(IF(AND(I118="retain",OR(J118="report_internal_inconsistency",J118="plan_material")),IF(INDEX('C_jama.2018.9128'!$K$2:$K$14,MATCH($C118,'C_jama.2018.9128'!$A$2:$A$14,0))="","",INDEX('C_jama.2018.9128'!$K$2:$K$14,MATCH($C118,'C_jama.2018.9128'!$A$2:$A$14,0))),"not_applicable"),"")</f>
        <v/>
      </c>
      <c r="O118" s="16">
        <f>IFERROR(IF(AND(I118="retain",J118="protocol_report"),IF(INDEX('C_jama.2018.9128'!$L$2:$L$14,MATCH($C118,'C_jama.2018.9128'!$A$2:$A$14,0))="","",INDEX('C_jama.2018.9128'!$L$2:$L$14,MATCH($C118,'C_jama.2018.9128'!$A$2:$A$14,0))),"not_applicable"),"")</f>
        <v/>
      </c>
      <c r="P118" s="16">
        <f>IFERROR(IF(INDEX('C_jama.2018.9128'!$R$2:$R$14,MATCH($C118,'C_jama.2018.9128'!$A$2:$A$14,0))="","",INDEX('C_jama.2018.9128'!$R$2:$R$14,MATCH($C118,'C_jama.2018.9128'!$A$2:$A$14,0))),"")</f>
        <v/>
      </c>
      <c r="Q118" s="16" t="inlineStr">
        <is>
          <t>retain</t>
        </is>
      </c>
      <c r="R118" s="16" t="inlineStr">
        <is>
          <t>protocol_report</t>
        </is>
      </c>
    </row>
    <row r="119" ht="70" customHeight="1" s="14">
      <c r="A119" s="17" t="n">
        <v>2018</v>
      </c>
      <c r="B119" s="17" t="inlineStr">
        <is>
          <t>jama.2018.9128</t>
        </is>
      </c>
      <c r="C119" s="17" t="inlineStr">
        <is>
          <t>2018::jama.2018.9128::C012</t>
        </is>
      </c>
      <c r="D119" s="17" t="inlineStr">
        <is>
          <t>P_R</t>
        </is>
      </c>
      <c r="E119" s="17">
        <f>Setup!$B$4</f>
        <v/>
      </c>
      <c r="F119" s="17">
        <f>IF(Setup!$B$2="","",Setup!$B$2)</f>
        <v/>
      </c>
      <c r="G119" s="17">
        <f>IFERROR(INDEX('C_jama.2018.9128'!$G$2:$G$14,MATCH($C119,'C_jama.2018.9128'!$A$2:$A$14,0)),"CHECK KEY")</f>
        <v/>
      </c>
      <c r="H119" s="17">
        <f>IF(OR(G119&lt;&gt;"PRIMARY READY",I119="discuss"),"",IF(I119&lt;&gt;"retain","not_eligible",IF(D119="P_R","protocol_descriptive",IF(D119="P_P","plan_descriptive",IF(AND(OR(D119="S_C",D119="S_W"),J119="statistical_results",OR(K119="confirmed_issue",K119="probable_issue"),L119="substantive"),"primary_temporal",IF(AND(OR(D119="S_C",D119="S_W"),J119="report_internal_inconsistency",N119="substantive_inconsistency"),"secondary_temporal","not_eligible"))))))</f>
        <v/>
      </c>
      <c r="I119" s="17">
        <f>IFERROR(IF(INDEX('C_jama.2018.9128'!$D$2:$D$14,MATCH($C119,'C_jama.2018.9128'!$A$2:$A$14,0))="","",INDEX('C_jama.2018.9128'!$D$2:$D$14,MATCH($C119,'C_jama.2018.9128'!$A$2:$A$14,0))),"")</f>
        <v/>
      </c>
      <c r="J119" s="17">
        <f>IFERROR(IF(INDEX('C_jama.2018.9128'!$E$2:$E$14,MATCH($C119,'C_jama.2018.9128'!$A$2:$A$14,0))="","",INDEX('C_jama.2018.9128'!$E$2:$E$14,MATCH($C119,'C_jama.2018.9128'!$A$2:$A$14,0))),"")</f>
        <v/>
      </c>
      <c r="K119" s="17">
        <f>IFERROR(IF(AND(I119="retain",J119="statistical_results"),IF(INDEX('C_jama.2018.9128'!$H$2:$H$14,MATCH($C119,'C_jama.2018.9128'!$A$2:$A$14,0))="","",INDEX('C_jama.2018.9128'!$H$2:$H$14,MATCH($C119,'C_jama.2018.9128'!$A$2:$A$14,0))),"not_applicable"),"")</f>
        <v/>
      </c>
      <c r="L119" s="17">
        <f>IFERROR(IF(AND(I119="retain",J119="statistical_results"),IF(INDEX('C_jama.2018.9128'!$I$2:$I$14,MATCH($C119,'C_jama.2018.9128'!$A$2:$A$14,0))="","",INDEX('C_jama.2018.9128'!$I$2:$I$14,MATCH($C119,'C_jama.2018.9128'!$A$2:$A$14,0))),"not_applicable"),"")</f>
        <v/>
      </c>
      <c r="M119" s="17">
        <f>IFERROR(IF(AND(I119="retain",J119="statistical_results"),IF(INDEX('C_jama.2018.9128'!$J$2:$J$14,MATCH($C119,'C_jama.2018.9128'!$A$2:$A$14,0))="","",INDEX('C_jama.2018.9128'!$J$2:$J$14,MATCH($C119,'C_jama.2018.9128'!$A$2:$A$14,0))),"not_applicable"),"")</f>
        <v/>
      </c>
      <c r="N119" s="17">
        <f>IFERROR(IF(AND(I119="retain",OR(J119="report_internal_inconsistency",J119="plan_material")),IF(INDEX('C_jama.2018.9128'!$K$2:$K$14,MATCH($C119,'C_jama.2018.9128'!$A$2:$A$14,0))="","",INDEX('C_jama.2018.9128'!$K$2:$K$14,MATCH($C119,'C_jama.2018.9128'!$A$2:$A$14,0))),"not_applicable"),"")</f>
        <v/>
      </c>
      <c r="O119" s="17">
        <f>IFERROR(IF(AND(I119="retain",J119="protocol_report"),IF(INDEX('C_jama.2018.9128'!$L$2:$L$14,MATCH($C119,'C_jama.2018.9128'!$A$2:$A$14,0))="","",INDEX('C_jama.2018.9128'!$L$2:$L$14,MATCH($C119,'C_jama.2018.9128'!$A$2:$A$14,0))),"not_applicable"),"")</f>
        <v/>
      </c>
      <c r="P119" s="17">
        <f>IFERROR(IF(INDEX('C_jama.2018.9128'!$R$2:$R$14,MATCH($C119,'C_jama.2018.9128'!$A$2:$A$14,0))="","",INDEX('C_jama.2018.9128'!$R$2:$R$14,MATCH($C119,'C_jama.2018.9128'!$A$2:$A$14,0))),"")</f>
        <v/>
      </c>
      <c r="Q119" s="17" t="inlineStr">
        <is>
          <t>retain</t>
        </is>
      </c>
      <c r="R119" s="17" t="inlineStr">
        <is>
          <t>protocol_report</t>
        </is>
      </c>
    </row>
    <row r="120" ht="70" customHeight="1" s="14">
      <c r="A120" s="16" t="n">
        <v>2018</v>
      </c>
      <c r="B120" s="16" t="inlineStr">
        <is>
          <t>jama.2018.9128</t>
        </is>
      </c>
      <c r="C120" s="16" t="inlineStr">
        <is>
          <t>2018::jama.2018.9128::C013</t>
        </is>
      </c>
      <c r="D120" s="16" t="inlineStr">
        <is>
          <t>S_C</t>
        </is>
      </c>
      <c r="E120" s="16">
        <f>Setup!$B$4</f>
        <v/>
      </c>
      <c r="F120" s="16">
        <f>IF(Setup!$B$2="","",Setup!$B$2)</f>
        <v/>
      </c>
      <c r="G120" s="16">
        <f>IFERROR(INDEX('C_jama.2018.9128'!$G$2:$G$14,MATCH($C120,'C_jama.2018.9128'!$A$2:$A$14,0)),"CHECK KEY")</f>
        <v/>
      </c>
      <c r="H120" s="16">
        <f>IF(OR(G120&lt;&gt;"PRIMARY READY",I120="discuss"),"",IF(I120&lt;&gt;"retain","not_eligible",IF(D120="P_R","protocol_descriptive",IF(D120="P_P","plan_descriptive",IF(AND(OR(D120="S_C",D120="S_W"),J120="statistical_results",OR(K120="confirmed_issue",K120="probable_issue"),L120="substantive"),"primary_temporal",IF(AND(OR(D120="S_C",D120="S_W"),J120="report_internal_inconsistency",N120="substantive_inconsistency"),"secondary_temporal","not_eligible"))))))</f>
        <v/>
      </c>
      <c r="I120" s="16">
        <f>IFERROR(IF(INDEX('C_jama.2018.9128'!$D$2:$D$14,MATCH($C120,'C_jama.2018.9128'!$A$2:$A$14,0))="","",INDEX('C_jama.2018.9128'!$D$2:$D$14,MATCH($C120,'C_jama.2018.9128'!$A$2:$A$14,0))),"")</f>
        <v/>
      </c>
      <c r="J120" s="16">
        <f>IFERROR(IF(INDEX('C_jama.2018.9128'!$E$2:$E$14,MATCH($C120,'C_jama.2018.9128'!$A$2:$A$14,0))="","",INDEX('C_jama.2018.9128'!$E$2:$E$14,MATCH($C120,'C_jama.2018.9128'!$A$2:$A$14,0))),"")</f>
        <v/>
      </c>
      <c r="K120" s="16">
        <f>IFERROR(IF(AND(I120="retain",J120="statistical_results"),IF(INDEX('C_jama.2018.9128'!$H$2:$H$14,MATCH($C120,'C_jama.2018.9128'!$A$2:$A$14,0))="","",INDEX('C_jama.2018.9128'!$H$2:$H$14,MATCH($C120,'C_jama.2018.9128'!$A$2:$A$14,0))),"not_applicable"),"")</f>
        <v/>
      </c>
      <c r="L120" s="16">
        <f>IFERROR(IF(AND(I120="retain",J120="statistical_results"),IF(INDEX('C_jama.2018.9128'!$I$2:$I$14,MATCH($C120,'C_jama.2018.9128'!$A$2:$A$14,0))="","",INDEX('C_jama.2018.9128'!$I$2:$I$14,MATCH($C120,'C_jama.2018.9128'!$A$2:$A$14,0))),"not_applicable"),"")</f>
        <v/>
      </c>
      <c r="M120" s="16">
        <f>IFERROR(IF(AND(I120="retain",J120="statistical_results"),IF(INDEX('C_jama.2018.9128'!$J$2:$J$14,MATCH($C120,'C_jama.2018.9128'!$A$2:$A$14,0))="","",INDEX('C_jama.2018.9128'!$J$2:$J$14,MATCH($C120,'C_jama.2018.9128'!$A$2:$A$14,0))),"not_applicable"),"")</f>
        <v/>
      </c>
      <c r="N120" s="16">
        <f>IFERROR(IF(AND(I120="retain",OR(J120="report_internal_inconsistency",J120="plan_material")),IF(INDEX('C_jama.2018.9128'!$K$2:$K$14,MATCH($C120,'C_jama.2018.9128'!$A$2:$A$14,0))="","",INDEX('C_jama.2018.9128'!$K$2:$K$14,MATCH($C120,'C_jama.2018.9128'!$A$2:$A$14,0))),"not_applicable"),"")</f>
        <v/>
      </c>
      <c r="O120" s="16">
        <f>IFERROR(IF(AND(I120="retain",J120="protocol_report"),IF(INDEX('C_jama.2018.9128'!$L$2:$L$14,MATCH($C120,'C_jama.2018.9128'!$A$2:$A$14,0))="","",INDEX('C_jama.2018.9128'!$L$2:$L$14,MATCH($C120,'C_jama.2018.9128'!$A$2:$A$14,0))),"not_applicable"),"")</f>
        <v/>
      </c>
      <c r="P120" s="16">
        <f>IFERROR(IF(INDEX('C_jama.2018.9128'!$R$2:$R$14,MATCH($C120,'C_jama.2018.9128'!$A$2:$A$14,0))="","",INDEX('C_jama.2018.9128'!$R$2:$R$14,MATCH($C120,'C_jama.2018.9128'!$A$2:$A$14,0))),"")</f>
        <v/>
      </c>
      <c r="Q120" s="16" t="inlineStr">
        <is>
          <t>retain</t>
        </is>
      </c>
      <c r="R120" s="16" t="inlineStr">
        <is>
          <t>report_internal_inconsistency</t>
        </is>
      </c>
    </row>
  </sheetData>
  <autoFilter ref="A1:R1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30" customWidth="1" style="14" min="2" max="2"/>
    <col width="18" customWidth="1" style="14" min="3" max="3"/>
    <col width="18" customWidth="1" style="14" min="4" max="4"/>
    <col width="24" customWidth="1" style="14" min="5" max="5"/>
    <col width="24" customWidth="1" style="14" min="6" max="6"/>
    <col width="25" customWidth="1" style="14" min="7" max="7"/>
    <col width="25" customWidth="1" style="14" min="8" max="8"/>
    <col width="25" customWidth="1" style="14" min="9" max="9"/>
    <col width="25" customWidth="1" style="14" min="10" max="10"/>
    <col width="25" customWidth="1" style="14" min="11" max="11"/>
    <col width="24" customWidth="1" style="14" min="12" max="12"/>
  </cols>
  <sheetData>
    <row r="1" ht="42" customHeight="1" s="14">
      <c r="A1" s="15" t="inlineStr">
        <is>
          <t>year</t>
        </is>
      </c>
      <c r="B1" s="15" t="inlineStr">
        <is>
          <t>paper</t>
        </is>
      </c>
      <c r="C1" s="15" t="inlineStr">
        <is>
          <t>candidates</t>
        </is>
      </c>
      <c r="D1" s="15" t="inlineStr">
        <is>
          <t>unfinished</t>
        </is>
      </c>
      <c r="E1" s="15" t="inlineStr">
        <is>
          <t>discuss_unresolved</t>
        </is>
      </c>
      <c r="F1" s="15" t="inlineStr">
        <is>
          <t>primary_complete</t>
        </is>
      </c>
      <c r="G1" s="15" t="inlineStr">
        <is>
          <t>outcomes_releasable</t>
        </is>
      </c>
      <c r="H1" s="15" t="inlineStr">
        <is>
          <t>primary_temporal</t>
        </is>
      </c>
      <c r="I1" s="15" t="inlineStr">
        <is>
          <t>secondary_temporal</t>
        </is>
      </c>
      <c r="J1" s="15" t="inlineStr">
        <is>
          <t>protocol_descriptive</t>
        </is>
      </c>
      <c r="K1" s="15" t="inlineStr">
        <is>
          <t>plan_descriptive</t>
        </is>
      </c>
      <c r="L1" s="15" t="inlineStr">
        <is>
          <t>not_eligible</t>
        </is>
      </c>
    </row>
    <row r="2" ht="48" customHeight="1" s="14">
      <c r="A2" s="16" t="n">
        <v>2018</v>
      </c>
      <c r="B2" s="16" t="inlineStr">
        <is>
          <t>jama.2017.21906</t>
        </is>
      </c>
      <c r="C2" s="16" t="n">
        <v>6</v>
      </c>
      <c r="D2" s="16">
        <f>C2-COUNTIFS(Decisions!$B$2:$B$120,B2,Decisions!$G$2:$G$120,"PRIMARY READY")</f>
        <v/>
      </c>
      <c r="E2" s="16">
        <f>COUNTIFS(Decisions!$B$2:$B$120,B2,Decisions!$I$2:$I$120,"discuss")</f>
        <v/>
      </c>
      <c r="F2" s="16">
        <f>IF(D2=0,"yes","no")</f>
        <v/>
      </c>
      <c r="G2" s="16">
        <f>IF(AND(D2=0,E2=0),"yes","no")</f>
        <v/>
      </c>
      <c r="H2" s="16">
        <f>IF(G2&lt;&gt;"yes","",COUNTIFS(Decisions!$B$2:$B$120,B2,Decisions!$H$2:$H$120,"primary_temporal"))</f>
        <v/>
      </c>
      <c r="I2" s="16">
        <f>IF(G2&lt;&gt;"yes","",COUNTIFS(Decisions!$B$2:$B$120,B2,Decisions!$H$2:$H$120,"secondary_temporal"))</f>
        <v/>
      </c>
      <c r="J2" s="16">
        <f>IF(G2&lt;&gt;"yes","",COUNTIFS(Decisions!$B$2:$B$120,B2,Decisions!$H$2:$H$120,"protocol_descriptive"))</f>
        <v/>
      </c>
      <c r="K2" s="16">
        <f>IF(G2&lt;&gt;"yes","",COUNTIFS(Decisions!$B$2:$B$120,B2,Decisions!$H$2:$H$120,"plan_descriptive"))</f>
        <v/>
      </c>
      <c r="L2" s="16">
        <f>IF(G2&lt;&gt;"yes","",COUNTIFS(Decisions!$B$2:$B$120,B2,Decisions!$H$2:$H$120,"not_eligible"))</f>
        <v/>
      </c>
    </row>
    <row r="3" ht="48" customHeight="1" s="14">
      <c r="A3" s="17" t="n">
        <v>2018</v>
      </c>
      <c r="B3" s="17" t="inlineStr">
        <is>
          <t>jama.2018.0156</t>
        </is>
      </c>
      <c r="C3" s="17" t="n">
        <v>8</v>
      </c>
      <c r="D3" s="17">
        <f>C3-COUNTIFS(Decisions!$B$2:$B$120,B3,Decisions!$G$2:$G$120,"PRIMARY READY")</f>
        <v/>
      </c>
      <c r="E3" s="17">
        <f>COUNTIFS(Decisions!$B$2:$B$120,B3,Decisions!$I$2:$I$120,"discuss")</f>
        <v/>
      </c>
      <c r="F3" s="17">
        <f>IF(D3=0,"yes","no")</f>
        <v/>
      </c>
      <c r="G3" s="17">
        <f>IF(AND(D3=0,E3=0),"yes","no")</f>
        <v/>
      </c>
      <c r="H3" s="17">
        <f>IF(G3&lt;&gt;"yes","",COUNTIFS(Decisions!$B$2:$B$120,B3,Decisions!$H$2:$H$120,"primary_temporal"))</f>
        <v/>
      </c>
      <c r="I3" s="17">
        <f>IF(G3&lt;&gt;"yes","",COUNTIFS(Decisions!$B$2:$B$120,B3,Decisions!$H$2:$H$120,"secondary_temporal"))</f>
        <v/>
      </c>
      <c r="J3" s="17">
        <f>IF(G3&lt;&gt;"yes","",COUNTIFS(Decisions!$B$2:$B$120,B3,Decisions!$H$2:$H$120,"protocol_descriptive"))</f>
        <v/>
      </c>
      <c r="K3" s="17">
        <f>IF(G3&lt;&gt;"yes","",COUNTIFS(Decisions!$B$2:$B$120,B3,Decisions!$H$2:$H$120,"plan_descriptive"))</f>
        <v/>
      </c>
      <c r="L3" s="17">
        <f>IF(G3&lt;&gt;"yes","",COUNTIFS(Decisions!$B$2:$B$120,B3,Decisions!$H$2:$H$120,"not_eligible"))</f>
        <v/>
      </c>
    </row>
    <row r="4" ht="48" customHeight="1" s="14">
      <c r="A4" s="16" t="n">
        <v>2018</v>
      </c>
      <c r="B4" s="16" t="inlineStr">
        <is>
          <t>jama.2018.0948</t>
        </is>
      </c>
      <c r="C4" s="16" t="n">
        <v>7</v>
      </c>
      <c r="D4" s="16">
        <f>C4-COUNTIFS(Decisions!$B$2:$B$120,B4,Decisions!$G$2:$G$120,"PRIMARY READY")</f>
        <v/>
      </c>
      <c r="E4" s="16">
        <f>COUNTIFS(Decisions!$B$2:$B$120,B4,Decisions!$I$2:$I$120,"discuss")</f>
        <v/>
      </c>
      <c r="F4" s="16">
        <f>IF(D4=0,"yes","no")</f>
        <v/>
      </c>
      <c r="G4" s="16">
        <f>IF(AND(D4=0,E4=0),"yes","no")</f>
        <v/>
      </c>
      <c r="H4" s="16">
        <f>IF(G4&lt;&gt;"yes","",COUNTIFS(Decisions!$B$2:$B$120,B4,Decisions!$H$2:$H$120,"primary_temporal"))</f>
        <v/>
      </c>
      <c r="I4" s="16">
        <f>IF(G4&lt;&gt;"yes","",COUNTIFS(Decisions!$B$2:$B$120,B4,Decisions!$H$2:$H$120,"secondary_temporal"))</f>
        <v/>
      </c>
      <c r="J4" s="16">
        <f>IF(G4&lt;&gt;"yes","",COUNTIFS(Decisions!$B$2:$B$120,B4,Decisions!$H$2:$H$120,"protocol_descriptive"))</f>
        <v/>
      </c>
      <c r="K4" s="16">
        <f>IF(G4&lt;&gt;"yes","",COUNTIFS(Decisions!$B$2:$B$120,B4,Decisions!$H$2:$H$120,"plan_descriptive"))</f>
        <v/>
      </c>
      <c r="L4" s="16">
        <f>IF(G4&lt;&gt;"yes","",COUNTIFS(Decisions!$B$2:$B$120,B4,Decisions!$H$2:$H$120,"not_eligible"))</f>
        <v/>
      </c>
    </row>
    <row r="5" ht="48" customHeight="1" s="14">
      <c r="A5" s="17" t="n">
        <v>2018</v>
      </c>
      <c r="B5" s="17" t="inlineStr">
        <is>
          <t>jama.2018.14280</t>
        </is>
      </c>
      <c r="C5" s="17" t="n">
        <v>23</v>
      </c>
      <c r="D5" s="17">
        <f>C5-COUNTIFS(Decisions!$B$2:$B$120,B5,Decisions!$G$2:$G$120,"PRIMARY READY")</f>
        <v/>
      </c>
      <c r="E5" s="17">
        <f>COUNTIFS(Decisions!$B$2:$B$120,B5,Decisions!$I$2:$I$120,"discuss")</f>
        <v/>
      </c>
      <c r="F5" s="17">
        <f>IF(D5=0,"yes","no")</f>
        <v/>
      </c>
      <c r="G5" s="17">
        <f>IF(AND(D5=0,E5=0),"yes","no")</f>
        <v/>
      </c>
      <c r="H5" s="17">
        <f>IF(G5&lt;&gt;"yes","",COUNTIFS(Decisions!$B$2:$B$120,B5,Decisions!$H$2:$H$120,"primary_temporal"))</f>
        <v/>
      </c>
      <c r="I5" s="17">
        <f>IF(G5&lt;&gt;"yes","",COUNTIFS(Decisions!$B$2:$B$120,B5,Decisions!$H$2:$H$120,"secondary_temporal"))</f>
        <v/>
      </c>
      <c r="J5" s="17">
        <f>IF(G5&lt;&gt;"yes","",COUNTIFS(Decisions!$B$2:$B$120,B5,Decisions!$H$2:$H$120,"protocol_descriptive"))</f>
        <v/>
      </c>
      <c r="K5" s="17">
        <f>IF(G5&lt;&gt;"yes","",COUNTIFS(Decisions!$B$2:$B$120,B5,Decisions!$H$2:$H$120,"plan_descriptive"))</f>
        <v/>
      </c>
      <c r="L5" s="17">
        <f>IF(G5&lt;&gt;"yes","",COUNTIFS(Decisions!$B$2:$B$120,B5,Decisions!$H$2:$H$120,"not_eligible"))</f>
        <v/>
      </c>
    </row>
    <row r="6" ht="48" customHeight="1" s="14">
      <c r="A6" s="16" t="n">
        <v>2018</v>
      </c>
      <c r="B6" s="16" t="inlineStr">
        <is>
          <t>jama.2018.14282</t>
        </is>
      </c>
      <c r="C6" s="16" t="n">
        <v>28</v>
      </c>
      <c r="D6" s="16">
        <f>C6-COUNTIFS(Decisions!$B$2:$B$120,B6,Decisions!$G$2:$G$120,"PRIMARY READY")</f>
        <v/>
      </c>
      <c r="E6" s="16">
        <f>COUNTIFS(Decisions!$B$2:$B$120,B6,Decisions!$I$2:$I$120,"discuss")</f>
        <v/>
      </c>
      <c r="F6" s="16">
        <f>IF(D6=0,"yes","no")</f>
        <v/>
      </c>
      <c r="G6" s="16">
        <f>IF(AND(D6=0,E6=0),"yes","no")</f>
        <v/>
      </c>
      <c r="H6" s="16">
        <f>IF(G6&lt;&gt;"yes","",COUNTIFS(Decisions!$B$2:$B$120,B6,Decisions!$H$2:$H$120,"primary_temporal"))</f>
        <v/>
      </c>
      <c r="I6" s="16">
        <f>IF(G6&lt;&gt;"yes","",COUNTIFS(Decisions!$B$2:$B$120,B6,Decisions!$H$2:$H$120,"secondary_temporal"))</f>
        <v/>
      </c>
      <c r="J6" s="16">
        <f>IF(G6&lt;&gt;"yes","",COUNTIFS(Decisions!$B$2:$B$120,B6,Decisions!$H$2:$H$120,"protocol_descriptive"))</f>
        <v/>
      </c>
      <c r="K6" s="16">
        <f>IF(G6&lt;&gt;"yes","",COUNTIFS(Decisions!$B$2:$B$120,B6,Decisions!$H$2:$H$120,"plan_descriptive"))</f>
        <v/>
      </c>
      <c r="L6" s="16">
        <f>IF(G6&lt;&gt;"yes","",COUNTIFS(Decisions!$B$2:$B$120,B6,Decisions!$H$2:$H$120,"not_eligible"))</f>
        <v/>
      </c>
    </row>
    <row r="7" ht="48" customHeight="1" s="14">
      <c r="A7" s="17" t="n">
        <v>2018</v>
      </c>
      <c r="B7" s="17" t="inlineStr">
        <is>
          <t>jama.2018.17075</t>
        </is>
      </c>
      <c r="C7" s="17" t="n">
        <v>8</v>
      </c>
      <c r="D7" s="17">
        <f>C7-COUNTIFS(Decisions!$B$2:$B$120,B7,Decisions!$G$2:$G$120,"PRIMARY READY")</f>
        <v/>
      </c>
      <c r="E7" s="17">
        <f>COUNTIFS(Decisions!$B$2:$B$120,B7,Decisions!$I$2:$I$120,"discuss")</f>
        <v/>
      </c>
      <c r="F7" s="17">
        <f>IF(D7=0,"yes","no")</f>
        <v/>
      </c>
      <c r="G7" s="17">
        <f>IF(AND(D7=0,E7=0),"yes","no")</f>
        <v/>
      </c>
      <c r="H7" s="17">
        <f>IF(G7&lt;&gt;"yes","",COUNTIFS(Decisions!$B$2:$B$120,B7,Decisions!$H$2:$H$120,"primary_temporal"))</f>
        <v/>
      </c>
      <c r="I7" s="17">
        <f>IF(G7&lt;&gt;"yes","",COUNTIFS(Decisions!$B$2:$B$120,B7,Decisions!$H$2:$H$120,"secondary_temporal"))</f>
        <v/>
      </c>
      <c r="J7" s="17">
        <f>IF(G7&lt;&gt;"yes","",COUNTIFS(Decisions!$B$2:$B$120,B7,Decisions!$H$2:$H$120,"protocol_descriptive"))</f>
        <v/>
      </c>
      <c r="K7" s="17">
        <f>IF(G7&lt;&gt;"yes","",COUNTIFS(Decisions!$B$2:$B$120,B7,Decisions!$H$2:$H$120,"plan_descriptive"))</f>
        <v/>
      </c>
      <c r="L7" s="17">
        <f>IF(G7&lt;&gt;"yes","",COUNTIFS(Decisions!$B$2:$B$120,B7,Decisions!$H$2:$H$120,"not_eligible"))</f>
        <v/>
      </c>
    </row>
    <row r="8" ht="48" customHeight="1" s="14">
      <c r="A8" s="16" t="n">
        <v>2018</v>
      </c>
      <c r="B8" s="16" t="inlineStr">
        <is>
          <t>jama.2018.18020</t>
        </is>
      </c>
      <c r="C8" s="16" t="n">
        <v>14</v>
      </c>
      <c r="D8" s="16">
        <f>C8-COUNTIFS(Decisions!$B$2:$B$120,B8,Decisions!$G$2:$G$120,"PRIMARY READY")</f>
        <v/>
      </c>
      <c r="E8" s="16">
        <f>COUNTIFS(Decisions!$B$2:$B$120,B8,Decisions!$I$2:$I$120,"discuss")</f>
        <v/>
      </c>
      <c r="F8" s="16">
        <f>IF(D8=0,"yes","no")</f>
        <v/>
      </c>
      <c r="G8" s="16">
        <f>IF(AND(D8=0,E8=0),"yes","no")</f>
        <v/>
      </c>
      <c r="H8" s="16">
        <f>IF(G8&lt;&gt;"yes","",COUNTIFS(Decisions!$B$2:$B$120,B8,Decisions!$H$2:$H$120,"primary_temporal"))</f>
        <v/>
      </c>
      <c r="I8" s="16">
        <f>IF(G8&lt;&gt;"yes","",COUNTIFS(Decisions!$B$2:$B$120,B8,Decisions!$H$2:$H$120,"secondary_temporal"))</f>
        <v/>
      </c>
      <c r="J8" s="16">
        <f>IF(G8&lt;&gt;"yes","",COUNTIFS(Decisions!$B$2:$B$120,B8,Decisions!$H$2:$H$120,"protocol_descriptive"))</f>
        <v/>
      </c>
      <c r="K8" s="16">
        <f>IF(G8&lt;&gt;"yes","",COUNTIFS(Decisions!$B$2:$B$120,B8,Decisions!$H$2:$H$120,"plan_descriptive"))</f>
        <v/>
      </c>
      <c r="L8" s="16">
        <f>IF(G8&lt;&gt;"yes","",COUNTIFS(Decisions!$B$2:$B$120,B8,Decisions!$H$2:$H$120,"not_eligible"))</f>
        <v/>
      </c>
    </row>
    <row r="9" ht="48" customHeight="1" s="14">
      <c r="A9" s="17" t="n">
        <v>2018</v>
      </c>
      <c r="B9" s="17" t="inlineStr">
        <is>
          <t>jama.2018.6496</t>
        </is>
      </c>
      <c r="C9" s="17" t="n">
        <v>4</v>
      </c>
      <c r="D9" s="17">
        <f>C9-COUNTIFS(Decisions!$B$2:$B$120,B9,Decisions!$G$2:$G$120,"PRIMARY READY")</f>
        <v/>
      </c>
      <c r="E9" s="17">
        <f>COUNTIFS(Decisions!$B$2:$B$120,B9,Decisions!$I$2:$I$120,"discuss")</f>
        <v/>
      </c>
      <c r="F9" s="17">
        <f>IF(D9=0,"yes","no")</f>
        <v/>
      </c>
      <c r="G9" s="17">
        <f>IF(AND(D9=0,E9=0),"yes","no")</f>
        <v/>
      </c>
      <c r="H9" s="17">
        <f>IF(G9&lt;&gt;"yes","",COUNTIFS(Decisions!$B$2:$B$120,B9,Decisions!$H$2:$H$120,"primary_temporal"))</f>
        <v/>
      </c>
      <c r="I9" s="17">
        <f>IF(G9&lt;&gt;"yes","",COUNTIFS(Decisions!$B$2:$B$120,B9,Decisions!$H$2:$H$120,"secondary_temporal"))</f>
        <v/>
      </c>
      <c r="J9" s="17">
        <f>IF(G9&lt;&gt;"yes","",COUNTIFS(Decisions!$B$2:$B$120,B9,Decisions!$H$2:$H$120,"protocol_descriptive"))</f>
        <v/>
      </c>
      <c r="K9" s="17">
        <f>IF(G9&lt;&gt;"yes","",COUNTIFS(Decisions!$B$2:$B$120,B9,Decisions!$H$2:$H$120,"plan_descriptive"))</f>
        <v/>
      </c>
      <c r="L9" s="17">
        <f>IF(G9&lt;&gt;"yes","",COUNTIFS(Decisions!$B$2:$B$120,B9,Decisions!$H$2:$H$120,"not_eligible"))</f>
        <v/>
      </c>
    </row>
    <row r="10" ht="48" customHeight="1" s="14">
      <c r="A10" s="16" t="n">
        <v>2018</v>
      </c>
      <c r="B10" s="16" t="inlineStr">
        <is>
          <t>jama.2018.8802</t>
        </is>
      </c>
      <c r="C10" s="16" t="n">
        <v>8</v>
      </c>
      <c r="D10" s="16">
        <f>C10-COUNTIFS(Decisions!$B$2:$B$120,B10,Decisions!$G$2:$G$120,"PRIMARY READY")</f>
        <v/>
      </c>
      <c r="E10" s="16">
        <f>COUNTIFS(Decisions!$B$2:$B$120,B10,Decisions!$I$2:$I$120,"discuss")</f>
        <v/>
      </c>
      <c r="F10" s="16">
        <f>IF(D10=0,"yes","no")</f>
        <v/>
      </c>
      <c r="G10" s="16">
        <f>IF(AND(D10=0,E10=0),"yes","no")</f>
        <v/>
      </c>
      <c r="H10" s="16">
        <f>IF(G10&lt;&gt;"yes","",COUNTIFS(Decisions!$B$2:$B$120,B10,Decisions!$H$2:$H$120,"primary_temporal"))</f>
        <v/>
      </c>
      <c r="I10" s="16">
        <f>IF(G10&lt;&gt;"yes","",COUNTIFS(Decisions!$B$2:$B$120,B10,Decisions!$H$2:$H$120,"secondary_temporal"))</f>
        <v/>
      </c>
      <c r="J10" s="16">
        <f>IF(G10&lt;&gt;"yes","",COUNTIFS(Decisions!$B$2:$B$120,B10,Decisions!$H$2:$H$120,"protocol_descriptive"))</f>
        <v/>
      </c>
      <c r="K10" s="16">
        <f>IF(G10&lt;&gt;"yes","",COUNTIFS(Decisions!$B$2:$B$120,B10,Decisions!$H$2:$H$120,"plan_descriptive"))</f>
        <v/>
      </c>
      <c r="L10" s="16">
        <f>IF(G10&lt;&gt;"yes","",COUNTIFS(Decisions!$B$2:$B$120,B10,Decisions!$H$2:$H$120,"not_eligible"))</f>
        <v/>
      </c>
    </row>
    <row r="11" ht="48" customHeight="1" s="14">
      <c r="A11" s="17" t="n">
        <v>2018</v>
      </c>
      <c r="B11" s="17" t="inlineStr">
        <is>
          <t>jama.2018.9128</t>
        </is>
      </c>
      <c r="C11" s="17" t="n">
        <v>13</v>
      </c>
      <c r="D11" s="17">
        <f>C11-COUNTIFS(Decisions!$B$2:$B$120,B11,Decisions!$G$2:$G$120,"PRIMARY READY")</f>
        <v/>
      </c>
      <c r="E11" s="17">
        <f>COUNTIFS(Decisions!$B$2:$B$120,B11,Decisions!$I$2:$I$120,"discuss")</f>
        <v/>
      </c>
      <c r="F11" s="17">
        <f>IF(D11=0,"yes","no")</f>
        <v/>
      </c>
      <c r="G11" s="17">
        <f>IF(AND(D11=0,E11=0),"yes","no")</f>
        <v/>
      </c>
      <c r="H11" s="17">
        <f>IF(G11&lt;&gt;"yes","",COUNTIFS(Decisions!$B$2:$B$120,B11,Decisions!$H$2:$H$120,"primary_temporal"))</f>
        <v/>
      </c>
      <c r="I11" s="17">
        <f>IF(G11&lt;&gt;"yes","",COUNTIFS(Decisions!$B$2:$B$120,B11,Decisions!$H$2:$H$120,"secondary_temporal"))</f>
        <v/>
      </c>
      <c r="J11" s="17">
        <f>IF(G11&lt;&gt;"yes","",COUNTIFS(Decisions!$B$2:$B$120,B11,Decisions!$H$2:$H$120,"protocol_descriptive"))</f>
        <v/>
      </c>
      <c r="K11" s="17">
        <f>IF(G11&lt;&gt;"yes","",COUNTIFS(Decisions!$B$2:$B$120,B11,Decisions!$H$2:$H$120,"plan_descriptive"))</f>
        <v/>
      </c>
      <c r="L11" s="17">
        <f>IF(G11&lt;&gt;"yes","",COUNTIFS(Decisions!$B$2:$B$120,B11,Decisions!$H$2:$H$120,"not_eligible"))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28" customWidth="1" style="14" min="7" max="7"/>
    <col width="22" customWidth="1" style="14" min="8" max="8"/>
    <col width="28" customWidth="1" style="14" min="9" max="9"/>
    <col width="30" customWidth="1" style="14" min="10" max="10"/>
    <col width="60" customWidth="1" style="14" min="11" max="11"/>
  </cols>
  <sheetData>
    <row r="1" ht="42" customHeight="1" s="14">
      <c r="A1" s="15" t="inlineStr">
        <is>
          <t>year</t>
        </is>
      </c>
      <c r="B1" s="15" t="inlineStr">
        <is>
          <t>paper</t>
        </is>
      </c>
      <c r="C1" s="15" t="inlineStr">
        <is>
          <t>candidate_key</t>
        </is>
      </c>
      <c r="D1" s="15" t="inlineStr">
        <is>
          <t>relationship</t>
        </is>
      </c>
      <c r="E1" s="15" t="inlineStr">
        <is>
          <t>title</t>
        </is>
      </c>
      <c r="F1" s="15" t="inlineStr">
        <is>
          <t>statement</t>
        </is>
      </c>
      <c r="G1" s="15" t="inlineStr">
        <is>
          <t>readiness</t>
        </is>
      </c>
      <c r="H1" s="15" t="inlineStr">
        <is>
          <t>disposition</t>
        </is>
      </c>
      <c r="I1" s="15" t="inlineStr">
        <is>
          <t>protocol_interpretation</t>
        </is>
      </c>
      <c r="J1" s="15" t="inlineStr">
        <is>
          <t>internal_status</t>
        </is>
      </c>
      <c r="K1" s="15" t="inlineStr">
        <is>
          <t>notes</t>
        </is>
      </c>
    </row>
    <row r="2" ht="100" customHeight="1" s="14">
      <c r="A2" s="16" t="n">
        <v>2018</v>
      </c>
      <c r="B2" s="16" t="inlineStr">
        <is>
          <t>jama.2017.21906</t>
        </is>
      </c>
      <c r="C2" s="16" t="inlineStr">
        <is>
          <t>2018::jama.2017.21906::C004</t>
        </is>
      </c>
      <c r="D2" s="16" t="inlineStr">
        <is>
          <t>P_R</t>
        </is>
      </c>
      <c r="E2" s="16" t="inlineStr">
        <is>
          <t>Reported prespecified age-subgroup boundaries differ from the supplied SAP</t>
        </is>
      </c>
      <c r="F2" s="16" t="inlineStr">
        <is>
          <t>The article calls its Figure 3 age subgroups prespecified, but their numeric boundaries differ from the supplied SAP.</t>
        </is>
      </c>
      <c r="G2" s="16">
        <f>IF(INDEX('Decisions'!$G$2:$G$120,MATCH(C2,'Decisions'!$C$2:$C$120,0))="","",INDEX('Decisions'!$G$2:$G$120,MATCH(C2,'Decisions'!$C$2:$C$120,0)))</f>
        <v/>
      </c>
      <c r="H2" s="16">
        <f>IF(INDEX('Decisions'!$I$2:$I$120,MATCH(C2,'Decisions'!$C$2:$C$120,0))="","",INDEX('Decisions'!$I$2:$I$120,MATCH(C2,'Decisions'!$C$2:$C$120,0)))</f>
        <v/>
      </c>
      <c r="I2" s="16">
        <f>IF(INDEX('Decisions'!$O$2:$O$120,MATCH(C2,'Decisions'!$C$2:$C$120,0))="","",INDEX('Decisions'!$O$2:$O$120,MATCH(C2,'Decisions'!$C$2:$C$120,0)))</f>
        <v/>
      </c>
      <c r="J2" s="16">
        <f>IF(INDEX('Decisions'!$N$2:$N$120,MATCH(C2,'Decisions'!$C$2:$C$120,0))="","",INDEX('Decisions'!$N$2:$N$120,MATCH(C2,'Decisions'!$C$2:$C$120,0)))</f>
        <v/>
      </c>
      <c r="K2" s="16">
        <f>IF(INDEX('Decisions'!$P$2:$P$120,MATCH(C2,'Decisions'!$C$2:$C$120,0))="","",INDEX('Decisions'!$P$2:$P$120,MATCH(C2,'Decisions'!$C$2:$C$120,0)))</f>
        <v/>
      </c>
    </row>
    <row r="3" ht="100" customHeight="1" s="14">
      <c r="A3" s="17" t="n">
        <v>2018</v>
      </c>
      <c r="B3" s="17" t="inlineStr">
        <is>
          <t>jama.2017.21906</t>
        </is>
      </c>
      <c r="C3" s="17" t="inlineStr">
        <is>
          <t>2018::jama.2017.21906::C006</t>
        </is>
      </c>
      <c r="D3" s="17" t="inlineStr">
        <is>
          <t>P_R</t>
        </is>
      </c>
      <c r="E3" s="17" t="inlineStr">
        <is>
          <t>Hospital-type subgroup is reported as prespecified but is absent from the supplied SAP subgroup list</t>
        </is>
      </c>
      <c r="F3" s="17" t="inlineStr">
        <is>
          <t>The article calls the hospital-type Figure 3 subgroup prespecified, while the supplied SAP's a priori site-level subgroup list does not name hospital type.</t>
        </is>
      </c>
      <c r="G3" s="17">
        <f>IF(INDEX('Decisions'!$G$2:$G$120,MATCH(C3,'Decisions'!$C$2:$C$120,0))="","",INDEX('Decisions'!$G$2:$G$120,MATCH(C3,'Decisions'!$C$2:$C$120,0)))</f>
        <v/>
      </c>
      <c r="H3" s="17">
        <f>IF(INDEX('Decisions'!$I$2:$I$120,MATCH(C3,'Decisions'!$C$2:$C$120,0))="","",INDEX('Decisions'!$I$2:$I$120,MATCH(C3,'Decisions'!$C$2:$C$120,0)))</f>
        <v/>
      </c>
      <c r="I3" s="17">
        <f>IF(INDEX('Decisions'!$O$2:$O$120,MATCH(C3,'Decisions'!$C$2:$C$120,0))="","",INDEX('Decisions'!$O$2:$O$120,MATCH(C3,'Decisions'!$C$2:$C$120,0)))</f>
        <v/>
      </c>
      <c r="J3" s="17">
        <f>IF(INDEX('Decisions'!$N$2:$N$120,MATCH(C3,'Decisions'!$C$2:$C$120,0))="","",INDEX('Decisions'!$N$2:$N$120,MATCH(C3,'Decisions'!$C$2:$C$120,0)))</f>
        <v/>
      </c>
      <c r="K3" s="17">
        <f>IF(INDEX('Decisions'!$P$2:$P$120,MATCH(C3,'Decisions'!$C$2:$C$120,0))="","",INDEX('Decisions'!$P$2:$P$120,MATCH(C3,'Decisions'!$C$2:$C$120,0)))</f>
        <v/>
      </c>
    </row>
    <row r="4" ht="100" customHeight="1" s="14">
      <c r="A4" s="16" t="n">
        <v>2018</v>
      </c>
      <c r="B4" s="16" t="inlineStr">
        <is>
          <t>jama.2018.0156</t>
        </is>
      </c>
      <c r="C4" s="16" t="inlineStr">
        <is>
          <t>2018::jama.2018.0156::C007</t>
        </is>
      </c>
      <c r="D4" s="16" t="inlineStr">
        <is>
          <t>P_R</t>
        </is>
      </c>
      <c r="E4" s="16" t="inlineStr">
        <is>
          <t>Published primary-endpoint description omits the amended baseline-disability qualification</t>
        </is>
      </c>
      <c r="F4" s="16" t="inlineStr">
        <is>
          <t>The article’s CPC-1-or-2 endpoint description omits the amendment’s qualification for survivors with baseline neurologic disability.</t>
        </is>
      </c>
      <c r="G4" s="16">
        <f>IF(INDEX('Decisions'!$G$2:$G$120,MATCH(C4,'Decisions'!$C$2:$C$120,0))="","",INDEX('Decisions'!$G$2:$G$120,MATCH(C4,'Decisions'!$C$2:$C$120,0)))</f>
        <v/>
      </c>
      <c r="H4" s="16">
        <f>IF(INDEX('Decisions'!$I$2:$I$120,MATCH(C4,'Decisions'!$C$2:$C$120,0))="","",INDEX('Decisions'!$I$2:$I$120,MATCH(C4,'Decisions'!$C$2:$C$120,0)))</f>
        <v/>
      </c>
      <c r="I4" s="16">
        <f>IF(INDEX('Decisions'!$O$2:$O$120,MATCH(C4,'Decisions'!$C$2:$C$120,0))="","",INDEX('Decisions'!$O$2:$O$120,MATCH(C4,'Decisions'!$C$2:$C$120,0)))</f>
        <v/>
      </c>
      <c r="J4" s="16">
        <f>IF(INDEX('Decisions'!$N$2:$N$120,MATCH(C4,'Decisions'!$C$2:$C$120,0))="","",INDEX('Decisions'!$N$2:$N$120,MATCH(C4,'Decisions'!$C$2:$C$120,0)))</f>
        <v/>
      </c>
      <c r="K4" s="16">
        <f>IF(INDEX('Decisions'!$P$2:$P$120,MATCH(C4,'Decisions'!$C$2:$C$120,0))="","",INDEX('Decisions'!$P$2:$P$120,MATCH(C4,'Decisions'!$C$2:$C$120,0)))</f>
        <v/>
      </c>
    </row>
    <row r="5" ht="100" customHeight="1" s="14">
      <c r="A5" s="17" t="n">
        <v>2018</v>
      </c>
      <c r="B5" s="17" t="inlineStr">
        <is>
          <t>jama.2018.0156</t>
        </is>
      </c>
      <c r="C5" s="17" t="inlineStr">
        <is>
          <t>2018::jama.2018.0156::C008</t>
        </is>
      </c>
      <c r="D5" s="17" t="inlineStr">
        <is>
          <t>P_R</t>
        </is>
      </c>
      <c r="E5" s="17" t="inlineStr">
        <is>
          <t>Protocol composite technique-failure definition cannot reconcile with the article’s smaller ETI failure count if they are the same endpoint</t>
        </is>
      </c>
      <c r="F5" s="17" t="inlineStr">
        <is>
          <t>If the protocol composite and article Table 3 row denote the same endpoint and aligned population, aggregate displays cannot reconcile.</t>
        </is>
      </c>
      <c r="G5" s="17">
        <f>IF(INDEX('Decisions'!$G$2:$G$120,MATCH(C5,'Decisions'!$C$2:$C$120,0))="","",INDEX('Decisions'!$G$2:$G$120,MATCH(C5,'Decisions'!$C$2:$C$120,0)))</f>
        <v/>
      </c>
      <c r="H5" s="17">
        <f>IF(INDEX('Decisions'!$I$2:$I$120,MATCH(C5,'Decisions'!$C$2:$C$120,0))="","",INDEX('Decisions'!$I$2:$I$120,MATCH(C5,'Decisions'!$C$2:$C$120,0)))</f>
        <v/>
      </c>
      <c r="I5" s="17">
        <f>IF(INDEX('Decisions'!$O$2:$O$120,MATCH(C5,'Decisions'!$C$2:$C$120,0))="","",INDEX('Decisions'!$O$2:$O$120,MATCH(C5,'Decisions'!$C$2:$C$120,0)))</f>
        <v/>
      </c>
      <c r="J5" s="17">
        <f>IF(INDEX('Decisions'!$N$2:$N$120,MATCH(C5,'Decisions'!$C$2:$C$120,0))="","",INDEX('Decisions'!$N$2:$N$120,MATCH(C5,'Decisions'!$C$2:$C$120,0)))</f>
        <v/>
      </c>
      <c r="K5" s="17">
        <f>IF(INDEX('Decisions'!$P$2:$P$120,MATCH(C5,'Decisions'!$C$2:$C$120,0))="","",INDEX('Decisions'!$P$2:$P$120,MATCH(C5,'Decisions'!$C$2:$C$120,0)))</f>
        <v/>
      </c>
    </row>
    <row r="6" ht="100" customHeight="1" s="14">
      <c r="A6" s="16" t="n">
        <v>2018</v>
      </c>
      <c r="B6" s="16" t="inlineStr">
        <is>
          <t>jama.2018.0948</t>
        </is>
      </c>
      <c r="C6" s="16" t="inlineStr">
        <is>
          <t>2018::jama.2018.0948::C001</t>
        </is>
      </c>
      <c r="D6" s="16" t="inlineStr">
        <is>
          <t>P_R</t>
        </is>
      </c>
      <c r="E6" s="16" t="inlineStr">
        <is>
          <t>Inclusive versus exclusive fluid threshold in the SCD definition</t>
        </is>
      </c>
      <c r="F6" s="16" t="inlineStr">
        <is>
          <t>The same SCD fluid component is printed with inclusive and exclusive 60 mL/kg thresholds.</t>
        </is>
      </c>
      <c r="G6" s="16">
        <f>IF(INDEX('Decisions'!$G$2:$G$120,MATCH(C6,'Decisions'!$C$2:$C$120,0))="","",INDEX('Decisions'!$G$2:$G$120,MATCH(C6,'Decisions'!$C$2:$C$120,0)))</f>
        <v/>
      </c>
      <c r="H6" s="16">
        <f>IF(INDEX('Decisions'!$I$2:$I$120,MATCH(C6,'Decisions'!$C$2:$C$120,0))="","",INDEX('Decisions'!$I$2:$I$120,MATCH(C6,'Decisions'!$C$2:$C$120,0)))</f>
        <v/>
      </c>
      <c r="I6" s="16">
        <f>IF(INDEX('Decisions'!$O$2:$O$120,MATCH(C6,'Decisions'!$C$2:$C$120,0))="","",INDEX('Decisions'!$O$2:$O$120,MATCH(C6,'Decisions'!$C$2:$C$120,0)))</f>
        <v/>
      </c>
      <c r="J6" s="16">
        <f>IF(INDEX('Decisions'!$N$2:$N$120,MATCH(C6,'Decisions'!$C$2:$C$120,0))="","",INDEX('Decisions'!$N$2:$N$120,MATCH(C6,'Decisions'!$C$2:$C$120,0)))</f>
        <v/>
      </c>
      <c r="K6" s="16">
        <f>IF(INDEX('Decisions'!$P$2:$P$120,MATCH(C6,'Decisions'!$C$2:$C$120,0))="","",INDEX('Decisions'!$P$2:$P$120,MATCH(C6,'Decisions'!$C$2:$C$120,0)))</f>
        <v/>
      </c>
    </row>
    <row r="7" ht="100" customHeight="1" s="14">
      <c r="A7" s="17" t="n">
        <v>2018</v>
      </c>
      <c r="B7" s="17" t="inlineStr">
        <is>
          <t>jama.2018.0948</t>
        </is>
      </c>
      <c r="C7" s="17" t="inlineStr">
        <is>
          <t>2018::jama.2018.0948::C002</t>
        </is>
      </c>
      <c r="D7" s="17" t="inlineStr">
        <is>
          <t>P_P</t>
        </is>
      </c>
      <c r="E7" s="17" t="inlineStr">
        <is>
          <t>Mortality absolute-risk-reduction percent/unit conflict</t>
        </is>
      </c>
      <c r="F7" s="17" t="inlineStr">
        <is>
          <t>A matched mortality planning reduction is printed as 0.9% at one location but as 0.9 per 1,000/0.09% elsewhere.</t>
        </is>
      </c>
      <c r="G7" s="17">
        <f>IF(INDEX('Decisions'!$G$2:$G$120,MATCH(C7,'Decisions'!$C$2:$C$120,0))="","",INDEX('Decisions'!$G$2:$G$120,MATCH(C7,'Decisions'!$C$2:$C$120,0)))</f>
        <v/>
      </c>
      <c r="H7" s="17">
        <f>IF(INDEX('Decisions'!$I$2:$I$120,MATCH(C7,'Decisions'!$C$2:$C$120,0))="","",INDEX('Decisions'!$I$2:$I$120,MATCH(C7,'Decisions'!$C$2:$C$120,0)))</f>
        <v/>
      </c>
      <c r="I7" s="17">
        <f>IF(INDEX('Decisions'!$O$2:$O$120,MATCH(C7,'Decisions'!$C$2:$C$120,0))="","",INDEX('Decisions'!$O$2:$O$120,MATCH(C7,'Decisions'!$C$2:$C$120,0)))</f>
        <v/>
      </c>
      <c r="J7" s="17">
        <f>IF(INDEX('Decisions'!$N$2:$N$120,MATCH(C7,'Decisions'!$C$2:$C$120,0))="","",INDEX('Decisions'!$N$2:$N$120,MATCH(C7,'Decisions'!$C$2:$C$120,0)))</f>
        <v/>
      </c>
      <c r="K7" s="17">
        <f>IF(INDEX('Decisions'!$P$2:$P$120,MATCH(C7,'Decisions'!$C$2:$C$120,0))="","",INDEX('Decisions'!$P$2:$P$120,MATCH(C7,'Decisions'!$C$2:$C$120,0)))</f>
        <v/>
      </c>
    </row>
    <row r="8" ht="100" customHeight="1" s="14">
      <c r="A8" s="16" t="n">
        <v>2018</v>
      </c>
      <c r="B8" s="16" t="inlineStr">
        <is>
          <t>jama.2018.0948</t>
        </is>
      </c>
      <c r="C8" s="16" t="inlineStr">
        <is>
          <t>2018::jama.2018.0948::C003</t>
        </is>
      </c>
      <c r="D8" s="16" t="inlineStr">
        <is>
          <t>P_P</t>
        </is>
      </c>
      <c r="E8" s="16" t="inlineStr">
        <is>
          <t>Cardiac-arrest events assigned incompatible resuscitation-scale categories</t>
        </is>
      </c>
      <c r="F8" s="16" t="inlineStr">
        <is>
          <t>Cardiac-arrest events are described as categories 6/7 but a Table 6 legend calls events including cardiac arrest 4/5.</t>
        </is>
      </c>
      <c r="G8" s="16">
        <f>IF(INDEX('Decisions'!$G$2:$G$120,MATCH(C8,'Decisions'!$C$2:$C$120,0))="","",INDEX('Decisions'!$G$2:$G$120,MATCH(C8,'Decisions'!$C$2:$C$120,0)))</f>
        <v/>
      </c>
      <c r="H8" s="16">
        <f>IF(INDEX('Decisions'!$I$2:$I$120,MATCH(C8,'Decisions'!$C$2:$C$120,0))="","",INDEX('Decisions'!$I$2:$I$120,MATCH(C8,'Decisions'!$C$2:$C$120,0)))</f>
        <v/>
      </c>
      <c r="I8" s="16">
        <f>IF(INDEX('Decisions'!$O$2:$O$120,MATCH(C8,'Decisions'!$C$2:$C$120,0))="","",INDEX('Decisions'!$O$2:$O$120,MATCH(C8,'Decisions'!$C$2:$C$120,0)))</f>
        <v/>
      </c>
      <c r="J8" s="16">
        <f>IF(INDEX('Decisions'!$N$2:$N$120,MATCH(C8,'Decisions'!$C$2:$C$120,0))="","",INDEX('Decisions'!$N$2:$N$120,MATCH(C8,'Decisions'!$C$2:$C$120,0)))</f>
        <v/>
      </c>
      <c r="K8" s="16">
        <f>IF(INDEX('Decisions'!$P$2:$P$120,MATCH(C8,'Decisions'!$C$2:$C$120,0))="","",INDEX('Decisions'!$P$2:$P$120,MATCH(C8,'Decisions'!$C$2:$C$120,0)))</f>
        <v/>
      </c>
    </row>
    <row r="9" ht="100" customHeight="1" s="14">
      <c r="A9" s="17" t="n">
        <v>2018</v>
      </c>
      <c r="B9" s="17" t="inlineStr">
        <is>
          <t>jama.2018.0948</t>
        </is>
      </c>
      <c r="C9" s="17" t="inlineStr">
        <is>
          <t>2018::jama.2018.0948::C004</t>
        </is>
      </c>
      <c r="D9" s="17" t="inlineStr">
        <is>
          <t>P_P</t>
        </is>
      </c>
      <c r="E9" s="17" t="inlineStr">
        <is>
          <t>Preventability threshold excludes and includes rating 4</t>
        </is>
      </c>
      <c r="F9" s="17" t="inlineStr">
        <is>
          <t>The preventability definition says &gt;4 while nearby and cross-source descriptions include rating 4.</t>
        </is>
      </c>
      <c r="G9" s="17">
        <f>IF(INDEX('Decisions'!$G$2:$G$120,MATCH(C9,'Decisions'!$C$2:$C$120,0))="","",INDEX('Decisions'!$G$2:$G$120,MATCH(C9,'Decisions'!$C$2:$C$120,0)))</f>
        <v/>
      </c>
      <c r="H9" s="17">
        <f>IF(INDEX('Decisions'!$I$2:$I$120,MATCH(C9,'Decisions'!$C$2:$C$120,0))="","",INDEX('Decisions'!$I$2:$I$120,MATCH(C9,'Decisions'!$C$2:$C$120,0)))</f>
        <v/>
      </c>
      <c r="I9" s="17">
        <f>IF(INDEX('Decisions'!$O$2:$O$120,MATCH(C9,'Decisions'!$C$2:$C$120,0))="","",INDEX('Decisions'!$O$2:$O$120,MATCH(C9,'Decisions'!$C$2:$C$120,0)))</f>
        <v/>
      </c>
      <c r="J9" s="17">
        <f>IF(INDEX('Decisions'!$N$2:$N$120,MATCH(C9,'Decisions'!$C$2:$C$120,0))="","",INDEX('Decisions'!$N$2:$N$120,MATCH(C9,'Decisions'!$C$2:$C$120,0)))</f>
        <v/>
      </c>
      <c r="K9" s="17">
        <f>IF(INDEX('Decisions'!$P$2:$P$120,MATCH(C9,'Decisions'!$C$2:$C$120,0))="","",INDEX('Decisions'!$P$2:$P$120,MATCH(C9,'Decisions'!$C$2:$C$120,0)))</f>
        <v/>
      </c>
    </row>
    <row r="10" ht="100" customHeight="1" s="14">
      <c r="A10" s="16" t="n">
        <v>2018</v>
      </c>
      <c r="B10" s="16" t="inlineStr">
        <is>
          <t>jama.2018.0948</t>
        </is>
      </c>
      <c r="C10" s="16" t="inlineStr">
        <is>
          <t>2018::jama.2018.0948::C005</t>
        </is>
      </c>
      <c r="D10" s="16" t="inlineStr">
        <is>
          <t>P_P</t>
        </is>
      </c>
      <c r="E10" s="16" t="inlineStr">
        <is>
          <t>The same SCDE reference count is labelled annual and two-year</t>
        </is>
      </c>
      <c r="F10" s="16" t="inlineStr">
        <is>
          <t>The same 1,052 urgent ICU/PICU admission count is labelled annual and as a two-year total.</t>
        </is>
      </c>
      <c r="G10" s="16">
        <f>IF(INDEX('Decisions'!$G$2:$G$120,MATCH(C10,'Decisions'!$C$2:$C$120,0))="","",INDEX('Decisions'!$G$2:$G$120,MATCH(C10,'Decisions'!$C$2:$C$120,0)))</f>
        <v/>
      </c>
      <c r="H10" s="16">
        <f>IF(INDEX('Decisions'!$I$2:$I$120,MATCH(C10,'Decisions'!$C$2:$C$120,0))="","",INDEX('Decisions'!$I$2:$I$120,MATCH(C10,'Decisions'!$C$2:$C$120,0)))</f>
        <v/>
      </c>
      <c r="I10" s="16">
        <f>IF(INDEX('Decisions'!$O$2:$O$120,MATCH(C10,'Decisions'!$C$2:$C$120,0))="","",INDEX('Decisions'!$O$2:$O$120,MATCH(C10,'Decisions'!$C$2:$C$120,0)))</f>
        <v/>
      </c>
      <c r="J10" s="16">
        <f>IF(INDEX('Decisions'!$N$2:$N$120,MATCH(C10,'Decisions'!$C$2:$C$120,0))="","",INDEX('Decisions'!$N$2:$N$120,MATCH(C10,'Decisions'!$C$2:$C$120,0)))</f>
        <v/>
      </c>
      <c r="K10" s="16">
        <f>IF(INDEX('Decisions'!$P$2:$P$120,MATCH(C10,'Decisions'!$C$2:$C$120,0))="","",INDEX('Decisions'!$P$2:$P$120,MATCH(C10,'Decisions'!$C$2:$C$120,0)))</f>
        <v/>
      </c>
    </row>
    <row r="11" ht="100" customHeight="1" s="14">
      <c r="A11" s="17" t="n">
        <v>2018</v>
      </c>
      <c r="B11" s="17" t="inlineStr">
        <is>
          <t>jama.2018.0948</t>
        </is>
      </c>
      <c r="C11" s="17" t="inlineStr">
        <is>
          <t>2018::jama.2018.0948::C006</t>
        </is>
      </c>
      <c r="D11" s="17" t="inlineStr">
        <is>
          <t>P_P</t>
        </is>
      </c>
      <c r="E11" s="17" t="inlineStr">
        <is>
          <t>Stat-call absolute reduction does not reproduce from the printed inputs</t>
        </is>
      </c>
      <c r="F11" s="17" t="inlineStr">
        <is>
          <t>The printed stat-call absolute reduction does not reproduce from the displayed baseline rate and relative reduction.</t>
        </is>
      </c>
      <c r="G11" s="17">
        <f>IF(INDEX('Decisions'!$G$2:$G$120,MATCH(C11,'Decisions'!$C$2:$C$120,0))="","",INDEX('Decisions'!$G$2:$G$120,MATCH(C11,'Decisions'!$C$2:$C$120,0)))</f>
        <v/>
      </c>
      <c r="H11" s="17">
        <f>IF(INDEX('Decisions'!$I$2:$I$120,MATCH(C11,'Decisions'!$C$2:$C$120,0))="","",INDEX('Decisions'!$I$2:$I$120,MATCH(C11,'Decisions'!$C$2:$C$120,0)))</f>
        <v/>
      </c>
      <c r="I11" s="17">
        <f>IF(INDEX('Decisions'!$O$2:$O$120,MATCH(C11,'Decisions'!$C$2:$C$120,0))="","",INDEX('Decisions'!$O$2:$O$120,MATCH(C11,'Decisions'!$C$2:$C$120,0)))</f>
        <v/>
      </c>
      <c r="J11" s="17">
        <f>IF(INDEX('Decisions'!$N$2:$N$120,MATCH(C11,'Decisions'!$C$2:$C$120,0))="","",INDEX('Decisions'!$N$2:$N$120,MATCH(C11,'Decisions'!$C$2:$C$120,0)))</f>
        <v/>
      </c>
      <c r="K11" s="17">
        <f>IF(INDEX('Decisions'!$P$2:$P$120,MATCH(C11,'Decisions'!$C$2:$C$120,0))="","",INDEX('Decisions'!$P$2:$P$120,MATCH(C11,'Decisions'!$C$2:$C$120,0)))</f>
        <v/>
      </c>
    </row>
    <row r="12" ht="100" customHeight="1" s="14">
      <c r="A12" s="16" t="n">
        <v>2018</v>
      </c>
      <c r="B12" s="16" t="inlineStr">
        <is>
          <t>jama.2018.0948</t>
        </is>
      </c>
      <c r="C12" s="16" t="inlineStr">
        <is>
          <t>2018::jama.2018.0948::C007</t>
        </is>
      </c>
      <c r="D12" s="16" t="inlineStr">
        <is>
          <t>P_P</t>
        </is>
      </c>
      <c r="E12" s="16" t="inlineStr">
        <is>
          <t>Urgent PICU admission rates do not match the printed counts and denominators at conventional rounding</t>
        </is>
      </c>
      <c r="F12" s="16" t="inlineStr">
        <is>
          <t>Two printed urgent-PICU rates do not conventionally round from the displayed numerator and denominators.</t>
        </is>
      </c>
      <c r="G12" s="16">
        <f>IF(INDEX('Decisions'!$G$2:$G$120,MATCH(C12,'Decisions'!$C$2:$C$120,0))="","",INDEX('Decisions'!$G$2:$G$120,MATCH(C12,'Decisions'!$C$2:$C$120,0)))</f>
        <v/>
      </c>
      <c r="H12" s="16">
        <f>IF(INDEX('Decisions'!$I$2:$I$120,MATCH(C12,'Decisions'!$C$2:$C$120,0))="","",INDEX('Decisions'!$I$2:$I$120,MATCH(C12,'Decisions'!$C$2:$C$120,0)))</f>
        <v/>
      </c>
      <c r="I12" s="16">
        <f>IF(INDEX('Decisions'!$O$2:$O$120,MATCH(C12,'Decisions'!$C$2:$C$120,0))="","",INDEX('Decisions'!$O$2:$O$120,MATCH(C12,'Decisions'!$C$2:$C$120,0)))</f>
        <v/>
      </c>
      <c r="J12" s="16">
        <f>IF(INDEX('Decisions'!$N$2:$N$120,MATCH(C12,'Decisions'!$C$2:$C$120,0))="","",INDEX('Decisions'!$N$2:$N$120,MATCH(C12,'Decisions'!$C$2:$C$120,0)))</f>
        <v/>
      </c>
      <c r="K12" s="16">
        <f>IF(INDEX('Decisions'!$P$2:$P$120,MATCH(C12,'Decisions'!$C$2:$C$120,0))="","",INDEX('Decisions'!$P$2:$P$120,MATCH(C12,'Decisions'!$C$2:$C$120,0)))</f>
        <v/>
      </c>
    </row>
    <row r="13" ht="100" customHeight="1" s="14">
      <c r="A13" s="17" t="n">
        <v>2018</v>
      </c>
      <c r="B13" s="17" t="inlineStr">
        <is>
          <t>jama.2018.14280</t>
        </is>
      </c>
      <c r="C13" s="17" t="inlineStr">
        <is>
          <t>2018::jama.2018.14280::C023</t>
        </is>
      </c>
      <c r="D13" s="17" t="inlineStr">
        <is>
          <t>P_R</t>
        </is>
      </c>
      <c r="E13" s="17" t="inlineStr">
        <is>
          <t>Enrollment completion dates differ by two days</t>
        </is>
      </c>
      <c r="F13" s="17" t="inlineStr">
        <is>
          <t>The main article reports enrollment through August 20, 2017, while the SAP reports enrollment complete on August 22, 2017.</t>
        </is>
      </c>
      <c r="G13" s="17">
        <f>IF(INDEX('Decisions'!$G$2:$G$120,MATCH(C13,'Decisions'!$C$2:$C$120,0))="","",INDEX('Decisions'!$G$2:$G$120,MATCH(C13,'Decisions'!$C$2:$C$120,0)))</f>
        <v/>
      </c>
      <c r="H13" s="17">
        <f>IF(INDEX('Decisions'!$I$2:$I$120,MATCH(C13,'Decisions'!$C$2:$C$120,0))="","",INDEX('Decisions'!$I$2:$I$120,MATCH(C13,'Decisions'!$C$2:$C$120,0)))</f>
        <v/>
      </c>
      <c r="I13" s="17">
        <f>IF(INDEX('Decisions'!$O$2:$O$120,MATCH(C13,'Decisions'!$C$2:$C$120,0))="","",INDEX('Decisions'!$O$2:$O$120,MATCH(C13,'Decisions'!$C$2:$C$120,0)))</f>
        <v/>
      </c>
      <c r="J13" s="17">
        <f>IF(INDEX('Decisions'!$N$2:$N$120,MATCH(C13,'Decisions'!$C$2:$C$120,0))="","",INDEX('Decisions'!$N$2:$N$120,MATCH(C13,'Decisions'!$C$2:$C$120,0)))</f>
        <v/>
      </c>
      <c r="K13" s="17">
        <f>IF(INDEX('Decisions'!$P$2:$P$120,MATCH(C13,'Decisions'!$C$2:$C$120,0))="","",INDEX('Decisions'!$P$2:$P$120,MATCH(C13,'Decisions'!$C$2:$C$120,0)))</f>
        <v/>
      </c>
    </row>
    <row r="14" ht="100" customHeight="1" s="14">
      <c r="A14" s="16" t="n">
        <v>2018</v>
      </c>
      <c r="B14" s="16" t="inlineStr">
        <is>
          <t>jama.2018.14282</t>
        </is>
      </c>
      <c r="C14" s="16" t="inlineStr">
        <is>
          <t>2018::jama.2018.14282::C026</t>
        </is>
      </c>
      <c r="D14" s="16" t="inlineStr">
        <is>
          <t>P_P</t>
        </is>
      </c>
      <c r="E14" s="16" t="inlineStr">
        <is>
          <t>Noninferiority bound/sign wording conflicts with its explanatory axis</t>
        </is>
      </c>
      <c r="F14" s="16" t="inlineStr">
        <is>
          <t>Noninferiority wording uses a positive less than 9% lower-bound statement that is not reconciled with the negative-side margin on a new-treatment-minus-active-control axis.</t>
        </is>
      </c>
      <c r="G14" s="16">
        <f>IF(INDEX('Decisions'!$G$2:$G$120,MATCH(C14,'Decisions'!$C$2:$C$120,0))="","",INDEX('Decisions'!$G$2:$G$120,MATCH(C14,'Decisions'!$C$2:$C$120,0)))</f>
        <v/>
      </c>
      <c r="H14" s="16">
        <f>IF(INDEX('Decisions'!$I$2:$I$120,MATCH(C14,'Decisions'!$C$2:$C$120,0))="","",INDEX('Decisions'!$I$2:$I$120,MATCH(C14,'Decisions'!$C$2:$C$120,0)))</f>
        <v/>
      </c>
      <c r="I14" s="16">
        <f>IF(INDEX('Decisions'!$O$2:$O$120,MATCH(C14,'Decisions'!$C$2:$C$120,0))="","",INDEX('Decisions'!$O$2:$O$120,MATCH(C14,'Decisions'!$C$2:$C$120,0)))</f>
        <v/>
      </c>
      <c r="J14" s="16">
        <f>IF(INDEX('Decisions'!$N$2:$N$120,MATCH(C14,'Decisions'!$C$2:$C$120,0))="","",INDEX('Decisions'!$N$2:$N$120,MATCH(C14,'Decisions'!$C$2:$C$120,0)))</f>
        <v/>
      </c>
      <c r="K14" s="16">
        <f>IF(INDEX('Decisions'!$P$2:$P$120,MATCH(C14,'Decisions'!$C$2:$C$120,0))="","",INDEX('Decisions'!$P$2:$P$120,MATCH(C14,'Decisions'!$C$2:$C$120,0)))</f>
        <v/>
      </c>
    </row>
    <row r="15" ht="100" customHeight="1" s="14">
      <c r="A15" s="17" t="n">
        <v>2018</v>
      </c>
      <c r="B15" s="17" t="inlineStr">
        <is>
          <t>jama.2018.14282</t>
        </is>
      </c>
      <c r="C15" s="17" t="inlineStr">
        <is>
          <t>2018::jama.2018.14282::C027</t>
        </is>
      </c>
      <c r="D15" s="17" t="inlineStr">
        <is>
          <t>P_P</t>
        </is>
      </c>
      <c r="E15" s="17" t="inlineStr">
        <is>
          <t>Primary-hypothesis intervention is labelled NIV while plans identify HFNO</t>
        </is>
      </c>
      <c r="F15" s="17" t="inlineStr">
        <is>
          <t>Primary-hypothesis sentences label the intervention NIV while adjacent and repeated plan wording identifies HFNO as the experimental intervention.</t>
        </is>
      </c>
      <c r="G15" s="17">
        <f>IF(INDEX('Decisions'!$G$2:$G$120,MATCH(C15,'Decisions'!$C$2:$C$120,0))="","",INDEX('Decisions'!$G$2:$G$120,MATCH(C15,'Decisions'!$C$2:$C$120,0)))</f>
        <v/>
      </c>
      <c r="H15" s="17">
        <f>IF(INDEX('Decisions'!$I$2:$I$120,MATCH(C15,'Decisions'!$C$2:$C$120,0))="","",INDEX('Decisions'!$I$2:$I$120,MATCH(C15,'Decisions'!$C$2:$C$120,0)))</f>
        <v/>
      </c>
      <c r="I15" s="17">
        <f>IF(INDEX('Decisions'!$O$2:$O$120,MATCH(C15,'Decisions'!$C$2:$C$120,0))="","",INDEX('Decisions'!$O$2:$O$120,MATCH(C15,'Decisions'!$C$2:$C$120,0)))</f>
        <v/>
      </c>
      <c r="J15" s="17">
        <f>IF(INDEX('Decisions'!$N$2:$N$120,MATCH(C15,'Decisions'!$C$2:$C$120,0))="","",INDEX('Decisions'!$N$2:$N$120,MATCH(C15,'Decisions'!$C$2:$C$120,0)))</f>
        <v/>
      </c>
      <c r="K15" s="17">
        <f>IF(INDEX('Decisions'!$P$2:$P$120,MATCH(C15,'Decisions'!$C$2:$C$120,0))="","",INDEX('Decisions'!$P$2:$P$120,MATCH(C15,'Decisions'!$C$2:$C$120,0)))</f>
        <v/>
      </c>
    </row>
    <row r="16" ht="100" customHeight="1" s="14">
      <c r="A16" s="16" t="n">
        <v>2018</v>
      </c>
      <c r="B16" s="16" t="inlineStr">
        <is>
          <t>jama.2018.14282</t>
        </is>
      </c>
      <c r="C16" s="16" t="inlineStr">
        <is>
          <t>2018::jama.2018.14282::C028</t>
        </is>
      </c>
      <c r="D16" s="16" t="inlineStr">
        <is>
          <t>P_P</t>
        </is>
      </c>
      <c r="E16" s="16" t="inlineStr">
        <is>
          <t>Planned primary outcome alternates between day-28 vital status and hospital death</t>
        </is>
      </c>
      <c r="F16" s="16" t="inlineStr">
        <is>
          <t>Plan passages classify patients by day-28 vital status but then specify a relative risk of hospital death without explicitly equating the endpoints.</t>
        </is>
      </c>
      <c r="G16" s="16">
        <f>IF(INDEX('Decisions'!$G$2:$G$120,MATCH(C16,'Decisions'!$C$2:$C$120,0))="","",INDEX('Decisions'!$G$2:$G$120,MATCH(C16,'Decisions'!$C$2:$C$120,0)))</f>
        <v/>
      </c>
      <c r="H16" s="16">
        <f>IF(INDEX('Decisions'!$I$2:$I$120,MATCH(C16,'Decisions'!$C$2:$C$120,0))="","",INDEX('Decisions'!$I$2:$I$120,MATCH(C16,'Decisions'!$C$2:$C$120,0)))</f>
        <v/>
      </c>
      <c r="I16" s="16">
        <f>IF(INDEX('Decisions'!$O$2:$O$120,MATCH(C16,'Decisions'!$C$2:$C$120,0))="","",INDEX('Decisions'!$O$2:$O$120,MATCH(C16,'Decisions'!$C$2:$C$120,0)))</f>
        <v/>
      </c>
      <c r="J16" s="16">
        <f>IF(INDEX('Decisions'!$N$2:$N$120,MATCH(C16,'Decisions'!$C$2:$C$120,0))="","",INDEX('Decisions'!$N$2:$N$120,MATCH(C16,'Decisions'!$C$2:$C$120,0)))</f>
        <v/>
      </c>
      <c r="K16" s="16">
        <f>IF(INDEX('Decisions'!$P$2:$P$120,MATCH(C16,'Decisions'!$C$2:$C$120,0))="","",INDEX('Decisions'!$P$2:$P$120,MATCH(C16,'Decisions'!$C$2:$C$120,0)))</f>
        <v/>
      </c>
    </row>
    <row r="17" ht="100" customHeight="1" s="14">
      <c r="A17" s="17" t="n">
        <v>2018</v>
      </c>
      <c r="B17" s="17" t="inlineStr">
        <is>
          <t>jama.2018.6496</t>
        </is>
      </c>
      <c r="C17" s="17" t="inlineStr">
        <is>
          <t>2018::jama.2018.6496::C003</t>
        </is>
      </c>
      <c r="D17" s="17" t="inlineStr">
        <is>
          <t>P_R</t>
        </is>
      </c>
      <c r="E17" s="17" t="inlineStr">
        <is>
          <t>Protocol and published hypoxemia observation windows use different endpoint events</t>
        </is>
      </c>
      <c r="F17" s="17"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G17" s="17">
        <f>IF(INDEX('Decisions'!$G$2:$G$120,MATCH(C17,'Decisions'!$C$2:$C$120,0))="","",INDEX('Decisions'!$G$2:$G$120,MATCH(C17,'Decisions'!$C$2:$C$120,0)))</f>
        <v/>
      </c>
      <c r="H17" s="17">
        <f>IF(INDEX('Decisions'!$I$2:$I$120,MATCH(C17,'Decisions'!$C$2:$C$120,0))="","",INDEX('Decisions'!$I$2:$I$120,MATCH(C17,'Decisions'!$C$2:$C$120,0)))</f>
        <v/>
      </c>
      <c r="I17" s="17">
        <f>IF(INDEX('Decisions'!$O$2:$O$120,MATCH(C17,'Decisions'!$C$2:$C$120,0))="","",INDEX('Decisions'!$O$2:$O$120,MATCH(C17,'Decisions'!$C$2:$C$120,0)))</f>
        <v/>
      </c>
      <c r="J17" s="17">
        <f>IF(INDEX('Decisions'!$N$2:$N$120,MATCH(C17,'Decisions'!$C$2:$C$120,0))="","",INDEX('Decisions'!$N$2:$N$120,MATCH(C17,'Decisions'!$C$2:$C$120,0)))</f>
        <v/>
      </c>
      <c r="K17" s="17">
        <f>IF(INDEX('Decisions'!$P$2:$P$120,MATCH(C17,'Decisions'!$C$2:$C$120,0))="","",INDEX('Decisions'!$P$2:$P$120,MATCH(C17,'Decisions'!$C$2:$C$120,0)))</f>
        <v/>
      </c>
    </row>
    <row r="18" ht="100" customHeight="1" s="14">
      <c r="A18" s="16" t="n">
        <v>2018</v>
      </c>
      <c r="B18" s="16" t="inlineStr">
        <is>
          <t>jama.2018.6496</t>
        </is>
      </c>
      <c r="C18" s="16" t="inlineStr">
        <is>
          <t>2018::jama.2018.6496::C004</t>
        </is>
      </c>
      <c r="D18" s="16" t="inlineStr">
        <is>
          <t>P_R</t>
        </is>
      </c>
      <c r="E18" s="16" t="inlineStr">
        <is>
          <t>Protocol and published first-attempt-duration measures use different endpoint events</t>
        </is>
      </c>
      <c r="F18" s="16" t="inlineStr">
        <is>
          <t>The protocol defines first-attempt time to intubation through ETT-cuff inflation, whereas the published analyses use blade removal; the supplied package does not document how or why the measurement endpoint changed.</t>
        </is>
      </c>
      <c r="G18" s="16">
        <f>IF(INDEX('Decisions'!$G$2:$G$120,MATCH(C18,'Decisions'!$C$2:$C$120,0))="","",INDEX('Decisions'!$G$2:$G$120,MATCH(C18,'Decisions'!$C$2:$C$120,0)))</f>
        <v/>
      </c>
      <c r="H18" s="16">
        <f>IF(INDEX('Decisions'!$I$2:$I$120,MATCH(C18,'Decisions'!$C$2:$C$120,0))="","",INDEX('Decisions'!$I$2:$I$120,MATCH(C18,'Decisions'!$C$2:$C$120,0)))</f>
        <v/>
      </c>
      <c r="I18" s="16">
        <f>IF(INDEX('Decisions'!$O$2:$O$120,MATCH(C18,'Decisions'!$C$2:$C$120,0))="","",INDEX('Decisions'!$O$2:$O$120,MATCH(C18,'Decisions'!$C$2:$C$120,0)))</f>
        <v/>
      </c>
      <c r="J18" s="16">
        <f>IF(INDEX('Decisions'!$N$2:$N$120,MATCH(C18,'Decisions'!$C$2:$C$120,0))="","",INDEX('Decisions'!$N$2:$N$120,MATCH(C18,'Decisions'!$C$2:$C$120,0)))</f>
        <v/>
      </c>
      <c r="K18" s="16">
        <f>IF(INDEX('Decisions'!$P$2:$P$120,MATCH(C18,'Decisions'!$C$2:$C$120,0))="","",INDEX('Decisions'!$P$2:$P$120,MATCH(C18,'Decisions'!$C$2:$C$120,0)))</f>
        <v/>
      </c>
    </row>
    <row r="19" ht="100" customHeight="1" s="14">
      <c r="A19" s="17" t="n">
        <v>2018</v>
      </c>
      <c r="B19" s="17" t="inlineStr">
        <is>
          <t>jama.2018.8802</t>
        </is>
      </c>
      <c r="C19" s="17" t="inlineStr">
        <is>
          <t>2018::jama.2018.8802::C002</t>
        </is>
      </c>
      <c r="D19" s="17" t="inlineStr">
        <is>
          <t>P_R</t>
        </is>
      </c>
      <c r="E19" s="17" t="inlineStr">
        <is>
          <t>LDL eligibility boundary differs between result labels and supplied measure definition</t>
        </is>
      </c>
      <c r="F19" s="17" t="inlineStr">
        <is>
          <t>The main and sensitivity result rows use LDL &gt;100 mg/dL, while supplied formal measure definitions use LDL ≥100 mg/dL.</t>
        </is>
      </c>
      <c r="G19" s="17">
        <f>IF(INDEX('Decisions'!$G$2:$G$120,MATCH(C19,'Decisions'!$C$2:$C$120,0))="","",INDEX('Decisions'!$G$2:$G$120,MATCH(C19,'Decisions'!$C$2:$C$120,0)))</f>
        <v/>
      </c>
      <c r="H19" s="17">
        <f>IF(INDEX('Decisions'!$I$2:$I$120,MATCH(C19,'Decisions'!$C$2:$C$120,0))="","",INDEX('Decisions'!$I$2:$I$120,MATCH(C19,'Decisions'!$C$2:$C$120,0)))</f>
        <v/>
      </c>
      <c r="I19" s="17">
        <f>IF(INDEX('Decisions'!$O$2:$O$120,MATCH(C19,'Decisions'!$C$2:$C$120,0))="","",INDEX('Decisions'!$O$2:$O$120,MATCH(C19,'Decisions'!$C$2:$C$120,0)))</f>
        <v/>
      </c>
      <c r="J19" s="17">
        <f>IF(INDEX('Decisions'!$N$2:$N$120,MATCH(C19,'Decisions'!$C$2:$C$120,0))="","",INDEX('Decisions'!$N$2:$N$120,MATCH(C19,'Decisions'!$C$2:$C$120,0)))</f>
        <v/>
      </c>
      <c r="K19" s="17">
        <f>IF(INDEX('Decisions'!$P$2:$P$120,MATCH(C19,'Decisions'!$C$2:$C$120,0))="","",INDEX('Decisions'!$P$2:$P$120,MATCH(C19,'Decisions'!$C$2:$C$120,0)))</f>
        <v/>
      </c>
    </row>
    <row r="20" ht="100" customHeight="1" s="14">
      <c r="A20" s="16" t="n">
        <v>2018</v>
      </c>
      <c r="B20" s="16" t="inlineStr">
        <is>
          <t>jama.2018.9128</t>
        </is>
      </c>
      <c r="C20" s="16" t="inlineStr">
        <is>
          <t>2018::jama.2018.9128::C009</t>
        </is>
      </c>
      <c r="D20" s="16" t="inlineStr">
        <is>
          <t>P_P</t>
        </is>
      </c>
      <c r="E20" s="16" t="inlineStr">
        <is>
          <t>Final SAP says six assessment points but enumerates five</t>
        </is>
      </c>
      <c r="F20" s="16" t="inlineStr">
        <is>
          <t>The final SAP states six time points but its parenthetical schedule lists only baseline, 3, 9, 12, and 36 months.</t>
        </is>
      </c>
      <c r="G20" s="16">
        <f>IF(INDEX('Decisions'!$G$2:$G$120,MATCH(C20,'Decisions'!$C$2:$C$120,0))="","",INDEX('Decisions'!$G$2:$G$120,MATCH(C20,'Decisions'!$C$2:$C$120,0)))</f>
        <v/>
      </c>
      <c r="H20" s="16">
        <f>IF(INDEX('Decisions'!$I$2:$I$120,MATCH(C20,'Decisions'!$C$2:$C$120,0))="","",INDEX('Decisions'!$I$2:$I$120,MATCH(C20,'Decisions'!$C$2:$C$120,0)))</f>
        <v/>
      </c>
      <c r="I20" s="16">
        <f>IF(INDEX('Decisions'!$O$2:$O$120,MATCH(C20,'Decisions'!$C$2:$C$120,0))="","",INDEX('Decisions'!$O$2:$O$120,MATCH(C20,'Decisions'!$C$2:$C$120,0)))</f>
        <v/>
      </c>
      <c r="J20" s="16">
        <f>IF(INDEX('Decisions'!$N$2:$N$120,MATCH(C20,'Decisions'!$C$2:$C$120,0))="","",INDEX('Decisions'!$N$2:$N$120,MATCH(C20,'Decisions'!$C$2:$C$120,0)))</f>
        <v/>
      </c>
      <c r="K20" s="16">
        <f>IF(INDEX('Decisions'!$P$2:$P$120,MATCH(C20,'Decisions'!$C$2:$C$120,0))="","",INDEX('Decisions'!$P$2:$P$120,MATCH(C20,'Decisions'!$C$2:$C$120,0)))</f>
        <v/>
      </c>
    </row>
    <row r="21" ht="100" customHeight="1" s="14">
      <c r="A21" s="17" t="n">
        <v>2018</v>
      </c>
      <c r="B21" s="17" t="inlineStr">
        <is>
          <t>jama.2018.9128</t>
        </is>
      </c>
      <c r="C21" s="17" t="inlineStr">
        <is>
          <t>2018::jama.2018.9128::C010</t>
        </is>
      </c>
      <c r="D21" s="17" t="inlineStr">
        <is>
          <t>P_P</t>
        </is>
      </c>
      <c r="E21" s="17" t="inlineStr">
        <is>
          <t>Revised protocol gives six points but lists seven including 48 months</t>
        </is>
      </c>
      <c r="F21" s="17" t="inlineStr">
        <is>
          <t>The revised protocol calls the schedule six points/T1-T6 while listing seven occasions, including 48 months.</t>
        </is>
      </c>
      <c r="G21" s="17">
        <f>IF(INDEX('Decisions'!$G$2:$G$120,MATCH(C21,'Decisions'!$C$2:$C$120,0))="","",INDEX('Decisions'!$G$2:$G$120,MATCH(C21,'Decisions'!$C$2:$C$120,0)))</f>
        <v/>
      </c>
      <c r="H21" s="17">
        <f>IF(INDEX('Decisions'!$I$2:$I$120,MATCH(C21,'Decisions'!$C$2:$C$120,0))="","",INDEX('Decisions'!$I$2:$I$120,MATCH(C21,'Decisions'!$C$2:$C$120,0)))</f>
        <v/>
      </c>
      <c r="I21" s="17">
        <f>IF(INDEX('Decisions'!$O$2:$O$120,MATCH(C21,'Decisions'!$C$2:$C$120,0))="","",INDEX('Decisions'!$O$2:$O$120,MATCH(C21,'Decisions'!$C$2:$C$120,0)))</f>
        <v/>
      </c>
      <c r="J21" s="17">
        <f>IF(INDEX('Decisions'!$N$2:$N$120,MATCH(C21,'Decisions'!$C$2:$C$120,0))="","",INDEX('Decisions'!$N$2:$N$120,MATCH(C21,'Decisions'!$C$2:$C$120,0)))</f>
        <v/>
      </c>
      <c r="K21" s="17">
        <f>IF(INDEX('Decisions'!$P$2:$P$120,MATCH(C21,'Decisions'!$C$2:$C$120,0))="","",INDEX('Decisions'!$P$2:$P$120,MATCH(C21,'Decisions'!$C$2:$C$120,0)))</f>
        <v/>
      </c>
    </row>
    <row r="22" ht="100" customHeight="1" s="14">
      <c r="A22" s="16" t="n">
        <v>2018</v>
      </c>
      <c r="B22" s="16" t="inlineStr">
        <is>
          <t>jama.2018.9128</t>
        </is>
      </c>
      <c r="C22" s="16" t="inlineStr">
        <is>
          <t>2018::jama.2018.9128::C011</t>
        </is>
      </c>
      <c r="D22" s="16" t="inlineStr">
        <is>
          <t>P_R</t>
        </is>
      </c>
      <c r="E22" s="16" t="inlineStr">
        <is>
          <t>Original protocol labels primary outcome as BMI percentile/BMI% while results use BMI kg/m²</t>
        </is>
      </c>
      <c r="F22" s="16" t="inlineStr">
        <is>
          <t>The original protocol labels the primary outcome BMI Percentile/BMI%, whereas the final SAP, article, and eTable report raw BMI in kg/m².</t>
        </is>
      </c>
      <c r="G22" s="16">
        <f>IF(INDEX('Decisions'!$G$2:$G$120,MATCH(C22,'Decisions'!$C$2:$C$120,0))="","",INDEX('Decisions'!$G$2:$G$120,MATCH(C22,'Decisions'!$C$2:$C$120,0)))</f>
        <v/>
      </c>
      <c r="H22" s="16">
        <f>IF(INDEX('Decisions'!$I$2:$I$120,MATCH(C22,'Decisions'!$C$2:$C$120,0))="","",INDEX('Decisions'!$I$2:$I$120,MATCH(C22,'Decisions'!$C$2:$C$120,0)))</f>
        <v/>
      </c>
      <c r="I22" s="16">
        <f>IF(INDEX('Decisions'!$O$2:$O$120,MATCH(C22,'Decisions'!$C$2:$C$120,0))="","",INDEX('Decisions'!$O$2:$O$120,MATCH(C22,'Decisions'!$C$2:$C$120,0)))</f>
        <v/>
      </c>
      <c r="J22" s="16">
        <f>IF(INDEX('Decisions'!$N$2:$N$120,MATCH(C22,'Decisions'!$C$2:$C$120,0))="","",INDEX('Decisions'!$N$2:$N$120,MATCH(C22,'Decisions'!$C$2:$C$120,0)))</f>
        <v/>
      </c>
      <c r="K22" s="16">
        <f>IF(INDEX('Decisions'!$P$2:$P$120,MATCH(C22,'Decisions'!$C$2:$C$120,0))="","",INDEX('Decisions'!$P$2:$P$120,MATCH(C22,'Decisions'!$C$2:$C$120,0)))</f>
        <v/>
      </c>
    </row>
    <row r="23" ht="100" customHeight="1" s="14">
      <c r="A23" s="17" t="n">
        <v>2018</v>
      </c>
      <c r="B23" s="17" t="inlineStr">
        <is>
          <t>jama.2018.9128</t>
        </is>
      </c>
      <c r="C23" s="17" t="inlineStr">
        <is>
          <t>2018::jama.2018.9128::C012</t>
        </is>
      </c>
      <c r="D23" s="17" t="inlineStr">
        <is>
          <t>P_R</t>
        </is>
      </c>
      <c r="E23" s="17" t="inlineStr">
        <is>
          <t>Control-condition session count and duration differ across protocol versions and article</t>
        </is>
      </c>
      <c r="F23" s="17" t="inlineStr">
        <is>
          <t>The supplied original protocol, revised protocol, and article describe control exposure as 12×60, 7×45, and 6×30 minutes, respectively, without a supplied component mapping.</t>
        </is>
      </c>
      <c r="G23" s="17">
        <f>IF(INDEX('Decisions'!$G$2:$G$120,MATCH(C23,'Decisions'!$C$2:$C$120,0))="","",INDEX('Decisions'!$G$2:$G$120,MATCH(C23,'Decisions'!$C$2:$C$120,0)))</f>
        <v/>
      </c>
      <c r="H23" s="17">
        <f>IF(INDEX('Decisions'!$I$2:$I$120,MATCH(C23,'Decisions'!$C$2:$C$120,0))="","",INDEX('Decisions'!$I$2:$I$120,MATCH(C23,'Decisions'!$C$2:$C$120,0)))</f>
        <v/>
      </c>
      <c r="I23" s="17">
        <f>IF(INDEX('Decisions'!$O$2:$O$120,MATCH(C23,'Decisions'!$C$2:$C$120,0))="","",INDEX('Decisions'!$O$2:$O$120,MATCH(C23,'Decisions'!$C$2:$C$120,0)))</f>
        <v/>
      </c>
      <c r="J23" s="17">
        <f>IF(INDEX('Decisions'!$N$2:$N$120,MATCH(C23,'Decisions'!$C$2:$C$120,0))="","",INDEX('Decisions'!$N$2:$N$120,MATCH(C23,'Decisions'!$C$2:$C$120,0)))</f>
        <v/>
      </c>
      <c r="K23" s="17">
        <f>IF(INDEX('Decisions'!$P$2:$P$120,MATCH(C23,'Decisions'!$C$2:$C$120,0))="","",INDEX('Decisions'!$P$2:$P$120,MATCH(C23,'Decisions'!$C$2:$C$120,0)))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120"/>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Height="1" s="14">
      <c r="A1" s="19" t="inlineStr">
        <is>
          <t>additionalSensitivityExclude</t>
        </is>
      </c>
      <c r="B1" s="19" t="inlineStr">
        <is>
          <t>ambiguity</t>
        </is>
      </c>
      <c r="C1" s="19" t="inlineStr">
        <is>
          <t>broadPlanInvolved</t>
        </is>
      </c>
      <c r="D1" s="19" t="inlineStr">
        <is>
          <t>category</t>
        </is>
      </c>
      <c r="E1" s="19" t="inlineStr">
        <is>
          <t>currentReportCrossDocument</t>
        </is>
      </c>
      <c r="F1" s="19" t="inlineStr">
        <is>
          <t>id</t>
        </is>
      </c>
      <c r="G1" s="19" t="inlineStr">
        <is>
          <t>key</t>
        </is>
      </c>
      <c r="H1" s="19" t="inlineStr">
        <is>
          <t>legacyRelationship</t>
        </is>
      </c>
      <c r="I1" s="19" t="inlineStr">
        <is>
          <t>locations</t>
        </is>
      </c>
      <c r="J1" s="19" t="inlineStr">
        <is>
          <t>originalCrossDocument</t>
        </is>
      </c>
      <c r="K1" s="19" t="inlineStr">
        <is>
          <t>package</t>
        </is>
      </c>
      <c r="L1" s="19" t="inlineStr">
        <is>
          <t>planMechanism</t>
        </is>
      </c>
      <c r="M1" s="19" t="inlineStr">
        <is>
          <t>primary</t>
        </is>
      </c>
      <c r="N1" s="19" t="inlineStr">
        <is>
          <t>rationale</t>
        </is>
      </c>
      <c r="O1" s="19" t="inlineStr">
        <is>
          <t>reportHref</t>
        </is>
      </c>
      <c r="P1" s="19" t="inlineStr">
        <is>
          <t>reportPath</t>
        </is>
      </c>
      <c r="Q1" s="19" t="inlineStr">
        <is>
          <t>sourceId</t>
        </is>
      </c>
      <c r="R1" s="19" t="inlineStr">
        <is>
          <t>sourceStatus</t>
        </is>
      </c>
      <c r="S1" s="19" t="inlineStr">
        <is>
          <t>statement</t>
        </is>
      </c>
      <c r="T1" s="19" t="inlineStr">
        <is>
          <t>submissionInvolved</t>
        </is>
      </c>
      <c r="U1" s="19" t="inlineStr">
        <is>
          <t>subtype</t>
        </is>
      </c>
      <c r="V1" s="19" t="inlineStr">
        <is>
          <t>suggestedDomain</t>
        </is>
      </c>
      <c r="W1" s="19" t="inlineStr">
        <is>
          <t>title</t>
        </is>
      </c>
      <c r="X1" s="19" t="inlineStr">
        <is>
          <t>year</t>
        </is>
      </c>
      <c r="Y1" s="19" t="inlineStr">
        <is>
          <t>ai_source</t>
        </is>
      </c>
      <c r="Z1" s="19" t="inlineStr">
        <is>
          <t>ai_relationship</t>
        </is>
      </c>
      <c r="AA1" s="19" t="inlineStr">
        <is>
          <t>ai_domain</t>
        </is>
      </c>
      <c r="AB1" s="19" t="inlineStr">
        <is>
          <t>ai_disposition</t>
        </is>
      </c>
    </row>
    <row r="2" ht="90" customHeight="1" s="14">
      <c r="A2" s="20" t="b">
        <v>0</v>
      </c>
      <c r="B2" s="20" t="n"/>
      <c r="C2" s="20" t="b">
        <v>0</v>
      </c>
      <c r="D2" s="20" t="inlineStr">
        <is>
          <t>Statistical reporting inconsistency</t>
        </is>
      </c>
      <c r="E2" s="20" t="b">
        <v>0</v>
      </c>
      <c r="F2" s="20" t="inlineStr">
        <is>
          <t>C001</t>
        </is>
      </c>
      <c r="G2" s="20" t="inlineStr">
        <is>
          <t>2018::jama.2017.21906::C001</t>
        </is>
      </c>
      <c r="H2" s="20" t="n"/>
      <c r="I2" s="20" t="inlineStr">
        <is>
          <t>Main article — PDF p. 6, Table 2 In-hospital β-blocker row and adjacent Results narrative.</t>
        </is>
      </c>
      <c r="J2" s="20" t="b">
        <v>0</v>
      </c>
      <c r="K2" s="20" t="inlineStr">
        <is>
          <t>jama.2017.21906</t>
        </is>
      </c>
      <c r="L2" s="20" t="n"/>
      <c r="M2" s="20" t="inlineStr">
        <is>
          <t>S_W</t>
        </is>
      </c>
      <c r="N2" s="20" t="inlineStr">
        <is>
          <t>The same named adjusted in-hospital beta-blocker result prints different upper risk-difference CI endpoints. The focal mismatch is within the main article.</t>
        </is>
      </c>
      <c r="O2" s="20" t="inlineStr">
        <is>
          <t>../../2018/jama.2017.21906/.ai_paper_validation/final_report_1_5_2.html</t>
        </is>
      </c>
      <c r="P2" s="20" t="inlineStr">
        <is>
          <t>2018/jama.2017.21906/.ai_paper_validation/final_report_1_5_2.md</t>
        </is>
      </c>
      <c r="Q2" s="20" t="inlineStr">
        <is>
          <t>C001</t>
        </is>
      </c>
      <c r="R2" s="20" t="inlineStr">
        <is>
          <t>Pending Human Adjudication</t>
        </is>
      </c>
      <c r="S2" s="20" t="inlineStr">
        <is>
          <t>The same named adjusted in-hospital beta-blocker result prints different upper risk-difference CI endpoints.</t>
        </is>
      </c>
      <c r="T2" s="20" t="b">
        <v>1</v>
      </c>
      <c r="U2" s="20" t="inlineStr">
        <is>
          <t>repeated_ci_endpoint</t>
        </is>
      </c>
      <c r="V2" s="20" t="inlineStr">
        <is>
          <t>statistical_results</t>
        </is>
      </c>
      <c r="W2" s="20" t="inlineStr">
        <is>
          <t>In-hospital beta-blocker adjusted-risk-difference CI endpoint differs between Table 2 and narrative</t>
        </is>
      </c>
      <c r="X2" s="20" t="inlineStr">
        <is>
          <t>2018</t>
        </is>
      </c>
      <c r="Y2" s="20" t="inlineStr">
        <is>
          <t>meta_report/consistency_reclassification_2026-09-04/reclassified_candidates.json</t>
        </is>
      </c>
      <c r="Z2" s="20" t="inlineStr">
        <is>
          <t>S_W</t>
        </is>
      </c>
      <c r="AA2" s="20" t="inlineStr">
        <is>
          <t>statistical_results</t>
        </is>
      </c>
      <c r="AB2" s="20" t="inlineStr">
        <is>
          <t>retain</t>
        </is>
      </c>
    </row>
    <row r="3" ht="90" customHeight="1" s="14">
      <c r="A3" s="24" t="b">
        <v>0</v>
      </c>
      <c r="B3" s="24" t="n"/>
      <c r="C3" s="24" t="b">
        <v>0</v>
      </c>
      <c r="D3" s="24" t="inlineStr">
        <is>
          <t>Cross-document numeric inconsistency</t>
        </is>
      </c>
      <c r="E3" s="24" t="b">
        <v>0</v>
      </c>
      <c r="F3" s="24" t="inlineStr">
        <is>
          <t>C002</t>
        </is>
      </c>
      <c r="G3" s="24" t="inlineStr">
        <is>
          <t>2018::jama.2017.21906::C002</t>
        </is>
      </c>
      <c r="H3" s="24" t="n"/>
      <c r="I3" s="24" t="inlineStr">
        <is>
          <t>Main article — PDF p. 6, Table 2 Discharge β-blocker row; Main article — PDF p. 7, Results narrative.</t>
        </is>
      </c>
      <c r="J3" s="24" t="b">
        <v>1</v>
      </c>
      <c r="K3" s="24" t="inlineStr">
        <is>
          <t>jama.2017.21906</t>
        </is>
      </c>
      <c r="L3" s="24" t="n"/>
      <c r="M3" s="24" t="inlineStr">
        <is>
          <t>S_W</t>
        </is>
      </c>
      <c r="N3" s="24" t="inlineStr">
        <is>
          <t>Table 2 and Results narrative in the same main PDF report discharge beta-blocker RD 6.69 versus 6.63 and OR 1.48 versus 1.47 with identical intervals. Despite its original cross-document category, both discrepant occurrences are within the main article.</t>
        </is>
      </c>
      <c r="O3" s="24" t="inlineStr">
        <is>
          <t>../../2018/jama.2017.21906/.ai_paper_validation/final_report_1_5_2.html</t>
        </is>
      </c>
      <c r="P3" s="24" t="inlineStr">
        <is>
          <t>2018/jama.2017.21906/.ai_paper_validation/final_report_1_5_2.md</t>
        </is>
      </c>
      <c r="Q3" s="24" t="inlineStr">
        <is>
          <t>C002</t>
        </is>
      </c>
      <c r="R3" s="24" t="inlineStr">
        <is>
          <t>Pending Human Adjudication</t>
        </is>
      </c>
      <c r="S3" s="24" t="inlineStr">
        <is>
          <t>Table 2 and the narrative print different adjusted discharge beta-blocker risk differences and ORs while printing identical intervals.</t>
        </is>
      </c>
      <c r="T3" s="24" t="b">
        <v>1</v>
      </c>
      <c r="U3" s="24" t="inlineStr">
        <is>
          <t>repeated_effect_estimate</t>
        </is>
      </c>
      <c r="V3" s="24" t="inlineStr">
        <is>
          <t>report_internal_inconsistency</t>
        </is>
      </c>
      <c r="W3" s="24" t="inlineStr">
        <is>
          <t>Discharge beta-blocker adjusted point estimates differ between Table 2 and narrative</t>
        </is>
      </c>
      <c r="X3" s="24" t="inlineStr">
        <is>
          <t>2018</t>
        </is>
      </c>
      <c r="Y3" s="24" t="inlineStr">
        <is>
          <t>meta_report/consistency_reclassification_2026-09-04/reclassified_candidates.json</t>
        </is>
      </c>
      <c r="Z3" s="24" t="inlineStr">
        <is>
          <t>S_W</t>
        </is>
      </c>
      <c r="AA3" s="24" t="inlineStr">
        <is>
          <t>report_internal_inconsistency</t>
        </is>
      </c>
      <c r="AB3" s="24" t="inlineStr">
        <is>
          <t>retain</t>
        </is>
      </c>
    </row>
    <row r="4" ht="90" customHeight="1" s="14">
      <c r="A4" s="20" t="b">
        <v>0</v>
      </c>
      <c r="B4" s="20" t="n"/>
      <c r="C4" s="20" t="b">
        <v>0</v>
      </c>
      <c r="D4" s="20" t="inlineStr">
        <is>
          <t>Measure, label, or scale inconsistency</t>
        </is>
      </c>
      <c r="E4" s="20" t="b">
        <v>0</v>
      </c>
      <c r="F4" s="20" t="inlineStr">
        <is>
          <t>C003</t>
        </is>
      </c>
      <c r="G4" s="20" t="inlineStr">
        <is>
          <t>2018::jama.2017.21906::C003</t>
        </is>
      </c>
      <c r="H4" s="20" t="n"/>
      <c r="I4" s="20" t="inlineStr">
        <is>
          <t>Online supplement — PDF p. 17, eTable 1 title, headers, values, and footnote a.</t>
        </is>
      </c>
      <c r="J4" s="20" t="b">
        <v>0</v>
      </c>
      <c r="K4" s="20" t="inlineStr">
        <is>
          <t>jama.2017.21906</t>
        </is>
      </c>
      <c r="L4" s="20" t="n"/>
      <c r="M4" s="20" t="inlineStr">
        <is>
          <t>S_W</t>
        </is>
      </c>
      <c r="N4" s="20" t="inlineStr">
        <is>
          <t>eTable 1 displays complete- and missing-follow-up groups, but its difference footnote defines an intervention-minus-control contrast. The focal mismatch is within one non-plan results supplement.</t>
        </is>
      </c>
      <c r="O4" s="20" t="inlineStr">
        <is>
          <t>../../2018/jama.2017.21906/.ai_paper_validation/final_report_1_5_2.html</t>
        </is>
      </c>
      <c r="P4" s="20" t="inlineStr">
        <is>
          <t>2018/jama.2017.21906/.ai_paper_validation/final_report_1_5_2.md</t>
        </is>
      </c>
      <c r="Q4" s="20" t="inlineStr">
        <is>
          <t>C003</t>
        </is>
      </c>
      <c r="R4" s="20" t="inlineStr">
        <is>
          <t>Pending Human Adjudication</t>
        </is>
      </c>
      <c r="S4" s="20" t="inlineStr">
        <is>
          <t>eTable 1 displays complete- and missing-follow-up groups, but its difference footnote defines an intervention-minus-control contrast.</t>
        </is>
      </c>
      <c r="T4" s="20" t="b">
        <v>1</v>
      </c>
      <c r="U4" s="20" t="inlineStr">
        <is>
          <t>comparator_label</t>
        </is>
      </c>
      <c r="V4" s="20" t="inlineStr">
        <is>
          <t>report_internal_inconsistency</t>
        </is>
      </c>
      <c r="W4" s="20" t="inlineStr">
        <is>
          <t>eTable 1 difference footnote names groups not displayed in the table</t>
        </is>
      </c>
      <c r="X4" s="20" t="inlineStr">
        <is>
          <t>2018</t>
        </is>
      </c>
      <c r="Y4" s="20" t="inlineStr">
        <is>
          <t>meta_report/consistency_reclassification_2026-09-04/reclassified_candidates.json</t>
        </is>
      </c>
      <c r="Z4" s="20" t="inlineStr">
        <is>
          <t>S_W</t>
        </is>
      </c>
      <c r="AA4" s="20" t="inlineStr">
        <is>
          <t>report_internal_inconsistency</t>
        </is>
      </c>
      <c r="AB4" s="20" t="inlineStr">
        <is>
          <t>retain</t>
        </is>
      </c>
    </row>
    <row r="5" ht="90" customHeight="1" s="14">
      <c r="A5" s="24" t="b">
        <v>0</v>
      </c>
      <c r="B5" s="24" t="inlineStr">
        <is>
          <t>A later or separate prespecification could authorize the published cutpoints; no such dated record is supplied. The SAP age-65 gap is contextual, not a separate counted relationship.</t>
        </is>
      </c>
      <c r="C5" s="24" t="b">
        <v>1</v>
      </c>
      <c r="D5" s="24" t="inlineStr">
        <is>
          <t>Cross-document numeric inconsistency</t>
        </is>
      </c>
      <c r="E5" s="24" t="b">
        <v>1</v>
      </c>
      <c r="F5" s="24" t="inlineStr">
        <is>
          <t>C004</t>
        </is>
      </c>
      <c r="G5" s="24" t="inlineStr">
        <is>
          <t>2018::jama.2017.21906::C004</t>
        </is>
      </c>
      <c r="H5" s="24" t="n"/>
      <c r="I5" s="24" t="inlineStr">
        <is>
          <t>SAP — PDF p. 7, section 7.5.2; main article — PDF p. 3, Statistical Analysis; main article — PDF p. 9, Figure 3 and adjacent Results narrative.</t>
        </is>
      </c>
      <c r="J5" s="24" t="b">
        <v>1</v>
      </c>
      <c r="K5" s="24" t="inlineStr">
        <is>
          <t>jama.2017.21906</t>
        </is>
      </c>
      <c r="L5" s="24" t="inlineStr">
        <is>
          <t>analysis_specification</t>
        </is>
      </c>
      <c r="M5" s="24" t="inlineStr">
        <is>
          <t>P_R</t>
        </is>
      </c>
      <c r="N5" s="24" t="inlineStr">
        <is>
          <t>The main article calls age strata &lt;50, 50-69, and &gt;=70 prespecified, whereas the supplied SAP specifies two groups split at 65; this is a reported-versus-prespecified subgroup definition discrepancy.</t>
        </is>
      </c>
      <c r="O5" s="24" t="inlineStr">
        <is>
          <t>../../2018/jama.2017.21906/.ai_paper_validation/final_report_1_5_2.html</t>
        </is>
      </c>
      <c r="P5" s="24" t="inlineStr">
        <is>
          <t>2018/jama.2017.21906/.ai_paper_validation/final_report_1_5_2.md</t>
        </is>
      </c>
      <c r="Q5" s="24" t="inlineStr">
        <is>
          <t>C004</t>
        </is>
      </c>
      <c r="R5" s="24" t="inlineStr">
        <is>
          <t>Pending Human Adjudication</t>
        </is>
      </c>
      <c r="S5" s="24" t="inlineStr">
        <is>
          <t>The article calls its Figure 3 age subgroups prespecified, but their numeric boundaries differ from the supplied SAP.</t>
        </is>
      </c>
      <c r="T5" s="24" t="b">
        <v>0</v>
      </c>
      <c r="U5" s="24" t="inlineStr">
        <is>
          <t>subgroup_cutpoint_prespecification</t>
        </is>
      </c>
      <c r="V5" s="24" t="inlineStr">
        <is>
          <t>protocol_report</t>
        </is>
      </c>
      <c r="W5" s="24" t="inlineStr">
        <is>
          <t>Reported prespecified age-subgroup boundaries differ from the supplied SAP</t>
        </is>
      </c>
      <c r="X5" s="24" t="inlineStr">
        <is>
          <t>2018</t>
        </is>
      </c>
      <c r="Y5" s="24" t="inlineStr">
        <is>
          <t>meta_report/consistency_reclassification_2026-09-04/reclassified_candidates.json</t>
        </is>
      </c>
      <c r="Z5" s="24" t="inlineStr">
        <is>
          <t>P_R</t>
        </is>
      </c>
      <c r="AA5" s="24" t="inlineStr">
        <is>
          <t>protocol_report</t>
        </is>
      </c>
      <c r="AB5" s="24" t="inlineStr">
        <is>
          <t>retain</t>
        </is>
      </c>
    </row>
    <row r="6" ht="90" customHeight="1" s="14">
      <c r="A6" s="20" t="b">
        <v>0</v>
      </c>
      <c r="B6" s="20" t="inlineStr">
        <is>
          <t>Mixed cross-file and within-supplement relationship. Heparin may exhaust the operative anticoagulant class; operational equivalence is unknown.</t>
        </is>
      </c>
      <c r="C6" s="20" t="b">
        <v>0</v>
      </c>
      <c r="D6" s="20" t="inlineStr">
        <is>
          <t>Measure, label, or scale inconsistency</t>
        </is>
      </c>
      <c r="E6" s="20" t="b">
        <v>1</v>
      </c>
      <c r="F6" s="20" t="inlineStr">
        <is>
          <t>C005</t>
        </is>
      </c>
      <c r="G6" s="20" t="inlineStr">
        <is>
          <t>2018::jama.2017.21906::C005</t>
        </is>
      </c>
      <c r="H6" s="20" t="n"/>
      <c r="I6" s="20" t="inlineStr">
        <is>
          <t>Main article — PDF p. 3, Outcomes; main article — PDF p. 7, Table 3 footnote c; online supplement — PDF p. 21, eTable 5 footnote c; online supplement — PDF p. 22, eTable 6 footnote b.</t>
        </is>
      </c>
      <c r="J6" s="20" t="b">
        <v>0</v>
      </c>
      <c r="K6" s="20" t="inlineStr">
        <is>
          <t>jama.2017.21906</t>
        </is>
      </c>
      <c r="L6" s="20" t="n"/>
      <c r="M6" s="20" t="inlineStr">
        <is>
          <t>S_C</t>
        </is>
      </c>
      <c r="N6" s="20" t="inlineStr">
        <is>
          <t>The main article and results-supplement eTable 5 define the medication composite using anticoagulant; eTable 6 in the same results supplement says heparin. The cross-file component mismatch and the eTable 5/eTable 6 within-file mismatch are both substantive.</t>
        </is>
      </c>
      <c r="O6" s="20" t="inlineStr">
        <is>
          <t>../../2018/jama.2017.21906/.ai_paper_validation/final_report_1_5_2.html</t>
        </is>
      </c>
      <c r="P6" s="20" t="inlineStr">
        <is>
          <t>2018/jama.2017.21906/.ai_paper_validation/final_report_1_5_2.md</t>
        </is>
      </c>
      <c r="Q6" s="20" t="inlineStr">
        <is>
          <t>C005</t>
        </is>
      </c>
      <c r="R6" s="20" t="inlineStr">
        <is>
          <t>Pending Human Adjudication</t>
        </is>
      </c>
      <c r="S6" s="20" t="inlineStr">
        <is>
          <t>The same named optimal in-hospital medication composite is defined with anticoagulant in the article/eTable 5 and heparin in eTable 6.</t>
        </is>
      </c>
      <c r="T6" s="20" t="b">
        <v>1</v>
      </c>
      <c r="U6" s="20" t="inlineStr">
        <is>
          <t>composite_component_definition</t>
        </is>
      </c>
      <c r="V6" s="20" t="inlineStr">
        <is>
          <t>report_internal_inconsistency</t>
        </is>
      </c>
      <c r="W6" s="20" t="inlineStr">
        <is>
          <t>The named optimal in-hospital medication composite uses different component labels across final-result tables</t>
        </is>
      </c>
      <c r="X6" s="20" t="inlineStr">
        <is>
          <t>2018</t>
        </is>
      </c>
      <c r="Y6" s="20" t="inlineStr">
        <is>
          <t>meta_report/consistency_reclassification_2026-09-04/reclassified_candidates.json</t>
        </is>
      </c>
      <c r="Z6" s="20" t="inlineStr">
        <is>
          <t>S_C</t>
        </is>
      </c>
      <c r="AA6" s="20" t="inlineStr">
        <is>
          <t>report_internal_inconsistency</t>
        </is>
      </c>
      <c r="AB6" s="20" t="inlineStr">
        <is>
          <t>retain</t>
        </is>
      </c>
    </row>
    <row r="7" ht="90" customHeight="1" s="14">
      <c r="A7" s="24" t="b">
        <v>0</v>
      </c>
      <c r="B7" s="24" t="inlineStr">
        <is>
          <t>An amended or separate plan may account for hospital type; the record establishes differing lists rather than intentional substitution.</t>
        </is>
      </c>
      <c r="C7" s="24" t="b">
        <v>1</v>
      </c>
      <c r="D7" s="24" t="inlineStr">
        <is>
          <t>Cross-document numeric inconsistency</t>
        </is>
      </c>
      <c r="E7" s="24" t="b">
        <v>1</v>
      </c>
      <c r="F7" s="24" t="inlineStr">
        <is>
          <t>C006</t>
        </is>
      </c>
      <c r="G7" s="24" t="inlineStr">
        <is>
          <t>2018::jama.2017.21906::C006</t>
        </is>
      </c>
      <c r="H7" s="24" t="n"/>
      <c r="I7" s="24" t="inlineStr">
        <is>
          <t>Main article — PDF p. 3, Statistical Analysis; main article — PDF p. 9, Figure 3 and adjacent Results narrative; SAP — PDF p. 7, section 7.5.2.</t>
        </is>
      </c>
      <c r="J7" s="24" t="b">
        <v>1</v>
      </c>
      <c r="K7" s="24" t="inlineStr">
        <is>
          <t>jama.2017.21906</t>
        </is>
      </c>
      <c r="L7" s="24" t="inlineStr">
        <is>
          <t>analysis_specification</t>
        </is>
      </c>
      <c r="M7" s="24" t="inlineStr">
        <is>
          <t>P_R</t>
        </is>
      </c>
      <c r="N7" s="24" t="inlineStr">
        <is>
          <t>Hospital type (government/nonprofit/private) is presented as prespecified in the main Figure 3 but absent from the supplied SAP site-level subgroup list. This compares reported prespecification with the plan, not main versus ordinary supplementary results.</t>
        </is>
      </c>
      <c r="O7" s="24" t="inlineStr">
        <is>
          <t>../../2018/jama.2017.21906/.ai_paper_validation/final_report_1_5_2.html</t>
        </is>
      </c>
      <c r="P7" s="24" t="inlineStr">
        <is>
          <t>2018/jama.2017.21906/.ai_paper_validation/final_report_1_5_2.md</t>
        </is>
      </c>
      <c r="Q7" s="24" t="inlineStr">
        <is>
          <t>C006</t>
        </is>
      </c>
      <c r="R7" s="24" t="inlineStr">
        <is>
          <t>Pending Human Adjudication</t>
        </is>
      </c>
      <c r="S7" s="24" t="inlineStr">
        <is>
          <t>The article calls the hospital-type Figure 3 subgroup prespecified, while the supplied SAP's a priori site-level subgroup list does not name hospital type.</t>
        </is>
      </c>
      <c r="T7" s="24" t="b">
        <v>0</v>
      </c>
      <c r="U7" s="24" t="inlineStr">
        <is>
          <t>subgroup_prespecification</t>
        </is>
      </c>
      <c r="V7" s="24" t="inlineStr">
        <is>
          <t>protocol_report</t>
        </is>
      </c>
      <c r="W7" s="24" t="inlineStr">
        <is>
          <t>Hospital-type subgroup is reported as prespecified but is absent from the supplied SAP subgroup list</t>
        </is>
      </c>
      <c r="X7" s="24" t="inlineStr">
        <is>
          <t>2018</t>
        </is>
      </c>
      <c r="Y7" s="24" t="inlineStr">
        <is>
          <t>meta_report/consistency_reclassification_2026-09-04/reclassified_candidates.json</t>
        </is>
      </c>
      <c r="Z7" s="24" t="inlineStr">
        <is>
          <t>P_R</t>
        </is>
      </c>
      <c r="AA7" s="24" t="inlineStr">
        <is>
          <t>protocol_report</t>
        </is>
      </c>
      <c r="AB7" s="24" t="inlineStr">
        <is>
          <t>retain</t>
        </is>
      </c>
    </row>
    <row r="8" ht="90" customHeight="1" s="14">
      <c r="A8" s="20" t="b">
        <v>0</v>
      </c>
      <c r="B8" s="20" t="n"/>
      <c r="C8" s="20" t="b">
        <v>0</v>
      </c>
      <c r="D8" s="20" t="inlineStr">
        <is>
          <t>Statistical reporting inconsistency</t>
        </is>
      </c>
      <c r="E8" s="20" t="b">
        <v>0</v>
      </c>
      <c r="F8" s="20" t="inlineStr">
        <is>
          <t>C001</t>
        </is>
      </c>
      <c r="G8" s="20" t="inlineStr">
        <is>
          <t>2018::jama.2018.0156::C001</t>
        </is>
      </c>
      <c r="H8" s="20" t="n"/>
      <c r="I8" s="20" t="inlineStr">
        <is>
          <t>jama_jabre_2018_oi_180004.pdf — PDF p. 3 (rule); jama_jabre_2018_oi_180004.pdf — PDF p. 4 (result/narrative).</t>
        </is>
      </c>
      <c r="J8" s="20" t="b">
        <v>0</v>
      </c>
      <c r="K8" s="20" t="inlineStr">
        <is>
          <t>jama.2018.0156</t>
        </is>
      </c>
      <c r="L8" s="20" t="n"/>
      <c r="M8" s="20" t="inlineStr">
        <is>
          <t>S_W</t>
        </is>
      </c>
      <c r="N8" s="20" t="inlineStr">
        <is>
          <t>The narrative calls a lower CI limit greater than the threshold although the displayed lower limit is below it; the printed conclusion remains compatible with the displayed values. The focal mismatch is within the main article.</t>
        </is>
      </c>
      <c r="O8" s="20" t="inlineStr">
        <is>
          <t>../../2018/jama.2018.0156/.ai_paper_validation/final_report_1_5_2.html</t>
        </is>
      </c>
      <c r="P8" s="20" t="inlineStr">
        <is>
          <t>2018/jama.2018.0156/.ai_paper_validation/final_report_1_5_2.md</t>
        </is>
      </c>
      <c r="Q8" s="20" t="inlineStr">
        <is>
          <t>C001</t>
        </is>
      </c>
      <c r="R8" s="20" t="inlineStr">
        <is>
          <t>Pending Human Adjudication</t>
        </is>
      </c>
      <c r="S8" s="20" t="inlineStr">
        <is>
          <t>The narrative calls a lower CI limit greater than the threshold although the displayed lower limit is below it; the printed conclusion remains compatible with the displayed values.</t>
        </is>
      </c>
      <c r="T8" s="20" t="b">
        <v>1</v>
      </c>
      <c r="U8" s="20" t="inlineStr">
        <is>
          <t>noninferiority_direction_word</t>
        </is>
      </c>
      <c r="V8" s="20" t="inlineStr">
        <is>
          <t>statistical_results</t>
        </is>
      </c>
      <c r="W8" s="20" t="inlineStr">
        <is>
          <t>Noninferiority narrative reverses the displayed bound direction</t>
        </is>
      </c>
      <c r="X8" s="20" t="inlineStr">
        <is>
          <t>2018</t>
        </is>
      </c>
      <c r="Y8" s="20" t="inlineStr">
        <is>
          <t>meta_report/consistency_reclassification_2026-09-04/reclassified_candidates.json</t>
        </is>
      </c>
      <c r="Z8" s="20" t="inlineStr">
        <is>
          <t>S_W</t>
        </is>
      </c>
      <c r="AA8" s="20" t="inlineStr">
        <is>
          <t>statistical_results</t>
        </is>
      </c>
      <c r="AB8" s="20" t="inlineStr">
        <is>
          <t>retain</t>
        </is>
      </c>
    </row>
    <row r="9" ht="90" customHeight="1" s="14">
      <c r="A9" s="24" t="b">
        <v>0</v>
      </c>
      <c r="B9" s="24" t="n"/>
      <c r="C9" s="24" t="b">
        <v>0</v>
      </c>
      <c r="D9" s="24" t="inlineStr">
        <is>
          <t>Measure, label, or scale inconsistency</t>
        </is>
      </c>
      <c r="E9" s="24" t="b">
        <v>0</v>
      </c>
      <c r="F9" s="24" t="inlineStr">
        <is>
          <t>C002</t>
        </is>
      </c>
      <c r="G9" s="24" t="inlineStr">
        <is>
          <t>2018::jama.2018.0156::C002</t>
        </is>
      </c>
      <c r="H9" s="24" t="n"/>
      <c r="I9" s="24" t="inlineStr">
        <is>
          <t>jama_jabre_2018_oi_180004.pdf — PDF p. 3 (definition); jama_jabre_2018_oi_180004.pdf — PDF p. 4 (contrast).</t>
        </is>
      </c>
      <c r="J9" s="24" t="b">
        <v>0</v>
      </c>
      <c r="K9" s="24" t="inlineStr">
        <is>
          <t>jama.2018.0156</t>
        </is>
      </c>
      <c r="L9" s="24" t="n"/>
      <c r="M9" s="24" t="inlineStr">
        <is>
          <t>S_W</t>
        </is>
      </c>
      <c r="N9" s="24" t="inlineStr">
        <is>
          <t>A contrast for the number of qualifying pauses is labelled in seconds. The focal mismatch is within the main article.</t>
        </is>
      </c>
      <c r="O9" s="24" t="inlineStr">
        <is>
          <t>../../2018/jama.2018.0156/.ai_paper_validation/final_report_1_5_2.html</t>
        </is>
      </c>
      <c r="P9" s="24" t="inlineStr">
        <is>
          <t>2018/jama.2018.0156/.ai_paper_validation/final_report_1_5_2.md</t>
        </is>
      </c>
      <c r="Q9" s="24" t="inlineStr">
        <is>
          <t>C002</t>
        </is>
      </c>
      <c r="R9" s="24" t="inlineStr">
        <is>
          <t>Pending Human Adjudication</t>
        </is>
      </c>
      <c r="S9" s="24" t="inlineStr">
        <is>
          <t>A contrast for the number of qualifying pauses is labelled in seconds.</t>
        </is>
      </c>
      <c r="T9" s="24" t="b">
        <v>1</v>
      </c>
      <c r="U9" s="24" t="inlineStr">
        <is>
          <t>count_vs_duration_unit</t>
        </is>
      </c>
      <c r="V9" s="24" t="inlineStr">
        <is>
          <t>report_internal_inconsistency</t>
        </is>
      </c>
      <c r="W9" s="24" t="inlineStr">
        <is>
          <t>Centre-5 pause contrast mixes a count outcome with seconds</t>
        </is>
      </c>
      <c r="X9" s="24" t="inlineStr">
        <is>
          <t>2018</t>
        </is>
      </c>
      <c r="Y9" s="24" t="inlineStr">
        <is>
          <t>meta_report/consistency_reclassification_2026-09-04/reclassified_candidates.json</t>
        </is>
      </c>
      <c r="Z9" s="24" t="inlineStr">
        <is>
          <t>S_W</t>
        </is>
      </c>
      <c r="AA9" s="24" t="inlineStr">
        <is>
          <t>report_internal_inconsistency</t>
        </is>
      </c>
      <c r="AB9" s="24" t="inlineStr">
        <is>
          <t>retain</t>
        </is>
      </c>
    </row>
    <row r="10" ht="90" customHeight="1" s="14">
      <c r="A10" s="20" t="b">
        <v>0</v>
      </c>
      <c r="B10" s="20" t="inlineStr">
        <is>
          <t>The SAP explicitly rounds categorical percentages, not separately differences; an unreported estimator/denominator may explain the displayed 0.1.</t>
        </is>
      </c>
      <c r="C10" s="20" t="b">
        <v>0</v>
      </c>
      <c r="D10" s="20" t="inlineStr">
        <is>
          <t>Numeric or arithmetic inconsistency</t>
        </is>
      </c>
      <c r="E10" s="20" t="b">
        <v>0</v>
      </c>
      <c r="F10" s="20" t="inlineStr">
        <is>
          <t>C003</t>
        </is>
      </c>
      <c r="G10" s="20" t="inlineStr">
        <is>
          <t>2018::jama.2018.0156::C003</t>
        </is>
      </c>
      <c r="H10" s="20" t="n"/>
      <c r="I10" s="20" t="inlineStr">
        <is>
          <t>jama_jabre_2018_oi_180004.pdf — PDF p. 6 (Table 2); joi180004supp1_prod.pdf — PDF p. 123 (rounding rule).</t>
        </is>
      </c>
      <c r="J10" s="20" t="b">
        <v>0</v>
      </c>
      <c r="K10" s="20" t="inlineStr">
        <is>
          <t>jama.2018.0156</t>
        </is>
      </c>
      <c r="L10" s="20" t="n"/>
      <c r="M10" s="20" t="inlineStr">
        <is>
          <t>S_W</t>
        </is>
      </c>
      <c r="N10" s="20" t="inlineStr">
        <is>
          <t>The main Table 2 PP-survival difference 0.1 does not round from its displayed 54/995 and 51/943 inputs, which yield 0.0189 percentage points. The SAP rounding sentence is a supporting convention, not a separate reported-versus-plan discrepancy.</t>
        </is>
      </c>
      <c r="O10" s="20" t="inlineStr">
        <is>
          <t>../../2018/jama.2018.0156/.ai_paper_validation/final_report_1_5_2.html</t>
        </is>
      </c>
      <c r="P10" s="20" t="inlineStr">
        <is>
          <t>2018/jama.2018.0156/.ai_paper_validation/final_report_1_5_2.md</t>
        </is>
      </c>
      <c r="Q10" s="20" t="inlineStr">
        <is>
          <t>C003</t>
        </is>
      </c>
      <c r="R10" s="20" t="inlineStr">
        <is>
          <t>Pending Human Adjudication</t>
        </is>
      </c>
      <c r="S10" s="20" t="inlineStr">
        <is>
          <t>The PP survival difference 0.1 percentage points does not ordinarily round from the displayed counts and denominators.</t>
        </is>
      </c>
      <c r="T10" s="20" t="b">
        <v>1</v>
      </c>
      <c r="U10" s="20" t="inlineStr">
        <is>
          <t>risk_difference_arithmetic</t>
        </is>
      </c>
      <c r="V10" s="20" t="inlineStr">
        <is>
          <t>statistical_results</t>
        </is>
      </c>
      <c r="W10" s="20" t="inlineStr">
        <is>
          <t>PP day-28 survival point difference does not round from the printed inputs</t>
        </is>
      </c>
      <c r="X10" s="20" t="inlineStr">
        <is>
          <t>2018</t>
        </is>
      </c>
      <c r="Y10" s="20" t="inlineStr">
        <is>
          <t>meta_report/consistency_reclassification_2026-09-04/reclassified_candidates.json</t>
        </is>
      </c>
      <c r="Z10" s="20" t="inlineStr">
        <is>
          <t>S_W</t>
        </is>
      </c>
      <c r="AA10" s="20" t="inlineStr">
        <is>
          <t>statistical_results</t>
        </is>
      </c>
      <c r="AB10" s="20" t="inlineStr">
        <is>
          <t>retain</t>
        </is>
      </c>
    </row>
    <row r="11" ht="90" customHeight="1" s="14">
      <c r="A11" s="24" t="b">
        <v>0</v>
      </c>
      <c r="B11" s="24" t="inlineStr">
        <is>
          <t>The diagnostic Wald interval is not an authoritative replacement; exact source CI construction is absent. Distinct from C003 point-estimate arithmetic although the same row is involved.</t>
        </is>
      </c>
      <c r="C11" s="24" t="b">
        <v>0</v>
      </c>
      <c r="D11" s="24" t="inlineStr">
        <is>
          <t>Statistical reporting inconsistency</t>
        </is>
      </c>
      <c r="E11" s="24" t="b">
        <v>0</v>
      </c>
      <c r="F11" s="24" t="inlineStr">
        <is>
          <t>C004</t>
        </is>
      </c>
      <c r="G11" s="24" t="inlineStr">
        <is>
          <t>2018::jama.2018.0156::C004</t>
        </is>
      </c>
      <c r="H11" s="24" t="n"/>
      <c r="I11" s="24" t="inlineStr">
        <is>
          <t>jama_jabre_2018_oi_180004.pdf — PDF p. 3 (rule); PDF p. 6 (Table 2); joi180004supp1_prod.pdf — PDF p. 124 (CI rule).</t>
        </is>
      </c>
      <c r="J11" s="24" t="b">
        <v>0</v>
      </c>
      <c r="K11" s="24" t="inlineStr">
        <is>
          <t>jama.2018.0156</t>
        </is>
      </c>
      <c r="L11" s="24" t="n"/>
      <c r="M11" s="24" t="inlineStr">
        <is>
          <t>S_W</t>
        </is>
      </c>
      <c r="N11" s="24" t="inlineStr">
        <is>
          <t>The main Table 2 interval -10 to 9.7 has unresolved scale/precision relative to the same row counts, effect scale, and P=.99. SAP CI wording corroborates the general method and does not itself conflict with reported analysis.</t>
        </is>
      </c>
      <c r="O11" s="24" t="inlineStr">
        <is>
          <t>../../2018/jama.2018.0156/.ai_paper_validation/final_report_1_5_2.html</t>
        </is>
      </c>
      <c r="P11" s="24" t="inlineStr">
        <is>
          <t>2018/jama.2018.0156/.ai_paper_validation/final_report_1_5_2.md</t>
        </is>
      </c>
      <c r="Q11" s="24" t="inlineStr">
        <is>
          <t>C004</t>
        </is>
      </c>
      <c r="R11" s="24" t="inlineStr">
        <is>
          <t>Pending Human Adjudication</t>
        </is>
      </c>
      <c r="S11" s="24" t="inlineStr">
        <is>
          <t>The PP survival interval in a percentage-point column has a scale/precision appearance unresolved by supplied row-level methods or inputs.</t>
        </is>
      </c>
      <c r="T11" s="24" t="b">
        <v>1</v>
      </c>
      <c r="U11" s="24" t="inlineStr">
        <is>
          <t>ci_scale_precision</t>
        </is>
      </c>
      <c r="V11" s="24" t="inlineStr">
        <is>
          <t>statistical_results</t>
        </is>
      </c>
      <c r="W11" s="24" t="inlineStr">
        <is>
          <t>PP day-28 survival confidence interval has an unresolved scale/precision inconsistency</t>
        </is>
      </c>
      <c r="X11" s="24" t="inlineStr">
        <is>
          <t>2018</t>
        </is>
      </c>
      <c r="Y11" s="24" t="inlineStr">
        <is>
          <t>meta_report/consistency_reclassification_2026-09-04/reclassified_candidates.json</t>
        </is>
      </c>
      <c r="Z11" s="24" t="inlineStr">
        <is>
          <t>S_W</t>
        </is>
      </c>
      <c r="AA11" s="24" t="inlineStr">
        <is>
          <t>statistical_results</t>
        </is>
      </c>
      <c r="AB11" s="24" t="inlineStr">
        <is>
          <t>retain</t>
        </is>
      </c>
    </row>
    <row r="12" ht="90" customHeight="1" s="14">
      <c r="A12" s="20" t="b">
        <v>0</v>
      </c>
      <c r="B12" s="20" t="n"/>
      <c r="C12" s="20" t="b">
        <v>0</v>
      </c>
      <c r="D12" s="20" t="inlineStr">
        <is>
          <t>Denominator, proportion, or total inconsistency</t>
        </is>
      </c>
      <c r="E12" s="20" t="b">
        <v>0</v>
      </c>
      <c r="F12" s="20" t="inlineStr">
        <is>
          <t>C005</t>
        </is>
      </c>
      <c r="G12" s="20" t="inlineStr">
        <is>
          <t>2018::jama.2018.0156::C005</t>
        </is>
      </c>
      <c r="H12" s="20" t="n"/>
      <c r="I12" s="20" t="inlineStr">
        <is>
          <t>jama_jabre_2018_oi_180004.pdf — PDF p. 6 (Table 2 PP ROSC row).</t>
        </is>
      </c>
      <c r="J12" s="20" t="b">
        <v>0</v>
      </c>
      <c r="K12" s="20" t="inlineStr">
        <is>
          <t>jama.2018.0156</t>
        </is>
      </c>
      <c r="L12" s="20" t="n"/>
      <c r="M12" s="20" t="inlineStr">
        <is>
          <t>S_W</t>
        </is>
      </c>
      <c r="N12" s="20" t="inlineStr">
        <is>
          <t>The ETI PP ROSC percentage conflicts with its numerator/denominator and signed BMV-minus-ETI contrast. The focal mismatch is within the main article.</t>
        </is>
      </c>
      <c r="O12" s="20" t="inlineStr">
        <is>
          <t>../../2018/jama.2018.0156/.ai_paper_validation/final_report_1_5_2.html</t>
        </is>
      </c>
      <c r="P12" s="20" t="inlineStr">
        <is>
          <t>2018/jama.2018.0156/.ai_paper_validation/final_report_1_5_2.md</t>
        </is>
      </c>
      <c r="Q12" s="20" t="inlineStr">
        <is>
          <t>C005</t>
        </is>
      </c>
      <c r="R12" s="20" t="inlineStr">
        <is>
          <t>Pending Human Adjudication</t>
        </is>
      </c>
      <c r="S12" s="20" t="inlineStr">
        <is>
          <t>The ETI PP ROSC percentage conflicts with its numerator/denominator and signed BMV-minus-ETI contrast.</t>
        </is>
      </c>
      <c r="T12" s="20" t="b">
        <v>1</v>
      </c>
      <c r="U12" s="20" t="inlineStr">
        <is>
          <t>proportion_and_contrast_direction</t>
        </is>
      </c>
      <c r="V12" s="20" t="inlineStr">
        <is>
          <t>statistical_results</t>
        </is>
      </c>
      <c r="W12" s="20" t="inlineStr">
        <is>
          <t>PP ROSC ETI percentage conflicts with its count, denominator, and signed difference</t>
        </is>
      </c>
      <c r="X12" s="20" t="inlineStr">
        <is>
          <t>2018</t>
        </is>
      </c>
      <c r="Y12" s="20" t="inlineStr">
        <is>
          <t>meta_report/consistency_reclassification_2026-09-04/reclassified_candidates.json</t>
        </is>
      </c>
      <c r="Z12" s="20" t="inlineStr">
        <is>
          <t>S_W</t>
        </is>
      </c>
      <c r="AA12" s="20" t="inlineStr">
        <is>
          <t>statistical_results</t>
        </is>
      </c>
      <c r="AB12" s="20" t="inlineStr">
        <is>
          <t>retain</t>
        </is>
      </c>
    </row>
    <row r="13" ht="90" customHeight="1" s="14">
      <c r="A13" s="24" t="b">
        <v>0</v>
      </c>
      <c r="B13" s="24" t="inlineStr">
        <is>
          <t>Twenty EMS centres versus 21 investigator-centre rows may reflect different counting units; no centre-to-investigator crosswalk is supplied.</t>
        </is>
      </c>
      <c r="C13" s="24" t="b">
        <v>0</v>
      </c>
      <c r="D13" s="24" t="inlineStr">
        <is>
          <t>Cross-document numeric inconsistency</t>
        </is>
      </c>
      <c r="E13" s="24" t="b">
        <v>1</v>
      </c>
      <c r="F13" s="24" t="inlineStr">
        <is>
          <t>C006</t>
        </is>
      </c>
      <c r="G13" s="24" t="inlineStr">
        <is>
          <t>2018::jama.2018.0156::C006</t>
        </is>
      </c>
      <c r="H13" s="24" t="n"/>
      <c r="I13" s="24" t="inlineStr">
        <is>
          <t>jama_jabre_2018_oi_180004.pdf — PDF p. 2; joi180004supp2_prod.pdf — PDF p. 2 (eTable 1).</t>
        </is>
      </c>
      <c r="J13" s="24" t="b">
        <v>1</v>
      </c>
      <c r="K13" s="24" t="inlineStr">
        <is>
          <t>jama.2018.0156</t>
        </is>
      </c>
      <c r="L13" s="24" t="n"/>
      <c r="M13" s="24" t="inlineStr">
        <is>
          <t>S_C</t>
        </is>
      </c>
      <c r="N13" s="24" t="inlineStr">
        <is>
          <t>The article reports 20 EMS centres whereas eTable 1 shows 21 contributing investigator-centre rows. The focal comparison is the main article versus a non-plan results supplement.</t>
        </is>
      </c>
      <c r="O13" s="24" t="inlineStr">
        <is>
          <t>../../2018/jama.2018.0156/.ai_paper_validation/final_report_1_5_2.html</t>
        </is>
      </c>
      <c r="P13" s="24" t="inlineStr">
        <is>
          <t>2018/jama.2018.0156/.ai_paper_validation/final_report_1_5_2.md</t>
        </is>
      </c>
      <c r="Q13" s="24" t="inlineStr">
        <is>
          <t>C006</t>
        </is>
      </c>
      <c r="R13" s="24" t="inlineStr">
        <is>
          <t>Pending Human Adjudication</t>
        </is>
      </c>
      <c r="S13" s="24" t="inlineStr">
        <is>
          <t>The article reports 20 EMS centres whereas eTable 1 shows 21 contributing investigator-centre rows.</t>
        </is>
      </c>
      <c r="T13" s="24" t="b">
        <v>1</v>
      </c>
      <c r="U13" s="24" t="inlineStr">
        <is>
          <t>centre_count_unit</t>
        </is>
      </c>
      <c r="V13" s="24" t="inlineStr">
        <is>
          <t>report_internal_inconsistency</t>
        </is>
      </c>
      <c r="W13" s="24" t="inlineStr">
        <is>
          <t>Main article and eTable report different contributing-centre counts</t>
        </is>
      </c>
      <c r="X13" s="24" t="inlineStr">
        <is>
          <t>2018</t>
        </is>
      </c>
      <c r="Y13" s="24" t="inlineStr">
        <is>
          <t>meta_report/consistency_reclassification_2026-09-04/reclassified_candidates.json</t>
        </is>
      </c>
      <c r="Z13" s="24" t="inlineStr">
        <is>
          <t>S_C</t>
        </is>
      </c>
      <c r="AA13" s="24" t="inlineStr">
        <is>
          <t>report_internal_inconsistency</t>
        </is>
      </c>
      <c r="AB13" s="24" t="inlineStr">
        <is>
          <t>retain</t>
        </is>
      </c>
    </row>
    <row r="14" ht="90" customHeight="1" s="14">
      <c r="A14" s="20" t="b">
        <v>0</v>
      </c>
      <c r="B14" s="20" t="inlineStr">
        <is>
          <t>An abbreviated article definition or no affected participants could reconcile the result; aggregate counts cannot establish actual coding or count changes.</t>
        </is>
      </c>
      <c r="C14" s="20" t="b">
        <v>1</v>
      </c>
      <c r="D14" s="20" t="inlineStr">
        <is>
          <t>Measure, label, or scale inconsistency</t>
        </is>
      </c>
      <c r="E14" s="20" t="b">
        <v>1</v>
      </c>
      <c r="F14" s="20" t="inlineStr">
        <is>
          <t>C007</t>
        </is>
      </c>
      <c r="G14" s="20" t="inlineStr">
        <is>
          <t>2018::jama.2018.0156::C007</t>
        </is>
      </c>
      <c r="H14" s="20" t="n"/>
      <c r="I14" s="20" t="inlineStr">
        <is>
          <t>jama_jabre_2018_oi_180004.pdf — PDF p. 1 and PDF p. 3; joi180004supp1_prod.pdf — PDF p. 110.</t>
        </is>
      </c>
      <c r="J14" s="20" t="b">
        <v>0</v>
      </c>
      <c r="K14" s="20" t="inlineStr">
        <is>
          <t>jama.2018.0156</t>
        </is>
      </c>
      <c r="L14" s="20" t="inlineStr">
        <is>
          <t>endpoint_definition_window_hierarchy</t>
        </is>
      </c>
      <c r="M14" s="20" t="inlineStr">
        <is>
          <t>P_R</t>
        </is>
      </c>
      <c r="N14" s="20" t="inlineStr">
        <is>
          <t>The main article defines favorable outcome as CPC 1 or 2, while a supplied amended protocol also qualifies baseline-disabled survivors whose disability is unchanged. The potential outcome-definition difference is directly report versus amended plan.</t>
        </is>
      </c>
      <c r="O14" s="20" t="inlineStr">
        <is>
          <t>../../2018/jama.2018.0156/.ai_paper_validation/final_report_1_5_2.html</t>
        </is>
      </c>
      <c r="P14" s="20" t="inlineStr">
        <is>
          <t>2018/jama.2018.0156/.ai_paper_validation/final_report_1_5_2.md</t>
        </is>
      </c>
      <c r="Q14" s="20" t="inlineStr">
        <is>
          <t>C007</t>
        </is>
      </c>
      <c r="R14" s="20" t="inlineStr">
        <is>
          <t>Pending Human Adjudication</t>
        </is>
      </c>
      <c r="S14" s="20" t="inlineStr">
        <is>
          <t>The article’s CPC-1-or-2 endpoint description omits the amendment’s qualification for survivors with baseline neurologic disability.</t>
        </is>
      </c>
      <c r="T14" s="20" t="b">
        <v>0</v>
      </c>
      <c r="U14" s="20" t="inlineStr">
        <is>
          <t>outcome_definition_amendment</t>
        </is>
      </c>
      <c r="V14" s="20" t="inlineStr">
        <is>
          <t>protocol_report</t>
        </is>
      </c>
      <c r="W14" s="20" t="inlineStr">
        <is>
          <t>Published primary-endpoint description omits the amended baseline-disability qualification</t>
        </is>
      </c>
      <c r="X14" s="20" t="inlineStr">
        <is>
          <t>2018</t>
        </is>
      </c>
      <c r="Y14" s="20" t="inlineStr">
        <is>
          <t>meta_report/consistency_reclassification_2026-09-04/reclassified_candidates.json</t>
        </is>
      </c>
      <c r="Z14" s="20" t="inlineStr">
        <is>
          <t>P_R</t>
        </is>
      </c>
      <c r="AA14" s="20" t="inlineStr">
        <is>
          <t>protocol_report</t>
        </is>
      </c>
      <c r="AB14" s="20" t="inlineStr">
        <is>
          <t>retain</t>
        </is>
      </c>
    </row>
    <row r="15" ht="90" customHeight="1" s="14">
      <c r="A15" s="24" t="b">
        <v>1</v>
      </c>
      <c r="B15" s="24" t="inlineStr">
        <is>
          <t>The failure row may intentionally be procedural-only and uses actual-treatment safety data. The 27-versus-21 aggregate bound assumes participant-set alignment; recheck expressly says that assumption is not mechanically established. Additional source-derivative check: the final card and recheck call 54/1022 ETI deaths, but main native text explicitly labels 54/1022 day-28 survival. Thus the recorded 27-versus-21 mortality bound uses a mislabeled input and is not source-confirmed; the document-role endpoint-definition comparison is retained. Exact main-abstract derivative wording: global survival at day 28 (55/1018 [5.4%] in the BMV group vs 54/1022 [5.3%] in the ETI group).</t>
        </is>
      </c>
      <c r="C15" s="24" t="b">
        <v>1</v>
      </c>
      <c r="D15" s="24" t="inlineStr">
        <is>
          <t>Measure, label, or scale inconsistency</t>
        </is>
      </c>
      <c r="E15" s="24" t="b">
        <v>1</v>
      </c>
      <c r="F15" s="24" t="inlineStr">
        <is>
          <t>C008</t>
        </is>
      </c>
      <c r="G15" s="24" t="inlineStr">
        <is>
          <t>2018::jama.2018.0156::C008</t>
        </is>
      </c>
      <c r="H15" s="24" t="n"/>
      <c r="I15" s="24" t="inlineStr">
        <is>
          <t>joi180004supp1_prod.pdf — PDF p. 110; jama_jabre_2018_oi_180004.pdf — PDF p. 1, PDF p. 4, and PDF p. 6.</t>
        </is>
      </c>
      <c r="J15" s="24" t="b">
        <v>0</v>
      </c>
      <c r="K15" s="24" t="inlineStr">
        <is>
          <t>jama.2018.0156</t>
        </is>
      </c>
      <c r="L15" s="24" t="inlineStr">
        <is>
          <t>endpoint_definition_window_hierarchy</t>
        </is>
      </c>
      <c r="M15" s="24" t="inlineStr">
        <is>
          <t>P_R</t>
        </is>
      </c>
      <c r="N15" s="24" t="inlineStr">
        <is>
          <t>A supplied amended protocol defines technique failure as a composite including mortality/regurgitation/procedural failure, while the main Table 3 ETI failure row reports 21/996 without that composite definition. This is a conditional report-versus-plan endpoint/population mismatch.</t>
        </is>
      </c>
      <c r="O15" s="24" t="inlineStr">
        <is>
          <t>../../2018/jama.2018.0156/.ai_paper_validation/final_report_1_5_2.html</t>
        </is>
      </c>
      <c r="P15" s="24" t="inlineStr">
        <is>
          <t>2018/jama.2018.0156/.ai_paper_validation/final_report_1_5_2.md</t>
        </is>
      </c>
      <c r="Q15" s="24" t="inlineStr">
        <is>
          <t>C008</t>
        </is>
      </c>
      <c r="R15" s="24" t="inlineStr">
        <is>
          <t>Pending Human Adjudication</t>
        </is>
      </c>
      <c r="S15" s="24" t="inlineStr">
        <is>
          <t>If the protocol composite and article Table 3 row denote the same endpoint and aligned population, aggregate displays cannot reconcile.</t>
        </is>
      </c>
      <c r="T15" s="24" t="b">
        <v>0</v>
      </c>
      <c r="U15" s="24" t="inlineStr">
        <is>
          <t>composite_vs_reported_endpoint</t>
        </is>
      </c>
      <c r="V15" s="24" t="inlineStr">
        <is>
          <t>protocol_report</t>
        </is>
      </c>
      <c r="W15" s="24" t="inlineStr">
        <is>
          <t>Protocol composite technique-failure definition cannot reconcile with the article’s smaller ETI failure count if they are the same endpoint</t>
        </is>
      </c>
      <c r="X15" s="24" t="inlineStr">
        <is>
          <t>2018</t>
        </is>
      </c>
      <c r="Y15" s="24" t="inlineStr">
        <is>
          <t>meta_report/consistency_reclassification_2026-09-04/reclassified_candidates.json</t>
        </is>
      </c>
      <c r="Z15" s="24" t="inlineStr">
        <is>
          <t>P_R</t>
        </is>
      </c>
      <c r="AA15" s="24" t="inlineStr">
        <is>
          <t>protocol_report</t>
        </is>
      </c>
      <c r="AB15" s="24" t="inlineStr">
        <is>
          <t>discuss</t>
        </is>
      </c>
    </row>
    <row r="16" ht="90" customHeight="1" s="14">
      <c r="A16" s="20" t="b">
        <v>0</v>
      </c>
      <c r="B16" s="20" t="inlineStr">
        <is>
          <t>Mixed reported-versus-plan and submitted cross-file definition discrepancy; operative rule and any exact-boundary cases are unknown.</t>
        </is>
      </c>
      <c r="C16" s="20" t="b">
        <v>1</v>
      </c>
      <c r="D16" s="20" t="inlineStr">
        <is>
          <t>Measure, label, or scale inconsistency</t>
        </is>
      </c>
      <c r="E16" s="20" t="b">
        <v>1</v>
      </c>
      <c r="F16" s="20" t="inlineStr">
        <is>
          <t>C001</t>
        </is>
      </c>
      <c r="G16" s="20" t="inlineStr">
        <is>
          <t>2018::jama.2018.0948::C001</t>
        </is>
      </c>
      <c r="H16" s="20" t="n"/>
      <c r="I16" s="20" t="inlineStr">
        <is>
          <t>main article — PDF p. 4; Supplement 1 Table 5 — PDF p. 24; Supplement 3 eTable 1 — PDF p. 6.</t>
        </is>
      </c>
      <c r="J16" s="20" t="b">
        <v>0</v>
      </c>
      <c r="K16" s="20" t="inlineStr">
        <is>
          <t>jama.2018.0948</t>
        </is>
      </c>
      <c r="L16" s="20" t="inlineStr">
        <is>
          <t>endpoint_definition_window_hierarchy</t>
        </is>
      </c>
      <c r="M16" s="20" t="inlineStr">
        <is>
          <t>P_R</t>
        </is>
      </c>
      <c r="N16" s="20" t="inlineStr">
        <is>
          <t>The main article uses fluid &gt;=60 mL/kg, while protocol Table 5 and the non-plan results-supplement eTable use &gt;60 for the same SCD component. The article is discrepant with both the plan and ordinary results supplement.</t>
        </is>
      </c>
      <c r="O16" s="20" t="inlineStr">
        <is>
          <t>../../2018/jama.2018.0948/.ai_paper_validation/final_report_1_5_2.html</t>
        </is>
      </c>
      <c r="P16" s="20" t="inlineStr">
        <is>
          <t>2018/jama.2018.0948/.ai_paper_validation/final_report_1_5_2.md</t>
        </is>
      </c>
      <c r="Q16" s="20" t="inlineStr">
        <is>
          <t>C001</t>
        </is>
      </c>
      <c r="R16" s="20" t="inlineStr">
        <is>
          <t>Pending Human Adjudication</t>
        </is>
      </c>
      <c r="S16" s="20" t="inlineStr">
        <is>
          <t>The same SCD fluid component is printed with inclusive and exclusive 60 mL/kg thresholds.</t>
        </is>
      </c>
      <c r="T16" s="20" t="b">
        <v>1</v>
      </c>
      <c r="U16" s="20" t="inlineStr">
        <is>
          <t>outcome_threshold_boundary</t>
        </is>
      </c>
      <c r="V16" s="20" t="inlineStr">
        <is>
          <t>protocol_report</t>
        </is>
      </c>
      <c r="W16" s="20" t="inlineStr">
        <is>
          <t>Inclusive versus exclusive fluid threshold in the SCD definition</t>
        </is>
      </c>
      <c r="X16" s="20" t="inlineStr">
        <is>
          <t>2018</t>
        </is>
      </c>
      <c r="Y16" s="20" t="inlineStr">
        <is>
          <t>meta_report/consistency_reclassification_2026-09-04/reclassified_candidates.json</t>
        </is>
      </c>
      <c r="Z16" s="20" t="inlineStr">
        <is>
          <t>P_R</t>
        </is>
      </c>
      <c r="AA16" s="20" t="inlineStr">
        <is>
          <t>protocol_report</t>
        </is>
      </c>
      <c r="AB16" s="20" t="inlineStr">
        <is>
          <t>retain</t>
        </is>
      </c>
    </row>
    <row r="17" ht="90" customHeight="1" s="14">
      <c r="A17" s="24" t="b">
        <v>0</v>
      </c>
      <c r="B17" s="24" t="inlineStr">
        <is>
          <t>Boundary decision: P_P only. Counting every transitive numerical disagreement would also involve the article, but the recorded issue is the internal planning percent/unit typo.</t>
        </is>
      </c>
      <c r="C17" s="24" t="b">
        <v>1</v>
      </c>
      <c r="D17" s="24" t="inlineStr">
        <is>
          <t>Cross-document numeric inconsistency</t>
        </is>
      </c>
      <c r="E17" s="24" t="b">
        <v>0</v>
      </c>
      <c r="F17" s="24" t="inlineStr">
        <is>
          <t>C002</t>
        </is>
      </c>
      <c r="G17" s="24" t="inlineStr">
        <is>
          <t>2018::jama.2018.0948::C002</t>
        </is>
      </c>
      <c r="H17" s="24" t="n"/>
      <c r="I17" s="24" t="inlineStr">
        <is>
          <t>Supplement 1 — PDF p. 1, p. 14, p. 29; main article — PDF p. 4.</t>
        </is>
      </c>
      <c r="J17" s="24" t="b">
        <v>1</v>
      </c>
      <c r="K17" s="24" t="inlineStr">
        <is>
          <t>jama.2018.0948</t>
        </is>
      </c>
      <c r="L17" s="24" t="n"/>
      <c r="M17" s="24" t="inlineStr">
        <is>
          <t>P_P</t>
        </is>
      </c>
      <c r="N17" s="24" t="inlineStr">
        <is>
          <t>The protocol appendix gives 0.9% for an approximately 18% reduction from 5.1 deaths/1000, whereas other passages in the same protocol give 0.9/1000 or 0.09%. The article repeats the coherent planning value and corroborates the internal plan unit-conversion defect; it is not counted as a separate plan-versus-report change.</t>
        </is>
      </c>
      <c r="O17" s="24" t="inlineStr">
        <is>
          <t>../../2018/jama.2018.0948/.ai_paper_validation/final_report_1_5_2.html</t>
        </is>
      </c>
      <c r="P17" s="24" t="inlineStr">
        <is>
          <t>2018/jama.2018.0948/.ai_paper_validation/final_report_1_5_2.md</t>
        </is>
      </c>
      <c r="Q17" s="24" t="inlineStr">
        <is>
          <t>C002</t>
        </is>
      </c>
      <c r="R17" s="24" t="inlineStr">
        <is>
          <t>Pending Human Adjudication</t>
        </is>
      </c>
      <c r="S17" s="24" t="inlineStr">
        <is>
          <t>A matched mortality planning reduction is printed as 0.9% at one location but as 0.9 per 1,000/0.09% elsewhere.</t>
        </is>
      </c>
      <c r="T17" s="24" t="b">
        <v>0</v>
      </c>
      <c r="U17" s="24" t="inlineStr">
        <is>
          <t>planning_unit_conversion</t>
        </is>
      </c>
      <c r="V17" s="24" t="inlineStr">
        <is>
          <t>plan_material</t>
        </is>
      </c>
      <c r="W17" s="24" t="inlineStr">
        <is>
          <t>Mortality absolute-risk-reduction percent/unit conflict</t>
        </is>
      </c>
      <c r="X17" s="24" t="inlineStr">
        <is>
          <t>2018</t>
        </is>
      </c>
      <c r="Y17" s="24" t="inlineStr">
        <is>
          <t>meta_report/consistency_reclassification_2026-09-04/reclassified_candidates.json</t>
        </is>
      </c>
      <c r="Z17" s="24" t="inlineStr">
        <is>
          <t>P_P</t>
        </is>
      </c>
      <c r="AA17" s="24" t="inlineStr">
        <is>
          <t>plan_material</t>
        </is>
      </c>
      <c r="AB17" s="24" t="inlineStr">
        <is>
          <t>retain</t>
        </is>
      </c>
    </row>
    <row r="18" ht="90" customHeight="1" s="14">
      <c r="A18" s="20" t="b">
        <v>0</v>
      </c>
      <c r="B18" s="20" t="n"/>
      <c r="C18" s="20" t="b">
        <v>1</v>
      </c>
      <c r="D18" s="20" t="inlineStr">
        <is>
          <t>Measure, label, or scale inconsistency</t>
        </is>
      </c>
      <c r="E18" s="20" t="b">
        <v>0</v>
      </c>
      <c r="F18" s="20" t="inlineStr">
        <is>
          <t>C003</t>
        </is>
      </c>
      <c r="G18" s="20" t="inlineStr">
        <is>
          <t>2018::jama.2018.0948::C003</t>
        </is>
      </c>
      <c r="H18" s="20" t="n"/>
      <c r="I18" s="20" t="inlineStr">
        <is>
          <t>Supplement 1 — PDF p. 11, Table 5 — PDF p. 24, Table 6 legend — PDF p. 27.</t>
        </is>
      </c>
      <c r="J18" s="20" t="b">
        <v>0</v>
      </c>
      <c r="K18" s="20" t="inlineStr">
        <is>
          <t>jama.2018.0948</t>
        </is>
      </c>
      <c r="L18" s="20" t="n"/>
      <c r="M18" s="20" t="inlineStr">
        <is>
          <t>P_P</t>
        </is>
      </c>
      <c r="N18" s="20" t="inlineStr">
        <is>
          <t>Cardiac-arrest events are described as categories 6/7 but a Table 6 legend calls events including cardiac arrest 4/5. The focal discrepancy is internal to the protocol/SAP material, including plan-version passages in a bound bundle.</t>
        </is>
      </c>
      <c r="O18" s="20" t="inlineStr">
        <is>
          <t>../../2018/jama.2018.0948/.ai_paper_validation/final_report_1_5_2.html</t>
        </is>
      </c>
      <c r="P18" s="20" t="inlineStr">
        <is>
          <t>2018/jama.2018.0948/.ai_paper_validation/final_report_1_5_2.md</t>
        </is>
      </c>
      <c r="Q18" s="20" t="inlineStr">
        <is>
          <t>C003</t>
        </is>
      </c>
      <c r="R18" s="20" t="inlineStr">
        <is>
          <t>Pending Human Adjudication</t>
        </is>
      </c>
      <c r="S18" s="20" t="inlineStr">
        <is>
          <t>Cardiac-arrest events are described as categories 6/7 but a Table 6 legend calls events including cardiac arrest 4/5.</t>
        </is>
      </c>
      <c r="T18" s="20" t="b">
        <v>0</v>
      </c>
      <c r="U18" s="20" t="inlineStr">
        <is>
          <t>resuscitation_category_definition</t>
        </is>
      </c>
      <c r="V18" s="20" t="inlineStr">
        <is>
          <t>plan_material</t>
        </is>
      </c>
      <c r="W18" s="20" t="inlineStr">
        <is>
          <t>Cardiac-arrest events assigned incompatible resuscitation-scale categories</t>
        </is>
      </c>
      <c r="X18" s="20" t="inlineStr">
        <is>
          <t>2018</t>
        </is>
      </c>
      <c r="Y18" s="20" t="inlineStr">
        <is>
          <t>meta_report/consistency_reclassification_2026-09-04/reclassified_candidates.json</t>
        </is>
      </c>
      <c r="Z18" s="20" t="inlineStr">
        <is>
          <t>P_P</t>
        </is>
      </c>
      <c r="AA18" s="20" t="inlineStr">
        <is>
          <t>plan_material</t>
        </is>
      </c>
      <c r="AB18" s="20" t="inlineStr">
        <is>
          <t>retain</t>
        </is>
      </c>
    </row>
    <row r="19" ht="90" customHeight="1" s="14">
      <c r="A19" s="24" t="b">
        <v>0</v>
      </c>
      <c r="B19" s="24" t="inlineStr">
        <is>
          <t>Boundary decision: P_P only; final reporting corroborates the internally stated &gt;=4 rule. The actual rating-4 event classification is unknown.</t>
        </is>
      </c>
      <c r="C19" s="24" t="b">
        <v>1</v>
      </c>
      <c r="D19" s="24" t="inlineStr">
        <is>
          <t>Measure, label, or scale inconsistency</t>
        </is>
      </c>
      <c r="E19" s="24" t="b">
        <v>0</v>
      </c>
      <c r="F19" s="24" t="inlineStr">
        <is>
          <t>C004</t>
        </is>
      </c>
      <c r="G19" s="24" t="inlineStr">
        <is>
          <t>2018::jama.2018.0948::C004</t>
        </is>
      </c>
      <c r="H19" s="24" t="n"/>
      <c r="I19" s="24" t="inlineStr">
        <is>
          <t>Supplement 1 — PDF p. 11, Table 7 — PDF p. 28; Supplement 3 eTable 1 — PDF p. 6; main article — PDF p. 7.</t>
        </is>
      </c>
      <c r="J19" s="24" t="b">
        <v>0</v>
      </c>
      <c r="K19" s="24" t="inlineStr">
        <is>
          <t>jama.2018.0948</t>
        </is>
      </c>
      <c r="L19" s="24" t="n"/>
      <c r="M19" s="24" t="inlineStr">
        <is>
          <t>P_P</t>
        </is>
      </c>
      <c r="N19" s="24" t="inlineStr">
        <is>
          <t>Protocol p11 says &gt;4 and immediately lists ratings 4, 5, 6; its own Table 7 says &gt;=4. The main article and results supplement corroborate the inclusive list. The focal operator/list contradiction is internal to the protocol.</t>
        </is>
      </c>
      <c r="O19" s="24" t="inlineStr">
        <is>
          <t>../../2018/jama.2018.0948/.ai_paper_validation/final_report_1_5_2.html</t>
        </is>
      </c>
      <c r="P19" s="24" t="inlineStr">
        <is>
          <t>2018/jama.2018.0948/.ai_paper_validation/final_report_1_5_2.md</t>
        </is>
      </c>
      <c r="Q19" s="24" t="inlineStr">
        <is>
          <t>C004</t>
        </is>
      </c>
      <c r="R19" s="24" t="inlineStr">
        <is>
          <t>Pending Human Adjudication</t>
        </is>
      </c>
      <c r="S19" s="24" t="inlineStr">
        <is>
          <t>The preventability definition says &gt;4 while nearby and cross-source descriptions include rating 4.</t>
        </is>
      </c>
      <c r="T19" s="24" t="b">
        <v>0</v>
      </c>
      <c r="U19" s="24" t="inlineStr">
        <is>
          <t>preventability_threshold</t>
        </is>
      </c>
      <c r="V19" s="24" t="inlineStr">
        <is>
          <t>plan_material</t>
        </is>
      </c>
      <c r="W19" s="24" t="inlineStr">
        <is>
          <t>Preventability threshold excludes and includes rating 4</t>
        </is>
      </c>
      <c r="X19" s="24" t="inlineStr">
        <is>
          <t>2018</t>
        </is>
      </c>
      <c r="Y19" s="24" t="inlineStr">
        <is>
          <t>meta_report/consistency_reclassification_2026-09-04/reclassified_candidates.json</t>
        </is>
      </c>
      <c r="Z19" s="24" t="inlineStr">
        <is>
          <t>P_P</t>
        </is>
      </c>
      <c r="AA19" s="24" t="inlineStr">
        <is>
          <t>plan_material</t>
        </is>
      </c>
      <c r="AB19" s="24" t="inlineStr">
        <is>
          <t>retain</t>
        </is>
      </c>
    </row>
    <row r="20" ht="90" customHeight="1" s="14">
      <c r="A20" s="20" t="b">
        <v>0</v>
      </c>
      <c r="B20" s="20" t="inlineStr">
        <is>
          <t>Historical evidence inside protocol. The p14 planning context uses this historical count, but the candidate does not independently challenge a prospective power calculation. Year-stratified data are absent.</t>
        </is>
      </c>
      <c r="C20" s="20" t="b">
        <v>1</v>
      </c>
      <c r="D20" s="20" t="inlineStr">
        <is>
          <t>Denominator, proportion, or total inconsistency</t>
        </is>
      </c>
      <c r="E20" s="20" t="b">
        <v>0</v>
      </c>
      <c r="F20" s="20" t="inlineStr">
        <is>
          <t>C005</t>
        </is>
      </c>
      <c r="G20" s="20" t="inlineStr">
        <is>
          <t>2018::jama.2018.0948::C005</t>
        </is>
      </c>
      <c r="H20" s="20" t="inlineStr">
        <is>
          <t>P_B</t>
        </is>
      </c>
      <c r="I20" s="20" t="inlineStr">
        <is>
          <t>Supplement 1 — PDF p. 14 and PDF p. 30.</t>
        </is>
      </c>
      <c r="J20" s="20" t="b">
        <v>0</v>
      </c>
      <c r="K20" s="20" t="inlineStr">
        <is>
          <t>jama.2018.0948</t>
        </is>
      </c>
      <c r="L20" s="20" t="n"/>
      <c r="M20" s="20" t="inlineStr">
        <is>
          <t>P_P</t>
        </is>
      </c>
      <c r="N20" s="20" t="inlineStr">
        <is>
          <t>The same historical Ontario four-hospital 1052 urgent ICU/PICU admissions count is called annual in protocol power-assumption text and two-year in the historical reference-data appendix. The conflicting quantity is a prior-data observation period reused as a planning input, and therefore does not represent the current trial plan or report.</t>
        </is>
      </c>
      <c r="O20" s="20" t="inlineStr">
        <is>
          <t>../../2018/jama.2018.0948/.ai_paper_validation/final_report_1_5_2.html</t>
        </is>
      </c>
      <c r="P20" s="20" t="inlineStr">
        <is>
          <t>2018/jama.2018.0948/.ai_paper_validation/final_report_1_5_2.md</t>
        </is>
      </c>
      <c r="Q20" s="20" t="inlineStr">
        <is>
          <t>C005</t>
        </is>
      </c>
      <c r="R20" s="20" t="inlineStr">
        <is>
          <t>Pending Human Adjudication</t>
        </is>
      </c>
      <c r="S20" s="20" t="inlineStr">
        <is>
          <t>The same 1,052 urgent ICU/PICU admission count is labelled annual and as a two-year total.</t>
        </is>
      </c>
      <c r="T20" s="20" t="b">
        <v>0</v>
      </c>
      <c r="U20" s="20" t="inlineStr">
        <is>
          <t>planning_reference_period</t>
        </is>
      </c>
      <c r="V20" s="20" t="inlineStr">
        <is>
          <t>plan_material</t>
        </is>
      </c>
      <c r="W20" s="20" t="inlineStr">
        <is>
          <t>The same SCDE reference count is labelled annual and two-year</t>
        </is>
      </c>
      <c r="X20" s="20" t="inlineStr">
        <is>
          <t>2018</t>
        </is>
      </c>
      <c r="Y20" s="20" t="inlineStr">
        <is>
          <t>meta_report/consistency_reclassification_2026-09-04/reclassified_candidates.json</t>
        </is>
      </c>
      <c r="Z20" s="20" t="inlineStr">
        <is>
          <t>P_P</t>
        </is>
      </c>
      <c r="AA20" s="20" t="inlineStr">
        <is>
          <t>plan_material</t>
        </is>
      </c>
      <c r="AB20" s="20" t="inlineStr">
        <is>
          <t>retain</t>
        </is>
      </c>
    </row>
    <row r="21" ht="90" customHeight="1" s="14">
      <c r="A21" s="24" t="b">
        <v>0</v>
      </c>
      <c r="B21" s="24" t="n"/>
      <c r="C21" s="24" t="b">
        <v>1</v>
      </c>
      <c r="D21" s="24" t="inlineStr">
        <is>
          <t>Numeric or arithmetic inconsistency</t>
        </is>
      </c>
      <c r="E21" s="24" t="b">
        <v>0</v>
      </c>
      <c r="F21" s="24" t="inlineStr">
        <is>
          <t>C006</t>
        </is>
      </c>
      <c r="G21" s="24" t="inlineStr">
        <is>
          <t>2018::jama.2018.0948::C006</t>
        </is>
      </c>
      <c r="H21" s="24" t="n"/>
      <c r="I21" s="24" t="inlineStr">
        <is>
          <t>Supplement 1 — PDF p. 30.</t>
        </is>
      </c>
      <c r="J21" s="24" t="b">
        <v>0</v>
      </c>
      <c r="K21" s="24" t="inlineStr">
        <is>
          <t>jama.2018.0948</t>
        </is>
      </c>
      <c r="L21" s="24" t="n"/>
      <c r="M21" s="24" t="inlineStr">
        <is>
          <t>P_P</t>
        </is>
      </c>
      <c r="N21" s="24" t="inlineStr">
        <is>
          <t>The printed stat-call absolute reduction does not reproduce from the displayed baseline rate and relative reduction. The focal discrepancy is internal to the protocol/SAP material, including plan-version passages in a bound bundle.</t>
        </is>
      </c>
      <c r="O21" s="24" t="inlineStr">
        <is>
          <t>../../2018/jama.2018.0948/.ai_paper_validation/final_report_1_5_2.html</t>
        </is>
      </c>
      <c r="P21" s="24" t="inlineStr">
        <is>
          <t>2018/jama.2018.0948/.ai_paper_validation/final_report_1_5_2.md</t>
        </is>
      </c>
      <c r="Q21" s="24" t="inlineStr">
        <is>
          <t>C006</t>
        </is>
      </c>
      <c r="R21" s="24" t="inlineStr">
        <is>
          <t>Pending Human Adjudication</t>
        </is>
      </c>
      <c r="S21" s="24" t="inlineStr">
        <is>
          <t>The printed stat-call absolute reduction does not reproduce from the displayed baseline rate and relative reduction.</t>
        </is>
      </c>
      <c r="T21" s="24" t="b">
        <v>0</v>
      </c>
      <c r="U21" s="24" t="inlineStr">
        <is>
          <t>planning_product_arithmetic</t>
        </is>
      </c>
      <c r="V21" s="24" t="inlineStr">
        <is>
          <t>plan_material</t>
        </is>
      </c>
      <c r="W21" s="24" t="inlineStr">
        <is>
          <t>Stat-call absolute reduction does not reproduce from the printed inputs</t>
        </is>
      </c>
      <c r="X21" s="24" t="inlineStr">
        <is>
          <t>2018</t>
        </is>
      </c>
      <c r="Y21" s="24" t="inlineStr">
        <is>
          <t>meta_report/consistency_reclassification_2026-09-04/reclassified_candidates.json</t>
        </is>
      </c>
      <c r="Z21" s="24" t="inlineStr">
        <is>
          <t>P_P</t>
        </is>
      </c>
      <c r="AA21" s="24" t="inlineStr">
        <is>
          <t>plan_material</t>
        </is>
      </c>
      <c r="AB21" s="24" t="inlineStr">
        <is>
          <t>retain</t>
        </is>
      </c>
    </row>
    <row r="22" ht="90" customHeight="1" s="14">
      <c r="A22" s="20" t="b">
        <v>0</v>
      </c>
      <c r="B22" s="20" t="inlineStr">
        <is>
          <t>Historical reference-table data can be planning inputs, but this candidate targets the pre-existing counts/rates themselves. The original external report was not obtained for new adjudication.</t>
        </is>
      </c>
      <c r="C22" s="20" t="b">
        <v>1</v>
      </c>
      <c r="D22" s="20" t="inlineStr">
        <is>
          <t>Denominator, proportion, or total inconsistency</t>
        </is>
      </c>
      <c r="E22" s="20" t="b">
        <v>0</v>
      </c>
      <c r="F22" s="20" t="inlineStr">
        <is>
          <t>C007</t>
        </is>
      </c>
      <c r="G22" s="20" t="inlineStr">
        <is>
          <t>2018::jama.2018.0948::C007</t>
        </is>
      </c>
      <c r="H22" s="20" t="inlineStr">
        <is>
          <t>P_B</t>
        </is>
      </c>
      <c r="I22" s="20" t="inlineStr">
        <is>
          <t>Supplement 1 — PDF p. 30.</t>
        </is>
      </c>
      <c r="J22" s="20" t="b">
        <v>0</v>
      </c>
      <c r="K22" s="20" t="inlineStr">
        <is>
          <t>jama.2018.0948</t>
        </is>
      </c>
      <c r="L22" s="20" t="n"/>
      <c r="M22" s="20" t="inlineStr">
        <is>
          <t>P_P</t>
        </is>
      </c>
      <c r="N22" s="20" t="inlineStr">
        <is>
          <t>The protocol Sample Size Appendix reproduces Ontario 2007-8 historical data attributed to the Kotsakis 2009 collaborative report: 1052 admissions, denominators 7300/55963, and rates 14.5%/18 per 1000. The rates do not round from those historical integers. In v.2.0.3 this is background material within consolidated P_P, not current trial reported-versus-planned results.</t>
        </is>
      </c>
      <c r="O22" s="20" t="inlineStr">
        <is>
          <t>../../2018/jama.2018.0948/.ai_paper_validation/final_report_1_5_2.html</t>
        </is>
      </c>
      <c r="P22" s="20" t="inlineStr">
        <is>
          <t>2018/jama.2018.0948/.ai_paper_validation/final_report_1_5_2.md</t>
        </is>
      </c>
      <c r="Q22" s="20" t="inlineStr">
        <is>
          <t>C007</t>
        </is>
      </c>
      <c r="R22" s="20" t="inlineStr">
        <is>
          <t>Pending Human Adjudication</t>
        </is>
      </c>
      <c r="S22" s="20" t="inlineStr">
        <is>
          <t>Two printed urgent-PICU rates do not conventionally round from the displayed numerator and denominators.</t>
        </is>
      </c>
      <c r="T22" s="20" t="b">
        <v>0</v>
      </c>
      <c r="U22" s="20" t="inlineStr">
        <is>
          <t>planning_reference_rates</t>
        </is>
      </c>
      <c r="V22" s="20" t="inlineStr">
        <is>
          <t>plan_material</t>
        </is>
      </c>
      <c r="W22" s="20" t="inlineStr">
        <is>
          <t>Urgent PICU admission rates do not match the printed counts and denominators at conventional rounding</t>
        </is>
      </c>
      <c r="X22" s="20" t="inlineStr">
        <is>
          <t>2018</t>
        </is>
      </c>
      <c r="Y22" s="20" t="inlineStr">
        <is>
          <t>meta_report/consistency_reclassification_2026-09-04/reclassified_candidates.json</t>
        </is>
      </c>
      <c r="Z22" s="20" t="inlineStr">
        <is>
          <t>P_P</t>
        </is>
      </c>
      <c r="AA22" s="20" t="inlineStr">
        <is>
          <t>plan_material</t>
        </is>
      </c>
      <c r="AB22" s="20" t="inlineStr">
        <is>
          <t>retain</t>
        </is>
      </c>
    </row>
    <row r="23" ht="90" customHeight="1" s="14">
      <c r="A23" s="24" t="b">
        <v>0</v>
      </c>
      <c r="B23" s="24" t="n"/>
      <c r="C23" s="24" t="b">
        <v>0</v>
      </c>
      <c r="D23" s="24" t="inlineStr">
        <is>
          <t>Numeric or arithmetic inconsistency</t>
        </is>
      </c>
      <c r="E23" s="24" t="b">
        <v>0</v>
      </c>
      <c r="F23" s="24" t="inlineStr">
        <is>
          <t>C001</t>
        </is>
      </c>
      <c r="G23" s="24" t="inlineStr">
        <is>
          <t>2018::jama.2018.14280::C001</t>
        </is>
      </c>
      <c r="H23" s="24" t="n"/>
      <c r="I23" s="24" t="inlineStr">
        <is>
          <t>DOC-004, Supplement 3, eTable 2, Other Mode of Ventilation, after titration on randomization day, intermediate arm, PEEP.</t>
        </is>
      </c>
      <c r="J23" s="24" t="b">
        <v>0</v>
      </c>
      <c r="K23" s="24" t="inlineStr">
        <is>
          <t>jama.2018.14280</t>
        </is>
      </c>
      <c r="L23" s="24" t="n"/>
      <c r="M23" s="24" t="inlineStr">
        <is>
          <t>S_W</t>
        </is>
      </c>
      <c r="N23" s="24" t="inlineStr">
        <is>
          <t>The intermediate-arm PEEP value 8 (5-1) is incompatible with the table's median (IQR) definition. The focal mismatch is within one non-plan results supplement.</t>
        </is>
      </c>
      <c r="O23" s="24" t="inlineStr">
        <is>
          <t>../../2018/jama.2018.14280/.ai_paper_validation/final_report_1_5_2.html</t>
        </is>
      </c>
      <c r="P23" s="24" t="inlineStr">
        <is>
          <t>2018/jama.2018.14280/.ai_paper_validation/final_report_1_5_2.md</t>
        </is>
      </c>
      <c r="Q23" s="24" t="inlineStr">
        <is>
          <t>C001</t>
        </is>
      </c>
      <c r="R23" s="24" t="inlineStr">
        <is>
          <t>Pending Human Adjudication</t>
        </is>
      </c>
      <c r="S23" s="24" t="inlineStr">
        <is>
          <t>The intermediate-arm PEEP value 8 (5-1) is incompatible with the table's median (IQR) definition.</t>
        </is>
      </c>
      <c r="T23" s="24" t="b">
        <v>1</v>
      </c>
      <c r="U23" s="24" t="inlineStr">
        <is>
          <t>iqr_order</t>
        </is>
      </c>
      <c r="V23" s="24" t="inlineStr">
        <is>
          <t>statistical_results</t>
        </is>
      </c>
      <c r="W23" s="24" t="inlineStr">
        <is>
          <t>Reversed endpoint in the eTable 2 PEEP interquartile range</t>
        </is>
      </c>
      <c r="X23" s="24" t="inlineStr">
        <is>
          <t>2018</t>
        </is>
      </c>
      <c r="Y23" s="24" t="inlineStr">
        <is>
          <t>meta_report/consistency_reclassification_2026-09-04/reclassified_candidates.json</t>
        </is>
      </c>
      <c r="Z23" s="24" t="inlineStr">
        <is>
          <t>S_W</t>
        </is>
      </c>
      <c r="AA23" s="24" t="inlineStr">
        <is>
          <t>statistical_results</t>
        </is>
      </c>
      <c r="AB23" s="24" t="inlineStr">
        <is>
          <t>retain</t>
        </is>
      </c>
    </row>
    <row r="24" ht="90" customHeight="1" s="14">
      <c r="A24" s="20" t="b">
        <v>0</v>
      </c>
      <c r="B24" s="20" t="n"/>
      <c r="C24" s="20" t="b">
        <v>0</v>
      </c>
      <c r="D24" s="20" t="inlineStr">
        <is>
          <t>Denominator, proportion, or total inconsistency</t>
        </is>
      </c>
      <c r="E24" s="20" t="b">
        <v>0</v>
      </c>
      <c r="F24" s="20" t="inlineStr">
        <is>
          <t>C002</t>
        </is>
      </c>
      <c r="G24" s="20" t="inlineStr">
        <is>
          <t>2018::jama.2018.14280::C002</t>
        </is>
      </c>
      <c r="H24" s="20" t="n"/>
      <c r="I24" s="20" t="inlineStr">
        <is>
          <t>DOC-001, Table 1, Patients at risk for ARDS, low and intermediate arms.</t>
        </is>
      </c>
      <c r="J24" s="20" t="b">
        <v>0</v>
      </c>
      <c r="K24" s="20" t="inlineStr">
        <is>
          <t>jama.2018.14280</t>
        </is>
      </c>
      <c r="L24" s="20" t="n"/>
      <c r="M24" s="20" t="inlineStr">
        <is>
          <t>S_W</t>
        </is>
      </c>
      <c r="N24" s="20" t="inlineStr">
        <is>
          <t>Printed percentages do not reproduce from Table 1 arm headers, while smaller denominators reproduce them. The focal mismatch is within the main article.</t>
        </is>
      </c>
      <c r="O24" s="20" t="inlineStr">
        <is>
          <t>../../2018/jama.2018.14280/.ai_paper_validation/final_report_1_5_2.html</t>
        </is>
      </c>
      <c r="P24" s="20" t="inlineStr">
        <is>
          <t>2018/jama.2018.14280/.ai_paper_validation/final_report_1_5_2.md</t>
        </is>
      </c>
      <c r="Q24" s="20" t="inlineStr">
        <is>
          <t>C002</t>
        </is>
      </c>
      <c r="R24" s="20" t="inlineStr">
        <is>
          <t>Pending Human Adjudication</t>
        </is>
      </c>
      <c r="S24" s="20" t="inlineStr">
        <is>
          <t>Printed percentages do not reproduce from Table 1 arm headers, while smaller denominators reproduce them.</t>
        </is>
      </c>
      <c r="T24" s="20" t="b">
        <v>1</v>
      </c>
      <c r="U24" s="20" t="inlineStr">
        <is>
          <t>undisclosed_denominator</t>
        </is>
      </c>
      <c r="V24" s="20" t="inlineStr">
        <is>
          <t>statistical_results</t>
        </is>
      </c>
      <c r="W24" s="20" t="inlineStr">
        <is>
          <t>At-risk-for-ARDS percentages use undisclosed denominators</t>
        </is>
      </c>
      <c r="X24" s="20" t="inlineStr">
        <is>
          <t>2018</t>
        </is>
      </c>
      <c r="Y24" s="20" t="inlineStr">
        <is>
          <t>meta_report/consistency_reclassification_2026-09-04/reclassified_candidates.json</t>
        </is>
      </c>
      <c r="Z24" s="20" t="inlineStr">
        <is>
          <t>S_W</t>
        </is>
      </c>
      <c r="AA24" s="20" t="inlineStr">
        <is>
          <t>statistical_results</t>
        </is>
      </c>
      <c r="AB24" s="20" t="inlineStr">
        <is>
          <t>retain</t>
        </is>
      </c>
    </row>
    <row r="25" ht="90" customHeight="1" s="14">
      <c r="A25" s="24" t="b">
        <v>0</v>
      </c>
      <c r="B25" s="24" t="n"/>
      <c r="C25" s="24" t="b">
        <v>0</v>
      </c>
      <c r="D25" s="24" t="inlineStr">
        <is>
          <t>Denominator, proportion, or total inconsistency</t>
        </is>
      </c>
      <c r="E25" s="24" t="b">
        <v>0</v>
      </c>
      <c r="F25" s="24" t="inlineStr">
        <is>
          <t>C003</t>
        </is>
      </c>
      <c r="G25" s="24" t="inlineStr">
        <is>
          <t>2018::jama.2018.14280::C003</t>
        </is>
      </c>
      <c r="H25" s="24" t="n"/>
      <c r="I25" s="24" t="inlineStr">
        <is>
          <t>DOC-001, Table 1, Septic shock, low and intermediate arms.</t>
        </is>
      </c>
      <c r="J25" s="24" t="b">
        <v>0</v>
      </c>
      <c r="K25" s="24" t="inlineStr">
        <is>
          <t>jama.2018.14280</t>
        </is>
      </c>
      <c r="L25" s="24" t="n"/>
      <c r="M25" s="24" t="inlineStr">
        <is>
          <t>S_W</t>
        </is>
      </c>
      <c r="N25" s="24" t="inlineStr">
        <is>
          <t>The displayed septic-shock percentages do not reproduce from the Table 1 arm headers. The focal mismatch is within the main article.</t>
        </is>
      </c>
      <c r="O25" s="24" t="inlineStr">
        <is>
          <t>../../2018/jama.2018.14280/.ai_paper_validation/final_report_1_5_2.html</t>
        </is>
      </c>
      <c r="P25" s="24" t="inlineStr">
        <is>
          <t>2018/jama.2018.14280/.ai_paper_validation/final_report_1_5_2.md</t>
        </is>
      </c>
      <c r="Q25" s="24" t="inlineStr">
        <is>
          <t>C003</t>
        </is>
      </c>
      <c r="R25" s="24" t="inlineStr">
        <is>
          <t>Pending Human Adjudication</t>
        </is>
      </c>
      <c r="S25" s="24" t="inlineStr">
        <is>
          <t>The displayed septic-shock percentages do not reproduce from the Table 1 arm headers.</t>
        </is>
      </c>
      <c r="T25" s="24" t="b">
        <v>1</v>
      </c>
      <c r="U25" s="24" t="inlineStr">
        <is>
          <t>undisclosed_denominator</t>
        </is>
      </c>
      <c r="V25" s="24" t="inlineStr">
        <is>
          <t>statistical_results</t>
        </is>
      </c>
      <c r="W25" s="24" t="inlineStr">
        <is>
          <t>Septic-shock percentages use undisclosed denominators</t>
        </is>
      </c>
      <c r="X25" s="24" t="inlineStr">
        <is>
          <t>2018</t>
        </is>
      </c>
      <c r="Y25" s="24" t="inlineStr">
        <is>
          <t>meta_report/consistency_reclassification_2026-09-04/reclassified_candidates.json</t>
        </is>
      </c>
      <c r="Z25" s="24" t="inlineStr">
        <is>
          <t>S_W</t>
        </is>
      </c>
      <c r="AA25" s="24" t="inlineStr">
        <is>
          <t>statistical_results</t>
        </is>
      </c>
      <c r="AB25" s="24" t="inlineStr">
        <is>
          <t>retain</t>
        </is>
      </c>
    </row>
    <row r="26" ht="90" customHeight="1" s="14">
      <c r="A26" s="20" t="b">
        <v>0</v>
      </c>
      <c r="B26" s="20" t="n"/>
      <c r="C26" s="20" t="b">
        <v>0</v>
      </c>
      <c r="D26" s="20" t="inlineStr">
        <is>
          <t>Denominator, proportion, or total inconsistency</t>
        </is>
      </c>
      <c r="E26" s="20" t="b">
        <v>0</v>
      </c>
      <c r="F26" s="20" t="inlineStr">
        <is>
          <t>C004</t>
        </is>
      </c>
      <c r="G26" s="20" t="inlineStr">
        <is>
          <t>2018::jama.2018.14280::C004</t>
        </is>
      </c>
      <c r="H26" s="20" t="n"/>
      <c r="I26" s="20" t="inlineStr">
        <is>
          <t>DOC-001, Table 1, Patient tobacco use, both arms.</t>
        </is>
      </c>
      <c r="J26" s="20" t="b">
        <v>0</v>
      </c>
      <c r="K26" s="20" t="inlineStr">
        <is>
          <t>jama.2018.14280</t>
        </is>
      </c>
      <c r="L26" s="20" t="n"/>
      <c r="M26" s="20" t="inlineStr">
        <is>
          <t>S_W</t>
        </is>
      </c>
      <c r="N26" s="20" t="inlineStr">
        <is>
          <t>Tobacco-use counts and percentages reconcile to 475/482 rather than the 477/484 arm headers. The focal mismatch is within the main article.</t>
        </is>
      </c>
      <c r="O26" s="20" t="inlineStr">
        <is>
          <t>../../2018/jama.2018.14280/.ai_paper_validation/final_report_1_5_2.html</t>
        </is>
      </c>
      <c r="P26" s="20" t="inlineStr">
        <is>
          <t>2018/jama.2018.14280/.ai_paper_validation/final_report_1_5_2.md</t>
        </is>
      </c>
      <c r="Q26" s="20" t="inlineStr">
        <is>
          <t>C004</t>
        </is>
      </c>
      <c r="R26" s="20" t="inlineStr">
        <is>
          <t>Pending Human Adjudication</t>
        </is>
      </c>
      <c r="S26" s="20" t="inlineStr">
        <is>
          <t>Tobacco-use counts and percentages reconcile to 475/482 rather than the 477/484 arm headers.</t>
        </is>
      </c>
      <c r="T26" s="20" t="b">
        <v>1</v>
      </c>
      <c r="U26" s="20" t="inlineStr">
        <is>
          <t>undisclosed_denominator</t>
        </is>
      </c>
      <c r="V26" s="20" t="inlineStr">
        <is>
          <t>statistical_results</t>
        </is>
      </c>
      <c r="W26" s="20" t="inlineStr">
        <is>
          <t>Tobacco-use categories use undisclosed denominators</t>
        </is>
      </c>
      <c r="X26" s="20" t="inlineStr">
        <is>
          <t>2018</t>
        </is>
      </c>
      <c r="Y26" s="20" t="inlineStr">
        <is>
          <t>meta_report/consistency_reclassification_2026-09-04/reclassified_candidates.json</t>
        </is>
      </c>
      <c r="Z26" s="20" t="inlineStr">
        <is>
          <t>S_W</t>
        </is>
      </c>
      <c r="AA26" s="20" t="inlineStr">
        <is>
          <t>statistical_results</t>
        </is>
      </c>
      <c r="AB26" s="20" t="inlineStr">
        <is>
          <t>retain</t>
        </is>
      </c>
    </row>
    <row r="27" ht="90" customHeight="1" s="14">
      <c r="A27" s="24" t="b">
        <v>0</v>
      </c>
      <c r="B27" s="24" t="n"/>
      <c r="C27" s="24" t="b">
        <v>0</v>
      </c>
      <c r="D27" s="24" t="inlineStr">
        <is>
          <t>Denominator, proportion, or total inconsistency</t>
        </is>
      </c>
      <c r="E27" s="24" t="b">
        <v>0</v>
      </c>
      <c r="F27" s="24" t="inlineStr">
        <is>
          <t>C005</t>
        </is>
      </c>
      <c r="G27" s="24" t="inlineStr">
        <is>
          <t>2018::jama.2018.14280::C005</t>
        </is>
      </c>
      <c r="H27" s="24" t="n"/>
      <c r="I27" s="24" t="inlineStr">
        <is>
          <t>DOC-001, Table 1, Patient alcohol use, both arms.</t>
        </is>
      </c>
      <c r="J27" s="24" t="b">
        <v>0</v>
      </c>
      <c r="K27" s="24" t="inlineStr">
        <is>
          <t>jama.2018.14280</t>
        </is>
      </c>
      <c r="L27" s="24" t="n"/>
      <c r="M27" s="24" t="inlineStr">
        <is>
          <t>S_W</t>
        </is>
      </c>
      <c r="N27" s="24" t="inlineStr">
        <is>
          <t>Alcohol-use counts and percentages reconcile to 475/482 rather than Table 1 arm headers. The focal mismatch is within the main article.</t>
        </is>
      </c>
      <c r="O27" s="24" t="inlineStr">
        <is>
          <t>../../2018/jama.2018.14280/.ai_paper_validation/final_report_1_5_2.html</t>
        </is>
      </c>
      <c r="P27" s="24" t="inlineStr">
        <is>
          <t>2018/jama.2018.14280/.ai_paper_validation/final_report_1_5_2.md</t>
        </is>
      </c>
      <c r="Q27" s="24" t="inlineStr">
        <is>
          <t>C005</t>
        </is>
      </c>
      <c r="R27" s="24" t="inlineStr">
        <is>
          <t>Pending Human Adjudication</t>
        </is>
      </c>
      <c r="S27" s="24" t="inlineStr">
        <is>
          <t>Alcohol-use counts and percentages reconcile to 475/482 rather than Table 1 arm headers.</t>
        </is>
      </c>
      <c r="T27" s="24" t="b">
        <v>1</v>
      </c>
      <c r="U27" s="24" t="inlineStr">
        <is>
          <t>undisclosed_denominator</t>
        </is>
      </c>
      <c r="V27" s="24" t="inlineStr">
        <is>
          <t>statistical_results</t>
        </is>
      </c>
      <c r="W27" s="24" t="inlineStr">
        <is>
          <t>Alcohol-use categories use undisclosed denominators</t>
        </is>
      </c>
      <c r="X27" s="24" t="inlineStr">
        <is>
          <t>2018</t>
        </is>
      </c>
      <c r="Y27" s="24" t="inlineStr">
        <is>
          <t>meta_report/consistency_reclassification_2026-09-04/reclassified_candidates.json</t>
        </is>
      </c>
      <c r="Z27" s="24" t="inlineStr">
        <is>
          <t>S_W</t>
        </is>
      </c>
      <c r="AA27" s="24" t="inlineStr">
        <is>
          <t>statistical_results</t>
        </is>
      </c>
      <c r="AB27" s="24" t="inlineStr">
        <is>
          <t>retain</t>
        </is>
      </c>
    </row>
    <row r="28" ht="90" customHeight="1" s="14">
      <c r="A28" s="20" t="b">
        <v>0</v>
      </c>
      <c r="B28" s="20" t="n"/>
      <c r="C28" s="20" t="b">
        <v>0</v>
      </c>
      <c r="D28" s="20" t="inlineStr">
        <is>
          <t>Denominator, proportion, or total inconsistency</t>
        </is>
      </c>
      <c r="E28" s="20" t="b">
        <v>0</v>
      </c>
      <c r="F28" s="20" t="inlineStr">
        <is>
          <t>C006</t>
        </is>
      </c>
      <c r="G28" s="20" t="inlineStr">
        <is>
          <t>2018::jama.2018.14280::C006</t>
        </is>
      </c>
      <c r="H28" s="20" t="n"/>
      <c r="I28" s="20" t="inlineStr">
        <is>
          <t>DOC-001, Table 1, Reason for ICU admission, both arms.</t>
        </is>
      </c>
      <c r="J28" s="20" t="b">
        <v>0</v>
      </c>
      <c r="K28" s="20" t="inlineStr">
        <is>
          <t>jama.2018.14280</t>
        </is>
      </c>
      <c r="L28" s="20" t="n"/>
      <c r="M28" s="20" t="inlineStr">
        <is>
          <t>S_W</t>
        </is>
      </c>
      <c r="N28" s="20" t="inlineStr">
        <is>
          <t>Surgical/medical ICU-admission counts and percentages reconcile to 475/482 rather than arm headers. The focal mismatch is within the main article.</t>
        </is>
      </c>
      <c r="O28" s="20" t="inlineStr">
        <is>
          <t>../../2018/jama.2018.14280/.ai_paper_validation/final_report_1_5_2.html</t>
        </is>
      </c>
      <c r="P28" s="20" t="inlineStr">
        <is>
          <t>2018/jama.2018.14280/.ai_paper_validation/final_report_1_5_2.md</t>
        </is>
      </c>
      <c r="Q28" s="20" t="inlineStr">
        <is>
          <t>C006</t>
        </is>
      </c>
      <c r="R28" s="20" t="inlineStr">
        <is>
          <t>Pending Human Adjudication</t>
        </is>
      </c>
      <c r="S28" s="20" t="inlineStr">
        <is>
          <t>Surgical/medical ICU-admission counts and percentages reconcile to 475/482 rather than arm headers.</t>
        </is>
      </c>
      <c r="T28" s="20" t="b">
        <v>1</v>
      </c>
      <c r="U28" s="20" t="inlineStr">
        <is>
          <t>undisclosed_denominator</t>
        </is>
      </c>
      <c r="V28" s="20" t="inlineStr">
        <is>
          <t>statistical_results</t>
        </is>
      </c>
      <c r="W28" s="20" t="inlineStr">
        <is>
          <t>ICU-admission categories use undisclosed denominators</t>
        </is>
      </c>
      <c r="X28" s="20" t="inlineStr">
        <is>
          <t>2018</t>
        </is>
      </c>
      <c r="Y28" s="20" t="inlineStr">
        <is>
          <t>meta_report/consistency_reclassification_2026-09-04/reclassified_candidates.json</t>
        </is>
      </c>
      <c r="Z28" s="20" t="inlineStr">
        <is>
          <t>S_W</t>
        </is>
      </c>
      <c r="AA28" s="20" t="inlineStr">
        <is>
          <t>statistical_results</t>
        </is>
      </c>
      <c r="AB28" s="20" t="inlineStr">
        <is>
          <t>retain</t>
        </is>
      </c>
    </row>
    <row r="29" ht="90" customHeight="1" s="14">
      <c r="A29" s="24" t="b">
        <v>0</v>
      </c>
      <c r="B29" s="24" t="n"/>
      <c r="C29" s="24" t="b">
        <v>0</v>
      </c>
      <c r="D29" s="24" t="inlineStr">
        <is>
          <t>Denominator, proportion, or total inconsistency</t>
        </is>
      </c>
      <c r="E29" s="24" t="b">
        <v>0</v>
      </c>
      <c r="F29" s="24" t="inlineStr">
        <is>
          <t>C007</t>
        </is>
      </c>
      <c r="G29" s="24" t="inlineStr">
        <is>
          <t>2018::jama.2018.14280::C007</t>
        </is>
      </c>
      <c r="H29" s="24" t="n"/>
      <c r="I29" s="24" t="inlineStr">
        <is>
          <t>DOC-004, Supplement 3, eTable 4, Sedative infusion.</t>
        </is>
      </c>
      <c r="J29" s="24" t="b">
        <v>0</v>
      </c>
      <c r="K29" s="24" t="inlineStr">
        <is>
          <t>jama.2018.14280</t>
        </is>
      </c>
      <c r="L29" s="24" t="n"/>
      <c r="M29" s="24" t="inlineStr">
        <is>
          <t>S_W</t>
        </is>
      </c>
      <c r="N29" s="24" t="inlineStr">
        <is>
          <t>Sedative-infusion percentages reproduce from unprinted 453/462 denominators, not arm headers. The focal mismatch is within one non-plan results supplement.</t>
        </is>
      </c>
      <c r="O29" s="24" t="inlineStr">
        <is>
          <t>../../2018/jama.2018.14280/.ai_paper_validation/final_report_1_5_2.html</t>
        </is>
      </c>
      <c r="P29" s="24" t="inlineStr">
        <is>
          <t>2018/jama.2018.14280/.ai_paper_validation/final_report_1_5_2.md</t>
        </is>
      </c>
      <c r="Q29" s="24" t="inlineStr">
        <is>
          <t>C007</t>
        </is>
      </c>
      <c r="R29" s="24" t="inlineStr">
        <is>
          <t>Pending Human Adjudication</t>
        </is>
      </c>
      <c r="S29" s="24" t="inlineStr">
        <is>
          <t>Sedative-infusion percentages reproduce from unprinted 453/462 denominators, not arm headers.</t>
        </is>
      </c>
      <c r="T29" s="24" t="b">
        <v>1</v>
      </c>
      <c r="U29" s="24" t="inlineStr">
        <is>
          <t>undisclosed_denominator</t>
        </is>
      </c>
      <c r="V29" s="24" t="inlineStr">
        <is>
          <t>statistical_results</t>
        </is>
      </c>
      <c r="W29" s="24" t="inlineStr">
        <is>
          <t>Sedative-infusion percentages omit effective denominators</t>
        </is>
      </c>
      <c r="X29" s="24" t="inlineStr">
        <is>
          <t>2018</t>
        </is>
      </c>
      <c r="Y29" s="24" t="inlineStr">
        <is>
          <t>meta_report/consistency_reclassification_2026-09-04/reclassified_candidates.json</t>
        </is>
      </c>
      <c r="Z29" s="24" t="inlineStr">
        <is>
          <t>S_W</t>
        </is>
      </c>
      <c r="AA29" s="24" t="inlineStr">
        <is>
          <t>statistical_results</t>
        </is>
      </c>
      <c r="AB29" s="24" t="inlineStr">
        <is>
          <t>retain</t>
        </is>
      </c>
    </row>
    <row r="30" ht="90" customHeight="1" s="14">
      <c r="A30" s="20" t="b">
        <v>0</v>
      </c>
      <c r="B30" s="20" t="n"/>
      <c r="C30" s="20" t="b">
        <v>0</v>
      </c>
      <c r="D30" s="20" t="inlineStr">
        <is>
          <t>Denominator, proportion, or total inconsistency</t>
        </is>
      </c>
      <c r="E30" s="20" t="b">
        <v>0</v>
      </c>
      <c r="F30" s="20" t="inlineStr">
        <is>
          <t>C008</t>
        </is>
      </c>
      <c r="G30" s="20" t="inlineStr">
        <is>
          <t>2018::jama.2018.14280::C008</t>
        </is>
      </c>
      <c r="H30" s="20" t="n"/>
      <c r="I30" s="20" t="inlineStr">
        <is>
          <t>DOC-004, Supplement 3, eTable 4, Analgesic infusion.</t>
        </is>
      </c>
      <c r="J30" s="20" t="b">
        <v>0</v>
      </c>
      <c r="K30" s="20" t="inlineStr">
        <is>
          <t>jama.2018.14280</t>
        </is>
      </c>
      <c r="L30" s="20" t="n"/>
      <c r="M30" s="20" t="inlineStr">
        <is>
          <t>S_W</t>
        </is>
      </c>
      <c r="N30" s="20" t="inlineStr">
        <is>
          <t>Analgesic-infusion percentages reproduce from unprinted 453/462 denominators, not arm headers. The focal mismatch is within one non-plan results supplement.</t>
        </is>
      </c>
      <c r="O30" s="20" t="inlineStr">
        <is>
          <t>../../2018/jama.2018.14280/.ai_paper_validation/final_report_1_5_2.html</t>
        </is>
      </c>
      <c r="P30" s="20" t="inlineStr">
        <is>
          <t>2018/jama.2018.14280/.ai_paper_validation/final_report_1_5_2.md</t>
        </is>
      </c>
      <c r="Q30" s="20" t="inlineStr">
        <is>
          <t>C008</t>
        </is>
      </c>
      <c r="R30" s="20" t="inlineStr">
        <is>
          <t>Pending Human Adjudication</t>
        </is>
      </c>
      <c r="S30" s="20" t="inlineStr">
        <is>
          <t>Analgesic-infusion percentages reproduce from unprinted 453/462 denominators, not arm headers.</t>
        </is>
      </c>
      <c r="T30" s="20" t="b">
        <v>1</v>
      </c>
      <c r="U30" s="20" t="inlineStr">
        <is>
          <t>undisclosed_denominator</t>
        </is>
      </c>
      <c r="V30" s="20" t="inlineStr">
        <is>
          <t>statistical_results</t>
        </is>
      </c>
      <c r="W30" s="20" t="inlineStr">
        <is>
          <t>Analgesic-infusion percentages omit effective denominators</t>
        </is>
      </c>
      <c r="X30" s="20" t="inlineStr">
        <is>
          <t>2018</t>
        </is>
      </c>
      <c r="Y30" s="20" t="inlineStr">
        <is>
          <t>meta_report/consistency_reclassification_2026-09-04/reclassified_candidates.json</t>
        </is>
      </c>
      <c r="Z30" s="20" t="inlineStr">
        <is>
          <t>S_W</t>
        </is>
      </c>
      <c r="AA30" s="20" t="inlineStr">
        <is>
          <t>statistical_results</t>
        </is>
      </c>
      <c r="AB30" s="20" t="inlineStr">
        <is>
          <t>retain</t>
        </is>
      </c>
    </row>
    <row r="31" ht="90" customHeight="1" s="14">
      <c r="A31" s="24" t="b">
        <v>0</v>
      </c>
      <c r="B31" s="24" t="n"/>
      <c r="C31" s="24" t="b">
        <v>0</v>
      </c>
      <c r="D31" s="24" t="inlineStr">
        <is>
          <t>Denominator, proportion, or total inconsistency</t>
        </is>
      </c>
      <c r="E31" s="24" t="b">
        <v>0</v>
      </c>
      <c r="F31" s="24" t="inlineStr">
        <is>
          <t>C009</t>
        </is>
      </c>
      <c r="G31" s="24" t="inlineStr">
        <is>
          <t>2018::jama.2018.14280::C009</t>
        </is>
      </c>
      <c r="H31" s="24" t="n"/>
      <c r="I31" s="24" t="inlineStr">
        <is>
          <t>DOC-004, Supplement 3, eTable 4, Neuromuscular blockade.</t>
        </is>
      </c>
      <c r="J31" s="24" t="b">
        <v>0</v>
      </c>
      <c r="K31" s="24" t="inlineStr">
        <is>
          <t>jama.2018.14280</t>
        </is>
      </c>
      <c r="L31" s="24" t="n"/>
      <c r="M31" s="24" t="inlineStr">
        <is>
          <t>S_W</t>
        </is>
      </c>
      <c r="N31" s="24" t="inlineStr">
        <is>
          <t>Neuromuscular-blockade percentages reproduce from unprinted 453/462 denominators, not arm headers. The focal mismatch is within one non-plan results supplement.</t>
        </is>
      </c>
      <c r="O31" s="24" t="inlineStr">
        <is>
          <t>../../2018/jama.2018.14280/.ai_paper_validation/final_report_1_5_2.html</t>
        </is>
      </c>
      <c r="P31" s="24" t="inlineStr">
        <is>
          <t>2018/jama.2018.14280/.ai_paper_validation/final_report_1_5_2.md</t>
        </is>
      </c>
      <c r="Q31" s="24" t="inlineStr">
        <is>
          <t>C009</t>
        </is>
      </c>
      <c r="R31" s="24" t="inlineStr">
        <is>
          <t>Pending Human Adjudication</t>
        </is>
      </c>
      <c r="S31" s="24" t="inlineStr">
        <is>
          <t>Neuromuscular-blockade percentages reproduce from unprinted 453/462 denominators, not arm headers.</t>
        </is>
      </c>
      <c r="T31" s="24" t="b">
        <v>1</v>
      </c>
      <c r="U31" s="24" t="inlineStr">
        <is>
          <t>undisclosed_denominator</t>
        </is>
      </c>
      <c r="V31" s="24" t="inlineStr">
        <is>
          <t>statistical_results</t>
        </is>
      </c>
      <c r="W31" s="24" t="inlineStr">
        <is>
          <t>Neuromuscular-blockade percentages omit effective denominators</t>
        </is>
      </c>
      <c r="X31" s="24" t="inlineStr">
        <is>
          <t>2018</t>
        </is>
      </c>
      <c r="Y31" s="24" t="inlineStr">
        <is>
          <t>meta_report/consistency_reclassification_2026-09-04/reclassified_candidates.json</t>
        </is>
      </c>
      <c r="Z31" s="24" t="inlineStr">
        <is>
          <t>S_W</t>
        </is>
      </c>
      <c r="AA31" s="24" t="inlineStr">
        <is>
          <t>statistical_results</t>
        </is>
      </c>
      <c r="AB31" s="24" t="inlineStr">
        <is>
          <t>retain</t>
        </is>
      </c>
    </row>
    <row r="32" ht="90" customHeight="1" s="14">
      <c r="A32" s="20" t="b">
        <v>0</v>
      </c>
      <c r="B32" s="20" t="n"/>
      <c r="C32" s="20" t="b">
        <v>0</v>
      </c>
      <c r="D32" s="20" t="inlineStr">
        <is>
          <t>Denominator, proportion, or total inconsistency</t>
        </is>
      </c>
      <c r="E32" s="20" t="b">
        <v>0</v>
      </c>
      <c r="F32" s="20" t="inlineStr">
        <is>
          <t>C010</t>
        </is>
      </c>
      <c r="G32" s="20" t="inlineStr">
        <is>
          <t>2018::jama.2018.14280::C010</t>
        </is>
      </c>
      <c r="H32" s="20" t="n"/>
      <c r="I32" s="20" t="inlineStr">
        <is>
          <t>DOC-004, Supplement 3, eTable 4, Use of vasopressors.</t>
        </is>
      </c>
      <c r="J32" s="20" t="b">
        <v>0</v>
      </c>
      <c r="K32" s="20" t="inlineStr">
        <is>
          <t>jama.2018.14280</t>
        </is>
      </c>
      <c r="L32" s="20" t="n"/>
      <c r="M32" s="20" t="inlineStr">
        <is>
          <t>S_W</t>
        </is>
      </c>
      <c r="N32" s="20" t="inlineStr">
        <is>
          <t>Vasopressor-use percentages reproduce from 454/462, not displayed arm headers. The focal mismatch is within one non-plan results supplement.</t>
        </is>
      </c>
      <c r="O32" s="20" t="inlineStr">
        <is>
          <t>../../2018/jama.2018.14280/.ai_paper_validation/final_report_1_5_2.html</t>
        </is>
      </c>
      <c r="P32" s="20" t="inlineStr">
        <is>
          <t>2018/jama.2018.14280/.ai_paper_validation/final_report_1_5_2.md</t>
        </is>
      </c>
      <c r="Q32" s="20" t="inlineStr">
        <is>
          <t>C010</t>
        </is>
      </c>
      <c r="R32" s="20" t="inlineStr">
        <is>
          <t>Pending Human Adjudication</t>
        </is>
      </c>
      <c r="S32" s="20" t="inlineStr">
        <is>
          <t>Vasopressor-use percentages reproduce from 454/462, not displayed arm headers.</t>
        </is>
      </c>
      <c r="T32" s="20" t="b">
        <v>1</v>
      </c>
      <c r="U32" s="20" t="inlineStr">
        <is>
          <t>undisclosed_denominator</t>
        </is>
      </c>
      <c r="V32" s="20" t="inlineStr">
        <is>
          <t>statistical_results</t>
        </is>
      </c>
      <c r="W32" s="20" t="inlineStr">
        <is>
          <t>Vasopressor-use percentages omit effective denominators</t>
        </is>
      </c>
      <c r="X32" s="20" t="inlineStr">
        <is>
          <t>2018</t>
        </is>
      </c>
      <c r="Y32" s="20" t="inlineStr">
        <is>
          <t>meta_report/consistency_reclassification_2026-09-04/reclassified_candidates.json</t>
        </is>
      </c>
      <c r="Z32" s="20" t="inlineStr">
        <is>
          <t>S_W</t>
        </is>
      </c>
      <c r="AA32" s="20" t="inlineStr">
        <is>
          <t>statistical_results</t>
        </is>
      </c>
      <c r="AB32" s="20" t="inlineStr">
        <is>
          <t>retain</t>
        </is>
      </c>
    </row>
    <row r="33" ht="90" customHeight="1" s="14">
      <c r="A33" s="24" t="b">
        <v>0</v>
      </c>
      <c r="B33" s="24" t="inlineStr">
        <is>
          <t>The Methods sentence may intend only time-indexed 28/90-day mortality. No independent report-versus-plan departure is counted merely because SAP wording supports the table.</t>
        </is>
      </c>
      <c r="C33" s="24" t="b">
        <v>0</v>
      </c>
      <c r="D33" s="24" t="inlineStr">
        <is>
          <t>Measure, label, or scale inconsistency</t>
        </is>
      </c>
      <c r="E33" s="24" t="b">
        <v>0</v>
      </c>
      <c r="F33" s="24" t="inlineStr">
        <is>
          <t>C011</t>
        </is>
      </c>
      <c r="G33" s="24" t="inlineStr">
        <is>
          <t>2018::jama.2018.14280::C011</t>
        </is>
      </c>
      <c r="H33" s="24" t="n"/>
      <c r="I33" s="24" t="inlineStr">
        <is>
          <t>DOC-001 Statistical Analysis and Table 2/footnotes; DOC-003 SAP secondary outcomes.</t>
        </is>
      </c>
      <c r="J33" s="24" t="b">
        <v>0</v>
      </c>
      <c r="K33" s="24" t="inlineStr">
        <is>
          <t>jama.2018.14280</t>
        </is>
      </c>
      <c r="L33" s="24" t="n"/>
      <c r="M33" s="24" t="inlineStr">
        <is>
          <t>S_W</t>
        </is>
      </c>
      <c r="N33" s="24" t="inlineStr">
        <is>
          <t>Main Methods broadly assigns mortality Cox HRs while main Table 2 labels ICU/hospital mortality RR. The SAP agrees with Table 2 and is corroboration of a Methods-versus-results wording discrepancy inside the main article.</t>
        </is>
      </c>
      <c r="O33" s="24" t="inlineStr">
        <is>
          <t>../../2018/jama.2018.14280/.ai_paper_validation/final_report_1_5_2.html</t>
        </is>
      </c>
      <c r="P33" s="24" t="inlineStr">
        <is>
          <t>2018/jama.2018.14280/.ai_paper_validation/final_report_1_5_2.md</t>
        </is>
      </c>
      <c r="Q33" s="24" t="inlineStr">
        <is>
          <t>C011</t>
        </is>
      </c>
      <c r="R33" s="24" t="inlineStr">
        <is>
          <t>Pending Human Adjudication</t>
        </is>
      </c>
      <c r="S33" s="24" t="inlineStr">
        <is>
          <t>The main Methods wording can assign Cox HRs to ICU/hospital mortality, while Table 2 and the SAP assign RRs.</t>
        </is>
      </c>
      <c r="T33" s="24" t="b">
        <v>1</v>
      </c>
      <c r="U33" s="24" t="inlineStr">
        <is>
          <t>effect_measure_methods_vs_table</t>
        </is>
      </c>
      <c r="V33" s="24" t="inlineStr">
        <is>
          <t>report_internal_inconsistency</t>
        </is>
      </c>
      <c r="W33" s="24" t="inlineStr">
        <is>
          <t>Mortality effect-measure wording conflicts with Table 2 and the SAP</t>
        </is>
      </c>
      <c r="X33" s="24" t="inlineStr">
        <is>
          <t>2018</t>
        </is>
      </c>
      <c r="Y33" s="24" t="inlineStr">
        <is>
          <t>meta_report/consistency_reclassification_2026-09-04/reclassified_candidates.json</t>
        </is>
      </c>
      <c r="Z33" s="24" t="inlineStr">
        <is>
          <t>S_W</t>
        </is>
      </c>
      <c r="AA33" s="24" t="inlineStr">
        <is>
          <t>report_internal_inconsistency</t>
        </is>
      </c>
      <c r="AB33" s="24" t="inlineStr">
        <is>
          <t>retain</t>
        </is>
      </c>
    </row>
    <row r="34" ht="90" customHeight="1" s="14">
      <c r="A34" s="20" t="b">
        <v>0</v>
      </c>
      <c r="B34" s="20" t="inlineStr">
        <is>
          <t>Diagnostic comparison assumes the printed RR is crude; the exact estimator, weighting, or analysis population is not supplied. These are separate outcome rows, not proven instances of a single underlying coding error.</t>
        </is>
      </c>
      <c r="C34" s="20" t="b">
        <v>0</v>
      </c>
      <c r="D34" s="20" t="inlineStr">
        <is>
          <t>Statistical reporting inconsistency</t>
        </is>
      </c>
      <c r="E34" s="20" t="b">
        <v>0</v>
      </c>
      <c r="F34" s="20" t="inlineStr">
        <is>
          <t>C012</t>
        </is>
      </c>
      <c r="G34" s="20" t="inlineStr">
        <is>
          <t>2018::jama.2018.14280::C012</t>
        </is>
      </c>
      <c r="H34" s="20" t="n"/>
      <c r="I34" s="20" t="inlineStr">
        <is>
          <t>DOC-001, Table 2, ICU mortality and footnote c.</t>
        </is>
      </c>
      <c r="J34" s="20" t="b">
        <v>0</v>
      </c>
      <c r="K34" s="20" t="inlineStr">
        <is>
          <t>jama.2018.14280</t>
        </is>
      </c>
      <c r="L34" s="20" t="n"/>
      <c r="M34" s="20" t="inlineStr">
        <is>
          <t>S_W</t>
        </is>
      </c>
      <c r="N34" s="20" t="inlineStr">
        <is>
          <t>Printed ICU-mortality RR 1.11 does not reproduce as the crude low/intermediate ratio from displayed risks. The focal mismatch is within the main article.</t>
        </is>
      </c>
      <c r="O34" s="20" t="inlineStr">
        <is>
          <t>../../2018/jama.2018.14280/.ai_paper_validation/final_report_1_5_2.html</t>
        </is>
      </c>
      <c r="P34" s="20" t="inlineStr">
        <is>
          <t>2018/jama.2018.14280/.ai_paper_validation/final_report_1_5_2.md</t>
        </is>
      </c>
      <c r="Q34" s="20" t="inlineStr">
        <is>
          <t>C012</t>
        </is>
      </c>
      <c r="R34" s="20" t="inlineStr">
        <is>
          <t>Pending Human Adjudication</t>
        </is>
      </c>
      <c r="S34" s="20" t="inlineStr">
        <is>
          <t>Printed ICU-mortality RR 1.11 does not reproduce as the crude low/intermediate ratio from displayed risks.</t>
        </is>
      </c>
      <c r="T34" s="20" t="b">
        <v>1</v>
      </c>
      <c r="U34" s="20" t="inlineStr">
        <is>
          <t>rr_vs_displayed_risks</t>
        </is>
      </c>
      <c r="V34" s="20" t="inlineStr">
        <is>
          <t>statistical_results</t>
        </is>
      </c>
      <c r="W34" s="20" t="inlineStr">
        <is>
          <t>ICU-mortality RR does not reproduce from printed risks</t>
        </is>
      </c>
      <c r="X34" s="20" t="inlineStr">
        <is>
          <t>2018</t>
        </is>
      </c>
      <c r="Y34" s="20" t="inlineStr">
        <is>
          <t>meta_report/consistency_reclassification_2026-09-04/reclassified_candidates.json</t>
        </is>
      </c>
      <c r="Z34" s="20" t="inlineStr">
        <is>
          <t>S_W</t>
        </is>
      </c>
      <c r="AA34" s="20" t="inlineStr">
        <is>
          <t>statistical_results</t>
        </is>
      </c>
      <c r="AB34" s="20" t="inlineStr">
        <is>
          <t>retain</t>
        </is>
      </c>
    </row>
    <row r="35" ht="90" customHeight="1" s="14">
      <c r="A35" s="24" t="b">
        <v>0</v>
      </c>
      <c r="B35" s="24" t="inlineStr">
        <is>
          <t>Diagnostic comparison assumes the printed RR is crude; the exact estimator, weighting, or analysis population is not supplied. These are separate outcome rows, not proven instances of a single underlying coding error.</t>
        </is>
      </c>
      <c r="C35" s="24" t="b">
        <v>0</v>
      </c>
      <c r="D35" s="24" t="inlineStr">
        <is>
          <t>Statistical reporting inconsistency</t>
        </is>
      </c>
      <c r="E35" s="24" t="b">
        <v>0</v>
      </c>
      <c r="F35" s="24" t="inlineStr">
        <is>
          <t>C013</t>
        </is>
      </c>
      <c r="G35" s="24" t="inlineStr">
        <is>
          <t>2018::jama.2018.14280::C013</t>
        </is>
      </c>
      <c r="H35" s="24" t="n"/>
      <c r="I35" s="24" t="inlineStr">
        <is>
          <t>DOC-001, Table 2, hospital mortality and footnote c.</t>
        </is>
      </c>
      <c r="J35" s="24" t="b">
        <v>0</v>
      </c>
      <c r="K35" s="24" t="inlineStr">
        <is>
          <t>jama.2018.14280</t>
        </is>
      </c>
      <c r="L35" s="24" t="n"/>
      <c r="M35" s="24" t="inlineStr">
        <is>
          <t>S_W</t>
        </is>
      </c>
      <c r="N35" s="24" t="inlineStr">
        <is>
          <t>Printed hospital-mortality RR 1.06 does not reproduce from displayed risks under the crude comparator. The focal mismatch is within the main article.</t>
        </is>
      </c>
      <c r="O35" s="24" t="inlineStr">
        <is>
          <t>../../2018/jama.2018.14280/.ai_paper_validation/final_report_1_5_2.html</t>
        </is>
      </c>
      <c r="P35" s="24" t="inlineStr">
        <is>
          <t>2018/jama.2018.14280/.ai_paper_validation/final_report_1_5_2.md</t>
        </is>
      </c>
      <c r="Q35" s="24" t="inlineStr">
        <is>
          <t>C013</t>
        </is>
      </c>
      <c r="R35" s="24" t="inlineStr">
        <is>
          <t>Pending Human Adjudication</t>
        </is>
      </c>
      <c r="S35" s="24" t="inlineStr">
        <is>
          <t>Printed hospital-mortality RR 1.06 does not reproduce from displayed risks under the crude comparator.</t>
        </is>
      </c>
      <c r="T35" s="24" t="b">
        <v>1</v>
      </c>
      <c r="U35" s="24" t="inlineStr">
        <is>
          <t>rr_vs_displayed_risks</t>
        </is>
      </c>
      <c r="V35" s="24" t="inlineStr">
        <is>
          <t>statistical_results</t>
        </is>
      </c>
      <c r="W35" s="24" t="inlineStr">
        <is>
          <t>Hospital-mortality RR does not reproduce from printed risks</t>
        </is>
      </c>
      <c r="X35" s="24" t="inlineStr">
        <is>
          <t>2018</t>
        </is>
      </c>
      <c r="Y35" s="24" t="inlineStr">
        <is>
          <t>meta_report/consistency_reclassification_2026-09-04/reclassified_candidates.json</t>
        </is>
      </c>
      <c r="Z35" s="24" t="inlineStr">
        <is>
          <t>S_W</t>
        </is>
      </c>
      <c r="AA35" s="24" t="inlineStr">
        <is>
          <t>statistical_results</t>
        </is>
      </c>
      <c r="AB35" s="24" t="inlineStr">
        <is>
          <t>retain</t>
        </is>
      </c>
    </row>
    <row r="36" ht="90" customHeight="1" s="14">
      <c r="A36" s="20" t="b">
        <v>0</v>
      </c>
      <c r="B36" s="20" t="inlineStr">
        <is>
          <t>Diagnostic comparison assumes the printed RR is crude; the exact estimator, weighting, or analysis population is not supplied. These are separate outcome rows, not proven instances of a single underlying coding error.</t>
        </is>
      </c>
      <c r="C36" s="20" t="b">
        <v>0</v>
      </c>
      <c r="D36" s="20" t="inlineStr">
        <is>
          <t>Statistical reporting inconsistency</t>
        </is>
      </c>
      <c r="E36" s="20" t="b">
        <v>0</v>
      </c>
      <c r="F36" s="20" t="inlineStr">
        <is>
          <t>C014</t>
        </is>
      </c>
      <c r="G36" s="20" t="inlineStr">
        <is>
          <t>2018::jama.2018.14280::C014</t>
        </is>
      </c>
      <c r="H36" s="20" t="n"/>
      <c r="I36" s="20" t="inlineStr">
        <is>
          <t>DOC-001, Table 2, Development of ARDS and footnote c.</t>
        </is>
      </c>
      <c r="J36" s="20" t="b">
        <v>0</v>
      </c>
      <c r="K36" s="20" t="inlineStr">
        <is>
          <t>jama.2018.14280</t>
        </is>
      </c>
      <c r="L36" s="20" t="n"/>
      <c r="M36" s="20" t="inlineStr">
        <is>
          <t>S_W</t>
        </is>
      </c>
      <c r="N36" s="20" t="inlineStr">
        <is>
          <t>Printed ARDS RR 0.86 does not reproduce from displayed risks under the crude comparator. The focal mismatch is within the main article.</t>
        </is>
      </c>
      <c r="O36" s="20" t="inlineStr">
        <is>
          <t>../../2018/jama.2018.14280/.ai_paper_validation/final_report_1_5_2.html</t>
        </is>
      </c>
      <c r="P36" s="20" t="inlineStr">
        <is>
          <t>2018/jama.2018.14280/.ai_paper_validation/final_report_1_5_2.md</t>
        </is>
      </c>
      <c r="Q36" s="20" t="inlineStr">
        <is>
          <t>C014</t>
        </is>
      </c>
      <c r="R36" s="20" t="inlineStr">
        <is>
          <t>Pending Human Adjudication</t>
        </is>
      </c>
      <c r="S36" s="20" t="inlineStr">
        <is>
          <t>Printed ARDS RR 0.86 does not reproduce from displayed risks under the crude comparator.</t>
        </is>
      </c>
      <c r="T36" s="20" t="b">
        <v>1</v>
      </c>
      <c r="U36" s="20" t="inlineStr">
        <is>
          <t>rr_vs_displayed_risks</t>
        </is>
      </c>
      <c r="V36" s="20" t="inlineStr">
        <is>
          <t>statistical_results</t>
        </is>
      </c>
      <c r="W36" s="20" t="inlineStr">
        <is>
          <t>ARDS RR does not reproduce from printed risks</t>
        </is>
      </c>
      <c r="X36" s="20" t="inlineStr">
        <is>
          <t>2018</t>
        </is>
      </c>
      <c r="Y36" s="20" t="inlineStr">
        <is>
          <t>meta_report/consistency_reclassification_2026-09-04/reclassified_candidates.json</t>
        </is>
      </c>
      <c r="Z36" s="20" t="inlineStr">
        <is>
          <t>S_W</t>
        </is>
      </c>
      <c r="AA36" s="20" t="inlineStr">
        <is>
          <t>statistical_results</t>
        </is>
      </c>
      <c r="AB36" s="20" t="inlineStr">
        <is>
          <t>retain</t>
        </is>
      </c>
    </row>
    <row r="37" ht="90" customHeight="1" s="14">
      <c r="A37" s="24" t="b">
        <v>0</v>
      </c>
      <c r="B37" s="24" t="inlineStr">
        <is>
          <t>Diagnostic comparison assumes the printed RR is crude; the exact estimator, weighting, or analysis population is not supplied. These are separate outcome rows, not proven instances of a single underlying coding error.</t>
        </is>
      </c>
      <c r="C37" s="24" t="b">
        <v>0</v>
      </c>
      <c r="D37" s="24" t="inlineStr">
        <is>
          <t>Statistical reporting inconsistency</t>
        </is>
      </c>
      <c r="E37" s="24" t="b">
        <v>0</v>
      </c>
      <c r="F37" s="24" t="inlineStr">
        <is>
          <t>C015</t>
        </is>
      </c>
      <c r="G37" s="24" t="inlineStr">
        <is>
          <t>2018::jama.2018.14280::C015</t>
        </is>
      </c>
      <c r="H37" s="24" t="n"/>
      <c r="I37" s="24" t="inlineStr">
        <is>
          <t>DOC-001, Table 2, Development of pneumonia and footnote c.</t>
        </is>
      </c>
      <c r="J37" s="24" t="b">
        <v>0</v>
      </c>
      <c r="K37" s="24" t="inlineStr">
        <is>
          <t>jama.2018.14280</t>
        </is>
      </c>
      <c r="L37" s="24" t="n"/>
      <c r="M37" s="24" t="inlineStr">
        <is>
          <t>S_W</t>
        </is>
      </c>
      <c r="N37" s="24" t="inlineStr">
        <is>
          <t>Printed pneumonia RR 1.07 does not reproduce from displayed risks under the crude comparator. The focal mismatch is within the main article.</t>
        </is>
      </c>
      <c r="O37" s="24" t="inlineStr">
        <is>
          <t>../../2018/jama.2018.14280/.ai_paper_validation/final_report_1_5_2.html</t>
        </is>
      </c>
      <c r="P37" s="24" t="inlineStr">
        <is>
          <t>2018/jama.2018.14280/.ai_paper_validation/final_report_1_5_2.md</t>
        </is>
      </c>
      <c r="Q37" s="24" t="inlineStr">
        <is>
          <t>C015</t>
        </is>
      </c>
      <c r="R37" s="24" t="inlineStr">
        <is>
          <t>Pending Human Adjudication</t>
        </is>
      </c>
      <c r="S37" s="24" t="inlineStr">
        <is>
          <t>Printed pneumonia RR 1.07 does not reproduce from displayed risks under the crude comparator.</t>
        </is>
      </c>
      <c r="T37" s="24" t="b">
        <v>1</v>
      </c>
      <c r="U37" s="24" t="inlineStr">
        <is>
          <t>rr_vs_displayed_risks</t>
        </is>
      </c>
      <c r="V37" s="24" t="inlineStr">
        <is>
          <t>statistical_results</t>
        </is>
      </c>
      <c r="W37" s="24" t="inlineStr">
        <is>
          <t>Pneumonia RR does not reproduce from printed risks</t>
        </is>
      </c>
      <c r="X37" s="24" t="inlineStr">
        <is>
          <t>2018</t>
        </is>
      </c>
      <c r="Y37" s="24" t="inlineStr">
        <is>
          <t>meta_report/consistency_reclassification_2026-09-04/reclassified_candidates.json</t>
        </is>
      </c>
      <c r="Z37" s="24" t="inlineStr">
        <is>
          <t>S_W</t>
        </is>
      </c>
      <c r="AA37" s="24" t="inlineStr">
        <is>
          <t>statistical_results</t>
        </is>
      </c>
      <c r="AB37" s="24" t="inlineStr">
        <is>
          <t>retain</t>
        </is>
      </c>
    </row>
    <row r="38" ht="90" customHeight="1" s="14">
      <c r="A38" s="20" t="b">
        <v>0</v>
      </c>
      <c r="B38" s="20" t="inlineStr">
        <is>
          <t>Diagnostic comparison assumes the printed RR is crude; the exact estimator, weighting, or analysis population is not supplied. These are separate outcome rows, not proven instances of a single underlying coding error.</t>
        </is>
      </c>
      <c r="C38" s="20" t="b">
        <v>0</v>
      </c>
      <c r="D38" s="20" t="inlineStr">
        <is>
          <t>Statistical reporting inconsistency</t>
        </is>
      </c>
      <c r="E38" s="20" t="b">
        <v>0</v>
      </c>
      <c r="F38" s="20" t="inlineStr">
        <is>
          <t>C016</t>
        </is>
      </c>
      <c r="G38" s="20" t="inlineStr">
        <is>
          <t>2018::jama.2018.14280::C016</t>
        </is>
      </c>
      <c r="H38" s="20" t="n"/>
      <c r="I38" s="20" t="inlineStr">
        <is>
          <t>DOC-001, Table 2, Pneumothorax and footnote c.</t>
        </is>
      </c>
      <c r="J38" s="20" t="b">
        <v>0</v>
      </c>
      <c r="K38" s="20" t="inlineStr">
        <is>
          <t>jama.2018.14280</t>
        </is>
      </c>
      <c r="L38" s="20" t="n"/>
      <c r="M38" s="20" t="inlineStr">
        <is>
          <t>S_W</t>
        </is>
      </c>
      <c r="N38" s="20" t="inlineStr">
        <is>
          <t>Printed pneumothorax RR 1.16 does not reproduce from displayed risks under the crude comparator. The focal mismatch is within the main article.</t>
        </is>
      </c>
      <c r="O38" s="20" t="inlineStr">
        <is>
          <t>../../2018/jama.2018.14280/.ai_paper_validation/final_report_1_5_2.html</t>
        </is>
      </c>
      <c r="P38" s="20" t="inlineStr">
        <is>
          <t>2018/jama.2018.14280/.ai_paper_validation/final_report_1_5_2.md</t>
        </is>
      </c>
      <c r="Q38" s="20" t="inlineStr">
        <is>
          <t>C016</t>
        </is>
      </c>
      <c r="R38" s="20" t="inlineStr">
        <is>
          <t>Pending Human Adjudication</t>
        </is>
      </c>
      <c r="S38" s="20" t="inlineStr">
        <is>
          <t>Printed pneumothorax RR 1.16 does not reproduce from displayed risks under the crude comparator.</t>
        </is>
      </c>
      <c r="T38" s="20" t="b">
        <v>1</v>
      </c>
      <c r="U38" s="20" t="inlineStr">
        <is>
          <t>rr_vs_displayed_risks</t>
        </is>
      </c>
      <c r="V38" s="20" t="inlineStr">
        <is>
          <t>statistical_results</t>
        </is>
      </c>
      <c r="W38" s="20" t="inlineStr">
        <is>
          <t>Pneumothorax RR does not reproduce from printed risks</t>
        </is>
      </c>
      <c r="X38" s="20" t="inlineStr">
        <is>
          <t>2018</t>
        </is>
      </c>
      <c r="Y38" s="20" t="inlineStr">
        <is>
          <t>meta_report/consistency_reclassification_2026-09-04/reclassified_candidates.json</t>
        </is>
      </c>
      <c r="Z38" s="20" t="inlineStr">
        <is>
          <t>S_W</t>
        </is>
      </c>
      <c r="AA38" s="20" t="inlineStr">
        <is>
          <t>statistical_results</t>
        </is>
      </c>
      <c r="AB38" s="20" t="inlineStr">
        <is>
          <t>retain</t>
        </is>
      </c>
    </row>
    <row r="39" ht="90" customHeight="1" s="14">
      <c r="A39" s="24" t="b">
        <v>0</v>
      </c>
      <c r="B39" s="24" t="inlineStr">
        <is>
          <t>Diagnostic comparison assumes the printed RR is crude; the exact estimator, weighting, or analysis population is not supplied. These are separate outcome rows, not proven instances of a single underlying coding error.</t>
        </is>
      </c>
      <c r="C39" s="24" t="b">
        <v>0</v>
      </c>
      <c r="D39" s="24" t="inlineStr">
        <is>
          <t>Statistical reporting inconsistency</t>
        </is>
      </c>
      <c r="E39" s="24" t="b">
        <v>0</v>
      </c>
      <c r="F39" s="24" t="inlineStr">
        <is>
          <t>C017</t>
        </is>
      </c>
      <c r="G39" s="24" t="inlineStr">
        <is>
          <t>2018::jama.2018.14280::C017</t>
        </is>
      </c>
      <c r="H39" s="24" t="n"/>
      <c r="I39" s="24" t="inlineStr">
        <is>
          <t>DOC-001, Table 2, Atelectasis and footnote c.</t>
        </is>
      </c>
      <c r="J39" s="24" t="b">
        <v>0</v>
      </c>
      <c r="K39" s="24" t="inlineStr">
        <is>
          <t>jama.2018.14280</t>
        </is>
      </c>
      <c r="L39" s="24" t="n"/>
      <c r="M39" s="24" t="inlineStr">
        <is>
          <t>S_W</t>
        </is>
      </c>
      <c r="N39" s="24" t="inlineStr">
        <is>
          <t>Printed atelectasis RR 1.00 does not reproduce from displayed risks under the crude comparator. The focal mismatch is within the main article.</t>
        </is>
      </c>
      <c r="O39" s="24" t="inlineStr">
        <is>
          <t>../../2018/jama.2018.14280/.ai_paper_validation/final_report_1_5_2.html</t>
        </is>
      </c>
      <c r="P39" s="24" t="inlineStr">
        <is>
          <t>2018/jama.2018.14280/.ai_paper_validation/final_report_1_5_2.md</t>
        </is>
      </c>
      <c r="Q39" s="24" t="inlineStr">
        <is>
          <t>C017</t>
        </is>
      </c>
      <c r="R39" s="24" t="inlineStr">
        <is>
          <t>Pending Human Adjudication</t>
        </is>
      </c>
      <c r="S39" s="24" t="inlineStr">
        <is>
          <t>Printed atelectasis RR 1.00 does not reproduce from displayed risks under the crude comparator.</t>
        </is>
      </c>
      <c r="T39" s="24" t="b">
        <v>1</v>
      </c>
      <c r="U39" s="24" t="inlineStr">
        <is>
          <t>rr_vs_displayed_risks</t>
        </is>
      </c>
      <c r="V39" s="24" t="inlineStr">
        <is>
          <t>statistical_results</t>
        </is>
      </c>
      <c r="W39" s="24" t="inlineStr">
        <is>
          <t>Atelectasis RR does not reproduce from printed risks</t>
        </is>
      </c>
      <c r="X39" s="24" t="inlineStr">
        <is>
          <t>2018</t>
        </is>
      </c>
      <c r="Y39" s="24" t="inlineStr">
        <is>
          <t>meta_report/consistency_reclassification_2026-09-04/reclassified_candidates.json</t>
        </is>
      </c>
      <c r="Z39" s="24" t="inlineStr">
        <is>
          <t>S_W</t>
        </is>
      </c>
      <c r="AA39" s="24" t="inlineStr">
        <is>
          <t>statistical_results</t>
        </is>
      </c>
      <c r="AB39" s="24" t="inlineStr">
        <is>
          <t>retain</t>
        </is>
      </c>
    </row>
    <row r="40" ht="90" customHeight="1" s="14">
      <c r="A40" s="20" t="b">
        <v>0</v>
      </c>
      <c r="B40" s="20" t="inlineStr">
        <is>
          <t>Diagnostic comparison assumes the printed RR is crude; the exact estimator, weighting, or analysis population is not supplied. These are separate outcome rows, not proven instances of a single underlying coding error.</t>
        </is>
      </c>
      <c r="C40" s="20" t="b">
        <v>0</v>
      </c>
      <c r="D40" s="20" t="inlineStr">
        <is>
          <t>Statistical reporting inconsistency</t>
        </is>
      </c>
      <c r="E40" s="20" t="b">
        <v>0</v>
      </c>
      <c r="F40" s="20" t="inlineStr">
        <is>
          <t>C018</t>
        </is>
      </c>
      <c r="G40" s="20" t="inlineStr">
        <is>
          <t>2018::jama.2018.14280::C018</t>
        </is>
      </c>
      <c r="H40" s="20" t="n"/>
      <c r="I40" s="20" t="inlineStr">
        <is>
          <t>DOC-001, Table 2, Extrapulmonary infection and footnote c.</t>
        </is>
      </c>
      <c r="J40" s="20" t="b">
        <v>0</v>
      </c>
      <c r="K40" s="20" t="inlineStr">
        <is>
          <t>jama.2018.14280</t>
        </is>
      </c>
      <c r="L40" s="20" t="n"/>
      <c r="M40" s="20" t="inlineStr">
        <is>
          <t>S_W</t>
        </is>
      </c>
      <c r="N40" s="20" t="inlineStr">
        <is>
          <t>Printed extrapulmonary-infection RR 0.84 does not reproduce from displayed risks under the crude comparator. The focal mismatch is within the main article.</t>
        </is>
      </c>
      <c r="O40" s="20" t="inlineStr">
        <is>
          <t>../../2018/jama.2018.14280/.ai_paper_validation/final_report_1_5_2.html</t>
        </is>
      </c>
      <c r="P40" s="20" t="inlineStr">
        <is>
          <t>2018/jama.2018.14280/.ai_paper_validation/final_report_1_5_2.md</t>
        </is>
      </c>
      <c r="Q40" s="20" t="inlineStr">
        <is>
          <t>C018</t>
        </is>
      </c>
      <c r="R40" s="20" t="inlineStr">
        <is>
          <t>Pending Human Adjudication</t>
        </is>
      </c>
      <c r="S40" s="20" t="inlineStr">
        <is>
          <t>Printed extrapulmonary-infection RR 0.84 does not reproduce from displayed risks under the crude comparator.</t>
        </is>
      </c>
      <c r="T40" s="20" t="b">
        <v>1</v>
      </c>
      <c r="U40" s="20" t="inlineStr">
        <is>
          <t>rr_vs_displayed_risks</t>
        </is>
      </c>
      <c r="V40" s="20" t="inlineStr">
        <is>
          <t>statistical_results</t>
        </is>
      </c>
      <c r="W40" s="20" t="inlineStr">
        <is>
          <t>Extrapulmonary-infection RR does not reproduce from printed risks</t>
        </is>
      </c>
      <c r="X40" s="20" t="inlineStr">
        <is>
          <t>2018</t>
        </is>
      </c>
      <c r="Y40" s="20" t="inlineStr">
        <is>
          <t>meta_report/consistency_reclassification_2026-09-04/reclassified_candidates.json</t>
        </is>
      </c>
      <c r="Z40" s="20" t="inlineStr">
        <is>
          <t>S_W</t>
        </is>
      </c>
      <c r="AA40" s="20" t="inlineStr">
        <is>
          <t>statistical_results</t>
        </is>
      </c>
      <c r="AB40" s="20" t="inlineStr">
        <is>
          <t>retain</t>
        </is>
      </c>
    </row>
    <row r="41" ht="90" customHeight="1" s="14">
      <c r="A41" s="24" t="b">
        <v>0</v>
      </c>
      <c r="B41" s="24" t="inlineStr">
        <is>
          <t>Diagnostic comparison assumes the printed RR is crude; the exact estimator, weighting, or analysis population is not supplied. These are separate outcome rows, not proven instances of a single underlying coding error.</t>
        </is>
      </c>
      <c r="C41" s="24" t="b">
        <v>0</v>
      </c>
      <c r="D41" s="24" t="inlineStr">
        <is>
          <t>Statistical reporting inconsistency</t>
        </is>
      </c>
      <c r="E41" s="24" t="b">
        <v>0</v>
      </c>
      <c r="F41" s="24" t="inlineStr">
        <is>
          <t>C019</t>
        </is>
      </c>
      <c r="G41" s="24" t="inlineStr">
        <is>
          <t>2018::jama.2018.14280::C019</t>
        </is>
      </c>
      <c r="H41" s="24" t="n"/>
      <c r="I41" s="24" t="inlineStr">
        <is>
          <t>DOC-001, Table 2, Extrapulmonary sepsis and footnote c.</t>
        </is>
      </c>
      <c r="J41" s="24" t="b">
        <v>0</v>
      </c>
      <c r="K41" s="24" t="inlineStr">
        <is>
          <t>jama.2018.14280</t>
        </is>
      </c>
      <c r="L41" s="24" t="n"/>
      <c r="M41" s="24" t="inlineStr">
        <is>
          <t>S_W</t>
        </is>
      </c>
      <c r="N41" s="24" t="inlineStr">
        <is>
          <t>Printed extrapulmonary-sepsis RR 0.87 does not reproduce from displayed risks under the crude comparator. The focal mismatch is within the main article.</t>
        </is>
      </c>
      <c r="O41" s="24" t="inlineStr">
        <is>
          <t>../../2018/jama.2018.14280/.ai_paper_validation/final_report_1_5_2.html</t>
        </is>
      </c>
      <c r="P41" s="24" t="inlineStr">
        <is>
          <t>2018/jama.2018.14280/.ai_paper_validation/final_report_1_5_2.md</t>
        </is>
      </c>
      <c r="Q41" s="24" t="inlineStr">
        <is>
          <t>C019</t>
        </is>
      </c>
      <c r="R41" s="24" t="inlineStr">
        <is>
          <t>Pending Human Adjudication</t>
        </is>
      </c>
      <c r="S41" s="24" t="inlineStr">
        <is>
          <t>Printed extrapulmonary-sepsis RR 0.87 does not reproduce from displayed risks under the crude comparator.</t>
        </is>
      </c>
      <c r="T41" s="24" t="b">
        <v>1</v>
      </c>
      <c r="U41" s="24" t="inlineStr">
        <is>
          <t>rr_vs_displayed_risks</t>
        </is>
      </c>
      <c r="V41" s="24" t="inlineStr">
        <is>
          <t>statistical_results</t>
        </is>
      </c>
      <c r="W41" s="24" t="inlineStr">
        <is>
          <t>Extrapulmonary-sepsis RR does not reproduce from printed risks</t>
        </is>
      </c>
      <c r="X41" s="24" t="inlineStr">
        <is>
          <t>2018</t>
        </is>
      </c>
      <c r="Y41" s="24" t="inlineStr">
        <is>
          <t>meta_report/consistency_reclassification_2026-09-04/reclassified_candidates.json</t>
        </is>
      </c>
      <c r="Z41" s="24" t="inlineStr">
        <is>
          <t>S_W</t>
        </is>
      </c>
      <c r="AA41" s="24" t="inlineStr">
        <is>
          <t>statistical_results</t>
        </is>
      </c>
      <c r="AB41" s="24" t="inlineStr">
        <is>
          <t>retain</t>
        </is>
      </c>
    </row>
    <row r="42" ht="90" customHeight="1" s="14">
      <c r="A42" s="20" t="b">
        <v>0</v>
      </c>
      <c r="B42" s="20" t="inlineStr">
        <is>
          <t>Diagnostic comparison assumes the printed RR is crude; the exact estimator, weighting, or analysis population is not supplied. These are separate outcome rows, not proven instances of a single underlying coding error.</t>
        </is>
      </c>
      <c r="C42" s="20" t="b">
        <v>0</v>
      </c>
      <c r="D42" s="20" t="inlineStr">
        <is>
          <t>Statistical reporting inconsistency</t>
        </is>
      </c>
      <c r="E42" s="20" t="b">
        <v>0</v>
      </c>
      <c r="F42" s="20" t="inlineStr">
        <is>
          <t>C020</t>
        </is>
      </c>
      <c r="G42" s="20" t="inlineStr">
        <is>
          <t>2018::jama.2018.14280::C020</t>
        </is>
      </c>
      <c r="H42" s="20" t="n"/>
      <c r="I42" s="20" t="inlineStr">
        <is>
          <t>DOC-001, Table 2, Delirium and footnote c.</t>
        </is>
      </c>
      <c r="J42" s="20" t="b">
        <v>0</v>
      </c>
      <c r="K42" s="20" t="inlineStr">
        <is>
          <t>jama.2018.14280</t>
        </is>
      </c>
      <c r="L42" s="20" t="n"/>
      <c r="M42" s="20" t="inlineStr">
        <is>
          <t>S_W</t>
        </is>
      </c>
      <c r="N42" s="20" t="inlineStr">
        <is>
          <t>Printed delirium RR 1.15 does not reproduce from displayed risks under the crude comparator. The focal mismatch is within the main article.</t>
        </is>
      </c>
      <c r="O42" s="20" t="inlineStr">
        <is>
          <t>../../2018/jama.2018.14280/.ai_paper_validation/final_report_1_5_2.html</t>
        </is>
      </c>
      <c r="P42" s="20" t="inlineStr">
        <is>
          <t>2018/jama.2018.14280/.ai_paper_validation/final_report_1_5_2.md</t>
        </is>
      </c>
      <c r="Q42" s="20" t="inlineStr">
        <is>
          <t>C020</t>
        </is>
      </c>
      <c r="R42" s="20" t="inlineStr">
        <is>
          <t>Pending Human Adjudication</t>
        </is>
      </c>
      <c r="S42" s="20" t="inlineStr">
        <is>
          <t>Printed delirium RR 1.15 does not reproduce from displayed risks under the crude comparator.</t>
        </is>
      </c>
      <c r="T42" s="20" t="b">
        <v>1</v>
      </c>
      <c r="U42" s="20" t="inlineStr">
        <is>
          <t>rr_vs_displayed_risks</t>
        </is>
      </c>
      <c r="V42" s="20" t="inlineStr">
        <is>
          <t>statistical_results</t>
        </is>
      </c>
      <c r="W42" s="20" t="inlineStr">
        <is>
          <t>Delirium RR does not reproduce from printed risks</t>
        </is>
      </c>
      <c r="X42" s="20" t="inlineStr">
        <is>
          <t>2018</t>
        </is>
      </c>
      <c r="Y42" s="20" t="inlineStr">
        <is>
          <t>meta_report/consistency_reclassification_2026-09-04/reclassified_candidates.json</t>
        </is>
      </c>
      <c r="Z42" s="20" t="inlineStr">
        <is>
          <t>S_W</t>
        </is>
      </c>
      <c r="AA42" s="20" t="inlineStr">
        <is>
          <t>statistical_results</t>
        </is>
      </c>
      <c r="AB42" s="20" t="inlineStr">
        <is>
          <t>retain</t>
        </is>
      </c>
    </row>
    <row r="43" ht="90" customHeight="1" s="14">
      <c r="A43" s="24" t="b">
        <v>0</v>
      </c>
      <c r="B43" s="24" t="inlineStr">
        <is>
          <t>Diagnostic comparison assumes the printed RR is crude; the exact estimator, weighting, or analysis population is not supplied. These are separate outcome rows, not proven instances of a single underlying coding error.</t>
        </is>
      </c>
      <c r="C43" s="24" t="b">
        <v>0</v>
      </c>
      <c r="D43" s="24" t="inlineStr">
        <is>
          <t>Statistical reporting inconsistency</t>
        </is>
      </c>
      <c r="E43" s="24" t="b">
        <v>0</v>
      </c>
      <c r="F43" s="24" t="inlineStr">
        <is>
          <t>C021</t>
        </is>
      </c>
      <c r="G43" s="24" t="inlineStr">
        <is>
          <t>2018::jama.2018.14280::C021</t>
        </is>
      </c>
      <c r="H43" s="24" t="n"/>
      <c r="I43" s="24" t="inlineStr">
        <is>
          <t>DOC-001, Table 2, Need for tracheostomy and footnote c.</t>
        </is>
      </c>
      <c r="J43" s="24" t="b">
        <v>0</v>
      </c>
      <c r="K43" s="24" t="inlineStr">
        <is>
          <t>jama.2018.14280</t>
        </is>
      </c>
      <c r="L43" s="24" t="n"/>
      <c r="M43" s="24" t="inlineStr">
        <is>
          <t>S_W</t>
        </is>
      </c>
      <c r="N43" s="24" t="inlineStr">
        <is>
          <t>Printed tracheostomy RR 1.03 does not reproduce from displayed risks under the crude comparator. The focal mismatch is within the main article.</t>
        </is>
      </c>
      <c r="O43" s="24" t="inlineStr">
        <is>
          <t>../../2018/jama.2018.14280/.ai_paper_validation/final_report_1_5_2.html</t>
        </is>
      </c>
      <c r="P43" s="24" t="inlineStr">
        <is>
          <t>2018/jama.2018.14280/.ai_paper_validation/final_report_1_5_2.md</t>
        </is>
      </c>
      <c r="Q43" s="24" t="inlineStr">
        <is>
          <t>C021</t>
        </is>
      </c>
      <c r="R43" s="24" t="inlineStr">
        <is>
          <t>Pending Human Adjudication</t>
        </is>
      </c>
      <c r="S43" s="24" t="inlineStr">
        <is>
          <t>Printed tracheostomy RR 1.03 does not reproduce from displayed risks under the crude comparator.</t>
        </is>
      </c>
      <c r="T43" s="24" t="b">
        <v>1</v>
      </c>
      <c r="U43" s="24" t="inlineStr">
        <is>
          <t>rr_vs_displayed_risks</t>
        </is>
      </c>
      <c r="V43" s="24" t="inlineStr">
        <is>
          <t>statistical_results</t>
        </is>
      </c>
      <c r="W43" s="24" t="inlineStr">
        <is>
          <t>Tracheostomy RR does not reproduce from printed risks</t>
        </is>
      </c>
      <c r="X43" s="24" t="inlineStr">
        <is>
          <t>2018</t>
        </is>
      </c>
      <c r="Y43" s="24" t="inlineStr">
        <is>
          <t>meta_report/consistency_reclassification_2026-09-04/reclassified_candidates.json</t>
        </is>
      </c>
      <c r="Z43" s="24" t="inlineStr">
        <is>
          <t>S_W</t>
        </is>
      </c>
      <c r="AA43" s="24" t="inlineStr">
        <is>
          <t>statistical_results</t>
        </is>
      </c>
      <c r="AB43" s="24" t="inlineStr">
        <is>
          <t>retain</t>
        </is>
      </c>
    </row>
    <row r="44" ht="90" customHeight="1" s="14">
      <c r="A44" s="20" t="b">
        <v>0</v>
      </c>
      <c r="B44" s="20" t="n"/>
      <c r="C44" s="20" t="b">
        <v>0</v>
      </c>
      <c r="D44" s="20" t="inlineStr">
        <is>
          <t>Measure, label, or scale inconsistency</t>
        </is>
      </c>
      <c r="E44" s="20" t="b">
        <v>1</v>
      </c>
      <c r="F44" s="20" t="inlineStr">
        <is>
          <t>C022</t>
        </is>
      </c>
      <c r="G44" s="20" t="inlineStr">
        <is>
          <t>2018::jama.2018.14280::C022</t>
        </is>
      </c>
      <c r="H44" s="20" t="n"/>
      <c r="I44" s="20" t="inlineStr">
        <is>
          <t>DOC-001, Subgroups and Exploratory Analyses; DOC-004, Supplement 3 eTable 5.</t>
        </is>
      </c>
      <c r="J44" s="20" t="b">
        <v>0</v>
      </c>
      <c r="K44" s="20" t="inlineStr">
        <is>
          <t>jama.2018.14280</t>
        </is>
      </c>
      <c r="L44" s="20" t="n"/>
      <c r="M44" s="20" t="inlineStr">
        <is>
          <t>S_C</t>
        </is>
      </c>
      <c r="N44" s="20" t="inlineStr">
        <is>
          <t>Identical subgroup intervals are labelled IQR in the main text and 95% CI in eTable 5. The focal comparison is the main article versus a non-plan results supplement.</t>
        </is>
      </c>
      <c r="O44" s="20" t="inlineStr">
        <is>
          <t>../../2018/jama.2018.14280/.ai_paper_validation/final_report_1_5_2.html</t>
        </is>
      </c>
      <c r="P44" s="20" t="inlineStr">
        <is>
          <t>2018/jama.2018.14280/.ai_paper_validation/final_report_1_5_2.md</t>
        </is>
      </c>
      <c r="Q44" s="20" t="inlineStr">
        <is>
          <t>C022</t>
        </is>
      </c>
      <c r="R44" s="20" t="inlineStr">
        <is>
          <t>Pending Human Adjudication</t>
        </is>
      </c>
      <c r="S44" s="20" t="inlineStr">
        <is>
          <t>Identical subgroup intervals are labelled IQR in the main text and 95% CI in eTable 5.</t>
        </is>
      </c>
      <c r="T44" s="20" t="b">
        <v>1</v>
      </c>
      <c r="U44" s="20" t="inlineStr">
        <is>
          <t>iqr_vs_ci_label</t>
        </is>
      </c>
      <c r="V44" s="20" t="inlineStr">
        <is>
          <t>report_internal_inconsistency</t>
        </is>
      </c>
      <c r="W44" s="20" t="inlineStr">
        <is>
          <t>The same subgroup intervals are labelled IQR and 95% CI</t>
        </is>
      </c>
      <c r="X44" s="20" t="inlineStr">
        <is>
          <t>2018</t>
        </is>
      </c>
      <c r="Y44" s="20" t="inlineStr">
        <is>
          <t>meta_report/consistency_reclassification_2026-09-04/reclassified_candidates.json</t>
        </is>
      </c>
      <c r="Z44" s="20" t="inlineStr">
        <is>
          <t>S_C</t>
        </is>
      </c>
      <c r="AA44" s="20" t="inlineStr">
        <is>
          <t>report_internal_inconsistency</t>
        </is>
      </c>
      <c r="AB44" s="20" t="inlineStr">
        <is>
          <t>retain</t>
        </is>
      </c>
    </row>
    <row r="45" ht="90" customHeight="1" s="14">
      <c r="A45" s="24" t="b">
        <v>0</v>
      </c>
      <c r="B45" s="24" t="inlineStr">
        <is>
          <t>The SAP is an update after enrollment; clinical last-patient date versus administrative completion could explain the two days. P_R denotes document roles, not a proven prospective-plan violation.</t>
        </is>
      </c>
      <c r="C45" s="24" t="b">
        <v>1</v>
      </c>
      <c r="D45" s="24" t="inlineStr">
        <is>
          <t>Cross-document numeric inconsistency</t>
        </is>
      </c>
      <c r="E45" s="24" t="b">
        <v>1</v>
      </c>
      <c r="F45" s="24" t="inlineStr">
        <is>
          <t>C023</t>
        </is>
      </c>
      <c r="G45" s="24" t="inlineStr">
        <is>
          <t>2018::jama.2018.14280::C023</t>
        </is>
      </c>
      <c r="H45" s="24" t="n"/>
      <c r="I45" s="24" t="inlineStr">
        <is>
          <t>DOC-001 abstract and Results/Patients; DOC-003 SAP abstract and introduction.</t>
        </is>
      </c>
      <c r="J45" s="24" t="b">
        <v>1</v>
      </c>
      <c r="K45" s="24" t="inlineStr">
        <is>
          <t>jama.2018.14280</t>
        </is>
      </c>
      <c r="L45" s="24" t="inlineStr">
        <is>
          <t>population_recruitment_sites</t>
        </is>
      </c>
      <c r="M45" s="24" t="inlineStr">
        <is>
          <t>P_R</t>
        </is>
      </c>
      <c r="N45" s="24" t="inlineStr">
        <is>
          <t>The main article gives August 20, 2017 as enrollment end, whereas the supplied SAP/update gives August 22, 2017. This is a main-report versus SAP factual date discrepancy, rather than an ordinary results-supplement discrepancy.</t>
        </is>
      </c>
      <c r="O45" s="24" t="inlineStr">
        <is>
          <t>../../2018/jama.2018.14280/.ai_paper_validation/final_report_1_5_2.html</t>
        </is>
      </c>
      <c r="P45" s="24" t="inlineStr">
        <is>
          <t>2018/jama.2018.14280/.ai_paper_validation/final_report_1_5_2.md</t>
        </is>
      </c>
      <c r="Q45" s="24" t="inlineStr">
        <is>
          <t>C023</t>
        </is>
      </c>
      <c r="R45" s="24" t="inlineStr">
        <is>
          <t>Pending Human Adjudication</t>
        </is>
      </c>
      <c r="S45" s="24" t="inlineStr">
        <is>
          <t>The main article reports enrollment through August 20, 2017, while the SAP reports enrollment complete on August 22, 2017.</t>
        </is>
      </c>
      <c r="T45" s="24" t="b">
        <v>0</v>
      </c>
      <c r="U45" s="24" t="inlineStr">
        <is>
          <t>enrollment_end_date</t>
        </is>
      </c>
      <c r="V45" s="24" t="inlineStr">
        <is>
          <t>protocol_report</t>
        </is>
      </c>
      <c r="W45" s="24" t="inlineStr">
        <is>
          <t>Enrollment completion dates differ by two days</t>
        </is>
      </c>
      <c r="X45" s="24" t="inlineStr">
        <is>
          <t>2018</t>
        </is>
      </c>
      <c r="Y45" s="24" t="inlineStr">
        <is>
          <t>meta_report/consistency_reclassification_2026-09-04/reclassified_candidates.json</t>
        </is>
      </c>
      <c r="Z45" s="24" t="inlineStr">
        <is>
          <t>P_R</t>
        </is>
      </c>
      <c r="AA45" s="24" t="inlineStr">
        <is>
          <t>protocol_report</t>
        </is>
      </c>
      <c r="AB45" s="24" t="inlineStr">
        <is>
          <t>retain</t>
        </is>
      </c>
    </row>
    <row r="46" ht="90" customHeight="1" s="14">
      <c r="A46" s="20" t="b">
        <v>0</v>
      </c>
      <c r="B46" s="20" t="n"/>
      <c r="C46" s="20" t="b">
        <v>0</v>
      </c>
      <c r="D46" s="20" t="inlineStr">
        <is>
          <t>Denominator, proportion, or total inconsistency</t>
        </is>
      </c>
      <c r="E46" s="20" t="b">
        <v>0</v>
      </c>
      <c r="F46" s="20" t="inlineStr">
        <is>
          <t>C001</t>
        </is>
      </c>
      <c r="G46" s="20" t="inlineStr">
        <is>
          <t>2018::jama.2018.14282::C001</t>
        </is>
      </c>
      <c r="H46" s="20" t="n"/>
      <c r="I46" s="20" t="inlineStr">
        <is>
          <t>DOC-001 Table 1 — PDF p. 4</t>
        </is>
      </c>
      <c r="J46" s="20" t="b">
        <v>0</v>
      </c>
      <c r="K46" s="20" t="inlineStr">
        <is>
          <t>jama.2018.14282</t>
        </is>
      </c>
      <c r="L46" s="20" t="n"/>
      <c r="M46" s="20" t="inlineStr">
        <is>
          <t>S_W</t>
        </is>
      </c>
      <c r="N46" s="20" t="inlineStr">
        <is>
          <t>The printed standard-arm men count and percentage do not reconcile under nearest one-decimal rounding. The focal mismatch is within the main article.</t>
        </is>
      </c>
      <c r="O46" s="20" t="inlineStr">
        <is>
          <t>../../2018/jama.2018.14282/.ai_paper_validation/final_report_1_5_2.html</t>
        </is>
      </c>
      <c r="P46" s="20" t="inlineStr">
        <is>
          <t>2018/jama.2018.14282/.ai_paper_validation/final_report_1_5_2.md</t>
        </is>
      </c>
      <c r="Q46" s="20" t="inlineStr">
        <is>
          <t>C001</t>
        </is>
      </c>
      <c r="R46" s="20" t="inlineStr">
        <is>
          <t>Pending Human Adjudication</t>
        </is>
      </c>
      <c r="S46" s="20" t="inlineStr">
        <is>
          <t>The printed standard-arm men count and percentage do not reconcile under nearest one-decimal rounding.</t>
        </is>
      </c>
      <c r="T46" s="20" t="b">
        <v>1</v>
      </c>
      <c r="U46" s="20" t="inlineStr">
        <is>
          <t>count_percentage_rounding</t>
        </is>
      </c>
      <c r="V46" s="20" t="inlineStr">
        <is>
          <t>statistical_results</t>
        </is>
      </c>
      <c r="W46" s="20" t="inlineStr">
        <is>
          <t>Standard-arm men percentage does not reconcile</t>
        </is>
      </c>
      <c r="X46" s="20" t="inlineStr">
        <is>
          <t>2018</t>
        </is>
      </c>
      <c r="Y46" s="20" t="inlineStr">
        <is>
          <t>meta_report/consistency_reclassification_2026-09-04/reclassified_candidates.json</t>
        </is>
      </c>
      <c r="Z46" s="20" t="inlineStr">
        <is>
          <t>S_W</t>
        </is>
      </c>
      <c r="AA46" s="20" t="inlineStr">
        <is>
          <t>statistical_results</t>
        </is>
      </c>
      <c r="AB46" s="20" t="inlineStr">
        <is>
          <t>retain</t>
        </is>
      </c>
    </row>
    <row r="47" ht="90" customHeight="1" s="14">
      <c r="A47" s="24" t="b">
        <v>0</v>
      </c>
      <c r="B47" s="24" t="n"/>
      <c r="C47" s="24" t="b">
        <v>0</v>
      </c>
      <c r="D47" s="24" t="inlineStr">
        <is>
          <t>Denominator, proportion, or total inconsistency</t>
        </is>
      </c>
      <c r="E47" s="24" t="b">
        <v>0</v>
      </c>
      <c r="F47" s="24" t="inlineStr">
        <is>
          <t>C002</t>
        </is>
      </c>
      <c r="G47" s="24" t="inlineStr">
        <is>
          <t>2018::jama.2018.14282::C002</t>
        </is>
      </c>
      <c r="H47" s="24" t="n"/>
      <c r="I47" s="24" t="inlineStr">
        <is>
          <t>DOC-001 Table 1 — PDF p. 4</t>
        </is>
      </c>
      <c r="J47" s="24" t="b">
        <v>0</v>
      </c>
      <c r="K47" s="24" t="inlineStr">
        <is>
          <t>jama.2018.14282</t>
        </is>
      </c>
      <c r="L47" s="24" t="n"/>
      <c r="M47" s="24" t="inlineStr">
        <is>
          <t>S_W</t>
        </is>
      </c>
      <c r="N47" s="24" t="inlineStr">
        <is>
          <t>The printed standard-arm women count and percentage do not reconcile under nearest one-decimal rounding. The focal mismatch is within the main article.</t>
        </is>
      </c>
      <c r="O47" s="24" t="inlineStr">
        <is>
          <t>../../2018/jama.2018.14282/.ai_paper_validation/final_report_1_5_2.html</t>
        </is>
      </c>
      <c r="P47" s="24" t="inlineStr">
        <is>
          <t>2018/jama.2018.14282/.ai_paper_validation/final_report_1_5_2.md</t>
        </is>
      </c>
      <c r="Q47" s="24" t="inlineStr">
        <is>
          <t>C002</t>
        </is>
      </c>
      <c r="R47" s="24" t="inlineStr">
        <is>
          <t>Pending Human Adjudication</t>
        </is>
      </c>
      <c r="S47" s="24" t="inlineStr">
        <is>
          <t>The printed standard-arm women count and percentage do not reconcile under nearest one-decimal rounding.</t>
        </is>
      </c>
      <c r="T47" s="24" t="b">
        <v>1</v>
      </c>
      <c r="U47" s="24" t="inlineStr">
        <is>
          <t>count_percentage_rounding</t>
        </is>
      </c>
      <c r="V47" s="24" t="inlineStr">
        <is>
          <t>statistical_results</t>
        </is>
      </c>
      <c r="W47" s="24" t="inlineStr">
        <is>
          <t>Standard-arm women percentage does not reconcile</t>
        </is>
      </c>
      <c r="X47" s="24" t="inlineStr">
        <is>
          <t>2018</t>
        </is>
      </c>
      <c r="Y47" s="24" t="inlineStr">
        <is>
          <t>meta_report/consistency_reclassification_2026-09-04/reclassified_candidates.json</t>
        </is>
      </c>
      <c r="Z47" s="24" t="inlineStr">
        <is>
          <t>S_W</t>
        </is>
      </c>
      <c r="AA47" s="24" t="inlineStr">
        <is>
          <t>statistical_results</t>
        </is>
      </c>
      <c r="AB47" s="24" t="inlineStr">
        <is>
          <t>retain</t>
        </is>
      </c>
    </row>
    <row r="48" ht="90" customHeight="1" s="14">
      <c r="A48" s="20" t="b">
        <v>0</v>
      </c>
      <c r="B48" s="20" t="n"/>
      <c r="C48" s="20" t="b">
        <v>0</v>
      </c>
      <c r="D48" s="20" t="inlineStr">
        <is>
          <t>Denominator, proportion, or total inconsistency</t>
        </is>
      </c>
      <c r="E48" s="20" t="b">
        <v>0</v>
      </c>
      <c r="F48" s="20" t="inlineStr">
        <is>
          <t>C003</t>
        </is>
      </c>
      <c r="G48" s="20" t="inlineStr">
        <is>
          <t>2018::jama.2018.14282::C003</t>
        </is>
      </c>
      <c r="H48" s="20" t="n"/>
      <c r="I48" s="20" t="inlineStr">
        <is>
          <t>DOC-001 Table 1 — PDF p. 4</t>
        </is>
      </c>
      <c r="J48" s="20" t="b">
        <v>0</v>
      </c>
      <c r="K48" s="20" t="inlineStr">
        <is>
          <t>jama.2018.14282</t>
        </is>
      </c>
      <c r="L48" s="20" t="n"/>
      <c r="M48" s="20" t="inlineStr">
        <is>
          <t>S_W</t>
        </is>
      </c>
      <c r="N48" s="20" t="inlineStr">
        <is>
          <t>The standard-arm heart-failure percentage does not reconcile under nearest one-decimal rounding. The focal mismatch is within the main article.</t>
        </is>
      </c>
      <c r="O48" s="20" t="inlineStr">
        <is>
          <t>../../2018/jama.2018.14282/.ai_paper_validation/final_report_1_5_2.html</t>
        </is>
      </c>
      <c r="P48" s="20" t="inlineStr">
        <is>
          <t>2018/jama.2018.14282/.ai_paper_validation/final_report_1_5_2.md</t>
        </is>
      </c>
      <c r="Q48" s="20" t="inlineStr">
        <is>
          <t>C003</t>
        </is>
      </c>
      <c r="R48" s="20" t="inlineStr">
        <is>
          <t>Pending Human Adjudication</t>
        </is>
      </c>
      <c r="S48" s="20" t="inlineStr">
        <is>
          <t>The standard-arm heart-failure percentage does not reconcile under nearest one-decimal rounding.</t>
        </is>
      </c>
      <c r="T48" s="20" t="b">
        <v>1</v>
      </c>
      <c r="U48" s="20" t="inlineStr">
        <is>
          <t>count_percentage_rounding</t>
        </is>
      </c>
      <c r="V48" s="20" t="inlineStr">
        <is>
          <t>statistical_results</t>
        </is>
      </c>
      <c r="W48" s="20" t="inlineStr">
        <is>
          <t>Standard-arm heart-failure percentage does not reconcile</t>
        </is>
      </c>
      <c r="X48" s="20" t="inlineStr">
        <is>
          <t>2018</t>
        </is>
      </c>
      <c r="Y48" s="20" t="inlineStr">
        <is>
          <t>meta_report/consistency_reclassification_2026-09-04/reclassified_candidates.json</t>
        </is>
      </c>
      <c r="Z48" s="20" t="inlineStr">
        <is>
          <t>S_W</t>
        </is>
      </c>
      <c r="AA48" s="20" t="inlineStr">
        <is>
          <t>statistical_results</t>
        </is>
      </c>
      <c r="AB48" s="20" t="inlineStr">
        <is>
          <t>retain</t>
        </is>
      </c>
    </row>
    <row r="49" ht="90" customHeight="1" s="14">
      <c r="A49" s="24" t="b">
        <v>0</v>
      </c>
      <c r="B49" s="24" t="n"/>
      <c r="C49" s="24" t="b">
        <v>0</v>
      </c>
      <c r="D49" s="24" t="inlineStr">
        <is>
          <t>Denominator, proportion, or total inconsistency</t>
        </is>
      </c>
      <c r="E49" s="24" t="b">
        <v>0</v>
      </c>
      <c r="F49" s="24" t="inlineStr">
        <is>
          <t>C004</t>
        </is>
      </c>
      <c r="G49" s="24" t="inlineStr">
        <is>
          <t>2018::jama.2018.14282::C004</t>
        </is>
      </c>
      <c r="H49" s="24" t="n"/>
      <c r="I49" s="24" t="inlineStr">
        <is>
          <t>DOC-001 Table 1 — PDF p. 4</t>
        </is>
      </c>
      <c r="J49" s="24" t="b">
        <v>0</v>
      </c>
      <c r="K49" s="24" t="inlineStr">
        <is>
          <t>jama.2018.14282</t>
        </is>
      </c>
      <c r="L49" s="24" t="n"/>
      <c r="M49" s="24" t="inlineStr">
        <is>
          <t>S_W</t>
        </is>
      </c>
      <c r="N49" s="24" t="inlineStr">
        <is>
          <t>The high-flow liver-disease count and percentage do not reconcile with the displayed arm denominator. The focal mismatch is within the main article.</t>
        </is>
      </c>
      <c r="O49" s="24" t="inlineStr">
        <is>
          <t>../../2018/jama.2018.14282/.ai_paper_validation/final_report_1_5_2.html</t>
        </is>
      </c>
      <c r="P49" s="24" t="inlineStr">
        <is>
          <t>2018/jama.2018.14282/.ai_paper_validation/final_report_1_5_2.md</t>
        </is>
      </c>
      <c r="Q49" s="24" t="inlineStr">
        <is>
          <t>C004</t>
        </is>
      </c>
      <c r="R49" s="24" t="inlineStr">
        <is>
          <t>Pending Human Adjudication</t>
        </is>
      </c>
      <c r="S49" s="24" t="inlineStr">
        <is>
          <t>The high-flow liver-disease count and percentage do not reconcile with the displayed arm denominator.</t>
        </is>
      </c>
      <c r="T49" s="24" t="b">
        <v>1</v>
      </c>
      <c r="U49" s="24" t="inlineStr">
        <is>
          <t>count_percentage_rounding</t>
        </is>
      </c>
      <c r="V49" s="24" t="inlineStr">
        <is>
          <t>statistical_results</t>
        </is>
      </c>
      <c r="W49" s="24" t="inlineStr">
        <is>
          <t>High-flow liver-disease percentage conflicts with displayed count</t>
        </is>
      </c>
      <c r="X49" s="24" t="inlineStr">
        <is>
          <t>2018</t>
        </is>
      </c>
      <c r="Y49" s="24" t="inlineStr">
        <is>
          <t>meta_report/consistency_reclassification_2026-09-04/reclassified_candidates.json</t>
        </is>
      </c>
      <c r="Z49" s="24" t="inlineStr">
        <is>
          <t>S_W</t>
        </is>
      </c>
      <c r="AA49" s="24" t="inlineStr">
        <is>
          <t>statistical_results</t>
        </is>
      </c>
      <c r="AB49" s="24" t="inlineStr">
        <is>
          <t>retain</t>
        </is>
      </c>
    </row>
    <row r="50" ht="90" customHeight="1" s="14">
      <c r="A50" s="20" t="b">
        <v>0</v>
      </c>
      <c r="B50" s="20" t="n"/>
      <c r="C50" s="20" t="b">
        <v>0</v>
      </c>
      <c r="D50" s="20" t="inlineStr">
        <is>
          <t>Denominator, proportion, or total inconsistency</t>
        </is>
      </c>
      <c r="E50" s="20" t="b">
        <v>0</v>
      </c>
      <c r="F50" s="20" t="inlineStr">
        <is>
          <t>C005</t>
        </is>
      </c>
      <c r="G50" s="20" t="inlineStr">
        <is>
          <t>2018::jama.2018.14282::C005</t>
        </is>
      </c>
      <c r="H50" s="20" t="n"/>
      <c r="I50" s="20" t="inlineStr">
        <is>
          <t>DOC-001 Table 1 — PDF p. 4</t>
        </is>
      </c>
      <c r="J50" s="20" t="b">
        <v>0</v>
      </c>
      <c r="K50" s="20" t="inlineStr">
        <is>
          <t>jama.2018.14282</t>
        </is>
      </c>
      <c r="L50" s="20" t="n"/>
      <c r="M50" s="20" t="inlineStr">
        <is>
          <t>S_W</t>
        </is>
      </c>
      <c r="N50" s="20" t="inlineStr">
        <is>
          <t>The standard-arm kidney-disease count and percentage do not reconcile with the displayed arm denominator. The focal mismatch is within the main article.</t>
        </is>
      </c>
      <c r="O50" s="20" t="inlineStr">
        <is>
          <t>../../2018/jama.2018.14282/.ai_paper_validation/final_report_1_5_2.html</t>
        </is>
      </c>
      <c r="P50" s="20" t="inlineStr">
        <is>
          <t>2018/jama.2018.14282/.ai_paper_validation/final_report_1_5_2.md</t>
        </is>
      </c>
      <c r="Q50" s="20" t="inlineStr">
        <is>
          <t>C005</t>
        </is>
      </c>
      <c r="R50" s="20" t="inlineStr">
        <is>
          <t>Pending Human Adjudication</t>
        </is>
      </c>
      <c r="S50" s="20" t="inlineStr">
        <is>
          <t>The standard-arm kidney-disease count and percentage do not reconcile with the displayed arm denominator.</t>
        </is>
      </c>
      <c r="T50" s="20" t="b">
        <v>1</v>
      </c>
      <c r="U50" s="20" t="inlineStr">
        <is>
          <t>count_percentage_rounding</t>
        </is>
      </c>
      <c r="V50" s="20" t="inlineStr">
        <is>
          <t>statistical_results</t>
        </is>
      </c>
      <c r="W50" s="20" t="inlineStr">
        <is>
          <t>Standard-arm kidney-disease percentage conflicts with displayed count</t>
        </is>
      </c>
      <c r="X50" s="20" t="inlineStr">
        <is>
          <t>2018</t>
        </is>
      </c>
      <c r="Y50" s="20" t="inlineStr">
        <is>
          <t>meta_report/consistency_reclassification_2026-09-04/reclassified_candidates.json</t>
        </is>
      </c>
      <c r="Z50" s="20" t="inlineStr">
        <is>
          <t>S_W</t>
        </is>
      </c>
      <c r="AA50" s="20" t="inlineStr">
        <is>
          <t>statistical_results</t>
        </is>
      </c>
      <c r="AB50" s="20" t="inlineStr">
        <is>
          <t>retain</t>
        </is>
      </c>
    </row>
    <row r="51" ht="90" customHeight="1" s="14">
      <c r="A51" s="24" t="b">
        <v>0</v>
      </c>
      <c r="B51" s="24" t="n"/>
      <c r="C51" s="24" t="b">
        <v>0</v>
      </c>
      <c r="D51" s="24" t="inlineStr">
        <is>
          <t>Denominator, proportion, or total inconsistency</t>
        </is>
      </c>
      <c r="E51" s="24" t="b">
        <v>0</v>
      </c>
      <c r="F51" s="24" t="inlineStr">
        <is>
          <t>C006</t>
        </is>
      </c>
      <c r="G51" s="24" t="inlineStr">
        <is>
          <t>2018::jama.2018.14282::C006</t>
        </is>
      </c>
      <c r="H51" s="24" t="n"/>
      <c r="I51" s="24" t="inlineStr">
        <is>
          <t>DOC-001 Table 1 — PDF p. 4</t>
        </is>
      </c>
      <c r="J51" s="24" t="b">
        <v>0</v>
      </c>
      <c r="K51" s="24" t="inlineStr">
        <is>
          <t>jama.2018.14282</t>
        </is>
      </c>
      <c r="L51" s="24" t="n"/>
      <c r="M51" s="24" t="inlineStr">
        <is>
          <t>S_W</t>
        </is>
      </c>
      <c r="N51" s="24" t="inlineStr">
        <is>
          <t>The standard-arm nontransplant immunosuppression percentage does not reconcile under nearest one-decimal rounding. The focal mismatch is within the main article.</t>
        </is>
      </c>
      <c r="O51" s="24" t="inlineStr">
        <is>
          <t>../../2018/jama.2018.14282/.ai_paper_validation/final_report_1_5_2.html</t>
        </is>
      </c>
      <c r="P51" s="24" t="inlineStr">
        <is>
          <t>2018/jama.2018.14282/.ai_paper_validation/final_report_1_5_2.md</t>
        </is>
      </c>
      <c r="Q51" s="24" t="inlineStr">
        <is>
          <t>C006</t>
        </is>
      </c>
      <c r="R51" s="24" t="inlineStr">
        <is>
          <t>Pending Human Adjudication</t>
        </is>
      </c>
      <c r="S51" s="24" t="inlineStr">
        <is>
          <t>The standard-arm nontransplant immunosuppression percentage does not reconcile under nearest one-decimal rounding.</t>
        </is>
      </c>
      <c r="T51" s="24" t="b">
        <v>1</v>
      </c>
      <c r="U51" s="24" t="inlineStr">
        <is>
          <t>count_percentage_rounding</t>
        </is>
      </c>
      <c r="V51" s="24" t="inlineStr">
        <is>
          <t>statistical_results</t>
        </is>
      </c>
      <c r="W51" s="24" t="inlineStr">
        <is>
          <t>Standard-arm nontransplant immunosuppression percentage does not reconcile</t>
        </is>
      </c>
      <c r="X51" s="24" t="inlineStr">
        <is>
          <t>2018</t>
        </is>
      </c>
      <c r="Y51" s="24" t="inlineStr">
        <is>
          <t>meta_report/consistency_reclassification_2026-09-04/reclassified_candidates.json</t>
        </is>
      </c>
      <c r="Z51" s="24" t="inlineStr">
        <is>
          <t>S_W</t>
        </is>
      </c>
      <c r="AA51" s="24" t="inlineStr">
        <is>
          <t>statistical_results</t>
        </is>
      </c>
      <c r="AB51" s="24" t="inlineStr">
        <is>
          <t>retain</t>
        </is>
      </c>
    </row>
    <row r="52" ht="90" customHeight="1" s="14">
      <c r="A52" s="20" t="b">
        <v>0</v>
      </c>
      <c r="B52" s="20" t="n"/>
      <c r="C52" s="20" t="b">
        <v>0</v>
      </c>
      <c r="D52" s="20" t="inlineStr">
        <is>
          <t>Denominator, proportion, or total inconsistency</t>
        </is>
      </c>
      <c r="E52" s="20" t="b">
        <v>0</v>
      </c>
      <c r="F52" s="20" t="inlineStr">
        <is>
          <t>C007</t>
        </is>
      </c>
      <c r="G52" s="20" t="inlineStr">
        <is>
          <t>2018::jama.2018.14282::C007</t>
        </is>
      </c>
      <c r="H52" s="20" t="n"/>
      <c r="I52" s="20" t="inlineStr">
        <is>
          <t>DOC-001 Table 1 — PDF p. 4</t>
        </is>
      </c>
      <c r="J52" s="20" t="b">
        <v>0</v>
      </c>
      <c r="K52" s="20" t="inlineStr">
        <is>
          <t>jama.2018.14282</t>
        </is>
      </c>
      <c r="L52" s="20" t="n"/>
      <c r="M52" s="20" t="inlineStr">
        <is>
          <t>S_W</t>
        </is>
      </c>
      <c r="N52" s="20" t="inlineStr">
        <is>
          <t>The high-flow ≥3-days-after-admission percentage does not reconcile under nearest one-decimal rounding. The focal mismatch is within the main article.</t>
        </is>
      </c>
      <c r="O52" s="20" t="inlineStr">
        <is>
          <t>../../2018/jama.2018.14282/.ai_paper_validation/final_report_1_5_2.html</t>
        </is>
      </c>
      <c r="P52" s="20" t="inlineStr">
        <is>
          <t>2018/jama.2018.14282/.ai_paper_validation/final_report_1_5_2.md</t>
        </is>
      </c>
      <c r="Q52" s="20" t="inlineStr">
        <is>
          <t>C007</t>
        </is>
      </c>
      <c r="R52" s="20" t="inlineStr">
        <is>
          <t>Pending Human Adjudication</t>
        </is>
      </c>
      <c r="S52" s="20" t="inlineStr">
        <is>
          <t>The high-flow ≥3-days-after-admission percentage does not reconcile under nearest one-decimal rounding.</t>
        </is>
      </c>
      <c r="T52" s="20" t="b">
        <v>1</v>
      </c>
      <c r="U52" s="20" t="inlineStr">
        <is>
          <t>count_percentage_rounding</t>
        </is>
      </c>
      <c r="V52" s="20" t="inlineStr">
        <is>
          <t>statistical_results</t>
        </is>
      </c>
      <c r="W52" s="20" t="inlineStr">
        <is>
          <t>High-flow ≥3-days-after-ICU-admission percentage does not reconcile</t>
        </is>
      </c>
      <c r="X52" s="20" t="inlineStr">
        <is>
          <t>2018</t>
        </is>
      </c>
      <c r="Y52" s="20" t="inlineStr">
        <is>
          <t>meta_report/consistency_reclassification_2026-09-04/reclassified_candidates.json</t>
        </is>
      </c>
      <c r="Z52" s="20" t="inlineStr">
        <is>
          <t>S_W</t>
        </is>
      </c>
      <c r="AA52" s="20" t="inlineStr">
        <is>
          <t>statistical_results</t>
        </is>
      </c>
      <c r="AB52" s="20" t="inlineStr">
        <is>
          <t>retain</t>
        </is>
      </c>
    </row>
    <row r="53" ht="90" customHeight="1" s="14">
      <c r="A53" s="24" t="b">
        <v>0</v>
      </c>
      <c r="B53" s="24" t="n"/>
      <c r="C53" s="24" t="b">
        <v>0</v>
      </c>
      <c r="D53" s="24" t="inlineStr">
        <is>
          <t>Denominator, proportion, or total inconsistency</t>
        </is>
      </c>
      <c r="E53" s="24" t="b">
        <v>0</v>
      </c>
      <c r="F53" s="24" t="inlineStr">
        <is>
          <t>C008</t>
        </is>
      </c>
      <c r="G53" s="24" t="inlineStr">
        <is>
          <t>2018::jama.2018.14282::C008</t>
        </is>
      </c>
      <c r="H53" s="24" t="n"/>
      <c r="I53" s="24" t="inlineStr">
        <is>
          <t>DOC-001 Table 1 — PDF p. 4</t>
        </is>
      </c>
      <c r="J53" s="24" t="b">
        <v>0</v>
      </c>
      <c r="K53" s="24" t="inlineStr">
        <is>
          <t>jama.2018.14282</t>
        </is>
      </c>
      <c r="L53" s="24" t="n"/>
      <c r="M53" s="24" t="inlineStr">
        <is>
          <t>S_W</t>
        </is>
      </c>
      <c r="N53" s="24" t="inlineStr">
        <is>
          <t>The standard-arm ≥3-days-after-admission percentage does not reconcile under nearest one-decimal rounding. The focal mismatch is within the main article.</t>
        </is>
      </c>
      <c r="O53" s="24" t="inlineStr">
        <is>
          <t>../../2018/jama.2018.14282/.ai_paper_validation/final_report_1_5_2.html</t>
        </is>
      </c>
      <c r="P53" s="24" t="inlineStr">
        <is>
          <t>2018/jama.2018.14282/.ai_paper_validation/final_report_1_5_2.md</t>
        </is>
      </c>
      <c r="Q53" s="24" t="inlineStr">
        <is>
          <t>C008</t>
        </is>
      </c>
      <c r="R53" s="24" t="inlineStr">
        <is>
          <t>Pending Human Adjudication</t>
        </is>
      </c>
      <c r="S53" s="24" t="inlineStr">
        <is>
          <t>The standard-arm ≥3-days-after-admission percentage does not reconcile under nearest one-decimal rounding.</t>
        </is>
      </c>
      <c r="T53" s="24" t="b">
        <v>1</v>
      </c>
      <c r="U53" s="24" t="inlineStr">
        <is>
          <t>count_percentage_rounding</t>
        </is>
      </c>
      <c r="V53" s="24" t="inlineStr">
        <is>
          <t>statistical_results</t>
        </is>
      </c>
      <c r="W53" s="24" t="inlineStr">
        <is>
          <t>Standard-arm ≥3-days-after-ICU-admission percentage does not reconcile</t>
        </is>
      </c>
      <c r="X53" s="24" t="inlineStr">
        <is>
          <t>2018</t>
        </is>
      </c>
      <c r="Y53" s="24" t="inlineStr">
        <is>
          <t>meta_report/consistency_reclassification_2026-09-04/reclassified_candidates.json</t>
        </is>
      </c>
      <c r="Z53" s="24" t="inlineStr">
        <is>
          <t>S_W</t>
        </is>
      </c>
      <c r="AA53" s="24" t="inlineStr">
        <is>
          <t>statistical_results</t>
        </is>
      </c>
      <c r="AB53" s="24" t="inlineStr">
        <is>
          <t>retain</t>
        </is>
      </c>
    </row>
    <row r="54" ht="90" customHeight="1" s="14">
      <c r="A54" s="20" t="b">
        <v>0</v>
      </c>
      <c r="B54" s="20" t="n"/>
      <c r="C54" s="20" t="b">
        <v>0</v>
      </c>
      <c r="D54" s="20" t="inlineStr">
        <is>
          <t>Denominator, proportion, or total inconsistency</t>
        </is>
      </c>
      <c r="E54" s="20" t="b">
        <v>0</v>
      </c>
      <c r="F54" s="20" t="inlineStr">
        <is>
          <t>C009</t>
        </is>
      </c>
      <c r="G54" s="20" t="inlineStr">
        <is>
          <t>2018::jama.2018.14282::C009</t>
        </is>
      </c>
      <c r="H54" s="20" t="n"/>
      <c r="I54" s="20" t="inlineStr">
        <is>
          <t>DOC-001 Table 1 — PDF p. 4</t>
        </is>
      </c>
      <c r="J54" s="20" t="b">
        <v>0</v>
      </c>
      <c r="K54" s="20" t="inlineStr">
        <is>
          <t>jama.2018.14282</t>
        </is>
      </c>
      <c r="L54" s="20" t="n"/>
      <c r="M54" s="20" t="inlineStr">
        <is>
          <t>S_W</t>
        </is>
      </c>
      <c r="N54" s="20" t="inlineStr">
        <is>
          <t>The standard-arm vasopressor percentage does not reconcile under nearest one-decimal rounding. The focal mismatch is within the main article.</t>
        </is>
      </c>
      <c r="O54" s="20" t="inlineStr">
        <is>
          <t>../../2018/jama.2018.14282/.ai_paper_validation/final_report_1_5_2.html</t>
        </is>
      </c>
      <c r="P54" s="20" t="inlineStr">
        <is>
          <t>2018/jama.2018.14282/.ai_paper_validation/final_report_1_5_2.md</t>
        </is>
      </c>
      <c r="Q54" s="20" t="inlineStr">
        <is>
          <t>C009</t>
        </is>
      </c>
      <c r="R54" s="20" t="inlineStr">
        <is>
          <t>Pending Human Adjudication</t>
        </is>
      </c>
      <c r="S54" s="20" t="inlineStr">
        <is>
          <t>The standard-arm vasopressor percentage does not reconcile under nearest one-decimal rounding.</t>
        </is>
      </c>
      <c r="T54" s="20" t="b">
        <v>1</v>
      </c>
      <c r="U54" s="20" t="inlineStr">
        <is>
          <t>count_percentage_rounding</t>
        </is>
      </c>
      <c r="V54" s="20" t="inlineStr">
        <is>
          <t>statistical_results</t>
        </is>
      </c>
      <c r="W54" s="20" t="inlineStr">
        <is>
          <t>Standard-arm vasopressor percentage does not reconcile</t>
        </is>
      </c>
      <c r="X54" s="20" t="inlineStr">
        <is>
          <t>2018</t>
        </is>
      </c>
      <c r="Y54" s="20" t="inlineStr">
        <is>
          <t>meta_report/consistency_reclassification_2026-09-04/reclassified_candidates.json</t>
        </is>
      </c>
      <c r="Z54" s="20" t="inlineStr">
        <is>
          <t>S_W</t>
        </is>
      </c>
      <c r="AA54" s="20" t="inlineStr">
        <is>
          <t>statistical_results</t>
        </is>
      </c>
      <c r="AB54" s="20" t="inlineStr">
        <is>
          <t>retain</t>
        </is>
      </c>
    </row>
    <row r="55" ht="90" customHeight="1" s="14">
      <c r="A55" s="24" t="b">
        <v>0</v>
      </c>
      <c r="B55" s="24" t="n"/>
      <c r="C55" s="24" t="b">
        <v>0</v>
      </c>
      <c r="D55" s="24" t="inlineStr">
        <is>
          <t>Denominator, proportion, or total inconsistency</t>
        </is>
      </c>
      <c r="E55" s="24" t="b">
        <v>0</v>
      </c>
      <c r="F55" s="24" t="inlineStr">
        <is>
          <t>C010</t>
        </is>
      </c>
      <c r="G55" s="24" t="inlineStr">
        <is>
          <t>2018::jama.2018.14282::C010</t>
        </is>
      </c>
      <c r="H55" s="24" t="n"/>
      <c r="I55" s="24" t="inlineStr">
        <is>
          <t>DOC-001 Table 1 — PDF p. 4</t>
        </is>
      </c>
      <c r="J55" s="24" t="b">
        <v>0</v>
      </c>
      <c r="K55" s="24" t="inlineStr">
        <is>
          <t>jama.2018.14282</t>
        </is>
      </c>
      <c r="L55" s="24" t="n"/>
      <c r="M55" s="24" t="inlineStr">
        <is>
          <t>S_W</t>
        </is>
      </c>
      <c r="N55" s="24" t="inlineStr">
        <is>
          <t>The high-flow do-not-intubate percentage does not reconcile under nearest one-decimal rounding. The focal mismatch is within the main article.</t>
        </is>
      </c>
      <c r="O55" s="24" t="inlineStr">
        <is>
          <t>../../2018/jama.2018.14282/.ai_paper_validation/final_report_1_5_2.html</t>
        </is>
      </c>
      <c r="P55" s="24" t="inlineStr">
        <is>
          <t>2018/jama.2018.14282/.ai_paper_validation/final_report_1_5_2.md</t>
        </is>
      </c>
      <c r="Q55" s="24" t="inlineStr">
        <is>
          <t>C010</t>
        </is>
      </c>
      <c r="R55" s="24" t="inlineStr">
        <is>
          <t>Pending Human Adjudication</t>
        </is>
      </c>
      <c r="S55" s="24" t="inlineStr">
        <is>
          <t>The high-flow do-not-intubate percentage does not reconcile under nearest one-decimal rounding.</t>
        </is>
      </c>
      <c r="T55" s="24" t="b">
        <v>1</v>
      </c>
      <c r="U55" s="24" t="inlineStr">
        <is>
          <t>count_percentage_rounding</t>
        </is>
      </c>
      <c r="V55" s="24" t="inlineStr">
        <is>
          <t>statistical_results</t>
        </is>
      </c>
      <c r="W55" s="24" t="inlineStr">
        <is>
          <t>High-flow do-not-intubate percentage does not reconcile</t>
        </is>
      </c>
      <c r="X55" s="24" t="inlineStr">
        <is>
          <t>2018</t>
        </is>
      </c>
      <c r="Y55" s="24" t="inlineStr">
        <is>
          <t>meta_report/consistency_reclassification_2026-09-04/reclassified_candidates.json</t>
        </is>
      </c>
      <c r="Z55" s="24" t="inlineStr">
        <is>
          <t>S_W</t>
        </is>
      </c>
      <c r="AA55" s="24" t="inlineStr">
        <is>
          <t>statistical_results</t>
        </is>
      </c>
      <c r="AB55" s="24" t="inlineStr">
        <is>
          <t>retain</t>
        </is>
      </c>
    </row>
    <row r="56" ht="90" customHeight="1" s="14">
      <c r="A56" s="20" t="b">
        <v>0</v>
      </c>
      <c r="B56" s="20" t="n"/>
      <c r="C56" s="20" t="b">
        <v>0</v>
      </c>
      <c r="D56" s="20" t="inlineStr">
        <is>
          <t>Denominator, proportion, or total inconsistency</t>
        </is>
      </c>
      <c r="E56" s="20" t="b">
        <v>0</v>
      </c>
      <c r="F56" s="20" t="inlineStr">
        <is>
          <t>C011</t>
        </is>
      </c>
      <c r="G56" s="20" t="inlineStr">
        <is>
          <t>2018::jama.2018.14282::C011</t>
        </is>
      </c>
      <c r="H56" s="20" t="n"/>
      <c r="I56" s="20" t="inlineStr">
        <is>
          <t>DOC-001 Table 1 — PDF p. 4</t>
        </is>
      </c>
      <c r="J56" s="20" t="b">
        <v>0</v>
      </c>
      <c r="K56" s="20" t="inlineStr">
        <is>
          <t>jama.2018.14282</t>
        </is>
      </c>
      <c r="L56" s="20" t="n"/>
      <c r="M56" s="20" t="inlineStr">
        <is>
          <t>S_W</t>
        </is>
      </c>
      <c r="N56" s="20" t="inlineStr">
        <is>
          <t>The high-flow do-not-resuscitate percentage does not reconcile under nearest one-decimal rounding. The focal mismatch is within the main article.</t>
        </is>
      </c>
      <c r="O56" s="20" t="inlineStr">
        <is>
          <t>../../2018/jama.2018.14282/.ai_paper_validation/final_report_1_5_2.html</t>
        </is>
      </c>
      <c r="P56" s="20" t="inlineStr">
        <is>
          <t>2018/jama.2018.14282/.ai_paper_validation/final_report_1_5_2.md</t>
        </is>
      </c>
      <c r="Q56" s="20" t="inlineStr">
        <is>
          <t>C011</t>
        </is>
      </c>
      <c r="R56" s="20" t="inlineStr">
        <is>
          <t>Pending Human Adjudication</t>
        </is>
      </c>
      <c r="S56" s="20" t="inlineStr">
        <is>
          <t>The high-flow do-not-resuscitate percentage does not reconcile under nearest one-decimal rounding.</t>
        </is>
      </c>
      <c r="T56" s="20" t="b">
        <v>1</v>
      </c>
      <c r="U56" s="20" t="inlineStr">
        <is>
          <t>count_percentage_rounding</t>
        </is>
      </c>
      <c r="V56" s="20" t="inlineStr">
        <is>
          <t>statistical_results</t>
        </is>
      </c>
      <c r="W56" s="20" t="inlineStr">
        <is>
          <t>High-flow do-not-resuscitate percentage does not reconcile</t>
        </is>
      </c>
      <c r="X56" s="20" t="inlineStr">
        <is>
          <t>2018</t>
        </is>
      </c>
      <c r="Y56" s="20" t="inlineStr">
        <is>
          <t>meta_report/consistency_reclassification_2026-09-04/reclassified_candidates.json</t>
        </is>
      </c>
      <c r="Z56" s="20" t="inlineStr">
        <is>
          <t>S_W</t>
        </is>
      </c>
      <c r="AA56" s="20" t="inlineStr">
        <is>
          <t>statistical_results</t>
        </is>
      </c>
      <c r="AB56" s="20" t="inlineStr">
        <is>
          <t>retain</t>
        </is>
      </c>
    </row>
    <row r="57" ht="90" customHeight="1" s="14">
      <c r="A57" s="24" t="b">
        <v>0</v>
      </c>
      <c r="B57" s="24" t="n"/>
      <c r="C57" s="24" t="b">
        <v>0</v>
      </c>
      <c r="D57" s="24" t="inlineStr">
        <is>
          <t>Denominator, proportion, or total inconsistency</t>
        </is>
      </c>
      <c r="E57" s="24" t="b">
        <v>0</v>
      </c>
      <c r="F57" s="24" t="inlineStr">
        <is>
          <t>C012</t>
        </is>
      </c>
      <c r="G57" s="24" t="inlineStr">
        <is>
          <t>2018::jama.2018.14282::C012</t>
        </is>
      </c>
      <c r="H57" s="24" t="n"/>
      <c r="I57" s="24" t="inlineStr">
        <is>
          <t>DOC-001 Table 1 — PDF p. 4</t>
        </is>
      </c>
      <c r="J57" s="24" t="b">
        <v>0</v>
      </c>
      <c r="K57" s="24" t="inlineStr">
        <is>
          <t>jama.2018.14282</t>
        </is>
      </c>
      <c r="L57" s="24" t="n"/>
      <c r="M57" s="24" t="inlineStr">
        <is>
          <t>S_W</t>
        </is>
      </c>
      <c r="N57" s="24" t="inlineStr">
        <is>
          <t>The standard-arm do-not-resuscitate percentage does not reconcile under nearest one-decimal rounding. The focal mismatch is within the main article.</t>
        </is>
      </c>
      <c r="O57" s="24" t="inlineStr">
        <is>
          <t>../../2018/jama.2018.14282/.ai_paper_validation/final_report_1_5_2.html</t>
        </is>
      </c>
      <c r="P57" s="24" t="inlineStr">
        <is>
          <t>2018/jama.2018.14282/.ai_paper_validation/final_report_1_5_2.md</t>
        </is>
      </c>
      <c r="Q57" s="24" t="inlineStr">
        <is>
          <t>C012</t>
        </is>
      </c>
      <c r="R57" s="24" t="inlineStr">
        <is>
          <t>Pending Human Adjudication</t>
        </is>
      </c>
      <c r="S57" s="24" t="inlineStr">
        <is>
          <t>The standard-arm do-not-resuscitate percentage does not reconcile under nearest one-decimal rounding.</t>
        </is>
      </c>
      <c r="T57" s="24" t="b">
        <v>1</v>
      </c>
      <c r="U57" s="24" t="inlineStr">
        <is>
          <t>count_percentage_rounding</t>
        </is>
      </c>
      <c r="V57" s="24" t="inlineStr">
        <is>
          <t>statistical_results</t>
        </is>
      </c>
      <c r="W57" s="24" t="inlineStr">
        <is>
          <t>Standard-arm do-not-resuscitate percentage does not reconcile</t>
        </is>
      </c>
      <c r="X57" s="24" t="inlineStr">
        <is>
          <t>2018</t>
        </is>
      </c>
      <c r="Y57" s="24" t="inlineStr">
        <is>
          <t>meta_report/consistency_reclassification_2026-09-04/reclassified_candidates.json</t>
        </is>
      </c>
      <c r="Z57" s="24" t="inlineStr">
        <is>
          <t>S_W</t>
        </is>
      </c>
      <c r="AA57" s="24" t="inlineStr">
        <is>
          <t>statistical_results</t>
        </is>
      </c>
      <c r="AB57" s="24" t="inlineStr">
        <is>
          <t>retain</t>
        </is>
      </c>
    </row>
    <row r="58" ht="90" customHeight="1" s="14">
      <c r="A58" s="20" t="b">
        <v>0</v>
      </c>
      <c r="B58" s="20" t="n"/>
      <c r="C58" s="20" t="b">
        <v>0</v>
      </c>
      <c r="D58" s="20" t="inlineStr">
        <is>
          <t>Denominator, proportion, or total inconsistency</t>
        </is>
      </c>
      <c r="E58" s="20" t="b">
        <v>0</v>
      </c>
      <c r="F58" s="20" t="inlineStr">
        <is>
          <t>C013</t>
        </is>
      </c>
      <c r="G58" s="20" t="inlineStr">
        <is>
          <t>2018::jama.2018.14282::C013</t>
        </is>
      </c>
      <c r="H58" s="20" t="n"/>
      <c r="I58" s="20" t="inlineStr">
        <is>
          <t>DOC-001 Table 1 — PDF p. 4</t>
        </is>
      </c>
      <c r="J58" s="20" t="b">
        <v>0</v>
      </c>
      <c r="K58" s="20" t="inlineStr">
        <is>
          <t>jama.2018.14282</t>
        </is>
      </c>
      <c r="L58" s="20" t="n"/>
      <c r="M58" s="20" t="inlineStr">
        <is>
          <t>S_W</t>
        </is>
      </c>
      <c r="N58" s="20" t="inlineStr">
        <is>
          <t>The standard-arm unknown-goals-of-care percentage does not reconcile under nearest one-decimal rounding. The focal mismatch is within the main article.</t>
        </is>
      </c>
      <c r="O58" s="20" t="inlineStr">
        <is>
          <t>../../2018/jama.2018.14282/.ai_paper_validation/final_report_1_5_2.html</t>
        </is>
      </c>
      <c r="P58" s="20" t="inlineStr">
        <is>
          <t>2018/jama.2018.14282/.ai_paper_validation/final_report_1_5_2.md</t>
        </is>
      </c>
      <c r="Q58" s="20" t="inlineStr">
        <is>
          <t>C013</t>
        </is>
      </c>
      <c r="R58" s="20" t="inlineStr">
        <is>
          <t>Pending Human Adjudication</t>
        </is>
      </c>
      <c r="S58" s="20" t="inlineStr">
        <is>
          <t>The standard-arm unknown-goals-of-care percentage does not reconcile under nearest one-decimal rounding.</t>
        </is>
      </c>
      <c r="T58" s="20" t="b">
        <v>1</v>
      </c>
      <c r="U58" s="20" t="inlineStr">
        <is>
          <t>count_percentage_rounding</t>
        </is>
      </c>
      <c r="V58" s="20" t="inlineStr">
        <is>
          <t>statistical_results</t>
        </is>
      </c>
      <c r="W58" s="20" t="inlineStr">
        <is>
          <t>Standard-arm unknown-goals percentage does not reconcile</t>
        </is>
      </c>
      <c r="X58" s="20" t="inlineStr">
        <is>
          <t>2018</t>
        </is>
      </c>
      <c r="Y58" s="20" t="inlineStr">
        <is>
          <t>meta_report/consistency_reclassification_2026-09-04/reclassified_candidates.json</t>
        </is>
      </c>
      <c r="Z58" s="20" t="inlineStr">
        <is>
          <t>S_W</t>
        </is>
      </c>
      <c r="AA58" s="20" t="inlineStr">
        <is>
          <t>statistical_results</t>
        </is>
      </c>
      <c r="AB58" s="20" t="inlineStr">
        <is>
          <t>retain</t>
        </is>
      </c>
    </row>
    <row r="59" ht="90" customHeight="1" s="14">
      <c r="A59" s="24" t="b">
        <v>0</v>
      </c>
      <c r="B59" s="24" t="n"/>
      <c r="C59" s="24" t="b">
        <v>0</v>
      </c>
      <c r="D59" s="24" t="inlineStr">
        <is>
          <t>Denominator, proportion, or total inconsistency</t>
        </is>
      </c>
      <c r="E59" s="24" t="b">
        <v>0</v>
      </c>
      <c r="F59" s="24" t="inlineStr">
        <is>
          <t>C014</t>
        </is>
      </c>
      <c r="G59" s="24" t="inlineStr">
        <is>
          <t>2018::jama.2018.14282::C014</t>
        </is>
      </c>
      <c r="H59" s="24" t="n"/>
      <c r="I59" s="24" t="inlineStr">
        <is>
          <t>DOC-001 Table 1 — PDF p. 4</t>
        </is>
      </c>
      <c r="J59" s="24" t="b">
        <v>0</v>
      </c>
      <c r="K59" s="24" t="inlineStr">
        <is>
          <t>jama.2018.14282</t>
        </is>
      </c>
      <c r="L59" s="24" t="n"/>
      <c r="M59" s="24" t="inlineStr">
        <is>
          <t>S_W</t>
        </is>
      </c>
      <c r="N59" s="24" t="inlineStr">
        <is>
          <t>The high-flow pre-randomization standard-oxygen percentage does not reconcile under nearest one-decimal rounding. The focal mismatch is within the main article.</t>
        </is>
      </c>
      <c r="O59" s="24" t="inlineStr">
        <is>
          <t>../../2018/jama.2018.14282/.ai_paper_validation/final_report_1_5_2.html</t>
        </is>
      </c>
      <c r="P59" s="24" t="inlineStr">
        <is>
          <t>2018/jama.2018.14282/.ai_paper_validation/final_report_1_5_2.md</t>
        </is>
      </c>
      <c r="Q59" s="24" t="inlineStr">
        <is>
          <t>C014</t>
        </is>
      </c>
      <c r="R59" s="24" t="inlineStr">
        <is>
          <t>Pending Human Adjudication</t>
        </is>
      </c>
      <c r="S59" s="24" t="inlineStr">
        <is>
          <t>The high-flow pre-randomization standard-oxygen percentage does not reconcile under nearest one-decimal rounding.</t>
        </is>
      </c>
      <c r="T59" s="24" t="b">
        <v>1</v>
      </c>
      <c r="U59" s="24" t="inlineStr">
        <is>
          <t>count_percentage_rounding</t>
        </is>
      </c>
      <c r="V59" s="24" t="inlineStr">
        <is>
          <t>statistical_results</t>
        </is>
      </c>
      <c r="W59" s="24" t="inlineStr">
        <is>
          <t>High-flow pre-randomization standard-oxygen percentage does not reconcile</t>
        </is>
      </c>
      <c r="X59" s="24" t="inlineStr">
        <is>
          <t>2018</t>
        </is>
      </c>
      <c r="Y59" s="24" t="inlineStr">
        <is>
          <t>meta_report/consistency_reclassification_2026-09-04/reclassified_candidates.json</t>
        </is>
      </c>
      <c r="Z59" s="24" t="inlineStr">
        <is>
          <t>S_W</t>
        </is>
      </c>
      <c r="AA59" s="24" t="inlineStr">
        <is>
          <t>statistical_results</t>
        </is>
      </c>
      <c r="AB59" s="24" t="inlineStr">
        <is>
          <t>retain</t>
        </is>
      </c>
    </row>
    <row r="60" ht="90" customHeight="1" s="14">
      <c r="A60" s="20" t="b">
        <v>0</v>
      </c>
      <c r="B60" s="20" t="n"/>
      <c r="C60" s="20" t="b">
        <v>0</v>
      </c>
      <c r="D60" s="20" t="inlineStr">
        <is>
          <t>Denominator, proportion, or total inconsistency</t>
        </is>
      </c>
      <c r="E60" s="20" t="b">
        <v>0</v>
      </c>
      <c r="F60" s="20" t="inlineStr">
        <is>
          <t>C015</t>
        </is>
      </c>
      <c r="G60" s="20" t="inlineStr">
        <is>
          <t>2018::jama.2018.14282::C015</t>
        </is>
      </c>
      <c r="H60" s="20" t="n"/>
      <c r="I60" s="20" t="inlineStr">
        <is>
          <t>DOC-001 Table 2 — PDF p. 5</t>
        </is>
      </c>
      <c r="J60" s="20" t="b">
        <v>0</v>
      </c>
      <c r="K60" s="20" t="inlineStr">
        <is>
          <t>jama.2018.14282</t>
        </is>
      </c>
      <c r="L60" s="20" t="n"/>
      <c r="M60" s="20" t="inlineStr">
        <is>
          <t>S_W</t>
        </is>
      </c>
      <c r="N60" s="20" t="inlineStr">
        <is>
          <t>The high-flow ICU-acquired-infection percentage does not reconcile under nearest one-decimal rounding. The focal mismatch is within the main article.</t>
        </is>
      </c>
      <c r="O60" s="20" t="inlineStr">
        <is>
          <t>../../2018/jama.2018.14282/.ai_paper_validation/final_report_1_5_2.html</t>
        </is>
      </c>
      <c r="P60" s="20" t="inlineStr">
        <is>
          <t>2018/jama.2018.14282/.ai_paper_validation/final_report_1_5_2.md</t>
        </is>
      </c>
      <c r="Q60" s="20" t="inlineStr">
        <is>
          <t>C015</t>
        </is>
      </c>
      <c r="R60" s="20" t="inlineStr">
        <is>
          <t>Pending Human Adjudication</t>
        </is>
      </c>
      <c r="S60" s="20" t="inlineStr">
        <is>
          <t>The high-flow ICU-acquired-infection percentage does not reconcile under nearest one-decimal rounding.</t>
        </is>
      </c>
      <c r="T60" s="20" t="b">
        <v>1</v>
      </c>
      <c r="U60" s="20" t="inlineStr">
        <is>
          <t>count_percentage_rounding</t>
        </is>
      </c>
      <c r="V60" s="20" t="inlineStr">
        <is>
          <t>statistical_results</t>
        </is>
      </c>
      <c r="W60" s="20" t="inlineStr">
        <is>
          <t>High-flow ICU-acquired-infection percentage does not reconcile</t>
        </is>
      </c>
      <c r="X60" s="20" t="inlineStr">
        <is>
          <t>2018</t>
        </is>
      </c>
      <c r="Y60" s="20" t="inlineStr">
        <is>
          <t>meta_report/consistency_reclassification_2026-09-04/reclassified_candidates.json</t>
        </is>
      </c>
      <c r="Z60" s="20" t="inlineStr">
        <is>
          <t>S_W</t>
        </is>
      </c>
      <c r="AA60" s="20" t="inlineStr">
        <is>
          <t>statistical_results</t>
        </is>
      </c>
      <c r="AB60" s="20" t="inlineStr">
        <is>
          <t>retain</t>
        </is>
      </c>
    </row>
    <row r="61" ht="90" customHeight="1" s="14">
      <c r="A61" s="24" t="b">
        <v>0</v>
      </c>
      <c r="B61" s="24" t="n"/>
      <c r="C61" s="24" t="b">
        <v>0</v>
      </c>
      <c r="D61" s="24" t="inlineStr">
        <is>
          <t>Denominator, proportion, or total inconsistency</t>
        </is>
      </c>
      <c r="E61" s="24" t="b">
        <v>0</v>
      </c>
      <c r="F61" s="24" t="inlineStr">
        <is>
          <t>C016</t>
        </is>
      </c>
      <c r="G61" s="24" t="inlineStr">
        <is>
          <t>2018::jama.2018.14282::C016</t>
        </is>
      </c>
      <c r="H61" s="24" t="n"/>
      <c r="I61" s="24" t="inlineStr">
        <is>
          <t>DOC-001 Table 2 — PDF p. 5</t>
        </is>
      </c>
      <c r="J61" s="24" t="b">
        <v>0</v>
      </c>
      <c r="K61" s="24" t="inlineStr">
        <is>
          <t>jama.2018.14282</t>
        </is>
      </c>
      <c r="L61" s="24" t="n"/>
      <c r="M61" s="24" t="inlineStr">
        <is>
          <t>S_W</t>
        </is>
      </c>
      <c r="N61" s="24" t="inlineStr">
        <is>
          <t>The standard-arm hospital-mortality percentage does not reconcile under nearest one-decimal rounding. The focal mismatch is within the main article.</t>
        </is>
      </c>
      <c r="O61" s="24" t="inlineStr">
        <is>
          <t>../../2018/jama.2018.14282/.ai_paper_validation/final_report_1_5_2.html</t>
        </is>
      </c>
      <c r="P61" s="24" t="inlineStr">
        <is>
          <t>2018/jama.2018.14282/.ai_paper_validation/final_report_1_5_2.md</t>
        </is>
      </c>
      <c r="Q61" s="24" t="inlineStr">
        <is>
          <t>C016</t>
        </is>
      </c>
      <c r="R61" s="24" t="inlineStr">
        <is>
          <t>Pending Human Adjudication</t>
        </is>
      </c>
      <c r="S61" s="24" t="inlineStr">
        <is>
          <t>The standard-arm hospital-mortality percentage does not reconcile under nearest one-decimal rounding.</t>
        </is>
      </c>
      <c r="T61" s="24" t="b">
        <v>1</v>
      </c>
      <c r="U61" s="24" t="inlineStr">
        <is>
          <t>count_percentage_rounding</t>
        </is>
      </c>
      <c r="V61" s="24" t="inlineStr">
        <is>
          <t>statistical_results</t>
        </is>
      </c>
      <c r="W61" s="24" t="inlineStr">
        <is>
          <t>Standard-arm hospital-mortality percentage does not reconcile</t>
        </is>
      </c>
      <c r="X61" s="24" t="inlineStr">
        <is>
          <t>2018</t>
        </is>
      </c>
      <c r="Y61" s="24" t="inlineStr">
        <is>
          <t>meta_report/consistency_reclassification_2026-09-04/reclassified_candidates.json</t>
        </is>
      </c>
      <c r="Z61" s="24" t="inlineStr">
        <is>
          <t>S_W</t>
        </is>
      </c>
      <c r="AA61" s="24" t="inlineStr">
        <is>
          <t>statistical_results</t>
        </is>
      </c>
      <c r="AB61" s="24" t="inlineStr">
        <is>
          <t>retain</t>
        </is>
      </c>
    </row>
    <row r="62" ht="90" customHeight="1" s="14">
      <c r="A62" s="20" t="b">
        <v>0</v>
      </c>
      <c r="B62" s="20" t="n"/>
      <c r="C62" s="20" t="b">
        <v>0</v>
      </c>
      <c r="D62" s="20" t="inlineStr">
        <is>
          <t>Cross-document numeric inconsistency</t>
        </is>
      </c>
      <c r="E62" s="20" t="b">
        <v>0</v>
      </c>
      <c r="F62" s="20" t="inlineStr">
        <is>
          <t>C017</t>
        </is>
      </c>
      <c r="G62" s="20" t="inlineStr">
        <is>
          <t>2018::jama.2018.14282::C017</t>
        </is>
      </c>
      <c r="H62" s="20" t="n"/>
      <c r="I62" s="20" t="inlineStr">
        <is>
          <t>DOC-001 abstract — PDF p. 1; DOC-001 results — PDF p. 6</t>
        </is>
      </c>
      <c r="J62" s="20" t="b">
        <v>1</v>
      </c>
      <c r="K62" s="20" t="inlineStr">
        <is>
          <t>jama.2018.14282</t>
        </is>
      </c>
      <c r="L62" s="20" t="n"/>
      <c r="M62" s="20" t="inlineStr">
        <is>
          <t>S_W</t>
        </is>
      </c>
      <c r="N62" s="20" t="inlineStr">
        <is>
          <t>The abstract and Results of the same main PDF report upper CI endpoints -0.2 and -0.3/min for the matched six-hour respiratory-rate result. The original cross-document category is a within-main repetition discrepancy.</t>
        </is>
      </c>
      <c r="O62" s="20" t="inlineStr">
        <is>
          <t>../../2018/jama.2018.14282/.ai_paper_validation/final_report_1_5_2.html</t>
        </is>
      </c>
      <c r="P62" s="20" t="inlineStr">
        <is>
          <t>2018/jama.2018.14282/.ai_paper_validation/final_report_1_5_2.md</t>
        </is>
      </c>
      <c r="Q62" s="20" t="inlineStr">
        <is>
          <t>C017</t>
        </is>
      </c>
      <c r="R62" s="20" t="inlineStr">
        <is>
          <t>Pending Human Adjudication</t>
        </is>
      </c>
      <c r="S62" s="20" t="inlineStr">
        <is>
          <t>Matched abstract and results displays give different upper 95% confidence-interval endpoints for the same six-hour respiratory-rate comparison.</t>
        </is>
      </c>
      <c r="T62" s="20" t="b">
        <v>1</v>
      </c>
      <c r="U62" s="20" t="inlineStr">
        <is>
          <t>repeated_ci_endpoint</t>
        </is>
      </c>
      <c r="V62" s="20" t="inlineStr">
        <is>
          <t>report_internal_inconsistency</t>
        </is>
      </c>
      <c r="W62" s="20" t="inlineStr">
        <is>
          <t>Respiratory-rate confidence-interval endpoint differs between matched occurrences</t>
        </is>
      </c>
      <c r="X62" s="20" t="inlineStr">
        <is>
          <t>2018</t>
        </is>
      </c>
      <c r="Y62" s="20" t="inlineStr">
        <is>
          <t>meta_report/consistency_reclassification_2026-09-04/reclassified_candidates.json</t>
        </is>
      </c>
      <c r="Z62" s="20" t="inlineStr">
        <is>
          <t>S_W</t>
        </is>
      </c>
      <c r="AA62" s="20" t="inlineStr">
        <is>
          <t>report_internal_inconsistency</t>
        </is>
      </c>
      <c r="AB62" s="20" t="inlineStr">
        <is>
          <t>retain</t>
        </is>
      </c>
    </row>
    <row r="63" ht="90" customHeight="1" s="14">
      <c r="A63" s="24" t="b">
        <v>0</v>
      </c>
      <c r="B63" s="24" t="inlineStr">
        <is>
          <t>Communication-only candidate: arithmetic reproduces under the printed overall-population context. It is not an explicit failed evidence recheck, so evidence_state remains recorded_candidate; do not describe it as a confirmed inconsistency.</t>
        </is>
      </c>
      <c r="C63" s="24" t="b">
        <v>0</v>
      </c>
      <c r="D63" s="24" t="inlineStr">
        <is>
          <t>Denominator, proportion, or total inconsistency</t>
        </is>
      </c>
      <c r="E63" s="24" t="b">
        <v>0</v>
      </c>
      <c r="F63" s="24" t="inlineStr">
        <is>
          <t>C018</t>
        </is>
      </c>
      <c r="G63" s="24" t="inlineStr">
        <is>
          <t>2018::jama.2018.14282::C018</t>
        </is>
      </c>
      <c r="H63" s="24" t="n"/>
      <c r="I63" s="24" t="inlineStr">
        <is>
          <t>DOC-001 post hoc outcomes — PDF p. 6</t>
        </is>
      </c>
      <c r="J63" s="24" t="b">
        <v>0</v>
      </c>
      <c r="K63" s="24" t="inlineStr">
        <is>
          <t>jama.2018.14282</t>
        </is>
      </c>
      <c r="L63" s="24" t="n"/>
      <c r="M63" s="24" t="inlineStr">
        <is>
          <t>S_W</t>
        </is>
      </c>
      <c r="N63" s="24" t="inlineStr">
        <is>
          <t>The main paragraph explicitly begins In the overall population; 153/776=19.7% and 31/776=4.0% are correct, but the arm-attributed wording could be misread as within-arm risks. The retained candidate is within-main denominator communication, not an established numerical contradiction.</t>
        </is>
      </c>
      <c r="O63" s="24" t="inlineStr">
        <is>
          <t>../../2018/jama.2018.14282/.ai_paper_validation/final_report_1_5_2.html</t>
        </is>
      </c>
      <c r="P63" s="24" t="inlineStr">
        <is>
          <t>2018/jama.2018.14282/.ai_paper_validation/final_report_1_5_2.md</t>
        </is>
      </c>
      <c r="Q63" s="24" t="inlineStr">
        <is>
          <t>C018</t>
        </is>
      </c>
      <c r="R63" s="24" t="inlineStr">
        <is>
          <t>Pending Human Adjudication</t>
        </is>
      </c>
      <c r="S63" s="24" t="inlineStr">
        <is>
          <t>Arm-attributed support-needs counts are paired with overall-population percentages, creating a denominator-communication question rather than a demonstrated arithmetic error.</t>
        </is>
      </c>
      <c r="T63" s="24" t="b">
        <v>1</v>
      </c>
      <c r="U63" s="24" t="inlineStr">
        <is>
          <t>denominator_communication</t>
        </is>
      </c>
      <c r="V63" s="24" t="inlineStr">
        <is>
          <t>statistical_results</t>
        </is>
      </c>
      <c r="W63" s="24" t="inlineStr">
        <is>
          <t>Arm-attributed support-needs percentages use the overall-population denominator</t>
        </is>
      </c>
      <c r="X63" s="24" t="inlineStr">
        <is>
          <t>2018</t>
        </is>
      </c>
      <c r="Y63" s="24" t="inlineStr">
        <is>
          <t>meta_report/consistency_reclassification_2026-09-04/reclassified_candidates.json</t>
        </is>
      </c>
      <c r="Z63" s="24" t="inlineStr">
        <is>
          <t>S_W</t>
        </is>
      </c>
      <c r="AA63" s="24" t="inlineStr">
        <is>
          <t>statistical_results</t>
        </is>
      </c>
      <c r="AB63" s="24" t="inlineStr">
        <is>
          <t>retain</t>
        </is>
      </c>
    </row>
    <row r="64" ht="90" customHeight="1" s="14">
      <c r="A64" s="20" t="b">
        <v>0</v>
      </c>
      <c r="B64" s="20" t="n"/>
      <c r="C64" s="20" t="b">
        <v>0</v>
      </c>
      <c r="D64" s="20" t="inlineStr">
        <is>
          <t>Denominator, proportion, or total inconsistency</t>
        </is>
      </c>
      <c r="E64" s="20" t="b">
        <v>0</v>
      </c>
      <c r="F64" s="20" t="inlineStr">
        <is>
          <t>C019</t>
        </is>
      </c>
      <c r="G64" s="20" t="inlineStr">
        <is>
          <t>2018::jama.2018.14282::C019</t>
        </is>
      </c>
      <c r="H64" s="20" t="n"/>
      <c r="I64" s="20" t="inlineStr">
        <is>
          <t>DOC-003 eTable — PDF p. 2</t>
        </is>
      </c>
      <c r="J64" s="20" t="b">
        <v>0</v>
      </c>
      <c r="K64" s="20" t="inlineStr">
        <is>
          <t>jama.2018.14282</t>
        </is>
      </c>
      <c r="L64" s="20" t="n"/>
      <c r="M64" s="20" t="inlineStr">
        <is>
          <t>S_W</t>
        </is>
      </c>
      <c r="N64" s="20" t="inlineStr">
        <is>
          <t>The eTable high-flow invasive-mechanical-ventilation percentage does not reconcile under nearest one-decimal rounding. The focal mismatch is within one non-plan results supplement.</t>
        </is>
      </c>
      <c r="O64" s="20" t="inlineStr">
        <is>
          <t>../../2018/jama.2018.14282/.ai_paper_validation/final_report_1_5_2.html</t>
        </is>
      </c>
      <c r="P64" s="20" t="inlineStr">
        <is>
          <t>2018/jama.2018.14282/.ai_paper_validation/final_report_1_5_2.md</t>
        </is>
      </c>
      <c r="Q64" s="20" t="inlineStr">
        <is>
          <t>C019</t>
        </is>
      </c>
      <c r="R64" s="20" t="inlineStr">
        <is>
          <t>Pending Human Adjudication</t>
        </is>
      </c>
      <c r="S64" s="20" t="inlineStr">
        <is>
          <t>The eTable high-flow invasive-mechanical-ventilation percentage does not reconcile under nearest one-decimal rounding.</t>
        </is>
      </c>
      <c r="T64" s="20" t="b">
        <v>1</v>
      </c>
      <c r="U64" s="20" t="inlineStr">
        <is>
          <t>count_percentage_rounding</t>
        </is>
      </c>
      <c r="V64" s="20" t="inlineStr">
        <is>
          <t>statistical_results</t>
        </is>
      </c>
      <c r="W64" s="20" t="inlineStr">
        <is>
          <t>eTable high-flow invasive-MV percentage does not reconcile</t>
        </is>
      </c>
      <c r="X64" s="20" t="inlineStr">
        <is>
          <t>2018</t>
        </is>
      </c>
      <c r="Y64" s="20" t="inlineStr">
        <is>
          <t>meta_report/consistency_reclassification_2026-09-04/reclassified_candidates.json</t>
        </is>
      </c>
      <c r="Z64" s="20" t="inlineStr">
        <is>
          <t>S_W</t>
        </is>
      </c>
      <c r="AA64" s="20" t="inlineStr">
        <is>
          <t>statistical_results</t>
        </is>
      </c>
      <c r="AB64" s="20" t="inlineStr">
        <is>
          <t>retain</t>
        </is>
      </c>
    </row>
    <row r="65" ht="90" customHeight="1" s="14">
      <c r="A65" s="24" t="b">
        <v>0</v>
      </c>
      <c r="B65" s="24" t="inlineStr">
        <is>
          <t>Complementary to C021 and may share a forced-total percentage-production rule; separate printed count/percentage cell, so not marked an identical duplicate.</t>
        </is>
      </c>
      <c r="C65" s="24" t="b">
        <v>0</v>
      </c>
      <c r="D65" s="24" t="inlineStr">
        <is>
          <t>Denominator, proportion, or total inconsistency</t>
        </is>
      </c>
      <c r="E65" s="24" t="b">
        <v>0</v>
      </c>
      <c r="F65" s="24" t="inlineStr">
        <is>
          <t>C020</t>
        </is>
      </c>
      <c r="G65" s="24" t="inlineStr">
        <is>
          <t>2018::jama.2018.14282::C020</t>
        </is>
      </c>
      <c r="H65" s="24" t="n"/>
      <c r="I65" s="24" t="inlineStr">
        <is>
          <t>DOC-003 eTable — PDF p. 2</t>
        </is>
      </c>
      <c r="J65" s="24" t="b">
        <v>0</v>
      </c>
      <c r="K65" s="24" t="inlineStr">
        <is>
          <t>jama.2018.14282</t>
        </is>
      </c>
      <c r="L65" s="24" t="n"/>
      <c r="M65" s="24" t="inlineStr">
        <is>
          <t>S_W</t>
        </is>
      </c>
      <c r="N65" s="24" t="inlineStr">
        <is>
          <t>The eTable standard-arm invasive-mechanical-ventilation percentage does not reconcile under nearest one-decimal rounding. The focal mismatch is within one non-plan results supplement.</t>
        </is>
      </c>
      <c r="O65" s="24" t="inlineStr">
        <is>
          <t>../../2018/jama.2018.14282/.ai_paper_validation/final_report_1_5_2.html</t>
        </is>
      </c>
      <c r="P65" s="24" t="inlineStr">
        <is>
          <t>2018/jama.2018.14282/.ai_paper_validation/final_report_1_5_2.md</t>
        </is>
      </c>
      <c r="Q65" s="24" t="inlineStr">
        <is>
          <t>C020</t>
        </is>
      </c>
      <c r="R65" s="24" t="inlineStr">
        <is>
          <t>Pending Human Adjudication</t>
        </is>
      </c>
      <c r="S65" s="24" t="inlineStr">
        <is>
          <t>The eTable standard-arm invasive-mechanical-ventilation percentage does not reconcile under nearest one-decimal rounding.</t>
        </is>
      </c>
      <c r="T65" s="24" t="b">
        <v>1</v>
      </c>
      <c r="U65" s="24" t="inlineStr">
        <is>
          <t>count_percentage_rounding</t>
        </is>
      </c>
      <c r="V65" s="24" t="inlineStr">
        <is>
          <t>statistical_results</t>
        </is>
      </c>
      <c r="W65" s="24" t="inlineStr">
        <is>
          <t>eTable standard-arm invasive-MV percentage does not reconcile</t>
        </is>
      </c>
      <c r="X65" s="24" t="inlineStr">
        <is>
          <t>2018</t>
        </is>
      </c>
      <c r="Y65" s="24" t="inlineStr">
        <is>
          <t>meta_report/consistency_reclassification_2026-09-04/reclassified_candidates.json</t>
        </is>
      </c>
      <c r="Z65" s="24" t="inlineStr">
        <is>
          <t>S_W</t>
        </is>
      </c>
      <c r="AA65" s="24" t="inlineStr">
        <is>
          <t>statistical_results</t>
        </is>
      </c>
      <c r="AB65" s="24" t="inlineStr">
        <is>
          <t>retain</t>
        </is>
      </c>
    </row>
    <row r="66" ht="90" customHeight="1" s="14">
      <c r="A66" s="20" t="b">
        <v>0</v>
      </c>
      <c r="B66" s="20" t="inlineStr">
        <is>
          <t>Complementary to C020 and may share a forced-total percentage-production rule; separate printed count/percentage cell, so not marked an identical duplicate.</t>
        </is>
      </c>
      <c r="C66" s="20" t="b">
        <v>0</v>
      </c>
      <c r="D66" s="20" t="inlineStr">
        <is>
          <t>Denominator, proportion, or total inconsistency</t>
        </is>
      </c>
      <c r="E66" s="20" t="b">
        <v>0</v>
      </c>
      <c r="F66" s="20" t="inlineStr">
        <is>
          <t>C021</t>
        </is>
      </c>
      <c r="G66" s="20" t="inlineStr">
        <is>
          <t>2018::jama.2018.14282::C021</t>
        </is>
      </c>
      <c r="H66" s="20" t="n"/>
      <c r="I66" s="20" t="inlineStr">
        <is>
          <t>DOC-003 eTable — PDF p. 2</t>
        </is>
      </c>
      <c r="J66" s="20" t="b">
        <v>0</v>
      </c>
      <c r="K66" s="20" t="inlineStr">
        <is>
          <t>jama.2018.14282</t>
        </is>
      </c>
      <c r="L66" s="20" t="n"/>
      <c r="M66" s="20" t="inlineStr">
        <is>
          <t>S_W</t>
        </is>
      </c>
      <c r="N66" s="20" t="inlineStr">
        <is>
          <t>The eTable standard-oxygen-only percentage does not reconcile under nearest one-decimal rounding. The focal mismatch is within one non-plan results supplement.</t>
        </is>
      </c>
      <c r="O66" s="20" t="inlineStr">
        <is>
          <t>../../2018/jama.2018.14282/.ai_paper_validation/final_report_1_5_2.html</t>
        </is>
      </c>
      <c r="P66" s="20" t="inlineStr">
        <is>
          <t>2018/jama.2018.14282/.ai_paper_validation/final_report_1_5_2.md</t>
        </is>
      </c>
      <c r="Q66" s="20" t="inlineStr">
        <is>
          <t>C021</t>
        </is>
      </c>
      <c r="R66" s="20" t="inlineStr">
        <is>
          <t>Pending Human Adjudication</t>
        </is>
      </c>
      <c r="S66" s="20" t="inlineStr">
        <is>
          <t>The eTable standard-oxygen-only percentage does not reconcile under nearest one-decimal rounding.</t>
        </is>
      </c>
      <c r="T66" s="20" t="b">
        <v>1</v>
      </c>
      <c r="U66" s="20" t="inlineStr">
        <is>
          <t>count_percentage_rounding</t>
        </is>
      </c>
      <c r="V66" s="20" t="inlineStr">
        <is>
          <t>statistical_results</t>
        </is>
      </c>
      <c r="W66" s="20" t="inlineStr">
        <is>
          <t>eTable standard-oxygen-only percentage does not reconcile</t>
        </is>
      </c>
      <c r="X66" s="20" t="inlineStr">
        <is>
          <t>2018</t>
        </is>
      </c>
      <c r="Y66" s="20" t="inlineStr">
        <is>
          <t>meta_report/consistency_reclassification_2026-09-04/reclassified_candidates.json</t>
        </is>
      </c>
      <c r="Z66" s="20" t="inlineStr">
        <is>
          <t>S_W</t>
        </is>
      </c>
      <c r="AA66" s="20" t="inlineStr">
        <is>
          <t>statistical_results</t>
        </is>
      </c>
      <c r="AB66" s="20" t="inlineStr">
        <is>
          <t>retain</t>
        </is>
      </c>
    </row>
    <row r="67" ht="90" customHeight="1" s="14">
      <c r="A67" s="24" t="b">
        <v>0</v>
      </c>
      <c r="B67" s="24" t="n"/>
      <c r="C67" s="24" t="b">
        <v>0</v>
      </c>
      <c r="D67" s="24" t="inlineStr">
        <is>
          <t>Statistical reporting inconsistency</t>
        </is>
      </c>
      <c r="E67" s="24" t="b">
        <v>1</v>
      </c>
      <c r="F67" s="24" t="inlineStr">
        <is>
          <t>C022</t>
        </is>
      </c>
      <c r="G67" s="24" t="inlineStr">
        <is>
          <t>2018::jama.2018.14282::C022</t>
        </is>
      </c>
      <c r="H67" s="24" t="n"/>
      <c r="I67" s="24" t="inlineStr">
        <is>
          <t>DOC-001 methods — PDF p. 4; DOC-001 results — PDF p. 6; DOC-003 eFigure 1 — PDF p. 3</t>
        </is>
      </c>
      <c r="J67" s="24" t="b">
        <v>0</v>
      </c>
      <c r="K67" s="24" t="inlineStr">
        <is>
          <t>jama.2018.14282</t>
        </is>
      </c>
      <c r="L67" s="24" t="n"/>
      <c r="M67" s="24" t="inlineStr">
        <is>
          <t>S_C</t>
        </is>
      </c>
      <c r="N67" s="24" t="inlineStr">
        <is>
          <t>A matched invasive-mechanical-ventilation cumulative-incidence comparison is described with Gray testing in the main article and a log-rank label in the linked eFigure. The focal comparison is the main article versus a non-plan results supplement.</t>
        </is>
      </c>
      <c r="O67" s="24" t="inlineStr">
        <is>
          <t>../../2018/jama.2018.14282/.ai_paper_validation/final_report_1_5_2.html</t>
        </is>
      </c>
      <c r="P67" s="24" t="inlineStr">
        <is>
          <t>2018/jama.2018.14282/.ai_paper_validation/final_report_1_5_2.md</t>
        </is>
      </c>
      <c r="Q67" s="24" t="inlineStr">
        <is>
          <t>C022</t>
        </is>
      </c>
      <c r="R67" s="24" t="inlineStr">
        <is>
          <t>Pending Human Adjudication</t>
        </is>
      </c>
      <c r="S67" s="24" t="inlineStr">
        <is>
          <t>A matched invasive-mechanical-ventilation cumulative-incidence comparison is described with Gray testing in the main article and a log-rank label in the linked eFigure.</t>
        </is>
      </c>
      <c r="T67" s="24" t="b">
        <v>1</v>
      </c>
      <c r="U67" s="24" t="inlineStr">
        <is>
          <t>test_label</t>
        </is>
      </c>
      <c r="V67" s="24" t="inlineStr">
        <is>
          <t>statistical_results</t>
        </is>
      </c>
      <c r="W67" s="24" t="inlineStr">
        <is>
          <t>IMV cumulative-incidence comparison has incompatible printed test labels</t>
        </is>
      </c>
      <c r="X67" s="24" t="inlineStr">
        <is>
          <t>2018</t>
        </is>
      </c>
      <c r="Y67" s="24" t="inlineStr">
        <is>
          <t>meta_report/consistency_reclassification_2026-09-04/reclassified_candidates.json</t>
        </is>
      </c>
      <c r="Z67" s="24" t="inlineStr">
        <is>
          <t>S_C</t>
        </is>
      </c>
      <c r="AA67" s="24" t="inlineStr">
        <is>
          <t>statistical_results</t>
        </is>
      </c>
      <c r="AB67" s="24" t="inlineStr">
        <is>
          <t>retain</t>
        </is>
      </c>
    </row>
    <row r="68" ht="90" customHeight="1" s="14">
      <c r="A68" s="20" t="b">
        <v>0</v>
      </c>
      <c r="B68" s="20" t="inlineStr">
        <is>
          <t>Figure reference group is not defined. Recheck rejects exact reciprocal agreement from all rounded values, while preserving near-reciprocal orientation compatible with hidden precision; this is not a wholly non-reproduced candidate.</t>
        </is>
      </c>
      <c r="C68" s="20" t="b">
        <v>0</v>
      </c>
      <c r="D68" s="20" t="inlineStr">
        <is>
          <t>Measure, label, or scale inconsistency</t>
        </is>
      </c>
      <c r="E68" s="20" t="b">
        <v>0</v>
      </c>
      <c r="F68" s="20" t="inlineStr">
        <is>
          <t>C023</t>
        </is>
      </c>
      <c r="G68" s="20" t="inlineStr">
        <is>
          <t>2018::jama.2018.14282::C023</t>
        </is>
      </c>
      <c r="H68" s="20" t="n"/>
      <c r="I68" s="20" t="inlineStr">
        <is>
          <t>DOC-001 Table 2 and narrative — PDF p. 5; DOC-001 Figure 3A — PDF p. 7</t>
        </is>
      </c>
      <c r="J68" s="20" t="b">
        <v>0</v>
      </c>
      <c r="K68" s="20" t="inlineStr">
        <is>
          <t>jama.2018.14282</t>
        </is>
      </c>
      <c r="L68" s="20" t="n"/>
      <c r="M68" s="20" t="inlineStr">
        <is>
          <t>S_W</t>
        </is>
      </c>
      <c r="N68" s="20" t="inlineStr">
        <is>
          <t>Figure 3A mortality HRs are near reciprocals of the matched Table 2/narrative HRs under favor labels, but the figure reference group is not printed. The focal mismatch is within the main article.</t>
        </is>
      </c>
      <c r="O68" s="20" t="inlineStr">
        <is>
          <t>../../2018/jama.2018.14282/.ai_paper_validation/final_report_1_5_2.html</t>
        </is>
      </c>
      <c r="P68" s="20" t="inlineStr">
        <is>
          <t>2018/jama.2018.14282/.ai_paper_validation/final_report_1_5_2.md</t>
        </is>
      </c>
      <c r="Q68" s="20" t="inlineStr">
        <is>
          <t>C023</t>
        </is>
      </c>
      <c r="R68" s="20" t="inlineStr">
        <is>
          <t>Pending Human Adjudication</t>
        </is>
      </c>
      <c r="S68" s="20" t="inlineStr">
        <is>
          <t>Figure 3A mortality HRs are near reciprocals of the matched Table 2/narrative HRs under favor labels, but the figure reference group is not printed.</t>
        </is>
      </c>
      <c r="T68" s="20" t="b">
        <v>1</v>
      </c>
      <c r="U68" s="20" t="inlineStr">
        <is>
          <t>hr_orientation</t>
        </is>
      </c>
      <c r="V68" s="20" t="inlineStr">
        <is>
          <t>report_internal_inconsistency</t>
        </is>
      </c>
      <c r="W68" s="20" t="inlineStr">
        <is>
          <t>Figure 3A mortality HR has a near-reciprocal orientation relative to Table 2</t>
        </is>
      </c>
      <c r="X68" s="20" t="inlineStr">
        <is>
          <t>2018</t>
        </is>
      </c>
      <c r="Y68" s="20" t="inlineStr">
        <is>
          <t>meta_report/consistency_reclassification_2026-09-04/reclassified_candidates.json</t>
        </is>
      </c>
      <c r="Z68" s="20" t="inlineStr">
        <is>
          <t>S_W</t>
        </is>
      </c>
      <c r="AA68" s="20" t="inlineStr">
        <is>
          <t>report_internal_inconsistency</t>
        </is>
      </c>
      <c r="AB68" s="20" t="inlineStr">
        <is>
          <t>retain</t>
        </is>
      </c>
    </row>
    <row r="69" ht="90" customHeight="1" s="14">
      <c r="A69" s="24" t="b">
        <v>0</v>
      </c>
      <c r="B69" s="24" t="inlineStr">
        <is>
          <t>Figure reference group is not defined. Recheck rejects exact reciprocal agreement from all rounded values, while preserving near-reciprocal orientation compatible with hidden precision; this is not a wholly non-reproduced candidate.</t>
        </is>
      </c>
      <c r="C69" s="24" t="b">
        <v>0</v>
      </c>
      <c r="D69" s="24" t="inlineStr">
        <is>
          <t>Measure, label, or scale inconsistency</t>
        </is>
      </c>
      <c r="E69" s="24" t="b">
        <v>0</v>
      </c>
      <c r="F69" s="24" t="inlineStr">
        <is>
          <t>C024</t>
        </is>
      </c>
      <c r="G69" s="24" t="inlineStr">
        <is>
          <t>2018::jama.2018.14282::C024</t>
        </is>
      </c>
      <c r="H69" s="24" t="n"/>
      <c r="I69" s="24" t="inlineStr">
        <is>
          <t>DOC-001 Table 2 — PDF p. 5; DOC-001 narrative — PDF p. 6; DOC-001 Figure 3B — PDF p. 7</t>
        </is>
      </c>
      <c r="J69" s="24" t="b">
        <v>0</v>
      </c>
      <c r="K69" s="24" t="inlineStr">
        <is>
          <t>jama.2018.14282</t>
        </is>
      </c>
      <c r="L69" s="24" t="n"/>
      <c r="M69" s="24" t="inlineStr">
        <is>
          <t>S_W</t>
        </is>
      </c>
      <c r="N69" s="24" t="inlineStr">
        <is>
          <t>Figure 3B IMV HRs are near reciprocals of the matched Table 2/narrative cause-specific HRs under favor labels, but figure reference/estimand definition is not printed. The focal mismatch is within the main article.</t>
        </is>
      </c>
      <c r="O69" s="24" t="inlineStr">
        <is>
          <t>../../2018/jama.2018.14282/.ai_paper_validation/final_report_1_5_2.html</t>
        </is>
      </c>
      <c r="P69" s="24" t="inlineStr">
        <is>
          <t>2018/jama.2018.14282/.ai_paper_validation/final_report_1_5_2.md</t>
        </is>
      </c>
      <c r="Q69" s="24" t="inlineStr">
        <is>
          <t>C024</t>
        </is>
      </c>
      <c r="R69" s="24" t="inlineStr">
        <is>
          <t>Pending Human Adjudication</t>
        </is>
      </c>
      <c r="S69" s="24" t="inlineStr">
        <is>
          <t>Figure 3B IMV HRs are near reciprocals of the matched Table 2/narrative cause-specific HRs under favor labels, but figure reference/estimand definition is not printed.</t>
        </is>
      </c>
      <c r="T69" s="24" t="b">
        <v>1</v>
      </c>
      <c r="U69" s="24" t="inlineStr">
        <is>
          <t>hr_orientation</t>
        </is>
      </c>
      <c r="V69" s="24" t="inlineStr">
        <is>
          <t>report_internal_inconsistency</t>
        </is>
      </c>
      <c r="W69" s="24" t="inlineStr">
        <is>
          <t>Figure 3B IMV HR has a near-reciprocal orientation relative to Table 2</t>
        </is>
      </c>
      <c r="X69" s="24" t="inlineStr">
        <is>
          <t>2018</t>
        </is>
      </c>
      <c r="Y69" s="24" t="inlineStr">
        <is>
          <t>meta_report/consistency_reclassification_2026-09-04/reclassified_candidates.json</t>
        </is>
      </c>
      <c r="Z69" s="24" t="inlineStr">
        <is>
          <t>S_W</t>
        </is>
      </c>
      <c r="AA69" s="24" t="inlineStr">
        <is>
          <t>report_internal_inconsistency</t>
        </is>
      </c>
      <c r="AB69" s="24" t="inlineStr">
        <is>
          <t>retain</t>
        </is>
      </c>
    </row>
    <row r="70" ht="90" customHeight="1" s="14">
      <c r="A70" s="20" t="b">
        <v>0</v>
      </c>
      <c r="B70" s="20" t="inlineStr">
        <is>
          <t>Boundary decision: S_W only; the plan comparison supports the internal total error. An unreported earlier unequal target remains possible.</t>
        </is>
      </c>
      <c r="C70" s="20" t="b">
        <v>0</v>
      </c>
      <c r="D70" s="20" t="inlineStr">
        <is>
          <t>Numeric or arithmetic inconsistency</t>
        </is>
      </c>
      <c r="E70" s="20" t="b">
        <v>0</v>
      </c>
      <c r="F70" s="20" t="inlineStr">
        <is>
          <t>C025</t>
        </is>
      </c>
      <c r="G70" s="20" t="inlineStr">
        <is>
          <t>2018::jama.2018.14282::C025</t>
        </is>
      </c>
      <c r="H70" s="20" t="n"/>
      <c r="I70" s="20" t="inlineStr">
        <is>
          <t>DOC-001 — PDF p. 3; DOC-002 completed published-protocol abstract sentence — PDF p. 91; DOC-002 statistical-plan comparator — PDF p. 103</t>
        </is>
      </c>
      <c r="J70" s="20" t="b">
        <v>0</v>
      </c>
      <c r="K70" s="20" t="inlineStr">
        <is>
          <t>jama.2018.14282</t>
        </is>
      </c>
      <c r="L70" s="20" t="n"/>
      <c r="M70" s="20" t="inlineStr">
        <is>
          <t>S_W</t>
        </is>
      </c>
      <c r="N70" s="20" t="inlineStr">
        <is>
          <t>The main article states 779 patients with 389 in each of two arms, internally contradicting 389+389=778. The protocol/SAP 778 total corroborates that arithmetic; it is not counted as a separate implemented-versus-planned sample-size departure.</t>
        </is>
      </c>
      <c r="O70" s="20" t="inlineStr">
        <is>
          <t>../../2018/jama.2018.14282/.ai_paper_validation/final_report_1_5_2.html</t>
        </is>
      </c>
      <c r="P70" s="20" t="inlineStr">
        <is>
          <t>2018/jama.2018.14282/.ai_paper_validation/final_report_1_5_2.md</t>
        </is>
      </c>
      <c r="Q70" s="20" t="inlineStr">
        <is>
          <t>C025</t>
        </is>
      </c>
      <c r="R70" s="20" t="inlineStr">
        <is>
          <t>Pending Human Adjudication</t>
        </is>
      </c>
      <c r="S70" s="20" t="inlineStr">
        <is>
          <t>The main article's revised-superiority total of 779 conflicts with two stated 389-person groups and the matched protocol/SAP total of 778.</t>
        </is>
      </c>
      <c r="T70" s="20" t="b">
        <v>1</v>
      </c>
      <c r="U70" s="20" t="inlineStr">
        <is>
          <t>sample_size_sum</t>
        </is>
      </c>
      <c r="V70" s="20" t="inlineStr">
        <is>
          <t>statistical_results</t>
        </is>
      </c>
      <c r="W70" s="20" t="inlineStr">
        <is>
          <t>Revised-superiority sample-size total conflicts with equal arm counts</t>
        </is>
      </c>
      <c r="X70" s="20" t="inlineStr">
        <is>
          <t>2018</t>
        </is>
      </c>
      <c r="Y70" s="20" t="inlineStr">
        <is>
          <t>meta_report/consistency_reclassification_2026-09-04/reclassified_candidates.json</t>
        </is>
      </c>
      <c r="Z70" s="20" t="inlineStr">
        <is>
          <t>S_W</t>
        </is>
      </c>
      <c r="AA70" s="20" t="inlineStr">
        <is>
          <t>statistical_results</t>
        </is>
      </c>
      <c r="AB70" s="20" t="inlineStr">
        <is>
          <t>retain</t>
        </is>
      </c>
    </row>
    <row r="71" ht="90" customHeight="1" s="14">
      <c r="A71" s="24" t="b">
        <v>0</v>
      </c>
      <c r="B71" s="24" t="n"/>
      <c r="C71" s="24" t="b">
        <v>1</v>
      </c>
      <c r="D71" s="24" t="inlineStr">
        <is>
          <t>Statistical reporting inconsistency</t>
        </is>
      </c>
      <c r="E71" s="24" t="b">
        <v>0</v>
      </c>
      <c r="F71" s="24" t="inlineStr">
        <is>
          <t>C026</t>
        </is>
      </c>
      <c r="G71" s="24" t="inlineStr">
        <is>
          <t>2018::jama.2018.14282::C026</t>
        </is>
      </c>
      <c r="H71" s="24" t="n"/>
      <c r="I71" s="24" t="inlineStr">
        <is>
          <t>DOC-002 Figure 4 — PDF p. 40; DOC-002 — PDF p. 42</t>
        </is>
      </c>
      <c r="J71" s="24" t="b">
        <v>0</v>
      </c>
      <c r="K71" s="24" t="inlineStr">
        <is>
          <t>jama.2018.14282</t>
        </is>
      </c>
      <c r="L71" s="24" t="n"/>
      <c r="M71" s="24" t="inlineStr">
        <is>
          <t>P_P</t>
        </is>
      </c>
      <c r="N71" s="24" t="inlineStr">
        <is>
          <t>Noninferiority wording uses a positive less than 9% lower-bound statement that is not reconciled with the negative-side margin on a new-treatment-minus-active-control axis. The focal discrepancy is internal to the protocol/SAP material, including plan-version passages in a bound bundle.</t>
        </is>
      </c>
      <c r="O71" s="24" t="inlineStr">
        <is>
          <t>../../2018/jama.2018.14282/.ai_paper_validation/final_report_1_5_2.html</t>
        </is>
      </c>
      <c r="P71" s="24" t="inlineStr">
        <is>
          <t>2018/jama.2018.14282/.ai_paper_validation/final_report_1_5_2.md</t>
        </is>
      </c>
      <c r="Q71" s="24" t="inlineStr">
        <is>
          <t>C026</t>
        </is>
      </c>
      <c r="R71" s="24" t="inlineStr">
        <is>
          <t>Pending Human Adjudication</t>
        </is>
      </c>
      <c r="S71" s="24" t="inlineStr">
        <is>
          <t>Noninferiority wording uses a positive less than 9% lower-bound statement that is not reconciled with the negative-side margin on a new-treatment-minus-active-control axis.</t>
        </is>
      </c>
      <c r="T71" s="24" t="b">
        <v>0</v>
      </c>
      <c r="U71" s="24" t="inlineStr">
        <is>
          <t>noninferiority_margin_sign</t>
        </is>
      </c>
      <c r="V71" s="24" t="inlineStr">
        <is>
          <t>plan_material</t>
        </is>
      </c>
      <c r="W71" s="24" t="inlineStr">
        <is>
          <t>Noninferiority bound/sign wording conflicts with its explanatory axis</t>
        </is>
      </c>
      <c r="X71" s="24" t="inlineStr">
        <is>
          <t>2018</t>
        </is>
      </c>
      <c r="Y71" s="24" t="inlineStr">
        <is>
          <t>meta_report/consistency_reclassification_2026-09-04/reclassified_candidates.json</t>
        </is>
      </c>
      <c r="Z71" s="24" t="inlineStr">
        <is>
          <t>P_P</t>
        </is>
      </c>
      <c r="AA71" s="24" t="inlineStr">
        <is>
          <t>plan_material</t>
        </is>
      </c>
      <c r="AB71" s="24" t="inlineStr">
        <is>
          <t>retain</t>
        </is>
      </c>
    </row>
    <row r="72" ht="90" customHeight="1" s="14">
      <c r="A72" s="20" t="b">
        <v>0</v>
      </c>
      <c r="B72" s="20" t="n"/>
      <c r="C72" s="20" t="b">
        <v>1</v>
      </c>
      <c r="D72" s="20" t="inlineStr">
        <is>
          <t>Measure, label, or scale inconsistency</t>
        </is>
      </c>
      <c r="E72" s="20" t="b">
        <v>0</v>
      </c>
      <c r="F72" s="20" t="inlineStr">
        <is>
          <t>C027</t>
        </is>
      </c>
      <c r="G72" s="20" t="inlineStr">
        <is>
          <t>2018::jama.2018.14282::C027</t>
        </is>
      </c>
      <c r="H72" s="20" t="n"/>
      <c r="I72" s="20" t="inlineStr">
        <is>
          <t>DOC-002 — PDF p. 52; DOC-002 — PDF p. 104</t>
        </is>
      </c>
      <c r="J72" s="20" t="b">
        <v>0</v>
      </c>
      <c r="K72" s="20" t="inlineStr">
        <is>
          <t>jama.2018.14282</t>
        </is>
      </c>
      <c r="L72" s="20" t="n"/>
      <c r="M72" s="20" t="inlineStr">
        <is>
          <t>P_P</t>
        </is>
      </c>
      <c r="N72" s="20" t="inlineStr">
        <is>
          <t>Primary-hypothesis sentences label the intervention NIV while adjacent and repeated plan wording identifies HFNO as the experimental intervention. The focal discrepancy is internal to the protocol/SAP material, including plan-version passages in a bound bundle.</t>
        </is>
      </c>
      <c r="O72" s="20" t="inlineStr">
        <is>
          <t>../../2018/jama.2018.14282/.ai_paper_validation/final_report_1_5_2.html</t>
        </is>
      </c>
      <c r="P72" s="20" t="inlineStr">
        <is>
          <t>2018/jama.2018.14282/.ai_paper_validation/final_report_1_5_2.md</t>
        </is>
      </c>
      <c r="Q72" s="20" t="inlineStr">
        <is>
          <t>C027</t>
        </is>
      </c>
      <c r="R72" s="20" t="inlineStr">
        <is>
          <t>Pending Human Adjudication</t>
        </is>
      </c>
      <c r="S72" s="20" t="inlineStr">
        <is>
          <t>Primary-hypothesis sentences label the intervention NIV while adjacent and repeated plan wording identifies HFNO as the experimental intervention.</t>
        </is>
      </c>
      <c r="T72" s="20" t="b">
        <v>0</v>
      </c>
      <c r="U72" s="20" t="inlineStr">
        <is>
          <t>planned_intervention_label</t>
        </is>
      </c>
      <c r="V72" s="20" t="inlineStr">
        <is>
          <t>plan_material</t>
        </is>
      </c>
      <c r="W72" s="20" t="inlineStr">
        <is>
          <t>Primary-hypothesis intervention is labelled NIV while plans identify HFNO</t>
        </is>
      </c>
      <c r="X72" s="20" t="inlineStr">
        <is>
          <t>2018</t>
        </is>
      </c>
      <c r="Y72" s="20" t="inlineStr">
        <is>
          <t>meta_report/consistency_reclassification_2026-09-04/reclassified_candidates.json</t>
        </is>
      </c>
      <c r="Z72" s="20" t="inlineStr">
        <is>
          <t>P_P</t>
        </is>
      </c>
      <c r="AA72" s="20" t="inlineStr">
        <is>
          <t>plan_material</t>
        </is>
      </c>
      <c r="AB72" s="20" t="inlineStr">
        <is>
          <t>retain</t>
        </is>
      </c>
    </row>
    <row r="73" ht="90" customHeight="1" s="14">
      <c r="A73" s="24" t="b">
        <v>0</v>
      </c>
      <c r="B73" s="24" t="n"/>
      <c r="C73" s="24" t="b">
        <v>1</v>
      </c>
      <c r="D73" s="24" t="inlineStr">
        <is>
          <t>Measure, label, or scale inconsistency</t>
        </is>
      </c>
      <c r="E73" s="24" t="b">
        <v>0</v>
      </c>
      <c r="F73" s="24" t="inlineStr">
        <is>
          <t>C028</t>
        </is>
      </c>
      <c r="G73" s="24" t="inlineStr">
        <is>
          <t>2018::jama.2018.14282::C028</t>
        </is>
      </c>
      <c r="H73" s="24" t="n"/>
      <c r="I73" s="24" t="inlineStr">
        <is>
          <t>DOC-002 — PDF p. 54; DOC-002 — PDF p. 82; DOC-002 — PDF p. 104</t>
        </is>
      </c>
      <c r="J73" s="24" t="b">
        <v>0</v>
      </c>
      <c r="K73" s="24" t="inlineStr">
        <is>
          <t>jama.2018.14282</t>
        </is>
      </c>
      <c r="L73" s="24" t="n"/>
      <c r="M73" s="24" t="inlineStr">
        <is>
          <t>P_P</t>
        </is>
      </c>
      <c r="N73" s="24" t="inlineStr">
        <is>
          <t>Plan passages classify patients by day-28 vital status but then specify a relative risk of hospital death without explicitly equating the endpoints. The focal discrepancy is internal to the protocol/SAP material, including plan-version passages in a bound bundle.</t>
        </is>
      </c>
      <c r="O73" s="24" t="inlineStr">
        <is>
          <t>../../2018/jama.2018.14282/.ai_paper_validation/final_report_1_5_2.html</t>
        </is>
      </c>
      <c r="P73" s="24" t="inlineStr">
        <is>
          <t>2018/jama.2018.14282/.ai_paper_validation/final_report_1_5_2.md</t>
        </is>
      </c>
      <c r="Q73" s="24" t="inlineStr">
        <is>
          <t>C028</t>
        </is>
      </c>
      <c r="R73" s="24" t="inlineStr">
        <is>
          <t>Pending Human Adjudication</t>
        </is>
      </c>
      <c r="S73" s="24" t="inlineStr">
        <is>
          <t>Plan passages classify patients by day-28 vital status but then specify a relative risk of hospital death without explicitly equating the endpoints.</t>
        </is>
      </c>
      <c r="T73" s="24" t="b">
        <v>0</v>
      </c>
      <c r="U73" s="24" t="inlineStr">
        <is>
          <t>planned_endpoint_horizon</t>
        </is>
      </c>
      <c r="V73" s="24" t="inlineStr">
        <is>
          <t>plan_material</t>
        </is>
      </c>
      <c r="W73" s="24" t="inlineStr">
        <is>
          <t>Planned primary outcome alternates between day-28 vital status and hospital death</t>
        </is>
      </c>
      <c r="X73" s="24" t="inlineStr">
        <is>
          <t>2018</t>
        </is>
      </c>
      <c r="Y73" s="24" t="inlineStr">
        <is>
          <t>meta_report/consistency_reclassification_2026-09-04/reclassified_candidates.json</t>
        </is>
      </c>
      <c r="Z73" s="24" t="inlineStr">
        <is>
          <t>P_P</t>
        </is>
      </c>
      <c r="AA73" s="24" t="inlineStr">
        <is>
          <t>plan_material</t>
        </is>
      </c>
      <c r="AB73" s="24" t="inlineStr">
        <is>
          <t>retain</t>
        </is>
      </c>
    </row>
    <row r="74" ht="90" customHeight="1" s="14">
      <c r="A74" s="20" t="b">
        <v>0</v>
      </c>
      <c r="B74" s="20" t="n"/>
      <c r="C74" s="20" t="b">
        <v>0</v>
      </c>
      <c r="D74" s="20" t="inlineStr">
        <is>
          <t>Numeric or arithmetic inconsistency</t>
        </is>
      </c>
      <c r="E74" s="20" t="b">
        <v>0</v>
      </c>
      <c r="F74" s="20" t="inlineStr">
        <is>
          <t>C001</t>
        </is>
      </c>
      <c r="G74" s="20" t="inlineStr">
        <is>
          <t>2018::jama.2018.17075::C001</t>
        </is>
      </c>
      <c r="H74" s="20" t="n"/>
      <c r="I74" s="20" t="inlineStr">
        <is>
          <t>jama_cooper_2018_oi_180132.pdf — PDF p. 5, Table 1, normothermia Injury Severity Score.</t>
        </is>
      </c>
      <c r="J74" s="20" t="b">
        <v>0</v>
      </c>
      <c r="K74" s="20" t="inlineStr">
        <is>
          <t>jama.2018.17075</t>
        </is>
      </c>
      <c r="L74" s="20" t="n"/>
      <c r="M74" s="20" t="inlineStr">
        <is>
          <t>S_W</t>
        </is>
      </c>
      <c r="N74" s="20" t="inlineStr">
        <is>
          <t>The normothermia Injury Severity Score median is lower than the lower endpoint of its printed IQR. The focal mismatch is within the main article.</t>
        </is>
      </c>
      <c r="O74" s="20" t="inlineStr">
        <is>
          <t>../../2018/jama.2018.17075/.ai_paper_validation/final_report_1_5_2.html</t>
        </is>
      </c>
      <c r="P74" s="20" t="inlineStr">
        <is>
          <t>2018/jama.2018.17075/.ai_paper_validation/final_report_1_5_2.md</t>
        </is>
      </c>
      <c r="Q74" s="20" t="inlineStr">
        <is>
          <t>C001</t>
        </is>
      </c>
      <c r="R74" s="20" t="inlineStr">
        <is>
          <t>Pending Human Adjudication</t>
        </is>
      </c>
      <c r="S74" s="20" t="inlineStr">
        <is>
          <t>The normothermia Injury Severity Score median is lower than the lower endpoint of its printed IQR.</t>
        </is>
      </c>
      <c r="T74" s="20" t="b">
        <v>1</v>
      </c>
      <c r="U74" s="20" t="inlineStr">
        <is>
          <t>median_iqr_order</t>
        </is>
      </c>
      <c r="V74" s="20" t="inlineStr">
        <is>
          <t>statistical_results</t>
        </is>
      </c>
      <c r="W74" s="20" t="inlineStr">
        <is>
          <t>Normothermia Injury Severity Score median is below its printed IQR lower endpoint</t>
        </is>
      </c>
      <c r="X74" s="20" t="inlineStr">
        <is>
          <t>2018</t>
        </is>
      </c>
      <c r="Y74" s="20" t="inlineStr">
        <is>
          <t>meta_report/consistency_reclassification_2026-09-04/reclassified_candidates.json</t>
        </is>
      </c>
      <c r="Z74" s="20" t="inlineStr">
        <is>
          <t>S_W</t>
        </is>
      </c>
      <c r="AA74" s="20" t="inlineStr">
        <is>
          <t>statistical_results</t>
        </is>
      </c>
      <c r="AB74" s="20" t="inlineStr">
        <is>
          <t>retain</t>
        </is>
      </c>
    </row>
    <row r="75" ht="90" customHeight="1" s="14">
      <c r="A75" s="24" t="b">
        <v>0</v>
      </c>
      <c r="B75" s="24" t="n"/>
      <c r="C75" s="24" t="b">
        <v>0</v>
      </c>
      <c r="D75" s="24" t="inlineStr">
        <is>
          <t>Cross-document numeric inconsistency</t>
        </is>
      </c>
      <c r="E75" s="24" t="b">
        <v>0</v>
      </c>
      <c r="F75" s="24" t="inlineStr">
        <is>
          <t>C002</t>
        </is>
      </c>
      <c r="G75" s="24" t="inlineStr">
        <is>
          <t>2018::jama.2018.17075::C002</t>
        </is>
      </c>
      <c r="H75" s="24" t="n"/>
      <c r="I75" s="24" t="inlineStr">
        <is>
          <t>jama_cooper_2018_oi_180132.pdf — PDF p. 1, abstract Results; PDF p. 5, Primary Outcome Results; PDF p. 7, Table 2 favorable outcome.</t>
        </is>
      </c>
      <c r="J75" s="24" t="b">
        <v>1</v>
      </c>
      <c r="K75" s="24" t="inlineStr">
        <is>
          <t>jama.2018.17075</t>
        </is>
      </c>
      <c r="L75" s="24" t="n"/>
      <c r="M75" s="24" t="inlineStr">
        <is>
          <t>S_W</t>
        </is>
      </c>
      <c r="N75" s="24" t="inlineStr">
        <is>
          <t>The abstract prints a positive primary risk difference while matched Results and Table 2 locations print a negative risk difference with the same displayed counts and CI. The focal mismatch is within the main article.</t>
        </is>
      </c>
      <c r="O75" s="24" t="inlineStr">
        <is>
          <t>../../2018/jama.2018.17075/.ai_paper_validation/final_report_1_5_2.html</t>
        </is>
      </c>
      <c r="P75" s="24" t="inlineStr">
        <is>
          <t>2018/jama.2018.17075/.ai_paper_validation/final_report_1_5_2.md</t>
        </is>
      </c>
      <c r="Q75" s="24" t="inlineStr">
        <is>
          <t>C002</t>
        </is>
      </c>
      <c r="R75" s="24" t="inlineStr">
        <is>
          <t>Pending Human Adjudication</t>
        </is>
      </c>
      <c r="S75" s="24" t="inlineStr">
        <is>
          <t>The abstract prints a positive primary risk difference while matched Results and Table 2 locations print a negative risk difference with the same displayed counts and CI.</t>
        </is>
      </c>
      <c r="T75" s="24" t="b">
        <v>1</v>
      </c>
      <c r="U75" s="24" t="inlineStr">
        <is>
          <t>repeated_effect_sign</t>
        </is>
      </c>
      <c r="V75" s="24" t="inlineStr">
        <is>
          <t>report_internal_inconsistency</t>
        </is>
      </c>
      <c r="W75" s="24" t="inlineStr">
        <is>
          <t>Primary risk difference has opposite signs in matched main-article locations</t>
        </is>
      </c>
      <c r="X75" s="24" t="inlineStr">
        <is>
          <t>2018</t>
        </is>
      </c>
      <c r="Y75" s="24" t="inlineStr">
        <is>
          <t>meta_report/consistency_reclassification_2026-09-04/reclassified_candidates.json</t>
        </is>
      </c>
      <c r="Z75" s="24" t="inlineStr">
        <is>
          <t>S_W</t>
        </is>
      </c>
      <c r="AA75" s="24" t="inlineStr">
        <is>
          <t>report_internal_inconsistency</t>
        </is>
      </c>
      <c r="AB75" s="24" t="inlineStr">
        <is>
          <t>retain</t>
        </is>
      </c>
    </row>
    <row r="76" ht="90" customHeight="1" s="14">
      <c r="A76" s="20" t="b">
        <v>0</v>
      </c>
      <c r="B76" s="20" t="inlineStr">
        <is>
          <t>Mixed main-versus-results-supplement P-value mismatch and within-main RR/count incompatibility. Adjacent intra-/extracranial bleeding rows may have swapped effect tokens, but they are distinct outcomes and are not merged as duplicate IDs.</t>
        </is>
      </c>
      <c r="C76" s="20" t="b">
        <v>0</v>
      </c>
      <c r="D76" s="20" t="inlineStr">
        <is>
          <t>Statistical reporting inconsistency</t>
        </is>
      </c>
      <c r="E76" s="20" t="b">
        <v>1</v>
      </c>
      <c r="F76" s="20" t="inlineStr">
        <is>
          <t>C003</t>
        </is>
      </c>
      <c r="G76" s="20" t="inlineStr">
        <is>
          <t>2018::jama.2018.17075::C003</t>
        </is>
      </c>
      <c r="H76" s="20" t="n"/>
      <c r="I76" s="20" t="inlineStr">
        <is>
          <t>jama_cooper_2018_oi_180132.pdf — PDF p. 7, Table 2, new or increased intracranial bleeding; joi180132supp2_prod.pdf — PDF p. 10, eTable 6, same outcome; jama_cooper_2018_oi_180132.pdf — PDF p. 3, Statistical Analysis.</t>
        </is>
      </c>
      <c r="J76" s="20" t="b">
        <v>0</v>
      </c>
      <c r="K76" s="20" t="inlineStr">
        <is>
          <t>jama.2018.17075</t>
        </is>
      </c>
      <c r="L76" s="20" t="n"/>
      <c r="M76" s="20" t="inlineStr">
        <is>
          <t>S_C</t>
        </is>
      </c>
      <c r="N76" s="20" t="inlineStr">
        <is>
          <t>The intracranial-bleeding Table 2 RR/CI/P display conflicts with its printed counts and with the matched supplement P value. The focal comparison is the main article versus a non-plan results supplement.</t>
        </is>
      </c>
      <c r="O76" s="20" t="inlineStr">
        <is>
          <t>../../2018/jama.2018.17075/.ai_paper_validation/final_report_1_5_2.html</t>
        </is>
      </c>
      <c r="P76" s="20" t="inlineStr">
        <is>
          <t>2018/jama.2018.17075/.ai_paper_validation/final_report_1_5_2.md</t>
        </is>
      </c>
      <c r="Q76" s="20" t="inlineStr">
        <is>
          <t>C003</t>
        </is>
      </c>
      <c r="R76" s="20" t="inlineStr">
        <is>
          <t>Pending Human Adjudication</t>
        </is>
      </c>
      <c r="S76" s="20" t="inlineStr">
        <is>
          <t>The intracranial-bleeding Table 2 RR/CI/P display conflicts with its printed counts and with the matched supplement P value.</t>
        </is>
      </c>
      <c r="T76" s="20" t="b">
        <v>1</v>
      </c>
      <c r="U76" s="20" t="inlineStr">
        <is>
          <t>bleeding_effect_and_p_attachment</t>
        </is>
      </c>
      <c r="V76" s="20" t="inlineStr">
        <is>
          <t>statistical_results</t>
        </is>
      </c>
      <c r="W76" s="20" t="inlineStr">
        <is>
          <t>Intracranial-bleeding effect and P-value reporting conflicts with matched evidence</t>
        </is>
      </c>
      <c r="X76" s="20" t="inlineStr">
        <is>
          <t>2018</t>
        </is>
      </c>
      <c r="Y76" s="20" t="inlineStr">
        <is>
          <t>meta_report/consistency_reclassification_2026-09-04/reclassified_candidates.json</t>
        </is>
      </c>
      <c r="Z76" s="20" t="inlineStr">
        <is>
          <t>S_C</t>
        </is>
      </c>
      <c r="AA76" s="20" t="inlineStr">
        <is>
          <t>statistical_results</t>
        </is>
      </c>
      <c r="AB76" s="20" t="inlineStr">
        <is>
          <t>retain</t>
        </is>
      </c>
    </row>
    <row r="77" ht="90" customHeight="1" s="14">
      <c r="A77" s="24" t="b">
        <v>0</v>
      </c>
      <c r="B77" s="24" t="inlineStr">
        <is>
          <t>Mixed main-versus-results-supplement P-value mismatch and within-main RR/count incompatibility. Adjacent intra-/extracranial bleeding rows may have swapped effect tokens, but they are distinct outcomes and are not merged as duplicate IDs.</t>
        </is>
      </c>
      <c r="C77" s="24" t="b">
        <v>0</v>
      </c>
      <c r="D77" s="24" t="inlineStr">
        <is>
          <t>Statistical reporting inconsistency</t>
        </is>
      </c>
      <c r="E77" s="24" t="b">
        <v>1</v>
      </c>
      <c r="F77" s="24" t="inlineStr">
        <is>
          <t>C004</t>
        </is>
      </c>
      <c r="G77" s="24" t="inlineStr">
        <is>
          <t>2018::jama.2018.17075::C004</t>
        </is>
      </c>
      <c r="H77" s="24" t="n"/>
      <c r="I77" s="24" t="inlineStr">
        <is>
          <t>jama_cooper_2018_oi_180132.pdf — PDF p. 7, Table 2, new significant extracranial bleeding; joi180132supp2_prod.pdf — PDF p. 10, eTable 6, same outcome; jama_cooper_2018_oi_180132.pdf — PDF p. 3, Statistical Analysis.</t>
        </is>
      </c>
      <c r="J77" s="24" t="b">
        <v>0</v>
      </c>
      <c r="K77" s="24" t="inlineStr">
        <is>
          <t>jama.2018.17075</t>
        </is>
      </c>
      <c r="L77" s="24" t="n"/>
      <c r="M77" s="24" t="inlineStr">
        <is>
          <t>S_C</t>
        </is>
      </c>
      <c r="N77" s="24" t="inlineStr">
        <is>
          <t>The extracranial-bleeding Table 2 RR/CI/P display conflicts with its printed counts and with the matched supplement P value. The focal comparison is the main article versus a non-plan results supplement.</t>
        </is>
      </c>
      <c r="O77" s="24" t="inlineStr">
        <is>
          <t>../../2018/jama.2018.17075/.ai_paper_validation/final_report_1_5_2.html</t>
        </is>
      </c>
      <c r="P77" s="24" t="inlineStr">
        <is>
          <t>2018/jama.2018.17075/.ai_paper_validation/final_report_1_5_2.md</t>
        </is>
      </c>
      <c r="Q77" s="24" t="inlineStr">
        <is>
          <t>C004</t>
        </is>
      </c>
      <c r="R77" s="24" t="inlineStr">
        <is>
          <t>Pending Human Adjudication</t>
        </is>
      </c>
      <c r="S77" s="24" t="inlineStr">
        <is>
          <t>The extracranial-bleeding Table 2 RR/CI/P display conflicts with its printed counts and with the matched supplement P value.</t>
        </is>
      </c>
      <c r="T77" s="24" t="b">
        <v>1</v>
      </c>
      <c r="U77" s="24" t="inlineStr">
        <is>
          <t>bleeding_effect_and_p_attachment</t>
        </is>
      </c>
      <c r="V77" s="24" t="inlineStr">
        <is>
          <t>statistical_results</t>
        </is>
      </c>
      <c r="W77" s="24" t="inlineStr">
        <is>
          <t>Extracranial-bleeding effect and P-value reporting conflicts with matched evidence</t>
        </is>
      </c>
      <c r="X77" s="24" t="inlineStr">
        <is>
          <t>2018</t>
        </is>
      </c>
      <c r="Y77" s="24" t="inlineStr">
        <is>
          <t>meta_report/consistency_reclassification_2026-09-04/reclassified_candidates.json</t>
        </is>
      </c>
      <c r="Z77" s="24" t="inlineStr">
        <is>
          <t>S_C</t>
        </is>
      </c>
      <c r="AA77" s="24" t="inlineStr">
        <is>
          <t>statistical_results</t>
        </is>
      </c>
      <c r="AB77" s="24" t="inlineStr">
        <is>
          <t>retain</t>
        </is>
      </c>
    </row>
    <row r="78" ht="90" customHeight="1" s="14">
      <c r="A78" s="20" t="b">
        <v>0</v>
      </c>
      <c r="B78" s="20" t="n"/>
      <c r="C78" s="20" t="b">
        <v>0</v>
      </c>
      <c r="D78" s="20" t="inlineStr">
        <is>
          <t>Measure, label, or scale inconsistency</t>
        </is>
      </c>
      <c r="E78" s="20" t="b">
        <v>0</v>
      </c>
      <c r="F78" s="20" t="inlineStr">
        <is>
          <t>C005</t>
        </is>
      </c>
      <c r="G78" s="20" t="inlineStr">
        <is>
          <t>2018::jama.2018.17075::C005</t>
        </is>
      </c>
      <c r="H78" s="20" t="n"/>
      <c r="I78" s="20" t="inlineStr">
        <is>
          <t>joi180132supp2_prod.pdf — PDF p. 18, eTable 10, CT Marshall classification, evacuated mass lesion V, normothermia.</t>
        </is>
      </c>
      <c r="J78" s="20" t="b">
        <v>0</v>
      </c>
      <c r="K78" s="20" t="inlineStr">
        <is>
          <t>jama.2018.17075</t>
        </is>
      </c>
      <c r="L78" s="20" t="n"/>
      <c r="M78" s="20" t="inlineStr">
        <is>
          <t>S_W</t>
        </is>
      </c>
      <c r="N78" s="20" t="inlineStr">
        <is>
          <t>An as-treated normothermia CT cell is inconsistent with its No. (%) header and displayed denominator. The focal mismatch is within one non-plan results supplement.</t>
        </is>
      </c>
      <c r="O78" s="20" t="inlineStr">
        <is>
          <t>../../2018/jama.2018.17075/.ai_paper_validation/final_report_1_5_2.html</t>
        </is>
      </c>
      <c r="P78" s="20" t="inlineStr">
        <is>
          <t>2018/jama.2018.17075/.ai_paper_validation/final_report_1_5_2.md</t>
        </is>
      </c>
      <c r="Q78" s="20" t="inlineStr">
        <is>
          <t>C005</t>
        </is>
      </c>
      <c r="R78" s="20" t="inlineStr">
        <is>
          <t>Pending Human Adjudication</t>
        </is>
      </c>
      <c r="S78" s="20" t="inlineStr">
        <is>
          <t>An as-treated normothermia CT cell is inconsistent with its No. (%) header and displayed denominator.</t>
        </is>
      </c>
      <c r="T78" s="20" t="b">
        <v>1</v>
      </c>
      <c r="U78" s="20" t="inlineStr">
        <is>
          <t>count_percentage_order</t>
        </is>
      </c>
      <c r="V78" s="20" t="inlineStr">
        <is>
          <t>report_internal_inconsistency</t>
        </is>
      </c>
      <c r="W78" s="20" t="inlineStr">
        <is>
          <t>As-treated evacuated-mass-lesion cell reverses count and percentage order</t>
        </is>
      </c>
      <c r="X78" s="20" t="inlineStr">
        <is>
          <t>2018</t>
        </is>
      </c>
      <c r="Y78" s="20" t="inlineStr">
        <is>
          <t>meta_report/consistency_reclassification_2026-09-04/reclassified_candidates.json</t>
        </is>
      </c>
      <c r="Z78" s="20" t="inlineStr">
        <is>
          <t>S_W</t>
        </is>
      </c>
      <c r="AA78" s="20" t="inlineStr">
        <is>
          <t>report_internal_inconsistency</t>
        </is>
      </c>
      <c r="AB78" s="20" t="inlineStr">
        <is>
          <t>retain</t>
        </is>
      </c>
    </row>
    <row r="79" ht="90" customHeight="1" s="14">
      <c r="A79" s="24" t="b">
        <v>0</v>
      </c>
      <c r="B79" s="24" t="n"/>
      <c r="C79" s="24" t="b">
        <v>0</v>
      </c>
      <c r="D79" s="24" t="inlineStr">
        <is>
          <t>Measure, label, or scale inconsistency</t>
        </is>
      </c>
      <c r="E79" s="24" t="b">
        <v>0</v>
      </c>
      <c r="F79" s="24" t="inlineStr">
        <is>
          <t>C006</t>
        </is>
      </c>
      <c r="G79" s="24" t="inlineStr">
        <is>
          <t>2018::jama.2018.17075::C006</t>
        </is>
      </c>
      <c r="H79" s="24" t="n"/>
      <c r="I79" s="24" t="inlineStr">
        <is>
          <t>joi180132supp2_prod.pdf — PDF p. 18, eTable 10, CT Marshall classification, non-evacuated mass lesion VI, normothermia.</t>
        </is>
      </c>
      <c r="J79" s="24" t="b">
        <v>0</v>
      </c>
      <c r="K79" s="24" t="inlineStr">
        <is>
          <t>jama.2018.17075</t>
        </is>
      </c>
      <c r="L79" s="24" t="n"/>
      <c r="M79" s="24" t="inlineStr">
        <is>
          <t>S_W</t>
        </is>
      </c>
      <c r="N79" s="24" t="inlineStr">
        <is>
          <t>An as-treated normothermia CT cell does not reconcile with its No. (%) header, printed denominator, or displayed category total. The focal mismatch is within one non-plan results supplement.</t>
        </is>
      </c>
      <c r="O79" s="24" t="inlineStr">
        <is>
          <t>../../2018/jama.2018.17075/.ai_paper_validation/final_report_1_5_2.html</t>
        </is>
      </c>
      <c r="P79" s="24" t="inlineStr">
        <is>
          <t>2018/jama.2018.17075/.ai_paper_validation/final_report_1_5_2.md</t>
        </is>
      </c>
      <c r="Q79" s="24" t="inlineStr">
        <is>
          <t>C006</t>
        </is>
      </c>
      <c r="R79" s="24" t="inlineStr">
        <is>
          <t>Pending Human Adjudication</t>
        </is>
      </c>
      <c r="S79" s="24" t="inlineStr">
        <is>
          <t>An as-treated normothermia CT cell does not reconcile with its No. (%) header, printed denominator, or displayed category total.</t>
        </is>
      </c>
      <c r="T79" s="24" t="b">
        <v>1</v>
      </c>
      <c r="U79" s="24" t="inlineStr">
        <is>
          <t>count_percentage_order</t>
        </is>
      </c>
      <c r="V79" s="24" t="inlineStr">
        <is>
          <t>report_internal_inconsistency</t>
        </is>
      </c>
      <c r="W79" s="24" t="inlineStr">
        <is>
          <t>As-treated non-evacuated-mass-lesion cell reverses count and percentage order</t>
        </is>
      </c>
      <c r="X79" s="24" t="inlineStr">
        <is>
          <t>2018</t>
        </is>
      </c>
      <c r="Y79" s="24" t="inlineStr">
        <is>
          <t>meta_report/consistency_reclassification_2026-09-04/reclassified_candidates.json</t>
        </is>
      </c>
      <c r="Z79" s="24" t="inlineStr">
        <is>
          <t>S_W</t>
        </is>
      </c>
      <c r="AA79" s="24" t="inlineStr">
        <is>
          <t>report_internal_inconsistency</t>
        </is>
      </c>
      <c r="AB79" s="24" t="inlineStr">
        <is>
          <t>retain</t>
        </is>
      </c>
    </row>
    <row r="80" ht="90" customHeight="1" s="14">
      <c r="A80" s="20" t="b">
        <v>0</v>
      </c>
      <c r="B80" s="20" t="n"/>
      <c r="C80" s="20" t="b">
        <v>0</v>
      </c>
      <c r="D80" s="20" t="inlineStr">
        <is>
          <t>Statistical reporting inconsistency</t>
        </is>
      </c>
      <c r="E80" s="20" t="b">
        <v>0</v>
      </c>
      <c r="F80" s="20" t="inlineStr">
        <is>
          <t>C007</t>
        </is>
      </c>
      <c r="G80" s="20" t="inlineStr">
        <is>
          <t>2018::jama.2018.17075::C007</t>
        </is>
      </c>
      <c r="H80" s="20" t="n"/>
      <c r="I80" s="20" t="inlineStr">
        <is>
          <t>joi180132supp2_prod.pdf — PDF p. 22, post-hoc adequate-cooling Results, final sentence.</t>
        </is>
      </c>
      <c r="J80" s="20" t="b">
        <v>0</v>
      </c>
      <c r="K80" s="20" t="inlineStr">
        <is>
          <t>jama.2018.17075</t>
        </is>
      </c>
      <c r="L80" s="20" t="n"/>
      <c r="M80" s="20" t="inlineStr">
        <is>
          <t>S_W</t>
        </is>
      </c>
      <c r="N80" s="20" t="inlineStr">
        <is>
          <t>The printed adjusted odds-ratio confidence-interval string does not provide two unambiguous endpoints. The focal mismatch is within one non-plan results supplement.</t>
        </is>
      </c>
      <c r="O80" s="20" t="inlineStr">
        <is>
          <t>../../2018/jama.2018.17075/.ai_paper_validation/final_report_1_5_2.html</t>
        </is>
      </c>
      <c r="P80" s="20" t="inlineStr">
        <is>
          <t>2018/jama.2018.17075/.ai_paper_validation/final_report_1_5_2.md</t>
        </is>
      </c>
      <c r="Q80" s="20" t="inlineStr">
        <is>
          <t>C007</t>
        </is>
      </c>
      <c r="R80" s="20" t="inlineStr">
        <is>
          <t>Pending Human Adjudication</t>
        </is>
      </c>
      <c r="S80" s="20" t="inlineStr">
        <is>
          <t>The printed adjusted odds-ratio confidence-interval string does not provide two unambiguous endpoints.</t>
        </is>
      </c>
      <c r="T80" s="20" t="b">
        <v>1</v>
      </c>
      <c r="U80" s="20" t="inlineStr">
        <is>
          <t>malformed_ci_string</t>
        </is>
      </c>
      <c r="V80" s="20" t="inlineStr">
        <is>
          <t>statistical_results</t>
        </is>
      </c>
      <c r="W80" s="20" t="inlineStr">
        <is>
          <t>Adjusted odds-ratio confidence-interval string is malformed</t>
        </is>
      </c>
      <c r="X80" s="20" t="inlineStr">
        <is>
          <t>2018</t>
        </is>
      </c>
      <c r="Y80" s="20" t="inlineStr">
        <is>
          <t>meta_report/consistency_reclassification_2026-09-04/reclassified_candidates.json</t>
        </is>
      </c>
      <c r="Z80" s="20" t="inlineStr">
        <is>
          <t>S_W</t>
        </is>
      </c>
      <c r="AA80" s="20" t="inlineStr">
        <is>
          <t>statistical_results</t>
        </is>
      </c>
      <c r="AB80" s="20" t="inlineStr">
        <is>
          <t>retain</t>
        </is>
      </c>
    </row>
    <row r="81" ht="90" customHeight="1" s="14">
      <c r="A81" s="24" t="b">
        <v>0</v>
      </c>
      <c r="B81" s="24" t="n"/>
      <c r="C81" s="24" t="b">
        <v>0</v>
      </c>
      <c r="D81" s="24" t="inlineStr">
        <is>
          <t>Denominator, proportion, or total inconsistency</t>
        </is>
      </c>
      <c r="E81" s="24" t="b">
        <v>0</v>
      </c>
      <c r="F81" s="24" t="inlineStr">
        <is>
          <t>C008</t>
        </is>
      </c>
      <c r="G81" s="24" t="inlineStr">
        <is>
          <t>2018::jama.2018.17075::C008</t>
        </is>
      </c>
      <c r="H81" s="24" t="n"/>
      <c r="I81" s="24" t="inlineStr">
        <is>
          <t>jama_cooper_2018_oi_180132.pdf — PDF p. 1, abstract Results; PDF p. 5, Table 1, Men and Women rows.</t>
        </is>
      </c>
      <c r="J81" s="24" t="b">
        <v>0</v>
      </c>
      <c r="K81" s="24" t="inlineStr">
        <is>
          <t>jama.2018.17075</t>
        </is>
      </c>
      <c r="L81" s="24" t="n"/>
      <c r="M81" s="24" t="inlineStr">
        <is>
          <t>S_W</t>
        </is>
      </c>
      <c r="N81" s="24" t="inlineStr">
        <is>
          <t>The abstract's male count conflicts with both its stated percentage and the Table 1 arm total. The focal mismatch is within the main article.</t>
        </is>
      </c>
      <c r="O81" s="24" t="inlineStr">
        <is>
          <t>../../2018/jama.2018.17075/.ai_paper_validation/final_report_1_5_2.html</t>
        </is>
      </c>
      <c r="P81" s="24" t="inlineStr">
        <is>
          <t>2018/jama.2018.17075/.ai_paper_validation/final_report_1_5_2.md</t>
        </is>
      </c>
      <c r="Q81" s="24" t="inlineStr">
        <is>
          <t>C008</t>
        </is>
      </c>
      <c r="R81" s="24" t="inlineStr">
        <is>
          <t>Pending Human Adjudication</t>
        </is>
      </c>
      <c r="S81" s="24" t="inlineStr">
        <is>
          <t>The abstract's male count conflicts with both its stated percentage and the Table 1 arm total.</t>
        </is>
      </c>
      <c r="T81" s="24" t="b">
        <v>1</v>
      </c>
      <c r="U81" s="24" t="inlineStr">
        <is>
          <t>sex_count_and_percentage</t>
        </is>
      </c>
      <c r="V81" s="24" t="inlineStr">
        <is>
          <t>statistical_results</t>
        </is>
      </c>
      <c r="W81" s="24" t="inlineStr">
        <is>
          <t>Abstract male count conflicts with its percentage and Table 1 total</t>
        </is>
      </c>
      <c r="X81" s="24" t="inlineStr">
        <is>
          <t>2018</t>
        </is>
      </c>
      <c r="Y81" s="24" t="inlineStr">
        <is>
          <t>meta_report/consistency_reclassification_2026-09-04/reclassified_candidates.json</t>
        </is>
      </c>
      <c r="Z81" s="24" t="inlineStr">
        <is>
          <t>S_W</t>
        </is>
      </c>
      <c r="AA81" s="24" t="inlineStr">
        <is>
          <t>statistical_results</t>
        </is>
      </c>
      <c r="AB81" s="24" t="inlineStr">
        <is>
          <t>retain</t>
        </is>
      </c>
    </row>
    <row r="82" ht="90" customHeight="1" s="14">
      <c r="A82" s="20" t="b">
        <v>0</v>
      </c>
      <c r="B82" s="20" t="n"/>
      <c r="C82" s="20" t="b">
        <v>0</v>
      </c>
      <c r="D82" s="20" t="inlineStr">
        <is>
          <t>Denominator, proportion, or total inconsistency</t>
        </is>
      </c>
      <c r="E82" s="20" t="b">
        <v>0</v>
      </c>
      <c r="F82" s="20" t="inlineStr">
        <is>
          <t>C001</t>
        </is>
      </c>
      <c r="G82" s="20" t="inlineStr">
        <is>
          <t>2018::jama.2018.18020::C001</t>
        </is>
      </c>
      <c r="H82" s="20" t="n"/>
      <c r="I82" s="20" t="inlineStr">
        <is>
          <t>jama_stunnenberg_2018_oi_180136.pdf — PDF p. 1, Abstract Results; jama_stunnenberg_2018_oi_180136.pdf — PDF p. 4, Baseline Data.</t>
        </is>
      </c>
      <c r="J82" s="20" t="b">
        <v>0</v>
      </c>
      <c r="K82" s="20" t="inlineStr">
        <is>
          <t>jama.2018.18020</t>
        </is>
      </c>
      <c r="L82" s="20" t="n"/>
      <c r="M82" s="20" t="inlineStr">
        <is>
          <t>S_W</t>
        </is>
      </c>
      <c r="N82" s="20" t="inlineStr">
        <is>
          <t>The abstract's 22% men is incompatible with its enrolled total and the later count of 22 men and 8 women. The focal mismatch is within the main article.</t>
        </is>
      </c>
      <c r="O82" s="20" t="inlineStr">
        <is>
          <t>../../2018/jama.2018.18020/.ai_paper_validation/final_report_1_5_2.html</t>
        </is>
      </c>
      <c r="P82" s="20" t="inlineStr">
        <is>
          <t>2018/jama.2018.18020/.ai_paper_validation/final_report_1_5_2.md</t>
        </is>
      </c>
      <c r="Q82" s="20" t="inlineStr">
        <is>
          <t>C001</t>
        </is>
      </c>
      <c r="R82" s="20" t="inlineStr">
        <is>
          <t>Pending Human Adjudication</t>
        </is>
      </c>
      <c r="S82" s="20" t="inlineStr">
        <is>
          <t>The abstract's 22% men is incompatible with its enrolled total and the later count of 22 men and 8 women.</t>
        </is>
      </c>
      <c r="T82" s="20" t="b">
        <v>1</v>
      </c>
      <c r="U82" s="20" t="inlineStr">
        <is>
          <t>sex_count_vs_percentage</t>
        </is>
      </c>
      <c r="V82" s="20" t="inlineStr">
        <is>
          <t>statistical_results</t>
        </is>
      </c>
      <c r="W82" s="20" t="inlineStr">
        <is>
          <t>Abstract sex percentage conflicts with the enrolled sex count</t>
        </is>
      </c>
      <c r="X82" s="20" t="inlineStr">
        <is>
          <t>2018</t>
        </is>
      </c>
      <c r="Y82" s="20" t="inlineStr">
        <is>
          <t>meta_report/consistency_reclassification_2026-09-04/reclassified_candidates.json</t>
        </is>
      </c>
      <c r="Z82" s="20" t="inlineStr">
        <is>
          <t>S_W</t>
        </is>
      </c>
      <c r="AA82" s="20" t="inlineStr">
        <is>
          <t>statistical_results</t>
        </is>
      </c>
      <c r="AB82" s="20" t="inlineStr">
        <is>
          <t>retain</t>
        </is>
      </c>
    </row>
    <row r="83" ht="90" customHeight="1" s="14">
      <c r="A83" s="24" t="b">
        <v>0</v>
      </c>
      <c r="B83" s="24" t="n"/>
      <c r="C83" s="24" t="b">
        <v>0</v>
      </c>
      <c r="D83" s="24" t="inlineStr">
        <is>
          <t>Measure, label, or scale inconsistency</t>
        </is>
      </c>
      <c r="E83" s="24" t="b">
        <v>0</v>
      </c>
      <c r="F83" s="24" t="inlineStr">
        <is>
          <t>C002</t>
        </is>
      </c>
      <c r="G83" s="24" t="inlineStr">
        <is>
          <t>2018::jama.2018.18020::C002</t>
        </is>
      </c>
      <c r="H83" s="24" t="n"/>
      <c r="I83" s="24" t="inlineStr">
        <is>
          <t>jama_stunnenberg_2018_oi_180136.pdf — PDF p. 5, Table 1 and footnote f; jama_stunnenberg_2018_oi_180136.pdf — PDF p. 8, Table 2 footnote g.</t>
        </is>
      </c>
      <c r="J83" s="24" t="b">
        <v>0</v>
      </c>
      <c r="K83" s="24" t="inlineStr">
        <is>
          <t>jama.2018.18020</t>
        </is>
      </c>
      <c r="L83" s="24" t="n"/>
      <c r="M83" s="24" t="inlineStr">
        <is>
          <t>S_W</t>
        </is>
      </c>
      <c r="N83" s="24" t="inlineStr">
        <is>
          <t>Table 1 reports INQoL upper IQR endpoints above the table's stated maximum of 100. The focal mismatch is within the main article.</t>
        </is>
      </c>
      <c r="O83" s="24" t="inlineStr">
        <is>
          <t>../../2018/jama.2018.18020/.ai_paper_validation/final_report_1_5_2.html</t>
        </is>
      </c>
      <c r="P83" s="24" t="inlineStr">
        <is>
          <t>2018/jama.2018.18020/.ai_paper_validation/final_report_1_5_2.md</t>
        </is>
      </c>
      <c r="Q83" s="24" t="inlineStr">
        <is>
          <t>C002</t>
        </is>
      </c>
      <c r="R83" s="24" t="inlineStr">
        <is>
          <t>Pending Human Adjudication</t>
        </is>
      </c>
      <c r="S83" s="24" t="inlineStr">
        <is>
          <t>Table 1 reports INQoL upper IQR endpoints above the table's stated maximum of 100.</t>
        </is>
      </c>
      <c r="T83" s="24" t="b">
        <v>1</v>
      </c>
      <c r="U83" s="24" t="inlineStr">
        <is>
          <t>score_scale_bound</t>
        </is>
      </c>
      <c r="V83" s="24" t="inlineStr">
        <is>
          <t>report_internal_inconsistency</t>
        </is>
      </c>
      <c r="W83" s="24" t="inlineStr">
        <is>
          <t>INQoL IQR endpoints exceed the stated 0-to-100 scale</t>
        </is>
      </c>
      <c r="X83" s="24" t="inlineStr">
        <is>
          <t>2018</t>
        </is>
      </c>
      <c r="Y83" s="24" t="inlineStr">
        <is>
          <t>meta_report/consistency_reclassification_2026-09-04/reclassified_candidates.json</t>
        </is>
      </c>
      <c r="Z83" s="24" t="inlineStr">
        <is>
          <t>S_W</t>
        </is>
      </c>
      <c r="AA83" s="24" t="inlineStr">
        <is>
          <t>report_internal_inconsistency</t>
        </is>
      </c>
      <c r="AB83" s="24" t="inlineStr">
        <is>
          <t>retain</t>
        </is>
      </c>
    </row>
    <row r="84" ht="90" customHeight="1" s="14">
      <c r="A84" s="20" t="b">
        <v>0</v>
      </c>
      <c r="B84" s="20" t="n"/>
      <c r="C84" s="20" t="b">
        <v>0</v>
      </c>
      <c r="D84" s="20" t="inlineStr">
        <is>
          <t>Measure, label, or scale inconsistency</t>
        </is>
      </c>
      <c r="E84" s="20" t="b">
        <v>0</v>
      </c>
      <c r="F84" s="20" t="inlineStr">
        <is>
          <t>C003</t>
        </is>
      </c>
      <c r="G84" s="20" t="inlineStr">
        <is>
          <t>2018::jama.2018.18020::C003</t>
        </is>
      </c>
      <c r="H84" s="20" t="n"/>
      <c r="I84" s="20" t="inlineStr">
        <is>
          <t>jama_stunnenberg_2018_oi_180136.pdf — PDF p. 7, Table 2 header and change-score rows; jama_stunnenberg_2018_oi_180136.pdf — PDF p. 8, Table 2 footnotes.</t>
        </is>
      </c>
      <c r="J84" s="20" t="b">
        <v>0</v>
      </c>
      <c r="K84" s="20" t="inlineStr">
        <is>
          <t>jama.2018.18020</t>
        </is>
      </c>
      <c r="L84" s="20" t="n"/>
      <c r="M84" s="20" t="inlineStr">
        <is>
          <t>S_W</t>
        </is>
      </c>
      <c r="N84" s="20" t="inlineStr">
        <is>
          <t>The Table 2 header states placebo minus mexiletine, whereas repeated displayed change rows follow mexiletine minus placebo. The focal mismatch is within the main article.</t>
        </is>
      </c>
      <c r="O84" s="20" t="inlineStr">
        <is>
          <t>../../2018/jama.2018.18020/.ai_paper_validation/final_report_1_5_2.html</t>
        </is>
      </c>
      <c r="P84" s="20" t="inlineStr">
        <is>
          <t>2018/jama.2018.18020/.ai_paper_validation/final_report_1_5_2.md</t>
        </is>
      </c>
      <c r="Q84" s="20" t="inlineStr">
        <is>
          <t>C003</t>
        </is>
      </c>
      <c r="R84" s="20" t="inlineStr">
        <is>
          <t>Pending Human Adjudication</t>
        </is>
      </c>
      <c r="S84" s="20" t="inlineStr">
        <is>
          <t>The Table 2 header states placebo minus mexiletine, whereas repeated displayed change rows follow mexiletine minus placebo.</t>
        </is>
      </c>
      <c r="T84" s="20" t="b">
        <v>1</v>
      </c>
      <c r="U84" s="20" t="inlineStr">
        <is>
          <t>contrast_direction</t>
        </is>
      </c>
      <c r="V84" s="20" t="inlineStr">
        <is>
          <t>report_internal_inconsistency</t>
        </is>
      </c>
      <c r="W84" s="20" t="inlineStr">
        <is>
          <t>Table 2 secondary-outcome contrast header is opposite to the displayed effect signs</t>
        </is>
      </c>
      <c r="X84" s="20" t="inlineStr">
        <is>
          <t>2018</t>
        </is>
      </c>
      <c r="Y84" s="20" t="inlineStr">
        <is>
          <t>meta_report/consistency_reclassification_2026-09-04/reclassified_candidates.json</t>
        </is>
      </c>
      <c r="Z84" s="20" t="inlineStr">
        <is>
          <t>S_W</t>
        </is>
      </c>
      <c r="AA84" s="20" t="inlineStr">
        <is>
          <t>report_internal_inconsistency</t>
        </is>
      </c>
      <c r="AB84" s="20" t="inlineStr">
        <is>
          <t>retain</t>
        </is>
      </c>
    </row>
    <row r="85" ht="90" customHeight="1" s="14">
      <c r="A85" s="24" t="b">
        <v>0</v>
      </c>
      <c r="B85" s="24" t="inlineStr">
        <is>
          <t>Conditional denominator: 31 treatment-set exposures, mentioned in the main article, could produce 6%; the table supplies neither analysis unit nor denominator.</t>
        </is>
      </c>
      <c r="C85" s="24" t="b">
        <v>0</v>
      </c>
      <c r="D85" s="24" t="inlineStr">
        <is>
          <t>Denominator, proportion, or total inconsistency</t>
        </is>
      </c>
      <c r="E85" s="24" t="b">
        <v>0</v>
      </c>
      <c r="F85" s="24" t="inlineStr">
        <is>
          <t>C004</t>
        </is>
      </c>
      <c r="G85" s="24" t="inlineStr">
        <is>
          <t>2018::jama.2018.18020::C004</t>
        </is>
      </c>
      <c r="H85" s="24" t="n"/>
      <c r="I85" s="24" t="inlineStr">
        <is>
          <t>joi180136supp2_prod.pdf — PDF p. 6, eTable 4; jama_stunnenberg_2018_oi_180136.pdf — PDF p. 8, Adverse Events.</t>
        </is>
      </c>
      <c r="J85" s="24" t="b">
        <v>0</v>
      </c>
      <c r="K85" s="24" t="inlineStr">
        <is>
          <t>jama.2018.18020</t>
        </is>
      </c>
      <c r="L85" s="24" t="n"/>
      <c r="M85" s="24" t="inlineStr">
        <is>
          <t>S_W</t>
        </is>
      </c>
      <c r="N85" s="24" t="inlineStr">
        <is>
          <t>Results-supplement eTable 4 prints placebo Any 2 (6%) against neighboring count-2 values of 7% and other pairs implying 30 participants. The main 21/30 statement supports that apparent denominator; the focal discrepancy is an internal eTable denominator/display issue, not a conflicting matched main result.</t>
        </is>
      </c>
      <c r="O85" s="24" t="inlineStr">
        <is>
          <t>../../2018/jama.2018.18020/.ai_paper_validation/final_report_1_5_2.html</t>
        </is>
      </c>
      <c r="P85" s="24" t="inlineStr">
        <is>
          <t>2018/jama.2018.18020/.ai_paper_validation/final_report_1_5_2.md</t>
        </is>
      </c>
      <c r="Q85" s="24" t="inlineStr">
        <is>
          <t>C004</t>
        </is>
      </c>
      <c r="R85" s="24" t="inlineStr">
        <is>
          <t>Pending Human Adjudication</t>
        </is>
      </c>
      <c r="S85" s="24" t="inlineStr">
        <is>
          <t>eTable 4's placebo Any 2 (6%) is not compatible with the apparent 30-patient denominator and neighboring nearest-whole-percent displays.</t>
        </is>
      </c>
      <c r="T85" s="24" t="b">
        <v>1</v>
      </c>
      <c r="U85" s="24" t="inlineStr">
        <is>
          <t>adverse_event_denominator</t>
        </is>
      </c>
      <c r="V85" s="24" t="inlineStr">
        <is>
          <t>statistical_results</t>
        </is>
      </c>
      <c r="W85" s="24" t="inlineStr">
        <is>
          <t>Placebo “Any” adverse-reaction percentage does not reconcile with the apparent denominator</t>
        </is>
      </c>
      <c r="X85" s="24" t="inlineStr">
        <is>
          <t>2018</t>
        </is>
      </c>
      <c r="Y85" s="24" t="inlineStr">
        <is>
          <t>meta_report/consistency_reclassification_2026-09-04/reclassified_candidates.json</t>
        </is>
      </c>
      <c r="Z85" s="24" t="inlineStr">
        <is>
          <t>S_W</t>
        </is>
      </c>
      <c r="AA85" s="24" t="inlineStr">
        <is>
          <t>statistical_results</t>
        </is>
      </c>
      <c r="AB85" s="24" t="inlineStr">
        <is>
          <t>retain</t>
        </is>
      </c>
    </row>
    <row r="86" ht="90" customHeight="1" s="14">
      <c r="A86" s="20" t="b">
        <v>0</v>
      </c>
      <c r="B86" s="20" t="n"/>
      <c r="C86" s="20" t="b">
        <v>0</v>
      </c>
      <c r="D86" s="20" t="inlineStr">
        <is>
          <t>Measure, label, or scale inconsistency</t>
        </is>
      </c>
      <c r="E86" s="20" t="b">
        <v>0</v>
      </c>
      <c r="F86" s="20" t="inlineStr">
        <is>
          <t>C005</t>
        </is>
      </c>
      <c r="G86" s="20" t="inlineStr">
        <is>
          <t>2018::jama.2018.18020::C005</t>
        </is>
      </c>
      <c r="H86" s="20" t="n"/>
      <c r="I86" s="20" t="inlineStr">
        <is>
          <t>joi180136supp2_prod.pdf — PDF p. 11, eMethods 2 code/dictionary; joi180136supp2_prod.pdf — PDF p. 13, eMethods 3 code; joi180136supp2_prod.pdf — PDF p. 14, eMethods 3 dictionary.</t>
        </is>
      </c>
      <c r="J86" s="20" t="b">
        <v>0</v>
      </c>
      <c r="K86" s="20" t="inlineStr">
        <is>
          <t>jama.2018.18020</t>
        </is>
      </c>
      <c r="L86" s="20" t="n"/>
      <c r="M86" s="20" t="inlineStr">
        <is>
          <t>S_W</t>
        </is>
      </c>
      <c r="N86" s="20" t="inlineStr">
        <is>
          <t>The displayed Bayesian-code mappings and adjacent prose assign opposite treatment meanings to mu_mex[i] and mu_plac[i]. The focal mismatch is within one non-plan results supplement.</t>
        </is>
      </c>
      <c r="O86" s="20" t="inlineStr">
        <is>
          <t>../../2018/jama.2018.18020/.ai_paper_validation/final_report_1_5_2.html</t>
        </is>
      </c>
      <c r="P86" s="20" t="inlineStr">
        <is>
          <t>2018/jama.2018.18020/.ai_paper_validation/final_report_1_5_2.md</t>
        </is>
      </c>
      <c r="Q86" s="20" t="inlineStr">
        <is>
          <t>C005</t>
        </is>
      </c>
      <c r="R86" s="20" t="inlineStr">
        <is>
          <t>Pending Human Adjudication</t>
        </is>
      </c>
      <c r="S86" s="20" t="inlineStr">
        <is>
          <t>The displayed Bayesian-code mappings and adjacent prose assign opposite treatment meanings to mu_mex[i] and mu_plac[i].</t>
        </is>
      </c>
      <c r="T86" s="20" t="b">
        <v>1</v>
      </c>
      <c r="U86" s="20" t="inlineStr">
        <is>
          <t>parameter_treatment_label</t>
        </is>
      </c>
      <c r="V86" s="20" t="inlineStr">
        <is>
          <t>report_internal_inconsistency</t>
        </is>
      </c>
      <c r="W86" s="20" t="inlineStr">
        <is>
          <t>Bayesian parameter prose swaps mu_mex[i] and mu_plac[i] treatment labels</t>
        </is>
      </c>
      <c r="X86" s="20" t="inlineStr">
        <is>
          <t>2018</t>
        </is>
      </c>
      <c r="Y86" s="20" t="inlineStr">
        <is>
          <t>meta_report/consistency_reclassification_2026-09-04/reclassified_candidates.json</t>
        </is>
      </c>
      <c r="Z86" s="20" t="inlineStr">
        <is>
          <t>S_W</t>
        </is>
      </c>
      <c r="AA86" s="20" t="inlineStr">
        <is>
          <t>report_internal_inconsistency</t>
        </is>
      </c>
      <c r="AB86" s="20" t="inlineStr">
        <is>
          <t>retain</t>
        </is>
      </c>
    </row>
    <row r="87" ht="90" customHeight="1" s="14">
      <c r="A87" s="24" t="b">
        <v>0</v>
      </c>
      <c r="B87" s="24" t="n"/>
      <c r="C87" s="24" t="b">
        <v>0</v>
      </c>
      <c r="D87" s="24" t="inlineStr">
        <is>
          <t>Measure, label, or scale inconsistency</t>
        </is>
      </c>
      <c r="E87" s="24" t="b">
        <v>0</v>
      </c>
      <c r="F87" s="24" t="inlineStr">
        <is>
          <t>C006</t>
        </is>
      </c>
      <c r="G87" s="24" t="inlineStr">
        <is>
          <t>2018::jama.2018.18020::C006</t>
        </is>
      </c>
      <c r="H87" s="24" t="n"/>
      <c r="I87" s="24" t="inlineStr">
        <is>
          <t>joi180136supp2_prod.pdf — PDF p. 13, eMethods 3 code; joi180136supp2_prod.pdf — PDF p. 14, parameter dictionary.</t>
        </is>
      </c>
      <c r="J87" s="24" t="b">
        <v>0</v>
      </c>
      <c r="K87" s="24" t="inlineStr">
        <is>
          <t>jama.2018.18020</t>
        </is>
      </c>
      <c r="L87" s="24" t="n"/>
      <c r="M87" s="24" t="inlineStr">
        <is>
          <t>S_W</t>
        </is>
      </c>
      <c r="N87" s="24" t="inlineStr">
        <is>
          <t>The dictionary describes diff_CLCN1 as SCN4A although its displayed code components are CLCN1. The focal mismatch is within one non-plan results supplement.</t>
        </is>
      </c>
      <c r="O87" s="24" t="inlineStr">
        <is>
          <t>../../2018/jama.2018.18020/.ai_paper_validation/final_report_1_5_2.html</t>
        </is>
      </c>
      <c r="P87" s="24" t="inlineStr">
        <is>
          <t>2018/jama.2018.18020/.ai_paper_validation/final_report_1_5_2.md</t>
        </is>
      </c>
      <c r="Q87" s="24" t="inlineStr">
        <is>
          <t>C006</t>
        </is>
      </c>
      <c r="R87" s="24" t="inlineStr">
        <is>
          <t>Pending Human Adjudication</t>
        </is>
      </c>
      <c r="S87" s="24" t="inlineStr">
        <is>
          <t>The dictionary describes diff_CLCN1 as SCN4A although its displayed code components are CLCN1.</t>
        </is>
      </c>
      <c r="T87" s="24" t="b">
        <v>1</v>
      </c>
      <c r="U87" s="24" t="inlineStr">
        <is>
          <t>parameter_genotype_label</t>
        </is>
      </c>
      <c r="V87" s="24" t="inlineStr">
        <is>
          <t>report_internal_inconsistency</t>
        </is>
      </c>
      <c r="W87" s="24" t="inlineStr">
        <is>
          <t>diff_CLCN1 is described as an SCN4A contrast</t>
        </is>
      </c>
      <c r="X87" s="24" t="inlineStr">
        <is>
          <t>2018</t>
        </is>
      </c>
      <c r="Y87" s="24" t="inlineStr">
        <is>
          <t>meta_report/consistency_reclassification_2026-09-04/reclassified_candidates.json</t>
        </is>
      </c>
      <c r="Z87" s="24" t="inlineStr">
        <is>
          <t>S_W</t>
        </is>
      </c>
      <c r="AA87" s="24" t="inlineStr">
        <is>
          <t>report_internal_inconsistency</t>
        </is>
      </c>
      <c r="AB87" s="24" t="inlineStr">
        <is>
          <t>retain</t>
        </is>
      </c>
    </row>
    <row r="88" ht="90" customHeight="1" s="14">
      <c r="A88" s="20" t="b">
        <v>0</v>
      </c>
      <c r="B88" s="20" t="n"/>
      <c r="C88" s="20" t="b">
        <v>0</v>
      </c>
      <c r="D88" s="20" t="inlineStr">
        <is>
          <t>Measure, label, or scale inconsistency</t>
        </is>
      </c>
      <c r="E88" s="20" t="b">
        <v>0</v>
      </c>
      <c r="F88" s="20" t="inlineStr">
        <is>
          <t>C007</t>
        </is>
      </c>
      <c r="G88" s="20" t="inlineStr">
        <is>
          <t>2018::jama.2018.18020::C007</t>
        </is>
      </c>
      <c r="H88" s="20" t="n"/>
      <c r="I88" s="20" t="inlineStr">
        <is>
          <t>joi180136supp2_prod.pdf — PDF p. 11, eMethods 2 code; joi180136supp2_prod.pdf — PDF p. 12, eMethods 2 dictionary; joi180136supp2_prod.pdf — PDF p. 13, eMethods 3 code; joi180136supp2_prod.pdf — PDF p. 14, eMethods 3 dictionary.</t>
        </is>
      </c>
      <c r="J88" s="20" t="b">
        <v>0</v>
      </c>
      <c r="K88" s="20" t="inlineStr">
        <is>
          <t>jama.2018.18020</t>
        </is>
      </c>
      <c r="L88" s="20" t="n"/>
      <c r="M88" s="20" t="inlineStr">
        <is>
          <t>S_W</t>
        </is>
      </c>
      <c r="N88" s="20" t="inlineStr">
        <is>
          <t>Both parameter dictionaries describe sigma.mex as placebo variability despite the displayed mexiletine model branch. The focal mismatch is within one non-plan results supplement.</t>
        </is>
      </c>
      <c r="O88" s="20" t="inlineStr">
        <is>
          <t>../../2018/jama.2018.18020/.ai_paper_validation/final_report_1_5_2.html</t>
        </is>
      </c>
      <c r="P88" s="20" t="inlineStr">
        <is>
          <t>2018/jama.2018.18020/.ai_paper_validation/final_report_1_5_2.md</t>
        </is>
      </c>
      <c r="Q88" s="20" t="inlineStr">
        <is>
          <t>C007</t>
        </is>
      </c>
      <c r="R88" s="20" t="inlineStr">
        <is>
          <t>Pending Human Adjudication</t>
        </is>
      </c>
      <c r="S88" s="20" t="inlineStr">
        <is>
          <t>Both parameter dictionaries describe sigma.mex as placebo variability despite the displayed mexiletine model branch.</t>
        </is>
      </c>
      <c r="T88" s="20" t="b">
        <v>1</v>
      </c>
      <c r="U88" s="20" t="inlineStr">
        <is>
          <t>variance_treatment_label</t>
        </is>
      </c>
      <c r="V88" s="20" t="inlineStr">
        <is>
          <t>report_internal_inconsistency</t>
        </is>
      </c>
      <c r="W88" s="20" t="inlineStr">
        <is>
          <t>sigma.mex is described as placebo-period variability</t>
        </is>
      </c>
      <c r="X88" s="20" t="inlineStr">
        <is>
          <t>2018</t>
        </is>
      </c>
      <c r="Y88" s="20" t="inlineStr">
        <is>
          <t>meta_report/consistency_reclassification_2026-09-04/reclassified_candidates.json</t>
        </is>
      </c>
      <c r="Z88" s="20" t="inlineStr">
        <is>
          <t>S_W</t>
        </is>
      </c>
      <c r="AA88" s="20" t="inlineStr">
        <is>
          <t>report_internal_inconsistency</t>
        </is>
      </c>
      <c r="AB88" s="20" t="inlineStr">
        <is>
          <t>retain</t>
        </is>
      </c>
    </row>
    <row r="89" ht="90" customHeight="1" s="14">
      <c r="A89" s="24" t="b">
        <v>0</v>
      </c>
      <c r="B89" s="24" t="inlineStr">
        <is>
          <t>Boundary decision: S_W only; the supplementary gene definition is corroborating context rather than a separate mismatched reported result.</t>
        </is>
      </c>
      <c r="C89" s="24" t="b">
        <v>0</v>
      </c>
      <c r="D89" s="24" t="inlineStr">
        <is>
          <t>Measure, label, or scale inconsistency</t>
        </is>
      </c>
      <c r="E89" s="24" t="b">
        <v>0</v>
      </c>
      <c r="F89" s="24" t="inlineStr">
        <is>
          <t>C008</t>
        </is>
      </c>
      <c r="G89" s="24" t="inlineStr">
        <is>
          <t>2018::jama.2018.18020::C008</t>
        </is>
      </c>
      <c r="H89" s="24" t="n"/>
      <c r="I89" s="24" t="inlineStr">
        <is>
          <t>jama_stunnenberg_2018_oi_180136.pdf — PDF p. 4, Primary Outcome; jama_stunnenberg_2018_oi_180136.pdf — PDF p. 5, Table 1/Figure 2; jama_stunnenberg_2018_oi_180136.pdf — PDF p. 6, Figure 3; joi180136supp2_prod.pdf — PDF p. 4, eTable 2 footnote.</t>
        </is>
      </c>
      <c r="J89" s="24" t="b">
        <v>0</v>
      </c>
      <c r="K89" s="24" t="inlineStr">
        <is>
          <t>jama.2018.18020</t>
        </is>
      </c>
      <c r="L89" s="24" t="n"/>
      <c r="M89" s="24" t="inlineStr">
        <is>
          <t>S_W</t>
        </is>
      </c>
      <c r="N89" s="24" t="inlineStr">
        <is>
          <t>The main narrative attaches CLNC1 to the n=16 subgroup, while the same page gene definition and main figures use CLCN1. The results-supplement footnote corroborates the gene name, so the focal typo is within the main article.</t>
        </is>
      </c>
      <c r="O89" s="24" t="inlineStr">
        <is>
          <t>../../2018/jama.2018.18020/.ai_paper_validation/final_report_1_5_2.html</t>
        </is>
      </c>
      <c r="P89" s="24" t="inlineStr">
        <is>
          <t>2018/jama.2018.18020/.ai_paper_validation/final_report_1_5_2.md</t>
        </is>
      </c>
      <c r="Q89" s="24" t="inlineStr">
        <is>
          <t>C008</t>
        </is>
      </c>
      <c r="R89" s="24" t="inlineStr">
        <is>
          <t>Pending Human Adjudication</t>
        </is>
      </c>
      <c r="S89" s="24" t="inlineStr">
        <is>
          <t>A main-text subgroup result is labeled CLNC1 while matched displays and the supplement identify CLCN1.</t>
        </is>
      </c>
      <c r="T89" s="24" t="b">
        <v>1</v>
      </c>
      <c r="U89" s="24" t="inlineStr">
        <is>
          <t>genotype_symbol_typo</t>
        </is>
      </c>
      <c r="V89" s="24" t="inlineStr">
        <is>
          <t>report_internal_inconsistency</t>
        </is>
      </c>
      <c r="W89" s="24" t="inlineStr">
        <is>
          <t>Main text prints CLNC1 for the matched CLCN1 genotype subgroup</t>
        </is>
      </c>
      <c r="X89" s="24" t="inlineStr">
        <is>
          <t>2018</t>
        </is>
      </c>
      <c r="Y89" s="24" t="inlineStr">
        <is>
          <t>meta_report/consistency_reclassification_2026-09-04/reclassified_candidates.json</t>
        </is>
      </c>
      <c r="Z89" s="24" t="inlineStr">
        <is>
          <t>S_W</t>
        </is>
      </c>
      <c r="AA89" s="24" t="inlineStr">
        <is>
          <t>report_internal_inconsistency</t>
        </is>
      </c>
      <c r="AB89" s="24" t="inlineStr">
        <is>
          <t>retain</t>
        </is>
      </c>
    </row>
    <row r="90" ht="90" customHeight="1" s="14">
      <c r="A90" s="20" t="b">
        <v>0</v>
      </c>
      <c r="B90" s="20" t="n"/>
      <c r="C90" s="20" t="b">
        <v>0</v>
      </c>
      <c r="D90" s="20" t="inlineStr">
        <is>
          <t>Statistical reporting inconsistency</t>
        </is>
      </c>
      <c r="E90" s="20" t="b">
        <v>0</v>
      </c>
      <c r="F90" s="20" t="inlineStr">
        <is>
          <t>C009</t>
        </is>
      </c>
      <c r="G90" s="20" t="inlineStr">
        <is>
          <t>2018::jama.2018.18020::C009</t>
        </is>
      </c>
      <c r="H90" s="20" t="n"/>
      <c r="I90" s="20" t="inlineStr">
        <is>
          <t>jama_stunnenberg_2018_oi_180136.pdf — PDF p. 7, Table 2; jama_stunnenberg_2018_oi_180136.pdf — PDF p. 3, dependent-t method; jama_stunnenberg_2018_oi_180136.pdf — PDF p. 4, two-sided P-value convention.</t>
        </is>
      </c>
      <c r="J90" s="20" t="b">
        <v>0</v>
      </c>
      <c r="K90" s="20" t="inlineStr">
        <is>
          <t>jama.2018.18020</t>
        </is>
      </c>
      <c r="L90" s="20" t="n"/>
      <c r="M90" s="20" t="inlineStr">
        <is>
          <t>S_W</t>
        </is>
      </c>
      <c r="N90" s="20" t="inlineStr">
        <is>
          <t>The SF-36 mental-component effect, CI, P value, and printed dependent-t context do not reconcile under the table-level N=27 assumption. The focal mismatch is within the main article.</t>
        </is>
      </c>
      <c r="O90" s="20" t="inlineStr">
        <is>
          <t>../../2018/jama.2018.18020/.ai_paper_validation/final_report_1_5_2.html</t>
        </is>
      </c>
      <c r="P90" s="20" t="inlineStr">
        <is>
          <t>2018/jama.2018.18020/.ai_paper_validation/final_report_1_5_2.md</t>
        </is>
      </c>
      <c r="Q90" s="20" t="inlineStr">
        <is>
          <t>C009</t>
        </is>
      </c>
      <c r="R90" s="20" t="inlineStr">
        <is>
          <t>Pending Human Adjudication</t>
        </is>
      </c>
      <c r="S90" s="20" t="inlineStr">
        <is>
          <t>The SF-36 mental-component effect, CI, P value, and printed dependent-t context do not reconcile under the table-level N=27 assumption.</t>
        </is>
      </c>
      <c r="T90" s="20" t="b">
        <v>1</v>
      </c>
      <c r="U90" s="20" t="inlineStr">
        <is>
          <t>ci_p_compatibility</t>
        </is>
      </c>
      <c r="V90" s="20" t="inlineStr">
        <is>
          <t>statistical_results</t>
        </is>
      </c>
      <c r="W90" s="20" t="inlineStr">
        <is>
          <t>SF-36 mental-component P value conflicts with the dependent-t 95% CI</t>
        </is>
      </c>
      <c r="X90" s="20" t="inlineStr">
        <is>
          <t>2018</t>
        </is>
      </c>
      <c r="Y90" s="20" t="inlineStr">
        <is>
          <t>meta_report/consistency_reclassification_2026-09-04/reclassified_candidates.json</t>
        </is>
      </c>
      <c r="Z90" s="20" t="inlineStr">
        <is>
          <t>S_W</t>
        </is>
      </c>
      <c r="AA90" s="20" t="inlineStr">
        <is>
          <t>statistical_results</t>
        </is>
      </c>
      <c r="AB90" s="20" t="inlineStr">
        <is>
          <t>retain</t>
        </is>
      </c>
    </row>
    <row r="91" ht="90" customHeight="1" s="14">
      <c r="A91" s="24" t="b">
        <v>0</v>
      </c>
      <c r="B91" s="24" t="n"/>
      <c r="C91" s="24" t="b">
        <v>0</v>
      </c>
      <c r="D91" s="24" t="inlineStr">
        <is>
          <t>Statistical reporting inconsistency</t>
        </is>
      </c>
      <c r="E91" s="24" t="b">
        <v>0</v>
      </c>
      <c r="F91" s="24" t="inlineStr">
        <is>
          <t>C010</t>
        </is>
      </c>
      <c r="G91" s="24" t="inlineStr">
        <is>
          <t>2018::jama.2018.18020::C010</t>
        </is>
      </c>
      <c r="H91" s="24" t="n"/>
      <c r="I91" s="24" t="inlineStr">
        <is>
          <t>jama_stunnenberg_2018_oi_180136.pdf — PDF p. 7, Table 2 row; jama_stunnenberg_2018_oi_180136.pdf — PDF p. 8, Table 2 footnotes; jama_stunnenberg_2018_oi_180136.pdf — PDF p. 3, method; jama_stunnenberg_2018_oi_180136.pdf — PDF p. 4, sidedness.</t>
        </is>
      </c>
      <c r="J91" s="24" t="b">
        <v>0</v>
      </c>
      <c r="K91" s="24" t="inlineStr">
        <is>
          <t>jama.2018.18020</t>
        </is>
      </c>
      <c r="L91" s="24" t="n"/>
      <c r="M91" s="24" t="inlineStr">
        <is>
          <t>S_W</t>
        </is>
      </c>
      <c r="N91" s="24" t="inlineStr">
        <is>
          <t>The SCN4A fifth handgrip effect, zero-crossing CI, and P=.009 do not reconcile under the printed subgroup dependent-t context. The focal mismatch is within the main article.</t>
        </is>
      </c>
      <c r="O91" s="24" t="inlineStr">
        <is>
          <t>../../2018/jama.2018.18020/.ai_paper_validation/final_report_1_5_2.html</t>
        </is>
      </c>
      <c r="P91" s="24" t="inlineStr">
        <is>
          <t>2018/jama.2018.18020/.ai_paper_validation/final_report_1_5_2.md</t>
        </is>
      </c>
      <c r="Q91" s="24" t="inlineStr">
        <is>
          <t>C010</t>
        </is>
      </c>
      <c r="R91" s="24" t="inlineStr">
        <is>
          <t>Pending Human Adjudication</t>
        </is>
      </c>
      <c r="S91" s="24" t="inlineStr">
        <is>
          <t>The SCN4A fifth handgrip effect, zero-crossing CI, and P=.009 do not reconcile under the printed subgroup dependent-t context.</t>
        </is>
      </c>
      <c r="T91" s="24" t="b">
        <v>1</v>
      </c>
      <c r="U91" s="24" t="inlineStr">
        <is>
          <t>ci_p_compatibility</t>
        </is>
      </c>
      <c r="V91" s="24" t="inlineStr">
        <is>
          <t>statistical_results</t>
        </is>
      </c>
      <c r="W91" s="24" t="inlineStr">
        <is>
          <t>SCN4A fifth handgrip-action-myotonia P value conflicts with its 95% CI</t>
        </is>
      </c>
      <c r="X91" s="24" t="inlineStr">
        <is>
          <t>2018</t>
        </is>
      </c>
      <c r="Y91" s="24" t="inlineStr">
        <is>
          <t>meta_report/consistency_reclassification_2026-09-04/reclassified_candidates.json</t>
        </is>
      </c>
      <c r="Z91" s="24" t="inlineStr">
        <is>
          <t>S_W</t>
        </is>
      </c>
      <c r="AA91" s="24" t="inlineStr">
        <is>
          <t>statistical_results</t>
        </is>
      </c>
      <c r="AB91" s="24" t="inlineStr">
        <is>
          <t>retain</t>
        </is>
      </c>
    </row>
    <row r="92" ht="90" customHeight="1" s="14">
      <c r="A92" s="20" t="b">
        <v>0</v>
      </c>
      <c r="B92" s="20" t="n"/>
      <c r="C92" s="20" t="b">
        <v>0</v>
      </c>
      <c r="D92" s="20" t="inlineStr">
        <is>
          <t>Statistical reporting inconsistency</t>
        </is>
      </c>
      <c r="E92" s="20" t="b">
        <v>0</v>
      </c>
      <c r="F92" s="20" t="inlineStr">
        <is>
          <t>C011</t>
        </is>
      </c>
      <c r="G92" s="20" t="inlineStr">
        <is>
          <t>2018::jama.2018.18020::C011</t>
        </is>
      </c>
      <c r="H92" s="20" t="n"/>
      <c r="I9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J92" s="20" t="b">
        <v>0</v>
      </c>
      <c r="K92" s="20" t="inlineStr">
        <is>
          <t>jama.2018.18020</t>
        </is>
      </c>
      <c r="L92" s="20" t="n"/>
      <c r="M92" s="20" t="inlineStr">
        <is>
          <t>S_W</t>
        </is>
      </c>
      <c r="N92" s="20" t="inlineStr">
        <is>
          <t>The SCN4A fifth transient-paresis estimate, interval, and P value are mutually incompatible under the printed dependent-t context. The focal mismatch is within the main article.</t>
        </is>
      </c>
      <c r="O92" s="20" t="inlineStr">
        <is>
          <t>../../2018/jama.2018.18020/.ai_paper_validation/final_report_1_5_2.html</t>
        </is>
      </c>
      <c r="P92" s="20" t="inlineStr">
        <is>
          <t>2018/jama.2018.18020/.ai_paper_validation/final_report_1_5_2.md</t>
        </is>
      </c>
      <c r="Q92" s="20" t="inlineStr">
        <is>
          <t>C011</t>
        </is>
      </c>
      <c r="R92" s="20" t="inlineStr">
        <is>
          <t>Pending Human Adjudication</t>
        </is>
      </c>
      <c r="S92" s="20" t="inlineStr">
        <is>
          <t>The SCN4A fifth transient-paresis estimate, interval, and P value are mutually incompatible under the printed dependent-t context.</t>
        </is>
      </c>
      <c r="T92" s="20" t="b">
        <v>1</v>
      </c>
      <c r="U92" s="20" t="inlineStr">
        <is>
          <t>estimate_ci_p_compatibility</t>
        </is>
      </c>
      <c r="V92" s="20" t="inlineStr">
        <is>
          <t>statistical_results</t>
        </is>
      </c>
      <c r="W92" s="20" t="inlineStr">
        <is>
          <t>SCN4A fifth transient-paresis estimate, interval, and P value do not form a compatible dependent-t result</t>
        </is>
      </c>
      <c r="X92" s="20" t="inlineStr">
        <is>
          <t>2018</t>
        </is>
      </c>
      <c r="Y92" s="20" t="inlineStr">
        <is>
          <t>meta_report/consistency_reclassification_2026-09-04/reclassified_candidates.json</t>
        </is>
      </c>
      <c r="Z92" s="20" t="inlineStr">
        <is>
          <t>S_W</t>
        </is>
      </c>
      <c r="AA92" s="20" t="inlineStr">
        <is>
          <t>statistical_results</t>
        </is>
      </c>
      <c r="AB92" s="20" t="inlineStr">
        <is>
          <t>retain</t>
        </is>
      </c>
    </row>
    <row r="93" ht="90" customHeight="1" s="14">
      <c r="A93" s="24" t="b">
        <v>0</v>
      </c>
      <c r="B93" s="24" t="n"/>
      <c r="C93" s="24" t="b">
        <v>0</v>
      </c>
      <c r="D93" s="24" t="inlineStr">
        <is>
          <t>Statistical reporting inconsistency</t>
        </is>
      </c>
      <c r="E93" s="24" t="b">
        <v>0</v>
      </c>
      <c r="F93" s="24" t="inlineStr">
        <is>
          <t>C012</t>
        </is>
      </c>
      <c r="G93" s="24" t="inlineStr">
        <is>
          <t>2018::jama.2018.18020::C012</t>
        </is>
      </c>
      <c r="H93" s="24" t="n"/>
      <c r="I93" s="24" t="inlineStr">
        <is>
          <t>jama_stunnenberg_2018_oi_180136.pdf — PDF p. 8, Table 2 continuation and footnotes; jama_stunnenberg_2018_oi_180136.pdf — PDF p. 3, dependent-t method; jama_stunnenberg_2018_oi_180136.pdf — PDF p. 4, two-sided convention.</t>
        </is>
      </c>
      <c r="J93" s="24" t="b">
        <v>0</v>
      </c>
      <c r="K93" s="24" t="inlineStr">
        <is>
          <t>jama.2018.18020</t>
        </is>
      </c>
      <c r="L93" s="24" t="n"/>
      <c r="M93" s="24" t="inlineStr">
        <is>
          <t>S_W</t>
        </is>
      </c>
      <c r="N93" s="24" t="inlineStr">
        <is>
          <t>The myotonic-discharge effect, CI, and P&lt;.001 do not reconcile under the printed N=27 dependent-t context. The focal mismatch is within the main article.</t>
        </is>
      </c>
      <c r="O93" s="24" t="inlineStr">
        <is>
          <t>../../2018/jama.2018.18020/.ai_paper_validation/final_report_1_5_2.html</t>
        </is>
      </c>
      <c r="P93" s="24" t="inlineStr">
        <is>
          <t>2018/jama.2018.18020/.ai_paper_validation/final_report_1_5_2.md</t>
        </is>
      </c>
      <c r="Q93" s="24" t="inlineStr">
        <is>
          <t>C012</t>
        </is>
      </c>
      <c r="R93" s="24" t="inlineStr">
        <is>
          <t>Pending Human Adjudication</t>
        </is>
      </c>
      <c r="S93" s="24" t="inlineStr">
        <is>
          <t>The myotonic-discharge effect, CI, and P&lt;.001 do not reconcile under the printed N=27 dependent-t context.</t>
        </is>
      </c>
      <c r="T93" s="24" t="b">
        <v>1</v>
      </c>
      <c r="U93" s="24" t="inlineStr">
        <is>
          <t>ci_p_compatibility</t>
        </is>
      </c>
      <c r="V93" s="24" t="inlineStr">
        <is>
          <t>statistical_results</t>
        </is>
      </c>
      <c r="W93" s="24" t="inlineStr">
        <is>
          <t>Myotonic-discharge P value conflicts with the dependent-t 95% CI</t>
        </is>
      </c>
      <c r="X93" s="24" t="inlineStr">
        <is>
          <t>2018</t>
        </is>
      </c>
      <c r="Y93" s="24" t="inlineStr">
        <is>
          <t>meta_report/consistency_reclassification_2026-09-04/reclassified_candidates.json</t>
        </is>
      </c>
      <c r="Z93" s="24" t="inlineStr">
        <is>
          <t>S_W</t>
        </is>
      </c>
      <c r="AA93" s="24" t="inlineStr">
        <is>
          <t>statistical_results</t>
        </is>
      </c>
      <c r="AB93" s="24" t="inlineStr">
        <is>
          <t>retain</t>
        </is>
      </c>
    </row>
    <row r="94" ht="90" customHeight="1" s="14">
      <c r="A94" s="20" t="b">
        <v>0</v>
      </c>
      <c r="B94" s="20" t="n"/>
      <c r="C94" s="20" t="b">
        <v>0</v>
      </c>
      <c r="D94" s="20" t="inlineStr">
        <is>
          <t>Statistical reporting inconsistency</t>
        </is>
      </c>
      <c r="E94" s="20" t="b">
        <v>0</v>
      </c>
      <c r="F94" s="20" t="inlineStr">
        <is>
          <t>C013</t>
        </is>
      </c>
      <c r="G94" s="20" t="inlineStr">
        <is>
          <t>2018::jama.2018.18020::C013</t>
        </is>
      </c>
      <c r="H94" s="20" t="n"/>
      <c r="I94" s="20" t="inlineStr">
        <is>
          <t>jama_stunnenberg_2018_oi_180136.pdf — PDF p. 7, Table 2 first-attempt handgrip action-myotonia placebo-period change.</t>
        </is>
      </c>
      <c r="J94" s="20" t="b">
        <v>0</v>
      </c>
      <c r="K94" s="20" t="inlineStr">
        <is>
          <t>jama.2018.18020</t>
        </is>
      </c>
      <c r="L94" s="20" t="n"/>
      <c r="M94" s="20" t="inlineStr">
        <is>
          <t>S_W</t>
        </is>
      </c>
      <c r="N94" s="20" t="inlineStr">
        <is>
          <t>The first-attempt handgrip placebo-period cell prints an interval in reverse order that also excludes its printed point estimate. The focal mismatch is within the main article.</t>
        </is>
      </c>
      <c r="O94" s="20" t="inlineStr">
        <is>
          <t>../../2018/jama.2018.18020/.ai_paper_validation/final_report_1_5_2.html</t>
        </is>
      </c>
      <c r="P94" s="20" t="inlineStr">
        <is>
          <t>2018/jama.2018.18020/.ai_paper_validation/final_report_1_5_2.md</t>
        </is>
      </c>
      <c r="Q94" s="20" t="inlineStr">
        <is>
          <t>C013</t>
        </is>
      </c>
      <c r="R94" s="20" t="inlineStr">
        <is>
          <t>Pending Human Adjudication</t>
        </is>
      </c>
      <c r="S94" s="20" t="inlineStr">
        <is>
          <t>The first-attempt handgrip placebo-period cell prints an interval in reverse order that also excludes its printed point estimate.</t>
        </is>
      </c>
      <c r="T94" s="20" t="b">
        <v>1</v>
      </c>
      <c r="U94" s="20" t="inlineStr">
        <is>
          <t>interval_order_and_containment</t>
        </is>
      </c>
      <c r="V94" s="20" t="inlineStr">
        <is>
          <t>statistical_results</t>
        </is>
      </c>
      <c r="W94" s="20" t="inlineStr">
        <is>
          <t>First handgrip placebo-period interval is reversed and excludes its estimate</t>
        </is>
      </c>
      <c r="X94" s="20" t="inlineStr">
        <is>
          <t>2018</t>
        </is>
      </c>
      <c r="Y94" s="20" t="inlineStr">
        <is>
          <t>meta_report/consistency_reclassification_2026-09-04/reclassified_candidates.json</t>
        </is>
      </c>
      <c r="Z94" s="20" t="inlineStr">
        <is>
          <t>S_W</t>
        </is>
      </c>
      <c r="AA94" s="20" t="inlineStr">
        <is>
          <t>statistical_results</t>
        </is>
      </c>
      <c r="AB94" s="20" t="inlineStr">
        <is>
          <t>retain</t>
        </is>
      </c>
    </row>
    <row r="95" ht="90" customHeight="1" s="14">
      <c r="A95" s="24" t="b">
        <v>0</v>
      </c>
      <c r="B95" s="24" t="n"/>
      <c r="C95" s="24" t="b">
        <v>0</v>
      </c>
      <c r="D95" s="24" t="inlineStr">
        <is>
          <t>Statistical reporting inconsistency</t>
        </is>
      </c>
      <c r="E95" s="24" t="b">
        <v>0</v>
      </c>
      <c r="F95" s="24" t="inlineStr">
        <is>
          <t>C014</t>
        </is>
      </c>
      <c r="G95" s="24" t="inlineStr">
        <is>
          <t>2018::jama.2018.18020::C014</t>
        </is>
      </c>
      <c r="H95" s="24" t="n"/>
      <c r="I95" s="24" t="inlineStr">
        <is>
          <t>jama_stunnenberg_2018_oi_180136.pdf — PDF p. 7, Table 2 mean Timed Up&amp;Go placebo-period change.</t>
        </is>
      </c>
      <c r="J95" s="24" t="b">
        <v>0</v>
      </c>
      <c r="K95" s="24" t="inlineStr">
        <is>
          <t>jama.2018.18020</t>
        </is>
      </c>
      <c r="L95" s="24" t="n"/>
      <c r="M95" s="24" t="inlineStr">
        <is>
          <t>S_W</t>
        </is>
      </c>
      <c r="N95" s="24" t="inlineStr">
        <is>
          <t>The mean Timed Up&amp;Go placebo-period estimate exceeds the upper endpoint of its printed interval. The focal mismatch is within the main article.</t>
        </is>
      </c>
      <c r="O95" s="24" t="inlineStr">
        <is>
          <t>../../2018/jama.2018.18020/.ai_paper_validation/final_report_1_5_2.html</t>
        </is>
      </c>
      <c r="P95" s="24" t="inlineStr">
        <is>
          <t>2018/jama.2018.18020/.ai_paper_validation/final_report_1_5_2.md</t>
        </is>
      </c>
      <c r="Q95" s="24" t="inlineStr">
        <is>
          <t>C014</t>
        </is>
      </c>
      <c r="R95" s="24" t="inlineStr">
        <is>
          <t>Pending Human Adjudication</t>
        </is>
      </c>
      <c r="S95" s="24" t="inlineStr">
        <is>
          <t>The mean Timed Up&amp;Go placebo-period estimate exceeds the upper endpoint of its printed interval.</t>
        </is>
      </c>
      <c r="T95" s="24" t="b">
        <v>1</v>
      </c>
      <c r="U95" s="24" t="inlineStr">
        <is>
          <t>estimate_interval_containment</t>
        </is>
      </c>
      <c r="V95" s="24" t="inlineStr">
        <is>
          <t>statistical_results</t>
        </is>
      </c>
      <c r="W95" s="24" t="inlineStr">
        <is>
          <t>Mean Timed Up&amp;Go placebo-period estimate lies outside its interval</t>
        </is>
      </c>
      <c r="X95" s="24" t="inlineStr">
        <is>
          <t>2018</t>
        </is>
      </c>
      <c r="Y95" s="24" t="inlineStr">
        <is>
          <t>meta_report/consistency_reclassification_2026-09-04/reclassified_candidates.json</t>
        </is>
      </c>
      <c r="Z95" s="24" t="inlineStr">
        <is>
          <t>S_W</t>
        </is>
      </c>
      <c r="AA95" s="24" t="inlineStr">
        <is>
          <t>statistical_results</t>
        </is>
      </c>
      <c r="AB95" s="24" t="inlineStr">
        <is>
          <t>retain</t>
        </is>
      </c>
    </row>
    <row r="96" ht="90" customHeight="1" s="14">
      <c r="A96" s="20" t="b">
        <v>0</v>
      </c>
      <c r="B96" s="20" t="inlineStr">
        <is>
          <t>The clustered -1 to 4 interval cannot establish the intended unclustered endpoints.</t>
        </is>
      </c>
      <c r="C96" s="20" t="b">
        <v>0</v>
      </c>
      <c r="D96" s="20" t="inlineStr">
        <is>
          <t>Statistical reporting inconsistency</t>
        </is>
      </c>
      <c r="E96" s="20" t="b">
        <v>0</v>
      </c>
      <c r="F96" s="20" t="inlineStr">
        <is>
          <t>C001</t>
        </is>
      </c>
      <c r="G96" s="20" t="inlineStr">
        <is>
          <t>2018::jama.2018.6496::C001</t>
        </is>
      </c>
      <c r="H96" s="20" t="n"/>
      <c r="I96" s="20" t="inlineStr">
        <is>
          <t>DOC-001 Table 3 — PDF p. 7; DOC-003 eTable 1 — PDF p. 2; DOC-003 eTable 1 note — PDF p. 3; DOC-001 statistical-analysis methods — PDF p. 4.</t>
        </is>
      </c>
      <c r="J96" s="20" t="b">
        <v>0</v>
      </c>
      <c r="K96" s="20" t="inlineStr">
        <is>
          <t>jama.2018.6496</t>
        </is>
      </c>
      <c r="L96" s="20" t="n"/>
      <c r="M96" s="20" t="inlineStr">
        <is>
          <t>S_W</t>
        </is>
      </c>
      <c r="N96" s="20" t="inlineStr">
        <is>
          <t>The main Table 3 CI is printed 4 to -1, a reversed order inside one table. The supplement explicitly recalculates inference for physician clustering and therefore is distinct-model context, not a same-analysis cross-file mismatch.</t>
        </is>
      </c>
      <c r="O96" s="20" t="inlineStr">
        <is>
          <t>../../2018/jama.2018.6496/.ai_paper_validation/final_report_1_5_2.html</t>
        </is>
      </c>
      <c r="P96" s="20" t="inlineStr">
        <is>
          <t>2018/jama.2018.6496/.ai_paper_validation/final_report_1_5_2.md</t>
        </is>
      </c>
      <c r="Q96" s="20" t="inlineStr">
        <is>
          <t>C001</t>
        </is>
      </c>
      <c r="R96" s="20" t="inlineStr">
        <is>
          <t>Pending Human Adjudication</t>
        </is>
      </c>
      <c r="S96" s="20" t="inlineStr">
        <is>
          <t>DOC-001 Table 3 prints the all-patient first-attempt-duration confidence limits in descending order (4 to -1); the intended unclustered limits remain unresolved.</t>
        </is>
      </c>
      <c r="T96" s="20" t="b">
        <v>1</v>
      </c>
      <c r="U96" s="20" t="inlineStr">
        <is>
          <t>ci_endpoint_order</t>
        </is>
      </c>
      <c r="V96" s="20" t="inlineStr">
        <is>
          <t>statistical_results</t>
        </is>
      </c>
      <c r="W96" s="20" t="inlineStr">
        <is>
          <t>Reverse-ordered confidence-interval endpoints for all-patient first-attempt duration</t>
        </is>
      </c>
      <c r="X96" s="20" t="inlineStr">
        <is>
          <t>2018</t>
        </is>
      </c>
      <c r="Y96" s="20" t="inlineStr">
        <is>
          <t>meta_report/consistency_reclassification_2026-09-04/reclassified_candidates.json</t>
        </is>
      </c>
      <c r="Z96" s="20" t="inlineStr">
        <is>
          <t>S_W</t>
        </is>
      </c>
      <c r="AA96" s="20" t="inlineStr">
        <is>
          <t>statistical_results</t>
        </is>
      </c>
      <c r="AB96" s="20" t="inlineStr">
        <is>
          <t>retain</t>
        </is>
      </c>
    </row>
    <row r="97" ht="90" customHeight="1" s="14">
      <c r="A97" s="24" t="b">
        <v>0</v>
      </c>
      <c r="B97" s="24" t="inlineStr">
        <is>
          <t>Known first-attempt failures may be classifiable as composite failures without a valid hypoxemia waveform, allowing different denominators. The discrepancy remains conditional and within the main article.</t>
        </is>
      </c>
      <c r="C97" s="24" t="b">
        <v>0</v>
      </c>
      <c r="D97" s="24" t="inlineStr">
        <is>
          <t>Denominator, proportion, or total inconsistency</t>
        </is>
      </c>
      <c r="E97" s="24" t="b">
        <v>0</v>
      </c>
      <c r="F97" s="24" t="inlineStr">
        <is>
          <t>C002</t>
        </is>
      </c>
      <c r="G97" s="24" t="inlineStr">
        <is>
          <t>2018::jama.2018.6496::C002</t>
        </is>
      </c>
      <c r="H97" s="24" t="n"/>
      <c r="I97" s="24" t="inlineStr">
        <is>
          <t>DOC-001 Table 3 — PDF p. 7; DOC-001 Table 5 — PDF p. 9; DOC-002 protocol secondary outcomes — PDF p. 9; DOC-002 analytic issues — PDF p. 21.</t>
        </is>
      </c>
      <c r="J97" s="24" t="b">
        <v>0</v>
      </c>
      <c r="K97" s="24" t="inlineStr">
        <is>
          <t>jama.2018.6496</t>
        </is>
      </c>
      <c r="L97" s="24" t="n"/>
      <c r="M97" s="24" t="inlineStr">
        <is>
          <t>S_W</t>
        </is>
      </c>
      <c r="N97" s="24" t="inlineStr">
        <is>
          <t>Main Tables 3 and 5 use ETT+stylet denominators 366 and 364 for linked composite/hypoxemia outcomes. Protocol definitions explain the relationship and even support outcome-specific missingness; there is no independent inconsistency with the protocol.</t>
        </is>
      </c>
      <c r="O97" s="24" t="inlineStr">
        <is>
          <t>../../2018/jama.2018.6496/.ai_paper_validation/final_report_1_5_2.html</t>
        </is>
      </c>
      <c r="P97" s="24" t="inlineStr">
        <is>
          <t>2018/jama.2018.6496/.ai_paper_validation/final_report_1_5_2.md</t>
        </is>
      </c>
      <c r="Q97" s="24" t="inlineStr">
        <is>
          <t>C002</t>
        </is>
      </c>
      <c r="R97" s="24" t="inlineStr">
        <is>
          <t>Pending Human Adjudication</t>
        </is>
      </c>
      <c r="S97" s="24" t="inlineStr">
        <is>
          <t>The ETT+stylet denominators differ by two across linked waveform-dependent outcomes (366 versus 364), and the supplied aggregate sources do not establish whether the difference is intentional under an outcome-specific denominator rule.</t>
        </is>
      </c>
      <c r="T97" s="24" t="b">
        <v>1</v>
      </c>
      <c r="U97" s="24" t="inlineStr">
        <is>
          <t>linked_outcome_denominators</t>
        </is>
      </c>
      <c r="V97" s="24" t="inlineStr">
        <is>
          <t>statistical_results</t>
        </is>
      </c>
      <c r="W97" s="24" t="inlineStr">
        <is>
          <t>Two-patient ETT+stylet denominator difference across linked hypoxemia outcomes</t>
        </is>
      </c>
      <c r="X97" s="24" t="inlineStr">
        <is>
          <t>2018</t>
        </is>
      </c>
      <c r="Y97" s="24" t="inlineStr">
        <is>
          <t>meta_report/consistency_reclassification_2026-09-04/reclassified_candidates.json</t>
        </is>
      </c>
      <c r="Z97" s="24" t="inlineStr">
        <is>
          <t>S_W</t>
        </is>
      </c>
      <c r="AA97" s="24" t="inlineStr">
        <is>
          <t>statistical_results</t>
        </is>
      </c>
      <c r="AB97" s="24" t="inlineStr">
        <is>
          <t>retain</t>
        </is>
      </c>
    </row>
    <row r="98" ht="90" customHeight="1" s="14">
      <c r="A98" s="20" t="b">
        <v>0</v>
      </c>
      <c r="B98" s="20"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8" s="20" t="b">
        <v>1</v>
      </c>
      <c r="D98" s="20" t="inlineStr">
        <is>
          <t>Measure, label, or scale inconsistency</t>
        </is>
      </c>
      <c r="E98" s="20" t="b">
        <v>1</v>
      </c>
      <c r="F98" s="20" t="inlineStr">
        <is>
          <t>C003</t>
        </is>
      </c>
      <c r="G98" s="20" t="inlineStr">
        <is>
          <t>2018::jama.2018.6496::C003</t>
        </is>
      </c>
      <c r="H98" s="20" t="n"/>
      <c r="I98" s="20" t="inlineStr">
        <is>
          <t>DOC-002 protocol secondary outcomes — PDF p. 9; DOC-002 protocol measurement procedure — PDF p. 10; DOC-001 Table 3 — PDF p. 7; DOC-001 Table 5 — PDF p. 9; DOC-003 eTable 1 note — PDF p. 3; DOC-003 postintubation form — PDF p. 10.</t>
        </is>
      </c>
      <c r="J98" s="20" t="b">
        <v>0</v>
      </c>
      <c r="K98" s="20" t="inlineStr">
        <is>
          <t>jama.2018.6496</t>
        </is>
      </c>
      <c r="L98" s="20" t="inlineStr">
        <is>
          <t>endpoint_definition_window_hierarchy</t>
        </is>
      </c>
      <c r="M98" s="20" t="inlineStr">
        <is>
          <t>P_R</t>
        </is>
      </c>
      <c r="N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 The reported article/results definition is compared substantively with the supplied protocol or SAP.</t>
        </is>
      </c>
      <c r="O98" s="20" t="inlineStr">
        <is>
          <t>../../2018/jama.2018.6496/.ai_paper_validation/final_report_1_5_2.html</t>
        </is>
      </c>
      <c r="P98" s="20" t="inlineStr">
        <is>
          <t>2018/jama.2018.6496/.ai_paper_validation/final_report_1_5_2.md</t>
        </is>
      </c>
      <c r="Q98" s="20" t="inlineStr">
        <is>
          <t>C003</t>
        </is>
      </c>
      <c r="R98" s="20" t="inlineStr">
        <is>
          <t>Pending Human Adjudication</t>
        </is>
      </c>
      <c r="S98" s="20" t="inlineStr">
        <is>
          <t>The protocol ends hypoxemia surveillance one minute after ETT-cuff inflation, while the published materials end it one minute after intubation-attempt completion; the supplied package does not document whether those events were treated as equivalent or whether the definition changed.</t>
        </is>
      </c>
      <c r="T98" s="20" t="b">
        <v>0</v>
      </c>
      <c r="U98" s="20" t="inlineStr">
        <is>
          <t>outcome_surveillance_window</t>
        </is>
      </c>
      <c r="V98" s="20" t="inlineStr">
        <is>
          <t>protocol_report</t>
        </is>
      </c>
      <c r="W98" s="20" t="inlineStr">
        <is>
          <t>Protocol and published hypoxemia observation windows use different endpoint events</t>
        </is>
      </c>
      <c r="X98" s="20" t="inlineStr">
        <is>
          <t>2018</t>
        </is>
      </c>
      <c r="Y98" s="20" t="inlineStr">
        <is>
          <t>meta_report/consistency_reclassification_2026-09-04/reclassified_candidates.json</t>
        </is>
      </c>
      <c r="Z98" s="20" t="inlineStr">
        <is>
          <t>P_R</t>
        </is>
      </c>
      <c r="AA98" s="20" t="inlineStr">
        <is>
          <t>protocol_report</t>
        </is>
      </c>
      <c r="AB98" s="20" t="inlineStr">
        <is>
          <t>retain</t>
        </is>
      </c>
    </row>
    <row r="99" ht="90" customHeight="1" s="14">
      <c r="A99" s="24" t="b">
        <v>0</v>
      </c>
      <c r="B99" s="24" t="inlineStr">
        <is>
          <t>The planned cuff-inflation and reported blade-removal events may have been harmonized or intentionally changed, but no amendment/equivalence rule is supplied. The data form corroborates the reported operational event; it is not a separately counted protocol-versus-manual discrepancy.</t>
        </is>
      </c>
      <c r="C99" s="24" t="b">
        <v>1</v>
      </c>
      <c r="D99" s="24" t="inlineStr">
        <is>
          <t>Measure, label, or scale inconsistency</t>
        </is>
      </c>
      <c r="E99" s="24" t="b">
        <v>1</v>
      </c>
      <c r="F99" s="24" t="inlineStr">
        <is>
          <t>C004</t>
        </is>
      </c>
      <c r="G99" s="24" t="inlineStr">
        <is>
          <t>2018::jama.2018.6496::C004</t>
        </is>
      </c>
      <c r="H99" s="24" t="n"/>
      <c r="I99" s="24" t="inlineStr">
        <is>
          <t>DOC-002 protocol — PDF p. 9; DOC-001 outcome methods — PDF p. 3; DOC-001 Table 3 — PDF p. 7; DOC-003 eTable 1 note — PDF p. 3; DOC-003 data form — PDF p. 10.</t>
        </is>
      </c>
      <c r="J99" s="24" t="b">
        <v>0</v>
      </c>
      <c r="K99" s="24" t="inlineStr">
        <is>
          <t>jama.2018.6496</t>
        </is>
      </c>
      <c r="L99" s="24" t="inlineStr">
        <is>
          <t>endpoint_definition_window_hierarchy</t>
        </is>
      </c>
      <c r="M99" s="24" t="inlineStr">
        <is>
          <t>P_R</t>
        </is>
      </c>
      <c r="N99" s="24" t="inlineStr">
        <is>
          <t>The protocol defines first-attempt time to intubation through ETT-cuff inflation, whereas the published analyses use blade removal; the supplied package does not document how or why the measurement endpoint changed. The reported article/results definition is compared substantively with the supplied protocol or SAP.</t>
        </is>
      </c>
      <c r="O99" s="24" t="inlineStr">
        <is>
          <t>../../2018/jama.2018.6496/.ai_paper_validation/final_report_1_5_2.html</t>
        </is>
      </c>
      <c r="P99" s="24" t="inlineStr">
        <is>
          <t>2018/jama.2018.6496/.ai_paper_validation/final_report_1_5_2.md</t>
        </is>
      </c>
      <c r="Q99" s="24" t="inlineStr">
        <is>
          <t>C004</t>
        </is>
      </c>
      <c r="R99" s="24" t="inlineStr">
        <is>
          <t>Pending Human Adjudication</t>
        </is>
      </c>
      <c r="S99" s="24" t="inlineStr">
        <is>
          <t>The protocol defines first-attempt time to intubation through ETT-cuff inflation, whereas the published analyses use blade removal; the supplied package does not document how or why the measurement endpoint changed.</t>
        </is>
      </c>
      <c r="T99" s="24" t="b">
        <v>0</v>
      </c>
      <c r="U99" s="24" t="inlineStr">
        <is>
          <t>duration_endpoint_definition</t>
        </is>
      </c>
      <c r="V99" s="24" t="inlineStr">
        <is>
          <t>protocol_report</t>
        </is>
      </c>
      <c r="W99" s="24" t="inlineStr">
        <is>
          <t>Protocol and published first-attempt-duration measures use different endpoint events</t>
        </is>
      </c>
      <c r="X99" s="24" t="inlineStr">
        <is>
          <t>2018</t>
        </is>
      </c>
      <c r="Y99" s="24" t="inlineStr">
        <is>
          <t>meta_report/consistency_reclassification_2026-09-04/reclassified_candidates.json</t>
        </is>
      </c>
      <c r="Z99" s="24" t="inlineStr">
        <is>
          <t>P_R</t>
        </is>
      </c>
      <c r="AA99" s="24" t="inlineStr">
        <is>
          <t>protocol_report</t>
        </is>
      </c>
      <c r="AB99" s="24" t="inlineStr">
        <is>
          <t>retain</t>
        </is>
      </c>
    </row>
    <row r="100" ht="90" customHeight="1" s="14">
      <c r="A100" s="20" t="b">
        <v>0</v>
      </c>
      <c r="B100" s="20" t="n"/>
      <c r="C100" s="20" t="b">
        <v>0</v>
      </c>
      <c r="D100" s="20" t="inlineStr">
        <is>
          <t>Numeric or arithmetic inconsistency</t>
        </is>
      </c>
      <c r="E100" s="20" t="b">
        <v>0</v>
      </c>
      <c r="F100" s="20" t="inlineStr">
        <is>
          <t>C001</t>
        </is>
      </c>
      <c r="G100" s="20" t="inlineStr">
        <is>
          <t>2018::jama.2018.8802::C001</t>
        </is>
      </c>
      <c r="H100" s="20" t="n"/>
      <c r="I100" s="20" t="inlineStr">
        <is>
          <t>jama_wang_2018_oi_180070.pdf — PDF p. 6, Table 1, CAD/previous myocardial infarction, intervention column and Patients, No. header.</t>
        </is>
      </c>
      <c r="J100" s="20" t="b">
        <v>0</v>
      </c>
      <c r="K100" s="20" t="inlineStr">
        <is>
          <t>jama.2018.8802</t>
        </is>
      </c>
      <c r="L100" s="20" t="n"/>
      <c r="M100" s="20" t="inlineStr">
        <is>
          <t>S_W</t>
        </is>
      </c>
      <c r="N100" s="20" t="inlineStr">
        <is>
          <t>The intervention cell prints 311 (13.05) under a 2,400-patient column, but the displayed fraction does not yield 13.05%. The focal mismatch is within the main article.</t>
        </is>
      </c>
      <c r="O100" s="20" t="inlineStr">
        <is>
          <t>../../2018/jama.2018.8802/.ai_paper_validation/final_report_1_5_2.html</t>
        </is>
      </c>
      <c r="P100" s="20" t="inlineStr">
        <is>
          <t>2018/jama.2018.8802/.ai_paper_validation/final_report_1_5_2.md</t>
        </is>
      </c>
      <c r="Q100" s="20" t="inlineStr">
        <is>
          <t>C001</t>
        </is>
      </c>
      <c r="R100" s="20" t="inlineStr">
        <is>
          <t>Pending Human Adjudication</t>
        </is>
      </c>
      <c r="S100" s="20" t="inlineStr">
        <is>
          <t>The intervention cell prints 311 (13.05) under a 2,400-patient column, but the displayed fraction does not yield 13.05%.</t>
        </is>
      </c>
      <c r="T100" s="20" t="b">
        <v>1</v>
      </c>
      <c r="U100" s="20" t="inlineStr">
        <is>
          <t>count_percentage_arithmetic</t>
        </is>
      </c>
      <c r="V100" s="20" t="inlineStr">
        <is>
          <t>statistical_results</t>
        </is>
      </c>
      <c r="W100" s="20" t="inlineStr">
        <is>
          <t>Table 1 CAD/previous-myocardial-infarction percentage does not reproduce</t>
        </is>
      </c>
      <c r="X100" s="20" t="inlineStr">
        <is>
          <t>2018</t>
        </is>
      </c>
      <c r="Y100" s="20" t="inlineStr">
        <is>
          <t>meta_report/consistency_reclassification_2026-09-04/reclassified_candidates.json</t>
        </is>
      </c>
      <c r="Z100" s="20" t="inlineStr">
        <is>
          <t>S_W</t>
        </is>
      </c>
      <c r="AA100" s="20" t="inlineStr">
        <is>
          <t>statistical_results</t>
        </is>
      </c>
      <c r="AB100" s="20" t="inlineStr">
        <is>
          <t>retain</t>
        </is>
      </c>
    </row>
    <row r="101" ht="90" customHeight="1" s="14">
      <c r="A101" s="24" t="b">
        <v>0</v>
      </c>
      <c r="B101" s="24" t="inlineStr">
        <is>
          <t>Mixed planned/reported and submission-internal definition relationships. Labels may be abbreviations while the inclusive definition governed the denominators; participant-level LDL-at-100 data are absent.</t>
        </is>
      </c>
      <c r="C101" s="24" t="b">
        <v>1</v>
      </c>
      <c r="D101" s="24" t="inlineStr">
        <is>
          <t>Measure, label, or scale inconsistency</t>
        </is>
      </c>
      <c r="E101" s="24" t="b">
        <v>1</v>
      </c>
      <c r="F101" s="24" t="inlineStr">
        <is>
          <t>C002</t>
        </is>
      </c>
      <c r="G101" s="24" t="inlineStr">
        <is>
          <t>2018::jama.2018.8802::C002</t>
        </is>
      </c>
      <c r="H101" s="24" t="n"/>
      <c r="I101" s="24" t="inlineStr">
        <is>
          <t>jama_wang_2018_oi_180070.pdf — PDF p. 7, Table 2 lipid-lowering row; joi180070supp1_prod.pdf — PDF p. 15, definition; joi180070supp2_prod.pdf — PDF p. 3, eTable 1 definition; and joi180070supp2_prod.pdf — PDF p. 8, eTable 4 label.</t>
        </is>
      </c>
      <c r="J101" s="24" t="b">
        <v>0</v>
      </c>
      <c r="K101" s="24" t="inlineStr">
        <is>
          <t>jama.2018.8802</t>
        </is>
      </c>
      <c r="L101" s="24" t="inlineStr">
        <is>
          <t>population_recruitment_sites</t>
        </is>
      </c>
      <c r="M101" s="24" t="inlineStr">
        <is>
          <t>P_R</t>
        </is>
      </c>
      <c r="N101" s="24" t="inlineStr">
        <is>
          <t>Main Table 2 and the sensitivity-results eTable use LDL &gt;100; the protocol formal definition and results-supplement eTable 1 use &gt;=100. The target is eligibility as formally defined versus attached to reported results, giving P_R; the main-versus-results-definition and within-supplement definition/label differences also substantively occur.</t>
        </is>
      </c>
      <c r="O101" s="24" t="inlineStr">
        <is>
          <t>../../2018/jama.2018.8802/.ai_paper_validation/final_report_1_5_2.html</t>
        </is>
      </c>
      <c r="P101" s="24" t="inlineStr">
        <is>
          <t>2018/jama.2018.8802/.ai_paper_validation/final_report_1_5_2.md</t>
        </is>
      </c>
      <c r="Q101" s="24" t="inlineStr">
        <is>
          <t>C002</t>
        </is>
      </c>
      <c r="R101" s="24" t="inlineStr">
        <is>
          <t>Pending Human Adjudication</t>
        </is>
      </c>
      <c r="S101" s="24" t="inlineStr">
        <is>
          <t>The main and sensitivity result rows use LDL &gt;100 mg/dL, while supplied formal measure definitions use LDL ≥100 mg/dL.</t>
        </is>
      </c>
      <c r="T101" s="24" t="b">
        <v>1</v>
      </c>
      <c r="U101" s="24" t="inlineStr">
        <is>
          <t>eligibility_threshold</t>
        </is>
      </c>
      <c r="V101" s="24" t="inlineStr">
        <is>
          <t>protocol_report</t>
        </is>
      </c>
      <c r="W101" s="24" t="inlineStr">
        <is>
          <t>LDL eligibility boundary differs between result labels and supplied measure definition</t>
        </is>
      </c>
      <c r="X101" s="24" t="inlineStr">
        <is>
          <t>2018</t>
        </is>
      </c>
      <c r="Y101" s="24" t="inlineStr">
        <is>
          <t>meta_report/consistency_reclassification_2026-09-04/reclassified_candidates.json</t>
        </is>
      </c>
      <c r="Z101" s="24" t="inlineStr">
        <is>
          <t>P_R</t>
        </is>
      </c>
      <c r="AA101" s="24" t="inlineStr">
        <is>
          <t>protocol_report</t>
        </is>
      </c>
      <c r="AB101" s="24" t="inlineStr">
        <is>
          <t>retain</t>
        </is>
      </c>
    </row>
    <row r="102" ht="90" customHeight="1" s="14">
      <c r="A102" s="20" t="b">
        <v>0</v>
      </c>
      <c r="B102" s="20" t="n"/>
      <c r="C102" s="20" t="b">
        <v>0</v>
      </c>
      <c r="D102" s="20" t="inlineStr">
        <is>
          <t>Denominator, proportion, or total inconsistency</t>
        </is>
      </c>
      <c r="E102" s="20" t="b">
        <v>0</v>
      </c>
      <c r="F102" s="20" t="inlineStr">
        <is>
          <t>C003</t>
        </is>
      </c>
      <c r="G102" s="20" t="inlineStr">
        <is>
          <t>2018::jama.2018.8802::C003</t>
        </is>
      </c>
      <c r="H102" s="20" t="n"/>
      <c r="I102" s="20" t="inlineStr">
        <is>
          <t>joi180070supp2_prod.pdf — PDF p. 8, eTable 4, Antithrombotics, control cell.</t>
        </is>
      </c>
      <c r="J102" s="20" t="b">
        <v>0</v>
      </c>
      <c r="K102" s="20" t="inlineStr">
        <is>
          <t>jama.2018.8802</t>
        </is>
      </c>
      <c r="L102" s="20" t="n"/>
      <c r="M102" s="20" t="inlineStr">
        <is>
          <t>S_W</t>
        </is>
      </c>
      <c r="N102" s="20" t="inlineStr">
        <is>
          <t>The control cell prints 2141/2400 (89.3), but the fraction rounds to 89.2% at one decimal. The focal mismatch is within one non-plan results supplement.</t>
        </is>
      </c>
      <c r="O102" s="20" t="inlineStr">
        <is>
          <t>../../2018/jama.2018.8802/.ai_paper_validation/final_report_1_5_2.html</t>
        </is>
      </c>
      <c r="P102" s="20" t="inlineStr">
        <is>
          <t>2018/jama.2018.8802/.ai_paper_validation/final_report_1_5_2.md</t>
        </is>
      </c>
      <c r="Q102" s="20" t="inlineStr">
        <is>
          <t>C003</t>
        </is>
      </c>
      <c r="R102" s="20" t="inlineStr">
        <is>
          <t>Pending Human Adjudication</t>
        </is>
      </c>
      <c r="S102" s="20" t="inlineStr">
        <is>
          <t>The control cell prints 2141/2400 (89.3), but the fraction rounds to 89.2% at one decimal.</t>
        </is>
      </c>
      <c r="T102" s="20" t="b">
        <v>1</v>
      </c>
      <c r="U102" s="20" t="inlineStr">
        <is>
          <t>count_percentage_rounding</t>
        </is>
      </c>
      <c r="V102" s="20" t="inlineStr">
        <is>
          <t>statistical_results</t>
        </is>
      </c>
      <c r="W102" s="20" t="inlineStr">
        <is>
          <t>eTable 4 discharge-antithrombotics control percentage does not reproduce</t>
        </is>
      </c>
      <c r="X102" s="20" t="inlineStr">
        <is>
          <t>2018</t>
        </is>
      </c>
      <c r="Y102" s="20" t="inlineStr">
        <is>
          <t>meta_report/consistency_reclassification_2026-09-04/reclassified_candidates.json</t>
        </is>
      </c>
      <c r="Z102" s="20" t="inlineStr">
        <is>
          <t>S_W</t>
        </is>
      </c>
      <c r="AA102" s="20" t="inlineStr">
        <is>
          <t>statistical_results</t>
        </is>
      </c>
      <c r="AB102" s="20" t="inlineStr">
        <is>
          <t>retain</t>
        </is>
      </c>
    </row>
    <row r="103" ht="90" customHeight="1" s="14">
      <c r="A103" s="24" t="b">
        <v>0</v>
      </c>
      <c r="B103" s="24" t="n"/>
      <c r="C103" s="24" t="b">
        <v>0</v>
      </c>
      <c r="D103" s="24" t="inlineStr">
        <is>
          <t>Denominator, proportion, or total inconsistency</t>
        </is>
      </c>
      <c r="E103" s="24" t="b">
        <v>0</v>
      </c>
      <c r="F103" s="24" t="inlineStr">
        <is>
          <t>C004</t>
        </is>
      </c>
      <c r="G103" s="24" t="inlineStr">
        <is>
          <t>2018::jama.2018.8802::C004</t>
        </is>
      </c>
      <c r="H103" s="24" t="n"/>
      <c r="I103" s="24" t="inlineStr">
        <is>
          <t>joi180070supp2_prod.pdf — PDF p. 8, eTable 4, Anticoagulation for Atrial Fibrillation, control cell.</t>
        </is>
      </c>
      <c r="J103" s="24" t="b">
        <v>0</v>
      </c>
      <c r="K103" s="24" t="inlineStr">
        <is>
          <t>jama.2018.8802</t>
        </is>
      </c>
      <c r="L103" s="24" t="n"/>
      <c r="M103" s="24" t="inlineStr">
        <is>
          <t>S_W</t>
        </is>
      </c>
      <c r="N103" s="24" t="inlineStr">
        <is>
          <t>The control cell prints 39/174 (22.5), but the fraction rounds to 22.4% at one decimal. The focal mismatch is within one non-plan results supplement.</t>
        </is>
      </c>
      <c r="O103" s="24" t="inlineStr">
        <is>
          <t>../../2018/jama.2018.8802/.ai_paper_validation/final_report_1_5_2.html</t>
        </is>
      </c>
      <c r="P103" s="24" t="inlineStr">
        <is>
          <t>2018/jama.2018.8802/.ai_paper_validation/final_report_1_5_2.md</t>
        </is>
      </c>
      <c r="Q103" s="24" t="inlineStr">
        <is>
          <t>C004</t>
        </is>
      </c>
      <c r="R103" s="24" t="inlineStr">
        <is>
          <t>Pending Human Adjudication</t>
        </is>
      </c>
      <c r="S103" s="24" t="inlineStr">
        <is>
          <t>The control cell prints 39/174 (22.5), but the fraction rounds to 22.4% at one decimal.</t>
        </is>
      </c>
      <c r="T103" s="24" t="b">
        <v>1</v>
      </c>
      <c r="U103" s="24" t="inlineStr">
        <is>
          <t>count_percentage_rounding</t>
        </is>
      </c>
      <c r="V103" s="24" t="inlineStr">
        <is>
          <t>statistical_results</t>
        </is>
      </c>
      <c r="W103" s="24" t="inlineStr">
        <is>
          <t>eTable 4 AF-anticoagulation control percentage does not reproduce</t>
        </is>
      </c>
      <c r="X103" s="24" t="inlineStr">
        <is>
          <t>2018</t>
        </is>
      </c>
      <c r="Y103" s="24" t="inlineStr">
        <is>
          <t>meta_report/consistency_reclassification_2026-09-04/reclassified_candidates.json</t>
        </is>
      </c>
      <c r="Z103" s="24" t="inlineStr">
        <is>
          <t>S_W</t>
        </is>
      </c>
      <c r="AA103" s="24" t="inlineStr">
        <is>
          <t>statistical_results</t>
        </is>
      </c>
      <c r="AB103" s="24" t="inlineStr">
        <is>
          <t>retain</t>
        </is>
      </c>
    </row>
    <row r="104" ht="90" customHeight="1" s="14">
      <c r="A104" s="20" t="b">
        <v>0</v>
      </c>
      <c r="B104" s="20" t="n"/>
      <c r="C104" s="20" t="b">
        <v>0</v>
      </c>
      <c r="D104" s="20" t="inlineStr">
        <is>
          <t>Denominator, proportion, or total inconsistency</t>
        </is>
      </c>
      <c r="E104" s="20" t="b">
        <v>0</v>
      </c>
      <c r="F104" s="20" t="inlineStr">
        <is>
          <t>C005</t>
        </is>
      </c>
      <c r="G104" s="20" t="inlineStr">
        <is>
          <t>2018::jama.2018.8802::C005</t>
        </is>
      </c>
      <c r="H104" s="20" t="n"/>
      <c r="I104" s="20" t="inlineStr">
        <is>
          <t>joi180070supp2_prod.pdf — PDF p. 8, eTable 4, Lipid-lowering for LDL &gt;100 mg/dL, control cell.</t>
        </is>
      </c>
      <c r="J104" s="20" t="b">
        <v>0</v>
      </c>
      <c r="K104" s="20" t="inlineStr">
        <is>
          <t>jama.2018.8802</t>
        </is>
      </c>
      <c r="L104" s="20" t="n"/>
      <c r="M104" s="20" t="inlineStr">
        <is>
          <t>S_W</t>
        </is>
      </c>
      <c r="N104" s="20" t="inlineStr">
        <is>
          <t>The control cell prints 1439/1586 (90.8), but the fraction rounds to 90.7% at one decimal. The focal mismatch is within one non-plan results supplement.</t>
        </is>
      </c>
      <c r="O104" s="20" t="inlineStr">
        <is>
          <t>../../2018/jama.2018.8802/.ai_paper_validation/final_report_1_5_2.html</t>
        </is>
      </c>
      <c r="P104" s="20" t="inlineStr">
        <is>
          <t>2018/jama.2018.8802/.ai_paper_validation/final_report_1_5_2.md</t>
        </is>
      </c>
      <c r="Q104" s="20" t="inlineStr">
        <is>
          <t>C005</t>
        </is>
      </c>
      <c r="R104" s="20" t="inlineStr">
        <is>
          <t>Pending Human Adjudication</t>
        </is>
      </c>
      <c r="S104" s="20" t="inlineStr">
        <is>
          <t>The control cell prints 1439/1586 (90.8), but the fraction rounds to 90.7% at one decimal.</t>
        </is>
      </c>
      <c r="T104" s="20" t="b">
        <v>1</v>
      </c>
      <c r="U104" s="20" t="inlineStr">
        <is>
          <t>count_percentage_rounding</t>
        </is>
      </c>
      <c r="V104" s="20" t="inlineStr">
        <is>
          <t>statistical_results</t>
        </is>
      </c>
      <c r="W104" s="20" t="inlineStr">
        <is>
          <t>eTable 4 lipid-lowering control percentage does not reproduce</t>
        </is>
      </c>
      <c r="X104" s="20" t="inlineStr">
        <is>
          <t>2018</t>
        </is>
      </c>
      <c r="Y104" s="20" t="inlineStr">
        <is>
          <t>meta_report/consistency_reclassification_2026-09-04/reclassified_candidates.json</t>
        </is>
      </c>
      <c r="Z104" s="20" t="inlineStr">
        <is>
          <t>S_W</t>
        </is>
      </c>
      <c r="AA104" s="20" t="inlineStr">
        <is>
          <t>statistical_results</t>
        </is>
      </c>
      <c r="AB104" s="20" t="inlineStr">
        <is>
          <t>retain</t>
        </is>
      </c>
    </row>
    <row r="105" ht="90" customHeight="1" s="14">
      <c r="A105" s="24" t="b">
        <v>0</v>
      </c>
      <c r="B105" s="24" t="n"/>
      <c r="C105" s="24" t="b">
        <v>0</v>
      </c>
      <c r="D105" s="24" t="inlineStr">
        <is>
          <t>Denominator, proportion, or total inconsistency</t>
        </is>
      </c>
      <c r="E105" s="24" t="b">
        <v>0</v>
      </c>
      <c r="F105" s="24" t="inlineStr">
        <is>
          <t>C006</t>
        </is>
      </c>
      <c r="G105" s="24" t="inlineStr">
        <is>
          <t>2018::jama.2018.8802::C006</t>
        </is>
      </c>
      <c r="H105" s="24" t="n"/>
      <c r="I105" s="24" t="inlineStr">
        <is>
          <t>joi180070supp2_prod.pdf — PDF p. 8, eTable 4, Antidiabetic Medication, control cell.</t>
        </is>
      </c>
      <c r="J105" s="24" t="b">
        <v>0</v>
      </c>
      <c r="K105" s="24" t="inlineStr">
        <is>
          <t>jama.2018.8802</t>
        </is>
      </c>
      <c r="L105" s="24" t="n"/>
      <c r="M105" s="24" t="inlineStr">
        <is>
          <t>S_W</t>
        </is>
      </c>
      <c r="N105" s="24" t="inlineStr">
        <is>
          <t>The control cell prints 557/688 (81.1), but the fraction rounds to 81.0% at one decimal. The focal mismatch is within one non-plan results supplement.</t>
        </is>
      </c>
      <c r="O105" s="24" t="inlineStr">
        <is>
          <t>../../2018/jama.2018.8802/.ai_paper_validation/final_report_1_5_2.html</t>
        </is>
      </c>
      <c r="P105" s="24" t="inlineStr">
        <is>
          <t>2018/jama.2018.8802/.ai_paper_validation/final_report_1_5_2.md</t>
        </is>
      </c>
      <c r="Q105" s="24" t="inlineStr">
        <is>
          <t>C006</t>
        </is>
      </c>
      <c r="R105" s="24" t="inlineStr">
        <is>
          <t>Pending Human Adjudication</t>
        </is>
      </c>
      <c r="S105" s="24" t="inlineStr">
        <is>
          <t>The control cell prints 557/688 (81.1), but the fraction rounds to 81.0% at one decimal.</t>
        </is>
      </c>
      <c r="T105" s="24" t="b">
        <v>1</v>
      </c>
      <c r="U105" s="24" t="inlineStr">
        <is>
          <t>count_percentage_rounding</t>
        </is>
      </c>
      <c r="V105" s="24" t="inlineStr">
        <is>
          <t>statistical_results</t>
        </is>
      </c>
      <c r="W105" s="24" t="inlineStr">
        <is>
          <t>eTable 4 antidiabetic-medication control percentage does not reproduce</t>
        </is>
      </c>
      <c r="X105" s="24" t="inlineStr">
        <is>
          <t>2018</t>
        </is>
      </c>
      <c r="Y105" s="24" t="inlineStr">
        <is>
          <t>meta_report/consistency_reclassification_2026-09-04/reclassified_candidates.json</t>
        </is>
      </c>
      <c r="Z105" s="24" t="inlineStr">
        <is>
          <t>S_W</t>
        </is>
      </c>
      <c r="AA105" s="24" t="inlineStr">
        <is>
          <t>statistical_results</t>
        </is>
      </c>
      <c r="AB105" s="24" t="inlineStr">
        <is>
          <t>retain</t>
        </is>
      </c>
    </row>
    <row r="106" ht="90" customHeight="1" s="14">
      <c r="A106" s="20" t="b">
        <v>0</v>
      </c>
      <c r="B106" s="20" t="inlineStr">
        <is>
          <t>Twenty may be a target, with one cluster enrolling 21; the printed retrospective inclusion claim lacks that qualification. No additional plan discrepancy is counted.</t>
        </is>
      </c>
      <c r="C106" s="20" t="b">
        <v>0</v>
      </c>
      <c r="D106" s="20" t="inlineStr">
        <is>
          <t>Cross-document numeric inconsistency</t>
        </is>
      </c>
      <c r="E106" s="20" t="b">
        <v>1</v>
      </c>
      <c r="F106" s="20" t="inlineStr">
        <is>
          <t>C007</t>
        </is>
      </c>
      <c r="G106" s="20" t="inlineStr">
        <is>
          <t>2018::jama.2018.8802::C007</t>
        </is>
      </c>
      <c r="H106" s="20" t="n"/>
      <c r="I106"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J106" s="20" t="b">
        <v>1</v>
      </c>
      <c r="K106" s="20" t="inlineStr">
        <is>
          <t>jama.2018.8802</t>
        </is>
      </c>
      <c r="L106" s="20" t="n"/>
      <c r="M106" s="20" t="inlineStr">
        <is>
          <t>S_C</t>
        </is>
      </c>
      <c r="N106" s="20" t="inlineStr">
        <is>
          <t>Main Table 1 reports 801 baseline-survey patients in 40 hospitals, while the ordinary results-supplement eAppendix says 20 patients per cluster were included, implying 800. Protocol 40-cluster statements corroborate the cluster count; the discrepant total versus per-cluster inclusion claim is main versus non-plan supplement.</t>
        </is>
      </c>
      <c r="O106" s="20" t="inlineStr">
        <is>
          <t>../../2018/jama.2018.8802/.ai_paper_validation/final_report_1_5_2.html</t>
        </is>
      </c>
      <c r="P106" s="20" t="inlineStr">
        <is>
          <t>2018/jama.2018.8802/.ai_paper_validation/final_report_1_5_2.md</t>
        </is>
      </c>
      <c r="Q106" s="20" t="inlineStr">
        <is>
          <t>C007</t>
        </is>
      </c>
      <c r="R106" s="20" t="inlineStr">
        <is>
          <t>Pending Human Adjudication</t>
        </is>
      </c>
      <c r="S106" s="20" t="inlineStr">
        <is>
          <t>Table 1 reports 801 baseline-survey patients and 40 survey hospitals, while the supplement states that 20 patients per cluster were prospectively included, implying 800 under an exact fixed-count reading.</t>
        </is>
      </c>
      <c r="T106" s="20" t="b">
        <v>1</v>
      </c>
      <c r="U106" s="20" t="inlineStr">
        <is>
          <t>sampling_count_vs_total</t>
        </is>
      </c>
      <c r="V106" s="20" t="inlineStr">
        <is>
          <t>report_internal_inconsistency</t>
        </is>
      </c>
      <c r="W106" s="20" t="inlineStr">
        <is>
          <t>baseline-survey patient total does not reconcile with stated per-cluster inclusion</t>
        </is>
      </c>
      <c r="X106" s="20" t="inlineStr">
        <is>
          <t>2018</t>
        </is>
      </c>
      <c r="Y106" s="20" t="inlineStr">
        <is>
          <t>meta_report/consistency_reclassification_2026-09-04/reclassified_candidates.json</t>
        </is>
      </c>
      <c r="Z106" s="20" t="inlineStr">
        <is>
          <t>S_C</t>
        </is>
      </c>
      <c r="AA106" s="20" t="inlineStr">
        <is>
          <t>report_internal_inconsistency</t>
        </is>
      </c>
      <c r="AB106" s="20" t="inlineStr">
        <is>
          <t>retain</t>
        </is>
      </c>
    </row>
    <row r="107" ht="90" customHeight="1" s="14">
      <c r="A107" s="24" t="b">
        <v>0</v>
      </c>
      <c r="B107" s="24" t="n"/>
      <c r="C107" s="24" t="b">
        <v>0</v>
      </c>
      <c r="D107" s="24" t="inlineStr">
        <is>
          <t>Statistical reporting inconsistency</t>
        </is>
      </c>
      <c r="E107" s="24" t="b">
        <v>0</v>
      </c>
      <c r="F107" s="24" t="inlineStr">
        <is>
          <t>C008</t>
        </is>
      </c>
      <c r="G107" s="24" t="inlineStr">
        <is>
          <t>2018::jama.2018.8802::C008</t>
        </is>
      </c>
      <c r="H107" s="24" t="n"/>
      <c r="I107" s="24" t="inlineStr">
        <is>
          <t>jama_wang_2018_oi_180070.pdf — PDF p. 8, Table 3 Death / In hospital row, absolute-difference and adjacent P-value columns; jama_wang_2018_oi_180070.pdf — PDF p. 4, data-analysis statements.</t>
        </is>
      </c>
      <c r="J107" s="24" t="b">
        <v>0</v>
      </c>
      <c r="K107" s="24" t="inlineStr">
        <is>
          <t>jama.2018.8802</t>
        </is>
      </c>
      <c r="L107" s="24" t="n"/>
      <c r="M107" s="24" t="inlineStr">
        <is>
          <t>S_W</t>
        </is>
      </c>
      <c r="N107" s="24" t="inlineStr">
        <is>
          <t>The in-hospital-death adjusted absolute-difference 95% CI contains zero, while the adjacent absolute-difference P-value cell is .009 under the article's two-sided testing statement. The focal mismatch is within the main article.</t>
        </is>
      </c>
      <c r="O107" s="24" t="inlineStr">
        <is>
          <t>../../2018/jama.2018.8802/.ai_paper_validation/final_report_1_5_2.html</t>
        </is>
      </c>
      <c r="P107" s="24" t="inlineStr">
        <is>
          <t>2018/jama.2018.8802/.ai_paper_validation/final_report_1_5_2.md</t>
        </is>
      </c>
      <c r="Q107" s="24" t="inlineStr">
        <is>
          <t>C008</t>
        </is>
      </c>
      <c r="R107" s="24" t="inlineStr">
        <is>
          <t>Pending Human Adjudication</t>
        </is>
      </c>
      <c r="S107" s="24" t="inlineStr">
        <is>
          <t>The in-hospital-death adjusted absolute-difference 95% CI contains zero, while the adjacent absolute-difference P-value cell is .009 under the article's two-sided testing statement.</t>
        </is>
      </c>
      <c r="T107" s="24" t="b">
        <v>1</v>
      </c>
      <c r="U107" s="24" t="inlineStr">
        <is>
          <t>ci_p_compatibility</t>
        </is>
      </c>
      <c r="V107" s="24" t="inlineStr">
        <is>
          <t>statistical_results</t>
        </is>
      </c>
      <c r="W107" s="24" t="inlineStr">
        <is>
          <t>in-hospital death absolute-difference CI and P value do not reconcile</t>
        </is>
      </c>
      <c r="X107" s="24" t="inlineStr">
        <is>
          <t>2018</t>
        </is>
      </c>
      <c r="Y107" s="24" t="inlineStr">
        <is>
          <t>meta_report/consistency_reclassification_2026-09-04/reclassified_candidates.json</t>
        </is>
      </c>
      <c r="Z107" s="24" t="inlineStr">
        <is>
          <t>S_W</t>
        </is>
      </c>
      <c r="AA107" s="24" t="inlineStr">
        <is>
          <t>statistical_results</t>
        </is>
      </c>
      <c r="AB107" s="24" t="inlineStr">
        <is>
          <t>retain</t>
        </is>
      </c>
    </row>
    <row r="108" ht="90" customHeight="1" s="14">
      <c r="A108" s="20" t="b">
        <v>0</v>
      </c>
      <c r="B108"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8" s="20" t="b">
        <v>0</v>
      </c>
      <c r="D108" s="20" t="inlineStr">
        <is>
          <t>Cross-document numeric inconsistency</t>
        </is>
      </c>
      <c r="E108" s="20" t="b">
        <v>1</v>
      </c>
      <c r="F108" s="20" t="inlineStr">
        <is>
          <t>C001</t>
        </is>
      </c>
      <c r="G108" s="20" t="inlineStr">
        <is>
          <t>2018::jama.2018.9128::C001</t>
        </is>
      </c>
      <c r="H108" s="20" t="n"/>
      <c r="I108" s="20" t="inlineStr">
        <is>
          <t>DOC-001 Figure 1 — PDF p. 3; DOC-001 Figure 2 — PDF p. 7; DOC-003 eTable 1 — PDF p. 2.</t>
        </is>
      </c>
      <c r="J108" s="20" t="b">
        <v>1</v>
      </c>
      <c r="K108" s="20" t="inlineStr">
        <is>
          <t>jama.2018.9128</t>
        </is>
      </c>
      <c r="L108" s="20" t="n"/>
      <c r="M108" s="20" t="inlineStr">
        <is>
          <t>S_C</t>
        </is>
      </c>
      <c r="N108" s="20" t="inlineStr">
        <is>
          <t>The intervention 3-month BMI count is 288 in the flow diagram and 279 in both the observed-BMI figure and eTable. The focal comparison is the main article versus a non-plan results supplement.</t>
        </is>
      </c>
      <c r="O108" s="20" t="inlineStr">
        <is>
          <t>../../2018/jama.2018.9128/.ai_paper_validation/final_report_1_5_2.html</t>
        </is>
      </c>
      <c r="P108" s="20" t="inlineStr">
        <is>
          <t>2018/jama.2018.9128/.ai_paper_validation/final_report_1_5_2.md</t>
        </is>
      </c>
      <c r="Q108" s="20" t="inlineStr">
        <is>
          <t>C001</t>
        </is>
      </c>
      <c r="R108" s="20" t="inlineStr">
        <is>
          <t>Pending Human Adjudication</t>
        </is>
      </c>
      <c r="S108" s="20" t="inlineStr">
        <is>
          <t>The intervention 3-month BMI count is 288 in the flow diagram and 279 in both the observed-BMI figure and eTable.</t>
        </is>
      </c>
      <c r="T108" s="20" t="b">
        <v>1</v>
      </c>
      <c r="U108" s="20" t="inlineStr">
        <is>
          <t>repeated_bmi_observation_count</t>
        </is>
      </c>
      <c r="V108" s="20" t="inlineStr">
        <is>
          <t>report_internal_inconsistency</t>
        </is>
      </c>
      <c r="W108" s="20" t="inlineStr">
        <is>
          <t>Intervention 3-month BMI-observation count differs across result displays</t>
        </is>
      </c>
      <c r="X108" s="20" t="inlineStr">
        <is>
          <t>2018</t>
        </is>
      </c>
      <c r="Y108" s="20" t="inlineStr">
        <is>
          <t>meta_report/consistency_reclassification_2026-09-04/reclassified_candidates.json</t>
        </is>
      </c>
      <c r="Z108" s="20" t="inlineStr">
        <is>
          <t>S_C</t>
        </is>
      </c>
      <c r="AA108" s="20" t="inlineStr">
        <is>
          <t>report_internal_inconsistency</t>
        </is>
      </c>
      <c r="AB108" s="20" t="inlineStr">
        <is>
          <t>retain</t>
        </is>
      </c>
    </row>
    <row r="109" ht="90" customHeight="1" s="14">
      <c r="A109" s="24" t="b">
        <v>0</v>
      </c>
      <c r="B109"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09" s="24" t="b">
        <v>0</v>
      </c>
      <c r="D109" s="24" t="inlineStr">
        <is>
          <t>Cross-document numeric inconsistency</t>
        </is>
      </c>
      <c r="E109" s="24" t="b">
        <v>1</v>
      </c>
      <c r="F109" s="24" t="inlineStr">
        <is>
          <t>C002</t>
        </is>
      </c>
      <c r="G109" s="24" t="inlineStr">
        <is>
          <t>2018::jama.2018.9128::C002</t>
        </is>
      </c>
      <c r="H109" s="24" t="n"/>
      <c r="I109" s="24" t="inlineStr">
        <is>
          <t>DOC-001 Figure 1 — PDF p. 3; DOC-001 Figure 2 — PDF p. 7; DOC-003 eTable 1 — PDF p. 2.</t>
        </is>
      </c>
      <c r="J109" s="24" t="b">
        <v>1</v>
      </c>
      <c r="K109" s="24" t="inlineStr">
        <is>
          <t>jama.2018.9128</t>
        </is>
      </c>
      <c r="L109" s="24" t="n"/>
      <c r="M109" s="24" t="inlineStr">
        <is>
          <t>S_C</t>
        </is>
      </c>
      <c r="N109" s="24" t="inlineStr">
        <is>
          <t>The control 3-month BMI count is 277 in the flow diagram and 271 in both the observed-BMI figure and eTable. The focal comparison is the main article versus a non-plan results supplement.</t>
        </is>
      </c>
      <c r="O109" s="24" t="inlineStr">
        <is>
          <t>../../2018/jama.2018.9128/.ai_paper_validation/final_report_1_5_2.html</t>
        </is>
      </c>
      <c r="P109" s="24" t="inlineStr">
        <is>
          <t>2018/jama.2018.9128/.ai_paper_validation/final_report_1_5_2.md</t>
        </is>
      </c>
      <c r="Q109" s="24" t="inlineStr">
        <is>
          <t>C002</t>
        </is>
      </c>
      <c r="R109" s="24" t="inlineStr">
        <is>
          <t>Pending Human Adjudication</t>
        </is>
      </c>
      <c r="S109" s="24" t="inlineStr">
        <is>
          <t>The control 3-month BMI count is 277 in the flow diagram and 271 in both the observed-BMI figure and eTable.</t>
        </is>
      </c>
      <c r="T109" s="24" t="b">
        <v>1</v>
      </c>
      <c r="U109" s="24" t="inlineStr">
        <is>
          <t>repeated_bmi_observation_count</t>
        </is>
      </c>
      <c r="V109" s="24" t="inlineStr">
        <is>
          <t>report_internal_inconsistency</t>
        </is>
      </c>
      <c r="W109" s="24" t="inlineStr">
        <is>
          <t>Control 3-month BMI-observation count differs across result displays</t>
        </is>
      </c>
      <c r="X109" s="24" t="inlineStr">
        <is>
          <t>2018</t>
        </is>
      </c>
      <c r="Y109" s="24" t="inlineStr">
        <is>
          <t>meta_report/consistency_reclassification_2026-09-04/reclassified_candidates.json</t>
        </is>
      </c>
      <c r="Z109" s="24" t="inlineStr">
        <is>
          <t>S_C</t>
        </is>
      </c>
      <c r="AA109" s="24" t="inlineStr">
        <is>
          <t>report_internal_inconsistency</t>
        </is>
      </c>
      <c r="AB109" s="24" t="inlineStr">
        <is>
          <t>retain</t>
        </is>
      </c>
    </row>
    <row r="110" ht="90" customHeight="1" s="14">
      <c r="A110" s="20" t="b">
        <v>0</v>
      </c>
      <c r="B11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0" s="20" t="b">
        <v>0</v>
      </c>
      <c r="D110" s="20" t="inlineStr">
        <is>
          <t>Cross-document numeric inconsistency</t>
        </is>
      </c>
      <c r="E110" s="20" t="b">
        <v>1</v>
      </c>
      <c r="F110" s="20" t="inlineStr">
        <is>
          <t>C003</t>
        </is>
      </c>
      <c r="G110" s="20" t="inlineStr">
        <is>
          <t>2018::jama.2018.9128::C003</t>
        </is>
      </c>
      <c r="H110" s="20" t="n"/>
      <c r="I110" s="20" t="inlineStr">
        <is>
          <t>DOC-001 Figure 1 — PDF p. 3; DOC-001 Figure 2 — PDF p. 7; DOC-003 eTable 1 — PDF p. 2.</t>
        </is>
      </c>
      <c r="J110" s="20" t="b">
        <v>1</v>
      </c>
      <c r="K110" s="20" t="inlineStr">
        <is>
          <t>jama.2018.9128</t>
        </is>
      </c>
      <c r="L110" s="20" t="n"/>
      <c r="M110" s="20" t="inlineStr">
        <is>
          <t>S_C</t>
        </is>
      </c>
      <c r="N110" s="20" t="inlineStr">
        <is>
          <t>The intervention 9-month BMI count is 282 in the flow diagram and 280 in both the observed-BMI figure and eTable. The focal comparison is the main article versus a non-plan results supplement.</t>
        </is>
      </c>
      <c r="O110" s="20" t="inlineStr">
        <is>
          <t>../../2018/jama.2018.9128/.ai_paper_validation/final_report_1_5_2.html</t>
        </is>
      </c>
      <c r="P110" s="20" t="inlineStr">
        <is>
          <t>2018/jama.2018.9128/.ai_paper_validation/final_report_1_5_2.md</t>
        </is>
      </c>
      <c r="Q110" s="20" t="inlineStr">
        <is>
          <t>C003</t>
        </is>
      </c>
      <c r="R110" s="20" t="inlineStr">
        <is>
          <t>Pending Human Adjudication</t>
        </is>
      </c>
      <c r="S110" s="20" t="inlineStr">
        <is>
          <t>The intervention 9-month BMI count is 282 in the flow diagram and 280 in both the observed-BMI figure and eTable.</t>
        </is>
      </c>
      <c r="T110" s="20" t="b">
        <v>1</v>
      </c>
      <c r="U110" s="20" t="inlineStr">
        <is>
          <t>repeated_bmi_observation_count</t>
        </is>
      </c>
      <c r="V110" s="20" t="inlineStr">
        <is>
          <t>report_internal_inconsistency</t>
        </is>
      </c>
      <c r="W110" s="20" t="inlineStr">
        <is>
          <t>Intervention 9-month BMI-observation count differs across result displays</t>
        </is>
      </c>
      <c r="X110" s="20" t="inlineStr">
        <is>
          <t>2018</t>
        </is>
      </c>
      <c r="Y110" s="20" t="inlineStr">
        <is>
          <t>meta_report/consistency_reclassification_2026-09-04/reclassified_candidates.json</t>
        </is>
      </c>
      <c r="Z110" s="20" t="inlineStr">
        <is>
          <t>S_C</t>
        </is>
      </c>
      <c r="AA110" s="20" t="inlineStr">
        <is>
          <t>report_internal_inconsistency</t>
        </is>
      </c>
      <c r="AB110" s="20" t="inlineStr">
        <is>
          <t>retain</t>
        </is>
      </c>
    </row>
    <row r="111" ht="90" customHeight="1" s="14">
      <c r="A111" s="24" t="b">
        <v>0</v>
      </c>
      <c r="B111"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1" s="24" t="b">
        <v>0</v>
      </c>
      <c r="D111" s="24" t="inlineStr">
        <is>
          <t>Cross-document numeric inconsistency</t>
        </is>
      </c>
      <c r="E111" s="24" t="b">
        <v>1</v>
      </c>
      <c r="F111" s="24" t="inlineStr">
        <is>
          <t>C004</t>
        </is>
      </c>
      <c r="G111" s="24" t="inlineStr">
        <is>
          <t>2018::jama.2018.9128::C004</t>
        </is>
      </c>
      <c r="H111" s="24" t="n"/>
      <c r="I111" s="24" t="inlineStr">
        <is>
          <t>DOC-001 Figure 1 — PDF p. 3; DOC-001 Figure 2 — PDF p. 7; DOC-003 eTable 1 — PDF p. 2.</t>
        </is>
      </c>
      <c r="J111" s="24" t="b">
        <v>1</v>
      </c>
      <c r="K111" s="24" t="inlineStr">
        <is>
          <t>jama.2018.9128</t>
        </is>
      </c>
      <c r="L111" s="24" t="n"/>
      <c r="M111" s="24" t="inlineStr">
        <is>
          <t>S_C</t>
        </is>
      </c>
      <c r="N111" s="24" t="inlineStr">
        <is>
          <t>The intervention 12-month BMI count is 275 in the flow diagram and 274 in both the observed-BMI figure and eTable. The focal comparison is the main article versus a non-plan results supplement.</t>
        </is>
      </c>
      <c r="O111" s="24" t="inlineStr">
        <is>
          <t>../../2018/jama.2018.9128/.ai_paper_validation/final_report_1_5_2.html</t>
        </is>
      </c>
      <c r="P111" s="24" t="inlineStr">
        <is>
          <t>2018/jama.2018.9128/.ai_paper_validation/final_report_1_5_2.md</t>
        </is>
      </c>
      <c r="Q111" s="24" t="inlineStr">
        <is>
          <t>C004</t>
        </is>
      </c>
      <c r="R111" s="24" t="inlineStr">
        <is>
          <t>Pending Human Adjudication</t>
        </is>
      </c>
      <c r="S111" s="24" t="inlineStr">
        <is>
          <t>The intervention 12-month BMI count is 275 in the flow diagram and 274 in both the observed-BMI figure and eTable.</t>
        </is>
      </c>
      <c r="T111" s="24" t="b">
        <v>1</v>
      </c>
      <c r="U111" s="24" t="inlineStr">
        <is>
          <t>repeated_bmi_observation_count</t>
        </is>
      </c>
      <c r="V111" s="24" t="inlineStr">
        <is>
          <t>report_internal_inconsistency</t>
        </is>
      </c>
      <c r="W111" s="24" t="inlineStr">
        <is>
          <t>Intervention 12-month BMI-observation count differs across result displays</t>
        </is>
      </c>
      <c r="X111" s="24" t="inlineStr">
        <is>
          <t>2018</t>
        </is>
      </c>
      <c r="Y111" s="24" t="inlineStr">
        <is>
          <t>meta_report/consistency_reclassification_2026-09-04/reclassified_candidates.json</t>
        </is>
      </c>
      <c r="Z111" s="24" t="inlineStr">
        <is>
          <t>S_C</t>
        </is>
      </c>
      <c r="AA111" s="24" t="inlineStr">
        <is>
          <t>report_internal_inconsistency</t>
        </is>
      </c>
      <c r="AB111" s="24" t="inlineStr">
        <is>
          <t>retain</t>
        </is>
      </c>
    </row>
    <row r="112" ht="90" customHeight="1" s="14">
      <c r="A112" s="20" t="b">
        <v>0</v>
      </c>
      <c r="B112"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2" s="20" t="b">
        <v>0</v>
      </c>
      <c r="D112" s="20" t="inlineStr">
        <is>
          <t>Cross-document numeric inconsistency</t>
        </is>
      </c>
      <c r="E112" s="20" t="b">
        <v>1</v>
      </c>
      <c r="F112" s="20" t="inlineStr">
        <is>
          <t>C005</t>
        </is>
      </c>
      <c r="G112" s="20" t="inlineStr">
        <is>
          <t>2018::jama.2018.9128::C005</t>
        </is>
      </c>
      <c r="H112" s="20" t="n"/>
      <c r="I112" s="20" t="inlineStr">
        <is>
          <t>DOC-001 Figure 1 — PDF p. 3; DOC-001 Figure 2 — PDF p. 7; DOC-003 eTable 1 — PDF p. 2.</t>
        </is>
      </c>
      <c r="J112" s="20" t="b">
        <v>1</v>
      </c>
      <c r="K112" s="20" t="inlineStr">
        <is>
          <t>jama.2018.9128</t>
        </is>
      </c>
      <c r="L112" s="20" t="n"/>
      <c r="M112" s="20" t="inlineStr">
        <is>
          <t>S_C</t>
        </is>
      </c>
      <c r="N112" s="20" t="inlineStr">
        <is>
          <t>The control 12-month BMI count is 276 in the flow diagram and 275 in both the observed-BMI figure and eTable. The focal comparison is the main article versus a non-plan results supplement.</t>
        </is>
      </c>
      <c r="O112" s="20" t="inlineStr">
        <is>
          <t>../../2018/jama.2018.9128/.ai_paper_validation/final_report_1_5_2.html</t>
        </is>
      </c>
      <c r="P112" s="20" t="inlineStr">
        <is>
          <t>2018/jama.2018.9128/.ai_paper_validation/final_report_1_5_2.md</t>
        </is>
      </c>
      <c r="Q112" s="20" t="inlineStr">
        <is>
          <t>C005</t>
        </is>
      </c>
      <c r="R112" s="20" t="inlineStr">
        <is>
          <t>Pending Human Adjudication</t>
        </is>
      </c>
      <c r="S112" s="20" t="inlineStr">
        <is>
          <t>The control 12-month BMI count is 276 in the flow diagram and 275 in both the observed-BMI figure and eTable.</t>
        </is>
      </c>
      <c r="T112" s="20" t="b">
        <v>1</v>
      </c>
      <c r="U112" s="20" t="inlineStr">
        <is>
          <t>repeated_bmi_observation_count</t>
        </is>
      </c>
      <c r="V112" s="20" t="inlineStr">
        <is>
          <t>report_internal_inconsistency</t>
        </is>
      </c>
      <c r="W112" s="20" t="inlineStr">
        <is>
          <t>Control 12-month BMI-observation count differs across result displays</t>
        </is>
      </c>
      <c r="X112" s="20" t="inlineStr">
        <is>
          <t>2018</t>
        </is>
      </c>
      <c r="Y112" s="20" t="inlineStr">
        <is>
          <t>meta_report/consistency_reclassification_2026-09-04/reclassified_candidates.json</t>
        </is>
      </c>
      <c r="Z112" s="20" t="inlineStr">
        <is>
          <t>S_C</t>
        </is>
      </c>
      <c r="AA112" s="20" t="inlineStr">
        <is>
          <t>report_internal_inconsistency</t>
        </is>
      </c>
      <c r="AB112" s="20" t="inlineStr">
        <is>
          <t>retain</t>
        </is>
      </c>
    </row>
    <row r="113" ht="90" customHeight="1" s="14">
      <c r="A113" s="24" t="b">
        <v>0</v>
      </c>
      <c r="B113"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3" s="24" t="b">
        <v>0</v>
      </c>
      <c r="D113" s="24" t="inlineStr">
        <is>
          <t>Cross-document numeric inconsistency</t>
        </is>
      </c>
      <c r="E113" s="24" t="b">
        <v>1</v>
      </c>
      <c r="F113" s="24" t="inlineStr">
        <is>
          <t>C006</t>
        </is>
      </c>
      <c r="G113" s="24" t="inlineStr">
        <is>
          <t>2018::jama.2018.9128::C006</t>
        </is>
      </c>
      <c r="H113" s="24" t="n"/>
      <c r="I113" s="24" t="inlineStr">
        <is>
          <t>DOC-001 Figure 1 — PDF p. 3; DOC-001 Figure 2 — PDF p. 7; DOC-003 eTable 1 — PDF p. 2.</t>
        </is>
      </c>
      <c r="J113" s="24" t="b">
        <v>1</v>
      </c>
      <c r="K113" s="24" t="inlineStr">
        <is>
          <t>jama.2018.9128</t>
        </is>
      </c>
      <c r="L113" s="24" t="n"/>
      <c r="M113" s="24" t="inlineStr">
        <is>
          <t>S_C</t>
        </is>
      </c>
      <c r="N113" s="24" t="inlineStr">
        <is>
          <t>The intervention 24-month BMI count is 280 in the flow diagram and 278 in both the observed-BMI figure and eTable. The focal comparison is the main article versus a non-plan results supplement.</t>
        </is>
      </c>
      <c r="O113" s="24" t="inlineStr">
        <is>
          <t>../../2018/jama.2018.9128/.ai_paper_validation/final_report_1_5_2.html</t>
        </is>
      </c>
      <c r="P113" s="24" t="inlineStr">
        <is>
          <t>2018/jama.2018.9128/.ai_paper_validation/final_report_1_5_2.md</t>
        </is>
      </c>
      <c r="Q113" s="24" t="inlineStr">
        <is>
          <t>C006</t>
        </is>
      </c>
      <c r="R113" s="24" t="inlineStr">
        <is>
          <t>Pending Human Adjudication</t>
        </is>
      </c>
      <c r="S113" s="24" t="inlineStr">
        <is>
          <t>The intervention 24-month BMI count is 280 in the flow diagram and 278 in both the observed-BMI figure and eTable.</t>
        </is>
      </c>
      <c r="T113" s="24" t="b">
        <v>1</v>
      </c>
      <c r="U113" s="24" t="inlineStr">
        <is>
          <t>repeated_bmi_observation_count</t>
        </is>
      </c>
      <c r="V113" s="24" t="inlineStr">
        <is>
          <t>report_internal_inconsistency</t>
        </is>
      </c>
      <c r="W113" s="24" t="inlineStr">
        <is>
          <t>Intervention 24-month BMI-observation count differs across result displays</t>
        </is>
      </c>
      <c r="X113" s="24" t="inlineStr">
        <is>
          <t>2018</t>
        </is>
      </c>
      <c r="Y113" s="24" t="inlineStr">
        <is>
          <t>meta_report/consistency_reclassification_2026-09-04/reclassified_candidates.json</t>
        </is>
      </c>
      <c r="Z113" s="24" t="inlineStr">
        <is>
          <t>S_C</t>
        </is>
      </c>
      <c r="AA113" s="24" t="inlineStr">
        <is>
          <t>report_internal_inconsistency</t>
        </is>
      </c>
      <c r="AB113" s="24" t="inlineStr">
        <is>
          <t>retain</t>
        </is>
      </c>
    </row>
    <row r="114" ht="90" customHeight="1" s="14">
      <c r="A114" s="20" t="b">
        <v>0</v>
      </c>
      <c r="B114"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4" s="20" t="b">
        <v>0</v>
      </c>
      <c r="D114" s="20" t="inlineStr">
        <is>
          <t>Cross-document numeric inconsistency</t>
        </is>
      </c>
      <c r="E114" s="20" t="b">
        <v>1</v>
      </c>
      <c r="F114" s="20" t="inlineStr">
        <is>
          <t>C007</t>
        </is>
      </c>
      <c r="G114" s="20" t="inlineStr">
        <is>
          <t>2018::jama.2018.9128::C007</t>
        </is>
      </c>
      <c r="H114" s="20" t="n"/>
      <c r="I114" s="20" t="inlineStr">
        <is>
          <t>DOC-001 Figure 1 — PDF p. 3; DOC-001 Figure 2 — PDF p. 7; DOC-003 eTable 1 — PDF p. 2.</t>
        </is>
      </c>
      <c r="J114" s="20" t="b">
        <v>1</v>
      </c>
      <c r="K114" s="20" t="inlineStr">
        <is>
          <t>jama.2018.9128</t>
        </is>
      </c>
      <c r="L114" s="20" t="n"/>
      <c r="M114" s="20" t="inlineStr">
        <is>
          <t>S_C</t>
        </is>
      </c>
      <c r="N114" s="20" t="inlineStr">
        <is>
          <t>The control 24-month BMI count is 267 in the flow diagram and 266 in both the observed-BMI figure and eTable. The focal comparison is the main article versus a non-plan results supplement.</t>
        </is>
      </c>
      <c r="O114" s="20" t="inlineStr">
        <is>
          <t>../../2018/jama.2018.9128/.ai_paper_validation/final_report_1_5_2.html</t>
        </is>
      </c>
      <c r="P114" s="20" t="inlineStr">
        <is>
          <t>2018/jama.2018.9128/.ai_paper_validation/final_report_1_5_2.md</t>
        </is>
      </c>
      <c r="Q114" s="20" t="inlineStr">
        <is>
          <t>C007</t>
        </is>
      </c>
      <c r="R114" s="20" t="inlineStr">
        <is>
          <t>Pending Human Adjudication</t>
        </is>
      </c>
      <c r="S114" s="20" t="inlineStr">
        <is>
          <t>The control 24-month BMI count is 267 in the flow diagram and 266 in both the observed-BMI figure and eTable.</t>
        </is>
      </c>
      <c r="T114" s="20" t="b">
        <v>1</v>
      </c>
      <c r="U114" s="20" t="inlineStr">
        <is>
          <t>repeated_bmi_observation_count</t>
        </is>
      </c>
      <c r="V114" s="20" t="inlineStr">
        <is>
          <t>report_internal_inconsistency</t>
        </is>
      </c>
      <c r="W114" s="20" t="inlineStr">
        <is>
          <t>Control 24-month BMI-observation count differs across result displays</t>
        </is>
      </c>
      <c r="X114" s="20" t="inlineStr">
        <is>
          <t>2018</t>
        </is>
      </c>
      <c r="Y114" s="20" t="inlineStr">
        <is>
          <t>meta_report/consistency_reclassification_2026-09-04/reclassified_candidates.json</t>
        </is>
      </c>
      <c r="Z114" s="20" t="inlineStr">
        <is>
          <t>S_C</t>
        </is>
      </c>
      <c r="AA114" s="20" t="inlineStr">
        <is>
          <t>report_internal_inconsistency</t>
        </is>
      </c>
      <c r="AB114" s="20" t="inlineStr">
        <is>
          <t>retain</t>
        </is>
      </c>
    </row>
    <row r="115" ht="90" customHeight="1" s="14">
      <c r="A115" s="24" t="b">
        <v>0</v>
      </c>
      <c r="B115" s="24"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15" s="24" t="b">
        <v>0</v>
      </c>
      <c r="D115" s="24" t="inlineStr">
        <is>
          <t>Cross-document numeric inconsistency</t>
        </is>
      </c>
      <c r="E115" s="24" t="b">
        <v>1</v>
      </c>
      <c r="F115" s="24" t="inlineStr">
        <is>
          <t>C008</t>
        </is>
      </c>
      <c r="G115" s="24" t="inlineStr">
        <is>
          <t>2018::jama.2018.9128::C008</t>
        </is>
      </c>
      <c r="H115" s="24" t="n"/>
      <c r="I115" s="24" t="inlineStr">
        <is>
          <t>DOC-001 Figure 1 — PDF p. 3; DOC-001 Figure 2 — PDF p. 7; DOC-003 eTable 1 — PDF p. 2.</t>
        </is>
      </c>
      <c r="J115" s="24" t="b">
        <v>1</v>
      </c>
      <c r="K115" s="24" t="inlineStr">
        <is>
          <t>jama.2018.9128</t>
        </is>
      </c>
      <c r="L115" s="24" t="n"/>
      <c r="M115" s="24" t="inlineStr">
        <is>
          <t>S_C</t>
        </is>
      </c>
      <c r="N115" s="24" t="inlineStr">
        <is>
          <t>The intervention 36-month count is 278 retained/BMI collected in the flow diagram and 276 in both the observed-BMI figure and eTable. The focal comparison is the main article versus a non-plan results supplement.</t>
        </is>
      </c>
      <c r="O115" s="24" t="inlineStr">
        <is>
          <t>../../2018/jama.2018.9128/.ai_paper_validation/final_report_1_5_2.html</t>
        </is>
      </c>
      <c r="P115" s="24" t="inlineStr">
        <is>
          <t>2018/jama.2018.9128/.ai_paper_validation/final_report_1_5_2.md</t>
        </is>
      </c>
      <c r="Q115" s="24" t="inlineStr">
        <is>
          <t>C008</t>
        </is>
      </c>
      <c r="R115" s="24" t="inlineStr">
        <is>
          <t>Pending Human Adjudication</t>
        </is>
      </c>
      <c r="S115" s="24" t="inlineStr">
        <is>
          <t>The intervention 36-month count is 278 retained/BMI collected in the flow diagram and 276 in both the observed-BMI figure and eTable.</t>
        </is>
      </c>
      <c r="T115" s="24" t="b">
        <v>1</v>
      </c>
      <c r="U115" s="24" t="inlineStr">
        <is>
          <t>repeated_bmi_observation_count</t>
        </is>
      </c>
      <c r="V115" s="24" t="inlineStr">
        <is>
          <t>report_internal_inconsistency</t>
        </is>
      </c>
      <c r="W115" s="24" t="inlineStr">
        <is>
          <t>Intervention 36-month BMI-observation count differs across result displays</t>
        </is>
      </c>
      <c r="X115" s="24" t="inlineStr">
        <is>
          <t>2018</t>
        </is>
      </c>
      <c r="Y115" s="24" t="inlineStr">
        <is>
          <t>meta_report/consistency_reclassification_2026-09-04/reclassified_candidates.json</t>
        </is>
      </c>
      <c r="Z115" s="24" t="inlineStr">
        <is>
          <t>S_C</t>
        </is>
      </c>
      <c r="AA115" s="24" t="inlineStr">
        <is>
          <t>report_internal_inconsistency</t>
        </is>
      </c>
      <c r="AB115" s="24" t="inlineStr">
        <is>
          <t>retain</t>
        </is>
      </c>
    </row>
    <row r="116" ht="90" customHeight="1" s="14">
      <c r="A116" s="20" t="b">
        <v>0</v>
      </c>
      <c r="B116" s="20" t="inlineStr">
        <is>
          <t>P_P only; printed 24-month results do not establish that the primary model used that occasion.</t>
        </is>
      </c>
      <c r="C116" s="20" t="b">
        <v>1</v>
      </c>
      <c r="D116" s="20" t="inlineStr">
        <is>
          <t>Numeric or arithmetic inconsistency</t>
        </is>
      </c>
      <c r="E116" s="20" t="b">
        <v>0</v>
      </c>
      <c r="F116" s="20" t="inlineStr">
        <is>
          <t>C009</t>
        </is>
      </c>
      <c r="G116" s="20" t="inlineStr">
        <is>
          <t>2018::jama.2018.9128::C009</t>
        </is>
      </c>
      <c r="H116" s="20" t="n"/>
      <c r="I116" s="20" t="inlineStr">
        <is>
          <t>DOC-002 final SAP — PDF p. 110; DOC-002 protocol schedule — PDF p. 15; DOC-001 Methods — PDF p. 4; DOC-003 eTable 1 — PDF p. 2.</t>
        </is>
      </c>
      <c r="J116" s="20" t="b">
        <v>0</v>
      </c>
      <c r="K116" s="20" t="inlineStr">
        <is>
          <t>jama.2018.9128</t>
        </is>
      </c>
      <c r="L116" s="20" t="n"/>
      <c r="M116" s="20" t="inlineStr">
        <is>
          <t>P_P</t>
        </is>
      </c>
      <c r="N116" s="20" t="inlineStr">
        <is>
          <t>The final SAP says six timepoints but enumerates only five. The protocol schedule and article/eTable corroborate 24 months as the likely missing item; the focal contradiction is the SAP total versus its own list.</t>
        </is>
      </c>
      <c r="O116" s="20" t="inlineStr">
        <is>
          <t>../../2018/jama.2018.9128/.ai_paper_validation/final_report_1_5_2.html</t>
        </is>
      </c>
      <c r="P116" s="20" t="inlineStr">
        <is>
          <t>2018/jama.2018.9128/.ai_paper_validation/final_report_1_5_2.md</t>
        </is>
      </c>
      <c r="Q116" s="20" t="inlineStr">
        <is>
          <t>C009</t>
        </is>
      </c>
      <c r="R116" s="20" t="inlineStr">
        <is>
          <t>Pending Human Adjudication</t>
        </is>
      </c>
      <c r="S116" s="20" t="inlineStr">
        <is>
          <t>The final SAP states six time points but its parenthetical schedule lists only baseline, 3, 9, 12, and 36 months.</t>
        </is>
      </c>
      <c r="T116" s="20" t="b">
        <v>0</v>
      </c>
      <c r="U116" s="20" t="inlineStr">
        <is>
          <t>planned_schedule_list_count</t>
        </is>
      </c>
      <c r="V116" s="20" t="inlineStr">
        <is>
          <t>plan_material</t>
        </is>
      </c>
      <c r="W116" s="20" t="inlineStr">
        <is>
          <t>Final SAP says six assessment points but enumerates five</t>
        </is>
      </c>
      <c r="X116" s="20" t="inlineStr">
        <is>
          <t>2018</t>
        </is>
      </c>
      <c r="Y116" s="20" t="inlineStr">
        <is>
          <t>meta_report/consistency_reclassification_2026-09-04/reclassified_candidates.json</t>
        </is>
      </c>
      <c r="Z116" s="20" t="inlineStr">
        <is>
          <t>P_P</t>
        </is>
      </c>
      <c r="AA116" s="20" t="inlineStr">
        <is>
          <t>plan_material</t>
        </is>
      </c>
      <c r="AB116" s="20" t="inlineStr">
        <is>
          <t>retain</t>
        </is>
      </c>
    </row>
    <row r="117" ht="90" customHeight="1" s="14">
      <c r="A117" s="24" t="b">
        <v>0</v>
      </c>
      <c r="B117" s="24" t="inlineStr">
        <is>
          <t>A separately approved 48-month extension outside the six core visits could reconcile the wording; amendment chronology is absent.</t>
        </is>
      </c>
      <c r="C117" s="24" t="b">
        <v>1</v>
      </c>
      <c r="D117" s="24" t="inlineStr">
        <is>
          <t>Denominator, proportion, or total inconsistency</t>
        </is>
      </c>
      <c r="E117" s="24" t="b">
        <v>0</v>
      </c>
      <c r="F117" s="24" t="inlineStr">
        <is>
          <t>C010</t>
        </is>
      </c>
      <c r="G117" s="24" t="inlineStr">
        <is>
          <t>2018::jama.2018.9128::C010</t>
        </is>
      </c>
      <c r="H117" s="24" t="n"/>
      <c r="I117" s="24" t="inlineStr">
        <is>
          <t>DOC-002 revised protocol — PDF p. 64; DOC-001 Methods — PDF p. 4; DOC-003 eTable 1 — PDF p. 2.</t>
        </is>
      </c>
      <c r="J117" s="24" t="b">
        <v>0</v>
      </c>
      <c r="K117" s="24" t="inlineStr">
        <is>
          <t>jama.2018.9128</t>
        </is>
      </c>
      <c r="L117" s="24" t="n"/>
      <c r="M117" s="24" t="inlineStr">
        <is>
          <t>P_P</t>
        </is>
      </c>
      <c r="N117" s="24" t="inlineStr">
        <is>
          <t>The revised protocol says six points/T1-T6 but enumerates seven including 48 months, and elsewhere on the page says seven. The article/eTable 36-month horizon is contextual; no missing published 48-month outcome is counted as a report-versus-plan discrepancy.</t>
        </is>
      </c>
      <c r="O117" s="24" t="inlineStr">
        <is>
          <t>../../2018/jama.2018.9128/.ai_paper_validation/final_report_1_5_2.html</t>
        </is>
      </c>
      <c r="P117" s="24" t="inlineStr">
        <is>
          <t>2018/jama.2018.9128/.ai_paper_validation/final_report_1_5_2.md</t>
        </is>
      </c>
      <c r="Q117" s="24" t="inlineStr">
        <is>
          <t>C010</t>
        </is>
      </c>
      <c r="R117" s="24" t="inlineStr">
        <is>
          <t>Pending Human Adjudication</t>
        </is>
      </c>
      <c r="S117" s="24" t="inlineStr">
        <is>
          <t>The revised protocol calls the schedule six points/T1-T6 while listing seven occasions, including 48 months.</t>
        </is>
      </c>
      <c r="T117" s="24" t="b">
        <v>0</v>
      </c>
      <c r="U117" s="24" t="inlineStr">
        <is>
          <t>planned_schedule_list_count</t>
        </is>
      </c>
      <c r="V117" s="24" t="inlineStr">
        <is>
          <t>plan_material</t>
        </is>
      </c>
      <c r="W117" s="24" t="inlineStr">
        <is>
          <t>Revised protocol gives six points but lists seven including 48 months</t>
        </is>
      </c>
      <c r="X117" s="24" t="inlineStr">
        <is>
          <t>2018</t>
        </is>
      </c>
      <c r="Y117" s="24" t="inlineStr">
        <is>
          <t>meta_report/consistency_reclassification_2026-09-04/reclassified_candidates.json</t>
        </is>
      </c>
      <c r="Z117" s="24" t="inlineStr">
        <is>
          <t>P_P</t>
        </is>
      </c>
      <c r="AA117" s="24" t="inlineStr">
        <is>
          <t>plan_material</t>
        </is>
      </c>
      <c r="AB117" s="24" t="inlineStr">
        <is>
          <t>retain</t>
        </is>
      </c>
    </row>
    <row r="118" ht="90" customHeight="1" s="14">
      <c r="A118" s="20" t="b">
        <v>0</v>
      </c>
      <c r="B118" s="20" t="inlineStr">
        <is>
          <t>Mixed plan/report and plan-internal relationships. The original label may have been shorthand/typo or the scale may have changed; the amendment summary mentions model changes but does not explain this label transition.</t>
        </is>
      </c>
      <c r="C118" s="20" t="b">
        <v>1</v>
      </c>
      <c r="D118" s="20" t="inlineStr">
        <is>
          <t>Measure, label, or scale inconsistency</t>
        </is>
      </c>
      <c r="E118" s="20" t="b">
        <v>1</v>
      </c>
      <c r="F118" s="20" t="inlineStr">
        <is>
          <t>C011</t>
        </is>
      </c>
      <c r="G118" s="20" t="inlineStr">
        <is>
          <t>2018::jama.2018.9128::C011</t>
        </is>
      </c>
      <c r="H118" s="20" t="n"/>
      <c r="I118" s="20" t="inlineStr">
        <is>
          <t>DOC-002 original protocol — PDF p. 16; DOC-002 final SAP — PDF p. 110; DOC-001 Outcomes — PDF p. 3; DOC-003 eTable 1 — PDF p. 2.</t>
        </is>
      </c>
      <c r="J118" s="20" t="b">
        <v>0</v>
      </c>
      <c r="K118" s="20" t="inlineStr">
        <is>
          <t>jama.2018.9128</t>
        </is>
      </c>
      <c r="L118" s="20" t="inlineStr">
        <is>
          <t>endpoint_definition_window_hierarchy</t>
        </is>
      </c>
      <c r="M118" s="20" t="inlineStr">
        <is>
          <t>P_R</t>
        </is>
      </c>
      <c r="N118" s="20" t="inlineStr">
        <is>
          <t>Original protocol BMI Percentile/BMI% wording differs from the final SAP and article/results raw BMI kg/m2 measure, and the original protocol itself supplies the raw-BMI formula. This is explicitly a planned-versus-reported outcome-scale comparison plus an internal/across-version plan-label inconsistency.</t>
        </is>
      </c>
      <c r="O118" s="20" t="inlineStr">
        <is>
          <t>../../2018/jama.2018.9128/.ai_paper_validation/final_report_1_5_2.html</t>
        </is>
      </c>
      <c r="P118" s="20" t="inlineStr">
        <is>
          <t>2018/jama.2018.9128/.ai_paper_validation/final_report_1_5_2.md</t>
        </is>
      </c>
      <c r="Q118" s="20" t="inlineStr">
        <is>
          <t>C011</t>
        </is>
      </c>
      <c r="R118" s="20" t="inlineStr">
        <is>
          <t>Pending Human Adjudication</t>
        </is>
      </c>
      <c r="S118" s="20" t="inlineStr">
        <is>
          <t>The original protocol labels the primary outcome BMI Percentile/BMI%, whereas the final SAP, article, and eTable report raw BMI in kg/m².</t>
        </is>
      </c>
      <c r="T118" s="20" t="b">
        <v>0</v>
      </c>
      <c r="U118" s="20" t="inlineStr">
        <is>
          <t>planned_vs_reported_outcome_scale</t>
        </is>
      </c>
      <c r="V118" s="20" t="inlineStr">
        <is>
          <t>protocol_report</t>
        </is>
      </c>
      <c r="W118" s="20" t="inlineStr">
        <is>
          <t>Original protocol labels primary outcome as BMI percentile/BMI% while results use BMI kg/m²</t>
        </is>
      </c>
      <c r="X118" s="20" t="inlineStr">
        <is>
          <t>2018</t>
        </is>
      </c>
      <c r="Y118" s="20" t="inlineStr">
        <is>
          <t>meta_report/consistency_reclassification_2026-09-04/reclassified_candidates.json</t>
        </is>
      </c>
      <c r="Z118" s="20" t="inlineStr">
        <is>
          <t>P_R</t>
        </is>
      </c>
      <c r="AA118" s="20" t="inlineStr">
        <is>
          <t>protocol_report</t>
        </is>
      </c>
      <c r="AB118" s="20" t="inlineStr">
        <is>
          <t>retain</t>
        </is>
      </c>
    </row>
    <row r="119" ht="90" customHeight="1" s="14">
      <c r="A119" s="24" t="b">
        <v>0</v>
      </c>
      <c r="B119" s="24" t="inlineStr">
        <is>
          <t>Mixed between-plan-version and report-versus-plan relationships. Successive amendments, ancillary components, baseline/48-month visits, and actual delivery could explain the differences; no mapping or delivery logs are supplied.</t>
        </is>
      </c>
      <c r="C119" s="24" t="b">
        <v>1</v>
      </c>
      <c r="D119" s="24" t="inlineStr">
        <is>
          <t>Cross-document numeric inconsistency</t>
        </is>
      </c>
      <c r="E119" s="24" t="b">
        <v>1</v>
      </c>
      <c r="F119" s="24" t="inlineStr">
        <is>
          <t>C012</t>
        </is>
      </c>
      <c r="G119" s="24" t="inlineStr">
        <is>
          <t>2018::jama.2018.9128::C012</t>
        </is>
      </c>
      <c r="H119" s="24" t="n"/>
      <c r="I119" s="24" t="inlineStr">
        <is>
          <t>DOC-002 original protocol — PDF p. 14; DOC-002 revised protocol — PDF p. 64; DOC-001 abstract — PDF p. 1; DOC-001 Methods — PDF p. 3.</t>
        </is>
      </c>
      <c r="J119" s="24" t="b">
        <v>1</v>
      </c>
      <c r="K119" s="24" t="inlineStr">
        <is>
          <t>jama.2018.9128</t>
        </is>
      </c>
      <c r="L119" s="24" t="inlineStr">
        <is>
          <t>intervention_delivery</t>
        </is>
      </c>
      <c r="M119" s="24" t="inlineStr">
        <is>
          <t>P_R</t>
        </is>
      </c>
      <c r="N119" s="24" t="inlineStr">
        <is>
          <t>Control exposure is 12x60 minutes in the original protocol, 7x45 in the revised protocol, and 6x30 in the article. The card expressly compares both plan versions and their relation to the reported intervention, so P_R and P_P apply.</t>
        </is>
      </c>
      <c r="O119" s="24" t="inlineStr">
        <is>
          <t>../../2018/jama.2018.9128/.ai_paper_validation/final_report_1_5_2.html</t>
        </is>
      </c>
      <c r="P119" s="24" t="inlineStr">
        <is>
          <t>2018/jama.2018.9128/.ai_paper_validation/final_report_1_5_2.md</t>
        </is>
      </c>
      <c r="Q119" s="24" t="inlineStr">
        <is>
          <t>C012</t>
        </is>
      </c>
      <c r="R119" s="24" t="inlineStr">
        <is>
          <t>Pending Human Adjudication</t>
        </is>
      </c>
      <c r="S119" s="24" t="inlineStr">
        <is>
          <t>The supplied original protocol, revised protocol, and article describe control exposure as 12×60, 7×45, and 6×30 minutes, respectively, without a supplied component mapping.</t>
        </is>
      </c>
      <c r="T119" s="24" t="b">
        <v>0</v>
      </c>
      <c r="U119" s="24" t="inlineStr">
        <is>
          <t>planned_vs_reported_control_exposure</t>
        </is>
      </c>
      <c r="V119" s="24" t="inlineStr">
        <is>
          <t>protocol_report</t>
        </is>
      </c>
      <c r="W119" s="24" t="inlineStr">
        <is>
          <t>Control-condition session count and duration differ across protocol versions and article</t>
        </is>
      </c>
      <c r="X119" s="24" t="inlineStr">
        <is>
          <t>2018</t>
        </is>
      </c>
      <c r="Y119" s="24" t="inlineStr">
        <is>
          <t>meta_report/consistency_reclassification_2026-09-04/reclassified_candidates.json</t>
        </is>
      </c>
      <c r="Z119" s="24" t="inlineStr">
        <is>
          <t>P_R</t>
        </is>
      </c>
      <c r="AA119" s="24" t="inlineStr">
        <is>
          <t>protocol_report</t>
        </is>
      </c>
      <c r="AB119" s="24" t="inlineStr">
        <is>
          <t>retain</t>
        </is>
      </c>
    </row>
    <row r="120" ht="90" customHeight="1" s="14">
      <c r="A120" s="20" t="b">
        <v>0</v>
      </c>
      <c r="B120" s="20" t="inlineStr">
        <is>
          <t>Mixed main-flow versus main-graph and main-flow versus results-eTable comparison; graph/eTable agree. A cleaned descriptive subset could explain the counts, but its inclusion rule is absent. Each arm/visit is a distinct repeated-result record, not an identical duplicate.</t>
        </is>
      </c>
      <c r="C120" s="20" t="b">
        <v>0</v>
      </c>
      <c r="D120" s="20" t="inlineStr">
        <is>
          <t>Cross-document numeric inconsistency</t>
        </is>
      </c>
      <c r="E120" s="20" t="b">
        <v>1</v>
      </c>
      <c r="F120" s="20" t="inlineStr">
        <is>
          <t>C013</t>
        </is>
      </c>
      <c r="G120" s="20" t="inlineStr">
        <is>
          <t>2018::jama.2018.9128::C013</t>
        </is>
      </c>
      <c r="H120" s="20" t="n"/>
      <c r="I120" s="20" t="inlineStr">
        <is>
          <t>DOC-001 Figure 1 — PDF p. 3; DOC-001 Figure 2 — PDF p. 7; DOC-003 eTable 1 — PDF p. 2.</t>
        </is>
      </c>
      <c r="J120" s="20" t="b">
        <v>1</v>
      </c>
      <c r="K120" s="20" t="inlineStr">
        <is>
          <t>jama.2018.9128</t>
        </is>
      </c>
      <c r="L120" s="20" t="n"/>
      <c r="M120" s="20" t="inlineStr">
        <is>
          <t>S_C</t>
        </is>
      </c>
      <c r="N120" s="20" t="inlineStr">
        <is>
          <t>The control 9-month BMI count is 282 in the flow diagram and 280 in both the observed-BMI figure and eTable. The focal comparison is the main article versus a non-plan results supplement.</t>
        </is>
      </c>
      <c r="O120" s="20" t="inlineStr">
        <is>
          <t>../../2018/jama.2018.9128/.ai_paper_validation/final_report_1_5_2.html</t>
        </is>
      </c>
      <c r="P120" s="20" t="inlineStr">
        <is>
          <t>2018/jama.2018.9128/.ai_paper_validation/final_report_1_5_2.md</t>
        </is>
      </c>
      <c r="Q120" s="20" t="inlineStr">
        <is>
          <t>C013</t>
        </is>
      </c>
      <c r="R120" s="20" t="inlineStr">
        <is>
          <t>Pending Human Adjudication</t>
        </is>
      </c>
      <c r="S120" s="20" t="inlineStr">
        <is>
          <t>The control 9-month BMI count is 282 in the flow diagram and 280 in both the observed-BMI figure and eTable.</t>
        </is>
      </c>
      <c r="T120" s="20" t="b">
        <v>1</v>
      </c>
      <c r="U120" s="20" t="inlineStr">
        <is>
          <t>repeated_bmi_observation_count</t>
        </is>
      </c>
      <c r="V120" s="20" t="inlineStr">
        <is>
          <t>report_internal_inconsistency</t>
        </is>
      </c>
      <c r="W120" s="20" t="inlineStr">
        <is>
          <t>Control 9-month BMI-observation count differs across result displays</t>
        </is>
      </c>
      <c r="X120" s="20" t="inlineStr">
        <is>
          <t>2018</t>
        </is>
      </c>
      <c r="Y120" s="20" t="inlineStr">
        <is>
          <t>meta_report/consistency_reclassification_2026-09-04/reclassified_candidates.json</t>
        </is>
      </c>
      <c r="Z120" s="20" t="inlineStr">
        <is>
          <t>S_C</t>
        </is>
      </c>
      <c r="AA120" s="20" t="inlineStr">
        <is>
          <t>report_internal_inconsistency</t>
        </is>
      </c>
      <c r="AB120" s="20" t="inlineStr">
        <is>
          <t>retain</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 right="0.7" top="0.75" bottom="0.75" header="0.3" footer="0.3"/>
  <tableParts count="1">
    <tablePart xmlns:r="http://schemas.openxmlformats.org/officeDocument/2006/relationships" r:id="rId120"/>
  </tableParts>
</worksheet>
</file>

<file path=xl/worksheets/sheet19.xml><?xml version="1.0" encoding="utf-8"?>
<worksheet xmlns="http://schemas.openxmlformats.org/spreadsheetml/2006/main">
  <sheetPr>
    <outlinePr summaryBelow="1" summaryRight="1"/>
    <pageSetUpPr/>
  </sheetPr>
  <dimension ref="A1:D47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Height="1" s="14">
      <c r="A1" s="19" t="inlineStr">
        <is>
          <t>key</t>
        </is>
      </c>
      <c r="B1" s="19" t="inlineStr">
        <is>
          <t>order</t>
        </is>
      </c>
      <c r="C1" s="19" t="inlineStr">
        <is>
          <t>section</t>
        </is>
      </c>
      <c r="D1" s="19" t="inlineStr">
        <is>
          <t>text</t>
        </is>
      </c>
    </row>
    <row r="2" ht="180" customHeight="1" s="14">
      <c r="A2" s="20" t="inlineStr">
        <is>
          <t>2018::jama.2017.21906::C001</t>
        </is>
      </c>
      <c r="B2" s="20" t="n">
        <v>0</v>
      </c>
      <c r="C2" s="20" t="inlineStr">
        <is>
          <t>Source evidence</t>
        </is>
      </c>
      <c r="D2" s="20" t="inlineStr">
        <is>
          <t>Table 2 prints adjusted risk difference 6.25% (95% CI, 4.10% to 8.40%) and OR 1.46 (1.29 to 1.65). The adjacent narrative prints 6.25% (4.10% to 8.10%) and OR 1.46 (1.29 to 1.65).</t>
        </is>
      </c>
    </row>
    <row r="3" ht="180" customHeight="1" s="14">
      <c r="A3" s="24" t="inlineStr">
        <is>
          <t>2018::jama.2017.21906::C001</t>
        </is>
      </c>
      <c r="B3" s="24" t="n">
        <v>1</v>
      </c>
      <c r="C3" s="24" t="inlineStr">
        <is>
          <t>Reported-versus-comparator</t>
        </is>
      </c>
      <c r="D3" s="24" t="inlineStr">
        <is>
          <t>Table upper endpoint 8.40% versus narrative upper endpoint 8.10%; the point estimate, lower endpoint, OR, and OR interval agree as printed.</t>
        </is>
      </c>
    </row>
    <row r="4" ht="180" customHeight="1" s="14">
      <c r="A4" s="20" t="inlineStr">
        <is>
          <t>2018::jama.2017.21906::C001</t>
        </is>
      </c>
      <c r="B4" s="20" t="n">
        <v>2</v>
      </c>
      <c r="C4" s="20" t="inlineStr">
        <is>
          <t>Calculation</t>
        </is>
      </c>
      <c r="D4" s="20" t="inlineStr">
        <is>
          <t>8.40 - 8.10 = 0.30 percentage point.</t>
        </is>
      </c>
    </row>
    <row r="5" ht="180" customHeight="1" s="14">
      <c r="A5" s="24" t="inlineStr">
        <is>
          <t>2018::jama.2017.21906::C001</t>
        </is>
      </c>
      <c r="B5" s="24" t="n">
        <v>3</v>
      </c>
      <c r="C5" s="24" t="inlineStr">
        <is>
          <t>Alternative source-grounded interpretations</t>
        </is>
      </c>
      <c r="D5" s="24" t="inlineStr">
        <is>
          <t>One occurrence may be a transcription/production error, or the narrative may use an unlabelled distinct output. The supplied package does not establish either explanation or which endpoint is supported by final model output.</t>
        </is>
      </c>
    </row>
    <row r="6" ht="180" customHeight="1" s="14">
      <c r="A6" s="20" t="inlineStr">
        <is>
          <t>2018::jama.2017.21906::C002</t>
        </is>
      </c>
      <c r="B6" s="20" t="n">
        <v>0</v>
      </c>
      <c r="C6" s="20" t="inlineStr">
        <is>
          <t>Source evidence</t>
        </is>
      </c>
      <c r="D6" s="20" t="inlineStr">
        <is>
          <t>Table 2 prints risk difference 6.69% (4.43% to 8.95%) and OR 1.48 (1.30 to 1.68). The narrative prints 6.63% with 4.43% to 8.95% and OR 1.47 with 1.30 to 1.68.</t>
        </is>
      </c>
    </row>
    <row r="7" ht="180" customHeight="1" s="14">
      <c r="A7" s="24" t="inlineStr">
        <is>
          <t>2018::jama.2017.21906::C002</t>
        </is>
      </c>
      <c r="B7" s="24" t="n">
        <v>1</v>
      </c>
      <c r="C7" s="24" t="inlineStr">
        <is>
          <t>Reported-versus-comparator</t>
        </is>
      </c>
      <c r="D7" s="24" t="inlineStr">
        <is>
          <t>Table 2 6.69%/1.48 versus narrative 6.63%/1.47, with both printed risk-difference and OR intervals identical.</t>
        </is>
      </c>
    </row>
    <row r="8" ht="180" customHeight="1" s="14">
      <c r="A8" s="20" t="inlineStr">
        <is>
          <t>2018::jama.2017.21906::C002</t>
        </is>
      </c>
      <c r="B8" s="20" t="n">
        <v>2</v>
      </c>
      <c r="C8" s="20" t="inlineStr">
        <is>
          <t>Calculation</t>
        </is>
      </c>
      <c r="D8" s="20" t="inlineStr">
        <is>
          <t>6.69 - 6.63 = 0.06 percentage point; 1.48 - 1.47 = 0.01.</t>
        </is>
      </c>
    </row>
    <row r="9" ht="180" customHeight="1" s="14">
      <c r="A9" s="24" t="inlineStr">
        <is>
          <t>2018::jama.2017.21906::C002</t>
        </is>
      </c>
      <c r="B9" s="24" t="n">
        <v>3</v>
      </c>
      <c r="C9" s="24" t="inlineStr">
        <is>
          <t>Alternative source-grounded interpretations</t>
        </is>
      </c>
      <c r="D9" s="24" t="inlineStr">
        <is>
          <t>A transcription/output-selection issue or an unlabelled distinct analytic run could explain the values. The package lacks unrounded output, code, and production history, so no cause is established.</t>
        </is>
      </c>
    </row>
    <row r="10" ht="180" customHeight="1" s="14">
      <c r="A10" s="20" t="inlineStr">
        <is>
          <t>2018::jama.2017.21906::C003</t>
        </is>
      </c>
      <c r="B10" s="20" t="n">
        <v>0</v>
      </c>
      <c r="C10" s="20" t="inlineStr">
        <is>
          <t>Source evidence</t>
        </is>
      </c>
      <c r="D10" s="20" t="inlineStr">
        <is>
          <t>The columns are Complete Follow Up (n=21,079), Missing Follow Up (n=295), and Difference (95% CI); footnote a states Difference = intervention minus control.</t>
        </is>
      </c>
    </row>
    <row r="11" ht="180" customHeight="1" s="14">
      <c r="A11" s="24" t="inlineStr">
        <is>
          <t>2018::jama.2017.21906::C003</t>
        </is>
      </c>
      <c r="B11" s="24" t="n">
        <v>1</v>
      </c>
      <c r="C11" s="24" t="inlineStr">
        <is>
          <t>Reported-versus-comparator</t>
        </is>
      </c>
      <c r="D11" s="24" t="inlineStr">
        <is>
          <t>The footnote names intervention/control, while the displayed comparison groups are complete/missing follow-up.</t>
        </is>
      </c>
    </row>
    <row r="12" ht="180" customHeight="1" s="14">
      <c r="A12" s="20" t="inlineStr">
        <is>
          <t>2018::jama.2017.21906::C003</t>
        </is>
      </c>
      <c r="B12" s="20" t="n">
        <v>2</v>
      </c>
      <c r="C12" s="20" t="inlineStr">
        <is>
          <t>Calculation</t>
        </is>
      </c>
      <c r="D12" s="20" t="inlineStr">
        <is>
          <t>Age: 60.0 - 60.6 = -0.6; male percentage: 71.2 - 75.8 = -4.6; initial troponin: 4.6 - 1.3 = 3.3.</t>
        </is>
      </c>
    </row>
    <row r="13" ht="180" customHeight="1" s="14">
      <c r="A13" s="24" t="inlineStr">
        <is>
          <t>2018::jama.2017.21906::C003</t>
        </is>
      </c>
      <c r="B13" s="24" t="n">
        <v>3</v>
      </c>
      <c r="C13" s="24" t="inlineStr">
        <is>
          <t>Alternative source-grounded interpretations</t>
        </is>
      </c>
      <c r="D13" s="24" t="inlineStr">
        <is>
          <t>The footnote may have been carried over from eTable 2, while eTable 1 may intentionally use missing minus complete. The source does not define every CI contrast or table-production history.</t>
        </is>
      </c>
    </row>
    <row r="14" ht="180" customHeight="1" s="14">
      <c r="A14" s="20" t="inlineStr">
        <is>
          <t>2018::jama.2017.21906::C004</t>
        </is>
      </c>
      <c r="B14" s="20" t="n">
        <v>0</v>
      </c>
      <c r="C14" s="20" t="inlineStr">
        <is>
          <t>Source evidence</t>
        </is>
      </c>
      <c r="D14" s="20" t="inlineStr">
        <is>
          <t>The SAP lists a priori age subgroups &lt;65 years and &gt;65 years. The article labels results prespecified and Figure 3 displays &lt;50, 50-69, and ≥70 years.</t>
        </is>
      </c>
    </row>
    <row r="15" ht="180" customHeight="1" s="14">
      <c r="A15" s="24" t="inlineStr">
        <is>
          <t>2018::jama.2017.21906::C004</t>
        </is>
      </c>
      <c r="B15" s="24" t="n">
        <v>1</v>
      </c>
      <c r="C15" s="24" t="inlineStr">
        <is>
          <t>Reported-versus-comparator</t>
        </is>
      </c>
      <c r="D15" s="24" t="inlineStr">
        <is>
          <t>Two SAP groups bounded at 65 versus three reported groups bounded at 50 and 70.</t>
        </is>
      </c>
    </row>
    <row r="16" ht="180" customHeight="1" s="14">
      <c r="A16" s="20" t="inlineStr">
        <is>
          <t>2018::jama.2017.21906::C004</t>
        </is>
      </c>
      <c r="B16" s="20" t="n">
        <v>2</v>
      </c>
      <c r="C16" s="20" t="inlineStr">
        <is>
          <t>Calculation</t>
        </is>
      </c>
      <c r="D16" s="20" t="inlineStr">
        <is>
          <t>The number of groups changes from 2 to 3; neither Figure 3 boundary is 65 years.</t>
        </is>
      </c>
    </row>
    <row r="17" ht="180" customHeight="1" s="14">
      <c r="A17" s="24" t="inlineStr">
        <is>
          <t>2018::jama.2017.21906::C004</t>
        </is>
      </c>
      <c r="B17" s="24" t="n">
        <v>3</v>
      </c>
      <c r="C17" s="24" t="inlineStr">
        <is>
          <t>Alternative source-grounded interpretations</t>
        </is>
      </c>
      <c r="D17" s="24" t="inlineStr">
        <is>
          <t>A final/amended plan could have authorized the Figure 3 categories, or the article could refer to a broader prespecification record. No such record is supplied. The SAP's literal wording also leaves age 65 unspecified.</t>
        </is>
      </c>
    </row>
    <row r="18" ht="180" customHeight="1" s="14">
      <c r="A18" s="20" t="inlineStr">
        <is>
          <t>2018::jama.2017.21906::C005</t>
        </is>
      </c>
      <c r="B18" s="20" t="n">
        <v>0</v>
      </c>
      <c r="C18" s="20" t="inlineStr">
        <is>
          <t>Source evidence</t>
        </is>
      </c>
      <c r="D18" s="20" t="inlineStr">
        <is>
          <t>Article/Table 3/eTable 5 list aspirin, an ADP-receptor antagonist, anticoagulant, and beta-blocker. eTable 6 uses the same composite name but lists heparin as the fourth component.</t>
        </is>
      </c>
    </row>
    <row r="19" ht="180" customHeight="1" s="14">
      <c r="A19" s="24" t="inlineStr">
        <is>
          <t>2018::jama.2017.21906::C005</t>
        </is>
      </c>
      <c r="B19" s="24" t="n">
        <v>1</v>
      </c>
      <c r="C19" s="24" t="inlineStr">
        <is>
          <t>Reported-versus-comparator</t>
        </is>
      </c>
      <c r="D19" s="24" t="inlineStr">
        <is>
          <t>Three components match; the fourth is anticoagulant versus heparin.</t>
        </is>
      </c>
    </row>
    <row r="20" ht="180" customHeight="1" s="14">
      <c r="A20" s="20" t="inlineStr">
        <is>
          <t>2018::jama.2017.21906::C005</t>
        </is>
      </c>
      <c r="B20" s="20" t="n">
        <v>2</v>
      </c>
      <c r="C20" s="20" t="inlineStr">
        <is>
          <t>Calculation</t>
        </is>
      </c>
      <c r="D20" s="20" t="inlineStr">
        <is>
          <t>Set comparison: aspirin, ADP-receptor antagonist, and beta-blocker are shared; the fourth printed label differs.</t>
        </is>
      </c>
    </row>
    <row r="21" ht="180" customHeight="1" s="14">
      <c r="A21" s="24" t="inlineStr">
        <is>
          <t>2018::jama.2017.21906::C005</t>
        </is>
      </c>
      <c r="B21" s="24" t="n">
        <v>3</v>
      </c>
      <c r="C21" s="24" t="inlineStr">
        <is>
          <t>Alternative source-grounded interpretations</t>
        </is>
      </c>
      <c r="D21" s="24" t="inlineStr">
        <is>
          <t>If heparin was the only qualifying anticoagulant in analyzed records, the labels may be extensionally equivalent. Medication coding, eligibility rules, and table-generation code are absent.</t>
        </is>
      </c>
    </row>
    <row r="22" ht="180" customHeight="1" s="14">
      <c r="A22" s="20" t="inlineStr">
        <is>
          <t>2018::jama.2017.21906::C006</t>
        </is>
      </c>
      <c r="B22" s="20" t="n">
        <v>0</v>
      </c>
      <c r="C22" s="20" t="inlineStr">
        <is>
          <t>Source evidence</t>
        </is>
      </c>
      <c r="D22" s="20" t="inlineStr">
        <is>
          <t>The article labels hospital type prespecified and Figure 3 prints government (9 hospitals), nonprofit (12), and private (42). The SAP lists hospital size and use of quality-improvement toolkit components as site-level a priori subgroups, not hospital type.</t>
        </is>
      </c>
    </row>
    <row r="23" ht="180" customHeight="1" s="14">
      <c r="A23" s="24" t="inlineStr">
        <is>
          <t>2018::jama.2017.21906::C006</t>
        </is>
      </c>
      <c r="B23" s="24" t="n">
        <v>1</v>
      </c>
      <c r="C23" s="24" t="inlineStr">
        <is>
          <t>Reported-versus-comparator</t>
        </is>
      </c>
      <c r="D23" s="24" t="inlineStr">
        <is>
          <t>Article/Figure 3 includes hospital type; the supplied SAP list includes toolkit-component use and does not name hospital type.</t>
        </is>
      </c>
    </row>
    <row r="24" ht="180" customHeight="1" s="14">
      <c r="A24" s="20" t="inlineStr">
        <is>
          <t>2018::jama.2017.21906::C006</t>
        </is>
      </c>
      <c r="B24" s="20" t="n">
        <v>2</v>
      </c>
      <c r="C24" s="20" t="inlineStr">
        <is>
          <t>Calculation</t>
        </is>
      </c>
      <c r="D24" s="20" t="inlineStr">
        <is>
          <t>9 + 12 + 42 = 63 hospitals. This confirms an implemented full hospital partition, not prespecification.</t>
        </is>
      </c>
    </row>
    <row r="25" ht="180" customHeight="1" s="14">
      <c r="A25" s="24" t="inlineStr">
        <is>
          <t>2018::jama.2017.21906::C006</t>
        </is>
      </c>
      <c r="B25" s="24" t="n">
        <v>3</v>
      </c>
      <c r="C25" s="24" t="inlineStr">
        <is>
          <t>Alternative source-grounded interpretations</t>
        </is>
      </c>
      <c r="D25" s="24" t="inlineStr">
        <is>
          <t>A separate or amended plan could have added hospital type and changed/omitted toolkit-component use before analysis. No such record is included.</t>
        </is>
      </c>
    </row>
    <row r="26" ht="180" customHeight="1" s="14">
      <c r="A26" s="20" t="inlineStr">
        <is>
          <t>2018::jama.2018.0156::C001</t>
        </is>
      </c>
      <c r="B26" s="20" t="n">
        <v>0</v>
      </c>
      <c r="C26" s="20" t="inlineStr">
        <is>
          <t>Source evidence</t>
        </is>
      </c>
      <c r="D26" s="20" t="inlineStr">
        <is>
          <t>Noninferiority requires a BMV-minus-ETI lower endpoint greater than -1.00%; the result prints -1.64% and says it was “greater than the threshold,” then says noninferiority was not demonstrated.</t>
        </is>
      </c>
    </row>
    <row r="27" ht="180" customHeight="1" s="14">
      <c r="A27" s="24" t="inlineStr">
        <is>
          <t>2018::jama.2018.0156::C001</t>
        </is>
      </c>
      <c r="B27" s="24" t="n">
        <v>1</v>
      </c>
      <c r="C27" s="24" t="inlineStr">
        <is>
          <t>Reported-versus-comparator</t>
        </is>
      </c>
      <c r="D27" s="24" t="inlineStr">
        <is>
          <t>Reported “greater”; comparator -1.64% versus -1.00% under the stated strict rule.</t>
        </is>
      </c>
    </row>
    <row r="28" ht="180" customHeight="1" s="14">
      <c r="A28" s="20" t="inlineStr">
        <is>
          <t>2018::jama.2018.0156::C001</t>
        </is>
      </c>
      <c r="B28" s="20" t="n">
        <v>2</v>
      </c>
      <c r="C28" s="20" t="inlineStr">
        <is>
          <t>Calculation</t>
        </is>
      </c>
      <c r="D28" s="20" t="inlineStr">
        <is>
          <t>-1.64% &lt; -1.00%; difference -0.64 percentage points.</t>
        </is>
      </c>
    </row>
    <row r="29" ht="180" customHeight="1" s="14">
      <c r="A29" s="24" t="inlineStr">
        <is>
          <t>2018::jama.2018.0156::C001</t>
        </is>
      </c>
      <c r="B29" s="24" t="n">
        <v>3</v>
      </c>
      <c r="C29" s="24" t="inlineStr">
        <is>
          <t>Alternative source-grounded interpretations</t>
        </is>
      </c>
      <c r="D29" s="24" t="inlineStr">
        <is>
          <t>A direction word may be reversed or omitted; intended replacement wording is not supplied, while the conclusion is source-consistent.</t>
        </is>
      </c>
    </row>
    <row r="30" ht="180" customHeight="1" s="14">
      <c r="A30" s="20" t="inlineStr">
        <is>
          <t>2018::jama.2018.0156::C002</t>
        </is>
      </c>
      <c r="B30" s="20" t="n">
        <v>0</v>
      </c>
      <c r="C30" s="20" t="inlineStr">
        <is>
          <t>Source evidence</t>
        </is>
      </c>
      <c r="D30" s="20" t="inlineStr">
        <is>
          <t>The outcome is the “number of pauses” lasting more than 2 seconds; BMV is 27, ETI 16, and the difference is printed as 11 seconds (95% CI 7 to 15).</t>
        </is>
      </c>
    </row>
    <row r="31" ht="180" customHeight="1" s="14">
      <c r="A31" s="24" t="inlineStr">
        <is>
          <t>2018::jama.2018.0156::C002</t>
        </is>
      </c>
      <c r="B31" s="24" t="n">
        <v>1</v>
      </c>
      <c r="C31" s="24" t="inlineStr">
        <is>
          <t>Reported-versus-comparator</t>
        </is>
      </c>
      <c r="D31" s="24" t="inlineStr">
        <is>
          <t>Reported 11 seconds; comparator is a difference in the stated number of qualifying pauses.</t>
        </is>
      </c>
    </row>
    <row r="32" ht="180" customHeight="1" s="14">
      <c r="A32" s="20" t="inlineStr">
        <is>
          <t>2018::jama.2018.0156::C002</t>
        </is>
      </c>
      <c r="B32" s="20" t="n">
        <v>2</v>
      </c>
      <c r="C32" s="20" t="inlineStr">
        <is>
          <t>Calculation</t>
        </is>
      </c>
      <c r="D32" s="20" t="inlineStr">
        <is>
          <t>27 - 16 = 11 qualifying pauses under the printed wording.</t>
        </is>
      </c>
    </row>
    <row r="33" ht="180" customHeight="1" s="14">
      <c r="A33" s="24" t="inlineStr">
        <is>
          <t>2018::jama.2018.0156::C002</t>
        </is>
      </c>
      <c r="B33" s="24" t="n">
        <v>3</v>
      </c>
      <c r="C33" s="24" t="inlineStr">
        <is>
          <t>Alternative source-grounded interpretations</t>
        </is>
      </c>
      <c r="D33" s="24" t="inlineStr">
        <is>
          <t>The source does not say whether values are totals, means, medians, or another summary; a time interpretation conflicts with “number of pauses.”</t>
        </is>
      </c>
    </row>
    <row r="34" ht="180" customHeight="1" s="14">
      <c r="A34" s="20" t="inlineStr">
        <is>
          <t>2018::jama.2018.0156::C003</t>
        </is>
      </c>
      <c r="B34" s="20" t="n">
        <v>0</v>
      </c>
      <c r="C34" s="20" t="inlineStr">
        <is>
          <t>Source evidence</t>
        </is>
      </c>
      <c r="D34" s="20" t="inlineStr">
        <is>
          <t>BMV is 54/995 (5.4%), ETI 51/943 (5.4%), and BMV-minus-ETI is 0.1 percentage points.</t>
        </is>
      </c>
    </row>
    <row r="35" ht="180" customHeight="1" s="14">
      <c r="A35" s="24" t="inlineStr">
        <is>
          <t>2018::jama.2018.0156::C003</t>
        </is>
      </c>
      <c r="B35" s="24" t="n">
        <v>1</v>
      </c>
      <c r="C35" s="24" t="inlineStr">
        <is>
          <t>Reported-versus-comparator</t>
        </is>
      </c>
      <c r="D35" s="24" t="inlineStr">
        <is>
          <t>Reported 0.1; comparator from printed inputs is 0.0189 percentage points, ordinarily 0.0 to one decimal.</t>
        </is>
      </c>
    </row>
    <row r="36" ht="180" customHeight="1" s="14">
      <c r="A36" s="20" t="inlineStr">
        <is>
          <t>2018::jama.2018.0156::C003</t>
        </is>
      </c>
      <c r="B36" s="20" t="n">
        <v>2</v>
      </c>
      <c r="C36" s="20" t="inlineStr">
        <is>
          <t>Calculation</t>
        </is>
      </c>
      <c r="D36" s="20" t="inlineStr">
        <is>
          <t>100 × (54/995 - 51/943) = 0.0189 percentage points, rounding to 0.0.</t>
        </is>
      </c>
    </row>
    <row r="37" ht="180" customHeight="1" s="14">
      <c r="A37" s="24" t="inlineStr">
        <is>
          <t>2018::jama.2018.0156::C003</t>
        </is>
      </c>
      <c r="B37" s="24" t="n">
        <v>3</v>
      </c>
      <c r="C37" s="24" t="inlineStr">
        <is>
          <t>Alternative source-grounded interpretations</t>
        </is>
      </c>
      <c r="D37" s="24" t="inlineStr">
        <is>
          <t>An unstated retained estimator, denominator, adjustment, weighting, or rounding procedure could explain the display; no correction is adjudicated.</t>
        </is>
      </c>
    </row>
    <row r="38" ht="180" customHeight="1" s="14">
      <c r="A38" s="20" t="inlineStr">
        <is>
          <t>2018::jama.2018.0156::C004</t>
        </is>
      </c>
      <c r="B38" s="20" t="n">
        <v>0</v>
      </c>
      <c r="C38" s="20" t="inlineStr">
        <is>
          <t>Source evidence</t>
        </is>
      </c>
      <c r="D38" s="20" t="inlineStr">
        <is>
          <t>The column prints difference 0.1, 95% CI -10 to 9.7, and P=.99 for 54/995 versus 51/943.</t>
        </is>
      </c>
    </row>
    <row r="39" ht="180" customHeight="1" s="14">
      <c r="A39" s="24" t="inlineStr">
        <is>
          <t>2018::jama.2018.0156::C004</t>
        </is>
      </c>
      <c r="B39" s="24" t="n">
        <v>1</v>
      </c>
      <c r="C39" s="24" t="inlineStr">
        <is>
          <t>Reported-versus-comparator</t>
        </is>
      </c>
      <c r="D39" s="24" t="inlineStr">
        <is>
          <t>Reported interval -10 to 9.7 percentage points; diagnostic ordinary unpooled-binomial comparator is about -2.00 to 2.04 points.</t>
        </is>
      </c>
    </row>
    <row r="40" ht="180" customHeight="1" s="14">
      <c r="A40" s="20" t="inlineStr">
        <is>
          <t>2018::jama.2018.0156::C004</t>
        </is>
      </c>
      <c r="B40" s="20" t="n">
        <v>2</v>
      </c>
      <c r="C40" s="20" t="inlineStr">
        <is>
          <t>Calculation</t>
        </is>
      </c>
      <c r="D40" s="20" t="inlineStr">
        <is>
          <t>Diagnostic SE 1.028756 points; with difference 0.018864, Wald 95% interval -1.997498 to 2.035226 points.</t>
        </is>
      </c>
    </row>
    <row r="41" ht="180" customHeight="1" s="14">
      <c r="A41" s="24" t="inlineStr">
        <is>
          <t>2018::jama.2018.0156::C004</t>
        </is>
      </c>
      <c r="B41" s="24" t="n">
        <v>3</v>
      </c>
      <c r="C41" s="24" t="inlineStr">
        <is>
          <t>Alternative source-grounded interpretations</t>
        </is>
      </c>
      <c r="D41" s="24" t="inlineStr">
        <is>
          <t>Nonstandard method, retained data, adjustment, correction, or decimal production issue may explain the display; exact construction is absent.</t>
        </is>
      </c>
    </row>
    <row r="42" ht="180" customHeight="1" s="14">
      <c r="A42" s="20" t="inlineStr">
        <is>
          <t>2018::jama.2018.0156::C005</t>
        </is>
      </c>
      <c r="B42" s="20" t="n">
        <v>0</v>
      </c>
      <c r="C42" s="20" t="inlineStr">
        <is>
          <t>Source evidence</t>
        </is>
      </c>
      <c r="D42" s="20" t="inlineStr">
        <is>
          <t>BMV 342/995 (34.4%), ETI 377/943 (30.0%), and BMV-minus-ETI -5.6 points are printed.</t>
        </is>
      </c>
    </row>
    <row r="43" ht="180" customHeight="1" s="14">
      <c r="A43" s="24" t="inlineStr">
        <is>
          <t>2018::jama.2018.0156::C005</t>
        </is>
      </c>
      <c r="B43" s="24" t="n">
        <v>1</v>
      </c>
      <c r="C43" s="24" t="inlineStr">
        <is>
          <t>Reported-versus-comparator</t>
        </is>
      </c>
      <c r="D43" s="24" t="inlineStr">
        <is>
          <t>Reported ETI 30.0%; 377/943 = 39.979% (rounds 40.0%), and count-derived contrast is negative while displayed percentages imply positive.</t>
        </is>
      </c>
    </row>
    <row r="44" ht="180" customHeight="1" s="14">
      <c r="A44" s="20" t="inlineStr">
        <is>
          <t>2018::jama.2018.0156::C005</t>
        </is>
      </c>
      <c r="B44" s="20" t="n">
        <v>2</v>
      </c>
      <c r="C44" s="20" t="inlineStr">
        <is>
          <t>Calculation</t>
        </is>
      </c>
      <c r="D44" s="20" t="inlineStr">
        <is>
          <t>100 × 377/943 = 39.979%; 100 × (342/995 - 377/943) = -5.607 points, matching -5.6; printed percentages give +4.4 points.</t>
        </is>
      </c>
    </row>
    <row r="45" ht="180" customHeight="1" s="14">
      <c r="A45" s="24" t="inlineStr">
        <is>
          <t>2018::jama.2018.0156::C005</t>
        </is>
      </c>
      <c r="B45" s="24" t="n">
        <v>3</v>
      </c>
      <c r="C45" s="24" t="inlineStr">
        <is>
          <t>Alternative source-grounded interpretations</t>
        </is>
      </c>
      <c r="D45" s="24" t="inlineStr">
        <is>
          <t>The source does not establish which printed value or retained estimator was intended; no correction is adjudicated.</t>
        </is>
      </c>
    </row>
    <row r="46" ht="180" customHeight="1" s="14">
      <c r="A46" s="20" t="inlineStr">
        <is>
          <t>2018::jama.2018.0156::C006</t>
        </is>
      </c>
      <c r="B46" s="20" t="n">
        <v>0</v>
      </c>
      <c r="C46" s="20" t="inlineStr">
        <is>
          <t>Source evidence</t>
        </is>
      </c>
      <c r="D46" s="20" t="inlineStr">
        <is>
          <t>Methods state 20 EMS centres (15 France, 5 Belgium); eTable 1 has 21 nonempty investigator-centre rows, whose arm totals reconcile to 1018 and 1022.</t>
        </is>
      </c>
    </row>
    <row r="47" ht="180" customHeight="1" s="14">
      <c r="A47" s="24" t="inlineStr">
        <is>
          <t>2018::jama.2018.0156::C006</t>
        </is>
      </c>
      <c r="B47" s="24" t="n">
        <v>1</v>
      </c>
      <c r="C47" s="24" t="inlineStr">
        <is>
          <t>Reported-versus-comparator</t>
        </is>
      </c>
      <c r="D47" s="24" t="inlineStr">
        <is>
          <t>Reported count 20; comparator 21 displayed rows.</t>
        </is>
      </c>
    </row>
    <row r="48" ht="180" customHeight="1" s="14">
      <c r="A48" s="20" t="inlineStr">
        <is>
          <t>2018::jama.2018.0156::C006</t>
        </is>
      </c>
      <c r="B48" s="20" t="n">
        <v>2</v>
      </c>
      <c r="C48" s="20" t="inlineStr">
        <is>
          <t>Calculation</t>
        </is>
      </c>
      <c r="D48" s="20" t="inlineStr">
        <is>
          <t>15 + 5 = 20; eTable rows = 21.</t>
        </is>
      </c>
    </row>
    <row r="49" ht="180" customHeight="1" s="14">
      <c r="A49" s="24" t="inlineStr">
        <is>
          <t>2018::jama.2018.0156::C006</t>
        </is>
      </c>
      <c r="B49" s="24" t="n">
        <v>3</v>
      </c>
      <c r="C49" s="24" t="inlineStr">
        <is>
          <t>Alternative source-grounded interpretations</t>
        </is>
      </c>
      <c r="D49" s="24" t="inlineStr">
        <is>
          <t>One EMS centre may map to multiple investigator-centre records; no crosswalk is supplied.</t>
        </is>
      </c>
    </row>
    <row r="50" ht="180" customHeight="1" s="14">
      <c r="A50" s="20" t="inlineStr">
        <is>
          <t>2018::jama.2018.0156::C007</t>
        </is>
      </c>
      <c r="B50" s="20" t="n">
        <v>0</v>
      </c>
      <c r="C50" s="20" t="inlineStr">
        <is>
          <t>Source evidence</t>
        </is>
      </c>
      <c r="D50" s="20" t="inlineStr">
        <is>
          <t>Article: favourable outcome CPC 1 or 2. Amendment: a baseline-disabled survivor is favourable if survival retains the same disability degree.</t>
        </is>
      </c>
    </row>
    <row r="51" ht="180" customHeight="1" s="14">
      <c r="A51" s="24" t="inlineStr">
        <is>
          <t>2018::jama.2018.0156::C007</t>
        </is>
      </c>
      <c r="B51" s="24" t="n">
        <v>1</v>
      </c>
      <c r="C51" s="24" t="inlineStr">
        <is>
          <t>Reported-versus-comparator</t>
        </is>
      </c>
      <c r="D51" s="24" t="inlineStr">
        <is>
          <t>Reported CPC-1-or-2 description; comparator is the additional amendment qualification.</t>
        </is>
      </c>
    </row>
    <row r="52" ht="180" customHeight="1" s="14">
      <c r="A52" s="20" t="inlineStr">
        <is>
          <t>2018::jama.2018.0156::C007</t>
        </is>
      </c>
      <c r="B52" s="20" t="n">
        <v>2</v>
      </c>
      <c r="C52" s="20" t="inlineStr">
        <is>
          <t>Calculation</t>
        </is>
      </c>
      <c r="D52" s="20" t="inlineStr">
        <is>
          <t>No aggregate calculation: a survivor can satisfy the amendment qualification without a literal CPC-1-or-2-only classification.</t>
        </is>
      </c>
    </row>
    <row r="53" ht="180" customHeight="1" s="14">
      <c r="A53" s="24" t="inlineStr">
        <is>
          <t>2018::jama.2018.0156::C007</t>
        </is>
      </c>
      <c r="B53" s="24" t="n">
        <v>3</v>
      </c>
      <c r="C53" s="24" t="inlineStr">
        <is>
          <t>Alternative source-grounded interpretations</t>
        </is>
      </c>
      <c r="D53" s="24" t="inlineStr">
        <is>
          <t>Article wording may be abbreviated or no participant may require the qualification; final coding and affected count are absent.</t>
        </is>
      </c>
    </row>
    <row r="54" ht="180" customHeight="1" s="14">
      <c r="A54" s="20" t="inlineStr">
        <is>
          <t>2018::jama.2018.0156::C008</t>
        </is>
      </c>
      <c r="B54" s="20" t="n">
        <v>0</v>
      </c>
      <c r="C54" s="20" t="inlineStr">
        <is>
          <t>Source evidence</t>
        </is>
      </c>
      <c r="D54" s="20" t="inlineStr">
        <is>
          <t>Amended protocol technique failure includes 28-day mortality, regurgitation, or failure to ventilate/intubate. Article prints ETI failure 21/996 (2.1%) and ITT ETI deaths 54/1022.</t>
        </is>
      </c>
    </row>
    <row r="55" ht="180" customHeight="1" s="14">
      <c r="A55" s="24" t="inlineStr">
        <is>
          <t>2018::jama.2018.0156::C008</t>
        </is>
      </c>
      <c r="B55" s="24" t="n">
        <v>1</v>
      </c>
      <c r="C55" s="24" t="inlineStr">
        <is>
          <t>Reported-versus-comparator</t>
        </is>
      </c>
      <c r="D55" s="24" t="inlineStr">
        <is>
          <t>Reported 21/996; conditional conservative comparator is at least 27 before other composite components.</t>
        </is>
      </c>
    </row>
    <row r="56" ht="180" customHeight="1" s="14">
      <c r="A56" s="20" t="inlineStr">
        <is>
          <t>2018::jama.2018.0156::C008</t>
        </is>
      </c>
      <c r="B56" s="20" t="n">
        <v>2</v>
      </c>
      <c r="C56" s="20" t="inlineStr">
        <is>
          <t>Calculation</t>
        </is>
      </c>
      <c r="D56" s="20" t="inlineStr">
        <is>
          <t>54 - 24 - 3 = 27, and 27 &gt; 21.</t>
        </is>
      </c>
    </row>
    <row r="57" ht="180" customHeight="1" s="14">
      <c r="A57" s="24" t="inlineStr">
        <is>
          <t>2018::jama.2018.0156::C008</t>
        </is>
      </c>
      <c r="B57" s="24" t="n">
        <v>3</v>
      </c>
      <c r="C57" s="24" t="inlineStr">
        <is>
          <t>Alternative source-grounded interpretations</t>
        </is>
      </c>
      <c r="D57" s="24" t="inlineStr">
        <is>
          <t>Article row may be narrower, use another final definition, or use actual-treatment population; aggregate displays do not establish participant alignment.</t>
        </is>
      </c>
    </row>
    <row r="58" ht="180" customHeight="1" s="14">
      <c r="A58" s="20" t="inlineStr">
        <is>
          <t>2018::jama.2018.0948::C001</t>
        </is>
      </c>
      <c r="B58" s="20" t="n">
        <v>0</v>
      </c>
      <c r="C58" s="20" t="inlineStr">
        <is>
          <t>Source evidence</t>
        </is>
      </c>
      <c r="D58" s="20" t="inlineStr">
        <is>
          <t>The article says 60 mL/kg or greater within 12 hours; Supplement 1 and Supplement 3 say &gt;60 mL/kg for the matched component.</t>
        </is>
      </c>
    </row>
    <row r="59" ht="180" customHeight="1" s="14">
      <c r="A59" s="24" t="inlineStr">
        <is>
          <t>2018::jama.2018.0948::C001</t>
        </is>
      </c>
      <c r="B59" s="24" t="n">
        <v>1</v>
      </c>
      <c r="C59" s="24" t="inlineStr">
        <is>
          <t>Reported-versus-comparator</t>
        </is>
      </c>
      <c r="D59" s="24" t="inlineStr">
        <is>
          <t>x &gt;= 60 versus x &gt; 60 on the same unit and 12-hour window.</t>
        </is>
      </c>
    </row>
    <row r="60" ht="180" customHeight="1" s="14">
      <c r="A60" s="20" t="inlineStr">
        <is>
          <t>2018::jama.2018.0948::C001</t>
        </is>
      </c>
      <c r="B60" s="20" t="n">
        <v>2</v>
      </c>
      <c r="C60" s="20" t="inlineStr">
        <is>
          <t>Calculation</t>
        </is>
      </c>
      <c r="D60" s="20" t="inlineStr">
        <is>
          <t>At x = 60, x &gt;= 60 is true and x &gt; 60 is false; Table 5 also leaves 60 outside its printed &lt;60 and &gt;60 bands.</t>
        </is>
      </c>
    </row>
    <row r="61" ht="180" customHeight="1" s="14">
      <c r="A61" s="24" t="inlineStr">
        <is>
          <t>2018::jama.2018.0948::C001</t>
        </is>
      </c>
      <c r="B61" s="24" t="n">
        <v>3</v>
      </c>
      <c r="C61" s="24" t="inlineStr">
        <is>
          <t>Alternative source-grounded interpretations</t>
        </is>
      </c>
      <c r="D61" s="24" t="inlineStr">
        <is>
          <t>The article may paraphrase a strict operational rule, or the support sources may retain a strict sign while an inclusive rule was applied; supplied sources do not decide.</t>
        </is>
      </c>
    </row>
    <row r="62" ht="180" customHeight="1" s="14">
      <c r="A62" s="20" t="inlineStr">
        <is>
          <t>2018::jama.2018.0948::C002</t>
        </is>
      </c>
      <c r="B62" s="20" t="n">
        <v>0</v>
      </c>
      <c r="C62" s="20" t="inlineStr">
        <is>
          <t>Source evidence</t>
        </is>
      </c>
      <c r="D62" s="20" t="inlineStr">
        <is>
          <t>The matched 18% reduction from 5.1 deaths/1,000 is 0.9 per 1,000 and 0.09% at matched locations, while Supplement 1 p. 29 says 0.9%.</t>
        </is>
      </c>
    </row>
    <row r="63" ht="180" customHeight="1" s="14">
      <c r="A63" s="24" t="inlineStr">
        <is>
          <t>2018::jama.2018.0948::C002</t>
        </is>
      </c>
      <c r="B63" s="24" t="n">
        <v>1</v>
      </c>
      <c r="C63" s="24" t="inlineStr">
        <is>
          <t>Reported-versus-comparator</t>
        </is>
      </c>
      <c r="D63" s="24" t="inlineStr">
        <is>
          <t>0.9% versus the corresponding 0.9 per 1,000 = 0.09%.</t>
        </is>
      </c>
    </row>
    <row r="64" ht="180" customHeight="1" s="14">
      <c r="A64" s="20" t="inlineStr">
        <is>
          <t>2018::jama.2018.0948::C002</t>
        </is>
      </c>
      <c r="B64" s="20" t="n">
        <v>2</v>
      </c>
      <c r="C64" s="20" t="inlineStr">
        <is>
          <t>Calculation</t>
        </is>
      </c>
      <c r="D64" s="20" t="inlineStr">
        <is>
          <t>5.1 × 0.178 = 0.9078 per 1,000 = 0.09078%, conventionally 0.09%; 0.9% equals 9 per 1,000 and is tenfold larger.</t>
        </is>
      </c>
    </row>
    <row r="65" ht="180" customHeight="1" s="14">
      <c r="A65" s="24" t="inlineStr">
        <is>
          <t>2018::jama.2018.0948::C002</t>
        </is>
      </c>
      <c r="B65" s="24" t="n">
        <v>3</v>
      </c>
      <c r="C65" s="24" t="inlineStr">
        <is>
          <t>Alternative source-grounded interpretations</t>
        </is>
      </c>
      <c r="D65" s="24" t="inlineStr">
        <is>
          <t>P. 29 may have intended 0.09% or 0.9 per 1,000; the package does not establish editorial intent.</t>
        </is>
      </c>
    </row>
    <row r="66" ht="180" customHeight="1" s="14">
      <c r="A66" s="20" t="inlineStr">
        <is>
          <t>2018::jama.2018.0948::C003</t>
        </is>
      </c>
      <c r="B66" s="20" t="n">
        <v>0</v>
      </c>
      <c r="C66" s="20" t="inlineStr">
        <is>
          <t>Source evidence</t>
        </is>
      </c>
      <c r="D66" s="20" t="inlineStr">
        <is>
          <t>P. 11 defines cardiac arrest without preceding DNR as 6 or 7; Table 5 maps CPR to 6 and death to 7; Table 6 names events including cardiac arrest as scale 4 or 5.</t>
        </is>
      </c>
    </row>
    <row r="67" ht="180" customHeight="1" s="14">
      <c r="A67" s="24" t="inlineStr">
        <is>
          <t>2018::jama.2018.0948::C003</t>
        </is>
      </c>
      <c r="B67" s="24" t="n">
        <v>1</v>
      </c>
      <c r="C67" s="24" t="inlineStr">
        <is>
          <t>Reported-versus-comparator</t>
        </is>
      </c>
      <c r="D67" s="24" t="inlineStr">
        <is>
          <t>{4,5} versus {6,7} under the named seven-category Children’s Resuscitation Intensity Scale.</t>
        </is>
      </c>
    </row>
    <row r="68" ht="180" customHeight="1" s="14">
      <c r="A68" s="20" t="inlineStr">
        <is>
          <t>2018::jama.2018.0948::C003</t>
        </is>
      </c>
      <c r="B68" s="20" t="n">
        <v>2</v>
      </c>
      <c r="C68" s="20" t="inlineStr">
        <is>
          <t>Calculation</t>
        </is>
      </c>
      <c r="D68" s="20" t="inlineStr">
        <is>
          <t>{4,5} ∩ {6,7} = ∅; the labels cannot reconcile under one unchanged scale.</t>
        </is>
      </c>
    </row>
    <row r="69" ht="180" customHeight="1" s="14">
      <c r="A69" s="24" t="inlineStr">
        <is>
          <t>2018::jama.2018.0948::C003</t>
        </is>
      </c>
      <c r="B69" s="24" t="n">
        <v>3</v>
      </c>
      <c r="C69" s="24" t="inlineStr">
        <is>
          <t>Alternative source-grounded interpretations</t>
        </is>
      </c>
      <c r="D69" s="24" t="inlineStr">
        <is>
          <t>P. 27 could refer to a different, undefined scale; a residual or transcription explanation is inferential.</t>
        </is>
      </c>
    </row>
    <row r="70" ht="180" customHeight="1" s="14">
      <c r="A70" s="20" t="inlineStr">
        <is>
          <t>2018::jama.2018.0948::C004</t>
        </is>
      </c>
      <c r="B70" s="20" t="n">
        <v>0</v>
      </c>
      <c r="C70" s="20" t="inlineStr">
        <is>
          <t>Source evidence</t>
        </is>
      </c>
      <c r="D70" s="20" t="inlineStr">
        <is>
          <t>P. 11 prints &gt;4 but immediately includes ratings 4, 5, and 6; Table 7 says 4 or more, Supplement 3 says 4–6, and the article describes rating 4 as more than likely preventable.</t>
        </is>
      </c>
    </row>
    <row r="71" ht="180" customHeight="1" s="14">
      <c r="A71" s="24" t="inlineStr">
        <is>
          <t>2018::jama.2018.0948::C004</t>
        </is>
      </c>
      <c r="B71" s="24" t="n">
        <v>1</v>
      </c>
      <c r="C71" s="24" t="inlineStr">
        <is>
          <t>Reported-versus-comparator</t>
        </is>
      </c>
      <c r="D71" s="24" t="inlineStr">
        <is>
          <t>&gt;4 versus &gt;=4 on the stated six-point scale.</t>
        </is>
      </c>
    </row>
    <row r="72" ht="180" customHeight="1" s="14">
      <c r="A72" s="20" t="inlineStr">
        <is>
          <t>2018::jama.2018.0948::C004</t>
        </is>
      </c>
      <c r="B72" s="20" t="n">
        <v>2</v>
      </c>
      <c r="C72" s="20" t="inlineStr">
        <is>
          <t>Calculation</t>
        </is>
      </c>
      <c r="D72" s="20" t="inlineStr">
        <is>
          <t>4 &gt; 4 is false, whereas 4 &gt;= 4 is true; the printed definitions classify rating 4 differently.</t>
        </is>
      </c>
    </row>
    <row r="73" ht="180" customHeight="1" s="14">
      <c r="A73" s="24" t="inlineStr">
        <is>
          <t>2018::jama.2018.0948::C004</t>
        </is>
      </c>
      <c r="B73" s="24" t="n">
        <v>3</v>
      </c>
      <c r="C73" s="24" t="inlineStr">
        <is>
          <t>Alternative source-grounded interpretations</t>
        </is>
      </c>
      <c r="D73" s="24" t="inlineStr">
        <is>
          <t>Table 7/final reporting may state the operative rule, or p. 11 may reflect a stricter intended threshold; sources do not decide.</t>
        </is>
      </c>
    </row>
    <row r="74" ht="180" customHeight="1" s="14">
      <c r="A74" s="20" t="inlineStr">
        <is>
          <t>2018::jama.2018.0948::C005</t>
        </is>
      </c>
      <c r="B74" s="20" t="n">
        <v>0</v>
      </c>
      <c r="C74" s="20" t="inlineStr">
        <is>
          <t>Source evidence</t>
        </is>
      </c>
      <c r="D74" s="20" t="inlineStr">
        <is>
          <t>P. 14 says 1,052 urgent ICU admissions per year; p. 30 says 1,052 urgent PICU admissions occurred in two years after 31 January 2007.</t>
        </is>
      </c>
    </row>
    <row r="75" ht="180" customHeight="1" s="14">
      <c r="A75" s="24" t="inlineStr">
        <is>
          <t>2018::jama.2018.0948::C005</t>
        </is>
      </c>
      <c r="B75" s="24" t="n">
        <v>1</v>
      </c>
      <c r="C75" s="24" t="inlineStr">
        <is>
          <t>Reported-versus-comparator</t>
        </is>
      </c>
      <c r="D75" s="24" t="inlineStr">
        <is>
          <t>One identical reference count with annual versus two-year period labels.</t>
        </is>
      </c>
    </row>
    <row r="76" ht="180" customHeight="1" s="14">
      <c r="A76" s="20" t="inlineStr">
        <is>
          <t>2018::jama.2018.0948::C005</t>
        </is>
      </c>
      <c r="B76" s="20" t="n">
        <v>2</v>
      </c>
      <c r="C76" s="20" t="inlineStr">
        <is>
          <t>Calculation</t>
        </is>
      </c>
      <c r="D76" s="20" t="inlineStr">
        <is>
          <t>If unannualized over two years, 1052 / 2 = 526 per year. Diagnostic reconstruction using printed assumptions is 1052 × .40 / (55,963 × 4) × 1,000 = 1.88, approximately 2 per 1,000; this does not establish an exact patient-day denominator.</t>
        </is>
      </c>
    </row>
    <row r="77" ht="180" customHeight="1" s="14">
      <c r="A77" s="24" t="inlineStr">
        <is>
          <t>2018::jama.2018.0948::C005</t>
        </is>
      </c>
      <c r="B77" s="24" t="n">
        <v>3</v>
      </c>
      <c r="C77" s="24" t="inlineStr">
        <is>
          <t>Alternative source-grounded interpretations</t>
        </is>
      </c>
      <c r="D77" s="24" t="inlineStr">
        <is>
          <t>P. 14 may annualize another dataset, or p. 30 may describe a broader window; no year-stratified data or exact patient-days are supplied.</t>
        </is>
      </c>
    </row>
    <row r="78" ht="180" customHeight="1" s="14">
      <c r="A78" s="20" t="inlineStr">
        <is>
          <t>2018::jama.2018.0948::C006</t>
        </is>
      </c>
      <c r="B78" s="20" t="n">
        <v>0</v>
      </c>
      <c r="C78" s="20" t="inlineStr">
        <is>
          <t>Source evidence</t>
        </is>
      </c>
      <c r="D78" s="20" t="inlineStr">
        <is>
          <t>The paragraph prints 8.13 calls/1,000 patient-days, maximum relative risk reduction 0.181, and a corresponding absolute reduction of 1.45 calls/1,000 patient-days.</t>
        </is>
      </c>
    </row>
    <row r="79" ht="180" customHeight="1" s="14">
      <c r="A79" s="24" t="inlineStr">
        <is>
          <t>2018::jama.2018.0948::C006</t>
        </is>
      </c>
      <c r="B79" s="24" t="n">
        <v>1</v>
      </c>
      <c r="C79" s="24" t="inlineStr">
        <is>
          <t>Reported-versus-comparator</t>
        </is>
      </c>
      <c r="D79" s="24" t="inlineStr">
        <is>
          <t>Printed 1.45 versus the product of printed inputs.</t>
        </is>
      </c>
    </row>
    <row r="80" ht="180" customHeight="1" s="14">
      <c r="A80" s="20" t="inlineStr">
        <is>
          <t>2018::jama.2018.0948::C006</t>
        </is>
      </c>
      <c r="B80" s="20" t="n">
        <v>2</v>
      </c>
      <c r="C80" s="20" t="inlineStr">
        <is>
          <t>Calculation</t>
        </is>
      </c>
      <c r="D80" s="20" t="inlineStr">
        <is>
          <t>8.13 × .181 = 1.47153, conventionally 1.47. Display bounds 8.125 × .1805 = 1.4665625 through values below 8.135 × .1815 = 1.4765025 do not overlap the 1.445 to below 1.455 range displaying as 1.45.</t>
        </is>
      </c>
    </row>
    <row r="81" ht="180" customHeight="1" s="14">
      <c r="A81" s="24" t="inlineStr">
        <is>
          <t>2018::jama.2018.0948::C006</t>
        </is>
      </c>
      <c r="B81" s="24" t="n">
        <v>3</v>
      </c>
      <c r="C81" s="24" t="inlineStr">
        <is>
          <t>Alternative source-grounded interpretations</t>
        </is>
      </c>
      <c r="D81" s="24" t="inlineStr">
        <is>
          <t>More precise undisplayed inputs, a transcription step, or a nonstandard display method could explain the value; none is supplied.</t>
        </is>
      </c>
    </row>
    <row r="82" ht="180" customHeight="1" s="14">
      <c r="A82" s="20" t="inlineStr">
        <is>
          <t>2018::jama.2018.0948::C007</t>
        </is>
      </c>
      <c r="B82" s="20" t="n">
        <v>0</v>
      </c>
      <c r="C82" s="20" t="inlineStr">
        <is>
          <t>Source evidence</t>
        </is>
      </c>
      <c r="D82" s="20" t="inlineStr">
        <is>
          <t>The four-hospital table prints 1,052 unplanned PICU admissions, 7,300 PICU discharges, 55,963 hospital discharges, 14.5%, and 18 per 1,000.</t>
        </is>
      </c>
    </row>
    <row r="83" ht="180" customHeight="1" s="14">
      <c r="A83" s="24" t="inlineStr">
        <is>
          <t>2018::jama.2018.0948::C007</t>
        </is>
      </c>
      <c r="B83" s="24" t="n">
        <v>1</v>
      </c>
      <c r="C83" s="24" t="inlineStr">
        <is>
          <t>Reported-versus-comparator</t>
        </is>
      </c>
      <c r="D83" s="24" t="inlineStr">
        <is>
          <t>Printed 14.5% and 18 per 1,000 versus rates calculated from the displayed integers.</t>
        </is>
      </c>
    </row>
    <row r="84" ht="180" customHeight="1" s="14">
      <c r="A84" s="20" t="inlineStr">
        <is>
          <t>2018::jama.2018.0948::C007</t>
        </is>
      </c>
      <c r="B84" s="20" t="n">
        <v>2</v>
      </c>
      <c r="C84" s="20" t="inlineStr">
        <is>
          <t>Calculation</t>
        </is>
      </c>
      <c r="D84" s="20" t="inlineStr">
        <is>
          <t>1052/7300 × 100 = 14.4109589%, conventionally 14.4%; 1052/55963 × 1,000 = 18.7977778, conventionally 19. The printed denominators fall outside the respective nearest-rounding denominator ranges 7,231–7,280 and 56,865–60,114.</t>
        </is>
      </c>
    </row>
    <row r="85" ht="180" customHeight="1" s="14">
      <c r="A85" s="24" t="inlineStr">
        <is>
          <t>2018::jama.2018.0948::C007</t>
        </is>
      </c>
      <c r="B85" s="24" t="n">
        <v>3</v>
      </c>
      <c r="C85" s="24" t="inlineStr">
        <is>
          <t>Alternative source-grounded interpretations</t>
        </is>
      </c>
      <c r="D85" s="24" t="inlineStr">
        <is>
          <t>Undisplayed denominators, weighting, extraction history, or a display convention could explain one or both rates; truncation could explain 18 but not 14.5 from 14.4109589.</t>
        </is>
      </c>
    </row>
    <row r="86" ht="180" customHeight="1" s="14">
      <c r="A86" s="20" t="inlineStr">
        <is>
          <t>2018::jama.2018.14280::C001</t>
        </is>
      </c>
      <c r="B86" s="20" t="n">
        <v>0</v>
      </c>
      <c r="C86" s="20" t="inlineStr">
        <is>
          <t>Source evidence</t>
        </is>
      </c>
      <c r="D86" s="20" t="inlineStr">
        <is>
          <t>Supplement 3 — PDF p. 6 prints 8 (5-1) cm H2O; the note defines median (interquartile range).</t>
        </is>
      </c>
    </row>
    <row r="87" ht="180" customHeight="1" s="14">
      <c r="A87" s="24" t="inlineStr">
        <is>
          <t>2018::jama.2018.14280::C001</t>
        </is>
      </c>
      <c r="B87" s="24" t="n">
        <v>1</v>
      </c>
      <c r="C87" s="24" t="inlineStr">
        <is>
          <t>Reported-versus-comparator</t>
        </is>
      </c>
      <c r="D87" s="24" t="inlineStr">
        <is>
          <t>Reported median/IQR 8 (5-1) versus the ordering required for lower quartile, median, upper quartile.</t>
        </is>
      </c>
    </row>
    <row r="88" ht="180" customHeight="1" s="14">
      <c r="A88" s="20" t="inlineStr">
        <is>
          <t>2018::jama.2018.14280::C001</t>
        </is>
      </c>
      <c r="B88" s="20" t="n">
        <v>2</v>
      </c>
      <c r="C88" s="20" t="inlineStr">
        <is>
          <t>Calculation</t>
        </is>
      </c>
      <c r="D88" s="20" t="inlineStr">
        <is>
          <t>5 &lt;= 8 is true; 8 &lt;= 1 is false.</t>
        </is>
      </c>
    </row>
    <row r="89" ht="180" customHeight="1" s="14">
      <c r="A89" s="24" t="inlineStr">
        <is>
          <t>2018::jama.2018.14280::C001</t>
        </is>
      </c>
      <c r="B89" s="24" t="n">
        <v>3</v>
      </c>
      <c r="C89" s="24" t="inlineStr">
        <is>
          <t>Alternative source-grounded interpretations</t>
        </is>
      </c>
      <c r="D89" s="24" t="inlineStr">
        <is>
          <t>The final endpoint may be truncated or mistyped; no supplied source gives a replacement.</t>
        </is>
      </c>
    </row>
    <row r="90" ht="180" customHeight="1" s="14">
      <c r="A90" s="20" t="inlineStr">
        <is>
          <t>2018::jama.2018.14280::C002</t>
        </is>
      </c>
      <c r="B90" s="20" t="n">
        <v>0</v>
      </c>
      <c r="C90" s="20" t="inlineStr">
        <is>
          <t>Source evidence</t>
        </is>
      </c>
      <c r="D90" s="20" t="inlineStr">
        <is>
          <t>Main article — PDF p. 5 prints 292 (61.6) and 290 (60.3) under n=477 and n=484.</t>
        </is>
      </c>
    </row>
    <row r="91" ht="180" customHeight="1" s="14">
      <c r="A91" s="24" t="inlineStr">
        <is>
          <t>2018::jama.2018.14280::C002</t>
        </is>
      </c>
      <c r="B91" s="24" t="n">
        <v>1</v>
      </c>
      <c r="C91" s="24" t="inlineStr">
        <is>
          <t>Reported-versus-comparator</t>
        </is>
      </c>
      <c r="D91" s="24" t="inlineStr">
        <is>
          <t>61.6%/60.3% versus percentages calculated from displayed arm totals.</t>
        </is>
      </c>
    </row>
    <row r="92" ht="180" customHeight="1" s="14">
      <c r="A92" s="20" t="inlineStr">
        <is>
          <t>2018::jama.2018.14280::C002</t>
        </is>
      </c>
      <c r="B92" s="20" t="n">
        <v>2</v>
      </c>
      <c r="C92" s="20" t="inlineStr">
        <is>
          <t>Calculation</t>
        </is>
      </c>
      <c r="D92" s="20" t="inlineStr">
        <is>
          <t>292/477=61.2%, 290/484=59.9%; 292/474=61.6%, 290/481=60.3%.</t>
        </is>
      </c>
    </row>
    <row r="93" ht="180" customHeight="1" s="14">
      <c r="A93" s="24" t="inlineStr">
        <is>
          <t>2018::jama.2018.14280::C002</t>
        </is>
      </c>
      <c r="B93" s="24" t="n">
        <v>3</v>
      </c>
      <c r="C93" s="24" t="inlineStr">
        <is>
          <t>Alternative source-grounded interpretations</t>
        </is>
      </c>
      <c r="D93" s="24" t="inlineStr">
        <is>
          <t>Available-case denominators 474 and 481 may have been used but are not printed.</t>
        </is>
      </c>
    </row>
    <row r="94" ht="180" customHeight="1" s="14">
      <c r="A94" s="20" t="inlineStr">
        <is>
          <t>2018::jama.2018.14280::C003</t>
        </is>
      </c>
      <c r="B94" s="20" t="n">
        <v>0</v>
      </c>
      <c r="C94" s="20" t="inlineStr">
        <is>
          <t>Source evidence</t>
        </is>
      </c>
      <c r="D94" s="20" t="inlineStr">
        <is>
          <t>Main article — PDF p. 5 prints 82 (17.6) and 74 (15.5) under n=477 and n=484.</t>
        </is>
      </c>
    </row>
    <row r="95" ht="180" customHeight="1" s="14">
      <c r="A95" s="24" t="inlineStr">
        <is>
          <t>2018::jama.2018.14280::C003</t>
        </is>
      </c>
      <c r="B95" s="24" t="n">
        <v>1</v>
      </c>
      <c r="C95" s="24" t="inlineStr">
        <is>
          <t>Reported-versus-comparator</t>
        </is>
      </c>
      <c r="D95" s="24" t="inlineStr">
        <is>
          <t>17.6%/15.5% versus header-total calculations.</t>
        </is>
      </c>
    </row>
    <row r="96" ht="180" customHeight="1" s="14">
      <c r="A96" s="20" t="inlineStr">
        <is>
          <t>2018::jama.2018.14280::C003</t>
        </is>
      </c>
      <c r="B96" s="20" t="n">
        <v>2</v>
      </c>
      <c r="C96" s="20" t="inlineStr">
        <is>
          <t>Calculation</t>
        </is>
      </c>
      <c r="D96" s="20" t="inlineStr">
        <is>
          <t>82/477=17.2%; 74/484=15.3%, not the displayed values.</t>
        </is>
      </c>
    </row>
    <row r="97" ht="180" customHeight="1" s="14">
      <c r="A97" s="24" t="inlineStr">
        <is>
          <t>2018::jama.2018.14280::C003</t>
        </is>
      </c>
      <c r="B97" s="24" t="n">
        <v>3</v>
      </c>
      <c r="C97" s="24" t="inlineStr">
        <is>
          <t>Alternative source-grounded interpretations</t>
        </is>
      </c>
      <c r="D97" s="24" t="inlineStr">
        <is>
          <t>Smaller available-case denominators may have been used; exact denominators are not supplied.</t>
        </is>
      </c>
    </row>
    <row r="98" ht="180" customHeight="1" s="14">
      <c r="A98" s="20" t="inlineStr">
        <is>
          <t>2018::jama.2018.14280::C004</t>
        </is>
      </c>
      <c r="B98" s="20" t="n">
        <v>0</v>
      </c>
      <c r="C98" s="20" t="inlineStr">
        <is>
          <t>Source evidence</t>
        </is>
      </c>
      <c r="D98" s="20" t="inlineStr">
        <is>
          <t>Main article — PDF p. 5 lists never/current/previous/unknown tobacco categories.</t>
        </is>
      </c>
    </row>
    <row r="99" ht="180" customHeight="1" s="14">
      <c r="A99" s="24" t="inlineStr">
        <is>
          <t>2018::jama.2018.14280::C004</t>
        </is>
      </c>
      <c r="B99" s="24" t="n">
        <v>1</v>
      </c>
      <c r="C99" s="24" t="inlineStr">
        <is>
          <t>Reported-versus-comparator</t>
        </is>
      </c>
      <c r="D99" s="24" t="inlineStr">
        <is>
          <t>Four category counts versus Table 1 arm headers.</t>
        </is>
      </c>
    </row>
    <row r="100" ht="180" customHeight="1" s="14">
      <c r="A100" s="20" t="inlineStr">
        <is>
          <t>2018::jama.2018.14280::C004</t>
        </is>
      </c>
      <c r="B100" s="20" t="n">
        <v>2</v>
      </c>
      <c r="C100" s="20" t="inlineStr">
        <is>
          <t>Calculation</t>
        </is>
      </c>
      <c r="D100" s="20" t="inlineStr">
        <is>
          <t>Low 106+97+75+197=475; intermediate 111+97+80+194=482; 106/475=22.3%, 111/482=23.0%.</t>
        </is>
      </c>
    </row>
    <row r="101" ht="180" customHeight="1" s="14">
      <c r="A101" s="24" t="inlineStr">
        <is>
          <t>2018::jama.2018.14280::C004</t>
        </is>
      </c>
      <c r="B101" s="24" t="n">
        <v>3</v>
      </c>
      <c r="C101" s="24" t="inlineStr">
        <is>
          <t>Alternative source-grounded interpretations</t>
        </is>
      </c>
      <c r="D101" s="24" t="inlineStr">
        <is>
          <t>475/482 available records may be intended despite an Unknown category.</t>
        </is>
      </c>
    </row>
    <row r="102" ht="180" customHeight="1" s="14">
      <c r="A102" s="20" t="inlineStr">
        <is>
          <t>2018::jama.2018.14280::C005</t>
        </is>
      </c>
      <c r="B102" s="20" t="n">
        <v>0</v>
      </c>
      <c r="C102" s="20" t="inlineStr">
        <is>
          <t>Source evidence</t>
        </is>
      </c>
      <c r="D102" s="20" t="inlineStr">
        <is>
          <t>Main article — PDF p. 5 prints the five alcohol-use categories.</t>
        </is>
      </c>
    </row>
    <row r="103" ht="180" customHeight="1" s="14">
      <c r="A103" s="24" t="inlineStr">
        <is>
          <t>2018::jama.2018.14280::C005</t>
        </is>
      </c>
      <c r="B103" s="24" t="n">
        <v>1</v>
      </c>
      <c r="C103" s="24" t="inlineStr">
        <is>
          <t>Reported-versus-comparator</t>
        </is>
      </c>
      <c r="D103" s="24" t="inlineStr">
        <is>
          <t>Category totals and percentage bases versus n=477/n=484 headers.</t>
        </is>
      </c>
    </row>
    <row r="104" ht="180" customHeight="1" s="14">
      <c r="A104" s="20" t="inlineStr">
        <is>
          <t>2018::jama.2018.14280::C005</t>
        </is>
      </c>
      <c r="B104" s="20" t="n">
        <v>2</v>
      </c>
      <c r="C104" s="20" t="inlineStr">
        <is>
          <t>Calculation</t>
        </is>
      </c>
      <c r="D104" s="20" t="inlineStr">
        <is>
          <t>Low 121+47+26+59+222=475; intermediate 92+61+30+56+243=482; 121/475=25.5%, 92/482=19.1%.</t>
        </is>
      </c>
    </row>
    <row r="105" ht="180" customHeight="1" s="14">
      <c r="A105" s="24" t="inlineStr">
        <is>
          <t>2018::jama.2018.14280::C005</t>
        </is>
      </c>
      <c r="B105" s="24" t="n">
        <v>3</v>
      </c>
      <c r="C105" s="24" t="inlineStr">
        <is>
          <t>Alternative source-grounded interpretations</t>
        </is>
      </c>
      <c r="D105" s="24" t="inlineStr">
        <is>
          <t>Variable-specific available-case bases may have been intended.</t>
        </is>
      </c>
    </row>
    <row r="106" ht="180" customHeight="1" s="14">
      <c r="A106" s="20" t="inlineStr">
        <is>
          <t>2018::jama.2018.14280::C006</t>
        </is>
      </c>
      <c r="B106" s="20" t="n">
        <v>0</v>
      </c>
      <c r="C106" s="20" t="inlineStr">
        <is>
          <t>Source evidence</t>
        </is>
      </c>
      <c r="D106" s="20" t="inlineStr">
        <is>
          <t>Main article — PDF p. 5 prints surgical 82 (17.3), medical 393 (82.7), and intermediate 79 (16.4), 403 (83.6).</t>
        </is>
      </c>
    </row>
    <row r="107" ht="180" customHeight="1" s="14">
      <c r="A107" s="24" t="inlineStr">
        <is>
          <t>2018::jama.2018.14280::C006</t>
        </is>
      </c>
      <c r="B107" s="24" t="n">
        <v>1</v>
      </c>
      <c r="C107" s="24" t="inlineStr">
        <is>
          <t>Reported-versus-comparator</t>
        </is>
      </c>
      <c r="D107" s="24" t="inlineStr">
        <is>
          <t>Binary-category totals versus Table 1 arm headers.</t>
        </is>
      </c>
    </row>
    <row r="108" ht="180" customHeight="1" s="14">
      <c r="A108" s="20" t="inlineStr">
        <is>
          <t>2018::jama.2018.14280::C006</t>
        </is>
      </c>
      <c r="B108" s="20" t="n">
        <v>2</v>
      </c>
      <c r="C108" s="20" t="inlineStr">
        <is>
          <t>Calculation</t>
        </is>
      </c>
      <c r="D108" s="20" t="inlineStr">
        <is>
          <t>82+393=475, 79+403=482; 82/475=17.3%, 79/482=16.4%.</t>
        </is>
      </c>
    </row>
    <row r="109" ht="180" customHeight="1" s="14">
      <c r="A109" s="24" t="inlineStr">
        <is>
          <t>2018::jama.2018.14280::C006</t>
        </is>
      </c>
      <c r="B109" s="24" t="n">
        <v>3</v>
      </c>
      <c r="C109" s="24" t="inlineStr">
        <is>
          <t>Alternative source-grounded interpretations</t>
        </is>
      </c>
      <c r="D109" s="24" t="inlineStr">
        <is>
          <t>Surgical/medical status may exist only for 475/482 patients.</t>
        </is>
      </c>
    </row>
    <row r="110" ht="180" customHeight="1" s="14">
      <c r="A110" s="20" t="inlineStr">
        <is>
          <t>2018::jama.2018.14280::C007</t>
        </is>
      </c>
      <c r="B110" s="20" t="n">
        <v>0</v>
      </c>
      <c r="C110" s="20" t="inlineStr">
        <is>
          <t>Source evidence</t>
        </is>
      </c>
      <c r="D110" s="20" t="inlineStr">
        <is>
          <t>Supplement 3 — PDF p. 8 prints 320 (70.6) and 333 (72.1) under headers 477/484.</t>
        </is>
      </c>
    </row>
    <row r="111" ht="180" customHeight="1" s="14">
      <c r="A111" s="24" t="inlineStr">
        <is>
          <t>2018::jama.2018.14280::C007</t>
        </is>
      </c>
      <c r="B111" s="24" t="n">
        <v>1</v>
      </c>
      <c r="C111" s="24" t="inlineStr">
        <is>
          <t>Reported-versus-comparator</t>
        </is>
      </c>
      <c r="D111" s="24" t="inlineStr">
        <is>
          <t>Printed percentages versus arm-header and recovered available-case denominators.</t>
        </is>
      </c>
    </row>
    <row r="112" ht="180" customHeight="1" s="14">
      <c r="A112" s="20" t="inlineStr">
        <is>
          <t>2018::jama.2018.14280::C007</t>
        </is>
      </c>
      <c r="B112" s="20" t="n">
        <v>2</v>
      </c>
      <c r="C112" s="20" t="inlineStr">
        <is>
          <t>Calculation</t>
        </is>
      </c>
      <c r="D112" s="20" t="inlineStr">
        <is>
          <t>320/477=67.1%, 333/484=68.8%; 320/453=70.6%, 333/462=72.1%.</t>
        </is>
      </c>
    </row>
    <row r="113" ht="180" customHeight="1" s="14">
      <c r="A113" s="24" t="inlineStr">
        <is>
          <t>2018::jama.2018.14280::C007</t>
        </is>
      </c>
      <c r="B113" s="24" t="n">
        <v>3</v>
      </c>
      <c r="C113" s="24" t="inlineStr">
        <is>
          <t>Alternative source-grounded interpretations</t>
        </is>
      </c>
      <c r="D113" s="24" t="inlineStr">
        <is>
          <t>A complete-case subset may apply; eTable 4 uses reduced denominators elsewhere.</t>
        </is>
      </c>
    </row>
    <row r="114" ht="180" customHeight="1" s="14">
      <c r="A114" s="20" t="inlineStr">
        <is>
          <t>2018::jama.2018.14280::C008</t>
        </is>
      </c>
      <c r="B114" s="20" t="n">
        <v>0</v>
      </c>
      <c r="C114" s="20" t="inlineStr">
        <is>
          <t>Source evidence</t>
        </is>
      </c>
      <c r="D114" s="20" t="inlineStr">
        <is>
          <t>Supplement 3 — PDF p. 8 prints 277 (61.1) and 273 (59.1).</t>
        </is>
      </c>
    </row>
    <row r="115" ht="180" customHeight="1" s="14">
      <c r="A115" s="24" t="inlineStr">
        <is>
          <t>2018::jama.2018.14280::C008</t>
        </is>
      </c>
      <c r="B115" s="24" t="n">
        <v>1</v>
      </c>
      <c r="C115" s="24" t="inlineStr">
        <is>
          <t>Reported-versus-comparator</t>
        </is>
      </c>
      <c r="D115" s="24" t="inlineStr">
        <is>
          <t>Printed percentages versus header and recovered denominator calculations.</t>
        </is>
      </c>
    </row>
    <row r="116" ht="180" customHeight="1" s="14">
      <c r="A116" s="20" t="inlineStr">
        <is>
          <t>2018::jama.2018.14280::C008</t>
        </is>
      </c>
      <c r="B116" s="20" t="n">
        <v>2</v>
      </c>
      <c r="C116" s="20" t="inlineStr">
        <is>
          <t>Calculation</t>
        </is>
      </c>
      <c r="D116" s="20" t="inlineStr">
        <is>
          <t>277/477=58.1%, 273/484=56.4%; 277/453=61.1%, 273/462=59.1%.</t>
        </is>
      </c>
    </row>
    <row r="117" ht="180" customHeight="1" s="14">
      <c r="A117" s="24" t="inlineStr">
        <is>
          <t>2018::jama.2018.14280::C008</t>
        </is>
      </c>
      <c r="B117" s="24" t="n">
        <v>3</v>
      </c>
      <c r="C117" s="24" t="inlineStr">
        <is>
          <t>Alternative source-grounded interpretations</t>
        </is>
      </c>
      <c r="D117" s="24" t="inlineStr">
        <is>
          <t>A 453/462 complete-case population may be intended.</t>
        </is>
      </c>
    </row>
    <row r="118" ht="180" customHeight="1" s="14">
      <c r="A118" s="20" t="inlineStr">
        <is>
          <t>2018::jama.2018.14280::C009</t>
        </is>
      </c>
      <c r="B118" s="20" t="n">
        <v>0</v>
      </c>
      <c r="C118" s="20" t="inlineStr">
        <is>
          <t>Source evidence</t>
        </is>
      </c>
      <c r="D118" s="20" t="inlineStr">
        <is>
          <t>Supplement 3 — PDF p. 8 prints 53 (11.7) and 60 (13.0).</t>
        </is>
      </c>
    </row>
    <row r="119" ht="180" customHeight="1" s="14">
      <c r="A119" s="24" t="inlineStr">
        <is>
          <t>2018::jama.2018.14280::C009</t>
        </is>
      </c>
      <c r="B119" s="24" t="n">
        <v>1</v>
      </c>
      <c r="C119" s="24" t="inlineStr">
        <is>
          <t>Reported-versus-comparator</t>
        </is>
      </c>
      <c r="D119" s="24" t="inlineStr">
        <is>
          <t>Printed percentages versus arm-header and recovered denominator calculations.</t>
        </is>
      </c>
    </row>
    <row r="120" ht="180" customHeight="1" s="14">
      <c r="A120" s="20" t="inlineStr">
        <is>
          <t>2018::jama.2018.14280::C009</t>
        </is>
      </c>
      <c r="B120" s="20" t="n">
        <v>2</v>
      </c>
      <c r="C120" s="20" t="inlineStr">
        <is>
          <t>Calculation</t>
        </is>
      </c>
      <c r="D120" s="20" t="inlineStr">
        <is>
          <t>53/477=11.1%, 60/484=12.4%; 53/453=11.7%, 60/462=13.0%.</t>
        </is>
      </c>
    </row>
    <row r="121" ht="180" customHeight="1" s="14">
      <c r="A121" s="24" t="inlineStr">
        <is>
          <t>2018::jama.2018.14280::C009</t>
        </is>
      </c>
      <c r="B121" s="24" t="n">
        <v>3</v>
      </c>
      <c r="C121" s="24" t="inlineStr">
        <is>
          <t>Alternative source-grounded interpretations</t>
        </is>
      </c>
      <c r="D121" s="24" t="inlineStr">
        <is>
          <t>A 453/462 available-case subset may be used.</t>
        </is>
      </c>
    </row>
    <row r="122" ht="180" customHeight="1" s="14">
      <c r="A122" s="20" t="inlineStr">
        <is>
          <t>2018::jama.2018.14280::C010</t>
        </is>
      </c>
      <c r="B122" s="20" t="n">
        <v>0</v>
      </c>
      <c r="C122" s="20" t="inlineStr">
        <is>
          <t>Source evidence</t>
        </is>
      </c>
      <c r="D122" s="20" t="inlineStr">
        <is>
          <t>Supplement 3 — PDF p. 8 prints 363 (80.0) and 353 (76.4).</t>
        </is>
      </c>
    </row>
    <row r="123" ht="180" customHeight="1" s="14">
      <c r="A123" s="24" t="inlineStr">
        <is>
          <t>2018::jama.2018.14280::C010</t>
        </is>
      </c>
      <c r="B123" s="24" t="n">
        <v>1</v>
      </c>
      <c r="C123" s="24" t="inlineStr">
        <is>
          <t>Reported-versus-comparator</t>
        </is>
      </c>
      <c r="D123" s="24" t="inlineStr">
        <is>
          <t>Printed percentages versus header and recoverable denominator calculations.</t>
        </is>
      </c>
    </row>
    <row r="124" ht="180" customHeight="1" s="14">
      <c r="A124" s="20" t="inlineStr">
        <is>
          <t>2018::jama.2018.14280::C010</t>
        </is>
      </c>
      <c r="B124" s="20" t="n">
        <v>2</v>
      </c>
      <c r="C124" s="20" t="inlineStr">
        <is>
          <t>Calculation</t>
        </is>
      </c>
      <c r="D124" s="20" t="inlineStr">
        <is>
          <t>363/477=76.1%, 353/484=72.9%; 363/454=80.0%, 353/462=76.4%.</t>
        </is>
      </c>
    </row>
    <row r="125" ht="180" customHeight="1" s="14">
      <c r="A125" s="24" t="inlineStr">
        <is>
          <t>2018::jama.2018.14280::C010</t>
        </is>
      </c>
      <c r="B125" s="24" t="n">
        <v>3</v>
      </c>
      <c r="C125" s="24" t="inlineStr">
        <is>
          <t>Alternative source-grounded interpretations</t>
        </is>
      </c>
      <c r="D125" s="24" t="inlineStr">
        <is>
          <t>Different available-case subsets may have been used; the source does not state whether nearby subsets are shared.</t>
        </is>
      </c>
    </row>
    <row r="126" ht="180" customHeight="1" s="14">
      <c r="A126" s="20" t="inlineStr">
        <is>
          <t>2018::jama.2018.14280::C011</t>
        </is>
      </c>
      <c r="B126" s="20" t="n">
        <v>0</v>
      </c>
      <c r="C126" s="20" t="inlineStr">
        <is>
          <t>Source evidence</t>
        </is>
      </c>
      <c r="D126" s="20" t="inlineStr">
        <is>
          <t>Main article Methods — PDF p. 4, Table 2 — PDF p. 6, and SAP — PDF p. 13.</t>
        </is>
      </c>
    </row>
    <row r="127" ht="180" customHeight="1" s="14">
      <c r="A127" s="24" t="inlineStr">
        <is>
          <t>2018::jama.2018.14280::C011</t>
        </is>
      </c>
      <c r="B127" s="24" t="n">
        <v>1</v>
      </c>
      <c r="C127" s="24" t="inlineStr">
        <is>
          <t>Reported-versus-comparator</t>
        </is>
      </c>
      <c r="D127" s="24" t="inlineStr">
        <is>
          <t>Methods says mortality rates were compared with Kaplan-Meier/Cox HRs; Table 2/SAP specify RR for ICU/hospital mortality and HR for 28/90-day mortality.</t>
        </is>
      </c>
    </row>
    <row r="128" ht="180" customHeight="1" s="14">
      <c r="A128" s="20" t="inlineStr">
        <is>
          <t>2018::jama.2018.14280::C011</t>
        </is>
      </c>
      <c r="B128" s="20" t="n">
        <v>2</v>
      </c>
      <c r="C128" s="20" t="inlineStr">
        <is>
          <t>Calculation</t>
        </is>
      </c>
      <c r="D128" s="20" t="inlineStr">
        <is>
          <t>Semantic comparison: Methods -&gt; HR/Cox if read broadly; Table 2 and SAP -&gt; RR/Wald for ICU/hospital mortality.</t>
        </is>
      </c>
    </row>
    <row r="129" ht="180" customHeight="1" s="14">
      <c r="A129" s="24" t="inlineStr">
        <is>
          <t>2018::jama.2018.14280::C011</t>
        </is>
      </c>
      <c r="B129" s="24" t="n">
        <v>3</v>
      </c>
      <c r="C129" s="24" t="inlineStr">
        <is>
          <t>Alternative source-grounded interpretations</t>
        </is>
      </c>
      <c r="D129" s="24" t="inlineStr">
        <is>
          <t>The Methods sentence may be overbroad and intended Cox only for time-indexed mortality.</t>
        </is>
      </c>
    </row>
    <row r="130" ht="180" customHeight="1" s="14">
      <c r="A130" s="20" t="inlineStr">
        <is>
          <t>2018::jama.2018.14280::C012</t>
        </is>
      </c>
      <c r="B130" s="20" t="n">
        <v>0</v>
      </c>
      <c r="C130" s="20" t="inlineStr">
        <is>
          <t>Source evidence</t>
        </is>
      </c>
      <c r="D130" s="20" t="inlineStr">
        <is>
          <t>Main article — PDF p. 6 prints low 132/450 (29.3), intermediate 115/458 (25.1), and RR, 1.11 (0.96-1.27).</t>
        </is>
      </c>
    </row>
    <row r="131" ht="180" customHeight="1" s="14">
      <c r="A131" s="24" t="inlineStr">
        <is>
          <t>2018::jama.2018.14280::C012</t>
        </is>
      </c>
      <c r="B131" s="24" t="n">
        <v>1</v>
      </c>
      <c r="C131" s="24" t="inlineStr">
        <is>
          <t>Reported-versus-comparator</t>
        </is>
      </c>
      <c r="D131" s="24" t="inlineStr">
        <is>
          <t>Reported RR 1.11 versus crude ratio of printed risks.</t>
        </is>
      </c>
    </row>
    <row r="132" ht="180" customHeight="1" s="14">
      <c r="A132" s="20" t="inlineStr">
        <is>
          <t>2018::jama.2018.14280::C012</t>
        </is>
      </c>
      <c r="B132" s="20" t="n">
        <v>2</v>
      </c>
      <c r="C132" s="20" t="inlineStr">
        <is>
          <t>Calculation</t>
        </is>
      </c>
      <c r="D132" s="20" t="inlineStr">
        <is>
          <t>(132/450)/(115/458)=1.168231884, rounding to 1.17, not 1.11.</t>
        </is>
      </c>
    </row>
    <row r="133" ht="180" customHeight="1" s="14">
      <c r="A133" s="24" t="inlineStr">
        <is>
          <t>2018::jama.2018.14280::C012</t>
        </is>
      </c>
      <c r="B133" s="24" t="n">
        <v>3</v>
      </c>
      <c r="C133" s="24" t="inlineStr">
        <is>
          <t>Alternative source-grounded interpretations</t>
        </is>
      </c>
      <c r="D133" s="24" t="inlineStr">
        <is>
          <t>A non-crude estimator, different population, weighting, or strata may underlie 1.11.</t>
        </is>
      </c>
    </row>
    <row r="134" ht="180" customHeight="1" s="14">
      <c r="A134" s="20" t="inlineStr">
        <is>
          <t>2018::jama.2018.14280::C013</t>
        </is>
      </c>
      <c r="B134" s="20" t="n">
        <v>0</v>
      </c>
      <c r="C134" s="20" t="inlineStr">
        <is>
          <t>Source evidence</t>
        </is>
      </c>
      <c r="D134" s="20" t="inlineStr">
        <is>
          <t>Main article — PDF p. 6 prints low 151/477 (31.7), intermediate 140/484 (28.9), and RR 1.06.</t>
        </is>
      </c>
    </row>
    <row r="135" ht="180" customHeight="1" s="14">
      <c r="A135" s="24" t="inlineStr">
        <is>
          <t>2018::jama.2018.14280::C013</t>
        </is>
      </c>
      <c r="B135" s="24" t="n">
        <v>1</v>
      </c>
      <c r="C135" s="24" t="inlineStr">
        <is>
          <t>Reported-versus-comparator</t>
        </is>
      </c>
      <c r="D135" s="24" t="inlineStr">
        <is>
          <t>Reported RR 1.06 versus displayed-risk ratio.</t>
        </is>
      </c>
    </row>
    <row r="136" ht="180" customHeight="1" s="14">
      <c r="A136" s="20" t="inlineStr">
        <is>
          <t>2018::jama.2018.14280::C013</t>
        </is>
      </c>
      <c r="B136" s="20" t="n">
        <v>2</v>
      </c>
      <c r="C136" s="20" t="inlineStr">
        <is>
          <t>Calculation</t>
        </is>
      </c>
      <c r="D136" s="20" t="inlineStr">
        <is>
          <t>(151/477)/(140/484)=1.094399521, rounding to 1.09, not 1.06.</t>
        </is>
      </c>
    </row>
    <row r="137" ht="180" customHeight="1" s="14">
      <c r="A137" s="24" t="inlineStr">
        <is>
          <t>2018::jama.2018.14280::C013</t>
        </is>
      </c>
      <c r="B137" s="24" t="n">
        <v>3</v>
      </c>
      <c r="C137" s="24" t="inlineStr">
        <is>
          <t>Alternative source-grounded interpretations</t>
        </is>
      </c>
      <c r="D137" s="24" t="inlineStr">
        <is>
          <t>A differently defined estimator or analysis population may underlie the printed RR.</t>
        </is>
      </c>
    </row>
    <row r="138" ht="180" customHeight="1" s="14">
      <c r="A138" s="20" t="inlineStr">
        <is>
          <t>2018::jama.2018.14280::C014</t>
        </is>
      </c>
      <c r="B138" s="20" t="n">
        <v>0</v>
      </c>
      <c r="C138" s="20" t="inlineStr">
        <is>
          <t>Source evidence</t>
        </is>
      </c>
      <c r="D138" s="20" t="inlineStr">
        <is>
          <t>Main article — PDF p. 6 prints 17/448 (3.8), 23/462 (5.0), and RR 0.86.</t>
        </is>
      </c>
    </row>
    <row r="139" ht="180" customHeight="1" s="14">
      <c r="A139" s="24" t="inlineStr">
        <is>
          <t>2018::jama.2018.14280::C014</t>
        </is>
      </c>
      <c r="B139" s="24" t="n">
        <v>1</v>
      </c>
      <c r="C139" s="24" t="inlineStr">
        <is>
          <t>Reported-versus-comparator</t>
        </is>
      </c>
      <c r="D139" s="24" t="inlineStr">
        <is>
          <t>Reported RR 0.86 versus printed-risk ratio.</t>
        </is>
      </c>
    </row>
    <row r="140" ht="180" customHeight="1" s="14">
      <c r="A140" s="20" t="inlineStr">
        <is>
          <t>2018::jama.2018.14280::C014</t>
        </is>
      </c>
      <c r="B140" s="20" t="n">
        <v>2</v>
      </c>
      <c r="C140" s="20" t="inlineStr">
        <is>
          <t>Calculation</t>
        </is>
      </c>
      <c r="D140" s="20" t="inlineStr">
        <is>
          <t>(17/448)/(23/462)=0.762228261, rounding to 0.76, not 0.86.</t>
        </is>
      </c>
    </row>
    <row r="141" ht="180" customHeight="1" s="14">
      <c r="A141" s="24" t="inlineStr">
        <is>
          <t>2018::jama.2018.14280::C014</t>
        </is>
      </c>
      <c r="B141" s="24" t="n">
        <v>3</v>
      </c>
      <c r="C141" s="24" t="inlineStr">
        <is>
          <t>Alternative source-grounded interpretations</t>
        </is>
      </c>
      <c r="D141" s="24" t="inlineStr">
        <is>
          <t>A model- or test-derived RR beyond displayed margins may have been used but is not described.</t>
        </is>
      </c>
    </row>
    <row r="142" ht="180" customHeight="1" s="14">
      <c r="A142" s="20" t="inlineStr">
        <is>
          <t>2018::jama.2018.14280::C015</t>
        </is>
      </c>
      <c r="B142" s="20" t="n">
        <v>0</v>
      </c>
      <c r="C142" s="20" t="inlineStr">
        <is>
          <t>Source evidence</t>
        </is>
      </c>
      <c r="D142" s="20" t="inlineStr">
        <is>
          <t>Main article — PDF p. 6 prints 19/450 (4.2), 17/462 (3.7), and RR 1.07.</t>
        </is>
      </c>
    </row>
    <row r="143" ht="180" customHeight="1" s="14">
      <c r="A143" s="24" t="inlineStr">
        <is>
          <t>2018::jama.2018.14280::C015</t>
        </is>
      </c>
      <c r="B143" s="24" t="n">
        <v>1</v>
      </c>
      <c r="C143" s="24" t="inlineStr">
        <is>
          <t>Reported-versus-comparator</t>
        </is>
      </c>
      <c r="D143" s="24" t="inlineStr">
        <is>
          <t>Reported RR 1.07 versus printed-risk ratio.</t>
        </is>
      </c>
    </row>
    <row r="144" ht="180" customHeight="1" s="14">
      <c r="A144" s="20" t="inlineStr">
        <is>
          <t>2018::jama.2018.14280::C015</t>
        </is>
      </c>
      <c r="B144" s="20" t="n">
        <v>2</v>
      </c>
      <c r="C144" s="20" t="inlineStr">
        <is>
          <t>Calculation</t>
        </is>
      </c>
      <c r="D144" s="20" t="inlineStr">
        <is>
          <t>(19/450)/(17/462)=1.147450980, rounding to 1.15, not 1.07.</t>
        </is>
      </c>
    </row>
    <row r="145" ht="180" customHeight="1" s="14">
      <c r="A145" s="24" t="inlineStr">
        <is>
          <t>2018::jama.2018.14280::C015</t>
        </is>
      </c>
      <c r="B145" s="24" t="n">
        <v>3</v>
      </c>
      <c r="C145" s="24" t="inlineStr">
        <is>
          <t>Alternative source-grounded interpretations</t>
        </is>
      </c>
      <c r="D145" s="24" t="inlineStr">
        <is>
          <t>A procedure using information beyond displayed margins is possible but not described.</t>
        </is>
      </c>
    </row>
    <row r="146" ht="180" customHeight="1" s="14">
      <c r="A146" s="20" t="inlineStr">
        <is>
          <t>2018::jama.2018.14280::C016</t>
        </is>
      </c>
      <c r="B146" s="20" t="n">
        <v>0</v>
      </c>
      <c r="C146" s="20" t="inlineStr">
        <is>
          <t>Source evidence</t>
        </is>
      </c>
      <c r="D146" s="20" t="inlineStr">
        <is>
          <t>Main article — PDF p. 6 prints 8/448 (1.8), 6/462 (1.3), and RR 1.16.</t>
        </is>
      </c>
    </row>
    <row r="147" ht="180" customHeight="1" s="14">
      <c r="A147" s="24" t="inlineStr">
        <is>
          <t>2018::jama.2018.14280::C016</t>
        </is>
      </c>
      <c r="B147" s="24" t="n">
        <v>1</v>
      </c>
      <c r="C147" s="24" t="inlineStr">
        <is>
          <t>Reported-versus-comparator</t>
        </is>
      </c>
      <c r="D147" s="24" t="inlineStr">
        <is>
          <t>Reported RR 1.16 versus printed-risk ratio.</t>
        </is>
      </c>
    </row>
    <row r="148" ht="180" customHeight="1" s="14">
      <c r="A148" s="20" t="inlineStr">
        <is>
          <t>2018::jama.2018.14280::C016</t>
        </is>
      </c>
      <c r="B148" s="20" t="n">
        <v>2</v>
      </c>
      <c r="C148" s="20" t="inlineStr">
        <is>
          <t>Calculation</t>
        </is>
      </c>
      <c r="D148" s="20" t="inlineStr">
        <is>
          <t>(8/448)/(6/462)=1.375, rounding to 1.38, not 1.16.</t>
        </is>
      </c>
    </row>
    <row r="149" ht="180" customHeight="1" s="14">
      <c r="A149" s="24" t="inlineStr">
        <is>
          <t>2018::jama.2018.14280::C016</t>
        </is>
      </c>
      <c r="B149" s="24" t="n">
        <v>3</v>
      </c>
      <c r="C149" s="24" t="inlineStr">
        <is>
          <t>Alternative source-grounded interpretations</t>
        </is>
      </c>
      <c r="D149" s="24" t="inlineStr">
        <is>
          <t>A model or test using unprinted information may produce a different effect.</t>
        </is>
      </c>
    </row>
    <row r="150" ht="180" customHeight="1" s="14">
      <c r="A150" s="20" t="inlineStr">
        <is>
          <t>2018::jama.2018.14280::C017</t>
        </is>
      </c>
      <c r="B150" s="20" t="n">
        <v>0</v>
      </c>
      <c r="C150" s="20" t="inlineStr">
        <is>
          <t>Source evidence</t>
        </is>
      </c>
      <c r="D150" s="20" t="inlineStr">
        <is>
          <t>Main article — PDF p. 6 prints 51/449 (11.4), 52/464 (11.2), and RR 1.00.</t>
        </is>
      </c>
    </row>
    <row r="151" ht="180" customHeight="1" s="14">
      <c r="A151" s="24" t="inlineStr">
        <is>
          <t>2018::jama.2018.14280::C017</t>
        </is>
      </c>
      <c r="B151" s="24" t="n">
        <v>1</v>
      </c>
      <c r="C151" s="24" t="inlineStr">
        <is>
          <t>Reported-versus-comparator</t>
        </is>
      </c>
      <c r="D151" s="24" t="inlineStr">
        <is>
          <t>Reported RR 1.00 versus printed-risk ratio.</t>
        </is>
      </c>
    </row>
    <row r="152" ht="180" customHeight="1" s="14">
      <c r="A152" s="20" t="inlineStr">
        <is>
          <t>2018::jama.2018.14280::C017</t>
        </is>
      </c>
      <c r="B152" s="20" t="n">
        <v>2</v>
      </c>
      <c r="C152" s="20" t="inlineStr">
        <is>
          <t>Calculation</t>
        </is>
      </c>
      <c r="D152" s="20" t="inlineStr">
        <is>
          <t>(51/449)/(52/464)=1.013534350, rounding to 1.01, not 1.00.</t>
        </is>
      </c>
    </row>
    <row r="153" ht="180" customHeight="1" s="14">
      <c r="A153" s="24" t="inlineStr">
        <is>
          <t>2018::jama.2018.14280::C017</t>
        </is>
      </c>
      <c r="B153" s="24" t="n">
        <v>3</v>
      </c>
      <c r="C153" s="24" t="inlineStr">
        <is>
          <t>Alternative source-grounded interpretations</t>
        </is>
      </c>
      <c r="D153" s="24" t="inlineStr">
        <is>
          <t>A separately estimated or more heavily rounded effect could print as 1.00, but the source does not disclose the computation.</t>
        </is>
      </c>
    </row>
    <row r="154" ht="180" customHeight="1" s="14">
      <c r="A154" s="20" t="inlineStr">
        <is>
          <t>2018::jama.2018.14280::C018</t>
        </is>
      </c>
      <c r="B154" s="20" t="n">
        <v>0</v>
      </c>
      <c r="C154" s="20" t="inlineStr">
        <is>
          <t>Source evidence</t>
        </is>
      </c>
      <c r="D154" s="20" t="inlineStr">
        <is>
          <t>Main article — PDF p. 6 prints 20/448 (4.5), 28/463 (6.0), and RR 0.84.</t>
        </is>
      </c>
    </row>
    <row r="155" ht="180" customHeight="1" s="14">
      <c r="A155" s="24" t="inlineStr">
        <is>
          <t>2018::jama.2018.14280::C018</t>
        </is>
      </c>
      <c r="B155" s="24" t="n">
        <v>1</v>
      </c>
      <c r="C155" s="24" t="inlineStr">
        <is>
          <t>Reported-versus-comparator</t>
        </is>
      </c>
      <c r="D155" s="24" t="inlineStr">
        <is>
          <t>Reported RR 0.84 versus printed-risk ratio.</t>
        </is>
      </c>
    </row>
    <row r="156" ht="180" customHeight="1" s="14">
      <c r="A156" s="20" t="inlineStr">
        <is>
          <t>2018::jama.2018.14280::C018</t>
        </is>
      </c>
      <c r="B156" s="20" t="n">
        <v>2</v>
      </c>
      <c r="C156" s="20" t="inlineStr">
        <is>
          <t>Calculation</t>
        </is>
      </c>
      <c r="D156" s="20" t="inlineStr">
        <is>
          <t>(20/448)/(28/463)=0.738201531, rounding to 0.74, not 0.84.</t>
        </is>
      </c>
    </row>
    <row r="157" ht="180" customHeight="1" s="14">
      <c r="A157" s="24" t="inlineStr">
        <is>
          <t>2018::jama.2018.14280::C018</t>
        </is>
      </c>
      <c r="B157" s="24" t="n">
        <v>3</v>
      </c>
      <c r="C157" s="24" t="inlineStr">
        <is>
          <t>Alternative source-grounded interpretations</t>
        </is>
      </c>
      <c r="D157" s="24" t="inlineStr">
        <is>
          <t>An unspecified procedure beyond the margins could yield the printed RR.</t>
        </is>
      </c>
    </row>
    <row r="158" ht="180" customHeight="1" s="14">
      <c r="A158" s="20" t="inlineStr">
        <is>
          <t>2018::jama.2018.14280::C019</t>
        </is>
      </c>
      <c r="B158" s="20" t="n">
        <v>0</v>
      </c>
      <c r="C158" s="20" t="inlineStr">
        <is>
          <t>Source evidence</t>
        </is>
      </c>
      <c r="D158" s="20" t="inlineStr">
        <is>
          <t>Main article — PDF p. 6 prints 12/448 (2.7), 16/463 (3.5), and RR 0.87.</t>
        </is>
      </c>
    </row>
    <row r="159" ht="180" customHeight="1" s="14">
      <c r="A159" s="24" t="inlineStr">
        <is>
          <t>2018::jama.2018.14280::C019</t>
        </is>
      </c>
      <c r="B159" s="24" t="n">
        <v>1</v>
      </c>
      <c r="C159" s="24" t="inlineStr">
        <is>
          <t>Reported-versus-comparator</t>
        </is>
      </c>
      <c r="D159" s="24" t="inlineStr">
        <is>
          <t>Reported RR 0.87 versus printed-risk ratio.</t>
        </is>
      </c>
    </row>
    <row r="160" ht="180" customHeight="1" s="14">
      <c r="A160" s="20" t="inlineStr">
        <is>
          <t>2018::jama.2018.14280::C019</t>
        </is>
      </c>
      <c r="B160" s="20" t="n">
        <v>2</v>
      </c>
      <c r="C160" s="20" t="inlineStr">
        <is>
          <t>Calculation</t>
        </is>
      </c>
      <c r="D160" s="20" t="inlineStr">
        <is>
          <t>(12/448)/(16/463)=0.775111607, rounding to 0.78, not 0.87.</t>
        </is>
      </c>
    </row>
    <row r="161" ht="180" customHeight="1" s="14">
      <c r="A161" s="24" t="inlineStr">
        <is>
          <t>2018::jama.2018.14280::C019</t>
        </is>
      </c>
      <c r="B161" s="24" t="n">
        <v>3</v>
      </c>
      <c r="C161" s="24" t="inlineStr">
        <is>
          <t>Alternative source-grounded interpretations</t>
        </is>
      </c>
      <c r="D161" s="24" t="inlineStr">
        <is>
          <t>A non-crude RR may differ from table margins, but no implementation is identified.</t>
        </is>
      </c>
    </row>
    <row r="162" ht="180" customHeight="1" s="14">
      <c r="A162" s="20" t="inlineStr">
        <is>
          <t>2018::jama.2018.14280::C020</t>
        </is>
      </c>
      <c r="B162" s="20" t="n">
        <v>0</v>
      </c>
      <c r="C162" s="20" t="inlineStr">
        <is>
          <t>Source evidence</t>
        </is>
      </c>
      <c r="D162" s="20" t="inlineStr">
        <is>
          <t>Main article — PDF p. 6 prints 149/343 (43.4), 132/361 (36.6), and RR 1.15.</t>
        </is>
      </c>
    </row>
    <row r="163" ht="180" customHeight="1" s="14">
      <c r="A163" s="24" t="inlineStr">
        <is>
          <t>2018::jama.2018.14280::C020</t>
        </is>
      </c>
      <c r="B163" s="24" t="n">
        <v>1</v>
      </c>
      <c r="C163" s="24" t="inlineStr">
        <is>
          <t>Reported-versus-comparator</t>
        </is>
      </c>
      <c r="D163" s="24" t="inlineStr">
        <is>
          <t>Reported RR 1.15 versus printed-risk ratio.</t>
        </is>
      </c>
    </row>
    <row r="164" ht="180" customHeight="1" s="14">
      <c r="A164" s="20" t="inlineStr">
        <is>
          <t>2018::jama.2018.14280::C020</t>
        </is>
      </c>
      <c r="B164" s="20" t="n">
        <v>2</v>
      </c>
      <c r="C164" s="20" t="inlineStr">
        <is>
          <t>Calculation</t>
        </is>
      </c>
      <c r="D164" s="20" t="inlineStr">
        <is>
          <t>(149/343)/(132/361)=1.188024560, rounding to 1.19, not 1.15.</t>
        </is>
      </c>
    </row>
    <row r="165" ht="180" customHeight="1" s="14">
      <c r="A165" s="24" t="inlineStr">
        <is>
          <t>2018::jama.2018.14280::C020</t>
        </is>
      </c>
      <c r="B165" s="24" t="n">
        <v>3</v>
      </c>
      <c r="C165" s="24" t="inlineStr">
        <is>
          <t>Alternative source-grounded interpretations</t>
        </is>
      </c>
      <c r="D165" s="24" t="inlineStr">
        <is>
          <t>A non-crude analysis or population not fully represented by margins may yield another RR.</t>
        </is>
      </c>
    </row>
    <row r="166" ht="180" customHeight="1" s="14">
      <c r="A166" s="20" t="inlineStr">
        <is>
          <t>2018::jama.2018.14280::C021</t>
        </is>
      </c>
      <c r="B166" s="20" t="n">
        <v>0</v>
      </c>
      <c r="C166" s="20" t="inlineStr">
        <is>
          <t>Source evidence</t>
        </is>
      </c>
      <c r="D166" s="20" t="inlineStr">
        <is>
          <t>Main article — PDF p. 6 prints 54/477 (11.3), 52/484 (10.7), and RR 1.03.</t>
        </is>
      </c>
    </row>
    <row r="167" ht="180" customHeight="1" s="14">
      <c r="A167" s="24" t="inlineStr">
        <is>
          <t>2018::jama.2018.14280::C021</t>
        </is>
      </c>
      <c r="B167" s="24" t="n">
        <v>1</v>
      </c>
      <c r="C167" s="24" t="inlineStr">
        <is>
          <t>Reported-versus-comparator</t>
        </is>
      </c>
      <c r="D167" s="24" t="inlineStr">
        <is>
          <t>Reported RR 1.03 versus printed-risk ratio.</t>
        </is>
      </c>
    </row>
    <row r="168" ht="180" customHeight="1" s="14">
      <c r="A168" s="20" t="inlineStr">
        <is>
          <t>2018::jama.2018.14280::C021</t>
        </is>
      </c>
      <c r="B168" s="20" t="n">
        <v>2</v>
      </c>
      <c r="C168" s="20" t="inlineStr">
        <is>
          <t>Calculation</t>
        </is>
      </c>
      <c r="D168" s="20" t="inlineStr">
        <is>
          <t>(54/477)/(52/484)=1.053701016, rounding to 1.05, not 1.03.</t>
        </is>
      </c>
    </row>
    <row r="169" ht="180" customHeight="1" s="14">
      <c r="A169" s="24" t="inlineStr">
        <is>
          <t>2018::jama.2018.14280::C021</t>
        </is>
      </c>
      <c r="B169" s="24" t="n">
        <v>3</v>
      </c>
      <c r="C169" s="24" t="inlineStr">
        <is>
          <t>Alternative source-grounded interpretations</t>
        </is>
      </c>
      <c r="D169" s="24" t="inlineStr">
        <is>
          <t>A procedure not reducible to displayed margins may have been used, but it is not specified.</t>
        </is>
      </c>
    </row>
    <row r="170" ht="180" customHeight="1" s="14">
      <c r="A170" s="20" t="inlineStr">
        <is>
          <t>2018::jama.2018.14280::C022</t>
        </is>
      </c>
      <c r="B170" s="20" t="n">
        <v>0</v>
      </c>
      <c r="C170" s="20" t="inlineStr">
        <is>
          <t>Source evidence</t>
        </is>
      </c>
      <c r="D170" s="20" t="inlineStr">
        <is>
          <t>Main article — PDF p. 6 prints inside-ICU -2.50 [IQR, -4.63 to -0.36] and outside-ICU 1.45 [IQR, -0.52 to 3.43]; Supplement 3 — PDF p. 9 labels the identical values Mean Difference (95% CI).</t>
        </is>
      </c>
    </row>
    <row r="171" ht="180" customHeight="1" s="14">
      <c r="A171" s="24" t="inlineStr">
        <is>
          <t>2018::jama.2018.14280::C022</t>
        </is>
      </c>
      <c r="B171" s="24" t="n">
        <v>1</v>
      </c>
      <c r="C171" s="24" t="inlineStr">
        <is>
          <t>Reported-versus-comparator</t>
        </is>
      </c>
      <c r="D171" s="24" t="inlineStr">
        <is>
          <t>Main-text IQR labels versus eTable 5 95% CI labels for identical point estimates and endpoints.</t>
        </is>
      </c>
    </row>
    <row r="172" ht="180" customHeight="1" s="14">
      <c r="A172" s="20" t="inlineStr">
        <is>
          <t>2018::jama.2018.14280::C022</t>
        </is>
      </c>
      <c r="B172" s="20" t="n">
        <v>2</v>
      </c>
      <c r="C172" s="20" t="inlineStr">
        <is>
          <t>Calculation</t>
        </is>
      </c>
      <c r="D172" s="20" t="inlineStr">
        <is>
          <t>Both sources show -2.50 (-4.63 to -0.36) and 1.45 (-0.52 to 3.43); only IQR versus 95% CI differs.</t>
        </is>
      </c>
    </row>
    <row r="173" ht="180" customHeight="1" s="14">
      <c r="A173" s="24" t="inlineStr">
        <is>
          <t>2018::jama.2018.14280::C022</t>
        </is>
      </c>
      <c r="B173" s="24" t="n">
        <v>3</v>
      </c>
      <c r="C173" s="24" t="inlineStr">
        <is>
          <t>Alternative source-grounded interpretations</t>
        </is>
      </c>
      <c r="D173" s="24" t="inlineStr">
        <is>
          <t>The narrative label may be a transcription error; the supplied sources do not establish intended wording.</t>
        </is>
      </c>
    </row>
    <row r="174" ht="180" customHeight="1" s="14">
      <c r="A174" s="20" t="inlineStr">
        <is>
          <t>2018::jama.2018.14280::C023</t>
        </is>
      </c>
      <c r="B174" s="20" t="n">
        <v>0</v>
      </c>
      <c r="C174" s="20" t="inlineStr">
        <is>
          <t>Source evidence</t>
        </is>
      </c>
      <c r="D174" s="20" t="inlineStr">
        <is>
          <t>Main article abstract — PDF p. 1 and Results/Patients — PDF p. 5 print August 20, 2017. SAP abstract — PDF p. 3 and SAP introduction — PDF p. 5 print August 22, 2017.</t>
        </is>
      </c>
    </row>
    <row r="175" ht="180" customHeight="1" s="14">
      <c r="A175" s="24" t="inlineStr">
        <is>
          <t>2018::jama.2018.14280::C023</t>
        </is>
      </c>
      <c r="B175" s="24" t="n">
        <v>1</v>
      </c>
      <c r="C175" s="24" t="inlineStr">
        <is>
          <t>Reported-versus-comparator</t>
        </is>
      </c>
      <c r="D175" s="24" t="inlineStr">
        <is>
          <t>Main-article enrollment end date August 20, 2017 versus SAP enrollment-completion date August 22, 2017.</t>
        </is>
      </c>
    </row>
    <row r="176" ht="180" customHeight="1" s="14">
      <c r="A176" s="20" t="inlineStr">
        <is>
          <t>2018::jama.2018.14280::C023</t>
        </is>
      </c>
      <c r="B176" s="20" t="n">
        <v>2</v>
      </c>
      <c r="C176" s="20" t="inlineStr">
        <is>
          <t>Calculation</t>
        </is>
      </c>
      <c r="D176" s="20" t="inlineStr">
        <is>
          <t>August 22, 2017 is two calendar days after August 20, 2017.</t>
        </is>
      </c>
    </row>
    <row r="177" ht="180" customHeight="1" s="14">
      <c r="A177" s="24" t="inlineStr">
        <is>
          <t>2018::jama.2018.14280::C023</t>
        </is>
      </c>
      <c r="B177" s="24" t="n">
        <v>3</v>
      </c>
      <c r="C177" s="24" t="inlineStr">
        <is>
          <t>Alternative source-grounded interpretations</t>
        </is>
      </c>
      <c r="D177" s="24" t="inlineStr">
        <is>
          <t>August 20 may be the last screened/enrolled/randomized patient and August 22 administrative completion; the supplied sources do not define distinct events.</t>
        </is>
      </c>
    </row>
    <row r="178" ht="180" customHeight="1" s="14">
      <c r="A178" s="20" t="inlineStr">
        <is>
          <t>2018::jama.2018.14282::C001</t>
        </is>
      </c>
      <c r="B178" s="20" t="n">
        <v>0</v>
      </c>
      <c r="C178" s="20" t="inlineStr">
        <is>
          <t>Source evidence</t>
        </is>
      </c>
      <c r="D178" s="20" t="inlineStr">
        <is>
          <t>Standard Oxygen Therapy n=388, men 247 (63.6).</t>
        </is>
      </c>
    </row>
    <row r="179" ht="180" customHeight="1" s="14">
      <c r="A179" s="24" t="inlineStr">
        <is>
          <t>2018::jama.2018.14282::C001</t>
        </is>
      </c>
      <c r="B179" s="24" t="n">
        <v>1</v>
      </c>
      <c r="C179" s="24" t="inlineStr">
        <is>
          <t>Reported-versus-comparator</t>
        </is>
      </c>
      <c r="D179" s="24" t="inlineStr">
        <is>
          <t>Reported 63.6% versus 63.7% from 247/388.</t>
        </is>
      </c>
    </row>
    <row r="180" ht="180" customHeight="1" s="14">
      <c r="A180" s="20" t="inlineStr">
        <is>
          <t>2018::jama.2018.14282::C001</t>
        </is>
      </c>
      <c r="B180" s="20" t="n">
        <v>2</v>
      </c>
      <c r="C180" s="20" t="inlineStr">
        <is>
          <t>Calculation</t>
        </is>
      </c>
      <c r="D180" s="20" t="inlineStr">
        <is>
          <t>247/388×100=63.6598%; nearest one decimal=63.7%.</t>
        </is>
      </c>
    </row>
    <row r="181" ht="180" customHeight="1" s="14">
      <c r="A181" s="24" t="inlineStr">
        <is>
          <t>2018::jama.2018.14282::C001</t>
        </is>
      </c>
      <c r="B181" s="24" t="n">
        <v>3</v>
      </c>
      <c r="C181" s="24" t="inlineStr">
        <is>
          <t>Alternative source-grounded interpretations</t>
        </is>
      </c>
      <c r="D181" s="24" t="inlineStr">
        <is>
          <t>An unstated denominator or rounding convention could explain the display.</t>
        </is>
      </c>
    </row>
    <row r="182" ht="180" customHeight="1" s="14">
      <c r="A182" s="20" t="inlineStr">
        <is>
          <t>2018::jama.2018.14282::C002</t>
        </is>
      </c>
      <c r="B182" s="20" t="n">
        <v>0</v>
      </c>
      <c r="C182" s="20" t="inlineStr">
        <is>
          <t>Source evidence</t>
        </is>
      </c>
      <c r="D182" s="20" t="inlineStr">
        <is>
          <t>Standard Oxygen Therapy n=388, women 141 (36.4).</t>
        </is>
      </c>
    </row>
    <row r="183" ht="180" customHeight="1" s="14">
      <c r="A183" s="24" t="inlineStr">
        <is>
          <t>2018::jama.2018.14282::C002</t>
        </is>
      </c>
      <c r="B183" s="24" t="n">
        <v>1</v>
      </c>
      <c r="C183" s="24" t="inlineStr">
        <is>
          <t>Reported-versus-comparator</t>
        </is>
      </c>
      <c r="D183" s="24" t="inlineStr">
        <is>
          <t>Reported 36.4% versus 36.3% from 141/388.</t>
        </is>
      </c>
    </row>
    <row r="184" ht="180" customHeight="1" s="14">
      <c r="A184" s="20" t="inlineStr">
        <is>
          <t>2018::jama.2018.14282::C002</t>
        </is>
      </c>
      <c r="B184" s="20" t="n">
        <v>2</v>
      </c>
      <c r="C184" s="20" t="inlineStr">
        <is>
          <t>Calculation</t>
        </is>
      </c>
      <c r="D184" s="20" t="inlineStr">
        <is>
          <t>141/388×100=36.3402%; nearest one decimal=36.3%.</t>
        </is>
      </c>
    </row>
    <row r="185" ht="180" customHeight="1" s="14">
      <c r="A185" s="24" t="inlineStr">
        <is>
          <t>2018::jama.2018.14282::C002</t>
        </is>
      </c>
      <c r="B185" s="24" t="n">
        <v>3</v>
      </c>
      <c r="C185" s="24" t="inlineStr">
        <is>
          <t>Alternative source-grounded interpretations</t>
        </is>
      </c>
      <c r="D185" s="24" t="inlineStr">
        <is>
          <t>An unstated denominator or rounding convention could explain the display.</t>
        </is>
      </c>
    </row>
    <row r="186" ht="180" customHeight="1" s="14">
      <c r="A186" s="20" t="inlineStr">
        <is>
          <t>2018::jama.2018.14282::C003</t>
        </is>
      </c>
      <c r="B186" s="20" t="n">
        <v>0</v>
      </c>
      <c r="C186" s="20" t="inlineStr">
        <is>
          <t>Source evidence</t>
        </is>
      </c>
      <c r="D186" s="20" t="inlineStr">
        <is>
          <t>Standard Oxygen Therapy n=388, heart failure 27 (6.9).</t>
        </is>
      </c>
    </row>
    <row r="187" ht="180" customHeight="1" s="14">
      <c r="A187" s="24" t="inlineStr">
        <is>
          <t>2018::jama.2018.14282::C003</t>
        </is>
      </c>
      <c r="B187" s="24" t="n">
        <v>1</v>
      </c>
      <c r="C187" s="24" t="inlineStr">
        <is>
          <t>Reported-versus-comparator</t>
        </is>
      </c>
      <c r="D187" s="24" t="inlineStr">
        <is>
          <t>Reported 6.9% versus 7.0% from 27/388.</t>
        </is>
      </c>
    </row>
    <row r="188" ht="180" customHeight="1" s="14">
      <c r="A188" s="20" t="inlineStr">
        <is>
          <t>2018::jama.2018.14282::C003</t>
        </is>
      </c>
      <c r="B188" s="20" t="n">
        <v>2</v>
      </c>
      <c r="C188" s="20" t="inlineStr">
        <is>
          <t>Calculation</t>
        </is>
      </c>
      <c r="D188" s="20" t="inlineStr">
        <is>
          <t>27/388×100=6.9588%; nearest one decimal=7.0%.</t>
        </is>
      </c>
    </row>
    <row r="189" ht="180" customHeight="1" s="14">
      <c r="A189" s="24" t="inlineStr">
        <is>
          <t>2018::jama.2018.14282::C003</t>
        </is>
      </c>
      <c r="B189" s="24" t="n">
        <v>3</v>
      </c>
      <c r="C189" s="24" t="inlineStr">
        <is>
          <t>Alternative source-grounded interpretations</t>
        </is>
      </c>
      <c r="D189" s="24" t="inlineStr">
        <is>
          <t>A row-specific denominator or another rounding convention is not documented.</t>
        </is>
      </c>
    </row>
    <row r="190" ht="180" customHeight="1" s="14">
      <c r="A190" s="20" t="inlineStr">
        <is>
          <t>2018::jama.2018.14282::C004</t>
        </is>
      </c>
      <c r="B190" s="20" t="n">
        <v>0</v>
      </c>
      <c r="C190" s="20" t="inlineStr">
        <is>
          <t>Source evidence</t>
        </is>
      </c>
      <c r="D190" s="20" t="inlineStr">
        <is>
          <t>High-Flow Oxygen Therapy n=388, liver disease 45 (13.3).</t>
        </is>
      </c>
    </row>
    <row r="191" ht="180" customHeight="1" s="14">
      <c r="A191" s="24" t="inlineStr">
        <is>
          <t>2018::jama.2018.14282::C004</t>
        </is>
      </c>
      <c r="B191" s="24" t="n">
        <v>1</v>
      </c>
      <c r="C191" s="24" t="inlineStr">
        <is>
          <t>Reported-versus-comparator</t>
        </is>
      </c>
      <c r="D191" s="24" t="inlineStr">
        <is>
          <t>Reported 13.3% versus 11.6% from 45/388.</t>
        </is>
      </c>
    </row>
    <row r="192" ht="180" customHeight="1" s="14">
      <c r="A192" s="20" t="inlineStr">
        <is>
          <t>2018::jama.2018.14282::C004</t>
        </is>
      </c>
      <c r="B192" s="20" t="n">
        <v>2</v>
      </c>
      <c r="C192" s="20" t="inlineStr">
        <is>
          <t>Calculation</t>
        </is>
      </c>
      <c r="D192" s="20" t="inlineStr">
        <is>
          <t>45/388×100=11.5979%; nearest one decimal=11.6%.</t>
        </is>
      </c>
    </row>
    <row r="193" ht="180" customHeight="1" s="14">
      <c r="A193" s="24" t="inlineStr">
        <is>
          <t>2018::jama.2018.14282::C004</t>
        </is>
      </c>
      <c r="B193" s="24" t="n">
        <v>3</v>
      </c>
      <c r="C193" s="24" t="inlineStr">
        <is>
          <t>Alternative source-grounded interpretations</t>
        </is>
      </c>
      <c r="D193" s="24" t="inlineStr">
        <is>
          <t>A different population, transcription, or column-placement issue could explain the pair; none is identified in the source.</t>
        </is>
      </c>
    </row>
    <row r="194" ht="180" customHeight="1" s="14">
      <c r="A194" s="20" t="inlineStr">
        <is>
          <t>2018::jama.2018.14282::C005</t>
        </is>
      </c>
      <c r="B194" s="20" t="n">
        <v>0</v>
      </c>
      <c r="C194" s="20" t="inlineStr">
        <is>
          <t>Source evidence</t>
        </is>
      </c>
      <c r="D194" s="20" t="inlineStr">
        <is>
          <t>Standard Oxygen Therapy n=388, kidney disease 69 (20.4).</t>
        </is>
      </c>
    </row>
    <row r="195" ht="180" customHeight="1" s="14">
      <c r="A195" s="24" t="inlineStr">
        <is>
          <t>2018::jama.2018.14282::C005</t>
        </is>
      </c>
      <c r="B195" s="24" t="n">
        <v>1</v>
      </c>
      <c r="C195" s="24" t="inlineStr">
        <is>
          <t>Reported-versus-comparator</t>
        </is>
      </c>
      <c r="D195" s="24" t="inlineStr">
        <is>
          <t>Reported 20.4% versus 17.8% from 69/388.</t>
        </is>
      </c>
    </row>
    <row r="196" ht="180" customHeight="1" s="14">
      <c r="A196" s="20" t="inlineStr">
        <is>
          <t>2018::jama.2018.14282::C005</t>
        </is>
      </c>
      <c r="B196" s="20" t="n">
        <v>2</v>
      </c>
      <c r="C196" s="20" t="inlineStr">
        <is>
          <t>Calculation</t>
        </is>
      </c>
      <c r="D196" s="20" t="inlineStr">
        <is>
          <t>69/388×100=17.7835%; nearest one decimal=17.8%.</t>
        </is>
      </c>
    </row>
    <row r="197" ht="180" customHeight="1" s="14">
      <c r="A197" s="24" t="inlineStr">
        <is>
          <t>2018::jama.2018.14282::C005</t>
        </is>
      </c>
      <c r="B197" s="24" t="n">
        <v>3</v>
      </c>
      <c r="C197" s="24" t="inlineStr">
        <is>
          <t>Alternative source-grounded interpretations</t>
        </is>
      </c>
      <c r="D197" s="24" t="inlineStr">
        <is>
          <t>A different population, transcription, or column-placement issue is possible but not identified.</t>
        </is>
      </c>
    </row>
    <row r="198" ht="180" customHeight="1" s="14">
      <c r="A198" s="20" t="inlineStr">
        <is>
          <t>2018::jama.2018.14282::C006</t>
        </is>
      </c>
      <c r="B198" s="20" t="n">
        <v>0</v>
      </c>
      <c r="C198" s="20" t="inlineStr">
        <is>
          <t>Source evidence</t>
        </is>
      </c>
      <c r="D198" s="20" t="inlineStr">
        <is>
          <t>Non-transplant-related reasons, Standard Oxygen Therapy n=388, 98 (25.2).</t>
        </is>
      </c>
    </row>
    <row r="199" ht="180" customHeight="1" s="14">
      <c r="A199" s="24" t="inlineStr">
        <is>
          <t>2018::jama.2018.14282::C006</t>
        </is>
      </c>
      <c r="B199" s="24" t="n">
        <v>1</v>
      </c>
      <c r="C199" s="24" t="inlineStr">
        <is>
          <t>Reported-versus-comparator</t>
        </is>
      </c>
      <c r="D199" s="24" t="inlineStr">
        <is>
          <t>Reported 25.2% versus 25.3% from 98/388.</t>
        </is>
      </c>
    </row>
    <row r="200" ht="180" customHeight="1" s="14">
      <c r="A200" s="20" t="inlineStr">
        <is>
          <t>2018::jama.2018.14282::C006</t>
        </is>
      </c>
      <c r="B200" s="20" t="n">
        <v>2</v>
      </c>
      <c r="C200" s="20" t="inlineStr">
        <is>
          <t>Calculation</t>
        </is>
      </c>
      <c r="D200" s="20" t="inlineStr">
        <is>
          <t>98/388×100=25.2577%; nearest one decimal=25.3%; child counts 98+37=135 reconcile to the parent.</t>
        </is>
      </c>
    </row>
    <row r="201" ht="180" customHeight="1" s="14">
      <c r="A201" s="24" t="inlineStr">
        <is>
          <t>2018::jama.2018.14282::C006</t>
        </is>
      </c>
      <c r="B201" s="24" t="n">
        <v>3</v>
      </c>
      <c r="C201" s="24" t="inlineStr">
        <is>
          <t>Alternative source-grounded interpretations</t>
        </is>
      </c>
      <c r="D201" s="24" t="inlineStr">
        <is>
          <t>An undocumented adjustment across child percentages is possible; the count subtotal is coherent.</t>
        </is>
      </c>
    </row>
    <row r="202" ht="180" customHeight="1" s="14">
      <c r="A202" s="20" t="inlineStr">
        <is>
          <t>2018::jama.2018.14282::C007</t>
        </is>
      </c>
      <c r="B202" s="20" t="n">
        <v>0</v>
      </c>
      <c r="C202" s="20" t="inlineStr">
        <is>
          <t>Source evidence</t>
        </is>
      </c>
      <c r="D202" s="20" t="inlineStr">
        <is>
          <t>High-flow arm n=388, randomization ≥3 days after, 20 (5.1).</t>
        </is>
      </c>
    </row>
    <row r="203" ht="180" customHeight="1" s="14">
      <c r="A203" s="24" t="inlineStr">
        <is>
          <t>2018::jama.2018.14282::C007</t>
        </is>
      </c>
      <c r="B203" s="24" t="n">
        <v>1</v>
      </c>
      <c r="C203" s="24" t="inlineStr">
        <is>
          <t>Reported-versus-comparator</t>
        </is>
      </c>
      <c r="D203" s="24" t="inlineStr">
        <is>
          <t>Reported 5.1% versus 5.2% from 20/388.</t>
        </is>
      </c>
    </row>
    <row r="204" ht="180" customHeight="1" s="14">
      <c r="A204" s="20" t="inlineStr">
        <is>
          <t>2018::jama.2018.14282::C007</t>
        </is>
      </c>
      <c r="B204" s="20" t="n">
        <v>2</v>
      </c>
      <c r="C204" s="20" t="inlineStr">
        <is>
          <t>Calculation</t>
        </is>
      </c>
      <c r="D204" s="20" t="inlineStr">
        <is>
          <t>20/388×100=5.1546%; nearest one decimal=5.2%; timing counts sum to 388.</t>
        </is>
      </c>
    </row>
    <row r="205" ht="180" customHeight="1" s="14">
      <c r="A205" s="24" t="inlineStr">
        <is>
          <t>2018::jama.2018.14282::C007</t>
        </is>
      </c>
      <c r="B205" s="24" t="n">
        <v>3</v>
      </c>
      <c r="C205" s="24" t="inlineStr">
        <is>
          <t>Alternative source-grounded interpretations</t>
        </is>
      </c>
      <c r="D205" s="24" t="inlineStr">
        <is>
          <t>An undocumented category-level adjustment could explain the display.</t>
        </is>
      </c>
    </row>
    <row r="206" ht="180" customHeight="1" s="14">
      <c r="A206" s="20" t="inlineStr">
        <is>
          <t>2018::jama.2018.14282::C008</t>
        </is>
      </c>
      <c r="B206" s="20" t="n">
        <v>0</v>
      </c>
      <c r="C206" s="20" t="inlineStr">
        <is>
          <t>Source evidence</t>
        </is>
      </c>
      <c r="D206" s="20" t="inlineStr">
        <is>
          <t>Standard arm n=388, randomization ≥3 days after, 20 (5.1).</t>
        </is>
      </c>
    </row>
    <row r="207" ht="180" customHeight="1" s="14">
      <c r="A207" s="24" t="inlineStr">
        <is>
          <t>2018::jama.2018.14282::C008</t>
        </is>
      </c>
      <c r="B207" s="24" t="n">
        <v>1</v>
      </c>
      <c r="C207" s="24" t="inlineStr">
        <is>
          <t>Reported-versus-comparator</t>
        </is>
      </c>
      <c r="D207" s="24" t="inlineStr">
        <is>
          <t>Reported 5.1% versus 5.2% from 20/388.</t>
        </is>
      </c>
    </row>
    <row r="208" ht="180" customHeight="1" s="14">
      <c r="A208" s="20" t="inlineStr">
        <is>
          <t>2018::jama.2018.14282::C008</t>
        </is>
      </c>
      <c r="B208" s="20" t="n">
        <v>2</v>
      </c>
      <c r="C208" s="20" t="inlineStr">
        <is>
          <t>Calculation</t>
        </is>
      </c>
      <c r="D208" s="20" t="inlineStr">
        <is>
          <t>20/388×100=5.1546%; nearest one decimal=5.2%; timing counts sum to 388.</t>
        </is>
      </c>
    </row>
    <row r="209" ht="180" customHeight="1" s="14">
      <c r="A209" s="24" t="inlineStr">
        <is>
          <t>2018::jama.2018.14282::C008</t>
        </is>
      </c>
      <c r="B209" s="24" t="n">
        <v>3</v>
      </c>
      <c r="C209" s="24" t="inlineStr">
        <is>
          <t>Alternative source-grounded interpretations</t>
        </is>
      </c>
      <c r="D209" s="24" t="inlineStr">
        <is>
          <t>An undocumented category-level adjustment could explain the display.</t>
        </is>
      </c>
    </row>
    <row r="210" ht="180" customHeight="1" s="14">
      <c r="A210" s="20" t="inlineStr">
        <is>
          <t>2018::jama.2018.14282::C009</t>
        </is>
      </c>
      <c r="B210" s="20" t="n">
        <v>0</v>
      </c>
      <c r="C210" s="20" t="inlineStr">
        <is>
          <t>Source evidence</t>
        </is>
      </c>
      <c r="D210" s="20" t="inlineStr">
        <is>
          <t>Standard arm n=388, vasopressors 39 (10.0).</t>
        </is>
      </c>
    </row>
    <row r="211" ht="180" customHeight="1" s="14">
      <c r="A211" s="24" t="inlineStr">
        <is>
          <t>2018::jama.2018.14282::C009</t>
        </is>
      </c>
      <c r="B211" s="24" t="n">
        <v>1</v>
      </c>
      <c r="C211" s="24" t="inlineStr">
        <is>
          <t>Reported-versus-comparator</t>
        </is>
      </c>
      <c r="D211" s="24" t="inlineStr">
        <is>
          <t>Reported 10.0% versus 10.1% from 39/388.</t>
        </is>
      </c>
    </row>
    <row r="212" ht="180" customHeight="1" s="14">
      <c r="A212" s="20" t="inlineStr">
        <is>
          <t>2018::jama.2018.14282::C009</t>
        </is>
      </c>
      <c r="B212" s="20" t="n">
        <v>2</v>
      </c>
      <c r="C212" s="20" t="inlineStr">
        <is>
          <t>Calculation</t>
        </is>
      </c>
      <c r="D212" s="20" t="inlineStr">
        <is>
          <t>39/388×100=10.0515%; nearest one decimal=10.1%.</t>
        </is>
      </c>
    </row>
    <row r="213" ht="180" customHeight="1" s="14">
      <c r="A213" s="24" t="inlineStr">
        <is>
          <t>2018::jama.2018.14282::C009</t>
        </is>
      </c>
      <c r="B213" s="24" t="n">
        <v>3</v>
      </c>
      <c r="C213" s="24" t="inlineStr">
        <is>
          <t>Alternative source-grounded interpretations</t>
        </is>
      </c>
      <c r="D213" s="24" t="inlineStr">
        <is>
          <t>Truncation or a hidden denominator could explain the last-place difference, but neither is documented.</t>
        </is>
      </c>
    </row>
    <row r="214" ht="180" customHeight="1" s="14">
      <c r="A214" s="20" t="inlineStr">
        <is>
          <t>2018::jama.2018.14282::C010</t>
        </is>
      </c>
      <c r="B214" s="20" t="n">
        <v>0</v>
      </c>
      <c r="C214" s="20" t="inlineStr">
        <is>
          <t>Source evidence</t>
        </is>
      </c>
      <c r="D214" s="20" t="inlineStr">
        <is>
          <t>High-flow arm n=388, do not intubate 13 (3.3).</t>
        </is>
      </c>
    </row>
    <row r="215" ht="180" customHeight="1" s="14">
      <c r="A215" s="24" t="inlineStr">
        <is>
          <t>2018::jama.2018.14282::C010</t>
        </is>
      </c>
      <c r="B215" s="24" t="n">
        <v>1</v>
      </c>
      <c r="C215" s="24" t="inlineStr">
        <is>
          <t>Reported-versus-comparator</t>
        </is>
      </c>
      <c r="D215" s="24" t="inlineStr">
        <is>
          <t>Reported 3.3% versus 3.4% from 13/388.</t>
        </is>
      </c>
    </row>
    <row r="216" ht="180" customHeight="1" s="14">
      <c r="A216" s="20" t="inlineStr">
        <is>
          <t>2018::jama.2018.14282::C010</t>
        </is>
      </c>
      <c r="B216" s="20" t="n">
        <v>2</v>
      </c>
      <c r="C216" s="20" t="inlineStr">
        <is>
          <t>Calculation</t>
        </is>
      </c>
      <c r="D216" s="20" t="inlineStr">
        <is>
          <t>13/388×100=3.3505%; nearest one decimal=3.4%.</t>
        </is>
      </c>
    </row>
    <row r="217" ht="180" customHeight="1" s="14">
      <c r="A217" s="24" t="inlineStr">
        <is>
          <t>2018::jama.2018.14282::C010</t>
        </is>
      </c>
      <c r="B217" s="24" t="n">
        <v>3</v>
      </c>
      <c r="C217" s="24" t="inlineStr">
        <is>
          <t>Alternative source-grounded interpretations</t>
        </is>
      </c>
      <c r="D217" s="24" t="inlineStr">
        <is>
          <t>Decimal truncation could reproduce 3.3%, but no uniform truncation policy is supplied.</t>
        </is>
      </c>
    </row>
    <row r="218" ht="180" customHeight="1" s="14">
      <c r="A218" s="20" t="inlineStr">
        <is>
          <t>2018::jama.2018.14282::C011</t>
        </is>
      </c>
      <c r="B218" s="20" t="n">
        <v>0</v>
      </c>
      <c r="C218" s="20" t="inlineStr">
        <is>
          <t>Source evidence</t>
        </is>
      </c>
      <c r="D218" s="20" t="inlineStr">
        <is>
          <t>High-flow arm n=388, do not resuscitate 3 (0.7).</t>
        </is>
      </c>
    </row>
    <row r="219" ht="180" customHeight="1" s="14">
      <c r="A219" s="24" t="inlineStr">
        <is>
          <t>2018::jama.2018.14282::C011</t>
        </is>
      </c>
      <c r="B219" s="24" t="n">
        <v>1</v>
      </c>
      <c r="C219" s="24" t="inlineStr">
        <is>
          <t>Reported-versus-comparator</t>
        </is>
      </c>
      <c r="D219" s="24" t="inlineStr">
        <is>
          <t>Reported 0.7% versus 0.8% from 3/388.</t>
        </is>
      </c>
    </row>
    <row r="220" ht="180" customHeight="1" s="14">
      <c r="A220" s="20" t="inlineStr">
        <is>
          <t>2018::jama.2018.14282::C011</t>
        </is>
      </c>
      <c r="B220" s="20" t="n">
        <v>2</v>
      </c>
      <c r="C220" s="20" t="inlineStr">
        <is>
          <t>Calculation</t>
        </is>
      </c>
      <c r="D220" s="20" t="inlineStr">
        <is>
          <t>3/388×100=0.7732%; nearest one decimal=0.8%.</t>
        </is>
      </c>
    </row>
    <row r="221" ht="180" customHeight="1" s="14">
      <c r="A221" s="24" t="inlineStr">
        <is>
          <t>2018::jama.2018.14282::C011</t>
        </is>
      </c>
      <c r="B221" s="24" t="n">
        <v>3</v>
      </c>
      <c r="C221" s="24" t="inlineStr">
        <is>
          <t>Alternative source-grounded interpretations</t>
        </is>
      </c>
      <c r="D221" s="24" t="inlineStr">
        <is>
          <t>Truncation is possible but unstated.</t>
        </is>
      </c>
    </row>
    <row r="222" ht="180" customHeight="1" s="14">
      <c r="A222" s="20" t="inlineStr">
        <is>
          <t>2018::jama.2018.14282::C012</t>
        </is>
      </c>
      <c r="B222" s="20" t="n">
        <v>0</v>
      </c>
      <c r="C222" s="20" t="inlineStr">
        <is>
          <t>Source evidence</t>
        </is>
      </c>
      <c r="D222" s="20" t="inlineStr">
        <is>
          <t>Standard arm n=388, do not resuscitate 1 (0.2).</t>
        </is>
      </c>
    </row>
    <row r="223" ht="180" customHeight="1" s="14">
      <c r="A223" s="24" t="inlineStr">
        <is>
          <t>2018::jama.2018.14282::C012</t>
        </is>
      </c>
      <c r="B223" s="24" t="n">
        <v>1</v>
      </c>
      <c r="C223" s="24" t="inlineStr">
        <is>
          <t>Reported-versus-comparator</t>
        </is>
      </c>
      <c r="D223" s="24" t="inlineStr">
        <is>
          <t>Reported 0.2% versus 0.3% from 1/388.</t>
        </is>
      </c>
    </row>
    <row r="224" ht="180" customHeight="1" s="14">
      <c r="A224" s="20" t="inlineStr">
        <is>
          <t>2018::jama.2018.14282::C012</t>
        </is>
      </c>
      <c r="B224" s="20" t="n">
        <v>2</v>
      </c>
      <c r="C224" s="20" t="inlineStr">
        <is>
          <t>Calculation</t>
        </is>
      </c>
      <c r="D224" s="20" t="inlineStr">
        <is>
          <t>1/388×100=0.2577%; nearest one decimal=0.3%.</t>
        </is>
      </c>
    </row>
    <row r="225" ht="180" customHeight="1" s="14">
      <c r="A225" s="24" t="inlineStr">
        <is>
          <t>2018::jama.2018.14282::C012</t>
        </is>
      </c>
      <c r="B225" s="24" t="n">
        <v>3</v>
      </c>
      <c r="C225" s="24" t="inlineStr">
        <is>
          <t>Alternative source-grounded interpretations</t>
        </is>
      </c>
      <c r="D225" s="24" t="inlineStr">
        <is>
          <t>Truncation is possible but unstated.</t>
        </is>
      </c>
    </row>
    <row r="226" ht="180" customHeight="1" s="14">
      <c r="A226" s="20" t="inlineStr">
        <is>
          <t>2018::jama.2018.14282::C013</t>
        </is>
      </c>
      <c r="B226" s="20" t="n">
        <v>0</v>
      </c>
      <c r="C226" s="20" t="inlineStr">
        <is>
          <t>Source evidence</t>
        </is>
      </c>
      <c r="D226" s="20" t="inlineStr">
        <is>
          <t>Standard arm n=388, unknown goals of care 27 (6.9).</t>
        </is>
      </c>
    </row>
    <row r="227" ht="180" customHeight="1" s="14">
      <c r="A227" s="24" t="inlineStr">
        <is>
          <t>2018::jama.2018.14282::C013</t>
        </is>
      </c>
      <c r="B227" s="24" t="n">
        <v>1</v>
      </c>
      <c r="C227" s="24" t="inlineStr">
        <is>
          <t>Reported-versus-comparator</t>
        </is>
      </c>
      <c r="D227" s="24" t="inlineStr">
        <is>
          <t>Reported 6.9% versus 7.0% from 27/388.</t>
        </is>
      </c>
    </row>
    <row r="228" ht="180" customHeight="1" s="14">
      <c r="A228" s="20" t="inlineStr">
        <is>
          <t>2018::jama.2018.14282::C013</t>
        </is>
      </c>
      <c r="B228" s="20" t="n">
        <v>2</v>
      </c>
      <c r="C228" s="20" t="inlineStr">
        <is>
          <t>Calculation</t>
        </is>
      </c>
      <c r="D228" s="20" t="inlineStr">
        <is>
          <t>27/388×100=6.9588%; nearest one decimal=7.0%; all five goals-of-care counts sum to 388.</t>
        </is>
      </c>
    </row>
    <row r="229" ht="180" customHeight="1" s="14">
      <c r="A229" s="24" t="inlineStr">
        <is>
          <t>2018::jama.2018.14282::C013</t>
        </is>
      </c>
      <c r="B229" s="24" t="n">
        <v>3</v>
      </c>
      <c r="C229" s="24" t="inlineStr">
        <is>
          <t>Alternative source-grounded interpretations</t>
        </is>
      </c>
      <c r="D229" s="24" t="inlineStr">
        <is>
          <t>An adjusted display across exhaustive categories is possible; the count distribution is complete.</t>
        </is>
      </c>
    </row>
    <row r="230" ht="180" customHeight="1" s="14">
      <c r="A230" s="20" t="inlineStr">
        <is>
          <t>2018::jama.2018.14282::C014</t>
        </is>
      </c>
      <c r="B230" s="20" t="n">
        <v>0</v>
      </c>
      <c r="C230" s="20" t="inlineStr">
        <is>
          <t>Source evidence</t>
        </is>
      </c>
      <c r="D230" s="20" t="inlineStr">
        <is>
          <t>High-flow arm n=388, received standard oxygen before randomization 311 (80.1).</t>
        </is>
      </c>
    </row>
    <row r="231" ht="180" customHeight="1" s="14">
      <c r="A231" s="24" t="inlineStr">
        <is>
          <t>2018::jama.2018.14282::C014</t>
        </is>
      </c>
      <c r="B231" s="24" t="n">
        <v>1</v>
      </c>
      <c r="C231" s="24" t="inlineStr">
        <is>
          <t>Reported-versus-comparator</t>
        </is>
      </c>
      <c r="D231" s="24" t="inlineStr">
        <is>
          <t>Reported 80.1% versus 80.2% from 311/388.</t>
        </is>
      </c>
    </row>
    <row r="232" ht="180" customHeight="1" s="14">
      <c r="A232" s="20" t="inlineStr">
        <is>
          <t>2018::jama.2018.14282::C014</t>
        </is>
      </c>
      <c r="B232" s="20" t="n">
        <v>2</v>
      </c>
      <c r="C232" s="20" t="inlineStr">
        <is>
          <t>Calculation</t>
        </is>
      </c>
      <c r="D232" s="20" t="inlineStr">
        <is>
          <t>311/388×100=80.1546%; nearest one decimal=80.2%.</t>
        </is>
      </c>
    </row>
    <row r="233" ht="180" customHeight="1" s="14">
      <c r="A233" s="24" t="inlineStr">
        <is>
          <t>2018::jama.2018.14282::C014</t>
        </is>
      </c>
      <c r="B233" s="24" t="n">
        <v>3</v>
      </c>
      <c r="C233" s="24" t="inlineStr">
        <is>
          <t>Alternative source-grounded interpretations</t>
        </is>
      </c>
      <c r="D233" s="24" t="inlineStr">
        <is>
          <t>A data-availability denominator is conceivable, but no missingness count or alternate denominator is printed.</t>
        </is>
      </c>
    </row>
    <row r="234" ht="180" customHeight="1" s="14">
      <c r="A234" s="20" t="inlineStr">
        <is>
          <t>2018::jama.2018.14282::C015</t>
        </is>
      </c>
      <c r="B234" s="20" t="n">
        <v>0</v>
      </c>
      <c r="C234" s="20" t="inlineStr">
        <is>
          <t>Source evidence</t>
        </is>
      </c>
      <c r="D234" s="20" t="inlineStr">
        <is>
          <t>High-flow arm n=388, ICU-acquired infection 39 (10.0).</t>
        </is>
      </c>
    </row>
    <row r="235" ht="180" customHeight="1" s="14">
      <c r="A235" s="24" t="inlineStr">
        <is>
          <t>2018::jama.2018.14282::C015</t>
        </is>
      </c>
      <c r="B235" s="24" t="n">
        <v>1</v>
      </c>
      <c r="C235" s="24" t="inlineStr">
        <is>
          <t>Reported-versus-comparator</t>
        </is>
      </c>
      <c r="D235" s="24" t="inlineStr">
        <is>
          <t>Reported 10.0% versus 10.1% from 39/388.</t>
        </is>
      </c>
    </row>
    <row r="236" ht="180" customHeight="1" s="14">
      <c r="A236" s="20" t="inlineStr">
        <is>
          <t>2018::jama.2018.14282::C015</t>
        </is>
      </c>
      <c r="B236" s="20" t="n">
        <v>2</v>
      </c>
      <c r="C236" s="20" t="inlineStr">
        <is>
          <t>Calculation</t>
        </is>
      </c>
      <c r="D236" s="20" t="inlineStr">
        <is>
          <t>39/388×100=10.0515%; nearest one decimal=10.1%; standard comparator 41/388=10.6% reconciles.</t>
        </is>
      </c>
    </row>
    <row r="237" ht="180" customHeight="1" s="14">
      <c r="A237" s="24" t="inlineStr">
        <is>
          <t>2018::jama.2018.14282::C015</t>
        </is>
      </c>
      <c r="B237" s="24" t="n">
        <v>3</v>
      </c>
      <c r="C237" s="24" t="inlineStr">
        <is>
          <t>Alternative source-grounded interpretations</t>
        </is>
      </c>
      <c r="D237" s="24" t="inlineStr">
        <is>
          <t>An infection-at-risk denominator is possible but not supplied in Table 2.</t>
        </is>
      </c>
    </row>
    <row r="238" ht="180" customHeight="1" s="14">
      <c r="A238" s="20" t="inlineStr">
        <is>
          <t>2018::jama.2018.14282::C016</t>
        </is>
      </c>
      <c r="B238" s="20" t="n">
        <v>0</v>
      </c>
      <c r="C238" s="20" t="inlineStr">
        <is>
          <t>Source evidence</t>
        </is>
      </c>
      <c r="D238" s="20" t="inlineStr">
        <is>
          <t>Standard arm n=388, hospital mortality 162 (41.7).</t>
        </is>
      </c>
    </row>
    <row r="239" ht="180" customHeight="1" s="14">
      <c r="A239" s="24" t="inlineStr">
        <is>
          <t>2018::jama.2018.14282::C016</t>
        </is>
      </c>
      <c r="B239" s="24" t="n">
        <v>1</v>
      </c>
      <c r="C239" s="24" t="inlineStr">
        <is>
          <t>Reported-versus-comparator</t>
        </is>
      </c>
      <c r="D239" s="24" t="inlineStr">
        <is>
          <t>Reported 41.7% versus 41.8% from 162/388.</t>
        </is>
      </c>
    </row>
    <row r="240" ht="180" customHeight="1" s="14">
      <c r="A240" s="20" t="inlineStr">
        <is>
          <t>2018::jama.2018.14282::C016</t>
        </is>
      </c>
      <c r="B240" s="20" t="n">
        <v>2</v>
      </c>
      <c r="C240" s="20" t="inlineStr">
        <is>
          <t>Calculation</t>
        </is>
      </c>
      <c r="D240" s="20" t="inlineStr">
        <is>
          <t>162/388×100=41.7526%; nearest one decimal=41.8%.</t>
        </is>
      </c>
    </row>
    <row r="241" ht="180" customHeight="1" s="14">
      <c r="A241" s="24" t="inlineStr">
        <is>
          <t>2018::jama.2018.14282::C016</t>
        </is>
      </c>
      <c r="B241" s="24" t="n">
        <v>3</v>
      </c>
      <c r="C241" s="24" t="inlineStr">
        <is>
          <t>Alternative source-grounded interpretations</t>
        </is>
      </c>
      <c r="D241" s="24" t="inlineStr">
        <is>
          <t>An alternate hospital-disposition denominator is not supplied; no loss to follow-up is printed.</t>
        </is>
      </c>
    </row>
    <row r="242" ht="180" customHeight="1" s="14">
      <c r="A242" s="20" t="inlineStr">
        <is>
          <t>2018::jama.2018.14282::C017</t>
        </is>
      </c>
      <c r="B242" s="20" t="n">
        <v>0</v>
      </c>
      <c r="C242" s="20" t="inlineStr">
        <is>
          <t>Source evidence</t>
        </is>
      </c>
      <c r="D242" s="20" t="inlineStr">
        <is>
          <t>Both occurrences report 25 versus 26/min, difference −1.8, and lower endpoint −3.2; the abstract upper endpoint is −0.2 and results upper endpoint is −0.3.</t>
        </is>
      </c>
    </row>
    <row r="243" ht="180" customHeight="1" s="14">
      <c r="A243" s="24" t="inlineStr">
        <is>
          <t>2018::jama.2018.14282::C017</t>
        </is>
      </c>
      <c r="B243" s="24" t="n">
        <v>1</v>
      </c>
      <c r="C243" s="24" t="inlineStr">
        <is>
          <t>Reported-versus-comparator</t>
        </is>
      </c>
      <c r="D243" s="24" t="inlineStr">
        <is>
          <t>Abstract 95% CI upper endpoint −0.2/min versus results −0.3/min.</t>
        </is>
      </c>
    </row>
    <row r="244" ht="180" customHeight="1" s="14">
      <c r="A244" s="20" t="inlineStr">
        <is>
          <t>2018::jama.2018.14282::C017</t>
        </is>
      </c>
      <c r="B244" s="20" t="n">
        <v>2</v>
      </c>
      <c r="C244" s="20" t="inlineStr">
        <is>
          <t>Calculation</t>
        </is>
      </c>
      <c r="D244" s="20" t="inlineStr">
        <is>
          <t>The printed endpoint difference is 0.1/min.</t>
        </is>
      </c>
    </row>
    <row r="245" ht="180" customHeight="1" s="14">
      <c r="A245" s="24" t="inlineStr">
        <is>
          <t>2018::jama.2018.14282::C017</t>
        </is>
      </c>
      <c r="B245" s="24" t="n">
        <v>3</v>
      </c>
      <c r="C245" s="24" t="inlineStr">
        <is>
          <t>Alternative source-grounded interpretations</t>
        </is>
      </c>
      <c r="D245" s="24" t="inlineStr">
        <is>
          <t>Separately rounded or calculated intervals are possible, but unrounded endpoints, model identity, and the display rule are not supplied.</t>
        </is>
      </c>
    </row>
    <row r="246" ht="180" customHeight="1" s="14">
      <c r="A246" s="20" t="inlineStr">
        <is>
          <t>2018::jama.2018.14282::C018</t>
        </is>
      </c>
      <c r="B246" s="20" t="n">
        <v>0</v>
      </c>
      <c r="C246" s="20" t="inlineStr">
        <is>
          <t>Source evidence</t>
        </is>
      </c>
      <c r="D246" s="20" t="inlineStr">
        <is>
          <t>The paragraph begins In the overall population and reports 153 patients (19.7%) randomized to high-flow and 31 patients (4.0%) randomized to standard oxygen.</t>
        </is>
      </c>
    </row>
    <row r="247" ht="180" customHeight="1" s="14">
      <c r="A247" s="24" t="inlineStr">
        <is>
          <t>2018::jama.2018.14282::C018</t>
        </is>
      </c>
      <c r="B247" s="24" t="n">
        <v>1</v>
      </c>
      <c r="C247" s="24" t="inlineStr">
        <is>
          <t>Reported-versus-comparator</t>
        </is>
      </c>
      <c r="D247" s="24" t="inlineStr">
        <is>
          <t>Reported 19.7% and 4.0% equal 153/776 and 31/776; within-arm values would be 39.4% and 8.0% using 388 per arm.</t>
        </is>
      </c>
    </row>
    <row r="248" ht="180" customHeight="1" s="14">
      <c r="A248" s="20" t="inlineStr">
        <is>
          <t>2018::jama.2018.14282::C018</t>
        </is>
      </c>
      <c r="B248" s="20" t="n">
        <v>2</v>
      </c>
      <c r="C248" s="20" t="inlineStr">
        <is>
          <t>Calculation</t>
        </is>
      </c>
      <c r="D248" s="20" t="inlineStr">
        <is>
          <t>153/776=19.7%; 31/776=4.0%; 153/388=39.4%; 31/388=8.0%.</t>
        </is>
      </c>
    </row>
    <row r="249" ht="180" customHeight="1" s="14">
      <c r="A249" s="24" t="inlineStr">
        <is>
          <t>2018::jama.2018.14282::C018</t>
        </is>
      </c>
      <c r="B249" s="24" t="n">
        <v>3</v>
      </c>
      <c r="C249" s="24" t="inlineStr">
        <is>
          <t>Alternative source-grounded interpretations</t>
        </is>
      </c>
      <c r="D249" s="24" t="inlineStr">
        <is>
          <t>The introductory overall-population phrase supports intentional overall denominators; the remaining issue is possible within-arm-risk misreading.</t>
        </is>
      </c>
    </row>
    <row r="250" ht="180" customHeight="1" s="14">
      <c r="A250" s="20" t="inlineStr">
        <is>
          <t>2018::jama.2018.14282::C019</t>
        </is>
      </c>
      <c r="B250" s="20" t="n">
        <v>0</v>
      </c>
      <c r="C250" s="20" t="inlineStr">
        <is>
          <t>Source evidence</t>
        </is>
      </c>
      <c r="D250" s="20" t="inlineStr">
        <is>
          <t>High-flow N=388, invasive mechanical ventilation 39 (10.0).</t>
        </is>
      </c>
    </row>
    <row r="251" ht="180" customHeight="1" s="14">
      <c r="A251" s="24" t="inlineStr">
        <is>
          <t>2018::jama.2018.14282::C019</t>
        </is>
      </c>
      <c r="B251" s="24" t="n">
        <v>1</v>
      </c>
      <c r="C251" s="24" t="inlineStr">
        <is>
          <t>Reported-versus-comparator</t>
        </is>
      </c>
      <c r="D251" s="24" t="inlineStr">
        <is>
          <t>Reported 10.0% versus 10.1% from 39/388.</t>
        </is>
      </c>
    </row>
    <row r="252" ht="180" customHeight="1" s="14">
      <c r="A252" s="20" t="inlineStr">
        <is>
          <t>2018::jama.2018.14282::C019</t>
        </is>
      </c>
      <c r="B252" s="20" t="n">
        <v>2</v>
      </c>
      <c r="C252" s="20" t="inlineStr">
        <is>
          <t>Calculation</t>
        </is>
      </c>
      <c r="D252" s="20" t="inlineStr">
        <is>
          <t>39/388×100=10.0515%; nearest one decimal=10.1%; 39+349=388.</t>
        </is>
      </c>
    </row>
    <row r="253" ht="180" customHeight="1" s="14">
      <c r="A253" s="24" t="inlineStr">
        <is>
          <t>2018::jama.2018.14282::C019</t>
        </is>
      </c>
      <c r="B253" s="24" t="n">
        <v>3</v>
      </c>
      <c r="C253" s="24" t="inlineStr">
        <is>
          <t>Alternative source-grounded interpretations</t>
        </is>
      </c>
      <c r="D253" s="24" t="inlineStr">
        <is>
          <t>A six-hour evaluable denominator or truncation is possible but not printed.</t>
        </is>
      </c>
    </row>
    <row r="254" ht="180" customHeight="1" s="14">
      <c r="A254" s="20" t="inlineStr">
        <is>
          <t>2018::jama.2018.14282::C020</t>
        </is>
      </c>
      <c r="B254" s="20" t="n">
        <v>0</v>
      </c>
      <c r="C254" s="20" t="inlineStr">
        <is>
          <t>Source evidence</t>
        </is>
      </c>
      <c r="D254" s="20" t="inlineStr">
        <is>
          <t>Standard arm N=388, invasive mechanical ventilation 46 (11.8).</t>
        </is>
      </c>
    </row>
    <row r="255" ht="180" customHeight="1" s="14">
      <c r="A255" s="24" t="inlineStr">
        <is>
          <t>2018::jama.2018.14282::C020</t>
        </is>
      </c>
      <c r="B255" s="24" t="n">
        <v>1</v>
      </c>
      <c r="C255" s="24" t="inlineStr">
        <is>
          <t>Reported-versus-comparator</t>
        </is>
      </c>
      <c r="D255" s="24" t="inlineStr">
        <is>
          <t>Reported 11.8% versus 11.9% from 46/388.</t>
        </is>
      </c>
    </row>
    <row r="256" ht="180" customHeight="1" s="14">
      <c r="A256" s="20" t="inlineStr">
        <is>
          <t>2018::jama.2018.14282::C020</t>
        </is>
      </c>
      <c r="B256" s="20" t="n">
        <v>2</v>
      </c>
      <c r="C256" s="20" t="inlineStr">
        <is>
          <t>Calculation</t>
        </is>
      </c>
      <c r="D256" s="20" t="inlineStr">
        <is>
          <t>46/388×100=11.8557%; nearest one decimal=11.9%; 46+342=388.</t>
        </is>
      </c>
    </row>
    <row r="257" ht="180" customHeight="1" s="14">
      <c r="A257" s="24" t="inlineStr">
        <is>
          <t>2018::jama.2018.14282::C020</t>
        </is>
      </c>
      <c r="B257" s="24" t="n">
        <v>3</v>
      </c>
      <c r="C257" s="24" t="inlineStr">
        <is>
          <t>Alternative source-grounded interpretations</t>
        </is>
      </c>
      <c r="D257" s="24" t="inlineStr">
        <is>
          <t>The 11.8%/88.2% pair totals 100.0%, supporting a possible forced-complement rule that is not documented.</t>
        </is>
      </c>
    </row>
    <row r="258" ht="180" customHeight="1" s="14">
      <c r="A258" s="20" t="inlineStr">
        <is>
          <t>2018::jama.2018.14282::C021</t>
        </is>
      </c>
      <c r="B258" s="20" t="n">
        <v>0</v>
      </c>
      <c r="C258" s="20" t="inlineStr">
        <is>
          <t>Source evidence</t>
        </is>
      </c>
      <c r="D258" s="20" t="inlineStr">
        <is>
          <t>Standard arm N=388, standard oxygen only 342 (88.2).</t>
        </is>
      </c>
    </row>
    <row r="259" ht="180" customHeight="1" s="14">
      <c r="A259" s="24" t="inlineStr">
        <is>
          <t>2018::jama.2018.14282::C021</t>
        </is>
      </c>
      <c r="B259" s="24" t="n">
        <v>1</v>
      </c>
      <c r="C259" s="24" t="inlineStr">
        <is>
          <t>Reported-versus-comparator</t>
        </is>
      </c>
      <c r="D259" s="24" t="inlineStr">
        <is>
          <t>Reported 88.2% versus 88.1% from 342/388.</t>
        </is>
      </c>
    </row>
    <row r="260" ht="180" customHeight="1" s="14">
      <c r="A260" s="20" t="inlineStr">
        <is>
          <t>2018::jama.2018.14282::C021</t>
        </is>
      </c>
      <c r="B260" s="20" t="n">
        <v>2</v>
      </c>
      <c r="C260" s="20" t="inlineStr">
        <is>
          <t>Calculation</t>
        </is>
      </c>
      <c r="D260" s="20" t="inlineStr">
        <is>
          <t>342/388×100=88.1443%; nearest one decimal=88.1%; 342+46=388.</t>
        </is>
      </c>
    </row>
    <row r="261" ht="180" customHeight="1" s="14">
      <c r="A261" s="24" t="inlineStr">
        <is>
          <t>2018::jama.2018.14282::C021</t>
        </is>
      </c>
      <c r="B261" s="24" t="n">
        <v>3</v>
      </c>
      <c r="C261" s="24" t="inlineStr">
        <is>
          <t>Alternative source-grounded interpretations</t>
        </is>
      </c>
      <c r="D261" s="24" t="inlineStr">
        <is>
          <t>88.2% is exactly the complement of printed 11.8%, so a forced complementary display is possible but not confirmed.</t>
        </is>
      </c>
    </row>
    <row r="262" ht="180" customHeight="1" s="14">
      <c r="A262" s="20" t="inlineStr">
        <is>
          <t>2018::jama.2018.14282::C022</t>
        </is>
      </c>
      <c r="B262" s="20" t="n">
        <v>0</v>
      </c>
      <c r="C262" s="20" t="inlineStr">
        <is>
          <t>Source evidence</t>
        </is>
      </c>
      <c r="D262" s="20" t="inlineStr">
        <is>
          <t>Methods specify death without IMV as a competing risk and Gray testing; the eFigure prints P (log Rank test) = 0.17, matching the main P=.17.</t>
        </is>
      </c>
    </row>
    <row r="263" ht="180" customHeight="1" s="14">
      <c r="A263" s="24" t="inlineStr">
        <is>
          <t>2018::jama.2018.14282::C022</t>
        </is>
      </c>
      <c r="B263" s="24" t="n">
        <v>1</v>
      </c>
      <c r="C263" s="24" t="inlineStr">
        <is>
          <t>Reported-versus-comparator</t>
        </is>
      </c>
      <c r="D263" s="24" t="inlineStr">
        <is>
          <t>Gray test/competing-risk description versus log Rank test label for a matched result.</t>
        </is>
      </c>
    </row>
    <row r="264" ht="180" customHeight="1" s="14">
      <c r="A264" s="20" t="inlineStr">
        <is>
          <t>2018::jama.2018.14282::C022</t>
        </is>
      </c>
      <c r="B264" s="20" t="n">
        <v>2</v>
      </c>
      <c r="C264" s="20" t="inlineStr">
        <is>
          <t>Calculation</t>
        </is>
      </c>
      <c r="D264" s="20" t="inlineStr">
        <is>
          <t>No reconstruction is used; Gray and log-rank are distinct named tests.</t>
        </is>
      </c>
    </row>
    <row r="265" ht="180" customHeight="1" s="14">
      <c r="A265" s="24" t="inlineStr">
        <is>
          <t>2018::jama.2018.14282::C022</t>
        </is>
      </c>
      <c r="B265" s="24" t="n">
        <v>3</v>
      </c>
      <c r="C265" s="24" t="inlineStr">
        <is>
          <t>Alternative source-grounded interpretations</t>
        </is>
      </c>
      <c r="D265" s="24" t="inlineStr">
        <is>
          <t>Separate tests could both round to .17; test statistics, event/censoring data, and generating output are absent.</t>
        </is>
      </c>
    </row>
    <row r="266" ht="180" customHeight="1" s="14">
      <c r="A266" s="20" t="inlineStr">
        <is>
          <t>2018::jama.2018.14282::C023</t>
        </is>
      </c>
      <c r="B266" s="20" t="n">
        <v>0</v>
      </c>
      <c r="C266" s="20" t="inlineStr">
        <is>
          <t>Source evidence</t>
        </is>
      </c>
      <c r="D266" s="20" t="inlineStr">
        <is>
          <t>Same 138/388 versus 140/388 day-28 deaths: Table/narrative HR 0.98 (0.77–1.24); Figure 3A HR 1.02 (0.81–1.29), with Favors High-Flow left and Favors Standard right.</t>
        </is>
      </c>
    </row>
    <row r="267" ht="180" customHeight="1" s="14">
      <c r="A267" s="24" t="inlineStr">
        <is>
          <t>2018::jama.2018.14282::C023</t>
        </is>
      </c>
      <c r="B267" s="24" t="n">
        <v>1</v>
      </c>
      <c r="C267" s="24" t="inlineStr">
        <is>
          <t>Reported-versus-comparator</t>
        </is>
      </c>
      <c r="D267" s="24" t="inlineStr">
        <is>
          <t>Table/narrative 0.98 (0.77–1.24) versus Figure 3A 1.02 (0.81–1.29).</t>
        </is>
      </c>
    </row>
    <row r="268" ht="180" customHeight="1" s="14">
      <c r="A268" s="20" t="inlineStr">
        <is>
          <t>2018::jama.2018.14282::C023</t>
        </is>
      </c>
      <c r="B268" s="20" t="n">
        <v>2</v>
      </c>
      <c r="C268" s="20" t="inlineStr">
        <is>
          <t>Calculation</t>
        </is>
      </c>
      <c r="D268" s="20" t="inlineStr">
        <is>
          <t>1/0.98=1.020 and 1/1.24=0.806 reproduce 1.02 and 0.81; 1/0.77=1.299 rounds to 1.30, not 1.29.</t>
        </is>
      </c>
    </row>
    <row r="269" ht="180" customHeight="1" s="14">
      <c r="A269" s="24" t="inlineStr">
        <is>
          <t>2018::jama.2018.14282::C023</t>
        </is>
      </c>
      <c r="B269" s="24" t="n">
        <v>3</v>
      </c>
      <c r="C269" s="24" t="inlineStr">
        <is>
          <t>Alternative source-grounded interpretations</t>
        </is>
      </c>
      <c r="D269" s="24" t="inlineStr">
        <is>
          <t>Opposite orientation is compatible with hidden precision; exact reciprocal identity from all rounded values is not established, and reference group/unrounded values are absent.</t>
        </is>
      </c>
    </row>
    <row r="270" ht="180" customHeight="1" s="14">
      <c r="A270" s="20" t="inlineStr">
        <is>
          <t>2018::jama.2018.14282::C024</t>
        </is>
      </c>
      <c r="B270" s="20" t="n">
        <v>0</v>
      </c>
      <c r="C270" s="20" t="inlineStr">
        <is>
          <t>Source evidence</t>
        </is>
      </c>
      <c r="D270" s="20" t="inlineStr">
        <is>
          <t>Same 150/388 versus 170/388 IMV events: Table/narrative cause-specific HR 0.85 (0.68–1.06); Figure 3B HR 1.17 (0.94–1.46) under the same favor labels.</t>
        </is>
      </c>
    </row>
    <row r="271" ht="180" customHeight="1" s="14">
      <c r="A271" s="24" t="inlineStr">
        <is>
          <t>2018::jama.2018.14282::C024</t>
        </is>
      </c>
      <c r="B271" s="24" t="n">
        <v>1</v>
      </c>
      <c r="C271" s="24" t="inlineStr">
        <is>
          <t>Reported-versus-comparator</t>
        </is>
      </c>
      <c r="D271" s="24" t="inlineStr">
        <is>
          <t>Table/narrative 0.85 (0.68–1.06) versus Figure 3B 1.17 (0.94–1.46).</t>
        </is>
      </c>
    </row>
    <row r="272" ht="180" customHeight="1" s="14">
      <c r="A272" s="20" t="inlineStr">
        <is>
          <t>2018::jama.2018.14282::C024</t>
        </is>
      </c>
      <c r="B272" s="20" t="n">
        <v>2</v>
      </c>
      <c r="C272" s="20" t="inlineStr">
        <is>
          <t>Calculation</t>
        </is>
      </c>
      <c r="D272" s="20" t="inlineStr">
        <is>
          <t>1/1.06=0.943 gives 0.94; 1/0.85=1.176 gives 1.18 and 1/0.68=1.471 gives 1.47, not 1.17 and 1.46.</t>
        </is>
      </c>
    </row>
    <row r="273" ht="180" customHeight="1" s="14">
      <c r="A273" s="24" t="inlineStr">
        <is>
          <t>2018::jama.2018.14282::C024</t>
        </is>
      </c>
      <c r="B273" s="24" t="n">
        <v>3</v>
      </c>
      <c r="C273" s="24" t="inlineStr">
        <is>
          <t>Alternative source-grounded interpretations</t>
        </is>
      </c>
      <c r="D273" s="24" t="inlineStr">
        <is>
          <t>Hidden precision can support opposite orientation, but exact reciprocity cannot be derived from all rounded inputs; figure-specific reference group and estimand are absent.</t>
        </is>
      </c>
    </row>
    <row r="274" ht="180" customHeight="1" s="14">
      <c r="A274" s="20" t="inlineStr">
        <is>
          <t>2018::jama.2018.14282::C025</t>
        </is>
      </c>
      <c r="B274" s="20" t="n">
        <v>0</v>
      </c>
      <c r="C274" s="20" t="inlineStr">
        <is>
          <t>Source evidence</t>
        </is>
      </c>
      <c r="D274" s="20" t="inlineStr">
        <is>
          <t>DOC-001 prints 779 patients (389 in each group); DOC-002 prints 778 with 389 per group under matching revised-superiority assumptions. The abstract sentence begins on p.90 and completes with 778 patients overall on p.91.</t>
        </is>
      </c>
    </row>
    <row r="275" ht="180" customHeight="1" s="14">
      <c r="A275" s="24" t="inlineStr">
        <is>
          <t>2018::jama.2018.14282::C025</t>
        </is>
      </c>
      <c r="B275" s="24" t="n">
        <v>1</v>
      </c>
      <c r="C275" s="24" t="inlineStr">
        <is>
          <t>Reported-versus-comparator</t>
        </is>
      </c>
      <c r="D275" s="24" t="inlineStr">
        <is>
          <t>Main 779 total with 389 each versus protocol/SAP 778 total with 389 each.</t>
        </is>
      </c>
    </row>
    <row r="276" ht="180" customHeight="1" s="14">
      <c r="A276" s="20" t="inlineStr">
        <is>
          <t>2018::jama.2018.14282::C025</t>
        </is>
      </c>
      <c r="B276" s="20" t="n">
        <v>2</v>
      </c>
      <c r="C276" s="20" t="inlineStr">
        <is>
          <t>Calculation</t>
        </is>
      </c>
      <c r="D276" s="20" t="inlineStr">
        <is>
          <t>389+389=778, not 779.</t>
        </is>
      </c>
    </row>
    <row r="277" ht="180" customHeight="1" s="14">
      <c r="A277" s="24" t="inlineStr">
        <is>
          <t>2018::jama.2018.14282::C025</t>
        </is>
      </c>
      <c r="B277" s="24" t="n">
        <v>3</v>
      </c>
      <c r="C277" s="24" t="inlineStr">
        <is>
          <t>Alternative source-grounded interpretations</t>
        </is>
      </c>
      <c r="D277" s="24" t="inlineStr">
        <is>
          <t>An earlier unequal or rounded target is possible but not supplied; version history is absent.</t>
        </is>
      </c>
    </row>
    <row r="278" ht="180" customHeight="1" s="14">
      <c r="A278" s="20" t="inlineStr">
        <is>
          <t>2018::jama.2018.14282::C026</t>
        </is>
      </c>
      <c r="B278" s="20" t="n">
        <v>0</v>
      </c>
      <c r="C278" s="20" t="inlineStr">
        <is>
          <t>Source evidence</t>
        </is>
      </c>
      <c r="D278" s="20" t="inlineStr">
        <is>
          <t>Figure 4 axis is Difference in Efficacy (New Treatment Minus Active Control) with margin on the negative side; text says noninferiority occurs if lower 95% CI boundary is less than 9%.</t>
        </is>
      </c>
    </row>
    <row r="279" ht="180" customHeight="1" s="14">
      <c r="A279" s="24" t="inlineStr">
        <is>
          <t>2018::jama.2018.14282::C026</t>
        </is>
      </c>
      <c r="B279" s="24" t="n">
        <v>1</v>
      </c>
      <c r="C279" s="24" t="inlineStr">
        <is>
          <t>Reported-versus-comparator</t>
        </is>
      </c>
      <c r="D279" s="24" t="inlineStr">
        <is>
          <t>Positive less than 9% wording versus negative-side margin on the printed scale.</t>
        </is>
      </c>
    </row>
    <row r="280" ht="180" customHeight="1" s="14">
      <c r="A280" s="20" t="inlineStr">
        <is>
          <t>2018::jama.2018.14282::C026</t>
        </is>
      </c>
      <c r="B280" s="20" t="n">
        <v>2</v>
      </c>
      <c r="C280" s="20" t="inlineStr">
        <is>
          <t>Calculation</t>
        </is>
      </c>
      <c r="D280" s="20" t="inlineStr">
        <is>
          <t>No numerical reconstruction is used; the positive bound/inequality is not mapped to the plotted signed scale.</t>
        </is>
      </c>
    </row>
    <row r="281" ht="180" customHeight="1" s="14">
      <c r="A281" s="24" t="inlineStr">
        <is>
          <t>2018::jama.2018.14282::C026</t>
        </is>
      </c>
      <c r="B281" s="24" t="n">
        <v>3</v>
      </c>
      <c r="C281" s="24" t="inlineStr">
        <is>
          <t>Alternative source-grounded interpretations</t>
        </is>
      </c>
      <c r="D281" s="24" t="inlineStr">
        <is>
          <t>A missing minus sign, opposite risk scale, or inequality could explain it; signed estimand and prespecified rule are absent.</t>
        </is>
      </c>
    </row>
    <row r="282" ht="180" customHeight="1" s="14">
      <c r="A282" s="20" t="inlineStr">
        <is>
          <t>2018::jama.2018.14282::C027</t>
        </is>
      </c>
      <c r="B282" s="20" t="n">
        <v>0</v>
      </c>
      <c r="C282" s="20" t="inlineStr">
        <is>
          <t>Source evidence</t>
        </is>
      </c>
      <c r="D282" s="20" t="inlineStr">
        <is>
          <t>Primary-hypothesis sentences say noninferiority/superiority of NIV; adjacent and repeated plan wording identifies HFNO against standard oxygen.</t>
        </is>
      </c>
    </row>
    <row r="283" ht="180" customHeight="1" s="14">
      <c r="A283" s="24" t="inlineStr">
        <is>
          <t>2018::jama.2018.14282::C027</t>
        </is>
      </c>
      <c r="B283" s="24" t="n">
        <v>1</v>
      </c>
      <c r="C283" s="24" t="inlineStr">
        <is>
          <t>Reported-versus-comparator</t>
        </is>
      </c>
      <c r="D283" s="24" t="inlineStr">
        <is>
          <t>NIV primary-hypothesis label versus HFNO experimental-intervention definition.</t>
        </is>
      </c>
    </row>
    <row r="284" ht="180" customHeight="1" s="14">
      <c r="A284" s="20" t="inlineStr">
        <is>
          <t>2018::jama.2018.14282::C027</t>
        </is>
      </c>
      <c r="B284" s="20" t="n">
        <v>2</v>
      </c>
      <c r="C284" s="20" t="inlineStr">
        <is>
          <t>Calculation</t>
        </is>
      </c>
      <c r="D284" s="20" t="inlineStr">
        <is>
          <t>Not applicable; this is a source-text label comparison.</t>
        </is>
      </c>
    </row>
    <row r="285" ht="180" customHeight="1" s="14">
      <c r="A285" s="24" t="inlineStr">
        <is>
          <t>2018::jama.2018.14282::C027</t>
        </is>
      </c>
      <c r="B285" s="24" t="n">
        <v>3</v>
      </c>
      <c r="C285" s="24" t="inlineStr">
        <is>
          <t>Alternative source-grounded interpretations</t>
        </is>
      </c>
      <c r="D285" s="24" t="inlineStr">
        <is>
          <t>NIV may be a carried-forward label, but no cited passage defines it as equivalent to HFNO in the primary hypothesis.</t>
        </is>
      </c>
    </row>
    <row r="286" ht="180" customHeight="1" s="14">
      <c r="A286" s="20" t="inlineStr">
        <is>
          <t>2018::jama.2018.14282::C028</t>
        </is>
      </c>
      <c r="B286" s="20" t="n">
        <v>0</v>
      </c>
      <c r="C286" s="20" t="inlineStr">
        <is>
          <t>Source evidence</t>
        </is>
      </c>
      <c r="D286" s="20" t="inlineStr">
        <is>
          <t>Each plan occurrence says patients are followed to day 28 and classified alive/dead, then specifies a relative risk of hospital death.</t>
        </is>
      </c>
    </row>
    <row r="287" ht="180" customHeight="1" s="14">
      <c r="A287" s="24" t="inlineStr">
        <is>
          <t>2018::jama.2018.14282::C028</t>
        </is>
      </c>
      <c r="B287" s="24" t="n">
        <v>1</v>
      </c>
      <c r="C287" s="24" t="inlineStr">
        <is>
          <t>Reported-versus-comparator</t>
        </is>
      </c>
      <c r="D287" s="24" t="inlineStr">
        <is>
          <t>Day-28 all-cause vital-status endpoint versus hospital-death label.</t>
        </is>
      </c>
    </row>
    <row r="288" ht="180" customHeight="1" s="14">
      <c r="A288" s="20" t="inlineStr">
        <is>
          <t>2018::jama.2018.14282::C028</t>
        </is>
      </c>
      <c r="B288" s="20" t="n">
        <v>2</v>
      </c>
      <c r="C288" s="20" t="inlineStr">
        <is>
          <t>Calculation</t>
        </is>
      </c>
      <c r="D288" s="20" t="inlineStr">
        <is>
          <t>Not applicable; the endpoints/time horizons are distinct unless explicitly equated.</t>
        </is>
      </c>
    </row>
    <row r="289" ht="180" customHeight="1" s="14">
      <c r="A289" s="24" t="inlineStr">
        <is>
          <t>2018::jama.2018.14282::C028</t>
        </is>
      </c>
      <c r="B289" s="24" t="n">
        <v>3</v>
      </c>
      <c r="C289" s="24" t="inlineStr">
        <is>
          <t>Alternative source-grounded interpretations</t>
        </is>
      </c>
      <c r="D289" s="24" t="inlineStr">
        <is>
          <t>Hospital death may be shorthand for day-28 death during admission, but hospital-death definition, discharge handling, post-discharge deaths, and equivalence are not supplied.</t>
        </is>
      </c>
    </row>
    <row r="290" ht="180" customHeight="1" s="14">
      <c r="A290" s="20" t="inlineStr">
        <is>
          <t>2018::jama.2018.17075::C001</t>
        </is>
      </c>
      <c r="B290" s="20" t="n">
        <v>0</v>
      </c>
      <c r="C290" s="20" t="inlineStr">
        <is>
          <t>Source evidence</t>
        </is>
      </c>
      <c r="D290" s="20" t="inlineStr">
        <is>
          <t>The median (IQR) cell prints 20.0 (20.5-35.0) for normothermia.</t>
        </is>
      </c>
    </row>
    <row r="291" ht="180" customHeight="1" s="14">
      <c r="A291" s="24" t="inlineStr">
        <is>
          <t>2018::jama.2018.17075::C001</t>
        </is>
      </c>
      <c r="B291" s="24" t="n">
        <v>1</v>
      </c>
      <c r="C291" s="24" t="inlineStr">
        <is>
          <t>Reported-versus-comparator</t>
        </is>
      </c>
      <c r="D291" s="24" t="inlineStr">
        <is>
          <t>Reported median 20.0; comparator IQR lower endpoint 20.5 under the same explicit median (IQR) label.</t>
        </is>
      </c>
    </row>
    <row r="292" ht="180" customHeight="1" s="14">
      <c r="A292" s="20" t="inlineStr">
        <is>
          <t>2018::jama.2018.17075::C001</t>
        </is>
      </c>
      <c r="B292" s="20" t="n">
        <v>2</v>
      </c>
      <c r="C292" s="20" t="inlineStr">
        <is>
          <t>Calculation</t>
        </is>
      </c>
      <c r="D292" s="20" t="inlineStr">
        <is>
          <t>20.5 - 20.0 = 0.5 Injury Severity Score points; the labelled lower endpoint exceeds the labelled median.</t>
        </is>
      </c>
    </row>
    <row r="293" ht="180" customHeight="1" s="14">
      <c r="A293" s="24" t="inlineStr">
        <is>
          <t>2018::jama.2018.17075::C001</t>
        </is>
      </c>
      <c r="B293" s="24" t="n">
        <v>3</v>
      </c>
      <c r="C293" s="24" t="inlineStr">
        <is>
          <t>Alternative source-grounded interpretations</t>
        </is>
      </c>
      <c r="D293" s="24" t="inlineStr">
        <is>
          <t>An unstated convention could theoretically alter the reading, but the cell label, parentheses, and parallel hypothermia median/IQR layout support the ordinary interpretation. No alternative definition is printed.</t>
        </is>
      </c>
    </row>
    <row r="294" ht="180" customHeight="1" s="14">
      <c r="A294" s="20" t="inlineStr">
        <is>
          <t>2018::jama.2018.17075::C002</t>
        </is>
      </c>
      <c r="B294" s="20" t="n">
        <v>0</v>
      </c>
      <c r="C294" s="20" t="inlineStr">
        <is>
          <t>Source evidence</t>
        </is>
      </c>
      <c r="D294" s="20" t="inlineStr">
        <is>
          <t>All locations report hypothermia 117/240 (48.8%), normothermia 111/226 (49.1%), and CI -9.4 to 8.7. The abstract prints risk difference 0.4%; Results and Table 2 print -0.4 percentage points.</t>
        </is>
      </c>
    </row>
    <row r="295" ht="180" customHeight="1" s="14">
      <c r="A295" s="24" t="inlineStr">
        <is>
          <t>2018::jama.2018.17075::C002</t>
        </is>
      </c>
      <c r="B295" s="24" t="n">
        <v>1</v>
      </c>
      <c r="C295" s="24" t="inlineStr">
        <is>
          <t>Reported-versus-comparator</t>
        </is>
      </c>
      <c r="D295" s="24" t="inlineStr">
        <is>
          <t>Reported abstract point estimate +0.4%; matched comparator Results/Table 2 point estimate -0.4, with the same group order and CI.</t>
        </is>
      </c>
    </row>
    <row r="296" ht="180" customHeight="1" s="14">
      <c r="A296" s="20" t="inlineStr">
        <is>
          <t>2018::jama.2018.17075::C002</t>
        </is>
      </c>
      <c r="B296" s="20" t="n">
        <v>2</v>
      </c>
      <c r="C296" s="20" t="inlineStr">
        <is>
          <t>Calculation</t>
        </is>
      </c>
      <c r="D296" s="20" t="inlineStr">
        <is>
          <t>(117/240 - 111/226) x 100 = -0.3650 percentage points, rounding to -0.4.</t>
        </is>
      </c>
    </row>
    <row r="297" ht="180" customHeight="1" s="14">
      <c r="A297" s="24" t="inlineStr">
        <is>
          <t>2018::jama.2018.17075::C002</t>
        </is>
      </c>
      <c r="B297" s="24" t="n">
        <v>3</v>
      </c>
      <c r="C297" s="24" t="inlineStr">
        <is>
          <t>Alternative source-grounded interpretations</t>
        </is>
      </c>
      <c r="D297" s="24" t="inlineStr">
        <is>
          <t>A reversed abstract contrast could produce approximately +0.4, but a correspondingly reversed CI would ordinarily be -8.7 to 9.4; the unchanged printed abstract CI does not fully reconcile that reading.</t>
        </is>
      </c>
    </row>
    <row r="298" ht="180" customHeight="1" s="14">
      <c r="A298" s="20" t="inlineStr">
        <is>
          <t>2018::jama.2018.17075::C003</t>
        </is>
      </c>
      <c r="B298" s="20" t="n">
        <v>0</v>
      </c>
      <c r="C298" s="20" t="inlineStr">
        <is>
          <t>Source evidence</t>
        </is>
      </c>
      <c r="D298" s="20" t="inlineStr">
        <is>
          <t>Both result locations print 47/260 (18.1%) versus 37/240 (15.4%). Table 2 prints RR 1.23 (0.43-3.5), P=.70; eTable 6 prints P=.43.</t>
        </is>
      </c>
    </row>
    <row r="299" ht="180" customHeight="1" s="14">
      <c r="A299" s="24" t="inlineStr">
        <is>
          <t>2018::jama.2018.17075::C003</t>
        </is>
      </c>
      <c r="B299" s="24" t="n">
        <v>1</v>
      </c>
      <c r="C299" s="24" t="inlineStr">
        <is>
          <t>Reported-versus-comparator</t>
        </is>
      </c>
      <c r="D299" s="24" t="inlineStr">
        <is>
          <t>Reported Table 2 RR 1.23 and P=.70; comparator printed-proportion RR is approximately 1.17, and the matched eTable P is .43.</t>
        </is>
      </c>
    </row>
    <row r="300" ht="180" customHeight="1" s="14">
      <c r="A300" s="20" t="inlineStr">
        <is>
          <t>2018::jama.2018.17075::C003</t>
        </is>
      </c>
      <c r="B300" s="20" t="n">
        <v>2</v>
      </c>
      <c r="C300" s="20" t="inlineStr">
        <is>
          <t>Calculation</t>
        </is>
      </c>
      <c r="D300" s="20" t="inlineStr">
        <is>
          <t>(47/260)/(37/240) = 1.1726, rounding to 1.17, not 1.23. A diagnostic log-scale CI is approximately 0.79-1.74 and an uncorrected two-proportion comparison approximately P=.43; these diagnostics do not replace the reported analysis.</t>
        </is>
      </c>
    </row>
    <row r="301" ht="180" customHeight="1" s="14">
      <c r="A301" s="24" t="inlineStr">
        <is>
          <t>2018::jama.2018.17075::C003</t>
        </is>
      </c>
      <c r="B301" s="24" t="n">
        <v>3</v>
      </c>
      <c r="C301" s="24" t="inlineStr">
        <is>
          <t>Alternative source-grounded interpretations</t>
        </is>
      </c>
      <c r="D301" s="24" t="inlineStr">
        <is>
          <t>A differently modelled effect is conceivable, but Table 2 is labelled Relative Risk and no row-specific adjusted analysis is identified. The neighboring row is a possible source-grounded token-assignment hypothesis only.</t>
        </is>
      </c>
    </row>
    <row r="302" ht="180" customHeight="1" s="14">
      <c r="A302" s="20" t="inlineStr">
        <is>
          <t>2018::jama.2018.17075::C004</t>
        </is>
      </c>
      <c r="B302" s="20" t="n">
        <v>0</v>
      </c>
      <c r="C302" s="20" t="inlineStr">
        <is>
          <t>Source evidence</t>
        </is>
      </c>
      <c r="D302" s="20" t="inlineStr">
        <is>
          <t>Both result locations print 8/260 (3.1%) versus 6/240 (2.5%). Table 2 prints RR 1.17 (0.79-1.74), P=.43; eTable 6 prints P=.70.</t>
        </is>
      </c>
    </row>
    <row r="303" ht="180" customHeight="1" s="14">
      <c r="A303" s="24" t="inlineStr">
        <is>
          <t>2018::jama.2018.17075::C004</t>
        </is>
      </c>
      <c r="B303" s="24" t="n">
        <v>1</v>
      </c>
      <c r="C303" s="24" t="inlineStr">
        <is>
          <t>Reported-versus-comparator</t>
        </is>
      </c>
      <c r="D303" s="24" t="inlineStr">
        <is>
          <t>Reported Table 2 RR 1.17 and P=.43; comparator printed-proportion RR is approximately 1.23, and the matched eTable P is .70.</t>
        </is>
      </c>
    </row>
    <row r="304" ht="180" customHeight="1" s="14">
      <c r="A304" s="20" t="inlineStr">
        <is>
          <t>2018::jama.2018.17075::C004</t>
        </is>
      </c>
      <c r="B304" s="20" t="n">
        <v>2</v>
      </c>
      <c r="C304" s="20" t="inlineStr">
        <is>
          <t>Calculation</t>
        </is>
      </c>
      <c r="D304" s="20" t="inlineStr">
        <is>
          <t>(8/260)/(6/240) = 1.2308, rounding to 1.23, not 1.17. A diagnostic log-scale CI is approximately 0.43-3.50 and an uncorrected two-proportion comparison approximately P=.70; these diagnostics do not reconstruct the reported analysis.</t>
        </is>
      </c>
    </row>
    <row r="305" ht="180" customHeight="1" s="14">
      <c r="A305" s="24" t="inlineStr">
        <is>
          <t>2018::jama.2018.17075::C004</t>
        </is>
      </c>
      <c r="B305" s="24" t="n">
        <v>3</v>
      </c>
      <c r="C305" s="24" t="inlineStr">
        <is>
          <t>Alternative source-grounded interpretations</t>
        </is>
      </c>
      <c r="D305" s="24" t="inlineStr">
        <is>
          <t>A differently modelled effect is possible in theory, but no row-specific adjusted analysis is supplied. The adjacent intracranial row mathematically aligns with the printed 1.17 (0.79-1.74), P=.43, which is a hypothesis about token assignment, not an established explanation.</t>
        </is>
      </c>
    </row>
    <row r="306" ht="180" customHeight="1" s="14">
      <c r="A306" s="20" t="inlineStr">
        <is>
          <t>2018::jama.2018.17075::C005</t>
        </is>
      </c>
      <c r="B306" s="20" t="n">
        <v>0</v>
      </c>
      <c r="C306" s="20" t="inlineStr">
        <is>
          <t>Source evidence</t>
        </is>
      </c>
      <c r="D306" s="20" t="inlineStr">
        <is>
          <t>Under No. (%), normothermia (n=196) prints 34.7 (68); surrounding cells use count followed by percentage.</t>
        </is>
      </c>
    </row>
    <row r="307" ht="180" customHeight="1" s="14">
      <c r="A307" s="24" t="inlineStr">
        <is>
          <t>2018::jama.2018.17075::C005</t>
        </is>
      </c>
      <c r="B307" s="24" t="n">
        <v>1</v>
      </c>
      <c r="C307" s="24" t="inlineStr">
        <is>
          <t>Reported-versus-comparator</t>
        </is>
      </c>
      <c r="D307" s="24" t="inlineStr">
        <is>
          <t>Reported token order 34.7 (68) versus the count-first header and denominator relationship represented by 68/196.</t>
        </is>
      </c>
    </row>
    <row r="308" ht="180" customHeight="1" s="14">
      <c r="A308" s="20" t="inlineStr">
        <is>
          <t>2018::jama.2018.17075::C005</t>
        </is>
      </c>
      <c r="B308" s="20" t="n">
        <v>2</v>
      </c>
      <c r="C308" s="20" t="inlineStr">
        <is>
          <t>Calculation</t>
        </is>
      </c>
      <c r="D308" s="20" t="inlineStr">
        <is>
          <t>68/196 x 100 = 34.6939%, rounding to 34.7%; 34.7 is noninteger in the count position. With the adjacent reconciled category reading, the five CT counts can close at 3 + 108 + 15 + 68 + 2 = 196.</t>
        </is>
      </c>
    </row>
    <row r="309" ht="180" customHeight="1" s="14">
      <c r="A309" s="24" t="inlineStr">
        <is>
          <t>2018::jama.2018.17075::C005</t>
        </is>
      </c>
      <c r="B309" s="24" t="n">
        <v>3</v>
      </c>
      <c r="C309" s="24" t="inlineStr">
        <is>
          <t>Alternative source-grounded interpretations</t>
        </is>
      </c>
      <c r="D309" s="24" t="inlineStr">
        <is>
          <t>A percentage-first convention would reconcile this one cell, but conflicts with No. (%) and surrounding count-first cells; no row-specific exception is printed.</t>
        </is>
      </c>
    </row>
    <row r="310" ht="180" customHeight="1" s="14">
      <c r="A310" s="20" t="inlineStr">
        <is>
          <t>2018::jama.2018.17075::C006</t>
        </is>
      </c>
      <c r="B310" s="20" t="n">
        <v>0</v>
      </c>
      <c r="C310" s="20" t="inlineStr">
        <is>
          <t>Source evidence</t>
        </is>
      </c>
      <c r="D310" s="20" t="inlineStr">
        <is>
          <t>Under No. (%), normothermia (n=196) prints 1 (2); other CT rows print 3 (1.5), 108 (55.1), 15 (7.7), and the adjacent cell 34.7 (68).</t>
        </is>
      </c>
    </row>
    <row r="311" ht="180" customHeight="1" s="14">
      <c r="A311" s="24" t="inlineStr">
        <is>
          <t>2018::jama.2018.17075::C006</t>
        </is>
      </c>
      <c r="B311" s="24" t="n">
        <v>1</v>
      </c>
      <c r="C311" s="24" t="inlineStr">
        <is>
          <t>Reported-versus-comparator</t>
        </is>
      </c>
      <c r="D311" s="24" t="inlineStr">
        <is>
          <t>Reported literal count/percentage 1 (2) versus 1/196 and the count-total relationship across the five displayed categories.</t>
        </is>
      </c>
    </row>
    <row r="312" ht="180" customHeight="1" s="14">
      <c r="A312" s="20" t="inlineStr">
        <is>
          <t>2018::jama.2018.17075::C006</t>
        </is>
      </c>
      <c r="B312" s="20" t="n">
        <v>2</v>
      </c>
      <c r="C312" s="20" t="inlineStr">
        <is>
          <t>Calculation</t>
        </is>
      </c>
      <c r="D312" s="20" t="inlineStr">
        <is>
          <t>1/196 x 100 = 0.5102%, not 2%. Reading count 2 and percentage 1 gives 2/196 x 100 = 1.0204%, and 3 + 108 + 15 + 68 + 2 = 196; literal count 1 produces 195.</t>
        </is>
      </c>
    </row>
    <row r="313" ht="180" customHeight="1" s="14">
      <c r="A313" s="24" t="inlineStr">
        <is>
          <t>2018::jama.2018.17075::C006</t>
        </is>
      </c>
      <c r="B313" s="24" t="n">
        <v>3</v>
      </c>
      <c r="C313" s="24" t="inlineStr">
        <is>
          <t>Alternative source-grounded interpretations</t>
        </is>
      </c>
      <c r="D313" s="24" t="inlineStr">
        <is>
          <t>A row-specific denominator of 50 could make 1 (2) arithmetically possible, but the table prints n=196, no row-specific denominator/missingness note, and five exhaustive categories.</t>
        </is>
      </c>
    </row>
    <row r="314" ht="180" customHeight="1" s="14">
      <c r="A314" s="20" t="inlineStr">
        <is>
          <t>2018::jama.2018.17075::C007</t>
        </is>
      </c>
      <c r="B314" s="20" t="n">
        <v>0</v>
      </c>
      <c r="C314" s="20" t="inlineStr">
        <is>
          <t>Source evidence</t>
        </is>
      </c>
      <c r="D314" s="20" t="inlineStr">
        <is>
          <t>The source prints adjusted odds ratio hypothermia vs normothermia; 0.95 (0.55-275 1.64) P = .84.</t>
        </is>
      </c>
    </row>
    <row r="315" ht="180" customHeight="1" s="14">
      <c r="A315" s="24" t="inlineStr">
        <is>
          <t>2018::jama.2018.17075::C007</t>
        </is>
      </c>
      <c r="B315" s="24" t="n">
        <v>1</v>
      </c>
      <c r="C315" s="24" t="inlineStr">
        <is>
          <t>Reported-versus-comparator</t>
        </is>
      </c>
      <c r="D315" s="24" t="inlineStr">
        <is>
          <t>Reported parenthesized sequence 0.55-275 1.64 versus the same page's explicit odds-ratio (95% CI) convention requiring two identifiable endpoints; the unadjusted example is 0.91 (0.59-1.41) P=.68.</t>
        </is>
      </c>
    </row>
    <row r="316" ht="180" customHeight="1" s="14">
      <c r="A316" s="20" t="inlineStr">
        <is>
          <t>2018::jama.2018.17075::C007</t>
        </is>
      </c>
      <c r="B316" s="20" t="n">
        <v>2</v>
      </c>
      <c r="C316" s="20" t="inlineStr">
        <is>
          <t>Calculation</t>
        </is>
      </c>
      <c r="D316" s="20" t="inlineStr">
        <is>
          <t>The ordered sequence is 0.55, 275, 1.64. Although point estimate 0.95 lies between 0.55 and 1.64, no source-based calculation identifies the role of 275 or licenses removal of it.</t>
        </is>
      </c>
    </row>
    <row r="317" ht="180" customHeight="1" s="14">
      <c r="A317" s="24" t="inlineStr">
        <is>
          <t>2018::jama.2018.17075::C007</t>
        </is>
      </c>
      <c r="B317" s="24" t="n">
        <v>3</v>
      </c>
      <c r="C317" s="24" t="inlineStr">
        <is>
          <t>Alternative source-grounded interpretations</t>
        </is>
      </c>
      <c r="D317" s="24" t="inlineStr">
        <is>
          <t>The same-page syntax supports a possible 0.55-1.64 interval with an extraneous token, but the PDF does not define 275; punctuation or digits may instead be missing.</t>
        </is>
      </c>
    </row>
    <row r="318" ht="180" customHeight="1" s="14">
      <c r="A318" s="20" t="inlineStr">
        <is>
          <t>2018::jama.2018.17075::C008</t>
        </is>
      </c>
      <c r="B318" s="20" t="n">
        <v>0</v>
      </c>
      <c r="C318" s="20" t="inlineStr">
        <is>
          <t>Source evidence</t>
        </is>
      </c>
      <c r="D318" s="20" t="inlineStr">
        <is>
          <t>The abstract states 500 provided ongoing consent and 402 men [80.2%]. Table 1 gives hypothermia 207 (79.6) and normothermia 194 (80.8) men, and women 53 (20.4) and 46 (19.2).</t>
        </is>
      </c>
    </row>
    <row r="319" ht="180" customHeight="1" s="14">
      <c r="A319" s="24" t="inlineStr">
        <is>
          <t>2018::jama.2018.17075::C008</t>
        </is>
      </c>
      <c r="B319" s="24" t="n">
        <v>1</v>
      </c>
      <c r="C319" s="24" t="inlineStr">
        <is>
          <t>Reported-versus-comparator</t>
        </is>
      </c>
      <c r="D319" s="24" t="inlineStr">
        <is>
          <t>Reported abstract 402/500 (80.2%) versus the arithmetic percentage 80.4% and Table 1 male subtotal 207+194=401, which is 80.2% of 500.</t>
        </is>
      </c>
    </row>
    <row r="320" ht="180" customHeight="1" s="14">
      <c r="A320" s="20" t="inlineStr">
        <is>
          <t>2018::jama.2018.17075::C008</t>
        </is>
      </c>
      <c r="B320" s="20" t="n">
        <v>2</v>
      </c>
      <c r="C320" s="20" t="inlineStr">
        <is>
          <t>Calculation</t>
        </is>
      </c>
      <c r="D320" s="20" t="inlineStr">
        <is>
          <t>402/500 x 100 = 80.4%. 207 + 194 = 401; 401/500 x 100 = 80.2%; sex-category totals close as 401 + 53 + 46 = 500.</t>
        </is>
      </c>
    </row>
    <row r="321" ht="180" customHeight="1" s="14">
      <c r="A321" s="24" t="inlineStr">
        <is>
          <t>2018::jama.2018.17075::C008</t>
        </is>
      </c>
      <c r="B321" s="24" t="n">
        <v>3</v>
      </c>
      <c r="C321" s="24" t="inlineStr">
        <is>
          <t>Alternative source-grounded interpretations</t>
        </is>
      </c>
      <c r="D321" s="24" t="inlineStr">
        <is>
          <t>A denominator near 501 could approximate 402 at 80.2%, but the abstract anchors the text to 500 and Table 1 reports all 500 without a missingness note.</t>
        </is>
      </c>
    </row>
    <row r="322" ht="180" customHeight="1" s="14">
      <c r="A322" s="20" t="inlineStr">
        <is>
          <t>2018::jama.2018.18020::C001</t>
        </is>
      </c>
      <c r="B322" s="20" t="n">
        <v>0</v>
      </c>
      <c r="C322" s="20" t="inlineStr">
        <is>
          <t>Source evidence</t>
        </is>
      </c>
      <c r="D322" s="20" t="inlineStr">
        <is>
          <t>The abstract prints 30 enrolled patients and 22% men; Baseline Data prints 22 men and 8 women.</t>
        </is>
      </c>
    </row>
    <row r="323" ht="180" customHeight="1" s="14">
      <c r="A323" s="24" t="inlineStr">
        <is>
          <t>2018::jama.2018.18020::C001</t>
        </is>
      </c>
      <c r="B323" s="24" t="n">
        <v>1</v>
      </c>
      <c r="C323" s="24" t="inlineStr">
        <is>
          <t>Reported-versus-comparator</t>
        </is>
      </c>
      <c r="D323" s="24" t="inlineStr">
        <is>
          <t>Reported 22% men versus comparator 22/30 men.</t>
        </is>
      </c>
    </row>
    <row r="324" ht="180" customHeight="1" s="14">
      <c r="A324" s="20" t="inlineStr">
        <is>
          <t>2018::jama.2018.18020::C001</t>
        </is>
      </c>
      <c r="B324" s="20" t="n">
        <v>2</v>
      </c>
      <c r="C324" s="20" t="inlineStr">
        <is>
          <t>Calculation</t>
        </is>
      </c>
      <c r="D324" s="20" t="inlineStr">
        <is>
          <t>22 + 8 = 30; 22/30 × 100 = 73.33%; 22% × 30 = 6.6, not 22 patients.</t>
        </is>
      </c>
    </row>
    <row r="325" ht="180" customHeight="1" s="14">
      <c r="A325" s="24" t="inlineStr">
        <is>
          <t>2018::jama.2018.18020::C001</t>
        </is>
      </c>
      <c r="B325" s="24" t="n">
        <v>3</v>
      </c>
      <c r="C325" s="24" t="inlineStr">
        <is>
          <t>Alternative source-grounded interpretations</t>
        </is>
      </c>
      <c r="D325" s="24" t="inlineStr">
        <is>
          <t>The abstract may have intended 22 men or approximately 73% men; enrollment-level data and proof history are unavailable.</t>
        </is>
      </c>
    </row>
    <row r="326" ht="180" customHeight="1" s="14">
      <c r="A326" s="20" t="inlineStr">
        <is>
          <t>2018::jama.2018.18020::C002</t>
        </is>
      </c>
      <c r="B326" s="20" t="n">
        <v>0</v>
      </c>
      <c r="C326" s="20" t="inlineStr">
        <is>
          <t>Source evidence</t>
        </is>
      </c>
      <c r="D326" s="20" t="inlineStr">
        <is>
          <t>CLCN1 is 84.0 (74.5-110.3) and SCN4A is 98.0 (56.0-120.0) while the footnote states Scale, 0 to 100.</t>
        </is>
      </c>
    </row>
    <row r="327" ht="180" customHeight="1" s="14">
      <c r="A327" s="24" t="inlineStr">
        <is>
          <t>2018::jama.2018.18020::C002</t>
        </is>
      </c>
      <c r="B327" s="24" t="n">
        <v>1</v>
      </c>
      <c r="C327" s="24" t="inlineStr">
        <is>
          <t>Reported-versus-comparator</t>
        </is>
      </c>
      <c r="D327" s="24" t="inlineStr">
        <is>
          <t>Reported upper endpoints 110.3 and 120.0 versus stated upper scale bound 100.</t>
        </is>
      </c>
    </row>
    <row r="328" ht="180" customHeight="1" s="14">
      <c r="A328" s="20" t="inlineStr">
        <is>
          <t>2018::jama.2018.18020::C002</t>
        </is>
      </c>
      <c r="B328" s="20" t="n">
        <v>2</v>
      </c>
      <c r="C328" s="20" t="inlineStr">
        <is>
          <t>Calculation</t>
        </is>
      </c>
      <c r="D328" s="20" t="inlineStr">
        <is>
          <t>110.3 - 100 = 10.3 and 120.0 - 100 = 20.0; a bounded score's quantile cannot exceed its bound.</t>
        </is>
      </c>
    </row>
    <row r="329" ht="180" customHeight="1" s="14">
      <c r="A329" s="24" t="inlineStr">
        <is>
          <t>2018::jama.2018.18020::C002</t>
        </is>
      </c>
      <c r="B329" s="24" t="n">
        <v>3</v>
      </c>
      <c r="C329" s="24" t="inlineStr">
        <is>
          <t>Alternative source-grounded interpretations</t>
        </is>
      </c>
      <c r="D329" s="24" t="inlineStr">
        <is>
          <t>The footnote may be incomplete or the displayed values may use an undocumented summed/transformed scale.</t>
        </is>
      </c>
    </row>
    <row r="330" ht="180" customHeight="1" s="14">
      <c r="A330" s="20" t="inlineStr">
        <is>
          <t>2018::jama.2018.18020::C003</t>
        </is>
      </c>
      <c r="B330" s="20" t="n">
        <v>0</v>
      </c>
      <c r="C330" s="20" t="inlineStr">
        <is>
          <t>Source evidence</t>
        </is>
      </c>
      <c r="D330" s="20" t="inlineStr">
        <is>
          <t>The header says Treatment Effect (Placebo-Mexiletine); effects include -14.22 and -2.85 under rows whose period changes are -7.22/-21.44 and 0.46/-2.39.</t>
        </is>
      </c>
    </row>
    <row r="331" ht="180" customHeight="1" s="14">
      <c r="A331" s="24" t="inlineStr">
        <is>
          <t>2018::jama.2018.18020::C003</t>
        </is>
      </c>
      <c r="B331" s="24" t="n">
        <v>1</v>
      </c>
      <c r="C331" s="24" t="inlineStr">
        <is>
          <t>Reported-versus-comparator</t>
        </is>
      </c>
      <c r="D331" s="24" t="inlineStr">
        <is>
          <t>Printed placebo-minus-mexiletine header versus row arithmetic consistent with mexiletine-minus-placebo.</t>
        </is>
      </c>
    </row>
    <row r="332" ht="180" customHeight="1" s="14">
      <c r="A332" s="20" t="inlineStr">
        <is>
          <t>2018::jama.2018.18020::C003</t>
        </is>
      </c>
      <c r="B332" s="20" t="n">
        <v>2</v>
      </c>
      <c r="C332" s="20" t="inlineStr">
        <is>
          <t>Calculation</t>
        </is>
      </c>
      <c r="D332" s="20" t="inlineStr">
        <is>
          <t>-21.44 - (-7.22) = -14.22; -2.39 - 0.46 = -2.85; reversing the subtraction reverses both signs.</t>
        </is>
      </c>
    </row>
    <row r="333" ht="180" customHeight="1" s="14">
      <c r="A333" s="24" t="inlineStr">
        <is>
          <t>2018::jama.2018.18020::C003</t>
        </is>
      </c>
      <c r="B333" s="24" t="n">
        <v>3</v>
      </c>
      <c r="C333" s="24" t="inlineStr">
        <is>
          <t>Alternative source-grounded interpretations</t>
        </is>
      </c>
      <c r="D333" s="24" t="inlineStr">
        <is>
          <t>The header may be reversed, or an undocumented favorable-direction convention may be applied; unrounded paired data are absent.</t>
        </is>
      </c>
    </row>
    <row r="334" ht="180" customHeight="1" s="14">
      <c r="A334" s="20" t="inlineStr">
        <is>
          <t>2018::jama.2018.18020::C004</t>
        </is>
      </c>
      <c r="B334" s="20" t="n">
        <v>0</v>
      </c>
      <c r="C334" s="20" t="inlineStr">
        <is>
          <t>Source evidence</t>
        </is>
      </c>
      <c r="D334" s="20" t="inlineStr">
        <is>
          <t>eTable 4 prints placebo Any 2 (6%), mexiletine Any 27 (90%), and count-2 rows displayed as 7%; main text prints 21 of 30 patients (70%).</t>
        </is>
      </c>
    </row>
    <row r="335" ht="180" customHeight="1" s="14">
      <c r="A335" s="24" t="inlineStr">
        <is>
          <t>2018::jama.2018.18020::C004</t>
        </is>
      </c>
      <c r="B335" s="24" t="n">
        <v>1</v>
      </c>
      <c r="C335" s="24" t="inlineStr">
        <is>
          <t>Reported-versus-comparator</t>
        </is>
      </c>
      <c r="D335" s="24" t="inlineStr">
        <is>
          <t>Reported 2 (6%) versus the apparent 30-patient denominator and surrounding count/percentage convention.</t>
        </is>
      </c>
    </row>
    <row r="336" ht="180" customHeight="1" s="14">
      <c r="A336" s="20" t="inlineStr">
        <is>
          <t>2018::jama.2018.18020::C004</t>
        </is>
      </c>
      <c r="B336" s="20" t="n">
        <v>2</v>
      </c>
      <c r="C336" s="20" t="inlineStr">
        <is>
          <t>Calculation</t>
        </is>
      </c>
      <c r="D336" s="20" t="inlineStr">
        <is>
          <t>2/30 × 100 = 6.67%, ordinarily 7%; a denominator of 31 gives 6.45%, which can round to 6%.</t>
        </is>
      </c>
    </row>
    <row r="337" ht="180" customHeight="1" s="14">
      <c r="A337" s="24" t="inlineStr">
        <is>
          <t>2018::jama.2018.18020::C004</t>
        </is>
      </c>
      <c r="B337" s="24" t="n">
        <v>3</v>
      </c>
      <c r="C337" s="24" t="inlineStr">
        <is>
          <t>Alternative source-grounded interpretations</t>
        </is>
      </c>
      <c r="D337" s="24" t="inlineStr">
        <is>
          <t>The row may use 31 treatment-set exposures or truncation; eTable 4 does not print a denominator, unit, or rounding rule.</t>
        </is>
      </c>
    </row>
    <row r="338" ht="180" customHeight="1" s="14">
      <c r="A338" s="20" t="inlineStr">
        <is>
          <t>2018::jama.2018.18020::C005</t>
        </is>
      </c>
      <c r="B338" s="20" t="n">
        <v>0</v>
      </c>
      <c r="C338" s="20" t="inlineStr">
        <is>
          <t>Source evidence</t>
        </is>
      </c>
      <c r="D338" s="20" t="inlineStr">
        <is>
          <t>Code maps Stiff_Plac to mu_plac and Stiff_Mex to mu_mex; dictionaries describe mu_mex[i] as placebo and mu_plac[i] as mexiletine.</t>
        </is>
      </c>
    </row>
    <row r="339" ht="180" customHeight="1" s="14">
      <c r="A339" s="24" t="inlineStr">
        <is>
          <t>2018::jama.2018.18020::C005</t>
        </is>
      </c>
      <c r="B339" s="24" t="n">
        <v>1</v>
      </c>
      <c r="C339" s="24" t="inlineStr">
        <is>
          <t>Reported-versus-comparator</t>
        </is>
      </c>
      <c r="D339" s="24" t="inlineStr">
        <is>
          <t>Prose treatment labels versus likelihood/data-to-parameter mappings and named population parameters.</t>
        </is>
      </c>
    </row>
    <row r="340" ht="180" customHeight="1" s="14">
      <c r="A340" s="20" t="inlineStr">
        <is>
          <t>2018::jama.2018.18020::C005</t>
        </is>
      </c>
      <c r="B340" s="20" t="n">
        <v>2</v>
      </c>
      <c r="C340" s="20" t="inlineStr">
        <is>
          <t>Calculation</t>
        </is>
      </c>
      <c r="D340" s="20" t="inlineStr">
        <is>
          <t>Stiff_Plac -&gt; mu_plac and Stiff_Mex -&gt; mu_mex; diff_patient &lt;- mu_plac[i] - mu_mex[i] follows that code mapping.</t>
        </is>
      </c>
    </row>
    <row r="341" ht="180" customHeight="1" s="14">
      <c r="A341" s="24" t="inlineStr">
        <is>
          <t>2018::jama.2018.18020::C005</t>
        </is>
      </c>
      <c r="B341" s="24" t="n">
        <v>3</v>
      </c>
      <c r="C341" s="24" t="inlineStr">
        <is>
          <t>Alternative source-grounded interpretations</t>
        </is>
      </c>
      <c r="D341" s="24" t="inlineStr">
        <is>
          <t>Two prose rows may be transposed while executed code/output remained correct; executed files and logs are not supplied.</t>
        </is>
      </c>
    </row>
    <row r="342" ht="180" customHeight="1" s="14">
      <c r="A342" s="20" t="inlineStr">
        <is>
          <t>2018::jama.2018.18020::C006</t>
        </is>
      </c>
      <c r="B342" s="20" t="n">
        <v>0</v>
      </c>
      <c r="C342" s="20" t="inlineStr">
        <is>
          <t>Source evidence</t>
        </is>
      </c>
      <c r="D342" s="20" t="inlineStr">
        <is>
          <t>Code defines diff_CLCN1 &lt;- mu.plac_CLCN1 - mu.mex_CLCN1; the dictionary says mu.plac-mu.mex for SCN4A patients.</t>
        </is>
      </c>
    </row>
    <row r="343" ht="180" customHeight="1" s="14">
      <c r="A343" s="24" t="inlineStr">
        <is>
          <t>2018::jama.2018.18020::C006</t>
        </is>
      </c>
      <c r="B343" s="24" t="n">
        <v>1</v>
      </c>
      <c r="C343" s="24" t="inlineStr">
        <is>
          <t>Reported-versus-comparator</t>
        </is>
      </c>
      <c r="D343" s="24" t="inlineStr">
        <is>
          <t>SCN4A prose description versus the CLCN1 parameter suffix and both CLCN1 code components.</t>
        </is>
      </c>
    </row>
    <row r="344" ht="180" customHeight="1" s="14">
      <c r="A344" s="20" t="inlineStr">
        <is>
          <t>2018::jama.2018.18020::C006</t>
        </is>
      </c>
      <c r="B344" s="20" t="n">
        <v>2</v>
      </c>
      <c r="C344" s="20" t="inlineStr">
        <is>
          <t>Calculation</t>
        </is>
      </c>
      <c r="D344" s="20" t="inlineStr">
        <is>
          <t>Substituting the displayed components produces the CLCN1 placebo-minus-mexiletine contrast, not an SCN4A contrast.</t>
        </is>
      </c>
    </row>
    <row r="345" ht="180" customHeight="1" s="14">
      <c r="A345" s="24" t="inlineStr">
        <is>
          <t>2018::jama.2018.18020::C006</t>
        </is>
      </c>
      <c r="B345" s="24" t="n">
        <v>3</v>
      </c>
      <c r="C345" s="24" t="inlineStr">
        <is>
          <t>Alternative source-grounded interpretations</t>
        </is>
      </c>
      <c r="D345" s="24" t="inlineStr">
        <is>
          <t>The row may be a copy-forward of the preceding SCN4A description; executed output is unavailable.</t>
        </is>
      </c>
    </row>
    <row r="346" ht="180" customHeight="1" s="14">
      <c r="A346" s="20" t="inlineStr">
        <is>
          <t>2018::jama.2018.18020::C007</t>
        </is>
      </c>
      <c r="B346" s="20" t="n">
        <v>0</v>
      </c>
      <c r="C346" s="20" t="inlineStr">
        <is>
          <t>Source evidence</t>
        </is>
      </c>
      <c r="D346" s="20" t="inlineStr">
        <is>
          <t>tau.mex &lt;- 1/(sigma.mex*sigma.mex) is used with mu_mex and Stiff_Mex, while prose calls sigma.mex placebo-period variability.</t>
        </is>
      </c>
    </row>
    <row r="347" ht="180" customHeight="1" s="14">
      <c r="A347" s="24" t="inlineStr">
        <is>
          <t>2018::jama.2018.18020::C007</t>
        </is>
      </c>
      <c r="B347" s="24" t="n">
        <v>1</v>
      </c>
      <c r="C347" s="24" t="inlineStr">
        <is>
          <t>Reported-versus-comparator</t>
        </is>
      </c>
      <c r="D347" s="24" t="inlineStr">
        <is>
          <t>Placebo wording versus .mex likelihood branch, mean parameter, and parallel .plac parameter.</t>
        </is>
      </c>
    </row>
    <row r="348" ht="180" customHeight="1" s="14">
      <c r="A348" s="20" t="inlineStr">
        <is>
          <t>2018::jama.2018.18020::C007</t>
        </is>
      </c>
      <c r="B348" s="20" t="n">
        <v>2</v>
      </c>
      <c r="C348" s="20" t="inlineStr">
        <is>
          <t>Calculation</t>
        </is>
      </c>
      <c r="D348" s="20" t="inlineStr">
        <is>
          <t>tau.mex = 1/sigma.mex^2 supplies precision for mu_mex, which is used for Stiff_Mex.</t>
        </is>
      </c>
    </row>
    <row r="349" ht="180" customHeight="1" s="14">
      <c r="A349" s="24" t="inlineStr">
        <is>
          <t>2018::jama.2018.18020::C007</t>
        </is>
      </c>
      <c r="B349" s="24" t="n">
        <v>3</v>
      </c>
      <c r="C349" s="24" t="inlineStr">
        <is>
          <t>Alternative source-grounded interpretations</t>
        </is>
      </c>
      <c r="D349" s="24" t="inlineStr">
        <is>
          <t>The wording may be repeated copy-forward text while code remains correct; executed models/logs are not supplied.</t>
        </is>
      </c>
    </row>
    <row r="350" ht="180" customHeight="1" s="14">
      <c r="A350" s="20" t="inlineStr">
        <is>
          <t>2018::jama.2018.18020::C008</t>
        </is>
      </c>
      <c r="B350" s="20" t="n">
        <v>0</v>
      </c>
      <c r="C350" s="20" t="inlineStr">
        <is>
          <t>Source evidence</t>
        </is>
      </c>
      <c r="D350" s="20" t="inlineStr">
        <is>
          <t>Page 4 assigns 3.84 (95% CrI 2.52-5.16; n=16) to CLNC1; matched displays and gene definition use CLCN1.</t>
        </is>
      </c>
    </row>
    <row r="351" ht="180" customHeight="1" s="14">
      <c r="A351" s="24" t="inlineStr">
        <is>
          <t>2018::jama.2018.18020::C008</t>
        </is>
      </c>
      <c r="B351" s="24" t="n">
        <v>1</v>
      </c>
      <c r="C351" s="24" t="inlineStr">
        <is>
          <t>Reported-versus-comparator</t>
        </is>
      </c>
      <c r="D351" s="24" t="inlineStr">
        <is>
          <t>CLNC1 in narrative versus CLCN1 in matched subgroup displays with identical estimate, interval, and n.</t>
        </is>
      </c>
    </row>
    <row r="352" ht="180" customHeight="1" s="14">
      <c r="A352" s="20" t="inlineStr">
        <is>
          <t>2018::jama.2018.18020::C008</t>
        </is>
      </c>
      <c r="B352" s="20" t="n">
        <v>2</v>
      </c>
      <c r="C352" s="20" t="inlineStr">
        <is>
          <t>Calculation</t>
        </is>
      </c>
      <c r="D352" s="20" t="inlineStr">
        <is>
          <t>The numeric keys 3.84, 2.52-5.16, and n=16 identify one subgroup; only the gene-symbol character order differs.</t>
        </is>
      </c>
    </row>
    <row r="353" ht="180" customHeight="1" s="14">
      <c r="A353" s="24" t="inlineStr">
        <is>
          <t>2018::jama.2018.18020::C008</t>
        </is>
      </c>
      <c r="B353" s="24" t="n">
        <v>3</v>
      </c>
      <c r="C353" s="24" t="inlineStr">
        <is>
          <t>Alternative source-grounded interpretations</t>
        </is>
      </c>
      <c r="D353" s="24" t="inlineStr">
        <is>
          <t>This may be a local typographical transposition; supplied evidence does not establish an effect on analysis.</t>
        </is>
      </c>
    </row>
    <row r="354" ht="180" customHeight="1" s="14">
      <c r="A354" s="20" t="inlineStr">
        <is>
          <t>2018::jama.2018.18020::C009</t>
        </is>
      </c>
      <c r="B354" s="20" t="n">
        <v>0</v>
      </c>
      <c r="C354" s="20" t="inlineStr">
        <is>
          <t>Source evidence</t>
        </is>
      </c>
      <c r="D354" s="20" t="inlineStr">
        <is>
          <t>The row reports effect 6.78, 95% CI 1.64 to 11.92, and P=.001; Table 2 states N=27 and dependent t tests for non-IVR secondary outcomes.</t>
        </is>
      </c>
    </row>
    <row r="355" ht="180" customHeight="1" s="14">
      <c r="A355" s="24" t="inlineStr">
        <is>
          <t>2018::jama.2018.18020::C009</t>
        </is>
      </c>
      <c r="B355" s="24" t="n">
        <v>1</v>
      </c>
      <c r="C355" s="24" t="inlineStr">
        <is>
          <t>Reported-versus-comparator</t>
        </is>
      </c>
      <c r="D355" s="24" t="inlineStr">
        <is>
          <t>Reported .001 versus CI-derived two-sided diagnostic under df=26.</t>
        </is>
      </c>
    </row>
    <row r="356" ht="180" customHeight="1" s="14">
      <c r="A356" s="20" t="inlineStr">
        <is>
          <t>2018::jama.2018.18020::C009</t>
        </is>
      </c>
      <c r="B356" s="20" t="n">
        <v>2</v>
      </c>
      <c r="C356" s="20" t="inlineStr">
        <is>
          <t>Calculation</t>
        </is>
      </c>
      <c r="D356" s="20" t="inlineStr">
        <is>
          <t>Half-width 5.14 gives SE about 5.14/2.056 = 2.50; t ≈ 6.78/2.50 = 2.71; two-sided P is about .012, not .001.</t>
        </is>
      </c>
    </row>
    <row r="357" ht="180" customHeight="1" s="14">
      <c r="A357" s="24" t="inlineStr">
        <is>
          <t>2018::jama.2018.18020::C009</t>
        </is>
      </c>
      <c r="B357" s="24" t="n">
        <v>3</v>
      </c>
      <c r="C357" s="24" t="inlineStr">
        <is>
          <t>Alternative source-grounded interpretations</t>
        </is>
      </c>
      <c r="D357" s="24" t="inlineStr">
        <is>
          <t>Row-specific paired n, CI construction, or inferential procedure could differ but are not supplied.</t>
        </is>
      </c>
    </row>
    <row r="358" ht="180" customHeight="1" s="14">
      <c r="A358" s="20" t="inlineStr">
        <is>
          <t>2018::jama.2018.18020::C010</t>
        </is>
      </c>
      <c r="B358" s="20" t="n">
        <v>0</v>
      </c>
      <c r="C358" s="20" t="inlineStr">
        <is>
          <t>Source evidence</t>
        </is>
      </c>
      <c r="D358" s="20" t="inlineStr">
        <is>
          <t>The row prints -1.96, 95% CI -3.41 to 0.51, P=.009; subgroup n=11 and dependent t test are stated.</t>
        </is>
      </c>
    </row>
    <row r="359" ht="180" customHeight="1" s="14">
      <c r="A359" s="24" t="inlineStr">
        <is>
          <t>2018::jama.2018.18020::C010</t>
        </is>
      </c>
      <c r="B359" s="24" t="n">
        <v>1</v>
      </c>
      <c r="C359" s="24" t="inlineStr">
        <is>
          <t>Reported-versus-comparator</t>
        </is>
      </c>
      <c r="D359" s="24" t="inlineStr">
        <is>
          <t>Reported .009 versus a CI that crosses zero and the conditional df=10 diagnostic.</t>
        </is>
      </c>
    </row>
    <row r="360" ht="180" customHeight="1" s="14">
      <c r="A360" s="20" t="inlineStr">
        <is>
          <t>2018::jama.2018.18020::C010</t>
        </is>
      </c>
      <c r="B360" s="20" t="n">
        <v>2</v>
      </c>
      <c r="C360" s="20" t="inlineStr">
        <is>
          <t>Calculation</t>
        </is>
      </c>
      <c r="D360" s="20" t="inlineStr">
        <is>
          <t>CI half-width 1.96 with df=10 gives SE about 1.96/2.228 = 0.88; |t| ≈ 1.96/0.88 = 2.23, two-sided P about .05.</t>
        </is>
      </c>
    </row>
    <row r="361" ht="180" customHeight="1" s="14">
      <c r="A361" s="24" t="inlineStr">
        <is>
          <t>2018::jama.2018.18020::C010</t>
        </is>
      </c>
      <c r="B361" s="24" t="n">
        <v>3</v>
      </c>
      <c r="C361" s="24" t="inlineStr">
        <is>
          <t>Alternative source-grounded interpretations</t>
        </is>
      </c>
      <c r="D361" s="24" t="inlineStr">
        <is>
          <t>A P value, endpoint, subgroup n, or CI/test definition may differ from the table-level rule.</t>
        </is>
      </c>
    </row>
    <row r="362" ht="180" customHeight="1" s="14">
      <c r="A362" s="20" t="inlineStr">
        <is>
          <t>2018::jama.2018.18020::C011</t>
        </is>
      </c>
      <c r="B362" s="20" t="n">
        <v>0</v>
      </c>
      <c r="C362" s="20" t="inlineStr">
        <is>
          <t>Source evidence</t>
        </is>
      </c>
      <c r="D362" s="20" t="inlineStr">
        <is>
          <t>The row prints 13.71, 95% CI -1.96 to 25.47, and P=.02; subgroup n=11 and dependent t test are stated.</t>
        </is>
      </c>
    </row>
    <row r="363" ht="180" customHeight="1" s="14">
      <c r="A363" s="24" t="inlineStr">
        <is>
          <t>2018::jama.2018.18020::C011</t>
        </is>
      </c>
      <c r="B363" s="24" t="n">
        <v>1</v>
      </c>
      <c r="C363" s="24" t="inlineStr">
        <is>
          <t>Reported-versus-comparator</t>
        </is>
      </c>
      <c r="D363" s="24" t="inlineStr">
        <is>
          <t>Reported estimate/CI/P versus interval midpoint, zero crossing, and conditional df=10 diagnostic.</t>
        </is>
      </c>
    </row>
    <row r="364" ht="180" customHeight="1" s="14">
      <c r="A364" s="20" t="inlineStr">
        <is>
          <t>2018::jama.2018.18020::C011</t>
        </is>
      </c>
      <c r="B364" s="20" t="n">
        <v>2</v>
      </c>
      <c r="C364" s="20" t="inlineStr">
        <is>
          <t>Calculation</t>
        </is>
      </c>
      <c r="D364" s="20" t="inlineStr">
        <is>
          <t>Midpoint is (-1.96 + 25.47)/2 = 11.755, not 13.71; CI crosses zero; half-width 13.715 gives a two-sided diagnostic near .05, not .02.</t>
        </is>
      </c>
    </row>
    <row r="365" ht="180" customHeight="1" s="14">
      <c r="A365" s="24" t="inlineStr">
        <is>
          <t>2018::jama.2018.18020::C011</t>
        </is>
      </c>
      <c r="B365" s="24" t="n">
        <v>3</v>
      </c>
      <c r="C365" s="24" t="inlineStr">
        <is>
          <t>Alternative source-grounded interpretations</t>
        </is>
      </c>
      <c r="D365" s="24" t="inlineStr">
        <is>
          <t>A lower-endpoint sign/transcription, P value, n, or procedure may be different; raw output is absent.</t>
        </is>
      </c>
    </row>
    <row r="366" ht="180" customHeight="1" s="14">
      <c r="A366" s="20" t="inlineStr">
        <is>
          <t>2018::jama.2018.18020::C012</t>
        </is>
      </c>
      <c r="B366" s="20" t="n">
        <v>0</v>
      </c>
      <c r="C366" s="20" t="inlineStr">
        <is>
          <t>Source evidence</t>
        </is>
      </c>
      <c r="D366" s="20" t="inlineStr">
        <is>
          <t>The row reports effect 0.67, 95% CI 0.23 to 1.11, and P&lt;.001; Table 2 states N=27 and dependent t tests for non-IVR outcomes.</t>
        </is>
      </c>
    </row>
    <row r="367" ht="180" customHeight="1" s="14">
      <c r="A367" s="24" t="inlineStr">
        <is>
          <t>2018::jama.2018.18020::C012</t>
        </is>
      </c>
      <c r="B367" s="24" t="n">
        <v>1</v>
      </c>
      <c r="C367" s="24" t="inlineStr">
        <is>
          <t>Reported-versus-comparator</t>
        </is>
      </c>
      <c r="D367" s="24" t="inlineStr">
        <is>
          <t>Reported P&lt;.001 versus a CI-derived two-sided diagnostic under df=26.</t>
        </is>
      </c>
    </row>
    <row r="368" ht="180" customHeight="1" s="14">
      <c r="A368" s="20" t="inlineStr">
        <is>
          <t>2018::jama.2018.18020::C012</t>
        </is>
      </c>
      <c r="B368" s="20" t="n">
        <v>2</v>
      </c>
      <c r="C368" s="20" t="inlineStr">
        <is>
          <t>Calculation</t>
        </is>
      </c>
      <c r="D368" s="20" t="inlineStr">
        <is>
          <t>Half-width .44 gives SE about .44/2.056 = .214; t ≈ .67/.214 = 3.13; two-sided P about .004, not below .001.</t>
        </is>
      </c>
    </row>
    <row r="369" ht="180" customHeight="1" s="14">
      <c r="A369" s="24" t="inlineStr">
        <is>
          <t>2018::jama.2018.18020::C012</t>
        </is>
      </c>
      <c r="B369" s="24" t="n">
        <v>3</v>
      </c>
      <c r="C369" s="24" t="inlineStr">
        <is>
          <t>Alternative source-grounded interpretations</t>
        </is>
      </c>
      <c r="D369" s="24" t="inlineStr">
        <is>
          <t>Row-specific n, paired-difference variability, or exact CI/P calculation may differ but are not printed.</t>
        </is>
      </c>
    </row>
    <row r="370" ht="180" customHeight="1" s="14">
      <c r="A370" s="20" t="inlineStr">
        <is>
          <t>2018::jama.2018.18020::C013</t>
        </is>
      </c>
      <c r="B370" s="20" t="n">
        <v>0</v>
      </c>
      <c r="C370" s="20" t="inlineStr">
        <is>
          <t>Source evidence</t>
        </is>
      </c>
      <c r="D370" s="20" t="inlineStr">
        <is>
          <t>The cell prints 0.46 (-0.30 to -1.23).</t>
        </is>
      </c>
    </row>
    <row r="371" ht="180" customHeight="1" s="14">
      <c r="A371" s="24" t="inlineStr">
        <is>
          <t>2018::jama.2018.18020::C013</t>
        </is>
      </c>
      <c r="B371" s="24" t="n">
        <v>1</v>
      </c>
      <c r="C371" s="24" t="inlineStr">
        <is>
          <t>Reported-versus-comparator</t>
        </is>
      </c>
      <c r="D371" s="24" t="inlineStr">
        <is>
          <t>Printed estimate 0.46 versus printed endpoints -0.30 and -1.23.</t>
        </is>
      </c>
    </row>
    <row r="372" ht="180" customHeight="1" s="14">
      <c r="A372" s="20" t="inlineStr">
        <is>
          <t>2018::jama.2018.18020::C013</t>
        </is>
      </c>
      <c r="B372" s="20" t="n">
        <v>2</v>
      </c>
      <c r="C372" s="20" t="inlineStr">
        <is>
          <t>Calculation</t>
        </is>
      </c>
      <c r="D372" s="20" t="inlineStr">
        <is>
          <t>-0.30 &gt; -1.23; even when ordered as -1.23 to -0.30, 0.46 is outside. The same row gives -2.39 - 0.46 = -2.85 for the observed treatment-effect direction.</t>
        </is>
      </c>
    </row>
    <row r="373" ht="180" customHeight="1" s="14">
      <c r="A373" s="24" t="inlineStr">
        <is>
          <t>2018::jama.2018.18020::C013</t>
        </is>
      </c>
      <c r="B373" s="24" t="n">
        <v>3</v>
      </c>
      <c r="C373" s="24" t="inlineStr">
        <is>
          <t>Alternative source-grounded interpretations</t>
        </is>
      </c>
      <c r="D373" s="24" t="inlineStr">
        <is>
          <t>Endpoints may be transposed, or an endpoint sign/value or point estimate may be misprinted.</t>
        </is>
      </c>
    </row>
    <row r="374" ht="180" customHeight="1" s="14">
      <c r="A374" s="20" t="inlineStr">
        <is>
          <t>2018::jama.2018.18020::C014</t>
        </is>
      </c>
      <c r="B374" s="20" t="n">
        <v>0</v>
      </c>
      <c r="C374" s="20" t="inlineStr">
        <is>
          <t>Source evidence</t>
        </is>
      </c>
      <c r="D374" s="20" t="inlineStr">
        <is>
          <t>The cell prints 0.07 (-0.67 to 0.01).</t>
        </is>
      </c>
    </row>
    <row r="375" ht="180" customHeight="1" s="14">
      <c r="A375" s="24" t="inlineStr">
        <is>
          <t>2018::jama.2018.18020::C014</t>
        </is>
      </c>
      <c r="B375" s="24" t="n">
        <v>1</v>
      </c>
      <c r="C375" s="24" t="inlineStr">
        <is>
          <t>Reported-versus-comparator</t>
        </is>
      </c>
      <c r="D375" s="24" t="inlineStr">
        <is>
          <t>Printed estimate 0.07 versus ordered interval -0.67 to 0.01.</t>
        </is>
      </c>
    </row>
    <row r="376" ht="180" customHeight="1" s="14">
      <c r="A376" s="20" t="inlineStr">
        <is>
          <t>2018::jama.2018.18020::C014</t>
        </is>
      </c>
      <c r="B376" s="20" t="n">
        <v>2</v>
      </c>
      <c r="C376" s="20" t="inlineStr">
        <is>
          <t>Calculation</t>
        </is>
      </c>
      <c r="D376" s="20" t="inlineStr">
        <is>
          <t>0.07 &gt; 0.01; the estimate exceeds the printed upper endpoint by 0.06. Same-row arithmetic gives -1.05 - 0.07 = -1.12 under the observed table direction.</t>
        </is>
      </c>
    </row>
    <row r="377" ht="180" customHeight="1" s="14">
      <c r="A377" s="24" t="inlineStr">
        <is>
          <t>2018::jama.2018.18020::C014</t>
        </is>
      </c>
      <c r="B377" s="24" t="n">
        <v>3</v>
      </c>
      <c r="C377" s="24" t="inlineStr">
        <is>
          <t>Alternative source-grounded interpretations</t>
        </is>
      </c>
      <c r="D377" s="24" t="inlineStr">
        <is>
          <t>An endpoint digit, estimate sign/value, or other table field may be transcribed incorrectly.</t>
        </is>
      </c>
    </row>
    <row r="378" ht="180" customHeight="1" s="14">
      <c r="A378" s="20" t="inlineStr">
        <is>
          <t>2018::jama.2018.6496::C001</t>
        </is>
      </c>
      <c r="B378" s="20" t="n">
        <v>0</v>
      </c>
      <c r="C378" s="20" t="inlineStr">
        <is>
          <t>Source evidence</t>
        </is>
      </c>
      <c r="D378" s="20" t="inlineStr">
        <is>
          <t>Table 3 prints all-patient medians of 38 (29 to 51) and 36 (25 to 54) seconds, difference 1 (4 to -1), and P=.24. The main methods name Hodges-Lehmann median between-group differences with associated 95% confidence intervals. The clustered eTable prints 1 s (-1 s to 4 s), P=.95 and states that inferential columns were recalculated for physician clustering.</t>
        </is>
      </c>
    </row>
    <row r="379" ht="180" customHeight="1" s="14">
      <c r="A379" s="24" t="inlineStr">
        <is>
          <t>2018::jama.2018.6496::C001</t>
        </is>
      </c>
      <c r="B379" s="24" t="n">
        <v>1</v>
      </c>
      <c r="C379" s="24" t="inlineStr">
        <is>
          <t>Reported-versus-comparator</t>
        </is>
      </c>
      <c r="D379" s="24" t="inlineStr">
        <is>
          <t>The reported main-table interval is 4 to -1; the applicable lower-to-upper display convention requires a lower endpoint not greater than the upper endpoint. The clustered interval is contextual distinct-model evidence, not an unclustered replacement.</t>
        </is>
      </c>
    </row>
    <row r="380" ht="180" customHeight="1" s="14">
      <c r="A380" s="20" t="inlineStr">
        <is>
          <t>2018::jama.2018.6496::C001</t>
        </is>
      </c>
      <c r="B380" s="20" t="n">
        <v>2</v>
      </c>
      <c r="C380" s="20" t="inlineStr">
        <is>
          <t>Calculation</t>
        </is>
      </c>
      <c r="D380" s="20" t="inlineStr">
        <is>
          <t>4 &gt; -1; the displayed sequence is decreasing. Reordering to -1 to 4 is only a diagnostic possibility, not an assigned correction.</t>
        </is>
      </c>
    </row>
    <row r="381" ht="180" customHeight="1" s="14">
      <c r="A381" s="24" t="inlineStr">
        <is>
          <t>2018::jama.2018.6496::C001</t>
        </is>
      </c>
      <c r="B381" s="24" t="n">
        <v>3</v>
      </c>
      <c r="C381" s="24" t="inlineStr">
        <is>
          <t>Alternative source-grounded interpretations</t>
        </is>
      </c>
      <c r="D381" s="24" t="inlineStr">
        <is>
          <t>An unstated reverse-order convention or source-specific transcription could explain the display. The clustered result supports the possibility of a reversed display, but its stated recalculation for physician clustering means it does not establish the intended unclustered values.</t>
        </is>
      </c>
    </row>
    <row r="382" ht="180" customHeight="1" s="14">
      <c r="A382" s="20" t="inlineStr">
        <is>
          <t>2018::jama.2018.6496::C002</t>
        </is>
      </c>
      <c r="B382" s="20" t="n">
        <v>0</v>
      </c>
      <c r="C382" s="20" t="inlineStr">
        <is>
          <t>Source evidence</t>
        </is>
      </c>
      <c r="D382" s="20" t="inlineStr">
        <is>
          <t>Table 3 reports ETT+stylet first-attempt success without hypoxemia as 282/366 (77%). Table 5 reports ETT+stylet hypoxemia as 50/364 (14%). Both footnotes invoke matching hypoxemia threshold/window language and unavailable valid waveform; the Bougie denominators are 371 in both linked rows. The protocol defines success without hypoxemia as first-attempt success plus no hypoxemia.</t>
        </is>
      </c>
    </row>
    <row r="383" ht="180" customHeight="1" s="14">
      <c r="A383" s="24" t="inlineStr">
        <is>
          <t>2018::jama.2018.6496::C002</t>
        </is>
      </c>
      <c r="B383" s="24" t="n">
        <v>1</v>
      </c>
      <c r="C383" s="24" t="inlineStr">
        <is>
          <t>Reported-versus-comparator</t>
        </is>
      </c>
      <c r="D383" s="24" t="inlineStr">
        <is>
          <t>The ETT+stylet denominators are 366 for the composite and 364 for hypoxemia alone. Denominator identity is expected only if both rows require an observed hypoxemia classification for every denominator member; the printed sources do not state the implemented denominator-construction rule.</t>
        </is>
      </c>
    </row>
    <row r="384" ht="180" customHeight="1" s="14">
      <c r="A384" s="20" t="inlineStr">
        <is>
          <t>2018::jama.2018.6496::C002</t>
        </is>
      </c>
      <c r="B384" s="20" t="n">
        <v>2</v>
      </c>
      <c r="C384" s="20" t="inlineStr">
        <is>
          <t>Calculation</t>
        </is>
      </c>
      <c r="D384" s="20" t="inlineStr">
        <is>
          <t>366 - 364 = 2. Relative to the randomized ETT+stylet total, 376 - 366 = 10 and 376 - 364 = 12. Aggregate counts cannot identify the two patients.</t>
        </is>
      </c>
    </row>
    <row r="385" ht="180" customHeight="1" s="14">
      <c r="A385" s="24" t="inlineStr">
        <is>
          <t>2018::jama.2018.6496::C002</t>
        </is>
      </c>
      <c r="B385" s="24" t="n">
        <v>3</v>
      </c>
      <c r="C385" s="24" t="inlineStr">
        <is>
          <t>Alternative source-grounded interpretations</t>
        </is>
      </c>
      <c r="D385" s="24" t="inlineStr">
        <is>
          <t>A patient known to have failed the first attempt may be deterministically classifiable as not achieving the composite without a usable waveform, while lacking a hypoxemia-only classification. Outcome-specific missing-data handling could therefore make the composite denominator larger. The aggregate sources do not show whether either explanation accounts for these two patients.</t>
        </is>
      </c>
    </row>
    <row r="386" ht="180" customHeight="1" s="14">
      <c r="A386" s="20" t="inlineStr">
        <is>
          <t>2018::jama.2018.6496::C003</t>
        </is>
      </c>
      <c r="B386" s="20" t="n">
        <v>0</v>
      </c>
      <c r="C386" s="20" t="inlineStr">
        <is>
          <t>Source evidence</t>
        </is>
      </c>
      <c r="D386" s="20" t="inlineStr">
        <is>
          <t>DOC-002 states that hypoxemia observation begins at first-attempt start and ends one minute after ETT-cuff inflation; page 10 repeats the cuff-inflation endpoint and 20-second recording schedule. DOC-001 Tables 3 and 5 and DOC-003 eTable 1 describe hypoxemia during or within one minute after completion of the intubation attempt. DOC-003 defines attempt 1 end as blade removal.</t>
        </is>
      </c>
    </row>
    <row r="387" ht="180" customHeight="1" s="14">
      <c r="A387" s="24" t="inlineStr">
        <is>
          <t>2018::jama.2018.6496::C003</t>
        </is>
      </c>
      <c r="B387" s="24" t="n">
        <v>1</v>
      </c>
      <c r="C387" s="24" t="inlineStr">
        <is>
          <t>Reported-versus-comparator</t>
        </is>
      </c>
      <c r="D387" s="24" t="inlineStr">
        <is>
          <t>The threshold and starting event agree. The planned endpoint is one minute after cuff inflation; the published endpoint is one minute after attempt completion/blade removal. These are nonidentical named procedural events.</t>
        </is>
      </c>
    </row>
    <row r="388" ht="180" customHeight="1" s="14">
      <c r="A388" s="20" t="inlineStr">
        <is>
          <t>2018::jama.2018.6496::C003</t>
        </is>
      </c>
      <c r="B388" s="20" t="n">
        <v>2</v>
      </c>
      <c r="C388" s="20" t="inlineStr">
        <is>
          <t>Calculation</t>
        </is>
      </c>
      <c r="D388" s="20" t="inlineStr">
        <is>
          <t>No numeric recalculation is applicable. The reproducible comparison is one minute after ETT-cuff inflation versus one minute after attempt completion/blade removal.</t>
        </is>
      </c>
    </row>
    <row r="389" ht="180" customHeight="1" s="14">
      <c r="A389" s="24" t="inlineStr">
        <is>
          <t>2018::jama.2018.6496::C003</t>
        </is>
      </c>
      <c r="B389" s="24" t="n">
        <v>3</v>
      </c>
      <c r="C389" s="24" t="inlineStr">
        <is>
          <t>Alternative source-grounded interpretations</t>
        </is>
      </c>
      <c r="D389" s="24" t="inlineStr">
        <is>
          <t>“Attempt completion” could be shorthand for cuff inflation, or the events could have occurred close together in practice. The data form explicitly defines attempt end as blade removal, so operational equivalence is not established by the supplied package.</t>
        </is>
      </c>
    </row>
    <row r="390" ht="180" customHeight="1" s="14">
      <c r="A390" s="20" t="inlineStr">
        <is>
          <t>2018::jama.2018.6496::C004</t>
        </is>
      </c>
      <c r="B390" s="20" t="n">
        <v>0</v>
      </c>
      <c r="C390" s="20" t="inlineStr">
        <is>
          <t>Source evidence</t>
        </is>
      </c>
      <c r="D390" s="20" t="inlineStr">
        <is>
          <t>The protocol defines first-attempt time to intubation from attempt start through ETT-cuff inflation with the tube in the trachea. The article and eTable define duration from laryngoscope-blade insertion through blade removal and report all-patient medians of 38 versus 36 seconds. The data form also identifies blade removal as attempt end.</t>
        </is>
      </c>
    </row>
    <row r="391" ht="180" customHeight="1" s="14">
      <c r="A391" s="24" t="inlineStr">
        <is>
          <t>2018::jama.2018.6496::C004</t>
        </is>
      </c>
      <c r="B391" s="24" t="n">
        <v>1</v>
      </c>
      <c r="C391" s="24" t="inlineStr">
        <is>
          <t>Reported-versus-comparator</t>
        </is>
      </c>
      <c r="D391" s="24" t="inlineStr">
        <is>
          <t>The start event is compatible. The planned endpoint is cuff inflation; the published endpoint is blade removal. The latter can define a different time scale and a duration for failed attempts.</t>
        </is>
      </c>
    </row>
    <row r="392" ht="180" customHeight="1" s="14">
      <c r="A392" s="20" t="inlineStr">
        <is>
          <t>2018::jama.2018.6496::C004</t>
        </is>
      </c>
      <c r="B392" s="20" t="n">
        <v>2</v>
      </c>
      <c r="C392" s="20" t="inlineStr">
        <is>
          <t>Calculation</t>
        </is>
      </c>
      <c r="D392" s="20" t="inlineStr">
        <is>
          <t>No numeric recalculation is applicable. The patient-level difference would be time(blade removal) - time(cuff inflation), but neither paired timestamps nor a defined equivalence are supplied.</t>
        </is>
      </c>
    </row>
    <row r="393" ht="180" customHeight="1" s="14">
      <c r="A393" s="24" t="inlineStr">
        <is>
          <t>2018::jama.2018.6496::C004</t>
        </is>
      </c>
      <c r="B393" s="24" t="n">
        <v>3</v>
      </c>
      <c r="C393" s="24" t="inlineStr">
        <is>
          <t>Alternative source-grounded interpretations</t>
        </is>
      </c>
      <c r="D393" s="24" t="inlineStr">
        <is>
          <t>The final analysis may deliberately use blade removal so failed attempts receive a duration, or the labels may refer to a harmonized timing procedure not described in the sources. Repetition in article, supplement, and form supports use of the published operational measure but does not document its relation to the protocol endpoint.</t>
        </is>
      </c>
    </row>
    <row r="394" ht="180" customHeight="1" s="14">
      <c r="A394" s="20" t="inlineStr">
        <is>
          <t>2018::jama.2018.8802::C001</t>
        </is>
      </c>
      <c r="B394" s="20" t="n">
        <v>0</v>
      </c>
      <c r="C394" s="20" t="inlineStr">
        <is>
          <t>Source evidence</t>
        </is>
      </c>
      <c r="D394" s="20" t="inlineStr">
        <is>
          <t>The direct PDF prints intervention Patients, No. = 2400 and the row cell 311 (13.05).</t>
        </is>
      </c>
    </row>
    <row r="395" ht="180" customHeight="1" s="14">
      <c r="A395" s="24" t="inlineStr">
        <is>
          <t>2018::jama.2018.8802::C001</t>
        </is>
      </c>
      <c r="B395" s="24" t="n">
        <v>1</v>
      </c>
      <c r="C395" s="24" t="inlineStr">
        <is>
          <t>Reported-versus-comparator</t>
        </is>
      </c>
      <c r="D395" s="24" t="inlineStr">
        <is>
          <t>Reported 13.05% versus 311/2400.</t>
        </is>
      </c>
    </row>
    <row r="396" ht="180" customHeight="1" s="14">
      <c r="A396" s="20" t="inlineStr">
        <is>
          <t>2018::jama.2018.8802::C001</t>
        </is>
      </c>
      <c r="B396" s="20" t="n">
        <v>2</v>
      </c>
      <c r="C396" s="20" t="inlineStr">
        <is>
          <t>Calculation</t>
        </is>
      </c>
      <c r="D396" s="20" t="inlineStr">
        <is>
          <t>311 / 2400 × 100 = 12.9583%, which rounds to 13.0% at one decimal or 12.96% at two decimals, not 13.05%.</t>
        </is>
      </c>
    </row>
    <row r="397" ht="180" customHeight="1" s="14">
      <c r="A397" s="24" t="inlineStr">
        <is>
          <t>2018::jama.2018.8802::C001</t>
        </is>
      </c>
      <c r="B397" s="24" t="n">
        <v>3</v>
      </c>
      <c r="C397" s="24" t="inlineStr">
        <is>
          <t>Alternative source-grounded interpretations</t>
        </is>
      </c>
      <c r="D397" s="24" t="inlineStr">
        <is>
          <t>A row-specific denominator or nonstandard calculation may have been used, but neither is supplied.</t>
        </is>
      </c>
    </row>
    <row r="398" ht="180" customHeight="1" s="14">
      <c r="A398" s="20" t="inlineStr">
        <is>
          <t>2018::jama.2018.8802::C002</t>
        </is>
      </c>
      <c r="B398" s="20" t="n">
        <v>0</v>
      </c>
      <c r="C398" s="20" t="inlineStr">
        <is>
          <t>Source evidence</t>
        </is>
      </c>
      <c r="D398" s="20" t="inlineStr">
        <is>
          <t>The result labels print &gt;100 mg/dL; both supplied definitions print ≥100 mg/dL with additional eligibility conditions.</t>
        </is>
      </c>
    </row>
    <row r="399" ht="180" customHeight="1" s="14">
      <c r="A399" s="24" t="inlineStr">
        <is>
          <t>2018::jama.2018.8802::C002</t>
        </is>
      </c>
      <c r="B399" s="24" t="n">
        <v>1</v>
      </c>
      <c r="C399" s="24" t="inlineStr">
        <is>
          <t>Reported-versus-comparator</t>
        </is>
      </c>
      <c r="D399" s="24" t="inlineStr">
        <is>
          <t>A strict threshold excludes LDL exactly 100 mg/dL; an inclusive threshold includes it.</t>
        </is>
      </c>
    </row>
    <row r="400" ht="180" customHeight="1" s="14">
      <c r="A400" s="20" t="inlineStr">
        <is>
          <t>2018::jama.2018.8802::C002</t>
        </is>
      </c>
      <c r="B400" s="20" t="n">
        <v>2</v>
      </c>
      <c r="C400" s="20" t="inlineStr">
        <is>
          <t>Calculation</t>
        </is>
      </c>
      <c r="D400" s="20" t="inlineStr">
        <is>
          <t>&gt;100 ≠ ≥100; no rounding tolerance applies.</t>
        </is>
      </c>
    </row>
    <row r="401" ht="180" customHeight="1" s="14">
      <c r="A401" s="24" t="inlineStr">
        <is>
          <t>2018::jama.2018.8802::C002</t>
        </is>
      </c>
      <c r="B401" s="24" t="n">
        <v>3</v>
      </c>
      <c r="C401" s="24" t="inlineStr">
        <is>
          <t>Alternative source-grounded interpretations</t>
        </is>
      </c>
      <c r="D401" s="24" t="inlineStr">
        <is>
          <t>The result-row wording may be abbreviated while the formal inclusive definition governed eligibility; the supplied package does not state this.</t>
        </is>
      </c>
    </row>
    <row r="402" ht="180" customHeight="1" s="14">
      <c r="A402" s="20" t="inlineStr">
        <is>
          <t>2018::jama.2018.8802::C003</t>
        </is>
      </c>
      <c r="B402" s="20" t="n">
        <v>0</v>
      </c>
      <c r="C402" s="20" t="inlineStr">
        <is>
          <t>Source evidence</t>
        </is>
      </c>
      <c r="D402" s="20" t="inlineStr">
        <is>
          <t>The cell under No. / Total (%) prints 2141/2400 (89.3).</t>
        </is>
      </c>
    </row>
    <row r="403" ht="180" customHeight="1" s="14">
      <c r="A403" s="24" t="inlineStr">
        <is>
          <t>2018::jama.2018.8802::C003</t>
        </is>
      </c>
      <c r="B403" s="24" t="n">
        <v>1</v>
      </c>
      <c r="C403" s="24" t="inlineStr">
        <is>
          <t>Reported-versus-comparator</t>
        </is>
      </c>
      <c r="D403" s="24" t="inlineStr">
        <is>
          <t>Reported 89.3% versus fraction-derived 89.2083%.</t>
        </is>
      </c>
    </row>
    <row r="404" ht="180" customHeight="1" s="14">
      <c r="A404" s="20" t="inlineStr">
        <is>
          <t>2018::jama.2018.8802::C003</t>
        </is>
      </c>
      <c r="B404" s="20" t="n">
        <v>2</v>
      </c>
      <c r="C404" s="20" t="inlineStr">
        <is>
          <t>Calculation</t>
        </is>
      </c>
      <c r="D404" s="20" t="inlineStr">
        <is>
          <t>2141 / 2400 × 100 = 89.2083%, which rounds to 89.2%; the nearest-tenth interval for 89.3% begins at 89.25%.</t>
        </is>
      </c>
    </row>
    <row r="405" ht="180" customHeight="1" s="14">
      <c r="A405" s="24" t="inlineStr">
        <is>
          <t>2018::jama.2018.8802::C003</t>
        </is>
      </c>
      <c r="B405" s="24" t="n">
        <v>3</v>
      </c>
      <c r="C405" s="24" t="inlineStr">
        <is>
          <t>Alternative source-grounded interpretations</t>
        </is>
      </c>
      <c r="D405" s="24" t="inlineStr">
        <is>
          <t>No alternative denominator or rounding convention is supplied; the header defines the displayed fraction.</t>
        </is>
      </c>
    </row>
    <row r="406" ht="180" customHeight="1" s="14">
      <c r="A406" s="20" t="inlineStr">
        <is>
          <t>2018::jama.2018.8802::C004</t>
        </is>
      </c>
      <c r="B406" s="20" t="n">
        <v>0</v>
      </c>
      <c r="C406" s="20" t="inlineStr">
        <is>
          <t>Source evidence</t>
        </is>
      </c>
      <c r="D406" s="20" t="inlineStr">
        <is>
          <t>The direct PDF prints 39/174 (22.5) beneath No. / Total (%).</t>
        </is>
      </c>
    </row>
    <row r="407" ht="180" customHeight="1" s="14">
      <c r="A407" s="24" t="inlineStr">
        <is>
          <t>2018::jama.2018.8802::C004</t>
        </is>
      </c>
      <c r="B407" s="24" t="n">
        <v>1</v>
      </c>
      <c r="C407" s="24" t="inlineStr">
        <is>
          <t>Reported-versus-comparator</t>
        </is>
      </c>
      <c r="D407" s="24" t="inlineStr">
        <is>
          <t>Reported 22.5% versus fraction-derived 22.4138%.</t>
        </is>
      </c>
    </row>
    <row r="408" ht="180" customHeight="1" s="14">
      <c r="A408" s="20" t="inlineStr">
        <is>
          <t>2018::jama.2018.8802::C004</t>
        </is>
      </c>
      <c r="B408" s="20" t="n">
        <v>2</v>
      </c>
      <c r="C408" s="20" t="inlineStr">
        <is>
          <t>Calculation</t>
        </is>
      </c>
      <c r="D408" s="20" t="inlineStr">
        <is>
          <t>39 / 174 × 100 = 22.4138%, which rounds to 22.4%, below the 22.45% lower boundary for 22.5%.</t>
        </is>
      </c>
    </row>
    <row r="409" ht="180" customHeight="1" s="14">
      <c r="A409" s="24" t="inlineStr">
        <is>
          <t>2018::jama.2018.8802::C004</t>
        </is>
      </c>
      <c r="B409" s="24" t="n">
        <v>3</v>
      </c>
      <c r="C409" s="24" t="inlineStr">
        <is>
          <t>Alternative source-grounded interpretations</t>
        </is>
      </c>
      <c r="D409" s="24" t="inlineStr">
        <is>
          <t>No alternative denominator or rounding convention is supplied.</t>
        </is>
      </c>
    </row>
    <row r="410" ht="180" customHeight="1" s="14">
      <c r="A410" s="20" t="inlineStr">
        <is>
          <t>2018::jama.2018.8802::C005</t>
        </is>
      </c>
      <c r="B410" s="20" t="n">
        <v>0</v>
      </c>
      <c r="C410" s="20" t="inlineStr">
        <is>
          <t>Source evidence</t>
        </is>
      </c>
      <c r="D410" s="20" t="inlineStr">
        <is>
          <t>The direct PDF prints 1439/1586 (90.8) beneath No. / Total (%).</t>
        </is>
      </c>
    </row>
    <row r="411" ht="180" customHeight="1" s="14">
      <c r="A411" s="24" t="inlineStr">
        <is>
          <t>2018::jama.2018.8802::C005</t>
        </is>
      </c>
      <c r="B411" s="24" t="n">
        <v>1</v>
      </c>
      <c r="C411" s="24" t="inlineStr">
        <is>
          <t>Reported-versus-comparator</t>
        </is>
      </c>
      <c r="D411" s="24" t="inlineStr">
        <is>
          <t>Reported 90.8% versus fraction-derived 90.7314%.</t>
        </is>
      </c>
    </row>
    <row r="412" ht="180" customHeight="1" s="14">
      <c r="A412" s="20" t="inlineStr">
        <is>
          <t>2018::jama.2018.8802::C005</t>
        </is>
      </c>
      <c r="B412" s="20" t="n">
        <v>2</v>
      </c>
      <c r="C412" s="20" t="inlineStr">
        <is>
          <t>Calculation</t>
        </is>
      </c>
      <c r="D412" s="20" t="inlineStr">
        <is>
          <t>1439 / 1586 × 100 = 90.7314%, which rounds to 90.7%, below the 90.75% lower boundary for 90.8%.</t>
        </is>
      </c>
    </row>
    <row r="413" ht="180" customHeight="1" s="14">
      <c r="A413" s="24" t="inlineStr">
        <is>
          <t>2018::jama.2018.8802::C005</t>
        </is>
      </c>
      <c r="B413" s="24" t="n">
        <v>3</v>
      </c>
      <c r="C413" s="24" t="inlineStr">
        <is>
          <t>Alternative source-grounded interpretations</t>
        </is>
      </c>
      <c r="D413" s="24" t="inlineStr">
        <is>
          <t>No alternative denominator or rounding convention is supplied; C002 is a separate label/definition comparator.</t>
        </is>
      </c>
    </row>
    <row r="414" ht="180" customHeight="1" s="14">
      <c r="A414" s="20" t="inlineStr">
        <is>
          <t>2018::jama.2018.8802::C006</t>
        </is>
      </c>
      <c r="B414" s="20" t="n">
        <v>0</v>
      </c>
      <c r="C414" s="20" t="inlineStr">
        <is>
          <t>Source evidence</t>
        </is>
      </c>
      <c r="D414" s="20" t="inlineStr">
        <is>
          <t>The direct PDF prints 557/688 (81.1) beneath No. / Total (%).</t>
        </is>
      </c>
    </row>
    <row r="415" ht="180" customHeight="1" s="14">
      <c r="A415" s="24" t="inlineStr">
        <is>
          <t>2018::jama.2018.8802::C006</t>
        </is>
      </c>
      <c r="B415" s="24" t="n">
        <v>1</v>
      </c>
      <c r="C415" s="24" t="inlineStr">
        <is>
          <t>Reported-versus-comparator</t>
        </is>
      </c>
      <c r="D415" s="24" t="inlineStr">
        <is>
          <t>Reported 81.1% versus fraction-derived 80.9593%.</t>
        </is>
      </c>
    </row>
    <row r="416" ht="180" customHeight="1" s="14">
      <c r="A416" s="20" t="inlineStr">
        <is>
          <t>2018::jama.2018.8802::C006</t>
        </is>
      </c>
      <c r="B416" s="20" t="n">
        <v>2</v>
      </c>
      <c r="C416" s="20" t="inlineStr">
        <is>
          <t>Calculation</t>
        </is>
      </c>
      <c r="D416" s="20" t="inlineStr">
        <is>
          <t>557 / 688 × 100 = 80.9593%, which rounds to 81.0%, below the 81.05% lower boundary for 81.1%.</t>
        </is>
      </c>
    </row>
    <row r="417" ht="180" customHeight="1" s="14">
      <c r="A417" s="24" t="inlineStr">
        <is>
          <t>2018::jama.2018.8802::C006</t>
        </is>
      </c>
      <c r="B417" s="24" t="n">
        <v>3</v>
      </c>
      <c r="C417" s="24" t="inlineStr">
        <is>
          <t>Alternative source-grounded interpretations</t>
        </is>
      </c>
      <c r="D417" s="24" t="inlineStr">
        <is>
          <t>No alternative denominator or rounding convention is supplied.</t>
        </is>
      </c>
    </row>
    <row r="418" ht="180" customHeight="1" s="14">
      <c r="A418" s="20" t="inlineStr">
        <is>
          <t>2018::jama.2018.8802::C007</t>
        </is>
      </c>
      <c r="B418" s="20" t="n">
        <v>0</v>
      </c>
      <c r="C418" s="20" t="inlineStr">
        <is>
          <t>Source evidence</t>
        </is>
      </c>
      <c r="D418" s="20" t="inlineStr">
        <is>
          <t>Table 1 prints 40 hospitals and 801 patients in the baseline-survey column; the eAppendix prints 20 patients per cluster were prospectively included.</t>
        </is>
      </c>
    </row>
    <row r="419" ht="180" customHeight="1" s="14">
      <c r="A419" s="24" t="inlineStr">
        <is>
          <t>2018::jama.2018.8802::C007</t>
        </is>
      </c>
      <c r="B419" s="24" t="n">
        <v>1</v>
      </c>
      <c r="C419" s="24" t="inlineStr">
        <is>
          <t>Reported-versus-comparator</t>
        </is>
      </c>
      <c r="D419" s="24" t="inlineStr">
        <is>
          <t>Reported total 801 versus 20 × 40 = 800 under the stated same-survey, exact-count interpretation.</t>
        </is>
      </c>
    </row>
    <row r="420" ht="180" customHeight="1" s="14">
      <c r="A420" s="20" t="inlineStr">
        <is>
          <t>2018::jama.2018.8802::C007</t>
        </is>
      </c>
      <c r="B420" s="20" t="n">
        <v>2</v>
      </c>
      <c r="C420" s="20" t="inlineStr">
        <is>
          <t>Calculation</t>
        </is>
      </c>
      <c r="D420" s="20" t="inlineStr">
        <is>
          <t>20 × 40 = 800; the difference from the Table 1 total is one patient.</t>
        </is>
      </c>
    </row>
    <row r="421" ht="180" customHeight="1" s="14">
      <c r="A421" s="24" t="inlineStr">
        <is>
          <t>2018::jama.2018.8802::C007</t>
        </is>
      </c>
      <c r="B421" s="24" t="n">
        <v>3</v>
      </c>
      <c r="C421" s="24" t="inlineStr">
        <is>
          <t>Alternative source-grounded interpretations</t>
        </is>
      </c>
      <c r="D421" s="24" t="inlineStr">
        <is>
          <t>Twenty may be an operational target rather than exact realized count, or one cluster may have contributed 21 patients; neither qualification is supplied.</t>
        </is>
      </c>
    </row>
    <row r="422" ht="180" customHeight="1" s="14">
      <c r="A422" s="20" t="inlineStr">
        <is>
          <t>2018::jama.2018.8802::C008</t>
        </is>
      </c>
      <c r="B422" s="20" t="n">
        <v>0</v>
      </c>
      <c r="C422" s="20" t="inlineStr">
        <is>
          <t>Source evidence</t>
        </is>
      </c>
      <c r="D422" s="20" t="inlineStr">
        <is>
          <t>Table 3 prints adjusted absolute difference −0.7% with 95% CI −1.1% to 0.2% and adjacent .009; page 4 describes adjusted absolute differences, 95% CIs, and two-sided tests.</t>
        </is>
      </c>
    </row>
    <row r="423" ht="180" customHeight="1" s="14">
      <c r="A423" s="24" t="inlineStr">
        <is>
          <t>2018::jama.2018.8802::C008</t>
        </is>
      </c>
      <c r="B423" s="24" t="n">
        <v>1</v>
      </c>
      <c r="C423" s="24" t="inlineStr">
        <is>
          <t>Reported-versus-comparator</t>
        </is>
      </c>
      <c r="D423" s="24" t="inlineStr">
        <is>
          <t>The CI includes zero, while .009 &lt; .05 for the corresponding adjacent absolute-difference pairing.</t>
        </is>
      </c>
    </row>
    <row r="424" ht="180" customHeight="1" s="14">
      <c r="A424" s="20" t="inlineStr">
        <is>
          <t>2018::jama.2018.8802::C008</t>
        </is>
      </c>
      <c r="B424" s="20" t="n">
        <v>2</v>
      </c>
      <c r="C424" s="20" t="inlineStr">
        <is>
          <t>Calculation</t>
        </is>
      </c>
      <c r="D424" s="20" t="inlineStr">
        <is>
          <t>−1.1 &lt; 0 &lt; 0.2, so zero is inside the printed CI; .009 &lt; .05.</t>
        </is>
      </c>
    </row>
    <row r="425" ht="180" customHeight="1" s="14">
      <c r="A425" s="24" t="inlineStr">
        <is>
          <t>2018::jama.2018.8802::C008</t>
        </is>
      </c>
      <c r="B425" s="24" t="n">
        <v>3</v>
      </c>
      <c r="C425" s="24" t="inlineStr">
        <is>
          <t>Alternative source-grounded interpretations</t>
        </is>
      </c>
      <c r="D425" s="24" t="inlineStr">
        <is>
          <t>The P value may use a different estimand, model, or inferential construction, but the table places it adjacent to the absolute-difference column and supplies no distinction.</t>
        </is>
      </c>
    </row>
    <row r="426" ht="180" customHeight="1" s="14">
      <c r="A426" s="20" t="inlineStr">
        <is>
          <t>2018::jama.2018.9128::C001</t>
        </is>
      </c>
      <c r="B426" s="20" t="n">
        <v>0</v>
      </c>
      <c r="C426" s="20" t="inlineStr">
        <is>
          <t>Source evidence</t>
        </is>
      </c>
      <c r="D426" s="20" t="inlineStr">
        <is>
          <t>Figure 1 prints 288 BMI measured at 3 mo for intervention and defines the retained count as children for whom BMI was collected. Figure 2 and eTable 1 each print intervention 279 at 3 months.</t>
        </is>
      </c>
    </row>
    <row r="427" ht="180" customHeight="1" s="14">
      <c r="A427" s="24" t="inlineStr">
        <is>
          <t>2018::jama.2018.9128::C001</t>
        </is>
      </c>
      <c r="B427" s="24" t="n">
        <v>1</v>
      </c>
      <c r="C427" s="24" t="inlineStr">
        <is>
          <t>Reported-versus-comparator</t>
        </is>
      </c>
      <c r="D427" s="24" t="inlineStr">
        <is>
          <t>288 versus 279 for intervention, 3 months; Figure 2 and eTable 1 agree with each other.</t>
        </is>
      </c>
    </row>
    <row r="428" ht="180" customHeight="1" s="14">
      <c r="A428" s="20" t="inlineStr">
        <is>
          <t>2018::jama.2018.9128::C001</t>
        </is>
      </c>
      <c r="B428" s="20" t="n">
        <v>2</v>
      </c>
      <c r="C428" s="20" t="inlineStr">
        <is>
          <t>Calculation</t>
        </is>
      </c>
      <c r="D428" s="20" t="inlineStr">
        <is>
          <t>288 - 279 = 9.</t>
        </is>
      </c>
    </row>
    <row r="429" ht="180" customHeight="1" s="14">
      <c r="A429" s="24" t="inlineStr">
        <is>
          <t>2018::jama.2018.9128::C001</t>
        </is>
      </c>
      <c r="B429" s="24" t="n">
        <v>3</v>
      </c>
      <c r="C429" s="24" t="inlineStr">
        <is>
          <t>Alternative source-grounded interpretations</t>
        </is>
      </c>
      <c r="D429" s="24" t="inlineStr">
        <is>
          <t>Figure 1 may count all collected measurements while Figure 2/eTable 1 may use a cleaned descriptive subset; no supplied caption or method defines that distinction.</t>
        </is>
      </c>
    </row>
    <row r="430" ht="180" customHeight="1" s="14">
      <c r="A430" s="20" t="inlineStr">
        <is>
          <t>2018::jama.2018.9128::C002</t>
        </is>
      </c>
      <c r="B430" s="20" t="n">
        <v>0</v>
      </c>
      <c r="C430" s="20" t="inlineStr">
        <is>
          <t>Source evidence</t>
        </is>
      </c>
      <c r="D430" s="20" t="inlineStr">
        <is>
          <t>Figure 1 prints 277 BMI measured at 3 mo for control; Figure 2 and eTable 1 each print control 271 at 3 months.</t>
        </is>
      </c>
    </row>
    <row r="431" ht="180" customHeight="1" s="14">
      <c r="A431" s="24" t="inlineStr">
        <is>
          <t>2018::jama.2018.9128::C002</t>
        </is>
      </c>
      <c r="B431" s="24" t="n">
        <v>1</v>
      </c>
      <c r="C431" s="24" t="inlineStr">
        <is>
          <t>Reported-versus-comparator</t>
        </is>
      </c>
      <c r="D431" s="24" t="inlineStr">
        <is>
          <t>277 versus 271 for control, 3 months.</t>
        </is>
      </c>
    </row>
    <row r="432" ht="180" customHeight="1" s="14">
      <c r="A432" s="20" t="inlineStr">
        <is>
          <t>2018::jama.2018.9128::C002</t>
        </is>
      </c>
      <c r="B432" s="20" t="n">
        <v>2</v>
      </c>
      <c r="C432" s="20" t="inlineStr">
        <is>
          <t>Calculation</t>
        </is>
      </c>
      <c r="D432" s="20" t="inlineStr">
        <is>
          <t>277 - 271 = 6.</t>
        </is>
      </c>
    </row>
    <row r="433" ht="180" customHeight="1" s="14">
      <c r="A433" s="24" t="inlineStr">
        <is>
          <t>2018::jama.2018.9128::C002</t>
        </is>
      </c>
      <c r="B433" s="24" t="n">
        <v>3</v>
      </c>
      <c r="C433" s="24" t="inlineStr">
        <is>
          <t>Alternative source-grounded interpretations</t>
        </is>
      </c>
      <c r="D433" s="24" t="inlineStr">
        <is>
          <t>Figure 2/eTable 1 may be a cleaned descriptive subset, but the supplied package does not define a cleaning or inclusion rule.</t>
        </is>
      </c>
    </row>
    <row r="434" ht="180" customHeight="1" s="14">
      <c r="A434" s="20" t="inlineStr">
        <is>
          <t>2018::jama.2018.9128::C003</t>
        </is>
      </c>
      <c r="B434" s="20" t="n">
        <v>0</v>
      </c>
      <c r="C434" s="20" t="inlineStr">
        <is>
          <t>Source evidence</t>
        </is>
      </c>
      <c r="D434" s="20" t="inlineStr">
        <is>
          <t>Figure 1 prints intervention 282 BMI measured at 9 mo; Figure 2 and eTable 1 each print 280.</t>
        </is>
      </c>
    </row>
    <row r="435" ht="180" customHeight="1" s="14">
      <c r="A435" s="24" t="inlineStr">
        <is>
          <t>2018::jama.2018.9128::C003</t>
        </is>
      </c>
      <c r="B435" s="24" t="n">
        <v>1</v>
      </c>
      <c r="C435" s="24" t="inlineStr">
        <is>
          <t>Reported-versus-comparator</t>
        </is>
      </c>
      <c r="D435" s="24" t="inlineStr">
        <is>
          <t>282 versus 280 for intervention, 9 months.</t>
        </is>
      </c>
    </row>
    <row r="436" ht="180" customHeight="1" s="14">
      <c r="A436" s="20" t="inlineStr">
        <is>
          <t>2018::jama.2018.9128::C003</t>
        </is>
      </c>
      <c r="B436" s="20" t="n">
        <v>2</v>
      </c>
      <c r="C436" s="20" t="inlineStr">
        <is>
          <t>Calculation</t>
        </is>
      </c>
      <c r="D436" s="20" t="inlineStr">
        <is>
          <t>282 - 280 = 2.</t>
        </is>
      </c>
    </row>
    <row r="437" ht="180" customHeight="1" s="14">
      <c r="A437" s="24" t="inlineStr">
        <is>
          <t>2018::jama.2018.9128::C003</t>
        </is>
      </c>
      <c r="B437" s="24" t="n">
        <v>3</v>
      </c>
      <c r="C437" s="24" t="inlineStr">
        <is>
          <t>Alternative source-grounded interpretations</t>
        </is>
      </c>
      <c r="D437" s="24" t="inlineStr">
        <is>
          <t>A post-collection analytic or descriptive subset could explain the difference, but the package supplies no definition.</t>
        </is>
      </c>
    </row>
    <row r="438" ht="180" customHeight="1" s="14">
      <c r="A438" s="20" t="inlineStr">
        <is>
          <t>2018::jama.2018.9128::C004</t>
        </is>
      </c>
      <c r="B438" s="20" t="n">
        <v>0</v>
      </c>
      <c r="C438" s="20" t="inlineStr">
        <is>
          <t>Source evidence</t>
        </is>
      </c>
      <c r="D438" s="20" t="inlineStr">
        <is>
          <t>Figure 1 prints intervention 275 BMI measured at 12 mo; Figure 2 and eTable 1 each print 274.</t>
        </is>
      </c>
    </row>
    <row r="439" ht="180" customHeight="1" s="14">
      <c r="A439" s="24" t="inlineStr">
        <is>
          <t>2018::jama.2018.9128::C004</t>
        </is>
      </c>
      <c r="B439" s="24" t="n">
        <v>1</v>
      </c>
      <c r="C439" s="24" t="inlineStr">
        <is>
          <t>Reported-versus-comparator</t>
        </is>
      </c>
      <c r="D439" s="24" t="inlineStr">
        <is>
          <t>275 versus 274 for intervention, 12 months.</t>
        </is>
      </c>
    </row>
    <row r="440" ht="180" customHeight="1" s="14">
      <c r="A440" s="20" t="inlineStr">
        <is>
          <t>2018::jama.2018.9128::C004</t>
        </is>
      </c>
      <c r="B440" s="20" t="n">
        <v>2</v>
      </c>
      <c r="C440" s="20" t="inlineStr">
        <is>
          <t>Calculation</t>
        </is>
      </c>
      <c r="D440" s="20" t="inlineStr">
        <is>
          <t>275 - 274 = 1.</t>
        </is>
      </c>
    </row>
    <row r="441" ht="180" customHeight="1" s="14">
      <c r="A441" s="24" t="inlineStr">
        <is>
          <t>2018::jama.2018.9128::C004</t>
        </is>
      </c>
      <c r="B441" s="24" t="n">
        <v>3</v>
      </c>
      <c r="C441" s="24" t="inlineStr">
        <is>
          <t>Alternative source-grounded interpretations</t>
        </is>
      </c>
      <c r="D441" s="24" t="inlineStr">
        <is>
          <t>One record may have been excluded from a descriptive subset, but no supplied rule establishes that.</t>
        </is>
      </c>
    </row>
    <row r="442" ht="180" customHeight="1" s="14">
      <c r="A442" s="20" t="inlineStr">
        <is>
          <t>2018::jama.2018.9128::C005</t>
        </is>
      </c>
      <c r="B442" s="20" t="n">
        <v>0</v>
      </c>
      <c r="C442" s="20" t="inlineStr">
        <is>
          <t>Source evidence</t>
        </is>
      </c>
      <c r="D442" s="20" t="inlineStr">
        <is>
          <t>Figure 1 prints control 276 BMI measured at 12 mo; Figure 2 and eTable 1 each print 275.</t>
        </is>
      </c>
    </row>
    <row r="443" ht="180" customHeight="1" s="14">
      <c r="A443" s="24" t="inlineStr">
        <is>
          <t>2018::jama.2018.9128::C005</t>
        </is>
      </c>
      <c r="B443" s="24" t="n">
        <v>1</v>
      </c>
      <c r="C443" s="24" t="inlineStr">
        <is>
          <t>Reported-versus-comparator</t>
        </is>
      </c>
      <c r="D443" s="24" t="inlineStr">
        <is>
          <t>276 versus 275 for control, 12 months.</t>
        </is>
      </c>
    </row>
    <row r="444" ht="180" customHeight="1" s="14">
      <c r="A444" s="20" t="inlineStr">
        <is>
          <t>2018::jama.2018.9128::C005</t>
        </is>
      </c>
      <c r="B444" s="20" t="n">
        <v>2</v>
      </c>
      <c r="C444" s="20" t="inlineStr">
        <is>
          <t>Calculation</t>
        </is>
      </c>
      <c r="D444" s="20" t="inlineStr">
        <is>
          <t>276 - 275 = 1.</t>
        </is>
      </c>
    </row>
    <row r="445" ht="180" customHeight="1" s="14">
      <c r="A445" s="24" t="inlineStr">
        <is>
          <t>2018::jama.2018.9128::C005</t>
        </is>
      </c>
      <c r="B445" s="24" t="n">
        <v>3</v>
      </c>
      <c r="C445" s="24" t="inlineStr">
        <is>
          <t>Alternative source-grounded interpretations</t>
        </is>
      </c>
      <c r="D445" s="24" t="inlineStr">
        <is>
          <t>A cleaned descriptive subset is possible but is not defined by the supplied materials.</t>
        </is>
      </c>
    </row>
    <row r="446" ht="180" customHeight="1" s="14">
      <c r="A446" s="20" t="inlineStr">
        <is>
          <t>2018::jama.2018.9128::C006</t>
        </is>
      </c>
      <c r="B446" s="20" t="n">
        <v>0</v>
      </c>
      <c r="C446" s="20" t="inlineStr">
        <is>
          <t>Source evidence</t>
        </is>
      </c>
      <c r="D446" s="20" t="inlineStr">
        <is>
          <t>Figure 1 prints intervention 280 BMI measured at 24 mo; Figure 2 and eTable 1 each print 278.</t>
        </is>
      </c>
    </row>
    <row r="447" ht="180" customHeight="1" s="14">
      <c r="A447" s="24" t="inlineStr">
        <is>
          <t>2018::jama.2018.9128::C006</t>
        </is>
      </c>
      <c r="B447" s="24" t="n">
        <v>1</v>
      </c>
      <c r="C447" s="24" t="inlineStr">
        <is>
          <t>Reported-versus-comparator</t>
        </is>
      </c>
      <c r="D447" s="24" t="inlineStr">
        <is>
          <t>280 versus 278 for intervention, 24 months.</t>
        </is>
      </c>
    </row>
    <row r="448" ht="180" customHeight="1" s="14">
      <c r="A448" s="20" t="inlineStr">
        <is>
          <t>2018::jama.2018.9128::C006</t>
        </is>
      </c>
      <c r="B448" s="20" t="n">
        <v>2</v>
      </c>
      <c r="C448" s="20" t="inlineStr">
        <is>
          <t>Calculation</t>
        </is>
      </c>
      <c r="D448" s="20" t="inlineStr">
        <is>
          <t>280 - 278 = 2.</t>
        </is>
      </c>
    </row>
    <row r="449" ht="180" customHeight="1" s="14">
      <c r="A449" s="24" t="inlineStr">
        <is>
          <t>2018::jama.2018.9128::C006</t>
        </is>
      </c>
      <c r="B449" s="24" t="n">
        <v>3</v>
      </c>
      <c r="C449" s="24" t="inlineStr">
        <is>
          <t>Alternative source-grounded interpretations</t>
        </is>
      </c>
      <c r="D449" s="24" t="inlineStr">
        <is>
          <t>A post-collection descriptive-display subset could account for the difference, but the package does not state one.</t>
        </is>
      </c>
    </row>
    <row r="450" ht="180" customHeight="1" s="14">
      <c r="A450" s="20" t="inlineStr">
        <is>
          <t>2018::jama.2018.9128::C007</t>
        </is>
      </c>
      <c r="B450" s="20" t="n">
        <v>0</v>
      </c>
      <c r="C450" s="20" t="inlineStr">
        <is>
          <t>Source evidence</t>
        </is>
      </c>
      <c r="D450" s="20" t="inlineStr">
        <is>
          <t>Figure 1 prints control 267 BMI measured at 24 mo; Figure 2 and eTable 1 each print 266.</t>
        </is>
      </c>
    </row>
    <row r="451" ht="180" customHeight="1" s="14">
      <c r="A451" s="24" t="inlineStr">
        <is>
          <t>2018::jama.2018.9128::C007</t>
        </is>
      </c>
      <c r="B451" s="24" t="n">
        <v>1</v>
      </c>
      <c r="C451" s="24" t="inlineStr">
        <is>
          <t>Reported-versus-comparator</t>
        </is>
      </c>
      <c r="D451" s="24" t="inlineStr">
        <is>
          <t>267 versus 266 for control, 24 months.</t>
        </is>
      </c>
    </row>
    <row r="452" ht="180" customHeight="1" s="14">
      <c r="A452" s="20" t="inlineStr">
        <is>
          <t>2018::jama.2018.9128::C007</t>
        </is>
      </c>
      <c r="B452" s="20" t="n">
        <v>2</v>
      </c>
      <c r="C452" s="20" t="inlineStr">
        <is>
          <t>Calculation</t>
        </is>
      </c>
      <c r="D452" s="20" t="inlineStr">
        <is>
          <t>267 - 266 = 1.</t>
        </is>
      </c>
    </row>
    <row r="453" ht="180" customHeight="1" s="14">
      <c r="A453" s="24" t="inlineStr">
        <is>
          <t>2018::jama.2018.9128::C007</t>
        </is>
      </c>
      <c r="B453" s="24" t="n">
        <v>3</v>
      </c>
      <c r="C453" s="24" t="inlineStr">
        <is>
          <t>Alternative source-grounded interpretations</t>
        </is>
      </c>
      <c r="D453" s="24" t="inlineStr">
        <is>
          <t>A cleaning or descriptive-subset distinction is possible but unreported.</t>
        </is>
      </c>
    </row>
    <row r="454" ht="180" customHeight="1" s="14">
      <c r="A454" s="20" t="inlineStr">
        <is>
          <t>2018::jama.2018.9128::C008</t>
        </is>
      </c>
      <c r="B454" s="20" t="n">
        <v>0</v>
      </c>
      <c r="C454" s="20" t="inlineStr">
        <is>
          <t>Source evidence</t>
        </is>
      </c>
      <c r="D454" s="20" t="inlineStr">
        <is>
          <t>Figure 1 prints intervention 278 Retained at 36 mo; its caption defines retained as BMI collected. Figure 2 and eTable 1 each print 276.</t>
        </is>
      </c>
    </row>
    <row r="455" ht="180" customHeight="1" s="14">
      <c r="A455" s="24" t="inlineStr">
        <is>
          <t>2018::jama.2018.9128::C008</t>
        </is>
      </c>
      <c r="B455" s="24" t="n">
        <v>1</v>
      </c>
      <c r="C455" s="24" t="inlineStr">
        <is>
          <t>Reported-versus-comparator</t>
        </is>
      </c>
      <c r="D455" s="24" t="inlineStr">
        <is>
          <t>278 versus 276 for intervention, 36 months.</t>
        </is>
      </c>
    </row>
    <row r="456" ht="180" customHeight="1" s="14">
      <c r="A456" s="20" t="inlineStr">
        <is>
          <t>2018::jama.2018.9128::C008</t>
        </is>
      </c>
      <c r="B456" s="20" t="n">
        <v>2</v>
      </c>
      <c r="C456" s="20" t="inlineStr">
        <is>
          <t>Calculation</t>
        </is>
      </c>
      <c r="D456" s="20" t="inlineStr">
        <is>
          <t>278 - 276 = 2.</t>
        </is>
      </c>
    </row>
    <row r="457" ht="180" customHeight="1" s="14">
      <c r="A457" s="24" t="inlineStr">
        <is>
          <t>2018::jama.2018.9128::C008</t>
        </is>
      </c>
      <c r="B457" s="24" t="n">
        <v>3</v>
      </c>
      <c r="C457" s="24" t="inlineStr">
        <is>
          <t>Alternative source-grounded interpretations</t>
        </is>
      </c>
      <c r="D457" s="24" t="inlineStr">
        <is>
          <t>Retained may have been used more broadly despite the caption, or a post-collection subset may have been used; neither is defined.</t>
        </is>
      </c>
    </row>
    <row r="458" ht="180" customHeight="1" s="14">
      <c r="A458" s="20" t="inlineStr">
        <is>
          <t>2018::jama.2018.9128::C009</t>
        </is>
      </c>
      <c r="B458" s="20" t="n">
        <v>0</v>
      </c>
      <c r="C458" s="20" t="inlineStr">
        <is>
          <t>Source evidence</t>
        </is>
      </c>
      <c r="D458" s="20" t="inlineStr">
        <is>
          <t>The SAP says 6 time points while enumerating five occasions. Other supplied schedules/results include 24 months; the SAP also describes six repeated measurements on p. 112.</t>
        </is>
      </c>
    </row>
    <row r="459" ht="180" customHeight="1" s="14">
      <c r="A459" s="24" t="inlineStr">
        <is>
          <t>2018::jama.2018.9128::C009</t>
        </is>
      </c>
      <c r="B459" s="24" t="n">
        <v>1</v>
      </c>
      <c r="C459" s="24" t="inlineStr">
        <is>
          <t>Reported-versus-comparator</t>
        </is>
      </c>
      <c r="D459" s="24" t="inlineStr">
        <is>
          <t>Stated total of six versus five listed occasions; matching sources show the otherwise omitted 24-month occasion.</t>
        </is>
      </c>
    </row>
    <row r="460" ht="180" customHeight="1" s="14">
      <c r="A460" s="20" t="inlineStr">
        <is>
          <t>2018::jama.2018.9128::C009</t>
        </is>
      </c>
      <c r="B460" s="20" t="n">
        <v>2</v>
      </c>
      <c r="C460" s="20" t="inlineStr">
        <is>
          <t>Calculation</t>
        </is>
      </c>
      <c r="D460" s="20" t="inlineStr">
        <is>
          <t>count(baseline, 3, 9, 12, 36) = 5; including 24 months yields 6.</t>
        </is>
      </c>
    </row>
    <row r="461" ht="180" customHeight="1" s="14">
      <c r="A461" s="24" t="inlineStr">
        <is>
          <t>2018::jama.2018.9128::C009</t>
        </is>
      </c>
      <c r="B461" s="24" t="n">
        <v>3</v>
      </c>
      <c r="C461" s="24" t="inlineStr">
        <is>
          <t>Alternative source-grounded interpretations</t>
        </is>
      </c>
      <c r="D461" s="24" t="inlineStr">
        <is>
          <t>The final-SAP prose may have an editorial omission, and the model may still have used 24-month data; the package does not provide the archived analysis input schedule.</t>
        </is>
      </c>
    </row>
    <row r="462" ht="180" customHeight="1" s="14">
      <c r="A462" s="20" t="inlineStr">
        <is>
          <t>2018::jama.2018.9128::C010</t>
        </is>
      </c>
      <c r="B462" s="20" t="n">
        <v>0</v>
      </c>
      <c r="C462" s="20" t="inlineStr">
        <is>
          <t>Source evidence</t>
        </is>
      </c>
      <c r="D462" s="20" t="inlineStr">
        <is>
          <t>The revised protocol states 6-points in time (T1-T6) and lists baseline, 3, 9, 12, 24, 36, and 48 months; it also says six collection points. The article and eTable report through 36 months.</t>
        </is>
      </c>
    </row>
    <row r="463" ht="180" customHeight="1" s="14">
      <c r="A463" s="24" t="inlineStr">
        <is>
          <t>2018::jama.2018.9128::C010</t>
        </is>
      </c>
      <c r="B463" s="24" t="n">
        <v>1</v>
      </c>
      <c r="C463" s="24" t="inlineStr">
        <is>
          <t>Reported-versus-comparator</t>
        </is>
      </c>
      <c r="D463" s="24" t="inlineStr">
        <is>
          <t>Six claimed points versus seven listed occasions; baseline-to-36-month reported schedule has six occasions.</t>
        </is>
      </c>
    </row>
    <row r="464" ht="180" customHeight="1" s="14">
      <c r="A464" s="20" t="inlineStr">
        <is>
          <t>2018::jama.2018.9128::C010</t>
        </is>
      </c>
      <c r="B464" s="20" t="n">
        <v>2</v>
      </c>
      <c r="C464" s="20" t="inlineStr">
        <is>
          <t>Calculation</t>
        </is>
      </c>
      <c r="D464" s="20" t="inlineStr">
        <is>
          <t>count(baseline, 3, 9, 12, 24, 36, 48) = 7, not 6.</t>
        </is>
      </c>
    </row>
    <row r="465" ht="180" customHeight="1" s="14">
      <c r="A465" s="24" t="inlineStr">
        <is>
          <t>2018::jama.2018.9128::C010</t>
        </is>
      </c>
      <c r="B465" s="24" t="n">
        <v>3</v>
      </c>
      <c r="C465" s="24" t="inlineStr">
        <is>
          <t>Alternative source-grounded interpretations</t>
        </is>
      </c>
      <c r="D465" s="24" t="inlineStr">
        <is>
          <t>The 48-month visit may have been a separate approved extension outside T1-T6; amendment chronology and the intended distinction are not supplied.</t>
        </is>
      </c>
    </row>
    <row r="466" ht="180" customHeight="1" s="14">
      <c r="A466" s="20" t="inlineStr">
        <is>
          <t>2018::jama.2018.9128::C011</t>
        </is>
      </c>
      <c r="B466" s="20" t="n">
        <v>0</v>
      </c>
      <c r="C466" s="20" t="inlineStr">
        <is>
          <t>Source evidence</t>
        </is>
      </c>
      <c r="D466" s="20" t="inlineStr">
        <is>
          <t>The original protocol uses child's BMI Percentile and BMI% while displaying a weight(kg)/height(m²) formula. The final sources analyze/report raw BMI in kg/m², including values such as 17.8.</t>
        </is>
      </c>
    </row>
    <row r="467" ht="180" customHeight="1" s="14">
      <c r="A467" s="24" t="inlineStr">
        <is>
          <t>2018::jama.2018.9128::C011</t>
        </is>
      </c>
      <c r="B467" s="24" t="n">
        <v>1</v>
      </c>
      <c r="C467" s="24" t="inlineStr">
        <is>
          <t>Reported-versus-comparator</t>
        </is>
      </c>
      <c r="D467" s="24" t="inlineStr">
        <is>
          <t>BMI percentile/BMI% label versus raw-BMI kg/m² formula, analysis label, and reported values.</t>
        </is>
      </c>
    </row>
    <row r="468" ht="180" customHeight="1" s="14">
      <c r="A468" s="20" t="inlineStr">
        <is>
          <t>2018::jama.2018.9128::C011</t>
        </is>
      </c>
      <c r="B468" s="20" t="n">
        <v>2</v>
      </c>
      <c r="C468" s="20" t="inlineStr">
        <is>
          <t>Calculation</t>
        </is>
      </c>
      <c r="D468" s="20" t="inlineStr">
        <is>
          <t>No arithmetic reconstruction is applicable; this is a categorical scale comparison.</t>
        </is>
      </c>
    </row>
    <row r="469" ht="180" customHeight="1" s="14">
      <c r="A469" s="24" t="inlineStr">
        <is>
          <t>2018::jama.2018.9128::C011</t>
        </is>
      </c>
      <c r="B469" s="24" t="n">
        <v>3</v>
      </c>
      <c r="C469" s="24" t="inlineStr">
        <is>
          <t>Alternative source-grounded interpretations</t>
        </is>
      </c>
      <c r="D469" s="24" t="inlineStr">
        <is>
          <t>BMI% may be erroneous shorthand for raw BMI, or a protocol amendment may have changed the primary outcome scale; neither explanation is resolved in the supplied package.</t>
        </is>
      </c>
    </row>
    <row r="470" ht="180" customHeight="1" s="14">
      <c r="A470" s="20" t="inlineStr">
        <is>
          <t>2018::jama.2018.9128::C012</t>
        </is>
      </c>
      <c r="B470" s="20" t="n">
        <v>0</v>
      </c>
      <c r="C470" s="20" t="inlineStr">
        <is>
          <t>Source evidence</t>
        </is>
      </c>
      <c r="D470" s="20" t="inlineStr">
        <is>
          <t>Original protocol: 12 quarterly 60-minute control sessions. Revised protocol: seven 45-minute school-readiness/success programs. Article: six 30-minute group activities.</t>
        </is>
      </c>
    </row>
    <row r="471" ht="180" customHeight="1" s="14">
      <c r="A471" s="24" t="inlineStr">
        <is>
          <t>2018::jama.2018.9128::C012</t>
        </is>
      </c>
      <c r="B471" s="24" t="n">
        <v>1</v>
      </c>
      <c r="C471" s="24" t="inlineStr">
        <is>
          <t>Reported-versus-comparator</t>
        </is>
      </c>
      <c r="D471" s="24" t="inlineStr">
        <is>
          <t>12 × 60 versus 7 × 45 versus 6 × 30 minutes for descriptions of the control school-readiness exposure.</t>
        </is>
      </c>
    </row>
    <row r="472" ht="180" customHeight="1" s="14">
      <c r="A472" s="20" t="inlineStr">
        <is>
          <t>2018::jama.2018.9128::C012</t>
        </is>
      </c>
      <c r="B472" s="20" t="n">
        <v>2</v>
      </c>
      <c r="C472" s="20" t="inlineStr">
        <is>
          <t>Calculation</t>
        </is>
      </c>
      <c r="D472" s="20" t="inlineStr">
        <is>
          <t>12 × 60 = 720 minutes; 7 × 45 = 315 minutes; 6 × 30 = 180 minutes.</t>
        </is>
      </c>
    </row>
    <row r="473" ht="180" customHeight="1" s="14">
      <c r="A473" s="24" t="inlineStr">
        <is>
          <t>2018::jama.2018.9128::C012</t>
        </is>
      </c>
      <c r="B473" s="24" t="n">
        <v>3</v>
      </c>
      <c r="C473" s="24" t="inlineStr">
        <is>
          <t>Alternative source-grounded interpretations</t>
        </is>
      </c>
      <c r="D473" s="24" t="inlineStr">
        <is>
          <t>The versions may describe changed plans, ancillary components, or actual delivery. Session logs and a chronology/mapping of newsletters, field trips, baseline sessions, and activities are not supplied.</t>
        </is>
      </c>
    </row>
    <row r="474" ht="180" customHeight="1" s="14">
      <c r="A474" s="20" t="inlineStr">
        <is>
          <t>2018::jama.2018.9128::C013</t>
        </is>
      </c>
      <c r="B474" s="20" t="n">
        <v>0</v>
      </c>
      <c r="C474" s="20" t="inlineStr">
        <is>
          <t>Source evidence</t>
        </is>
      </c>
      <c r="D474" s="20" t="inlineStr">
        <is>
          <t>Figure 1 prints control 282 BMI measured at 9 mo; Figure 2 and eTable 1 each print 280.</t>
        </is>
      </c>
    </row>
    <row r="475" ht="180" customHeight="1" s="14">
      <c r="A475" s="24" t="inlineStr">
        <is>
          <t>2018::jama.2018.9128::C013</t>
        </is>
      </c>
      <c r="B475" s="24" t="n">
        <v>1</v>
      </c>
      <c r="C475" s="24" t="inlineStr">
        <is>
          <t>Reported-versus-comparator</t>
        </is>
      </c>
      <c r="D475" s="24" t="inlineStr">
        <is>
          <t>282 versus 280 for control, 9 months.</t>
        </is>
      </c>
    </row>
    <row r="476" ht="180" customHeight="1" s="14">
      <c r="A476" s="20" t="inlineStr">
        <is>
          <t>2018::jama.2018.9128::C013</t>
        </is>
      </c>
      <c r="B476" s="20" t="n">
        <v>2</v>
      </c>
      <c r="C476" s="20" t="inlineStr">
        <is>
          <t>Calculation</t>
        </is>
      </c>
      <c r="D476" s="20" t="inlineStr">
        <is>
          <t>282 - 280 = 2.</t>
        </is>
      </c>
    </row>
    <row r="477" ht="180" customHeight="1" s="14">
      <c r="A477" s="24" t="inlineStr">
        <is>
          <t>2018::jama.2018.9128::C013</t>
        </is>
      </c>
      <c r="B477" s="24" t="n">
        <v>3</v>
      </c>
      <c r="C477" s="24" t="inlineStr">
        <is>
          <t>Alternative source-grounded interpretations</t>
        </is>
      </c>
      <c r="D477" s="24" t="inlineStr">
        <is>
          <t>An unreported post-collection analytic or descriptive subset could explain the difference, but the supplied sources do not define it.</t>
        </is>
      </c>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E397"/>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Height="1" s="14">
      <c r="A1" s="19" t="inlineStr">
        <is>
          <t>key</t>
        </is>
      </c>
      <c r="B1" s="19" t="inlineStr">
        <is>
          <t>kind</t>
        </is>
      </c>
      <c r="C1" s="19" t="inlineStr">
        <is>
          <t>order</t>
        </is>
      </c>
      <c r="D1" s="19" t="inlineStr">
        <is>
          <t>label</t>
        </is>
      </c>
      <c r="E1" s="19" t="inlineStr">
        <is>
          <t>href</t>
        </is>
      </c>
    </row>
    <row r="2" ht="90" customHeight="1" s="14">
      <c r="A2" s="20" t="inlineStr">
        <is>
          <t>2018::jama.2017.21906::C001</t>
        </is>
      </c>
      <c r="B2" s="20" t="inlineStr">
        <is>
          <t>sourceLinks</t>
        </is>
      </c>
      <c r="C2" s="20" t="n">
        <v>0</v>
      </c>
      <c r="D2" s="20" t="inlineStr">
        <is>
          <t>Main article — PDF p. 6</t>
        </is>
      </c>
      <c r="E2" s="20" t="inlineStr">
        <is>
          <t>../../2018/jama.2017.21906/jama_huffman_2018_oi_170166.pdf#page=6</t>
        </is>
      </c>
    </row>
    <row r="3" ht="90" customHeight="1" s="14">
      <c r="A3" s="24" t="inlineStr">
        <is>
          <t>2018::jama.2017.21906::C001</t>
        </is>
      </c>
      <c r="B3" s="24" t="inlineStr">
        <is>
          <t>evidencePaths</t>
        </is>
      </c>
      <c r="C3" s="24" t="n">
        <v>0</v>
      </c>
      <c r="D3" s="24" t="inlineStr">
        <is>
          <t>2018/jama.2017.21906/.ai_paper_validation/review_1_5_2/source_inventory.md</t>
        </is>
      </c>
      <c r="E3" s="24" t="inlineStr">
        <is>
          <t>../../2018/jama.2017.21906/.ai_paper_validation/review_1_5_2/source_inventory.md</t>
        </is>
      </c>
    </row>
    <row r="4" ht="90" customHeight="1" s="14">
      <c r="A4" s="20" t="inlineStr">
        <is>
          <t>2018::jama.2017.21906::C001</t>
        </is>
      </c>
      <c r="B4" s="20" t="inlineStr">
        <is>
          <t>evidencePaths</t>
        </is>
      </c>
      <c r="C4" s="20" t="n">
        <v>1</v>
      </c>
      <c r="D4" s="20" t="inlineStr">
        <is>
          <t>2018/jama.2017.21906/.ai_paper_validation/review_1_5_2/verification/evidence_recheck.md</t>
        </is>
      </c>
      <c r="E4" s="20" t="inlineStr">
        <is>
          <t>../../2018/jama.2017.21906/.ai_paper_validation/review_1_5_2/verification/evidence_recheck.md</t>
        </is>
      </c>
    </row>
    <row r="5" ht="90" customHeight="1" s="14">
      <c r="A5" s="24" t="inlineStr">
        <is>
          <t>2018::jama.2017.21906::C002</t>
        </is>
      </c>
      <c r="B5" s="24" t="inlineStr">
        <is>
          <t>sourceLinks</t>
        </is>
      </c>
      <c r="C5" s="24" t="n">
        <v>0</v>
      </c>
      <c r="D5" s="24" t="inlineStr">
        <is>
          <t>Main article — PDF p. 6</t>
        </is>
      </c>
      <c r="E5" s="24" t="inlineStr">
        <is>
          <t>../../2018/jama.2017.21906/jama_huffman_2018_oi_170166.pdf#page=6</t>
        </is>
      </c>
    </row>
    <row r="6" ht="90" customHeight="1" s="14">
      <c r="A6" s="20" t="inlineStr">
        <is>
          <t>2018::jama.2017.21906::C002</t>
        </is>
      </c>
      <c r="B6" s="20" t="inlineStr">
        <is>
          <t>sourceLinks</t>
        </is>
      </c>
      <c r="C6" s="20" t="n">
        <v>1</v>
      </c>
      <c r="D6" s="20" t="inlineStr">
        <is>
          <t>Main article — PDF p. 7</t>
        </is>
      </c>
      <c r="E6" s="20" t="inlineStr">
        <is>
          <t>../../2018/jama.2017.21906/jama_huffman_2018_oi_170166.pdf#page=7</t>
        </is>
      </c>
    </row>
    <row r="7" ht="90" customHeight="1" s="14">
      <c r="A7" s="24" t="inlineStr">
        <is>
          <t>2018::jama.2017.21906::C002</t>
        </is>
      </c>
      <c r="B7" s="24" t="inlineStr">
        <is>
          <t>evidencePaths</t>
        </is>
      </c>
      <c r="C7" s="24" t="n">
        <v>0</v>
      </c>
      <c r="D7" s="24" t="inlineStr">
        <is>
          <t>2018/jama.2017.21906/.ai_paper_validation/review_1_5_2/source_inventory.md</t>
        </is>
      </c>
      <c r="E7" s="24" t="inlineStr">
        <is>
          <t>../../2018/jama.2017.21906/.ai_paper_validation/review_1_5_2/source_inventory.md</t>
        </is>
      </c>
    </row>
    <row r="8" ht="90" customHeight="1" s="14">
      <c r="A8" s="20" t="inlineStr">
        <is>
          <t>2018::jama.2017.21906::C002</t>
        </is>
      </c>
      <c r="B8" s="20" t="inlineStr">
        <is>
          <t>evidencePaths</t>
        </is>
      </c>
      <c r="C8" s="20" t="n">
        <v>1</v>
      </c>
      <c r="D8" s="20" t="inlineStr">
        <is>
          <t>2018/jama.2017.21906/.ai_paper_validation/review_1_5_2/verification/evidence_recheck.md</t>
        </is>
      </c>
      <c r="E8" s="20" t="inlineStr">
        <is>
          <t>../../2018/jama.2017.21906/.ai_paper_validation/review_1_5_2/verification/evidence_recheck.md</t>
        </is>
      </c>
    </row>
    <row r="9" ht="90" customHeight="1" s="14">
      <c r="A9" s="24" t="inlineStr">
        <is>
          <t>2018::jama.2017.21906::C003</t>
        </is>
      </c>
      <c r="B9" s="24" t="inlineStr">
        <is>
          <t>sourceLinks</t>
        </is>
      </c>
      <c r="C9" s="24" t="n">
        <v>0</v>
      </c>
      <c r="D9" s="24" t="inlineStr">
        <is>
          <t>Online supplement — PDF p. 17</t>
        </is>
      </c>
      <c r="E9" s="24" t="inlineStr">
        <is>
          <t>../../2018/jama.2017.21906/joi170166supp3_prod.pdf#page=17</t>
        </is>
      </c>
    </row>
    <row r="10" ht="90" customHeight="1" s="14">
      <c r="A10" s="20" t="inlineStr">
        <is>
          <t>2018::jama.2017.21906::C003</t>
        </is>
      </c>
      <c r="B10" s="20" t="inlineStr">
        <is>
          <t>evidencePaths</t>
        </is>
      </c>
      <c r="C10" s="20" t="n">
        <v>0</v>
      </c>
      <c r="D10" s="20" t="inlineStr">
        <is>
          <t>2018/jama.2017.21906/.ai_paper_validation/review_1_5_2/source_inventory.md</t>
        </is>
      </c>
      <c r="E10" s="20" t="inlineStr">
        <is>
          <t>../../2018/jama.2017.21906/.ai_paper_validation/review_1_5_2/source_inventory.md</t>
        </is>
      </c>
    </row>
    <row r="11" ht="90" customHeight="1" s="14">
      <c r="A11" s="24" t="inlineStr">
        <is>
          <t>2018::jama.2017.21906::C003</t>
        </is>
      </c>
      <c r="B11" s="24" t="inlineStr">
        <is>
          <t>evidencePaths</t>
        </is>
      </c>
      <c r="C11" s="24" t="n">
        <v>1</v>
      </c>
      <c r="D11" s="24" t="inlineStr">
        <is>
          <t>2018/jama.2017.21906/.ai_paper_validation/review_1_5_2/verification/evidence_recheck.md</t>
        </is>
      </c>
      <c r="E11" s="24" t="inlineStr">
        <is>
          <t>../../2018/jama.2017.21906/.ai_paper_validation/review_1_5_2/verification/evidence_recheck.md</t>
        </is>
      </c>
    </row>
    <row r="12" ht="90" customHeight="1" s="14">
      <c r="A12" s="20" t="inlineStr">
        <is>
          <t>2018::jama.2017.21906::C004</t>
        </is>
      </c>
      <c r="B12" s="20" t="inlineStr">
        <is>
          <t>sourceLinks</t>
        </is>
      </c>
      <c r="C12" s="20" t="n">
        <v>0</v>
      </c>
      <c r="D12" s="20" t="inlineStr">
        <is>
          <t>SAP — PDF p. 7</t>
        </is>
      </c>
      <c r="E12" s="20" t="inlineStr">
        <is>
          <t>../../2018/jama.2017.21906/joi170166supp2_prod.pdf#page=7</t>
        </is>
      </c>
    </row>
    <row r="13" ht="90" customHeight="1" s="14">
      <c r="A13" s="24" t="inlineStr">
        <is>
          <t>2018::jama.2017.21906::C004</t>
        </is>
      </c>
      <c r="B13" s="24" t="inlineStr">
        <is>
          <t>sourceLinks</t>
        </is>
      </c>
      <c r="C13" s="24" t="n">
        <v>1</v>
      </c>
      <c r="D13" s="24" t="inlineStr">
        <is>
          <t>main article — PDF p. 3</t>
        </is>
      </c>
      <c r="E13" s="24" t="inlineStr">
        <is>
          <t>../../2018/jama.2017.21906/jama_huffman_2018_oi_170166.pdf#page=3</t>
        </is>
      </c>
    </row>
    <row r="14" ht="90" customHeight="1" s="14">
      <c r="A14" s="20" t="inlineStr">
        <is>
          <t>2018::jama.2017.21906::C004</t>
        </is>
      </c>
      <c r="B14" s="20" t="inlineStr">
        <is>
          <t>sourceLinks</t>
        </is>
      </c>
      <c r="C14" s="20" t="n">
        <v>2</v>
      </c>
      <c r="D14" s="20" t="inlineStr">
        <is>
          <t>main article — PDF p. 9</t>
        </is>
      </c>
      <c r="E14" s="20" t="inlineStr">
        <is>
          <t>../../2018/jama.2017.21906/jama_huffman_2018_oi_170166.pdf#page=9</t>
        </is>
      </c>
    </row>
    <row r="15" ht="90" customHeight="1" s="14">
      <c r="A15" s="24" t="inlineStr">
        <is>
          <t>2018::jama.2017.21906::C004</t>
        </is>
      </c>
      <c r="B15" s="24" t="inlineStr">
        <is>
          <t>evidencePaths</t>
        </is>
      </c>
      <c r="C15" s="24" t="n">
        <v>0</v>
      </c>
      <c r="D15" s="24" t="inlineStr">
        <is>
          <t>2018/jama.2017.21906/.ai_paper_validation/review_1_5_2/source_inventory.md</t>
        </is>
      </c>
      <c r="E15" s="24" t="inlineStr">
        <is>
          <t>../../2018/jama.2017.21906/.ai_paper_validation/review_1_5_2/source_inventory.md</t>
        </is>
      </c>
    </row>
    <row r="16" ht="90" customHeight="1" s="14">
      <c r="A16" s="20" t="inlineStr">
        <is>
          <t>2018::jama.2017.21906::C004</t>
        </is>
      </c>
      <c r="B16" s="20" t="inlineStr">
        <is>
          <t>evidencePaths</t>
        </is>
      </c>
      <c r="C16" s="20" t="n">
        <v>1</v>
      </c>
      <c r="D16" s="20" t="inlineStr">
        <is>
          <t>2018/jama.2017.21906/.ai_paper_validation/review_1_5_2/verification/evidence_recheck.md</t>
        </is>
      </c>
      <c r="E16" s="20" t="inlineStr">
        <is>
          <t>../../2018/jama.2017.21906/.ai_paper_validation/review_1_5_2/verification/evidence_recheck.md</t>
        </is>
      </c>
    </row>
    <row r="17" ht="90" customHeight="1" s="14">
      <c r="A17" s="24" t="inlineStr">
        <is>
          <t>2018::jama.2017.21906::C005</t>
        </is>
      </c>
      <c r="B17" s="24" t="inlineStr">
        <is>
          <t>sourceLinks</t>
        </is>
      </c>
      <c r="C17" s="24" t="n">
        <v>0</v>
      </c>
      <c r="D17" s="24" t="inlineStr">
        <is>
          <t>Main article — PDF p. 3</t>
        </is>
      </c>
      <c r="E17" s="24" t="inlineStr">
        <is>
          <t>../../2018/jama.2017.21906/jama_huffman_2018_oi_170166.pdf#page=3</t>
        </is>
      </c>
    </row>
    <row r="18" ht="90" customHeight="1" s="14">
      <c r="A18" s="20" t="inlineStr">
        <is>
          <t>2018::jama.2017.21906::C005</t>
        </is>
      </c>
      <c r="B18" s="20" t="inlineStr">
        <is>
          <t>sourceLinks</t>
        </is>
      </c>
      <c r="C18" s="20" t="n">
        <v>1</v>
      </c>
      <c r="D18" s="20" t="inlineStr">
        <is>
          <t>main article — PDF p. 7</t>
        </is>
      </c>
      <c r="E18" s="20" t="inlineStr">
        <is>
          <t>../../2018/jama.2017.21906/jama_huffman_2018_oi_170166.pdf#page=7</t>
        </is>
      </c>
    </row>
    <row r="19" ht="90" customHeight="1" s="14">
      <c r="A19" s="24" t="inlineStr">
        <is>
          <t>2018::jama.2017.21906::C005</t>
        </is>
      </c>
      <c r="B19" s="24" t="inlineStr">
        <is>
          <t>sourceLinks</t>
        </is>
      </c>
      <c r="C19" s="24" t="n">
        <v>2</v>
      </c>
      <c r="D19" s="24" t="inlineStr">
        <is>
          <t>online supplement — PDF p. 21</t>
        </is>
      </c>
      <c r="E19" s="24" t="inlineStr">
        <is>
          <t>../../2018/jama.2017.21906/joi170166supp3_prod.pdf#page=21</t>
        </is>
      </c>
    </row>
    <row r="20" ht="90" customHeight="1" s="14">
      <c r="A20" s="20" t="inlineStr">
        <is>
          <t>2018::jama.2017.21906::C005</t>
        </is>
      </c>
      <c r="B20" s="20" t="inlineStr">
        <is>
          <t>sourceLinks</t>
        </is>
      </c>
      <c r="C20" s="20" t="n">
        <v>3</v>
      </c>
      <c r="D20" s="20" t="inlineStr">
        <is>
          <t>online supplement — PDF p. 22</t>
        </is>
      </c>
      <c r="E20" s="20" t="inlineStr">
        <is>
          <t>../../2018/jama.2017.21906/joi170166supp3_prod.pdf#page=22</t>
        </is>
      </c>
    </row>
    <row r="21" ht="90" customHeight="1" s="14">
      <c r="A21" s="24" t="inlineStr">
        <is>
          <t>2018::jama.2017.21906::C005</t>
        </is>
      </c>
      <c r="B21" s="24" t="inlineStr">
        <is>
          <t>evidencePaths</t>
        </is>
      </c>
      <c r="C21" s="24" t="n">
        <v>0</v>
      </c>
      <c r="D21" s="24" t="inlineStr">
        <is>
          <t>2018/jama.2017.21906/.ai_paper_validation/review_1_5_2/source_inventory.md</t>
        </is>
      </c>
      <c r="E21" s="24" t="inlineStr">
        <is>
          <t>../../2018/jama.2017.21906/.ai_paper_validation/review_1_5_2/source_inventory.md</t>
        </is>
      </c>
    </row>
    <row r="22" ht="90" customHeight="1" s="14">
      <c r="A22" s="20" t="inlineStr">
        <is>
          <t>2018::jama.2017.21906::C005</t>
        </is>
      </c>
      <c r="B22" s="20" t="inlineStr">
        <is>
          <t>evidencePaths</t>
        </is>
      </c>
      <c r="C22" s="20" t="n">
        <v>1</v>
      </c>
      <c r="D22" s="20" t="inlineStr">
        <is>
          <t>2018/jama.2017.21906/.ai_paper_validation/review_1_5_2/verification/evidence_recheck.md</t>
        </is>
      </c>
      <c r="E22" s="20" t="inlineStr">
        <is>
          <t>../../2018/jama.2017.21906/.ai_paper_validation/review_1_5_2/verification/evidence_recheck.md</t>
        </is>
      </c>
    </row>
    <row r="23" ht="90" customHeight="1" s="14">
      <c r="A23" s="24" t="inlineStr">
        <is>
          <t>2018::jama.2017.21906::C006</t>
        </is>
      </c>
      <c r="B23" s="24" t="inlineStr">
        <is>
          <t>sourceLinks</t>
        </is>
      </c>
      <c r="C23" s="24" t="n">
        <v>0</v>
      </c>
      <c r="D23" s="24" t="inlineStr">
        <is>
          <t>Main article — PDF p. 3</t>
        </is>
      </c>
      <c r="E23" s="24" t="inlineStr">
        <is>
          <t>../../2018/jama.2017.21906/jama_huffman_2018_oi_170166.pdf#page=3</t>
        </is>
      </c>
    </row>
    <row r="24" ht="90" customHeight="1" s="14">
      <c r="A24" s="20" t="inlineStr">
        <is>
          <t>2018::jama.2017.21906::C006</t>
        </is>
      </c>
      <c r="B24" s="20" t="inlineStr">
        <is>
          <t>sourceLinks</t>
        </is>
      </c>
      <c r="C24" s="20" t="n">
        <v>1</v>
      </c>
      <c r="D24" s="20" t="inlineStr">
        <is>
          <t>main article — PDF p. 9</t>
        </is>
      </c>
      <c r="E24" s="20" t="inlineStr">
        <is>
          <t>../../2018/jama.2017.21906/jama_huffman_2018_oi_170166.pdf#page=9</t>
        </is>
      </c>
    </row>
    <row r="25" ht="90" customHeight="1" s="14">
      <c r="A25" s="24" t="inlineStr">
        <is>
          <t>2018::jama.2017.21906::C006</t>
        </is>
      </c>
      <c r="B25" s="24" t="inlineStr">
        <is>
          <t>sourceLinks</t>
        </is>
      </c>
      <c r="C25" s="24" t="n">
        <v>2</v>
      </c>
      <c r="D25" s="24" t="inlineStr">
        <is>
          <t>SAP — PDF p. 7</t>
        </is>
      </c>
      <c r="E25" s="24" t="inlineStr">
        <is>
          <t>../../2018/jama.2017.21906/joi170166supp2_prod.pdf#page=7</t>
        </is>
      </c>
    </row>
    <row r="26" ht="90" customHeight="1" s="14">
      <c r="A26" s="20" t="inlineStr">
        <is>
          <t>2018::jama.2017.21906::C006</t>
        </is>
      </c>
      <c r="B26" s="20" t="inlineStr">
        <is>
          <t>evidencePaths</t>
        </is>
      </c>
      <c r="C26" s="20" t="n">
        <v>0</v>
      </c>
      <c r="D26" s="20" t="inlineStr">
        <is>
          <t>2018/jama.2017.21906/.ai_paper_validation/review_1_5_2/source_inventory.md</t>
        </is>
      </c>
      <c r="E26" s="20" t="inlineStr">
        <is>
          <t>../../2018/jama.2017.21906/.ai_paper_validation/review_1_5_2/source_inventory.md</t>
        </is>
      </c>
    </row>
    <row r="27" ht="90" customHeight="1" s="14">
      <c r="A27" s="24" t="inlineStr">
        <is>
          <t>2018::jama.2018.0156::C001</t>
        </is>
      </c>
      <c r="B27" s="24" t="inlineStr">
        <is>
          <t>sourceLinks</t>
        </is>
      </c>
      <c r="C27" s="24" t="n">
        <v>0</v>
      </c>
      <c r="D27" s="24" t="inlineStr">
        <is>
          <t>jama_jabre_2018_oi_180004.pdf — PDF p. 3</t>
        </is>
      </c>
      <c r="E27" s="24" t="inlineStr">
        <is>
          <t>../../2018/jama.2018.0156/jama_jabre_2018_oi_180004.pdf#page=3</t>
        </is>
      </c>
    </row>
    <row r="28" ht="90" customHeight="1" s="14">
      <c r="A28" s="20" t="inlineStr">
        <is>
          <t>2018::jama.2018.0156::C001</t>
        </is>
      </c>
      <c r="B28" s="20" t="inlineStr">
        <is>
          <t>sourceLinks</t>
        </is>
      </c>
      <c r="C28" s="20" t="n">
        <v>1</v>
      </c>
      <c r="D28" s="20" t="inlineStr">
        <is>
          <t>jama_jabre_2018_oi_180004.pdf — PDF p. 4</t>
        </is>
      </c>
      <c r="E28" s="20" t="inlineStr">
        <is>
          <t>../../2018/jama.2018.0156/jama_jabre_2018_oi_180004.pdf#page=4</t>
        </is>
      </c>
    </row>
    <row r="29" ht="90" customHeight="1" s="14">
      <c r="A29" s="24" t="inlineStr">
        <is>
          <t>2018::jama.2018.0156::C001</t>
        </is>
      </c>
      <c r="B29" s="24" t="inlineStr">
        <is>
          <t>evidencePaths</t>
        </is>
      </c>
      <c r="C29" s="24" t="n">
        <v>0</v>
      </c>
      <c r="D29" s="24" t="inlineStr">
        <is>
          <t>2018/jama.2018.0156/.ai_paper_validation/review_1_5_2/source_inventory.md</t>
        </is>
      </c>
      <c r="E29" s="24" t="inlineStr">
        <is>
          <t>../../2018/jama.2018.0156/.ai_paper_validation/review_1_5_2/source_inventory.md</t>
        </is>
      </c>
    </row>
    <row r="30" ht="90" customHeight="1" s="14">
      <c r="A30" s="20" t="inlineStr">
        <is>
          <t>2018::jama.2018.0156::C002</t>
        </is>
      </c>
      <c r="B30" s="20" t="inlineStr">
        <is>
          <t>sourceLinks</t>
        </is>
      </c>
      <c r="C30" s="20" t="n">
        <v>0</v>
      </c>
      <c r="D30" s="20" t="inlineStr">
        <is>
          <t>jama_jabre_2018_oi_180004.pdf — PDF p. 3</t>
        </is>
      </c>
      <c r="E30" s="20" t="inlineStr">
        <is>
          <t>../../2018/jama.2018.0156/jama_jabre_2018_oi_180004.pdf#page=3</t>
        </is>
      </c>
    </row>
    <row r="31" ht="90" customHeight="1" s="14">
      <c r="A31" s="24" t="inlineStr">
        <is>
          <t>2018::jama.2018.0156::C002</t>
        </is>
      </c>
      <c r="B31" s="24" t="inlineStr">
        <is>
          <t>sourceLinks</t>
        </is>
      </c>
      <c r="C31" s="24" t="n">
        <v>1</v>
      </c>
      <c r="D31" s="24" t="inlineStr">
        <is>
          <t>jama_jabre_2018_oi_180004.pdf — PDF p. 4</t>
        </is>
      </c>
      <c r="E31" s="24" t="inlineStr">
        <is>
          <t>../../2018/jama.2018.0156/jama_jabre_2018_oi_180004.pdf#page=4</t>
        </is>
      </c>
    </row>
    <row r="32" ht="90" customHeight="1" s="14">
      <c r="A32" s="20" t="inlineStr">
        <is>
          <t>2018::jama.2018.0156::C002</t>
        </is>
      </c>
      <c r="B32" s="20" t="inlineStr">
        <is>
          <t>evidencePaths</t>
        </is>
      </c>
      <c r="C32" s="20" t="n">
        <v>0</v>
      </c>
      <c r="D32" s="20" t="inlineStr">
        <is>
          <t>2018/jama.2018.0156/.ai_paper_validation/review_1_5_2/source_inventory.md</t>
        </is>
      </c>
      <c r="E32" s="20" t="inlineStr">
        <is>
          <t>../../2018/jama.2018.0156/.ai_paper_validation/review_1_5_2/source_inventory.md</t>
        </is>
      </c>
    </row>
    <row r="33" ht="90" customHeight="1" s="14">
      <c r="A33" s="24" t="inlineStr">
        <is>
          <t>2018::jama.2018.0156::C003</t>
        </is>
      </c>
      <c r="B33" s="24" t="inlineStr">
        <is>
          <t>sourceLinks</t>
        </is>
      </c>
      <c r="C33" s="24" t="n">
        <v>0</v>
      </c>
      <c r="D33" s="24" t="inlineStr">
        <is>
          <t>jama_jabre_2018_oi_180004.pdf — PDF p. 6</t>
        </is>
      </c>
      <c r="E33" s="24" t="inlineStr">
        <is>
          <t>../../2018/jama.2018.0156/jama_jabre_2018_oi_180004.pdf#page=6</t>
        </is>
      </c>
    </row>
    <row r="34" ht="90" customHeight="1" s="14">
      <c r="A34" s="20" t="inlineStr">
        <is>
          <t>2018::jama.2018.0156::C003</t>
        </is>
      </c>
      <c r="B34" s="20" t="inlineStr">
        <is>
          <t>sourceLinks</t>
        </is>
      </c>
      <c r="C34" s="20" t="n">
        <v>1</v>
      </c>
      <c r="D34" s="20" t="inlineStr">
        <is>
          <t>joi180004supp1_prod.pdf — PDF p. 123</t>
        </is>
      </c>
      <c r="E34" s="20" t="inlineStr">
        <is>
          <t>../../2018/jama.2018.0156/joi180004supp1_prod.pdf#page=123</t>
        </is>
      </c>
    </row>
    <row r="35" ht="90" customHeight="1" s="14">
      <c r="A35" s="24" t="inlineStr">
        <is>
          <t>2018::jama.2018.0156::C003</t>
        </is>
      </c>
      <c r="B35" s="24" t="inlineStr">
        <is>
          <t>evidencePaths</t>
        </is>
      </c>
      <c r="C35" s="24" t="n">
        <v>0</v>
      </c>
      <c r="D35" s="24" t="inlineStr">
        <is>
          <t>2018/jama.2018.0156/.ai_paper_validation/review_1_5_2/source_inventory.md</t>
        </is>
      </c>
      <c r="E35" s="24" t="inlineStr">
        <is>
          <t>../../2018/jama.2018.0156/.ai_paper_validation/review_1_5_2/source_inventory.md</t>
        </is>
      </c>
    </row>
    <row r="36" ht="90" customHeight="1" s="14">
      <c r="A36" s="20" t="inlineStr">
        <is>
          <t>2018::jama.2018.0156::C003</t>
        </is>
      </c>
      <c r="B36" s="20" t="inlineStr">
        <is>
          <t>evidencePaths</t>
        </is>
      </c>
      <c r="C36" s="20" t="n">
        <v>1</v>
      </c>
      <c r="D36" s="20" t="inlineStr">
        <is>
          <t>2018/jama.2018.0156/.ai_paper_validation/review_1_5_2/verification/evidence_recheck.md</t>
        </is>
      </c>
      <c r="E36" s="20" t="inlineStr">
        <is>
          <t>../../2018/jama.2018.0156/.ai_paper_validation/review_1_5_2/verification/evidence_recheck.md</t>
        </is>
      </c>
    </row>
    <row r="37" ht="90" customHeight="1" s="14">
      <c r="A37" s="24" t="inlineStr">
        <is>
          <t>2018::jama.2018.0156::C004</t>
        </is>
      </c>
      <c r="B37" s="24" t="inlineStr">
        <is>
          <t>sourceLinks</t>
        </is>
      </c>
      <c r="C37" s="24" t="n">
        <v>0</v>
      </c>
      <c r="D37" s="24" t="inlineStr">
        <is>
          <t>jama_jabre_2018_oi_180004.pdf — PDF p. 3</t>
        </is>
      </c>
      <c r="E37" s="24" t="inlineStr">
        <is>
          <t>../../2018/jama.2018.0156/jama_jabre_2018_oi_180004.pdf#page=3</t>
        </is>
      </c>
    </row>
    <row r="38" ht="90" customHeight="1" s="14">
      <c r="A38" s="20" t="inlineStr">
        <is>
          <t>2018::jama.2018.0156::C004</t>
        </is>
      </c>
      <c r="B38" s="20" t="inlineStr">
        <is>
          <t>sourceLinks</t>
        </is>
      </c>
      <c r="C38" s="20" t="n">
        <v>1</v>
      </c>
      <c r="D38" s="20" t="inlineStr">
        <is>
          <t>PDF p. 6</t>
        </is>
      </c>
      <c r="E38" s="20" t="inlineStr">
        <is>
          <t>../../2018/jama.2018.0156/jama_jabre_2018_oi_180004.pdf#page=6</t>
        </is>
      </c>
    </row>
    <row r="39" ht="90" customHeight="1" s="14">
      <c r="A39" s="24" t="inlineStr">
        <is>
          <t>2018::jama.2018.0156::C004</t>
        </is>
      </c>
      <c r="B39" s="24" t="inlineStr">
        <is>
          <t>sourceLinks</t>
        </is>
      </c>
      <c r="C39" s="24" t="n">
        <v>2</v>
      </c>
      <c r="D39" s="24" t="inlineStr">
        <is>
          <t>joi180004supp1_prod.pdf — PDF p. 124</t>
        </is>
      </c>
      <c r="E39" s="24" t="inlineStr">
        <is>
          <t>../../2018/jama.2018.0156/joi180004supp1_prod.pdf#page=124</t>
        </is>
      </c>
    </row>
    <row r="40" ht="90" customHeight="1" s="14">
      <c r="A40" s="20" t="inlineStr">
        <is>
          <t>2018::jama.2018.0156::C004</t>
        </is>
      </c>
      <c r="B40" s="20" t="inlineStr">
        <is>
          <t>evidencePaths</t>
        </is>
      </c>
      <c r="C40" s="20" t="n">
        <v>0</v>
      </c>
      <c r="D40" s="20" t="inlineStr">
        <is>
          <t>2018/jama.2018.0156/.ai_paper_validation/review_1_5_2/source_inventory.md</t>
        </is>
      </c>
      <c r="E40" s="20" t="inlineStr">
        <is>
          <t>../../2018/jama.2018.0156/.ai_paper_validation/review_1_5_2/source_inventory.md</t>
        </is>
      </c>
    </row>
    <row r="41" ht="90" customHeight="1" s="14">
      <c r="A41" s="24" t="inlineStr">
        <is>
          <t>2018::jama.2018.0156::C004</t>
        </is>
      </c>
      <c r="B41" s="24" t="inlineStr">
        <is>
          <t>evidencePaths</t>
        </is>
      </c>
      <c r="C41" s="24" t="n">
        <v>1</v>
      </c>
      <c r="D41" s="24" t="inlineStr">
        <is>
          <t>2018/jama.2018.0156/.ai_paper_validation/review_1_5_2/verification/evidence_recheck.md</t>
        </is>
      </c>
      <c r="E41" s="24" t="inlineStr">
        <is>
          <t>../../2018/jama.2018.0156/.ai_paper_validation/review_1_5_2/verification/evidence_recheck.md</t>
        </is>
      </c>
    </row>
    <row r="42" ht="90" customHeight="1" s="14">
      <c r="A42" s="20" t="inlineStr">
        <is>
          <t>2018::jama.2018.0156::C005</t>
        </is>
      </c>
      <c r="B42" s="20" t="inlineStr">
        <is>
          <t>sourceLinks</t>
        </is>
      </c>
      <c r="C42" s="20" t="n">
        <v>0</v>
      </c>
      <c r="D42" s="20" t="inlineStr">
        <is>
          <t>jama_jabre_2018_oi_180004.pdf — PDF p. 6</t>
        </is>
      </c>
      <c r="E42" s="20" t="inlineStr">
        <is>
          <t>../../2018/jama.2018.0156/jama_jabre_2018_oi_180004.pdf#page=6</t>
        </is>
      </c>
    </row>
    <row r="43" ht="90" customHeight="1" s="14">
      <c r="A43" s="24" t="inlineStr">
        <is>
          <t>2018::jama.2018.0156::C005</t>
        </is>
      </c>
      <c r="B43" s="24" t="inlineStr">
        <is>
          <t>evidencePaths</t>
        </is>
      </c>
      <c r="C43" s="24" t="n">
        <v>0</v>
      </c>
      <c r="D43" s="24" t="inlineStr">
        <is>
          <t>2018/jama.2018.0156/.ai_paper_validation/review_1_5_2/source_inventory.md</t>
        </is>
      </c>
      <c r="E43" s="24" t="inlineStr">
        <is>
          <t>../../2018/jama.2018.0156/.ai_paper_validation/review_1_5_2/source_inventory.md</t>
        </is>
      </c>
    </row>
    <row r="44" ht="90" customHeight="1" s="14">
      <c r="A44" s="20" t="inlineStr">
        <is>
          <t>2018::jama.2018.0156::C006</t>
        </is>
      </c>
      <c r="B44" s="20" t="inlineStr">
        <is>
          <t>sourceLinks</t>
        </is>
      </c>
      <c r="C44" s="20" t="n">
        <v>0</v>
      </c>
      <c r="D44" s="20" t="inlineStr">
        <is>
          <t>jama_jabre_2018_oi_180004.pdf — PDF p. 2</t>
        </is>
      </c>
      <c r="E44" s="20" t="inlineStr">
        <is>
          <t>../../2018/jama.2018.0156/jama_jabre_2018_oi_180004.pdf#page=2</t>
        </is>
      </c>
    </row>
    <row r="45" ht="90" customHeight="1" s="14">
      <c r="A45" s="24" t="inlineStr">
        <is>
          <t>2018::jama.2018.0156::C006</t>
        </is>
      </c>
      <c r="B45" s="24" t="inlineStr">
        <is>
          <t>sourceLinks</t>
        </is>
      </c>
      <c r="C45" s="24" t="n">
        <v>1</v>
      </c>
      <c r="D45" s="24" t="inlineStr">
        <is>
          <t>joi180004supp2_prod.pdf — PDF p. 2</t>
        </is>
      </c>
      <c r="E45" s="24" t="inlineStr">
        <is>
          <t>../../2018/jama.2018.0156/joi180004supp2_prod.pdf#page=2</t>
        </is>
      </c>
    </row>
    <row r="46" ht="90" customHeight="1" s="14">
      <c r="A46" s="20" t="inlineStr">
        <is>
          <t>2018::jama.2018.0156::C006</t>
        </is>
      </c>
      <c r="B46" s="20" t="inlineStr">
        <is>
          <t>evidencePaths</t>
        </is>
      </c>
      <c r="C46" s="20" t="n">
        <v>0</v>
      </c>
      <c r="D46" s="20" t="inlineStr">
        <is>
          <t>2018/jama.2018.0156/.ai_paper_validation/review_1_5_2/source_inventory.md</t>
        </is>
      </c>
      <c r="E46" s="20" t="inlineStr">
        <is>
          <t>../../2018/jama.2018.0156/.ai_paper_validation/review_1_5_2/source_inventory.md</t>
        </is>
      </c>
    </row>
    <row r="47" ht="90" customHeight="1" s="14">
      <c r="A47" s="24" t="inlineStr">
        <is>
          <t>2018::jama.2018.0156::C007</t>
        </is>
      </c>
      <c r="B47" s="24" t="inlineStr">
        <is>
          <t>sourceLinks</t>
        </is>
      </c>
      <c r="C47" s="24" t="n">
        <v>0</v>
      </c>
      <c r="D47" s="24" t="inlineStr">
        <is>
          <t>jama_jabre_2018_oi_180004.pdf — PDF p. 1</t>
        </is>
      </c>
      <c r="E47" s="24" t="inlineStr">
        <is>
          <t>../../2018/jama.2018.0156/jama_jabre_2018_oi_180004.pdf#page=1</t>
        </is>
      </c>
    </row>
    <row r="48" ht="90" customHeight="1" s="14">
      <c r="A48" s="20" t="inlineStr">
        <is>
          <t>2018::jama.2018.0156::C007</t>
        </is>
      </c>
      <c r="B48" s="20" t="inlineStr">
        <is>
          <t>sourceLinks</t>
        </is>
      </c>
      <c r="C48" s="20" t="n">
        <v>1</v>
      </c>
      <c r="D48" s="20" t="inlineStr">
        <is>
          <t>PDF p. 3</t>
        </is>
      </c>
      <c r="E48" s="20" t="inlineStr">
        <is>
          <t>../../2018/jama.2018.0156/jama_jabre_2018_oi_180004.pdf#page=3</t>
        </is>
      </c>
    </row>
    <row r="49" ht="90" customHeight="1" s="14">
      <c r="A49" s="24" t="inlineStr">
        <is>
          <t>2018::jama.2018.0156::C007</t>
        </is>
      </c>
      <c r="B49" s="24" t="inlineStr">
        <is>
          <t>sourceLinks</t>
        </is>
      </c>
      <c r="C49" s="24" t="n">
        <v>2</v>
      </c>
      <c r="D49" s="24" t="inlineStr">
        <is>
          <t>joi180004supp1_prod.pdf — PDF p. 110</t>
        </is>
      </c>
      <c r="E49" s="24" t="inlineStr">
        <is>
          <t>../../2018/jama.2018.0156/joi180004supp1_prod.pdf#page=110</t>
        </is>
      </c>
    </row>
    <row r="50" ht="90" customHeight="1" s="14">
      <c r="A50" s="20" t="inlineStr">
        <is>
          <t>2018::jama.2018.0156::C007</t>
        </is>
      </c>
      <c r="B50" s="20" t="inlineStr">
        <is>
          <t>evidencePaths</t>
        </is>
      </c>
      <c r="C50" s="20" t="n">
        <v>0</v>
      </c>
      <c r="D50" s="20" t="inlineStr">
        <is>
          <t>2018/jama.2018.0156/.ai_paper_validation/review_1_5_2/source_inventory.md</t>
        </is>
      </c>
      <c r="E50" s="20" t="inlineStr">
        <is>
          <t>../../2018/jama.2018.0156/.ai_paper_validation/review_1_5_2/source_inventory.md</t>
        </is>
      </c>
    </row>
    <row r="51" ht="90" customHeight="1" s="14">
      <c r="A51" s="24" t="inlineStr">
        <is>
          <t>2018::jama.2018.0156::C007</t>
        </is>
      </c>
      <c r="B51" s="24" t="inlineStr">
        <is>
          <t>evidencePaths</t>
        </is>
      </c>
      <c r="C51" s="24" t="n">
        <v>1</v>
      </c>
      <c r="D51" s="24" t="inlineStr">
        <is>
          <t>2018/jama.2018.0156/.ai_paper_validation/review_1_5_2/verification/evidence_recheck.md</t>
        </is>
      </c>
      <c r="E51" s="24" t="inlineStr">
        <is>
          <t>../../2018/jama.2018.0156/.ai_paper_validation/review_1_5_2/verification/evidence_recheck.md</t>
        </is>
      </c>
    </row>
    <row r="52" ht="90" customHeight="1" s="14">
      <c r="A52" s="20" t="inlineStr">
        <is>
          <t>2018::jama.2018.0156::C008</t>
        </is>
      </c>
      <c r="B52" s="20" t="inlineStr">
        <is>
          <t>sourceLinks</t>
        </is>
      </c>
      <c r="C52" s="20" t="n">
        <v>0</v>
      </c>
      <c r="D52" s="20" t="inlineStr">
        <is>
          <t>joi180004supp1_prod.pdf — PDF p. 110</t>
        </is>
      </c>
      <c r="E52" s="20" t="inlineStr">
        <is>
          <t>../../2018/jama.2018.0156/joi180004supp1_prod.pdf#page=110</t>
        </is>
      </c>
    </row>
    <row r="53" ht="90" customHeight="1" s="14">
      <c r="A53" s="24" t="inlineStr">
        <is>
          <t>2018::jama.2018.0156::C008</t>
        </is>
      </c>
      <c r="B53" s="24" t="inlineStr">
        <is>
          <t>sourceLinks</t>
        </is>
      </c>
      <c r="C53" s="24" t="n">
        <v>1</v>
      </c>
      <c r="D53" s="24" t="inlineStr">
        <is>
          <t>jama_jabre_2018_oi_180004.pdf — PDF p. 1</t>
        </is>
      </c>
      <c r="E53" s="24" t="inlineStr">
        <is>
          <t>../../2018/jama.2018.0156/jama_jabre_2018_oi_180004.pdf#page=1</t>
        </is>
      </c>
    </row>
    <row r="54" ht="90" customHeight="1" s="14">
      <c r="A54" s="20" t="inlineStr">
        <is>
          <t>2018::jama.2018.0156::C008</t>
        </is>
      </c>
      <c r="B54" s="20" t="inlineStr">
        <is>
          <t>sourceLinks</t>
        </is>
      </c>
      <c r="C54" s="20" t="n">
        <v>2</v>
      </c>
      <c r="D54" s="20" t="inlineStr">
        <is>
          <t>PDF p. 4</t>
        </is>
      </c>
      <c r="E54" s="20" t="inlineStr">
        <is>
          <t>../../2018/jama.2018.0156/jama_jabre_2018_oi_180004.pdf#page=4</t>
        </is>
      </c>
    </row>
    <row r="55" ht="90" customHeight="1" s="14">
      <c r="A55" s="24" t="inlineStr">
        <is>
          <t>2018::jama.2018.0156::C008</t>
        </is>
      </c>
      <c r="B55" s="24" t="inlineStr">
        <is>
          <t>sourceLinks</t>
        </is>
      </c>
      <c r="C55" s="24" t="n">
        <v>3</v>
      </c>
      <c r="D55" s="24" t="inlineStr">
        <is>
          <t>PDF p. 6</t>
        </is>
      </c>
      <c r="E55" s="24" t="inlineStr">
        <is>
          <t>../../2018/jama.2018.0156/jama_jabre_2018_oi_180004.pdf#page=6</t>
        </is>
      </c>
    </row>
    <row r="56" ht="90" customHeight="1" s="14">
      <c r="A56" s="20" t="inlineStr">
        <is>
          <t>2018::jama.2018.0156::C008</t>
        </is>
      </c>
      <c r="B56" s="20" t="inlineStr">
        <is>
          <t>evidencePaths</t>
        </is>
      </c>
      <c r="C56" s="20" t="n">
        <v>0</v>
      </c>
      <c r="D56" s="20" t="inlineStr">
        <is>
          <t>2018/jama.2018.0156/.ai_paper_validation/review_1_5_2/source_inventory.md</t>
        </is>
      </c>
      <c r="E56" s="20" t="inlineStr">
        <is>
          <t>../../2018/jama.2018.0156/.ai_paper_validation/review_1_5_2/source_inventory.md</t>
        </is>
      </c>
    </row>
    <row r="57" ht="90" customHeight="1" s="14">
      <c r="A57" s="24" t="inlineStr">
        <is>
          <t>2018::jama.2018.0156::C008</t>
        </is>
      </c>
      <c r="B57" s="24" t="inlineStr">
        <is>
          <t>evidencePaths</t>
        </is>
      </c>
      <c r="C57" s="24" t="n">
        <v>1</v>
      </c>
      <c r="D57" s="24" t="inlineStr">
        <is>
          <t>2018/jama.2018.0156/.ai_paper_validation/review_1_5_2/verification/evidence_recheck.md</t>
        </is>
      </c>
      <c r="E57" s="24" t="inlineStr">
        <is>
          <t>../../2018/jama.2018.0156/.ai_paper_validation/review_1_5_2/verification/evidence_recheck.md</t>
        </is>
      </c>
    </row>
    <row r="58" ht="90" customHeight="1" s="14">
      <c r="A58" s="20" t="inlineStr">
        <is>
          <t>2018::jama.2018.0156::C008</t>
        </is>
      </c>
      <c r="B58" s="20" t="inlineStr">
        <is>
          <t>evidencePaths</t>
        </is>
      </c>
      <c r="C58" s="20" t="n">
        <v>2</v>
      </c>
      <c r="D58" s="20" t="inlineStr">
        <is>
          <t>2018/jama.2018.0156/.ai_paper_validation/review_1_5_2/preprocessing/native_text/jama_jabre_2018_oi_180004.txt</t>
        </is>
      </c>
      <c r="E58" s="20" t="inlineStr">
        <is>
          <t>../../2018/jama.2018.0156/.ai_paper_validation/review_1_5_2/preprocessing/native_text/jama_jabre_2018_oi_180004.txt</t>
        </is>
      </c>
    </row>
    <row r="59" ht="90" customHeight="1" s="14">
      <c r="A59" s="24" t="inlineStr">
        <is>
          <t>2018::jama.2018.0948::C001</t>
        </is>
      </c>
      <c r="B59" s="24" t="inlineStr">
        <is>
          <t>sourceLinks</t>
        </is>
      </c>
      <c r="C59" s="24" t="n">
        <v>0</v>
      </c>
      <c r="D59" s="24" t="inlineStr">
        <is>
          <t>main article — PDF p. 4</t>
        </is>
      </c>
      <c r="E59" s="24" t="inlineStr">
        <is>
          <t>../../2018/jama.2018.0948/jama_parshuram_2018_oi_180015.pdf#page=4</t>
        </is>
      </c>
    </row>
    <row r="60" ht="90" customHeight="1" s="14">
      <c r="A60" s="20" t="inlineStr">
        <is>
          <t>2018::jama.2018.0948::C001</t>
        </is>
      </c>
      <c r="B60" s="20" t="inlineStr">
        <is>
          <t>sourceLinks</t>
        </is>
      </c>
      <c r="C60" s="20" t="n">
        <v>1</v>
      </c>
      <c r="D60" s="20" t="inlineStr">
        <is>
          <t>Supplement 1 Table 5 — PDF p. 24</t>
        </is>
      </c>
      <c r="E60" s="20" t="inlineStr">
        <is>
          <t>../../2018/jama.2018.0948/joi180015supp1_prod.pdf#page=24</t>
        </is>
      </c>
    </row>
    <row r="61" ht="90" customHeight="1" s="14">
      <c r="A61" s="24" t="inlineStr">
        <is>
          <t>2018::jama.2018.0948::C001</t>
        </is>
      </c>
      <c r="B61" s="24" t="inlineStr">
        <is>
          <t>sourceLinks</t>
        </is>
      </c>
      <c r="C61" s="24" t="n">
        <v>2</v>
      </c>
      <c r="D61" s="24" t="inlineStr">
        <is>
          <t>Supplement 3 eTable 1 — PDF p. 6</t>
        </is>
      </c>
      <c r="E61" s="24" t="inlineStr">
        <is>
          <t>../../2018/jama.2018.0948/joi180015supp3_prod.pdf#page=6</t>
        </is>
      </c>
    </row>
    <row r="62" ht="90" customHeight="1" s="14">
      <c r="A62" s="20" t="inlineStr">
        <is>
          <t>2018::jama.2018.0948::C001</t>
        </is>
      </c>
      <c r="B62" s="20" t="inlineStr">
        <is>
          <t>evidencePaths</t>
        </is>
      </c>
      <c r="C62" s="20" t="n">
        <v>0</v>
      </c>
      <c r="D62" s="20" t="inlineStr">
        <is>
          <t>2018/jama.2018.0948/.ai_paper_validation/review_1_5_2/source_inventory.md</t>
        </is>
      </c>
      <c r="E62" s="20" t="inlineStr">
        <is>
          <t>../../2018/jama.2018.0948/.ai_paper_validation/review_1_5_2/source_inventory.md</t>
        </is>
      </c>
    </row>
    <row r="63" ht="90" customHeight="1" s="14">
      <c r="A63" s="24" t="inlineStr">
        <is>
          <t>2018::jama.2018.0948::C001</t>
        </is>
      </c>
      <c r="B63" s="24" t="inlineStr">
        <is>
          <t>evidencePaths</t>
        </is>
      </c>
      <c r="C63" s="24" t="n">
        <v>1</v>
      </c>
      <c r="D63" s="24" t="inlineStr">
        <is>
          <t>2018/jama.2018.0948/.ai_paper_validation/review_1_5_2/candidate_ledger.md</t>
        </is>
      </c>
      <c r="E63" s="24" t="inlineStr">
        <is>
          <t>../../2018/jama.2018.0948/.ai_paper_validation/review_1_5_2/candidate_ledger.md</t>
        </is>
      </c>
    </row>
    <row r="64" ht="90" customHeight="1" s="14">
      <c r="A64" s="20" t="inlineStr">
        <is>
          <t>2018::jama.2018.0948::C002</t>
        </is>
      </c>
      <c r="B64" s="20" t="inlineStr">
        <is>
          <t>sourceLinks</t>
        </is>
      </c>
      <c r="C64" s="20" t="n">
        <v>0</v>
      </c>
      <c r="D64" s="20" t="inlineStr">
        <is>
          <t>Supplement 1 — PDF p. 1</t>
        </is>
      </c>
      <c r="E64" s="20" t="inlineStr">
        <is>
          <t>../../2018/jama.2018.0948/joi180015supp1_prod.pdf#page=1</t>
        </is>
      </c>
    </row>
    <row r="65" ht="90" customHeight="1" s="14">
      <c r="A65" s="24" t="inlineStr">
        <is>
          <t>2018::jama.2018.0948::C002</t>
        </is>
      </c>
      <c r="B65" s="24" t="inlineStr">
        <is>
          <t>sourceLinks</t>
        </is>
      </c>
      <c r="C65" s="24" t="n">
        <v>1</v>
      </c>
      <c r="D65" s="24" t="inlineStr">
        <is>
          <t>p. 14</t>
        </is>
      </c>
      <c r="E65" s="24" t="inlineStr">
        <is>
          <t>../../2018/jama.2018.0948/joi180015supp1_prod.pdf#page=14</t>
        </is>
      </c>
    </row>
    <row r="66" ht="90" customHeight="1" s="14">
      <c r="A66" s="20" t="inlineStr">
        <is>
          <t>2018::jama.2018.0948::C002</t>
        </is>
      </c>
      <c r="B66" s="20" t="inlineStr">
        <is>
          <t>sourceLinks</t>
        </is>
      </c>
      <c r="C66" s="20" t="n">
        <v>2</v>
      </c>
      <c r="D66" s="20" t="inlineStr">
        <is>
          <t>p. 29</t>
        </is>
      </c>
      <c r="E66" s="20" t="inlineStr">
        <is>
          <t>../../2018/jama.2018.0948/joi180015supp1_prod.pdf#page=29</t>
        </is>
      </c>
    </row>
    <row r="67" ht="90" customHeight="1" s="14">
      <c r="A67" s="24" t="inlineStr">
        <is>
          <t>2018::jama.2018.0948::C002</t>
        </is>
      </c>
      <c r="B67" s="24" t="inlineStr">
        <is>
          <t>sourceLinks</t>
        </is>
      </c>
      <c r="C67" s="24" t="n">
        <v>3</v>
      </c>
      <c r="D67" s="24" t="inlineStr">
        <is>
          <t>main article — PDF p. 4</t>
        </is>
      </c>
      <c r="E67" s="24" t="inlineStr">
        <is>
          <t>../../2018/jama.2018.0948/jama_parshuram_2018_oi_180015.pdf#page=4</t>
        </is>
      </c>
    </row>
    <row r="68" ht="90" customHeight="1" s="14">
      <c r="A68" s="20" t="inlineStr">
        <is>
          <t>2018::jama.2018.0948::C002</t>
        </is>
      </c>
      <c r="B68" s="20" t="inlineStr">
        <is>
          <t>evidencePaths</t>
        </is>
      </c>
      <c r="C68" s="20" t="n">
        <v>0</v>
      </c>
      <c r="D68" s="20" t="inlineStr">
        <is>
          <t>2018/jama.2018.0948/.ai_paper_validation/review_1_5_2/source_inventory.md</t>
        </is>
      </c>
      <c r="E68" s="20" t="inlineStr">
        <is>
          <t>../../2018/jama.2018.0948/.ai_paper_validation/review_1_5_2/source_inventory.md</t>
        </is>
      </c>
    </row>
    <row r="69" ht="90" customHeight="1" s="14">
      <c r="A69" s="24" t="inlineStr">
        <is>
          <t>2018::jama.2018.0948::C002</t>
        </is>
      </c>
      <c r="B69" s="24" t="inlineStr">
        <is>
          <t>evidencePaths</t>
        </is>
      </c>
      <c r="C69" s="24" t="n">
        <v>1</v>
      </c>
      <c r="D69" s="24" t="inlineStr">
        <is>
          <t>2018/jama.2018.0948/.ai_paper_validation/review_1_5_2/candidate_ledger.md</t>
        </is>
      </c>
      <c r="E69" s="24" t="inlineStr">
        <is>
          <t>../../2018/jama.2018.0948/.ai_paper_validation/review_1_5_2/candidate_ledger.md</t>
        </is>
      </c>
    </row>
    <row r="70" ht="90" customHeight="1" s="14">
      <c r="A70" s="20" t="inlineStr">
        <is>
          <t>2018::jama.2018.0948::C003</t>
        </is>
      </c>
      <c r="B70" s="20" t="inlineStr">
        <is>
          <t>sourceLinks</t>
        </is>
      </c>
      <c r="C70" s="20" t="n">
        <v>0</v>
      </c>
      <c r="D70" s="20" t="inlineStr">
        <is>
          <t>Supplement 1 — PDF p. 11</t>
        </is>
      </c>
      <c r="E70" s="20" t="inlineStr">
        <is>
          <t>../../2018/jama.2018.0948/joi180015supp1_prod.pdf#page=11</t>
        </is>
      </c>
    </row>
    <row r="71" ht="90" customHeight="1" s="14">
      <c r="A71" s="24" t="inlineStr">
        <is>
          <t>2018::jama.2018.0948::C003</t>
        </is>
      </c>
      <c r="B71" s="24" t="inlineStr">
        <is>
          <t>sourceLinks</t>
        </is>
      </c>
      <c r="C71" s="24" t="n">
        <v>1</v>
      </c>
      <c r="D71" s="24" t="inlineStr">
        <is>
          <t>Table 5 — PDF p. 24</t>
        </is>
      </c>
      <c r="E71" s="24" t="inlineStr">
        <is>
          <t>../../2018/jama.2018.0948/joi180015supp1_prod.pdf#page=24</t>
        </is>
      </c>
    </row>
    <row r="72" ht="90" customHeight="1" s="14">
      <c r="A72" s="20" t="inlineStr">
        <is>
          <t>2018::jama.2018.0948::C003</t>
        </is>
      </c>
      <c r="B72" s="20" t="inlineStr">
        <is>
          <t>sourceLinks</t>
        </is>
      </c>
      <c r="C72" s="20" t="n">
        <v>2</v>
      </c>
      <c r="D72" s="20" t="inlineStr">
        <is>
          <t>Table 6 legend — PDF p. 27</t>
        </is>
      </c>
      <c r="E72" s="20" t="inlineStr">
        <is>
          <t>../../2018/jama.2018.0948/joi180015supp1_prod.pdf#page=27</t>
        </is>
      </c>
    </row>
    <row r="73" ht="90" customHeight="1" s="14">
      <c r="A73" s="24" t="inlineStr">
        <is>
          <t>2018::jama.2018.0948::C003</t>
        </is>
      </c>
      <c r="B73" s="24" t="inlineStr">
        <is>
          <t>evidencePaths</t>
        </is>
      </c>
      <c r="C73" s="24" t="n">
        <v>0</v>
      </c>
      <c r="D73" s="24" t="inlineStr">
        <is>
          <t>2018/jama.2018.0948/.ai_paper_validation/review_1_5_2/source_inventory.md</t>
        </is>
      </c>
      <c r="E73" s="24" t="inlineStr">
        <is>
          <t>../../2018/jama.2018.0948/.ai_paper_validation/review_1_5_2/source_inventory.md</t>
        </is>
      </c>
    </row>
    <row r="74" ht="90" customHeight="1" s="14">
      <c r="A74" s="20" t="inlineStr">
        <is>
          <t>2018::jama.2018.0948::C003</t>
        </is>
      </c>
      <c r="B74" s="20" t="inlineStr">
        <is>
          <t>evidencePaths</t>
        </is>
      </c>
      <c r="C74" s="20" t="n">
        <v>1</v>
      </c>
      <c r="D74" s="20" t="inlineStr">
        <is>
          <t>2018/jama.2018.0948/.ai_paper_validation/review_1_5_2/candidate_ledger.md</t>
        </is>
      </c>
      <c r="E74" s="20" t="inlineStr">
        <is>
          <t>../../2018/jama.2018.0948/.ai_paper_validation/review_1_5_2/candidate_ledger.md</t>
        </is>
      </c>
    </row>
    <row r="75" ht="90" customHeight="1" s="14">
      <c r="A75" s="24" t="inlineStr">
        <is>
          <t>2018::jama.2018.0948::C004</t>
        </is>
      </c>
      <c r="B75" s="24" t="inlineStr">
        <is>
          <t>sourceLinks</t>
        </is>
      </c>
      <c r="C75" s="24" t="n">
        <v>0</v>
      </c>
      <c r="D75" s="24" t="inlineStr">
        <is>
          <t>Supplement 1 — PDF p. 11</t>
        </is>
      </c>
      <c r="E75" s="24" t="inlineStr">
        <is>
          <t>../../2018/jama.2018.0948/joi180015supp1_prod.pdf#page=11</t>
        </is>
      </c>
    </row>
    <row r="76" ht="90" customHeight="1" s="14">
      <c r="A76" s="20" t="inlineStr">
        <is>
          <t>2018::jama.2018.0948::C004</t>
        </is>
      </c>
      <c r="B76" s="20" t="inlineStr">
        <is>
          <t>sourceLinks</t>
        </is>
      </c>
      <c r="C76" s="20" t="n">
        <v>1</v>
      </c>
      <c r="D76" s="20" t="inlineStr">
        <is>
          <t>Table 7 — PDF p. 28</t>
        </is>
      </c>
      <c r="E76" s="20" t="inlineStr">
        <is>
          <t>../../2018/jama.2018.0948/joi180015supp1_prod.pdf#page=28</t>
        </is>
      </c>
    </row>
    <row r="77" ht="90" customHeight="1" s="14">
      <c r="A77" s="24" t="inlineStr">
        <is>
          <t>2018::jama.2018.0948::C004</t>
        </is>
      </c>
      <c r="B77" s="24" t="inlineStr">
        <is>
          <t>sourceLinks</t>
        </is>
      </c>
      <c r="C77" s="24" t="n">
        <v>2</v>
      </c>
      <c r="D77" s="24" t="inlineStr">
        <is>
          <t>Supplement 3 eTable 1 — PDF p. 6</t>
        </is>
      </c>
      <c r="E77" s="24" t="inlineStr">
        <is>
          <t>../../2018/jama.2018.0948/joi180015supp3_prod.pdf#page=6</t>
        </is>
      </c>
    </row>
    <row r="78" ht="90" customHeight="1" s="14">
      <c r="A78" s="20" t="inlineStr">
        <is>
          <t>2018::jama.2018.0948::C004</t>
        </is>
      </c>
      <c r="B78" s="20" t="inlineStr">
        <is>
          <t>sourceLinks</t>
        </is>
      </c>
      <c r="C78" s="20" t="n">
        <v>3</v>
      </c>
      <c r="D78" s="20" t="inlineStr">
        <is>
          <t>main article — PDF p. 7</t>
        </is>
      </c>
      <c r="E78" s="20" t="inlineStr">
        <is>
          <t>../../2018/jama.2018.0948/jama_parshuram_2018_oi_180015.pdf#page=7</t>
        </is>
      </c>
    </row>
    <row r="79" ht="90" customHeight="1" s="14">
      <c r="A79" s="24" t="inlineStr">
        <is>
          <t>2018::jama.2018.0948::C004</t>
        </is>
      </c>
      <c r="B79" s="24" t="inlineStr">
        <is>
          <t>evidencePaths</t>
        </is>
      </c>
      <c r="C79" s="24" t="n">
        <v>0</v>
      </c>
      <c r="D79" s="24" t="inlineStr">
        <is>
          <t>2018/jama.2018.0948/.ai_paper_validation/review_1_5_2/source_inventory.md</t>
        </is>
      </c>
      <c r="E79" s="24" t="inlineStr">
        <is>
          <t>../../2018/jama.2018.0948/.ai_paper_validation/review_1_5_2/source_inventory.md</t>
        </is>
      </c>
    </row>
    <row r="80" ht="90" customHeight="1" s="14">
      <c r="A80" s="20" t="inlineStr">
        <is>
          <t>2018::jama.2018.0948::C004</t>
        </is>
      </c>
      <c r="B80" s="20" t="inlineStr">
        <is>
          <t>evidencePaths</t>
        </is>
      </c>
      <c r="C80" s="20" t="n">
        <v>1</v>
      </c>
      <c r="D80" s="20" t="inlineStr">
        <is>
          <t>2018/jama.2018.0948/.ai_paper_validation/review_1_5_2/verification/evidence_recheck.md</t>
        </is>
      </c>
      <c r="E80" s="20" t="inlineStr">
        <is>
          <t>../../2018/jama.2018.0948/.ai_paper_validation/review_1_5_2/verification/evidence_recheck.md</t>
        </is>
      </c>
    </row>
    <row r="81" ht="90" customHeight="1" s="14">
      <c r="A81" s="24" t="inlineStr">
        <is>
          <t>2018::jama.2018.0948::C004</t>
        </is>
      </c>
      <c r="B81" s="24" t="inlineStr">
        <is>
          <t>evidencePaths</t>
        </is>
      </c>
      <c r="C81" s="24" t="n">
        <v>2</v>
      </c>
      <c r="D81" s="24" t="inlineStr">
        <is>
          <t>2018/jama.2018.0948/.ai_paper_validation/review_1_5_2/candidate_ledger.md</t>
        </is>
      </c>
      <c r="E81" s="24" t="inlineStr">
        <is>
          <t>../../2018/jama.2018.0948/.ai_paper_validation/review_1_5_2/candidate_ledger.md</t>
        </is>
      </c>
    </row>
    <row r="82" ht="90" customHeight="1" s="14">
      <c r="A82" s="20" t="inlineStr">
        <is>
          <t>2018::jama.2018.0948::C005</t>
        </is>
      </c>
      <c r="B82" s="20" t="inlineStr">
        <is>
          <t>sourceLinks</t>
        </is>
      </c>
      <c r="C82" s="20" t="n">
        <v>0</v>
      </c>
      <c r="D82" s="20" t="inlineStr">
        <is>
          <t>Supplement 1 — PDF p. 14</t>
        </is>
      </c>
      <c r="E82" s="20" t="inlineStr">
        <is>
          <t>../../2018/jama.2018.0948/joi180015supp1_prod.pdf#page=14</t>
        </is>
      </c>
    </row>
    <row r="83" ht="90" customHeight="1" s="14">
      <c r="A83" s="24" t="inlineStr">
        <is>
          <t>2018::jama.2018.0948::C005</t>
        </is>
      </c>
      <c r="B83" s="24" t="inlineStr">
        <is>
          <t>sourceLinks</t>
        </is>
      </c>
      <c r="C83" s="24" t="n">
        <v>1</v>
      </c>
      <c r="D83" s="24" t="inlineStr">
        <is>
          <t>PDF p. 30</t>
        </is>
      </c>
      <c r="E83" s="24" t="inlineStr">
        <is>
          <t>../../2018/jama.2018.0948/joi180015supp1_prod.pdf#page=30</t>
        </is>
      </c>
    </row>
    <row r="84" ht="90" customHeight="1" s="14">
      <c r="A84" s="20" t="inlineStr">
        <is>
          <t>2018::jama.2018.0948::C005</t>
        </is>
      </c>
      <c r="B84" s="20" t="inlineStr">
        <is>
          <t>evidencePaths</t>
        </is>
      </c>
      <c r="C84" s="20" t="n">
        <v>0</v>
      </c>
      <c r="D84" s="20" t="inlineStr">
        <is>
          <t>2018/jama.2018.0948/.ai_paper_validation/review_1_5_2/source_inventory.md</t>
        </is>
      </c>
      <c r="E84" s="20" t="inlineStr">
        <is>
          <t>../../2018/jama.2018.0948/.ai_paper_validation/review_1_5_2/source_inventory.md</t>
        </is>
      </c>
    </row>
    <row r="85" ht="90" customHeight="1" s="14">
      <c r="A85" s="24" t="inlineStr">
        <is>
          <t>2018::jama.2018.0948::C005</t>
        </is>
      </c>
      <c r="B85" s="24" t="inlineStr">
        <is>
          <t>evidencePaths</t>
        </is>
      </c>
      <c r="C85" s="24" t="n">
        <v>1</v>
      </c>
      <c r="D85" s="24" t="inlineStr">
        <is>
          <t>2018/jama.2018.0948/.ai_paper_validation/review_1_5_2/candidate_ledger.md</t>
        </is>
      </c>
      <c r="E85" s="24" t="inlineStr">
        <is>
          <t>../../2018/jama.2018.0948/.ai_paper_validation/review_1_5_2/candidate_ledger.md</t>
        </is>
      </c>
    </row>
    <row r="86" ht="90" customHeight="1" s="14">
      <c r="A86" s="20" t="inlineStr">
        <is>
          <t>2018::jama.2018.0948::C005</t>
        </is>
      </c>
      <c r="B86" s="20" t="inlineStr">
        <is>
          <t>evidencePaths</t>
        </is>
      </c>
      <c r="C86" s="20" t="n">
        <v>2</v>
      </c>
      <c r="D86" s="20" t="inlineStr">
        <is>
          <t>2018/jama.2018.0948/.ai_paper_validation/review_1_5_2/preprocessing/native_text/joi180015supp1_prod.txt</t>
        </is>
      </c>
      <c r="E86" s="20" t="inlineStr">
        <is>
          <t>../../2018/jama.2018.0948/.ai_paper_validation/review_1_5_2/preprocessing/native_text/joi180015supp1_prod.txt</t>
        </is>
      </c>
    </row>
    <row r="87" ht="90" customHeight="1" s="14">
      <c r="A87" s="24" t="inlineStr">
        <is>
          <t>2018::jama.2018.0948::C006</t>
        </is>
      </c>
      <c r="B87" s="24" t="inlineStr">
        <is>
          <t>sourceLinks</t>
        </is>
      </c>
      <c r="C87" s="24" t="n">
        <v>0</v>
      </c>
      <c r="D87" s="24" t="inlineStr">
        <is>
          <t>Supplement 1 — PDF p. 30</t>
        </is>
      </c>
      <c r="E87" s="24" t="inlineStr">
        <is>
          <t>../../2018/jama.2018.0948/joi180015supp1_prod.pdf#page=30</t>
        </is>
      </c>
    </row>
    <row r="88" ht="90" customHeight="1" s="14">
      <c r="A88" s="20" t="inlineStr">
        <is>
          <t>2018::jama.2018.0948::C006</t>
        </is>
      </c>
      <c r="B88" s="20" t="inlineStr">
        <is>
          <t>evidencePaths</t>
        </is>
      </c>
      <c r="C88" s="20" t="n">
        <v>0</v>
      </c>
      <c r="D88" s="20" t="inlineStr">
        <is>
          <t>2018/jama.2018.0948/.ai_paper_validation/review_1_5_2/source_inventory.md</t>
        </is>
      </c>
      <c r="E88" s="20" t="inlineStr">
        <is>
          <t>../../2018/jama.2018.0948/.ai_paper_validation/review_1_5_2/source_inventory.md</t>
        </is>
      </c>
    </row>
    <row r="89" ht="90" customHeight="1" s="14">
      <c r="A89" s="24" t="inlineStr">
        <is>
          <t>2018::jama.2018.0948::C006</t>
        </is>
      </c>
      <c r="B89" s="24" t="inlineStr">
        <is>
          <t>evidencePaths</t>
        </is>
      </c>
      <c r="C89" s="24" t="n">
        <v>1</v>
      </c>
      <c r="D89" s="24" t="inlineStr">
        <is>
          <t>2018/jama.2018.0948/.ai_paper_validation/review_1_5_2/candidate_ledger.md</t>
        </is>
      </c>
      <c r="E89" s="24" t="inlineStr">
        <is>
          <t>../../2018/jama.2018.0948/.ai_paper_validation/review_1_5_2/candidate_ledger.md</t>
        </is>
      </c>
    </row>
    <row r="90" ht="90" customHeight="1" s="14">
      <c r="A90" s="20" t="inlineStr">
        <is>
          <t>2018::jama.2018.0948::C007</t>
        </is>
      </c>
      <c r="B90" s="20" t="inlineStr">
        <is>
          <t>sourceLinks</t>
        </is>
      </c>
      <c r="C90" s="20" t="n">
        <v>0</v>
      </c>
      <c r="D90" s="20" t="inlineStr">
        <is>
          <t>Supplement 1 — PDF p. 30</t>
        </is>
      </c>
      <c r="E90" s="20" t="inlineStr">
        <is>
          <t>../../2018/jama.2018.0948/joi180015supp1_prod.pdf#page=30</t>
        </is>
      </c>
    </row>
    <row r="91" ht="90" customHeight="1" s="14">
      <c r="A91" s="24" t="inlineStr">
        <is>
          <t>2018::jama.2018.0948::C007</t>
        </is>
      </c>
      <c r="B91" s="24" t="inlineStr">
        <is>
          <t>evidencePaths</t>
        </is>
      </c>
      <c r="C91" s="24" t="n">
        <v>0</v>
      </c>
      <c r="D91" s="24" t="inlineStr">
        <is>
          <t>2018/jama.2018.0948/.ai_paper_validation/review_1_5_2/source_inventory.md</t>
        </is>
      </c>
      <c r="E91" s="24" t="inlineStr">
        <is>
          <t>../../2018/jama.2018.0948/.ai_paper_validation/review_1_5_2/source_inventory.md</t>
        </is>
      </c>
    </row>
    <row r="92" ht="90" customHeight="1" s="14">
      <c r="A92" s="20" t="inlineStr">
        <is>
          <t>2018::jama.2018.0948::C007</t>
        </is>
      </c>
      <c r="B92" s="20" t="inlineStr">
        <is>
          <t>evidencePaths</t>
        </is>
      </c>
      <c r="C92" s="20" t="n">
        <v>1</v>
      </c>
      <c r="D92" s="20" t="inlineStr">
        <is>
          <t>2018/jama.2018.0948/.ai_paper_validation/review_1_5_2/candidate_ledger.md</t>
        </is>
      </c>
      <c r="E92" s="20" t="inlineStr">
        <is>
          <t>../../2018/jama.2018.0948/.ai_paper_validation/review_1_5_2/candidate_ledger.md</t>
        </is>
      </c>
    </row>
    <row r="93" ht="90" customHeight="1" s="14">
      <c r="A93" s="24" t="inlineStr">
        <is>
          <t>2018::jama.2018.0948::C007</t>
        </is>
      </c>
      <c r="B93" s="24" t="inlineStr">
        <is>
          <t>evidencePaths</t>
        </is>
      </c>
      <c r="C93" s="24" t="n">
        <v>2</v>
      </c>
      <c r="D93" s="24" t="inlineStr">
        <is>
          <t>2018/jama.2018.0948/.ai_paper_validation/review_1_5_2/preprocessing/native_text/joi180015supp1_prod.txt</t>
        </is>
      </c>
      <c r="E93" s="24" t="inlineStr">
        <is>
          <t>../../2018/jama.2018.0948/.ai_paper_validation/review_1_5_2/preprocessing/native_text/joi180015supp1_prod.txt</t>
        </is>
      </c>
    </row>
    <row r="94" ht="90" customHeight="1" s="14">
      <c r="A94" s="20" t="inlineStr">
        <is>
          <t>2018::jama.2018.14280::C001</t>
        </is>
      </c>
      <c r="B94" s="20" t="inlineStr">
        <is>
          <t>evidencePaths</t>
        </is>
      </c>
      <c r="C94" s="20" t="n">
        <v>0</v>
      </c>
      <c r="D94" s="20" t="inlineStr">
        <is>
          <t>2018/jama.2018.14280/.ai_paper_validation/review_1_5_2/source_inventory.md</t>
        </is>
      </c>
      <c r="E94" s="20" t="inlineStr">
        <is>
          <t>../../2018/jama.2018.14280/.ai_paper_validation/review_1_5_2/source_inventory.md</t>
        </is>
      </c>
    </row>
    <row r="95" ht="90" customHeight="1" s="14">
      <c r="A95" s="24" t="inlineStr">
        <is>
          <t>2018::jama.2018.14280::C002</t>
        </is>
      </c>
      <c r="B95" s="24" t="inlineStr">
        <is>
          <t>evidencePaths</t>
        </is>
      </c>
      <c r="C95" s="24" t="n">
        <v>0</v>
      </c>
      <c r="D95" s="24" t="inlineStr">
        <is>
          <t>2018/jama.2018.14280/.ai_paper_validation/review_1_5_2/source_inventory.md</t>
        </is>
      </c>
      <c r="E95" s="24" t="inlineStr">
        <is>
          <t>../../2018/jama.2018.14280/.ai_paper_validation/review_1_5_2/source_inventory.md</t>
        </is>
      </c>
    </row>
    <row r="96" ht="90" customHeight="1" s="14">
      <c r="A96" s="20" t="inlineStr">
        <is>
          <t>2018::jama.2018.14280::C003</t>
        </is>
      </c>
      <c r="B96" s="20" t="inlineStr">
        <is>
          <t>evidencePaths</t>
        </is>
      </c>
      <c r="C96" s="20" t="n">
        <v>0</v>
      </c>
      <c r="D96" s="20" t="inlineStr">
        <is>
          <t>2018/jama.2018.14280/.ai_paper_validation/review_1_5_2/source_inventory.md</t>
        </is>
      </c>
      <c r="E96" s="20" t="inlineStr">
        <is>
          <t>../../2018/jama.2018.14280/.ai_paper_validation/review_1_5_2/source_inventory.md</t>
        </is>
      </c>
    </row>
    <row r="97" ht="90" customHeight="1" s="14">
      <c r="A97" s="24" t="inlineStr">
        <is>
          <t>2018::jama.2018.14280::C004</t>
        </is>
      </c>
      <c r="B97" s="24" t="inlineStr">
        <is>
          <t>evidencePaths</t>
        </is>
      </c>
      <c r="C97" s="24" t="n">
        <v>0</v>
      </c>
      <c r="D97" s="24" t="inlineStr">
        <is>
          <t>2018/jama.2018.14280/.ai_paper_validation/review_1_5_2/source_inventory.md</t>
        </is>
      </c>
      <c r="E97" s="24" t="inlineStr">
        <is>
          <t>../../2018/jama.2018.14280/.ai_paper_validation/review_1_5_2/source_inventory.md</t>
        </is>
      </c>
    </row>
    <row r="98" ht="90" customHeight="1" s="14">
      <c r="A98" s="20" t="inlineStr">
        <is>
          <t>2018::jama.2018.14280::C005</t>
        </is>
      </c>
      <c r="B98" s="20" t="inlineStr">
        <is>
          <t>evidencePaths</t>
        </is>
      </c>
      <c r="C98" s="20" t="n">
        <v>0</v>
      </c>
      <c r="D98" s="20" t="inlineStr">
        <is>
          <t>2018/jama.2018.14280/.ai_paper_validation/review_1_5_2/source_inventory.md</t>
        </is>
      </c>
      <c r="E98" s="20" t="inlineStr">
        <is>
          <t>../../2018/jama.2018.14280/.ai_paper_validation/review_1_5_2/source_inventory.md</t>
        </is>
      </c>
    </row>
    <row r="99" ht="90" customHeight="1" s="14">
      <c r="A99" s="24" t="inlineStr">
        <is>
          <t>2018::jama.2018.14280::C006</t>
        </is>
      </c>
      <c r="B99" s="24" t="inlineStr">
        <is>
          <t>evidencePaths</t>
        </is>
      </c>
      <c r="C99" s="24" t="n">
        <v>0</v>
      </c>
      <c r="D99" s="24" t="inlineStr">
        <is>
          <t>2018/jama.2018.14280/.ai_paper_validation/review_1_5_2/source_inventory.md</t>
        </is>
      </c>
      <c r="E99" s="24" t="inlineStr">
        <is>
          <t>../../2018/jama.2018.14280/.ai_paper_validation/review_1_5_2/source_inventory.md</t>
        </is>
      </c>
    </row>
    <row r="100" ht="90" customHeight="1" s="14">
      <c r="A100" s="20" t="inlineStr">
        <is>
          <t>2018::jama.2018.14280::C007</t>
        </is>
      </c>
      <c r="B100" s="20" t="inlineStr">
        <is>
          <t>evidencePaths</t>
        </is>
      </c>
      <c r="C100" s="20" t="n">
        <v>0</v>
      </c>
      <c r="D100" s="20" t="inlineStr">
        <is>
          <t>2018/jama.2018.14280/.ai_paper_validation/review_1_5_2/source_inventory.md</t>
        </is>
      </c>
      <c r="E100" s="20" t="inlineStr">
        <is>
          <t>../../2018/jama.2018.14280/.ai_paper_validation/review_1_5_2/source_inventory.md</t>
        </is>
      </c>
    </row>
    <row r="101" ht="90" customHeight="1" s="14">
      <c r="A101" s="24" t="inlineStr">
        <is>
          <t>2018::jama.2018.14280::C008</t>
        </is>
      </c>
      <c r="B101" s="24" t="inlineStr">
        <is>
          <t>evidencePaths</t>
        </is>
      </c>
      <c r="C101" s="24" t="n">
        <v>0</v>
      </c>
      <c r="D101" s="24" t="inlineStr">
        <is>
          <t>2018/jama.2018.14280/.ai_paper_validation/review_1_5_2/source_inventory.md</t>
        </is>
      </c>
      <c r="E101" s="24" t="inlineStr">
        <is>
          <t>../../2018/jama.2018.14280/.ai_paper_validation/review_1_5_2/source_inventory.md</t>
        </is>
      </c>
    </row>
    <row r="102" ht="90" customHeight="1" s="14">
      <c r="A102" s="20" t="inlineStr">
        <is>
          <t>2018::jama.2018.14280::C009</t>
        </is>
      </c>
      <c r="B102" s="20" t="inlineStr">
        <is>
          <t>evidencePaths</t>
        </is>
      </c>
      <c r="C102" s="20" t="n">
        <v>0</v>
      </c>
      <c r="D102" s="20" t="inlineStr">
        <is>
          <t>2018/jama.2018.14280/.ai_paper_validation/review_1_5_2/source_inventory.md</t>
        </is>
      </c>
      <c r="E102" s="20" t="inlineStr">
        <is>
          <t>../../2018/jama.2018.14280/.ai_paper_validation/review_1_5_2/source_inventory.md</t>
        </is>
      </c>
    </row>
    <row r="103" ht="90" customHeight="1" s="14">
      <c r="A103" s="24" t="inlineStr">
        <is>
          <t>2018::jama.2018.14280::C010</t>
        </is>
      </c>
      <c r="B103" s="24" t="inlineStr">
        <is>
          <t>evidencePaths</t>
        </is>
      </c>
      <c r="C103" s="24" t="n">
        <v>0</v>
      </c>
      <c r="D103" s="24" t="inlineStr">
        <is>
          <t>2018/jama.2018.14280/.ai_paper_validation/review_1_5_2/source_inventory.md</t>
        </is>
      </c>
      <c r="E103" s="24" t="inlineStr">
        <is>
          <t>../../2018/jama.2018.14280/.ai_paper_validation/review_1_5_2/source_inventory.md</t>
        </is>
      </c>
    </row>
    <row r="104" ht="90" customHeight="1" s="14">
      <c r="A104" s="20" t="inlineStr">
        <is>
          <t>2018::jama.2018.14280::C011</t>
        </is>
      </c>
      <c r="B104" s="20" t="inlineStr">
        <is>
          <t>evidencePaths</t>
        </is>
      </c>
      <c r="C104" s="20" t="n">
        <v>0</v>
      </c>
      <c r="D104" s="20" t="inlineStr">
        <is>
          <t>2018/jama.2018.14280/.ai_paper_validation/review_1_5_2/source_inventory.md</t>
        </is>
      </c>
      <c r="E104" s="20" t="inlineStr">
        <is>
          <t>../../2018/jama.2018.14280/.ai_paper_validation/review_1_5_2/source_inventory.md</t>
        </is>
      </c>
    </row>
    <row r="105" ht="90" customHeight="1" s="14">
      <c r="A105" s="24" t="inlineStr">
        <is>
          <t>2018::jama.2018.14280::C011</t>
        </is>
      </c>
      <c r="B105" s="24" t="inlineStr">
        <is>
          <t>evidencePaths</t>
        </is>
      </c>
      <c r="C105" s="24" t="n">
        <v>1</v>
      </c>
      <c r="D105" s="24" t="inlineStr">
        <is>
          <t>2018/jama.2018.14280/.ai_paper_validation/review_1_5_2/verification/evidence_recheck.md</t>
        </is>
      </c>
      <c r="E105" s="24" t="inlineStr">
        <is>
          <t>../../2018/jama.2018.14280/.ai_paper_validation/review_1_5_2/verification/evidence_recheck.md</t>
        </is>
      </c>
    </row>
    <row r="106" ht="90" customHeight="1" s="14">
      <c r="A106" s="20" t="inlineStr">
        <is>
          <t>2018::jama.2018.14280::C012</t>
        </is>
      </c>
      <c r="B106" s="20" t="inlineStr">
        <is>
          <t>evidencePaths</t>
        </is>
      </c>
      <c r="C106" s="20" t="n">
        <v>0</v>
      </c>
      <c r="D106" s="20" t="inlineStr">
        <is>
          <t>2018/jama.2018.14280/.ai_paper_validation/review_1_5_2/source_inventory.md</t>
        </is>
      </c>
      <c r="E106" s="20" t="inlineStr">
        <is>
          <t>../../2018/jama.2018.14280/.ai_paper_validation/review_1_5_2/source_inventory.md</t>
        </is>
      </c>
    </row>
    <row r="107" ht="90" customHeight="1" s="14">
      <c r="A107" s="24" t="inlineStr">
        <is>
          <t>2018::jama.2018.14280::C013</t>
        </is>
      </c>
      <c r="B107" s="24" t="inlineStr">
        <is>
          <t>evidencePaths</t>
        </is>
      </c>
      <c r="C107" s="24" t="n">
        <v>0</v>
      </c>
      <c r="D107" s="24" t="inlineStr">
        <is>
          <t>2018/jama.2018.14280/.ai_paper_validation/review_1_5_2/source_inventory.md</t>
        </is>
      </c>
      <c r="E107" s="24" t="inlineStr">
        <is>
          <t>../../2018/jama.2018.14280/.ai_paper_validation/review_1_5_2/source_inventory.md</t>
        </is>
      </c>
    </row>
    <row r="108" ht="90" customHeight="1" s="14">
      <c r="A108" s="20" t="inlineStr">
        <is>
          <t>2018::jama.2018.14280::C014</t>
        </is>
      </c>
      <c r="B108" s="20" t="inlineStr">
        <is>
          <t>evidencePaths</t>
        </is>
      </c>
      <c r="C108" s="20" t="n">
        <v>0</v>
      </c>
      <c r="D108" s="20" t="inlineStr">
        <is>
          <t>2018/jama.2018.14280/.ai_paper_validation/review_1_5_2/source_inventory.md</t>
        </is>
      </c>
      <c r="E108" s="20" t="inlineStr">
        <is>
          <t>../../2018/jama.2018.14280/.ai_paper_validation/review_1_5_2/source_inventory.md</t>
        </is>
      </c>
    </row>
    <row r="109" ht="90" customHeight="1" s="14">
      <c r="A109" s="24" t="inlineStr">
        <is>
          <t>2018::jama.2018.14280::C015</t>
        </is>
      </c>
      <c r="B109" s="24" t="inlineStr">
        <is>
          <t>evidencePaths</t>
        </is>
      </c>
      <c r="C109" s="24" t="n">
        <v>0</v>
      </c>
      <c r="D109" s="24" t="inlineStr">
        <is>
          <t>2018/jama.2018.14280/.ai_paper_validation/review_1_5_2/source_inventory.md</t>
        </is>
      </c>
      <c r="E109" s="24" t="inlineStr">
        <is>
          <t>../../2018/jama.2018.14280/.ai_paper_validation/review_1_5_2/source_inventory.md</t>
        </is>
      </c>
    </row>
    <row r="110" ht="90" customHeight="1" s="14">
      <c r="A110" s="20" t="inlineStr">
        <is>
          <t>2018::jama.2018.14280::C016</t>
        </is>
      </c>
      <c r="B110" s="20" t="inlineStr">
        <is>
          <t>evidencePaths</t>
        </is>
      </c>
      <c r="C110" s="20" t="n">
        <v>0</v>
      </c>
      <c r="D110" s="20" t="inlineStr">
        <is>
          <t>2018/jama.2018.14280/.ai_paper_validation/review_1_5_2/source_inventory.md</t>
        </is>
      </c>
      <c r="E110" s="20" t="inlineStr">
        <is>
          <t>../../2018/jama.2018.14280/.ai_paper_validation/review_1_5_2/source_inventory.md</t>
        </is>
      </c>
    </row>
    <row r="111" ht="90" customHeight="1" s="14">
      <c r="A111" s="24" t="inlineStr">
        <is>
          <t>2018::jama.2018.14280::C017</t>
        </is>
      </c>
      <c r="B111" s="24" t="inlineStr">
        <is>
          <t>evidencePaths</t>
        </is>
      </c>
      <c r="C111" s="24" t="n">
        <v>0</v>
      </c>
      <c r="D111" s="24" t="inlineStr">
        <is>
          <t>2018/jama.2018.14280/.ai_paper_validation/review_1_5_2/source_inventory.md</t>
        </is>
      </c>
      <c r="E111" s="24" t="inlineStr">
        <is>
          <t>../../2018/jama.2018.14280/.ai_paper_validation/review_1_5_2/source_inventory.md</t>
        </is>
      </c>
    </row>
    <row r="112" ht="90" customHeight="1" s="14">
      <c r="A112" s="20" t="inlineStr">
        <is>
          <t>2018::jama.2018.14280::C018</t>
        </is>
      </c>
      <c r="B112" s="20" t="inlineStr">
        <is>
          <t>evidencePaths</t>
        </is>
      </c>
      <c r="C112" s="20" t="n">
        <v>0</v>
      </c>
      <c r="D112" s="20" t="inlineStr">
        <is>
          <t>2018/jama.2018.14280/.ai_paper_validation/review_1_5_2/source_inventory.md</t>
        </is>
      </c>
      <c r="E112" s="20" t="inlineStr">
        <is>
          <t>../../2018/jama.2018.14280/.ai_paper_validation/review_1_5_2/source_inventory.md</t>
        </is>
      </c>
    </row>
    <row r="113" ht="90" customHeight="1" s="14">
      <c r="A113" s="24" t="inlineStr">
        <is>
          <t>2018::jama.2018.14280::C019</t>
        </is>
      </c>
      <c r="B113" s="24" t="inlineStr">
        <is>
          <t>evidencePaths</t>
        </is>
      </c>
      <c r="C113" s="24" t="n">
        <v>0</v>
      </c>
      <c r="D113" s="24" t="inlineStr">
        <is>
          <t>2018/jama.2018.14280/.ai_paper_validation/review_1_5_2/source_inventory.md</t>
        </is>
      </c>
      <c r="E113" s="24" t="inlineStr">
        <is>
          <t>../../2018/jama.2018.14280/.ai_paper_validation/review_1_5_2/source_inventory.md</t>
        </is>
      </c>
    </row>
    <row r="114" ht="90" customHeight="1" s="14">
      <c r="A114" s="20" t="inlineStr">
        <is>
          <t>2018::jama.2018.14280::C020</t>
        </is>
      </c>
      <c r="B114" s="20" t="inlineStr">
        <is>
          <t>evidencePaths</t>
        </is>
      </c>
      <c r="C114" s="20" t="n">
        <v>0</v>
      </c>
      <c r="D114" s="20" t="inlineStr">
        <is>
          <t>2018/jama.2018.14280/.ai_paper_validation/review_1_5_2/source_inventory.md</t>
        </is>
      </c>
      <c r="E114" s="20" t="inlineStr">
        <is>
          <t>../../2018/jama.2018.14280/.ai_paper_validation/review_1_5_2/source_inventory.md</t>
        </is>
      </c>
    </row>
    <row r="115" ht="90" customHeight="1" s="14">
      <c r="A115" s="24" t="inlineStr">
        <is>
          <t>2018::jama.2018.14280::C021</t>
        </is>
      </c>
      <c r="B115" s="24" t="inlineStr">
        <is>
          <t>evidencePaths</t>
        </is>
      </c>
      <c r="C115" s="24" t="n">
        <v>0</v>
      </c>
      <c r="D115" s="24" t="inlineStr">
        <is>
          <t>2018/jama.2018.14280/.ai_paper_validation/review_1_5_2/source_inventory.md</t>
        </is>
      </c>
      <c r="E115" s="24" t="inlineStr">
        <is>
          <t>../../2018/jama.2018.14280/.ai_paper_validation/review_1_5_2/source_inventory.md</t>
        </is>
      </c>
    </row>
    <row r="116" ht="90" customHeight="1" s="14">
      <c r="A116" s="20" t="inlineStr">
        <is>
          <t>2018::jama.2018.14280::C022</t>
        </is>
      </c>
      <c r="B116" s="20" t="inlineStr">
        <is>
          <t>evidencePaths</t>
        </is>
      </c>
      <c r="C116" s="20" t="n">
        <v>0</v>
      </c>
      <c r="D116" s="20" t="inlineStr">
        <is>
          <t>2018/jama.2018.14280/.ai_paper_validation/review_1_5_2/source_inventory.md</t>
        </is>
      </c>
      <c r="E116" s="20" t="inlineStr">
        <is>
          <t>../../2018/jama.2018.14280/.ai_paper_validation/review_1_5_2/source_inventory.md</t>
        </is>
      </c>
    </row>
    <row r="117" ht="90" customHeight="1" s="14">
      <c r="A117" s="24" t="inlineStr">
        <is>
          <t>2018::jama.2018.14280::C023</t>
        </is>
      </c>
      <c r="B117" s="24" t="inlineStr">
        <is>
          <t>evidencePaths</t>
        </is>
      </c>
      <c r="C117" s="24" t="n">
        <v>0</v>
      </c>
      <c r="D117" s="24" t="inlineStr">
        <is>
          <t>2018/jama.2018.14280/.ai_paper_validation/review_1_5_2/source_inventory.md</t>
        </is>
      </c>
      <c r="E117" s="24" t="inlineStr">
        <is>
          <t>../../2018/jama.2018.14280/.ai_paper_validation/review_1_5_2/source_inventory.md</t>
        </is>
      </c>
    </row>
    <row r="118" ht="90" customHeight="1" s="14">
      <c r="A118" s="20" t="inlineStr">
        <is>
          <t>2018::jama.2018.14280::C023</t>
        </is>
      </c>
      <c r="B118" s="20" t="inlineStr">
        <is>
          <t>evidencePaths</t>
        </is>
      </c>
      <c r="C118" s="20" t="n">
        <v>1</v>
      </c>
      <c r="D118" s="20" t="inlineStr">
        <is>
          <t>2018/jama.2018.14280/.ai_paper_validation/review_1_5_2/verification/evidence_recheck.md</t>
        </is>
      </c>
      <c r="E118" s="20" t="inlineStr">
        <is>
          <t>../../2018/jama.2018.14280/.ai_paper_validation/review_1_5_2/verification/evidence_recheck.md</t>
        </is>
      </c>
    </row>
    <row r="119" ht="90" customHeight="1" s="14">
      <c r="A119" s="24" t="inlineStr">
        <is>
          <t>2018::jama.2018.14282::C001</t>
        </is>
      </c>
      <c r="B119" s="24" t="inlineStr">
        <is>
          <t>sourceLinks</t>
        </is>
      </c>
      <c r="C119" s="24" t="n">
        <v>0</v>
      </c>
      <c r="D119" s="24" t="inlineStr">
        <is>
          <t>DOC-001 Table 1 — PDF p. 4</t>
        </is>
      </c>
      <c r="E119" s="24" t="inlineStr">
        <is>
          <t>../../2018/jama.2018.14282/jama_azoulay_2018_oi_180109.pdf#page=4</t>
        </is>
      </c>
    </row>
    <row r="120" ht="90" customHeight="1" s="14">
      <c r="A120" s="20" t="inlineStr">
        <is>
          <t>2018::jama.2018.14282::C001</t>
        </is>
      </c>
      <c r="B120" s="20" t="inlineStr">
        <is>
          <t>evidencePaths</t>
        </is>
      </c>
      <c r="C120" s="20" t="n">
        <v>0</v>
      </c>
      <c r="D120" s="20" t="inlineStr">
        <is>
          <t>2018/jama.2018.14282/.ai_paper_validation/review_1_5_2/source_inventory.md</t>
        </is>
      </c>
      <c r="E120" s="20" t="inlineStr">
        <is>
          <t>../../2018/jama.2018.14282/.ai_paper_validation/review_1_5_2/source_inventory.md</t>
        </is>
      </c>
    </row>
    <row r="121" ht="90" customHeight="1" s="14">
      <c r="A121" s="24" t="inlineStr">
        <is>
          <t>2018::jama.2018.14282::C002</t>
        </is>
      </c>
      <c r="B121" s="24" t="inlineStr">
        <is>
          <t>sourceLinks</t>
        </is>
      </c>
      <c r="C121" s="24" t="n">
        <v>0</v>
      </c>
      <c r="D121" s="24" t="inlineStr">
        <is>
          <t>DOC-001 Table 1 — PDF p. 4</t>
        </is>
      </c>
      <c r="E121" s="24" t="inlineStr">
        <is>
          <t>../../2018/jama.2018.14282/jama_azoulay_2018_oi_180109.pdf#page=4</t>
        </is>
      </c>
    </row>
    <row r="122" ht="90" customHeight="1" s="14">
      <c r="A122" s="20" t="inlineStr">
        <is>
          <t>2018::jama.2018.14282::C002</t>
        </is>
      </c>
      <c r="B122" s="20" t="inlineStr">
        <is>
          <t>evidencePaths</t>
        </is>
      </c>
      <c r="C122" s="20" t="n">
        <v>0</v>
      </c>
      <c r="D122" s="20" t="inlineStr">
        <is>
          <t>2018/jama.2018.14282/.ai_paper_validation/review_1_5_2/source_inventory.md</t>
        </is>
      </c>
      <c r="E122" s="20" t="inlineStr">
        <is>
          <t>../../2018/jama.2018.14282/.ai_paper_validation/review_1_5_2/source_inventory.md</t>
        </is>
      </c>
    </row>
    <row r="123" ht="90" customHeight="1" s="14">
      <c r="A123" s="24" t="inlineStr">
        <is>
          <t>2018::jama.2018.14282::C003</t>
        </is>
      </c>
      <c r="B123" s="24" t="inlineStr">
        <is>
          <t>sourceLinks</t>
        </is>
      </c>
      <c r="C123" s="24" t="n">
        <v>0</v>
      </c>
      <c r="D123" s="24" t="inlineStr">
        <is>
          <t>DOC-001 Table 1 — PDF p. 4</t>
        </is>
      </c>
      <c r="E123" s="24" t="inlineStr">
        <is>
          <t>../../2018/jama.2018.14282/jama_azoulay_2018_oi_180109.pdf#page=4</t>
        </is>
      </c>
    </row>
    <row r="124" ht="90" customHeight="1" s="14">
      <c r="A124" s="20" t="inlineStr">
        <is>
          <t>2018::jama.2018.14282::C003</t>
        </is>
      </c>
      <c r="B124" s="20" t="inlineStr">
        <is>
          <t>evidencePaths</t>
        </is>
      </c>
      <c r="C124" s="20" t="n">
        <v>0</v>
      </c>
      <c r="D124" s="20" t="inlineStr">
        <is>
          <t>2018/jama.2018.14282/.ai_paper_validation/review_1_5_2/source_inventory.md</t>
        </is>
      </c>
      <c r="E124" s="20" t="inlineStr">
        <is>
          <t>../../2018/jama.2018.14282/.ai_paper_validation/review_1_5_2/source_inventory.md</t>
        </is>
      </c>
    </row>
    <row r="125" ht="90" customHeight="1" s="14">
      <c r="A125" s="24" t="inlineStr">
        <is>
          <t>2018::jama.2018.14282::C004</t>
        </is>
      </c>
      <c r="B125" s="24" t="inlineStr">
        <is>
          <t>sourceLinks</t>
        </is>
      </c>
      <c r="C125" s="24" t="n">
        <v>0</v>
      </c>
      <c r="D125" s="24" t="inlineStr">
        <is>
          <t>DOC-001 Table 1 — PDF p. 4</t>
        </is>
      </c>
      <c r="E125" s="24" t="inlineStr">
        <is>
          <t>../../2018/jama.2018.14282/jama_azoulay_2018_oi_180109.pdf#page=4</t>
        </is>
      </c>
    </row>
    <row r="126" ht="90" customHeight="1" s="14">
      <c r="A126" s="20" t="inlineStr">
        <is>
          <t>2018::jama.2018.14282::C004</t>
        </is>
      </c>
      <c r="B126" s="20" t="inlineStr">
        <is>
          <t>evidencePaths</t>
        </is>
      </c>
      <c r="C126" s="20" t="n">
        <v>0</v>
      </c>
      <c r="D126" s="20" t="inlineStr">
        <is>
          <t>2018/jama.2018.14282/.ai_paper_validation/review_1_5_2/source_inventory.md</t>
        </is>
      </c>
      <c r="E126" s="20" t="inlineStr">
        <is>
          <t>../../2018/jama.2018.14282/.ai_paper_validation/review_1_5_2/source_inventory.md</t>
        </is>
      </c>
    </row>
    <row r="127" ht="90" customHeight="1" s="14">
      <c r="A127" s="24" t="inlineStr">
        <is>
          <t>2018::jama.2018.14282::C005</t>
        </is>
      </c>
      <c r="B127" s="24" t="inlineStr">
        <is>
          <t>sourceLinks</t>
        </is>
      </c>
      <c r="C127" s="24" t="n">
        <v>0</v>
      </c>
      <c r="D127" s="24" t="inlineStr">
        <is>
          <t>DOC-001 Table 1 — PDF p. 4</t>
        </is>
      </c>
      <c r="E127" s="24" t="inlineStr">
        <is>
          <t>../../2018/jama.2018.14282/jama_azoulay_2018_oi_180109.pdf#page=4</t>
        </is>
      </c>
    </row>
    <row r="128" ht="90" customHeight="1" s="14">
      <c r="A128" s="20" t="inlineStr">
        <is>
          <t>2018::jama.2018.14282::C005</t>
        </is>
      </c>
      <c r="B128" s="20" t="inlineStr">
        <is>
          <t>evidencePaths</t>
        </is>
      </c>
      <c r="C128" s="20" t="n">
        <v>0</v>
      </c>
      <c r="D128" s="20" t="inlineStr">
        <is>
          <t>2018/jama.2018.14282/.ai_paper_validation/review_1_5_2/source_inventory.md</t>
        </is>
      </c>
      <c r="E128" s="20" t="inlineStr">
        <is>
          <t>../../2018/jama.2018.14282/.ai_paper_validation/review_1_5_2/source_inventory.md</t>
        </is>
      </c>
    </row>
    <row r="129" ht="90" customHeight="1" s="14">
      <c r="A129" s="24" t="inlineStr">
        <is>
          <t>2018::jama.2018.14282::C006</t>
        </is>
      </c>
      <c r="B129" s="24" t="inlineStr">
        <is>
          <t>sourceLinks</t>
        </is>
      </c>
      <c r="C129" s="24" t="n">
        <v>0</v>
      </c>
      <c r="D129" s="24" t="inlineStr">
        <is>
          <t>DOC-001 Table 1 — PDF p. 4</t>
        </is>
      </c>
      <c r="E129" s="24" t="inlineStr">
        <is>
          <t>../../2018/jama.2018.14282/jama_azoulay_2018_oi_180109.pdf#page=4</t>
        </is>
      </c>
    </row>
    <row r="130" ht="90" customHeight="1" s="14">
      <c r="A130" s="20" t="inlineStr">
        <is>
          <t>2018::jama.2018.14282::C006</t>
        </is>
      </c>
      <c r="B130" s="20" t="inlineStr">
        <is>
          <t>evidencePaths</t>
        </is>
      </c>
      <c r="C130" s="20" t="n">
        <v>0</v>
      </c>
      <c r="D130" s="20" t="inlineStr">
        <is>
          <t>2018/jama.2018.14282/.ai_paper_validation/review_1_5_2/source_inventory.md</t>
        </is>
      </c>
      <c r="E130" s="20" t="inlineStr">
        <is>
          <t>../../2018/jama.2018.14282/.ai_paper_validation/review_1_5_2/source_inventory.md</t>
        </is>
      </c>
    </row>
    <row r="131" ht="90" customHeight="1" s="14">
      <c r="A131" s="24" t="inlineStr">
        <is>
          <t>2018::jama.2018.14282::C007</t>
        </is>
      </c>
      <c r="B131" s="24" t="inlineStr">
        <is>
          <t>sourceLinks</t>
        </is>
      </c>
      <c r="C131" s="24" t="n">
        <v>0</v>
      </c>
      <c r="D131" s="24" t="inlineStr">
        <is>
          <t>DOC-001 Table 1 — PDF p. 4</t>
        </is>
      </c>
      <c r="E131" s="24" t="inlineStr">
        <is>
          <t>../../2018/jama.2018.14282/jama_azoulay_2018_oi_180109.pdf#page=4</t>
        </is>
      </c>
    </row>
    <row r="132" ht="90" customHeight="1" s="14">
      <c r="A132" s="20" t="inlineStr">
        <is>
          <t>2018::jama.2018.14282::C007</t>
        </is>
      </c>
      <c r="B132" s="20" t="inlineStr">
        <is>
          <t>evidencePaths</t>
        </is>
      </c>
      <c r="C132" s="20" t="n">
        <v>0</v>
      </c>
      <c r="D132" s="20" t="inlineStr">
        <is>
          <t>2018/jama.2018.14282/.ai_paper_validation/review_1_5_2/source_inventory.md</t>
        </is>
      </c>
      <c r="E132" s="20" t="inlineStr">
        <is>
          <t>../../2018/jama.2018.14282/.ai_paper_validation/review_1_5_2/source_inventory.md</t>
        </is>
      </c>
    </row>
    <row r="133" ht="90" customHeight="1" s="14">
      <c r="A133" s="24" t="inlineStr">
        <is>
          <t>2018::jama.2018.14282::C008</t>
        </is>
      </c>
      <c r="B133" s="24" t="inlineStr">
        <is>
          <t>sourceLinks</t>
        </is>
      </c>
      <c r="C133" s="24" t="n">
        <v>0</v>
      </c>
      <c r="D133" s="24" t="inlineStr">
        <is>
          <t>DOC-001 Table 1 — PDF p. 4</t>
        </is>
      </c>
      <c r="E133" s="24" t="inlineStr">
        <is>
          <t>../../2018/jama.2018.14282/jama_azoulay_2018_oi_180109.pdf#page=4</t>
        </is>
      </c>
    </row>
    <row r="134" ht="90" customHeight="1" s="14">
      <c r="A134" s="20" t="inlineStr">
        <is>
          <t>2018::jama.2018.14282::C008</t>
        </is>
      </c>
      <c r="B134" s="20" t="inlineStr">
        <is>
          <t>evidencePaths</t>
        </is>
      </c>
      <c r="C134" s="20" t="n">
        <v>0</v>
      </c>
      <c r="D134" s="20" t="inlineStr">
        <is>
          <t>2018/jama.2018.14282/.ai_paper_validation/review_1_5_2/source_inventory.md</t>
        </is>
      </c>
      <c r="E134" s="20" t="inlineStr">
        <is>
          <t>../../2018/jama.2018.14282/.ai_paper_validation/review_1_5_2/source_inventory.md</t>
        </is>
      </c>
    </row>
    <row r="135" ht="90" customHeight="1" s="14">
      <c r="A135" s="24" t="inlineStr">
        <is>
          <t>2018::jama.2018.14282::C009</t>
        </is>
      </c>
      <c r="B135" s="24" t="inlineStr">
        <is>
          <t>sourceLinks</t>
        </is>
      </c>
      <c r="C135" s="24" t="n">
        <v>0</v>
      </c>
      <c r="D135" s="24" t="inlineStr">
        <is>
          <t>DOC-001 Table 1 — PDF p. 4</t>
        </is>
      </c>
      <c r="E135" s="24" t="inlineStr">
        <is>
          <t>../../2018/jama.2018.14282/jama_azoulay_2018_oi_180109.pdf#page=4</t>
        </is>
      </c>
    </row>
    <row r="136" ht="90" customHeight="1" s="14">
      <c r="A136" s="20" t="inlineStr">
        <is>
          <t>2018::jama.2018.14282::C009</t>
        </is>
      </c>
      <c r="B136" s="20" t="inlineStr">
        <is>
          <t>evidencePaths</t>
        </is>
      </c>
      <c r="C136" s="20" t="n">
        <v>0</v>
      </c>
      <c r="D136" s="20" t="inlineStr">
        <is>
          <t>2018/jama.2018.14282/.ai_paper_validation/review_1_5_2/source_inventory.md</t>
        </is>
      </c>
      <c r="E136" s="20" t="inlineStr">
        <is>
          <t>../../2018/jama.2018.14282/.ai_paper_validation/review_1_5_2/source_inventory.md</t>
        </is>
      </c>
    </row>
    <row r="137" ht="90" customHeight="1" s="14">
      <c r="A137" s="24" t="inlineStr">
        <is>
          <t>2018::jama.2018.14282::C010</t>
        </is>
      </c>
      <c r="B137" s="24" t="inlineStr">
        <is>
          <t>sourceLinks</t>
        </is>
      </c>
      <c r="C137" s="24" t="n">
        <v>0</v>
      </c>
      <c r="D137" s="24" t="inlineStr">
        <is>
          <t>DOC-001 Table 1 — PDF p. 4</t>
        </is>
      </c>
      <c r="E137" s="24" t="inlineStr">
        <is>
          <t>../../2018/jama.2018.14282/jama_azoulay_2018_oi_180109.pdf#page=4</t>
        </is>
      </c>
    </row>
    <row r="138" ht="90" customHeight="1" s="14">
      <c r="A138" s="20" t="inlineStr">
        <is>
          <t>2018::jama.2018.14282::C010</t>
        </is>
      </c>
      <c r="B138" s="20" t="inlineStr">
        <is>
          <t>evidencePaths</t>
        </is>
      </c>
      <c r="C138" s="20" t="n">
        <v>0</v>
      </c>
      <c r="D138" s="20" t="inlineStr">
        <is>
          <t>2018/jama.2018.14282/.ai_paper_validation/review_1_5_2/source_inventory.md</t>
        </is>
      </c>
      <c r="E138" s="20" t="inlineStr">
        <is>
          <t>../../2018/jama.2018.14282/.ai_paper_validation/review_1_5_2/source_inventory.md</t>
        </is>
      </c>
    </row>
    <row r="139" ht="90" customHeight="1" s="14">
      <c r="A139" s="24" t="inlineStr">
        <is>
          <t>2018::jama.2018.14282::C011</t>
        </is>
      </c>
      <c r="B139" s="24" t="inlineStr">
        <is>
          <t>sourceLinks</t>
        </is>
      </c>
      <c r="C139" s="24" t="n">
        <v>0</v>
      </c>
      <c r="D139" s="24" t="inlineStr">
        <is>
          <t>DOC-001 Table 1 — PDF p. 4</t>
        </is>
      </c>
      <c r="E139" s="24" t="inlineStr">
        <is>
          <t>../../2018/jama.2018.14282/jama_azoulay_2018_oi_180109.pdf#page=4</t>
        </is>
      </c>
    </row>
    <row r="140" ht="90" customHeight="1" s="14">
      <c r="A140" s="20" t="inlineStr">
        <is>
          <t>2018::jama.2018.14282::C011</t>
        </is>
      </c>
      <c r="B140" s="20" t="inlineStr">
        <is>
          <t>evidencePaths</t>
        </is>
      </c>
      <c r="C140" s="20" t="n">
        <v>0</v>
      </c>
      <c r="D140" s="20" t="inlineStr">
        <is>
          <t>2018/jama.2018.14282/.ai_paper_validation/review_1_5_2/source_inventory.md</t>
        </is>
      </c>
      <c r="E140" s="20" t="inlineStr">
        <is>
          <t>../../2018/jama.2018.14282/.ai_paper_validation/review_1_5_2/source_inventory.md</t>
        </is>
      </c>
    </row>
    <row r="141" ht="90" customHeight="1" s="14">
      <c r="A141" s="24" t="inlineStr">
        <is>
          <t>2018::jama.2018.14282::C012</t>
        </is>
      </c>
      <c r="B141" s="24" t="inlineStr">
        <is>
          <t>sourceLinks</t>
        </is>
      </c>
      <c r="C141" s="24" t="n">
        <v>0</v>
      </c>
      <c r="D141" s="24" t="inlineStr">
        <is>
          <t>DOC-001 Table 1 — PDF p. 4</t>
        </is>
      </c>
      <c r="E141" s="24" t="inlineStr">
        <is>
          <t>../../2018/jama.2018.14282/jama_azoulay_2018_oi_180109.pdf#page=4</t>
        </is>
      </c>
    </row>
    <row r="142" ht="90" customHeight="1" s="14">
      <c r="A142" s="20" t="inlineStr">
        <is>
          <t>2018::jama.2018.14282::C012</t>
        </is>
      </c>
      <c r="B142" s="20" t="inlineStr">
        <is>
          <t>evidencePaths</t>
        </is>
      </c>
      <c r="C142" s="20" t="n">
        <v>0</v>
      </c>
      <c r="D142" s="20" t="inlineStr">
        <is>
          <t>2018/jama.2018.14282/.ai_paper_validation/review_1_5_2/source_inventory.md</t>
        </is>
      </c>
      <c r="E142" s="20" t="inlineStr">
        <is>
          <t>../../2018/jama.2018.14282/.ai_paper_validation/review_1_5_2/source_inventory.md</t>
        </is>
      </c>
    </row>
    <row r="143" ht="90" customHeight="1" s="14">
      <c r="A143" s="24" t="inlineStr">
        <is>
          <t>2018::jama.2018.14282::C013</t>
        </is>
      </c>
      <c r="B143" s="24" t="inlineStr">
        <is>
          <t>sourceLinks</t>
        </is>
      </c>
      <c r="C143" s="24" t="n">
        <v>0</v>
      </c>
      <c r="D143" s="24" t="inlineStr">
        <is>
          <t>DOC-001 Table 1 — PDF p. 4</t>
        </is>
      </c>
      <c r="E143" s="24" t="inlineStr">
        <is>
          <t>../../2018/jama.2018.14282/jama_azoulay_2018_oi_180109.pdf#page=4</t>
        </is>
      </c>
    </row>
    <row r="144" ht="90" customHeight="1" s="14">
      <c r="A144" s="20" t="inlineStr">
        <is>
          <t>2018::jama.2018.14282::C013</t>
        </is>
      </c>
      <c r="B144" s="20" t="inlineStr">
        <is>
          <t>evidencePaths</t>
        </is>
      </c>
      <c r="C144" s="20" t="n">
        <v>0</v>
      </c>
      <c r="D144" s="20" t="inlineStr">
        <is>
          <t>2018/jama.2018.14282/.ai_paper_validation/review_1_5_2/source_inventory.md</t>
        </is>
      </c>
      <c r="E144" s="20" t="inlineStr">
        <is>
          <t>../../2018/jama.2018.14282/.ai_paper_validation/review_1_5_2/source_inventory.md</t>
        </is>
      </c>
    </row>
    <row r="145" ht="90" customHeight="1" s="14">
      <c r="A145" s="24" t="inlineStr">
        <is>
          <t>2018::jama.2018.14282::C014</t>
        </is>
      </c>
      <c r="B145" s="24" t="inlineStr">
        <is>
          <t>sourceLinks</t>
        </is>
      </c>
      <c r="C145" s="24" t="n">
        <v>0</v>
      </c>
      <c r="D145" s="24" t="inlineStr">
        <is>
          <t>DOC-001 Table 1 — PDF p. 4</t>
        </is>
      </c>
      <c r="E145" s="24" t="inlineStr">
        <is>
          <t>../../2018/jama.2018.14282/jama_azoulay_2018_oi_180109.pdf#page=4</t>
        </is>
      </c>
    </row>
    <row r="146" ht="90" customHeight="1" s="14">
      <c r="A146" s="20" t="inlineStr">
        <is>
          <t>2018::jama.2018.14282::C014</t>
        </is>
      </c>
      <c r="B146" s="20" t="inlineStr">
        <is>
          <t>evidencePaths</t>
        </is>
      </c>
      <c r="C146" s="20" t="n">
        <v>0</v>
      </c>
      <c r="D146" s="20" t="inlineStr">
        <is>
          <t>2018/jama.2018.14282/.ai_paper_validation/review_1_5_2/source_inventory.md</t>
        </is>
      </c>
      <c r="E146" s="20" t="inlineStr">
        <is>
          <t>../../2018/jama.2018.14282/.ai_paper_validation/review_1_5_2/source_inventory.md</t>
        </is>
      </c>
    </row>
    <row r="147" ht="90" customHeight="1" s="14">
      <c r="A147" s="24" t="inlineStr">
        <is>
          <t>2018::jama.2018.14282::C015</t>
        </is>
      </c>
      <c r="B147" s="24" t="inlineStr">
        <is>
          <t>sourceLinks</t>
        </is>
      </c>
      <c r="C147" s="24" t="n">
        <v>0</v>
      </c>
      <c r="D147" s="24" t="inlineStr">
        <is>
          <t>DOC-001 Table 2 — PDF p. 5</t>
        </is>
      </c>
      <c r="E147" s="24" t="inlineStr">
        <is>
          <t>../../2018/jama.2018.14282/jama_azoulay_2018_oi_180109.pdf#page=5</t>
        </is>
      </c>
    </row>
    <row r="148" ht="90" customHeight="1" s="14">
      <c r="A148" s="20" t="inlineStr">
        <is>
          <t>2018::jama.2018.14282::C015</t>
        </is>
      </c>
      <c r="B148" s="20" t="inlineStr">
        <is>
          <t>evidencePaths</t>
        </is>
      </c>
      <c r="C148" s="20" t="n">
        <v>0</v>
      </c>
      <c r="D148" s="20" t="inlineStr">
        <is>
          <t>2018/jama.2018.14282/.ai_paper_validation/review_1_5_2/source_inventory.md</t>
        </is>
      </c>
      <c r="E148" s="20" t="inlineStr">
        <is>
          <t>../../2018/jama.2018.14282/.ai_paper_validation/review_1_5_2/source_inventory.md</t>
        </is>
      </c>
    </row>
    <row r="149" ht="90" customHeight="1" s="14">
      <c r="A149" s="24" t="inlineStr">
        <is>
          <t>2018::jama.2018.14282::C016</t>
        </is>
      </c>
      <c r="B149" s="24" t="inlineStr">
        <is>
          <t>sourceLinks</t>
        </is>
      </c>
      <c r="C149" s="24" t="n">
        <v>0</v>
      </c>
      <c r="D149" s="24" t="inlineStr">
        <is>
          <t>DOC-001 Table 2 — PDF p. 5</t>
        </is>
      </c>
      <c r="E149" s="24" t="inlineStr">
        <is>
          <t>../../2018/jama.2018.14282/jama_azoulay_2018_oi_180109.pdf#page=5</t>
        </is>
      </c>
    </row>
    <row r="150" ht="90" customHeight="1" s="14">
      <c r="A150" s="20" t="inlineStr">
        <is>
          <t>2018::jama.2018.14282::C016</t>
        </is>
      </c>
      <c r="B150" s="20" t="inlineStr">
        <is>
          <t>evidencePaths</t>
        </is>
      </c>
      <c r="C150" s="20" t="n">
        <v>0</v>
      </c>
      <c r="D150" s="20" t="inlineStr">
        <is>
          <t>2018/jama.2018.14282/.ai_paper_validation/review_1_5_2/source_inventory.md</t>
        </is>
      </c>
      <c r="E150" s="20" t="inlineStr">
        <is>
          <t>../../2018/jama.2018.14282/.ai_paper_validation/review_1_5_2/source_inventory.md</t>
        </is>
      </c>
    </row>
    <row r="151" ht="90" customHeight="1" s="14">
      <c r="A151" s="24" t="inlineStr">
        <is>
          <t>2018::jama.2018.14282::C017</t>
        </is>
      </c>
      <c r="B151" s="24" t="inlineStr">
        <is>
          <t>sourceLinks</t>
        </is>
      </c>
      <c r="C151" s="24" t="n">
        <v>0</v>
      </c>
      <c r="D151" s="24" t="inlineStr">
        <is>
          <t>DOC-001 abstract — PDF p. 1</t>
        </is>
      </c>
      <c r="E151" s="24" t="inlineStr">
        <is>
          <t>../../2018/jama.2018.14282/jama_azoulay_2018_oi_180109.pdf#page=1</t>
        </is>
      </c>
    </row>
    <row r="152" ht="90" customHeight="1" s="14">
      <c r="A152" s="20" t="inlineStr">
        <is>
          <t>2018::jama.2018.14282::C017</t>
        </is>
      </c>
      <c r="B152" s="20" t="inlineStr">
        <is>
          <t>sourceLinks</t>
        </is>
      </c>
      <c r="C152" s="20" t="n">
        <v>1</v>
      </c>
      <c r="D152" s="20" t="inlineStr">
        <is>
          <t>DOC-001 results — PDF p. 6</t>
        </is>
      </c>
      <c r="E152" s="20" t="inlineStr">
        <is>
          <t>../../2018/jama.2018.14282/jama_azoulay_2018_oi_180109.pdf#page=6</t>
        </is>
      </c>
    </row>
    <row r="153" ht="90" customHeight="1" s="14">
      <c r="A153" s="24" t="inlineStr">
        <is>
          <t>2018::jama.2018.14282::C017</t>
        </is>
      </c>
      <c r="B153" s="24" t="inlineStr">
        <is>
          <t>evidencePaths</t>
        </is>
      </c>
      <c r="C153" s="24" t="n">
        <v>0</v>
      </c>
      <c r="D153" s="24" t="inlineStr">
        <is>
          <t>2018/jama.2018.14282/.ai_paper_validation/review_1_5_2/source_inventory.md</t>
        </is>
      </c>
      <c r="E153" s="24" t="inlineStr">
        <is>
          <t>../../2018/jama.2018.14282/.ai_paper_validation/review_1_5_2/source_inventory.md</t>
        </is>
      </c>
    </row>
    <row r="154" ht="90" customHeight="1" s="14">
      <c r="A154" s="20" t="inlineStr">
        <is>
          <t>2018::jama.2018.14282::C017</t>
        </is>
      </c>
      <c r="B154" s="20" t="inlineStr">
        <is>
          <t>evidencePaths</t>
        </is>
      </c>
      <c r="C154" s="20" t="n">
        <v>1</v>
      </c>
      <c r="D154" s="20" t="inlineStr">
        <is>
          <t>2018/jama.2018.14282/.ai_paper_validation/review_1_5_2/candidate_ledger.md</t>
        </is>
      </c>
      <c r="E154" s="20" t="inlineStr">
        <is>
          <t>../../2018/jama.2018.14282/.ai_paper_validation/review_1_5_2/candidate_ledger.md</t>
        </is>
      </c>
    </row>
    <row r="155" ht="90" customHeight="1" s="14">
      <c r="A155" s="24" t="inlineStr">
        <is>
          <t>2018::jama.2018.14282::C018</t>
        </is>
      </c>
      <c r="B155" s="24" t="inlineStr">
        <is>
          <t>sourceLinks</t>
        </is>
      </c>
      <c r="C155" s="24" t="n">
        <v>0</v>
      </c>
      <c r="D155" s="24" t="inlineStr">
        <is>
          <t>DOC-001 post hoc outcomes — PDF p. 6</t>
        </is>
      </c>
      <c r="E155" s="24" t="inlineStr">
        <is>
          <t>../../2018/jama.2018.14282/jama_azoulay_2018_oi_180109.pdf#page=6</t>
        </is>
      </c>
    </row>
    <row r="156" ht="90" customHeight="1" s="14">
      <c r="A156" s="20" t="inlineStr">
        <is>
          <t>2018::jama.2018.14282::C018</t>
        </is>
      </c>
      <c r="B156" s="20" t="inlineStr">
        <is>
          <t>evidencePaths</t>
        </is>
      </c>
      <c r="C156" s="20" t="n">
        <v>0</v>
      </c>
      <c r="D156" s="20" t="inlineStr">
        <is>
          <t>2018/jama.2018.14282/.ai_paper_validation/review_1_5_2/source_inventory.md</t>
        </is>
      </c>
      <c r="E156" s="20" t="inlineStr">
        <is>
          <t>../../2018/jama.2018.14282/.ai_paper_validation/review_1_5_2/source_inventory.md</t>
        </is>
      </c>
    </row>
    <row r="157" ht="90" customHeight="1" s="14">
      <c r="A157" s="24" t="inlineStr">
        <is>
          <t>2018::jama.2018.14282::C018</t>
        </is>
      </c>
      <c r="B157" s="24" t="inlineStr">
        <is>
          <t>evidencePaths</t>
        </is>
      </c>
      <c r="C157" s="24" t="n">
        <v>1</v>
      </c>
      <c r="D157" s="24" t="inlineStr">
        <is>
          <t>2018/jama.2018.14282/.ai_paper_validation/review_1_5_2/verification/evidence_recheck.md</t>
        </is>
      </c>
      <c r="E157" s="24" t="inlineStr">
        <is>
          <t>../../2018/jama.2018.14282/.ai_paper_validation/review_1_5_2/verification/evidence_recheck.md</t>
        </is>
      </c>
    </row>
    <row r="158" ht="90" customHeight="1" s="14">
      <c r="A158" s="20" t="inlineStr">
        <is>
          <t>2018::jama.2018.14282::C018</t>
        </is>
      </c>
      <c r="B158" s="20" t="inlineStr">
        <is>
          <t>evidencePaths</t>
        </is>
      </c>
      <c r="C158" s="20" t="n">
        <v>2</v>
      </c>
      <c r="D158" s="20" t="inlineStr">
        <is>
          <t>2018/jama.2018.14282/.ai_paper_validation/review_1_5_2/candidate_ledger.md</t>
        </is>
      </c>
      <c r="E158" s="20" t="inlineStr">
        <is>
          <t>../../2018/jama.2018.14282/.ai_paper_validation/review_1_5_2/candidate_ledger.md</t>
        </is>
      </c>
    </row>
    <row r="159" ht="90" customHeight="1" s="14">
      <c r="A159" s="24" t="inlineStr">
        <is>
          <t>2018::jama.2018.14282::C019</t>
        </is>
      </c>
      <c r="B159" s="24" t="inlineStr">
        <is>
          <t>sourceLinks</t>
        </is>
      </c>
      <c r="C159" s="24" t="n">
        <v>0</v>
      </c>
      <c r="D159" s="24" t="inlineStr">
        <is>
          <t>DOC-003 eTable — PDF p. 2</t>
        </is>
      </c>
      <c r="E159" s="24" t="inlineStr">
        <is>
          <t>../../2018/jama.2018.14282/joi180109supp2_prod.pdf#page=2</t>
        </is>
      </c>
    </row>
    <row r="160" ht="90" customHeight="1" s="14">
      <c r="A160" s="20" t="inlineStr">
        <is>
          <t>2018::jama.2018.14282::C019</t>
        </is>
      </c>
      <c r="B160" s="20" t="inlineStr">
        <is>
          <t>evidencePaths</t>
        </is>
      </c>
      <c r="C160" s="20" t="n">
        <v>0</v>
      </c>
      <c r="D160" s="20" t="inlineStr">
        <is>
          <t>2018/jama.2018.14282/.ai_paper_validation/review_1_5_2/source_inventory.md</t>
        </is>
      </c>
      <c r="E160" s="20" t="inlineStr">
        <is>
          <t>../../2018/jama.2018.14282/.ai_paper_validation/review_1_5_2/source_inventory.md</t>
        </is>
      </c>
    </row>
    <row r="161" ht="90" customHeight="1" s="14">
      <c r="A161" s="24" t="inlineStr">
        <is>
          <t>2018::jama.2018.14282::C019</t>
        </is>
      </c>
      <c r="B161" s="24" t="inlineStr">
        <is>
          <t>evidencePaths</t>
        </is>
      </c>
      <c r="C161" s="24" t="n">
        <v>1</v>
      </c>
      <c r="D161" s="24" t="inlineStr">
        <is>
          <t>2018/jama.2018.14282/.ai_paper_validation/review_1_5_2/candidate_ledger.md</t>
        </is>
      </c>
      <c r="E161" s="24" t="inlineStr">
        <is>
          <t>../../2018/jama.2018.14282/.ai_paper_validation/review_1_5_2/candidate_ledger.md</t>
        </is>
      </c>
    </row>
    <row r="162" ht="90" customHeight="1" s="14">
      <c r="A162" s="20" t="inlineStr">
        <is>
          <t>2018::jama.2018.14282::C020</t>
        </is>
      </c>
      <c r="B162" s="20" t="inlineStr">
        <is>
          <t>sourceLinks</t>
        </is>
      </c>
      <c r="C162" s="20" t="n">
        <v>0</v>
      </c>
      <c r="D162" s="20" t="inlineStr">
        <is>
          <t>DOC-003 eTable — PDF p. 2</t>
        </is>
      </c>
      <c r="E162" s="20" t="inlineStr">
        <is>
          <t>../../2018/jama.2018.14282/joi180109supp2_prod.pdf#page=2</t>
        </is>
      </c>
    </row>
    <row r="163" ht="90" customHeight="1" s="14">
      <c r="A163" s="24" t="inlineStr">
        <is>
          <t>2018::jama.2018.14282::C020</t>
        </is>
      </c>
      <c r="B163" s="24" t="inlineStr">
        <is>
          <t>evidencePaths</t>
        </is>
      </c>
      <c r="C163" s="24" t="n">
        <v>0</v>
      </c>
      <c r="D163" s="24" t="inlineStr">
        <is>
          <t>2018/jama.2018.14282/.ai_paper_validation/review_1_5_2/source_inventory.md</t>
        </is>
      </c>
      <c r="E163" s="24" t="inlineStr">
        <is>
          <t>../../2018/jama.2018.14282/.ai_paper_validation/review_1_5_2/source_inventory.md</t>
        </is>
      </c>
    </row>
    <row r="164" ht="90" customHeight="1" s="14">
      <c r="A164" s="20" t="inlineStr">
        <is>
          <t>2018::jama.2018.14282::C020</t>
        </is>
      </c>
      <c r="B164" s="20" t="inlineStr">
        <is>
          <t>evidencePaths</t>
        </is>
      </c>
      <c r="C164" s="20" t="n">
        <v>1</v>
      </c>
      <c r="D164" s="20" t="inlineStr">
        <is>
          <t>2018/jama.2018.14282/.ai_paper_validation/review_1_5_2/candidate_ledger.md</t>
        </is>
      </c>
      <c r="E164" s="20" t="inlineStr">
        <is>
          <t>../../2018/jama.2018.14282/.ai_paper_validation/review_1_5_2/candidate_ledger.md</t>
        </is>
      </c>
    </row>
    <row r="165" ht="90" customHeight="1" s="14">
      <c r="A165" s="24" t="inlineStr">
        <is>
          <t>2018::jama.2018.14282::C021</t>
        </is>
      </c>
      <c r="B165" s="24" t="inlineStr">
        <is>
          <t>sourceLinks</t>
        </is>
      </c>
      <c r="C165" s="24" t="n">
        <v>0</v>
      </c>
      <c r="D165" s="24" t="inlineStr">
        <is>
          <t>DOC-003 eTable — PDF p. 2</t>
        </is>
      </c>
      <c r="E165" s="24" t="inlineStr">
        <is>
          <t>../../2018/jama.2018.14282/joi180109supp2_prod.pdf#page=2</t>
        </is>
      </c>
    </row>
    <row r="166" ht="90" customHeight="1" s="14">
      <c r="A166" s="20" t="inlineStr">
        <is>
          <t>2018::jama.2018.14282::C021</t>
        </is>
      </c>
      <c r="B166" s="20" t="inlineStr">
        <is>
          <t>evidencePaths</t>
        </is>
      </c>
      <c r="C166" s="20" t="n">
        <v>0</v>
      </c>
      <c r="D166" s="20" t="inlineStr">
        <is>
          <t>2018/jama.2018.14282/.ai_paper_validation/review_1_5_2/source_inventory.md</t>
        </is>
      </c>
      <c r="E166" s="20" t="inlineStr">
        <is>
          <t>../../2018/jama.2018.14282/.ai_paper_validation/review_1_5_2/source_inventory.md</t>
        </is>
      </c>
    </row>
    <row r="167" ht="90" customHeight="1" s="14">
      <c r="A167" s="24" t="inlineStr">
        <is>
          <t>2018::jama.2018.14282::C021</t>
        </is>
      </c>
      <c r="B167" s="24" t="inlineStr">
        <is>
          <t>evidencePaths</t>
        </is>
      </c>
      <c r="C167" s="24" t="n">
        <v>1</v>
      </c>
      <c r="D167" s="24" t="inlineStr">
        <is>
          <t>2018/jama.2018.14282/.ai_paper_validation/review_1_5_2/candidate_ledger.md</t>
        </is>
      </c>
      <c r="E167" s="24" t="inlineStr">
        <is>
          <t>../../2018/jama.2018.14282/.ai_paper_validation/review_1_5_2/candidate_ledger.md</t>
        </is>
      </c>
    </row>
    <row r="168" ht="90" customHeight="1" s="14">
      <c r="A168" s="20" t="inlineStr">
        <is>
          <t>2018::jama.2018.14282::C022</t>
        </is>
      </c>
      <c r="B168" s="20" t="inlineStr">
        <is>
          <t>sourceLinks</t>
        </is>
      </c>
      <c r="C168" s="20" t="n">
        <v>0</v>
      </c>
      <c r="D168" s="20" t="inlineStr">
        <is>
          <t>DOC-001 methods — PDF p. 4</t>
        </is>
      </c>
      <c r="E168" s="20" t="inlineStr">
        <is>
          <t>../../2018/jama.2018.14282/jama_azoulay_2018_oi_180109.pdf#page=4</t>
        </is>
      </c>
    </row>
    <row r="169" ht="90" customHeight="1" s="14">
      <c r="A169" s="24" t="inlineStr">
        <is>
          <t>2018::jama.2018.14282::C022</t>
        </is>
      </c>
      <c r="B169" s="24" t="inlineStr">
        <is>
          <t>sourceLinks</t>
        </is>
      </c>
      <c r="C169" s="24" t="n">
        <v>1</v>
      </c>
      <c r="D169" s="24" t="inlineStr">
        <is>
          <t>DOC-001 results — PDF p. 6</t>
        </is>
      </c>
      <c r="E169" s="24" t="inlineStr">
        <is>
          <t>../../2018/jama.2018.14282/jama_azoulay_2018_oi_180109.pdf#page=6</t>
        </is>
      </c>
    </row>
    <row r="170" ht="90" customHeight="1" s="14">
      <c r="A170" s="20" t="inlineStr">
        <is>
          <t>2018::jama.2018.14282::C022</t>
        </is>
      </c>
      <c r="B170" s="20" t="inlineStr">
        <is>
          <t>sourceLinks</t>
        </is>
      </c>
      <c r="C170" s="20" t="n">
        <v>2</v>
      </c>
      <c r="D170" s="20" t="inlineStr">
        <is>
          <t>DOC-003 eFigure 1 — PDF p. 3</t>
        </is>
      </c>
      <c r="E170" s="20" t="inlineStr">
        <is>
          <t>../../2018/jama.2018.14282/joi180109supp2_prod.pdf#page=3</t>
        </is>
      </c>
    </row>
    <row r="171" ht="90" customHeight="1" s="14">
      <c r="A171" s="24" t="inlineStr">
        <is>
          <t>2018::jama.2018.14282::C022</t>
        </is>
      </c>
      <c r="B171" s="24" t="inlineStr">
        <is>
          <t>evidencePaths</t>
        </is>
      </c>
      <c r="C171" s="24" t="n">
        <v>0</v>
      </c>
      <c r="D171" s="24" t="inlineStr">
        <is>
          <t>2018/jama.2018.14282/.ai_paper_validation/review_1_5_2/source_inventory.md</t>
        </is>
      </c>
      <c r="E171" s="24" t="inlineStr">
        <is>
          <t>../../2018/jama.2018.14282/.ai_paper_validation/review_1_5_2/source_inventory.md</t>
        </is>
      </c>
    </row>
    <row r="172" ht="90" customHeight="1" s="14">
      <c r="A172" s="20" t="inlineStr">
        <is>
          <t>2018::jama.2018.14282::C022</t>
        </is>
      </c>
      <c r="B172" s="20" t="inlineStr">
        <is>
          <t>evidencePaths</t>
        </is>
      </c>
      <c r="C172" s="20" t="n">
        <v>1</v>
      </c>
      <c r="D172" s="20" t="inlineStr">
        <is>
          <t>2018/jama.2018.14282/.ai_paper_validation/review_1_5_2/candidate_ledger.md</t>
        </is>
      </c>
      <c r="E172" s="20" t="inlineStr">
        <is>
          <t>../../2018/jama.2018.14282/.ai_paper_validation/review_1_5_2/candidate_ledger.md</t>
        </is>
      </c>
    </row>
    <row r="173" ht="90" customHeight="1" s="14">
      <c r="A173" s="24" t="inlineStr">
        <is>
          <t>2018::jama.2018.14282::C023</t>
        </is>
      </c>
      <c r="B173" s="24" t="inlineStr">
        <is>
          <t>sourceLinks</t>
        </is>
      </c>
      <c r="C173" s="24" t="n">
        <v>0</v>
      </c>
      <c r="D173" s="24" t="inlineStr">
        <is>
          <t>DOC-001 Table 2 and narrative — PDF p. 5</t>
        </is>
      </c>
      <c r="E173" s="24" t="inlineStr">
        <is>
          <t>../../2018/jama.2018.14282/jama_azoulay_2018_oi_180109.pdf#page=5</t>
        </is>
      </c>
    </row>
    <row r="174" ht="90" customHeight="1" s="14">
      <c r="A174" s="20" t="inlineStr">
        <is>
          <t>2018::jama.2018.14282::C023</t>
        </is>
      </c>
      <c r="B174" s="20" t="inlineStr">
        <is>
          <t>sourceLinks</t>
        </is>
      </c>
      <c r="C174" s="20" t="n">
        <v>1</v>
      </c>
      <c r="D174" s="20" t="inlineStr">
        <is>
          <t>DOC-001 Figure 3A — PDF p. 7</t>
        </is>
      </c>
      <c r="E174" s="20" t="inlineStr">
        <is>
          <t>../../2018/jama.2018.14282/jama_azoulay_2018_oi_180109.pdf#page=7</t>
        </is>
      </c>
    </row>
    <row r="175" ht="90" customHeight="1" s="14">
      <c r="A175" s="24" t="inlineStr">
        <is>
          <t>2018::jama.2018.14282::C023</t>
        </is>
      </c>
      <c r="B175" s="24" t="inlineStr">
        <is>
          <t>evidencePaths</t>
        </is>
      </c>
      <c r="C175" s="24" t="n">
        <v>0</v>
      </c>
      <c r="D175" s="24" t="inlineStr">
        <is>
          <t>2018/jama.2018.14282/.ai_paper_validation/review_1_5_2/source_inventory.md</t>
        </is>
      </c>
      <c r="E175" s="24" t="inlineStr">
        <is>
          <t>../../2018/jama.2018.14282/.ai_paper_validation/review_1_5_2/source_inventory.md</t>
        </is>
      </c>
    </row>
    <row r="176" ht="90" customHeight="1" s="14">
      <c r="A176" s="20" t="inlineStr">
        <is>
          <t>2018::jama.2018.14282::C023</t>
        </is>
      </c>
      <c r="B176" s="20" t="inlineStr">
        <is>
          <t>evidencePaths</t>
        </is>
      </c>
      <c r="C176" s="20" t="n">
        <v>1</v>
      </c>
      <c r="D176" s="20" t="inlineStr">
        <is>
          <t>2018/jama.2018.14282/.ai_paper_validation/review_1_5_2/candidate_ledger.md</t>
        </is>
      </c>
      <c r="E176" s="20" t="inlineStr">
        <is>
          <t>../../2018/jama.2018.14282/.ai_paper_validation/review_1_5_2/candidate_ledger.md</t>
        </is>
      </c>
    </row>
    <row r="177" ht="90" customHeight="1" s="14">
      <c r="A177" s="24" t="inlineStr">
        <is>
          <t>2018::jama.2018.14282::C024</t>
        </is>
      </c>
      <c r="B177" s="24" t="inlineStr">
        <is>
          <t>sourceLinks</t>
        </is>
      </c>
      <c r="C177" s="24" t="n">
        <v>0</v>
      </c>
      <c r="D177" s="24" t="inlineStr">
        <is>
          <t>DOC-001 Table 2 — PDF p. 5</t>
        </is>
      </c>
      <c r="E177" s="24" t="inlineStr">
        <is>
          <t>../../2018/jama.2018.14282/jama_azoulay_2018_oi_180109.pdf#page=5</t>
        </is>
      </c>
    </row>
    <row r="178" ht="90" customHeight="1" s="14">
      <c r="A178" s="20" t="inlineStr">
        <is>
          <t>2018::jama.2018.14282::C024</t>
        </is>
      </c>
      <c r="B178" s="20" t="inlineStr">
        <is>
          <t>sourceLinks</t>
        </is>
      </c>
      <c r="C178" s="20" t="n">
        <v>1</v>
      </c>
      <c r="D178" s="20" t="inlineStr">
        <is>
          <t>DOC-001 narrative — PDF p. 6</t>
        </is>
      </c>
      <c r="E178" s="20" t="inlineStr">
        <is>
          <t>../../2018/jama.2018.14282/jama_azoulay_2018_oi_180109.pdf#page=6</t>
        </is>
      </c>
    </row>
    <row r="179" ht="90" customHeight="1" s="14">
      <c r="A179" s="24" t="inlineStr">
        <is>
          <t>2018::jama.2018.14282::C024</t>
        </is>
      </c>
      <c r="B179" s="24" t="inlineStr">
        <is>
          <t>sourceLinks</t>
        </is>
      </c>
      <c r="C179" s="24" t="n">
        <v>2</v>
      </c>
      <c r="D179" s="24" t="inlineStr">
        <is>
          <t>DOC-001 Figure 3B — PDF p. 7</t>
        </is>
      </c>
      <c r="E179" s="24" t="inlineStr">
        <is>
          <t>../../2018/jama.2018.14282/jama_azoulay_2018_oi_180109.pdf#page=7</t>
        </is>
      </c>
    </row>
    <row r="180" ht="90" customHeight="1" s="14">
      <c r="A180" s="20" t="inlineStr">
        <is>
          <t>2018::jama.2018.14282::C024</t>
        </is>
      </c>
      <c r="B180" s="20" t="inlineStr">
        <is>
          <t>evidencePaths</t>
        </is>
      </c>
      <c r="C180" s="20" t="n">
        <v>0</v>
      </c>
      <c r="D180" s="20" t="inlineStr">
        <is>
          <t>2018/jama.2018.14282/.ai_paper_validation/review_1_5_2/source_inventory.md</t>
        </is>
      </c>
      <c r="E180" s="20" t="inlineStr">
        <is>
          <t>../../2018/jama.2018.14282/.ai_paper_validation/review_1_5_2/source_inventory.md</t>
        </is>
      </c>
    </row>
    <row r="181" ht="90" customHeight="1" s="14">
      <c r="A181" s="24" t="inlineStr">
        <is>
          <t>2018::jama.2018.14282::C024</t>
        </is>
      </c>
      <c r="B181" s="24" t="inlineStr">
        <is>
          <t>evidencePaths</t>
        </is>
      </c>
      <c r="C181" s="24" t="n">
        <v>1</v>
      </c>
      <c r="D181" s="24" t="inlineStr">
        <is>
          <t>2018/jama.2018.14282/.ai_paper_validation/review_1_5_2/candidate_ledger.md</t>
        </is>
      </c>
      <c r="E181" s="24" t="inlineStr">
        <is>
          <t>../../2018/jama.2018.14282/.ai_paper_validation/review_1_5_2/candidate_ledger.md</t>
        </is>
      </c>
    </row>
    <row r="182" ht="90" customHeight="1" s="14">
      <c r="A182" s="20" t="inlineStr">
        <is>
          <t>2018::jama.2018.14282::C025</t>
        </is>
      </c>
      <c r="B182" s="20" t="inlineStr">
        <is>
          <t>sourceLinks</t>
        </is>
      </c>
      <c r="C182" s="20" t="n">
        <v>0</v>
      </c>
      <c r="D182" s="20" t="inlineStr">
        <is>
          <t>DOC-001 — PDF p. 3</t>
        </is>
      </c>
      <c r="E182" s="20" t="inlineStr">
        <is>
          <t>../../2018/jama.2018.14282/jama_azoulay_2018_oi_180109.pdf#page=3</t>
        </is>
      </c>
    </row>
    <row r="183" ht="90" customHeight="1" s="14">
      <c r="A183" s="24" t="inlineStr">
        <is>
          <t>2018::jama.2018.14282::C025</t>
        </is>
      </c>
      <c r="B183" s="24" t="inlineStr">
        <is>
          <t>sourceLinks</t>
        </is>
      </c>
      <c r="C183" s="24" t="n">
        <v>1</v>
      </c>
      <c r="D183" s="24" t="inlineStr">
        <is>
          <t>DOC-002 completed published-protocol abstract sentence — PDF p. 91</t>
        </is>
      </c>
      <c r="E183" s="24" t="inlineStr">
        <is>
          <t>../../2018/jama.2018.14282/joi180109supp1_prod.pdf#page=91</t>
        </is>
      </c>
    </row>
    <row r="184" ht="90" customHeight="1" s="14">
      <c r="A184" s="20" t="inlineStr">
        <is>
          <t>2018::jama.2018.14282::C025</t>
        </is>
      </c>
      <c r="B184" s="20" t="inlineStr">
        <is>
          <t>sourceLinks</t>
        </is>
      </c>
      <c r="C184" s="20" t="n">
        <v>2</v>
      </c>
      <c r="D184" s="20" t="inlineStr">
        <is>
          <t>DOC-002 statistical-plan comparator — PDF p. 103</t>
        </is>
      </c>
      <c r="E184" s="20" t="inlineStr">
        <is>
          <t>../../2018/jama.2018.14282/joi180109supp1_prod.pdf#page=103</t>
        </is>
      </c>
    </row>
    <row r="185" ht="90" customHeight="1" s="14">
      <c r="A185" s="24" t="inlineStr">
        <is>
          <t>2018::jama.2018.14282::C025</t>
        </is>
      </c>
      <c r="B185" s="24" t="inlineStr">
        <is>
          <t>evidencePaths</t>
        </is>
      </c>
      <c r="C185" s="24" t="n">
        <v>0</v>
      </c>
      <c r="D185" s="24" t="inlineStr">
        <is>
          <t>2018/jama.2018.14282/.ai_paper_validation/review_1_5_2/source_inventory.md</t>
        </is>
      </c>
      <c r="E185" s="24" t="inlineStr">
        <is>
          <t>../../2018/jama.2018.14282/.ai_paper_validation/review_1_5_2/source_inventory.md</t>
        </is>
      </c>
    </row>
    <row r="186" ht="90" customHeight="1" s="14">
      <c r="A186" s="20" t="inlineStr">
        <is>
          <t>2018::jama.2018.14282::C025</t>
        </is>
      </c>
      <c r="B186" s="20" t="inlineStr">
        <is>
          <t>evidencePaths</t>
        </is>
      </c>
      <c r="C186" s="20" t="n">
        <v>1</v>
      </c>
      <c r="D186" s="20" t="inlineStr">
        <is>
          <t>2018/jama.2018.14282/.ai_paper_validation/review_1_5_2/verification/evidence_recheck.md</t>
        </is>
      </c>
      <c r="E186" s="20" t="inlineStr">
        <is>
          <t>../../2018/jama.2018.14282/.ai_paper_validation/review_1_5_2/verification/evidence_recheck.md</t>
        </is>
      </c>
    </row>
    <row r="187" ht="90" customHeight="1" s="14">
      <c r="A187" s="24" t="inlineStr">
        <is>
          <t>2018::jama.2018.14282::C025</t>
        </is>
      </c>
      <c r="B187" s="24" t="inlineStr">
        <is>
          <t>evidencePaths</t>
        </is>
      </c>
      <c r="C187" s="24" t="n">
        <v>2</v>
      </c>
      <c r="D187" s="24" t="inlineStr">
        <is>
          <t>2018/jama.2018.14282/.ai_paper_validation/review_1_5_2/candidate_ledger.md</t>
        </is>
      </c>
      <c r="E187" s="24" t="inlineStr">
        <is>
          <t>../../2018/jama.2018.14282/.ai_paper_validation/review_1_5_2/candidate_ledger.md</t>
        </is>
      </c>
    </row>
    <row r="188" ht="90" customHeight="1" s="14">
      <c r="A188" s="20" t="inlineStr">
        <is>
          <t>2018::jama.2018.14282::C026</t>
        </is>
      </c>
      <c r="B188" s="20" t="inlineStr">
        <is>
          <t>sourceLinks</t>
        </is>
      </c>
      <c r="C188" s="20" t="n">
        <v>0</v>
      </c>
      <c r="D188" s="20" t="inlineStr">
        <is>
          <t>DOC-002 Figure 4 — PDF p. 40</t>
        </is>
      </c>
      <c r="E188" s="20" t="inlineStr">
        <is>
          <t>../../2018/jama.2018.14282/joi180109supp1_prod.pdf#page=40</t>
        </is>
      </c>
    </row>
    <row r="189" ht="90" customHeight="1" s="14">
      <c r="A189" s="24" t="inlineStr">
        <is>
          <t>2018::jama.2018.14282::C026</t>
        </is>
      </c>
      <c r="B189" s="24" t="inlineStr">
        <is>
          <t>sourceLinks</t>
        </is>
      </c>
      <c r="C189" s="24" t="n">
        <v>1</v>
      </c>
      <c r="D189" s="24" t="inlineStr">
        <is>
          <t>DOC-002 — PDF p. 42</t>
        </is>
      </c>
      <c r="E189" s="24" t="inlineStr">
        <is>
          <t>../../2018/jama.2018.14282/joi180109supp1_prod.pdf#page=42</t>
        </is>
      </c>
    </row>
    <row r="190" ht="90" customHeight="1" s="14">
      <c r="A190" s="20" t="inlineStr">
        <is>
          <t>2018::jama.2018.14282::C026</t>
        </is>
      </c>
      <c r="B190" s="20" t="inlineStr">
        <is>
          <t>evidencePaths</t>
        </is>
      </c>
      <c r="C190" s="20" t="n">
        <v>0</v>
      </c>
      <c r="D190" s="20" t="inlineStr">
        <is>
          <t>2018/jama.2018.14282/.ai_paper_validation/review_1_5_2/source_inventory.md</t>
        </is>
      </c>
      <c r="E190" s="20" t="inlineStr">
        <is>
          <t>../../2018/jama.2018.14282/.ai_paper_validation/review_1_5_2/source_inventory.md</t>
        </is>
      </c>
    </row>
    <row r="191" ht="90" customHeight="1" s="14">
      <c r="A191" s="24" t="inlineStr">
        <is>
          <t>2018::jama.2018.14282::C026</t>
        </is>
      </c>
      <c r="B191" s="24" t="inlineStr">
        <is>
          <t>evidencePaths</t>
        </is>
      </c>
      <c r="C191" s="24" t="n">
        <v>1</v>
      </c>
      <c r="D191" s="24" t="inlineStr">
        <is>
          <t>2018/jama.2018.14282/.ai_paper_validation/review_1_5_2/verification/evidence_recheck.md</t>
        </is>
      </c>
      <c r="E191" s="24" t="inlineStr">
        <is>
          <t>../../2018/jama.2018.14282/.ai_paper_validation/review_1_5_2/verification/evidence_recheck.md</t>
        </is>
      </c>
    </row>
    <row r="192" ht="90" customHeight="1" s="14">
      <c r="A192" s="20" t="inlineStr">
        <is>
          <t>2018::jama.2018.14282::C026</t>
        </is>
      </c>
      <c r="B192" s="20" t="inlineStr">
        <is>
          <t>evidencePaths</t>
        </is>
      </c>
      <c r="C192" s="20" t="n">
        <v>2</v>
      </c>
      <c r="D192" s="20" t="inlineStr">
        <is>
          <t>2018/jama.2018.14282/.ai_paper_validation/review_1_5_2/candidate_ledger.md</t>
        </is>
      </c>
      <c r="E192" s="20" t="inlineStr">
        <is>
          <t>../../2018/jama.2018.14282/.ai_paper_validation/review_1_5_2/candidate_ledger.md</t>
        </is>
      </c>
    </row>
    <row r="193" ht="90" customHeight="1" s="14">
      <c r="A193" s="24" t="inlineStr">
        <is>
          <t>2018::jama.2018.14282::C027</t>
        </is>
      </c>
      <c r="B193" s="24" t="inlineStr">
        <is>
          <t>sourceLinks</t>
        </is>
      </c>
      <c r="C193" s="24" t="n">
        <v>0</v>
      </c>
      <c r="D193" s="24" t="inlineStr">
        <is>
          <t>DOC-002 — PDF p. 52</t>
        </is>
      </c>
      <c r="E193" s="24" t="inlineStr">
        <is>
          <t>../../2018/jama.2018.14282/joi180109supp1_prod.pdf#page=52</t>
        </is>
      </c>
    </row>
    <row r="194" ht="90" customHeight="1" s="14">
      <c r="A194" s="20" t="inlineStr">
        <is>
          <t>2018::jama.2018.14282::C027</t>
        </is>
      </c>
      <c r="B194" s="20" t="inlineStr">
        <is>
          <t>sourceLinks</t>
        </is>
      </c>
      <c r="C194" s="20" t="n">
        <v>1</v>
      </c>
      <c r="D194" s="20" t="inlineStr">
        <is>
          <t>DOC-002 — PDF p. 104</t>
        </is>
      </c>
      <c r="E194" s="20" t="inlineStr">
        <is>
          <t>../../2018/jama.2018.14282/joi180109supp1_prod.pdf#page=104</t>
        </is>
      </c>
    </row>
    <row r="195" ht="90" customHeight="1" s="14">
      <c r="A195" s="24" t="inlineStr">
        <is>
          <t>2018::jama.2018.14282::C027</t>
        </is>
      </c>
      <c r="B195" s="24" t="inlineStr">
        <is>
          <t>evidencePaths</t>
        </is>
      </c>
      <c r="C195" s="24" t="n">
        <v>0</v>
      </c>
      <c r="D195" s="24" t="inlineStr">
        <is>
          <t>2018/jama.2018.14282/.ai_paper_validation/review_1_5_2/source_inventory.md</t>
        </is>
      </c>
      <c r="E195" s="24" t="inlineStr">
        <is>
          <t>../../2018/jama.2018.14282/.ai_paper_validation/review_1_5_2/source_inventory.md</t>
        </is>
      </c>
    </row>
    <row r="196" ht="90" customHeight="1" s="14">
      <c r="A196" s="20" t="inlineStr">
        <is>
          <t>2018::jama.2018.14282::C027</t>
        </is>
      </c>
      <c r="B196" s="20" t="inlineStr">
        <is>
          <t>evidencePaths</t>
        </is>
      </c>
      <c r="C196" s="20" t="n">
        <v>1</v>
      </c>
      <c r="D196" s="20" t="inlineStr">
        <is>
          <t>2018/jama.2018.14282/.ai_paper_validation/review_1_5_2/verification/evidence_recheck.md</t>
        </is>
      </c>
      <c r="E196" s="20" t="inlineStr">
        <is>
          <t>../../2018/jama.2018.14282/.ai_paper_validation/review_1_5_2/verification/evidence_recheck.md</t>
        </is>
      </c>
    </row>
    <row r="197" ht="90" customHeight="1" s="14">
      <c r="A197" s="24" t="inlineStr">
        <is>
          <t>2018::jama.2018.14282::C027</t>
        </is>
      </c>
      <c r="B197" s="24" t="inlineStr">
        <is>
          <t>evidencePaths</t>
        </is>
      </c>
      <c r="C197" s="24" t="n">
        <v>2</v>
      </c>
      <c r="D197" s="24" t="inlineStr">
        <is>
          <t>2018/jama.2018.14282/.ai_paper_validation/review_1_5_2/candidate_ledger.md</t>
        </is>
      </c>
      <c r="E197" s="24" t="inlineStr">
        <is>
          <t>../../2018/jama.2018.14282/.ai_paper_validation/review_1_5_2/candidate_ledger.md</t>
        </is>
      </c>
    </row>
    <row r="198" ht="90" customHeight="1" s="14">
      <c r="A198" s="20" t="inlineStr">
        <is>
          <t>2018::jama.2018.14282::C028</t>
        </is>
      </c>
      <c r="B198" s="20" t="inlineStr">
        <is>
          <t>sourceLinks</t>
        </is>
      </c>
      <c r="C198" s="20" t="n">
        <v>0</v>
      </c>
      <c r="D198" s="20" t="inlineStr">
        <is>
          <t>DOC-002 — PDF p. 54</t>
        </is>
      </c>
      <c r="E198" s="20" t="inlineStr">
        <is>
          <t>../../2018/jama.2018.14282/joi180109supp1_prod.pdf#page=54</t>
        </is>
      </c>
    </row>
    <row r="199" ht="90" customHeight="1" s="14">
      <c r="A199" s="24" t="inlineStr">
        <is>
          <t>2018::jama.2018.14282::C028</t>
        </is>
      </c>
      <c r="B199" s="24" t="inlineStr">
        <is>
          <t>sourceLinks</t>
        </is>
      </c>
      <c r="C199" s="24" t="n">
        <v>1</v>
      </c>
      <c r="D199" s="24" t="inlineStr">
        <is>
          <t>DOC-002 — PDF p. 82</t>
        </is>
      </c>
      <c r="E199" s="24" t="inlineStr">
        <is>
          <t>../../2018/jama.2018.14282/joi180109supp1_prod.pdf#page=82</t>
        </is>
      </c>
    </row>
    <row r="200" ht="90" customHeight="1" s="14">
      <c r="A200" s="20" t="inlineStr">
        <is>
          <t>2018::jama.2018.14282::C028</t>
        </is>
      </c>
      <c r="B200" s="20" t="inlineStr">
        <is>
          <t>sourceLinks</t>
        </is>
      </c>
      <c r="C200" s="20" t="n">
        <v>2</v>
      </c>
      <c r="D200" s="20" t="inlineStr">
        <is>
          <t>DOC-002 — PDF p. 104</t>
        </is>
      </c>
      <c r="E200" s="20" t="inlineStr">
        <is>
          <t>../../2018/jama.2018.14282/joi180109supp1_prod.pdf#page=104</t>
        </is>
      </c>
    </row>
    <row r="201" ht="90" customHeight="1" s="14">
      <c r="A201" s="24" t="inlineStr">
        <is>
          <t>2018::jama.2018.14282::C028</t>
        </is>
      </c>
      <c r="B201" s="24" t="inlineStr">
        <is>
          <t>evidencePaths</t>
        </is>
      </c>
      <c r="C201" s="24" t="n">
        <v>0</v>
      </c>
      <c r="D201" s="24" t="inlineStr">
        <is>
          <t>2018/jama.2018.14282/.ai_paper_validation/review_1_5_2/source_inventory.md</t>
        </is>
      </c>
      <c r="E201" s="24" t="inlineStr">
        <is>
          <t>../../2018/jama.2018.14282/.ai_paper_validation/review_1_5_2/source_inventory.md</t>
        </is>
      </c>
    </row>
    <row r="202" ht="90" customHeight="1" s="14">
      <c r="A202" s="20" t="inlineStr">
        <is>
          <t>2018::jama.2018.14282::C028</t>
        </is>
      </c>
      <c r="B202" s="20" t="inlineStr">
        <is>
          <t>evidencePaths</t>
        </is>
      </c>
      <c r="C202" s="20" t="n">
        <v>1</v>
      </c>
      <c r="D202" s="20" t="inlineStr">
        <is>
          <t>2018/jama.2018.14282/.ai_paper_validation/review_1_5_2/verification/evidence_recheck.md</t>
        </is>
      </c>
      <c r="E202" s="20" t="inlineStr">
        <is>
          <t>../../2018/jama.2018.14282/.ai_paper_validation/review_1_5_2/verification/evidence_recheck.md</t>
        </is>
      </c>
    </row>
    <row r="203" ht="90" customHeight="1" s="14">
      <c r="A203" s="24" t="inlineStr">
        <is>
          <t>2018::jama.2018.14282::C028</t>
        </is>
      </c>
      <c r="B203" s="24" t="inlineStr">
        <is>
          <t>evidencePaths</t>
        </is>
      </c>
      <c r="C203" s="24" t="n">
        <v>2</v>
      </c>
      <c r="D203" s="24" t="inlineStr">
        <is>
          <t>2018/jama.2018.14282/.ai_paper_validation/review_1_5_2/candidate_ledger.md</t>
        </is>
      </c>
      <c r="E203" s="24" t="inlineStr">
        <is>
          <t>../../2018/jama.2018.14282/.ai_paper_validation/review_1_5_2/candidate_ledger.md</t>
        </is>
      </c>
    </row>
    <row r="204" ht="90" customHeight="1" s="14">
      <c r="A204" s="20" t="inlineStr">
        <is>
          <t>2018::jama.2018.17075::C001</t>
        </is>
      </c>
      <c r="B204" s="20" t="inlineStr">
        <is>
          <t>sourceLinks</t>
        </is>
      </c>
      <c r="C204" s="20" t="n">
        <v>0</v>
      </c>
      <c r="D204" s="20" t="inlineStr">
        <is>
          <t>jama_cooper_2018_oi_180132.pdf — PDF p. 5, Table 1, normothermia Injury Severity Score</t>
        </is>
      </c>
      <c r="E204" s="20" t="inlineStr">
        <is>
          <t>../../2018/jama.2018.17075/jama_cooper_2018_oi_180132.pdf#page=5</t>
        </is>
      </c>
    </row>
    <row r="205" ht="90" customHeight="1" s="14">
      <c r="A205" s="24" t="inlineStr">
        <is>
          <t>2018::jama.2018.17075::C001</t>
        </is>
      </c>
      <c r="B205" s="24" t="inlineStr">
        <is>
          <t>evidencePaths</t>
        </is>
      </c>
      <c r="C205" s="24" t="n">
        <v>0</v>
      </c>
      <c r="D205" s="24" t="inlineStr">
        <is>
          <t>2018/jama.2018.17075/.ai_paper_validation/review_1_5_2/source_inventory.md</t>
        </is>
      </c>
      <c r="E205" s="24" t="inlineStr">
        <is>
          <t>../../2018/jama.2018.17075/.ai_paper_validation/review_1_5_2/source_inventory.md</t>
        </is>
      </c>
    </row>
    <row r="206" ht="90" customHeight="1" s="14">
      <c r="A206" s="20" t="inlineStr">
        <is>
          <t>2018::jama.2018.17075::C002</t>
        </is>
      </c>
      <c r="B206" s="20" t="inlineStr">
        <is>
          <t>sourceLinks</t>
        </is>
      </c>
      <c r="C206" s="20" t="n">
        <v>0</v>
      </c>
      <c r="D206" s="20" t="inlineStr">
        <is>
          <t>jama_cooper_2018_oi_180132.pdf — PDF p. 1, abstract Results</t>
        </is>
      </c>
      <c r="E206" s="20" t="inlineStr">
        <is>
          <t>../../2018/jama.2018.17075/jama_cooper_2018_oi_180132.pdf#page=1</t>
        </is>
      </c>
    </row>
    <row r="207" ht="90" customHeight="1" s="14">
      <c r="A207" s="24" t="inlineStr">
        <is>
          <t>2018::jama.2018.17075::C002</t>
        </is>
      </c>
      <c r="B207" s="24" t="inlineStr">
        <is>
          <t>sourceLinks</t>
        </is>
      </c>
      <c r="C207" s="24" t="n">
        <v>1</v>
      </c>
      <c r="D207" s="24" t="inlineStr">
        <is>
          <t>PDF p. 5, Primary Outcome Results</t>
        </is>
      </c>
      <c r="E207" s="24" t="inlineStr">
        <is>
          <t>../../2018/jama.2018.17075/jama_cooper_2018_oi_180132.pdf#page=5</t>
        </is>
      </c>
    </row>
    <row r="208" ht="90" customHeight="1" s="14">
      <c r="A208" s="20" t="inlineStr">
        <is>
          <t>2018::jama.2018.17075::C002</t>
        </is>
      </c>
      <c r="B208" s="20" t="inlineStr">
        <is>
          <t>sourceLinks</t>
        </is>
      </c>
      <c r="C208" s="20" t="n">
        <v>2</v>
      </c>
      <c r="D208" s="20" t="inlineStr">
        <is>
          <t>PDF p. 7, Table 2 favorable outcome</t>
        </is>
      </c>
      <c r="E208" s="20" t="inlineStr">
        <is>
          <t>../../2018/jama.2018.17075/jama_cooper_2018_oi_180132.pdf#page=7</t>
        </is>
      </c>
    </row>
    <row r="209" ht="90" customHeight="1" s="14">
      <c r="A209" s="24" t="inlineStr">
        <is>
          <t>2018::jama.2018.17075::C002</t>
        </is>
      </c>
      <c r="B209" s="24" t="inlineStr">
        <is>
          <t>evidencePaths</t>
        </is>
      </c>
      <c r="C209" s="24" t="n">
        <v>0</v>
      </c>
      <c r="D209" s="24" t="inlineStr">
        <is>
          <t>2018/jama.2018.17075/.ai_paper_validation/review_1_5_2/source_inventory.md</t>
        </is>
      </c>
      <c r="E209" s="24" t="inlineStr">
        <is>
          <t>../../2018/jama.2018.17075/.ai_paper_validation/review_1_5_2/source_inventory.md</t>
        </is>
      </c>
    </row>
    <row r="210" ht="90" customHeight="1" s="14">
      <c r="A210" s="20" t="inlineStr">
        <is>
          <t>2018::jama.2018.17075::C003</t>
        </is>
      </c>
      <c r="B210" s="20" t="inlineStr">
        <is>
          <t>sourceLinks</t>
        </is>
      </c>
      <c r="C210" s="20" t="n">
        <v>0</v>
      </c>
      <c r="D210" s="20" t="inlineStr">
        <is>
          <t>jama_cooper_2018_oi_180132.pdf — PDF p. 7, Table 2, new or increased intracranial bleeding</t>
        </is>
      </c>
      <c r="E210" s="20" t="inlineStr">
        <is>
          <t>../../2018/jama.2018.17075/jama_cooper_2018_oi_180132.pdf#page=7</t>
        </is>
      </c>
    </row>
    <row r="211" ht="90" customHeight="1" s="14">
      <c r="A211" s="24" t="inlineStr">
        <is>
          <t>2018::jama.2018.17075::C003</t>
        </is>
      </c>
      <c r="B211" s="24" t="inlineStr">
        <is>
          <t>sourceLinks</t>
        </is>
      </c>
      <c r="C211" s="24" t="n">
        <v>1</v>
      </c>
      <c r="D211" s="24" t="inlineStr">
        <is>
          <t>joi180132supp2_prod.pdf — PDF p. 10, eTable 6, same outcome</t>
        </is>
      </c>
      <c r="E211" s="24" t="inlineStr">
        <is>
          <t>../../2018/jama.2018.17075/joi180132supp2_prod.pdf#page=10</t>
        </is>
      </c>
    </row>
    <row r="212" ht="90" customHeight="1" s="14">
      <c r="A212" s="20" t="inlineStr">
        <is>
          <t>2018::jama.2018.17075::C003</t>
        </is>
      </c>
      <c r="B212" s="20" t="inlineStr">
        <is>
          <t>sourceLinks</t>
        </is>
      </c>
      <c r="C212" s="20" t="n">
        <v>2</v>
      </c>
      <c r="D212" s="20" t="inlineStr">
        <is>
          <t>jama_cooper_2018_oi_180132.pdf — PDF p. 3, Statistical Analysis</t>
        </is>
      </c>
      <c r="E212" s="20" t="inlineStr">
        <is>
          <t>../../2018/jama.2018.17075/jama_cooper_2018_oi_180132.pdf#page=3</t>
        </is>
      </c>
    </row>
    <row r="213" ht="90" customHeight="1" s="14">
      <c r="A213" s="24" t="inlineStr">
        <is>
          <t>2018::jama.2018.17075::C003</t>
        </is>
      </c>
      <c r="B213" s="24" t="inlineStr">
        <is>
          <t>evidencePaths</t>
        </is>
      </c>
      <c r="C213" s="24" t="n">
        <v>0</v>
      </c>
      <c r="D213" s="24" t="inlineStr">
        <is>
          <t>2018/jama.2018.17075/.ai_paper_validation/review_1_5_2/source_inventory.md</t>
        </is>
      </c>
      <c r="E213" s="24" t="inlineStr">
        <is>
          <t>../../2018/jama.2018.17075/.ai_paper_validation/review_1_5_2/source_inventory.md</t>
        </is>
      </c>
    </row>
    <row r="214" ht="90" customHeight="1" s="14">
      <c r="A214" s="20" t="inlineStr">
        <is>
          <t>2018::jama.2018.17075::C003</t>
        </is>
      </c>
      <c r="B214" s="20" t="inlineStr">
        <is>
          <t>evidencePaths</t>
        </is>
      </c>
      <c r="C214" s="20" t="n">
        <v>1</v>
      </c>
      <c r="D214" s="20" t="inlineStr">
        <is>
          <t>2018/jama.2018.17075/.ai_paper_validation/review_1_5_2/verification/evidence_recheck.md</t>
        </is>
      </c>
      <c r="E214" s="20" t="inlineStr">
        <is>
          <t>../../2018/jama.2018.17075/.ai_paper_validation/review_1_5_2/verification/evidence_recheck.md</t>
        </is>
      </c>
    </row>
    <row r="215" ht="90" customHeight="1" s="14">
      <c r="A215" s="24" t="inlineStr">
        <is>
          <t>2018::jama.2018.17075::C004</t>
        </is>
      </c>
      <c r="B215" s="24" t="inlineStr">
        <is>
          <t>sourceLinks</t>
        </is>
      </c>
      <c r="C215" s="24" t="n">
        <v>0</v>
      </c>
      <c r="D215" s="24" t="inlineStr">
        <is>
          <t>jama_cooper_2018_oi_180132.pdf — PDF p. 7, Table 2, new significant extracranial bleeding</t>
        </is>
      </c>
      <c r="E215" s="24" t="inlineStr">
        <is>
          <t>../../2018/jama.2018.17075/jama_cooper_2018_oi_180132.pdf#page=7</t>
        </is>
      </c>
    </row>
    <row r="216" ht="90" customHeight="1" s="14">
      <c r="A216" s="20" t="inlineStr">
        <is>
          <t>2018::jama.2018.17075::C004</t>
        </is>
      </c>
      <c r="B216" s="20" t="inlineStr">
        <is>
          <t>sourceLinks</t>
        </is>
      </c>
      <c r="C216" s="20" t="n">
        <v>1</v>
      </c>
      <c r="D216" s="20" t="inlineStr">
        <is>
          <t>joi180132supp2_prod.pdf — PDF p. 10, eTable 6, same outcome</t>
        </is>
      </c>
      <c r="E216" s="20" t="inlineStr">
        <is>
          <t>../../2018/jama.2018.17075/joi180132supp2_prod.pdf#page=10</t>
        </is>
      </c>
    </row>
    <row r="217" ht="90" customHeight="1" s="14">
      <c r="A217" s="24" t="inlineStr">
        <is>
          <t>2018::jama.2018.17075::C004</t>
        </is>
      </c>
      <c r="B217" s="24" t="inlineStr">
        <is>
          <t>sourceLinks</t>
        </is>
      </c>
      <c r="C217" s="24" t="n">
        <v>2</v>
      </c>
      <c r="D217" s="24" t="inlineStr">
        <is>
          <t>jama_cooper_2018_oi_180132.pdf — PDF p. 3, Statistical Analysis</t>
        </is>
      </c>
      <c r="E217" s="24" t="inlineStr">
        <is>
          <t>../../2018/jama.2018.17075/jama_cooper_2018_oi_180132.pdf#page=3</t>
        </is>
      </c>
    </row>
    <row r="218" ht="90" customHeight="1" s="14">
      <c r="A218" s="20" t="inlineStr">
        <is>
          <t>2018::jama.2018.17075::C004</t>
        </is>
      </c>
      <c r="B218" s="20" t="inlineStr">
        <is>
          <t>evidencePaths</t>
        </is>
      </c>
      <c r="C218" s="20" t="n">
        <v>0</v>
      </c>
      <c r="D218" s="20" t="inlineStr">
        <is>
          <t>2018/jama.2018.17075/.ai_paper_validation/review_1_5_2/source_inventory.md</t>
        </is>
      </c>
      <c r="E218" s="20" t="inlineStr">
        <is>
          <t>../../2018/jama.2018.17075/.ai_paper_validation/review_1_5_2/source_inventory.md</t>
        </is>
      </c>
    </row>
    <row r="219" ht="90" customHeight="1" s="14">
      <c r="A219" s="24" t="inlineStr">
        <is>
          <t>2018::jama.2018.17075::C004</t>
        </is>
      </c>
      <c r="B219" s="24" t="inlineStr">
        <is>
          <t>evidencePaths</t>
        </is>
      </c>
      <c r="C219" s="24" t="n">
        <v>1</v>
      </c>
      <c r="D219" s="24" t="inlineStr">
        <is>
          <t>2018/jama.2018.17075/.ai_paper_validation/review_1_5_2/verification/evidence_recheck.md</t>
        </is>
      </c>
      <c r="E219" s="24" t="inlineStr">
        <is>
          <t>../../2018/jama.2018.17075/.ai_paper_validation/review_1_5_2/verification/evidence_recheck.md</t>
        </is>
      </c>
    </row>
    <row r="220" ht="90" customHeight="1" s="14">
      <c r="A220" s="20" t="inlineStr">
        <is>
          <t>2018::jama.2018.17075::C005</t>
        </is>
      </c>
      <c r="B220" s="20" t="inlineStr">
        <is>
          <t>sourceLinks</t>
        </is>
      </c>
      <c r="C220" s="20" t="n">
        <v>0</v>
      </c>
      <c r="D220" s="20" t="inlineStr">
        <is>
          <t>joi180132supp2_prod.pdf — PDF p. 18, eTable 10, CT Marshall classification, evacuated mass lesion V, normothermia</t>
        </is>
      </c>
      <c r="E220" s="20" t="inlineStr">
        <is>
          <t>../../2018/jama.2018.17075/joi180132supp2_prod.pdf#page=18</t>
        </is>
      </c>
    </row>
    <row r="221" ht="90" customHeight="1" s="14">
      <c r="A221" s="24" t="inlineStr">
        <is>
          <t>2018::jama.2018.17075::C005</t>
        </is>
      </c>
      <c r="B221" s="24" t="inlineStr">
        <is>
          <t>evidencePaths</t>
        </is>
      </c>
      <c r="C221" s="24" t="n">
        <v>0</v>
      </c>
      <c r="D221" s="24" t="inlineStr">
        <is>
          <t>2018/jama.2018.17075/.ai_paper_validation/review_1_5_2/source_inventory.md</t>
        </is>
      </c>
      <c r="E221" s="24" t="inlineStr">
        <is>
          <t>../../2018/jama.2018.17075/.ai_paper_validation/review_1_5_2/source_inventory.md</t>
        </is>
      </c>
    </row>
    <row r="222" ht="90" customHeight="1" s="14">
      <c r="A222" s="20" t="inlineStr">
        <is>
          <t>2018::jama.2018.17075::C006</t>
        </is>
      </c>
      <c r="B222" s="20" t="inlineStr">
        <is>
          <t>sourceLinks</t>
        </is>
      </c>
      <c r="C222" s="20" t="n">
        <v>0</v>
      </c>
      <c r="D222" s="20" t="inlineStr">
        <is>
          <t>joi180132supp2_prod.pdf — PDF p. 18, eTable 10, CT Marshall classification, non-evacuated mass lesion VI, normothermia</t>
        </is>
      </c>
      <c r="E222" s="20" t="inlineStr">
        <is>
          <t>../../2018/jama.2018.17075/joi180132supp2_prod.pdf#page=18</t>
        </is>
      </c>
    </row>
    <row r="223" ht="90" customHeight="1" s="14">
      <c r="A223" s="24" t="inlineStr">
        <is>
          <t>2018::jama.2018.17075::C006</t>
        </is>
      </c>
      <c r="B223" s="24" t="inlineStr">
        <is>
          <t>evidencePaths</t>
        </is>
      </c>
      <c r="C223" s="24" t="n">
        <v>0</v>
      </c>
      <c r="D223" s="24" t="inlineStr">
        <is>
          <t>2018/jama.2018.17075/.ai_paper_validation/review_1_5_2/source_inventory.md</t>
        </is>
      </c>
      <c r="E223" s="24" t="inlineStr">
        <is>
          <t>../../2018/jama.2018.17075/.ai_paper_validation/review_1_5_2/source_inventory.md</t>
        </is>
      </c>
    </row>
    <row r="224" ht="90" customHeight="1" s="14">
      <c r="A224" s="20" t="inlineStr">
        <is>
          <t>2018::jama.2018.17075::C007</t>
        </is>
      </c>
      <c r="B224" s="20" t="inlineStr">
        <is>
          <t>sourceLinks</t>
        </is>
      </c>
      <c r="C224" s="20" t="n">
        <v>0</v>
      </c>
      <c r="D224" s="20" t="inlineStr">
        <is>
          <t>joi180132supp2_prod.pdf — PDF p. 22, post-hoc adequate-cooling Results, final sentence</t>
        </is>
      </c>
      <c r="E224" s="20" t="inlineStr">
        <is>
          <t>../../2018/jama.2018.17075/joi180132supp2_prod.pdf#page=22</t>
        </is>
      </c>
    </row>
    <row r="225" ht="90" customHeight="1" s="14">
      <c r="A225" s="24" t="inlineStr">
        <is>
          <t>2018::jama.2018.17075::C007</t>
        </is>
      </c>
      <c r="B225" s="24" t="inlineStr">
        <is>
          <t>evidencePaths</t>
        </is>
      </c>
      <c r="C225" s="24" t="n">
        <v>0</v>
      </c>
      <c r="D225" s="24" t="inlineStr">
        <is>
          <t>2018/jama.2018.17075/.ai_paper_validation/review_1_5_2/source_inventory.md</t>
        </is>
      </c>
      <c r="E225" s="24" t="inlineStr">
        <is>
          <t>../../2018/jama.2018.17075/.ai_paper_validation/review_1_5_2/source_inventory.md</t>
        </is>
      </c>
    </row>
    <row r="226" ht="90" customHeight="1" s="14">
      <c r="A226" s="20" t="inlineStr">
        <is>
          <t>2018::jama.2018.17075::C008</t>
        </is>
      </c>
      <c r="B226" s="20" t="inlineStr">
        <is>
          <t>sourceLinks</t>
        </is>
      </c>
      <c r="C226" s="20" t="n">
        <v>0</v>
      </c>
      <c r="D226" s="20" t="inlineStr">
        <is>
          <t>jama_cooper_2018_oi_180132.pdf — PDF p. 1, abstract Results</t>
        </is>
      </c>
      <c r="E226" s="20" t="inlineStr">
        <is>
          <t>../../2018/jama.2018.17075/jama_cooper_2018_oi_180132.pdf#page=1</t>
        </is>
      </c>
    </row>
    <row r="227" ht="90" customHeight="1" s="14">
      <c r="A227" s="24" t="inlineStr">
        <is>
          <t>2018::jama.2018.17075::C008</t>
        </is>
      </c>
      <c r="B227" s="24" t="inlineStr">
        <is>
          <t>sourceLinks</t>
        </is>
      </c>
      <c r="C227" s="24" t="n">
        <v>1</v>
      </c>
      <c r="D227" s="24" t="inlineStr">
        <is>
          <t>PDF p. 5, Table 1, Men and Women rows</t>
        </is>
      </c>
      <c r="E227" s="24" t="inlineStr">
        <is>
          <t>../../2018/jama.2018.17075/jama_cooper_2018_oi_180132.pdf#page=5</t>
        </is>
      </c>
    </row>
    <row r="228" ht="90" customHeight="1" s="14">
      <c r="A228" s="20" t="inlineStr">
        <is>
          <t>2018::jama.2018.17075::C008</t>
        </is>
      </c>
      <c r="B228" s="20" t="inlineStr">
        <is>
          <t>evidencePaths</t>
        </is>
      </c>
      <c r="C228" s="20" t="n">
        <v>0</v>
      </c>
      <c r="D228" s="20" t="inlineStr">
        <is>
          <t>2018/jama.2018.17075/.ai_paper_validation/review_1_5_2/source_inventory.md</t>
        </is>
      </c>
      <c r="E228" s="20" t="inlineStr">
        <is>
          <t>../../2018/jama.2018.17075/.ai_paper_validation/review_1_5_2/source_inventory.md</t>
        </is>
      </c>
    </row>
    <row r="229" ht="90" customHeight="1" s="14">
      <c r="A229" s="24" t="inlineStr">
        <is>
          <t>2018::jama.2018.18020::C001</t>
        </is>
      </c>
      <c r="B229" s="24" t="inlineStr">
        <is>
          <t>sourceLinks</t>
        </is>
      </c>
      <c r="C229" s="24" t="n">
        <v>0</v>
      </c>
      <c r="D229" s="24" t="inlineStr">
        <is>
          <t>jama_stunnenberg_2018_oi_180136.pdf — PDF p. 1</t>
        </is>
      </c>
      <c r="E229" s="24" t="inlineStr">
        <is>
          <t>../../2018/jama.2018.18020/jama_stunnenberg_2018_oi_180136.pdf#page=1</t>
        </is>
      </c>
    </row>
    <row r="230" ht="90" customHeight="1" s="14">
      <c r="A230" s="20" t="inlineStr">
        <is>
          <t>2018::jama.2018.18020::C001</t>
        </is>
      </c>
      <c r="B230" s="20" t="inlineStr">
        <is>
          <t>sourceLinks</t>
        </is>
      </c>
      <c r="C230" s="20" t="n">
        <v>1</v>
      </c>
      <c r="D230" s="20" t="inlineStr">
        <is>
          <t>jama_stunnenberg_2018_oi_180136.pdf — PDF p. 4</t>
        </is>
      </c>
      <c r="E230" s="20" t="inlineStr">
        <is>
          <t>../../2018/jama.2018.18020/jama_stunnenberg_2018_oi_180136.pdf#page=4</t>
        </is>
      </c>
    </row>
    <row r="231" ht="90" customHeight="1" s="14">
      <c r="A231" s="24" t="inlineStr">
        <is>
          <t>2018::jama.2018.18020::C001</t>
        </is>
      </c>
      <c r="B231" s="24" t="inlineStr">
        <is>
          <t>evidencePaths</t>
        </is>
      </c>
      <c r="C231" s="24" t="n">
        <v>0</v>
      </c>
      <c r="D231" s="24" t="inlineStr">
        <is>
          <t>2018/jama.2018.18020/.ai_paper_validation/review_1_5_2/source_inventory.md</t>
        </is>
      </c>
      <c r="E231" s="24" t="inlineStr">
        <is>
          <t>../../2018/jama.2018.18020/.ai_paper_validation/review_1_5_2/source_inventory.md</t>
        </is>
      </c>
    </row>
    <row r="232" ht="90" customHeight="1" s="14">
      <c r="A232" s="20" t="inlineStr">
        <is>
          <t>2018::jama.2018.18020::C002</t>
        </is>
      </c>
      <c r="B232" s="20" t="inlineStr">
        <is>
          <t>sourceLinks</t>
        </is>
      </c>
      <c r="C232" s="20" t="n">
        <v>0</v>
      </c>
      <c r="D232" s="20" t="inlineStr">
        <is>
          <t>jama_stunnenberg_2018_oi_180136.pdf — PDF p. 5</t>
        </is>
      </c>
      <c r="E232" s="20" t="inlineStr">
        <is>
          <t>../../2018/jama.2018.18020/jama_stunnenberg_2018_oi_180136.pdf#page=5</t>
        </is>
      </c>
    </row>
    <row r="233" ht="90" customHeight="1" s="14">
      <c r="A233" s="24" t="inlineStr">
        <is>
          <t>2018::jama.2018.18020::C002</t>
        </is>
      </c>
      <c r="B233" s="24" t="inlineStr">
        <is>
          <t>sourceLinks</t>
        </is>
      </c>
      <c r="C233" s="24" t="n">
        <v>1</v>
      </c>
      <c r="D233" s="24" t="inlineStr">
        <is>
          <t>jama_stunnenberg_2018_oi_180136.pdf — PDF p. 8</t>
        </is>
      </c>
      <c r="E233" s="24" t="inlineStr">
        <is>
          <t>../../2018/jama.2018.18020/jama_stunnenberg_2018_oi_180136.pdf#page=8</t>
        </is>
      </c>
    </row>
    <row r="234" ht="90" customHeight="1" s="14">
      <c r="A234" s="20" t="inlineStr">
        <is>
          <t>2018::jama.2018.18020::C002</t>
        </is>
      </c>
      <c r="B234" s="20" t="inlineStr">
        <is>
          <t>evidencePaths</t>
        </is>
      </c>
      <c r="C234" s="20" t="n">
        <v>0</v>
      </c>
      <c r="D234" s="20" t="inlineStr">
        <is>
          <t>2018/jama.2018.18020/.ai_paper_validation/review_1_5_2/source_inventory.md</t>
        </is>
      </c>
      <c r="E234" s="20" t="inlineStr">
        <is>
          <t>../../2018/jama.2018.18020/.ai_paper_validation/review_1_5_2/source_inventory.md</t>
        </is>
      </c>
    </row>
    <row r="235" ht="90" customHeight="1" s="14">
      <c r="A235" s="24" t="inlineStr">
        <is>
          <t>2018::jama.2018.18020::C003</t>
        </is>
      </c>
      <c r="B235" s="24" t="inlineStr">
        <is>
          <t>sourceLinks</t>
        </is>
      </c>
      <c r="C235" s="24" t="n">
        <v>0</v>
      </c>
      <c r="D235" s="24" t="inlineStr">
        <is>
          <t>jama_stunnenberg_2018_oi_180136.pdf — PDF p. 7</t>
        </is>
      </c>
      <c r="E235" s="24" t="inlineStr">
        <is>
          <t>../../2018/jama.2018.18020/jama_stunnenberg_2018_oi_180136.pdf#page=7</t>
        </is>
      </c>
    </row>
    <row r="236" ht="90" customHeight="1" s="14">
      <c r="A236" s="20" t="inlineStr">
        <is>
          <t>2018::jama.2018.18020::C003</t>
        </is>
      </c>
      <c r="B236" s="20" t="inlineStr">
        <is>
          <t>sourceLinks</t>
        </is>
      </c>
      <c r="C236" s="20" t="n">
        <v>1</v>
      </c>
      <c r="D236" s="20" t="inlineStr">
        <is>
          <t>jama_stunnenberg_2018_oi_180136.pdf — PDF p. 8</t>
        </is>
      </c>
      <c r="E236" s="20" t="inlineStr">
        <is>
          <t>../../2018/jama.2018.18020/jama_stunnenberg_2018_oi_180136.pdf#page=8</t>
        </is>
      </c>
    </row>
    <row r="237" ht="90" customHeight="1" s="14">
      <c r="A237" s="24" t="inlineStr">
        <is>
          <t>2018::jama.2018.18020::C003</t>
        </is>
      </c>
      <c r="B237" s="24" t="inlineStr">
        <is>
          <t>evidencePaths</t>
        </is>
      </c>
      <c r="C237" s="24" t="n">
        <v>0</v>
      </c>
      <c r="D237" s="24" t="inlineStr">
        <is>
          <t>2018/jama.2018.18020/.ai_paper_validation/review_1_5_2/source_inventory.md</t>
        </is>
      </c>
      <c r="E237" s="24" t="inlineStr">
        <is>
          <t>../../2018/jama.2018.18020/.ai_paper_validation/review_1_5_2/source_inventory.md</t>
        </is>
      </c>
    </row>
    <row r="238" ht="90" customHeight="1" s="14">
      <c r="A238" s="20" t="inlineStr">
        <is>
          <t>2018::jama.2018.18020::C004</t>
        </is>
      </c>
      <c r="B238" s="20" t="inlineStr">
        <is>
          <t>sourceLinks</t>
        </is>
      </c>
      <c r="C238" s="20" t="n">
        <v>0</v>
      </c>
      <c r="D238" s="20" t="inlineStr">
        <is>
          <t>joi180136supp2_prod.pdf — PDF p. 6</t>
        </is>
      </c>
      <c r="E238" s="20" t="inlineStr">
        <is>
          <t>../../2018/jama.2018.18020/joi180136supp2_prod.pdf#page=6</t>
        </is>
      </c>
    </row>
    <row r="239" ht="90" customHeight="1" s="14">
      <c r="A239" s="24" t="inlineStr">
        <is>
          <t>2018::jama.2018.18020::C004</t>
        </is>
      </c>
      <c r="B239" s="24" t="inlineStr">
        <is>
          <t>sourceLinks</t>
        </is>
      </c>
      <c r="C239" s="24" t="n">
        <v>1</v>
      </c>
      <c r="D239" s="24" t="inlineStr">
        <is>
          <t>jama_stunnenberg_2018_oi_180136.pdf — PDF p. 8</t>
        </is>
      </c>
      <c r="E239" s="24" t="inlineStr">
        <is>
          <t>../../2018/jama.2018.18020/jama_stunnenberg_2018_oi_180136.pdf#page=8</t>
        </is>
      </c>
    </row>
    <row r="240" ht="90" customHeight="1" s="14">
      <c r="A240" s="20" t="inlineStr">
        <is>
          <t>2018::jama.2018.18020::C004</t>
        </is>
      </c>
      <c r="B240" s="20" t="inlineStr">
        <is>
          <t>evidencePaths</t>
        </is>
      </c>
      <c r="C240" s="20" t="n">
        <v>0</v>
      </c>
      <c r="D240" s="20" t="inlineStr">
        <is>
          <t>2018/jama.2018.18020/.ai_paper_validation/review_1_5_2/source_inventory.md</t>
        </is>
      </c>
      <c r="E240" s="20" t="inlineStr">
        <is>
          <t>../../2018/jama.2018.18020/.ai_paper_validation/review_1_5_2/source_inventory.md</t>
        </is>
      </c>
    </row>
    <row r="241" ht="90" customHeight="1" s="14">
      <c r="A241" s="24" t="inlineStr">
        <is>
          <t>2018::jama.2018.18020::C004</t>
        </is>
      </c>
      <c r="B241" s="24" t="inlineStr">
        <is>
          <t>evidencePaths</t>
        </is>
      </c>
      <c r="C241" s="24" t="n">
        <v>1</v>
      </c>
      <c r="D241" s="24" t="inlineStr">
        <is>
          <t>2018/jama.2018.18020/.ai_paper_validation/review_1_5_2/verification/evidence_recheck.md</t>
        </is>
      </c>
      <c r="E241" s="24" t="inlineStr">
        <is>
          <t>../../2018/jama.2018.18020/.ai_paper_validation/review_1_5_2/verification/evidence_recheck.md</t>
        </is>
      </c>
    </row>
    <row r="242" ht="90" customHeight="1" s="14">
      <c r="A242" s="20" t="inlineStr">
        <is>
          <t>2018::jama.2018.18020::C005</t>
        </is>
      </c>
      <c r="B242" s="20" t="inlineStr">
        <is>
          <t>sourceLinks</t>
        </is>
      </c>
      <c r="C242" s="20" t="n">
        <v>0</v>
      </c>
      <c r="D242" s="20" t="inlineStr">
        <is>
          <t>joi180136supp2_prod.pdf — PDF p. 11</t>
        </is>
      </c>
      <c r="E242" s="20" t="inlineStr">
        <is>
          <t>../../2018/jama.2018.18020/joi180136supp2_prod.pdf#page=11</t>
        </is>
      </c>
    </row>
    <row r="243" ht="90" customHeight="1" s="14">
      <c r="A243" s="24" t="inlineStr">
        <is>
          <t>2018::jama.2018.18020::C005</t>
        </is>
      </c>
      <c r="B243" s="24" t="inlineStr">
        <is>
          <t>sourceLinks</t>
        </is>
      </c>
      <c r="C243" s="24" t="n">
        <v>1</v>
      </c>
      <c r="D243" s="24" t="inlineStr">
        <is>
          <t>joi180136supp2_prod.pdf — PDF p. 13</t>
        </is>
      </c>
      <c r="E243" s="24" t="inlineStr">
        <is>
          <t>../../2018/jama.2018.18020/joi180136supp2_prod.pdf#page=13</t>
        </is>
      </c>
    </row>
    <row r="244" ht="90" customHeight="1" s="14">
      <c r="A244" s="20" t="inlineStr">
        <is>
          <t>2018::jama.2018.18020::C005</t>
        </is>
      </c>
      <c r="B244" s="20" t="inlineStr">
        <is>
          <t>sourceLinks</t>
        </is>
      </c>
      <c r="C244" s="20" t="n">
        <v>2</v>
      </c>
      <c r="D244" s="20" t="inlineStr">
        <is>
          <t>joi180136supp2_prod.pdf — PDF p. 14</t>
        </is>
      </c>
      <c r="E244" s="20" t="inlineStr">
        <is>
          <t>../../2018/jama.2018.18020/joi180136supp2_prod.pdf#page=14</t>
        </is>
      </c>
    </row>
    <row r="245" ht="90" customHeight="1" s="14">
      <c r="A245" s="24" t="inlineStr">
        <is>
          <t>2018::jama.2018.18020::C005</t>
        </is>
      </c>
      <c r="B245" s="24" t="inlineStr">
        <is>
          <t>evidencePaths</t>
        </is>
      </c>
      <c r="C245" s="24" t="n">
        <v>0</v>
      </c>
      <c r="D245" s="24" t="inlineStr">
        <is>
          <t>2018/jama.2018.18020/.ai_paper_validation/review_1_5_2/source_inventory.md</t>
        </is>
      </c>
      <c r="E245" s="24" t="inlineStr">
        <is>
          <t>../../2018/jama.2018.18020/.ai_paper_validation/review_1_5_2/source_inventory.md</t>
        </is>
      </c>
    </row>
    <row r="246" ht="90" customHeight="1" s="14">
      <c r="A246" s="20" t="inlineStr">
        <is>
          <t>2018::jama.2018.18020::C005</t>
        </is>
      </c>
      <c r="B246" s="20" t="inlineStr">
        <is>
          <t>evidencePaths</t>
        </is>
      </c>
      <c r="C246" s="20" t="n">
        <v>1</v>
      </c>
      <c r="D246" s="20" t="inlineStr">
        <is>
          <t>2018/jama.2018.18020/.ai_paper_validation/review_1_5_2/verification/evidence_recheck.md</t>
        </is>
      </c>
      <c r="E246" s="20" t="inlineStr">
        <is>
          <t>../../2018/jama.2018.18020/.ai_paper_validation/review_1_5_2/verification/evidence_recheck.md</t>
        </is>
      </c>
    </row>
    <row r="247" ht="90" customHeight="1" s="14">
      <c r="A247" s="24" t="inlineStr">
        <is>
          <t>2018::jama.2018.18020::C006</t>
        </is>
      </c>
      <c r="B247" s="24" t="inlineStr">
        <is>
          <t>sourceLinks</t>
        </is>
      </c>
      <c r="C247" s="24" t="n">
        <v>0</v>
      </c>
      <c r="D247" s="24" t="inlineStr">
        <is>
          <t>joi180136supp2_prod.pdf — PDF p. 13</t>
        </is>
      </c>
      <c r="E247" s="24" t="inlineStr">
        <is>
          <t>../../2018/jama.2018.18020/joi180136supp2_prod.pdf#page=13</t>
        </is>
      </c>
    </row>
    <row r="248" ht="90" customHeight="1" s="14">
      <c r="A248" s="20" t="inlineStr">
        <is>
          <t>2018::jama.2018.18020::C006</t>
        </is>
      </c>
      <c r="B248" s="20" t="inlineStr">
        <is>
          <t>sourceLinks</t>
        </is>
      </c>
      <c r="C248" s="20" t="n">
        <v>1</v>
      </c>
      <c r="D248" s="20" t="inlineStr">
        <is>
          <t>joi180136supp2_prod.pdf — PDF p. 14</t>
        </is>
      </c>
      <c r="E248" s="20" t="inlineStr">
        <is>
          <t>../../2018/jama.2018.18020/joi180136supp2_prod.pdf#page=14</t>
        </is>
      </c>
    </row>
    <row r="249" ht="90" customHeight="1" s="14">
      <c r="A249" s="24" t="inlineStr">
        <is>
          <t>2018::jama.2018.18020::C006</t>
        </is>
      </c>
      <c r="B249" s="24" t="inlineStr">
        <is>
          <t>evidencePaths</t>
        </is>
      </c>
      <c r="C249" s="24" t="n">
        <v>0</v>
      </c>
      <c r="D249" s="24" t="inlineStr">
        <is>
          <t>2018/jama.2018.18020/.ai_paper_validation/review_1_5_2/source_inventory.md</t>
        </is>
      </c>
      <c r="E249" s="24" t="inlineStr">
        <is>
          <t>../../2018/jama.2018.18020/.ai_paper_validation/review_1_5_2/source_inventory.md</t>
        </is>
      </c>
    </row>
    <row r="250" ht="90" customHeight="1" s="14">
      <c r="A250" s="20" t="inlineStr">
        <is>
          <t>2018::jama.2018.18020::C006</t>
        </is>
      </c>
      <c r="B250" s="20" t="inlineStr">
        <is>
          <t>evidencePaths</t>
        </is>
      </c>
      <c r="C250" s="20" t="n">
        <v>1</v>
      </c>
      <c r="D250" s="20" t="inlineStr">
        <is>
          <t>2018/jama.2018.18020/.ai_paper_validation/review_1_5_2/verification/evidence_recheck.md</t>
        </is>
      </c>
      <c r="E250" s="20" t="inlineStr">
        <is>
          <t>../../2018/jama.2018.18020/.ai_paper_validation/review_1_5_2/verification/evidence_recheck.md</t>
        </is>
      </c>
    </row>
    <row r="251" ht="90" customHeight="1" s="14">
      <c r="A251" s="24" t="inlineStr">
        <is>
          <t>2018::jama.2018.18020::C007</t>
        </is>
      </c>
      <c r="B251" s="24" t="inlineStr">
        <is>
          <t>sourceLinks</t>
        </is>
      </c>
      <c r="C251" s="24" t="n">
        <v>0</v>
      </c>
      <c r="D251" s="24" t="inlineStr">
        <is>
          <t>joi180136supp2_prod.pdf — PDF p. 11</t>
        </is>
      </c>
      <c r="E251" s="24" t="inlineStr">
        <is>
          <t>../../2018/jama.2018.18020/joi180136supp2_prod.pdf#page=11</t>
        </is>
      </c>
    </row>
    <row r="252" ht="90" customHeight="1" s="14">
      <c r="A252" s="20" t="inlineStr">
        <is>
          <t>2018::jama.2018.18020::C007</t>
        </is>
      </c>
      <c r="B252" s="20" t="inlineStr">
        <is>
          <t>sourceLinks</t>
        </is>
      </c>
      <c r="C252" s="20" t="n">
        <v>1</v>
      </c>
      <c r="D252" s="20" t="inlineStr">
        <is>
          <t>joi180136supp2_prod.pdf — PDF p. 12</t>
        </is>
      </c>
      <c r="E252" s="20" t="inlineStr">
        <is>
          <t>../../2018/jama.2018.18020/joi180136supp2_prod.pdf#page=12</t>
        </is>
      </c>
    </row>
    <row r="253" ht="90" customHeight="1" s="14">
      <c r="A253" s="24" t="inlineStr">
        <is>
          <t>2018::jama.2018.18020::C007</t>
        </is>
      </c>
      <c r="B253" s="24" t="inlineStr">
        <is>
          <t>sourceLinks</t>
        </is>
      </c>
      <c r="C253" s="24" t="n">
        <v>2</v>
      </c>
      <c r="D253" s="24" t="inlineStr">
        <is>
          <t>joi180136supp2_prod.pdf — PDF p. 13</t>
        </is>
      </c>
      <c r="E253" s="24" t="inlineStr">
        <is>
          <t>../../2018/jama.2018.18020/joi180136supp2_prod.pdf#page=13</t>
        </is>
      </c>
    </row>
    <row r="254" ht="90" customHeight="1" s="14">
      <c r="A254" s="20" t="inlineStr">
        <is>
          <t>2018::jama.2018.18020::C007</t>
        </is>
      </c>
      <c r="B254" s="20" t="inlineStr">
        <is>
          <t>sourceLinks</t>
        </is>
      </c>
      <c r="C254" s="20" t="n">
        <v>3</v>
      </c>
      <c r="D254" s="20" t="inlineStr">
        <is>
          <t>joi180136supp2_prod.pdf — PDF p. 14</t>
        </is>
      </c>
      <c r="E254" s="20" t="inlineStr">
        <is>
          <t>../../2018/jama.2018.18020/joi180136supp2_prod.pdf#page=14</t>
        </is>
      </c>
    </row>
    <row r="255" ht="90" customHeight="1" s="14">
      <c r="A255" s="24" t="inlineStr">
        <is>
          <t>2018::jama.2018.18020::C007</t>
        </is>
      </c>
      <c r="B255" s="24" t="inlineStr">
        <is>
          <t>evidencePaths</t>
        </is>
      </c>
      <c r="C255" s="24" t="n">
        <v>0</v>
      </c>
      <c r="D255" s="24" t="inlineStr">
        <is>
          <t>2018/jama.2018.18020/.ai_paper_validation/review_1_5_2/source_inventory.md</t>
        </is>
      </c>
      <c r="E255" s="24" t="inlineStr">
        <is>
          <t>../../2018/jama.2018.18020/.ai_paper_validation/review_1_5_2/source_inventory.md</t>
        </is>
      </c>
    </row>
    <row r="256" ht="90" customHeight="1" s="14">
      <c r="A256" s="20" t="inlineStr">
        <is>
          <t>2018::jama.2018.18020::C007</t>
        </is>
      </c>
      <c r="B256" s="20" t="inlineStr">
        <is>
          <t>evidencePaths</t>
        </is>
      </c>
      <c r="C256" s="20" t="n">
        <v>1</v>
      </c>
      <c r="D256" s="20" t="inlineStr">
        <is>
          <t>2018/jama.2018.18020/.ai_paper_validation/review_1_5_2/verification/evidence_recheck.md</t>
        </is>
      </c>
      <c r="E256" s="20" t="inlineStr">
        <is>
          <t>../../2018/jama.2018.18020/.ai_paper_validation/review_1_5_2/verification/evidence_recheck.md</t>
        </is>
      </c>
    </row>
    <row r="257" ht="90" customHeight="1" s="14">
      <c r="A257" s="24" t="inlineStr">
        <is>
          <t>2018::jama.2018.18020::C008</t>
        </is>
      </c>
      <c r="B257" s="24" t="inlineStr">
        <is>
          <t>sourceLinks</t>
        </is>
      </c>
      <c r="C257" s="24" t="n">
        <v>0</v>
      </c>
      <c r="D257" s="24" t="inlineStr">
        <is>
          <t>jama_stunnenberg_2018_oi_180136.pdf — PDF p. 4</t>
        </is>
      </c>
      <c r="E257" s="24" t="inlineStr">
        <is>
          <t>../../2018/jama.2018.18020/jama_stunnenberg_2018_oi_180136.pdf#page=4</t>
        </is>
      </c>
    </row>
    <row r="258" ht="90" customHeight="1" s="14">
      <c r="A258" s="20" t="inlineStr">
        <is>
          <t>2018::jama.2018.18020::C008</t>
        </is>
      </c>
      <c r="B258" s="20" t="inlineStr">
        <is>
          <t>sourceLinks</t>
        </is>
      </c>
      <c r="C258" s="20" t="n">
        <v>1</v>
      </c>
      <c r="D258" s="20" t="inlineStr">
        <is>
          <t>jama_stunnenberg_2018_oi_180136.pdf — PDF p. 5</t>
        </is>
      </c>
      <c r="E258" s="20" t="inlineStr">
        <is>
          <t>../../2018/jama.2018.18020/jama_stunnenberg_2018_oi_180136.pdf#page=5</t>
        </is>
      </c>
    </row>
    <row r="259" ht="90" customHeight="1" s="14">
      <c r="A259" s="24" t="inlineStr">
        <is>
          <t>2018::jama.2018.18020::C008</t>
        </is>
      </c>
      <c r="B259" s="24" t="inlineStr">
        <is>
          <t>sourceLinks</t>
        </is>
      </c>
      <c r="C259" s="24" t="n">
        <v>2</v>
      </c>
      <c r="D259" s="24" t="inlineStr">
        <is>
          <t>jama_stunnenberg_2018_oi_180136.pdf — PDF p. 6</t>
        </is>
      </c>
      <c r="E259" s="24" t="inlineStr">
        <is>
          <t>../../2018/jama.2018.18020/jama_stunnenberg_2018_oi_180136.pdf#page=6</t>
        </is>
      </c>
    </row>
    <row r="260" ht="90" customHeight="1" s="14">
      <c r="A260" s="20" t="inlineStr">
        <is>
          <t>2018::jama.2018.18020::C008</t>
        </is>
      </c>
      <c r="B260" s="20" t="inlineStr">
        <is>
          <t>sourceLinks</t>
        </is>
      </c>
      <c r="C260" s="20" t="n">
        <v>3</v>
      </c>
      <c r="D260" s="20" t="inlineStr">
        <is>
          <t>joi180136supp2_prod.pdf — PDF p. 4</t>
        </is>
      </c>
      <c r="E260" s="20" t="inlineStr">
        <is>
          <t>../../2018/jama.2018.18020/joi180136supp2_prod.pdf#page=4</t>
        </is>
      </c>
    </row>
    <row r="261" ht="90" customHeight="1" s="14">
      <c r="A261" s="24" t="inlineStr">
        <is>
          <t>2018::jama.2018.18020::C008</t>
        </is>
      </c>
      <c r="B261" s="24" t="inlineStr">
        <is>
          <t>evidencePaths</t>
        </is>
      </c>
      <c r="C261" s="24" t="n">
        <v>0</v>
      </c>
      <c r="D261" s="24" t="inlineStr">
        <is>
          <t>2018/jama.2018.18020/.ai_paper_validation/review_1_5_2/source_inventory.md</t>
        </is>
      </c>
      <c r="E261" s="24" t="inlineStr">
        <is>
          <t>../../2018/jama.2018.18020/.ai_paper_validation/review_1_5_2/source_inventory.md</t>
        </is>
      </c>
    </row>
    <row r="262" ht="90" customHeight="1" s="14">
      <c r="A262" s="20" t="inlineStr">
        <is>
          <t>2018::jama.2018.18020::C008</t>
        </is>
      </c>
      <c r="B262" s="20" t="inlineStr">
        <is>
          <t>evidencePaths</t>
        </is>
      </c>
      <c r="C262" s="20" t="n">
        <v>1</v>
      </c>
      <c r="D262" s="20" t="inlineStr">
        <is>
          <t>2018/jama.2018.18020/.ai_paper_validation/review_1_5_2/verification/evidence_recheck.md</t>
        </is>
      </c>
      <c r="E262" s="20" t="inlineStr">
        <is>
          <t>../../2018/jama.2018.18020/.ai_paper_validation/review_1_5_2/verification/evidence_recheck.md</t>
        </is>
      </c>
    </row>
    <row r="263" ht="90" customHeight="1" s="14">
      <c r="A263" s="24" t="inlineStr">
        <is>
          <t>2018::jama.2018.18020::C009</t>
        </is>
      </c>
      <c r="B263" s="24" t="inlineStr">
        <is>
          <t>sourceLinks</t>
        </is>
      </c>
      <c r="C263" s="24" t="n">
        <v>0</v>
      </c>
      <c r="D263" s="24" t="inlineStr">
        <is>
          <t>jama_stunnenberg_2018_oi_180136.pdf — PDF p. 7</t>
        </is>
      </c>
      <c r="E263" s="24" t="inlineStr">
        <is>
          <t>../../2018/jama.2018.18020/jama_stunnenberg_2018_oi_180136.pdf#page=7</t>
        </is>
      </c>
    </row>
    <row r="264" ht="90" customHeight="1" s="14">
      <c r="A264" s="20" t="inlineStr">
        <is>
          <t>2018::jama.2018.18020::C009</t>
        </is>
      </c>
      <c r="B264" s="20" t="inlineStr">
        <is>
          <t>sourceLinks</t>
        </is>
      </c>
      <c r="C264" s="20" t="n">
        <v>1</v>
      </c>
      <c r="D264" s="20" t="inlineStr">
        <is>
          <t>jama_stunnenberg_2018_oi_180136.pdf — PDF p. 3</t>
        </is>
      </c>
      <c r="E264" s="20" t="inlineStr">
        <is>
          <t>../../2018/jama.2018.18020/jama_stunnenberg_2018_oi_180136.pdf#page=3</t>
        </is>
      </c>
    </row>
    <row r="265" ht="90" customHeight="1" s="14">
      <c r="A265" s="24" t="inlineStr">
        <is>
          <t>2018::jama.2018.18020::C009</t>
        </is>
      </c>
      <c r="B265" s="24" t="inlineStr">
        <is>
          <t>sourceLinks</t>
        </is>
      </c>
      <c r="C265" s="24" t="n">
        <v>2</v>
      </c>
      <c r="D265" s="24" t="inlineStr">
        <is>
          <t>jama_stunnenberg_2018_oi_180136.pdf — PDF p. 4</t>
        </is>
      </c>
      <c r="E265" s="24" t="inlineStr">
        <is>
          <t>../../2018/jama.2018.18020/jama_stunnenberg_2018_oi_180136.pdf#page=4</t>
        </is>
      </c>
    </row>
    <row r="266" ht="90" customHeight="1" s="14">
      <c r="A266" s="20" t="inlineStr">
        <is>
          <t>2018::jama.2018.18020::C009</t>
        </is>
      </c>
      <c r="B266" s="20" t="inlineStr">
        <is>
          <t>evidencePaths</t>
        </is>
      </c>
      <c r="C266" s="20" t="n">
        <v>0</v>
      </c>
      <c r="D266" s="20" t="inlineStr">
        <is>
          <t>2018/jama.2018.18020/.ai_paper_validation/review_1_5_2/source_inventory.md</t>
        </is>
      </c>
      <c r="E266" s="20" t="inlineStr">
        <is>
          <t>../../2018/jama.2018.18020/.ai_paper_validation/review_1_5_2/source_inventory.md</t>
        </is>
      </c>
    </row>
    <row r="267" ht="90" customHeight="1" s="14">
      <c r="A267" s="24" t="inlineStr">
        <is>
          <t>2018::jama.2018.18020::C010</t>
        </is>
      </c>
      <c r="B267" s="24" t="inlineStr">
        <is>
          <t>sourceLinks</t>
        </is>
      </c>
      <c r="C267" s="24" t="n">
        <v>0</v>
      </c>
      <c r="D267" s="24" t="inlineStr">
        <is>
          <t>jama_stunnenberg_2018_oi_180136.pdf — PDF p. 7</t>
        </is>
      </c>
      <c r="E267" s="24" t="inlineStr">
        <is>
          <t>../../2018/jama.2018.18020/jama_stunnenberg_2018_oi_180136.pdf#page=7</t>
        </is>
      </c>
    </row>
    <row r="268" ht="90" customHeight="1" s="14">
      <c r="A268" s="20" t="inlineStr">
        <is>
          <t>2018::jama.2018.18020::C010</t>
        </is>
      </c>
      <c r="B268" s="20" t="inlineStr">
        <is>
          <t>sourceLinks</t>
        </is>
      </c>
      <c r="C268" s="20" t="n">
        <v>1</v>
      </c>
      <c r="D268" s="20" t="inlineStr">
        <is>
          <t>jama_stunnenberg_2018_oi_180136.pdf — PDF p. 8</t>
        </is>
      </c>
      <c r="E268" s="20" t="inlineStr">
        <is>
          <t>../../2018/jama.2018.18020/jama_stunnenberg_2018_oi_180136.pdf#page=8</t>
        </is>
      </c>
    </row>
    <row r="269" ht="90" customHeight="1" s="14">
      <c r="A269" s="24" t="inlineStr">
        <is>
          <t>2018::jama.2018.18020::C010</t>
        </is>
      </c>
      <c r="B269" s="24" t="inlineStr">
        <is>
          <t>sourceLinks</t>
        </is>
      </c>
      <c r="C269" s="24" t="n">
        <v>2</v>
      </c>
      <c r="D269" s="24" t="inlineStr">
        <is>
          <t>jama_stunnenberg_2018_oi_180136.pdf — PDF p. 3</t>
        </is>
      </c>
      <c r="E269" s="24" t="inlineStr">
        <is>
          <t>../../2018/jama.2018.18020/jama_stunnenberg_2018_oi_180136.pdf#page=3</t>
        </is>
      </c>
    </row>
    <row r="270" ht="90" customHeight="1" s="14">
      <c r="A270" s="20" t="inlineStr">
        <is>
          <t>2018::jama.2018.18020::C010</t>
        </is>
      </c>
      <c r="B270" s="20" t="inlineStr">
        <is>
          <t>sourceLinks</t>
        </is>
      </c>
      <c r="C270" s="20" t="n">
        <v>3</v>
      </c>
      <c r="D270" s="20" t="inlineStr">
        <is>
          <t>jama_stunnenberg_2018_oi_180136.pdf — PDF p. 4</t>
        </is>
      </c>
      <c r="E270" s="20" t="inlineStr">
        <is>
          <t>../../2018/jama.2018.18020/jama_stunnenberg_2018_oi_180136.pdf#page=4</t>
        </is>
      </c>
    </row>
    <row r="271" ht="90" customHeight="1" s="14">
      <c r="A271" s="24" t="inlineStr">
        <is>
          <t>2018::jama.2018.18020::C010</t>
        </is>
      </c>
      <c r="B271" s="24" t="inlineStr">
        <is>
          <t>evidencePaths</t>
        </is>
      </c>
      <c r="C271" s="24" t="n">
        <v>0</v>
      </c>
      <c r="D271" s="24" t="inlineStr">
        <is>
          <t>2018/jama.2018.18020/.ai_paper_validation/review_1_5_2/source_inventory.md</t>
        </is>
      </c>
      <c r="E271" s="24" t="inlineStr">
        <is>
          <t>../../2018/jama.2018.18020/.ai_paper_validation/review_1_5_2/source_inventory.md</t>
        </is>
      </c>
    </row>
    <row r="272" ht="90" customHeight="1" s="14">
      <c r="A272" s="20" t="inlineStr">
        <is>
          <t>2018::jama.2018.18020::C011</t>
        </is>
      </c>
      <c r="B272" s="20" t="inlineStr">
        <is>
          <t>sourceLinks</t>
        </is>
      </c>
      <c r="C272" s="20" t="n">
        <v>0</v>
      </c>
      <c r="D272" s="20" t="inlineStr">
        <is>
          <t>jama_stunnenberg_2018_oi_180136.pdf — PDF p. 7</t>
        </is>
      </c>
      <c r="E272" s="20" t="inlineStr">
        <is>
          <t>../../2018/jama.2018.18020/jama_stunnenberg_2018_oi_180136.pdf#page=7</t>
        </is>
      </c>
    </row>
    <row r="273" ht="90" customHeight="1" s="14">
      <c r="A273" s="24" t="inlineStr">
        <is>
          <t>2018::jama.2018.18020::C011</t>
        </is>
      </c>
      <c r="B273" s="24" t="inlineStr">
        <is>
          <t>sourceLinks</t>
        </is>
      </c>
      <c r="C273" s="24" t="n">
        <v>1</v>
      </c>
      <c r="D273" s="24" t="inlineStr">
        <is>
          <t>jama_stunnenberg_2018_oi_180136.pdf — PDF p. 6</t>
        </is>
      </c>
      <c r="E273" s="24" t="inlineStr">
        <is>
          <t>../../2018/jama.2018.18020/jama_stunnenberg_2018_oi_180136.pdf#page=6</t>
        </is>
      </c>
    </row>
    <row r="274" ht="90" customHeight="1" s="14">
      <c r="A274" s="20" t="inlineStr">
        <is>
          <t>2018::jama.2018.18020::C011</t>
        </is>
      </c>
      <c r="B274" s="20" t="inlineStr">
        <is>
          <t>sourceLinks</t>
        </is>
      </c>
      <c r="C274" s="20" t="n">
        <v>2</v>
      </c>
      <c r="D274" s="20" t="inlineStr">
        <is>
          <t>jama_stunnenberg_2018_oi_180136.pdf — PDF p. 8</t>
        </is>
      </c>
      <c r="E274" s="20" t="inlineStr">
        <is>
          <t>../../2018/jama.2018.18020/jama_stunnenberg_2018_oi_180136.pdf#page=8</t>
        </is>
      </c>
    </row>
    <row r="275" ht="90" customHeight="1" s="14">
      <c r="A275" s="24" t="inlineStr">
        <is>
          <t>2018::jama.2018.18020::C011</t>
        </is>
      </c>
      <c r="B275" s="24" t="inlineStr">
        <is>
          <t>sourceLinks</t>
        </is>
      </c>
      <c r="C275" s="24" t="n">
        <v>3</v>
      </c>
      <c r="D275" s="24" t="inlineStr">
        <is>
          <t>jama_stunnenberg_2018_oi_180136.pdf — PDF p. 3</t>
        </is>
      </c>
      <c r="E275" s="24" t="inlineStr">
        <is>
          <t>../../2018/jama.2018.18020/jama_stunnenberg_2018_oi_180136.pdf#page=3</t>
        </is>
      </c>
    </row>
    <row r="276" ht="90" customHeight="1" s="14">
      <c r="A276" s="20" t="inlineStr">
        <is>
          <t>2018::jama.2018.18020::C011</t>
        </is>
      </c>
      <c r="B276" s="20" t="inlineStr">
        <is>
          <t>sourceLinks</t>
        </is>
      </c>
      <c r="C276" s="20" t="n">
        <v>4</v>
      </c>
      <c r="D276" s="20" t="inlineStr">
        <is>
          <t>jama_stunnenberg_2018_oi_180136.pdf — PDF p. 4</t>
        </is>
      </c>
      <c r="E276" s="20" t="inlineStr">
        <is>
          <t>../../2018/jama.2018.18020/jama_stunnenberg_2018_oi_180136.pdf#page=4</t>
        </is>
      </c>
    </row>
    <row r="277" ht="90" customHeight="1" s="14">
      <c r="A277" s="24" t="inlineStr">
        <is>
          <t>2018::jama.2018.18020::C011</t>
        </is>
      </c>
      <c r="B277" s="24" t="inlineStr">
        <is>
          <t>evidencePaths</t>
        </is>
      </c>
      <c r="C277" s="24" t="n">
        <v>0</v>
      </c>
      <c r="D277" s="24" t="inlineStr">
        <is>
          <t>2018/jama.2018.18020/.ai_paper_validation/review_1_5_2/source_inventory.md</t>
        </is>
      </c>
      <c r="E277" s="24" t="inlineStr">
        <is>
          <t>../../2018/jama.2018.18020/.ai_paper_validation/review_1_5_2/source_inventory.md</t>
        </is>
      </c>
    </row>
    <row r="278" ht="90" customHeight="1" s="14">
      <c r="A278" s="20" t="inlineStr">
        <is>
          <t>2018::jama.2018.18020::C012</t>
        </is>
      </c>
      <c r="B278" s="20" t="inlineStr">
        <is>
          <t>sourceLinks</t>
        </is>
      </c>
      <c r="C278" s="20" t="n">
        <v>0</v>
      </c>
      <c r="D278" s="20" t="inlineStr">
        <is>
          <t>jama_stunnenberg_2018_oi_180136.pdf — PDF p. 8</t>
        </is>
      </c>
      <c r="E278" s="20" t="inlineStr">
        <is>
          <t>../../2018/jama.2018.18020/jama_stunnenberg_2018_oi_180136.pdf#page=8</t>
        </is>
      </c>
    </row>
    <row r="279" ht="90" customHeight="1" s="14">
      <c r="A279" s="24" t="inlineStr">
        <is>
          <t>2018::jama.2018.18020::C012</t>
        </is>
      </c>
      <c r="B279" s="24" t="inlineStr">
        <is>
          <t>sourceLinks</t>
        </is>
      </c>
      <c r="C279" s="24" t="n">
        <v>1</v>
      </c>
      <c r="D279" s="24" t="inlineStr">
        <is>
          <t>jama_stunnenberg_2018_oi_180136.pdf — PDF p. 3</t>
        </is>
      </c>
      <c r="E279" s="24" t="inlineStr">
        <is>
          <t>../../2018/jama.2018.18020/jama_stunnenberg_2018_oi_180136.pdf#page=3</t>
        </is>
      </c>
    </row>
    <row r="280" ht="90" customHeight="1" s="14">
      <c r="A280" s="20" t="inlineStr">
        <is>
          <t>2018::jama.2018.18020::C012</t>
        </is>
      </c>
      <c r="B280" s="20" t="inlineStr">
        <is>
          <t>sourceLinks</t>
        </is>
      </c>
      <c r="C280" s="20" t="n">
        <v>2</v>
      </c>
      <c r="D280" s="20" t="inlineStr">
        <is>
          <t>jama_stunnenberg_2018_oi_180136.pdf — PDF p. 4</t>
        </is>
      </c>
      <c r="E280" s="20" t="inlineStr">
        <is>
          <t>../../2018/jama.2018.18020/jama_stunnenberg_2018_oi_180136.pdf#page=4</t>
        </is>
      </c>
    </row>
    <row r="281" ht="90" customHeight="1" s="14">
      <c r="A281" s="24" t="inlineStr">
        <is>
          <t>2018::jama.2018.18020::C012</t>
        </is>
      </c>
      <c r="B281" s="24" t="inlineStr">
        <is>
          <t>evidencePaths</t>
        </is>
      </c>
      <c r="C281" s="24" t="n">
        <v>0</v>
      </c>
      <c r="D281" s="24" t="inlineStr">
        <is>
          <t>2018/jama.2018.18020/.ai_paper_validation/review_1_5_2/source_inventory.md</t>
        </is>
      </c>
      <c r="E281" s="24" t="inlineStr">
        <is>
          <t>../../2018/jama.2018.18020/.ai_paper_validation/review_1_5_2/source_inventory.md</t>
        </is>
      </c>
    </row>
    <row r="282" ht="90" customHeight="1" s="14">
      <c r="A282" s="20" t="inlineStr">
        <is>
          <t>2018::jama.2018.18020::C013</t>
        </is>
      </c>
      <c r="B282" s="20" t="inlineStr">
        <is>
          <t>sourceLinks</t>
        </is>
      </c>
      <c r="C282" s="20" t="n">
        <v>0</v>
      </c>
      <c r="D282" s="20" t="inlineStr">
        <is>
          <t>jama_stunnenberg_2018_oi_180136.pdf — PDF p. 7</t>
        </is>
      </c>
      <c r="E282" s="20" t="inlineStr">
        <is>
          <t>../../2018/jama.2018.18020/jama_stunnenberg_2018_oi_180136.pdf#page=7</t>
        </is>
      </c>
    </row>
    <row r="283" ht="90" customHeight="1" s="14">
      <c r="A283" s="24" t="inlineStr">
        <is>
          <t>2018::jama.2018.18020::C013</t>
        </is>
      </c>
      <c r="B283" s="24" t="inlineStr">
        <is>
          <t>evidencePaths</t>
        </is>
      </c>
      <c r="C283" s="24" t="n">
        <v>0</v>
      </c>
      <c r="D283" s="24" t="inlineStr">
        <is>
          <t>2018/jama.2018.18020/.ai_paper_validation/review_1_5_2/source_inventory.md</t>
        </is>
      </c>
      <c r="E283" s="24" t="inlineStr">
        <is>
          <t>../../2018/jama.2018.18020/.ai_paper_validation/review_1_5_2/source_inventory.md</t>
        </is>
      </c>
    </row>
    <row r="284" ht="90" customHeight="1" s="14">
      <c r="A284" s="20" t="inlineStr">
        <is>
          <t>2018::jama.2018.18020::C014</t>
        </is>
      </c>
      <c r="B284" s="20" t="inlineStr">
        <is>
          <t>sourceLinks</t>
        </is>
      </c>
      <c r="C284" s="20" t="n">
        <v>0</v>
      </c>
      <c r="D284" s="20" t="inlineStr">
        <is>
          <t>jama_stunnenberg_2018_oi_180136.pdf — PDF p. 7</t>
        </is>
      </c>
      <c r="E284" s="20" t="inlineStr">
        <is>
          <t>../../2018/jama.2018.18020/jama_stunnenberg_2018_oi_180136.pdf#page=7</t>
        </is>
      </c>
    </row>
    <row r="285" ht="90" customHeight="1" s="14">
      <c r="A285" s="24" t="inlineStr">
        <is>
          <t>2018::jama.2018.18020::C014</t>
        </is>
      </c>
      <c r="B285" s="24" t="inlineStr">
        <is>
          <t>evidencePaths</t>
        </is>
      </c>
      <c r="C285" s="24" t="n">
        <v>0</v>
      </c>
      <c r="D285" s="24" t="inlineStr">
        <is>
          <t>2018/jama.2018.18020/.ai_paper_validation/review_1_5_2/source_inventory.md</t>
        </is>
      </c>
      <c r="E285" s="24" t="inlineStr">
        <is>
          <t>../../2018/jama.2018.18020/.ai_paper_validation/review_1_5_2/source_inventory.md</t>
        </is>
      </c>
    </row>
    <row r="286" ht="90" customHeight="1" s="14">
      <c r="A286" s="20" t="inlineStr">
        <is>
          <t>2018::jama.2018.6496::C001</t>
        </is>
      </c>
      <c r="B286" s="20" t="inlineStr">
        <is>
          <t>sourceLinks</t>
        </is>
      </c>
      <c r="C286" s="20" t="n">
        <v>0</v>
      </c>
      <c r="D286" s="20" t="inlineStr">
        <is>
          <t>DOC-001 Table 3 — PDF p. 7</t>
        </is>
      </c>
      <c r="E286" s="20" t="inlineStr">
        <is>
          <t>../../2018/jama.2018.6496/jama_driver_2018_oi_180054.pdf#page=7</t>
        </is>
      </c>
    </row>
    <row r="287" ht="90" customHeight="1" s="14">
      <c r="A287" s="24" t="inlineStr">
        <is>
          <t>2018::jama.2018.6496::C001</t>
        </is>
      </c>
      <c r="B287" s="24" t="inlineStr">
        <is>
          <t>sourceLinks</t>
        </is>
      </c>
      <c r="C287" s="24" t="n">
        <v>1</v>
      </c>
      <c r="D287" s="24" t="inlineStr">
        <is>
          <t>DOC-003 eTable 1 — PDF p. 2</t>
        </is>
      </c>
      <c r="E287" s="24" t="inlineStr">
        <is>
          <t>../../2018/jama.2018.6496/joi180054supp2_prod.pdf#page=2</t>
        </is>
      </c>
    </row>
    <row r="288" ht="90" customHeight="1" s="14">
      <c r="A288" s="20" t="inlineStr">
        <is>
          <t>2018::jama.2018.6496::C001</t>
        </is>
      </c>
      <c r="B288" s="20" t="inlineStr">
        <is>
          <t>sourceLinks</t>
        </is>
      </c>
      <c r="C288" s="20" t="n">
        <v>2</v>
      </c>
      <c r="D288" s="20" t="inlineStr">
        <is>
          <t>DOC-003 eTable 1 note — PDF p. 3</t>
        </is>
      </c>
      <c r="E288" s="20" t="inlineStr">
        <is>
          <t>../../2018/jama.2018.6496/joi180054supp2_prod.pdf#page=3</t>
        </is>
      </c>
    </row>
    <row r="289" ht="90" customHeight="1" s="14">
      <c r="A289" s="24" t="inlineStr">
        <is>
          <t>2018::jama.2018.6496::C001</t>
        </is>
      </c>
      <c r="B289" s="24" t="inlineStr">
        <is>
          <t>sourceLinks</t>
        </is>
      </c>
      <c r="C289" s="24" t="n">
        <v>3</v>
      </c>
      <c r="D289" s="24" t="inlineStr">
        <is>
          <t>DOC-001 statistical-analysis methods — PDF p. 4</t>
        </is>
      </c>
      <c r="E289" s="24" t="inlineStr">
        <is>
          <t>../../2018/jama.2018.6496/jama_driver_2018_oi_180054.pdf#page=4</t>
        </is>
      </c>
    </row>
    <row r="290" ht="90" customHeight="1" s="14">
      <c r="A290" s="20" t="inlineStr">
        <is>
          <t>2018::jama.2018.6496::C001</t>
        </is>
      </c>
      <c r="B290" s="20" t="inlineStr">
        <is>
          <t>evidencePaths</t>
        </is>
      </c>
      <c r="C290" s="20" t="n">
        <v>0</v>
      </c>
      <c r="D290" s="20" t="inlineStr">
        <is>
          <t>2018/jama.2018.6496/.ai_paper_validation/review_1_5_2/source_inventory.md</t>
        </is>
      </c>
      <c r="E290" s="20" t="inlineStr">
        <is>
          <t>../../2018/jama.2018.6496/.ai_paper_validation/review_1_5_2/source_inventory.md</t>
        </is>
      </c>
    </row>
    <row r="291" ht="90" customHeight="1" s="14">
      <c r="A291" s="24" t="inlineStr">
        <is>
          <t>2018::jama.2018.6496::C001</t>
        </is>
      </c>
      <c r="B291" s="24" t="inlineStr">
        <is>
          <t>evidencePaths</t>
        </is>
      </c>
      <c r="C291" s="24" t="n">
        <v>1</v>
      </c>
      <c r="D291" s="24" t="inlineStr">
        <is>
          <t>2018/jama.2018.6496/.ai_paper_validation/review_1_5_2/verification/evidence_recheck.md</t>
        </is>
      </c>
      <c r="E291" s="24" t="inlineStr">
        <is>
          <t>../../2018/jama.2018.6496/.ai_paper_validation/review_1_5_2/verification/evidence_recheck.md</t>
        </is>
      </c>
    </row>
    <row r="292" ht="90" customHeight="1" s="14">
      <c r="A292" s="20" t="inlineStr">
        <is>
          <t>2018::jama.2018.6496::C002</t>
        </is>
      </c>
      <c r="B292" s="20" t="inlineStr">
        <is>
          <t>sourceLinks</t>
        </is>
      </c>
      <c r="C292" s="20" t="n">
        <v>0</v>
      </c>
      <c r="D292" s="20" t="inlineStr">
        <is>
          <t>DOC-001 Table 3 — PDF p. 7</t>
        </is>
      </c>
      <c r="E292" s="20" t="inlineStr">
        <is>
          <t>../../2018/jama.2018.6496/jama_driver_2018_oi_180054.pdf#page=7</t>
        </is>
      </c>
    </row>
    <row r="293" ht="90" customHeight="1" s="14">
      <c r="A293" s="24" t="inlineStr">
        <is>
          <t>2018::jama.2018.6496::C002</t>
        </is>
      </c>
      <c r="B293" s="24" t="inlineStr">
        <is>
          <t>sourceLinks</t>
        </is>
      </c>
      <c r="C293" s="24" t="n">
        <v>1</v>
      </c>
      <c r="D293" s="24" t="inlineStr">
        <is>
          <t>DOC-001 Table 5 — PDF p. 9</t>
        </is>
      </c>
      <c r="E293" s="24" t="inlineStr">
        <is>
          <t>../../2018/jama.2018.6496/jama_driver_2018_oi_180054.pdf#page=9</t>
        </is>
      </c>
    </row>
    <row r="294" ht="90" customHeight="1" s="14">
      <c r="A294" s="20" t="inlineStr">
        <is>
          <t>2018::jama.2018.6496::C002</t>
        </is>
      </c>
      <c r="B294" s="20" t="inlineStr">
        <is>
          <t>sourceLinks</t>
        </is>
      </c>
      <c r="C294" s="20" t="n">
        <v>2</v>
      </c>
      <c r="D294" s="20" t="inlineStr">
        <is>
          <t>DOC-002 protocol secondary outcomes — PDF p. 9</t>
        </is>
      </c>
      <c r="E294" s="20" t="inlineStr">
        <is>
          <t>../../2018/jama.2018.6496/joi180054supp1_prod.pdf#page=9</t>
        </is>
      </c>
    </row>
    <row r="295" ht="90" customHeight="1" s="14">
      <c r="A295" s="24" t="inlineStr">
        <is>
          <t>2018::jama.2018.6496::C002</t>
        </is>
      </c>
      <c r="B295" s="24" t="inlineStr">
        <is>
          <t>sourceLinks</t>
        </is>
      </c>
      <c r="C295" s="24" t="n">
        <v>3</v>
      </c>
      <c r="D295" s="24" t="inlineStr">
        <is>
          <t>DOC-002 analytic issues — PDF p. 21</t>
        </is>
      </c>
      <c r="E295" s="24" t="inlineStr">
        <is>
          <t>../../2018/jama.2018.6496/joi180054supp1_prod.pdf#page=21</t>
        </is>
      </c>
    </row>
    <row r="296" ht="90" customHeight="1" s="14">
      <c r="A296" s="20" t="inlineStr">
        <is>
          <t>2018::jama.2018.6496::C002</t>
        </is>
      </c>
      <c r="B296" s="20" t="inlineStr">
        <is>
          <t>evidencePaths</t>
        </is>
      </c>
      <c r="C296" s="20" t="n">
        <v>0</v>
      </c>
      <c r="D296" s="20" t="inlineStr">
        <is>
          <t>2018/jama.2018.6496/.ai_paper_validation/review_1_5_2/source_inventory.md</t>
        </is>
      </c>
      <c r="E296" s="20" t="inlineStr">
        <is>
          <t>../../2018/jama.2018.6496/.ai_paper_validation/review_1_5_2/source_inventory.md</t>
        </is>
      </c>
    </row>
    <row r="297" ht="90" customHeight="1" s="14">
      <c r="A297" s="24" t="inlineStr">
        <is>
          <t>2018::jama.2018.6496::C002</t>
        </is>
      </c>
      <c r="B297" s="24" t="inlineStr">
        <is>
          <t>evidencePaths</t>
        </is>
      </c>
      <c r="C297" s="24" t="n">
        <v>1</v>
      </c>
      <c r="D297" s="24" t="inlineStr">
        <is>
          <t>2018/jama.2018.6496/.ai_paper_validation/review_1_5_2/verification/evidence_recheck.md</t>
        </is>
      </c>
      <c r="E297" s="24" t="inlineStr">
        <is>
          <t>../../2018/jama.2018.6496/.ai_paper_validation/review_1_5_2/verification/evidence_recheck.md</t>
        </is>
      </c>
    </row>
    <row r="298" ht="90" customHeight="1" s="14">
      <c r="A298" s="20" t="inlineStr">
        <is>
          <t>2018::jama.2018.6496::C003</t>
        </is>
      </c>
      <c r="B298" s="20" t="inlineStr">
        <is>
          <t>sourceLinks</t>
        </is>
      </c>
      <c r="C298" s="20" t="n">
        <v>0</v>
      </c>
      <c r="D298" s="20" t="inlineStr">
        <is>
          <t>DOC-002 protocol secondary outcomes — PDF p. 9</t>
        </is>
      </c>
      <c r="E298" s="20" t="inlineStr">
        <is>
          <t>../../2018/jama.2018.6496/joi180054supp1_prod.pdf#page=9</t>
        </is>
      </c>
    </row>
    <row r="299" ht="90" customHeight="1" s="14">
      <c r="A299" s="24" t="inlineStr">
        <is>
          <t>2018::jama.2018.6496::C003</t>
        </is>
      </c>
      <c r="B299" s="24" t="inlineStr">
        <is>
          <t>sourceLinks</t>
        </is>
      </c>
      <c r="C299" s="24" t="n">
        <v>1</v>
      </c>
      <c r="D299" s="24" t="inlineStr">
        <is>
          <t>DOC-002 protocol measurement procedure — PDF p. 10</t>
        </is>
      </c>
      <c r="E299" s="24" t="inlineStr">
        <is>
          <t>../../2018/jama.2018.6496/joi180054supp1_prod.pdf#page=10</t>
        </is>
      </c>
    </row>
    <row r="300" ht="90" customHeight="1" s="14">
      <c r="A300" s="20" t="inlineStr">
        <is>
          <t>2018::jama.2018.6496::C003</t>
        </is>
      </c>
      <c r="B300" s="20" t="inlineStr">
        <is>
          <t>sourceLinks</t>
        </is>
      </c>
      <c r="C300" s="20" t="n">
        <v>2</v>
      </c>
      <c r="D300" s="20" t="inlineStr">
        <is>
          <t>DOC-001 Table 3 — PDF p. 7</t>
        </is>
      </c>
      <c r="E300" s="20" t="inlineStr">
        <is>
          <t>../../2018/jama.2018.6496/jama_driver_2018_oi_180054.pdf#page=7</t>
        </is>
      </c>
    </row>
    <row r="301" ht="90" customHeight="1" s="14">
      <c r="A301" s="24" t="inlineStr">
        <is>
          <t>2018::jama.2018.6496::C003</t>
        </is>
      </c>
      <c r="B301" s="24" t="inlineStr">
        <is>
          <t>sourceLinks</t>
        </is>
      </c>
      <c r="C301" s="24" t="n">
        <v>3</v>
      </c>
      <c r="D301" s="24" t="inlineStr">
        <is>
          <t>DOC-001 Table 5 — PDF p. 9</t>
        </is>
      </c>
      <c r="E301" s="24" t="inlineStr">
        <is>
          <t>../../2018/jama.2018.6496/jama_driver_2018_oi_180054.pdf#page=9</t>
        </is>
      </c>
    </row>
    <row r="302" ht="90" customHeight="1" s="14">
      <c r="A302" s="20" t="inlineStr">
        <is>
          <t>2018::jama.2018.6496::C003</t>
        </is>
      </c>
      <c r="B302" s="20" t="inlineStr">
        <is>
          <t>sourceLinks</t>
        </is>
      </c>
      <c r="C302" s="20" t="n">
        <v>4</v>
      </c>
      <c r="D302" s="20" t="inlineStr">
        <is>
          <t>DOC-003 eTable 1 note — PDF p. 3</t>
        </is>
      </c>
      <c r="E302" s="20" t="inlineStr">
        <is>
          <t>../../2018/jama.2018.6496/joi180054supp2_prod.pdf#page=3</t>
        </is>
      </c>
    </row>
    <row r="303" ht="90" customHeight="1" s="14">
      <c r="A303" s="24" t="inlineStr">
        <is>
          <t>2018::jama.2018.6496::C003</t>
        </is>
      </c>
      <c r="B303" s="24" t="inlineStr">
        <is>
          <t>sourceLinks</t>
        </is>
      </c>
      <c r="C303" s="24" t="n">
        <v>5</v>
      </c>
      <c r="D303" s="24" t="inlineStr">
        <is>
          <t>DOC-003 postintubation form — PDF p. 10</t>
        </is>
      </c>
      <c r="E303" s="24" t="inlineStr">
        <is>
          <t>../../2018/jama.2018.6496/joi180054supp2_prod.pdf#page=10</t>
        </is>
      </c>
    </row>
    <row r="304" ht="90" customHeight="1" s="14">
      <c r="A304" s="20" t="inlineStr">
        <is>
          <t>2018::jama.2018.6496::C003</t>
        </is>
      </c>
      <c r="B304" s="20" t="inlineStr">
        <is>
          <t>evidencePaths</t>
        </is>
      </c>
      <c r="C304" s="20" t="n">
        <v>0</v>
      </c>
      <c r="D304" s="20" t="inlineStr">
        <is>
          <t>2018/jama.2018.6496/.ai_paper_validation/review_1_5_2/source_inventory.md</t>
        </is>
      </c>
      <c r="E304" s="20" t="inlineStr">
        <is>
          <t>../../2018/jama.2018.6496/.ai_paper_validation/review_1_5_2/source_inventory.md</t>
        </is>
      </c>
    </row>
    <row r="305" ht="90" customHeight="1" s="14">
      <c r="A305" s="24" t="inlineStr">
        <is>
          <t>2018::jama.2018.6496::C003</t>
        </is>
      </c>
      <c r="B305" s="24" t="inlineStr">
        <is>
          <t>evidencePaths</t>
        </is>
      </c>
      <c r="C305" s="24" t="n">
        <v>1</v>
      </c>
      <c r="D305" s="24" t="inlineStr">
        <is>
          <t>2018/jama.2018.6496/.ai_paper_validation/review_1_5_2/verification/evidence_recheck.md</t>
        </is>
      </c>
      <c r="E305" s="24" t="inlineStr">
        <is>
          <t>../../2018/jama.2018.6496/.ai_paper_validation/review_1_5_2/verification/evidence_recheck.md</t>
        </is>
      </c>
    </row>
    <row r="306" ht="90" customHeight="1" s="14">
      <c r="A306" s="20" t="inlineStr">
        <is>
          <t>2018::jama.2018.6496::C004</t>
        </is>
      </c>
      <c r="B306" s="20" t="inlineStr">
        <is>
          <t>sourceLinks</t>
        </is>
      </c>
      <c r="C306" s="20" t="n">
        <v>0</v>
      </c>
      <c r="D306" s="20" t="inlineStr">
        <is>
          <t>DOC-002 protocol — PDF p. 9</t>
        </is>
      </c>
      <c r="E306" s="20" t="inlineStr">
        <is>
          <t>../../2018/jama.2018.6496/joi180054supp1_prod.pdf#page=9</t>
        </is>
      </c>
    </row>
    <row r="307" ht="90" customHeight="1" s="14">
      <c r="A307" s="24" t="inlineStr">
        <is>
          <t>2018::jama.2018.6496::C004</t>
        </is>
      </c>
      <c r="B307" s="24" t="inlineStr">
        <is>
          <t>sourceLinks</t>
        </is>
      </c>
      <c r="C307" s="24" t="n">
        <v>1</v>
      </c>
      <c r="D307" s="24" t="inlineStr">
        <is>
          <t>DOC-001 outcome methods — PDF p. 3</t>
        </is>
      </c>
      <c r="E307" s="24" t="inlineStr">
        <is>
          <t>../../2018/jama.2018.6496/jama_driver_2018_oi_180054.pdf#page=3</t>
        </is>
      </c>
    </row>
    <row r="308" ht="90" customHeight="1" s="14">
      <c r="A308" s="20" t="inlineStr">
        <is>
          <t>2018::jama.2018.6496::C004</t>
        </is>
      </c>
      <c r="B308" s="20" t="inlineStr">
        <is>
          <t>sourceLinks</t>
        </is>
      </c>
      <c r="C308" s="20" t="n">
        <v>2</v>
      </c>
      <c r="D308" s="20" t="inlineStr">
        <is>
          <t>DOC-001 Table 3 — PDF p. 7</t>
        </is>
      </c>
      <c r="E308" s="20" t="inlineStr">
        <is>
          <t>../../2018/jama.2018.6496/jama_driver_2018_oi_180054.pdf#page=7</t>
        </is>
      </c>
    </row>
    <row r="309" ht="90" customHeight="1" s="14">
      <c r="A309" s="24" t="inlineStr">
        <is>
          <t>2018::jama.2018.6496::C004</t>
        </is>
      </c>
      <c r="B309" s="24" t="inlineStr">
        <is>
          <t>sourceLinks</t>
        </is>
      </c>
      <c r="C309" s="24" t="n">
        <v>3</v>
      </c>
      <c r="D309" s="24" t="inlineStr">
        <is>
          <t>DOC-003 eTable 1 note — PDF p. 3</t>
        </is>
      </c>
      <c r="E309" s="24" t="inlineStr">
        <is>
          <t>../../2018/jama.2018.6496/joi180054supp2_prod.pdf#page=3</t>
        </is>
      </c>
    </row>
    <row r="310" ht="90" customHeight="1" s="14">
      <c r="A310" s="20" t="inlineStr">
        <is>
          <t>2018::jama.2018.6496::C004</t>
        </is>
      </c>
      <c r="B310" s="20" t="inlineStr">
        <is>
          <t>sourceLinks</t>
        </is>
      </c>
      <c r="C310" s="20" t="n">
        <v>4</v>
      </c>
      <c r="D310" s="20" t="inlineStr">
        <is>
          <t>DOC-003 data form — PDF p. 10</t>
        </is>
      </c>
      <c r="E310" s="20" t="inlineStr">
        <is>
          <t>../../2018/jama.2018.6496/joi180054supp2_prod.pdf#page=10</t>
        </is>
      </c>
    </row>
    <row r="311" ht="90" customHeight="1" s="14">
      <c r="A311" s="24" t="inlineStr">
        <is>
          <t>2018::jama.2018.6496::C004</t>
        </is>
      </c>
      <c r="B311" s="24" t="inlineStr">
        <is>
          <t>evidencePaths</t>
        </is>
      </c>
      <c r="C311" s="24" t="n">
        <v>0</v>
      </c>
      <c r="D311" s="24" t="inlineStr">
        <is>
          <t>2018/jama.2018.6496/.ai_paper_validation/review_1_5_2/source_inventory.md</t>
        </is>
      </c>
      <c r="E311" s="24" t="inlineStr">
        <is>
          <t>../../2018/jama.2018.6496/.ai_paper_validation/review_1_5_2/source_inventory.md</t>
        </is>
      </c>
    </row>
    <row r="312" ht="90" customHeight="1" s="14">
      <c r="A312" s="20" t="inlineStr">
        <is>
          <t>2018::jama.2018.6496::C004</t>
        </is>
      </c>
      <c r="B312" s="20" t="inlineStr">
        <is>
          <t>evidencePaths</t>
        </is>
      </c>
      <c r="C312" s="20" t="n">
        <v>1</v>
      </c>
      <c r="D312" s="20" t="inlineStr">
        <is>
          <t>2018/jama.2018.6496/.ai_paper_validation/review_1_5_2/verification/evidence_recheck.md</t>
        </is>
      </c>
      <c r="E312" s="20" t="inlineStr">
        <is>
          <t>../../2018/jama.2018.6496/.ai_paper_validation/review_1_5_2/verification/evidence_recheck.md</t>
        </is>
      </c>
    </row>
    <row r="313" ht="90" customHeight="1" s="14">
      <c r="A313" s="24" t="inlineStr">
        <is>
          <t>2018::jama.2018.8802::C001</t>
        </is>
      </c>
      <c r="B313" s="24" t="inlineStr">
        <is>
          <t>sourceLinks</t>
        </is>
      </c>
      <c r="C313" s="24" t="n">
        <v>0</v>
      </c>
      <c r="D313" s="24" t="inlineStr">
        <is>
          <t>jama_wang_2018_oi_180070.pdf — PDF p. 6</t>
        </is>
      </c>
      <c r="E313" s="24" t="inlineStr">
        <is>
          <t>../../2018/jama.2018.8802/jama_wang_2018_oi_180070.pdf#page=6</t>
        </is>
      </c>
    </row>
    <row r="314" ht="90" customHeight="1" s="14">
      <c r="A314" s="20" t="inlineStr">
        <is>
          <t>2018::jama.2018.8802::C001</t>
        </is>
      </c>
      <c r="B314" s="20" t="inlineStr">
        <is>
          <t>evidencePaths</t>
        </is>
      </c>
      <c r="C314" s="20" t="n">
        <v>0</v>
      </c>
      <c r="D314" s="20" t="inlineStr">
        <is>
          <t>2018/jama.2018.8802/.ai_paper_validation/review_1_5_2/source_inventory.md</t>
        </is>
      </c>
      <c r="E314" s="20" t="inlineStr">
        <is>
          <t>../../2018/jama.2018.8802/.ai_paper_validation/review_1_5_2/source_inventory.md</t>
        </is>
      </c>
    </row>
    <row r="315" ht="90" customHeight="1" s="14">
      <c r="A315" s="24" t="inlineStr">
        <is>
          <t>2018::jama.2018.8802::C002</t>
        </is>
      </c>
      <c r="B315" s="24" t="inlineStr">
        <is>
          <t>sourceLinks</t>
        </is>
      </c>
      <c r="C315" s="24" t="n">
        <v>0</v>
      </c>
      <c r="D315" s="24" t="inlineStr">
        <is>
          <t>jama_wang_2018_oi_180070.pdf — PDF p. 7</t>
        </is>
      </c>
      <c r="E315" s="24" t="inlineStr">
        <is>
          <t>../../2018/jama.2018.8802/jama_wang_2018_oi_180070.pdf#page=7</t>
        </is>
      </c>
    </row>
    <row r="316" ht="90" customHeight="1" s="14">
      <c r="A316" s="20" t="inlineStr">
        <is>
          <t>2018::jama.2018.8802::C002</t>
        </is>
      </c>
      <c r="B316" s="20" t="inlineStr">
        <is>
          <t>sourceLinks</t>
        </is>
      </c>
      <c r="C316" s="20" t="n">
        <v>1</v>
      </c>
      <c r="D316" s="20" t="inlineStr">
        <is>
          <t>joi180070supp1_prod.pdf — PDF p. 15</t>
        </is>
      </c>
      <c r="E316" s="20" t="inlineStr">
        <is>
          <t>../../2018/jama.2018.8802/joi180070supp1_prod.pdf#page=15</t>
        </is>
      </c>
    </row>
    <row r="317" ht="90" customHeight="1" s="14">
      <c r="A317" s="24" t="inlineStr">
        <is>
          <t>2018::jama.2018.8802::C002</t>
        </is>
      </c>
      <c r="B317" s="24" t="inlineStr">
        <is>
          <t>sourceLinks</t>
        </is>
      </c>
      <c r="C317" s="24" t="n">
        <v>2</v>
      </c>
      <c r="D317" s="24" t="inlineStr">
        <is>
          <t>joi180070supp2_prod.pdf — PDF p. 3</t>
        </is>
      </c>
      <c r="E317" s="24" t="inlineStr">
        <is>
          <t>../../2018/jama.2018.8802/joi180070supp2_prod.pdf#page=3</t>
        </is>
      </c>
    </row>
    <row r="318" ht="90" customHeight="1" s="14">
      <c r="A318" s="20" t="inlineStr">
        <is>
          <t>2018::jama.2018.8802::C002</t>
        </is>
      </c>
      <c r="B318" s="20" t="inlineStr">
        <is>
          <t>sourceLinks</t>
        </is>
      </c>
      <c r="C318" s="20" t="n">
        <v>3</v>
      </c>
      <c r="D318" s="20" t="inlineStr">
        <is>
          <t>joi180070supp2_prod.pdf — PDF p. 8</t>
        </is>
      </c>
      <c r="E318" s="20" t="inlineStr">
        <is>
          <t>../../2018/jama.2018.8802/joi180070supp2_prod.pdf#page=8</t>
        </is>
      </c>
    </row>
    <row r="319" ht="90" customHeight="1" s="14">
      <c r="A319" s="24" t="inlineStr">
        <is>
          <t>2018::jama.2018.8802::C002</t>
        </is>
      </c>
      <c r="B319" s="24" t="inlineStr">
        <is>
          <t>evidencePaths</t>
        </is>
      </c>
      <c r="C319" s="24" t="n">
        <v>0</v>
      </c>
      <c r="D319" s="24" t="inlineStr">
        <is>
          <t>2018/jama.2018.8802/.ai_paper_validation/review_1_5_2/source_inventory.md</t>
        </is>
      </c>
      <c r="E319" s="24" t="inlineStr">
        <is>
          <t>../../2018/jama.2018.8802/.ai_paper_validation/review_1_5_2/source_inventory.md</t>
        </is>
      </c>
    </row>
    <row r="320" ht="90" customHeight="1" s="14">
      <c r="A320" s="20" t="inlineStr">
        <is>
          <t>2018::jama.2018.8802::C002</t>
        </is>
      </c>
      <c r="B320" s="20" t="inlineStr">
        <is>
          <t>evidencePaths</t>
        </is>
      </c>
      <c r="C320" s="20" t="n">
        <v>1</v>
      </c>
      <c r="D320" s="20" t="inlineStr">
        <is>
          <t>2018/jama.2018.8802/.ai_paper_validation/review_1_5_2/verification/evidence_recheck.md</t>
        </is>
      </c>
      <c r="E320" s="20" t="inlineStr">
        <is>
          <t>../../2018/jama.2018.8802/.ai_paper_validation/review_1_5_2/verification/evidence_recheck.md</t>
        </is>
      </c>
    </row>
    <row r="321" ht="90" customHeight="1" s="14">
      <c r="A321" s="24" t="inlineStr">
        <is>
          <t>2018::jama.2018.8802::C003</t>
        </is>
      </c>
      <c r="B321" s="24" t="inlineStr">
        <is>
          <t>sourceLinks</t>
        </is>
      </c>
      <c r="C321" s="24" t="n">
        <v>0</v>
      </c>
      <c r="D321" s="24" t="inlineStr">
        <is>
          <t>joi180070supp2_prod.pdf — PDF p. 8</t>
        </is>
      </c>
      <c r="E321" s="24" t="inlineStr">
        <is>
          <t>../../2018/jama.2018.8802/joi180070supp2_prod.pdf#page=8</t>
        </is>
      </c>
    </row>
    <row r="322" ht="90" customHeight="1" s="14">
      <c r="A322" s="20" t="inlineStr">
        <is>
          <t>2018::jama.2018.8802::C003</t>
        </is>
      </c>
      <c r="B322" s="20" t="inlineStr">
        <is>
          <t>evidencePaths</t>
        </is>
      </c>
      <c r="C322" s="20" t="n">
        <v>0</v>
      </c>
      <c r="D322" s="20" t="inlineStr">
        <is>
          <t>2018/jama.2018.8802/.ai_paper_validation/review_1_5_2/source_inventory.md</t>
        </is>
      </c>
      <c r="E322" s="20" t="inlineStr">
        <is>
          <t>../../2018/jama.2018.8802/.ai_paper_validation/review_1_5_2/source_inventory.md</t>
        </is>
      </c>
    </row>
    <row r="323" ht="90" customHeight="1" s="14">
      <c r="A323" s="24" t="inlineStr">
        <is>
          <t>2018::jama.2018.8802::C004</t>
        </is>
      </c>
      <c r="B323" s="24" t="inlineStr">
        <is>
          <t>sourceLinks</t>
        </is>
      </c>
      <c r="C323" s="24" t="n">
        <v>0</v>
      </c>
      <c r="D323" s="24" t="inlineStr">
        <is>
          <t>joi180070supp2_prod.pdf — PDF p. 8</t>
        </is>
      </c>
      <c r="E323" s="24" t="inlineStr">
        <is>
          <t>../../2018/jama.2018.8802/joi180070supp2_prod.pdf#page=8</t>
        </is>
      </c>
    </row>
    <row r="324" ht="90" customHeight="1" s="14">
      <c r="A324" s="20" t="inlineStr">
        <is>
          <t>2018::jama.2018.8802::C004</t>
        </is>
      </c>
      <c r="B324" s="20" t="inlineStr">
        <is>
          <t>evidencePaths</t>
        </is>
      </c>
      <c r="C324" s="20" t="n">
        <v>0</v>
      </c>
      <c r="D324" s="20" t="inlineStr">
        <is>
          <t>2018/jama.2018.8802/.ai_paper_validation/review_1_5_2/source_inventory.md</t>
        </is>
      </c>
      <c r="E324" s="20" t="inlineStr">
        <is>
          <t>../../2018/jama.2018.8802/.ai_paper_validation/review_1_5_2/source_inventory.md</t>
        </is>
      </c>
    </row>
    <row r="325" ht="90" customHeight="1" s="14">
      <c r="A325" s="24" t="inlineStr">
        <is>
          <t>2018::jama.2018.8802::C005</t>
        </is>
      </c>
      <c r="B325" s="24" t="inlineStr">
        <is>
          <t>sourceLinks</t>
        </is>
      </c>
      <c r="C325" s="24" t="n">
        <v>0</v>
      </c>
      <c r="D325" s="24" t="inlineStr">
        <is>
          <t>joi180070supp2_prod.pdf — PDF p. 8</t>
        </is>
      </c>
      <c r="E325" s="24" t="inlineStr">
        <is>
          <t>../../2018/jama.2018.8802/joi180070supp2_prod.pdf#page=8</t>
        </is>
      </c>
    </row>
    <row r="326" ht="90" customHeight="1" s="14">
      <c r="A326" s="20" t="inlineStr">
        <is>
          <t>2018::jama.2018.8802::C005</t>
        </is>
      </c>
      <c r="B326" s="20" t="inlineStr">
        <is>
          <t>evidencePaths</t>
        </is>
      </c>
      <c r="C326" s="20" t="n">
        <v>0</v>
      </c>
      <c r="D326" s="20" t="inlineStr">
        <is>
          <t>2018/jama.2018.8802/.ai_paper_validation/review_1_5_2/source_inventory.md</t>
        </is>
      </c>
      <c r="E326" s="20" t="inlineStr">
        <is>
          <t>../../2018/jama.2018.8802/.ai_paper_validation/review_1_5_2/source_inventory.md</t>
        </is>
      </c>
    </row>
    <row r="327" ht="90" customHeight="1" s="14">
      <c r="A327" s="24" t="inlineStr">
        <is>
          <t>2018::jama.2018.8802::C006</t>
        </is>
      </c>
      <c r="B327" s="24" t="inlineStr">
        <is>
          <t>sourceLinks</t>
        </is>
      </c>
      <c r="C327" s="24" t="n">
        <v>0</v>
      </c>
      <c r="D327" s="24" t="inlineStr">
        <is>
          <t>joi180070supp2_prod.pdf — PDF p. 8</t>
        </is>
      </c>
      <c r="E327" s="24" t="inlineStr">
        <is>
          <t>../../2018/jama.2018.8802/joi180070supp2_prod.pdf#page=8</t>
        </is>
      </c>
    </row>
    <row r="328" ht="90" customHeight="1" s="14">
      <c r="A328" s="20" t="inlineStr">
        <is>
          <t>2018::jama.2018.8802::C006</t>
        </is>
      </c>
      <c r="B328" s="20" t="inlineStr">
        <is>
          <t>evidencePaths</t>
        </is>
      </c>
      <c r="C328" s="20" t="n">
        <v>0</v>
      </c>
      <c r="D328" s="20" t="inlineStr">
        <is>
          <t>2018/jama.2018.8802/.ai_paper_validation/review_1_5_2/source_inventory.md</t>
        </is>
      </c>
      <c r="E328" s="20" t="inlineStr">
        <is>
          <t>../../2018/jama.2018.8802/.ai_paper_validation/review_1_5_2/source_inventory.md</t>
        </is>
      </c>
    </row>
    <row r="329" ht="90" customHeight="1" s="14">
      <c r="A329" s="24" t="inlineStr">
        <is>
          <t>2018::jama.2018.8802::C007</t>
        </is>
      </c>
      <c r="B329" s="24" t="inlineStr">
        <is>
          <t>sourceLinks</t>
        </is>
      </c>
      <c r="C329" s="24" t="n">
        <v>0</v>
      </c>
      <c r="D329" s="24" t="inlineStr">
        <is>
          <t>jama_wang_2018_oi_180070.pdf — PDF p. 6</t>
        </is>
      </c>
      <c r="E329" s="24" t="inlineStr">
        <is>
          <t>../../2018/jama.2018.8802/jama_wang_2018_oi_180070.pdf#page=6</t>
        </is>
      </c>
    </row>
    <row r="330" ht="90" customHeight="1" s="14">
      <c r="A330" s="20" t="inlineStr">
        <is>
          <t>2018::jama.2018.8802::C007</t>
        </is>
      </c>
      <c r="B330" s="20" t="inlineStr">
        <is>
          <t>sourceLinks</t>
        </is>
      </c>
      <c r="C330" s="20" t="n">
        <v>1</v>
      </c>
      <c r="D330" s="20" t="inlineStr">
        <is>
          <t>joi180070supp2_prod.pdf — PDF p. 2</t>
        </is>
      </c>
      <c r="E330" s="20" t="inlineStr">
        <is>
          <t>../../2018/jama.2018.8802/joi180070supp2_prod.pdf#page=2</t>
        </is>
      </c>
    </row>
    <row r="331" ht="90" customHeight="1" s="14">
      <c r="A331" s="24" t="inlineStr">
        <is>
          <t>2018::jama.2018.8802::C007</t>
        </is>
      </c>
      <c r="B331" s="24" t="inlineStr">
        <is>
          <t>sourceLinks</t>
        </is>
      </c>
      <c r="C331" s="24" t="n">
        <v>2</v>
      </c>
      <c r="D331" s="24" t="inlineStr">
        <is>
          <t>jama_wang_2018_oi_180070.pdf — PDF p. 5</t>
        </is>
      </c>
      <c r="E331" s="24" t="inlineStr">
        <is>
          <t>../../2018/jama.2018.8802/jama_wang_2018_oi_180070.pdf#page=5</t>
        </is>
      </c>
    </row>
    <row r="332" ht="90" customHeight="1" s="14">
      <c r="A332" s="20" t="inlineStr">
        <is>
          <t>2018::jama.2018.8802::C007</t>
        </is>
      </c>
      <c r="B332" s="20" t="inlineStr">
        <is>
          <t>sourceLinks</t>
        </is>
      </c>
      <c r="C332" s="20" t="n">
        <v>3</v>
      </c>
      <c r="D332" s="20" t="inlineStr">
        <is>
          <t>joi180070supp1_prod.pdf — PDF p. 4</t>
        </is>
      </c>
      <c r="E332" s="20" t="inlineStr">
        <is>
          <t>../../2018/jama.2018.8802/joi180070supp1_prod.pdf#page=4</t>
        </is>
      </c>
    </row>
    <row r="333" ht="90" customHeight="1" s="14">
      <c r="A333" s="24" t="inlineStr">
        <is>
          <t>2018::jama.2018.8802::C007</t>
        </is>
      </c>
      <c r="B333" s="24" t="inlineStr">
        <is>
          <t>sourceLinks</t>
        </is>
      </c>
      <c r="C333" s="24" t="n">
        <v>4</v>
      </c>
      <c r="D333" s="24" t="inlineStr">
        <is>
          <t>PDF p. 7</t>
        </is>
      </c>
      <c r="E333" s="24" t="inlineStr">
        <is>
          <t>../../2018/jama.2018.8802/joi180070supp1_prod.pdf#page=7</t>
        </is>
      </c>
    </row>
    <row r="334" ht="90" customHeight="1" s="14">
      <c r="A334" s="20" t="inlineStr">
        <is>
          <t>2018::jama.2018.8802::C007</t>
        </is>
      </c>
      <c r="B334" s="20" t="inlineStr">
        <is>
          <t>evidencePaths</t>
        </is>
      </c>
      <c r="C334" s="20" t="n">
        <v>0</v>
      </c>
      <c r="D334" s="20" t="inlineStr">
        <is>
          <t>2018/jama.2018.8802/.ai_paper_validation/review_1_5_2/source_inventory.md</t>
        </is>
      </c>
      <c r="E334" s="20" t="inlineStr">
        <is>
          <t>../../2018/jama.2018.8802/.ai_paper_validation/review_1_5_2/source_inventory.md</t>
        </is>
      </c>
    </row>
    <row r="335" ht="90" customHeight="1" s="14">
      <c r="A335" s="24" t="inlineStr">
        <is>
          <t>2018::jama.2018.8802::C007</t>
        </is>
      </c>
      <c r="B335" s="24" t="inlineStr">
        <is>
          <t>evidencePaths</t>
        </is>
      </c>
      <c r="C335" s="24" t="n">
        <v>1</v>
      </c>
      <c r="D335" s="24" t="inlineStr">
        <is>
          <t>2018/jama.2018.8802/.ai_paper_validation/review_1_5_2/verification/evidence_recheck.md</t>
        </is>
      </c>
      <c r="E335" s="24" t="inlineStr">
        <is>
          <t>../../2018/jama.2018.8802/.ai_paper_validation/review_1_5_2/verification/evidence_recheck.md</t>
        </is>
      </c>
    </row>
    <row r="336" ht="90" customHeight="1" s="14">
      <c r="A336" s="20" t="inlineStr">
        <is>
          <t>2018::jama.2018.8802::C008</t>
        </is>
      </c>
      <c r="B336" s="20" t="inlineStr">
        <is>
          <t>sourceLinks</t>
        </is>
      </c>
      <c r="C336" s="20" t="n">
        <v>0</v>
      </c>
      <c r="D336" s="20" t="inlineStr">
        <is>
          <t>jama_wang_2018_oi_180070.pdf — PDF p. 8</t>
        </is>
      </c>
      <c r="E336" s="20" t="inlineStr">
        <is>
          <t>../../2018/jama.2018.8802/jama_wang_2018_oi_180070.pdf#page=8</t>
        </is>
      </c>
    </row>
    <row r="337" ht="90" customHeight="1" s="14">
      <c r="A337" s="24" t="inlineStr">
        <is>
          <t>2018::jama.2018.8802::C008</t>
        </is>
      </c>
      <c r="B337" s="24" t="inlineStr">
        <is>
          <t>sourceLinks</t>
        </is>
      </c>
      <c r="C337" s="24" t="n">
        <v>1</v>
      </c>
      <c r="D337" s="24" t="inlineStr">
        <is>
          <t>jama_wang_2018_oi_180070.pdf — PDF p. 4</t>
        </is>
      </c>
      <c r="E337" s="24" t="inlineStr">
        <is>
          <t>../../2018/jama.2018.8802/jama_wang_2018_oi_180070.pdf#page=4</t>
        </is>
      </c>
    </row>
    <row r="338" ht="90" customHeight="1" s="14">
      <c r="A338" s="20" t="inlineStr">
        <is>
          <t>2018::jama.2018.8802::C008</t>
        </is>
      </c>
      <c r="B338" s="20" t="inlineStr">
        <is>
          <t>evidencePaths</t>
        </is>
      </c>
      <c r="C338" s="20" t="n">
        <v>0</v>
      </c>
      <c r="D338" s="20" t="inlineStr">
        <is>
          <t>2018/jama.2018.8802/.ai_paper_validation/review_1_5_2/source_inventory.md</t>
        </is>
      </c>
      <c r="E338" s="20" t="inlineStr">
        <is>
          <t>../../2018/jama.2018.8802/.ai_paper_validation/review_1_5_2/source_inventory.md</t>
        </is>
      </c>
    </row>
    <row r="339" ht="90" customHeight="1" s="14">
      <c r="A339" s="24" t="inlineStr">
        <is>
          <t>2018::jama.2018.9128::C001</t>
        </is>
      </c>
      <c r="B339" s="24" t="inlineStr">
        <is>
          <t>sourceLinks</t>
        </is>
      </c>
      <c r="C339" s="24" t="n">
        <v>0</v>
      </c>
      <c r="D339" s="24" t="inlineStr">
        <is>
          <t>DOC-001 Figure 1 — PDF p. 3</t>
        </is>
      </c>
      <c r="E339" s="24" t="inlineStr">
        <is>
          <t>../../2018/jama.2018.9128/jama_barkin_2018_oi_180075.pdf#page=3</t>
        </is>
      </c>
    </row>
    <row r="340" ht="90" customHeight="1" s="14">
      <c r="A340" s="20" t="inlineStr">
        <is>
          <t>2018::jama.2018.9128::C001</t>
        </is>
      </c>
      <c r="B340" s="20" t="inlineStr">
        <is>
          <t>sourceLinks</t>
        </is>
      </c>
      <c r="C340" s="20" t="n">
        <v>1</v>
      </c>
      <c r="D340" s="20" t="inlineStr">
        <is>
          <t>DOC-001 Figure 2 — PDF p. 7</t>
        </is>
      </c>
      <c r="E340" s="20" t="inlineStr">
        <is>
          <t>../../2018/jama.2018.9128/jama_barkin_2018_oi_180075.pdf#page=7</t>
        </is>
      </c>
    </row>
    <row r="341" ht="90" customHeight="1" s="14">
      <c r="A341" s="24" t="inlineStr">
        <is>
          <t>2018::jama.2018.9128::C001</t>
        </is>
      </c>
      <c r="B341" s="24" t="inlineStr">
        <is>
          <t>sourceLinks</t>
        </is>
      </c>
      <c r="C341" s="24" t="n">
        <v>2</v>
      </c>
      <c r="D341" s="24" t="inlineStr">
        <is>
          <t>DOC-003 eTable 1 — PDF p. 2</t>
        </is>
      </c>
      <c r="E341" s="24" t="inlineStr">
        <is>
          <t>../../2018/jama.2018.9128/joi180075supp2_prod.pdf#page=2</t>
        </is>
      </c>
    </row>
    <row r="342" ht="90" customHeight="1" s="14">
      <c r="A342" s="20" t="inlineStr">
        <is>
          <t>2018::jama.2018.9128::C001</t>
        </is>
      </c>
      <c r="B342" s="20" t="inlineStr">
        <is>
          <t>evidencePaths</t>
        </is>
      </c>
      <c r="C342" s="20" t="n">
        <v>0</v>
      </c>
      <c r="D342" s="20" t="inlineStr">
        <is>
          <t>2018/jama.2018.9128/.ai_paper_validation/review_1_5_2/source_inventory.md</t>
        </is>
      </c>
      <c r="E342" s="20" t="inlineStr">
        <is>
          <t>../../2018/jama.2018.9128/.ai_paper_validation/review_1_5_2/source_inventory.md</t>
        </is>
      </c>
    </row>
    <row r="343" ht="90" customHeight="1" s="14">
      <c r="A343" s="24" t="inlineStr">
        <is>
          <t>2018::jama.2018.9128::C002</t>
        </is>
      </c>
      <c r="B343" s="24" t="inlineStr">
        <is>
          <t>sourceLinks</t>
        </is>
      </c>
      <c r="C343" s="24" t="n">
        <v>0</v>
      </c>
      <c r="D343" s="24" t="inlineStr">
        <is>
          <t>DOC-001 Figure 1 — PDF p. 3</t>
        </is>
      </c>
      <c r="E343" s="24" t="inlineStr">
        <is>
          <t>../../2018/jama.2018.9128/jama_barkin_2018_oi_180075.pdf#page=3</t>
        </is>
      </c>
    </row>
    <row r="344" ht="90" customHeight="1" s="14">
      <c r="A344" s="20" t="inlineStr">
        <is>
          <t>2018::jama.2018.9128::C002</t>
        </is>
      </c>
      <c r="B344" s="20" t="inlineStr">
        <is>
          <t>sourceLinks</t>
        </is>
      </c>
      <c r="C344" s="20" t="n">
        <v>1</v>
      </c>
      <c r="D344" s="20" t="inlineStr">
        <is>
          <t>DOC-001 Figure 2 — PDF p. 7</t>
        </is>
      </c>
      <c r="E344" s="20" t="inlineStr">
        <is>
          <t>../../2018/jama.2018.9128/jama_barkin_2018_oi_180075.pdf#page=7</t>
        </is>
      </c>
    </row>
    <row r="345" ht="90" customHeight="1" s="14">
      <c r="A345" s="24" t="inlineStr">
        <is>
          <t>2018::jama.2018.9128::C002</t>
        </is>
      </c>
      <c r="B345" s="24" t="inlineStr">
        <is>
          <t>sourceLinks</t>
        </is>
      </c>
      <c r="C345" s="24" t="n">
        <v>2</v>
      </c>
      <c r="D345" s="24" t="inlineStr">
        <is>
          <t>DOC-003 eTable 1 — PDF p. 2</t>
        </is>
      </c>
      <c r="E345" s="24" t="inlineStr">
        <is>
          <t>../../2018/jama.2018.9128/joi180075supp2_prod.pdf#page=2</t>
        </is>
      </c>
    </row>
    <row r="346" ht="90" customHeight="1" s="14">
      <c r="A346" s="20" t="inlineStr">
        <is>
          <t>2018::jama.2018.9128::C002</t>
        </is>
      </c>
      <c r="B346" s="20" t="inlineStr">
        <is>
          <t>evidencePaths</t>
        </is>
      </c>
      <c r="C346" s="20" t="n">
        <v>0</v>
      </c>
      <c r="D346" s="20" t="inlineStr">
        <is>
          <t>2018/jama.2018.9128/.ai_paper_validation/review_1_5_2/source_inventory.md</t>
        </is>
      </c>
      <c r="E346" s="20" t="inlineStr">
        <is>
          <t>../../2018/jama.2018.9128/.ai_paper_validation/review_1_5_2/source_inventory.md</t>
        </is>
      </c>
    </row>
    <row r="347" ht="90" customHeight="1" s="14">
      <c r="A347" s="24" t="inlineStr">
        <is>
          <t>2018::jama.2018.9128::C003</t>
        </is>
      </c>
      <c r="B347" s="24" t="inlineStr">
        <is>
          <t>sourceLinks</t>
        </is>
      </c>
      <c r="C347" s="24" t="n">
        <v>0</v>
      </c>
      <c r="D347" s="24" t="inlineStr">
        <is>
          <t>DOC-001 Figure 1 — PDF p. 3</t>
        </is>
      </c>
      <c r="E347" s="24" t="inlineStr">
        <is>
          <t>../../2018/jama.2018.9128/jama_barkin_2018_oi_180075.pdf#page=3</t>
        </is>
      </c>
    </row>
    <row r="348" ht="90" customHeight="1" s="14">
      <c r="A348" s="20" t="inlineStr">
        <is>
          <t>2018::jama.2018.9128::C003</t>
        </is>
      </c>
      <c r="B348" s="20" t="inlineStr">
        <is>
          <t>sourceLinks</t>
        </is>
      </c>
      <c r="C348" s="20" t="n">
        <v>1</v>
      </c>
      <c r="D348" s="20" t="inlineStr">
        <is>
          <t>DOC-001 Figure 2 — PDF p. 7</t>
        </is>
      </c>
      <c r="E348" s="20" t="inlineStr">
        <is>
          <t>../../2018/jama.2018.9128/jama_barkin_2018_oi_180075.pdf#page=7</t>
        </is>
      </c>
    </row>
    <row r="349" ht="90" customHeight="1" s="14">
      <c r="A349" s="24" t="inlineStr">
        <is>
          <t>2018::jama.2018.9128::C003</t>
        </is>
      </c>
      <c r="B349" s="24" t="inlineStr">
        <is>
          <t>sourceLinks</t>
        </is>
      </c>
      <c r="C349" s="24" t="n">
        <v>2</v>
      </c>
      <c r="D349" s="24" t="inlineStr">
        <is>
          <t>DOC-003 eTable 1 — PDF p. 2</t>
        </is>
      </c>
      <c r="E349" s="24" t="inlineStr">
        <is>
          <t>../../2018/jama.2018.9128/joi180075supp2_prod.pdf#page=2</t>
        </is>
      </c>
    </row>
    <row r="350" ht="90" customHeight="1" s="14">
      <c r="A350" s="20" t="inlineStr">
        <is>
          <t>2018::jama.2018.9128::C003</t>
        </is>
      </c>
      <c r="B350" s="20" t="inlineStr">
        <is>
          <t>evidencePaths</t>
        </is>
      </c>
      <c r="C350" s="20" t="n">
        <v>0</v>
      </c>
      <c r="D350" s="20" t="inlineStr">
        <is>
          <t>2018/jama.2018.9128/.ai_paper_validation/review_1_5_2/source_inventory.md</t>
        </is>
      </c>
      <c r="E350" s="20" t="inlineStr">
        <is>
          <t>../../2018/jama.2018.9128/.ai_paper_validation/review_1_5_2/source_inventory.md</t>
        </is>
      </c>
    </row>
    <row r="351" ht="90" customHeight="1" s="14">
      <c r="A351" s="24" t="inlineStr">
        <is>
          <t>2018::jama.2018.9128::C004</t>
        </is>
      </c>
      <c r="B351" s="24" t="inlineStr">
        <is>
          <t>sourceLinks</t>
        </is>
      </c>
      <c r="C351" s="24" t="n">
        <v>0</v>
      </c>
      <c r="D351" s="24" t="inlineStr">
        <is>
          <t>DOC-001 Figure 1 — PDF p. 3</t>
        </is>
      </c>
      <c r="E351" s="24" t="inlineStr">
        <is>
          <t>../../2018/jama.2018.9128/jama_barkin_2018_oi_180075.pdf#page=3</t>
        </is>
      </c>
    </row>
    <row r="352" ht="90" customHeight="1" s="14">
      <c r="A352" s="20" t="inlineStr">
        <is>
          <t>2018::jama.2018.9128::C004</t>
        </is>
      </c>
      <c r="B352" s="20" t="inlineStr">
        <is>
          <t>sourceLinks</t>
        </is>
      </c>
      <c r="C352" s="20" t="n">
        <v>1</v>
      </c>
      <c r="D352" s="20" t="inlineStr">
        <is>
          <t>DOC-001 Figure 2 — PDF p. 7</t>
        </is>
      </c>
      <c r="E352" s="20" t="inlineStr">
        <is>
          <t>../../2018/jama.2018.9128/jama_barkin_2018_oi_180075.pdf#page=7</t>
        </is>
      </c>
    </row>
    <row r="353" ht="90" customHeight="1" s="14">
      <c r="A353" s="24" t="inlineStr">
        <is>
          <t>2018::jama.2018.9128::C004</t>
        </is>
      </c>
      <c r="B353" s="24" t="inlineStr">
        <is>
          <t>sourceLinks</t>
        </is>
      </c>
      <c r="C353" s="24" t="n">
        <v>2</v>
      </c>
      <c r="D353" s="24" t="inlineStr">
        <is>
          <t>DOC-003 eTable 1 — PDF p. 2</t>
        </is>
      </c>
      <c r="E353" s="24" t="inlineStr">
        <is>
          <t>../../2018/jama.2018.9128/joi180075supp2_prod.pdf#page=2</t>
        </is>
      </c>
    </row>
    <row r="354" ht="90" customHeight="1" s="14">
      <c r="A354" s="20" t="inlineStr">
        <is>
          <t>2018::jama.2018.9128::C004</t>
        </is>
      </c>
      <c r="B354" s="20" t="inlineStr">
        <is>
          <t>evidencePaths</t>
        </is>
      </c>
      <c r="C354" s="20" t="n">
        <v>0</v>
      </c>
      <c r="D354" s="20" t="inlineStr">
        <is>
          <t>2018/jama.2018.9128/.ai_paper_validation/review_1_5_2/source_inventory.md</t>
        </is>
      </c>
      <c r="E354" s="20" t="inlineStr">
        <is>
          <t>../../2018/jama.2018.9128/.ai_paper_validation/review_1_5_2/source_inventory.md</t>
        </is>
      </c>
    </row>
    <row r="355" ht="90" customHeight="1" s="14">
      <c r="A355" s="24" t="inlineStr">
        <is>
          <t>2018::jama.2018.9128::C005</t>
        </is>
      </c>
      <c r="B355" s="24" t="inlineStr">
        <is>
          <t>sourceLinks</t>
        </is>
      </c>
      <c r="C355" s="24" t="n">
        <v>0</v>
      </c>
      <c r="D355" s="24" t="inlineStr">
        <is>
          <t>DOC-001 Figure 1 — PDF p. 3</t>
        </is>
      </c>
      <c r="E355" s="24" t="inlineStr">
        <is>
          <t>../../2018/jama.2018.9128/jama_barkin_2018_oi_180075.pdf#page=3</t>
        </is>
      </c>
    </row>
    <row r="356" ht="90" customHeight="1" s="14">
      <c r="A356" s="20" t="inlineStr">
        <is>
          <t>2018::jama.2018.9128::C005</t>
        </is>
      </c>
      <c r="B356" s="20" t="inlineStr">
        <is>
          <t>sourceLinks</t>
        </is>
      </c>
      <c r="C356" s="20" t="n">
        <v>1</v>
      </c>
      <c r="D356" s="20" t="inlineStr">
        <is>
          <t>DOC-001 Figure 2 — PDF p. 7</t>
        </is>
      </c>
      <c r="E356" s="20" t="inlineStr">
        <is>
          <t>../../2018/jama.2018.9128/jama_barkin_2018_oi_180075.pdf#page=7</t>
        </is>
      </c>
    </row>
    <row r="357" ht="90" customHeight="1" s="14">
      <c r="A357" s="24" t="inlineStr">
        <is>
          <t>2018::jama.2018.9128::C005</t>
        </is>
      </c>
      <c r="B357" s="24" t="inlineStr">
        <is>
          <t>sourceLinks</t>
        </is>
      </c>
      <c r="C357" s="24" t="n">
        <v>2</v>
      </c>
      <c r="D357" s="24" t="inlineStr">
        <is>
          <t>DOC-003 eTable 1 — PDF p. 2</t>
        </is>
      </c>
      <c r="E357" s="24" t="inlineStr">
        <is>
          <t>../../2018/jama.2018.9128/joi180075supp2_prod.pdf#page=2</t>
        </is>
      </c>
    </row>
    <row r="358" ht="90" customHeight="1" s="14">
      <c r="A358" s="20" t="inlineStr">
        <is>
          <t>2018::jama.2018.9128::C005</t>
        </is>
      </c>
      <c r="B358" s="20" t="inlineStr">
        <is>
          <t>evidencePaths</t>
        </is>
      </c>
      <c r="C358" s="20" t="n">
        <v>0</v>
      </c>
      <c r="D358" s="20" t="inlineStr">
        <is>
          <t>2018/jama.2018.9128/.ai_paper_validation/review_1_5_2/source_inventory.md</t>
        </is>
      </c>
      <c r="E358" s="20" t="inlineStr">
        <is>
          <t>../../2018/jama.2018.9128/.ai_paper_validation/review_1_5_2/source_inventory.md</t>
        </is>
      </c>
    </row>
    <row r="359" ht="90" customHeight="1" s="14">
      <c r="A359" s="24" t="inlineStr">
        <is>
          <t>2018::jama.2018.9128::C006</t>
        </is>
      </c>
      <c r="B359" s="24" t="inlineStr">
        <is>
          <t>sourceLinks</t>
        </is>
      </c>
      <c r="C359" s="24" t="n">
        <v>0</v>
      </c>
      <c r="D359" s="24" t="inlineStr">
        <is>
          <t>DOC-001 Figure 1 — PDF p. 3</t>
        </is>
      </c>
      <c r="E359" s="24" t="inlineStr">
        <is>
          <t>../../2018/jama.2018.9128/jama_barkin_2018_oi_180075.pdf#page=3</t>
        </is>
      </c>
    </row>
    <row r="360" ht="90" customHeight="1" s="14">
      <c r="A360" s="20" t="inlineStr">
        <is>
          <t>2018::jama.2018.9128::C006</t>
        </is>
      </c>
      <c r="B360" s="20" t="inlineStr">
        <is>
          <t>sourceLinks</t>
        </is>
      </c>
      <c r="C360" s="20" t="n">
        <v>1</v>
      </c>
      <c r="D360" s="20" t="inlineStr">
        <is>
          <t>DOC-001 Figure 2 — PDF p. 7</t>
        </is>
      </c>
      <c r="E360" s="20" t="inlineStr">
        <is>
          <t>../../2018/jama.2018.9128/jama_barkin_2018_oi_180075.pdf#page=7</t>
        </is>
      </c>
    </row>
    <row r="361" ht="90" customHeight="1" s="14">
      <c r="A361" s="24" t="inlineStr">
        <is>
          <t>2018::jama.2018.9128::C006</t>
        </is>
      </c>
      <c r="B361" s="24" t="inlineStr">
        <is>
          <t>sourceLinks</t>
        </is>
      </c>
      <c r="C361" s="24" t="n">
        <v>2</v>
      </c>
      <c r="D361" s="24" t="inlineStr">
        <is>
          <t>DOC-003 eTable 1 — PDF p. 2</t>
        </is>
      </c>
      <c r="E361" s="24" t="inlineStr">
        <is>
          <t>../../2018/jama.2018.9128/joi180075supp2_prod.pdf#page=2</t>
        </is>
      </c>
    </row>
    <row r="362" ht="90" customHeight="1" s="14">
      <c r="A362" s="20" t="inlineStr">
        <is>
          <t>2018::jama.2018.9128::C006</t>
        </is>
      </c>
      <c r="B362" s="20" t="inlineStr">
        <is>
          <t>evidencePaths</t>
        </is>
      </c>
      <c r="C362" s="20" t="n">
        <v>0</v>
      </c>
      <c r="D362" s="20" t="inlineStr">
        <is>
          <t>2018/jama.2018.9128/.ai_paper_validation/review_1_5_2/source_inventory.md</t>
        </is>
      </c>
      <c r="E362" s="20" t="inlineStr">
        <is>
          <t>../../2018/jama.2018.9128/.ai_paper_validation/review_1_5_2/source_inventory.md</t>
        </is>
      </c>
    </row>
    <row r="363" ht="90" customHeight="1" s="14">
      <c r="A363" s="24" t="inlineStr">
        <is>
          <t>2018::jama.2018.9128::C007</t>
        </is>
      </c>
      <c r="B363" s="24" t="inlineStr">
        <is>
          <t>sourceLinks</t>
        </is>
      </c>
      <c r="C363" s="24" t="n">
        <v>0</v>
      </c>
      <c r="D363" s="24" t="inlineStr">
        <is>
          <t>DOC-001 Figure 1 — PDF p. 3</t>
        </is>
      </c>
      <c r="E363" s="24" t="inlineStr">
        <is>
          <t>../../2018/jama.2018.9128/jama_barkin_2018_oi_180075.pdf#page=3</t>
        </is>
      </c>
    </row>
    <row r="364" ht="90" customHeight="1" s="14">
      <c r="A364" s="20" t="inlineStr">
        <is>
          <t>2018::jama.2018.9128::C007</t>
        </is>
      </c>
      <c r="B364" s="20" t="inlineStr">
        <is>
          <t>sourceLinks</t>
        </is>
      </c>
      <c r="C364" s="20" t="n">
        <v>1</v>
      </c>
      <c r="D364" s="20" t="inlineStr">
        <is>
          <t>DOC-001 Figure 2 — PDF p. 7</t>
        </is>
      </c>
      <c r="E364" s="20" t="inlineStr">
        <is>
          <t>../../2018/jama.2018.9128/jama_barkin_2018_oi_180075.pdf#page=7</t>
        </is>
      </c>
    </row>
    <row r="365" ht="90" customHeight="1" s="14">
      <c r="A365" s="24" t="inlineStr">
        <is>
          <t>2018::jama.2018.9128::C007</t>
        </is>
      </c>
      <c r="B365" s="24" t="inlineStr">
        <is>
          <t>sourceLinks</t>
        </is>
      </c>
      <c r="C365" s="24" t="n">
        <v>2</v>
      </c>
      <c r="D365" s="24" t="inlineStr">
        <is>
          <t>DOC-003 eTable 1 — PDF p. 2</t>
        </is>
      </c>
      <c r="E365" s="24" t="inlineStr">
        <is>
          <t>../../2018/jama.2018.9128/joi180075supp2_prod.pdf#page=2</t>
        </is>
      </c>
    </row>
    <row r="366" ht="90" customHeight="1" s="14">
      <c r="A366" s="20" t="inlineStr">
        <is>
          <t>2018::jama.2018.9128::C007</t>
        </is>
      </c>
      <c r="B366" s="20" t="inlineStr">
        <is>
          <t>evidencePaths</t>
        </is>
      </c>
      <c r="C366" s="20" t="n">
        <v>0</v>
      </c>
      <c r="D366" s="20" t="inlineStr">
        <is>
          <t>2018/jama.2018.9128/.ai_paper_validation/review_1_5_2/source_inventory.md</t>
        </is>
      </c>
      <c r="E366" s="20" t="inlineStr">
        <is>
          <t>../../2018/jama.2018.9128/.ai_paper_validation/review_1_5_2/source_inventory.md</t>
        </is>
      </c>
    </row>
    <row r="367" ht="90" customHeight="1" s="14">
      <c r="A367" s="24" t="inlineStr">
        <is>
          <t>2018::jama.2018.9128::C008</t>
        </is>
      </c>
      <c r="B367" s="24" t="inlineStr">
        <is>
          <t>sourceLinks</t>
        </is>
      </c>
      <c r="C367" s="24" t="n">
        <v>0</v>
      </c>
      <c r="D367" s="24" t="inlineStr">
        <is>
          <t>DOC-001 Figure 1 — PDF p. 3</t>
        </is>
      </c>
      <c r="E367" s="24" t="inlineStr">
        <is>
          <t>../../2018/jama.2018.9128/jama_barkin_2018_oi_180075.pdf#page=3</t>
        </is>
      </c>
    </row>
    <row r="368" ht="90" customHeight="1" s="14">
      <c r="A368" s="20" t="inlineStr">
        <is>
          <t>2018::jama.2018.9128::C008</t>
        </is>
      </c>
      <c r="B368" s="20" t="inlineStr">
        <is>
          <t>sourceLinks</t>
        </is>
      </c>
      <c r="C368" s="20" t="n">
        <v>1</v>
      </c>
      <c r="D368" s="20" t="inlineStr">
        <is>
          <t>DOC-001 Figure 2 — PDF p. 7</t>
        </is>
      </c>
      <c r="E368" s="20" t="inlineStr">
        <is>
          <t>../../2018/jama.2018.9128/jama_barkin_2018_oi_180075.pdf#page=7</t>
        </is>
      </c>
    </row>
    <row r="369" ht="90" customHeight="1" s="14">
      <c r="A369" s="24" t="inlineStr">
        <is>
          <t>2018::jama.2018.9128::C008</t>
        </is>
      </c>
      <c r="B369" s="24" t="inlineStr">
        <is>
          <t>sourceLinks</t>
        </is>
      </c>
      <c r="C369" s="24" t="n">
        <v>2</v>
      </c>
      <c r="D369" s="24" t="inlineStr">
        <is>
          <t>DOC-003 eTable 1 — PDF p. 2</t>
        </is>
      </c>
      <c r="E369" s="24" t="inlineStr">
        <is>
          <t>../../2018/jama.2018.9128/joi180075supp2_prod.pdf#page=2</t>
        </is>
      </c>
    </row>
    <row r="370" ht="90" customHeight="1" s="14">
      <c r="A370" s="20" t="inlineStr">
        <is>
          <t>2018::jama.2018.9128::C008</t>
        </is>
      </c>
      <c r="B370" s="20" t="inlineStr">
        <is>
          <t>evidencePaths</t>
        </is>
      </c>
      <c r="C370" s="20" t="n">
        <v>0</v>
      </c>
      <c r="D370" s="20" t="inlineStr">
        <is>
          <t>2018/jama.2018.9128/.ai_paper_validation/review_1_5_2/source_inventory.md</t>
        </is>
      </c>
      <c r="E370" s="20" t="inlineStr">
        <is>
          <t>../../2018/jama.2018.9128/.ai_paper_validation/review_1_5_2/source_inventory.md</t>
        </is>
      </c>
    </row>
    <row r="371" ht="90" customHeight="1" s="14">
      <c r="A371" s="24" t="inlineStr">
        <is>
          <t>2018::jama.2018.9128::C009</t>
        </is>
      </c>
      <c r="B371" s="24" t="inlineStr">
        <is>
          <t>sourceLinks</t>
        </is>
      </c>
      <c r="C371" s="24" t="n">
        <v>0</v>
      </c>
      <c r="D371" s="24" t="inlineStr">
        <is>
          <t>DOC-002 final SAP — PDF p. 110</t>
        </is>
      </c>
      <c r="E371" s="24" t="inlineStr">
        <is>
          <t>../../2018/jama.2018.9128/joi180075supp1_prod.pdf#page=110</t>
        </is>
      </c>
    </row>
    <row r="372" ht="90" customHeight="1" s="14">
      <c r="A372" s="20" t="inlineStr">
        <is>
          <t>2018::jama.2018.9128::C009</t>
        </is>
      </c>
      <c r="B372" s="20" t="inlineStr">
        <is>
          <t>sourceLinks</t>
        </is>
      </c>
      <c r="C372" s="20" t="n">
        <v>1</v>
      </c>
      <c r="D372" s="20" t="inlineStr">
        <is>
          <t>DOC-002 protocol schedule — PDF p. 15</t>
        </is>
      </c>
      <c r="E372" s="20" t="inlineStr">
        <is>
          <t>../../2018/jama.2018.9128/joi180075supp1_prod.pdf#page=15</t>
        </is>
      </c>
    </row>
    <row r="373" ht="90" customHeight="1" s="14">
      <c r="A373" s="24" t="inlineStr">
        <is>
          <t>2018::jama.2018.9128::C009</t>
        </is>
      </c>
      <c r="B373" s="24" t="inlineStr">
        <is>
          <t>sourceLinks</t>
        </is>
      </c>
      <c r="C373" s="24" t="n">
        <v>2</v>
      </c>
      <c r="D373" s="24" t="inlineStr">
        <is>
          <t>DOC-001 Methods — PDF p. 4</t>
        </is>
      </c>
      <c r="E373" s="24" t="inlineStr">
        <is>
          <t>../../2018/jama.2018.9128/jama_barkin_2018_oi_180075.pdf#page=4</t>
        </is>
      </c>
    </row>
    <row r="374" ht="90" customHeight="1" s="14">
      <c r="A374" s="20" t="inlineStr">
        <is>
          <t>2018::jama.2018.9128::C009</t>
        </is>
      </c>
      <c r="B374" s="20" t="inlineStr">
        <is>
          <t>sourceLinks</t>
        </is>
      </c>
      <c r="C374" s="20" t="n">
        <v>3</v>
      </c>
      <c r="D374" s="20" t="inlineStr">
        <is>
          <t>DOC-003 eTable 1 — PDF p. 2</t>
        </is>
      </c>
      <c r="E374" s="20" t="inlineStr">
        <is>
          <t>../../2018/jama.2018.9128/joi180075supp2_prod.pdf#page=2</t>
        </is>
      </c>
    </row>
    <row r="375" ht="90" customHeight="1" s="14">
      <c r="A375" s="24" t="inlineStr">
        <is>
          <t>2018::jama.2018.9128::C009</t>
        </is>
      </c>
      <c r="B375" s="24" t="inlineStr">
        <is>
          <t>evidencePaths</t>
        </is>
      </c>
      <c r="C375" s="24" t="n">
        <v>0</v>
      </c>
      <c r="D375" s="24" t="inlineStr">
        <is>
          <t>2018/jama.2018.9128/.ai_paper_validation/review_1_5_2/source_inventory.md</t>
        </is>
      </c>
      <c r="E375" s="24" t="inlineStr">
        <is>
          <t>../../2018/jama.2018.9128/.ai_paper_validation/review_1_5_2/source_inventory.md</t>
        </is>
      </c>
    </row>
    <row r="376" ht="90" customHeight="1" s="14">
      <c r="A376" s="20" t="inlineStr">
        <is>
          <t>2018::jama.2018.9128::C009</t>
        </is>
      </c>
      <c r="B376" s="20" t="inlineStr">
        <is>
          <t>evidencePaths</t>
        </is>
      </c>
      <c r="C376" s="20" t="n">
        <v>1</v>
      </c>
      <c r="D376" s="20" t="inlineStr">
        <is>
          <t>2018/jama.2018.9128/.ai_paper_validation/review_1_5_2/verification/evidence_recheck.md</t>
        </is>
      </c>
      <c r="E376" s="20" t="inlineStr">
        <is>
          <t>../../2018/jama.2018.9128/.ai_paper_validation/review_1_5_2/verification/evidence_recheck.md</t>
        </is>
      </c>
    </row>
    <row r="377" ht="90" customHeight="1" s="14">
      <c r="A377" s="24" t="inlineStr">
        <is>
          <t>2018::jama.2018.9128::C010</t>
        </is>
      </c>
      <c r="B377" s="24" t="inlineStr">
        <is>
          <t>sourceLinks</t>
        </is>
      </c>
      <c r="C377" s="24" t="n">
        <v>0</v>
      </c>
      <c r="D377" s="24" t="inlineStr">
        <is>
          <t>DOC-002 revised protocol — PDF p. 64</t>
        </is>
      </c>
      <c r="E377" s="24" t="inlineStr">
        <is>
          <t>../../2018/jama.2018.9128/joi180075supp1_prod.pdf#page=64</t>
        </is>
      </c>
    </row>
    <row r="378" ht="90" customHeight="1" s="14">
      <c r="A378" s="20" t="inlineStr">
        <is>
          <t>2018::jama.2018.9128::C010</t>
        </is>
      </c>
      <c r="B378" s="20" t="inlineStr">
        <is>
          <t>sourceLinks</t>
        </is>
      </c>
      <c r="C378" s="20" t="n">
        <v>1</v>
      </c>
      <c r="D378" s="20" t="inlineStr">
        <is>
          <t>DOC-001 Methods — PDF p. 4</t>
        </is>
      </c>
      <c r="E378" s="20" t="inlineStr">
        <is>
          <t>../../2018/jama.2018.9128/jama_barkin_2018_oi_180075.pdf#page=4</t>
        </is>
      </c>
    </row>
    <row r="379" ht="90" customHeight="1" s="14">
      <c r="A379" s="24" t="inlineStr">
        <is>
          <t>2018::jama.2018.9128::C010</t>
        </is>
      </c>
      <c r="B379" s="24" t="inlineStr">
        <is>
          <t>sourceLinks</t>
        </is>
      </c>
      <c r="C379" s="24" t="n">
        <v>2</v>
      </c>
      <c r="D379" s="24" t="inlineStr">
        <is>
          <t>DOC-003 eTable 1 — PDF p. 2</t>
        </is>
      </c>
      <c r="E379" s="24" t="inlineStr">
        <is>
          <t>../../2018/jama.2018.9128/joi180075supp2_prod.pdf#page=2</t>
        </is>
      </c>
    </row>
    <row r="380" ht="90" customHeight="1" s="14">
      <c r="A380" s="20" t="inlineStr">
        <is>
          <t>2018::jama.2018.9128::C010</t>
        </is>
      </c>
      <c r="B380" s="20" t="inlineStr">
        <is>
          <t>evidencePaths</t>
        </is>
      </c>
      <c r="C380" s="20" t="n">
        <v>0</v>
      </c>
      <c r="D380" s="20" t="inlineStr">
        <is>
          <t>2018/jama.2018.9128/.ai_paper_validation/review_1_5_2/source_inventory.md</t>
        </is>
      </c>
      <c r="E380" s="20" t="inlineStr">
        <is>
          <t>../../2018/jama.2018.9128/.ai_paper_validation/review_1_5_2/source_inventory.md</t>
        </is>
      </c>
    </row>
    <row r="381" ht="90" customHeight="1" s="14">
      <c r="A381" s="24" t="inlineStr">
        <is>
          <t>2018::jama.2018.9128::C010</t>
        </is>
      </c>
      <c r="B381" s="24" t="inlineStr">
        <is>
          <t>evidencePaths</t>
        </is>
      </c>
      <c r="C381" s="24" t="n">
        <v>1</v>
      </c>
      <c r="D381" s="24" t="inlineStr">
        <is>
          <t>2018/jama.2018.9128/.ai_paper_validation/review_1_5_2/verification/evidence_recheck.md</t>
        </is>
      </c>
      <c r="E381" s="24" t="inlineStr">
        <is>
          <t>../../2018/jama.2018.9128/.ai_paper_validation/review_1_5_2/verification/evidence_recheck.md</t>
        </is>
      </c>
    </row>
    <row r="382" ht="90" customHeight="1" s="14">
      <c r="A382" s="20" t="inlineStr">
        <is>
          <t>2018::jama.2018.9128::C011</t>
        </is>
      </c>
      <c r="B382" s="20" t="inlineStr">
        <is>
          <t>sourceLinks</t>
        </is>
      </c>
      <c r="C382" s="20" t="n">
        <v>0</v>
      </c>
      <c r="D382" s="20" t="inlineStr">
        <is>
          <t>DOC-002 original protocol — PDF p. 16</t>
        </is>
      </c>
      <c r="E382" s="20" t="inlineStr">
        <is>
          <t>../../2018/jama.2018.9128/joi180075supp1_prod.pdf#page=16</t>
        </is>
      </c>
    </row>
    <row r="383" ht="90" customHeight="1" s="14">
      <c r="A383" s="24" t="inlineStr">
        <is>
          <t>2018::jama.2018.9128::C011</t>
        </is>
      </c>
      <c r="B383" s="24" t="inlineStr">
        <is>
          <t>sourceLinks</t>
        </is>
      </c>
      <c r="C383" s="24" t="n">
        <v>1</v>
      </c>
      <c r="D383" s="24" t="inlineStr">
        <is>
          <t>DOC-002 final SAP — PDF p. 110</t>
        </is>
      </c>
      <c r="E383" s="24" t="inlineStr">
        <is>
          <t>../../2018/jama.2018.9128/joi180075supp1_prod.pdf#page=110</t>
        </is>
      </c>
    </row>
    <row r="384" ht="90" customHeight="1" s="14">
      <c r="A384" s="20" t="inlineStr">
        <is>
          <t>2018::jama.2018.9128::C011</t>
        </is>
      </c>
      <c r="B384" s="20" t="inlineStr">
        <is>
          <t>sourceLinks</t>
        </is>
      </c>
      <c r="C384" s="20" t="n">
        <v>2</v>
      </c>
      <c r="D384" s="20" t="inlineStr">
        <is>
          <t>DOC-001 Outcomes — PDF p. 3</t>
        </is>
      </c>
      <c r="E384" s="20" t="inlineStr">
        <is>
          <t>../../2018/jama.2018.9128/jama_barkin_2018_oi_180075.pdf#page=3</t>
        </is>
      </c>
    </row>
    <row r="385" ht="90" customHeight="1" s="14">
      <c r="A385" s="24" t="inlineStr">
        <is>
          <t>2018::jama.2018.9128::C011</t>
        </is>
      </c>
      <c r="B385" s="24" t="inlineStr">
        <is>
          <t>sourceLinks</t>
        </is>
      </c>
      <c r="C385" s="24" t="n">
        <v>3</v>
      </c>
      <c r="D385" s="24" t="inlineStr">
        <is>
          <t>DOC-003 eTable 1 — PDF p. 2</t>
        </is>
      </c>
      <c r="E385" s="24" t="inlineStr">
        <is>
          <t>../../2018/jama.2018.9128/joi180075supp2_prod.pdf#page=2</t>
        </is>
      </c>
    </row>
    <row r="386" ht="90" customHeight="1" s="14">
      <c r="A386" s="20" t="inlineStr">
        <is>
          <t>2018::jama.2018.9128::C011</t>
        </is>
      </c>
      <c r="B386" s="20" t="inlineStr">
        <is>
          <t>evidencePaths</t>
        </is>
      </c>
      <c r="C386" s="20" t="n">
        <v>0</v>
      </c>
      <c r="D386" s="20" t="inlineStr">
        <is>
          <t>2018/jama.2018.9128/.ai_paper_validation/review_1_5_2/source_inventory.md</t>
        </is>
      </c>
      <c r="E386" s="20" t="inlineStr">
        <is>
          <t>../../2018/jama.2018.9128/.ai_paper_validation/review_1_5_2/source_inventory.md</t>
        </is>
      </c>
    </row>
    <row r="387" ht="90" customHeight="1" s="14">
      <c r="A387" s="24" t="inlineStr">
        <is>
          <t>2018::jama.2018.9128::C011</t>
        </is>
      </c>
      <c r="B387" s="24" t="inlineStr">
        <is>
          <t>evidencePaths</t>
        </is>
      </c>
      <c r="C387" s="24" t="n">
        <v>1</v>
      </c>
      <c r="D387" s="24" t="inlineStr">
        <is>
          <t>2018/jama.2018.9128/.ai_paper_validation/review_1_5_2/verification/evidence_recheck.md</t>
        </is>
      </c>
      <c r="E387" s="24" t="inlineStr">
        <is>
          <t>../../2018/jama.2018.9128/.ai_paper_validation/review_1_5_2/verification/evidence_recheck.md</t>
        </is>
      </c>
    </row>
    <row r="388" ht="90" customHeight="1" s="14">
      <c r="A388" s="20" t="inlineStr">
        <is>
          <t>2018::jama.2018.9128::C012</t>
        </is>
      </c>
      <c r="B388" s="20" t="inlineStr">
        <is>
          <t>sourceLinks</t>
        </is>
      </c>
      <c r="C388" s="20" t="n">
        <v>0</v>
      </c>
      <c r="D388" s="20" t="inlineStr">
        <is>
          <t>DOC-002 original protocol — PDF p. 14</t>
        </is>
      </c>
      <c r="E388" s="20" t="inlineStr">
        <is>
          <t>../../2018/jama.2018.9128/joi180075supp1_prod.pdf#page=14</t>
        </is>
      </c>
    </row>
    <row r="389" ht="90" customHeight="1" s="14">
      <c r="A389" s="24" t="inlineStr">
        <is>
          <t>2018::jama.2018.9128::C012</t>
        </is>
      </c>
      <c r="B389" s="24" t="inlineStr">
        <is>
          <t>sourceLinks</t>
        </is>
      </c>
      <c r="C389" s="24" t="n">
        <v>1</v>
      </c>
      <c r="D389" s="24" t="inlineStr">
        <is>
          <t>DOC-002 revised protocol — PDF p. 64</t>
        </is>
      </c>
      <c r="E389" s="24" t="inlineStr">
        <is>
          <t>../../2018/jama.2018.9128/joi180075supp1_prod.pdf#page=64</t>
        </is>
      </c>
    </row>
    <row r="390" ht="90" customHeight="1" s="14">
      <c r="A390" s="20" t="inlineStr">
        <is>
          <t>2018::jama.2018.9128::C012</t>
        </is>
      </c>
      <c r="B390" s="20" t="inlineStr">
        <is>
          <t>sourceLinks</t>
        </is>
      </c>
      <c r="C390" s="20" t="n">
        <v>2</v>
      </c>
      <c r="D390" s="20" t="inlineStr">
        <is>
          <t>DOC-001 abstract — PDF p. 1</t>
        </is>
      </c>
      <c r="E390" s="20" t="inlineStr">
        <is>
          <t>../../2018/jama.2018.9128/jama_barkin_2018_oi_180075.pdf#page=1</t>
        </is>
      </c>
    </row>
    <row r="391" ht="90" customHeight="1" s="14">
      <c r="A391" s="24" t="inlineStr">
        <is>
          <t>2018::jama.2018.9128::C012</t>
        </is>
      </c>
      <c r="B391" s="24" t="inlineStr">
        <is>
          <t>sourceLinks</t>
        </is>
      </c>
      <c r="C391" s="24" t="n">
        <v>3</v>
      </c>
      <c r="D391" s="24" t="inlineStr">
        <is>
          <t>DOC-001 Methods — PDF p. 3</t>
        </is>
      </c>
      <c r="E391" s="24" t="inlineStr">
        <is>
          <t>../../2018/jama.2018.9128/jama_barkin_2018_oi_180075.pdf#page=3</t>
        </is>
      </c>
    </row>
    <row r="392" ht="90" customHeight="1" s="14">
      <c r="A392" s="20" t="inlineStr">
        <is>
          <t>2018::jama.2018.9128::C012</t>
        </is>
      </c>
      <c r="B392" s="20" t="inlineStr">
        <is>
          <t>evidencePaths</t>
        </is>
      </c>
      <c r="C392" s="20" t="n">
        <v>0</v>
      </c>
      <c r="D392" s="20" t="inlineStr">
        <is>
          <t>2018/jama.2018.9128/.ai_paper_validation/review_1_5_2/source_inventory.md</t>
        </is>
      </c>
      <c r="E392" s="20" t="inlineStr">
        <is>
          <t>../../2018/jama.2018.9128/.ai_paper_validation/review_1_5_2/source_inventory.md</t>
        </is>
      </c>
    </row>
    <row r="393" ht="90" customHeight="1" s="14">
      <c r="A393" s="24" t="inlineStr">
        <is>
          <t>2018::jama.2018.9128::C012</t>
        </is>
      </c>
      <c r="B393" s="24" t="inlineStr">
        <is>
          <t>evidencePaths</t>
        </is>
      </c>
      <c r="C393" s="24" t="n">
        <v>1</v>
      </c>
      <c r="D393" s="24" t="inlineStr">
        <is>
          <t>2018/jama.2018.9128/.ai_paper_validation/review_1_5_2/verification/evidence_recheck.md</t>
        </is>
      </c>
      <c r="E393" s="24" t="inlineStr">
        <is>
          <t>../../2018/jama.2018.9128/.ai_paper_validation/review_1_5_2/verification/evidence_recheck.md</t>
        </is>
      </c>
    </row>
    <row r="394" ht="90" customHeight="1" s="14">
      <c r="A394" s="20" t="inlineStr">
        <is>
          <t>2018::jama.2018.9128::C013</t>
        </is>
      </c>
      <c r="B394" s="20" t="inlineStr">
        <is>
          <t>sourceLinks</t>
        </is>
      </c>
      <c r="C394" s="20" t="n">
        <v>0</v>
      </c>
      <c r="D394" s="20" t="inlineStr">
        <is>
          <t>DOC-001 Figure 1 — PDF p. 3</t>
        </is>
      </c>
      <c r="E394" s="20" t="inlineStr">
        <is>
          <t>../../2018/jama.2018.9128/jama_barkin_2018_oi_180075.pdf#page=3</t>
        </is>
      </c>
    </row>
    <row r="395" ht="90" customHeight="1" s="14">
      <c r="A395" s="24" t="inlineStr">
        <is>
          <t>2018::jama.2018.9128::C013</t>
        </is>
      </c>
      <c r="B395" s="24" t="inlineStr">
        <is>
          <t>sourceLinks</t>
        </is>
      </c>
      <c r="C395" s="24" t="n">
        <v>1</v>
      </c>
      <c r="D395" s="24" t="inlineStr">
        <is>
          <t>DOC-001 Figure 2 — PDF p. 7</t>
        </is>
      </c>
      <c r="E395" s="24" t="inlineStr">
        <is>
          <t>../../2018/jama.2018.9128/jama_barkin_2018_oi_180075.pdf#page=7</t>
        </is>
      </c>
    </row>
    <row r="396" ht="90" customHeight="1" s="14">
      <c r="A396" s="20" t="inlineStr">
        <is>
          <t>2018::jama.2018.9128::C013</t>
        </is>
      </c>
      <c r="B396" s="20" t="inlineStr">
        <is>
          <t>sourceLinks</t>
        </is>
      </c>
      <c r="C396" s="20" t="n">
        <v>2</v>
      </c>
      <c r="D396" s="20" t="inlineStr">
        <is>
          <t>DOC-003 eTable 1 — PDF p. 2</t>
        </is>
      </c>
      <c r="E396" s="20" t="inlineStr">
        <is>
          <t>../../2018/jama.2018.9128/joi180075supp2_prod.pdf#page=2</t>
        </is>
      </c>
    </row>
    <row r="397" ht="90" customHeight="1" s="14">
      <c r="A397" s="24" t="inlineStr">
        <is>
          <t>2018::jama.2018.9128::C013</t>
        </is>
      </c>
      <c r="B397" s="24" t="inlineStr">
        <is>
          <t>evidencePaths</t>
        </is>
      </c>
      <c r="C397" s="24" t="n">
        <v>0</v>
      </c>
      <c r="D397" s="24" t="inlineStr">
        <is>
          <t>2018/jama.2018.9128/.ai_paper_validation/review_1_5_2/source_inventory.md</t>
        </is>
      </c>
      <c r="E397" s="24" t="inlineStr">
        <is>
          <t>../../2018/jama.2018.9128/.ai_paper_validation/review_1_5_2/source_inventory.md</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3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Height="1" s="14">
      <c r="A1" s="19" t="inlineStr">
        <is>
          <t>key</t>
        </is>
      </c>
      <c r="B1" s="19" t="inlineStr">
        <is>
          <t>kind</t>
        </is>
      </c>
      <c r="C1" s="19" t="inlineStr">
        <is>
          <t>order</t>
        </is>
      </c>
      <c r="D1" s="19" t="inlineStr">
        <is>
          <t>relationship</t>
        </is>
      </c>
    </row>
    <row r="2" ht="90" customHeight="1" s="14">
      <c r="A2" s="20" t="inlineStr">
        <is>
          <t>2018::jama.2017.21906::C001</t>
        </is>
      </c>
      <c r="B2" s="20" t="inlineStr">
        <is>
          <t>relations</t>
        </is>
      </c>
      <c r="C2" s="20" t="n">
        <v>0</v>
      </c>
      <c r="D2" s="20" t="inlineStr">
        <is>
          <t>S_W</t>
        </is>
      </c>
    </row>
    <row r="3" ht="90" customHeight="1" s="14">
      <c r="A3" s="24" t="inlineStr">
        <is>
          <t>2018::jama.2017.21906::C002</t>
        </is>
      </c>
      <c r="B3" s="24" t="inlineStr">
        <is>
          <t>relations</t>
        </is>
      </c>
      <c r="C3" s="24" t="n">
        <v>0</v>
      </c>
      <c r="D3" s="24" t="inlineStr">
        <is>
          <t>S_W</t>
        </is>
      </c>
    </row>
    <row r="4" ht="90" customHeight="1" s="14">
      <c r="A4" s="20" t="inlineStr">
        <is>
          <t>2018::jama.2017.21906::C003</t>
        </is>
      </c>
      <c r="B4" s="20" t="inlineStr">
        <is>
          <t>relations</t>
        </is>
      </c>
      <c r="C4" s="20" t="n">
        <v>0</v>
      </c>
      <c r="D4" s="20" t="inlineStr">
        <is>
          <t>S_W</t>
        </is>
      </c>
    </row>
    <row r="5" ht="90" customHeight="1" s="14">
      <c r="A5" s="24" t="inlineStr">
        <is>
          <t>2018::jama.2017.21906::C004</t>
        </is>
      </c>
      <c r="B5" s="24" t="inlineStr">
        <is>
          <t>relations</t>
        </is>
      </c>
      <c r="C5" s="24" t="n">
        <v>0</v>
      </c>
      <c r="D5" s="24" t="inlineStr">
        <is>
          <t>P_R</t>
        </is>
      </c>
    </row>
    <row r="6" ht="90" customHeight="1" s="14">
      <c r="A6" s="20" t="inlineStr">
        <is>
          <t>2018::jama.2017.21906::C005</t>
        </is>
      </c>
      <c r="B6" s="20" t="inlineStr">
        <is>
          <t>relations</t>
        </is>
      </c>
      <c r="C6" s="20" t="n">
        <v>0</v>
      </c>
      <c r="D6" s="20" t="inlineStr">
        <is>
          <t>S_C</t>
        </is>
      </c>
    </row>
    <row r="7" ht="90" customHeight="1" s="14">
      <c r="A7" s="24" t="inlineStr">
        <is>
          <t>2018::jama.2017.21906::C005</t>
        </is>
      </c>
      <c r="B7" s="24" t="inlineStr">
        <is>
          <t>relations</t>
        </is>
      </c>
      <c r="C7" s="24" t="n">
        <v>1</v>
      </c>
      <c r="D7" s="24" t="inlineStr">
        <is>
          <t>S_W</t>
        </is>
      </c>
    </row>
    <row r="8" ht="90" customHeight="1" s="14">
      <c r="A8" s="20" t="inlineStr">
        <is>
          <t>2018::jama.2017.21906::C006</t>
        </is>
      </c>
      <c r="B8" s="20" t="inlineStr">
        <is>
          <t>relations</t>
        </is>
      </c>
      <c r="C8" s="20" t="n">
        <v>0</v>
      </c>
      <c r="D8" s="20" t="inlineStr">
        <is>
          <t>P_R</t>
        </is>
      </c>
    </row>
    <row r="9" ht="90" customHeight="1" s="14">
      <c r="A9" s="24" t="inlineStr">
        <is>
          <t>2018::jama.2018.0156::C001</t>
        </is>
      </c>
      <c r="B9" s="24" t="inlineStr">
        <is>
          <t>relations</t>
        </is>
      </c>
      <c r="C9" s="24" t="n">
        <v>0</v>
      </c>
      <c r="D9" s="24" t="inlineStr">
        <is>
          <t>S_W</t>
        </is>
      </c>
    </row>
    <row r="10" ht="90" customHeight="1" s="14">
      <c r="A10" s="20" t="inlineStr">
        <is>
          <t>2018::jama.2018.0156::C002</t>
        </is>
      </c>
      <c r="B10" s="20" t="inlineStr">
        <is>
          <t>relations</t>
        </is>
      </c>
      <c r="C10" s="20" t="n">
        <v>0</v>
      </c>
      <c r="D10" s="20" t="inlineStr">
        <is>
          <t>S_W</t>
        </is>
      </c>
    </row>
    <row r="11" ht="90" customHeight="1" s="14">
      <c r="A11" s="24" t="inlineStr">
        <is>
          <t>2018::jama.2018.0156::C003</t>
        </is>
      </c>
      <c r="B11" s="24" t="inlineStr">
        <is>
          <t>relations</t>
        </is>
      </c>
      <c r="C11" s="24" t="n">
        <v>0</v>
      </c>
      <c r="D11" s="24" t="inlineStr">
        <is>
          <t>S_W</t>
        </is>
      </c>
    </row>
    <row r="12" ht="90" customHeight="1" s="14">
      <c r="A12" s="20" t="inlineStr">
        <is>
          <t>2018::jama.2018.0156::C004</t>
        </is>
      </c>
      <c r="B12" s="20" t="inlineStr">
        <is>
          <t>relations</t>
        </is>
      </c>
      <c r="C12" s="20" t="n">
        <v>0</v>
      </c>
      <c r="D12" s="20" t="inlineStr">
        <is>
          <t>S_W</t>
        </is>
      </c>
    </row>
    <row r="13" ht="90" customHeight="1" s="14">
      <c r="A13" s="24" t="inlineStr">
        <is>
          <t>2018::jama.2018.0156::C005</t>
        </is>
      </c>
      <c r="B13" s="24" t="inlineStr">
        <is>
          <t>relations</t>
        </is>
      </c>
      <c r="C13" s="24" t="n">
        <v>0</v>
      </c>
      <c r="D13" s="24" t="inlineStr">
        <is>
          <t>S_W</t>
        </is>
      </c>
    </row>
    <row r="14" ht="90" customHeight="1" s="14">
      <c r="A14" s="20" t="inlineStr">
        <is>
          <t>2018::jama.2018.0156::C006</t>
        </is>
      </c>
      <c r="B14" s="20" t="inlineStr">
        <is>
          <t>relations</t>
        </is>
      </c>
      <c r="C14" s="20" t="n">
        <v>0</v>
      </c>
      <c r="D14" s="20" t="inlineStr">
        <is>
          <t>S_C</t>
        </is>
      </c>
    </row>
    <row r="15" ht="90" customHeight="1" s="14">
      <c r="A15" s="24" t="inlineStr">
        <is>
          <t>2018::jama.2018.0156::C007</t>
        </is>
      </c>
      <c r="B15" s="24" t="inlineStr">
        <is>
          <t>relations</t>
        </is>
      </c>
      <c r="C15" s="24" t="n">
        <v>0</v>
      </c>
      <c r="D15" s="24" t="inlineStr">
        <is>
          <t>P_R</t>
        </is>
      </c>
    </row>
    <row r="16" ht="90" customHeight="1" s="14">
      <c r="A16" s="20" t="inlineStr">
        <is>
          <t>2018::jama.2018.0156::C008</t>
        </is>
      </c>
      <c r="B16" s="20" t="inlineStr">
        <is>
          <t>relations</t>
        </is>
      </c>
      <c r="C16" s="20" t="n">
        <v>0</v>
      </c>
      <c r="D16" s="20" t="inlineStr">
        <is>
          <t>P_R</t>
        </is>
      </c>
    </row>
    <row r="17" ht="90" customHeight="1" s="14">
      <c r="A17" s="24" t="inlineStr">
        <is>
          <t>2018::jama.2018.0948::C001</t>
        </is>
      </c>
      <c r="B17" s="24" t="inlineStr">
        <is>
          <t>relations</t>
        </is>
      </c>
      <c r="C17" s="24" t="n">
        <v>0</v>
      </c>
      <c r="D17" s="24" t="inlineStr">
        <is>
          <t>P_R</t>
        </is>
      </c>
    </row>
    <row r="18" ht="90" customHeight="1" s="14">
      <c r="A18" s="20" t="inlineStr">
        <is>
          <t>2018::jama.2018.0948::C001</t>
        </is>
      </c>
      <c r="B18" s="20" t="inlineStr">
        <is>
          <t>relations</t>
        </is>
      </c>
      <c r="C18" s="20" t="n">
        <v>1</v>
      </c>
      <c r="D18" s="20" t="inlineStr">
        <is>
          <t>S_C</t>
        </is>
      </c>
    </row>
    <row r="19" ht="90" customHeight="1" s="14">
      <c r="A19" s="24" t="inlineStr">
        <is>
          <t>2018::jama.2018.0948::C002</t>
        </is>
      </c>
      <c r="B19" s="24" t="inlineStr">
        <is>
          <t>relations</t>
        </is>
      </c>
      <c r="C19" s="24" t="n">
        <v>0</v>
      </c>
      <c r="D19" s="24" t="inlineStr">
        <is>
          <t>P_P</t>
        </is>
      </c>
    </row>
    <row r="20" ht="90" customHeight="1" s="14">
      <c r="A20" s="20" t="inlineStr">
        <is>
          <t>2018::jama.2018.0948::C003</t>
        </is>
      </c>
      <c r="B20" s="20" t="inlineStr">
        <is>
          <t>relations</t>
        </is>
      </c>
      <c r="C20" s="20" t="n">
        <v>0</v>
      </c>
      <c r="D20" s="20" t="inlineStr">
        <is>
          <t>P_P</t>
        </is>
      </c>
    </row>
    <row r="21" ht="90" customHeight="1" s="14">
      <c r="A21" s="24" t="inlineStr">
        <is>
          <t>2018::jama.2018.0948::C004</t>
        </is>
      </c>
      <c r="B21" s="24" t="inlineStr">
        <is>
          <t>relations</t>
        </is>
      </c>
      <c r="C21" s="24" t="n">
        <v>0</v>
      </c>
      <c r="D21" s="24" t="inlineStr">
        <is>
          <t>P_P</t>
        </is>
      </c>
    </row>
    <row r="22" ht="90" customHeight="1" s="14">
      <c r="A22" s="20" t="inlineStr">
        <is>
          <t>2018::jama.2018.0948::C005</t>
        </is>
      </c>
      <c r="B22" s="20" t="inlineStr">
        <is>
          <t>relations</t>
        </is>
      </c>
      <c r="C22" s="20" t="n">
        <v>0</v>
      </c>
      <c r="D22" s="20" t="inlineStr">
        <is>
          <t>P_P</t>
        </is>
      </c>
    </row>
    <row r="23" ht="90" customHeight="1" s="14">
      <c r="A23" s="24" t="inlineStr">
        <is>
          <t>2018::jama.2018.0948::C005</t>
        </is>
      </c>
      <c r="B23" s="24" t="inlineStr">
        <is>
          <t>legacyRelations</t>
        </is>
      </c>
      <c r="C23" s="24" t="n">
        <v>0</v>
      </c>
      <c r="D23" s="24" t="inlineStr">
        <is>
          <t>P_B</t>
        </is>
      </c>
    </row>
    <row r="24" ht="90" customHeight="1" s="14">
      <c r="A24" s="20" t="inlineStr">
        <is>
          <t>2018::jama.2018.0948::C006</t>
        </is>
      </c>
      <c r="B24" s="20" t="inlineStr">
        <is>
          <t>relations</t>
        </is>
      </c>
      <c r="C24" s="20" t="n">
        <v>0</v>
      </c>
      <c r="D24" s="20" t="inlineStr">
        <is>
          <t>P_P</t>
        </is>
      </c>
    </row>
    <row r="25" ht="90" customHeight="1" s="14">
      <c r="A25" s="24" t="inlineStr">
        <is>
          <t>2018::jama.2018.0948::C007</t>
        </is>
      </c>
      <c r="B25" s="24" t="inlineStr">
        <is>
          <t>relations</t>
        </is>
      </c>
      <c r="C25" s="24" t="n">
        <v>0</v>
      </c>
      <c r="D25" s="24" t="inlineStr">
        <is>
          <t>P_P</t>
        </is>
      </c>
    </row>
    <row r="26" ht="90" customHeight="1" s="14">
      <c r="A26" s="20" t="inlineStr">
        <is>
          <t>2018::jama.2018.0948::C007</t>
        </is>
      </c>
      <c r="B26" s="20" t="inlineStr">
        <is>
          <t>legacyRelations</t>
        </is>
      </c>
      <c r="C26" s="20" t="n">
        <v>0</v>
      </c>
      <c r="D26" s="20" t="inlineStr">
        <is>
          <t>P_B</t>
        </is>
      </c>
    </row>
    <row r="27" ht="90" customHeight="1" s="14">
      <c r="A27" s="24" t="inlineStr">
        <is>
          <t>2018::jama.2018.14280::C001</t>
        </is>
      </c>
      <c r="B27" s="24" t="inlineStr">
        <is>
          <t>relations</t>
        </is>
      </c>
      <c r="C27" s="24" t="n">
        <v>0</v>
      </c>
      <c r="D27" s="24" t="inlineStr">
        <is>
          <t>S_W</t>
        </is>
      </c>
    </row>
    <row r="28" ht="90" customHeight="1" s="14">
      <c r="A28" s="20" t="inlineStr">
        <is>
          <t>2018::jama.2018.14280::C002</t>
        </is>
      </c>
      <c r="B28" s="20" t="inlineStr">
        <is>
          <t>relations</t>
        </is>
      </c>
      <c r="C28" s="20" t="n">
        <v>0</v>
      </c>
      <c r="D28" s="20" t="inlineStr">
        <is>
          <t>S_W</t>
        </is>
      </c>
    </row>
    <row r="29" ht="90" customHeight="1" s="14">
      <c r="A29" s="24" t="inlineStr">
        <is>
          <t>2018::jama.2018.14280::C003</t>
        </is>
      </c>
      <c r="B29" s="24" t="inlineStr">
        <is>
          <t>relations</t>
        </is>
      </c>
      <c r="C29" s="24" t="n">
        <v>0</v>
      </c>
      <c r="D29" s="24" t="inlineStr">
        <is>
          <t>S_W</t>
        </is>
      </c>
    </row>
    <row r="30" ht="90" customHeight="1" s="14">
      <c r="A30" s="20" t="inlineStr">
        <is>
          <t>2018::jama.2018.14280::C004</t>
        </is>
      </c>
      <c r="B30" s="20" t="inlineStr">
        <is>
          <t>relations</t>
        </is>
      </c>
      <c r="C30" s="20" t="n">
        <v>0</v>
      </c>
      <c r="D30" s="20" t="inlineStr">
        <is>
          <t>S_W</t>
        </is>
      </c>
    </row>
    <row r="31" ht="90" customHeight="1" s="14">
      <c r="A31" s="24" t="inlineStr">
        <is>
          <t>2018::jama.2018.14280::C005</t>
        </is>
      </c>
      <c r="B31" s="24" t="inlineStr">
        <is>
          <t>relations</t>
        </is>
      </c>
      <c r="C31" s="24" t="n">
        <v>0</v>
      </c>
      <c r="D31" s="24" t="inlineStr">
        <is>
          <t>S_W</t>
        </is>
      </c>
    </row>
    <row r="32" ht="90" customHeight="1" s="14">
      <c r="A32" s="20" t="inlineStr">
        <is>
          <t>2018::jama.2018.14280::C006</t>
        </is>
      </c>
      <c r="B32" s="20" t="inlineStr">
        <is>
          <t>relations</t>
        </is>
      </c>
      <c r="C32" s="20" t="n">
        <v>0</v>
      </c>
      <c r="D32" s="20" t="inlineStr">
        <is>
          <t>S_W</t>
        </is>
      </c>
    </row>
    <row r="33" ht="90" customHeight="1" s="14">
      <c r="A33" s="24" t="inlineStr">
        <is>
          <t>2018::jama.2018.14280::C007</t>
        </is>
      </c>
      <c r="B33" s="24" t="inlineStr">
        <is>
          <t>relations</t>
        </is>
      </c>
      <c r="C33" s="24" t="n">
        <v>0</v>
      </c>
      <c r="D33" s="24" t="inlineStr">
        <is>
          <t>S_W</t>
        </is>
      </c>
    </row>
    <row r="34" ht="90" customHeight="1" s="14">
      <c r="A34" s="20" t="inlineStr">
        <is>
          <t>2018::jama.2018.14280::C008</t>
        </is>
      </c>
      <c r="B34" s="20" t="inlineStr">
        <is>
          <t>relations</t>
        </is>
      </c>
      <c r="C34" s="20" t="n">
        <v>0</v>
      </c>
      <c r="D34" s="20" t="inlineStr">
        <is>
          <t>S_W</t>
        </is>
      </c>
    </row>
    <row r="35" ht="90" customHeight="1" s="14">
      <c r="A35" s="24" t="inlineStr">
        <is>
          <t>2018::jama.2018.14280::C009</t>
        </is>
      </c>
      <c r="B35" s="24" t="inlineStr">
        <is>
          <t>relations</t>
        </is>
      </c>
      <c r="C35" s="24" t="n">
        <v>0</v>
      </c>
      <c r="D35" s="24" t="inlineStr">
        <is>
          <t>S_W</t>
        </is>
      </c>
    </row>
    <row r="36" ht="90" customHeight="1" s="14">
      <c r="A36" s="20" t="inlineStr">
        <is>
          <t>2018::jama.2018.14280::C010</t>
        </is>
      </c>
      <c r="B36" s="20" t="inlineStr">
        <is>
          <t>relations</t>
        </is>
      </c>
      <c r="C36" s="20" t="n">
        <v>0</v>
      </c>
      <c r="D36" s="20" t="inlineStr">
        <is>
          <t>S_W</t>
        </is>
      </c>
    </row>
    <row r="37" ht="90" customHeight="1" s="14">
      <c r="A37" s="24" t="inlineStr">
        <is>
          <t>2018::jama.2018.14280::C011</t>
        </is>
      </c>
      <c r="B37" s="24" t="inlineStr">
        <is>
          <t>relations</t>
        </is>
      </c>
      <c r="C37" s="24" t="n">
        <v>0</v>
      </c>
      <c r="D37" s="24" t="inlineStr">
        <is>
          <t>S_W</t>
        </is>
      </c>
    </row>
    <row r="38" ht="90" customHeight="1" s="14">
      <c r="A38" s="20" t="inlineStr">
        <is>
          <t>2018::jama.2018.14280::C012</t>
        </is>
      </c>
      <c r="B38" s="20" t="inlineStr">
        <is>
          <t>relations</t>
        </is>
      </c>
      <c r="C38" s="20" t="n">
        <v>0</v>
      </c>
      <c r="D38" s="20" t="inlineStr">
        <is>
          <t>S_W</t>
        </is>
      </c>
    </row>
    <row r="39" ht="90" customHeight="1" s="14">
      <c r="A39" s="24" t="inlineStr">
        <is>
          <t>2018::jama.2018.14280::C013</t>
        </is>
      </c>
      <c r="B39" s="24" t="inlineStr">
        <is>
          <t>relations</t>
        </is>
      </c>
      <c r="C39" s="24" t="n">
        <v>0</v>
      </c>
      <c r="D39" s="24" t="inlineStr">
        <is>
          <t>S_W</t>
        </is>
      </c>
    </row>
    <row r="40" ht="90" customHeight="1" s="14">
      <c r="A40" s="20" t="inlineStr">
        <is>
          <t>2018::jama.2018.14280::C014</t>
        </is>
      </c>
      <c r="B40" s="20" t="inlineStr">
        <is>
          <t>relations</t>
        </is>
      </c>
      <c r="C40" s="20" t="n">
        <v>0</v>
      </c>
      <c r="D40" s="20" t="inlineStr">
        <is>
          <t>S_W</t>
        </is>
      </c>
    </row>
    <row r="41" ht="90" customHeight="1" s="14">
      <c r="A41" s="24" t="inlineStr">
        <is>
          <t>2018::jama.2018.14280::C015</t>
        </is>
      </c>
      <c r="B41" s="24" t="inlineStr">
        <is>
          <t>relations</t>
        </is>
      </c>
      <c r="C41" s="24" t="n">
        <v>0</v>
      </c>
      <c r="D41" s="24" t="inlineStr">
        <is>
          <t>S_W</t>
        </is>
      </c>
    </row>
    <row r="42" ht="90" customHeight="1" s="14">
      <c r="A42" s="20" t="inlineStr">
        <is>
          <t>2018::jama.2018.14280::C016</t>
        </is>
      </c>
      <c r="B42" s="20" t="inlineStr">
        <is>
          <t>relations</t>
        </is>
      </c>
      <c r="C42" s="20" t="n">
        <v>0</v>
      </c>
      <c r="D42" s="20" t="inlineStr">
        <is>
          <t>S_W</t>
        </is>
      </c>
    </row>
    <row r="43" ht="90" customHeight="1" s="14">
      <c r="A43" s="24" t="inlineStr">
        <is>
          <t>2018::jama.2018.14280::C017</t>
        </is>
      </c>
      <c r="B43" s="24" t="inlineStr">
        <is>
          <t>relations</t>
        </is>
      </c>
      <c r="C43" s="24" t="n">
        <v>0</v>
      </c>
      <c r="D43" s="24" t="inlineStr">
        <is>
          <t>S_W</t>
        </is>
      </c>
    </row>
    <row r="44" ht="90" customHeight="1" s="14">
      <c r="A44" s="20" t="inlineStr">
        <is>
          <t>2018::jama.2018.14280::C018</t>
        </is>
      </c>
      <c r="B44" s="20" t="inlineStr">
        <is>
          <t>relations</t>
        </is>
      </c>
      <c r="C44" s="20" t="n">
        <v>0</v>
      </c>
      <c r="D44" s="20" t="inlineStr">
        <is>
          <t>S_W</t>
        </is>
      </c>
    </row>
    <row r="45" ht="90" customHeight="1" s="14">
      <c r="A45" s="24" t="inlineStr">
        <is>
          <t>2018::jama.2018.14280::C019</t>
        </is>
      </c>
      <c r="B45" s="24" t="inlineStr">
        <is>
          <t>relations</t>
        </is>
      </c>
      <c r="C45" s="24" t="n">
        <v>0</v>
      </c>
      <c r="D45" s="24" t="inlineStr">
        <is>
          <t>S_W</t>
        </is>
      </c>
    </row>
    <row r="46" ht="90" customHeight="1" s="14">
      <c r="A46" s="20" t="inlineStr">
        <is>
          <t>2018::jama.2018.14280::C020</t>
        </is>
      </c>
      <c r="B46" s="20" t="inlineStr">
        <is>
          <t>relations</t>
        </is>
      </c>
      <c r="C46" s="20" t="n">
        <v>0</v>
      </c>
      <c r="D46" s="20" t="inlineStr">
        <is>
          <t>S_W</t>
        </is>
      </c>
    </row>
    <row r="47" ht="90" customHeight="1" s="14">
      <c r="A47" s="24" t="inlineStr">
        <is>
          <t>2018::jama.2018.14280::C021</t>
        </is>
      </c>
      <c r="B47" s="24" t="inlineStr">
        <is>
          <t>relations</t>
        </is>
      </c>
      <c r="C47" s="24" t="n">
        <v>0</v>
      </c>
      <c r="D47" s="24" t="inlineStr">
        <is>
          <t>S_W</t>
        </is>
      </c>
    </row>
    <row r="48" ht="90" customHeight="1" s="14">
      <c r="A48" s="20" t="inlineStr">
        <is>
          <t>2018::jama.2018.14280::C022</t>
        </is>
      </c>
      <c r="B48" s="20" t="inlineStr">
        <is>
          <t>relations</t>
        </is>
      </c>
      <c r="C48" s="20" t="n">
        <v>0</v>
      </c>
      <c r="D48" s="20" t="inlineStr">
        <is>
          <t>S_C</t>
        </is>
      </c>
    </row>
    <row r="49" ht="90" customHeight="1" s="14">
      <c r="A49" s="24" t="inlineStr">
        <is>
          <t>2018::jama.2018.14280::C023</t>
        </is>
      </c>
      <c r="B49" s="24" t="inlineStr">
        <is>
          <t>relations</t>
        </is>
      </c>
      <c r="C49" s="24" t="n">
        <v>0</v>
      </c>
      <c r="D49" s="24" t="inlineStr">
        <is>
          <t>P_R</t>
        </is>
      </c>
    </row>
    <row r="50" ht="90" customHeight="1" s="14">
      <c r="A50" s="20" t="inlineStr">
        <is>
          <t>2018::jama.2018.14282::C001</t>
        </is>
      </c>
      <c r="B50" s="20" t="inlineStr">
        <is>
          <t>relations</t>
        </is>
      </c>
      <c r="C50" s="20" t="n">
        <v>0</v>
      </c>
      <c r="D50" s="20" t="inlineStr">
        <is>
          <t>S_W</t>
        </is>
      </c>
    </row>
    <row r="51" ht="90" customHeight="1" s="14">
      <c r="A51" s="24" t="inlineStr">
        <is>
          <t>2018::jama.2018.14282::C002</t>
        </is>
      </c>
      <c r="B51" s="24" t="inlineStr">
        <is>
          <t>relations</t>
        </is>
      </c>
      <c r="C51" s="24" t="n">
        <v>0</v>
      </c>
      <c r="D51" s="24" t="inlineStr">
        <is>
          <t>S_W</t>
        </is>
      </c>
    </row>
    <row r="52" ht="90" customHeight="1" s="14">
      <c r="A52" s="20" t="inlineStr">
        <is>
          <t>2018::jama.2018.14282::C003</t>
        </is>
      </c>
      <c r="B52" s="20" t="inlineStr">
        <is>
          <t>relations</t>
        </is>
      </c>
      <c r="C52" s="20" t="n">
        <v>0</v>
      </c>
      <c r="D52" s="20" t="inlineStr">
        <is>
          <t>S_W</t>
        </is>
      </c>
    </row>
    <row r="53" ht="90" customHeight="1" s="14">
      <c r="A53" s="24" t="inlineStr">
        <is>
          <t>2018::jama.2018.14282::C004</t>
        </is>
      </c>
      <c r="B53" s="24" t="inlineStr">
        <is>
          <t>relations</t>
        </is>
      </c>
      <c r="C53" s="24" t="n">
        <v>0</v>
      </c>
      <c r="D53" s="24" t="inlineStr">
        <is>
          <t>S_W</t>
        </is>
      </c>
    </row>
    <row r="54" ht="90" customHeight="1" s="14">
      <c r="A54" s="20" t="inlineStr">
        <is>
          <t>2018::jama.2018.14282::C005</t>
        </is>
      </c>
      <c r="B54" s="20" t="inlineStr">
        <is>
          <t>relations</t>
        </is>
      </c>
      <c r="C54" s="20" t="n">
        <v>0</v>
      </c>
      <c r="D54" s="20" t="inlineStr">
        <is>
          <t>S_W</t>
        </is>
      </c>
    </row>
    <row r="55" ht="90" customHeight="1" s="14">
      <c r="A55" s="24" t="inlineStr">
        <is>
          <t>2018::jama.2018.14282::C006</t>
        </is>
      </c>
      <c r="B55" s="24" t="inlineStr">
        <is>
          <t>relations</t>
        </is>
      </c>
      <c r="C55" s="24" t="n">
        <v>0</v>
      </c>
      <c r="D55" s="24" t="inlineStr">
        <is>
          <t>S_W</t>
        </is>
      </c>
    </row>
    <row r="56" ht="90" customHeight="1" s="14">
      <c r="A56" s="20" t="inlineStr">
        <is>
          <t>2018::jama.2018.14282::C007</t>
        </is>
      </c>
      <c r="B56" s="20" t="inlineStr">
        <is>
          <t>relations</t>
        </is>
      </c>
      <c r="C56" s="20" t="n">
        <v>0</v>
      </c>
      <c r="D56" s="20" t="inlineStr">
        <is>
          <t>S_W</t>
        </is>
      </c>
    </row>
    <row r="57" ht="90" customHeight="1" s="14">
      <c r="A57" s="24" t="inlineStr">
        <is>
          <t>2018::jama.2018.14282::C008</t>
        </is>
      </c>
      <c r="B57" s="24" t="inlineStr">
        <is>
          <t>relations</t>
        </is>
      </c>
      <c r="C57" s="24" t="n">
        <v>0</v>
      </c>
      <c r="D57" s="24" t="inlineStr">
        <is>
          <t>S_W</t>
        </is>
      </c>
    </row>
    <row r="58" ht="90" customHeight="1" s="14">
      <c r="A58" s="20" t="inlineStr">
        <is>
          <t>2018::jama.2018.14282::C009</t>
        </is>
      </c>
      <c r="B58" s="20" t="inlineStr">
        <is>
          <t>relations</t>
        </is>
      </c>
      <c r="C58" s="20" t="n">
        <v>0</v>
      </c>
      <c r="D58" s="20" t="inlineStr">
        <is>
          <t>S_W</t>
        </is>
      </c>
    </row>
    <row r="59" ht="90" customHeight="1" s="14">
      <c r="A59" s="24" t="inlineStr">
        <is>
          <t>2018::jama.2018.14282::C010</t>
        </is>
      </c>
      <c r="B59" s="24" t="inlineStr">
        <is>
          <t>relations</t>
        </is>
      </c>
      <c r="C59" s="24" t="n">
        <v>0</v>
      </c>
      <c r="D59" s="24" t="inlineStr">
        <is>
          <t>S_W</t>
        </is>
      </c>
    </row>
    <row r="60" ht="90" customHeight="1" s="14">
      <c r="A60" s="20" t="inlineStr">
        <is>
          <t>2018::jama.2018.14282::C011</t>
        </is>
      </c>
      <c r="B60" s="20" t="inlineStr">
        <is>
          <t>relations</t>
        </is>
      </c>
      <c r="C60" s="20" t="n">
        <v>0</v>
      </c>
      <c r="D60" s="20" t="inlineStr">
        <is>
          <t>S_W</t>
        </is>
      </c>
    </row>
    <row r="61" ht="90" customHeight="1" s="14">
      <c r="A61" s="24" t="inlineStr">
        <is>
          <t>2018::jama.2018.14282::C012</t>
        </is>
      </c>
      <c r="B61" s="24" t="inlineStr">
        <is>
          <t>relations</t>
        </is>
      </c>
      <c r="C61" s="24" t="n">
        <v>0</v>
      </c>
      <c r="D61" s="24" t="inlineStr">
        <is>
          <t>S_W</t>
        </is>
      </c>
    </row>
    <row r="62" ht="90" customHeight="1" s="14">
      <c r="A62" s="20" t="inlineStr">
        <is>
          <t>2018::jama.2018.14282::C013</t>
        </is>
      </c>
      <c r="B62" s="20" t="inlineStr">
        <is>
          <t>relations</t>
        </is>
      </c>
      <c r="C62" s="20" t="n">
        <v>0</v>
      </c>
      <c r="D62" s="20" t="inlineStr">
        <is>
          <t>S_W</t>
        </is>
      </c>
    </row>
    <row r="63" ht="90" customHeight="1" s="14">
      <c r="A63" s="24" t="inlineStr">
        <is>
          <t>2018::jama.2018.14282::C014</t>
        </is>
      </c>
      <c r="B63" s="24" t="inlineStr">
        <is>
          <t>relations</t>
        </is>
      </c>
      <c r="C63" s="24" t="n">
        <v>0</v>
      </c>
      <c r="D63" s="24" t="inlineStr">
        <is>
          <t>S_W</t>
        </is>
      </c>
    </row>
    <row r="64" ht="90" customHeight="1" s="14">
      <c r="A64" s="20" t="inlineStr">
        <is>
          <t>2018::jama.2018.14282::C015</t>
        </is>
      </c>
      <c r="B64" s="20" t="inlineStr">
        <is>
          <t>relations</t>
        </is>
      </c>
      <c r="C64" s="20" t="n">
        <v>0</v>
      </c>
      <c r="D64" s="20" t="inlineStr">
        <is>
          <t>S_W</t>
        </is>
      </c>
    </row>
    <row r="65" ht="90" customHeight="1" s="14">
      <c r="A65" s="24" t="inlineStr">
        <is>
          <t>2018::jama.2018.14282::C016</t>
        </is>
      </c>
      <c r="B65" s="24" t="inlineStr">
        <is>
          <t>relations</t>
        </is>
      </c>
      <c r="C65" s="24" t="n">
        <v>0</v>
      </c>
      <c r="D65" s="24" t="inlineStr">
        <is>
          <t>S_W</t>
        </is>
      </c>
    </row>
    <row r="66" ht="90" customHeight="1" s="14">
      <c r="A66" s="20" t="inlineStr">
        <is>
          <t>2018::jama.2018.14282::C017</t>
        </is>
      </c>
      <c r="B66" s="20" t="inlineStr">
        <is>
          <t>relations</t>
        </is>
      </c>
      <c r="C66" s="20" t="n">
        <v>0</v>
      </c>
      <c r="D66" s="20" t="inlineStr">
        <is>
          <t>S_W</t>
        </is>
      </c>
    </row>
    <row r="67" ht="90" customHeight="1" s="14">
      <c r="A67" s="24" t="inlineStr">
        <is>
          <t>2018::jama.2018.14282::C018</t>
        </is>
      </c>
      <c r="B67" s="24" t="inlineStr">
        <is>
          <t>relations</t>
        </is>
      </c>
      <c r="C67" s="24" t="n">
        <v>0</v>
      </c>
      <c r="D67" s="24" t="inlineStr">
        <is>
          <t>S_W</t>
        </is>
      </c>
    </row>
    <row r="68" ht="90" customHeight="1" s="14">
      <c r="A68" s="20" t="inlineStr">
        <is>
          <t>2018::jama.2018.14282::C019</t>
        </is>
      </c>
      <c r="B68" s="20" t="inlineStr">
        <is>
          <t>relations</t>
        </is>
      </c>
      <c r="C68" s="20" t="n">
        <v>0</v>
      </c>
      <c r="D68" s="20" t="inlineStr">
        <is>
          <t>S_W</t>
        </is>
      </c>
    </row>
    <row r="69" ht="90" customHeight="1" s="14">
      <c r="A69" s="24" t="inlineStr">
        <is>
          <t>2018::jama.2018.14282::C020</t>
        </is>
      </c>
      <c r="B69" s="24" t="inlineStr">
        <is>
          <t>relations</t>
        </is>
      </c>
      <c r="C69" s="24" t="n">
        <v>0</v>
      </c>
      <c r="D69" s="24" t="inlineStr">
        <is>
          <t>S_W</t>
        </is>
      </c>
    </row>
    <row r="70" ht="90" customHeight="1" s="14">
      <c r="A70" s="20" t="inlineStr">
        <is>
          <t>2018::jama.2018.14282::C021</t>
        </is>
      </c>
      <c r="B70" s="20" t="inlineStr">
        <is>
          <t>relations</t>
        </is>
      </c>
      <c r="C70" s="20" t="n">
        <v>0</v>
      </c>
      <c r="D70" s="20" t="inlineStr">
        <is>
          <t>S_W</t>
        </is>
      </c>
    </row>
    <row r="71" ht="90" customHeight="1" s="14">
      <c r="A71" s="24" t="inlineStr">
        <is>
          <t>2018::jama.2018.14282::C022</t>
        </is>
      </c>
      <c r="B71" s="24" t="inlineStr">
        <is>
          <t>relations</t>
        </is>
      </c>
      <c r="C71" s="24" t="n">
        <v>0</v>
      </c>
      <c r="D71" s="24" t="inlineStr">
        <is>
          <t>S_C</t>
        </is>
      </c>
    </row>
    <row r="72" ht="90" customHeight="1" s="14">
      <c r="A72" s="20" t="inlineStr">
        <is>
          <t>2018::jama.2018.14282::C023</t>
        </is>
      </c>
      <c r="B72" s="20" t="inlineStr">
        <is>
          <t>relations</t>
        </is>
      </c>
      <c r="C72" s="20" t="n">
        <v>0</v>
      </c>
      <c r="D72" s="20" t="inlineStr">
        <is>
          <t>S_W</t>
        </is>
      </c>
    </row>
    <row r="73" ht="90" customHeight="1" s="14">
      <c r="A73" s="24" t="inlineStr">
        <is>
          <t>2018::jama.2018.14282::C024</t>
        </is>
      </c>
      <c r="B73" s="24" t="inlineStr">
        <is>
          <t>relations</t>
        </is>
      </c>
      <c r="C73" s="24" t="n">
        <v>0</v>
      </c>
      <c r="D73" s="24" t="inlineStr">
        <is>
          <t>S_W</t>
        </is>
      </c>
    </row>
    <row r="74" ht="90" customHeight="1" s="14">
      <c r="A74" s="20" t="inlineStr">
        <is>
          <t>2018::jama.2018.14282::C025</t>
        </is>
      </c>
      <c r="B74" s="20" t="inlineStr">
        <is>
          <t>relations</t>
        </is>
      </c>
      <c r="C74" s="20" t="n">
        <v>0</v>
      </c>
      <c r="D74" s="20" t="inlineStr">
        <is>
          <t>S_W</t>
        </is>
      </c>
    </row>
    <row r="75" ht="90" customHeight="1" s="14">
      <c r="A75" s="24" t="inlineStr">
        <is>
          <t>2018::jama.2018.14282::C026</t>
        </is>
      </c>
      <c r="B75" s="24" t="inlineStr">
        <is>
          <t>relations</t>
        </is>
      </c>
      <c r="C75" s="24" t="n">
        <v>0</v>
      </c>
      <c r="D75" s="24" t="inlineStr">
        <is>
          <t>P_P</t>
        </is>
      </c>
    </row>
    <row r="76" ht="90" customHeight="1" s="14">
      <c r="A76" s="20" t="inlineStr">
        <is>
          <t>2018::jama.2018.14282::C027</t>
        </is>
      </c>
      <c r="B76" s="20" t="inlineStr">
        <is>
          <t>relations</t>
        </is>
      </c>
      <c r="C76" s="20" t="n">
        <v>0</v>
      </c>
      <c r="D76" s="20" t="inlineStr">
        <is>
          <t>P_P</t>
        </is>
      </c>
    </row>
    <row r="77" ht="90" customHeight="1" s="14">
      <c r="A77" s="24" t="inlineStr">
        <is>
          <t>2018::jama.2018.14282::C028</t>
        </is>
      </c>
      <c r="B77" s="24" t="inlineStr">
        <is>
          <t>relations</t>
        </is>
      </c>
      <c r="C77" s="24" t="n">
        <v>0</v>
      </c>
      <c r="D77" s="24" t="inlineStr">
        <is>
          <t>P_P</t>
        </is>
      </c>
    </row>
    <row r="78" ht="90" customHeight="1" s="14">
      <c r="A78" s="20" t="inlineStr">
        <is>
          <t>2018::jama.2018.17075::C001</t>
        </is>
      </c>
      <c r="B78" s="20" t="inlineStr">
        <is>
          <t>relations</t>
        </is>
      </c>
      <c r="C78" s="20" t="n">
        <v>0</v>
      </c>
      <c r="D78" s="20" t="inlineStr">
        <is>
          <t>S_W</t>
        </is>
      </c>
    </row>
    <row r="79" ht="90" customHeight="1" s="14">
      <c r="A79" s="24" t="inlineStr">
        <is>
          <t>2018::jama.2018.17075::C002</t>
        </is>
      </c>
      <c r="B79" s="24" t="inlineStr">
        <is>
          <t>relations</t>
        </is>
      </c>
      <c r="C79" s="24" t="n">
        <v>0</v>
      </c>
      <c r="D79" s="24" t="inlineStr">
        <is>
          <t>S_W</t>
        </is>
      </c>
    </row>
    <row r="80" ht="90" customHeight="1" s="14">
      <c r="A80" s="20" t="inlineStr">
        <is>
          <t>2018::jama.2018.17075::C003</t>
        </is>
      </c>
      <c r="B80" s="20" t="inlineStr">
        <is>
          <t>relations</t>
        </is>
      </c>
      <c r="C80" s="20" t="n">
        <v>0</v>
      </c>
      <c r="D80" s="20" t="inlineStr">
        <is>
          <t>S_C</t>
        </is>
      </c>
    </row>
    <row r="81" ht="90" customHeight="1" s="14">
      <c r="A81" s="24" t="inlineStr">
        <is>
          <t>2018::jama.2018.17075::C003</t>
        </is>
      </c>
      <c r="B81" s="24" t="inlineStr">
        <is>
          <t>relations</t>
        </is>
      </c>
      <c r="C81" s="24" t="n">
        <v>1</v>
      </c>
      <c r="D81" s="24" t="inlineStr">
        <is>
          <t>S_W</t>
        </is>
      </c>
    </row>
    <row r="82" ht="90" customHeight="1" s="14">
      <c r="A82" s="20" t="inlineStr">
        <is>
          <t>2018::jama.2018.17075::C004</t>
        </is>
      </c>
      <c r="B82" s="20" t="inlineStr">
        <is>
          <t>relations</t>
        </is>
      </c>
      <c r="C82" s="20" t="n">
        <v>0</v>
      </c>
      <c r="D82" s="20" t="inlineStr">
        <is>
          <t>S_C</t>
        </is>
      </c>
    </row>
    <row r="83" ht="90" customHeight="1" s="14">
      <c r="A83" s="24" t="inlineStr">
        <is>
          <t>2018::jama.2018.17075::C004</t>
        </is>
      </c>
      <c r="B83" s="24" t="inlineStr">
        <is>
          <t>relations</t>
        </is>
      </c>
      <c r="C83" s="24" t="n">
        <v>1</v>
      </c>
      <c r="D83" s="24" t="inlineStr">
        <is>
          <t>S_W</t>
        </is>
      </c>
    </row>
    <row r="84" ht="90" customHeight="1" s="14">
      <c r="A84" s="20" t="inlineStr">
        <is>
          <t>2018::jama.2018.17075::C005</t>
        </is>
      </c>
      <c r="B84" s="20" t="inlineStr">
        <is>
          <t>relations</t>
        </is>
      </c>
      <c r="C84" s="20" t="n">
        <v>0</v>
      </c>
      <c r="D84" s="20" t="inlineStr">
        <is>
          <t>S_W</t>
        </is>
      </c>
    </row>
    <row r="85" ht="90" customHeight="1" s="14">
      <c r="A85" s="24" t="inlineStr">
        <is>
          <t>2018::jama.2018.17075::C006</t>
        </is>
      </c>
      <c r="B85" s="24" t="inlineStr">
        <is>
          <t>relations</t>
        </is>
      </c>
      <c r="C85" s="24" t="n">
        <v>0</v>
      </c>
      <c r="D85" s="24" t="inlineStr">
        <is>
          <t>S_W</t>
        </is>
      </c>
    </row>
    <row r="86" ht="90" customHeight="1" s="14">
      <c r="A86" s="20" t="inlineStr">
        <is>
          <t>2018::jama.2018.17075::C007</t>
        </is>
      </c>
      <c r="B86" s="20" t="inlineStr">
        <is>
          <t>relations</t>
        </is>
      </c>
      <c r="C86" s="20" t="n">
        <v>0</v>
      </c>
      <c r="D86" s="20" t="inlineStr">
        <is>
          <t>S_W</t>
        </is>
      </c>
    </row>
    <row r="87" ht="90" customHeight="1" s="14">
      <c r="A87" s="24" t="inlineStr">
        <is>
          <t>2018::jama.2018.17075::C008</t>
        </is>
      </c>
      <c r="B87" s="24" t="inlineStr">
        <is>
          <t>relations</t>
        </is>
      </c>
      <c r="C87" s="24" t="n">
        <v>0</v>
      </c>
      <c r="D87" s="24" t="inlineStr">
        <is>
          <t>S_W</t>
        </is>
      </c>
    </row>
    <row r="88" ht="90" customHeight="1" s="14">
      <c r="A88" s="20" t="inlineStr">
        <is>
          <t>2018::jama.2018.18020::C001</t>
        </is>
      </c>
      <c r="B88" s="20" t="inlineStr">
        <is>
          <t>relations</t>
        </is>
      </c>
      <c r="C88" s="20" t="n">
        <v>0</v>
      </c>
      <c r="D88" s="20" t="inlineStr">
        <is>
          <t>S_W</t>
        </is>
      </c>
    </row>
    <row r="89" ht="90" customHeight="1" s="14">
      <c r="A89" s="24" t="inlineStr">
        <is>
          <t>2018::jama.2018.18020::C002</t>
        </is>
      </c>
      <c r="B89" s="24" t="inlineStr">
        <is>
          <t>relations</t>
        </is>
      </c>
      <c r="C89" s="24" t="n">
        <v>0</v>
      </c>
      <c r="D89" s="24" t="inlineStr">
        <is>
          <t>S_W</t>
        </is>
      </c>
    </row>
    <row r="90" ht="90" customHeight="1" s="14">
      <c r="A90" s="20" t="inlineStr">
        <is>
          <t>2018::jama.2018.18020::C003</t>
        </is>
      </c>
      <c r="B90" s="20" t="inlineStr">
        <is>
          <t>relations</t>
        </is>
      </c>
      <c r="C90" s="20" t="n">
        <v>0</v>
      </c>
      <c r="D90" s="20" t="inlineStr">
        <is>
          <t>S_W</t>
        </is>
      </c>
    </row>
    <row r="91" ht="90" customHeight="1" s="14">
      <c r="A91" s="24" t="inlineStr">
        <is>
          <t>2018::jama.2018.18020::C004</t>
        </is>
      </c>
      <c r="B91" s="24" t="inlineStr">
        <is>
          <t>relations</t>
        </is>
      </c>
      <c r="C91" s="24" t="n">
        <v>0</v>
      </c>
      <c r="D91" s="24" t="inlineStr">
        <is>
          <t>S_W</t>
        </is>
      </c>
    </row>
    <row r="92" ht="90" customHeight="1" s="14">
      <c r="A92" s="20" t="inlineStr">
        <is>
          <t>2018::jama.2018.18020::C005</t>
        </is>
      </c>
      <c r="B92" s="20" t="inlineStr">
        <is>
          <t>relations</t>
        </is>
      </c>
      <c r="C92" s="20" t="n">
        <v>0</v>
      </c>
      <c r="D92" s="20" t="inlineStr">
        <is>
          <t>S_W</t>
        </is>
      </c>
    </row>
    <row r="93" ht="90" customHeight="1" s="14">
      <c r="A93" s="24" t="inlineStr">
        <is>
          <t>2018::jama.2018.18020::C006</t>
        </is>
      </c>
      <c r="B93" s="24" t="inlineStr">
        <is>
          <t>relations</t>
        </is>
      </c>
      <c r="C93" s="24" t="n">
        <v>0</v>
      </c>
      <c r="D93" s="24" t="inlineStr">
        <is>
          <t>S_W</t>
        </is>
      </c>
    </row>
    <row r="94" ht="90" customHeight="1" s="14">
      <c r="A94" s="20" t="inlineStr">
        <is>
          <t>2018::jama.2018.18020::C007</t>
        </is>
      </c>
      <c r="B94" s="20" t="inlineStr">
        <is>
          <t>relations</t>
        </is>
      </c>
      <c r="C94" s="20" t="n">
        <v>0</v>
      </c>
      <c r="D94" s="20" t="inlineStr">
        <is>
          <t>S_W</t>
        </is>
      </c>
    </row>
    <row r="95" ht="90" customHeight="1" s="14">
      <c r="A95" s="24" t="inlineStr">
        <is>
          <t>2018::jama.2018.18020::C008</t>
        </is>
      </c>
      <c r="B95" s="24" t="inlineStr">
        <is>
          <t>relations</t>
        </is>
      </c>
      <c r="C95" s="24" t="n">
        <v>0</v>
      </c>
      <c r="D95" s="24" t="inlineStr">
        <is>
          <t>S_W</t>
        </is>
      </c>
    </row>
    <row r="96" ht="90" customHeight="1" s="14">
      <c r="A96" s="20" t="inlineStr">
        <is>
          <t>2018::jama.2018.18020::C009</t>
        </is>
      </c>
      <c r="B96" s="20" t="inlineStr">
        <is>
          <t>relations</t>
        </is>
      </c>
      <c r="C96" s="20" t="n">
        <v>0</v>
      </c>
      <c r="D96" s="20" t="inlineStr">
        <is>
          <t>S_W</t>
        </is>
      </c>
    </row>
    <row r="97" ht="90" customHeight="1" s="14">
      <c r="A97" s="24" t="inlineStr">
        <is>
          <t>2018::jama.2018.18020::C010</t>
        </is>
      </c>
      <c r="B97" s="24" t="inlineStr">
        <is>
          <t>relations</t>
        </is>
      </c>
      <c r="C97" s="24" t="n">
        <v>0</v>
      </c>
      <c r="D97" s="24" t="inlineStr">
        <is>
          <t>S_W</t>
        </is>
      </c>
    </row>
    <row r="98" ht="90" customHeight="1" s="14">
      <c r="A98" s="20" t="inlineStr">
        <is>
          <t>2018::jama.2018.18020::C011</t>
        </is>
      </c>
      <c r="B98" s="20" t="inlineStr">
        <is>
          <t>relations</t>
        </is>
      </c>
      <c r="C98" s="20" t="n">
        <v>0</v>
      </c>
      <c r="D98" s="20" t="inlineStr">
        <is>
          <t>S_W</t>
        </is>
      </c>
    </row>
    <row r="99" ht="90" customHeight="1" s="14">
      <c r="A99" s="24" t="inlineStr">
        <is>
          <t>2018::jama.2018.18020::C012</t>
        </is>
      </c>
      <c r="B99" s="24" t="inlineStr">
        <is>
          <t>relations</t>
        </is>
      </c>
      <c r="C99" s="24" t="n">
        <v>0</v>
      </c>
      <c r="D99" s="24" t="inlineStr">
        <is>
          <t>S_W</t>
        </is>
      </c>
    </row>
    <row r="100" ht="90" customHeight="1" s="14">
      <c r="A100" s="20" t="inlineStr">
        <is>
          <t>2018::jama.2018.18020::C013</t>
        </is>
      </c>
      <c r="B100" s="20" t="inlineStr">
        <is>
          <t>relations</t>
        </is>
      </c>
      <c r="C100" s="20" t="n">
        <v>0</v>
      </c>
      <c r="D100" s="20" t="inlineStr">
        <is>
          <t>S_W</t>
        </is>
      </c>
    </row>
    <row r="101" ht="90" customHeight="1" s="14">
      <c r="A101" s="24" t="inlineStr">
        <is>
          <t>2018::jama.2018.18020::C014</t>
        </is>
      </c>
      <c r="B101" s="24" t="inlineStr">
        <is>
          <t>relations</t>
        </is>
      </c>
      <c r="C101" s="24" t="n">
        <v>0</v>
      </c>
      <c r="D101" s="24" t="inlineStr">
        <is>
          <t>S_W</t>
        </is>
      </c>
    </row>
    <row r="102" ht="90" customHeight="1" s="14">
      <c r="A102" s="20" t="inlineStr">
        <is>
          <t>2018::jama.2018.6496::C001</t>
        </is>
      </c>
      <c r="B102" s="20" t="inlineStr">
        <is>
          <t>relations</t>
        </is>
      </c>
      <c r="C102" s="20" t="n">
        <v>0</v>
      </c>
      <c r="D102" s="20" t="inlineStr">
        <is>
          <t>S_W</t>
        </is>
      </c>
    </row>
    <row r="103" ht="90" customHeight="1" s="14">
      <c r="A103" s="24" t="inlineStr">
        <is>
          <t>2018::jama.2018.6496::C002</t>
        </is>
      </c>
      <c r="B103" s="24" t="inlineStr">
        <is>
          <t>relations</t>
        </is>
      </c>
      <c r="C103" s="24" t="n">
        <v>0</v>
      </c>
      <c r="D103" s="24" t="inlineStr">
        <is>
          <t>S_W</t>
        </is>
      </c>
    </row>
    <row r="104" ht="90" customHeight="1" s="14">
      <c r="A104" s="20" t="inlineStr">
        <is>
          <t>2018::jama.2018.6496::C003</t>
        </is>
      </c>
      <c r="B104" s="20" t="inlineStr">
        <is>
          <t>relations</t>
        </is>
      </c>
      <c r="C104" s="20" t="n">
        <v>0</v>
      </c>
      <c r="D104" s="20" t="inlineStr">
        <is>
          <t>P_R</t>
        </is>
      </c>
    </row>
    <row r="105" ht="90" customHeight="1" s="14">
      <c r="A105" s="24" t="inlineStr">
        <is>
          <t>2018::jama.2018.6496::C004</t>
        </is>
      </c>
      <c r="B105" s="24" t="inlineStr">
        <is>
          <t>relations</t>
        </is>
      </c>
      <c r="C105" s="24" t="n">
        <v>0</v>
      </c>
      <c r="D105" s="24" t="inlineStr">
        <is>
          <t>P_R</t>
        </is>
      </c>
    </row>
    <row r="106" ht="90" customHeight="1" s="14">
      <c r="A106" s="20" t="inlineStr">
        <is>
          <t>2018::jama.2018.8802::C001</t>
        </is>
      </c>
      <c r="B106" s="20" t="inlineStr">
        <is>
          <t>relations</t>
        </is>
      </c>
      <c r="C106" s="20" t="n">
        <v>0</v>
      </c>
      <c r="D106" s="20" t="inlineStr">
        <is>
          <t>S_W</t>
        </is>
      </c>
    </row>
    <row r="107" ht="90" customHeight="1" s="14">
      <c r="A107" s="24" t="inlineStr">
        <is>
          <t>2018::jama.2018.8802::C002</t>
        </is>
      </c>
      <c r="B107" s="24" t="inlineStr">
        <is>
          <t>relations</t>
        </is>
      </c>
      <c r="C107" s="24" t="n">
        <v>0</v>
      </c>
      <c r="D107" s="24" t="inlineStr">
        <is>
          <t>P_R</t>
        </is>
      </c>
    </row>
    <row r="108" ht="90" customHeight="1" s="14">
      <c r="A108" s="20" t="inlineStr">
        <is>
          <t>2018::jama.2018.8802::C002</t>
        </is>
      </c>
      <c r="B108" s="20" t="inlineStr">
        <is>
          <t>relations</t>
        </is>
      </c>
      <c r="C108" s="20" t="n">
        <v>1</v>
      </c>
      <c r="D108" s="20" t="inlineStr">
        <is>
          <t>S_C</t>
        </is>
      </c>
    </row>
    <row r="109" ht="90" customHeight="1" s="14">
      <c r="A109" s="24" t="inlineStr">
        <is>
          <t>2018::jama.2018.8802::C002</t>
        </is>
      </c>
      <c r="B109" s="24" t="inlineStr">
        <is>
          <t>relations</t>
        </is>
      </c>
      <c r="C109" s="24" t="n">
        <v>2</v>
      </c>
      <c r="D109" s="24" t="inlineStr">
        <is>
          <t>S_W</t>
        </is>
      </c>
    </row>
    <row r="110" ht="90" customHeight="1" s="14">
      <c r="A110" s="20" t="inlineStr">
        <is>
          <t>2018::jama.2018.8802::C003</t>
        </is>
      </c>
      <c r="B110" s="20" t="inlineStr">
        <is>
          <t>relations</t>
        </is>
      </c>
      <c r="C110" s="20" t="n">
        <v>0</v>
      </c>
      <c r="D110" s="20" t="inlineStr">
        <is>
          <t>S_W</t>
        </is>
      </c>
    </row>
    <row r="111" ht="90" customHeight="1" s="14">
      <c r="A111" s="24" t="inlineStr">
        <is>
          <t>2018::jama.2018.8802::C004</t>
        </is>
      </c>
      <c r="B111" s="24" t="inlineStr">
        <is>
          <t>relations</t>
        </is>
      </c>
      <c r="C111" s="24" t="n">
        <v>0</v>
      </c>
      <c r="D111" s="24" t="inlineStr">
        <is>
          <t>S_W</t>
        </is>
      </c>
    </row>
    <row r="112" ht="90" customHeight="1" s="14">
      <c r="A112" s="20" t="inlineStr">
        <is>
          <t>2018::jama.2018.8802::C005</t>
        </is>
      </c>
      <c r="B112" s="20" t="inlineStr">
        <is>
          <t>relations</t>
        </is>
      </c>
      <c r="C112" s="20" t="n">
        <v>0</v>
      </c>
      <c r="D112" s="20" t="inlineStr">
        <is>
          <t>S_W</t>
        </is>
      </c>
    </row>
    <row r="113" ht="90" customHeight="1" s="14">
      <c r="A113" s="24" t="inlineStr">
        <is>
          <t>2018::jama.2018.8802::C006</t>
        </is>
      </c>
      <c r="B113" s="24" t="inlineStr">
        <is>
          <t>relations</t>
        </is>
      </c>
      <c r="C113" s="24" t="n">
        <v>0</v>
      </c>
      <c r="D113" s="24" t="inlineStr">
        <is>
          <t>S_W</t>
        </is>
      </c>
    </row>
    <row r="114" ht="90" customHeight="1" s="14">
      <c r="A114" s="20" t="inlineStr">
        <is>
          <t>2018::jama.2018.8802::C007</t>
        </is>
      </c>
      <c r="B114" s="20" t="inlineStr">
        <is>
          <t>relations</t>
        </is>
      </c>
      <c r="C114" s="20" t="n">
        <v>0</v>
      </c>
      <c r="D114" s="20" t="inlineStr">
        <is>
          <t>S_C</t>
        </is>
      </c>
    </row>
    <row r="115" ht="90" customHeight="1" s="14">
      <c r="A115" s="24" t="inlineStr">
        <is>
          <t>2018::jama.2018.8802::C008</t>
        </is>
      </c>
      <c r="B115" s="24" t="inlineStr">
        <is>
          <t>relations</t>
        </is>
      </c>
      <c r="C115" s="24" t="n">
        <v>0</v>
      </c>
      <c r="D115" s="24" t="inlineStr">
        <is>
          <t>S_W</t>
        </is>
      </c>
    </row>
    <row r="116" ht="90" customHeight="1" s="14">
      <c r="A116" s="20" t="inlineStr">
        <is>
          <t>2018::jama.2018.9128::C001</t>
        </is>
      </c>
      <c r="B116" s="20" t="inlineStr">
        <is>
          <t>relations</t>
        </is>
      </c>
      <c r="C116" s="20" t="n">
        <v>0</v>
      </c>
      <c r="D116" s="20" t="inlineStr">
        <is>
          <t>S_C</t>
        </is>
      </c>
    </row>
    <row r="117" ht="90" customHeight="1" s="14">
      <c r="A117" s="24" t="inlineStr">
        <is>
          <t>2018::jama.2018.9128::C001</t>
        </is>
      </c>
      <c r="B117" s="24" t="inlineStr">
        <is>
          <t>relations</t>
        </is>
      </c>
      <c r="C117" s="24" t="n">
        <v>1</v>
      </c>
      <c r="D117" s="24" t="inlineStr">
        <is>
          <t>S_W</t>
        </is>
      </c>
    </row>
    <row r="118" ht="90" customHeight="1" s="14">
      <c r="A118" s="20" t="inlineStr">
        <is>
          <t>2018::jama.2018.9128::C002</t>
        </is>
      </c>
      <c r="B118" s="20" t="inlineStr">
        <is>
          <t>relations</t>
        </is>
      </c>
      <c r="C118" s="20" t="n">
        <v>0</v>
      </c>
      <c r="D118" s="20" t="inlineStr">
        <is>
          <t>S_C</t>
        </is>
      </c>
    </row>
    <row r="119" ht="90" customHeight="1" s="14">
      <c r="A119" s="24" t="inlineStr">
        <is>
          <t>2018::jama.2018.9128::C002</t>
        </is>
      </c>
      <c r="B119" s="24" t="inlineStr">
        <is>
          <t>relations</t>
        </is>
      </c>
      <c r="C119" s="24" t="n">
        <v>1</v>
      </c>
      <c r="D119" s="24" t="inlineStr">
        <is>
          <t>S_W</t>
        </is>
      </c>
    </row>
    <row r="120" ht="90" customHeight="1" s="14">
      <c r="A120" s="20" t="inlineStr">
        <is>
          <t>2018::jama.2018.9128::C003</t>
        </is>
      </c>
      <c r="B120" s="20" t="inlineStr">
        <is>
          <t>relations</t>
        </is>
      </c>
      <c r="C120" s="20" t="n">
        <v>0</v>
      </c>
      <c r="D120" s="20" t="inlineStr">
        <is>
          <t>S_C</t>
        </is>
      </c>
    </row>
    <row r="121" ht="90" customHeight="1" s="14">
      <c r="A121" s="24" t="inlineStr">
        <is>
          <t>2018::jama.2018.9128::C003</t>
        </is>
      </c>
      <c r="B121" s="24" t="inlineStr">
        <is>
          <t>relations</t>
        </is>
      </c>
      <c r="C121" s="24" t="n">
        <v>1</v>
      </c>
      <c r="D121" s="24" t="inlineStr">
        <is>
          <t>S_W</t>
        </is>
      </c>
    </row>
    <row r="122" ht="90" customHeight="1" s="14">
      <c r="A122" s="20" t="inlineStr">
        <is>
          <t>2018::jama.2018.9128::C004</t>
        </is>
      </c>
      <c r="B122" s="20" t="inlineStr">
        <is>
          <t>relations</t>
        </is>
      </c>
      <c r="C122" s="20" t="n">
        <v>0</v>
      </c>
      <c r="D122" s="20" t="inlineStr">
        <is>
          <t>S_C</t>
        </is>
      </c>
    </row>
    <row r="123" ht="90" customHeight="1" s="14">
      <c r="A123" s="24" t="inlineStr">
        <is>
          <t>2018::jama.2018.9128::C004</t>
        </is>
      </c>
      <c r="B123" s="24" t="inlineStr">
        <is>
          <t>relations</t>
        </is>
      </c>
      <c r="C123" s="24" t="n">
        <v>1</v>
      </c>
      <c r="D123" s="24" t="inlineStr">
        <is>
          <t>S_W</t>
        </is>
      </c>
    </row>
    <row r="124" ht="90" customHeight="1" s="14">
      <c r="A124" s="20" t="inlineStr">
        <is>
          <t>2018::jama.2018.9128::C005</t>
        </is>
      </c>
      <c r="B124" s="20" t="inlineStr">
        <is>
          <t>relations</t>
        </is>
      </c>
      <c r="C124" s="20" t="n">
        <v>0</v>
      </c>
      <c r="D124" s="20" t="inlineStr">
        <is>
          <t>S_C</t>
        </is>
      </c>
    </row>
    <row r="125" ht="90" customHeight="1" s="14">
      <c r="A125" s="24" t="inlineStr">
        <is>
          <t>2018::jama.2018.9128::C005</t>
        </is>
      </c>
      <c r="B125" s="24" t="inlineStr">
        <is>
          <t>relations</t>
        </is>
      </c>
      <c r="C125" s="24" t="n">
        <v>1</v>
      </c>
      <c r="D125" s="24" t="inlineStr">
        <is>
          <t>S_W</t>
        </is>
      </c>
    </row>
    <row r="126" ht="90" customHeight="1" s="14">
      <c r="A126" s="20" t="inlineStr">
        <is>
          <t>2018::jama.2018.9128::C006</t>
        </is>
      </c>
      <c r="B126" s="20" t="inlineStr">
        <is>
          <t>relations</t>
        </is>
      </c>
      <c r="C126" s="20" t="n">
        <v>0</v>
      </c>
      <c r="D126" s="20" t="inlineStr">
        <is>
          <t>S_C</t>
        </is>
      </c>
    </row>
    <row r="127" ht="90" customHeight="1" s="14">
      <c r="A127" s="24" t="inlineStr">
        <is>
          <t>2018::jama.2018.9128::C006</t>
        </is>
      </c>
      <c r="B127" s="24" t="inlineStr">
        <is>
          <t>relations</t>
        </is>
      </c>
      <c r="C127" s="24" t="n">
        <v>1</v>
      </c>
      <c r="D127" s="24" t="inlineStr">
        <is>
          <t>S_W</t>
        </is>
      </c>
    </row>
    <row r="128" ht="90" customHeight="1" s="14">
      <c r="A128" s="20" t="inlineStr">
        <is>
          <t>2018::jama.2018.9128::C007</t>
        </is>
      </c>
      <c r="B128" s="20" t="inlineStr">
        <is>
          <t>relations</t>
        </is>
      </c>
      <c r="C128" s="20" t="n">
        <v>0</v>
      </c>
      <c r="D128" s="20" t="inlineStr">
        <is>
          <t>S_C</t>
        </is>
      </c>
    </row>
    <row r="129" ht="90" customHeight="1" s="14">
      <c r="A129" s="24" t="inlineStr">
        <is>
          <t>2018::jama.2018.9128::C007</t>
        </is>
      </c>
      <c r="B129" s="24" t="inlineStr">
        <is>
          <t>relations</t>
        </is>
      </c>
      <c r="C129" s="24" t="n">
        <v>1</v>
      </c>
      <c r="D129" s="24" t="inlineStr">
        <is>
          <t>S_W</t>
        </is>
      </c>
    </row>
    <row r="130" ht="90" customHeight="1" s="14">
      <c r="A130" s="20" t="inlineStr">
        <is>
          <t>2018::jama.2018.9128::C008</t>
        </is>
      </c>
      <c r="B130" s="20" t="inlineStr">
        <is>
          <t>relations</t>
        </is>
      </c>
      <c r="C130" s="20" t="n">
        <v>0</v>
      </c>
      <c r="D130" s="20" t="inlineStr">
        <is>
          <t>S_C</t>
        </is>
      </c>
    </row>
    <row r="131" ht="90" customHeight="1" s="14">
      <c r="A131" s="24" t="inlineStr">
        <is>
          <t>2018::jama.2018.9128::C008</t>
        </is>
      </c>
      <c r="B131" s="24" t="inlineStr">
        <is>
          <t>relations</t>
        </is>
      </c>
      <c r="C131" s="24" t="n">
        <v>1</v>
      </c>
      <c r="D131" s="24" t="inlineStr">
        <is>
          <t>S_W</t>
        </is>
      </c>
    </row>
    <row r="132" ht="90" customHeight="1" s="14">
      <c r="A132" s="20" t="inlineStr">
        <is>
          <t>2018::jama.2018.9128::C009</t>
        </is>
      </c>
      <c r="B132" s="20" t="inlineStr">
        <is>
          <t>relations</t>
        </is>
      </c>
      <c r="C132" s="20" t="n">
        <v>0</v>
      </c>
      <c r="D132" s="20" t="inlineStr">
        <is>
          <t>P_P</t>
        </is>
      </c>
    </row>
    <row r="133" ht="90" customHeight="1" s="14">
      <c r="A133" s="24" t="inlineStr">
        <is>
          <t>2018::jama.2018.9128::C010</t>
        </is>
      </c>
      <c r="B133" s="24" t="inlineStr">
        <is>
          <t>relations</t>
        </is>
      </c>
      <c r="C133" s="24" t="n">
        <v>0</v>
      </c>
      <c r="D133" s="24" t="inlineStr">
        <is>
          <t>P_P</t>
        </is>
      </c>
    </row>
    <row r="134" ht="90" customHeight="1" s="14">
      <c r="A134" s="20" t="inlineStr">
        <is>
          <t>2018::jama.2018.9128::C011</t>
        </is>
      </c>
      <c r="B134" s="20" t="inlineStr">
        <is>
          <t>relations</t>
        </is>
      </c>
      <c r="C134" s="20" t="n">
        <v>0</v>
      </c>
      <c r="D134" s="20" t="inlineStr">
        <is>
          <t>P_R</t>
        </is>
      </c>
    </row>
    <row r="135" ht="90" customHeight="1" s="14">
      <c r="A135" s="24" t="inlineStr">
        <is>
          <t>2018::jama.2018.9128::C011</t>
        </is>
      </c>
      <c r="B135" s="24" t="inlineStr">
        <is>
          <t>relations</t>
        </is>
      </c>
      <c r="C135" s="24" t="n">
        <v>1</v>
      </c>
      <c r="D135" s="24" t="inlineStr">
        <is>
          <t>P_P</t>
        </is>
      </c>
    </row>
    <row r="136" ht="90" customHeight="1" s="14">
      <c r="A136" s="20" t="inlineStr">
        <is>
          <t>2018::jama.2018.9128::C012</t>
        </is>
      </c>
      <c r="B136" s="20" t="inlineStr">
        <is>
          <t>relations</t>
        </is>
      </c>
      <c r="C136" s="20" t="n">
        <v>0</v>
      </c>
      <c r="D136" s="20" t="inlineStr">
        <is>
          <t>P_R</t>
        </is>
      </c>
    </row>
    <row r="137" ht="90" customHeight="1" s="14">
      <c r="A137" s="24" t="inlineStr">
        <is>
          <t>2018::jama.2018.9128::C012</t>
        </is>
      </c>
      <c r="B137" s="24" t="inlineStr">
        <is>
          <t>relations</t>
        </is>
      </c>
      <c r="C137" s="24" t="n">
        <v>1</v>
      </c>
      <c r="D137" s="24" t="inlineStr">
        <is>
          <t>P_P</t>
        </is>
      </c>
    </row>
    <row r="138" ht="90" customHeight="1" s="14">
      <c r="A138" s="20" t="inlineStr">
        <is>
          <t>2018::jama.2018.9128::C013</t>
        </is>
      </c>
      <c r="B138" s="20" t="inlineStr">
        <is>
          <t>relations</t>
        </is>
      </c>
      <c r="C138" s="20" t="n">
        <v>0</v>
      </c>
      <c r="D138" s="20" t="inlineStr">
        <is>
          <t>S_C</t>
        </is>
      </c>
    </row>
    <row r="139" ht="90" customHeight="1" s="14">
      <c r="A139" s="24" t="inlineStr">
        <is>
          <t>2018::jama.2018.9128::C013</t>
        </is>
      </c>
      <c r="B139" s="24" t="inlineStr">
        <is>
          <t>relations</t>
        </is>
      </c>
      <c r="C139" s="24" t="n">
        <v>1</v>
      </c>
      <c r="D139" s="24" t="inlineStr">
        <is>
          <t>S_W</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Height="1" s="14">
      <c r="A1" s="15" t="inlineStr">
        <is>
          <t>Field name</t>
        </is>
      </c>
      <c r="B1" s="15" t="inlineStr">
        <is>
          <t>Option / value</t>
        </is>
      </c>
      <c r="C1" s="15" t="inlineStr">
        <is>
          <t>Requirement / scope</t>
        </is>
      </c>
      <c r="D1" s="15" t="inlineStr">
        <is>
          <t>Explanation and example</t>
        </is>
      </c>
      <c r="E1" s="15" t="inlineStr">
        <is>
          <t>Internal key</t>
        </is>
      </c>
    </row>
    <row r="2" ht="100"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Height="1" s="14">
      <c r="A4" s="16" t="inlineStr">
        <is>
          <t>How to read this Codebook</t>
        </is>
      </c>
      <c r="B4" s="16" t="n"/>
      <c r="C4" s="16" t="n"/>
      <c r="D4" s="16" t="n"/>
      <c r="E4" s="16" t="n"/>
    </row>
    <row r="5" ht="100" customHeight="1" s="14">
      <c r="A5" s="17" t="inlineStr">
        <is>
          <t>1  |  Common decisions and optional notes</t>
        </is>
      </c>
      <c r="B5" s="17" t="n"/>
      <c r="C5" s="17" t="n"/>
      <c r="D5" s="17" t="n"/>
      <c r="E5" s="17" t="n"/>
    </row>
    <row r="6" ht="100"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Height="1" s="14">
      <c r="A19" s="17" t="inlineStr">
        <is>
          <t>2  |  Statistical results: two required judgments</t>
        </is>
      </c>
      <c r="B19" s="17" t="n"/>
      <c r="C19" s="17" t="n"/>
      <c r="D19" s="17" t="n"/>
      <c r="E19" s="17" t="n"/>
    </row>
    <row r="20" ht="100"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Height="1" s="14">
      <c r="A37" s="17" t="inlineStr">
        <is>
          <t>3  |  Report internal or planning-material inconsistency</t>
        </is>
      </c>
      <c r="B37" s="17" t="n"/>
      <c r="C37" s="17" t="n"/>
      <c r="D37" s="17" t="n"/>
      <c r="E37" s="17" t="n"/>
    </row>
    <row r="38" ht="100"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Height="1" s="14">
      <c r="A44" s="16" t="inlineStr">
        <is>
          <t>4  |  Protocol versus report: optional description only</t>
        </is>
      </c>
      <c r="B44" s="16" t="n"/>
      <c r="C44" s="16" t="n"/>
      <c r="D44" s="16" t="n"/>
      <c r="E44" s="16" t="n"/>
    </row>
    <row r="45" ht="100"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Height="1" s="14">
      <c r="A52" s="16" t="inlineStr">
        <is>
          <t>6  |  Candidate context</t>
        </is>
      </c>
      <c r="B52" s="16" t="n"/>
      <c r="C52" s="16" t="n"/>
      <c r="D52" s="16" t="n"/>
      <c r="E52" s="16" t="n"/>
    </row>
    <row r="53" ht="100"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Height="1" s="14">
      <c r="A55" s="17" t="inlineStr">
        <is>
          <t>Source location</t>
        </is>
      </c>
      <c r="B55" s="17" t="inlineStr">
        <is>
          <t>FIELD</t>
        </is>
      </c>
      <c r="C55" s="17" t="inlineStr">
        <is>
          <t>Source reference</t>
        </is>
      </c>
      <c r="D55" s="17" t="inlineStr">
        <is>
          <t>Read Candidates, Evidence, Links and Relations for context and original documents.</t>
        </is>
      </c>
      <c r="E55" s="17" t="inlineStr">
        <is>
          <t>locations</t>
        </is>
      </c>
    </row>
    <row r="56" ht="100"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14" min="1" max="1"/>
    <col width="110" customWidth="1" style="14" min="2" max="2"/>
  </cols>
  <sheetData>
    <row r="1" ht="42" customHeight="1" s="14">
      <c r="A1" s="15" t="inlineStr">
        <is>
          <t>field</t>
        </is>
      </c>
      <c r="B1" s="15" t="inlineStr">
        <is>
          <t>value</t>
        </is>
      </c>
    </row>
    <row r="2" ht="65" customHeight="1" s="14">
      <c r="A2" s="16" t="inlineStr">
        <is>
          <t>version</t>
        </is>
      </c>
      <c r="B2" s="16" t="inlineStr">
        <is>
          <t>v.2.3.1</t>
        </is>
      </c>
    </row>
    <row r="3" ht="65" customHeight="1" s="14">
      <c r="A3" s="17" t="inlineStr">
        <is>
          <t>schema</t>
        </is>
      </c>
      <c r="B3" s="17" t="inlineStr">
        <is>
          <t>xlsx-adjudication-independent-primary-2.3.1</t>
        </is>
      </c>
    </row>
    <row r="4" ht="65" customHeight="1" s="14">
      <c r="A4" s="16" t="inlineStr">
        <is>
          <t>year</t>
        </is>
      </c>
      <c r="B4" s="16" t="n">
        <v>2018</v>
      </c>
    </row>
    <row r="5" ht="65" customHeight="1" s="14">
      <c r="A5" s="17" t="inlineStr">
        <is>
          <t>role</t>
        </is>
      </c>
      <c r="B5" s="17" t="inlineStr">
        <is>
          <t>R_B</t>
        </is>
      </c>
    </row>
    <row r="6" ht="65" customHeight="1" s="14">
      <c r="A6" s="16" t="inlineStr">
        <is>
          <t>cohort</t>
        </is>
      </c>
      <c r="B6" s="16" t="inlineStr">
        <is>
          <t>Annual v.2.1.5.3 baseline; 10 papers / 119 candidates</t>
        </is>
      </c>
    </row>
    <row r="7" ht="65" customHeight="1" s="14">
      <c r="A7" s="17" t="inlineStr">
        <is>
          <t>source_sha256</t>
        </is>
      </c>
      <c r="B7" s="17" t="inlineStr">
        <is>
          <t>b34581991d324a6c28f1a2032a10202397d7796d89439c989aed233c6fafeb5e</t>
        </is>
      </c>
    </row>
    <row r="8" ht="65" customHeight="1" s="14">
      <c r="A8" s="16" t="inlineStr">
        <is>
          <t>catalog_sha256</t>
        </is>
      </c>
      <c r="B8" s="16" t="inlineStr">
        <is>
          <t>d663598f70f1a06f19baa64c6bcf999762fd67f44d47479de248f2ded18adbc5</t>
        </is>
      </c>
    </row>
    <row r="9" ht="65" customHeight="1" s="14">
      <c r="A9" s="17" t="inlineStr">
        <is>
          <t>workflow</t>
        </is>
      </c>
      <c r="B9" s="17" t="inlineStr">
        <is>
          <t>Independent primary assessment; no external workbook or refresh dependencies.</t>
        </is>
      </c>
    </row>
    <row r="10" ht="65" customHeight="1" s="14">
      <c r="A10" s="16" t="inlineStr">
        <is>
          <t>protection</t>
        </is>
      </c>
      <c r="B10" s="16" t="inlineStr">
        <is>
          <t>Protected ranges: NONE. All styles/cells explicitly unlocked; fixed Rule_defaults also unlocked.</t>
        </is>
      </c>
    </row>
    <row r="11" ht="65" customHeight="1" s="14">
      <c r="A11" s="17" t="inlineStr">
        <is>
          <t>C_ columns</t>
        </is>
      </c>
      <c r="B11" s="17" t="inlineStr">
        <is>
          <t>A key; B title; C location; D disposition; E suggested editable domain; F completion; G validation; H issue; I substantive; J impact; K internal; L protocol; M–Q empty spacers; R notes.</t>
        </is>
      </c>
    </row>
    <row r="12" ht="65" customHeight="1" s="14">
      <c r="A12" s="16" t="inlineStr">
        <is>
          <t>Decisions columns</t>
        </is>
      </c>
      <c r="B12" s="16" t="inlineStr">
        <is>
          <t>A–D source identity/relationship; E–F reviewer role/ID; G readiness; H outcome; I–P effective assessment/notes; Q–R unchanged AI suggestions.</t>
        </is>
      </c>
    </row>
    <row r="13" ht="65" customHeight="1" s="14">
      <c r="A13" s="17" t="inlineStr">
        <is>
          <t>Paper_counts adaptation</t>
        </is>
      </c>
      <c r="B13" s="17" t="inlineStr">
        <is>
          <t>Review complete when all rows ready; outcome counts withheld until all rows ready and none discuss. Discuss outcome blank; count separately.</t>
        </is>
      </c>
    </row>
    <row r="14" ht="65" customHeight="1" s="14">
      <c r="A14" s="16" t="inlineStr">
        <is>
          <t>Defaults</t>
        </is>
      </c>
      <c r="B14" s="16" t="inlineStr">
        <is>
          <t>H–L retain baseline formula defaults. Input choices replace formulas. Inactive effective fields normalize only after stale inputs are flagged by G.</t>
        </is>
      </c>
    </row>
    <row r="15" ht="65" customHeight="1" s="14">
      <c r="A15" s="17" t="inlineStr">
        <is>
          <t>Source links</t>
        </is>
      </c>
      <c r="B15" s="17" t="inlineStr">
        <is>
          <t>Original href cell values unchanged. Hyperlink relationship targets resolved to repository sources relative to this output folder.</t>
        </is>
      </c>
    </row>
    <row r="16" ht="65" customHeight="1" s="14">
      <c r="A16" s="16" t="inlineStr">
        <is>
          <t>Calculation</t>
        </is>
      </c>
      <c r="B16" s="16" t="inlineStr">
        <is>
          <t>Automatic full recalculation on open; no VBA, scripts, external formulas or services.</t>
        </is>
      </c>
    </row>
    <row r="17" ht="65" customHeight="1" s="14">
      <c r="A17" s="17" t="inlineStr">
        <is>
          <t>Validation</t>
        </is>
      </c>
      <c r="B17" s="17" t="inlineStr">
        <is>
          <t>See VALIDATION.md for actual static/synthetic checks and pending desktop Excel recalculation, rendering and saved/reopened smoke test.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28" customWidth="1" style="14" min="2" max="2"/>
    <col width="28" customWidth="1" style="14" min="3" max="3"/>
    <col width="38" customWidth="1" style="14" min="4" max="4"/>
  </cols>
  <sheetData>
    <row r="1" ht="42" customHeight="1" s="14">
      <c r="A1" s="15" t="inlineStr">
        <is>
          <t>Retained domain</t>
        </is>
      </c>
      <c r="B1" s="15" t="inlineStr">
        <is>
          <t>Required</t>
        </is>
      </c>
      <c r="C1" s="15" t="inlineStr">
        <is>
          <t>Optional</t>
        </is>
      </c>
      <c r="D1" s="15" t="inlineStr">
        <is>
          <t>Inactive</t>
        </is>
      </c>
    </row>
    <row r="2" ht="48" customHeight="1" s="14">
      <c r="A2" s="16" t="inlineStr">
        <is>
          <t>statistical_results</t>
        </is>
      </c>
      <c r="B2" s="16" t="inlineStr">
        <is>
          <t>H, I</t>
        </is>
      </c>
      <c r="C2" s="16" t="inlineStr">
        <is>
          <t>J</t>
        </is>
      </c>
      <c r="D2" s="16" t="inlineStr">
        <is>
          <t>K, L</t>
        </is>
      </c>
    </row>
    <row r="3" ht="48" customHeight="1" s="14">
      <c r="A3" s="17" t="inlineStr">
        <is>
          <t>report_internal_inconsistency</t>
        </is>
      </c>
      <c r="B3" s="17" t="inlineStr">
        <is>
          <t>K</t>
        </is>
      </c>
      <c r="C3" s="17" t="inlineStr">
        <is>
          <t>None</t>
        </is>
      </c>
      <c r="D3" s="17" t="inlineStr">
        <is>
          <t>H, I, J, L</t>
        </is>
      </c>
    </row>
    <row r="4" ht="48" customHeight="1" s="14">
      <c r="A4" s="16" t="inlineStr">
        <is>
          <t>plan_material</t>
        </is>
      </c>
      <c r="B4" s="16" t="inlineStr">
        <is>
          <t>K</t>
        </is>
      </c>
      <c r="C4" s="16" t="inlineStr">
        <is>
          <t>None</t>
        </is>
      </c>
      <c r="D4" s="16" t="inlineStr">
        <is>
          <t>H, I, J, L</t>
        </is>
      </c>
    </row>
    <row r="5" ht="48" customHeight="1" s="14">
      <c r="A5" s="17" t="inlineStr">
        <is>
          <t>protocol_report</t>
        </is>
      </c>
      <c r="B5" s="17" t="inlineStr">
        <is>
          <t>None</t>
        </is>
      </c>
      <c r="C5" s="17" t="inlineStr">
        <is>
          <t>L</t>
        </is>
      </c>
      <c r="D5" s="17" t="inlineStr">
        <is>
          <t>H, I, J, K</t>
        </is>
      </c>
    </row>
    <row r="6" ht="48" customHeight="1" s="14">
      <c r="A6" s="16" t="inlineStr">
        <is>
          <t>Default inactive value</t>
        </is>
      </c>
      <c r="B6" s="16" t="inlineStr">
        <is>
          <t>not_applicable</t>
        </is>
      </c>
      <c r="C6" s="16" t="inlineStr">
        <is>
          <t>exclude/discuss</t>
        </is>
      </c>
      <c r="D6" s="16" t="inlineStr">
        <is>
          <t>H–L all inactive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2026-09-19T05:14:10Z</dcterms:created>
  <dcterms:modified xsi:type="dcterms:W3CDTF">2026-09-19T05:14:10Z</dcterms:modified>
</cp:coreProperties>
</file>