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Setup" sheetId="1" state="visible" r:id="rId1"/>
    <sheet name="Checks" sheetId="2" state="visible" r:id="rId2"/>
    <sheet name="Papers" sheetId="3" state="visible" r:id="rId3"/>
    <sheet name="C_jama.2017.21906" sheetId="4" state="visible" r:id="rId4"/>
    <sheet name="C_jama.2018.0156" sheetId="5" state="visible" r:id="rId5"/>
    <sheet name="C_jama.2018.0948" sheetId="6" state="visible" r:id="rId6"/>
    <sheet name="C_jama.2018.14280" sheetId="7" state="visible" r:id="rId7"/>
    <sheet name="C_jama.2018.14282" sheetId="8" state="visible" r:id="rId8"/>
    <sheet name="C_jama.2018.17075" sheetId="9" state="visible" r:id="rId9"/>
    <sheet name="C_jama.2018.18020" sheetId="10" state="visible" r:id="rId10"/>
    <sheet name="C_jama.2018.6496" sheetId="11" state="visible" r:id="rId11"/>
    <sheet name="C_jama.2018.8802" sheetId="12" state="visible" r:id="rId12"/>
    <sheet name="C_jama.2018.9128" sheetId="13" state="visible" r:id="rId13"/>
    <sheet name="Codebook" sheetId="14" state="visible" r:id="rId14"/>
  </sheets>
  <definedNames>
    <definedName name="_xlnm._FilterDatabase" localSheetId="3" hidden="1">'C_jama.2017.21906'!$A$1:$R$7</definedName>
    <definedName name="_xlnm._FilterDatabase" localSheetId="4" hidden="1">'C_jama.2018.0156'!$A$1:$R$9</definedName>
    <definedName name="_xlnm._FilterDatabase" localSheetId="5" hidden="1">'C_jama.2018.0948'!$A$1:$R$8</definedName>
    <definedName name="_xlnm._FilterDatabase" localSheetId="6" hidden="1">'C_jama.2018.14280'!$A$1:$R$24</definedName>
    <definedName name="_xlnm._FilterDatabase" localSheetId="7" hidden="1">'C_jama.2018.14282'!$A$1:$R$29</definedName>
    <definedName name="_xlnm._FilterDatabase" localSheetId="8" hidden="1">'C_jama.2018.17075'!$A$1:$R$9</definedName>
    <definedName name="_xlnm._FilterDatabase" localSheetId="9" hidden="1">'C_jama.2018.18020'!$A$1:$R$15</definedName>
    <definedName name="_xlnm._FilterDatabase" localSheetId="10" hidden="1">'C_jama.2018.6496'!$A$1:$R$5</definedName>
    <definedName name="_xlnm._FilterDatabase" localSheetId="11" hidden="1">'C_jama.2018.8802'!$A$1:$R$9</definedName>
    <definedName name="_xlnm._FilterDatabase" localSheetId="12" hidden="1">'C_jama.2018.9128'!$A$1:$R$14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5">
    <font>
      <name val="Carlito"/>
      <sz val="11"/>
    </font>
    <font>
      <name val="Calibri"/>
      <color rgb="FF173F57"/>
      <sz val="11"/>
    </font>
    <font>
      <name val="Calibri"/>
      <b val="1"/>
      <color rgb="FFFFFFFF"/>
      <sz val="11"/>
    </font>
    <font>
      <name val="Calibri"/>
      <color rgb="00173F57"/>
      <sz val="11"/>
    </font>
    <font>
      <name val="Calibri"/>
      <b val="1"/>
      <color rgb="00FFFFFF"/>
      <sz val="11"/>
    </font>
  </fonts>
  <fills count="10">
    <fill>
      <patternFill/>
    </fill>
    <fill>
      <patternFill patternType="gray125"/>
    </fill>
    <fill>
      <patternFill patternType="solid">
        <fgColor rgb="FF173F57"/>
      </patternFill>
    </fill>
    <fill>
      <patternFill patternType="solid">
        <fgColor rgb="FFF4F8FA"/>
      </patternFill>
    </fill>
    <fill>
      <patternFill patternType="solid">
        <fgColor rgb="FFFFF2CC"/>
      </patternFill>
    </fill>
    <fill>
      <patternFill patternType="solid">
        <fgColor rgb="FFEAF3FC"/>
      </patternFill>
    </fill>
    <fill>
      <patternFill patternType="solid">
        <fgColor rgb="00173F57"/>
      </patternFill>
    </fill>
    <fill>
      <patternFill patternType="solid">
        <fgColor rgb="00F4F8FA"/>
      </patternFill>
    </fill>
    <fill>
      <patternFill patternType="solid">
        <fgColor rgb="00FFF2CC"/>
      </patternFill>
    </fill>
    <fill>
      <patternFill patternType="solid">
        <fgColor rgb="00EAF3FC"/>
      </patternFill>
    </fill>
  </fills>
  <borders count="1">
    <border/>
  </borders>
  <cellStyleXfs count="1">
    <xf numFmtId="0" fontId="0" fillId="0" borderId="0" applyProtection="1">
      <protection locked="0" hidden="0"/>
    </xf>
  </cellStyleXfs>
  <cellXfs count="25">
    <xf numFmtId="0" fontId="0" fillId="0" borderId="0" applyProtection="1" pivotButton="0" quotePrefix="0" xfId="0">
      <protection locked="0" hidden="0"/>
    </xf>
    <xf numFmtId="0" fontId="1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wrapText="1"/>
      <protection locked="0" hidden="0"/>
    </xf>
    <xf numFmtId="0" fontId="1" fillId="0" borderId="0" applyAlignment="1" applyProtection="1" pivotButton="0" quotePrefix="0" xfId="0">
      <alignment vertical="center" wrapText="1"/>
      <protection locked="0" hidden="0"/>
    </xf>
    <xf numFmtId="0" fontId="1" fillId="2" borderId="0" applyAlignment="1" applyProtection="1" pivotButton="0" quotePrefix="0" xfId="0">
      <alignment vertical="center" wrapText="1"/>
      <protection locked="0" hidden="0"/>
    </xf>
    <xf numFmtId="0" fontId="2" fillId="2" borderId="0" applyAlignment="1" applyProtection="1" pivotButton="0" quotePrefix="0" xfId="0">
      <alignment vertical="center" wrapText="1"/>
      <protection locked="0" hidden="0"/>
    </xf>
    <xf numFmtId="0" fontId="1" fillId="3" borderId="0" applyAlignment="1" applyProtection="1" pivotButton="0" quotePrefix="0" xfId="0">
      <alignment vertical="center" wrapText="1"/>
      <protection locked="0" hidden="0"/>
    </xf>
    <xf numFmtId="0" fontId="1" fillId="4" borderId="0" applyAlignment="1" applyProtection="1" pivotButton="0" quotePrefix="0" xfId="0">
      <alignment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1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wrapText="1"/>
      <protection locked="0" hidden="0"/>
    </xf>
    <xf numFmtId="0" fontId="1" fillId="0" borderId="0" applyAlignment="1" applyProtection="1" pivotButton="0" quotePrefix="0" xfId="0">
      <alignment vertical="center" wrapText="1"/>
      <protection locked="0" hidden="0"/>
    </xf>
    <xf numFmtId="0" fontId="1" fillId="3" borderId="0" applyAlignment="1" applyProtection="1" pivotButton="0" quotePrefix="0" xfId="0">
      <alignment vertical="center" wrapText="1"/>
      <protection locked="0" hidden="0"/>
    </xf>
    <xf numFmtId="0" fontId="1" fillId="5" borderId="0" applyAlignment="1" applyProtection="1" pivotButton="0" quotePrefix="0" xfId="0">
      <alignment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4" fillId="6" borderId="0" applyAlignment="1" applyProtection="1" pivotButton="0" quotePrefix="0" xfId="0">
      <alignment vertical="center" wrapText="1"/>
      <protection locked="0" hidden="0"/>
    </xf>
    <xf numFmtId="0" fontId="3" fillId="7" borderId="0" applyAlignment="1" applyProtection="1" pivotButton="0" quotePrefix="0" xfId="0">
      <alignment vertical="center" wrapText="1"/>
      <protection locked="0" hidden="0"/>
    </xf>
    <xf numFmtId="0" fontId="3" fillId="0" borderId="0" applyAlignment="1" applyProtection="1" pivotButton="0" quotePrefix="0" xfId="0">
      <alignment vertical="center" wrapText="1"/>
      <protection locked="0" hidden="0"/>
    </xf>
    <xf numFmtId="0" fontId="3" fillId="8" borderId="0" applyAlignment="1" applyProtection="1" pivotButton="0" quotePrefix="0" xfId="0">
      <alignment vertical="center" wrapText="1"/>
      <protection locked="0" hidden="0"/>
    </xf>
    <xf numFmtId="0" fontId="2" fillId="2" borderId="0" applyAlignment="1" applyProtection="1" pivotButton="0" quotePrefix="0" xfId="0">
      <alignment vertical="center" wrapText="1"/>
      <protection locked="0" hidden="0"/>
    </xf>
    <xf numFmtId="0" fontId="1" fillId="3" borderId="0" applyAlignment="1" applyProtection="1" pivotButton="0" quotePrefix="0" xfId="0">
      <alignment vertical="center" wrapText="1"/>
      <protection locked="0" hidden="0"/>
    </xf>
    <xf numFmtId="0" fontId="1" fillId="8" borderId="0" applyAlignment="1" applyProtection="1" pivotButton="0" quotePrefix="0" xfId="0">
      <alignment vertical="center" wrapText="1"/>
      <protection locked="0" hidden="0"/>
    </xf>
    <xf numFmtId="0" fontId="1" fillId="9" borderId="0" applyAlignment="1" applyProtection="1" pivotButton="0" quotePrefix="0" xfId="0">
      <alignment vertical="center" wrapText="1"/>
      <protection locked="0" hidden="0"/>
    </xf>
    <xf numFmtId="0" fontId="1" fillId="4" borderId="0" applyAlignment="1" applyProtection="1" pivotButton="0" quotePrefix="0" xfId="0">
      <alignment vertical="center" wrapText="1"/>
      <protection locked="0" hidden="0"/>
    </xf>
    <xf numFmtId="0" fontId="1" fillId="0" borderId="0" applyAlignment="1" applyProtection="1" pivotButton="0" quotePrefix="0" xfId="0">
      <alignment vertical="center" wrapText="1"/>
      <protection locked="0" hidden="0"/>
    </xf>
  </cellXfs>
  <cellStyles count="1">
    <cellStyle name="Normal" xfId="0"/>
  </cellStyles>
  <dxfs count="72">
    <dxf>
      <font>
        <color rgb="FF9C0006"/>
      </font>
      <fill>
        <patternFill patternType="solid">
          <bgColor rgb="FFFFF2CC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9C0006"/>
      </font>
      <fill>
        <patternFill patternType="solid">
          <bgColor rgb="FFFFF2CC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9C0006"/>
      </font>
      <fill>
        <patternFill patternType="solid">
          <bgColor rgb="FFFFF2CC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9C0006"/>
      </font>
      <fill>
        <patternFill patternType="solid">
          <bgColor rgb="FFFFF2CC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9C0006"/>
      </font>
      <fill>
        <patternFill patternType="solid">
          <bgColor rgb="FFFFF2CC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9C0006"/>
      </font>
      <fill>
        <patternFill patternType="solid">
          <bgColor rgb="FFFFF2CC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9C0006"/>
      </font>
      <fill>
        <patternFill patternType="solid">
          <bgColor rgb="FFFFF2CC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9C0006"/>
      </font>
      <fill>
        <patternFill patternType="solid">
          <bgColor rgb="FFFFF2CC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9C0006"/>
      </font>
      <fill>
        <patternFill patternType="solid">
          <bgColor rgb="FFFFF2CC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9C0006"/>
      </font>
      <fill>
        <patternFill patternType="solid">
          <bgColor rgb="FFFFF2CC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00687783"/>
      </font>
      <fill>
        <patternFill patternType="solid">
          <fgColor rgb="00EDF2F5"/>
        </patternFill>
      </fill>
    </dxf>
    <dxf>
      <font>
        <color rgb="009C0006"/>
      </font>
      <fill>
        <patternFill patternType="solid">
          <fgColor rgb="00FFF2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showGridLines="0" tabSelected="1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style="14" min="1" max="1"/>
    <col width="65" customWidth="1" style="14" min="2" max="2"/>
  </cols>
  <sheetData>
    <row r="1" ht="42" customFormat="1" customHeight="1" s="14">
      <c r="A1" s="15" t="inlineStr">
        <is>
          <t>Field</t>
        </is>
      </c>
      <c r="B1" s="15" t="inlineStr">
        <is>
          <t>Value</t>
        </is>
      </c>
    </row>
    <row r="2" ht="42" customFormat="1" customHeight="1" s="14">
      <c r="A2" s="16" t="inlineStr">
        <is>
          <t>reviewerId</t>
        </is>
      </c>
      <c r="B2" s="18" t="n"/>
    </row>
    <row r="3" ht="42" customFormat="1" customHeight="1" s="14">
      <c r="A3" s="17" t="inlineStr">
        <is>
          <t>reviewerName (optional)</t>
        </is>
      </c>
      <c r="B3" s="18" t="n"/>
    </row>
    <row r="4" ht="42" customFormat="1" customHeight="1" s="14">
      <c r="A4" s="16" t="inlineStr">
        <is>
          <t>reviewerRole</t>
        </is>
      </c>
      <c r="B4" s="16" t="inlineStr">
        <is>
          <t>R_B</t>
        </is>
      </c>
    </row>
    <row r="5" ht="42" customFormat="1" customHeight="1" s="14">
      <c r="A5" s="17" t="inlineStr">
        <is>
          <t>year</t>
        </is>
      </c>
      <c r="B5" s="17" t="n">
        <v>2018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5" customWidth="1" style="14" min="1" max="1"/>
    <col width="100" customWidth="1" style="14" min="2" max="2"/>
  </cols>
  <sheetData>
    <row r="1" ht="42" customFormat="1" customHeight="1" s="14">
      <c r="A1" s="15" t="inlineStr">
        <is>
          <t>Check</t>
        </is>
      </c>
      <c r="B1" s="15" t="inlineStr">
        <is>
          <t>Result</t>
        </is>
      </c>
    </row>
    <row r="2" ht="55" customFormat="1" customHeight="1" s="14">
      <c r="A2" s="16" t="inlineStr">
        <is>
          <t>Reviewer role</t>
        </is>
      </c>
      <c r="B2" s="16">
        <f>Setup!B4</f>
        <v/>
      </c>
    </row>
    <row r="3" ht="55" customFormat="1" customHeight="1" s="14">
      <c r="A3" s="17" t="inlineStr">
        <is>
          <t>Candidates</t>
        </is>
      </c>
      <c r="B3" s="17" t="n">
        <v>119</v>
      </c>
    </row>
    <row r="4" ht="55" customFormat="1" customHeight="1" s="14">
      <c r="A4" s="16" t="inlineStr">
        <is>
          <t>Primary ready rows</t>
        </is>
      </c>
      <c r="B4" s="16">
        <f>COUNTIF('C_jama.2017.21906'!$G$2:$G$7,"PRIMARY READY")+COUNTIF('C_jama.2018.0156'!$G$2:$G$9,"PRIMARY READY")+COUNTIF('C_jama.2018.0948'!$G$2:$G$8,"PRIMARY READY")+COUNTIF('C_jama.2018.14280'!$G$2:$G$24,"PRIMARY READY")+COUNTIF('C_jama.2018.14282'!$G$2:$G$29,"PRIMARY READY")+COUNTIF('C_jama.2018.17075'!$G$2:$G$9,"PRIMARY READY")+COUNTIF('C_jama.2018.18020'!$G$2:$G$15,"PRIMARY READY")+COUNTIF('C_jama.2018.6496'!$G$2:$G$5,"PRIMARY READY")+COUNTIF('C_jama.2018.8802'!$G$2:$G$9,"PRIMARY READY")+COUNTIF('C_jama.2018.9128'!$G$2:$G$14,"PRIMARY READY")</f>
        <v/>
      </c>
    </row>
    <row r="5" ht="55" customFormat="1" customHeight="1" s="14">
      <c r="A5" s="17" t="inlineStr">
        <is>
          <t>Discuss / unresolved rows</t>
        </is>
      </c>
      <c r="B5" s="17">
        <f>COUNTIF('C_jama.2017.21906'!$D$2:$D$7,"discuss")+COUNTIF('C_jama.2018.0156'!$D$2:$D$9,"discuss")+COUNTIF('C_jama.2018.0948'!$D$2:$D$8,"discuss")+COUNTIF('C_jama.2018.14280'!$D$2:$D$24,"discuss")+COUNTIF('C_jama.2018.14282'!$D$2:$D$29,"discuss")+COUNTIF('C_jama.2018.17075'!$D$2:$D$9,"discuss")+COUNTIF('C_jama.2018.18020'!$D$2:$D$15,"discuss")+COUNTIF('C_jama.2018.6496'!$D$2:$D$5,"discuss")+COUNTIF('C_jama.2018.8802'!$D$2:$D$9,"discuss")+COUNTIF('C_jama.2018.9128'!$D$2:$D$14,"discuss")</f>
        <v/>
      </c>
    </row>
    <row r="6" ht="55" customFormat="1" customHeight="1" s="14">
      <c r="A6" s="16" t="inlineStr">
        <is>
          <t>Unfinished rows</t>
        </is>
      </c>
      <c r="B6" s="16">
        <f>B3-B4</f>
        <v/>
      </c>
    </row>
    <row r="7" ht="55" customFormat="1" customHeight="1" s="14">
      <c r="A7" s="17" t="inlineStr">
        <is>
          <t>Workflow status</t>
        </is>
      </c>
      <c r="B7" s="17">
        <f>IF(B4=B3,"PRIMARY READY","ACTION NEEDED")</f>
        <v/>
      </c>
    </row>
    <row r="8" ht="55" customFormat="1" customHeight="1" s="14">
      <c r="A8" s="16" t="inlineStr">
        <is>
          <t>Meaning</t>
        </is>
      </c>
      <c r="B8" s="16" t="inlineStr">
        <is>
          <t>PRIMARY READY means independent entry is complete. Discuss remains unresolved and is not counted as absence of error.</t>
        </is>
      </c>
    </row>
    <row r="9" ht="55" customFormat="1" customHeight="1" s="14">
      <c r="A9" s="17" t="inlineStr">
        <is>
          <t>Next action</t>
        </is>
      </c>
      <c r="B9" s="17" t="inlineStr">
        <is>
          <t>Inspect G on the C_ sheets. Save and deliver this file after review.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style="14" min="1" max="1"/>
    <col width="38" customWidth="1" style="14" min="2" max="2"/>
    <col width="18" customWidth="1" style="14" min="3" max="3"/>
  </cols>
  <sheetData>
    <row r="1" ht="42" customFormat="1" customHeight="1" s="14">
      <c r="A1" s="15" t="inlineStr">
        <is>
          <t>Paper</t>
        </is>
      </c>
      <c r="B1" s="15" t="inlineStr">
        <is>
          <t>Review worksheet</t>
        </is>
      </c>
      <c r="C1" s="15" t="inlineStr">
        <is>
          <t>Candidates</t>
        </is>
      </c>
    </row>
    <row r="2" ht="36" customFormat="1" customHeight="1" s="14">
      <c r="A2" s="16" t="inlineStr">
        <is>
          <t>jama.2017.21906</t>
        </is>
      </c>
      <c r="B2" s="16" t="inlineStr">
        <is>
          <t>C_jama.2017.21906</t>
        </is>
      </c>
      <c r="C2" s="16" t="n">
        <v>6</v>
      </c>
    </row>
    <row r="3" ht="36" customFormat="1" customHeight="1" s="14">
      <c r="A3" s="17" t="inlineStr">
        <is>
          <t>jama.2018.0156</t>
        </is>
      </c>
      <c r="B3" s="17" t="inlineStr">
        <is>
          <t>C_jama.2018.0156</t>
        </is>
      </c>
      <c r="C3" s="17" t="n">
        <v>8</v>
      </c>
    </row>
    <row r="4" ht="36" customFormat="1" customHeight="1" s="14">
      <c r="A4" s="16" t="inlineStr">
        <is>
          <t>jama.2018.0948</t>
        </is>
      </c>
      <c r="B4" s="16" t="inlineStr">
        <is>
          <t>C_jama.2018.0948</t>
        </is>
      </c>
      <c r="C4" s="16" t="n">
        <v>7</v>
      </c>
    </row>
    <row r="5" ht="36" customFormat="1" customHeight="1" s="14">
      <c r="A5" s="17" t="inlineStr">
        <is>
          <t>jama.2018.14280</t>
        </is>
      </c>
      <c r="B5" s="17" t="inlineStr">
        <is>
          <t>C_jama.2018.14280</t>
        </is>
      </c>
      <c r="C5" s="17" t="n">
        <v>23</v>
      </c>
    </row>
    <row r="6" ht="36" customFormat="1" customHeight="1" s="14">
      <c r="A6" s="16" t="inlineStr">
        <is>
          <t>jama.2018.14282</t>
        </is>
      </c>
      <c r="B6" s="16" t="inlineStr">
        <is>
          <t>C_jama.2018.14282</t>
        </is>
      </c>
      <c r="C6" s="16" t="n">
        <v>28</v>
      </c>
    </row>
    <row r="7" ht="36" customFormat="1" customHeight="1" s="14">
      <c r="A7" s="17" t="inlineStr">
        <is>
          <t>jama.2018.17075</t>
        </is>
      </c>
      <c r="B7" s="17" t="inlineStr">
        <is>
          <t>C_jama.2018.17075</t>
        </is>
      </c>
      <c r="C7" s="17" t="n">
        <v>8</v>
      </c>
    </row>
    <row r="8" ht="36" customFormat="1" customHeight="1" s="14">
      <c r="A8" s="16" t="inlineStr">
        <is>
          <t>jama.2018.18020</t>
        </is>
      </c>
      <c r="B8" s="16" t="inlineStr">
        <is>
          <t>C_jama.2018.18020</t>
        </is>
      </c>
      <c r="C8" s="16" t="n">
        <v>14</v>
      </c>
    </row>
    <row r="9" ht="36" customFormat="1" customHeight="1" s="14">
      <c r="A9" s="17" t="inlineStr">
        <is>
          <t>jama.2018.6496</t>
        </is>
      </c>
      <c r="B9" s="17" t="inlineStr">
        <is>
          <t>C_jama.2018.6496</t>
        </is>
      </c>
      <c r="C9" s="17" t="n">
        <v>4</v>
      </c>
    </row>
    <row r="10" ht="36" customFormat="1" customHeight="1" s="14">
      <c r="A10" s="16" t="inlineStr">
        <is>
          <t>jama.2018.8802</t>
        </is>
      </c>
      <c r="B10" s="16" t="inlineStr">
        <is>
          <t>C_jama.2018.8802</t>
        </is>
      </c>
      <c r="C10" s="16" t="n">
        <v>8</v>
      </c>
    </row>
    <row r="11" ht="36" customFormat="1" customHeight="1" s="14">
      <c r="A11" s="17" t="inlineStr">
        <is>
          <t>jama.2018.9128</t>
        </is>
      </c>
      <c r="B11" s="17" t="inlineStr">
        <is>
          <t>C_jama.2018.9128</t>
        </is>
      </c>
      <c r="C11" s="17" t="n">
        <v>13</v>
      </c>
    </row>
  </sheetData>
  <hyperlinks>
    <hyperlink ref="B2" location="'C_jama.2017.21906'!A1"/>
    <hyperlink ref="B3" location="'C_jama.2018.0156'!A1"/>
    <hyperlink ref="B4" location="'C_jama.2018.0948'!A1"/>
    <hyperlink ref="B5" location="'C_jama.2018.14280'!A1"/>
    <hyperlink ref="B6" location="'C_jama.2018.14282'!A1"/>
    <hyperlink ref="B7" location="'C_jama.2018.17075'!A1"/>
    <hyperlink ref="B8" location="'C_jama.2018.18020'!A1"/>
    <hyperlink ref="B9" location="'C_jama.2018.6496'!A1"/>
    <hyperlink ref="B10" location="'C_jama.2018.8802'!A1"/>
    <hyperlink ref="B11" location="'C_jama.2018.9128'!A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7"/>
  <sheetViews>
    <sheetView showGridLines="0" tabSelected="0" workbookViewId="0">
      <pane xSplit="1" ySplit="1" topLeftCell="B2" activePane="bottomRight" state="frozen"/>
      <selection activeCell="A1" sqref="A1"/>
    </sheetView>
  </sheetViews>
  <sheetFormatPr baseColWidth="8" defaultRowHeight="15"/>
  <cols>
    <col width="22" customWidth="1" style="14" min="1" max="1"/>
    <col width="28" customWidth="1" style="14" min="2" max="2"/>
    <col width="22" customWidth="1" style="14" min="3" max="3"/>
    <col width="20" customWidth="1" style="14" min="4" max="4"/>
    <col width="35" customWidth="1" style="14" min="5" max="5"/>
    <col width="17" customWidth="1" style="14" min="6" max="6"/>
    <col width="29" customWidth="1" style="14" min="7" max="7"/>
    <col width="28" customWidth="1" style="14" min="8" max="8"/>
    <col width="20" customWidth="1" style="14" min="9" max="9"/>
    <col width="20" customWidth="1" style="14" min="10" max="10"/>
    <col width="34" customWidth="1" style="14" min="11" max="11"/>
    <col width="26" customWidth="1" style="14" min="12" max="12"/>
    <col hidden="1" width="3" customWidth="1" style="14" min="13" max="13"/>
    <col hidden="1" width="3" customWidth="1" style="14" min="14" max="14"/>
    <col hidden="1" width="3" customWidth="1" style="14" min="15" max="15"/>
    <col hidden="1" width="3" customWidth="1" style="14" min="16" max="16"/>
    <col hidden="1" width="3" customWidth="1" style="14" min="17" max="17"/>
    <col width="32" customWidth="1" style="14" min="18" max="18"/>
  </cols>
  <sheetData>
    <row r="1" ht="70" customFormat="1" customHeight="1" s="14">
      <c r="A1" s="19" t="inlineStr">
        <is>
          <t>Candidate key</t>
        </is>
      </c>
      <c r="B1" s="19" t="inlineStr">
        <is>
          <t>Candidate title</t>
        </is>
      </c>
      <c r="C1" s="19" t="inlineStr">
        <is>
          <t>Source location</t>
        </is>
      </c>
      <c r="D1" s="19" t="inlineStr">
        <is>
          <t>Disposition</t>
        </is>
      </c>
      <c r="E1" s="19" t="inlineStr">
        <is>
          <t>Review domain (AI suggestion; editable)</t>
        </is>
      </c>
      <c r="F1" s="19" t="inlineStr">
        <is>
          <t>Complete</t>
        </is>
      </c>
      <c r="G1" s="19" t="inlineStr">
        <is>
          <t>Validation hint</t>
        </is>
      </c>
      <c r="H1" s="19" t="inlineStr">
        <is>
          <t>Statistcal_or_numerical issue</t>
        </is>
      </c>
      <c r="I1" s="19" t="inlineStr">
        <is>
          <t>Substantiveness</t>
        </is>
      </c>
      <c r="J1" s="19" t="inlineStr">
        <is>
          <t>Downstream impact</t>
        </is>
      </c>
      <c r="K1" s="19" t="inlineStr">
        <is>
          <t>Report-internal or planning-material inconsistency</t>
        </is>
      </c>
      <c r="L1" s="19" t="inlineStr">
        <is>
          <t>Protocol interpretation</t>
        </is>
      </c>
      <c r="M1" s="19" t="n"/>
      <c r="N1" s="19" t="n"/>
      <c r="O1" s="19" t="n"/>
      <c r="P1" s="19" t="n"/>
      <c r="Q1" s="19" t="n"/>
      <c r="R1" s="19" t="inlineStr">
        <is>
          <t>Notes (optional)</t>
        </is>
      </c>
    </row>
    <row r="2" ht="92" customFormat="1" customHeight="1" s="14">
      <c r="A2" s="20" t="inlineStr">
        <is>
          <t>2018::jama.2017.21906::C001</t>
        </is>
      </c>
      <c r="B2" s="20" t="inlineStr">
        <is>
          <t>In-hospital beta-blocker adjusted-risk-difference CI endpoint differs between Table 2 and narrative</t>
        </is>
      </c>
      <c r="C2" s="20" t="inlineStr">
        <is>
          <t>Main article — PDF p. 6, Table 2 In-hospital β-blocker row and adjacent Results narrative.</t>
        </is>
      </c>
      <c r="D2" s="21" t="n"/>
      <c r="E2" s="21" t="inlineStr">
        <is>
          <t>statistical_results</t>
        </is>
      </c>
      <c r="F2" s="21" t="inlineStr">
        <is>
          <t>no</t>
        </is>
      </c>
      <c r="G2" s="20">
        <f>IFERROR(IF(LEN(TRIM(CLEAN(SUBSTITUTE(Setup!$B$2,CHAR(160)," "))))=0,"CHECK REVIEWER ID",IF(OR(A2="",COUNTIF($A$2:$A$7,A2)&lt;&gt;1,LEFT(A2,LEN("2018::jama.2017.21906::"))&lt;&gt;"2018::jama.2017.21906::"),"CHECK KEY",IF(OR(AND(NOT(AND(D2="retain",E2="statistical_results")),H2&lt;&gt;"",NOT(EXACT(H2,"not_applicable"))),AND(NOT(AND(D2="retain",E2="statistical_results")),I2&lt;&gt;"",NOT(EXACT(I2,"not_applicable"))),AND(NOT(AND(D2="retain",E2="statistical_results")),J2&lt;&gt;"",NOT(EXACT(J2,"not_applicable"))),AND(NOT(AND(D2="retain",OR(E2="report_internal_inconsistency",E2="plan_material"))),K2&lt;&gt;"",NOT(EXACT(K2,"not_applicable"))),AND(NOT(AND(D2="retain",E2="protocol_report")),L2&lt;&gt;"",NOT(EXACT(L2,"not_applicable")))),"CLEAR INACTIVE VALUES",IF(OR(NOT(OR(EXACT(D2,"retain"),EXACT(D2,"exclude"),EXACT(D2,"discuss"))),NOT(OR(EXACT(E2,"statistical_results"),EXACT(E2,"report_internal_inconsistency"),EXACT(E2,"plan_material"),EXACT(E2,"protocol_report"))),AND(AND(D2="retain",E2="statistical_results"),NOT(OR(EXACT(H2,"confirmed_issue"),EXACT(H2,"probable_issue"),EXACT(H2,"not_issue"),EXACT(H2,"indeterminate")))),AND(AND(D2="retain",E2="statistical_results"),NOT(OR(EXACT(I2,"substantive"),EXACT(I2,"minor_presentation"),EXACT(I2,"indeterminate")))),AND(AND(D2="retain",E2="statistical_results"),J2&lt;&gt;"",NOT(OR(EXACT(J2,"direct"),EXACT(J2,"possible"),EXACT(J2,"unlikely"),EXACT(J2,"unknown")))),AND(AND(D2="retain",OR(E2="report_internal_inconsistency",E2="plan_material")),NOT(OR(EXACT(K2,"substantive_inconsistency"),EXACT(K2,"minor_presentation"),EXACT(K2,"non_inconsistency"),EXACT(K2,"indeterminate")))),AND(AND(D2="retain",E2="protocol_report"),L2&lt;&gt;"",NOT(OR(EXACT(L2,"substantive_difference"),EXACT(L2,"minor_presentation"),EXACT(L2,"version_timing"),EXACT(L2,"non_inconsistency"),EXACT(L2,"indeterminate"))))),"CHECK FIELDS",IF(AND(F2&lt;&gt;"",NOT(OR(EXACT(F2,"no"),EXACT(F2,"primary_done")))),"CHECK COMPLETE",IF(EXACT(F2,"primary_done"),"PRIMARY READY","PRIMARY DRAFT")))))),"CHECK INPUT / KEY")</f>
        <v/>
      </c>
      <c r="H2" s="21">
        <f>IF(AND(OR(D2="retain",D2=""),E2="statistical_results"),"","not_applicable")</f>
        <v/>
      </c>
      <c r="I2" s="21">
        <f>IF(AND(OR(D2="retain",D2=""),E2="statistical_results"),"","not_applicable")</f>
        <v/>
      </c>
      <c r="J2" s="22">
        <f>IF(AND(OR(D2="retain",D2=""),E2="statistical_results"),"","not_applicable")</f>
        <v/>
      </c>
      <c r="K2" s="21">
        <f>IF(AND(OR(D2="retain",D2=""),OR(E2="report_internal_inconsistency",E2="plan_material")),"","not_applicable")</f>
        <v/>
      </c>
      <c r="L2" s="22">
        <f>IF(AND(OR(D2="retain",D2=""),E2="protocol_report"),"","not_applicable")</f>
        <v/>
      </c>
      <c r="M2" s="20" t="n"/>
      <c r="N2" s="23" t="n"/>
      <c r="O2" s="23" t="n"/>
      <c r="P2" s="23" t="n"/>
      <c r="Q2" s="23" t="n"/>
      <c r="R2" s="22" t="n"/>
    </row>
    <row r="3" ht="92" customFormat="1" customHeight="1" s="14">
      <c r="A3" s="24" t="inlineStr">
        <is>
          <t>2018::jama.2017.21906::C002</t>
        </is>
      </c>
      <c r="B3" s="24" t="inlineStr">
        <is>
          <t>Discharge beta-blocker adjusted point estimates differ between Table 2 and narrative</t>
        </is>
      </c>
      <c r="C3" s="24" t="inlineStr">
        <is>
          <t>Main article — PDF p. 6, Table 2 Discharge β-blocker row; Main article — PDF p. 7, Results narrative.</t>
        </is>
      </c>
      <c r="D3" s="21" t="n"/>
      <c r="E3" s="21" t="inlineStr">
        <is>
          <t>report_internal_inconsistency</t>
        </is>
      </c>
      <c r="F3" s="21" t="inlineStr">
        <is>
          <t>no</t>
        </is>
      </c>
      <c r="G3" s="24">
        <f>IFERROR(IF(LEN(TRIM(CLEAN(SUBSTITUTE(Setup!$B$2,CHAR(160)," "))))=0,"CHECK REVIEWER ID",IF(OR(A3="",COUNTIF($A$2:$A$7,A3)&lt;&gt;1,LEFT(A3,LEN("2018::jama.2017.21906::"))&lt;&gt;"2018::jama.2017.21906::"),"CHECK KEY",IF(OR(AND(NOT(AND(D3="retain",E3="statistical_results")),H3&lt;&gt;"",NOT(EXACT(H3,"not_applicable"))),AND(NOT(AND(D3="retain",E3="statistical_results")),I3&lt;&gt;"",NOT(EXACT(I3,"not_applicable"))),AND(NOT(AND(D3="retain",E3="statistical_results")),J3&lt;&gt;"",NOT(EXACT(J3,"not_applicable"))),AND(NOT(AND(D3="retain",OR(E3="report_internal_inconsistency",E3="plan_material"))),K3&lt;&gt;"",NOT(EXACT(K3,"not_applicable"))),AND(NOT(AND(D3="retain",E3="protocol_report")),L3&lt;&gt;"",NOT(EXACT(L3,"not_applicable")))),"CLEAR INACTIVE VALUES",IF(OR(NOT(OR(EXACT(D3,"retain"),EXACT(D3,"exclude"),EXACT(D3,"discuss"))),NOT(OR(EXACT(E3,"statistical_results"),EXACT(E3,"report_internal_inconsistency"),EXACT(E3,"plan_material"),EXACT(E3,"protocol_report"))),AND(AND(D3="retain",E3="statistical_results"),NOT(OR(EXACT(H3,"confirmed_issue"),EXACT(H3,"probable_issue"),EXACT(H3,"not_issue"),EXACT(H3,"indeterminate")))),AND(AND(D3="retain",E3="statistical_results"),NOT(OR(EXACT(I3,"substantive"),EXACT(I3,"minor_presentation"),EXACT(I3,"indeterminate")))),AND(AND(D3="retain",E3="statistical_results"),J3&lt;&gt;"",NOT(OR(EXACT(J3,"direct"),EXACT(J3,"possible"),EXACT(J3,"unlikely"),EXACT(J3,"unknown")))),AND(AND(D3="retain",OR(E3="report_internal_inconsistency",E3="plan_material")),NOT(OR(EXACT(K3,"substantive_inconsistency"),EXACT(K3,"minor_presentation"),EXACT(K3,"non_inconsistency"),EXACT(K3,"indeterminate")))),AND(AND(D3="retain",E3="protocol_report"),L3&lt;&gt;"",NOT(OR(EXACT(L3,"substantive_difference"),EXACT(L3,"minor_presentation"),EXACT(L3,"version_timing"),EXACT(L3,"non_inconsistency"),EXACT(L3,"indeterminate"))))),"CHECK FIELDS",IF(AND(F3&lt;&gt;"",NOT(OR(EXACT(F3,"no"),EXACT(F3,"primary_done")))),"CHECK COMPLETE",IF(EXACT(F3,"primary_done"),"PRIMARY READY","PRIMARY DRAFT")))))),"CHECK INPUT / KEY")</f>
        <v/>
      </c>
      <c r="H3" s="21">
        <f>IF(AND(OR(D3="retain",D3=""),E3="statistical_results"),"","not_applicable")</f>
        <v/>
      </c>
      <c r="I3" s="21">
        <f>IF(AND(OR(D3="retain",D3=""),E3="statistical_results"),"","not_applicable")</f>
        <v/>
      </c>
      <c r="J3" s="22">
        <f>IF(AND(OR(D3="retain",D3=""),E3="statistical_results"),"","not_applicable")</f>
        <v/>
      </c>
      <c r="K3" s="21">
        <f>IF(AND(OR(D3="retain",D3=""),OR(E3="report_internal_inconsistency",E3="plan_material")),"","not_applicable")</f>
        <v/>
      </c>
      <c r="L3" s="22">
        <f>IF(AND(OR(D3="retain",D3=""),E3="protocol_report"),"","not_applicable")</f>
        <v/>
      </c>
      <c r="M3" s="24" t="n"/>
      <c r="N3" s="23" t="n"/>
      <c r="O3" s="23" t="n"/>
      <c r="P3" s="23" t="n"/>
      <c r="Q3" s="23" t="n"/>
      <c r="R3" s="22" t="n"/>
    </row>
    <row r="4" ht="92" customFormat="1" customHeight="1" s="14">
      <c r="A4" s="20" t="inlineStr">
        <is>
          <t>2018::jama.2017.21906::C003</t>
        </is>
      </c>
      <c r="B4" s="20" t="inlineStr">
        <is>
          <t>eTable 1 difference footnote names groups not displayed in the table</t>
        </is>
      </c>
      <c r="C4" s="20" t="inlineStr">
        <is>
          <t>Online supplement — PDF p. 17, eTable 1 title, headers, values, and footnote a.</t>
        </is>
      </c>
      <c r="D4" s="21" t="n"/>
      <c r="E4" s="21" t="inlineStr">
        <is>
          <t>report_internal_inconsistency</t>
        </is>
      </c>
      <c r="F4" s="21" t="inlineStr">
        <is>
          <t>no</t>
        </is>
      </c>
      <c r="G4" s="20">
        <f>IFERROR(IF(LEN(TRIM(CLEAN(SUBSTITUTE(Setup!$B$2,CHAR(160)," "))))=0,"CHECK REVIEWER ID",IF(OR(A4="",COUNTIF($A$2:$A$7,A4)&lt;&gt;1,LEFT(A4,LEN("2018::jama.2017.21906::"))&lt;&gt;"2018::jama.2017.21906::"),"CHECK KEY",IF(OR(AND(NOT(AND(D4="retain",E4="statistical_results")),H4&lt;&gt;"",NOT(EXACT(H4,"not_applicable"))),AND(NOT(AND(D4="retain",E4="statistical_results")),I4&lt;&gt;"",NOT(EXACT(I4,"not_applicable"))),AND(NOT(AND(D4="retain",E4="statistical_results")),J4&lt;&gt;"",NOT(EXACT(J4,"not_applicable"))),AND(NOT(AND(D4="retain",OR(E4="report_internal_inconsistency",E4="plan_material"))),K4&lt;&gt;"",NOT(EXACT(K4,"not_applicable"))),AND(NOT(AND(D4="retain",E4="protocol_report")),L4&lt;&gt;"",NOT(EXACT(L4,"not_applicable")))),"CLEAR INACTIVE VALUES",IF(OR(NOT(OR(EXACT(D4,"retain"),EXACT(D4,"exclude"),EXACT(D4,"discuss"))),NOT(OR(EXACT(E4,"statistical_results"),EXACT(E4,"report_internal_inconsistency"),EXACT(E4,"plan_material"),EXACT(E4,"protocol_report"))),AND(AND(D4="retain",E4="statistical_results"),NOT(OR(EXACT(H4,"confirmed_issue"),EXACT(H4,"probable_issue"),EXACT(H4,"not_issue"),EXACT(H4,"indeterminate")))),AND(AND(D4="retain",E4="statistical_results"),NOT(OR(EXACT(I4,"substantive"),EXACT(I4,"minor_presentation"),EXACT(I4,"indeterminate")))),AND(AND(D4="retain",E4="statistical_results"),J4&lt;&gt;"",NOT(OR(EXACT(J4,"direct"),EXACT(J4,"possible"),EXACT(J4,"unlikely"),EXACT(J4,"unknown")))),AND(AND(D4="retain",OR(E4="report_internal_inconsistency",E4="plan_material")),NOT(OR(EXACT(K4,"substantive_inconsistency"),EXACT(K4,"minor_presentation"),EXACT(K4,"non_inconsistency"),EXACT(K4,"indeterminate")))),AND(AND(D4="retain",E4="protocol_report"),L4&lt;&gt;"",NOT(OR(EXACT(L4,"substantive_difference"),EXACT(L4,"minor_presentation"),EXACT(L4,"version_timing"),EXACT(L4,"non_inconsistency"),EXACT(L4,"indeterminate"))))),"CHECK FIELDS",IF(AND(F4&lt;&gt;"",NOT(OR(EXACT(F4,"no"),EXACT(F4,"primary_done")))),"CHECK COMPLETE",IF(EXACT(F4,"primary_done"),"PRIMARY READY","PRIMARY DRAFT")))))),"CHECK INPUT / KEY")</f>
        <v/>
      </c>
      <c r="H4" s="21">
        <f>IF(AND(OR(D4="retain",D4=""),E4="statistical_results"),"","not_applicable")</f>
        <v/>
      </c>
      <c r="I4" s="21">
        <f>IF(AND(OR(D4="retain",D4=""),E4="statistical_results"),"","not_applicable")</f>
        <v/>
      </c>
      <c r="J4" s="22">
        <f>IF(AND(OR(D4="retain",D4=""),E4="statistical_results"),"","not_applicable")</f>
        <v/>
      </c>
      <c r="K4" s="21">
        <f>IF(AND(OR(D4="retain",D4=""),OR(E4="report_internal_inconsistency",E4="plan_material")),"","not_applicable")</f>
        <v/>
      </c>
      <c r="L4" s="22">
        <f>IF(AND(OR(D4="retain",D4=""),E4="protocol_report"),"","not_applicable")</f>
        <v/>
      </c>
      <c r="M4" s="20" t="n"/>
      <c r="N4" s="23" t="n"/>
      <c r="O4" s="23" t="n"/>
      <c r="P4" s="23" t="n"/>
      <c r="Q4" s="23" t="n"/>
      <c r="R4" s="22" t="n"/>
    </row>
    <row r="5" ht="92" customFormat="1" customHeight="1" s="14">
      <c r="A5" s="24" t="inlineStr">
        <is>
          <t>2018::jama.2017.21906::C004</t>
        </is>
      </c>
      <c r="B5" s="24" t="inlineStr">
        <is>
          <t>Reported prespecified age-subgroup boundaries differ from the supplied SAP</t>
        </is>
      </c>
      <c r="C5" s="24" t="inlineStr">
        <is>
          <t>SAP — PDF p. 7, section 7.5.2; main article — PDF p. 3, Statistical Analysis; main article — PDF p. 9, Figure 3 and adjacent Results narrative.</t>
        </is>
      </c>
      <c r="D5" s="21" t="n"/>
      <c r="E5" s="21" t="inlineStr">
        <is>
          <t>protocol_report</t>
        </is>
      </c>
      <c r="F5" s="21" t="inlineStr">
        <is>
          <t>no</t>
        </is>
      </c>
      <c r="G5" s="24">
        <f>IFERROR(IF(LEN(TRIM(CLEAN(SUBSTITUTE(Setup!$B$2,CHAR(160)," "))))=0,"CHECK REVIEWER ID",IF(OR(A5="",COUNTIF($A$2:$A$7,A5)&lt;&gt;1,LEFT(A5,LEN("2018::jama.2017.21906::"))&lt;&gt;"2018::jama.2017.21906::"),"CHECK KEY",IF(OR(AND(NOT(AND(D5="retain",E5="statistical_results")),H5&lt;&gt;"",NOT(EXACT(H5,"not_applicable"))),AND(NOT(AND(D5="retain",E5="statistical_results")),I5&lt;&gt;"",NOT(EXACT(I5,"not_applicable"))),AND(NOT(AND(D5="retain",E5="statistical_results")),J5&lt;&gt;"",NOT(EXACT(J5,"not_applicable"))),AND(NOT(AND(D5="retain",OR(E5="report_internal_inconsistency",E5="plan_material"))),K5&lt;&gt;"",NOT(EXACT(K5,"not_applicable"))),AND(NOT(AND(D5="retain",E5="protocol_report")),L5&lt;&gt;"",NOT(EXACT(L5,"not_applicable")))),"CLEAR INACTIVE VALUES",IF(OR(NOT(OR(EXACT(D5,"retain"),EXACT(D5,"exclude"),EXACT(D5,"discuss"))),NOT(OR(EXACT(E5,"statistical_results"),EXACT(E5,"report_internal_inconsistency"),EXACT(E5,"plan_material"),EXACT(E5,"protocol_report"))),AND(AND(D5="retain",E5="statistical_results"),NOT(OR(EXACT(H5,"confirmed_issue"),EXACT(H5,"probable_issue"),EXACT(H5,"not_issue"),EXACT(H5,"indeterminate")))),AND(AND(D5="retain",E5="statistical_results"),NOT(OR(EXACT(I5,"substantive"),EXACT(I5,"minor_presentation"),EXACT(I5,"indeterminate")))),AND(AND(D5="retain",E5="statistical_results"),J5&lt;&gt;"",NOT(OR(EXACT(J5,"direct"),EXACT(J5,"possible"),EXACT(J5,"unlikely"),EXACT(J5,"unknown")))),AND(AND(D5="retain",OR(E5="report_internal_inconsistency",E5="plan_material")),NOT(OR(EXACT(K5,"substantive_inconsistency"),EXACT(K5,"minor_presentation"),EXACT(K5,"non_inconsistency"),EXACT(K5,"indeterminate")))),AND(AND(D5="retain",E5="protocol_report"),L5&lt;&gt;"",NOT(OR(EXACT(L5,"substantive_difference"),EXACT(L5,"minor_presentation"),EXACT(L5,"version_timing"),EXACT(L5,"non_inconsistency"),EXACT(L5,"indeterminate"))))),"CHECK FIELDS",IF(AND(F5&lt;&gt;"",NOT(OR(EXACT(F5,"no"),EXACT(F5,"primary_done")))),"CHECK COMPLETE",IF(EXACT(F5,"primary_done"),"PRIMARY READY","PRIMARY DRAFT")))))),"CHECK INPUT / KEY")</f>
        <v/>
      </c>
      <c r="H5" s="21">
        <f>IF(AND(OR(D5="retain",D5=""),E5="statistical_results"),"","not_applicable")</f>
        <v/>
      </c>
      <c r="I5" s="21">
        <f>IF(AND(OR(D5="retain",D5=""),E5="statistical_results"),"","not_applicable")</f>
        <v/>
      </c>
      <c r="J5" s="22">
        <f>IF(AND(OR(D5="retain",D5=""),E5="statistical_results"),"","not_applicable")</f>
        <v/>
      </c>
      <c r="K5" s="21">
        <f>IF(AND(OR(D5="retain",D5=""),OR(E5="report_internal_inconsistency",E5="plan_material")),"","not_applicable")</f>
        <v/>
      </c>
      <c r="L5" s="22">
        <f>IF(AND(OR(D5="retain",D5=""),E5="protocol_report"),"","not_applicable")</f>
        <v/>
      </c>
      <c r="M5" s="24" t="n"/>
      <c r="N5" s="23" t="n"/>
      <c r="O5" s="23" t="n"/>
      <c r="P5" s="23" t="n"/>
      <c r="Q5" s="23" t="n"/>
      <c r="R5" s="22" t="n"/>
    </row>
    <row r="6" ht="92" customFormat="1" customHeight="1" s="14">
      <c r="A6" s="20" t="inlineStr">
        <is>
          <t>2018::jama.2017.21906::C005</t>
        </is>
      </c>
      <c r="B6" s="20" t="inlineStr">
        <is>
          <t>The named optimal in-hospital medication composite uses different component labels across final-result tables</t>
        </is>
      </c>
      <c r="C6" s="20" t="inlineStr">
        <is>
          <t>Main article — PDF p. 3, Outcomes; main article — PDF p. 7, Table 3 footnote c; online supplement — PDF p. 21, eTable 5 footnote c; online supplement — PDF p. 22, eTable 6 footnote b.</t>
        </is>
      </c>
      <c r="D6" s="21" t="n"/>
      <c r="E6" s="21" t="inlineStr">
        <is>
          <t>report_internal_inconsistency</t>
        </is>
      </c>
      <c r="F6" s="21" t="inlineStr">
        <is>
          <t>no</t>
        </is>
      </c>
      <c r="G6" s="20">
        <f>IFERROR(IF(LEN(TRIM(CLEAN(SUBSTITUTE(Setup!$B$2,CHAR(160)," "))))=0,"CHECK REVIEWER ID",IF(OR(A6="",COUNTIF($A$2:$A$7,A6)&lt;&gt;1,LEFT(A6,LEN("2018::jama.2017.21906::"))&lt;&gt;"2018::jama.2017.21906::"),"CHECK KEY",IF(OR(AND(NOT(AND(D6="retain",E6="statistical_results")),H6&lt;&gt;"",NOT(EXACT(H6,"not_applicable"))),AND(NOT(AND(D6="retain",E6="statistical_results")),I6&lt;&gt;"",NOT(EXACT(I6,"not_applicable"))),AND(NOT(AND(D6="retain",E6="statistical_results")),J6&lt;&gt;"",NOT(EXACT(J6,"not_applicable"))),AND(NOT(AND(D6="retain",OR(E6="report_internal_inconsistency",E6="plan_material"))),K6&lt;&gt;"",NOT(EXACT(K6,"not_applicable"))),AND(NOT(AND(D6="retain",E6="protocol_report")),L6&lt;&gt;"",NOT(EXACT(L6,"not_applicable")))),"CLEAR INACTIVE VALUES",IF(OR(NOT(OR(EXACT(D6,"retain"),EXACT(D6,"exclude"),EXACT(D6,"discuss"))),NOT(OR(EXACT(E6,"statistical_results"),EXACT(E6,"report_internal_inconsistency"),EXACT(E6,"plan_material"),EXACT(E6,"protocol_report"))),AND(AND(D6="retain",E6="statistical_results"),NOT(OR(EXACT(H6,"confirmed_issue"),EXACT(H6,"probable_issue"),EXACT(H6,"not_issue"),EXACT(H6,"indeterminate")))),AND(AND(D6="retain",E6="statistical_results"),NOT(OR(EXACT(I6,"substantive"),EXACT(I6,"minor_presentation"),EXACT(I6,"indeterminate")))),AND(AND(D6="retain",E6="statistical_results"),J6&lt;&gt;"",NOT(OR(EXACT(J6,"direct"),EXACT(J6,"possible"),EXACT(J6,"unlikely"),EXACT(J6,"unknown")))),AND(AND(D6="retain",OR(E6="report_internal_inconsistency",E6="plan_material")),NOT(OR(EXACT(K6,"substantive_inconsistency"),EXACT(K6,"minor_presentation"),EXACT(K6,"non_inconsistency"),EXACT(K6,"indeterminate")))),AND(AND(D6="retain",E6="protocol_report"),L6&lt;&gt;"",NOT(OR(EXACT(L6,"substantive_difference"),EXACT(L6,"minor_presentation"),EXACT(L6,"version_timing"),EXACT(L6,"non_inconsistency"),EXACT(L6,"indeterminate"))))),"CHECK FIELDS",IF(AND(F6&lt;&gt;"",NOT(OR(EXACT(F6,"no"),EXACT(F6,"primary_done")))),"CHECK COMPLETE",IF(EXACT(F6,"primary_done"),"PRIMARY READY","PRIMARY DRAFT")))))),"CHECK INPUT / KEY")</f>
        <v/>
      </c>
      <c r="H6" s="21">
        <f>IF(AND(OR(D6="retain",D6=""),E6="statistical_results"),"","not_applicable")</f>
        <v/>
      </c>
      <c r="I6" s="21">
        <f>IF(AND(OR(D6="retain",D6=""),E6="statistical_results"),"","not_applicable")</f>
        <v/>
      </c>
      <c r="J6" s="22">
        <f>IF(AND(OR(D6="retain",D6=""),E6="statistical_results"),"","not_applicable")</f>
        <v/>
      </c>
      <c r="K6" s="21">
        <f>IF(AND(OR(D6="retain",D6=""),OR(E6="report_internal_inconsistency",E6="plan_material")),"","not_applicable")</f>
        <v/>
      </c>
      <c r="L6" s="22">
        <f>IF(AND(OR(D6="retain",D6=""),E6="protocol_report"),"","not_applicable")</f>
        <v/>
      </c>
      <c r="M6" s="20" t="n"/>
      <c r="N6" s="23" t="n"/>
      <c r="O6" s="23" t="n"/>
      <c r="P6" s="23" t="n"/>
      <c r="Q6" s="23" t="n"/>
      <c r="R6" s="22" t="n"/>
    </row>
    <row r="7" ht="92" customFormat="1" customHeight="1" s="14">
      <c r="A7" s="24" t="inlineStr">
        <is>
          <t>2018::jama.2017.21906::C006</t>
        </is>
      </c>
      <c r="B7" s="24" t="inlineStr">
        <is>
          <t>Hospital-type subgroup is reported as prespecified but is absent from the supplied SAP subgroup list</t>
        </is>
      </c>
      <c r="C7" s="24" t="inlineStr">
        <is>
          <t>Main article — PDF p. 3, Statistical Analysis; main article — PDF p. 9, Figure 3 and adjacent Results narrative; SAP — PDF p. 7, section 7.5.2.</t>
        </is>
      </c>
      <c r="D7" s="21" t="n"/>
      <c r="E7" s="21" t="inlineStr">
        <is>
          <t>protocol_report</t>
        </is>
      </c>
      <c r="F7" s="21" t="inlineStr">
        <is>
          <t>no</t>
        </is>
      </c>
      <c r="G7" s="24">
        <f>IFERROR(IF(LEN(TRIM(CLEAN(SUBSTITUTE(Setup!$B$2,CHAR(160)," "))))=0,"CHECK REVIEWER ID",IF(OR(A7="",COUNTIF($A$2:$A$7,A7)&lt;&gt;1,LEFT(A7,LEN("2018::jama.2017.21906::"))&lt;&gt;"2018::jama.2017.21906::"),"CHECK KEY",IF(OR(AND(NOT(AND(D7="retain",E7="statistical_results")),H7&lt;&gt;"",NOT(EXACT(H7,"not_applicable"))),AND(NOT(AND(D7="retain",E7="statistical_results")),I7&lt;&gt;"",NOT(EXACT(I7,"not_applicable"))),AND(NOT(AND(D7="retain",E7="statistical_results")),J7&lt;&gt;"",NOT(EXACT(J7,"not_applicable"))),AND(NOT(AND(D7="retain",OR(E7="report_internal_inconsistency",E7="plan_material"))),K7&lt;&gt;"",NOT(EXACT(K7,"not_applicable"))),AND(NOT(AND(D7="retain",E7="protocol_report")),L7&lt;&gt;"",NOT(EXACT(L7,"not_applicable")))),"CLEAR INACTIVE VALUES",IF(OR(NOT(OR(EXACT(D7,"retain"),EXACT(D7,"exclude"),EXACT(D7,"discuss"))),NOT(OR(EXACT(E7,"statistical_results"),EXACT(E7,"report_internal_inconsistency"),EXACT(E7,"plan_material"),EXACT(E7,"protocol_report"))),AND(AND(D7="retain",E7="statistical_results"),NOT(OR(EXACT(H7,"confirmed_issue"),EXACT(H7,"probable_issue"),EXACT(H7,"not_issue"),EXACT(H7,"indeterminate")))),AND(AND(D7="retain",E7="statistical_results"),NOT(OR(EXACT(I7,"substantive"),EXACT(I7,"minor_presentation"),EXACT(I7,"indeterminate")))),AND(AND(D7="retain",E7="statistical_results"),J7&lt;&gt;"",NOT(OR(EXACT(J7,"direct"),EXACT(J7,"possible"),EXACT(J7,"unlikely"),EXACT(J7,"unknown")))),AND(AND(D7="retain",OR(E7="report_internal_inconsistency",E7="plan_material")),NOT(OR(EXACT(K7,"substantive_inconsistency"),EXACT(K7,"minor_presentation"),EXACT(K7,"non_inconsistency"),EXACT(K7,"indeterminate")))),AND(AND(D7="retain",E7="protocol_report"),L7&lt;&gt;"",NOT(OR(EXACT(L7,"substantive_difference"),EXACT(L7,"minor_presentation"),EXACT(L7,"version_timing"),EXACT(L7,"non_inconsistency"),EXACT(L7,"indeterminate"))))),"CHECK FIELDS",IF(AND(F7&lt;&gt;"",NOT(OR(EXACT(F7,"no"),EXACT(F7,"primary_done")))),"CHECK COMPLETE",IF(EXACT(F7,"primary_done"),"PRIMARY READY","PRIMARY DRAFT")))))),"CHECK INPUT / KEY")</f>
        <v/>
      </c>
      <c r="H7" s="21">
        <f>IF(AND(OR(D7="retain",D7=""),E7="statistical_results"),"","not_applicable")</f>
        <v/>
      </c>
      <c r="I7" s="21">
        <f>IF(AND(OR(D7="retain",D7=""),E7="statistical_results"),"","not_applicable")</f>
        <v/>
      </c>
      <c r="J7" s="22">
        <f>IF(AND(OR(D7="retain",D7=""),E7="statistical_results"),"","not_applicable")</f>
        <v/>
      </c>
      <c r="K7" s="21">
        <f>IF(AND(OR(D7="retain",D7=""),OR(E7="report_internal_inconsistency",E7="plan_material")),"","not_applicable")</f>
        <v/>
      </c>
      <c r="L7" s="22">
        <f>IF(AND(OR(D7="retain",D7=""),E7="protocol_report"),"","not_applicable")</f>
        <v/>
      </c>
      <c r="M7" s="24" t="n"/>
      <c r="N7" s="23" t="n"/>
      <c r="O7" s="23" t="n"/>
      <c r="P7" s="23" t="n"/>
      <c r="Q7" s="23" t="n"/>
      <c r="R7" s="22" t="n"/>
    </row>
  </sheetData>
  <autoFilter ref="A1:R7"/>
  <conditionalFormatting sqref="H2:H7">
    <cfRule type="expression" priority="8" dxfId="70">
      <formula>NOT(AND(OR($D2="retain",$D2=""),$E2="statistical_results"))</formula>
    </cfRule>
  </conditionalFormatting>
  <conditionalFormatting sqref="I2:I7">
    <cfRule type="expression" priority="9" dxfId="70">
      <formula>NOT(AND(OR($D2="retain",$D2=""),$E2="statistical_results"))</formula>
    </cfRule>
  </conditionalFormatting>
  <conditionalFormatting sqref="J2:J7">
    <cfRule type="expression" priority="10" dxfId="70">
      <formula>NOT(AND(OR($D2="retain",$D2=""),$E2="statistical_results"))</formula>
    </cfRule>
  </conditionalFormatting>
  <conditionalFormatting sqref="K2:K7">
    <cfRule type="expression" priority="11" dxfId="70">
      <formula>NOT(AND(OR($D2="retain",$D2=""),OR($E2="report_internal_inconsistency",$E2="plan_material")))</formula>
    </cfRule>
  </conditionalFormatting>
  <conditionalFormatting sqref="L2:L7">
    <cfRule type="expression" priority="12" dxfId="70">
      <formula>NOT(AND(OR($D2="retain",$D2=""),$E2="protocol_report"))</formula>
    </cfRule>
  </conditionalFormatting>
  <conditionalFormatting sqref="G2:G7">
    <cfRule type="expression" priority="13" dxfId="71">
      <formula>G2&lt;&gt;"PRIMARY READY"</formula>
    </cfRule>
  </conditionalFormatting>
  <dataValidations count="8">
    <dataValidation sqref="D2:D7" showDropDown="0" showInputMessage="0" showErrorMessage="1" allowBlank="1" errorTitle="Use a listed option" error="Choose an option; G also checks pasted entries." type="list" errorStyle="stop">
      <formula1>"retain,exclude,discuss"</formula1>
    </dataValidation>
    <dataValidation sqref="E2:E7" showDropDown="0" showInputMessage="0" showErrorMessage="1" allowBlank="1" errorTitle="Use a listed option" error="Choose an option; G also checks pasted entries." type="list" errorStyle="stop">
      <formula1>"statistical_results,report_internal_inconsistency,plan_material,protocol_report"</formula1>
    </dataValidation>
    <dataValidation sqref="F2:F7" showDropDown="0" showInputMessage="0" showErrorMessage="1" allowBlank="1" errorTitle="Use a listed option" error="Choose an option; G also checks pasted entries." type="list" errorStyle="stop">
      <formula1>"no,primary_done"</formula1>
    </dataValidation>
    <dataValidation sqref="H2:H7" showDropDown="0" showInputMessage="0" showErrorMessage="1" allowBlank="1" errorTitle="Use a listed option" error="Choose an option; G also checks pasted entries." type="list" errorStyle="stop">
      <formula1>"confirmed_issue,probable_issue,not_issue,indeterminate,not_applicable"</formula1>
    </dataValidation>
    <dataValidation sqref="I2:I7" showDropDown="0" showInputMessage="0" showErrorMessage="1" allowBlank="1" errorTitle="Use a listed option" error="Choose an option; G also checks pasted entries." type="list" errorStyle="stop">
      <formula1>"substantive,minor_presentation,indeterminate,not_applicable"</formula1>
    </dataValidation>
    <dataValidation sqref="J2:J7" showDropDown="0" showInputMessage="0" showErrorMessage="1" allowBlank="1" errorTitle="Use a listed option" error="Choose an option; G also checks pasted entries." type="list" errorStyle="stop">
      <formula1>"direct,possible,unlikely,unknown,not_applicable"</formula1>
    </dataValidation>
    <dataValidation sqref="K2:K7" showDropDown="0" showInputMessage="0" showErrorMessage="1" allowBlank="1" errorTitle="Use a listed option" error="Choose an option; G also checks pasted entries." type="list" errorStyle="stop">
      <formula1>"substantive_inconsistency,minor_presentation,non_inconsistency,indeterminate,not_applicable"</formula1>
    </dataValidation>
    <dataValidation sqref="L2:L7" showDropDown="0" showInputMessage="0" showErrorMessage="1" allowBlank="1" errorTitle="Use a listed option" error="Choose an option; G also checks pasted entries." type="list" errorStyle="stop">
      <formula1>"substantive_difference,minor_presentation,version_timing,non_inconsistency,indeterminate,not_applicable"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9"/>
  <sheetViews>
    <sheetView showGridLines="0" tabSelected="0" workbookViewId="0">
      <pane xSplit="1" ySplit="1" topLeftCell="B2" activePane="bottomRight" state="frozen"/>
      <selection activeCell="A1" sqref="A1"/>
    </sheetView>
  </sheetViews>
  <sheetFormatPr baseColWidth="8" defaultRowHeight="15"/>
  <cols>
    <col width="22" customWidth="1" style="14" min="1" max="1"/>
    <col width="28" customWidth="1" style="14" min="2" max="2"/>
    <col width="22" customWidth="1" style="14" min="3" max="3"/>
    <col width="20" customWidth="1" style="14" min="4" max="4"/>
    <col width="35" customWidth="1" style="14" min="5" max="5"/>
    <col width="17" customWidth="1" style="14" min="6" max="6"/>
    <col width="29" customWidth="1" style="14" min="7" max="7"/>
    <col width="28" customWidth="1" style="14" min="8" max="8"/>
    <col width="20" customWidth="1" style="14" min="9" max="9"/>
    <col width="20" customWidth="1" style="14" min="10" max="10"/>
    <col width="34" customWidth="1" style="14" min="11" max="11"/>
    <col width="26" customWidth="1" style="14" min="12" max="12"/>
    <col hidden="1" width="3" customWidth="1" style="14" min="13" max="13"/>
    <col hidden="1" width="3" customWidth="1" style="14" min="14" max="14"/>
    <col hidden="1" width="3" customWidth="1" style="14" min="15" max="15"/>
    <col hidden="1" width="3" customWidth="1" style="14" min="16" max="16"/>
    <col hidden="1" width="3" customWidth="1" style="14" min="17" max="17"/>
    <col width="32" customWidth="1" style="14" min="18" max="18"/>
  </cols>
  <sheetData>
    <row r="1" ht="70" customFormat="1" customHeight="1" s="14">
      <c r="A1" s="19" t="inlineStr">
        <is>
          <t>Candidate key</t>
        </is>
      </c>
      <c r="B1" s="19" t="inlineStr">
        <is>
          <t>Candidate title</t>
        </is>
      </c>
      <c r="C1" s="19" t="inlineStr">
        <is>
          <t>Source location</t>
        </is>
      </c>
      <c r="D1" s="19" t="inlineStr">
        <is>
          <t>Disposition</t>
        </is>
      </c>
      <c r="E1" s="19" t="inlineStr">
        <is>
          <t>Review domain (AI suggestion; editable)</t>
        </is>
      </c>
      <c r="F1" s="19" t="inlineStr">
        <is>
          <t>Complete</t>
        </is>
      </c>
      <c r="G1" s="19" t="inlineStr">
        <is>
          <t>Validation hint</t>
        </is>
      </c>
      <c r="H1" s="19" t="inlineStr">
        <is>
          <t>Statistcal_or_numerical issue</t>
        </is>
      </c>
      <c r="I1" s="19" t="inlineStr">
        <is>
          <t>Substantiveness</t>
        </is>
      </c>
      <c r="J1" s="19" t="inlineStr">
        <is>
          <t>Downstream impact</t>
        </is>
      </c>
      <c r="K1" s="19" t="inlineStr">
        <is>
          <t>Report-internal or planning-material inconsistency</t>
        </is>
      </c>
      <c r="L1" s="19" t="inlineStr">
        <is>
          <t>Protocol interpretation</t>
        </is>
      </c>
      <c r="M1" s="19" t="n"/>
      <c r="N1" s="19" t="n"/>
      <c r="O1" s="19" t="n"/>
      <c r="P1" s="19" t="n"/>
      <c r="Q1" s="19" t="n"/>
      <c r="R1" s="19" t="inlineStr">
        <is>
          <t>Notes (optional)</t>
        </is>
      </c>
    </row>
    <row r="2" ht="92" customFormat="1" customHeight="1" s="14">
      <c r="A2" s="20" t="inlineStr">
        <is>
          <t>2018::jama.2018.0156::C001</t>
        </is>
      </c>
      <c r="B2" s="20" t="inlineStr">
        <is>
          <t>Noninferiority narrative reverses the displayed bound direction</t>
        </is>
      </c>
      <c r="C2" s="20" t="inlineStr">
        <is>
          <t>jama_jabre_2018_oi_180004.pdf — PDF p. 3 (rule); jama_jabre_2018_oi_180004.pdf — PDF p. 4 (result/narrative).</t>
        </is>
      </c>
      <c r="D2" s="21" t="n"/>
      <c r="E2" s="21" t="inlineStr">
        <is>
          <t>statistical_results</t>
        </is>
      </c>
      <c r="F2" s="21" t="inlineStr">
        <is>
          <t>no</t>
        </is>
      </c>
      <c r="G2" s="20">
        <f>IFERROR(IF(LEN(TRIM(CLEAN(SUBSTITUTE(Setup!$B$2,CHAR(160)," "))))=0,"CHECK REVIEWER ID",IF(OR(A2="",COUNTIF($A$2:$A$9,A2)&lt;&gt;1,LEFT(A2,LEN("2018::jama.2018.0156::"))&lt;&gt;"2018::jama.2018.0156::"),"CHECK KEY",IF(OR(AND(NOT(AND(D2="retain",E2="statistical_results")),H2&lt;&gt;"",NOT(EXACT(H2,"not_applicable"))),AND(NOT(AND(D2="retain",E2="statistical_results")),I2&lt;&gt;"",NOT(EXACT(I2,"not_applicable"))),AND(NOT(AND(D2="retain",E2="statistical_results")),J2&lt;&gt;"",NOT(EXACT(J2,"not_applicable"))),AND(NOT(AND(D2="retain",OR(E2="report_internal_inconsistency",E2="plan_material"))),K2&lt;&gt;"",NOT(EXACT(K2,"not_applicable"))),AND(NOT(AND(D2="retain",E2="protocol_report")),L2&lt;&gt;"",NOT(EXACT(L2,"not_applicable")))),"CLEAR INACTIVE VALUES",IF(OR(NOT(OR(EXACT(D2,"retain"),EXACT(D2,"exclude"),EXACT(D2,"discuss"))),NOT(OR(EXACT(E2,"statistical_results"),EXACT(E2,"report_internal_inconsistency"),EXACT(E2,"plan_material"),EXACT(E2,"protocol_report"))),AND(AND(D2="retain",E2="statistical_results"),NOT(OR(EXACT(H2,"confirmed_issue"),EXACT(H2,"probable_issue"),EXACT(H2,"not_issue"),EXACT(H2,"indeterminate")))),AND(AND(D2="retain",E2="statistical_results"),NOT(OR(EXACT(I2,"substantive"),EXACT(I2,"minor_presentation"),EXACT(I2,"indeterminate")))),AND(AND(D2="retain",E2="statistical_results"),J2&lt;&gt;"",NOT(OR(EXACT(J2,"direct"),EXACT(J2,"possible"),EXACT(J2,"unlikely"),EXACT(J2,"unknown")))),AND(AND(D2="retain",OR(E2="report_internal_inconsistency",E2="plan_material")),NOT(OR(EXACT(K2,"substantive_inconsistency"),EXACT(K2,"minor_presentation"),EXACT(K2,"non_inconsistency"),EXACT(K2,"indeterminate")))),AND(AND(D2="retain",E2="protocol_report"),L2&lt;&gt;"",NOT(OR(EXACT(L2,"substantive_difference"),EXACT(L2,"minor_presentation"),EXACT(L2,"version_timing"),EXACT(L2,"non_inconsistency"),EXACT(L2,"indeterminate"))))),"CHECK FIELDS",IF(AND(F2&lt;&gt;"",NOT(OR(EXACT(F2,"no"),EXACT(F2,"primary_done")))),"CHECK COMPLETE",IF(EXACT(F2,"primary_done"),"PRIMARY READY","PRIMARY DRAFT")))))),"CHECK INPUT / KEY")</f>
        <v/>
      </c>
      <c r="H2" s="21">
        <f>IF(AND(OR(D2="retain",D2=""),E2="statistical_results"),"","not_applicable")</f>
        <v/>
      </c>
      <c r="I2" s="21">
        <f>IF(AND(OR(D2="retain",D2=""),E2="statistical_results"),"","not_applicable")</f>
        <v/>
      </c>
      <c r="J2" s="22">
        <f>IF(AND(OR(D2="retain",D2=""),E2="statistical_results"),"","not_applicable")</f>
        <v/>
      </c>
      <c r="K2" s="21">
        <f>IF(AND(OR(D2="retain",D2=""),OR(E2="report_internal_inconsistency",E2="plan_material")),"","not_applicable")</f>
        <v/>
      </c>
      <c r="L2" s="22">
        <f>IF(AND(OR(D2="retain",D2=""),E2="protocol_report"),"","not_applicable")</f>
        <v/>
      </c>
      <c r="M2" s="20" t="n"/>
      <c r="N2" s="23" t="n"/>
      <c r="O2" s="23" t="n"/>
      <c r="P2" s="23" t="n"/>
      <c r="Q2" s="23" t="n"/>
      <c r="R2" s="22" t="n"/>
    </row>
    <row r="3" ht="92" customFormat="1" customHeight="1" s="14">
      <c r="A3" s="24" t="inlineStr">
        <is>
          <t>2018::jama.2018.0156::C002</t>
        </is>
      </c>
      <c r="B3" s="24" t="inlineStr">
        <is>
          <t>Centre-5 pause contrast mixes a count outcome with seconds</t>
        </is>
      </c>
      <c r="C3" s="24" t="inlineStr">
        <is>
          <t>jama_jabre_2018_oi_180004.pdf — PDF p. 3 (definition); jama_jabre_2018_oi_180004.pdf — PDF p. 4 (contrast).</t>
        </is>
      </c>
      <c r="D3" s="21" t="n"/>
      <c r="E3" s="21" t="inlineStr">
        <is>
          <t>report_internal_inconsistency</t>
        </is>
      </c>
      <c r="F3" s="21" t="inlineStr">
        <is>
          <t>no</t>
        </is>
      </c>
      <c r="G3" s="24">
        <f>IFERROR(IF(LEN(TRIM(CLEAN(SUBSTITUTE(Setup!$B$2,CHAR(160)," "))))=0,"CHECK REVIEWER ID",IF(OR(A3="",COUNTIF($A$2:$A$9,A3)&lt;&gt;1,LEFT(A3,LEN("2018::jama.2018.0156::"))&lt;&gt;"2018::jama.2018.0156::"),"CHECK KEY",IF(OR(AND(NOT(AND(D3="retain",E3="statistical_results")),H3&lt;&gt;"",NOT(EXACT(H3,"not_applicable"))),AND(NOT(AND(D3="retain",E3="statistical_results")),I3&lt;&gt;"",NOT(EXACT(I3,"not_applicable"))),AND(NOT(AND(D3="retain",E3="statistical_results")),J3&lt;&gt;"",NOT(EXACT(J3,"not_applicable"))),AND(NOT(AND(D3="retain",OR(E3="report_internal_inconsistency",E3="plan_material"))),K3&lt;&gt;"",NOT(EXACT(K3,"not_applicable"))),AND(NOT(AND(D3="retain",E3="protocol_report")),L3&lt;&gt;"",NOT(EXACT(L3,"not_applicable")))),"CLEAR INACTIVE VALUES",IF(OR(NOT(OR(EXACT(D3,"retain"),EXACT(D3,"exclude"),EXACT(D3,"discuss"))),NOT(OR(EXACT(E3,"statistical_results"),EXACT(E3,"report_internal_inconsistency"),EXACT(E3,"plan_material"),EXACT(E3,"protocol_report"))),AND(AND(D3="retain",E3="statistical_results"),NOT(OR(EXACT(H3,"confirmed_issue"),EXACT(H3,"probable_issue"),EXACT(H3,"not_issue"),EXACT(H3,"indeterminate")))),AND(AND(D3="retain",E3="statistical_results"),NOT(OR(EXACT(I3,"substantive"),EXACT(I3,"minor_presentation"),EXACT(I3,"indeterminate")))),AND(AND(D3="retain",E3="statistical_results"),J3&lt;&gt;"",NOT(OR(EXACT(J3,"direct"),EXACT(J3,"possible"),EXACT(J3,"unlikely"),EXACT(J3,"unknown")))),AND(AND(D3="retain",OR(E3="report_internal_inconsistency",E3="plan_material")),NOT(OR(EXACT(K3,"substantive_inconsistency"),EXACT(K3,"minor_presentation"),EXACT(K3,"non_inconsistency"),EXACT(K3,"indeterminate")))),AND(AND(D3="retain",E3="protocol_report"),L3&lt;&gt;"",NOT(OR(EXACT(L3,"substantive_difference"),EXACT(L3,"minor_presentation"),EXACT(L3,"version_timing"),EXACT(L3,"non_inconsistency"),EXACT(L3,"indeterminate"))))),"CHECK FIELDS",IF(AND(F3&lt;&gt;"",NOT(OR(EXACT(F3,"no"),EXACT(F3,"primary_done")))),"CHECK COMPLETE",IF(EXACT(F3,"primary_done"),"PRIMARY READY","PRIMARY DRAFT")))))),"CHECK INPUT / KEY")</f>
        <v/>
      </c>
      <c r="H3" s="21">
        <f>IF(AND(OR(D3="retain",D3=""),E3="statistical_results"),"","not_applicable")</f>
        <v/>
      </c>
      <c r="I3" s="21">
        <f>IF(AND(OR(D3="retain",D3=""),E3="statistical_results"),"","not_applicable")</f>
        <v/>
      </c>
      <c r="J3" s="22">
        <f>IF(AND(OR(D3="retain",D3=""),E3="statistical_results"),"","not_applicable")</f>
        <v/>
      </c>
      <c r="K3" s="21">
        <f>IF(AND(OR(D3="retain",D3=""),OR(E3="report_internal_inconsistency",E3="plan_material")),"","not_applicable")</f>
        <v/>
      </c>
      <c r="L3" s="22">
        <f>IF(AND(OR(D3="retain",D3=""),E3="protocol_report"),"","not_applicable")</f>
        <v/>
      </c>
      <c r="M3" s="24" t="n"/>
      <c r="N3" s="23" t="n"/>
      <c r="O3" s="23" t="n"/>
      <c r="P3" s="23" t="n"/>
      <c r="Q3" s="23" t="n"/>
      <c r="R3" s="22" t="n"/>
    </row>
    <row r="4" ht="92" customFormat="1" customHeight="1" s="14">
      <c r="A4" s="20" t="inlineStr">
        <is>
          <t>2018::jama.2018.0156::C003</t>
        </is>
      </c>
      <c r="B4" s="20" t="inlineStr">
        <is>
          <t>PP day-28 survival point difference does not round from the printed inputs</t>
        </is>
      </c>
      <c r="C4" s="20" t="inlineStr">
        <is>
          <t>jama_jabre_2018_oi_180004.pdf — PDF p. 6 (Table 2); joi180004supp1_prod.pdf — PDF p. 123 (rounding rule).</t>
        </is>
      </c>
      <c r="D4" s="21" t="n"/>
      <c r="E4" s="21" t="inlineStr">
        <is>
          <t>statistical_results</t>
        </is>
      </c>
      <c r="F4" s="21" t="inlineStr">
        <is>
          <t>no</t>
        </is>
      </c>
      <c r="G4" s="20">
        <f>IFERROR(IF(LEN(TRIM(CLEAN(SUBSTITUTE(Setup!$B$2,CHAR(160)," "))))=0,"CHECK REVIEWER ID",IF(OR(A4="",COUNTIF($A$2:$A$9,A4)&lt;&gt;1,LEFT(A4,LEN("2018::jama.2018.0156::"))&lt;&gt;"2018::jama.2018.0156::"),"CHECK KEY",IF(OR(AND(NOT(AND(D4="retain",E4="statistical_results")),H4&lt;&gt;"",NOT(EXACT(H4,"not_applicable"))),AND(NOT(AND(D4="retain",E4="statistical_results")),I4&lt;&gt;"",NOT(EXACT(I4,"not_applicable"))),AND(NOT(AND(D4="retain",E4="statistical_results")),J4&lt;&gt;"",NOT(EXACT(J4,"not_applicable"))),AND(NOT(AND(D4="retain",OR(E4="report_internal_inconsistency",E4="plan_material"))),K4&lt;&gt;"",NOT(EXACT(K4,"not_applicable"))),AND(NOT(AND(D4="retain",E4="protocol_report")),L4&lt;&gt;"",NOT(EXACT(L4,"not_applicable")))),"CLEAR INACTIVE VALUES",IF(OR(NOT(OR(EXACT(D4,"retain"),EXACT(D4,"exclude"),EXACT(D4,"discuss"))),NOT(OR(EXACT(E4,"statistical_results"),EXACT(E4,"report_internal_inconsistency"),EXACT(E4,"plan_material"),EXACT(E4,"protocol_report"))),AND(AND(D4="retain",E4="statistical_results"),NOT(OR(EXACT(H4,"confirmed_issue"),EXACT(H4,"probable_issue"),EXACT(H4,"not_issue"),EXACT(H4,"indeterminate")))),AND(AND(D4="retain",E4="statistical_results"),NOT(OR(EXACT(I4,"substantive"),EXACT(I4,"minor_presentation"),EXACT(I4,"indeterminate")))),AND(AND(D4="retain",E4="statistical_results"),J4&lt;&gt;"",NOT(OR(EXACT(J4,"direct"),EXACT(J4,"possible"),EXACT(J4,"unlikely"),EXACT(J4,"unknown")))),AND(AND(D4="retain",OR(E4="report_internal_inconsistency",E4="plan_material")),NOT(OR(EXACT(K4,"substantive_inconsistency"),EXACT(K4,"minor_presentation"),EXACT(K4,"non_inconsistency"),EXACT(K4,"indeterminate")))),AND(AND(D4="retain",E4="protocol_report"),L4&lt;&gt;"",NOT(OR(EXACT(L4,"substantive_difference"),EXACT(L4,"minor_presentation"),EXACT(L4,"version_timing"),EXACT(L4,"non_inconsistency"),EXACT(L4,"indeterminate"))))),"CHECK FIELDS",IF(AND(F4&lt;&gt;"",NOT(OR(EXACT(F4,"no"),EXACT(F4,"primary_done")))),"CHECK COMPLETE",IF(EXACT(F4,"primary_done"),"PRIMARY READY","PRIMARY DRAFT")))))),"CHECK INPUT / KEY")</f>
        <v/>
      </c>
      <c r="H4" s="21">
        <f>IF(AND(OR(D4="retain",D4=""),E4="statistical_results"),"","not_applicable")</f>
        <v/>
      </c>
      <c r="I4" s="21">
        <f>IF(AND(OR(D4="retain",D4=""),E4="statistical_results"),"","not_applicable")</f>
        <v/>
      </c>
      <c r="J4" s="22">
        <f>IF(AND(OR(D4="retain",D4=""),E4="statistical_results"),"","not_applicable")</f>
        <v/>
      </c>
      <c r="K4" s="21">
        <f>IF(AND(OR(D4="retain",D4=""),OR(E4="report_internal_inconsistency",E4="plan_material")),"","not_applicable")</f>
        <v/>
      </c>
      <c r="L4" s="22">
        <f>IF(AND(OR(D4="retain",D4=""),E4="protocol_report"),"","not_applicable")</f>
        <v/>
      </c>
      <c r="M4" s="20" t="n"/>
      <c r="N4" s="23" t="n"/>
      <c r="O4" s="23" t="n"/>
      <c r="P4" s="23" t="n"/>
      <c r="Q4" s="23" t="n"/>
      <c r="R4" s="22" t="n"/>
    </row>
    <row r="5" ht="92" customFormat="1" customHeight="1" s="14">
      <c r="A5" s="24" t="inlineStr">
        <is>
          <t>2018::jama.2018.0156::C004</t>
        </is>
      </c>
      <c r="B5" s="24" t="inlineStr">
        <is>
          <t>PP day-28 survival confidence interval has an unresolved scale/precision inconsistency</t>
        </is>
      </c>
      <c r="C5" s="24" t="inlineStr">
        <is>
          <t>jama_jabre_2018_oi_180004.pdf — PDF p. 3 (rule); PDF p. 6 (Table 2); joi180004supp1_prod.pdf — PDF p. 124 (CI rule).</t>
        </is>
      </c>
      <c r="D5" s="21" t="n"/>
      <c r="E5" s="21" t="inlineStr">
        <is>
          <t>statistical_results</t>
        </is>
      </c>
      <c r="F5" s="21" t="inlineStr">
        <is>
          <t>no</t>
        </is>
      </c>
      <c r="G5" s="24">
        <f>IFERROR(IF(LEN(TRIM(CLEAN(SUBSTITUTE(Setup!$B$2,CHAR(160)," "))))=0,"CHECK REVIEWER ID",IF(OR(A5="",COUNTIF($A$2:$A$9,A5)&lt;&gt;1,LEFT(A5,LEN("2018::jama.2018.0156::"))&lt;&gt;"2018::jama.2018.0156::"),"CHECK KEY",IF(OR(AND(NOT(AND(D5="retain",E5="statistical_results")),H5&lt;&gt;"",NOT(EXACT(H5,"not_applicable"))),AND(NOT(AND(D5="retain",E5="statistical_results")),I5&lt;&gt;"",NOT(EXACT(I5,"not_applicable"))),AND(NOT(AND(D5="retain",E5="statistical_results")),J5&lt;&gt;"",NOT(EXACT(J5,"not_applicable"))),AND(NOT(AND(D5="retain",OR(E5="report_internal_inconsistency",E5="plan_material"))),K5&lt;&gt;"",NOT(EXACT(K5,"not_applicable"))),AND(NOT(AND(D5="retain",E5="protocol_report")),L5&lt;&gt;"",NOT(EXACT(L5,"not_applicable")))),"CLEAR INACTIVE VALUES",IF(OR(NOT(OR(EXACT(D5,"retain"),EXACT(D5,"exclude"),EXACT(D5,"discuss"))),NOT(OR(EXACT(E5,"statistical_results"),EXACT(E5,"report_internal_inconsistency"),EXACT(E5,"plan_material"),EXACT(E5,"protocol_report"))),AND(AND(D5="retain",E5="statistical_results"),NOT(OR(EXACT(H5,"confirmed_issue"),EXACT(H5,"probable_issue"),EXACT(H5,"not_issue"),EXACT(H5,"indeterminate")))),AND(AND(D5="retain",E5="statistical_results"),NOT(OR(EXACT(I5,"substantive"),EXACT(I5,"minor_presentation"),EXACT(I5,"indeterminate")))),AND(AND(D5="retain",E5="statistical_results"),J5&lt;&gt;"",NOT(OR(EXACT(J5,"direct"),EXACT(J5,"possible"),EXACT(J5,"unlikely"),EXACT(J5,"unknown")))),AND(AND(D5="retain",OR(E5="report_internal_inconsistency",E5="plan_material")),NOT(OR(EXACT(K5,"substantive_inconsistency"),EXACT(K5,"minor_presentation"),EXACT(K5,"non_inconsistency"),EXACT(K5,"indeterminate")))),AND(AND(D5="retain",E5="protocol_report"),L5&lt;&gt;"",NOT(OR(EXACT(L5,"substantive_difference"),EXACT(L5,"minor_presentation"),EXACT(L5,"version_timing"),EXACT(L5,"non_inconsistency"),EXACT(L5,"indeterminate"))))),"CHECK FIELDS",IF(AND(F5&lt;&gt;"",NOT(OR(EXACT(F5,"no"),EXACT(F5,"primary_done")))),"CHECK COMPLETE",IF(EXACT(F5,"primary_done"),"PRIMARY READY","PRIMARY DRAFT")))))),"CHECK INPUT / KEY")</f>
        <v/>
      </c>
      <c r="H5" s="21">
        <f>IF(AND(OR(D5="retain",D5=""),E5="statistical_results"),"","not_applicable")</f>
        <v/>
      </c>
      <c r="I5" s="21">
        <f>IF(AND(OR(D5="retain",D5=""),E5="statistical_results"),"","not_applicable")</f>
        <v/>
      </c>
      <c r="J5" s="22">
        <f>IF(AND(OR(D5="retain",D5=""),E5="statistical_results"),"","not_applicable")</f>
        <v/>
      </c>
      <c r="K5" s="21">
        <f>IF(AND(OR(D5="retain",D5=""),OR(E5="report_internal_inconsistency",E5="plan_material")),"","not_applicable")</f>
        <v/>
      </c>
      <c r="L5" s="22">
        <f>IF(AND(OR(D5="retain",D5=""),E5="protocol_report"),"","not_applicable")</f>
        <v/>
      </c>
      <c r="M5" s="24" t="n"/>
      <c r="N5" s="23" t="n"/>
      <c r="O5" s="23" t="n"/>
      <c r="P5" s="23" t="n"/>
      <c r="Q5" s="23" t="n"/>
      <c r="R5" s="22" t="n"/>
    </row>
    <row r="6" ht="92" customFormat="1" customHeight="1" s="14">
      <c r="A6" s="20" t="inlineStr">
        <is>
          <t>2018::jama.2018.0156::C005</t>
        </is>
      </c>
      <c r="B6" s="20" t="inlineStr">
        <is>
          <t>PP ROSC ETI percentage conflicts with its count, denominator, and signed difference</t>
        </is>
      </c>
      <c r="C6" s="20" t="inlineStr">
        <is>
          <t>jama_jabre_2018_oi_180004.pdf — PDF p. 6 (Table 2 PP ROSC row).</t>
        </is>
      </c>
      <c r="D6" s="21" t="n"/>
      <c r="E6" s="21" t="inlineStr">
        <is>
          <t>statistical_results</t>
        </is>
      </c>
      <c r="F6" s="21" t="inlineStr">
        <is>
          <t>no</t>
        </is>
      </c>
      <c r="G6" s="20">
        <f>IFERROR(IF(LEN(TRIM(CLEAN(SUBSTITUTE(Setup!$B$2,CHAR(160)," "))))=0,"CHECK REVIEWER ID",IF(OR(A6="",COUNTIF($A$2:$A$9,A6)&lt;&gt;1,LEFT(A6,LEN("2018::jama.2018.0156::"))&lt;&gt;"2018::jama.2018.0156::"),"CHECK KEY",IF(OR(AND(NOT(AND(D6="retain",E6="statistical_results")),H6&lt;&gt;"",NOT(EXACT(H6,"not_applicable"))),AND(NOT(AND(D6="retain",E6="statistical_results")),I6&lt;&gt;"",NOT(EXACT(I6,"not_applicable"))),AND(NOT(AND(D6="retain",E6="statistical_results")),J6&lt;&gt;"",NOT(EXACT(J6,"not_applicable"))),AND(NOT(AND(D6="retain",OR(E6="report_internal_inconsistency",E6="plan_material"))),K6&lt;&gt;"",NOT(EXACT(K6,"not_applicable"))),AND(NOT(AND(D6="retain",E6="protocol_report")),L6&lt;&gt;"",NOT(EXACT(L6,"not_applicable")))),"CLEAR INACTIVE VALUES",IF(OR(NOT(OR(EXACT(D6,"retain"),EXACT(D6,"exclude"),EXACT(D6,"discuss"))),NOT(OR(EXACT(E6,"statistical_results"),EXACT(E6,"report_internal_inconsistency"),EXACT(E6,"plan_material"),EXACT(E6,"protocol_report"))),AND(AND(D6="retain",E6="statistical_results"),NOT(OR(EXACT(H6,"confirmed_issue"),EXACT(H6,"probable_issue"),EXACT(H6,"not_issue"),EXACT(H6,"indeterminate")))),AND(AND(D6="retain",E6="statistical_results"),NOT(OR(EXACT(I6,"substantive"),EXACT(I6,"minor_presentation"),EXACT(I6,"indeterminate")))),AND(AND(D6="retain",E6="statistical_results"),J6&lt;&gt;"",NOT(OR(EXACT(J6,"direct"),EXACT(J6,"possible"),EXACT(J6,"unlikely"),EXACT(J6,"unknown")))),AND(AND(D6="retain",OR(E6="report_internal_inconsistency",E6="plan_material")),NOT(OR(EXACT(K6,"substantive_inconsistency"),EXACT(K6,"minor_presentation"),EXACT(K6,"non_inconsistency"),EXACT(K6,"indeterminate")))),AND(AND(D6="retain",E6="protocol_report"),L6&lt;&gt;"",NOT(OR(EXACT(L6,"substantive_difference"),EXACT(L6,"minor_presentation"),EXACT(L6,"version_timing"),EXACT(L6,"non_inconsistency"),EXACT(L6,"indeterminate"))))),"CHECK FIELDS",IF(AND(F6&lt;&gt;"",NOT(OR(EXACT(F6,"no"),EXACT(F6,"primary_done")))),"CHECK COMPLETE",IF(EXACT(F6,"primary_done"),"PRIMARY READY","PRIMARY DRAFT")))))),"CHECK INPUT / KEY")</f>
        <v/>
      </c>
      <c r="H6" s="21">
        <f>IF(AND(OR(D6="retain",D6=""),E6="statistical_results"),"","not_applicable")</f>
        <v/>
      </c>
      <c r="I6" s="21">
        <f>IF(AND(OR(D6="retain",D6=""),E6="statistical_results"),"","not_applicable")</f>
        <v/>
      </c>
      <c r="J6" s="22">
        <f>IF(AND(OR(D6="retain",D6=""),E6="statistical_results"),"","not_applicable")</f>
        <v/>
      </c>
      <c r="K6" s="21">
        <f>IF(AND(OR(D6="retain",D6=""),OR(E6="report_internal_inconsistency",E6="plan_material")),"","not_applicable")</f>
        <v/>
      </c>
      <c r="L6" s="22">
        <f>IF(AND(OR(D6="retain",D6=""),E6="protocol_report"),"","not_applicable")</f>
        <v/>
      </c>
      <c r="M6" s="20" t="n"/>
      <c r="N6" s="23" t="n"/>
      <c r="O6" s="23" t="n"/>
      <c r="P6" s="23" t="n"/>
      <c r="Q6" s="23" t="n"/>
      <c r="R6" s="22" t="n"/>
    </row>
    <row r="7" ht="92" customFormat="1" customHeight="1" s="14">
      <c r="A7" s="24" t="inlineStr">
        <is>
          <t>2018::jama.2018.0156::C006</t>
        </is>
      </c>
      <c r="B7" s="24" t="inlineStr">
        <is>
          <t>Main article and eTable report different contributing-centre counts</t>
        </is>
      </c>
      <c r="C7" s="24" t="inlineStr">
        <is>
          <t>jama_jabre_2018_oi_180004.pdf — PDF p. 2; joi180004supp2_prod.pdf — PDF p. 2 (eTable 1).</t>
        </is>
      </c>
      <c r="D7" s="21" t="n"/>
      <c r="E7" s="21" t="inlineStr">
        <is>
          <t>report_internal_inconsistency</t>
        </is>
      </c>
      <c r="F7" s="21" t="inlineStr">
        <is>
          <t>no</t>
        </is>
      </c>
      <c r="G7" s="24">
        <f>IFERROR(IF(LEN(TRIM(CLEAN(SUBSTITUTE(Setup!$B$2,CHAR(160)," "))))=0,"CHECK REVIEWER ID",IF(OR(A7="",COUNTIF($A$2:$A$9,A7)&lt;&gt;1,LEFT(A7,LEN("2018::jama.2018.0156::"))&lt;&gt;"2018::jama.2018.0156::"),"CHECK KEY",IF(OR(AND(NOT(AND(D7="retain",E7="statistical_results")),H7&lt;&gt;"",NOT(EXACT(H7,"not_applicable"))),AND(NOT(AND(D7="retain",E7="statistical_results")),I7&lt;&gt;"",NOT(EXACT(I7,"not_applicable"))),AND(NOT(AND(D7="retain",E7="statistical_results")),J7&lt;&gt;"",NOT(EXACT(J7,"not_applicable"))),AND(NOT(AND(D7="retain",OR(E7="report_internal_inconsistency",E7="plan_material"))),K7&lt;&gt;"",NOT(EXACT(K7,"not_applicable"))),AND(NOT(AND(D7="retain",E7="protocol_report")),L7&lt;&gt;"",NOT(EXACT(L7,"not_applicable")))),"CLEAR INACTIVE VALUES",IF(OR(NOT(OR(EXACT(D7,"retain"),EXACT(D7,"exclude"),EXACT(D7,"discuss"))),NOT(OR(EXACT(E7,"statistical_results"),EXACT(E7,"report_internal_inconsistency"),EXACT(E7,"plan_material"),EXACT(E7,"protocol_report"))),AND(AND(D7="retain",E7="statistical_results"),NOT(OR(EXACT(H7,"confirmed_issue"),EXACT(H7,"probable_issue"),EXACT(H7,"not_issue"),EXACT(H7,"indeterminate")))),AND(AND(D7="retain",E7="statistical_results"),NOT(OR(EXACT(I7,"substantive"),EXACT(I7,"minor_presentation"),EXACT(I7,"indeterminate")))),AND(AND(D7="retain",E7="statistical_results"),J7&lt;&gt;"",NOT(OR(EXACT(J7,"direct"),EXACT(J7,"possible"),EXACT(J7,"unlikely"),EXACT(J7,"unknown")))),AND(AND(D7="retain",OR(E7="report_internal_inconsistency",E7="plan_material")),NOT(OR(EXACT(K7,"substantive_inconsistency"),EXACT(K7,"minor_presentation"),EXACT(K7,"non_inconsistency"),EXACT(K7,"indeterminate")))),AND(AND(D7="retain",E7="protocol_report"),L7&lt;&gt;"",NOT(OR(EXACT(L7,"substantive_difference"),EXACT(L7,"minor_presentation"),EXACT(L7,"version_timing"),EXACT(L7,"non_inconsistency"),EXACT(L7,"indeterminate"))))),"CHECK FIELDS",IF(AND(F7&lt;&gt;"",NOT(OR(EXACT(F7,"no"),EXACT(F7,"primary_done")))),"CHECK COMPLETE",IF(EXACT(F7,"primary_done"),"PRIMARY READY","PRIMARY DRAFT")))))),"CHECK INPUT / KEY")</f>
        <v/>
      </c>
      <c r="H7" s="21">
        <f>IF(AND(OR(D7="retain",D7=""),E7="statistical_results"),"","not_applicable")</f>
        <v/>
      </c>
      <c r="I7" s="21">
        <f>IF(AND(OR(D7="retain",D7=""),E7="statistical_results"),"","not_applicable")</f>
        <v/>
      </c>
      <c r="J7" s="22">
        <f>IF(AND(OR(D7="retain",D7=""),E7="statistical_results"),"","not_applicable")</f>
        <v/>
      </c>
      <c r="K7" s="21">
        <f>IF(AND(OR(D7="retain",D7=""),OR(E7="report_internal_inconsistency",E7="plan_material")),"","not_applicable")</f>
        <v/>
      </c>
      <c r="L7" s="22">
        <f>IF(AND(OR(D7="retain",D7=""),E7="protocol_report"),"","not_applicable")</f>
        <v/>
      </c>
      <c r="M7" s="24" t="n"/>
      <c r="N7" s="23" t="n"/>
      <c r="O7" s="23" t="n"/>
      <c r="P7" s="23" t="n"/>
      <c r="Q7" s="23" t="n"/>
      <c r="R7" s="22" t="n"/>
    </row>
    <row r="8" ht="92" customFormat="1" customHeight="1" s="14">
      <c r="A8" s="20" t="inlineStr">
        <is>
          <t>2018::jama.2018.0156::C007</t>
        </is>
      </c>
      <c r="B8" s="20" t="inlineStr">
        <is>
          <t>Published primary-endpoint description omits the amended baseline-disability qualification</t>
        </is>
      </c>
      <c r="C8" s="20" t="inlineStr">
        <is>
          <t>jama_jabre_2018_oi_180004.pdf — PDF p. 1 and PDF p. 3; joi180004supp1_prod.pdf — PDF p. 110.</t>
        </is>
      </c>
      <c r="D8" s="21" t="n"/>
      <c r="E8" s="21" t="inlineStr">
        <is>
          <t>protocol_report</t>
        </is>
      </c>
      <c r="F8" s="21" t="inlineStr">
        <is>
          <t>no</t>
        </is>
      </c>
      <c r="G8" s="20">
        <f>IFERROR(IF(LEN(TRIM(CLEAN(SUBSTITUTE(Setup!$B$2,CHAR(160)," "))))=0,"CHECK REVIEWER ID",IF(OR(A8="",COUNTIF($A$2:$A$9,A8)&lt;&gt;1,LEFT(A8,LEN("2018::jama.2018.0156::"))&lt;&gt;"2018::jama.2018.0156::"),"CHECK KEY",IF(OR(AND(NOT(AND(D8="retain",E8="statistical_results")),H8&lt;&gt;"",NOT(EXACT(H8,"not_applicable"))),AND(NOT(AND(D8="retain",E8="statistical_results")),I8&lt;&gt;"",NOT(EXACT(I8,"not_applicable"))),AND(NOT(AND(D8="retain",E8="statistical_results")),J8&lt;&gt;"",NOT(EXACT(J8,"not_applicable"))),AND(NOT(AND(D8="retain",OR(E8="report_internal_inconsistency",E8="plan_material"))),K8&lt;&gt;"",NOT(EXACT(K8,"not_applicable"))),AND(NOT(AND(D8="retain",E8="protocol_report")),L8&lt;&gt;"",NOT(EXACT(L8,"not_applicable")))),"CLEAR INACTIVE VALUES",IF(OR(NOT(OR(EXACT(D8,"retain"),EXACT(D8,"exclude"),EXACT(D8,"discuss"))),NOT(OR(EXACT(E8,"statistical_results"),EXACT(E8,"report_internal_inconsistency"),EXACT(E8,"plan_material"),EXACT(E8,"protocol_report"))),AND(AND(D8="retain",E8="statistical_results"),NOT(OR(EXACT(H8,"confirmed_issue"),EXACT(H8,"probable_issue"),EXACT(H8,"not_issue"),EXACT(H8,"indeterminate")))),AND(AND(D8="retain",E8="statistical_results"),NOT(OR(EXACT(I8,"substantive"),EXACT(I8,"minor_presentation"),EXACT(I8,"indeterminate")))),AND(AND(D8="retain",E8="statistical_results"),J8&lt;&gt;"",NOT(OR(EXACT(J8,"direct"),EXACT(J8,"possible"),EXACT(J8,"unlikely"),EXACT(J8,"unknown")))),AND(AND(D8="retain",OR(E8="report_internal_inconsistency",E8="plan_material")),NOT(OR(EXACT(K8,"substantive_inconsistency"),EXACT(K8,"minor_presentation"),EXACT(K8,"non_inconsistency"),EXACT(K8,"indeterminate")))),AND(AND(D8="retain",E8="protocol_report"),L8&lt;&gt;"",NOT(OR(EXACT(L8,"substantive_difference"),EXACT(L8,"minor_presentation"),EXACT(L8,"version_timing"),EXACT(L8,"non_inconsistency"),EXACT(L8,"indeterminate"))))),"CHECK FIELDS",IF(AND(F8&lt;&gt;"",NOT(OR(EXACT(F8,"no"),EXACT(F8,"primary_done")))),"CHECK COMPLETE",IF(EXACT(F8,"primary_done"),"PRIMARY READY","PRIMARY DRAFT")))))),"CHECK INPUT / KEY")</f>
        <v/>
      </c>
      <c r="H8" s="21">
        <f>IF(AND(OR(D8="retain",D8=""),E8="statistical_results"),"","not_applicable")</f>
        <v/>
      </c>
      <c r="I8" s="21">
        <f>IF(AND(OR(D8="retain",D8=""),E8="statistical_results"),"","not_applicable")</f>
        <v/>
      </c>
      <c r="J8" s="22">
        <f>IF(AND(OR(D8="retain",D8=""),E8="statistical_results"),"","not_applicable")</f>
        <v/>
      </c>
      <c r="K8" s="21">
        <f>IF(AND(OR(D8="retain",D8=""),OR(E8="report_internal_inconsistency",E8="plan_material")),"","not_applicable")</f>
        <v/>
      </c>
      <c r="L8" s="22">
        <f>IF(AND(OR(D8="retain",D8=""),E8="protocol_report"),"","not_applicable")</f>
        <v/>
      </c>
      <c r="M8" s="20" t="n"/>
      <c r="N8" s="23" t="n"/>
      <c r="O8" s="23" t="n"/>
      <c r="P8" s="23" t="n"/>
      <c r="Q8" s="23" t="n"/>
      <c r="R8" s="22" t="n"/>
    </row>
    <row r="9" ht="92" customFormat="1" customHeight="1" s="14">
      <c r="A9" s="24" t="inlineStr">
        <is>
          <t>2018::jama.2018.0156::C008</t>
        </is>
      </c>
      <c r="B9" s="24" t="inlineStr">
        <is>
          <t>Protocol composite technique-failure definition cannot reconcile with the article’s smaller ETI failure count if they are the same endpoint</t>
        </is>
      </c>
      <c r="C9" s="24" t="inlineStr">
        <is>
          <t>joi180004supp1_prod.pdf — PDF p. 110; jama_jabre_2018_oi_180004.pdf — PDF p. 1, PDF p. 4, and PDF p. 6.</t>
        </is>
      </c>
      <c r="D9" s="21" t="n"/>
      <c r="E9" s="21" t="inlineStr">
        <is>
          <t>protocol_report</t>
        </is>
      </c>
      <c r="F9" s="21" t="inlineStr">
        <is>
          <t>no</t>
        </is>
      </c>
      <c r="G9" s="24">
        <f>IFERROR(IF(LEN(TRIM(CLEAN(SUBSTITUTE(Setup!$B$2,CHAR(160)," "))))=0,"CHECK REVIEWER ID",IF(OR(A9="",COUNTIF($A$2:$A$9,A9)&lt;&gt;1,LEFT(A9,LEN("2018::jama.2018.0156::"))&lt;&gt;"2018::jama.2018.0156::"),"CHECK KEY",IF(OR(AND(NOT(AND(D9="retain",E9="statistical_results")),H9&lt;&gt;"",NOT(EXACT(H9,"not_applicable"))),AND(NOT(AND(D9="retain",E9="statistical_results")),I9&lt;&gt;"",NOT(EXACT(I9,"not_applicable"))),AND(NOT(AND(D9="retain",E9="statistical_results")),J9&lt;&gt;"",NOT(EXACT(J9,"not_applicable"))),AND(NOT(AND(D9="retain",OR(E9="report_internal_inconsistency",E9="plan_material"))),K9&lt;&gt;"",NOT(EXACT(K9,"not_applicable"))),AND(NOT(AND(D9="retain",E9="protocol_report")),L9&lt;&gt;"",NOT(EXACT(L9,"not_applicable")))),"CLEAR INACTIVE VALUES",IF(OR(NOT(OR(EXACT(D9,"retain"),EXACT(D9,"exclude"),EXACT(D9,"discuss"))),NOT(OR(EXACT(E9,"statistical_results"),EXACT(E9,"report_internal_inconsistency"),EXACT(E9,"plan_material"),EXACT(E9,"protocol_report"))),AND(AND(D9="retain",E9="statistical_results"),NOT(OR(EXACT(H9,"confirmed_issue"),EXACT(H9,"probable_issue"),EXACT(H9,"not_issue"),EXACT(H9,"indeterminate")))),AND(AND(D9="retain",E9="statistical_results"),NOT(OR(EXACT(I9,"substantive"),EXACT(I9,"minor_presentation"),EXACT(I9,"indeterminate")))),AND(AND(D9="retain",E9="statistical_results"),J9&lt;&gt;"",NOT(OR(EXACT(J9,"direct"),EXACT(J9,"possible"),EXACT(J9,"unlikely"),EXACT(J9,"unknown")))),AND(AND(D9="retain",OR(E9="report_internal_inconsistency",E9="plan_material")),NOT(OR(EXACT(K9,"substantive_inconsistency"),EXACT(K9,"minor_presentation"),EXACT(K9,"non_inconsistency"),EXACT(K9,"indeterminate")))),AND(AND(D9="retain",E9="protocol_report"),L9&lt;&gt;"",NOT(OR(EXACT(L9,"substantive_difference"),EXACT(L9,"minor_presentation"),EXACT(L9,"version_timing"),EXACT(L9,"non_inconsistency"),EXACT(L9,"indeterminate"))))),"CHECK FIELDS",IF(AND(F9&lt;&gt;"",NOT(OR(EXACT(F9,"no"),EXACT(F9,"primary_done")))),"CHECK COMPLETE",IF(EXACT(F9,"primary_done"),"PRIMARY READY","PRIMARY DRAFT")))))),"CHECK INPUT / KEY")</f>
        <v/>
      </c>
      <c r="H9" s="21">
        <f>IF(AND(OR(D9="retain",D9=""),E9="statistical_results"),"","not_applicable")</f>
        <v/>
      </c>
      <c r="I9" s="21">
        <f>IF(AND(OR(D9="retain",D9=""),E9="statistical_results"),"","not_applicable")</f>
        <v/>
      </c>
      <c r="J9" s="22">
        <f>IF(AND(OR(D9="retain",D9=""),E9="statistical_results"),"","not_applicable")</f>
        <v/>
      </c>
      <c r="K9" s="21">
        <f>IF(AND(OR(D9="retain",D9=""),OR(E9="report_internal_inconsistency",E9="plan_material")),"","not_applicable")</f>
        <v/>
      </c>
      <c r="L9" s="22">
        <f>IF(AND(OR(D9="retain",D9=""),E9="protocol_report"),"","not_applicable")</f>
        <v/>
      </c>
      <c r="M9" s="24" t="n"/>
      <c r="N9" s="23" t="n"/>
      <c r="O9" s="23" t="n"/>
      <c r="P9" s="23" t="n"/>
      <c r="Q9" s="23" t="n"/>
      <c r="R9" s="22" t="n"/>
    </row>
  </sheetData>
  <autoFilter ref="A1:R9"/>
  <conditionalFormatting sqref="H2:H9">
    <cfRule type="expression" priority="8" dxfId="70">
      <formula>NOT(AND(OR($D2="retain",$D2=""),$E2="statistical_results"))</formula>
    </cfRule>
  </conditionalFormatting>
  <conditionalFormatting sqref="I2:I9">
    <cfRule type="expression" priority="9" dxfId="70">
      <formula>NOT(AND(OR($D2="retain",$D2=""),$E2="statistical_results"))</formula>
    </cfRule>
  </conditionalFormatting>
  <conditionalFormatting sqref="J2:J9">
    <cfRule type="expression" priority="10" dxfId="70">
      <formula>NOT(AND(OR($D2="retain",$D2=""),$E2="statistical_results"))</formula>
    </cfRule>
  </conditionalFormatting>
  <conditionalFormatting sqref="K2:K9">
    <cfRule type="expression" priority="11" dxfId="70">
      <formula>NOT(AND(OR($D2="retain",$D2=""),OR($E2="report_internal_inconsistency",$E2="plan_material")))</formula>
    </cfRule>
  </conditionalFormatting>
  <conditionalFormatting sqref="L2:L9">
    <cfRule type="expression" priority="12" dxfId="70">
      <formula>NOT(AND(OR($D2="retain",$D2=""),$E2="protocol_report"))</formula>
    </cfRule>
  </conditionalFormatting>
  <conditionalFormatting sqref="G2:G9">
    <cfRule type="expression" priority="13" dxfId="71">
      <formula>G2&lt;&gt;"PRIMARY READY"</formula>
    </cfRule>
  </conditionalFormatting>
  <dataValidations count="8">
    <dataValidation sqref="D2:D9" showDropDown="0" showInputMessage="0" showErrorMessage="1" allowBlank="1" errorTitle="Use a listed option" error="Choose an option; G also checks pasted entries." type="list" errorStyle="stop">
      <formula1>"retain,exclude,discuss"</formula1>
    </dataValidation>
    <dataValidation sqref="E2:E9" showDropDown="0" showInputMessage="0" showErrorMessage="1" allowBlank="1" errorTitle="Use a listed option" error="Choose an option; G also checks pasted entries." type="list" errorStyle="stop">
      <formula1>"statistical_results,report_internal_inconsistency,plan_material,protocol_report"</formula1>
    </dataValidation>
    <dataValidation sqref="F2:F9" showDropDown="0" showInputMessage="0" showErrorMessage="1" allowBlank="1" errorTitle="Use a listed option" error="Choose an option; G also checks pasted entries." type="list" errorStyle="stop">
      <formula1>"no,primary_done"</formula1>
    </dataValidation>
    <dataValidation sqref="H2:H9" showDropDown="0" showInputMessage="0" showErrorMessage="1" allowBlank="1" errorTitle="Use a listed option" error="Choose an option; G also checks pasted entries." type="list" errorStyle="stop">
      <formula1>"confirmed_issue,probable_issue,not_issue,indeterminate,not_applicable"</formula1>
    </dataValidation>
    <dataValidation sqref="I2:I9" showDropDown="0" showInputMessage="0" showErrorMessage="1" allowBlank="1" errorTitle="Use a listed option" error="Choose an option; G also checks pasted entries." type="list" errorStyle="stop">
      <formula1>"substantive,minor_presentation,indeterminate,not_applicable"</formula1>
    </dataValidation>
    <dataValidation sqref="J2:J9" showDropDown="0" showInputMessage="0" showErrorMessage="1" allowBlank="1" errorTitle="Use a listed option" error="Choose an option; G also checks pasted entries." type="list" errorStyle="stop">
      <formula1>"direct,possible,unlikely,unknown,not_applicable"</formula1>
    </dataValidation>
    <dataValidation sqref="K2:K9" showDropDown="0" showInputMessage="0" showErrorMessage="1" allowBlank="1" errorTitle="Use a listed option" error="Choose an option; G also checks pasted entries." type="list" errorStyle="stop">
      <formula1>"substantive_inconsistency,minor_presentation,non_inconsistency,indeterminate,not_applicable"</formula1>
    </dataValidation>
    <dataValidation sqref="L2:L9" showDropDown="0" showInputMessage="0" showErrorMessage="1" allowBlank="1" errorTitle="Use a listed option" error="Choose an option; G also checks pasted entries." type="list" errorStyle="stop">
      <formula1>"substantive_difference,minor_presentation,version_timing,non_inconsistency,indeterminate,not_applicable"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8"/>
  <sheetViews>
    <sheetView showGridLines="0" tabSelected="0" workbookViewId="0">
      <pane xSplit="1" ySplit="1" topLeftCell="B2" activePane="bottomRight" state="frozen"/>
      <selection activeCell="A1" sqref="A1"/>
    </sheetView>
  </sheetViews>
  <sheetFormatPr baseColWidth="8" defaultRowHeight="15"/>
  <cols>
    <col width="22" customWidth="1" style="14" min="1" max="1"/>
    <col width="28" customWidth="1" style="14" min="2" max="2"/>
    <col width="22" customWidth="1" style="14" min="3" max="3"/>
    <col width="20" customWidth="1" style="14" min="4" max="4"/>
    <col width="35" customWidth="1" style="14" min="5" max="5"/>
    <col width="17" customWidth="1" style="14" min="6" max="6"/>
    <col width="29" customWidth="1" style="14" min="7" max="7"/>
    <col width="28" customWidth="1" style="14" min="8" max="8"/>
    <col width="20" customWidth="1" style="14" min="9" max="9"/>
    <col width="20" customWidth="1" style="14" min="10" max="10"/>
    <col width="34" customWidth="1" style="14" min="11" max="11"/>
    <col width="26" customWidth="1" style="14" min="12" max="12"/>
    <col hidden="1" width="3" customWidth="1" style="14" min="13" max="13"/>
    <col hidden="1" width="3" customWidth="1" style="14" min="14" max="14"/>
    <col hidden="1" width="3" customWidth="1" style="14" min="15" max="15"/>
    <col hidden="1" width="3" customWidth="1" style="14" min="16" max="16"/>
    <col hidden="1" width="3" customWidth="1" style="14" min="17" max="17"/>
    <col width="32" customWidth="1" style="14" min="18" max="18"/>
  </cols>
  <sheetData>
    <row r="1" ht="70" customFormat="1" customHeight="1" s="14">
      <c r="A1" s="19" t="inlineStr">
        <is>
          <t>Candidate key</t>
        </is>
      </c>
      <c r="B1" s="19" t="inlineStr">
        <is>
          <t>Candidate title</t>
        </is>
      </c>
      <c r="C1" s="19" t="inlineStr">
        <is>
          <t>Source location</t>
        </is>
      </c>
      <c r="D1" s="19" t="inlineStr">
        <is>
          <t>Disposition</t>
        </is>
      </c>
      <c r="E1" s="19" t="inlineStr">
        <is>
          <t>Review domain (AI suggestion; editable)</t>
        </is>
      </c>
      <c r="F1" s="19" t="inlineStr">
        <is>
          <t>Complete</t>
        </is>
      </c>
      <c r="G1" s="19" t="inlineStr">
        <is>
          <t>Validation hint</t>
        </is>
      </c>
      <c r="H1" s="19" t="inlineStr">
        <is>
          <t>Statistcal_or_numerical issue</t>
        </is>
      </c>
      <c r="I1" s="19" t="inlineStr">
        <is>
          <t>Substantiveness</t>
        </is>
      </c>
      <c r="J1" s="19" t="inlineStr">
        <is>
          <t>Downstream impact</t>
        </is>
      </c>
      <c r="K1" s="19" t="inlineStr">
        <is>
          <t>Report-internal or planning-material inconsistency</t>
        </is>
      </c>
      <c r="L1" s="19" t="inlineStr">
        <is>
          <t>Protocol interpretation</t>
        </is>
      </c>
      <c r="M1" s="19" t="n"/>
      <c r="N1" s="19" t="n"/>
      <c r="O1" s="19" t="n"/>
      <c r="P1" s="19" t="n"/>
      <c r="Q1" s="19" t="n"/>
      <c r="R1" s="19" t="inlineStr">
        <is>
          <t>Notes (optional)</t>
        </is>
      </c>
    </row>
    <row r="2" ht="92" customFormat="1" customHeight="1" s="14">
      <c r="A2" s="20" t="inlineStr">
        <is>
          <t>2018::jama.2018.0948::C001</t>
        </is>
      </c>
      <c r="B2" s="20" t="inlineStr">
        <is>
          <t>Inclusive versus exclusive fluid threshold in the SCD definition</t>
        </is>
      </c>
      <c r="C2" s="20" t="inlineStr">
        <is>
          <t>main article — PDF p. 4; Supplement 1 Table 5 — PDF p. 24; Supplement 3 eTable 1 — PDF p. 6.</t>
        </is>
      </c>
      <c r="D2" s="21" t="n"/>
      <c r="E2" s="21" t="inlineStr">
        <is>
          <t>protocol_report</t>
        </is>
      </c>
      <c r="F2" s="21" t="inlineStr">
        <is>
          <t>no</t>
        </is>
      </c>
      <c r="G2" s="20">
        <f>IFERROR(IF(LEN(TRIM(CLEAN(SUBSTITUTE(Setup!$B$2,CHAR(160)," "))))=0,"CHECK REVIEWER ID",IF(OR(A2="",COUNTIF($A$2:$A$8,A2)&lt;&gt;1,LEFT(A2,LEN("2018::jama.2018.0948::"))&lt;&gt;"2018::jama.2018.0948::"),"CHECK KEY",IF(OR(AND(NOT(AND(D2="retain",E2="statistical_results")),H2&lt;&gt;"",NOT(EXACT(H2,"not_applicable"))),AND(NOT(AND(D2="retain",E2="statistical_results")),I2&lt;&gt;"",NOT(EXACT(I2,"not_applicable"))),AND(NOT(AND(D2="retain",E2="statistical_results")),J2&lt;&gt;"",NOT(EXACT(J2,"not_applicable"))),AND(NOT(AND(D2="retain",OR(E2="report_internal_inconsistency",E2="plan_material"))),K2&lt;&gt;"",NOT(EXACT(K2,"not_applicable"))),AND(NOT(AND(D2="retain",E2="protocol_report")),L2&lt;&gt;"",NOT(EXACT(L2,"not_applicable")))),"CLEAR INACTIVE VALUES",IF(OR(NOT(OR(EXACT(D2,"retain"),EXACT(D2,"exclude"),EXACT(D2,"discuss"))),NOT(OR(EXACT(E2,"statistical_results"),EXACT(E2,"report_internal_inconsistency"),EXACT(E2,"plan_material"),EXACT(E2,"protocol_report"))),AND(AND(D2="retain",E2="statistical_results"),NOT(OR(EXACT(H2,"confirmed_issue"),EXACT(H2,"probable_issue"),EXACT(H2,"not_issue"),EXACT(H2,"indeterminate")))),AND(AND(D2="retain",E2="statistical_results"),NOT(OR(EXACT(I2,"substantive"),EXACT(I2,"minor_presentation"),EXACT(I2,"indeterminate")))),AND(AND(D2="retain",E2="statistical_results"),J2&lt;&gt;"",NOT(OR(EXACT(J2,"direct"),EXACT(J2,"possible"),EXACT(J2,"unlikely"),EXACT(J2,"unknown")))),AND(AND(D2="retain",OR(E2="report_internal_inconsistency",E2="plan_material")),NOT(OR(EXACT(K2,"substantive_inconsistency"),EXACT(K2,"minor_presentation"),EXACT(K2,"non_inconsistency"),EXACT(K2,"indeterminate")))),AND(AND(D2="retain",E2="protocol_report"),L2&lt;&gt;"",NOT(OR(EXACT(L2,"substantive_difference"),EXACT(L2,"minor_presentation"),EXACT(L2,"version_timing"),EXACT(L2,"non_inconsistency"),EXACT(L2,"indeterminate"))))),"CHECK FIELDS",IF(AND(F2&lt;&gt;"",NOT(OR(EXACT(F2,"no"),EXACT(F2,"primary_done")))),"CHECK COMPLETE",IF(EXACT(F2,"primary_done"),"PRIMARY READY","PRIMARY DRAFT")))))),"CHECK INPUT / KEY")</f>
        <v/>
      </c>
      <c r="H2" s="21">
        <f>IF(AND(OR(D2="retain",D2=""),E2="statistical_results"),"","not_applicable")</f>
        <v/>
      </c>
      <c r="I2" s="21">
        <f>IF(AND(OR(D2="retain",D2=""),E2="statistical_results"),"","not_applicable")</f>
        <v/>
      </c>
      <c r="J2" s="22">
        <f>IF(AND(OR(D2="retain",D2=""),E2="statistical_results"),"","not_applicable")</f>
        <v/>
      </c>
      <c r="K2" s="21">
        <f>IF(AND(OR(D2="retain",D2=""),OR(E2="report_internal_inconsistency",E2="plan_material")),"","not_applicable")</f>
        <v/>
      </c>
      <c r="L2" s="22">
        <f>IF(AND(OR(D2="retain",D2=""),E2="protocol_report"),"","not_applicable")</f>
        <v/>
      </c>
      <c r="M2" s="20" t="n"/>
      <c r="N2" s="23" t="n"/>
      <c r="O2" s="23" t="n"/>
      <c r="P2" s="23" t="n"/>
      <c r="Q2" s="23" t="n"/>
      <c r="R2" s="22" t="n"/>
    </row>
    <row r="3" ht="92" customFormat="1" customHeight="1" s="14">
      <c r="A3" s="24" t="inlineStr">
        <is>
          <t>2018::jama.2018.0948::C002</t>
        </is>
      </c>
      <c r="B3" s="24" t="inlineStr">
        <is>
          <t>Mortality absolute-risk-reduction percent/unit conflict</t>
        </is>
      </c>
      <c r="C3" s="24" t="inlineStr">
        <is>
          <t>Supplement 1 — PDF p. 1, p. 14, p. 29; main article — PDF p. 4.</t>
        </is>
      </c>
      <c r="D3" s="21" t="n"/>
      <c r="E3" s="21" t="inlineStr">
        <is>
          <t>plan_material</t>
        </is>
      </c>
      <c r="F3" s="21" t="inlineStr">
        <is>
          <t>no</t>
        </is>
      </c>
      <c r="G3" s="24">
        <f>IFERROR(IF(LEN(TRIM(CLEAN(SUBSTITUTE(Setup!$B$2,CHAR(160)," "))))=0,"CHECK REVIEWER ID",IF(OR(A3="",COUNTIF($A$2:$A$8,A3)&lt;&gt;1,LEFT(A3,LEN("2018::jama.2018.0948::"))&lt;&gt;"2018::jama.2018.0948::"),"CHECK KEY",IF(OR(AND(NOT(AND(D3="retain",E3="statistical_results")),H3&lt;&gt;"",NOT(EXACT(H3,"not_applicable"))),AND(NOT(AND(D3="retain",E3="statistical_results")),I3&lt;&gt;"",NOT(EXACT(I3,"not_applicable"))),AND(NOT(AND(D3="retain",E3="statistical_results")),J3&lt;&gt;"",NOT(EXACT(J3,"not_applicable"))),AND(NOT(AND(D3="retain",OR(E3="report_internal_inconsistency",E3="plan_material"))),K3&lt;&gt;"",NOT(EXACT(K3,"not_applicable"))),AND(NOT(AND(D3="retain",E3="protocol_report")),L3&lt;&gt;"",NOT(EXACT(L3,"not_applicable")))),"CLEAR INACTIVE VALUES",IF(OR(NOT(OR(EXACT(D3,"retain"),EXACT(D3,"exclude"),EXACT(D3,"discuss"))),NOT(OR(EXACT(E3,"statistical_results"),EXACT(E3,"report_internal_inconsistency"),EXACT(E3,"plan_material"),EXACT(E3,"protocol_report"))),AND(AND(D3="retain",E3="statistical_results"),NOT(OR(EXACT(H3,"confirmed_issue"),EXACT(H3,"probable_issue"),EXACT(H3,"not_issue"),EXACT(H3,"indeterminate")))),AND(AND(D3="retain",E3="statistical_results"),NOT(OR(EXACT(I3,"substantive"),EXACT(I3,"minor_presentation"),EXACT(I3,"indeterminate")))),AND(AND(D3="retain",E3="statistical_results"),J3&lt;&gt;"",NOT(OR(EXACT(J3,"direct"),EXACT(J3,"possible"),EXACT(J3,"unlikely"),EXACT(J3,"unknown")))),AND(AND(D3="retain",OR(E3="report_internal_inconsistency",E3="plan_material")),NOT(OR(EXACT(K3,"substantive_inconsistency"),EXACT(K3,"minor_presentation"),EXACT(K3,"non_inconsistency"),EXACT(K3,"indeterminate")))),AND(AND(D3="retain",E3="protocol_report"),L3&lt;&gt;"",NOT(OR(EXACT(L3,"substantive_difference"),EXACT(L3,"minor_presentation"),EXACT(L3,"version_timing"),EXACT(L3,"non_inconsistency"),EXACT(L3,"indeterminate"))))),"CHECK FIELDS",IF(AND(F3&lt;&gt;"",NOT(OR(EXACT(F3,"no"),EXACT(F3,"primary_done")))),"CHECK COMPLETE",IF(EXACT(F3,"primary_done"),"PRIMARY READY","PRIMARY DRAFT")))))),"CHECK INPUT / KEY")</f>
        <v/>
      </c>
      <c r="H3" s="21">
        <f>IF(AND(OR(D3="retain",D3=""),E3="statistical_results"),"","not_applicable")</f>
        <v/>
      </c>
      <c r="I3" s="21">
        <f>IF(AND(OR(D3="retain",D3=""),E3="statistical_results"),"","not_applicable")</f>
        <v/>
      </c>
      <c r="J3" s="22">
        <f>IF(AND(OR(D3="retain",D3=""),E3="statistical_results"),"","not_applicable")</f>
        <v/>
      </c>
      <c r="K3" s="21">
        <f>IF(AND(OR(D3="retain",D3=""),OR(E3="report_internal_inconsistency",E3="plan_material")),"","not_applicable")</f>
        <v/>
      </c>
      <c r="L3" s="22">
        <f>IF(AND(OR(D3="retain",D3=""),E3="protocol_report"),"","not_applicable")</f>
        <v/>
      </c>
      <c r="M3" s="24" t="n"/>
      <c r="N3" s="23" t="n"/>
      <c r="O3" s="23" t="n"/>
      <c r="P3" s="23" t="n"/>
      <c r="Q3" s="23" t="n"/>
      <c r="R3" s="22" t="n"/>
    </row>
    <row r="4" ht="92" customFormat="1" customHeight="1" s="14">
      <c r="A4" s="20" t="inlineStr">
        <is>
          <t>2018::jama.2018.0948::C003</t>
        </is>
      </c>
      <c r="B4" s="20" t="inlineStr">
        <is>
          <t>Cardiac-arrest events assigned incompatible resuscitation-scale categories</t>
        </is>
      </c>
      <c r="C4" s="20" t="inlineStr">
        <is>
          <t>Supplement 1 — PDF p. 11, Table 5 — PDF p. 24, Table 6 legend — PDF p. 27.</t>
        </is>
      </c>
      <c r="D4" s="21" t="n"/>
      <c r="E4" s="21" t="inlineStr">
        <is>
          <t>plan_material</t>
        </is>
      </c>
      <c r="F4" s="21" t="inlineStr">
        <is>
          <t>no</t>
        </is>
      </c>
      <c r="G4" s="20">
        <f>IFERROR(IF(LEN(TRIM(CLEAN(SUBSTITUTE(Setup!$B$2,CHAR(160)," "))))=0,"CHECK REVIEWER ID",IF(OR(A4="",COUNTIF($A$2:$A$8,A4)&lt;&gt;1,LEFT(A4,LEN("2018::jama.2018.0948::"))&lt;&gt;"2018::jama.2018.0948::"),"CHECK KEY",IF(OR(AND(NOT(AND(D4="retain",E4="statistical_results")),H4&lt;&gt;"",NOT(EXACT(H4,"not_applicable"))),AND(NOT(AND(D4="retain",E4="statistical_results")),I4&lt;&gt;"",NOT(EXACT(I4,"not_applicable"))),AND(NOT(AND(D4="retain",E4="statistical_results")),J4&lt;&gt;"",NOT(EXACT(J4,"not_applicable"))),AND(NOT(AND(D4="retain",OR(E4="report_internal_inconsistency",E4="plan_material"))),K4&lt;&gt;"",NOT(EXACT(K4,"not_applicable"))),AND(NOT(AND(D4="retain",E4="protocol_report")),L4&lt;&gt;"",NOT(EXACT(L4,"not_applicable")))),"CLEAR INACTIVE VALUES",IF(OR(NOT(OR(EXACT(D4,"retain"),EXACT(D4,"exclude"),EXACT(D4,"discuss"))),NOT(OR(EXACT(E4,"statistical_results"),EXACT(E4,"report_internal_inconsistency"),EXACT(E4,"plan_material"),EXACT(E4,"protocol_report"))),AND(AND(D4="retain",E4="statistical_results"),NOT(OR(EXACT(H4,"confirmed_issue"),EXACT(H4,"probable_issue"),EXACT(H4,"not_issue"),EXACT(H4,"indeterminate")))),AND(AND(D4="retain",E4="statistical_results"),NOT(OR(EXACT(I4,"substantive"),EXACT(I4,"minor_presentation"),EXACT(I4,"indeterminate")))),AND(AND(D4="retain",E4="statistical_results"),J4&lt;&gt;"",NOT(OR(EXACT(J4,"direct"),EXACT(J4,"possible"),EXACT(J4,"unlikely"),EXACT(J4,"unknown")))),AND(AND(D4="retain",OR(E4="report_internal_inconsistency",E4="plan_material")),NOT(OR(EXACT(K4,"substantive_inconsistency"),EXACT(K4,"minor_presentation"),EXACT(K4,"non_inconsistency"),EXACT(K4,"indeterminate")))),AND(AND(D4="retain",E4="protocol_report"),L4&lt;&gt;"",NOT(OR(EXACT(L4,"substantive_difference"),EXACT(L4,"minor_presentation"),EXACT(L4,"version_timing"),EXACT(L4,"non_inconsistency"),EXACT(L4,"indeterminate"))))),"CHECK FIELDS",IF(AND(F4&lt;&gt;"",NOT(OR(EXACT(F4,"no"),EXACT(F4,"primary_done")))),"CHECK COMPLETE",IF(EXACT(F4,"primary_done"),"PRIMARY READY","PRIMARY DRAFT")))))),"CHECK INPUT / KEY")</f>
        <v/>
      </c>
      <c r="H4" s="21">
        <f>IF(AND(OR(D4="retain",D4=""),E4="statistical_results"),"","not_applicable")</f>
        <v/>
      </c>
      <c r="I4" s="21">
        <f>IF(AND(OR(D4="retain",D4=""),E4="statistical_results"),"","not_applicable")</f>
        <v/>
      </c>
      <c r="J4" s="22">
        <f>IF(AND(OR(D4="retain",D4=""),E4="statistical_results"),"","not_applicable")</f>
        <v/>
      </c>
      <c r="K4" s="21">
        <f>IF(AND(OR(D4="retain",D4=""),OR(E4="report_internal_inconsistency",E4="plan_material")),"","not_applicable")</f>
        <v/>
      </c>
      <c r="L4" s="22">
        <f>IF(AND(OR(D4="retain",D4=""),E4="protocol_report"),"","not_applicable")</f>
        <v/>
      </c>
      <c r="M4" s="20" t="n"/>
      <c r="N4" s="23" t="n"/>
      <c r="O4" s="23" t="n"/>
      <c r="P4" s="23" t="n"/>
      <c r="Q4" s="23" t="n"/>
      <c r="R4" s="22" t="n"/>
    </row>
    <row r="5" ht="92" customFormat="1" customHeight="1" s="14">
      <c r="A5" s="24" t="inlineStr">
        <is>
          <t>2018::jama.2018.0948::C004</t>
        </is>
      </c>
      <c r="B5" s="24" t="inlineStr">
        <is>
          <t>Preventability threshold excludes and includes rating 4</t>
        </is>
      </c>
      <c r="C5" s="24" t="inlineStr">
        <is>
          <t>Supplement 1 — PDF p. 11, Table 7 — PDF p. 28; Supplement 3 eTable 1 — PDF p. 6; main article — PDF p. 7.</t>
        </is>
      </c>
      <c r="D5" s="21" t="n"/>
      <c r="E5" s="21" t="inlineStr">
        <is>
          <t>plan_material</t>
        </is>
      </c>
      <c r="F5" s="21" t="inlineStr">
        <is>
          <t>no</t>
        </is>
      </c>
      <c r="G5" s="24">
        <f>IFERROR(IF(LEN(TRIM(CLEAN(SUBSTITUTE(Setup!$B$2,CHAR(160)," "))))=0,"CHECK REVIEWER ID",IF(OR(A5="",COUNTIF($A$2:$A$8,A5)&lt;&gt;1,LEFT(A5,LEN("2018::jama.2018.0948::"))&lt;&gt;"2018::jama.2018.0948::"),"CHECK KEY",IF(OR(AND(NOT(AND(D5="retain",E5="statistical_results")),H5&lt;&gt;"",NOT(EXACT(H5,"not_applicable"))),AND(NOT(AND(D5="retain",E5="statistical_results")),I5&lt;&gt;"",NOT(EXACT(I5,"not_applicable"))),AND(NOT(AND(D5="retain",E5="statistical_results")),J5&lt;&gt;"",NOT(EXACT(J5,"not_applicable"))),AND(NOT(AND(D5="retain",OR(E5="report_internal_inconsistency",E5="plan_material"))),K5&lt;&gt;"",NOT(EXACT(K5,"not_applicable"))),AND(NOT(AND(D5="retain",E5="protocol_report")),L5&lt;&gt;"",NOT(EXACT(L5,"not_applicable")))),"CLEAR INACTIVE VALUES",IF(OR(NOT(OR(EXACT(D5,"retain"),EXACT(D5,"exclude"),EXACT(D5,"discuss"))),NOT(OR(EXACT(E5,"statistical_results"),EXACT(E5,"report_internal_inconsistency"),EXACT(E5,"plan_material"),EXACT(E5,"protocol_report"))),AND(AND(D5="retain",E5="statistical_results"),NOT(OR(EXACT(H5,"confirmed_issue"),EXACT(H5,"probable_issue"),EXACT(H5,"not_issue"),EXACT(H5,"indeterminate")))),AND(AND(D5="retain",E5="statistical_results"),NOT(OR(EXACT(I5,"substantive"),EXACT(I5,"minor_presentation"),EXACT(I5,"indeterminate")))),AND(AND(D5="retain",E5="statistical_results"),J5&lt;&gt;"",NOT(OR(EXACT(J5,"direct"),EXACT(J5,"possible"),EXACT(J5,"unlikely"),EXACT(J5,"unknown")))),AND(AND(D5="retain",OR(E5="report_internal_inconsistency",E5="plan_material")),NOT(OR(EXACT(K5,"substantive_inconsistency"),EXACT(K5,"minor_presentation"),EXACT(K5,"non_inconsistency"),EXACT(K5,"indeterminate")))),AND(AND(D5="retain",E5="protocol_report"),L5&lt;&gt;"",NOT(OR(EXACT(L5,"substantive_difference"),EXACT(L5,"minor_presentation"),EXACT(L5,"version_timing"),EXACT(L5,"non_inconsistency"),EXACT(L5,"indeterminate"))))),"CHECK FIELDS",IF(AND(F5&lt;&gt;"",NOT(OR(EXACT(F5,"no"),EXACT(F5,"primary_done")))),"CHECK COMPLETE",IF(EXACT(F5,"primary_done"),"PRIMARY READY","PRIMARY DRAFT")))))),"CHECK INPUT / KEY")</f>
        <v/>
      </c>
      <c r="H5" s="21">
        <f>IF(AND(OR(D5="retain",D5=""),E5="statistical_results"),"","not_applicable")</f>
        <v/>
      </c>
      <c r="I5" s="21">
        <f>IF(AND(OR(D5="retain",D5=""),E5="statistical_results"),"","not_applicable")</f>
        <v/>
      </c>
      <c r="J5" s="22">
        <f>IF(AND(OR(D5="retain",D5=""),E5="statistical_results"),"","not_applicable")</f>
        <v/>
      </c>
      <c r="K5" s="21">
        <f>IF(AND(OR(D5="retain",D5=""),OR(E5="report_internal_inconsistency",E5="plan_material")),"","not_applicable")</f>
        <v/>
      </c>
      <c r="L5" s="22">
        <f>IF(AND(OR(D5="retain",D5=""),E5="protocol_report"),"","not_applicable")</f>
        <v/>
      </c>
      <c r="M5" s="24" t="n"/>
      <c r="N5" s="23" t="n"/>
      <c r="O5" s="23" t="n"/>
      <c r="P5" s="23" t="n"/>
      <c r="Q5" s="23" t="n"/>
      <c r="R5" s="22" t="n"/>
    </row>
    <row r="6" ht="92" customFormat="1" customHeight="1" s="14">
      <c r="A6" s="20" t="inlineStr">
        <is>
          <t>2018::jama.2018.0948::C005</t>
        </is>
      </c>
      <c r="B6" s="20" t="inlineStr">
        <is>
          <t>The same SCDE reference count is labelled annual and two-year</t>
        </is>
      </c>
      <c r="C6" s="20" t="inlineStr">
        <is>
          <t>Supplement 1 — PDF p. 14 and PDF p. 30.</t>
        </is>
      </c>
      <c r="D6" s="21" t="n"/>
      <c r="E6" s="21" t="inlineStr">
        <is>
          <t>plan_material</t>
        </is>
      </c>
      <c r="F6" s="21" t="inlineStr">
        <is>
          <t>no</t>
        </is>
      </c>
      <c r="G6" s="20">
        <f>IFERROR(IF(LEN(TRIM(CLEAN(SUBSTITUTE(Setup!$B$2,CHAR(160)," "))))=0,"CHECK REVIEWER ID",IF(OR(A6="",COUNTIF($A$2:$A$8,A6)&lt;&gt;1,LEFT(A6,LEN("2018::jama.2018.0948::"))&lt;&gt;"2018::jama.2018.0948::"),"CHECK KEY",IF(OR(AND(NOT(AND(D6="retain",E6="statistical_results")),H6&lt;&gt;"",NOT(EXACT(H6,"not_applicable"))),AND(NOT(AND(D6="retain",E6="statistical_results")),I6&lt;&gt;"",NOT(EXACT(I6,"not_applicable"))),AND(NOT(AND(D6="retain",E6="statistical_results")),J6&lt;&gt;"",NOT(EXACT(J6,"not_applicable"))),AND(NOT(AND(D6="retain",OR(E6="report_internal_inconsistency",E6="plan_material"))),K6&lt;&gt;"",NOT(EXACT(K6,"not_applicable"))),AND(NOT(AND(D6="retain",E6="protocol_report")),L6&lt;&gt;"",NOT(EXACT(L6,"not_applicable")))),"CLEAR INACTIVE VALUES",IF(OR(NOT(OR(EXACT(D6,"retain"),EXACT(D6,"exclude"),EXACT(D6,"discuss"))),NOT(OR(EXACT(E6,"statistical_results"),EXACT(E6,"report_internal_inconsistency"),EXACT(E6,"plan_material"),EXACT(E6,"protocol_report"))),AND(AND(D6="retain",E6="statistical_results"),NOT(OR(EXACT(H6,"confirmed_issue"),EXACT(H6,"probable_issue"),EXACT(H6,"not_issue"),EXACT(H6,"indeterminate")))),AND(AND(D6="retain",E6="statistical_results"),NOT(OR(EXACT(I6,"substantive"),EXACT(I6,"minor_presentation"),EXACT(I6,"indeterminate")))),AND(AND(D6="retain",E6="statistical_results"),J6&lt;&gt;"",NOT(OR(EXACT(J6,"direct"),EXACT(J6,"possible"),EXACT(J6,"unlikely"),EXACT(J6,"unknown")))),AND(AND(D6="retain",OR(E6="report_internal_inconsistency",E6="plan_material")),NOT(OR(EXACT(K6,"substantive_inconsistency"),EXACT(K6,"minor_presentation"),EXACT(K6,"non_inconsistency"),EXACT(K6,"indeterminate")))),AND(AND(D6="retain",E6="protocol_report"),L6&lt;&gt;"",NOT(OR(EXACT(L6,"substantive_difference"),EXACT(L6,"minor_presentation"),EXACT(L6,"version_timing"),EXACT(L6,"non_inconsistency"),EXACT(L6,"indeterminate"))))),"CHECK FIELDS",IF(AND(F6&lt;&gt;"",NOT(OR(EXACT(F6,"no"),EXACT(F6,"primary_done")))),"CHECK COMPLETE",IF(EXACT(F6,"primary_done"),"PRIMARY READY","PRIMARY DRAFT")))))),"CHECK INPUT / KEY")</f>
        <v/>
      </c>
      <c r="H6" s="21">
        <f>IF(AND(OR(D6="retain",D6=""),E6="statistical_results"),"","not_applicable")</f>
        <v/>
      </c>
      <c r="I6" s="21">
        <f>IF(AND(OR(D6="retain",D6=""),E6="statistical_results"),"","not_applicable")</f>
        <v/>
      </c>
      <c r="J6" s="22">
        <f>IF(AND(OR(D6="retain",D6=""),E6="statistical_results"),"","not_applicable")</f>
        <v/>
      </c>
      <c r="K6" s="21">
        <f>IF(AND(OR(D6="retain",D6=""),OR(E6="report_internal_inconsistency",E6="plan_material")),"","not_applicable")</f>
        <v/>
      </c>
      <c r="L6" s="22">
        <f>IF(AND(OR(D6="retain",D6=""),E6="protocol_report"),"","not_applicable")</f>
        <v/>
      </c>
      <c r="M6" s="20" t="n"/>
      <c r="N6" s="23" t="n"/>
      <c r="O6" s="23" t="n"/>
      <c r="P6" s="23" t="n"/>
      <c r="Q6" s="23" t="n"/>
      <c r="R6" s="22" t="n"/>
    </row>
    <row r="7" ht="92" customFormat="1" customHeight="1" s="14">
      <c r="A7" s="24" t="inlineStr">
        <is>
          <t>2018::jama.2018.0948::C006</t>
        </is>
      </c>
      <c r="B7" s="24" t="inlineStr">
        <is>
          <t>Stat-call absolute reduction does not reproduce from the printed inputs</t>
        </is>
      </c>
      <c r="C7" s="24" t="inlineStr">
        <is>
          <t>Supplement 1 — PDF p. 30.</t>
        </is>
      </c>
      <c r="D7" s="21" t="n"/>
      <c r="E7" s="21" t="inlineStr">
        <is>
          <t>plan_material</t>
        </is>
      </c>
      <c r="F7" s="21" t="inlineStr">
        <is>
          <t>no</t>
        </is>
      </c>
      <c r="G7" s="24">
        <f>IFERROR(IF(LEN(TRIM(CLEAN(SUBSTITUTE(Setup!$B$2,CHAR(160)," "))))=0,"CHECK REVIEWER ID",IF(OR(A7="",COUNTIF($A$2:$A$8,A7)&lt;&gt;1,LEFT(A7,LEN("2018::jama.2018.0948::"))&lt;&gt;"2018::jama.2018.0948::"),"CHECK KEY",IF(OR(AND(NOT(AND(D7="retain",E7="statistical_results")),H7&lt;&gt;"",NOT(EXACT(H7,"not_applicable"))),AND(NOT(AND(D7="retain",E7="statistical_results")),I7&lt;&gt;"",NOT(EXACT(I7,"not_applicable"))),AND(NOT(AND(D7="retain",E7="statistical_results")),J7&lt;&gt;"",NOT(EXACT(J7,"not_applicable"))),AND(NOT(AND(D7="retain",OR(E7="report_internal_inconsistency",E7="plan_material"))),K7&lt;&gt;"",NOT(EXACT(K7,"not_applicable"))),AND(NOT(AND(D7="retain",E7="protocol_report")),L7&lt;&gt;"",NOT(EXACT(L7,"not_applicable")))),"CLEAR INACTIVE VALUES",IF(OR(NOT(OR(EXACT(D7,"retain"),EXACT(D7,"exclude"),EXACT(D7,"discuss"))),NOT(OR(EXACT(E7,"statistical_results"),EXACT(E7,"report_internal_inconsistency"),EXACT(E7,"plan_material"),EXACT(E7,"protocol_report"))),AND(AND(D7="retain",E7="statistical_results"),NOT(OR(EXACT(H7,"confirmed_issue"),EXACT(H7,"probable_issue"),EXACT(H7,"not_issue"),EXACT(H7,"indeterminate")))),AND(AND(D7="retain",E7="statistical_results"),NOT(OR(EXACT(I7,"substantive"),EXACT(I7,"minor_presentation"),EXACT(I7,"indeterminate")))),AND(AND(D7="retain",E7="statistical_results"),J7&lt;&gt;"",NOT(OR(EXACT(J7,"direct"),EXACT(J7,"possible"),EXACT(J7,"unlikely"),EXACT(J7,"unknown")))),AND(AND(D7="retain",OR(E7="report_internal_inconsistency",E7="plan_material")),NOT(OR(EXACT(K7,"substantive_inconsistency"),EXACT(K7,"minor_presentation"),EXACT(K7,"non_inconsistency"),EXACT(K7,"indeterminate")))),AND(AND(D7="retain",E7="protocol_report"),L7&lt;&gt;"",NOT(OR(EXACT(L7,"substantive_difference"),EXACT(L7,"minor_presentation"),EXACT(L7,"version_timing"),EXACT(L7,"non_inconsistency"),EXACT(L7,"indeterminate"))))),"CHECK FIELDS",IF(AND(F7&lt;&gt;"",NOT(OR(EXACT(F7,"no"),EXACT(F7,"primary_done")))),"CHECK COMPLETE",IF(EXACT(F7,"primary_done"),"PRIMARY READY","PRIMARY DRAFT")))))),"CHECK INPUT / KEY")</f>
        <v/>
      </c>
      <c r="H7" s="21">
        <f>IF(AND(OR(D7="retain",D7=""),E7="statistical_results"),"","not_applicable")</f>
        <v/>
      </c>
      <c r="I7" s="21">
        <f>IF(AND(OR(D7="retain",D7=""),E7="statistical_results"),"","not_applicable")</f>
        <v/>
      </c>
      <c r="J7" s="22">
        <f>IF(AND(OR(D7="retain",D7=""),E7="statistical_results"),"","not_applicable")</f>
        <v/>
      </c>
      <c r="K7" s="21">
        <f>IF(AND(OR(D7="retain",D7=""),OR(E7="report_internal_inconsistency",E7="plan_material")),"","not_applicable")</f>
        <v/>
      </c>
      <c r="L7" s="22">
        <f>IF(AND(OR(D7="retain",D7=""),E7="protocol_report"),"","not_applicable")</f>
        <v/>
      </c>
      <c r="M7" s="24" t="n"/>
      <c r="N7" s="23" t="n"/>
      <c r="O7" s="23" t="n"/>
      <c r="P7" s="23" t="n"/>
      <c r="Q7" s="23" t="n"/>
      <c r="R7" s="22" t="n"/>
    </row>
    <row r="8" ht="92" customFormat="1" customHeight="1" s="14">
      <c r="A8" s="20" t="inlineStr">
        <is>
          <t>2018::jama.2018.0948::C007</t>
        </is>
      </c>
      <c r="B8" s="20" t="inlineStr">
        <is>
          <t>Urgent PICU admission rates do not match the printed counts and denominators at conventional rounding</t>
        </is>
      </c>
      <c r="C8" s="20" t="inlineStr">
        <is>
          <t>Supplement 1 — PDF p. 30.</t>
        </is>
      </c>
      <c r="D8" s="21" t="n"/>
      <c r="E8" s="21" t="inlineStr">
        <is>
          <t>plan_material</t>
        </is>
      </c>
      <c r="F8" s="21" t="inlineStr">
        <is>
          <t>no</t>
        </is>
      </c>
      <c r="G8" s="20">
        <f>IFERROR(IF(LEN(TRIM(CLEAN(SUBSTITUTE(Setup!$B$2,CHAR(160)," "))))=0,"CHECK REVIEWER ID",IF(OR(A8="",COUNTIF($A$2:$A$8,A8)&lt;&gt;1,LEFT(A8,LEN("2018::jama.2018.0948::"))&lt;&gt;"2018::jama.2018.0948::"),"CHECK KEY",IF(OR(AND(NOT(AND(D8="retain",E8="statistical_results")),H8&lt;&gt;"",NOT(EXACT(H8,"not_applicable"))),AND(NOT(AND(D8="retain",E8="statistical_results")),I8&lt;&gt;"",NOT(EXACT(I8,"not_applicable"))),AND(NOT(AND(D8="retain",E8="statistical_results")),J8&lt;&gt;"",NOT(EXACT(J8,"not_applicable"))),AND(NOT(AND(D8="retain",OR(E8="report_internal_inconsistency",E8="plan_material"))),K8&lt;&gt;"",NOT(EXACT(K8,"not_applicable"))),AND(NOT(AND(D8="retain",E8="protocol_report")),L8&lt;&gt;"",NOT(EXACT(L8,"not_applicable")))),"CLEAR INACTIVE VALUES",IF(OR(NOT(OR(EXACT(D8,"retain"),EXACT(D8,"exclude"),EXACT(D8,"discuss"))),NOT(OR(EXACT(E8,"statistical_results"),EXACT(E8,"report_internal_inconsistency"),EXACT(E8,"plan_material"),EXACT(E8,"protocol_report"))),AND(AND(D8="retain",E8="statistical_results"),NOT(OR(EXACT(H8,"confirmed_issue"),EXACT(H8,"probable_issue"),EXACT(H8,"not_issue"),EXACT(H8,"indeterminate")))),AND(AND(D8="retain",E8="statistical_results"),NOT(OR(EXACT(I8,"substantive"),EXACT(I8,"minor_presentation"),EXACT(I8,"indeterminate")))),AND(AND(D8="retain",E8="statistical_results"),J8&lt;&gt;"",NOT(OR(EXACT(J8,"direct"),EXACT(J8,"possible"),EXACT(J8,"unlikely"),EXACT(J8,"unknown")))),AND(AND(D8="retain",OR(E8="report_internal_inconsistency",E8="plan_material")),NOT(OR(EXACT(K8,"substantive_inconsistency"),EXACT(K8,"minor_presentation"),EXACT(K8,"non_inconsistency"),EXACT(K8,"indeterminate")))),AND(AND(D8="retain",E8="protocol_report"),L8&lt;&gt;"",NOT(OR(EXACT(L8,"substantive_difference"),EXACT(L8,"minor_presentation"),EXACT(L8,"version_timing"),EXACT(L8,"non_inconsistency"),EXACT(L8,"indeterminate"))))),"CHECK FIELDS",IF(AND(F8&lt;&gt;"",NOT(OR(EXACT(F8,"no"),EXACT(F8,"primary_done")))),"CHECK COMPLETE",IF(EXACT(F8,"primary_done"),"PRIMARY READY","PRIMARY DRAFT")))))),"CHECK INPUT / KEY")</f>
        <v/>
      </c>
      <c r="H8" s="21">
        <f>IF(AND(OR(D8="retain",D8=""),E8="statistical_results"),"","not_applicable")</f>
        <v/>
      </c>
      <c r="I8" s="21">
        <f>IF(AND(OR(D8="retain",D8=""),E8="statistical_results"),"","not_applicable")</f>
        <v/>
      </c>
      <c r="J8" s="22">
        <f>IF(AND(OR(D8="retain",D8=""),E8="statistical_results"),"","not_applicable")</f>
        <v/>
      </c>
      <c r="K8" s="21">
        <f>IF(AND(OR(D8="retain",D8=""),OR(E8="report_internal_inconsistency",E8="plan_material")),"","not_applicable")</f>
        <v/>
      </c>
      <c r="L8" s="22">
        <f>IF(AND(OR(D8="retain",D8=""),E8="protocol_report"),"","not_applicable")</f>
        <v/>
      </c>
      <c r="M8" s="20" t="n"/>
      <c r="N8" s="23" t="n"/>
      <c r="O8" s="23" t="n"/>
      <c r="P8" s="23" t="n"/>
      <c r="Q8" s="23" t="n"/>
      <c r="R8" s="22" t="n"/>
    </row>
  </sheetData>
  <autoFilter ref="A1:R8"/>
  <conditionalFormatting sqref="H2:H8">
    <cfRule type="expression" priority="8" dxfId="70">
      <formula>NOT(AND(OR($D2="retain",$D2=""),$E2="statistical_results"))</formula>
    </cfRule>
  </conditionalFormatting>
  <conditionalFormatting sqref="I2:I8">
    <cfRule type="expression" priority="9" dxfId="70">
      <formula>NOT(AND(OR($D2="retain",$D2=""),$E2="statistical_results"))</formula>
    </cfRule>
  </conditionalFormatting>
  <conditionalFormatting sqref="J2:J8">
    <cfRule type="expression" priority="10" dxfId="70">
      <formula>NOT(AND(OR($D2="retain",$D2=""),$E2="statistical_results"))</formula>
    </cfRule>
  </conditionalFormatting>
  <conditionalFormatting sqref="K2:K8">
    <cfRule type="expression" priority="11" dxfId="70">
      <formula>NOT(AND(OR($D2="retain",$D2=""),OR($E2="report_internal_inconsistency",$E2="plan_material")))</formula>
    </cfRule>
  </conditionalFormatting>
  <conditionalFormatting sqref="L2:L8">
    <cfRule type="expression" priority="12" dxfId="70">
      <formula>NOT(AND(OR($D2="retain",$D2=""),$E2="protocol_report"))</formula>
    </cfRule>
  </conditionalFormatting>
  <conditionalFormatting sqref="G2:G8">
    <cfRule type="expression" priority="13" dxfId="71">
      <formula>G2&lt;&gt;"PRIMARY READY"</formula>
    </cfRule>
  </conditionalFormatting>
  <dataValidations count="8">
    <dataValidation sqref="D2:D8" showDropDown="0" showInputMessage="0" showErrorMessage="1" allowBlank="1" errorTitle="Use a listed option" error="Choose an option; G also checks pasted entries." type="list" errorStyle="stop">
      <formula1>"retain,exclude,discuss"</formula1>
    </dataValidation>
    <dataValidation sqref="E2:E8" showDropDown="0" showInputMessage="0" showErrorMessage="1" allowBlank="1" errorTitle="Use a listed option" error="Choose an option; G also checks pasted entries." type="list" errorStyle="stop">
      <formula1>"statistical_results,report_internal_inconsistency,plan_material,protocol_report"</formula1>
    </dataValidation>
    <dataValidation sqref="F2:F8" showDropDown="0" showInputMessage="0" showErrorMessage="1" allowBlank="1" errorTitle="Use a listed option" error="Choose an option; G also checks pasted entries." type="list" errorStyle="stop">
      <formula1>"no,primary_done"</formula1>
    </dataValidation>
    <dataValidation sqref="H2:H8" showDropDown="0" showInputMessage="0" showErrorMessage="1" allowBlank="1" errorTitle="Use a listed option" error="Choose an option; G also checks pasted entries." type="list" errorStyle="stop">
      <formula1>"confirmed_issue,probable_issue,not_issue,indeterminate,not_applicable"</formula1>
    </dataValidation>
    <dataValidation sqref="I2:I8" showDropDown="0" showInputMessage="0" showErrorMessage="1" allowBlank="1" errorTitle="Use a listed option" error="Choose an option; G also checks pasted entries." type="list" errorStyle="stop">
      <formula1>"substantive,minor_presentation,indeterminate,not_applicable"</formula1>
    </dataValidation>
    <dataValidation sqref="J2:J8" showDropDown="0" showInputMessage="0" showErrorMessage="1" allowBlank="1" errorTitle="Use a listed option" error="Choose an option; G also checks pasted entries." type="list" errorStyle="stop">
      <formula1>"direct,possible,unlikely,unknown,not_applicable"</formula1>
    </dataValidation>
    <dataValidation sqref="K2:K8" showDropDown="0" showInputMessage="0" showErrorMessage="1" allowBlank="1" errorTitle="Use a listed option" error="Choose an option; G also checks pasted entries." type="list" errorStyle="stop">
      <formula1>"substantive_inconsistency,minor_presentation,non_inconsistency,indeterminate,not_applicable"</formula1>
    </dataValidation>
    <dataValidation sqref="L2:L8" showDropDown="0" showInputMessage="0" showErrorMessage="1" allowBlank="1" errorTitle="Use a listed option" error="Choose an option; G also checks pasted entries." type="list" errorStyle="stop">
      <formula1>"substantive_difference,minor_presentation,version_timing,non_inconsistency,indeterminate,not_applicable"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R24"/>
  <sheetViews>
    <sheetView showGridLines="0" tabSelected="0" workbookViewId="0">
      <pane xSplit="1" ySplit="1" topLeftCell="B2" activePane="bottomRight" state="frozen"/>
      <selection activeCell="A1" sqref="A1"/>
    </sheetView>
  </sheetViews>
  <sheetFormatPr baseColWidth="8" defaultRowHeight="15"/>
  <cols>
    <col width="22" customWidth="1" style="14" min="1" max="1"/>
    <col width="28" customWidth="1" style="14" min="2" max="2"/>
    <col width="22" customWidth="1" style="14" min="3" max="3"/>
    <col width="20" customWidth="1" style="14" min="4" max="4"/>
    <col width="35" customWidth="1" style="14" min="5" max="5"/>
    <col width="17" customWidth="1" style="14" min="6" max="6"/>
    <col width="29" customWidth="1" style="14" min="7" max="7"/>
    <col width="28" customWidth="1" style="14" min="8" max="8"/>
    <col width="20" customWidth="1" style="14" min="9" max="9"/>
    <col width="20" customWidth="1" style="14" min="10" max="10"/>
    <col width="34" customWidth="1" style="14" min="11" max="11"/>
    <col width="26" customWidth="1" style="14" min="12" max="12"/>
    <col hidden="1" width="3" customWidth="1" style="14" min="13" max="13"/>
    <col hidden="1" width="3" customWidth="1" style="14" min="14" max="14"/>
    <col hidden="1" width="3" customWidth="1" style="14" min="15" max="15"/>
    <col hidden="1" width="3" customWidth="1" style="14" min="16" max="16"/>
    <col hidden="1" width="3" customWidth="1" style="14" min="17" max="17"/>
    <col width="32" customWidth="1" style="14" min="18" max="18"/>
  </cols>
  <sheetData>
    <row r="1" ht="70" customFormat="1" customHeight="1" s="14">
      <c r="A1" s="19" t="inlineStr">
        <is>
          <t>Candidate key</t>
        </is>
      </c>
      <c r="B1" s="19" t="inlineStr">
        <is>
          <t>Candidate title</t>
        </is>
      </c>
      <c r="C1" s="19" t="inlineStr">
        <is>
          <t>Source location</t>
        </is>
      </c>
      <c r="D1" s="19" t="inlineStr">
        <is>
          <t>Disposition</t>
        </is>
      </c>
      <c r="E1" s="19" t="inlineStr">
        <is>
          <t>Review domain (AI suggestion; editable)</t>
        </is>
      </c>
      <c r="F1" s="19" t="inlineStr">
        <is>
          <t>Complete</t>
        </is>
      </c>
      <c r="G1" s="19" t="inlineStr">
        <is>
          <t>Validation hint</t>
        </is>
      </c>
      <c r="H1" s="19" t="inlineStr">
        <is>
          <t>Statistcal_or_numerical issue</t>
        </is>
      </c>
      <c r="I1" s="19" t="inlineStr">
        <is>
          <t>Substantiveness</t>
        </is>
      </c>
      <c r="J1" s="19" t="inlineStr">
        <is>
          <t>Downstream impact</t>
        </is>
      </c>
      <c r="K1" s="19" t="inlineStr">
        <is>
          <t>Report-internal or planning-material inconsistency</t>
        </is>
      </c>
      <c r="L1" s="19" t="inlineStr">
        <is>
          <t>Protocol interpretation</t>
        </is>
      </c>
      <c r="M1" s="19" t="n"/>
      <c r="N1" s="19" t="n"/>
      <c r="O1" s="19" t="n"/>
      <c r="P1" s="19" t="n"/>
      <c r="Q1" s="19" t="n"/>
      <c r="R1" s="19" t="inlineStr">
        <is>
          <t>Notes (optional)</t>
        </is>
      </c>
    </row>
    <row r="2" ht="92" customFormat="1" customHeight="1" s="14">
      <c r="A2" s="20" t="inlineStr">
        <is>
          <t>2018::jama.2018.14280::C001</t>
        </is>
      </c>
      <c r="B2" s="20" t="inlineStr">
        <is>
          <t>Reversed endpoint in the eTable 2 PEEP interquartile range</t>
        </is>
      </c>
      <c r="C2" s="20" t="inlineStr">
        <is>
          <t>DOC-004, Supplement 3, eTable 2, Other Mode of Ventilation, after titration on randomization day, intermediate arm, PEEP.</t>
        </is>
      </c>
      <c r="D2" s="21" t="n"/>
      <c r="E2" s="21" t="inlineStr">
        <is>
          <t>statistical_results</t>
        </is>
      </c>
      <c r="F2" s="21" t="inlineStr">
        <is>
          <t>no</t>
        </is>
      </c>
      <c r="G2" s="20">
        <f>IFERROR(IF(LEN(TRIM(CLEAN(SUBSTITUTE(Setup!$B$2,CHAR(160)," "))))=0,"CHECK REVIEWER ID",IF(OR(A2="",COUNTIF($A$2:$A$24,A2)&lt;&gt;1,LEFT(A2,LEN("2018::jama.2018.14280::"))&lt;&gt;"2018::jama.2018.14280::"),"CHECK KEY",IF(OR(AND(NOT(AND(D2="retain",E2="statistical_results")),H2&lt;&gt;"",NOT(EXACT(H2,"not_applicable"))),AND(NOT(AND(D2="retain",E2="statistical_results")),I2&lt;&gt;"",NOT(EXACT(I2,"not_applicable"))),AND(NOT(AND(D2="retain",E2="statistical_results")),J2&lt;&gt;"",NOT(EXACT(J2,"not_applicable"))),AND(NOT(AND(D2="retain",OR(E2="report_internal_inconsistency",E2="plan_material"))),K2&lt;&gt;"",NOT(EXACT(K2,"not_applicable"))),AND(NOT(AND(D2="retain",E2="protocol_report")),L2&lt;&gt;"",NOT(EXACT(L2,"not_applicable")))),"CLEAR INACTIVE VALUES",IF(OR(NOT(OR(EXACT(D2,"retain"),EXACT(D2,"exclude"),EXACT(D2,"discuss"))),NOT(OR(EXACT(E2,"statistical_results"),EXACT(E2,"report_internal_inconsistency"),EXACT(E2,"plan_material"),EXACT(E2,"protocol_report"))),AND(AND(D2="retain",E2="statistical_results"),NOT(OR(EXACT(H2,"confirmed_issue"),EXACT(H2,"probable_issue"),EXACT(H2,"not_issue"),EXACT(H2,"indeterminate")))),AND(AND(D2="retain",E2="statistical_results"),NOT(OR(EXACT(I2,"substantive"),EXACT(I2,"minor_presentation"),EXACT(I2,"indeterminate")))),AND(AND(D2="retain",E2="statistical_results"),J2&lt;&gt;"",NOT(OR(EXACT(J2,"direct"),EXACT(J2,"possible"),EXACT(J2,"unlikely"),EXACT(J2,"unknown")))),AND(AND(D2="retain",OR(E2="report_internal_inconsistency",E2="plan_material")),NOT(OR(EXACT(K2,"substantive_inconsistency"),EXACT(K2,"minor_presentation"),EXACT(K2,"non_inconsistency"),EXACT(K2,"indeterminate")))),AND(AND(D2="retain",E2="protocol_report"),L2&lt;&gt;"",NOT(OR(EXACT(L2,"substantive_difference"),EXACT(L2,"minor_presentation"),EXACT(L2,"version_timing"),EXACT(L2,"non_inconsistency"),EXACT(L2,"indeterminate"))))),"CHECK FIELDS",IF(AND(F2&lt;&gt;"",NOT(OR(EXACT(F2,"no"),EXACT(F2,"primary_done")))),"CHECK COMPLETE",IF(EXACT(F2,"primary_done"),"PRIMARY READY","PRIMARY DRAFT")))))),"CHECK INPUT / KEY")</f>
        <v/>
      </c>
      <c r="H2" s="21">
        <f>IF(AND(OR(D2="retain",D2=""),E2="statistical_results"),"","not_applicable")</f>
        <v/>
      </c>
      <c r="I2" s="21">
        <f>IF(AND(OR(D2="retain",D2=""),E2="statistical_results"),"","not_applicable")</f>
        <v/>
      </c>
      <c r="J2" s="22">
        <f>IF(AND(OR(D2="retain",D2=""),E2="statistical_results"),"","not_applicable")</f>
        <v/>
      </c>
      <c r="K2" s="21">
        <f>IF(AND(OR(D2="retain",D2=""),OR(E2="report_internal_inconsistency",E2="plan_material")),"","not_applicable")</f>
        <v/>
      </c>
      <c r="L2" s="22">
        <f>IF(AND(OR(D2="retain",D2=""),E2="protocol_report"),"","not_applicable")</f>
        <v/>
      </c>
      <c r="M2" s="20" t="n"/>
      <c r="N2" s="23" t="n"/>
      <c r="O2" s="23" t="n"/>
      <c r="P2" s="23" t="n"/>
      <c r="Q2" s="23" t="n"/>
      <c r="R2" s="22" t="n"/>
    </row>
    <row r="3" ht="92" customFormat="1" customHeight="1" s="14">
      <c r="A3" s="24" t="inlineStr">
        <is>
          <t>2018::jama.2018.14280::C002</t>
        </is>
      </c>
      <c r="B3" s="24" t="inlineStr">
        <is>
          <t>At-risk-for-ARDS percentages use undisclosed denominators</t>
        </is>
      </c>
      <c r="C3" s="24" t="inlineStr">
        <is>
          <t>DOC-001, Table 1, Patients at risk for ARDS, low and intermediate arms.</t>
        </is>
      </c>
      <c r="D3" s="21" t="n"/>
      <c r="E3" s="21" t="inlineStr">
        <is>
          <t>statistical_results</t>
        </is>
      </c>
      <c r="F3" s="21" t="inlineStr">
        <is>
          <t>no</t>
        </is>
      </c>
      <c r="G3" s="24">
        <f>IFERROR(IF(LEN(TRIM(CLEAN(SUBSTITUTE(Setup!$B$2,CHAR(160)," "))))=0,"CHECK REVIEWER ID",IF(OR(A3="",COUNTIF($A$2:$A$24,A3)&lt;&gt;1,LEFT(A3,LEN("2018::jama.2018.14280::"))&lt;&gt;"2018::jama.2018.14280::"),"CHECK KEY",IF(OR(AND(NOT(AND(D3="retain",E3="statistical_results")),H3&lt;&gt;"",NOT(EXACT(H3,"not_applicable"))),AND(NOT(AND(D3="retain",E3="statistical_results")),I3&lt;&gt;"",NOT(EXACT(I3,"not_applicable"))),AND(NOT(AND(D3="retain",E3="statistical_results")),J3&lt;&gt;"",NOT(EXACT(J3,"not_applicable"))),AND(NOT(AND(D3="retain",OR(E3="report_internal_inconsistency",E3="plan_material"))),K3&lt;&gt;"",NOT(EXACT(K3,"not_applicable"))),AND(NOT(AND(D3="retain",E3="protocol_report")),L3&lt;&gt;"",NOT(EXACT(L3,"not_applicable")))),"CLEAR INACTIVE VALUES",IF(OR(NOT(OR(EXACT(D3,"retain"),EXACT(D3,"exclude"),EXACT(D3,"discuss"))),NOT(OR(EXACT(E3,"statistical_results"),EXACT(E3,"report_internal_inconsistency"),EXACT(E3,"plan_material"),EXACT(E3,"protocol_report"))),AND(AND(D3="retain",E3="statistical_results"),NOT(OR(EXACT(H3,"confirmed_issue"),EXACT(H3,"probable_issue"),EXACT(H3,"not_issue"),EXACT(H3,"indeterminate")))),AND(AND(D3="retain",E3="statistical_results"),NOT(OR(EXACT(I3,"substantive"),EXACT(I3,"minor_presentation"),EXACT(I3,"indeterminate")))),AND(AND(D3="retain",E3="statistical_results"),J3&lt;&gt;"",NOT(OR(EXACT(J3,"direct"),EXACT(J3,"possible"),EXACT(J3,"unlikely"),EXACT(J3,"unknown")))),AND(AND(D3="retain",OR(E3="report_internal_inconsistency",E3="plan_material")),NOT(OR(EXACT(K3,"substantive_inconsistency"),EXACT(K3,"minor_presentation"),EXACT(K3,"non_inconsistency"),EXACT(K3,"indeterminate")))),AND(AND(D3="retain",E3="protocol_report"),L3&lt;&gt;"",NOT(OR(EXACT(L3,"substantive_difference"),EXACT(L3,"minor_presentation"),EXACT(L3,"version_timing"),EXACT(L3,"non_inconsistency"),EXACT(L3,"indeterminate"))))),"CHECK FIELDS",IF(AND(F3&lt;&gt;"",NOT(OR(EXACT(F3,"no"),EXACT(F3,"primary_done")))),"CHECK COMPLETE",IF(EXACT(F3,"primary_done"),"PRIMARY READY","PRIMARY DRAFT")))))),"CHECK INPUT / KEY")</f>
        <v/>
      </c>
      <c r="H3" s="21">
        <f>IF(AND(OR(D3="retain",D3=""),E3="statistical_results"),"","not_applicable")</f>
        <v/>
      </c>
      <c r="I3" s="21">
        <f>IF(AND(OR(D3="retain",D3=""),E3="statistical_results"),"","not_applicable")</f>
        <v/>
      </c>
      <c r="J3" s="22">
        <f>IF(AND(OR(D3="retain",D3=""),E3="statistical_results"),"","not_applicable")</f>
        <v/>
      </c>
      <c r="K3" s="21">
        <f>IF(AND(OR(D3="retain",D3=""),OR(E3="report_internal_inconsistency",E3="plan_material")),"","not_applicable")</f>
        <v/>
      </c>
      <c r="L3" s="22">
        <f>IF(AND(OR(D3="retain",D3=""),E3="protocol_report"),"","not_applicable")</f>
        <v/>
      </c>
      <c r="M3" s="24" t="n"/>
      <c r="N3" s="23" t="n"/>
      <c r="O3" s="23" t="n"/>
      <c r="P3" s="23" t="n"/>
      <c r="Q3" s="23" t="n"/>
      <c r="R3" s="22" t="n"/>
    </row>
    <row r="4" ht="92" customFormat="1" customHeight="1" s="14">
      <c r="A4" s="20" t="inlineStr">
        <is>
          <t>2018::jama.2018.14280::C003</t>
        </is>
      </c>
      <c r="B4" s="20" t="inlineStr">
        <is>
          <t>Septic-shock percentages use undisclosed denominators</t>
        </is>
      </c>
      <c r="C4" s="20" t="inlineStr">
        <is>
          <t>DOC-001, Table 1, Septic shock, low and intermediate arms.</t>
        </is>
      </c>
      <c r="D4" s="21" t="n"/>
      <c r="E4" s="21" t="inlineStr">
        <is>
          <t>statistical_results</t>
        </is>
      </c>
      <c r="F4" s="21" t="inlineStr">
        <is>
          <t>no</t>
        </is>
      </c>
      <c r="G4" s="20">
        <f>IFERROR(IF(LEN(TRIM(CLEAN(SUBSTITUTE(Setup!$B$2,CHAR(160)," "))))=0,"CHECK REVIEWER ID",IF(OR(A4="",COUNTIF($A$2:$A$24,A4)&lt;&gt;1,LEFT(A4,LEN("2018::jama.2018.14280::"))&lt;&gt;"2018::jama.2018.14280::"),"CHECK KEY",IF(OR(AND(NOT(AND(D4="retain",E4="statistical_results")),H4&lt;&gt;"",NOT(EXACT(H4,"not_applicable"))),AND(NOT(AND(D4="retain",E4="statistical_results")),I4&lt;&gt;"",NOT(EXACT(I4,"not_applicable"))),AND(NOT(AND(D4="retain",E4="statistical_results")),J4&lt;&gt;"",NOT(EXACT(J4,"not_applicable"))),AND(NOT(AND(D4="retain",OR(E4="report_internal_inconsistency",E4="plan_material"))),K4&lt;&gt;"",NOT(EXACT(K4,"not_applicable"))),AND(NOT(AND(D4="retain",E4="protocol_report")),L4&lt;&gt;"",NOT(EXACT(L4,"not_applicable")))),"CLEAR INACTIVE VALUES",IF(OR(NOT(OR(EXACT(D4,"retain"),EXACT(D4,"exclude"),EXACT(D4,"discuss"))),NOT(OR(EXACT(E4,"statistical_results"),EXACT(E4,"report_internal_inconsistency"),EXACT(E4,"plan_material"),EXACT(E4,"protocol_report"))),AND(AND(D4="retain",E4="statistical_results"),NOT(OR(EXACT(H4,"confirmed_issue"),EXACT(H4,"probable_issue"),EXACT(H4,"not_issue"),EXACT(H4,"indeterminate")))),AND(AND(D4="retain",E4="statistical_results"),NOT(OR(EXACT(I4,"substantive"),EXACT(I4,"minor_presentation"),EXACT(I4,"indeterminate")))),AND(AND(D4="retain",E4="statistical_results"),J4&lt;&gt;"",NOT(OR(EXACT(J4,"direct"),EXACT(J4,"possible"),EXACT(J4,"unlikely"),EXACT(J4,"unknown")))),AND(AND(D4="retain",OR(E4="report_internal_inconsistency",E4="plan_material")),NOT(OR(EXACT(K4,"substantive_inconsistency"),EXACT(K4,"minor_presentation"),EXACT(K4,"non_inconsistency"),EXACT(K4,"indeterminate")))),AND(AND(D4="retain",E4="protocol_report"),L4&lt;&gt;"",NOT(OR(EXACT(L4,"substantive_difference"),EXACT(L4,"minor_presentation"),EXACT(L4,"version_timing"),EXACT(L4,"non_inconsistency"),EXACT(L4,"indeterminate"))))),"CHECK FIELDS",IF(AND(F4&lt;&gt;"",NOT(OR(EXACT(F4,"no"),EXACT(F4,"primary_done")))),"CHECK COMPLETE",IF(EXACT(F4,"primary_done"),"PRIMARY READY","PRIMARY DRAFT")))))),"CHECK INPUT / KEY")</f>
        <v/>
      </c>
      <c r="H4" s="21">
        <f>IF(AND(OR(D4="retain",D4=""),E4="statistical_results"),"","not_applicable")</f>
        <v/>
      </c>
      <c r="I4" s="21">
        <f>IF(AND(OR(D4="retain",D4=""),E4="statistical_results"),"","not_applicable")</f>
        <v/>
      </c>
      <c r="J4" s="22">
        <f>IF(AND(OR(D4="retain",D4=""),E4="statistical_results"),"","not_applicable")</f>
        <v/>
      </c>
      <c r="K4" s="21">
        <f>IF(AND(OR(D4="retain",D4=""),OR(E4="report_internal_inconsistency",E4="plan_material")),"","not_applicable")</f>
        <v/>
      </c>
      <c r="L4" s="22">
        <f>IF(AND(OR(D4="retain",D4=""),E4="protocol_report"),"","not_applicable")</f>
        <v/>
      </c>
      <c r="M4" s="20" t="n"/>
      <c r="N4" s="23" t="n"/>
      <c r="O4" s="23" t="n"/>
      <c r="P4" s="23" t="n"/>
      <c r="Q4" s="23" t="n"/>
      <c r="R4" s="22" t="n"/>
    </row>
    <row r="5" ht="92" customFormat="1" customHeight="1" s="14">
      <c r="A5" s="24" t="inlineStr">
        <is>
          <t>2018::jama.2018.14280::C004</t>
        </is>
      </c>
      <c r="B5" s="24" t="inlineStr">
        <is>
          <t>Tobacco-use categories use undisclosed denominators</t>
        </is>
      </c>
      <c r="C5" s="24" t="inlineStr">
        <is>
          <t>DOC-001, Table 1, Patient tobacco use, both arms.</t>
        </is>
      </c>
      <c r="D5" s="21" t="n"/>
      <c r="E5" s="21" t="inlineStr">
        <is>
          <t>statistical_results</t>
        </is>
      </c>
      <c r="F5" s="21" t="inlineStr">
        <is>
          <t>no</t>
        </is>
      </c>
      <c r="G5" s="24">
        <f>IFERROR(IF(LEN(TRIM(CLEAN(SUBSTITUTE(Setup!$B$2,CHAR(160)," "))))=0,"CHECK REVIEWER ID",IF(OR(A5="",COUNTIF($A$2:$A$24,A5)&lt;&gt;1,LEFT(A5,LEN("2018::jama.2018.14280::"))&lt;&gt;"2018::jama.2018.14280::"),"CHECK KEY",IF(OR(AND(NOT(AND(D5="retain",E5="statistical_results")),H5&lt;&gt;"",NOT(EXACT(H5,"not_applicable"))),AND(NOT(AND(D5="retain",E5="statistical_results")),I5&lt;&gt;"",NOT(EXACT(I5,"not_applicable"))),AND(NOT(AND(D5="retain",E5="statistical_results")),J5&lt;&gt;"",NOT(EXACT(J5,"not_applicable"))),AND(NOT(AND(D5="retain",OR(E5="report_internal_inconsistency",E5="plan_material"))),K5&lt;&gt;"",NOT(EXACT(K5,"not_applicable"))),AND(NOT(AND(D5="retain",E5="protocol_report")),L5&lt;&gt;"",NOT(EXACT(L5,"not_applicable")))),"CLEAR INACTIVE VALUES",IF(OR(NOT(OR(EXACT(D5,"retain"),EXACT(D5,"exclude"),EXACT(D5,"discuss"))),NOT(OR(EXACT(E5,"statistical_results"),EXACT(E5,"report_internal_inconsistency"),EXACT(E5,"plan_material"),EXACT(E5,"protocol_report"))),AND(AND(D5="retain",E5="statistical_results"),NOT(OR(EXACT(H5,"confirmed_issue"),EXACT(H5,"probable_issue"),EXACT(H5,"not_issue"),EXACT(H5,"indeterminate")))),AND(AND(D5="retain",E5="statistical_results"),NOT(OR(EXACT(I5,"substantive"),EXACT(I5,"minor_presentation"),EXACT(I5,"indeterminate")))),AND(AND(D5="retain",E5="statistical_results"),J5&lt;&gt;"",NOT(OR(EXACT(J5,"direct"),EXACT(J5,"possible"),EXACT(J5,"unlikely"),EXACT(J5,"unknown")))),AND(AND(D5="retain",OR(E5="report_internal_inconsistency",E5="plan_material")),NOT(OR(EXACT(K5,"substantive_inconsistency"),EXACT(K5,"minor_presentation"),EXACT(K5,"non_inconsistency"),EXACT(K5,"indeterminate")))),AND(AND(D5="retain",E5="protocol_report"),L5&lt;&gt;"",NOT(OR(EXACT(L5,"substantive_difference"),EXACT(L5,"minor_presentation"),EXACT(L5,"version_timing"),EXACT(L5,"non_inconsistency"),EXACT(L5,"indeterminate"))))),"CHECK FIELDS",IF(AND(F5&lt;&gt;"",NOT(OR(EXACT(F5,"no"),EXACT(F5,"primary_done")))),"CHECK COMPLETE",IF(EXACT(F5,"primary_done"),"PRIMARY READY","PRIMARY DRAFT")))))),"CHECK INPUT / KEY")</f>
        <v/>
      </c>
      <c r="H5" s="21">
        <f>IF(AND(OR(D5="retain",D5=""),E5="statistical_results"),"","not_applicable")</f>
        <v/>
      </c>
      <c r="I5" s="21">
        <f>IF(AND(OR(D5="retain",D5=""),E5="statistical_results"),"","not_applicable")</f>
        <v/>
      </c>
      <c r="J5" s="22">
        <f>IF(AND(OR(D5="retain",D5=""),E5="statistical_results"),"","not_applicable")</f>
        <v/>
      </c>
      <c r="K5" s="21">
        <f>IF(AND(OR(D5="retain",D5=""),OR(E5="report_internal_inconsistency",E5="plan_material")),"","not_applicable")</f>
        <v/>
      </c>
      <c r="L5" s="22">
        <f>IF(AND(OR(D5="retain",D5=""),E5="protocol_report"),"","not_applicable")</f>
        <v/>
      </c>
      <c r="M5" s="24" t="n"/>
      <c r="N5" s="23" t="n"/>
      <c r="O5" s="23" t="n"/>
      <c r="P5" s="23" t="n"/>
      <c r="Q5" s="23" t="n"/>
      <c r="R5" s="22" t="n"/>
    </row>
    <row r="6" ht="92" customFormat="1" customHeight="1" s="14">
      <c r="A6" s="20" t="inlineStr">
        <is>
          <t>2018::jama.2018.14280::C005</t>
        </is>
      </c>
      <c r="B6" s="20" t="inlineStr">
        <is>
          <t>Alcohol-use categories use undisclosed denominators</t>
        </is>
      </c>
      <c r="C6" s="20" t="inlineStr">
        <is>
          <t>DOC-001, Table 1, Patient alcohol use, both arms.</t>
        </is>
      </c>
      <c r="D6" s="21" t="n"/>
      <c r="E6" s="21" t="inlineStr">
        <is>
          <t>statistical_results</t>
        </is>
      </c>
      <c r="F6" s="21" t="inlineStr">
        <is>
          <t>no</t>
        </is>
      </c>
      <c r="G6" s="20">
        <f>IFERROR(IF(LEN(TRIM(CLEAN(SUBSTITUTE(Setup!$B$2,CHAR(160)," "))))=0,"CHECK REVIEWER ID",IF(OR(A6="",COUNTIF($A$2:$A$24,A6)&lt;&gt;1,LEFT(A6,LEN("2018::jama.2018.14280::"))&lt;&gt;"2018::jama.2018.14280::"),"CHECK KEY",IF(OR(AND(NOT(AND(D6="retain",E6="statistical_results")),H6&lt;&gt;"",NOT(EXACT(H6,"not_applicable"))),AND(NOT(AND(D6="retain",E6="statistical_results")),I6&lt;&gt;"",NOT(EXACT(I6,"not_applicable"))),AND(NOT(AND(D6="retain",E6="statistical_results")),J6&lt;&gt;"",NOT(EXACT(J6,"not_applicable"))),AND(NOT(AND(D6="retain",OR(E6="report_internal_inconsistency",E6="plan_material"))),K6&lt;&gt;"",NOT(EXACT(K6,"not_applicable"))),AND(NOT(AND(D6="retain",E6="protocol_report")),L6&lt;&gt;"",NOT(EXACT(L6,"not_applicable")))),"CLEAR INACTIVE VALUES",IF(OR(NOT(OR(EXACT(D6,"retain"),EXACT(D6,"exclude"),EXACT(D6,"discuss"))),NOT(OR(EXACT(E6,"statistical_results"),EXACT(E6,"report_internal_inconsistency"),EXACT(E6,"plan_material"),EXACT(E6,"protocol_report"))),AND(AND(D6="retain",E6="statistical_results"),NOT(OR(EXACT(H6,"confirmed_issue"),EXACT(H6,"probable_issue"),EXACT(H6,"not_issue"),EXACT(H6,"indeterminate")))),AND(AND(D6="retain",E6="statistical_results"),NOT(OR(EXACT(I6,"substantive"),EXACT(I6,"minor_presentation"),EXACT(I6,"indeterminate")))),AND(AND(D6="retain",E6="statistical_results"),J6&lt;&gt;"",NOT(OR(EXACT(J6,"direct"),EXACT(J6,"possible"),EXACT(J6,"unlikely"),EXACT(J6,"unknown")))),AND(AND(D6="retain",OR(E6="report_internal_inconsistency",E6="plan_material")),NOT(OR(EXACT(K6,"substantive_inconsistency"),EXACT(K6,"minor_presentation"),EXACT(K6,"non_inconsistency"),EXACT(K6,"indeterminate")))),AND(AND(D6="retain",E6="protocol_report"),L6&lt;&gt;"",NOT(OR(EXACT(L6,"substantive_difference"),EXACT(L6,"minor_presentation"),EXACT(L6,"version_timing"),EXACT(L6,"non_inconsistency"),EXACT(L6,"indeterminate"))))),"CHECK FIELDS",IF(AND(F6&lt;&gt;"",NOT(OR(EXACT(F6,"no"),EXACT(F6,"primary_done")))),"CHECK COMPLETE",IF(EXACT(F6,"primary_done"),"PRIMARY READY","PRIMARY DRAFT")))))),"CHECK INPUT / KEY")</f>
        <v/>
      </c>
      <c r="H6" s="21">
        <f>IF(AND(OR(D6="retain",D6=""),E6="statistical_results"),"","not_applicable")</f>
        <v/>
      </c>
      <c r="I6" s="21">
        <f>IF(AND(OR(D6="retain",D6=""),E6="statistical_results"),"","not_applicable")</f>
        <v/>
      </c>
      <c r="J6" s="22">
        <f>IF(AND(OR(D6="retain",D6=""),E6="statistical_results"),"","not_applicable")</f>
        <v/>
      </c>
      <c r="K6" s="21">
        <f>IF(AND(OR(D6="retain",D6=""),OR(E6="report_internal_inconsistency",E6="plan_material")),"","not_applicable")</f>
        <v/>
      </c>
      <c r="L6" s="22">
        <f>IF(AND(OR(D6="retain",D6=""),E6="protocol_report"),"","not_applicable")</f>
        <v/>
      </c>
      <c r="M6" s="20" t="n"/>
      <c r="N6" s="23" t="n"/>
      <c r="O6" s="23" t="n"/>
      <c r="P6" s="23" t="n"/>
      <c r="Q6" s="23" t="n"/>
      <c r="R6" s="22" t="n"/>
    </row>
    <row r="7" ht="92" customFormat="1" customHeight="1" s="14">
      <c r="A7" s="24" t="inlineStr">
        <is>
          <t>2018::jama.2018.14280::C006</t>
        </is>
      </c>
      <c r="B7" s="24" t="inlineStr">
        <is>
          <t>ICU-admission categories use undisclosed denominators</t>
        </is>
      </c>
      <c r="C7" s="24" t="inlineStr">
        <is>
          <t>DOC-001, Table 1, Reason for ICU admission, both arms.</t>
        </is>
      </c>
      <c r="D7" s="21" t="n"/>
      <c r="E7" s="21" t="inlineStr">
        <is>
          <t>statistical_results</t>
        </is>
      </c>
      <c r="F7" s="21" t="inlineStr">
        <is>
          <t>no</t>
        </is>
      </c>
      <c r="G7" s="24">
        <f>IFERROR(IF(LEN(TRIM(CLEAN(SUBSTITUTE(Setup!$B$2,CHAR(160)," "))))=0,"CHECK REVIEWER ID",IF(OR(A7="",COUNTIF($A$2:$A$24,A7)&lt;&gt;1,LEFT(A7,LEN("2018::jama.2018.14280::"))&lt;&gt;"2018::jama.2018.14280::"),"CHECK KEY",IF(OR(AND(NOT(AND(D7="retain",E7="statistical_results")),H7&lt;&gt;"",NOT(EXACT(H7,"not_applicable"))),AND(NOT(AND(D7="retain",E7="statistical_results")),I7&lt;&gt;"",NOT(EXACT(I7,"not_applicable"))),AND(NOT(AND(D7="retain",E7="statistical_results")),J7&lt;&gt;"",NOT(EXACT(J7,"not_applicable"))),AND(NOT(AND(D7="retain",OR(E7="report_internal_inconsistency",E7="plan_material"))),K7&lt;&gt;"",NOT(EXACT(K7,"not_applicable"))),AND(NOT(AND(D7="retain",E7="protocol_report")),L7&lt;&gt;"",NOT(EXACT(L7,"not_applicable")))),"CLEAR INACTIVE VALUES",IF(OR(NOT(OR(EXACT(D7,"retain"),EXACT(D7,"exclude"),EXACT(D7,"discuss"))),NOT(OR(EXACT(E7,"statistical_results"),EXACT(E7,"report_internal_inconsistency"),EXACT(E7,"plan_material"),EXACT(E7,"protocol_report"))),AND(AND(D7="retain",E7="statistical_results"),NOT(OR(EXACT(H7,"confirmed_issue"),EXACT(H7,"probable_issue"),EXACT(H7,"not_issue"),EXACT(H7,"indeterminate")))),AND(AND(D7="retain",E7="statistical_results"),NOT(OR(EXACT(I7,"substantive"),EXACT(I7,"minor_presentation"),EXACT(I7,"indeterminate")))),AND(AND(D7="retain",E7="statistical_results"),J7&lt;&gt;"",NOT(OR(EXACT(J7,"direct"),EXACT(J7,"possible"),EXACT(J7,"unlikely"),EXACT(J7,"unknown")))),AND(AND(D7="retain",OR(E7="report_internal_inconsistency",E7="plan_material")),NOT(OR(EXACT(K7,"substantive_inconsistency"),EXACT(K7,"minor_presentation"),EXACT(K7,"non_inconsistency"),EXACT(K7,"indeterminate")))),AND(AND(D7="retain",E7="protocol_report"),L7&lt;&gt;"",NOT(OR(EXACT(L7,"substantive_difference"),EXACT(L7,"minor_presentation"),EXACT(L7,"version_timing"),EXACT(L7,"non_inconsistency"),EXACT(L7,"indeterminate"))))),"CHECK FIELDS",IF(AND(F7&lt;&gt;"",NOT(OR(EXACT(F7,"no"),EXACT(F7,"primary_done")))),"CHECK COMPLETE",IF(EXACT(F7,"primary_done"),"PRIMARY READY","PRIMARY DRAFT")))))),"CHECK INPUT / KEY")</f>
        <v/>
      </c>
      <c r="H7" s="21">
        <f>IF(AND(OR(D7="retain",D7=""),E7="statistical_results"),"","not_applicable")</f>
        <v/>
      </c>
      <c r="I7" s="21">
        <f>IF(AND(OR(D7="retain",D7=""),E7="statistical_results"),"","not_applicable")</f>
        <v/>
      </c>
      <c r="J7" s="22">
        <f>IF(AND(OR(D7="retain",D7=""),E7="statistical_results"),"","not_applicable")</f>
        <v/>
      </c>
      <c r="K7" s="21">
        <f>IF(AND(OR(D7="retain",D7=""),OR(E7="report_internal_inconsistency",E7="plan_material")),"","not_applicable")</f>
        <v/>
      </c>
      <c r="L7" s="22">
        <f>IF(AND(OR(D7="retain",D7=""),E7="protocol_report"),"","not_applicable")</f>
        <v/>
      </c>
      <c r="M7" s="24" t="n"/>
      <c r="N7" s="23" t="n"/>
      <c r="O7" s="23" t="n"/>
      <c r="P7" s="23" t="n"/>
      <c r="Q7" s="23" t="n"/>
      <c r="R7" s="22" t="n"/>
    </row>
    <row r="8" ht="92" customFormat="1" customHeight="1" s="14">
      <c r="A8" s="20" t="inlineStr">
        <is>
          <t>2018::jama.2018.14280::C007</t>
        </is>
      </c>
      <c r="B8" s="20" t="inlineStr">
        <is>
          <t>Sedative-infusion percentages omit effective denominators</t>
        </is>
      </c>
      <c r="C8" s="20" t="inlineStr">
        <is>
          <t>DOC-004, Supplement 3, eTable 4, Sedative infusion.</t>
        </is>
      </c>
      <c r="D8" s="21" t="n"/>
      <c r="E8" s="21" t="inlineStr">
        <is>
          <t>statistical_results</t>
        </is>
      </c>
      <c r="F8" s="21" t="inlineStr">
        <is>
          <t>no</t>
        </is>
      </c>
      <c r="G8" s="20">
        <f>IFERROR(IF(LEN(TRIM(CLEAN(SUBSTITUTE(Setup!$B$2,CHAR(160)," "))))=0,"CHECK REVIEWER ID",IF(OR(A8="",COUNTIF($A$2:$A$24,A8)&lt;&gt;1,LEFT(A8,LEN("2018::jama.2018.14280::"))&lt;&gt;"2018::jama.2018.14280::"),"CHECK KEY",IF(OR(AND(NOT(AND(D8="retain",E8="statistical_results")),H8&lt;&gt;"",NOT(EXACT(H8,"not_applicable"))),AND(NOT(AND(D8="retain",E8="statistical_results")),I8&lt;&gt;"",NOT(EXACT(I8,"not_applicable"))),AND(NOT(AND(D8="retain",E8="statistical_results")),J8&lt;&gt;"",NOT(EXACT(J8,"not_applicable"))),AND(NOT(AND(D8="retain",OR(E8="report_internal_inconsistency",E8="plan_material"))),K8&lt;&gt;"",NOT(EXACT(K8,"not_applicable"))),AND(NOT(AND(D8="retain",E8="protocol_report")),L8&lt;&gt;"",NOT(EXACT(L8,"not_applicable")))),"CLEAR INACTIVE VALUES",IF(OR(NOT(OR(EXACT(D8,"retain"),EXACT(D8,"exclude"),EXACT(D8,"discuss"))),NOT(OR(EXACT(E8,"statistical_results"),EXACT(E8,"report_internal_inconsistency"),EXACT(E8,"plan_material"),EXACT(E8,"protocol_report"))),AND(AND(D8="retain",E8="statistical_results"),NOT(OR(EXACT(H8,"confirmed_issue"),EXACT(H8,"probable_issue"),EXACT(H8,"not_issue"),EXACT(H8,"indeterminate")))),AND(AND(D8="retain",E8="statistical_results"),NOT(OR(EXACT(I8,"substantive"),EXACT(I8,"minor_presentation"),EXACT(I8,"indeterminate")))),AND(AND(D8="retain",E8="statistical_results"),J8&lt;&gt;"",NOT(OR(EXACT(J8,"direct"),EXACT(J8,"possible"),EXACT(J8,"unlikely"),EXACT(J8,"unknown")))),AND(AND(D8="retain",OR(E8="report_internal_inconsistency",E8="plan_material")),NOT(OR(EXACT(K8,"substantive_inconsistency"),EXACT(K8,"minor_presentation"),EXACT(K8,"non_inconsistency"),EXACT(K8,"indeterminate")))),AND(AND(D8="retain",E8="protocol_report"),L8&lt;&gt;"",NOT(OR(EXACT(L8,"substantive_difference"),EXACT(L8,"minor_presentation"),EXACT(L8,"version_timing"),EXACT(L8,"non_inconsistency"),EXACT(L8,"indeterminate"))))),"CHECK FIELDS",IF(AND(F8&lt;&gt;"",NOT(OR(EXACT(F8,"no"),EXACT(F8,"primary_done")))),"CHECK COMPLETE",IF(EXACT(F8,"primary_done"),"PRIMARY READY","PRIMARY DRAFT")))))),"CHECK INPUT / KEY")</f>
        <v/>
      </c>
      <c r="H8" s="21">
        <f>IF(AND(OR(D8="retain",D8=""),E8="statistical_results"),"","not_applicable")</f>
        <v/>
      </c>
      <c r="I8" s="21">
        <f>IF(AND(OR(D8="retain",D8=""),E8="statistical_results"),"","not_applicable")</f>
        <v/>
      </c>
      <c r="J8" s="22">
        <f>IF(AND(OR(D8="retain",D8=""),E8="statistical_results"),"","not_applicable")</f>
        <v/>
      </c>
      <c r="K8" s="21">
        <f>IF(AND(OR(D8="retain",D8=""),OR(E8="report_internal_inconsistency",E8="plan_material")),"","not_applicable")</f>
        <v/>
      </c>
      <c r="L8" s="22">
        <f>IF(AND(OR(D8="retain",D8=""),E8="protocol_report"),"","not_applicable")</f>
        <v/>
      </c>
      <c r="M8" s="20" t="n"/>
      <c r="N8" s="23" t="n"/>
      <c r="O8" s="23" t="n"/>
      <c r="P8" s="23" t="n"/>
      <c r="Q8" s="23" t="n"/>
      <c r="R8" s="22" t="n"/>
    </row>
    <row r="9" ht="92" customFormat="1" customHeight="1" s="14">
      <c r="A9" s="24" t="inlineStr">
        <is>
          <t>2018::jama.2018.14280::C008</t>
        </is>
      </c>
      <c r="B9" s="24" t="inlineStr">
        <is>
          <t>Analgesic-infusion percentages omit effective denominators</t>
        </is>
      </c>
      <c r="C9" s="24" t="inlineStr">
        <is>
          <t>DOC-004, Supplement 3, eTable 4, Analgesic infusion.</t>
        </is>
      </c>
      <c r="D9" s="21" t="n"/>
      <c r="E9" s="21" t="inlineStr">
        <is>
          <t>statistical_results</t>
        </is>
      </c>
      <c r="F9" s="21" t="inlineStr">
        <is>
          <t>no</t>
        </is>
      </c>
      <c r="G9" s="24">
        <f>IFERROR(IF(LEN(TRIM(CLEAN(SUBSTITUTE(Setup!$B$2,CHAR(160)," "))))=0,"CHECK REVIEWER ID",IF(OR(A9="",COUNTIF($A$2:$A$24,A9)&lt;&gt;1,LEFT(A9,LEN("2018::jama.2018.14280::"))&lt;&gt;"2018::jama.2018.14280::"),"CHECK KEY",IF(OR(AND(NOT(AND(D9="retain",E9="statistical_results")),H9&lt;&gt;"",NOT(EXACT(H9,"not_applicable"))),AND(NOT(AND(D9="retain",E9="statistical_results")),I9&lt;&gt;"",NOT(EXACT(I9,"not_applicable"))),AND(NOT(AND(D9="retain",E9="statistical_results")),J9&lt;&gt;"",NOT(EXACT(J9,"not_applicable"))),AND(NOT(AND(D9="retain",OR(E9="report_internal_inconsistency",E9="plan_material"))),K9&lt;&gt;"",NOT(EXACT(K9,"not_applicable"))),AND(NOT(AND(D9="retain",E9="protocol_report")),L9&lt;&gt;"",NOT(EXACT(L9,"not_applicable")))),"CLEAR INACTIVE VALUES",IF(OR(NOT(OR(EXACT(D9,"retain"),EXACT(D9,"exclude"),EXACT(D9,"discuss"))),NOT(OR(EXACT(E9,"statistical_results"),EXACT(E9,"report_internal_inconsistency"),EXACT(E9,"plan_material"),EXACT(E9,"protocol_report"))),AND(AND(D9="retain",E9="statistical_results"),NOT(OR(EXACT(H9,"confirmed_issue"),EXACT(H9,"probable_issue"),EXACT(H9,"not_issue"),EXACT(H9,"indeterminate")))),AND(AND(D9="retain",E9="statistical_results"),NOT(OR(EXACT(I9,"substantive"),EXACT(I9,"minor_presentation"),EXACT(I9,"indeterminate")))),AND(AND(D9="retain",E9="statistical_results"),J9&lt;&gt;"",NOT(OR(EXACT(J9,"direct"),EXACT(J9,"possible"),EXACT(J9,"unlikely"),EXACT(J9,"unknown")))),AND(AND(D9="retain",OR(E9="report_internal_inconsistency",E9="plan_material")),NOT(OR(EXACT(K9,"substantive_inconsistency"),EXACT(K9,"minor_presentation"),EXACT(K9,"non_inconsistency"),EXACT(K9,"indeterminate")))),AND(AND(D9="retain",E9="protocol_report"),L9&lt;&gt;"",NOT(OR(EXACT(L9,"substantive_difference"),EXACT(L9,"minor_presentation"),EXACT(L9,"version_timing"),EXACT(L9,"non_inconsistency"),EXACT(L9,"indeterminate"))))),"CHECK FIELDS",IF(AND(F9&lt;&gt;"",NOT(OR(EXACT(F9,"no"),EXACT(F9,"primary_done")))),"CHECK COMPLETE",IF(EXACT(F9,"primary_done"),"PRIMARY READY","PRIMARY DRAFT")))))),"CHECK INPUT / KEY")</f>
        <v/>
      </c>
      <c r="H9" s="21">
        <f>IF(AND(OR(D9="retain",D9=""),E9="statistical_results"),"","not_applicable")</f>
        <v/>
      </c>
      <c r="I9" s="21">
        <f>IF(AND(OR(D9="retain",D9=""),E9="statistical_results"),"","not_applicable")</f>
        <v/>
      </c>
      <c r="J9" s="22">
        <f>IF(AND(OR(D9="retain",D9=""),E9="statistical_results"),"","not_applicable")</f>
        <v/>
      </c>
      <c r="K9" s="21">
        <f>IF(AND(OR(D9="retain",D9=""),OR(E9="report_internal_inconsistency",E9="plan_material")),"","not_applicable")</f>
        <v/>
      </c>
      <c r="L9" s="22">
        <f>IF(AND(OR(D9="retain",D9=""),E9="protocol_report"),"","not_applicable")</f>
        <v/>
      </c>
      <c r="M9" s="24" t="n"/>
      <c r="N9" s="23" t="n"/>
      <c r="O9" s="23" t="n"/>
      <c r="P9" s="23" t="n"/>
      <c r="Q9" s="23" t="n"/>
      <c r="R9" s="22" t="n"/>
    </row>
    <row r="10" ht="92" customFormat="1" customHeight="1" s="14">
      <c r="A10" s="20" t="inlineStr">
        <is>
          <t>2018::jama.2018.14280::C009</t>
        </is>
      </c>
      <c r="B10" s="20" t="inlineStr">
        <is>
          <t>Neuromuscular-blockade percentages omit effective denominators</t>
        </is>
      </c>
      <c r="C10" s="20" t="inlineStr">
        <is>
          <t>DOC-004, Supplement 3, eTable 4, Neuromuscular blockade.</t>
        </is>
      </c>
      <c r="D10" s="21" t="n"/>
      <c r="E10" s="21" t="inlineStr">
        <is>
          <t>statistical_results</t>
        </is>
      </c>
      <c r="F10" s="21" t="inlineStr">
        <is>
          <t>no</t>
        </is>
      </c>
      <c r="G10" s="20">
        <f>IFERROR(IF(LEN(TRIM(CLEAN(SUBSTITUTE(Setup!$B$2,CHAR(160)," "))))=0,"CHECK REVIEWER ID",IF(OR(A10="",COUNTIF($A$2:$A$24,A10)&lt;&gt;1,LEFT(A10,LEN("2018::jama.2018.14280::"))&lt;&gt;"2018::jama.2018.14280::"),"CHECK KEY",IF(OR(AND(NOT(AND(D10="retain",E10="statistical_results")),H10&lt;&gt;"",NOT(EXACT(H10,"not_applicable"))),AND(NOT(AND(D10="retain",E10="statistical_results")),I10&lt;&gt;"",NOT(EXACT(I10,"not_applicable"))),AND(NOT(AND(D10="retain",E10="statistical_results")),J10&lt;&gt;"",NOT(EXACT(J10,"not_applicable"))),AND(NOT(AND(D10="retain",OR(E10="report_internal_inconsistency",E10="plan_material"))),K10&lt;&gt;"",NOT(EXACT(K10,"not_applicable"))),AND(NOT(AND(D10="retain",E10="protocol_report")),L10&lt;&gt;"",NOT(EXACT(L10,"not_applicable")))),"CLEAR INACTIVE VALUES",IF(OR(NOT(OR(EXACT(D10,"retain"),EXACT(D10,"exclude"),EXACT(D10,"discuss"))),NOT(OR(EXACT(E10,"statistical_results"),EXACT(E10,"report_internal_inconsistency"),EXACT(E10,"plan_material"),EXACT(E10,"protocol_report"))),AND(AND(D10="retain",E10="statistical_results"),NOT(OR(EXACT(H10,"confirmed_issue"),EXACT(H10,"probable_issue"),EXACT(H10,"not_issue"),EXACT(H10,"indeterminate")))),AND(AND(D10="retain",E10="statistical_results"),NOT(OR(EXACT(I10,"substantive"),EXACT(I10,"minor_presentation"),EXACT(I10,"indeterminate")))),AND(AND(D10="retain",E10="statistical_results"),J10&lt;&gt;"",NOT(OR(EXACT(J10,"direct"),EXACT(J10,"possible"),EXACT(J10,"unlikely"),EXACT(J10,"unknown")))),AND(AND(D10="retain",OR(E10="report_internal_inconsistency",E10="plan_material")),NOT(OR(EXACT(K10,"substantive_inconsistency"),EXACT(K10,"minor_presentation"),EXACT(K10,"non_inconsistency"),EXACT(K10,"indeterminate")))),AND(AND(D10="retain",E10="protocol_report"),L10&lt;&gt;"",NOT(OR(EXACT(L10,"substantive_difference"),EXACT(L10,"minor_presentation"),EXACT(L10,"version_timing"),EXACT(L10,"non_inconsistency"),EXACT(L10,"indeterminate"))))),"CHECK FIELDS",IF(AND(F10&lt;&gt;"",NOT(OR(EXACT(F10,"no"),EXACT(F10,"primary_done")))),"CHECK COMPLETE",IF(EXACT(F10,"primary_done"),"PRIMARY READY","PRIMARY DRAFT")))))),"CHECK INPUT / KEY")</f>
        <v/>
      </c>
      <c r="H10" s="21">
        <f>IF(AND(OR(D10="retain",D10=""),E10="statistical_results"),"","not_applicable")</f>
        <v/>
      </c>
      <c r="I10" s="21">
        <f>IF(AND(OR(D10="retain",D10=""),E10="statistical_results"),"","not_applicable")</f>
        <v/>
      </c>
      <c r="J10" s="22">
        <f>IF(AND(OR(D10="retain",D10=""),E10="statistical_results"),"","not_applicable")</f>
        <v/>
      </c>
      <c r="K10" s="21">
        <f>IF(AND(OR(D10="retain",D10=""),OR(E10="report_internal_inconsistency",E10="plan_material")),"","not_applicable")</f>
        <v/>
      </c>
      <c r="L10" s="22">
        <f>IF(AND(OR(D10="retain",D10=""),E10="protocol_report"),"","not_applicable")</f>
        <v/>
      </c>
      <c r="M10" s="20" t="n"/>
      <c r="N10" s="23" t="n"/>
      <c r="O10" s="23" t="n"/>
      <c r="P10" s="23" t="n"/>
      <c r="Q10" s="23" t="n"/>
      <c r="R10" s="22" t="n"/>
    </row>
    <row r="11" ht="92" customFormat="1" customHeight="1" s="14">
      <c r="A11" s="24" t="inlineStr">
        <is>
          <t>2018::jama.2018.14280::C010</t>
        </is>
      </c>
      <c r="B11" s="24" t="inlineStr">
        <is>
          <t>Vasopressor-use percentages omit effective denominators</t>
        </is>
      </c>
      <c r="C11" s="24" t="inlineStr">
        <is>
          <t>DOC-004, Supplement 3, eTable 4, Use of vasopressors.</t>
        </is>
      </c>
      <c r="D11" s="21" t="n"/>
      <c r="E11" s="21" t="inlineStr">
        <is>
          <t>statistical_results</t>
        </is>
      </c>
      <c r="F11" s="21" t="inlineStr">
        <is>
          <t>no</t>
        </is>
      </c>
      <c r="G11" s="24">
        <f>IFERROR(IF(LEN(TRIM(CLEAN(SUBSTITUTE(Setup!$B$2,CHAR(160)," "))))=0,"CHECK REVIEWER ID",IF(OR(A11="",COUNTIF($A$2:$A$24,A11)&lt;&gt;1,LEFT(A11,LEN("2018::jama.2018.14280::"))&lt;&gt;"2018::jama.2018.14280::"),"CHECK KEY",IF(OR(AND(NOT(AND(D11="retain",E11="statistical_results")),H11&lt;&gt;"",NOT(EXACT(H11,"not_applicable"))),AND(NOT(AND(D11="retain",E11="statistical_results")),I11&lt;&gt;"",NOT(EXACT(I11,"not_applicable"))),AND(NOT(AND(D11="retain",E11="statistical_results")),J11&lt;&gt;"",NOT(EXACT(J11,"not_applicable"))),AND(NOT(AND(D11="retain",OR(E11="report_internal_inconsistency",E11="plan_material"))),K11&lt;&gt;"",NOT(EXACT(K11,"not_applicable"))),AND(NOT(AND(D11="retain",E11="protocol_report")),L11&lt;&gt;"",NOT(EXACT(L11,"not_applicable")))),"CLEAR INACTIVE VALUES",IF(OR(NOT(OR(EXACT(D11,"retain"),EXACT(D11,"exclude"),EXACT(D11,"discuss"))),NOT(OR(EXACT(E11,"statistical_results"),EXACT(E11,"report_internal_inconsistency"),EXACT(E11,"plan_material"),EXACT(E11,"protocol_report"))),AND(AND(D11="retain",E11="statistical_results"),NOT(OR(EXACT(H11,"confirmed_issue"),EXACT(H11,"probable_issue"),EXACT(H11,"not_issue"),EXACT(H11,"indeterminate")))),AND(AND(D11="retain",E11="statistical_results"),NOT(OR(EXACT(I11,"substantive"),EXACT(I11,"minor_presentation"),EXACT(I11,"indeterminate")))),AND(AND(D11="retain",E11="statistical_results"),J11&lt;&gt;"",NOT(OR(EXACT(J11,"direct"),EXACT(J11,"possible"),EXACT(J11,"unlikely"),EXACT(J11,"unknown")))),AND(AND(D11="retain",OR(E11="report_internal_inconsistency",E11="plan_material")),NOT(OR(EXACT(K11,"substantive_inconsistency"),EXACT(K11,"minor_presentation"),EXACT(K11,"non_inconsistency"),EXACT(K11,"indeterminate")))),AND(AND(D11="retain",E11="protocol_report"),L11&lt;&gt;"",NOT(OR(EXACT(L11,"substantive_difference"),EXACT(L11,"minor_presentation"),EXACT(L11,"version_timing"),EXACT(L11,"non_inconsistency"),EXACT(L11,"indeterminate"))))),"CHECK FIELDS",IF(AND(F11&lt;&gt;"",NOT(OR(EXACT(F11,"no"),EXACT(F11,"primary_done")))),"CHECK COMPLETE",IF(EXACT(F11,"primary_done"),"PRIMARY READY","PRIMARY DRAFT")))))),"CHECK INPUT / KEY")</f>
        <v/>
      </c>
      <c r="H11" s="21">
        <f>IF(AND(OR(D11="retain",D11=""),E11="statistical_results"),"","not_applicable")</f>
        <v/>
      </c>
      <c r="I11" s="21">
        <f>IF(AND(OR(D11="retain",D11=""),E11="statistical_results"),"","not_applicable")</f>
        <v/>
      </c>
      <c r="J11" s="22">
        <f>IF(AND(OR(D11="retain",D11=""),E11="statistical_results"),"","not_applicable")</f>
        <v/>
      </c>
      <c r="K11" s="21">
        <f>IF(AND(OR(D11="retain",D11=""),OR(E11="report_internal_inconsistency",E11="plan_material")),"","not_applicable")</f>
        <v/>
      </c>
      <c r="L11" s="22">
        <f>IF(AND(OR(D11="retain",D11=""),E11="protocol_report"),"","not_applicable")</f>
        <v/>
      </c>
      <c r="M11" s="24" t="n"/>
      <c r="N11" s="23" t="n"/>
      <c r="O11" s="23" t="n"/>
      <c r="P11" s="23" t="n"/>
      <c r="Q11" s="23" t="n"/>
      <c r="R11" s="22" t="n"/>
    </row>
    <row r="12" ht="92" customFormat="1" customHeight="1" s="14">
      <c r="A12" s="20" t="inlineStr">
        <is>
          <t>2018::jama.2018.14280::C011</t>
        </is>
      </c>
      <c r="B12" s="20" t="inlineStr">
        <is>
          <t>Mortality effect-measure wording conflicts with Table 2 and the SAP</t>
        </is>
      </c>
      <c r="C12" s="20" t="inlineStr">
        <is>
          <t>DOC-001 Statistical Analysis and Table 2/footnotes; DOC-003 SAP secondary outcomes.</t>
        </is>
      </c>
      <c r="D12" s="21" t="n"/>
      <c r="E12" s="21" t="inlineStr">
        <is>
          <t>report_internal_inconsistency</t>
        </is>
      </c>
      <c r="F12" s="21" t="inlineStr">
        <is>
          <t>no</t>
        </is>
      </c>
      <c r="G12" s="20">
        <f>IFERROR(IF(LEN(TRIM(CLEAN(SUBSTITUTE(Setup!$B$2,CHAR(160)," "))))=0,"CHECK REVIEWER ID",IF(OR(A12="",COUNTIF($A$2:$A$24,A12)&lt;&gt;1,LEFT(A12,LEN("2018::jama.2018.14280::"))&lt;&gt;"2018::jama.2018.14280::"),"CHECK KEY",IF(OR(AND(NOT(AND(D12="retain",E12="statistical_results")),H12&lt;&gt;"",NOT(EXACT(H12,"not_applicable"))),AND(NOT(AND(D12="retain",E12="statistical_results")),I12&lt;&gt;"",NOT(EXACT(I12,"not_applicable"))),AND(NOT(AND(D12="retain",E12="statistical_results")),J12&lt;&gt;"",NOT(EXACT(J12,"not_applicable"))),AND(NOT(AND(D12="retain",OR(E12="report_internal_inconsistency",E12="plan_material"))),K12&lt;&gt;"",NOT(EXACT(K12,"not_applicable"))),AND(NOT(AND(D12="retain",E12="protocol_report")),L12&lt;&gt;"",NOT(EXACT(L12,"not_applicable")))),"CLEAR INACTIVE VALUES",IF(OR(NOT(OR(EXACT(D12,"retain"),EXACT(D12,"exclude"),EXACT(D12,"discuss"))),NOT(OR(EXACT(E12,"statistical_results"),EXACT(E12,"report_internal_inconsistency"),EXACT(E12,"plan_material"),EXACT(E12,"protocol_report"))),AND(AND(D12="retain",E12="statistical_results"),NOT(OR(EXACT(H12,"confirmed_issue"),EXACT(H12,"probable_issue"),EXACT(H12,"not_issue"),EXACT(H12,"indeterminate")))),AND(AND(D12="retain",E12="statistical_results"),NOT(OR(EXACT(I12,"substantive"),EXACT(I12,"minor_presentation"),EXACT(I12,"indeterminate")))),AND(AND(D12="retain",E12="statistical_results"),J12&lt;&gt;"",NOT(OR(EXACT(J12,"direct"),EXACT(J12,"possible"),EXACT(J12,"unlikely"),EXACT(J12,"unknown")))),AND(AND(D12="retain",OR(E12="report_internal_inconsistency",E12="plan_material")),NOT(OR(EXACT(K12,"substantive_inconsistency"),EXACT(K12,"minor_presentation"),EXACT(K12,"non_inconsistency"),EXACT(K12,"indeterminate")))),AND(AND(D12="retain",E12="protocol_report"),L12&lt;&gt;"",NOT(OR(EXACT(L12,"substantive_difference"),EXACT(L12,"minor_presentation"),EXACT(L12,"version_timing"),EXACT(L12,"non_inconsistency"),EXACT(L12,"indeterminate"))))),"CHECK FIELDS",IF(AND(F12&lt;&gt;"",NOT(OR(EXACT(F12,"no"),EXACT(F12,"primary_done")))),"CHECK COMPLETE",IF(EXACT(F12,"primary_done"),"PRIMARY READY","PRIMARY DRAFT")))))),"CHECK INPUT / KEY")</f>
        <v/>
      </c>
      <c r="H12" s="21">
        <f>IF(AND(OR(D12="retain",D12=""),E12="statistical_results"),"","not_applicable")</f>
        <v/>
      </c>
      <c r="I12" s="21">
        <f>IF(AND(OR(D12="retain",D12=""),E12="statistical_results"),"","not_applicable")</f>
        <v/>
      </c>
      <c r="J12" s="22">
        <f>IF(AND(OR(D12="retain",D12=""),E12="statistical_results"),"","not_applicable")</f>
        <v/>
      </c>
      <c r="K12" s="21">
        <f>IF(AND(OR(D12="retain",D12=""),OR(E12="report_internal_inconsistency",E12="plan_material")),"","not_applicable")</f>
        <v/>
      </c>
      <c r="L12" s="22">
        <f>IF(AND(OR(D12="retain",D12=""),E12="protocol_report"),"","not_applicable")</f>
        <v/>
      </c>
      <c r="M12" s="20" t="n"/>
      <c r="N12" s="23" t="n"/>
      <c r="O12" s="23" t="n"/>
      <c r="P12" s="23" t="n"/>
      <c r="Q12" s="23" t="n"/>
      <c r="R12" s="22" t="n"/>
    </row>
    <row r="13" ht="92" customFormat="1" customHeight="1" s="14">
      <c r="A13" s="24" t="inlineStr">
        <is>
          <t>2018::jama.2018.14280::C012</t>
        </is>
      </c>
      <c r="B13" s="24" t="inlineStr">
        <is>
          <t>ICU-mortality RR does not reproduce from printed risks</t>
        </is>
      </c>
      <c r="C13" s="24" t="inlineStr">
        <is>
          <t>DOC-001, Table 2, ICU mortality and footnote c.</t>
        </is>
      </c>
      <c r="D13" s="21" t="n"/>
      <c r="E13" s="21" t="inlineStr">
        <is>
          <t>statistical_results</t>
        </is>
      </c>
      <c r="F13" s="21" t="inlineStr">
        <is>
          <t>no</t>
        </is>
      </c>
      <c r="G13" s="24">
        <f>IFERROR(IF(LEN(TRIM(CLEAN(SUBSTITUTE(Setup!$B$2,CHAR(160)," "))))=0,"CHECK REVIEWER ID",IF(OR(A13="",COUNTIF($A$2:$A$24,A13)&lt;&gt;1,LEFT(A13,LEN("2018::jama.2018.14280::"))&lt;&gt;"2018::jama.2018.14280::"),"CHECK KEY",IF(OR(AND(NOT(AND(D13="retain",E13="statistical_results")),H13&lt;&gt;"",NOT(EXACT(H13,"not_applicable"))),AND(NOT(AND(D13="retain",E13="statistical_results")),I13&lt;&gt;"",NOT(EXACT(I13,"not_applicable"))),AND(NOT(AND(D13="retain",E13="statistical_results")),J13&lt;&gt;"",NOT(EXACT(J13,"not_applicable"))),AND(NOT(AND(D13="retain",OR(E13="report_internal_inconsistency",E13="plan_material"))),K13&lt;&gt;"",NOT(EXACT(K13,"not_applicable"))),AND(NOT(AND(D13="retain",E13="protocol_report")),L13&lt;&gt;"",NOT(EXACT(L13,"not_applicable")))),"CLEAR INACTIVE VALUES",IF(OR(NOT(OR(EXACT(D13,"retain"),EXACT(D13,"exclude"),EXACT(D13,"discuss"))),NOT(OR(EXACT(E13,"statistical_results"),EXACT(E13,"report_internal_inconsistency"),EXACT(E13,"plan_material"),EXACT(E13,"protocol_report"))),AND(AND(D13="retain",E13="statistical_results"),NOT(OR(EXACT(H13,"confirmed_issue"),EXACT(H13,"probable_issue"),EXACT(H13,"not_issue"),EXACT(H13,"indeterminate")))),AND(AND(D13="retain",E13="statistical_results"),NOT(OR(EXACT(I13,"substantive"),EXACT(I13,"minor_presentation"),EXACT(I13,"indeterminate")))),AND(AND(D13="retain",E13="statistical_results"),J13&lt;&gt;"",NOT(OR(EXACT(J13,"direct"),EXACT(J13,"possible"),EXACT(J13,"unlikely"),EXACT(J13,"unknown")))),AND(AND(D13="retain",OR(E13="report_internal_inconsistency",E13="plan_material")),NOT(OR(EXACT(K13,"substantive_inconsistency"),EXACT(K13,"minor_presentation"),EXACT(K13,"non_inconsistency"),EXACT(K13,"indeterminate")))),AND(AND(D13="retain",E13="protocol_report"),L13&lt;&gt;"",NOT(OR(EXACT(L13,"substantive_difference"),EXACT(L13,"minor_presentation"),EXACT(L13,"version_timing"),EXACT(L13,"non_inconsistency"),EXACT(L13,"indeterminate"))))),"CHECK FIELDS",IF(AND(F13&lt;&gt;"",NOT(OR(EXACT(F13,"no"),EXACT(F13,"primary_done")))),"CHECK COMPLETE",IF(EXACT(F13,"primary_done"),"PRIMARY READY","PRIMARY DRAFT")))))),"CHECK INPUT / KEY")</f>
        <v/>
      </c>
      <c r="H13" s="21">
        <f>IF(AND(OR(D13="retain",D13=""),E13="statistical_results"),"","not_applicable")</f>
        <v/>
      </c>
      <c r="I13" s="21">
        <f>IF(AND(OR(D13="retain",D13=""),E13="statistical_results"),"","not_applicable")</f>
        <v/>
      </c>
      <c r="J13" s="22">
        <f>IF(AND(OR(D13="retain",D13=""),E13="statistical_results"),"","not_applicable")</f>
        <v/>
      </c>
      <c r="K13" s="21">
        <f>IF(AND(OR(D13="retain",D13=""),OR(E13="report_internal_inconsistency",E13="plan_material")),"","not_applicable")</f>
        <v/>
      </c>
      <c r="L13" s="22">
        <f>IF(AND(OR(D13="retain",D13=""),E13="protocol_report"),"","not_applicable")</f>
        <v/>
      </c>
      <c r="M13" s="24" t="n"/>
      <c r="N13" s="23" t="n"/>
      <c r="O13" s="23" t="n"/>
      <c r="P13" s="23" t="n"/>
      <c r="Q13" s="23" t="n"/>
      <c r="R13" s="22" t="n"/>
    </row>
    <row r="14" ht="92" customFormat="1" customHeight="1" s="14">
      <c r="A14" s="20" t="inlineStr">
        <is>
          <t>2018::jama.2018.14280::C013</t>
        </is>
      </c>
      <c r="B14" s="20" t="inlineStr">
        <is>
          <t>Hospital-mortality RR does not reproduce from printed risks</t>
        </is>
      </c>
      <c r="C14" s="20" t="inlineStr">
        <is>
          <t>DOC-001, Table 2, hospital mortality and footnote c.</t>
        </is>
      </c>
      <c r="D14" s="21" t="n"/>
      <c r="E14" s="21" t="inlineStr">
        <is>
          <t>statistical_results</t>
        </is>
      </c>
      <c r="F14" s="21" t="inlineStr">
        <is>
          <t>no</t>
        </is>
      </c>
      <c r="G14" s="20">
        <f>IFERROR(IF(LEN(TRIM(CLEAN(SUBSTITUTE(Setup!$B$2,CHAR(160)," "))))=0,"CHECK REVIEWER ID",IF(OR(A14="",COUNTIF($A$2:$A$24,A14)&lt;&gt;1,LEFT(A14,LEN("2018::jama.2018.14280::"))&lt;&gt;"2018::jama.2018.14280::"),"CHECK KEY",IF(OR(AND(NOT(AND(D14="retain",E14="statistical_results")),H14&lt;&gt;"",NOT(EXACT(H14,"not_applicable"))),AND(NOT(AND(D14="retain",E14="statistical_results")),I14&lt;&gt;"",NOT(EXACT(I14,"not_applicable"))),AND(NOT(AND(D14="retain",E14="statistical_results")),J14&lt;&gt;"",NOT(EXACT(J14,"not_applicable"))),AND(NOT(AND(D14="retain",OR(E14="report_internal_inconsistency",E14="plan_material"))),K14&lt;&gt;"",NOT(EXACT(K14,"not_applicable"))),AND(NOT(AND(D14="retain",E14="protocol_report")),L14&lt;&gt;"",NOT(EXACT(L14,"not_applicable")))),"CLEAR INACTIVE VALUES",IF(OR(NOT(OR(EXACT(D14,"retain"),EXACT(D14,"exclude"),EXACT(D14,"discuss"))),NOT(OR(EXACT(E14,"statistical_results"),EXACT(E14,"report_internal_inconsistency"),EXACT(E14,"plan_material"),EXACT(E14,"protocol_report"))),AND(AND(D14="retain",E14="statistical_results"),NOT(OR(EXACT(H14,"confirmed_issue"),EXACT(H14,"probable_issue"),EXACT(H14,"not_issue"),EXACT(H14,"indeterminate")))),AND(AND(D14="retain",E14="statistical_results"),NOT(OR(EXACT(I14,"substantive"),EXACT(I14,"minor_presentation"),EXACT(I14,"indeterminate")))),AND(AND(D14="retain",E14="statistical_results"),J14&lt;&gt;"",NOT(OR(EXACT(J14,"direct"),EXACT(J14,"possible"),EXACT(J14,"unlikely"),EXACT(J14,"unknown")))),AND(AND(D14="retain",OR(E14="report_internal_inconsistency",E14="plan_material")),NOT(OR(EXACT(K14,"substantive_inconsistency"),EXACT(K14,"minor_presentation"),EXACT(K14,"non_inconsistency"),EXACT(K14,"indeterminate")))),AND(AND(D14="retain",E14="protocol_report"),L14&lt;&gt;"",NOT(OR(EXACT(L14,"substantive_difference"),EXACT(L14,"minor_presentation"),EXACT(L14,"version_timing"),EXACT(L14,"non_inconsistency"),EXACT(L14,"indeterminate"))))),"CHECK FIELDS",IF(AND(F14&lt;&gt;"",NOT(OR(EXACT(F14,"no"),EXACT(F14,"primary_done")))),"CHECK COMPLETE",IF(EXACT(F14,"primary_done"),"PRIMARY READY","PRIMARY DRAFT")))))),"CHECK INPUT / KEY")</f>
        <v/>
      </c>
      <c r="H14" s="21">
        <f>IF(AND(OR(D14="retain",D14=""),E14="statistical_results"),"","not_applicable")</f>
        <v/>
      </c>
      <c r="I14" s="21">
        <f>IF(AND(OR(D14="retain",D14=""),E14="statistical_results"),"","not_applicable")</f>
        <v/>
      </c>
      <c r="J14" s="22">
        <f>IF(AND(OR(D14="retain",D14=""),E14="statistical_results"),"","not_applicable")</f>
        <v/>
      </c>
      <c r="K14" s="21">
        <f>IF(AND(OR(D14="retain",D14=""),OR(E14="report_internal_inconsistency",E14="plan_material")),"","not_applicable")</f>
        <v/>
      </c>
      <c r="L14" s="22">
        <f>IF(AND(OR(D14="retain",D14=""),E14="protocol_report"),"","not_applicable")</f>
        <v/>
      </c>
      <c r="M14" s="20" t="n"/>
      <c r="N14" s="23" t="n"/>
      <c r="O14" s="23" t="n"/>
      <c r="P14" s="23" t="n"/>
      <c r="Q14" s="23" t="n"/>
      <c r="R14" s="22" t="n"/>
    </row>
    <row r="15" ht="92" customFormat="1" customHeight="1" s="14">
      <c r="A15" s="24" t="inlineStr">
        <is>
          <t>2018::jama.2018.14280::C014</t>
        </is>
      </c>
      <c r="B15" s="24" t="inlineStr">
        <is>
          <t>ARDS RR does not reproduce from printed risks</t>
        </is>
      </c>
      <c r="C15" s="24" t="inlineStr">
        <is>
          <t>DOC-001, Table 2, Development of ARDS and footnote c.</t>
        </is>
      </c>
      <c r="D15" s="21" t="n"/>
      <c r="E15" s="21" t="inlineStr">
        <is>
          <t>statistical_results</t>
        </is>
      </c>
      <c r="F15" s="21" t="inlineStr">
        <is>
          <t>no</t>
        </is>
      </c>
      <c r="G15" s="24">
        <f>IFERROR(IF(LEN(TRIM(CLEAN(SUBSTITUTE(Setup!$B$2,CHAR(160)," "))))=0,"CHECK REVIEWER ID",IF(OR(A15="",COUNTIF($A$2:$A$24,A15)&lt;&gt;1,LEFT(A15,LEN("2018::jama.2018.14280::"))&lt;&gt;"2018::jama.2018.14280::"),"CHECK KEY",IF(OR(AND(NOT(AND(D15="retain",E15="statistical_results")),H15&lt;&gt;"",NOT(EXACT(H15,"not_applicable"))),AND(NOT(AND(D15="retain",E15="statistical_results")),I15&lt;&gt;"",NOT(EXACT(I15,"not_applicable"))),AND(NOT(AND(D15="retain",E15="statistical_results")),J15&lt;&gt;"",NOT(EXACT(J15,"not_applicable"))),AND(NOT(AND(D15="retain",OR(E15="report_internal_inconsistency",E15="plan_material"))),K15&lt;&gt;"",NOT(EXACT(K15,"not_applicable"))),AND(NOT(AND(D15="retain",E15="protocol_report")),L15&lt;&gt;"",NOT(EXACT(L15,"not_applicable")))),"CLEAR INACTIVE VALUES",IF(OR(NOT(OR(EXACT(D15,"retain"),EXACT(D15,"exclude"),EXACT(D15,"discuss"))),NOT(OR(EXACT(E15,"statistical_results"),EXACT(E15,"report_internal_inconsistency"),EXACT(E15,"plan_material"),EXACT(E15,"protocol_report"))),AND(AND(D15="retain",E15="statistical_results"),NOT(OR(EXACT(H15,"confirmed_issue"),EXACT(H15,"probable_issue"),EXACT(H15,"not_issue"),EXACT(H15,"indeterminate")))),AND(AND(D15="retain",E15="statistical_results"),NOT(OR(EXACT(I15,"substantive"),EXACT(I15,"minor_presentation"),EXACT(I15,"indeterminate")))),AND(AND(D15="retain",E15="statistical_results"),J15&lt;&gt;"",NOT(OR(EXACT(J15,"direct"),EXACT(J15,"possible"),EXACT(J15,"unlikely"),EXACT(J15,"unknown")))),AND(AND(D15="retain",OR(E15="report_internal_inconsistency",E15="plan_material")),NOT(OR(EXACT(K15,"substantive_inconsistency"),EXACT(K15,"minor_presentation"),EXACT(K15,"non_inconsistency"),EXACT(K15,"indeterminate")))),AND(AND(D15="retain",E15="protocol_report"),L15&lt;&gt;"",NOT(OR(EXACT(L15,"substantive_difference"),EXACT(L15,"minor_presentation"),EXACT(L15,"version_timing"),EXACT(L15,"non_inconsistency"),EXACT(L15,"indeterminate"))))),"CHECK FIELDS",IF(AND(F15&lt;&gt;"",NOT(OR(EXACT(F15,"no"),EXACT(F15,"primary_done")))),"CHECK COMPLETE",IF(EXACT(F15,"primary_done"),"PRIMARY READY","PRIMARY DRAFT")))))),"CHECK INPUT / KEY")</f>
        <v/>
      </c>
      <c r="H15" s="21">
        <f>IF(AND(OR(D15="retain",D15=""),E15="statistical_results"),"","not_applicable")</f>
        <v/>
      </c>
      <c r="I15" s="21">
        <f>IF(AND(OR(D15="retain",D15=""),E15="statistical_results"),"","not_applicable")</f>
        <v/>
      </c>
      <c r="J15" s="22">
        <f>IF(AND(OR(D15="retain",D15=""),E15="statistical_results"),"","not_applicable")</f>
        <v/>
      </c>
      <c r="K15" s="21">
        <f>IF(AND(OR(D15="retain",D15=""),OR(E15="report_internal_inconsistency",E15="plan_material")),"","not_applicable")</f>
        <v/>
      </c>
      <c r="L15" s="22">
        <f>IF(AND(OR(D15="retain",D15=""),E15="protocol_report"),"","not_applicable")</f>
        <v/>
      </c>
      <c r="M15" s="24" t="n"/>
      <c r="N15" s="23" t="n"/>
      <c r="O15" s="23" t="n"/>
      <c r="P15" s="23" t="n"/>
      <c r="Q15" s="23" t="n"/>
      <c r="R15" s="22" t="n"/>
    </row>
    <row r="16" ht="92" customFormat="1" customHeight="1" s="14">
      <c r="A16" s="20" t="inlineStr">
        <is>
          <t>2018::jama.2018.14280::C015</t>
        </is>
      </c>
      <c r="B16" s="20" t="inlineStr">
        <is>
          <t>Pneumonia RR does not reproduce from printed risks</t>
        </is>
      </c>
      <c r="C16" s="20" t="inlineStr">
        <is>
          <t>DOC-001, Table 2, Development of pneumonia and footnote c.</t>
        </is>
      </c>
      <c r="D16" s="21" t="n"/>
      <c r="E16" s="21" t="inlineStr">
        <is>
          <t>statistical_results</t>
        </is>
      </c>
      <c r="F16" s="21" t="inlineStr">
        <is>
          <t>no</t>
        </is>
      </c>
      <c r="G16" s="20">
        <f>IFERROR(IF(LEN(TRIM(CLEAN(SUBSTITUTE(Setup!$B$2,CHAR(160)," "))))=0,"CHECK REVIEWER ID",IF(OR(A16="",COUNTIF($A$2:$A$24,A16)&lt;&gt;1,LEFT(A16,LEN("2018::jama.2018.14280::"))&lt;&gt;"2018::jama.2018.14280::"),"CHECK KEY",IF(OR(AND(NOT(AND(D16="retain",E16="statistical_results")),H16&lt;&gt;"",NOT(EXACT(H16,"not_applicable"))),AND(NOT(AND(D16="retain",E16="statistical_results")),I16&lt;&gt;"",NOT(EXACT(I16,"not_applicable"))),AND(NOT(AND(D16="retain",E16="statistical_results")),J16&lt;&gt;"",NOT(EXACT(J16,"not_applicable"))),AND(NOT(AND(D16="retain",OR(E16="report_internal_inconsistency",E16="plan_material"))),K16&lt;&gt;"",NOT(EXACT(K16,"not_applicable"))),AND(NOT(AND(D16="retain",E16="protocol_report")),L16&lt;&gt;"",NOT(EXACT(L16,"not_applicable")))),"CLEAR INACTIVE VALUES",IF(OR(NOT(OR(EXACT(D16,"retain"),EXACT(D16,"exclude"),EXACT(D16,"discuss"))),NOT(OR(EXACT(E16,"statistical_results"),EXACT(E16,"report_internal_inconsistency"),EXACT(E16,"plan_material"),EXACT(E16,"protocol_report"))),AND(AND(D16="retain",E16="statistical_results"),NOT(OR(EXACT(H16,"confirmed_issue"),EXACT(H16,"probable_issue"),EXACT(H16,"not_issue"),EXACT(H16,"indeterminate")))),AND(AND(D16="retain",E16="statistical_results"),NOT(OR(EXACT(I16,"substantive"),EXACT(I16,"minor_presentation"),EXACT(I16,"indeterminate")))),AND(AND(D16="retain",E16="statistical_results"),J16&lt;&gt;"",NOT(OR(EXACT(J16,"direct"),EXACT(J16,"possible"),EXACT(J16,"unlikely"),EXACT(J16,"unknown")))),AND(AND(D16="retain",OR(E16="report_internal_inconsistency",E16="plan_material")),NOT(OR(EXACT(K16,"substantive_inconsistency"),EXACT(K16,"minor_presentation"),EXACT(K16,"non_inconsistency"),EXACT(K16,"indeterminate")))),AND(AND(D16="retain",E16="protocol_report"),L16&lt;&gt;"",NOT(OR(EXACT(L16,"substantive_difference"),EXACT(L16,"minor_presentation"),EXACT(L16,"version_timing"),EXACT(L16,"non_inconsistency"),EXACT(L16,"indeterminate"))))),"CHECK FIELDS",IF(AND(F16&lt;&gt;"",NOT(OR(EXACT(F16,"no"),EXACT(F16,"primary_done")))),"CHECK COMPLETE",IF(EXACT(F16,"primary_done"),"PRIMARY READY","PRIMARY DRAFT")))))),"CHECK INPUT / KEY")</f>
        <v/>
      </c>
      <c r="H16" s="21">
        <f>IF(AND(OR(D16="retain",D16=""),E16="statistical_results"),"","not_applicable")</f>
        <v/>
      </c>
      <c r="I16" s="21">
        <f>IF(AND(OR(D16="retain",D16=""),E16="statistical_results"),"","not_applicable")</f>
        <v/>
      </c>
      <c r="J16" s="22">
        <f>IF(AND(OR(D16="retain",D16=""),E16="statistical_results"),"","not_applicable")</f>
        <v/>
      </c>
      <c r="K16" s="21">
        <f>IF(AND(OR(D16="retain",D16=""),OR(E16="report_internal_inconsistency",E16="plan_material")),"","not_applicable")</f>
        <v/>
      </c>
      <c r="L16" s="22">
        <f>IF(AND(OR(D16="retain",D16=""),E16="protocol_report"),"","not_applicable")</f>
        <v/>
      </c>
      <c r="M16" s="20" t="n"/>
      <c r="N16" s="23" t="n"/>
      <c r="O16" s="23" t="n"/>
      <c r="P16" s="23" t="n"/>
      <c r="Q16" s="23" t="n"/>
      <c r="R16" s="22" t="n"/>
    </row>
    <row r="17" ht="92" customFormat="1" customHeight="1" s="14">
      <c r="A17" s="24" t="inlineStr">
        <is>
          <t>2018::jama.2018.14280::C016</t>
        </is>
      </c>
      <c r="B17" s="24" t="inlineStr">
        <is>
          <t>Pneumothorax RR does not reproduce from printed risks</t>
        </is>
      </c>
      <c r="C17" s="24" t="inlineStr">
        <is>
          <t>DOC-001, Table 2, Pneumothorax and footnote c.</t>
        </is>
      </c>
      <c r="D17" s="21" t="n"/>
      <c r="E17" s="21" t="inlineStr">
        <is>
          <t>statistical_results</t>
        </is>
      </c>
      <c r="F17" s="21" t="inlineStr">
        <is>
          <t>no</t>
        </is>
      </c>
      <c r="G17" s="24">
        <f>IFERROR(IF(LEN(TRIM(CLEAN(SUBSTITUTE(Setup!$B$2,CHAR(160)," "))))=0,"CHECK REVIEWER ID",IF(OR(A17="",COUNTIF($A$2:$A$24,A17)&lt;&gt;1,LEFT(A17,LEN("2018::jama.2018.14280::"))&lt;&gt;"2018::jama.2018.14280::"),"CHECK KEY",IF(OR(AND(NOT(AND(D17="retain",E17="statistical_results")),H17&lt;&gt;"",NOT(EXACT(H17,"not_applicable"))),AND(NOT(AND(D17="retain",E17="statistical_results")),I17&lt;&gt;"",NOT(EXACT(I17,"not_applicable"))),AND(NOT(AND(D17="retain",E17="statistical_results")),J17&lt;&gt;"",NOT(EXACT(J17,"not_applicable"))),AND(NOT(AND(D17="retain",OR(E17="report_internal_inconsistency",E17="plan_material"))),K17&lt;&gt;"",NOT(EXACT(K17,"not_applicable"))),AND(NOT(AND(D17="retain",E17="protocol_report")),L17&lt;&gt;"",NOT(EXACT(L17,"not_applicable")))),"CLEAR INACTIVE VALUES",IF(OR(NOT(OR(EXACT(D17,"retain"),EXACT(D17,"exclude"),EXACT(D17,"discuss"))),NOT(OR(EXACT(E17,"statistical_results"),EXACT(E17,"report_internal_inconsistency"),EXACT(E17,"plan_material"),EXACT(E17,"protocol_report"))),AND(AND(D17="retain",E17="statistical_results"),NOT(OR(EXACT(H17,"confirmed_issue"),EXACT(H17,"probable_issue"),EXACT(H17,"not_issue"),EXACT(H17,"indeterminate")))),AND(AND(D17="retain",E17="statistical_results"),NOT(OR(EXACT(I17,"substantive"),EXACT(I17,"minor_presentation"),EXACT(I17,"indeterminate")))),AND(AND(D17="retain",E17="statistical_results"),J17&lt;&gt;"",NOT(OR(EXACT(J17,"direct"),EXACT(J17,"possible"),EXACT(J17,"unlikely"),EXACT(J17,"unknown")))),AND(AND(D17="retain",OR(E17="report_internal_inconsistency",E17="plan_material")),NOT(OR(EXACT(K17,"substantive_inconsistency"),EXACT(K17,"minor_presentation"),EXACT(K17,"non_inconsistency"),EXACT(K17,"indeterminate")))),AND(AND(D17="retain",E17="protocol_report"),L17&lt;&gt;"",NOT(OR(EXACT(L17,"substantive_difference"),EXACT(L17,"minor_presentation"),EXACT(L17,"version_timing"),EXACT(L17,"non_inconsistency"),EXACT(L17,"indeterminate"))))),"CHECK FIELDS",IF(AND(F17&lt;&gt;"",NOT(OR(EXACT(F17,"no"),EXACT(F17,"primary_done")))),"CHECK COMPLETE",IF(EXACT(F17,"primary_done"),"PRIMARY READY","PRIMARY DRAFT")))))),"CHECK INPUT / KEY")</f>
        <v/>
      </c>
      <c r="H17" s="21">
        <f>IF(AND(OR(D17="retain",D17=""),E17="statistical_results"),"","not_applicable")</f>
        <v/>
      </c>
      <c r="I17" s="21">
        <f>IF(AND(OR(D17="retain",D17=""),E17="statistical_results"),"","not_applicable")</f>
        <v/>
      </c>
      <c r="J17" s="22">
        <f>IF(AND(OR(D17="retain",D17=""),E17="statistical_results"),"","not_applicable")</f>
        <v/>
      </c>
      <c r="K17" s="21">
        <f>IF(AND(OR(D17="retain",D17=""),OR(E17="report_internal_inconsistency",E17="plan_material")),"","not_applicable")</f>
        <v/>
      </c>
      <c r="L17" s="22">
        <f>IF(AND(OR(D17="retain",D17=""),E17="protocol_report"),"","not_applicable")</f>
        <v/>
      </c>
      <c r="M17" s="24" t="n"/>
      <c r="N17" s="23" t="n"/>
      <c r="O17" s="23" t="n"/>
      <c r="P17" s="23" t="n"/>
      <c r="Q17" s="23" t="n"/>
      <c r="R17" s="22" t="n"/>
    </row>
    <row r="18" ht="92" customFormat="1" customHeight="1" s="14">
      <c r="A18" s="20" t="inlineStr">
        <is>
          <t>2018::jama.2018.14280::C017</t>
        </is>
      </c>
      <c r="B18" s="20" t="inlineStr">
        <is>
          <t>Atelectasis RR does not reproduce from printed risks</t>
        </is>
      </c>
      <c r="C18" s="20" t="inlineStr">
        <is>
          <t>DOC-001, Table 2, Atelectasis and footnote c.</t>
        </is>
      </c>
      <c r="D18" s="21" t="n"/>
      <c r="E18" s="21" t="inlineStr">
        <is>
          <t>statistical_results</t>
        </is>
      </c>
      <c r="F18" s="21" t="inlineStr">
        <is>
          <t>no</t>
        </is>
      </c>
      <c r="G18" s="20">
        <f>IFERROR(IF(LEN(TRIM(CLEAN(SUBSTITUTE(Setup!$B$2,CHAR(160)," "))))=0,"CHECK REVIEWER ID",IF(OR(A18="",COUNTIF($A$2:$A$24,A18)&lt;&gt;1,LEFT(A18,LEN("2018::jama.2018.14280::"))&lt;&gt;"2018::jama.2018.14280::"),"CHECK KEY",IF(OR(AND(NOT(AND(D18="retain",E18="statistical_results")),H18&lt;&gt;"",NOT(EXACT(H18,"not_applicable"))),AND(NOT(AND(D18="retain",E18="statistical_results")),I18&lt;&gt;"",NOT(EXACT(I18,"not_applicable"))),AND(NOT(AND(D18="retain",E18="statistical_results")),J18&lt;&gt;"",NOT(EXACT(J18,"not_applicable"))),AND(NOT(AND(D18="retain",OR(E18="report_internal_inconsistency",E18="plan_material"))),K18&lt;&gt;"",NOT(EXACT(K18,"not_applicable"))),AND(NOT(AND(D18="retain",E18="protocol_report")),L18&lt;&gt;"",NOT(EXACT(L18,"not_applicable")))),"CLEAR INACTIVE VALUES",IF(OR(NOT(OR(EXACT(D18,"retain"),EXACT(D18,"exclude"),EXACT(D18,"discuss"))),NOT(OR(EXACT(E18,"statistical_results"),EXACT(E18,"report_internal_inconsistency"),EXACT(E18,"plan_material"),EXACT(E18,"protocol_report"))),AND(AND(D18="retain",E18="statistical_results"),NOT(OR(EXACT(H18,"confirmed_issue"),EXACT(H18,"probable_issue"),EXACT(H18,"not_issue"),EXACT(H18,"indeterminate")))),AND(AND(D18="retain",E18="statistical_results"),NOT(OR(EXACT(I18,"substantive"),EXACT(I18,"minor_presentation"),EXACT(I18,"indeterminate")))),AND(AND(D18="retain",E18="statistical_results"),J18&lt;&gt;"",NOT(OR(EXACT(J18,"direct"),EXACT(J18,"possible"),EXACT(J18,"unlikely"),EXACT(J18,"unknown")))),AND(AND(D18="retain",OR(E18="report_internal_inconsistency",E18="plan_material")),NOT(OR(EXACT(K18,"substantive_inconsistency"),EXACT(K18,"minor_presentation"),EXACT(K18,"non_inconsistency"),EXACT(K18,"indeterminate")))),AND(AND(D18="retain",E18="protocol_report"),L18&lt;&gt;"",NOT(OR(EXACT(L18,"substantive_difference"),EXACT(L18,"minor_presentation"),EXACT(L18,"version_timing"),EXACT(L18,"non_inconsistency"),EXACT(L18,"indeterminate"))))),"CHECK FIELDS",IF(AND(F18&lt;&gt;"",NOT(OR(EXACT(F18,"no"),EXACT(F18,"primary_done")))),"CHECK COMPLETE",IF(EXACT(F18,"primary_done"),"PRIMARY READY","PRIMARY DRAFT")))))),"CHECK INPUT / KEY")</f>
        <v/>
      </c>
      <c r="H18" s="21">
        <f>IF(AND(OR(D18="retain",D18=""),E18="statistical_results"),"","not_applicable")</f>
        <v/>
      </c>
      <c r="I18" s="21">
        <f>IF(AND(OR(D18="retain",D18=""),E18="statistical_results"),"","not_applicable")</f>
        <v/>
      </c>
      <c r="J18" s="22">
        <f>IF(AND(OR(D18="retain",D18=""),E18="statistical_results"),"","not_applicable")</f>
        <v/>
      </c>
      <c r="K18" s="21">
        <f>IF(AND(OR(D18="retain",D18=""),OR(E18="report_internal_inconsistency",E18="plan_material")),"","not_applicable")</f>
        <v/>
      </c>
      <c r="L18" s="22">
        <f>IF(AND(OR(D18="retain",D18=""),E18="protocol_report"),"","not_applicable")</f>
        <v/>
      </c>
      <c r="M18" s="20" t="n"/>
      <c r="N18" s="23" t="n"/>
      <c r="O18" s="23" t="n"/>
      <c r="P18" s="23" t="n"/>
      <c r="Q18" s="23" t="n"/>
      <c r="R18" s="22" t="n"/>
    </row>
    <row r="19" ht="92" customFormat="1" customHeight="1" s="14">
      <c r="A19" s="24" t="inlineStr">
        <is>
          <t>2018::jama.2018.14280::C018</t>
        </is>
      </c>
      <c r="B19" s="24" t="inlineStr">
        <is>
          <t>Extrapulmonary-infection RR does not reproduce from printed risks</t>
        </is>
      </c>
      <c r="C19" s="24" t="inlineStr">
        <is>
          <t>DOC-001, Table 2, Extrapulmonary infection and footnote c.</t>
        </is>
      </c>
      <c r="D19" s="21" t="n"/>
      <c r="E19" s="21" t="inlineStr">
        <is>
          <t>statistical_results</t>
        </is>
      </c>
      <c r="F19" s="21" t="inlineStr">
        <is>
          <t>no</t>
        </is>
      </c>
      <c r="G19" s="24">
        <f>IFERROR(IF(LEN(TRIM(CLEAN(SUBSTITUTE(Setup!$B$2,CHAR(160)," "))))=0,"CHECK REVIEWER ID",IF(OR(A19="",COUNTIF($A$2:$A$24,A19)&lt;&gt;1,LEFT(A19,LEN("2018::jama.2018.14280::"))&lt;&gt;"2018::jama.2018.14280::"),"CHECK KEY",IF(OR(AND(NOT(AND(D19="retain",E19="statistical_results")),H19&lt;&gt;"",NOT(EXACT(H19,"not_applicable"))),AND(NOT(AND(D19="retain",E19="statistical_results")),I19&lt;&gt;"",NOT(EXACT(I19,"not_applicable"))),AND(NOT(AND(D19="retain",E19="statistical_results")),J19&lt;&gt;"",NOT(EXACT(J19,"not_applicable"))),AND(NOT(AND(D19="retain",OR(E19="report_internal_inconsistency",E19="plan_material"))),K19&lt;&gt;"",NOT(EXACT(K19,"not_applicable"))),AND(NOT(AND(D19="retain",E19="protocol_report")),L19&lt;&gt;"",NOT(EXACT(L19,"not_applicable")))),"CLEAR INACTIVE VALUES",IF(OR(NOT(OR(EXACT(D19,"retain"),EXACT(D19,"exclude"),EXACT(D19,"discuss"))),NOT(OR(EXACT(E19,"statistical_results"),EXACT(E19,"report_internal_inconsistency"),EXACT(E19,"plan_material"),EXACT(E19,"protocol_report"))),AND(AND(D19="retain",E19="statistical_results"),NOT(OR(EXACT(H19,"confirmed_issue"),EXACT(H19,"probable_issue"),EXACT(H19,"not_issue"),EXACT(H19,"indeterminate")))),AND(AND(D19="retain",E19="statistical_results"),NOT(OR(EXACT(I19,"substantive"),EXACT(I19,"minor_presentation"),EXACT(I19,"indeterminate")))),AND(AND(D19="retain",E19="statistical_results"),J19&lt;&gt;"",NOT(OR(EXACT(J19,"direct"),EXACT(J19,"possible"),EXACT(J19,"unlikely"),EXACT(J19,"unknown")))),AND(AND(D19="retain",OR(E19="report_internal_inconsistency",E19="plan_material")),NOT(OR(EXACT(K19,"substantive_inconsistency"),EXACT(K19,"minor_presentation"),EXACT(K19,"non_inconsistency"),EXACT(K19,"indeterminate")))),AND(AND(D19="retain",E19="protocol_report"),L19&lt;&gt;"",NOT(OR(EXACT(L19,"substantive_difference"),EXACT(L19,"minor_presentation"),EXACT(L19,"version_timing"),EXACT(L19,"non_inconsistency"),EXACT(L19,"indeterminate"))))),"CHECK FIELDS",IF(AND(F19&lt;&gt;"",NOT(OR(EXACT(F19,"no"),EXACT(F19,"primary_done")))),"CHECK COMPLETE",IF(EXACT(F19,"primary_done"),"PRIMARY READY","PRIMARY DRAFT")))))),"CHECK INPUT / KEY")</f>
        <v/>
      </c>
      <c r="H19" s="21">
        <f>IF(AND(OR(D19="retain",D19=""),E19="statistical_results"),"","not_applicable")</f>
        <v/>
      </c>
      <c r="I19" s="21">
        <f>IF(AND(OR(D19="retain",D19=""),E19="statistical_results"),"","not_applicable")</f>
        <v/>
      </c>
      <c r="J19" s="22">
        <f>IF(AND(OR(D19="retain",D19=""),E19="statistical_results"),"","not_applicable")</f>
        <v/>
      </c>
      <c r="K19" s="21">
        <f>IF(AND(OR(D19="retain",D19=""),OR(E19="report_internal_inconsistency",E19="plan_material")),"","not_applicable")</f>
        <v/>
      </c>
      <c r="L19" s="22">
        <f>IF(AND(OR(D19="retain",D19=""),E19="protocol_report"),"","not_applicable")</f>
        <v/>
      </c>
      <c r="M19" s="24" t="n"/>
      <c r="N19" s="23" t="n"/>
      <c r="O19" s="23" t="n"/>
      <c r="P19" s="23" t="n"/>
      <c r="Q19" s="23" t="n"/>
      <c r="R19" s="22" t="n"/>
    </row>
    <row r="20" ht="92" customFormat="1" customHeight="1" s="14">
      <c r="A20" s="20" t="inlineStr">
        <is>
          <t>2018::jama.2018.14280::C019</t>
        </is>
      </c>
      <c r="B20" s="20" t="inlineStr">
        <is>
          <t>Extrapulmonary-sepsis RR does not reproduce from printed risks</t>
        </is>
      </c>
      <c r="C20" s="20" t="inlineStr">
        <is>
          <t>DOC-001, Table 2, Extrapulmonary sepsis and footnote c.</t>
        </is>
      </c>
      <c r="D20" s="21" t="n"/>
      <c r="E20" s="21" t="inlineStr">
        <is>
          <t>statistical_results</t>
        </is>
      </c>
      <c r="F20" s="21" t="inlineStr">
        <is>
          <t>no</t>
        </is>
      </c>
      <c r="G20" s="20">
        <f>IFERROR(IF(LEN(TRIM(CLEAN(SUBSTITUTE(Setup!$B$2,CHAR(160)," "))))=0,"CHECK REVIEWER ID",IF(OR(A20="",COUNTIF($A$2:$A$24,A20)&lt;&gt;1,LEFT(A20,LEN("2018::jama.2018.14280::"))&lt;&gt;"2018::jama.2018.14280::"),"CHECK KEY",IF(OR(AND(NOT(AND(D20="retain",E20="statistical_results")),H20&lt;&gt;"",NOT(EXACT(H20,"not_applicable"))),AND(NOT(AND(D20="retain",E20="statistical_results")),I20&lt;&gt;"",NOT(EXACT(I20,"not_applicable"))),AND(NOT(AND(D20="retain",E20="statistical_results")),J20&lt;&gt;"",NOT(EXACT(J20,"not_applicable"))),AND(NOT(AND(D20="retain",OR(E20="report_internal_inconsistency",E20="plan_material"))),K20&lt;&gt;"",NOT(EXACT(K20,"not_applicable"))),AND(NOT(AND(D20="retain",E20="protocol_report")),L20&lt;&gt;"",NOT(EXACT(L20,"not_applicable")))),"CLEAR INACTIVE VALUES",IF(OR(NOT(OR(EXACT(D20,"retain"),EXACT(D20,"exclude"),EXACT(D20,"discuss"))),NOT(OR(EXACT(E20,"statistical_results"),EXACT(E20,"report_internal_inconsistency"),EXACT(E20,"plan_material"),EXACT(E20,"protocol_report"))),AND(AND(D20="retain",E20="statistical_results"),NOT(OR(EXACT(H20,"confirmed_issue"),EXACT(H20,"probable_issue"),EXACT(H20,"not_issue"),EXACT(H20,"indeterminate")))),AND(AND(D20="retain",E20="statistical_results"),NOT(OR(EXACT(I20,"substantive"),EXACT(I20,"minor_presentation"),EXACT(I20,"indeterminate")))),AND(AND(D20="retain",E20="statistical_results"),J20&lt;&gt;"",NOT(OR(EXACT(J20,"direct"),EXACT(J20,"possible"),EXACT(J20,"unlikely"),EXACT(J20,"unknown")))),AND(AND(D20="retain",OR(E20="report_internal_inconsistency",E20="plan_material")),NOT(OR(EXACT(K20,"substantive_inconsistency"),EXACT(K20,"minor_presentation"),EXACT(K20,"non_inconsistency"),EXACT(K20,"indeterminate")))),AND(AND(D20="retain",E20="protocol_report"),L20&lt;&gt;"",NOT(OR(EXACT(L20,"substantive_difference"),EXACT(L20,"minor_presentation"),EXACT(L20,"version_timing"),EXACT(L20,"non_inconsistency"),EXACT(L20,"indeterminate"))))),"CHECK FIELDS",IF(AND(F20&lt;&gt;"",NOT(OR(EXACT(F20,"no"),EXACT(F20,"primary_done")))),"CHECK COMPLETE",IF(EXACT(F20,"primary_done"),"PRIMARY READY","PRIMARY DRAFT")))))),"CHECK INPUT / KEY")</f>
        <v/>
      </c>
      <c r="H20" s="21">
        <f>IF(AND(OR(D20="retain",D20=""),E20="statistical_results"),"","not_applicable")</f>
        <v/>
      </c>
      <c r="I20" s="21">
        <f>IF(AND(OR(D20="retain",D20=""),E20="statistical_results"),"","not_applicable")</f>
        <v/>
      </c>
      <c r="J20" s="22">
        <f>IF(AND(OR(D20="retain",D20=""),E20="statistical_results"),"","not_applicable")</f>
        <v/>
      </c>
      <c r="K20" s="21">
        <f>IF(AND(OR(D20="retain",D20=""),OR(E20="report_internal_inconsistency",E20="plan_material")),"","not_applicable")</f>
        <v/>
      </c>
      <c r="L20" s="22">
        <f>IF(AND(OR(D20="retain",D20=""),E20="protocol_report"),"","not_applicable")</f>
        <v/>
      </c>
      <c r="M20" s="20" t="n"/>
      <c r="N20" s="23" t="n"/>
      <c r="O20" s="23" t="n"/>
      <c r="P20" s="23" t="n"/>
      <c r="Q20" s="23" t="n"/>
      <c r="R20" s="22" t="n"/>
    </row>
    <row r="21" ht="92" customFormat="1" customHeight="1" s="14">
      <c r="A21" s="24" t="inlineStr">
        <is>
          <t>2018::jama.2018.14280::C020</t>
        </is>
      </c>
      <c r="B21" s="24" t="inlineStr">
        <is>
          <t>Delirium RR does not reproduce from printed risks</t>
        </is>
      </c>
      <c r="C21" s="24" t="inlineStr">
        <is>
          <t>DOC-001, Table 2, Delirium and footnote c.</t>
        </is>
      </c>
      <c r="D21" s="21" t="n"/>
      <c r="E21" s="21" t="inlineStr">
        <is>
          <t>statistical_results</t>
        </is>
      </c>
      <c r="F21" s="21" t="inlineStr">
        <is>
          <t>no</t>
        </is>
      </c>
      <c r="G21" s="24">
        <f>IFERROR(IF(LEN(TRIM(CLEAN(SUBSTITUTE(Setup!$B$2,CHAR(160)," "))))=0,"CHECK REVIEWER ID",IF(OR(A21="",COUNTIF($A$2:$A$24,A21)&lt;&gt;1,LEFT(A21,LEN("2018::jama.2018.14280::"))&lt;&gt;"2018::jama.2018.14280::"),"CHECK KEY",IF(OR(AND(NOT(AND(D21="retain",E21="statistical_results")),H21&lt;&gt;"",NOT(EXACT(H21,"not_applicable"))),AND(NOT(AND(D21="retain",E21="statistical_results")),I21&lt;&gt;"",NOT(EXACT(I21,"not_applicable"))),AND(NOT(AND(D21="retain",E21="statistical_results")),J21&lt;&gt;"",NOT(EXACT(J21,"not_applicable"))),AND(NOT(AND(D21="retain",OR(E21="report_internal_inconsistency",E21="plan_material"))),K21&lt;&gt;"",NOT(EXACT(K21,"not_applicable"))),AND(NOT(AND(D21="retain",E21="protocol_report")),L21&lt;&gt;"",NOT(EXACT(L21,"not_applicable")))),"CLEAR INACTIVE VALUES",IF(OR(NOT(OR(EXACT(D21,"retain"),EXACT(D21,"exclude"),EXACT(D21,"discuss"))),NOT(OR(EXACT(E21,"statistical_results"),EXACT(E21,"report_internal_inconsistency"),EXACT(E21,"plan_material"),EXACT(E21,"protocol_report"))),AND(AND(D21="retain",E21="statistical_results"),NOT(OR(EXACT(H21,"confirmed_issue"),EXACT(H21,"probable_issue"),EXACT(H21,"not_issue"),EXACT(H21,"indeterminate")))),AND(AND(D21="retain",E21="statistical_results"),NOT(OR(EXACT(I21,"substantive"),EXACT(I21,"minor_presentation"),EXACT(I21,"indeterminate")))),AND(AND(D21="retain",E21="statistical_results"),J21&lt;&gt;"",NOT(OR(EXACT(J21,"direct"),EXACT(J21,"possible"),EXACT(J21,"unlikely"),EXACT(J21,"unknown")))),AND(AND(D21="retain",OR(E21="report_internal_inconsistency",E21="plan_material")),NOT(OR(EXACT(K21,"substantive_inconsistency"),EXACT(K21,"minor_presentation"),EXACT(K21,"non_inconsistency"),EXACT(K21,"indeterminate")))),AND(AND(D21="retain",E21="protocol_report"),L21&lt;&gt;"",NOT(OR(EXACT(L21,"substantive_difference"),EXACT(L21,"minor_presentation"),EXACT(L21,"version_timing"),EXACT(L21,"non_inconsistency"),EXACT(L21,"indeterminate"))))),"CHECK FIELDS",IF(AND(F21&lt;&gt;"",NOT(OR(EXACT(F21,"no"),EXACT(F21,"primary_done")))),"CHECK COMPLETE",IF(EXACT(F21,"primary_done"),"PRIMARY READY","PRIMARY DRAFT")))))),"CHECK INPUT / KEY")</f>
        <v/>
      </c>
      <c r="H21" s="21">
        <f>IF(AND(OR(D21="retain",D21=""),E21="statistical_results"),"","not_applicable")</f>
        <v/>
      </c>
      <c r="I21" s="21">
        <f>IF(AND(OR(D21="retain",D21=""),E21="statistical_results"),"","not_applicable")</f>
        <v/>
      </c>
      <c r="J21" s="22">
        <f>IF(AND(OR(D21="retain",D21=""),E21="statistical_results"),"","not_applicable")</f>
        <v/>
      </c>
      <c r="K21" s="21">
        <f>IF(AND(OR(D21="retain",D21=""),OR(E21="report_internal_inconsistency",E21="plan_material")),"","not_applicable")</f>
        <v/>
      </c>
      <c r="L21" s="22">
        <f>IF(AND(OR(D21="retain",D21=""),E21="protocol_report"),"","not_applicable")</f>
        <v/>
      </c>
      <c r="M21" s="24" t="n"/>
      <c r="N21" s="23" t="n"/>
      <c r="O21" s="23" t="n"/>
      <c r="P21" s="23" t="n"/>
      <c r="Q21" s="23" t="n"/>
      <c r="R21" s="22" t="n"/>
    </row>
    <row r="22" ht="92" customFormat="1" customHeight="1" s="14">
      <c r="A22" s="20" t="inlineStr">
        <is>
          <t>2018::jama.2018.14280::C021</t>
        </is>
      </c>
      <c r="B22" s="20" t="inlineStr">
        <is>
          <t>Tracheostomy RR does not reproduce from printed risks</t>
        </is>
      </c>
      <c r="C22" s="20" t="inlineStr">
        <is>
          <t>DOC-001, Table 2, Need for tracheostomy and footnote c.</t>
        </is>
      </c>
      <c r="D22" s="21" t="n"/>
      <c r="E22" s="21" t="inlineStr">
        <is>
          <t>statistical_results</t>
        </is>
      </c>
      <c r="F22" s="21" t="inlineStr">
        <is>
          <t>no</t>
        </is>
      </c>
      <c r="G22" s="20">
        <f>IFERROR(IF(LEN(TRIM(CLEAN(SUBSTITUTE(Setup!$B$2,CHAR(160)," "))))=0,"CHECK REVIEWER ID",IF(OR(A22="",COUNTIF($A$2:$A$24,A22)&lt;&gt;1,LEFT(A22,LEN("2018::jama.2018.14280::"))&lt;&gt;"2018::jama.2018.14280::"),"CHECK KEY",IF(OR(AND(NOT(AND(D22="retain",E22="statistical_results")),H22&lt;&gt;"",NOT(EXACT(H22,"not_applicable"))),AND(NOT(AND(D22="retain",E22="statistical_results")),I22&lt;&gt;"",NOT(EXACT(I22,"not_applicable"))),AND(NOT(AND(D22="retain",E22="statistical_results")),J22&lt;&gt;"",NOT(EXACT(J22,"not_applicable"))),AND(NOT(AND(D22="retain",OR(E22="report_internal_inconsistency",E22="plan_material"))),K22&lt;&gt;"",NOT(EXACT(K22,"not_applicable"))),AND(NOT(AND(D22="retain",E22="protocol_report")),L22&lt;&gt;"",NOT(EXACT(L22,"not_applicable")))),"CLEAR INACTIVE VALUES",IF(OR(NOT(OR(EXACT(D22,"retain"),EXACT(D22,"exclude"),EXACT(D22,"discuss"))),NOT(OR(EXACT(E22,"statistical_results"),EXACT(E22,"report_internal_inconsistency"),EXACT(E22,"plan_material"),EXACT(E22,"protocol_report"))),AND(AND(D22="retain",E22="statistical_results"),NOT(OR(EXACT(H22,"confirmed_issue"),EXACT(H22,"probable_issue"),EXACT(H22,"not_issue"),EXACT(H22,"indeterminate")))),AND(AND(D22="retain",E22="statistical_results"),NOT(OR(EXACT(I22,"substantive"),EXACT(I22,"minor_presentation"),EXACT(I22,"indeterminate")))),AND(AND(D22="retain",E22="statistical_results"),J22&lt;&gt;"",NOT(OR(EXACT(J22,"direct"),EXACT(J22,"possible"),EXACT(J22,"unlikely"),EXACT(J22,"unknown")))),AND(AND(D22="retain",OR(E22="report_internal_inconsistency",E22="plan_material")),NOT(OR(EXACT(K22,"substantive_inconsistency"),EXACT(K22,"minor_presentation"),EXACT(K22,"non_inconsistency"),EXACT(K22,"indeterminate")))),AND(AND(D22="retain",E22="protocol_report"),L22&lt;&gt;"",NOT(OR(EXACT(L22,"substantive_difference"),EXACT(L22,"minor_presentation"),EXACT(L22,"version_timing"),EXACT(L22,"non_inconsistency"),EXACT(L22,"indeterminate"))))),"CHECK FIELDS",IF(AND(F22&lt;&gt;"",NOT(OR(EXACT(F22,"no"),EXACT(F22,"primary_done")))),"CHECK COMPLETE",IF(EXACT(F22,"primary_done"),"PRIMARY READY","PRIMARY DRAFT")))))),"CHECK INPUT / KEY")</f>
        <v/>
      </c>
      <c r="H22" s="21">
        <f>IF(AND(OR(D22="retain",D22=""),E22="statistical_results"),"","not_applicable")</f>
        <v/>
      </c>
      <c r="I22" s="21">
        <f>IF(AND(OR(D22="retain",D22=""),E22="statistical_results"),"","not_applicable")</f>
        <v/>
      </c>
      <c r="J22" s="22">
        <f>IF(AND(OR(D22="retain",D22=""),E22="statistical_results"),"","not_applicable")</f>
        <v/>
      </c>
      <c r="K22" s="21">
        <f>IF(AND(OR(D22="retain",D22=""),OR(E22="report_internal_inconsistency",E22="plan_material")),"","not_applicable")</f>
        <v/>
      </c>
      <c r="L22" s="22">
        <f>IF(AND(OR(D22="retain",D22=""),E22="protocol_report"),"","not_applicable")</f>
        <v/>
      </c>
      <c r="M22" s="20" t="n"/>
      <c r="N22" s="23" t="n"/>
      <c r="O22" s="23" t="n"/>
      <c r="P22" s="23" t="n"/>
      <c r="Q22" s="23" t="n"/>
      <c r="R22" s="22" t="n"/>
    </row>
    <row r="23" ht="92" customFormat="1" customHeight="1" s="14">
      <c r="A23" s="24" t="inlineStr">
        <is>
          <t>2018::jama.2018.14280::C022</t>
        </is>
      </c>
      <c r="B23" s="24" t="inlineStr">
        <is>
          <t>The same subgroup intervals are labelled IQR and 95% CI</t>
        </is>
      </c>
      <c r="C23" s="24" t="inlineStr">
        <is>
          <t>DOC-001, Subgroups and Exploratory Analyses; DOC-004, Supplement 3 eTable 5.</t>
        </is>
      </c>
      <c r="D23" s="21" t="n"/>
      <c r="E23" s="21" t="inlineStr">
        <is>
          <t>report_internal_inconsistency</t>
        </is>
      </c>
      <c r="F23" s="21" t="inlineStr">
        <is>
          <t>no</t>
        </is>
      </c>
      <c r="G23" s="24">
        <f>IFERROR(IF(LEN(TRIM(CLEAN(SUBSTITUTE(Setup!$B$2,CHAR(160)," "))))=0,"CHECK REVIEWER ID",IF(OR(A23="",COUNTIF($A$2:$A$24,A23)&lt;&gt;1,LEFT(A23,LEN("2018::jama.2018.14280::"))&lt;&gt;"2018::jama.2018.14280::"),"CHECK KEY",IF(OR(AND(NOT(AND(D23="retain",E23="statistical_results")),H23&lt;&gt;"",NOT(EXACT(H23,"not_applicable"))),AND(NOT(AND(D23="retain",E23="statistical_results")),I23&lt;&gt;"",NOT(EXACT(I23,"not_applicable"))),AND(NOT(AND(D23="retain",E23="statistical_results")),J23&lt;&gt;"",NOT(EXACT(J23,"not_applicable"))),AND(NOT(AND(D23="retain",OR(E23="report_internal_inconsistency",E23="plan_material"))),K23&lt;&gt;"",NOT(EXACT(K23,"not_applicable"))),AND(NOT(AND(D23="retain",E23="protocol_report")),L23&lt;&gt;"",NOT(EXACT(L23,"not_applicable")))),"CLEAR INACTIVE VALUES",IF(OR(NOT(OR(EXACT(D23,"retain"),EXACT(D23,"exclude"),EXACT(D23,"discuss"))),NOT(OR(EXACT(E23,"statistical_results"),EXACT(E23,"report_internal_inconsistency"),EXACT(E23,"plan_material"),EXACT(E23,"protocol_report"))),AND(AND(D23="retain",E23="statistical_results"),NOT(OR(EXACT(H23,"confirmed_issue"),EXACT(H23,"probable_issue"),EXACT(H23,"not_issue"),EXACT(H23,"indeterminate")))),AND(AND(D23="retain",E23="statistical_results"),NOT(OR(EXACT(I23,"substantive"),EXACT(I23,"minor_presentation"),EXACT(I23,"indeterminate")))),AND(AND(D23="retain",E23="statistical_results"),J23&lt;&gt;"",NOT(OR(EXACT(J23,"direct"),EXACT(J23,"possible"),EXACT(J23,"unlikely"),EXACT(J23,"unknown")))),AND(AND(D23="retain",OR(E23="report_internal_inconsistency",E23="plan_material")),NOT(OR(EXACT(K23,"substantive_inconsistency"),EXACT(K23,"minor_presentation"),EXACT(K23,"non_inconsistency"),EXACT(K23,"indeterminate")))),AND(AND(D23="retain",E23="protocol_report"),L23&lt;&gt;"",NOT(OR(EXACT(L23,"substantive_difference"),EXACT(L23,"minor_presentation"),EXACT(L23,"version_timing"),EXACT(L23,"non_inconsistency"),EXACT(L23,"indeterminate"))))),"CHECK FIELDS",IF(AND(F23&lt;&gt;"",NOT(OR(EXACT(F23,"no"),EXACT(F23,"primary_done")))),"CHECK COMPLETE",IF(EXACT(F23,"primary_done"),"PRIMARY READY","PRIMARY DRAFT")))))),"CHECK INPUT / KEY")</f>
        <v/>
      </c>
      <c r="H23" s="21">
        <f>IF(AND(OR(D23="retain",D23=""),E23="statistical_results"),"","not_applicable")</f>
        <v/>
      </c>
      <c r="I23" s="21">
        <f>IF(AND(OR(D23="retain",D23=""),E23="statistical_results"),"","not_applicable")</f>
        <v/>
      </c>
      <c r="J23" s="22">
        <f>IF(AND(OR(D23="retain",D23=""),E23="statistical_results"),"","not_applicable")</f>
        <v/>
      </c>
      <c r="K23" s="21">
        <f>IF(AND(OR(D23="retain",D23=""),OR(E23="report_internal_inconsistency",E23="plan_material")),"","not_applicable")</f>
        <v/>
      </c>
      <c r="L23" s="22">
        <f>IF(AND(OR(D23="retain",D23=""),E23="protocol_report"),"","not_applicable")</f>
        <v/>
      </c>
      <c r="M23" s="24" t="n"/>
      <c r="N23" s="23" t="n"/>
      <c r="O23" s="23" t="n"/>
      <c r="P23" s="23" t="n"/>
      <c r="Q23" s="23" t="n"/>
      <c r="R23" s="22" t="n"/>
    </row>
    <row r="24" ht="92" customFormat="1" customHeight="1" s="14">
      <c r="A24" s="20" t="inlineStr">
        <is>
          <t>2018::jama.2018.14280::C023</t>
        </is>
      </c>
      <c r="B24" s="20" t="inlineStr">
        <is>
          <t>Enrollment completion dates differ by two days</t>
        </is>
      </c>
      <c r="C24" s="20" t="inlineStr">
        <is>
          <t>DOC-001 abstract and Results/Patients; DOC-003 SAP abstract and introduction.</t>
        </is>
      </c>
      <c r="D24" s="21" t="n"/>
      <c r="E24" s="21" t="inlineStr">
        <is>
          <t>protocol_report</t>
        </is>
      </c>
      <c r="F24" s="21" t="inlineStr">
        <is>
          <t>no</t>
        </is>
      </c>
      <c r="G24" s="20">
        <f>IFERROR(IF(LEN(TRIM(CLEAN(SUBSTITUTE(Setup!$B$2,CHAR(160)," "))))=0,"CHECK REVIEWER ID",IF(OR(A24="",COUNTIF($A$2:$A$24,A24)&lt;&gt;1,LEFT(A24,LEN("2018::jama.2018.14280::"))&lt;&gt;"2018::jama.2018.14280::"),"CHECK KEY",IF(OR(AND(NOT(AND(D24="retain",E24="statistical_results")),H24&lt;&gt;"",NOT(EXACT(H24,"not_applicable"))),AND(NOT(AND(D24="retain",E24="statistical_results")),I24&lt;&gt;"",NOT(EXACT(I24,"not_applicable"))),AND(NOT(AND(D24="retain",E24="statistical_results")),J24&lt;&gt;"",NOT(EXACT(J24,"not_applicable"))),AND(NOT(AND(D24="retain",OR(E24="report_internal_inconsistency",E24="plan_material"))),K24&lt;&gt;"",NOT(EXACT(K24,"not_applicable"))),AND(NOT(AND(D24="retain",E24="protocol_report")),L24&lt;&gt;"",NOT(EXACT(L24,"not_applicable")))),"CLEAR INACTIVE VALUES",IF(OR(NOT(OR(EXACT(D24,"retain"),EXACT(D24,"exclude"),EXACT(D24,"discuss"))),NOT(OR(EXACT(E24,"statistical_results"),EXACT(E24,"report_internal_inconsistency"),EXACT(E24,"plan_material"),EXACT(E24,"protocol_report"))),AND(AND(D24="retain",E24="statistical_results"),NOT(OR(EXACT(H24,"confirmed_issue"),EXACT(H24,"probable_issue"),EXACT(H24,"not_issue"),EXACT(H24,"indeterminate")))),AND(AND(D24="retain",E24="statistical_results"),NOT(OR(EXACT(I24,"substantive"),EXACT(I24,"minor_presentation"),EXACT(I24,"indeterminate")))),AND(AND(D24="retain",E24="statistical_results"),J24&lt;&gt;"",NOT(OR(EXACT(J24,"direct"),EXACT(J24,"possible"),EXACT(J24,"unlikely"),EXACT(J24,"unknown")))),AND(AND(D24="retain",OR(E24="report_internal_inconsistency",E24="plan_material")),NOT(OR(EXACT(K24,"substantive_inconsistency"),EXACT(K24,"minor_presentation"),EXACT(K24,"non_inconsistency"),EXACT(K24,"indeterminate")))),AND(AND(D24="retain",E24="protocol_report"),L24&lt;&gt;"",NOT(OR(EXACT(L24,"substantive_difference"),EXACT(L24,"minor_presentation"),EXACT(L24,"version_timing"),EXACT(L24,"non_inconsistency"),EXACT(L24,"indeterminate"))))),"CHECK FIELDS",IF(AND(F24&lt;&gt;"",NOT(OR(EXACT(F24,"no"),EXACT(F24,"primary_done")))),"CHECK COMPLETE",IF(EXACT(F24,"primary_done"),"PRIMARY READY","PRIMARY DRAFT")))))),"CHECK INPUT / KEY")</f>
        <v/>
      </c>
      <c r="H24" s="21">
        <f>IF(AND(OR(D24="retain",D24=""),E24="statistical_results"),"","not_applicable")</f>
        <v/>
      </c>
      <c r="I24" s="21">
        <f>IF(AND(OR(D24="retain",D24=""),E24="statistical_results"),"","not_applicable")</f>
        <v/>
      </c>
      <c r="J24" s="22">
        <f>IF(AND(OR(D24="retain",D24=""),E24="statistical_results"),"","not_applicable")</f>
        <v/>
      </c>
      <c r="K24" s="21">
        <f>IF(AND(OR(D24="retain",D24=""),OR(E24="report_internal_inconsistency",E24="plan_material")),"","not_applicable")</f>
        <v/>
      </c>
      <c r="L24" s="22">
        <f>IF(AND(OR(D24="retain",D24=""),E24="protocol_report"),"","not_applicable")</f>
        <v/>
      </c>
      <c r="M24" s="20" t="n"/>
      <c r="N24" s="23" t="n"/>
      <c r="O24" s="23" t="n"/>
      <c r="P24" s="23" t="n"/>
      <c r="Q24" s="23" t="n"/>
      <c r="R24" s="22" t="n"/>
    </row>
  </sheetData>
  <autoFilter ref="A1:R24"/>
  <conditionalFormatting sqref="H2:H24">
    <cfRule type="expression" priority="8" dxfId="70">
      <formula>NOT(AND(OR($D2="retain",$D2=""),$E2="statistical_results"))</formula>
    </cfRule>
  </conditionalFormatting>
  <conditionalFormatting sqref="I2:I24">
    <cfRule type="expression" priority="9" dxfId="70">
      <formula>NOT(AND(OR($D2="retain",$D2=""),$E2="statistical_results"))</formula>
    </cfRule>
  </conditionalFormatting>
  <conditionalFormatting sqref="J2:J24">
    <cfRule type="expression" priority="10" dxfId="70">
      <formula>NOT(AND(OR($D2="retain",$D2=""),$E2="statistical_results"))</formula>
    </cfRule>
  </conditionalFormatting>
  <conditionalFormatting sqref="K2:K24">
    <cfRule type="expression" priority="11" dxfId="70">
      <formula>NOT(AND(OR($D2="retain",$D2=""),OR($E2="report_internal_inconsistency",$E2="plan_material")))</formula>
    </cfRule>
  </conditionalFormatting>
  <conditionalFormatting sqref="L2:L24">
    <cfRule type="expression" priority="12" dxfId="70">
      <formula>NOT(AND(OR($D2="retain",$D2=""),$E2="protocol_report"))</formula>
    </cfRule>
  </conditionalFormatting>
  <conditionalFormatting sqref="G2:G24">
    <cfRule type="expression" priority="13" dxfId="71">
      <formula>G2&lt;&gt;"PRIMARY READY"</formula>
    </cfRule>
  </conditionalFormatting>
  <dataValidations count="8">
    <dataValidation sqref="D2:D24" showDropDown="0" showInputMessage="0" showErrorMessage="1" allowBlank="1" errorTitle="Use a listed option" error="Choose an option; G also checks pasted entries." type="list" errorStyle="stop">
      <formula1>"retain,exclude,discuss"</formula1>
    </dataValidation>
    <dataValidation sqref="E2:E24" showDropDown="0" showInputMessage="0" showErrorMessage="1" allowBlank="1" errorTitle="Use a listed option" error="Choose an option; G also checks pasted entries." type="list" errorStyle="stop">
      <formula1>"statistical_results,report_internal_inconsistency,plan_material,protocol_report"</formula1>
    </dataValidation>
    <dataValidation sqref="F2:F24" showDropDown="0" showInputMessage="0" showErrorMessage="1" allowBlank="1" errorTitle="Use a listed option" error="Choose an option; G also checks pasted entries." type="list" errorStyle="stop">
      <formula1>"no,primary_done"</formula1>
    </dataValidation>
    <dataValidation sqref="H2:H24" showDropDown="0" showInputMessage="0" showErrorMessage="1" allowBlank="1" errorTitle="Use a listed option" error="Choose an option; G also checks pasted entries." type="list" errorStyle="stop">
      <formula1>"confirmed_issue,probable_issue,not_issue,indeterminate,not_applicable"</formula1>
    </dataValidation>
    <dataValidation sqref="I2:I24" showDropDown="0" showInputMessage="0" showErrorMessage="1" allowBlank="1" errorTitle="Use a listed option" error="Choose an option; G also checks pasted entries." type="list" errorStyle="stop">
      <formula1>"substantive,minor_presentation,indeterminate,not_applicable"</formula1>
    </dataValidation>
    <dataValidation sqref="J2:J24" showDropDown="0" showInputMessage="0" showErrorMessage="1" allowBlank="1" errorTitle="Use a listed option" error="Choose an option; G also checks pasted entries." type="list" errorStyle="stop">
      <formula1>"direct,possible,unlikely,unknown,not_applicable"</formula1>
    </dataValidation>
    <dataValidation sqref="K2:K24" showDropDown="0" showInputMessage="0" showErrorMessage="1" allowBlank="1" errorTitle="Use a listed option" error="Choose an option; G also checks pasted entries." type="list" errorStyle="stop">
      <formula1>"substantive_inconsistency,minor_presentation,non_inconsistency,indeterminate,not_applicable"</formula1>
    </dataValidation>
    <dataValidation sqref="L2:L24" showDropDown="0" showInputMessage="0" showErrorMessage="1" allowBlank="1" errorTitle="Use a listed option" error="Choose an option; G also checks pasted entries." type="list" errorStyle="stop">
      <formula1>"substantive_difference,minor_presentation,version_timing,non_inconsistency,indeterminate,not_applicable"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29"/>
  <sheetViews>
    <sheetView showGridLines="0" tabSelected="0" workbookViewId="0">
      <pane xSplit="1" ySplit="1" topLeftCell="B2" activePane="bottomRight" state="frozen"/>
      <selection activeCell="A1" sqref="A1"/>
    </sheetView>
  </sheetViews>
  <sheetFormatPr baseColWidth="8" defaultRowHeight="15"/>
  <cols>
    <col width="22" customWidth="1" style="14" min="1" max="1"/>
    <col width="28" customWidth="1" style="14" min="2" max="2"/>
    <col width="22" customWidth="1" style="14" min="3" max="3"/>
    <col width="20" customWidth="1" style="14" min="4" max="4"/>
    <col width="35" customWidth="1" style="14" min="5" max="5"/>
    <col width="17" customWidth="1" style="14" min="6" max="6"/>
    <col width="29" customWidth="1" style="14" min="7" max="7"/>
    <col width="28" customWidth="1" style="14" min="8" max="8"/>
    <col width="20" customWidth="1" style="14" min="9" max="9"/>
    <col width="20" customWidth="1" style="14" min="10" max="10"/>
    <col width="34" customWidth="1" style="14" min="11" max="11"/>
    <col width="26" customWidth="1" style="14" min="12" max="12"/>
    <col hidden="1" width="3" customWidth="1" style="14" min="13" max="13"/>
    <col hidden="1" width="3" customWidth="1" style="14" min="14" max="14"/>
    <col hidden="1" width="3" customWidth="1" style="14" min="15" max="15"/>
    <col hidden="1" width="3" customWidth="1" style="14" min="16" max="16"/>
    <col hidden="1" width="3" customWidth="1" style="14" min="17" max="17"/>
    <col width="32" customWidth="1" style="14" min="18" max="18"/>
  </cols>
  <sheetData>
    <row r="1" ht="70" customFormat="1" customHeight="1" s="14">
      <c r="A1" s="19" t="inlineStr">
        <is>
          <t>Candidate key</t>
        </is>
      </c>
      <c r="B1" s="19" t="inlineStr">
        <is>
          <t>Candidate title</t>
        </is>
      </c>
      <c r="C1" s="19" t="inlineStr">
        <is>
          <t>Source location</t>
        </is>
      </c>
      <c r="D1" s="19" t="inlineStr">
        <is>
          <t>Disposition</t>
        </is>
      </c>
      <c r="E1" s="19" t="inlineStr">
        <is>
          <t>Review domain (AI suggestion; editable)</t>
        </is>
      </c>
      <c r="F1" s="19" t="inlineStr">
        <is>
          <t>Complete</t>
        </is>
      </c>
      <c r="G1" s="19" t="inlineStr">
        <is>
          <t>Validation hint</t>
        </is>
      </c>
      <c r="H1" s="19" t="inlineStr">
        <is>
          <t>Statistcal_or_numerical issue</t>
        </is>
      </c>
      <c r="I1" s="19" t="inlineStr">
        <is>
          <t>Substantiveness</t>
        </is>
      </c>
      <c r="J1" s="19" t="inlineStr">
        <is>
          <t>Downstream impact</t>
        </is>
      </c>
      <c r="K1" s="19" t="inlineStr">
        <is>
          <t>Report-internal or planning-material inconsistency</t>
        </is>
      </c>
      <c r="L1" s="19" t="inlineStr">
        <is>
          <t>Protocol interpretation</t>
        </is>
      </c>
      <c r="M1" s="19" t="n"/>
      <c r="N1" s="19" t="n"/>
      <c r="O1" s="19" t="n"/>
      <c r="P1" s="19" t="n"/>
      <c r="Q1" s="19" t="n"/>
      <c r="R1" s="19" t="inlineStr">
        <is>
          <t>Notes (optional)</t>
        </is>
      </c>
    </row>
    <row r="2" ht="92" customFormat="1" customHeight="1" s="14">
      <c r="A2" s="20" t="inlineStr">
        <is>
          <t>2018::jama.2018.14282::C001</t>
        </is>
      </c>
      <c r="B2" s="20" t="inlineStr">
        <is>
          <t>Standard-arm men percentage does not reconcile</t>
        </is>
      </c>
      <c r="C2" s="20" t="inlineStr">
        <is>
          <t>DOC-001 Table 1 — PDF p. 4</t>
        </is>
      </c>
      <c r="D2" s="21" t="n"/>
      <c r="E2" s="21" t="inlineStr">
        <is>
          <t>statistical_results</t>
        </is>
      </c>
      <c r="F2" s="21" t="inlineStr">
        <is>
          <t>no</t>
        </is>
      </c>
      <c r="G2" s="20">
        <f>IFERROR(IF(LEN(TRIM(CLEAN(SUBSTITUTE(Setup!$B$2,CHAR(160)," "))))=0,"CHECK REVIEWER ID",IF(OR(A2="",COUNTIF($A$2:$A$29,A2)&lt;&gt;1,LEFT(A2,LEN("2018::jama.2018.14282::"))&lt;&gt;"2018::jama.2018.14282::"),"CHECK KEY",IF(OR(AND(NOT(AND(D2="retain",E2="statistical_results")),H2&lt;&gt;"",NOT(EXACT(H2,"not_applicable"))),AND(NOT(AND(D2="retain",E2="statistical_results")),I2&lt;&gt;"",NOT(EXACT(I2,"not_applicable"))),AND(NOT(AND(D2="retain",E2="statistical_results")),J2&lt;&gt;"",NOT(EXACT(J2,"not_applicable"))),AND(NOT(AND(D2="retain",OR(E2="report_internal_inconsistency",E2="plan_material"))),K2&lt;&gt;"",NOT(EXACT(K2,"not_applicable"))),AND(NOT(AND(D2="retain",E2="protocol_report")),L2&lt;&gt;"",NOT(EXACT(L2,"not_applicable")))),"CLEAR INACTIVE VALUES",IF(OR(NOT(OR(EXACT(D2,"retain"),EXACT(D2,"exclude"),EXACT(D2,"discuss"))),NOT(OR(EXACT(E2,"statistical_results"),EXACT(E2,"report_internal_inconsistency"),EXACT(E2,"plan_material"),EXACT(E2,"protocol_report"))),AND(AND(D2="retain",E2="statistical_results"),NOT(OR(EXACT(H2,"confirmed_issue"),EXACT(H2,"probable_issue"),EXACT(H2,"not_issue"),EXACT(H2,"indeterminate")))),AND(AND(D2="retain",E2="statistical_results"),NOT(OR(EXACT(I2,"substantive"),EXACT(I2,"minor_presentation"),EXACT(I2,"indeterminate")))),AND(AND(D2="retain",E2="statistical_results"),J2&lt;&gt;"",NOT(OR(EXACT(J2,"direct"),EXACT(J2,"possible"),EXACT(J2,"unlikely"),EXACT(J2,"unknown")))),AND(AND(D2="retain",OR(E2="report_internal_inconsistency",E2="plan_material")),NOT(OR(EXACT(K2,"substantive_inconsistency"),EXACT(K2,"minor_presentation"),EXACT(K2,"non_inconsistency"),EXACT(K2,"indeterminate")))),AND(AND(D2="retain",E2="protocol_report"),L2&lt;&gt;"",NOT(OR(EXACT(L2,"substantive_difference"),EXACT(L2,"minor_presentation"),EXACT(L2,"version_timing"),EXACT(L2,"non_inconsistency"),EXACT(L2,"indeterminate"))))),"CHECK FIELDS",IF(AND(F2&lt;&gt;"",NOT(OR(EXACT(F2,"no"),EXACT(F2,"primary_done")))),"CHECK COMPLETE",IF(EXACT(F2,"primary_done"),"PRIMARY READY","PRIMARY DRAFT")))))),"CHECK INPUT / KEY")</f>
        <v/>
      </c>
      <c r="H2" s="21">
        <f>IF(AND(OR(D2="retain",D2=""),E2="statistical_results"),"","not_applicable")</f>
        <v/>
      </c>
      <c r="I2" s="21">
        <f>IF(AND(OR(D2="retain",D2=""),E2="statistical_results"),"","not_applicable")</f>
        <v/>
      </c>
      <c r="J2" s="22">
        <f>IF(AND(OR(D2="retain",D2=""),E2="statistical_results"),"","not_applicable")</f>
        <v/>
      </c>
      <c r="K2" s="21">
        <f>IF(AND(OR(D2="retain",D2=""),OR(E2="report_internal_inconsistency",E2="plan_material")),"","not_applicable")</f>
        <v/>
      </c>
      <c r="L2" s="22">
        <f>IF(AND(OR(D2="retain",D2=""),E2="protocol_report"),"","not_applicable")</f>
        <v/>
      </c>
      <c r="M2" s="20" t="n"/>
      <c r="N2" s="23" t="n"/>
      <c r="O2" s="23" t="n"/>
      <c r="P2" s="23" t="n"/>
      <c r="Q2" s="23" t="n"/>
      <c r="R2" s="22" t="n"/>
    </row>
    <row r="3" ht="92" customFormat="1" customHeight="1" s="14">
      <c r="A3" s="24" t="inlineStr">
        <is>
          <t>2018::jama.2018.14282::C002</t>
        </is>
      </c>
      <c r="B3" s="24" t="inlineStr">
        <is>
          <t>Standard-arm women percentage does not reconcile</t>
        </is>
      </c>
      <c r="C3" s="24" t="inlineStr">
        <is>
          <t>DOC-001 Table 1 — PDF p. 4</t>
        </is>
      </c>
      <c r="D3" s="21" t="n"/>
      <c r="E3" s="21" t="inlineStr">
        <is>
          <t>statistical_results</t>
        </is>
      </c>
      <c r="F3" s="21" t="inlineStr">
        <is>
          <t>no</t>
        </is>
      </c>
      <c r="G3" s="24">
        <f>IFERROR(IF(LEN(TRIM(CLEAN(SUBSTITUTE(Setup!$B$2,CHAR(160)," "))))=0,"CHECK REVIEWER ID",IF(OR(A3="",COUNTIF($A$2:$A$29,A3)&lt;&gt;1,LEFT(A3,LEN("2018::jama.2018.14282::"))&lt;&gt;"2018::jama.2018.14282::"),"CHECK KEY",IF(OR(AND(NOT(AND(D3="retain",E3="statistical_results")),H3&lt;&gt;"",NOT(EXACT(H3,"not_applicable"))),AND(NOT(AND(D3="retain",E3="statistical_results")),I3&lt;&gt;"",NOT(EXACT(I3,"not_applicable"))),AND(NOT(AND(D3="retain",E3="statistical_results")),J3&lt;&gt;"",NOT(EXACT(J3,"not_applicable"))),AND(NOT(AND(D3="retain",OR(E3="report_internal_inconsistency",E3="plan_material"))),K3&lt;&gt;"",NOT(EXACT(K3,"not_applicable"))),AND(NOT(AND(D3="retain",E3="protocol_report")),L3&lt;&gt;"",NOT(EXACT(L3,"not_applicable")))),"CLEAR INACTIVE VALUES",IF(OR(NOT(OR(EXACT(D3,"retain"),EXACT(D3,"exclude"),EXACT(D3,"discuss"))),NOT(OR(EXACT(E3,"statistical_results"),EXACT(E3,"report_internal_inconsistency"),EXACT(E3,"plan_material"),EXACT(E3,"protocol_report"))),AND(AND(D3="retain",E3="statistical_results"),NOT(OR(EXACT(H3,"confirmed_issue"),EXACT(H3,"probable_issue"),EXACT(H3,"not_issue"),EXACT(H3,"indeterminate")))),AND(AND(D3="retain",E3="statistical_results"),NOT(OR(EXACT(I3,"substantive"),EXACT(I3,"minor_presentation"),EXACT(I3,"indeterminate")))),AND(AND(D3="retain",E3="statistical_results"),J3&lt;&gt;"",NOT(OR(EXACT(J3,"direct"),EXACT(J3,"possible"),EXACT(J3,"unlikely"),EXACT(J3,"unknown")))),AND(AND(D3="retain",OR(E3="report_internal_inconsistency",E3="plan_material")),NOT(OR(EXACT(K3,"substantive_inconsistency"),EXACT(K3,"minor_presentation"),EXACT(K3,"non_inconsistency"),EXACT(K3,"indeterminate")))),AND(AND(D3="retain",E3="protocol_report"),L3&lt;&gt;"",NOT(OR(EXACT(L3,"substantive_difference"),EXACT(L3,"minor_presentation"),EXACT(L3,"version_timing"),EXACT(L3,"non_inconsistency"),EXACT(L3,"indeterminate"))))),"CHECK FIELDS",IF(AND(F3&lt;&gt;"",NOT(OR(EXACT(F3,"no"),EXACT(F3,"primary_done")))),"CHECK COMPLETE",IF(EXACT(F3,"primary_done"),"PRIMARY READY","PRIMARY DRAFT")))))),"CHECK INPUT / KEY")</f>
        <v/>
      </c>
      <c r="H3" s="21">
        <f>IF(AND(OR(D3="retain",D3=""),E3="statistical_results"),"","not_applicable")</f>
        <v/>
      </c>
      <c r="I3" s="21">
        <f>IF(AND(OR(D3="retain",D3=""),E3="statistical_results"),"","not_applicable")</f>
        <v/>
      </c>
      <c r="J3" s="22">
        <f>IF(AND(OR(D3="retain",D3=""),E3="statistical_results"),"","not_applicable")</f>
        <v/>
      </c>
      <c r="K3" s="21">
        <f>IF(AND(OR(D3="retain",D3=""),OR(E3="report_internal_inconsistency",E3="plan_material")),"","not_applicable")</f>
        <v/>
      </c>
      <c r="L3" s="22">
        <f>IF(AND(OR(D3="retain",D3=""),E3="protocol_report"),"","not_applicable")</f>
        <v/>
      </c>
      <c r="M3" s="24" t="n"/>
      <c r="N3" s="23" t="n"/>
      <c r="O3" s="23" t="n"/>
      <c r="P3" s="23" t="n"/>
      <c r="Q3" s="23" t="n"/>
      <c r="R3" s="22" t="n"/>
    </row>
    <row r="4" ht="92" customFormat="1" customHeight="1" s="14">
      <c r="A4" s="20" t="inlineStr">
        <is>
          <t>2018::jama.2018.14282::C003</t>
        </is>
      </c>
      <c r="B4" s="20" t="inlineStr">
        <is>
          <t>Standard-arm heart-failure percentage does not reconcile</t>
        </is>
      </c>
      <c r="C4" s="20" t="inlineStr">
        <is>
          <t>DOC-001 Table 1 — PDF p. 4</t>
        </is>
      </c>
      <c r="D4" s="21" t="n"/>
      <c r="E4" s="21" t="inlineStr">
        <is>
          <t>statistical_results</t>
        </is>
      </c>
      <c r="F4" s="21" t="inlineStr">
        <is>
          <t>no</t>
        </is>
      </c>
      <c r="G4" s="20">
        <f>IFERROR(IF(LEN(TRIM(CLEAN(SUBSTITUTE(Setup!$B$2,CHAR(160)," "))))=0,"CHECK REVIEWER ID",IF(OR(A4="",COUNTIF($A$2:$A$29,A4)&lt;&gt;1,LEFT(A4,LEN("2018::jama.2018.14282::"))&lt;&gt;"2018::jama.2018.14282::"),"CHECK KEY",IF(OR(AND(NOT(AND(D4="retain",E4="statistical_results")),H4&lt;&gt;"",NOT(EXACT(H4,"not_applicable"))),AND(NOT(AND(D4="retain",E4="statistical_results")),I4&lt;&gt;"",NOT(EXACT(I4,"not_applicable"))),AND(NOT(AND(D4="retain",E4="statistical_results")),J4&lt;&gt;"",NOT(EXACT(J4,"not_applicable"))),AND(NOT(AND(D4="retain",OR(E4="report_internal_inconsistency",E4="plan_material"))),K4&lt;&gt;"",NOT(EXACT(K4,"not_applicable"))),AND(NOT(AND(D4="retain",E4="protocol_report")),L4&lt;&gt;"",NOT(EXACT(L4,"not_applicable")))),"CLEAR INACTIVE VALUES",IF(OR(NOT(OR(EXACT(D4,"retain"),EXACT(D4,"exclude"),EXACT(D4,"discuss"))),NOT(OR(EXACT(E4,"statistical_results"),EXACT(E4,"report_internal_inconsistency"),EXACT(E4,"plan_material"),EXACT(E4,"protocol_report"))),AND(AND(D4="retain",E4="statistical_results"),NOT(OR(EXACT(H4,"confirmed_issue"),EXACT(H4,"probable_issue"),EXACT(H4,"not_issue"),EXACT(H4,"indeterminate")))),AND(AND(D4="retain",E4="statistical_results"),NOT(OR(EXACT(I4,"substantive"),EXACT(I4,"minor_presentation"),EXACT(I4,"indeterminate")))),AND(AND(D4="retain",E4="statistical_results"),J4&lt;&gt;"",NOT(OR(EXACT(J4,"direct"),EXACT(J4,"possible"),EXACT(J4,"unlikely"),EXACT(J4,"unknown")))),AND(AND(D4="retain",OR(E4="report_internal_inconsistency",E4="plan_material")),NOT(OR(EXACT(K4,"substantive_inconsistency"),EXACT(K4,"minor_presentation"),EXACT(K4,"non_inconsistency"),EXACT(K4,"indeterminate")))),AND(AND(D4="retain",E4="protocol_report"),L4&lt;&gt;"",NOT(OR(EXACT(L4,"substantive_difference"),EXACT(L4,"minor_presentation"),EXACT(L4,"version_timing"),EXACT(L4,"non_inconsistency"),EXACT(L4,"indeterminate"))))),"CHECK FIELDS",IF(AND(F4&lt;&gt;"",NOT(OR(EXACT(F4,"no"),EXACT(F4,"primary_done")))),"CHECK COMPLETE",IF(EXACT(F4,"primary_done"),"PRIMARY READY","PRIMARY DRAFT")))))),"CHECK INPUT / KEY")</f>
        <v/>
      </c>
      <c r="H4" s="21">
        <f>IF(AND(OR(D4="retain",D4=""),E4="statistical_results"),"","not_applicable")</f>
        <v/>
      </c>
      <c r="I4" s="21">
        <f>IF(AND(OR(D4="retain",D4=""),E4="statistical_results"),"","not_applicable")</f>
        <v/>
      </c>
      <c r="J4" s="22">
        <f>IF(AND(OR(D4="retain",D4=""),E4="statistical_results"),"","not_applicable")</f>
        <v/>
      </c>
      <c r="K4" s="21">
        <f>IF(AND(OR(D4="retain",D4=""),OR(E4="report_internal_inconsistency",E4="plan_material")),"","not_applicable")</f>
        <v/>
      </c>
      <c r="L4" s="22">
        <f>IF(AND(OR(D4="retain",D4=""),E4="protocol_report"),"","not_applicable")</f>
        <v/>
      </c>
      <c r="M4" s="20" t="n"/>
      <c r="N4" s="23" t="n"/>
      <c r="O4" s="23" t="n"/>
      <c r="P4" s="23" t="n"/>
      <c r="Q4" s="23" t="n"/>
      <c r="R4" s="22" t="n"/>
    </row>
    <row r="5" ht="92" customFormat="1" customHeight="1" s="14">
      <c r="A5" s="24" t="inlineStr">
        <is>
          <t>2018::jama.2018.14282::C004</t>
        </is>
      </c>
      <c r="B5" s="24" t="inlineStr">
        <is>
          <t>High-flow liver-disease percentage conflicts with displayed count</t>
        </is>
      </c>
      <c r="C5" s="24" t="inlineStr">
        <is>
          <t>DOC-001 Table 1 — PDF p. 4</t>
        </is>
      </c>
      <c r="D5" s="21" t="n"/>
      <c r="E5" s="21" t="inlineStr">
        <is>
          <t>statistical_results</t>
        </is>
      </c>
      <c r="F5" s="21" t="inlineStr">
        <is>
          <t>no</t>
        </is>
      </c>
      <c r="G5" s="24">
        <f>IFERROR(IF(LEN(TRIM(CLEAN(SUBSTITUTE(Setup!$B$2,CHAR(160)," "))))=0,"CHECK REVIEWER ID",IF(OR(A5="",COUNTIF($A$2:$A$29,A5)&lt;&gt;1,LEFT(A5,LEN("2018::jama.2018.14282::"))&lt;&gt;"2018::jama.2018.14282::"),"CHECK KEY",IF(OR(AND(NOT(AND(D5="retain",E5="statistical_results")),H5&lt;&gt;"",NOT(EXACT(H5,"not_applicable"))),AND(NOT(AND(D5="retain",E5="statistical_results")),I5&lt;&gt;"",NOT(EXACT(I5,"not_applicable"))),AND(NOT(AND(D5="retain",E5="statistical_results")),J5&lt;&gt;"",NOT(EXACT(J5,"not_applicable"))),AND(NOT(AND(D5="retain",OR(E5="report_internal_inconsistency",E5="plan_material"))),K5&lt;&gt;"",NOT(EXACT(K5,"not_applicable"))),AND(NOT(AND(D5="retain",E5="protocol_report")),L5&lt;&gt;"",NOT(EXACT(L5,"not_applicable")))),"CLEAR INACTIVE VALUES",IF(OR(NOT(OR(EXACT(D5,"retain"),EXACT(D5,"exclude"),EXACT(D5,"discuss"))),NOT(OR(EXACT(E5,"statistical_results"),EXACT(E5,"report_internal_inconsistency"),EXACT(E5,"plan_material"),EXACT(E5,"protocol_report"))),AND(AND(D5="retain",E5="statistical_results"),NOT(OR(EXACT(H5,"confirmed_issue"),EXACT(H5,"probable_issue"),EXACT(H5,"not_issue"),EXACT(H5,"indeterminate")))),AND(AND(D5="retain",E5="statistical_results"),NOT(OR(EXACT(I5,"substantive"),EXACT(I5,"minor_presentation"),EXACT(I5,"indeterminate")))),AND(AND(D5="retain",E5="statistical_results"),J5&lt;&gt;"",NOT(OR(EXACT(J5,"direct"),EXACT(J5,"possible"),EXACT(J5,"unlikely"),EXACT(J5,"unknown")))),AND(AND(D5="retain",OR(E5="report_internal_inconsistency",E5="plan_material")),NOT(OR(EXACT(K5,"substantive_inconsistency"),EXACT(K5,"minor_presentation"),EXACT(K5,"non_inconsistency"),EXACT(K5,"indeterminate")))),AND(AND(D5="retain",E5="protocol_report"),L5&lt;&gt;"",NOT(OR(EXACT(L5,"substantive_difference"),EXACT(L5,"minor_presentation"),EXACT(L5,"version_timing"),EXACT(L5,"non_inconsistency"),EXACT(L5,"indeterminate"))))),"CHECK FIELDS",IF(AND(F5&lt;&gt;"",NOT(OR(EXACT(F5,"no"),EXACT(F5,"primary_done")))),"CHECK COMPLETE",IF(EXACT(F5,"primary_done"),"PRIMARY READY","PRIMARY DRAFT")))))),"CHECK INPUT / KEY")</f>
        <v/>
      </c>
      <c r="H5" s="21">
        <f>IF(AND(OR(D5="retain",D5=""),E5="statistical_results"),"","not_applicable")</f>
        <v/>
      </c>
      <c r="I5" s="21">
        <f>IF(AND(OR(D5="retain",D5=""),E5="statistical_results"),"","not_applicable")</f>
        <v/>
      </c>
      <c r="J5" s="22">
        <f>IF(AND(OR(D5="retain",D5=""),E5="statistical_results"),"","not_applicable")</f>
        <v/>
      </c>
      <c r="K5" s="21">
        <f>IF(AND(OR(D5="retain",D5=""),OR(E5="report_internal_inconsistency",E5="plan_material")),"","not_applicable")</f>
        <v/>
      </c>
      <c r="L5" s="22">
        <f>IF(AND(OR(D5="retain",D5=""),E5="protocol_report"),"","not_applicable")</f>
        <v/>
      </c>
      <c r="M5" s="24" t="n"/>
      <c r="N5" s="23" t="n"/>
      <c r="O5" s="23" t="n"/>
      <c r="P5" s="23" t="n"/>
      <c r="Q5" s="23" t="n"/>
      <c r="R5" s="22" t="n"/>
    </row>
    <row r="6" ht="92" customFormat="1" customHeight="1" s="14">
      <c r="A6" s="20" t="inlineStr">
        <is>
          <t>2018::jama.2018.14282::C005</t>
        </is>
      </c>
      <c r="B6" s="20" t="inlineStr">
        <is>
          <t>Standard-arm kidney-disease percentage conflicts with displayed count</t>
        </is>
      </c>
      <c r="C6" s="20" t="inlineStr">
        <is>
          <t>DOC-001 Table 1 — PDF p. 4</t>
        </is>
      </c>
      <c r="D6" s="21" t="n"/>
      <c r="E6" s="21" t="inlineStr">
        <is>
          <t>statistical_results</t>
        </is>
      </c>
      <c r="F6" s="21" t="inlineStr">
        <is>
          <t>no</t>
        </is>
      </c>
      <c r="G6" s="20">
        <f>IFERROR(IF(LEN(TRIM(CLEAN(SUBSTITUTE(Setup!$B$2,CHAR(160)," "))))=0,"CHECK REVIEWER ID",IF(OR(A6="",COUNTIF($A$2:$A$29,A6)&lt;&gt;1,LEFT(A6,LEN("2018::jama.2018.14282::"))&lt;&gt;"2018::jama.2018.14282::"),"CHECK KEY",IF(OR(AND(NOT(AND(D6="retain",E6="statistical_results")),H6&lt;&gt;"",NOT(EXACT(H6,"not_applicable"))),AND(NOT(AND(D6="retain",E6="statistical_results")),I6&lt;&gt;"",NOT(EXACT(I6,"not_applicable"))),AND(NOT(AND(D6="retain",E6="statistical_results")),J6&lt;&gt;"",NOT(EXACT(J6,"not_applicable"))),AND(NOT(AND(D6="retain",OR(E6="report_internal_inconsistency",E6="plan_material"))),K6&lt;&gt;"",NOT(EXACT(K6,"not_applicable"))),AND(NOT(AND(D6="retain",E6="protocol_report")),L6&lt;&gt;"",NOT(EXACT(L6,"not_applicable")))),"CLEAR INACTIVE VALUES",IF(OR(NOT(OR(EXACT(D6,"retain"),EXACT(D6,"exclude"),EXACT(D6,"discuss"))),NOT(OR(EXACT(E6,"statistical_results"),EXACT(E6,"report_internal_inconsistency"),EXACT(E6,"plan_material"),EXACT(E6,"protocol_report"))),AND(AND(D6="retain",E6="statistical_results"),NOT(OR(EXACT(H6,"confirmed_issue"),EXACT(H6,"probable_issue"),EXACT(H6,"not_issue"),EXACT(H6,"indeterminate")))),AND(AND(D6="retain",E6="statistical_results"),NOT(OR(EXACT(I6,"substantive"),EXACT(I6,"minor_presentation"),EXACT(I6,"indeterminate")))),AND(AND(D6="retain",E6="statistical_results"),J6&lt;&gt;"",NOT(OR(EXACT(J6,"direct"),EXACT(J6,"possible"),EXACT(J6,"unlikely"),EXACT(J6,"unknown")))),AND(AND(D6="retain",OR(E6="report_internal_inconsistency",E6="plan_material")),NOT(OR(EXACT(K6,"substantive_inconsistency"),EXACT(K6,"minor_presentation"),EXACT(K6,"non_inconsistency"),EXACT(K6,"indeterminate")))),AND(AND(D6="retain",E6="protocol_report"),L6&lt;&gt;"",NOT(OR(EXACT(L6,"substantive_difference"),EXACT(L6,"minor_presentation"),EXACT(L6,"version_timing"),EXACT(L6,"non_inconsistency"),EXACT(L6,"indeterminate"))))),"CHECK FIELDS",IF(AND(F6&lt;&gt;"",NOT(OR(EXACT(F6,"no"),EXACT(F6,"primary_done")))),"CHECK COMPLETE",IF(EXACT(F6,"primary_done"),"PRIMARY READY","PRIMARY DRAFT")))))),"CHECK INPUT / KEY")</f>
        <v/>
      </c>
      <c r="H6" s="21">
        <f>IF(AND(OR(D6="retain",D6=""),E6="statistical_results"),"","not_applicable")</f>
        <v/>
      </c>
      <c r="I6" s="21">
        <f>IF(AND(OR(D6="retain",D6=""),E6="statistical_results"),"","not_applicable")</f>
        <v/>
      </c>
      <c r="J6" s="22">
        <f>IF(AND(OR(D6="retain",D6=""),E6="statistical_results"),"","not_applicable")</f>
        <v/>
      </c>
      <c r="K6" s="21">
        <f>IF(AND(OR(D6="retain",D6=""),OR(E6="report_internal_inconsistency",E6="plan_material")),"","not_applicable")</f>
        <v/>
      </c>
      <c r="L6" s="22">
        <f>IF(AND(OR(D6="retain",D6=""),E6="protocol_report"),"","not_applicable")</f>
        <v/>
      </c>
      <c r="M6" s="20" t="n"/>
      <c r="N6" s="23" t="n"/>
      <c r="O6" s="23" t="n"/>
      <c r="P6" s="23" t="n"/>
      <c r="Q6" s="23" t="n"/>
      <c r="R6" s="22" t="n"/>
    </row>
    <row r="7" ht="92" customFormat="1" customHeight="1" s="14">
      <c r="A7" s="24" t="inlineStr">
        <is>
          <t>2018::jama.2018.14282::C006</t>
        </is>
      </c>
      <c r="B7" s="24" t="inlineStr">
        <is>
          <t>Standard-arm nontransplant immunosuppression percentage does not reconcile</t>
        </is>
      </c>
      <c r="C7" s="24" t="inlineStr">
        <is>
          <t>DOC-001 Table 1 — PDF p. 4</t>
        </is>
      </c>
      <c r="D7" s="21" t="n"/>
      <c r="E7" s="21" t="inlineStr">
        <is>
          <t>statistical_results</t>
        </is>
      </c>
      <c r="F7" s="21" t="inlineStr">
        <is>
          <t>no</t>
        </is>
      </c>
      <c r="G7" s="24">
        <f>IFERROR(IF(LEN(TRIM(CLEAN(SUBSTITUTE(Setup!$B$2,CHAR(160)," "))))=0,"CHECK REVIEWER ID",IF(OR(A7="",COUNTIF($A$2:$A$29,A7)&lt;&gt;1,LEFT(A7,LEN("2018::jama.2018.14282::"))&lt;&gt;"2018::jama.2018.14282::"),"CHECK KEY",IF(OR(AND(NOT(AND(D7="retain",E7="statistical_results")),H7&lt;&gt;"",NOT(EXACT(H7,"not_applicable"))),AND(NOT(AND(D7="retain",E7="statistical_results")),I7&lt;&gt;"",NOT(EXACT(I7,"not_applicable"))),AND(NOT(AND(D7="retain",E7="statistical_results")),J7&lt;&gt;"",NOT(EXACT(J7,"not_applicable"))),AND(NOT(AND(D7="retain",OR(E7="report_internal_inconsistency",E7="plan_material"))),K7&lt;&gt;"",NOT(EXACT(K7,"not_applicable"))),AND(NOT(AND(D7="retain",E7="protocol_report")),L7&lt;&gt;"",NOT(EXACT(L7,"not_applicable")))),"CLEAR INACTIVE VALUES",IF(OR(NOT(OR(EXACT(D7,"retain"),EXACT(D7,"exclude"),EXACT(D7,"discuss"))),NOT(OR(EXACT(E7,"statistical_results"),EXACT(E7,"report_internal_inconsistency"),EXACT(E7,"plan_material"),EXACT(E7,"protocol_report"))),AND(AND(D7="retain",E7="statistical_results"),NOT(OR(EXACT(H7,"confirmed_issue"),EXACT(H7,"probable_issue"),EXACT(H7,"not_issue"),EXACT(H7,"indeterminate")))),AND(AND(D7="retain",E7="statistical_results"),NOT(OR(EXACT(I7,"substantive"),EXACT(I7,"minor_presentation"),EXACT(I7,"indeterminate")))),AND(AND(D7="retain",E7="statistical_results"),J7&lt;&gt;"",NOT(OR(EXACT(J7,"direct"),EXACT(J7,"possible"),EXACT(J7,"unlikely"),EXACT(J7,"unknown")))),AND(AND(D7="retain",OR(E7="report_internal_inconsistency",E7="plan_material")),NOT(OR(EXACT(K7,"substantive_inconsistency"),EXACT(K7,"minor_presentation"),EXACT(K7,"non_inconsistency"),EXACT(K7,"indeterminate")))),AND(AND(D7="retain",E7="protocol_report"),L7&lt;&gt;"",NOT(OR(EXACT(L7,"substantive_difference"),EXACT(L7,"minor_presentation"),EXACT(L7,"version_timing"),EXACT(L7,"non_inconsistency"),EXACT(L7,"indeterminate"))))),"CHECK FIELDS",IF(AND(F7&lt;&gt;"",NOT(OR(EXACT(F7,"no"),EXACT(F7,"primary_done")))),"CHECK COMPLETE",IF(EXACT(F7,"primary_done"),"PRIMARY READY","PRIMARY DRAFT")))))),"CHECK INPUT / KEY")</f>
        <v/>
      </c>
      <c r="H7" s="21">
        <f>IF(AND(OR(D7="retain",D7=""),E7="statistical_results"),"","not_applicable")</f>
        <v/>
      </c>
      <c r="I7" s="21">
        <f>IF(AND(OR(D7="retain",D7=""),E7="statistical_results"),"","not_applicable")</f>
        <v/>
      </c>
      <c r="J7" s="22">
        <f>IF(AND(OR(D7="retain",D7=""),E7="statistical_results"),"","not_applicable")</f>
        <v/>
      </c>
      <c r="K7" s="21">
        <f>IF(AND(OR(D7="retain",D7=""),OR(E7="report_internal_inconsistency",E7="plan_material")),"","not_applicable")</f>
        <v/>
      </c>
      <c r="L7" s="22">
        <f>IF(AND(OR(D7="retain",D7=""),E7="protocol_report"),"","not_applicable")</f>
        <v/>
      </c>
      <c r="M7" s="24" t="n"/>
      <c r="N7" s="23" t="n"/>
      <c r="O7" s="23" t="n"/>
      <c r="P7" s="23" t="n"/>
      <c r="Q7" s="23" t="n"/>
      <c r="R7" s="22" t="n"/>
    </row>
    <row r="8" ht="92" customFormat="1" customHeight="1" s="14">
      <c r="A8" s="20" t="inlineStr">
        <is>
          <t>2018::jama.2018.14282::C007</t>
        </is>
      </c>
      <c r="B8" s="20" t="inlineStr">
        <is>
          <t>High-flow ≥3-days-after-ICU-admission percentage does not reconcile</t>
        </is>
      </c>
      <c r="C8" s="20" t="inlineStr">
        <is>
          <t>DOC-001 Table 1 — PDF p. 4</t>
        </is>
      </c>
      <c r="D8" s="21" t="n"/>
      <c r="E8" s="21" t="inlineStr">
        <is>
          <t>statistical_results</t>
        </is>
      </c>
      <c r="F8" s="21" t="inlineStr">
        <is>
          <t>no</t>
        </is>
      </c>
      <c r="G8" s="20">
        <f>IFERROR(IF(LEN(TRIM(CLEAN(SUBSTITUTE(Setup!$B$2,CHAR(160)," "))))=0,"CHECK REVIEWER ID",IF(OR(A8="",COUNTIF($A$2:$A$29,A8)&lt;&gt;1,LEFT(A8,LEN("2018::jama.2018.14282::"))&lt;&gt;"2018::jama.2018.14282::"),"CHECK KEY",IF(OR(AND(NOT(AND(D8="retain",E8="statistical_results")),H8&lt;&gt;"",NOT(EXACT(H8,"not_applicable"))),AND(NOT(AND(D8="retain",E8="statistical_results")),I8&lt;&gt;"",NOT(EXACT(I8,"not_applicable"))),AND(NOT(AND(D8="retain",E8="statistical_results")),J8&lt;&gt;"",NOT(EXACT(J8,"not_applicable"))),AND(NOT(AND(D8="retain",OR(E8="report_internal_inconsistency",E8="plan_material"))),K8&lt;&gt;"",NOT(EXACT(K8,"not_applicable"))),AND(NOT(AND(D8="retain",E8="protocol_report")),L8&lt;&gt;"",NOT(EXACT(L8,"not_applicable")))),"CLEAR INACTIVE VALUES",IF(OR(NOT(OR(EXACT(D8,"retain"),EXACT(D8,"exclude"),EXACT(D8,"discuss"))),NOT(OR(EXACT(E8,"statistical_results"),EXACT(E8,"report_internal_inconsistency"),EXACT(E8,"plan_material"),EXACT(E8,"protocol_report"))),AND(AND(D8="retain",E8="statistical_results"),NOT(OR(EXACT(H8,"confirmed_issue"),EXACT(H8,"probable_issue"),EXACT(H8,"not_issue"),EXACT(H8,"indeterminate")))),AND(AND(D8="retain",E8="statistical_results"),NOT(OR(EXACT(I8,"substantive"),EXACT(I8,"minor_presentation"),EXACT(I8,"indeterminate")))),AND(AND(D8="retain",E8="statistical_results"),J8&lt;&gt;"",NOT(OR(EXACT(J8,"direct"),EXACT(J8,"possible"),EXACT(J8,"unlikely"),EXACT(J8,"unknown")))),AND(AND(D8="retain",OR(E8="report_internal_inconsistency",E8="plan_material")),NOT(OR(EXACT(K8,"substantive_inconsistency"),EXACT(K8,"minor_presentation"),EXACT(K8,"non_inconsistency"),EXACT(K8,"indeterminate")))),AND(AND(D8="retain",E8="protocol_report"),L8&lt;&gt;"",NOT(OR(EXACT(L8,"substantive_difference"),EXACT(L8,"minor_presentation"),EXACT(L8,"version_timing"),EXACT(L8,"non_inconsistency"),EXACT(L8,"indeterminate"))))),"CHECK FIELDS",IF(AND(F8&lt;&gt;"",NOT(OR(EXACT(F8,"no"),EXACT(F8,"primary_done")))),"CHECK COMPLETE",IF(EXACT(F8,"primary_done"),"PRIMARY READY","PRIMARY DRAFT")))))),"CHECK INPUT / KEY")</f>
        <v/>
      </c>
      <c r="H8" s="21">
        <f>IF(AND(OR(D8="retain",D8=""),E8="statistical_results"),"","not_applicable")</f>
        <v/>
      </c>
      <c r="I8" s="21">
        <f>IF(AND(OR(D8="retain",D8=""),E8="statistical_results"),"","not_applicable")</f>
        <v/>
      </c>
      <c r="J8" s="22">
        <f>IF(AND(OR(D8="retain",D8=""),E8="statistical_results"),"","not_applicable")</f>
        <v/>
      </c>
      <c r="K8" s="21">
        <f>IF(AND(OR(D8="retain",D8=""),OR(E8="report_internal_inconsistency",E8="plan_material")),"","not_applicable")</f>
        <v/>
      </c>
      <c r="L8" s="22">
        <f>IF(AND(OR(D8="retain",D8=""),E8="protocol_report"),"","not_applicable")</f>
        <v/>
      </c>
      <c r="M8" s="20" t="n"/>
      <c r="N8" s="23" t="n"/>
      <c r="O8" s="23" t="n"/>
      <c r="P8" s="23" t="n"/>
      <c r="Q8" s="23" t="n"/>
      <c r="R8" s="22" t="n"/>
    </row>
    <row r="9" ht="92" customFormat="1" customHeight="1" s="14">
      <c r="A9" s="24" t="inlineStr">
        <is>
          <t>2018::jama.2018.14282::C008</t>
        </is>
      </c>
      <c r="B9" s="24" t="inlineStr">
        <is>
          <t>Standard-arm ≥3-days-after-ICU-admission percentage does not reconcile</t>
        </is>
      </c>
      <c r="C9" s="24" t="inlineStr">
        <is>
          <t>DOC-001 Table 1 — PDF p. 4</t>
        </is>
      </c>
      <c r="D9" s="21" t="n"/>
      <c r="E9" s="21" t="inlineStr">
        <is>
          <t>statistical_results</t>
        </is>
      </c>
      <c r="F9" s="21" t="inlineStr">
        <is>
          <t>no</t>
        </is>
      </c>
      <c r="G9" s="24">
        <f>IFERROR(IF(LEN(TRIM(CLEAN(SUBSTITUTE(Setup!$B$2,CHAR(160)," "))))=0,"CHECK REVIEWER ID",IF(OR(A9="",COUNTIF($A$2:$A$29,A9)&lt;&gt;1,LEFT(A9,LEN("2018::jama.2018.14282::"))&lt;&gt;"2018::jama.2018.14282::"),"CHECK KEY",IF(OR(AND(NOT(AND(D9="retain",E9="statistical_results")),H9&lt;&gt;"",NOT(EXACT(H9,"not_applicable"))),AND(NOT(AND(D9="retain",E9="statistical_results")),I9&lt;&gt;"",NOT(EXACT(I9,"not_applicable"))),AND(NOT(AND(D9="retain",E9="statistical_results")),J9&lt;&gt;"",NOT(EXACT(J9,"not_applicable"))),AND(NOT(AND(D9="retain",OR(E9="report_internal_inconsistency",E9="plan_material"))),K9&lt;&gt;"",NOT(EXACT(K9,"not_applicable"))),AND(NOT(AND(D9="retain",E9="protocol_report")),L9&lt;&gt;"",NOT(EXACT(L9,"not_applicable")))),"CLEAR INACTIVE VALUES",IF(OR(NOT(OR(EXACT(D9,"retain"),EXACT(D9,"exclude"),EXACT(D9,"discuss"))),NOT(OR(EXACT(E9,"statistical_results"),EXACT(E9,"report_internal_inconsistency"),EXACT(E9,"plan_material"),EXACT(E9,"protocol_report"))),AND(AND(D9="retain",E9="statistical_results"),NOT(OR(EXACT(H9,"confirmed_issue"),EXACT(H9,"probable_issue"),EXACT(H9,"not_issue"),EXACT(H9,"indeterminate")))),AND(AND(D9="retain",E9="statistical_results"),NOT(OR(EXACT(I9,"substantive"),EXACT(I9,"minor_presentation"),EXACT(I9,"indeterminate")))),AND(AND(D9="retain",E9="statistical_results"),J9&lt;&gt;"",NOT(OR(EXACT(J9,"direct"),EXACT(J9,"possible"),EXACT(J9,"unlikely"),EXACT(J9,"unknown")))),AND(AND(D9="retain",OR(E9="report_internal_inconsistency",E9="plan_material")),NOT(OR(EXACT(K9,"substantive_inconsistency"),EXACT(K9,"minor_presentation"),EXACT(K9,"non_inconsistency"),EXACT(K9,"indeterminate")))),AND(AND(D9="retain",E9="protocol_report"),L9&lt;&gt;"",NOT(OR(EXACT(L9,"substantive_difference"),EXACT(L9,"minor_presentation"),EXACT(L9,"version_timing"),EXACT(L9,"non_inconsistency"),EXACT(L9,"indeterminate"))))),"CHECK FIELDS",IF(AND(F9&lt;&gt;"",NOT(OR(EXACT(F9,"no"),EXACT(F9,"primary_done")))),"CHECK COMPLETE",IF(EXACT(F9,"primary_done"),"PRIMARY READY","PRIMARY DRAFT")))))),"CHECK INPUT / KEY")</f>
        <v/>
      </c>
      <c r="H9" s="21">
        <f>IF(AND(OR(D9="retain",D9=""),E9="statistical_results"),"","not_applicable")</f>
        <v/>
      </c>
      <c r="I9" s="21">
        <f>IF(AND(OR(D9="retain",D9=""),E9="statistical_results"),"","not_applicable")</f>
        <v/>
      </c>
      <c r="J9" s="22">
        <f>IF(AND(OR(D9="retain",D9=""),E9="statistical_results"),"","not_applicable")</f>
        <v/>
      </c>
      <c r="K9" s="21">
        <f>IF(AND(OR(D9="retain",D9=""),OR(E9="report_internal_inconsistency",E9="plan_material")),"","not_applicable")</f>
        <v/>
      </c>
      <c r="L9" s="22">
        <f>IF(AND(OR(D9="retain",D9=""),E9="protocol_report"),"","not_applicable")</f>
        <v/>
      </c>
      <c r="M9" s="24" t="n"/>
      <c r="N9" s="23" t="n"/>
      <c r="O9" s="23" t="n"/>
      <c r="P9" s="23" t="n"/>
      <c r="Q9" s="23" t="n"/>
      <c r="R9" s="22" t="n"/>
    </row>
    <row r="10" ht="92" customFormat="1" customHeight="1" s="14">
      <c r="A10" s="20" t="inlineStr">
        <is>
          <t>2018::jama.2018.14282::C009</t>
        </is>
      </c>
      <c r="B10" s="20" t="inlineStr">
        <is>
          <t>Standard-arm vasopressor percentage does not reconcile</t>
        </is>
      </c>
      <c r="C10" s="20" t="inlineStr">
        <is>
          <t>DOC-001 Table 1 — PDF p. 4</t>
        </is>
      </c>
      <c r="D10" s="21" t="n"/>
      <c r="E10" s="21" t="inlineStr">
        <is>
          <t>statistical_results</t>
        </is>
      </c>
      <c r="F10" s="21" t="inlineStr">
        <is>
          <t>no</t>
        </is>
      </c>
      <c r="G10" s="20">
        <f>IFERROR(IF(LEN(TRIM(CLEAN(SUBSTITUTE(Setup!$B$2,CHAR(160)," "))))=0,"CHECK REVIEWER ID",IF(OR(A10="",COUNTIF($A$2:$A$29,A10)&lt;&gt;1,LEFT(A10,LEN("2018::jama.2018.14282::"))&lt;&gt;"2018::jama.2018.14282::"),"CHECK KEY",IF(OR(AND(NOT(AND(D10="retain",E10="statistical_results")),H10&lt;&gt;"",NOT(EXACT(H10,"not_applicable"))),AND(NOT(AND(D10="retain",E10="statistical_results")),I10&lt;&gt;"",NOT(EXACT(I10,"not_applicable"))),AND(NOT(AND(D10="retain",E10="statistical_results")),J10&lt;&gt;"",NOT(EXACT(J10,"not_applicable"))),AND(NOT(AND(D10="retain",OR(E10="report_internal_inconsistency",E10="plan_material"))),K10&lt;&gt;"",NOT(EXACT(K10,"not_applicable"))),AND(NOT(AND(D10="retain",E10="protocol_report")),L10&lt;&gt;"",NOT(EXACT(L10,"not_applicable")))),"CLEAR INACTIVE VALUES",IF(OR(NOT(OR(EXACT(D10,"retain"),EXACT(D10,"exclude"),EXACT(D10,"discuss"))),NOT(OR(EXACT(E10,"statistical_results"),EXACT(E10,"report_internal_inconsistency"),EXACT(E10,"plan_material"),EXACT(E10,"protocol_report"))),AND(AND(D10="retain",E10="statistical_results"),NOT(OR(EXACT(H10,"confirmed_issue"),EXACT(H10,"probable_issue"),EXACT(H10,"not_issue"),EXACT(H10,"indeterminate")))),AND(AND(D10="retain",E10="statistical_results"),NOT(OR(EXACT(I10,"substantive"),EXACT(I10,"minor_presentation"),EXACT(I10,"indeterminate")))),AND(AND(D10="retain",E10="statistical_results"),J10&lt;&gt;"",NOT(OR(EXACT(J10,"direct"),EXACT(J10,"possible"),EXACT(J10,"unlikely"),EXACT(J10,"unknown")))),AND(AND(D10="retain",OR(E10="report_internal_inconsistency",E10="plan_material")),NOT(OR(EXACT(K10,"substantive_inconsistency"),EXACT(K10,"minor_presentation"),EXACT(K10,"non_inconsistency"),EXACT(K10,"indeterminate")))),AND(AND(D10="retain",E10="protocol_report"),L10&lt;&gt;"",NOT(OR(EXACT(L10,"substantive_difference"),EXACT(L10,"minor_presentation"),EXACT(L10,"version_timing"),EXACT(L10,"non_inconsistency"),EXACT(L10,"indeterminate"))))),"CHECK FIELDS",IF(AND(F10&lt;&gt;"",NOT(OR(EXACT(F10,"no"),EXACT(F10,"primary_done")))),"CHECK COMPLETE",IF(EXACT(F10,"primary_done"),"PRIMARY READY","PRIMARY DRAFT")))))),"CHECK INPUT / KEY")</f>
        <v/>
      </c>
      <c r="H10" s="21">
        <f>IF(AND(OR(D10="retain",D10=""),E10="statistical_results"),"","not_applicable")</f>
        <v/>
      </c>
      <c r="I10" s="21">
        <f>IF(AND(OR(D10="retain",D10=""),E10="statistical_results"),"","not_applicable")</f>
        <v/>
      </c>
      <c r="J10" s="22">
        <f>IF(AND(OR(D10="retain",D10=""),E10="statistical_results"),"","not_applicable")</f>
        <v/>
      </c>
      <c r="K10" s="21">
        <f>IF(AND(OR(D10="retain",D10=""),OR(E10="report_internal_inconsistency",E10="plan_material")),"","not_applicable")</f>
        <v/>
      </c>
      <c r="L10" s="22">
        <f>IF(AND(OR(D10="retain",D10=""),E10="protocol_report"),"","not_applicable")</f>
        <v/>
      </c>
      <c r="M10" s="20" t="n"/>
      <c r="N10" s="23" t="n"/>
      <c r="O10" s="23" t="n"/>
      <c r="P10" s="23" t="n"/>
      <c r="Q10" s="23" t="n"/>
      <c r="R10" s="22" t="n"/>
    </row>
    <row r="11" ht="92" customFormat="1" customHeight="1" s="14">
      <c r="A11" s="24" t="inlineStr">
        <is>
          <t>2018::jama.2018.14282::C010</t>
        </is>
      </c>
      <c r="B11" s="24" t="inlineStr">
        <is>
          <t>High-flow do-not-intubate percentage does not reconcile</t>
        </is>
      </c>
      <c r="C11" s="24" t="inlineStr">
        <is>
          <t>DOC-001 Table 1 — PDF p. 4</t>
        </is>
      </c>
      <c r="D11" s="21" t="n"/>
      <c r="E11" s="21" t="inlineStr">
        <is>
          <t>statistical_results</t>
        </is>
      </c>
      <c r="F11" s="21" t="inlineStr">
        <is>
          <t>no</t>
        </is>
      </c>
      <c r="G11" s="24">
        <f>IFERROR(IF(LEN(TRIM(CLEAN(SUBSTITUTE(Setup!$B$2,CHAR(160)," "))))=0,"CHECK REVIEWER ID",IF(OR(A11="",COUNTIF($A$2:$A$29,A11)&lt;&gt;1,LEFT(A11,LEN("2018::jama.2018.14282::"))&lt;&gt;"2018::jama.2018.14282::"),"CHECK KEY",IF(OR(AND(NOT(AND(D11="retain",E11="statistical_results")),H11&lt;&gt;"",NOT(EXACT(H11,"not_applicable"))),AND(NOT(AND(D11="retain",E11="statistical_results")),I11&lt;&gt;"",NOT(EXACT(I11,"not_applicable"))),AND(NOT(AND(D11="retain",E11="statistical_results")),J11&lt;&gt;"",NOT(EXACT(J11,"not_applicable"))),AND(NOT(AND(D11="retain",OR(E11="report_internal_inconsistency",E11="plan_material"))),K11&lt;&gt;"",NOT(EXACT(K11,"not_applicable"))),AND(NOT(AND(D11="retain",E11="protocol_report")),L11&lt;&gt;"",NOT(EXACT(L11,"not_applicable")))),"CLEAR INACTIVE VALUES",IF(OR(NOT(OR(EXACT(D11,"retain"),EXACT(D11,"exclude"),EXACT(D11,"discuss"))),NOT(OR(EXACT(E11,"statistical_results"),EXACT(E11,"report_internal_inconsistency"),EXACT(E11,"plan_material"),EXACT(E11,"protocol_report"))),AND(AND(D11="retain",E11="statistical_results"),NOT(OR(EXACT(H11,"confirmed_issue"),EXACT(H11,"probable_issue"),EXACT(H11,"not_issue"),EXACT(H11,"indeterminate")))),AND(AND(D11="retain",E11="statistical_results"),NOT(OR(EXACT(I11,"substantive"),EXACT(I11,"minor_presentation"),EXACT(I11,"indeterminate")))),AND(AND(D11="retain",E11="statistical_results"),J11&lt;&gt;"",NOT(OR(EXACT(J11,"direct"),EXACT(J11,"possible"),EXACT(J11,"unlikely"),EXACT(J11,"unknown")))),AND(AND(D11="retain",OR(E11="report_internal_inconsistency",E11="plan_material")),NOT(OR(EXACT(K11,"substantive_inconsistency"),EXACT(K11,"minor_presentation"),EXACT(K11,"non_inconsistency"),EXACT(K11,"indeterminate")))),AND(AND(D11="retain",E11="protocol_report"),L11&lt;&gt;"",NOT(OR(EXACT(L11,"substantive_difference"),EXACT(L11,"minor_presentation"),EXACT(L11,"version_timing"),EXACT(L11,"non_inconsistency"),EXACT(L11,"indeterminate"))))),"CHECK FIELDS",IF(AND(F11&lt;&gt;"",NOT(OR(EXACT(F11,"no"),EXACT(F11,"primary_done")))),"CHECK COMPLETE",IF(EXACT(F11,"primary_done"),"PRIMARY READY","PRIMARY DRAFT")))))),"CHECK INPUT / KEY")</f>
        <v/>
      </c>
      <c r="H11" s="21">
        <f>IF(AND(OR(D11="retain",D11=""),E11="statistical_results"),"","not_applicable")</f>
        <v/>
      </c>
      <c r="I11" s="21">
        <f>IF(AND(OR(D11="retain",D11=""),E11="statistical_results"),"","not_applicable")</f>
        <v/>
      </c>
      <c r="J11" s="22">
        <f>IF(AND(OR(D11="retain",D11=""),E11="statistical_results"),"","not_applicable")</f>
        <v/>
      </c>
      <c r="K11" s="21">
        <f>IF(AND(OR(D11="retain",D11=""),OR(E11="report_internal_inconsistency",E11="plan_material")),"","not_applicable")</f>
        <v/>
      </c>
      <c r="L11" s="22">
        <f>IF(AND(OR(D11="retain",D11=""),E11="protocol_report"),"","not_applicable")</f>
        <v/>
      </c>
      <c r="M11" s="24" t="n"/>
      <c r="N11" s="23" t="n"/>
      <c r="O11" s="23" t="n"/>
      <c r="P11" s="23" t="n"/>
      <c r="Q11" s="23" t="n"/>
      <c r="R11" s="22" t="n"/>
    </row>
    <row r="12" ht="92" customFormat="1" customHeight="1" s="14">
      <c r="A12" s="20" t="inlineStr">
        <is>
          <t>2018::jama.2018.14282::C011</t>
        </is>
      </c>
      <c r="B12" s="20" t="inlineStr">
        <is>
          <t>High-flow do-not-resuscitate percentage does not reconcile</t>
        </is>
      </c>
      <c r="C12" s="20" t="inlineStr">
        <is>
          <t>DOC-001 Table 1 — PDF p. 4</t>
        </is>
      </c>
      <c r="D12" s="21" t="n"/>
      <c r="E12" s="21" t="inlineStr">
        <is>
          <t>statistical_results</t>
        </is>
      </c>
      <c r="F12" s="21" t="inlineStr">
        <is>
          <t>no</t>
        </is>
      </c>
      <c r="G12" s="20">
        <f>IFERROR(IF(LEN(TRIM(CLEAN(SUBSTITUTE(Setup!$B$2,CHAR(160)," "))))=0,"CHECK REVIEWER ID",IF(OR(A12="",COUNTIF($A$2:$A$29,A12)&lt;&gt;1,LEFT(A12,LEN("2018::jama.2018.14282::"))&lt;&gt;"2018::jama.2018.14282::"),"CHECK KEY",IF(OR(AND(NOT(AND(D12="retain",E12="statistical_results")),H12&lt;&gt;"",NOT(EXACT(H12,"not_applicable"))),AND(NOT(AND(D12="retain",E12="statistical_results")),I12&lt;&gt;"",NOT(EXACT(I12,"not_applicable"))),AND(NOT(AND(D12="retain",E12="statistical_results")),J12&lt;&gt;"",NOT(EXACT(J12,"not_applicable"))),AND(NOT(AND(D12="retain",OR(E12="report_internal_inconsistency",E12="plan_material"))),K12&lt;&gt;"",NOT(EXACT(K12,"not_applicable"))),AND(NOT(AND(D12="retain",E12="protocol_report")),L12&lt;&gt;"",NOT(EXACT(L12,"not_applicable")))),"CLEAR INACTIVE VALUES",IF(OR(NOT(OR(EXACT(D12,"retain"),EXACT(D12,"exclude"),EXACT(D12,"discuss"))),NOT(OR(EXACT(E12,"statistical_results"),EXACT(E12,"report_internal_inconsistency"),EXACT(E12,"plan_material"),EXACT(E12,"protocol_report"))),AND(AND(D12="retain",E12="statistical_results"),NOT(OR(EXACT(H12,"confirmed_issue"),EXACT(H12,"probable_issue"),EXACT(H12,"not_issue"),EXACT(H12,"indeterminate")))),AND(AND(D12="retain",E12="statistical_results"),NOT(OR(EXACT(I12,"substantive"),EXACT(I12,"minor_presentation"),EXACT(I12,"indeterminate")))),AND(AND(D12="retain",E12="statistical_results"),J12&lt;&gt;"",NOT(OR(EXACT(J12,"direct"),EXACT(J12,"possible"),EXACT(J12,"unlikely"),EXACT(J12,"unknown")))),AND(AND(D12="retain",OR(E12="report_internal_inconsistency",E12="plan_material")),NOT(OR(EXACT(K12,"substantive_inconsistency"),EXACT(K12,"minor_presentation"),EXACT(K12,"non_inconsistency"),EXACT(K12,"indeterminate")))),AND(AND(D12="retain",E12="protocol_report"),L12&lt;&gt;"",NOT(OR(EXACT(L12,"substantive_difference"),EXACT(L12,"minor_presentation"),EXACT(L12,"version_timing"),EXACT(L12,"non_inconsistency"),EXACT(L12,"indeterminate"))))),"CHECK FIELDS",IF(AND(F12&lt;&gt;"",NOT(OR(EXACT(F12,"no"),EXACT(F12,"primary_done")))),"CHECK COMPLETE",IF(EXACT(F12,"primary_done"),"PRIMARY READY","PRIMARY DRAFT")))))),"CHECK INPUT / KEY")</f>
        <v/>
      </c>
      <c r="H12" s="21">
        <f>IF(AND(OR(D12="retain",D12=""),E12="statistical_results"),"","not_applicable")</f>
        <v/>
      </c>
      <c r="I12" s="21">
        <f>IF(AND(OR(D12="retain",D12=""),E12="statistical_results"),"","not_applicable")</f>
        <v/>
      </c>
      <c r="J12" s="22">
        <f>IF(AND(OR(D12="retain",D12=""),E12="statistical_results"),"","not_applicable")</f>
        <v/>
      </c>
      <c r="K12" s="21">
        <f>IF(AND(OR(D12="retain",D12=""),OR(E12="report_internal_inconsistency",E12="plan_material")),"","not_applicable")</f>
        <v/>
      </c>
      <c r="L12" s="22">
        <f>IF(AND(OR(D12="retain",D12=""),E12="protocol_report"),"","not_applicable")</f>
        <v/>
      </c>
      <c r="M12" s="20" t="n"/>
      <c r="N12" s="23" t="n"/>
      <c r="O12" s="23" t="n"/>
      <c r="P12" s="23" t="n"/>
      <c r="Q12" s="23" t="n"/>
      <c r="R12" s="22" t="n"/>
    </row>
    <row r="13" ht="92" customFormat="1" customHeight="1" s="14">
      <c r="A13" s="24" t="inlineStr">
        <is>
          <t>2018::jama.2018.14282::C012</t>
        </is>
      </c>
      <c r="B13" s="24" t="inlineStr">
        <is>
          <t>Standard-arm do-not-resuscitate percentage does not reconcile</t>
        </is>
      </c>
      <c r="C13" s="24" t="inlineStr">
        <is>
          <t>DOC-001 Table 1 — PDF p. 4</t>
        </is>
      </c>
      <c r="D13" s="21" t="n"/>
      <c r="E13" s="21" t="inlineStr">
        <is>
          <t>statistical_results</t>
        </is>
      </c>
      <c r="F13" s="21" t="inlineStr">
        <is>
          <t>no</t>
        </is>
      </c>
      <c r="G13" s="24">
        <f>IFERROR(IF(LEN(TRIM(CLEAN(SUBSTITUTE(Setup!$B$2,CHAR(160)," "))))=0,"CHECK REVIEWER ID",IF(OR(A13="",COUNTIF($A$2:$A$29,A13)&lt;&gt;1,LEFT(A13,LEN("2018::jama.2018.14282::"))&lt;&gt;"2018::jama.2018.14282::"),"CHECK KEY",IF(OR(AND(NOT(AND(D13="retain",E13="statistical_results")),H13&lt;&gt;"",NOT(EXACT(H13,"not_applicable"))),AND(NOT(AND(D13="retain",E13="statistical_results")),I13&lt;&gt;"",NOT(EXACT(I13,"not_applicable"))),AND(NOT(AND(D13="retain",E13="statistical_results")),J13&lt;&gt;"",NOT(EXACT(J13,"not_applicable"))),AND(NOT(AND(D13="retain",OR(E13="report_internal_inconsistency",E13="plan_material"))),K13&lt;&gt;"",NOT(EXACT(K13,"not_applicable"))),AND(NOT(AND(D13="retain",E13="protocol_report")),L13&lt;&gt;"",NOT(EXACT(L13,"not_applicable")))),"CLEAR INACTIVE VALUES",IF(OR(NOT(OR(EXACT(D13,"retain"),EXACT(D13,"exclude"),EXACT(D13,"discuss"))),NOT(OR(EXACT(E13,"statistical_results"),EXACT(E13,"report_internal_inconsistency"),EXACT(E13,"plan_material"),EXACT(E13,"protocol_report"))),AND(AND(D13="retain",E13="statistical_results"),NOT(OR(EXACT(H13,"confirmed_issue"),EXACT(H13,"probable_issue"),EXACT(H13,"not_issue"),EXACT(H13,"indeterminate")))),AND(AND(D13="retain",E13="statistical_results"),NOT(OR(EXACT(I13,"substantive"),EXACT(I13,"minor_presentation"),EXACT(I13,"indeterminate")))),AND(AND(D13="retain",E13="statistical_results"),J13&lt;&gt;"",NOT(OR(EXACT(J13,"direct"),EXACT(J13,"possible"),EXACT(J13,"unlikely"),EXACT(J13,"unknown")))),AND(AND(D13="retain",OR(E13="report_internal_inconsistency",E13="plan_material")),NOT(OR(EXACT(K13,"substantive_inconsistency"),EXACT(K13,"minor_presentation"),EXACT(K13,"non_inconsistency"),EXACT(K13,"indeterminate")))),AND(AND(D13="retain",E13="protocol_report"),L13&lt;&gt;"",NOT(OR(EXACT(L13,"substantive_difference"),EXACT(L13,"minor_presentation"),EXACT(L13,"version_timing"),EXACT(L13,"non_inconsistency"),EXACT(L13,"indeterminate"))))),"CHECK FIELDS",IF(AND(F13&lt;&gt;"",NOT(OR(EXACT(F13,"no"),EXACT(F13,"primary_done")))),"CHECK COMPLETE",IF(EXACT(F13,"primary_done"),"PRIMARY READY","PRIMARY DRAFT")))))),"CHECK INPUT / KEY")</f>
        <v/>
      </c>
      <c r="H13" s="21">
        <f>IF(AND(OR(D13="retain",D13=""),E13="statistical_results"),"","not_applicable")</f>
        <v/>
      </c>
      <c r="I13" s="21">
        <f>IF(AND(OR(D13="retain",D13=""),E13="statistical_results"),"","not_applicable")</f>
        <v/>
      </c>
      <c r="J13" s="22">
        <f>IF(AND(OR(D13="retain",D13=""),E13="statistical_results"),"","not_applicable")</f>
        <v/>
      </c>
      <c r="K13" s="21">
        <f>IF(AND(OR(D13="retain",D13=""),OR(E13="report_internal_inconsistency",E13="plan_material")),"","not_applicable")</f>
        <v/>
      </c>
      <c r="L13" s="22">
        <f>IF(AND(OR(D13="retain",D13=""),E13="protocol_report"),"","not_applicable")</f>
        <v/>
      </c>
      <c r="M13" s="24" t="n"/>
      <c r="N13" s="23" t="n"/>
      <c r="O13" s="23" t="n"/>
      <c r="P13" s="23" t="n"/>
      <c r="Q13" s="23" t="n"/>
      <c r="R13" s="22" t="n"/>
    </row>
    <row r="14" ht="92" customFormat="1" customHeight="1" s="14">
      <c r="A14" s="20" t="inlineStr">
        <is>
          <t>2018::jama.2018.14282::C013</t>
        </is>
      </c>
      <c r="B14" s="20" t="inlineStr">
        <is>
          <t>Standard-arm unknown-goals percentage does not reconcile</t>
        </is>
      </c>
      <c r="C14" s="20" t="inlineStr">
        <is>
          <t>DOC-001 Table 1 — PDF p. 4</t>
        </is>
      </c>
      <c r="D14" s="21" t="n"/>
      <c r="E14" s="21" t="inlineStr">
        <is>
          <t>statistical_results</t>
        </is>
      </c>
      <c r="F14" s="21" t="inlineStr">
        <is>
          <t>no</t>
        </is>
      </c>
      <c r="G14" s="20">
        <f>IFERROR(IF(LEN(TRIM(CLEAN(SUBSTITUTE(Setup!$B$2,CHAR(160)," "))))=0,"CHECK REVIEWER ID",IF(OR(A14="",COUNTIF($A$2:$A$29,A14)&lt;&gt;1,LEFT(A14,LEN("2018::jama.2018.14282::"))&lt;&gt;"2018::jama.2018.14282::"),"CHECK KEY",IF(OR(AND(NOT(AND(D14="retain",E14="statistical_results")),H14&lt;&gt;"",NOT(EXACT(H14,"not_applicable"))),AND(NOT(AND(D14="retain",E14="statistical_results")),I14&lt;&gt;"",NOT(EXACT(I14,"not_applicable"))),AND(NOT(AND(D14="retain",E14="statistical_results")),J14&lt;&gt;"",NOT(EXACT(J14,"not_applicable"))),AND(NOT(AND(D14="retain",OR(E14="report_internal_inconsistency",E14="plan_material"))),K14&lt;&gt;"",NOT(EXACT(K14,"not_applicable"))),AND(NOT(AND(D14="retain",E14="protocol_report")),L14&lt;&gt;"",NOT(EXACT(L14,"not_applicable")))),"CLEAR INACTIVE VALUES",IF(OR(NOT(OR(EXACT(D14,"retain"),EXACT(D14,"exclude"),EXACT(D14,"discuss"))),NOT(OR(EXACT(E14,"statistical_results"),EXACT(E14,"report_internal_inconsistency"),EXACT(E14,"plan_material"),EXACT(E14,"protocol_report"))),AND(AND(D14="retain",E14="statistical_results"),NOT(OR(EXACT(H14,"confirmed_issue"),EXACT(H14,"probable_issue"),EXACT(H14,"not_issue"),EXACT(H14,"indeterminate")))),AND(AND(D14="retain",E14="statistical_results"),NOT(OR(EXACT(I14,"substantive"),EXACT(I14,"minor_presentation"),EXACT(I14,"indeterminate")))),AND(AND(D14="retain",E14="statistical_results"),J14&lt;&gt;"",NOT(OR(EXACT(J14,"direct"),EXACT(J14,"possible"),EXACT(J14,"unlikely"),EXACT(J14,"unknown")))),AND(AND(D14="retain",OR(E14="report_internal_inconsistency",E14="plan_material")),NOT(OR(EXACT(K14,"substantive_inconsistency"),EXACT(K14,"minor_presentation"),EXACT(K14,"non_inconsistency"),EXACT(K14,"indeterminate")))),AND(AND(D14="retain",E14="protocol_report"),L14&lt;&gt;"",NOT(OR(EXACT(L14,"substantive_difference"),EXACT(L14,"minor_presentation"),EXACT(L14,"version_timing"),EXACT(L14,"non_inconsistency"),EXACT(L14,"indeterminate"))))),"CHECK FIELDS",IF(AND(F14&lt;&gt;"",NOT(OR(EXACT(F14,"no"),EXACT(F14,"primary_done")))),"CHECK COMPLETE",IF(EXACT(F14,"primary_done"),"PRIMARY READY","PRIMARY DRAFT")))))),"CHECK INPUT / KEY")</f>
        <v/>
      </c>
      <c r="H14" s="21">
        <f>IF(AND(OR(D14="retain",D14=""),E14="statistical_results"),"","not_applicable")</f>
        <v/>
      </c>
      <c r="I14" s="21">
        <f>IF(AND(OR(D14="retain",D14=""),E14="statistical_results"),"","not_applicable")</f>
        <v/>
      </c>
      <c r="J14" s="22">
        <f>IF(AND(OR(D14="retain",D14=""),E14="statistical_results"),"","not_applicable")</f>
        <v/>
      </c>
      <c r="K14" s="21">
        <f>IF(AND(OR(D14="retain",D14=""),OR(E14="report_internal_inconsistency",E14="plan_material")),"","not_applicable")</f>
        <v/>
      </c>
      <c r="L14" s="22">
        <f>IF(AND(OR(D14="retain",D14=""),E14="protocol_report"),"","not_applicable")</f>
        <v/>
      </c>
      <c r="M14" s="20" t="n"/>
      <c r="N14" s="23" t="n"/>
      <c r="O14" s="23" t="n"/>
      <c r="P14" s="23" t="n"/>
      <c r="Q14" s="23" t="n"/>
      <c r="R14" s="22" t="n"/>
    </row>
    <row r="15" ht="92" customFormat="1" customHeight="1" s="14">
      <c r="A15" s="24" t="inlineStr">
        <is>
          <t>2018::jama.2018.14282::C014</t>
        </is>
      </c>
      <c r="B15" s="24" t="inlineStr">
        <is>
          <t>High-flow pre-randomization standard-oxygen percentage does not reconcile</t>
        </is>
      </c>
      <c r="C15" s="24" t="inlineStr">
        <is>
          <t>DOC-001 Table 1 — PDF p. 4</t>
        </is>
      </c>
      <c r="D15" s="21" t="n"/>
      <c r="E15" s="21" t="inlineStr">
        <is>
          <t>statistical_results</t>
        </is>
      </c>
      <c r="F15" s="21" t="inlineStr">
        <is>
          <t>no</t>
        </is>
      </c>
      <c r="G15" s="24">
        <f>IFERROR(IF(LEN(TRIM(CLEAN(SUBSTITUTE(Setup!$B$2,CHAR(160)," "))))=0,"CHECK REVIEWER ID",IF(OR(A15="",COUNTIF($A$2:$A$29,A15)&lt;&gt;1,LEFT(A15,LEN("2018::jama.2018.14282::"))&lt;&gt;"2018::jama.2018.14282::"),"CHECK KEY",IF(OR(AND(NOT(AND(D15="retain",E15="statistical_results")),H15&lt;&gt;"",NOT(EXACT(H15,"not_applicable"))),AND(NOT(AND(D15="retain",E15="statistical_results")),I15&lt;&gt;"",NOT(EXACT(I15,"not_applicable"))),AND(NOT(AND(D15="retain",E15="statistical_results")),J15&lt;&gt;"",NOT(EXACT(J15,"not_applicable"))),AND(NOT(AND(D15="retain",OR(E15="report_internal_inconsistency",E15="plan_material"))),K15&lt;&gt;"",NOT(EXACT(K15,"not_applicable"))),AND(NOT(AND(D15="retain",E15="protocol_report")),L15&lt;&gt;"",NOT(EXACT(L15,"not_applicable")))),"CLEAR INACTIVE VALUES",IF(OR(NOT(OR(EXACT(D15,"retain"),EXACT(D15,"exclude"),EXACT(D15,"discuss"))),NOT(OR(EXACT(E15,"statistical_results"),EXACT(E15,"report_internal_inconsistency"),EXACT(E15,"plan_material"),EXACT(E15,"protocol_report"))),AND(AND(D15="retain",E15="statistical_results"),NOT(OR(EXACT(H15,"confirmed_issue"),EXACT(H15,"probable_issue"),EXACT(H15,"not_issue"),EXACT(H15,"indeterminate")))),AND(AND(D15="retain",E15="statistical_results"),NOT(OR(EXACT(I15,"substantive"),EXACT(I15,"minor_presentation"),EXACT(I15,"indeterminate")))),AND(AND(D15="retain",E15="statistical_results"),J15&lt;&gt;"",NOT(OR(EXACT(J15,"direct"),EXACT(J15,"possible"),EXACT(J15,"unlikely"),EXACT(J15,"unknown")))),AND(AND(D15="retain",OR(E15="report_internal_inconsistency",E15="plan_material")),NOT(OR(EXACT(K15,"substantive_inconsistency"),EXACT(K15,"minor_presentation"),EXACT(K15,"non_inconsistency"),EXACT(K15,"indeterminate")))),AND(AND(D15="retain",E15="protocol_report"),L15&lt;&gt;"",NOT(OR(EXACT(L15,"substantive_difference"),EXACT(L15,"minor_presentation"),EXACT(L15,"version_timing"),EXACT(L15,"non_inconsistency"),EXACT(L15,"indeterminate"))))),"CHECK FIELDS",IF(AND(F15&lt;&gt;"",NOT(OR(EXACT(F15,"no"),EXACT(F15,"primary_done")))),"CHECK COMPLETE",IF(EXACT(F15,"primary_done"),"PRIMARY READY","PRIMARY DRAFT")))))),"CHECK INPUT / KEY")</f>
        <v/>
      </c>
      <c r="H15" s="21">
        <f>IF(AND(OR(D15="retain",D15=""),E15="statistical_results"),"","not_applicable")</f>
        <v/>
      </c>
      <c r="I15" s="21">
        <f>IF(AND(OR(D15="retain",D15=""),E15="statistical_results"),"","not_applicable")</f>
        <v/>
      </c>
      <c r="J15" s="22">
        <f>IF(AND(OR(D15="retain",D15=""),E15="statistical_results"),"","not_applicable")</f>
        <v/>
      </c>
      <c r="K15" s="21">
        <f>IF(AND(OR(D15="retain",D15=""),OR(E15="report_internal_inconsistency",E15="plan_material")),"","not_applicable")</f>
        <v/>
      </c>
      <c r="L15" s="22">
        <f>IF(AND(OR(D15="retain",D15=""),E15="protocol_report"),"","not_applicable")</f>
        <v/>
      </c>
      <c r="M15" s="24" t="n"/>
      <c r="N15" s="23" t="n"/>
      <c r="O15" s="23" t="n"/>
      <c r="P15" s="23" t="n"/>
      <c r="Q15" s="23" t="n"/>
      <c r="R15" s="22" t="n"/>
    </row>
    <row r="16" ht="92" customFormat="1" customHeight="1" s="14">
      <c r="A16" s="20" t="inlineStr">
        <is>
          <t>2018::jama.2018.14282::C015</t>
        </is>
      </c>
      <c r="B16" s="20" t="inlineStr">
        <is>
          <t>High-flow ICU-acquired-infection percentage does not reconcile</t>
        </is>
      </c>
      <c r="C16" s="20" t="inlineStr">
        <is>
          <t>DOC-001 Table 2 — PDF p. 5</t>
        </is>
      </c>
      <c r="D16" s="21" t="n"/>
      <c r="E16" s="21" t="inlineStr">
        <is>
          <t>statistical_results</t>
        </is>
      </c>
      <c r="F16" s="21" t="inlineStr">
        <is>
          <t>no</t>
        </is>
      </c>
      <c r="G16" s="20">
        <f>IFERROR(IF(LEN(TRIM(CLEAN(SUBSTITUTE(Setup!$B$2,CHAR(160)," "))))=0,"CHECK REVIEWER ID",IF(OR(A16="",COUNTIF($A$2:$A$29,A16)&lt;&gt;1,LEFT(A16,LEN("2018::jama.2018.14282::"))&lt;&gt;"2018::jama.2018.14282::"),"CHECK KEY",IF(OR(AND(NOT(AND(D16="retain",E16="statistical_results")),H16&lt;&gt;"",NOT(EXACT(H16,"not_applicable"))),AND(NOT(AND(D16="retain",E16="statistical_results")),I16&lt;&gt;"",NOT(EXACT(I16,"not_applicable"))),AND(NOT(AND(D16="retain",E16="statistical_results")),J16&lt;&gt;"",NOT(EXACT(J16,"not_applicable"))),AND(NOT(AND(D16="retain",OR(E16="report_internal_inconsistency",E16="plan_material"))),K16&lt;&gt;"",NOT(EXACT(K16,"not_applicable"))),AND(NOT(AND(D16="retain",E16="protocol_report")),L16&lt;&gt;"",NOT(EXACT(L16,"not_applicable")))),"CLEAR INACTIVE VALUES",IF(OR(NOT(OR(EXACT(D16,"retain"),EXACT(D16,"exclude"),EXACT(D16,"discuss"))),NOT(OR(EXACT(E16,"statistical_results"),EXACT(E16,"report_internal_inconsistency"),EXACT(E16,"plan_material"),EXACT(E16,"protocol_report"))),AND(AND(D16="retain",E16="statistical_results"),NOT(OR(EXACT(H16,"confirmed_issue"),EXACT(H16,"probable_issue"),EXACT(H16,"not_issue"),EXACT(H16,"indeterminate")))),AND(AND(D16="retain",E16="statistical_results"),NOT(OR(EXACT(I16,"substantive"),EXACT(I16,"minor_presentation"),EXACT(I16,"indeterminate")))),AND(AND(D16="retain",E16="statistical_results"),J16&lt;&gt;"",NOT(OR(EXACT(J16,"direct"),EXACT(J16,"possible"),EXACT(J16,"unlikely"),EXACT(J16,"unknown")))),AND(AND(D16="retain",OR(E16="report_internal_inconsistency",E16="plan_material")),NOT(OR(EXACT(K16,"substantive_inconsistency"),EXACT(K16,"minor_presentation"),EXACT(K16,"non_inconsistency"),EXACT(K16,"indeterminate")))),AND(AND(D16="retain",E16="protocol_report"),L16&lt;&gt;"",NOT(OR(EXACT(L16,"substantive_difference"),EXACT(L16,"minor_presentation"),EXACT(L16,"version_timing"),EXACT(L16,"non_inconsistency"),EXACT(L16,"indeterminate"))))),"CHECK FIELDS",IF(AND(F16&lt;&gt;"",NOT(OR(EXACT(F16,"no"),EXACT(F16,"primary_done")))),"CHECK COMPLETE",IF(EXACT(F16,"primary_done"),"PRIMARY READY","PRIMARY DRAFT")))))),"CHECK INPUT / KEY")</f>
        <v/>
      </c>
      <c r="H16" s="21">
        <f>IF(AND(OR(D16="retain",D16=""),E16="statistical_results"),"","not_applicable")</f>
        <v/>
      </c>
      <c r="I16" s="21">
        <f>IF(AND(OR(D16="retain",D16=""),E16="statistical_results"),"","not_applicable")</f>
        <v/>
      </c>
      <c r="J16" s="22">
        <f>IF(AND(OR(D16="retain",D16=""),E16="statistical_results"),"","not_applicable")</f>
        <v/>
      </c>
      <c r="K16" s="21">
        <f>IF(AND(OR(D16="retain",D16=""),OR(E16="report_internal_inconsistency",E16="plan_material")),"","not_applicable")</f>
        <v/>
      </c>
      <c r="L16" s="22">
        <f>IF(AND(OR(D16="retain",D16=""),E16="protocol_report"),"","not_applicable")</f>
        <v/>
      </c>
      <c r="M16" s="20" t="n"/>
      <c r="N16" s="23" t="n"/>
      <c r="O16" s="23" t="n"/>
      <c r="P16" s="23" t="n"/>
      <c r="Q16" s="23" t="n"/>
      <c r="R16" s="22" t="n"/>
    </row>
    <row r="17" ht="92" customFormat="1" customHeight="1" s="14">
      <c r="A17" s="24" t="inlineStr">
        <is>
          <t>2018::jama.2018.14282::C016</t>
        </is>
      </c>
      <c r="B17" s="24" t="inlineStr">
        <is>
          <t>Standard-arm hospital-mortality percentage does not reconcile</t>
        </is>
      </c>
      <c r="C17" s="24" t="inlineStr">
        <is>
          <t>DOC-001 Table 2 — PDF p. 5</t>
        </is>
      </c>
      <c r="D17" s="21" t="n"/>
      <c r="E17" s="21" t="inlineStr">
        <is>
          <t>statistical_results</t>
        </is>
      </c>
      <c r="F17" s="21" t="inlineStr">
        <is>
          <t>no</t>
        </is>
      </c>
      <c r="G17" s="24">
        <f>IFERROR(IF(LEN(TRIM(CLEAN(SUBSTITUTE(Setup!$B$2,CHAR(160)," "))))=0,"CHECK REVIEWER ID",IF(OR(A17="",COUNTIF($A$2:$A$29,A17)&lt;&gt;1,LEFT(A17,LEN("2018::jama.2018.14282::"))&lt;&gt;"2018::jama.2018.14282::"),"CHECK KEY",IF(OR(AND(NOT(AND(D17="retain",E17="statistical_results")),H17&lt;&gt;"",NOT(EXACT(H17,"not_applicable"))),AND(NOT(AND(D17="retain",E17="statistical_results")),I17&lt;&gt;"",NOT(EXACT(I17,"not_applicable"))),AND(NOT(AND(D17="retain",E17="statistical_results")),J17&lt;&gt;"",NOT(EXACT(J17,"not_applicable"))),AND(NOT(AND(D17="retain",OR(E17="report_internal_inconsistency",E17="plan_material"))),K17&lt;&gt;"",NOT(EXACT(K17,"not_applicable"))),AND(NOT(AND(D17="retain",E17="protocol_report")),L17&lt;&gt;"",NOT(EXACT(L17,"not_applicable")))),"CLEAR INACTIVE VALUES",IF(OR(NOT(OR(EXACT(D17,"retain"),EXACT(D17,"exclude"),EXACT(D17,"discuss"))),NOT(OR(EXACT(E17,"statistical_results"),EXACT(E17,"report_internal_inconsistency"),EXACT(E17,"plan_material"),EXACT(E17,"protocol_report"))),AND(AND(D17="retain",E17="statistical_results"),NOT(OR(EXACT(H17,"confirmed_issue"),EXACT(H17,"probable_issue"),EXACT(H17,"not_issue"),EXACT(H17,"indeterminate")))),AND(AND(D17="retain",E17="statistical_results"),NOT(OR(EXACT(I17,"substantive"),EXACT(I17,"minor_presentation"),EXACT(I17,"indeterminate")))),AND(AND(D17="retain",E17="statistical_results"),J17&lt;&gt;"",NOT(OR(EXACT(J17,"direct"),EXACT(J17,"possible"),EXACT(J17,"unlikely"),EXACT(J17,"unknown")))),AND(AND(D17="retain",OR(E17="report_internal_inconsistency",E17="plan_material")),NOT(OR(EXACT(K17,"substantive_inconsistency"),EXACT(K17,"minor_presentation"),EXACT(K17,"non_inconsistency"),EXACT(K17,"indeterminate")))),AND(AND(D17="retain",E17="protocol_report"),L17&lt;&gt;"",NOT(OR(EXACT(L17,"substantive_difference"),EXACT(L17,"minor_presentation"),EXACT(L17,"version_timing"),EXACT(L17,"non_inconsistency"),EXACT(L17,"indeterminate"))))),"CHECK FIELDS",IF(AND(F17&lt;&gt;"",NOT(OR(EXACT(F17,"no"),EXACT(F17,"primary_done")))),"CHECK COMPLETE",IF(EXACT(F17,"primary_done"),"PRIMARY READY","PRIMARY DRAFT")))))),"CHECK INPUT / KEY")</f>
        <v/>
      </c>
      <c r="H17" s="21">
        <f>IF(AND(OR(D17="retain",D17=""),E17="statistical_results"),"","not_applicable")</f>
        <v/>
      </c>
      <c r="I17" s="21">
        <f>IF(AND(OR(D17="retain",D17=""),E17="statistical_results"),"","not_applicable")</f>
        <v/>
      </c>
      <c r="J17" s="22">
        <f>IF(AND(OR(D17="retain",D17=""),E17="statistical_results"),"","not_applicable")</f>
        <v/>
      </c>
      <c r="K17" s="21">
        <f>IF(AND(OR(D17="retain",D17=""),OR(E17="report_internal_inconsistency",E17="plan_material")),"","not_applicable")</f>
        <v/>
      </c>
      <c r="L17" s="22">
        <f>IF(AND(OR(D17="retain",D17=""),E17="protocol_report"),"","not_applicable")</f>
        <v/>
      </c>
      <c r="M17" s="24" t="n"/>
      <c r="N17" s="23" t="n"/>
      <c r="O17" s="23" t="n"/>
      <c r="P17" s="23" t="n"/>
      <c r="Q17" s="23" t="n"/>
      <c r="R17" s="22" t="n"/>
    </row>
    <row r="18" ht="92" customFormat="1" customHeight="1" s="14">
      <c r="A18" s="20" t="inlineStr">
        <is>
          <t>2018::jama.2018.14282::C017</t>
        </is>
      </c>
      <c r="B18" s="20" t="inlineStr">
        <is>
          <t>Respiratory-rate confidence-interval endpoint differs between matched occurrences</t>
        </is>
      </c>
      <c r="C18" s="20" t="inlineStr">
        <is>
          <t>DOC-001 abstract — PDF p. 1; DOC-001 results — PDF p. 6</t>
        </is>
      </c>
      <c r="D18" s="21" t="n"/>
      <c r="E18" s="21" t="inlineStr">
        <is>
          <t>report_internal_inconsistency</t>
        </is>
      </c>
      <c r="F18" s="21" t="inlineStr">
        <is>
          <t>no</t>
        </is>
      </c>
      <c r="G18" s="20">
        <f>IFERROR(IF(LEN(TRIM(CLEAN(SUBSTITUTE(Setup!$B$2,CHAR(160)," "))))=0,"CHECK REVIEWER ID",IF(OR(A18="",COUNTIF($A$2:$A$29,A18)&lt;&gt;1,LEFT(A18,LEN("2018::jama.2018.14282::"))&lt;&gt;"2018::jama.2018.14282::"),"CHECK KEY",IF(OR(AND(NOT(AND(D18="retain",E18="statistical_results")),H18&lt;&gt;"",NOT(EXACT(H18,"not_applicable"))),AND(NOT(AND(D18="retain",E18="statistical_results")),I18&lt;&gt;"",NOT(EXACT(I18,"not_applicable"))),AND(NOT(AND(D18="retain",E18="statistical_results")),J18&lt;&gt;"",NOT(EXACT(J18,"not_applicable"))),AND(NOT(AND(D18="retain",OR(E18="report_internal_inconsistency",E18="plan_material"))),K18&lt;&gt;"",NOT(EXACT(K18,"not_applicable"))),AND(NOT(AND(D18="retain",E18="protocol_report")),L18&lt;&gt;"",NOT(EXACT(L18,"not_applicable")))),"CLEAR INACTIVE VALUES",IF(OR(NOT(OR(EXACT(D18,"retain"),EXACT(D18,"exclude"),EXACT(D18,"discuss"))),NOT(OR(EXACT(E18,"statistical_results"),EXACT(E18,"report_internal_inconsistency"),EXACT(E18,"plan_material"),EXACT(E18,"protocol_report"))),AND(AND(D18="retain",E18="statistical_results"),NOT(OR(EXACT(H18,"confirmed_issue"),EXACT(H18,"probable_issue"),EXACT(H18,"not_issue"),EXACT(H18,"indeterminate")))),AND(AND(D18="retain",E18="statistical_results"),NOT(OR(EXACT(I18,"substantive"),EXACT(I18,"minor_presentation"),EXACT(I18,"indeterminate")))),AND(AND(D18="retain",E18="statistical_results"),J18&lt;&gt;"",NOT(OR(EXACT(J18,"direct"),EXACT(J18,"possible"),EXACT(J18,"unlikely"),EXACT(J18,"unknown")))),AND(AND(D18="retain",OR(E18="report_internal_inconsistency",E18="plan_material")),NOT(OR(EXACT(K18,"substantive_inconsistency"),EXACT(K18,"minor_presentation"),EXACT(K18,"non_inconsistency"),EXACT(K18,"indeterminate")))),AND(AND(D18="retain",E18="protocol_report"),L18&lt;&gt;"",NOT(OR(EXACT(L18,"substantive_difference"),EXACT(L18,"minor_presentation"),EXACT(L18,"version_timing"),EXACT(L18,"non_inconsistency"),EXACT(L18,"indeterminate"))))),"CHECK FIELDS",IF(AND(F18&lt;&gt;"",NOT(OR(EXACT(F18,"no"),EXACT(F18,"primary_done")))),"CHECK COMPLETE",IF(EXACT(F18,"primary_done"),"PRIMARY READY","PRIMARY DRAFT")))))),"CHECK INPUT / KEY")</f>
        <v/>
      </c>
      <c r="H18" s="21">
        <f>IF(AND(OR(D18="retain",D18=""),E18="statistical_results"),"","not_applicable")</f>
        <v/>
      </c>
      <c r="I18" s="21">
        <f>IF(AND(OR(D18="retain",D18=""),E18="statistical_results"),"","not_applicable")</f>
        <v/>
      </c>
      <c r="J18" s="22">
        <f>IF(AND(OR(D18="retain",D18=""),E18="statistical_results"),"","not_applicable")</f>
        <v/>
      </c>
      <c r="K18" s="21">
        <f>IF(AND(OR(D18="retain",D18=""),OR(E18="report_internal_inconsistency",E18="plan_material")),"","not_applicable")</f>
        <v/>
      </c>
      <c r="L18" s="22">
        <f>IF(AND(OR(D18="retain",D18=""),E18="protocol_report"),"","not_applicable")</f>
        <v/>
      </c>
      <c r="M18" s="20" t="n"/>
      <c r="N18" s="23" t="n"/>
      <c r="O18" s="23" t="n"/>
      <c r="P18" s="23" t="n"/>
      <c r="Q18" s="23" t="n"/>
      <c r="R18" s="22" t="n"/>
    </row>
    <row r="19" ht="92" customFormat="1" customHeight="1" s="14">
      <c r="A19" s="24" t="inlineStr">
        <is>
          <t>2018::jama.2018.14282::C018</t>
        </is>
      </c>
      <c r="B19" s="24" t="inlineStr">
        <is>
          <t>Arm-attributed support-needs percentages use the overall-population denominator</t>
        </is>
      </c>
      <c r="C19" s="24" t="inlineStr">
        <is>
          <t>DOC-001 post hoc outcomes — PDF p. 6</t>
        </is>
      </c>
      <c r="D19" s="21" t="n"/>
      <c r="E19" s="21" t="inlineStr">
        <is>
          <t>statistical_results</t>
        </is>
      </c>
      <c r="F19" s="21" t="inlineStr">
        <is>
          <t>no</t>
        </is>
      </c>
      <c r="G19" s="24">
        <f>IFERROR(IF(LEN(TRIM(CLEAN(SUBSTITUTE(Setup!$B$2,CHAR(160)," "))))=0,"CHECK REVIEWER ID",IF(OR(A19="",COUNTIF($A$2:$A$29,A19)&lt;&gt;1,LEFT(A19,LEN("2018::jama.2018.14282::"))&lt;&gt;"2018::jama.2018.14282::"),"CHECK KEY",IF(OR(AND(NOT(AND(D19="retain",E19="statistical_results")),H19&lt;&gt;"",NOT(EXACT(H19,"not_applicable"))),AND(NOT(AND(D19="retain",E19="statistical_results")),I19&lt;&gt;"",NOT(EXACT(I19,"not_applicable"))),AND(NOT(AND(D19="retain",E19="statistical_results")),J19&lt;&gt;"",NOT(EXACT(J19,"not_applicable"))),AND(NOT(AND(D19="retain",OR(E19="report_internal_inconsistency",E19="plan_material"))),K19&lt;&gt;"",NOT(EXACT(K19,"not_applicable"))),AND(NOT(AND(D19="retain",E19="protocol_report")),L19&lt;&gt;"",NOT(EXACT(L19,"not_applicable")))),"CLEAR INACTIVE VALUES",IF(OR(NOT(OR(EXACT(D19,"retain"),EXACT(D19,"exclude"),EXACT(D19,"discuss"))),NOT(OR(EXACT(E19,"statistical_results"),EXACT(E19,"report_internal_inconsistency"),EXACT(E19,"plan_material"),EXACT(E19,"protocol_report"))),AND(AND(D19="retain",E19="statistical_results"),NOT(OR(EXACT(H19,"confirmed_issue"),EXACT(H19,"probable_issue"),EXACT(H19,"not_issue"),EXACT(H19,"indeterminate")))),AND(AND(D19="retain",E19="statistical_results"),NOT(OR(EXACT(I19,"substantive"),EXACT(I19,"minor_presentation"),EXACT(I19,"indeterminate")))),AND(AND(D19="retain",E19="statistical_results"),J19&lt;&gt;"",NOT(OR(EXACT(J19,"direct"),EXACT(J19,"possible"),EXACT(J19,"unlikely"),EXACT(J19,"unknown")))),AND(AND(D19="retain",OR(E19="report_internal_inconsistency",E19="plan_material")),NOT(OR(EXACT(K19,"substantive_inconsistency"),EXACT(K19,"minor_presentation"),EXACT(K19,"non_inconsistency"),EXACT(K19,"indeterminate")))),AND(AND(D19="retain",E19="protocol_report"),L19&lt;&gt;"",NOT(OR(EXACT(L19,"substantive_difference"),EXACT(L19,"minor_presentation"),EXACT(L19,"version_timing"),EXACT(L19,"non_inconsistency"),EXACT(L19,"indeterminate"))))),"CHECK FIELDS",IF(AND(F19&lt;&gt;"",NOT(OR(EXACT(F19,"no"),EXACT(F19,"primary_done")))),"CHECK COMPLETE",IF(EXACT(F19,"primary_done"),"PRIMARY READY","PRIMARY DRAFT")))))),"CHECK INPUT / KEY")</f>
        <v/>
      </c>
      <c r="H19" s="21">
        <f>IF(AND(OR(D19="retain",D19=""),E19="statistical_results"),"","not_applicable")</f>
        <v/>
      </c>
      <c r="I19" s="21">
        <f>IF(AND(OR(D19="retain",D19=""),E19="statistical_results"),"","not_applicable")</f>
        <v/>
      </c>
      <c r="J19" s="22">
        <f>IF(AND(OR(D19="retain",D19=""),E19="statistical_results"),"","not_applicable")</f>
        <v/>
      </c>
      <c r="K19" s="21">
        <f>IF(AND(OR(D19="retain",D19=""),OR(E19="report_internal_inconsistency",E19="plan_material")),"","not_applicable")</f>
        <v/>
      </c>
      <c r="L19" s="22">
        <f>IF(AND(OR(D19="retain",D19=""),E19="protocol_report"),"","not_applicable")</f>
        <v/>
      </c>
      <c r="M19" s="24" t="n"/>
      <c r="N19" s="23" t="n"/>
      <c r="O19" s="23" t="n"/>
      <c r="P19" s="23" t="n"/>
      <c r="Q19" s="23" t="n"/>
      <c r="R19" s="22" t="n"/>
    </row>
    <row r="20" ht="92" customFormat="1" customHeight="1" s="14">
      <c r="A20" s="20" t="inlineStr">
        <is>
          <t>2018::jama.2018.14282::C019</t>
        </is>
      </c>
      <c r="B20" s="20" t="inlineStr">
        <is>
          <t>eTable high-flow invasive-MV percentage does not reconcile</t>
        </is>
      </c>
      <c r="C20" s="20" t="inlineStr">
        <is>
          <t>DOC-003 eTable — PDF p. 2</t>
        </is>
      </c>
      <c r="D20" s="21" t="n"/>
      <c r="E20" s="21" t="inlineStr">
        <is>
          <t>statistical_results</t>
        </is>
      </c>
      <c r="F20" s="21" t="inlineStr">
        <is>
          <t>no</t>
        </is>
      </c>
      <c r="G20" s="20">
        <f>IFERROR(IF(LEN(TRIM(CLEAN(SUBSTITUTE(Setup!$B$2,CHAR(160)," "))))=0,"CHECK REVIEWER ID",IF(OR(A20="",COUNTIF($A$2:$A$29,A20)&lt;&gt;1,LEFT(A20,LEN("2018::jama.2018.14282::"))&lt;&gt;"2018::jama.2018.14282::"),"CHECK KEY",IF(OR(AND(NOT(AND(D20="retain",E20="statistical_results")),H20&lt;&gt;"",NOT(EXACT(H20,"not_applicable"))),AND(NOT(AND(D20="retain",E20="statistical_results")),I20&lt;&gt;"",NOT(EXACT(I20,"not_applicable"))),AND(NOT(AND(D20="retain",E20="statistical_results")),J20&lt;&gt;"",NOT(EXACT(J20,"not_applicable"))),AND(NOT(AND(D20="retain",OR(E20="report_internal_inconsistency",E20="plan_material"))),K20&lt;&gt;"",NOT(EXACT(K20,"not_applicable"))),AND(NOT(AND(D20="retain",E20="protocol_report")),L20&lt;&gt;"",NOT(EXACT(L20,"not_applicable")))),"CLEAR INACTIVE VALUES",IF(OR(NOT(OR(EXACT(D20,"retain"),EXACT(D20,"exclude"),EXACT(D20,"discuss"))),NOT(OR(EXACT(E20,"statistical_results"),EXACT(E20,"report_internal_inconsistency"),EXACT(E20,"plan_material"),EXACT(E20,"protocol_report"))),AND(AND(D20="retain",E20="statistical_results"),NOT(OR(EXACT(H20,"confirmed_issue"),EXACT(H20,"probable_issue"),EXACT(H20,"not_issue"),EXACT(H20,"indeterminate")))),AND(AND(D20="retain",E20="statistical_results"),NOT(OR(EXACT(I20,"substantive"),EXACT(I20,"minor_presentation"),EXACT(I20,"indeterminate")))),AND(AND(D20="retain",E20="statistical_results"),J20&lt;&gt;"",NOT(OR(EXACT(J20,"direct"),EXACT(J20,"possible"),EXACT(J20,"unlikely"),EXACT(J20,"unknown")))),AND(AND(D20="retain",OR(E20="report_internal_inconsistency",E20="plan_material")),NOT(OR(EXACT(K20,"substantive_inconsistency"),EXACT(K20,"minor_presentation"),EXACT(K20,"non_inconsistency"),EXACT(K20,"indeterminate")))),AND(AND(D20="retain",E20="protocol_report"),L20&lt;&gt;"",NOT(OR(EXACT(L20,"substantive_difference"),EXACT(L20,"minor_presentation"),EXACT(L20,"version_timing"),EXACT(L20,"non_inconsistency"),EXACT(L20,"indeterminate"))))),"CHECK FIELDS",IF(AND(F20&lt;&gt;"",NOT(OR(EXACT(F20,"no"),EXACT(F20,"primary_done")))),"CHECK COMPLETE",IF(EXACT(F20,"primary_done"),"PRIMARY READY","PRIMARY DRAFT")))))),"CHECK INPUT / KEY")</f>
        <v/>
      </c>
      <c r="H20" s="21">
        <f>IF(AND(OR(D20="retain",D20=""),E20="statistical_results"),"","not_applicable")</f>
        <v/>
      </c>
      <c r="I20" s="21">
        <f>IF(AND(OR(D20="retain",D20=""),E20="statistical_results"),"","not_applicable")</f>
        <v/>
      </c>
      <c r="J20" s="22">
        <f>IF(AND(OR(D20="retain",D20=""),E20="statistical_results"),"","not_applicable")</f>
        <v/>
      </c>
      <c r="K20" s="21">
        <f>IF(AND(OR(D20="retain",D20=""),OR(E20="report_internal_inconsistency",E20="plan_material")),"","not_applicable")</f>
        <v/>
      </c>
      <c r="L20" s="22">
        <f>IF(AND(OR(D20="retain",D20=""),E20="protocol_report"),"","not_applicable")</f>
        <v/>
      </c>
      <c r="M20" s="20" t="n"/>
      <c r="N20" s="23" t="n"/>
      <c r="O20" s="23" t="n"/>
      <c r="P20" s="23" t="n"/>
      <c r="Q20" s="23" t="n"/>
      <c r="R20" s="22" t="n"/>
    </row>
    <row r="21" ht="92" customFormat="1" customHeight="1" s="14">
      <c r="A21" s="24" t="inlineStr">
        <is>
          <t>2018::jama.2018.14282::C020</t>
        </is>
      </c>
      <c r="B21" s="24" t="inlineStr">
        <is>
          <t>eTable standard-arm invasive-MV percentage does not reconcile</t>
        </is>
      </c>
      <c r="C21" s="24" t="inlineStr">
        <is>
          <t>DOC-003 eTable — PDF p. 2</t>
        </is>
      </c>
      <c r="D21" s="21" t="n"/>
      <c r="E21" s="21" t="inlineStr">
        <is>
          <t>statistical_results</t>
        </is>
      </c>
      <c r="F21" s="21" t="inlineStr">
        <is>
          <t>no</t>
        </is>
      </c>
      <c r="G21" s="24">
        <f>IFERROR(IF(LEN(TRIM(CLEAN(SUBSTITUTE(Setup!$B$2,CHAR(160)," "))))=0,"CHECK REVIEWER ID",IF(OR(A21="",COUNTIF($A$2:$A$29,A21)&lt;&gt;1,LEFT(A21,LEN("2018::jama.2018.14282::"))&lt;&gt;"2018::jama.2018.14282::"),"CHECK KEY",IF(OR(AND(NOT(AND(D21="retain",E21="statistical_results")),H21&lt;&gt;"",NOT(EXACT(H21,"not_applicable"))),AND(NOT(AND(D21="retain",E21="statistical_results")),I21&lt;&gt;"",NOT(EXACT(I21,"not_applicable"))),AND(NOT(AND(D21="retain",E21="statistical_results")),J21&lt;&gt;"",NOT(EXACT(J21,"not_applicable"))),AND(NOT(AND(D21="retain",OR(E21="report_internal_inconsistency",E21="plan_material"))),K21&lt;&gt;"",NOT(EXACT(K21,"not_applicable"))),AND(NOT(AND(D21="retain",E21="protocol_report")),L21&lt;&gt;"",NOT(EXACT(L21,"not_applicable")))),"CLEAR INACTIVE VALUES",IF(OR(NOT(OR(EXACT(D21,"retain"),EXACT(D21,"exclude"),EXACT(D21,"discuss"))),NOT(OR(EXACT(E21,"statistical_results"),EXACT(E21,"report_internal_inconsistency"),EXACT(E21,"plan_material"),EXACT(E21,"protocol_report"))),AND(AND(D21="retain",E21="statistical_results"),NOT(OR(EXACT(H21,"confirmed_issue"),EXACT(H21,"probable_issue"),EXACT(H21,"not_issue"),EXACT(H21,"indeterminate")))),AND(AND(D21="retain",E21="statistical_results"),NOT(OR(EXACT(I21,"substantive"),EXACT(I21,"minor_presentation"),EXACT(I21,"indeterminate")))),AND(AND(D21="retain",E21="statistical_results"),J21&lt;&gt;"",NOT(OR(EXACT(J21,"direct"),EXACT(J21,"possible"),EXACT(J21,"unlikely"),EXACT(J21,"unknown")))),AND(AND(D21="retain",OR(E21="report_internal_inconsistency",E21="plan_material")),NOT(OR(EXACT(K21,"substantive_inconsistency"),EXACT(K21,"minor_presentation"),EXACT(K21,"non_inconsistency"),EXACT(K21,"indeterminate")))),AND(AND(D21="retain",E21="protocol_report"),L21&lt;&gt;"",NOT(OR(EXACT(L21,"substantive_difference"),EXACT(L21,"minor_presentation"),EXACT(L21,"version_timing"),EXACT(L21,"non_inconsistency"),EXACT(L21,"indeterminate"))))),"CHECK FIELDS",IF(AND(F21&lt;&gt;"",NOT(OR(EXACT(F21,"no"),EXACT(F21,"primary_done")))),"CHECK COMPLETE",IF(EXACT(F21,"primary_done"),"PRIMARY READY","PRIMARY DRAFT")))))),"CHECK INPUT / KEY")</f>
        <v/>
      </c>
      <c r="H21" s="21">
        <f>IF(AND(OR(D21="retain",D21=""),E21="statistical_results"),"","not_applicable")</f>
        <v/>
      </c>
      <c r="I21" s="21">
        <f>IF(AND(OR(D21="retain",D21=""),E21="statistical_results"),"","not_applicable")</f>
        <v/>
      </c>
      <c r="J21" s="22">
        <f>IF(AND(OR(D21="retain",D21=""),E21="statistical_results"),"","not_applicable")</f>
        <v/>
      </c>
      <c r="K21" s="21">
        <f>IF(AND(OR(D21="retain",D21=""),OR(E21="report_internal_inconsistency",E21="plan_material")),"","not_applicable")</f>
        <v/>
      </c>
      <c r="L21" s="22">
        <f>IF(AND(OR(D21="retain",D21=""),E21="protocol_report"),"","not_applicable")</f>
        <v/>
      </c>
      <c r="M21" s="24" t="n"/>
      <c r="N21" s="23" t="n"/>
      <c r="O21" s="23" t="n"/>
      <c r="P21" s="23" t="n"/>
      <c r="Q21" s="23" t="n"/>
      <c r="R21" s="22" t="n"/>
    </row>
    <row r="22" ht="92" customFormat="1" customHeight="1" s="14">
      <c r="A22" s="20" t="inlineStr">
        <is>
          <t>2018::jama.2018.14282::C021</t>
        </is>
      </c>
      <c r="B22" s="20" t="inlineStr">
        <is>
          <t>eTable standard-oxygen-only percentage does not reconcile</t>
        </is>
      </c>
      <c r="C22" s="20" t="inlineStr">
        <is>
          <t>DOC-003 eTable — PDF p. 2</t>
        </is>
      </c>
      <c r="D22" s="21" t="n"/>
      <c r="E22" s="21" t="inlineStr">
        <is>
          <t>statistical_results</t>
        </is>
      </c>
      <c r="F22" s="21" t="inlineStr">
        <is>
          <t>no</t>
        </is>
      </c>
      <c r="G22" s="20">
        <f>IFERROR(IF(LEN(TRIM(CLEAN(SUBSTITUTE(Setup!$B$2,CHAR(160)," "))))=0,"CHECK REVIEWER ID",IF(OR(A22="",COUNTIF($A$2:$A$29,A22)&lt;&gt;1,LEFT(A22,LEN("2018::jama.2018.14282::"))&lt;&gt;"2018::jama.2018.14282::"),"CHECK KEY",IF(OR(AND(NOT(AND(D22="retain",E22="statistical_results")),H22&lt;&gt;"",NOT(EXACT(H22,"not_applicable"))),AND(NOT(AND(D22="retain",E22="statistical_results")),I22&lt;&gt;"",NOT(EXACT(I22,"not_applicable"))),AND(NOT(AND(D22="retain",E22="statistical_results")),J22&lt;&gt;"",NOT(EXACT(J22,"not_applicable"))),AND(NOT(AND(D22="retain",OR(E22="report_internal_inconsistency",E22="plan_material"))),K22&lt;&gt;"",NOT(EXACT(K22,"not_applicable"))),AND(NOT(AND(D22="retain",E22="protocol_report")),L22&lt;&gt;"",NOT(EXACT(L22,"not_applicable")))),"CLEAR INACTIVE VALUES",IF(OR(NOT(OR(EXACT(D22,"retain"),EXACT(D22,"exclude"),EXACT(D22,"discuss"))),NOT(OR(EXACT(E22,"statistical_results"),EXACT(E22,"report_internal_inconsistency"),EXACT(E22,"plan_material"),EXACT(E22,"protocol_report"))),AND(AND(D22="retain",E22="statistical_results"),NOT(OR(EXACT(H22,"confirmed_issue"),EXACT(H22,"probable_issue"),EXACT(H22,"not_issue"),EXACT(H22,"indeterminate")))),AND(AND(D22="retain",E22="statistical_results"),NOT(OR(EXACT(I22,"substantive"),EXACT(I22,"minor_presentation"),EXACT(I22,"indeterminate")))),AND(AND(D22="retain",E22="statistical_results"),J22&lt;&gt;"",NOT(OR(EXACT(J22,"direct"),EXACT(J22,"possible"),EXACT(J22,"unlikely"),EXACT(J22,"unknown")))),AND(AND(D22="retain",OR(E22="report_internal_inconsistency",E22="plan_material")),NOT(OR(EXACT(K22,"substantive_inconsistency"),EXACT(K22,"minor_presentation"),EXACT(K22,"non_inconsistency"),EXACT(K22,"indeterminate")))),AND(AND(D22="retain",E22="protocol_report"),L22&lt;&gt;"",NOT(OR(EXACT(L22,"substantive_difference"),EXACT(L22,"minor_presentation"),EXACT(L22,"version_timing"),EXACT(L22,"non_inconsistency"),EXACT(L22,"indeterminate"))))),"CHECK FIELDS",IF(AND(F22&lt;&gt;"",NOT(OR(EXACT(F22,"no"),EXACT(F22,"primary_done")))),"CHECK COMPLETE",IF(EXACT(F22,"primary_done"),"PRIMARY READY","PRIMARY DRAFT")))))),"CHECK INPUT / KEY")</f>
        <v/>
      </c>
      <c r="H22" s="21">
        <f>IF(AND(OR(D22="retain",D22=""),E22="statistical_results"),"","not_applicable")</f>
        <v/>
      </c>
      <c r="I22" s="21">
        <f>IF(AND(OR(D22="retain",D22=""),E22="statistical_results"),"","not_applicable")</f>
        <v/>
      </c>
      <c r="J22" s="22">
        <f>IF(AND(OR(D22="retain",D22=""),E22="statistical_results"),"","not_applicable")</f>
        <v/>
      </c>
      <c r="K22" s="21">
        <f>IF(AND(OR(D22="retain",D22=""),OR(E22="report_internal_inconsistency",E22="plan_material")),"","not_applicable")</f>
        <v/>
      </c>
      <c r="L22" s="22">
        <f>IF(AND(OR(D22="retain",D22=""),E22="protocol_report"),"","not_applicable")</f>
        <v/>
      </c>
      <c r="M22" s="20" t="n"/>
      <c r="N22" s="23" t="n"/>
      <c r="O22" s="23" t="n"/>
      <c r="P22" s="23" t="n"/>
      <c r="Q22" s="23" t="n"/>
      <c r="R22" s="22" t="n"/>
    </row>
    <row r="23" ht="92" customFormat="1" customHeight="1" s="14">
      <c r="A23" s="24" t="inlineStr">
        <is>
          <t>2018::jama.2018.14282::C022</t>
        </is>
      </c>
      <c r="B23" s="24" t="inlineStr">
        <is>
          <t>IMV cumulative-incidence comparison has incompatible printed test labels</t>
        </is>
      </c>
      <c r="C23" s="24" t="inlineStr">
        <is>
          <t>DOC-001 methods — PDF p. 4; DOC-001 results — PDF p. 6; DOC-003 eFigure 1 — PDF p. 3</t>
        </is>
      </c>
      <c r="D23" s="21" t="n"/>
      <c r="E23" s="21" t="inlineStr">
        <is>
          <t>statistical_results</t>
        </is>
      </c>
      <c r="F23" s="21" t="inlineStr">
        <is>
          <t>no</t>
        </is>
      </c>
      <c r="G23" s="24">
        <f>IFERROR(IF(LEN(TRIM(CLEAN(SUBSTITUTE(Setup!$B$2,CHAR(160)," "))))=0,"CHECK REVIEWER ID",IF(OR(A23="",COUNTIF($A$2:$A$29,A23)&lt;&gt;1,LEFT(A23,LEN("2018::jama.2018.14282::"))&lt;&gt;"2018::jama.2018.14282::"),"CHECK KEY",IF(OR(AND(NOT(AND(D23="retain",E23="statistical_results")),H23&lt;&gt;"",NOT(EXACT(H23,"not_applicable"))),AND(NOT(AND(D23="retain",E23="statistical_results")),I23&lt;&gt;"",NOT(EXACT(I23,"not_applicable"))),AND(NOT(AND(D23="retain",E23="statistical_results")),J23&lt;&gt;"",NOT(EXACT(J23,"not_applicable"))),AND(NOT(AND(D23="retain",OR(E23="report_internal_inconsistency",E23="plan_material"))),K23&lt;&gt;"",NOT(EXACT(K23,"not_applicable"))),AND(NOT(AND(D23="retain",E23="protocol_report")),L23&lt;&gt;"",NOT(EXACT(L23,"not_applicable")))),"CLEAR INACTIVE VALUES",IF(OR(NOT(OR(EXACT(D23,"retain"),EXACT(D23,"exclude"),EXACT(D23,"discuss"))),NOT(OR(EXACT(E23,"statistical_results"),EXACT(E23,"report_internal_inconsistency"),EXACT(E23,"plan_material"),EXACT(E23,"protocol_report"))),AND(AND(D23="retain",E23="statistical_results"),NOT(OR(EXACT(H23,"confirmed_issue"),EXACT(H23,"probable_issue"),EXACT(H23,"not_issue"),EXACT(H23,"indeterminate")))),AND(AND(D23="retain",E23="statistical_results"),NOT(OR(EXACT(I23,"substantive"),EXACT(I23,"minor_presentation"),EXACT(I23,"indeterminate")))),AND(AND(D23="retain",E23="statistical_results"),J23&lt;&gt;"",NOT(OR(EXACT(J23,"direct"),EXACT(J23,"possible"),EXACT(J23,"unlikely"),EXACT(J23,"unknown")))),AND(AND(D23="retain",OR(E23="report_internal_inconsistency",E23="plan_material")),NOT(OR(EXACT(K23,"substantive_inconsistency"),EXACT(K23,"minor_presentation"),EXACT(K23,"non_inconsistency"),EXACT(K23,"indeterminate")))),AND(AND(D23="retain",E23="protocol_report"),L23&lt;&gt;"",NOT(OR(EXACT(L23,"substantive_difference"),EXACT(L23,"minor_presentation"),EXACT(L23,"version_timing"),EXACT(L23,"non_inconsistency"),EXACT(L23,"indeterminate"))))),"CHECK FIELDS",IF(AND(F23&lt;&gt;"",NOT(OR(EXACT(F23,"no"),EXACT(F23,"primary_done")))),"CHECK COMPLETE",IF(EXACT(F23,"primary_done"),"PRIMARY READY","PRIMARY DRAFT")))))),"CHECK INPUT / KEY")</f>
        <v/>
      </c>
      <c r="H23" s="21">
        <f>IF(AND(OR(D23="retain",D23=""),E23="statistical_results"),"","not_applicable")</f>
        <v/>
      </c>
      <c r="I23" s="21">
        <f>IF(AND(OR(D23="retain",D23=""),E23="statistical_results"),"","not_applicable")</f>
        <v/>
      </c>
      <c r="J23" s="22">
        <f>IF(AND(OR(D23="retain",D23=""),E23="statistical_results"),"","not_applicable")</f>
        <v/>
      </c>
      <c r="K23" s="21">
        <f>IF(AND(OR(D23="retain",D23=""),OR(E23="report_internal_inconsistency",E23="plan_material")),"","not_applicable")</f>
        <v/>
      </c>
      <c r="L23" s="22">
        <f>IF(AND(OR(D23="retain",D23=""),E23="protocol_report"),"","not_applicable")</f>
        <v/>
      </c>
      <c r="M23" s="24" t="n"/>
      <c r="N23" s="23" t="n"/>
      <c r="O23" s="23" t="n"/>
      <c r="P23" s="23" t="n"/>
      <c r="Q23" s="23" t="n"/>
      <c r="R23" s="22" t="n"/>
    </row>
    <row r="24" ht="92" customFormat="1" customHeight="1" s="14">
      <c r="A24" s="20" t="inlineStr">
        <is>
          <t>2018::jama.2018.14282::C023</t>
        </is>
      </c>
      <c r="B24" s="20" t="inlineStr">
        <is>
          <t>Figure 3A mortality HR has a near-reciprocal orientation relative to Table 2</t>
        </is>
      </c>
      <c r="C24" s="20" t="inlineStr">
        <is>
          <t>DOC-001 Table 2 and narrative — PDF p. 5; DOC-001 Figure 3A — PDF p. 7</t>
        </is>
      </c>
      <c r="D24" s="21" t="n"/>
      <c r="E24" s="21" t="inlineStr">
        <is>
          <t>report_internal_inconsistency</t>
        </is>
      </c>
      <c r="F24" s="21" t="inlineStr">
        <is>
          <t>no</t>
        </is>
      </c>
      <c r="G24" s="20">
        <f>IFERROR(IF(LEN(TRIM(CLEAN(SUBSTITUTE(Setup!$B$2,CHAR(160)," "))))=0,"CHECK REVIEWER ID",IF(OR(A24="",COUNTIF($A$2:$A$29,A24)&lt;&gt;1,LEFT(A24,LEN("2018::jama.2018.14282::"))&lt;&gt;"2018::jama.2018.14282::"),"CHECK KEY",IF(OR(AND(NOT(AND(D24="retain",E24="statistical_results")),H24&lt;&gt;"",NOT(EXACT(H24,"not_applicable"))),AND(NOT(AND(D24="retain",E24="statistical_results")),I24&lt;&gt;"",NOT(EXACT(I24,"not_applicable"))),AND(NOT(AND(D24="retain",E24="statistical_results")),J24&lt;&gt;"",NOT(EXACT(J24,"not_applicable"))),AND(NOT(AND(D24="retain",OR(E24="report_internal_inconsistency",E24="plan_material"))),K24&lt;&gt;"",NOT(EXACT(K24,"not_applicable"))),AND(NOT(AND(D24="retain",E24="protocol_report")),L24&lt;&gt;"",NOT(EXACT(L24,"not_applicable")))),"CLEAR INACTIVE VALUES",IF(OR(NOT(OR(EXACT(D24,"retain"),EXACT(D24,"exclude"),EXACT(D24,"discuss"))),NOT(OR(EXACT(E24,"statistical_results"),EXACT(E24,"report_internal_inconsistency"),EXACT(E24,"plan_material"),EXACT(E24,"protocol_report"))),AND(AND(D24="retain",E24="statistical_results"),NOT(OR(EXACT(H24,"confirmed_issue"),EXACT(H24,"probable_issue"),EXACT(H24,"not_issue"),EXACT(H24,"indeterminate")))),AND(AND(D24="retain",E24="statistical_results"),NOT(OR(EXACT(I24,"substantive"),EXACT(I24,"minor_presentation"),EXACT(I24,"indeterminate")))),AND(AND(D24="retain",E24="statistical_results"),J24&lt;&gt;"",NOT(OR(EXACT(J24,"direct"),EXACT(J24,"possible"),EXACT(J24,"unlikely"),EXACT(J24,"unknown")))),AND(AND(D24="retain",OR(E24="report_internal_inconsistency",E24="plan_material")),NOT(OR(EXACT(K24,"substantive_inconsistency"),EXACT(K24,"minor_presentation"),EXACT(K24,"non_inconsistency"),EXACT(K24,"indeterminate")))),AND(AND(D24="retain",E24="protocol_report"),L24&lt;&gt;"",NOT(OR(EXACT(L24,"substantive_difference"),EXACT(L24,"minor_presentation"),EXACT(L24,"version_timing"),EXACT(L24,"non_inconsistency"),EXACT(L24,"indeterminate"))))),"CHECK FIELDS",IF(AND(F24&lt;&gt;"",NOT(OR(EXACT(F24,"no"),EXACT(F24,"primary_done")))),"CHECK COMPLETE",IF(EXACT(F24,"primary_done"),"PRIMARY READY","PRIMARY DRAFT")))))),"CHECK INPUT / KEY")</f>
        <v/>
      </c>
      <c r="H24" s="21">
        <f>IF(AND(OR(D24="retain",D24=""),E24="statistical_results"),"","not_applicable")</f>
        <v/>
      </c>
      <c r="I24" s="21">
        <f>IF(AND(OR(D24="retain",D24=""),E24="statistical_results"),"","not_applicable")</f>
        <v/>
      </c>
      <c r="J24" s="22">
        <f>IF(AND(OR(D24="retain",D24=""),E24="statistical_results"),"","not_applicable")</f>
        <v/>
      </c>
      <c r="K24" s="21">
        <f>IF(AND(OR(D24="retain",D24=""),OR(E24="report_internal_inconsistency",E24="plan_material")),"","not_applicable")</f>
        <v/>
      </c>
      <c r="L24" s="22">
        <f>IF(AND(OR(D24="retain",D24=""),E24="protocol_report"),"","not_applicable")</f>
        <v/>
      </c>
      <c r="M24" s="20" t="n"/>
      <c r="N24" s="23" t="n"/>
      <c r="O24" s="23" t="n"/>
      <c r="P24" s="23" t="n"/>
      <c r="Q24" s="23" t="n"/>
      <c r="R24" s="22" t="n"/>
    </row>
    <row r="25" ht="92" customFormat="1" customHeight="1" s="14">
      <c r="A25" s="24" t="inlineStr">
        <is>
          <t>2018::jama.2018.14282::C024</t>
        </is>
      </c>
      <c r="B25" s="24" t="inlineStr">
        <is>
          <t>Figure 3B IMV HR has a near-reciprocal orientation relative to Table 2</t>
        </is>
      </c>
      <c r="C25" s="24" t="inlineStr">
        <is>
          <t>DOC-001 Table 2 — PDF p. 5; DOC-001 narrative — PDF p. 6; DOC-001 Figure 3B — PDF p. 7</t>
        </is>
      </c>
      <c r="D25" s="21" t="n"/>
      <c r="E25" s="21" t="inlineStr">
        <is>
          <t>report_internal_inconsistency</t>
        </is>
      </c>
      <c r="F25" s="21" t="inlineStr">
        <is>
          <t>no</t>
        </is>
      </c>
      <c r="G25" s="24">
        <f>IFERROR(IF(LEN(TRIM(CLEAN(SUBSTITUTE(Setup!$B$2,CHAR(160)," "))))=0,"CHECK REVIEWER ID",IF(OR(A25="",COUNTIF($A$2:$A$29,A25)&lt;&gt;1,LEFT(A25,LEN("2018::jama.2018.14282::"))&lt;&gt;"2018::jama.2018.14282::"),"CHECK KEY",IF(OR(AND(NOT(AND(D25="retain",E25="statistical_results")),H25&lt;&gt;"",NOT(EXACT(H25,"not_applicable"))),AND(NOT(AND(D25="retain",E25="statistical_results")),I25&lt;&gt;"",NOT(EXACT(I25,"not_applicable"))),AND(NOT(AND(D25="retain",E25="statistical_results")),J25&lt;&gt;"",NOT(EXACT(J25,"not_applicable"))),AND(NOT(AND(D25="retain",OR(E25="report_internal_inconsistency",E25="plan_material"))),K25&lt;&gt;"",NOT(EXACT(K25,"not_applicable"))),AND(NOT(AND(D25="retain",E25="protocol_report")),L25&lt;&gt;"",NOT(EXACT(L25,"not_applicable")))),"CLEAR INACTIVE VALUES",IF(OR(NOT(OR(EXACT(D25,"retain"),EXACT(D25,"exclude"),EXACT(D25,"discuss"))),NOT(OR(EXACT(E25,"statistical_results"),EXACT(E25,"report_internal_inconsistency"),EXACT(E25,"plan_material"),EXACT(E25,"protocol_report"))),AND(AND(D25="retain",E25="statistical_results"),NOT(OR(EXACT(H25,"confirmed_issue"),EXACT(H25,"probable_issue"),EXACT(H25,"not_issue"),EXACT(H25,"indeterminate")))),AND(AND(D25="retain",E25="statistical_results"),NOT(OR(EXACT(I25,"substantive"),EXACT(I25,"minor_presentation"),EXACT(I25,"indeterminate")))),AND(AND(D25="retain",E25="statistical_results"),J25&lt;&gt;"",NOT(OR(EXACT(J25,"direct"),EXACT(J25,"possible"),EXACT(J25,"unlikely"),EXACT(J25,"unknown")))),AND(AND(D25="retain",OR(E25="report_internal_inconsistency",E25="plan_material")),NOT(OR(EXACT(K25,"substantive_inconsistency"),EXACT(K25,"minor_presentation"),EXACT(K25,"non_inconsistency"),EXACT(K25,"indeterminate")))),AND(AND(D25="retain",E25="protocol_report"),L25&lt;&gt;"",NOT(OR(EXACT(L25,"substantive_difference"),EXACT(L25,"minor_presentation"),EXACT(L25,"version_timing"),EXACT(L25,"non_inconsistency"),EXACT(L25,"indeterminate"))))),"CHECK FIELDS",IF(AND(F25&lt;&gt;"",NOT(OR(EXACT(F25,"no"),EXACT(F25,"primary_done")))),"CHECK COMPLETE",IF(EXACT(F25,"primary_done"),"PRIMARY READY","PRIMARY DRAFT")))))),"CHECK INPUT / KEY")</f>
        <v/>
      </c>
      <c r="H25" s="21">
        <f>IF(AND(OR(D25="retain",D25=""),E25="statistical_results"),"","not_applicable")</f>
        <v/>
      </c>
      <c r="I25" s="21">
        <f>IF(AND(OR(D25="retain",D25=""),E25="statistical_results"),"","not_applicable")</f>
        <v/>
      </c>
      <c r="J25" s="22">
        <f>IF(AND(OR(D25="retain",D25=""),E25="statistical_results"),"","not_applicable")</f>
        <v/>
      </c>
      <c r="K25" s="21">
        <f>IF(AND(OR(D25="retain",D25=""),OR(E25="report_internal_inconsistency",E25="plan_material")),"","not_applicable")</f>
        <v/>
      </c>
      <c r="L25" s="22">
        <f>IF(AND(OR(D25="retain",D25=""),E25="protocol_report"),"","not_applicable")</f>
        <v/>
      </c>
      <c r="M25" s="24" t="n"/>
      <c r="N25" s="23" t="n"/>
      <c r="O25" s="23" t="n"/>
      <c r="P25" s="23" t="n"/>
      <c r="Q25" s="23" t="n"/>
      <c r="R25" s="22" t="n"/>
    </row>
    <row r="26" ht="92" customFormat="1" customHeight="1" s="14">
      <c r="A26" s="20" t="inlineStr">
        <is>
          <t>2018::jama.2018.14282::C025</t>
        </is>
      </c>
      <c r="B26" s="20" t="inlineStr">
        <is>
          <t>Revised-superiority sample-size total conflicts with equal arm counts</t>
        </is>
      </c>
      <c r="C26" s="20" t="inlineStr">
        <is>
          <t>DOC-001 — PDF p. 3; DOC-002 completed published-protocol abstract sentence — PDF p. 91; DOC-002 statistical-plan comparator — PDF p. 103</t>
        </is>
      </c>
      <c r="D26" s="21" t="n"/>
      <c r="E26" s="21" t="inlineStr">
        <is>
          <t>statistical_results</t>
        </is>
      </c>
      <c r="F26" s="21" t="inlineStr">
        <is>
          <t>no</t>
        </is>
      </c>
      <c r="G26" s="20">
        <f>IFERROR(IF(LEN(TRIM(CLEAN(SUBSTITUTE(Setup!$B$2,CHAR(160)," "))))=0,"CHECK REVIEWER ID",IF(OR(A26="",COUNTIF($A$2:$A$29,A26)&lt;&gt;1,LEFT(A26,LEN("2018::jama.2018.14282::"))&lt;&gt;"2018::jama.2018.14282::"),"CHECK KEY",IF(OR(AND(NOT(AND(D26="retain",E26="statistical_results")),H26&lt;&gt;"",NOT(EXACT(H26,"not_applicable"))),AND(NOT(AND(D26="retain",E26="statistical_results")),I26&lt;&gt;"",NOT(EXACT(I26,"not_applicable"))),AND(NOT(AND(D26="retain",E26="statistical_results")),J26&lt;&gt;"",NOT(EXACT(J26,"not_applicable"))),AND(NOT(AND(D26="retain",OR(E26="report_internal_inconsistency",E26="plan_material"))),K26&lt;&gt;"",NOT(EXACT(K26,"not_applicable"))),AND(NOT(AND(D26="retain",E26="protocol_report")),L26&lt;&gt;"",NOT(EXACT(L26,"not_applicable")))),"CLEAR INACTIVE VALUES",IF(OR(NOT(OR(EXACT(D26,"retain"),EXACT(D26,"exclude"),EXACT(D26,"discuss"))),NOT(OR(EXACT(E26,"statistical_results"),EXACT(E26,"report_internal_inconsistency"),EXACT(E26,"plan_material"),EXACT(E26,"protocol_report"))),AND(AND(D26="retain",E26="statistical_results"),NOT(OR(EXACT(H26,"confirmed_issue"),EXACT(H26,"probable_issue"),EXACT(H26,"not_issue"),EXACT(H26,"indeterminate")))),AND(AND(D26="retain",E26="statistical_results"),NOT(OR(EXACT(I26,"substantive"),EXACT(I26,"minor_presentation"),EXACT(I26,"indeterminate")))),AND(AND(D26="retain",E26="statistical_results"),J26&lt;&gt;"",NOT(OR(EXACT(J26,"direct"),EXACT(J26,"possible"),EXACT(J26,"unlikely"),EXACT(J26,"unknown")))),AND(AND(D26="retain",OR(E26="report_internal_inconsistency",E26="plan_material")),NOT(OR(EXACT(K26,"substantive_inconsistency"),EXACT(K26,"minor_presentation"),EXACT(K26,"non_inconsistency"),EXACT(K26,"indeterminate")))),AND(AND(D26="retain",E26="protocol_report"),L26&lt;&gt;"",NOT(OR(EXACT(L26,"substantive_difference"),EXACT(L26,"minor_presentation"),EXACT(L26,"version_timing"),EXACT(L26,"non_inconsistency"),EXACT(L26,"indeterminate"))))),"CHECK FIELDS",IF(AND(F26&lt;&gt;"",NOT(OR(EXACT(F26,"no"),EXACT(F26,"primary_done")))),"CHECK COMPLETE",IF(EXACT(F26,"primary_done"),"PRIMARY READY","PRIMARY DRAFT")))))),"CHECK INPUT / KEY")</f>
        <v/>
      </c>
      <c r="H26" s="21">
        <f>IF(AND(OR(D26="retain",D26=""),E26="statistical_results"),"","not_applicable")</f>
        <v/>
      </c>
      <c r="I26" s="21">
        <f>IF(AND(OR(D26="retain",D26=""),E26="statistical_results"),"","not_applicable")</f>
        <v/>
      </c>
      <c r="J26" s="22">
        <f>IF(AND(OR(D26="retain",D26=""),E26="statistical_results"),"","not_applicable")</f>
        <v/>
      </c>
      <c r="K26" s="21">
        <f>IF(AND(OR(D26="retain",D26=""),OR(E26="report_internal_inconsistency",E26="plan_material")),"","not_applicable")</f>
        <v/>
      </c>
      <c r="L26" s="22">
        <f>IF(AND(OR(D26="retain",D26=""),E26="protocol_report"),"","not_applicable")</f>
        <v/>
      </c>
      <c r="M26" s="20" t="n"/>
      <c r="N26" s="23" t="n"/>
      <c r="O26" s="23" t="n"/>
      <c r="P26" s="23" t="n"/>
      <c r="Q26" s="23" t="n"/>
      <c r="R26" s="22" t="n"/>
    </row>
    <row r="27" ht="92" customFormat="1" customHeight="1" s="14">
      <c r="A27" s="24" t="inlineStr">
        <is>
          <t>2018::jama.2018.14282::C026</t>
        </is>
      </c>
      <c r="B27" s="24" t="inlineStr">
        <is>
          <t>Noninferiority bound/sign wording conflicts with its explanatory axis</t>
        </is>
      </c>
      <c r="C27" s="24" t="inlineStr">
        <is>
          <t>DOC-002 Figure 4 — PDF p. 40; DOC-002 — PDF p. 42</t>
        </is>
      </c>
      <c r="D27" s="21" t="n"/>
      <c r="E27" s="21" t="inlineStr">
        <is>
          <t>plan_material</t>
        </is>
      </c>
      <c r="F27" s="21" t="inlineStr">
        <is>
          <t>no</t>
        </is>
      </c>
      <c r="G27" s="24">
        <f>IFERROR(IF(LEN(TRIM(CLEAN(SUBSTITUTE(Setup!$B$2,CHAR(160)," "))))=0,"CHECK REVIEWER ID",IF(OR(A27="",COUNTIF($A$2:$A$29,A27)&lt;&gt;1,LEFT(A27,LEN("2018::jama.2018.14282::"))&lt;&gt;"2018::jama.2018.14282::"),"CHECK KEY",IF(OR(AND(NOT(AND(D27="retain",E27="statistical_results")),H27&lt;&gt;"",NOT(EXACT(H27,"not_applicable"))),AND(NOT(AND(D27="retain",E27="statistical_results")),I27&lt;&gt;"",NOT(EXACT(I27,"not_applicable"))),AND(NOT(AND(D27="retain",E27="statistical_results")),J27&lt;&gt;"",NOT(EXACT(J27,"not_applicable"))),AND(NOT(AND(D27="retain",OR(E27="report_internal_inconsistency",E27="plan_material"))),K27&lt;&gt;"",NOT(EXACT(K27,"not_applicable"))),AND(NOT(AND(D27="retain",E27="protocol_report")),L27&lt;&gt;"",NOT(EXACT(L27,"not_applicable")))),"CLEAR INACTIVE VALUES",IF(OR(NOT(OR(EXACT(D27,"retain"),EXACT(D27,"exclude"),EXACT(D27,"discuss"))),NOT(OR(EXACT(E27,"statistical_results"),EXACT(E27,"report_internal_inconsistency"),EXACT(E27,"plan_material"),EXACT(E27,"protocol_report"))),AND(AND(D27="retain",E27="statistical_results"),NOT(OR(EXACT(H27,"confirmed_issue"),EXACT(H27,"probable_issue"),EXACT(H27,"not_issue"),EXACT(H27,"indeterminate")))),AND(AND(D27="retain",E27="statistical_results"),NOT(OR(EXACT(I27,"substantive"),EXACT(I27,"minor_presentation"),EXACT(I27,"indeterminate")))),AND(AND(D27="retain",E27="statistical_results"),J27&lt;&gt;"",NOT(OR(EXACT(J27,"direct"),EXACT(J27,"possible"),EXACT(J27,"unlikely"),EXACT(J27,"unknown")))),AND(AND(D27="retain",OR(E27="report_internal_inconsistency",E27="plan_material")),NOT(OR(EXACT(K27,"substantive_inconsistency"),EXACT(K27,"minor_presentation"),EXACT(K27,"non_inconsistency"),EXACT(K27,"indeterminate")))),AND(AND(D27="retain",E27="protocol_report"),L27&lt;&gt;"",NOT(OR(EXACT(L27,"substantive_difference"),EXACT(L27,"minor_presentation"),EXACT(L27,"version_timing"),EXACT(L27,"non_inconsistency"),EXACT(L27,"indeterminate"))))),"CHECK FIELDS",IF(AND(F27&lt;&gt;"",NOT(OR(EXACT(F27,"no"),EXACT(F27,"primary_done")))),"CHECK COMPLETE",IF(EXACT(F27,"primary_done"),"PRIMARY READY","PRIMARY DRAFT")))))),"CHECK INPUT / KEY")</f>
        <v/>
      </c>
      <c r="H27" s="21">
        <f>IF(AND(OR(D27="retain",D27=""),E27="statistical_results"),"","not_applicable")</f>
        <v/>
      </c>
      <c r="I27" s="21">
        <f>IF(AND(OR(D27="retain",D27=""),E27="statistical_results"),"","not_applicable")</f>
        <v/>
      </c>
      <c r="J27" s="22">
        <f>IF(AND(OR(D27="retain",D27=""),E27="statistical_results"),"","not_applicable")</f>
        <v/>
      </c>
      <c r="K27" s="21">
        <f>IF(AND(OR(D27="retain",D27=""),OR(E27="report_internal_inconsistency",E27="plan_material")),"","not_applicable")</f>
        <v/>
      </c>
      <c r="L27" s="22">
        <f>IF(AND(OR(D27="retain",D27=""),E27="protocol_report"),"","not_applicable")</f>
        <v/>
      </c>
      <c r="M27" s="24" t="n"/>
      <c r="N27" s="23" t="n"/>
      <c r="O27" s="23" t="n"/>
      <c r="P27" s="23" t="n"/>
      <c r="Q27" s="23" t="n"/>
      <c r="R27" s="22" t="n"/>
    </row>
    <row r="28" ht="92" customFormat="1" customHeight="1" s="14">
      <c r="A28" s="20" t="inlineStr">
        <is>
          <t>2018::jama.2018.14282::C027</t>
        </is>
      </c>
      <c r="B28" s="20" t="inlineStr">
        <is>
          <t>Primary-hypothesis intervention is labelled NIV while plans identify HFNO</t>
        </is>
      </c>
      <c r="C28" s="20" t="inlineStr">
        <is>
          <t>DOC-002 — PDF p. 52; DOC-002 — PDF p. 104</t>
        </is>
      </c>
      <c r="D28" s="21" t="n"/>
      <c r="E28" s="21" t="inlineStr">
        <is>
          <t>plan_material</t>
        </is>
      </c>
      <c r="F28" s="21" t="inlineStr">
        <is>
          <t>no</t>
        </is>
      </c>
      <c r="G28" s="20">
        <f>IFERROR(IF(LEN(TRIM(CLEAN(SUBSTITUTE(Setup!$B$2,CHAR(160)," "))))=0,"CHECK REVIEWER ID",IF(OR(A28="",COUNTIF($A$2:$A$29,A28)&lt;&gt;1,LEFT(A28,LEN("2018::jama.2018.14282::"))&lt;&gt;"2018::jama.2018.14282::"),"CHECK KEY",IF(OR(AND(NOT(AND(D28="retain",E28="statistical_results")),H28&lt;&gt;"",NOT(EXACT(H28,"not_applicable"))),AND(NOT(AND(D28="retain",E28="statistical_results")),I28&lt;&gt;"",NOT(EXACT(I28,"not_applicable"))),AND(NOT(AND(D28="retain",E28="statistical_results")),J28&lt;&gt;"",NOT(EXACT(J28,"not_applicable"))),AND(NOT(AND(D28="retain",OR(E28="report_internal_inconsistency",E28="plan_material"))),K28&lt;&gt;"",NOT(EXACT(K28,"not_applicable"))),AND(NOT(AND(D28="retain",E28="protocol_report")),L28&lt;&gt;"",NOT(EXACT(L28,"not_applicable")))),"CLEAR INACTIVE VALUES",IF(OR(NOT(OR(EXACT(D28,"retain"),EXACT(D28,"exclude"),EXACT(D28,"discuss"))),NOT(OR(EXACT(E28,"statistical_results"),EXACT(E28,"report_internal_inconsistency"),EXACT(E28,"plan_material"),EXACT(E28,"protocol_report"))),AND(AND(D28="retain",E28="statistical_results"),NOT(OR(EXACT(H28,"confirmed_issue"),EXACT(H28,"probable_issue"),EXACT(H28,"not_issue"),EXACT(H28,"indeterminate")))),AND(AND(D28="retain",E28="statistical_results"),NOT(OR(EXACT(I28,"substantive"),EXACT(I28,"minor_presentation"),EXACT(I28,"indeterminate")))),AND(AND(D28="retain",E28="statistical_results"),J28&lt;&gt;"",NOT(OR(EXACT(J28,"direct"),EXACT(J28,"possible"),EXACT(J28,"unlikely"),EXACT(J28,"unknown")))),AND(AND(D28="retain",OR(E28="report_internal_inconsistency",E28="plan_material")),NOT(OR(EXACT(K28,"substantive_inconsistency"),EXACT(K28,"minor_presentation"),EXACT(K28,"non_inconsistency"),EXACT(K28,"indeterminate")))),AND(AND(D28="retain",E28="protocol_report"),L28&lt;&gt;"",NOT(OR(EXACT(L28,"substantive_difference"),EXACT(L28,"minor_presentation"),EXACT(L28,"version_timing"),EXACT(L28,"non_inconsistency"),EXACT(L28,"indeterminate"))))),"CHECK FIELDS",IF(AND(F28&lt;&gt;"",NOT(OR(EXACT(F28,"no"),EXACT(F28,"primary_done")))),"CHECK COMPLETE",IF(EXACT(F28,"primary_done"),"PRIMARY READY","PRIMARY DRAFT")))))),"CHECK INPUT / KEY")</f>
        <v/>
      </c>
      <c r="H28" s="21">
        <f>IF(AND(OR(D28="retain",D28=""),E28="statistical_results"),"","not_applicable")</f>
        <v/>
      </c>
      <c r="I28" s="21">
        <f>IF(AND(OR(D28="retain",D28=""),E28="statistical_results"),"","not_applicable")</f>
        <v/>
      </c>
      <c r="J28" s="22">
        <f>IF(AND(OR(D28="retain",D28=""),E28="statistical_results"),"","not_applicable")</f>
        <v/>
      </c>
      <c r="K28" s="21">
        <f>IF(AND(OR(D28="retain",D28=""),OR(E28="report_internal_inconsistency",E28="plan_material")),"","not_applicable")</f>
        <v/>
      </c>
      <c r="L28" s="22">
        <f>IF(AND(OR(D28="retain",D28=""),E28="protocol_report"),"","not_applicable")</f>
        <v/>
      </c>
      <c r="M28" s="20" t="n"/>
      <c r="N28" s="23" t="n"/>
      <c r="O28" s="23" t="n"/>
      <c r="P28" s="23" t="n"/>
      <c r="Q28" s="23" t="n"/>
      <c r="R28" s="22" t="n"/>
    </row>
    <row r="29" ht="92" customFormat="1" customHeight="1" s="14">
      <c r="A29" s="24" t="inlineStr">
        <is>
          <t>2018::jama.2018.14282::C028</t>
        </is>
      </c>
      <c r="B29" s="24" t="inlineStr">
        <is>
          <t>Planned primary outcome alternates between day-28 vital status and hospital death</t>
        </is>
      </c>
      <c r="C29" s="24" t="inlineStr">
        <is>
          <t>DOC-002 — PDF p. 54; DOC-002 — PDF p. 82; DOC-002 — PDF p. 104</t>
        </is>
      </c>
      <c r="D29" s="21" t="n"/>
      <c r="E29" s="21" t="inlineStr">
        <is>
          <t>plan_material</t>
        </is>
      </c>
      <c r="F29" s="21" t="inlineStr">
        <is>
          <t>no</t>
        </is>
      </c>
      <c r="G29" s="24">
        <f>IFERROR(IF(LEN(TRIM(CLEAN(SUBSTITUTE(Setup!$B$2,CHAR(160)," "))))=0,"CHECK REVIEWER ID",IF(OR(A29="",COUNTIF($A$2:$A$29,A29)&lt;&gt;1,LEFT(A29,LEN("2018::jama.2018.14282::"))&lt;&gt;"2018::jama.2018.14282::"),"CHECK KEY",IF(OR(AND(NOT(AND(D29="retain",E29="statistical_results")),H29&lt;&gt;"",NOT(EXACT(H29,"not_applicable"))),AND(NOT(AND(D29="retain",E29="statistical_results")),I29&lt;&gt;"",NOT(EXACT(I29,"not_applicable"))),AND(NOT(AND(D29="retain",E29="statistical_results")),J29&lt;&gt;"",NOT(EXACT(J29,"not_applicable"))),AND(NOT(AND(D29="retain",OR(E29="report_internal_inconsistency",E29="plan_material"))),K29&lt;&gt;"",NOT(EXACT(K29,"not_applicable"))),AND(NOT(AND(D29="retain",E29="protocol_report")),L29&lt;&gt;"",NOT(EXACT(L29,"not_applicable")))),"CLEAR INACTIVE VALUES",IF(OR(NOT(OR(EXACT(D29,"retain"),EXACT(D29,"exclude"),EXACT(D29,"discuss"))),NOT(OR(EXACT(E29,"statistical_results"),EXACT(E29,"report_internal_inconsistency"),EXACT(E29,"plan_material"),EXACT(E29,"protocol_report"))),AND(AND(D29="retain",E29="statistical_results"),NOT(OR(EXACT(H29,"confirmed_issue"),EXACT(H29,"probable_issue"),EXACT(H29,"not_issue"),EXACT(H29,"indeterminate")))),AND(AND(D29="retain",E29="statistical_results"),NOT(OR(EXACT(I29,"substantive"),EXACT(I29,"minor_presentation"),EXACT(I29,"indeterminate")))),AND(AND(D29="retain",E29="statistical_results"),J29&lt;&gt;"",NOT(OR(EXACT(J29,"direct"),EXACT(J29,"possible"),EXACT(J29,"unlikely"),EXACT(J29,"unknown")))),AND(AND(D29="retain",OR(E29="report_internal_inconsistency",E29="plan_material")),NOT(OR(EXACT(K29,"substantive_inconsistency"),EXACT(K29,"minor_presentation"),EXACT(K29,"non_inconsistency"),EXACT(K29,"indeterminate")))),AND(AND(D29="retain",E29="protocol_report"),L29&lt;&gt;"",NOT(OR(EXACT(L29,"substantive_difference"),EXACT(L29,"minor_presentation"),EXACT(L29,"version_timing"),EXACT(L29,"non_inconsistency"),EXACT(L29,"indeterminate"))))),"CHECK FIELDS",IF(AND(F29&lt;&gt;"",NOT(OR(EXACT(F29,"no"),EXACT(F29,"primary_done")))),"CHECK COMPLETE",IF(EXACT(F29,"primary_done"),"PRIMARY READY","PRIMARY DRAFT")))))),"CHECK INPUT / KEY")</f>
        <v/>
      </c>
      <c r="H29" s="21">
        <f>IF(AND(OR(D29="retain",D29=""),E29="statistical_results"),"","not_applicable")</f>
        <v/>
      </c>
      <c r="I29" s="21">
        <f>IF(AND(OR(D29="retain",D29=""),E29="statistical_results"),"","not_applicable")</f>
        <v/>
      </c>
      <c r="J29" s="22">
        <f>IF(AND(OR(D29="retain",D29=""),E29="statistical_results"),"","not_applicable")</f>
        <v/>
      </c>
      <c r="K29" s="21">
        <f>IF(AND(OR(D29="retain",D29=""),OR(E29="report_internal_inconsistency",E29="plan_material")),"","not_applicable")</f>
        <v/>
      </c>
      <c r="L29" s="22">
        <f>IF(AND(OR(D29="retain",D29=""),E29="protocol_report"),"","not_applicable")</f>
        <v/>
      </c>
      <c r="M29" s="24" t="n"/>
      <c r="N29" s="23" t="n"/>
      <c r="O29" s="23" t="n"/>
      <c r="P29" s="23" t="n"/>
      <c r="Q29" s="23" t="n"/>
      <c r="R29" s="22" t="n"/>
    </row>
  </sheetData>
  <autoFilter ref="A1:R29"/>
  <conditionalFormatting sqref="H2:H29">
    <cfRule type="expression" priority="8" dxfId="70">
      <formula>NOT(AND(OR($D2="retain",$D2=""),$E2="statistical_results"))</formula>
    </cfRule>
  </conditionalFormatting>
  <conditionalFormatting sqref="I2:I29">
    <cfRule type="expression" priority="9" dxfId="70">
      <formula>NOT(AND(OR($D2="retain",$D2=""),$E2="statistical_results"))</formula>
    </cfRule>
  </conditionalFormatting>
  <conditionalFormatting sqref="J2:J29">
    <cfRule type="expression" priority="10" dxfId="70">
      <formula>NOT(AND(OR($D2="retain",$D2=""),$E2="statistical_results"))</formula>
    </cfRule>
  </conditionalFormatting>
  <conditionalFormatting sqref="K2:K29">
    <cfRule type="expression" priority="11" dxfId="70">
      <formula>NOT(AND(OR($D2="retain",$D2=""),OR($E2="report_internal_inconsistency",$E2="plan_material")))</formula>
    </cfRule>
  </conditionalFormatting>
  <conditionalFormatting sqref="L2:L29">
    <cfRule type="expression" priority="12" dxfId="70">
      <formula>NOT(AND(OR($D2="retain",$D2=""),$E2="protocol_report"))</formula>
    </cfRule>
  </conditionalFormatting>
  <conditionalFormatting sqref="G2:G29">
    <cfRule type="expression" priority="13" dxfId="71">
      <formula>G2&lt;&gt;"PRIMARY READY"</formula>
    </cfRule>
  </conditionalFormatting>
  <dataValidations count="8">
    <dataValidation sqref="D2:D29" showDropDown="0" showInputMessage="0" showErrorMessage="1" allowBlank="1" errorTitle="Use a listed option" error="Choose an option; G also checks pasted entries." type="list" errorStyle="stop">
      <formula1>"retain,exclude,discuss"</formula1>
    </dataValidation>
    <dataValidation sqref="E2:E29" showDropDown="0" showInputMessage="0" showErrorMessage="1" allowBlank="1" errorTitle="Use a listed option" error="Choose an option; G also checks pasted entries." type="list" errorStyle="stop">
      <formula1>"statistical_results,report_internal_inconsistency,plan_material,protocol_report"</formula1>
    </dataValidation>
    <dataValidation sqref="F2:F29" showDropDown="0" showInputMessage="0" showErrorMessage="1" allowBlank="1" errorTitle="Use a listed option" error="Choose an option; G also checks pasted entries." type="list" errorStyle="stop">
      <formula1>"no,primary_done"</formula1>
    </dataValidation>
    <dataValidation sqref="H2:H29" showDropDown="0" showInputMessage="0" showErrorMessage="1" allowBlank="1" errorTitle="Use a listed option" error="Choose an option; G also checks pasted entries." type="list" errorStyle="stop">
      <formula1>"confirmed_issue,probable_issue,not_issue,indeterminate,not_applicable"</formula1>
    </dataValidation>
    <dataValidation sqref="I2:I29" showDropDown="0" showInputMessage="0" showErrorMessage="1" allowBlank="1" errorTitle="Use a listed option" error="Choose an option; G also checks pasted entries." type="list" errorStyle="stop">
      <formula1>"substantive,minor_presentation,indeterminate,not_applicable"</formula1>
    </dataValidation>
    <dataValidation sqref="J2:J29" showDropDown="0" showInputMessage="0" showErrorMessage="1" allowBlank="1" errorTitle="Use a listed option" error="Choose an option; G also checks pasted entries." type="list" errorStyle="stop">
      <formula1>"direct,possible,unlikely,unknown,not_applicable"</formula1>
    </dataValidation>
    <dataValidation sqref="K2:K29" showDropDown="0" showInputMessage="0" showErrorMessage="1" allowBlank="1" errorTitle="Use a listed option" error="Choose an option; G also checks pasted entries." type="list" errorStyle="stop">
      <formula1>"substantive_inconsistency,minor_presentation,non_inconsistency,indeterminate,not_applicable"</formula1>
    </dataValidation>
    <dataValidation sqref="L2:L29" showDropDown="0" showInputMessage="0" showErrorMessage="1" allowBlank="1" errorTitle="Use a listed option" error="Choose an option; G also checks pasted entries." type="list" errorStyle="stop">
      <formula1>"substantive_difference,minor_presentation,version_timing,non_inconsistency,indeterminate,not_applicable"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R9"/>
  <sheetViews>
    <sheetView showGridLines="0" tabSelected="0" workbookViewId="0">
      <pane xSplit="1" ySplit="1" topLeftCell="B2" activePane="bottomRight" state="frozen"/>
      <selection activeCell="A1" sqref="A1"/>
    </sheetView>
  </sheetViews>
  <sheetFormatPr baseColWidth="8" defaultRowHeight="15"/>
  <cols>
    <col width="22" customWidth="1" style="14" min="1" max="1"/>
    <col width="28" customWidth="1" style="14" min="2" max="2"/>
    <col width="22" customWidth="1" style="14" min="3" max="3"/>
    <col width="20" customWidth="1" style="14" min="4" max="4"/>
    <col width="35" customWidth="1" style="14" min="5" max="5"/>
    <col width="17" customWidth="1" style="14" min="6" max="6"/>
    <col width="29" customWidth="1" style="14" min="7" max="7"/>
    <col width="28" customWidth="1" style="14" min="8" max="8"/>
    <col width="20" customWidth="1" style="14" min="9" max="9"/>
    <col width="20" customWidth="1" style="14" min="10" max="10"/>
    <col width="34" customWidth="1" style="14" min="11" max="11"/>
    <col width="26" customWidth="1" style="14" min="12" max="12"/>
    <col hidden="1" width="3" customWidth="1" style="14" min="13" max="13"/>
    <col hidden="1" width="3" customWidth="1" style="14" min="14" max="14"/>
    <col hidden="1" width="3" customWidth="1" style="14" min="15" max="15"/>
    <col hidden="1" width="3" customWidth="1" style="14" min="16" max="16"/>
    <col hidden="1" width="3" customWidth="1" style="14" min="17" max="17"/>
    <col width="32" customWidth="1" style="14" min="18" max="18"/>
  </cols>
  <sheetData>
    <row r="1" ht="70" customFormat="1" customHeight="1" s="14">
      <c r="A1" s="19" t="inlineStr">
        <is>
          <t>Candidate key</t>
        </is>
      </c>
      <c r="B1" s="19" t="inlineStr">
        <is>
          <t>Candidate title</t>
        </is>
      </c>
      <c r="C1" s="19" t="inlineStr">
        <is>
          <t>Source location</t>
        </is>
      </c>
      <c r="D1" s="19" t="inlineStr">
        <is>
          <t>Disposition</t>
        </is>
      </c>
      <c r="E1" s="19" t="inlineStr">
        <is>
          <t>Review domain (AI suggestion; editable)</t>
        </is>
      </c>
      <c r="F1" s="19" t="inlineStr">
        <is>
          <t>Complete</t>
        </is>
      </c>
      <c r="G1" s="19" t="inlineStr">
        <is>
          <t>Validation hint</t>
        </is>
      </c>
      <c r="H1" s="19" t="inlineStr">
        <is>
          <t>Statistcal_or_numerical issue</t>
        </is>
      </c>
      <c r="I1" s="19" t="inlineStr">
        <is>
          <t>Substantiveness</t>
        </is>
      </c>
      <c r="J1" s="19" t="inlineStr">
        <is>
          <t>Downstream impact</t>
        </is>
      </c>
      <c r="K1" s="19" t="inlineStr">
        <is>
          <t>Report-internal or planning-material inconsistency</t>
        </is>
      </c>
      <c r="L1" s="19" t="inlineStr">
        <is>
          <t>Protocol interpretation</t>
        </is>
      </c>
      <c r="M1" s="19" t="n"/>
      <c r="N1" s="19" t="n"/>
      <c r="O1" s="19" t="n"/>
      <c r="P1" s="19" t="n"/>
      <c r="Q1" s="19" t="n"/>
      <c r="R1" s="19" t="inlineStr">
        <is>
          <t>Notes (optional)</t>
        </is>
      </c>
    </row>
    <row r="2" ht="92" customFormat="1" customHeight="1" s="14">
      <c r="A2" s="20" t="inlineStr">
        <is>
          <t>2018::jama.2018.17075::C001</t>
        </is>
      </c>
      <c r="B2" s="20" t="inlineStr">
        <is>
          <t>Normothermia Injury Severity Score median is below its printed IQR lower endpoint</t>
        </is>
      </c>
      <c r="C2" s="20" t="inlineStr">
        <is>
          <t>jama_cooper_2018_oi_180132.pdf — PDF p. 5, Table 1, normothermia Injury Severity Score.</t>
        </is>
      </c>
      <c r="D2" s="21" t="n"/>
      <c r="E2" s="21" t="inlineStr">
        <is>
          <t>statistical_results</t>
        </is>
      </c>
      <c r="F2" s="21" t="inlineStr">
        <is>
          <t>no</t>
        </is>
      </c>
      <c r="G2" s="20">
        <f>IFERROR(IF(LEN(TRIM(CLEAN(SUBSTITUTE(Setup!$B$2,CHAR(160)," "))))=0,"CHECK REVIEWER ID",IF(OR(A2="",COUNTIF($A$2:$A$9,A2)&lt;&gt;1,LEFT(A2,LEN("2018::jama.2018.17075::"))&lt;&gt;"2018::jama.2018.17075::"),"CHECK KEY",IF(OR(AND(NOT(AND(D2="retain",E2="statistical_results")),H2&lt;&gt;"",NOT(EXACT(H2,"not_applicable"))),AND(NOT(AND(D2="retain",E2="statistical_results")),I2&lt;&gt;"",NOT(EXACT(I2,"not_applicable"))),AND(NOT(AND(D2="retain",E2="statistical_results")),J2&lt;&gt;"",NOT(EXACT(J2,"not_applicable"))),AND(NOT(AND(D2="retain",OR(E2="report_internal_inconsistency",E2="plan_material"))),K2&lt;&gt;"",NOT(EXACT(K2,"not_applicable"))),AND(NOT(AND(D2="retain",E2="protocol_report")),L2&lt;&gt;"",NOT(EXACT(L2,"not_applicable")))),"CLEAR INACTIVE VALUES",IF(OR(NOT(OR(EXACT(D2,"retain"),EXACT(D2,"exclude"),EXACT(D2,"discuss"))),NOT(OR(EXACT(E2,"statistical_results"),EXACT(E2,"report_internal_inconsistency"),EXACT(E2,"plan_material"),EXACT(E2,"protocol_report"))),AND(AND(D2="retain",E2="statistical_results"),NOT(OR(EXACT(H2,"confirmed_issue"),EXACT(H2,"probable_issue"),EXACT(H2,"not_issue"),EXACT(H2,"indeterminate")))),AND(AND(D2="retain",E2="statistical_results"),NOT(OR(EXACT(I2,"substantive"),EXACT(I2,"minor_presentation"),EXACT(I2,"indeterminate")))),AND(AND(D2="retain",E2="statistical_results"),J2&lt;&gt;"",NOT(OR(EXACT(J2,"direct"),EXACT(J2,"possible"),EXACT(J2,"unlikely"),EXACT(J2,"unknown")))),AND(AND(D2="retain",OR(E2="report_internal_inconsistency",E2="plan_material")),NOT(OR(EXACT(K2,"substantive_inconsistency"),EXACT(K2,"minor_presentation"),EXACT(K2,"non_inconsistency"),EXACT(K2,"indeterminate")))),AND(AND(D2="retain",E2="protocol_report"),L2&lt;&gt;"",NOT(OR(EXACT(L2,"substantive_difference"),EXACT(L2,"minor_presentation"),EXACT(L2,"version_timing"),EXACT(L2,"non_inconsistency"),EXACT(L2,"indeterminate"))))),"CHECK FIELDS",IF(AND(F2&lt;&gt;"",NOT(OR(EXACT(F2,"no"),EXACT(F2,"primary_done")))),"CHECK COMPLETE",IF(EXACT(F2,"primary_done"),"PRIMARY READY","PRIMARY DRAFT")))))),"CHECK INPUT / KEY")</f>
        <v/>
      </c>
      <c r="H2" s="21">
        <f>IF(AND(OR(D2="retain",D2=""),E2="statistical_results"),"","not_applicable")</f>
        <v/>
      </c>
      <c r="I2" s="21">
        <f>IF(AND(OR(D2="retain",D2=""),E2="statistical_results"),"","not_applicable")</f>
        <v/>
      </c>
      <c r="J2" s="22">
        <f>IF(AND(OR(D2="retain",D2=""),E2="statistical_results"),"","not_applicable")</f>
        <v/>
      </c>
      <c r="K2" s="21">
        <f>IF(AND(OR(D2="retain",D2=""),OR(E2="report_internal_inconsistency",E2="plan_material")),"","not_applicable")</f>
        <v/>
      </c>
      <c r="L2" s="22">
        <f>IF(AND(OR(D2="retain",D2=""),E2="protocol_report"),"","not_applicable")</f>
        <v/>
      </c>
      <c r="M2" s="20" t="n"/>
      <c r="N2" s="23" t="n"/>
      <c r="O2" s="23" t="n"/>
      <c r="P2" s="23" t="n"/>
      <c r="Q2" s="23" t="n"/>
      <c r="R2" s="22" t="n"/>
    </row>
    <row r="3" ht="92" customFormat="1" customHeight="1" s="14">
      <c r="A3" s="24" t="inlineStr">
        <is>
          <t>2018::jama.2018.17075::C002</t>
        </is>
      </c>
      <c r="B3" s="24" t="inlineStr">
        <is>
          <t>Primary risk difference has opposite signs in matched main-article locations</t>
        </is>
      </c>
      <c r="C3" s="24" t="inlineStr">
        <is>
          <t>jama_cooper_2018_oi_180132.pdf — PDF p. 1, abstract Results; PDF p. 5, Primary Outcome Results; PDF p. 7, Table 2 favorable outcome.</t>
        </is>
      </c>
      <c r="D3" s="21" t="n"/>
      <c r="E3" s="21" t="inlineStr">
        <is>
          <t>report_internal_inconsistency</t>
        </is>
      </c>
      <c r="F3" s="21" t="inlineStr">
        <is>
          <t>no</t>
        </is>
      </c>
      <c r="G3" s="24">
        <f>IFERROR(IF(LEN(TRIM(CLEAN(SUBSTITUTE(Setup!$B$2,CHAR(160)," "))))=0,"CHECK REVIEWER ID",IF(OR(A3="",COUNTIF($A$2:$A$9,A3)&lt;&gt;1,LEFT(A3,LEN("2018::jama.2018.17075::"))&lt;&gt;"2018::jama.2018.17075::"),"CHECK KEY",IF(OR(AND(NOT(AND(D3="retain",E3="statistical_results")),H3&lt;&gt;"",NOT(EXACT(H3,"not_applicable"))),AND(NOT(AND(D3="retain",E3="statistical_results")),I3&lt;&gt;"",NOT(EXACT(I3,"not_applicable"))),AND(NOT(AND(D3="retain",E3="statistical_results")),J3&lt;&gt;"",NOT(EXACT(J3,"not_applicable"))),AND(NOT(AND(D3="retain",OR(E3="report_internal_inconsistency",E3="plan_material"))),K3&lt;&gt;"",NOT(EXACT(K3,"not_applicable"))),AND(NOT(AND(D3="retain",E3="protocol_report")),L3&lt;&gt;"",NOT(EXACT(L3,"not_applicable")))),"CLEAR INACTIVE VALUES",IF(OR(NOT(OR(EXACT(D3,"retain"),EXACT(D3,"exclude"),EXACT(D3,"discuss"))),NOT(OR(EXACT(E3,"statistical_results"),EXACT(E3,"report_internal_inconsistency"),EXACT(E3,"plan_material"),EXACT(E3,"protocol_report"))),AND(AND(D3="retain",E3="statistical_results"),NOT(OR(EXACT(H3,"confirmed_issue"),EXACT(H3,"probable_issue"),EXACT(H3,"not_issue"),EXACT(H3,"indeterminate")))),AND(AND(D3="retain",E3="statistical_results"),NOT(OR(EXACT(I3,"substantive"),EXACT(I3,"minor_presentation"),EXACT(I3,"indeterminate")))),AND(AND(D3="retain",E3="statistical_results"),J3&lt;&gt;"",NOT(OR(EXACT(J3,"direct"),EXACT(J3,"possible"),EXACT(J3,"unlikely"),EXACT(J3,"unknown")))),AND(AND(D3="retain",OR(E3="report_internal_inconsistency",E3="plan_material")),NOT(OR(EXACT(K3,"substantive_inconsistency"),EXACT(K3,"minor_presentation"),EXACT(K3,"non_inconsistency"),EXACT(K3,"indeterminate")))),AND(AND(D3="retain",E3="protocol_report"),L3&lt;&gt;"",NOT(OR(EXACT(L3,"substantive_difference"),EXACT(L3,"minor_presentation"),EXACT(L3,"version_timing"),EXACT(L3,"non_inconsistency"),EXACT(L3,"indeterminate"))))),"CHECK FIELDS",IF(AND(F3&lt;&gt;"",NOT(OR(EXACT(F3,"no"),EXACT(F3,"primary_done")))),"CHECK COMPLETE",IF(EXACT(F3,"primary_done"),"PRIMARY READY","PRIMARY DRAFT")))))),"CHECK INPUT / KEY")</f>
        <v/>
      </c>
      <c r="H3" s="21">
        <f>IF(AND(OR(D3="retain",D3=""),E3="statistical_results"),"","not_applicable")</f>
        <v/>
      </c>
      <c r="I3" s="21">
        <f>IF(AND(OR(D3="retain",D3=""),E3="statistical_results"),"","not_applicable")</f>
        <v/>
      </c>
      <c r="J3" s="22">
        <f>IF(AND(OR(D3="retain",D3=""),E3="statistical_results"),"","not_applicable")</f>
        <v/>
      </c>
      <c r="K3" s="21">
        <f>IF(AND(OR(D3="retain",D3=""),OR(E3="report_internal_inconsistency",E3="plan_material")),"","not_applicable")</f>
        <v/>
      </c>
      <c r="L3" s="22">
        <f>IF(AND(OR(D3="retain",D3=""),E3="protocol_report"),"","not_applicable")</f>
        <v/>
      </c>
      <c r="M3" s="24" t="n"/>
      <c r="N3" s="23" t="n"/>
      <c r="O3" s="23" t="n"/>
      <c r="P3" s="23" t="n"/>
      <c r="Q3" s="23" t="n"/>
      <c r="R3" s="22" t="n"/>
    </row>
    <row r="4" ht="92" customFormat="1" customHeight="1" s="14">
      <c r="A4" s="20" t="inlineStr">
        <is>
          <t>2018::jama.2018.17075::C003</t>
        </is>
      </c>
      <c r="B4" s="20" t="inlineStr">
        <is>
          <t>Intracranial-bleeding effect and P-value reporting conflicts with matched evidence</t>
        </is>
      </c>
      <c r="C4" s="20" t="inlineStr">
        <is>
          <t>jama_cooper_2018_oi_180132.pdf — PDF p. 7, Table 2, new or increased intracranial bleeding; joi180132supp2_prod.pdf — PDF p. 10, eTable 6, same outcome; jama_cooper_2018_oi_180132.pdf — PDF p. 3, Statistical Analysis.</t>
        </is>
      </c>
      <c r="D4" s="21" t="n"/>
      <c r="E4" s="21" t="inlineStr">
        <is>
          <t>statistical_results</t>
        </is>
      </c>
      <c r="F4" s="21" t="inlineStr">
        <is>
          <t>no</t>
        </is>
      </c>
      <c r="G4" s="20">
        <f>IFERROR(IF(LEN(TRIM(CLEAN(SUBSTITUTE(Setup!$B$2,CHAR(160)," "))))=0,"CHECK REVIEWER ID",IF(OR(A4="",COUNTIF($A$2:$A$9,A4)&lt;&gt;1,LEFT(A4,LEN("2018::jama.2018.17075::"))&lt;&gt;"2018::jama.2018.17075::"),"CHECK KEY",IF(OR(AND(NOT(AND(D4="retain",E4="statistical_results")),H4&lt;&gt;"",NOT(EXACT(H4,"not_applicable"))),AND(NOT(AND(D4="retain",E4="statistical_results")),I4&lt;&gt;"",NOT(EXACT(I4,"not_applicable"))),AND(NOT(AND(D4="retain",E4="statistical_results")),J4&lt;&gt;"",NOT(EXACT(J4,"not_applicable"))),AND(NOT(AND(D4="retain",OR(E4="report_internal_inconsistency",E4="plan_material"))),K4&lt;&gt;"",NOT(EXACT(K4,"not_applicable"))),AND(NOT(AND(D4="retain",E4="protocol_report")),L4&lt;&gt;"",NOT(EXACT(L4,"not_applicable")))),"CLEAR INACTIVE VALUES",IF(OR(NOT(OR(EXACT(D4,"retain"),EXACT(D4,"exclude"),EXACT(D4,"discuss"))),NOT(OR(EXACT(E4,"statistical_results"),EXACT(E4,"report_internal_inconsistency"),EXACT(E4,"plan_material"),EXACT(E4,"protocol_report"))),AND(AND(D4="retain",E4="statistical_results"),NOT(OR(EXACT(H4,"confirmed_issue"),EXACT(H4,"probable_issue"),EXACT(H4,"not_issue"),EXACT(H4,"indeterminate")))),AND(AND(D4="retain",E4="statistical_results"),NOT(OR(EXACT(I4,"substantive"),EXACT(I4,"minor_presentation"),EXACT(I4,"indeterminate")))),AND(AND(D4="retain",E4="statistical_results"),J4&lt;&gt;"",NOT(OR(EXACT(J4,"direct"),EXACT(J4,"possible"),EXACT(J4,"unlikely"),EXACT(J4,"unknown")))),AND(AND(D4="retain",OR(E4="report_internal_inconsistency",E4="plan_material")),NOT(OR(EXACT(K4,"substantive_inconsistency"),EXACT(K4,"minor_presentation"),EXACT(K4,"non_inconsistency"),EXACT(K4,"indeterminate")))),AND(AND(D4="retain",E4="protocol_report"),L4&lt;&gt;"",NOT(OR(EXACT(L4,"substantive_difference"),EXACT(L4,"minor_presentation"),EXACT(L4,"version_timing"),EXACT(L4,"non_inconsistency"),EXACT(L4,"indeterminate"))))),"CHECK FIELDS",IF(AND(F4&lt;&gt;"",NOT(OR(EXACT(F4,"no"),EXACT(F4,"primary_done")))),"CHECK COMPLETE",IF(EXACT(F4,"primary_done"),"PRIMARY READY","PRIMARY DRAFT")))))),"CHECK INPUT / KEY")</f>
        <v/>
      </c>
      <c r="H4" s="21">
        <f>IF(AND(OR(D4="retain",D4=""),E4="statistical_results"),"","not_applicable")</f>
        <v/>
      </c>
      <c r="I4" s="21">
        <f>IF(AND(OR(D4="retain",D4=""),E4="statistical_results"),"","not_applicable")</f>
        <v/>
      </c>
      <c r="J4" s="22">
        <f>IF(AND(OR(D4="retain",D4=""),E4="statistical_results"),"","not_applicable")</f>
        <v/>
      </c>
      <c r="K4" s="21">
        <f>IF(AND(OR(D4="retain",D4=""),OR(E4="report_internal_inconsistency",E4="plan_material")),"","not_applicable")</f>
        <v/>
      </c>
      <c r="L4" s="22">
        <f>IF(AND(OR(D4="retain",D4=""),E4="protocol_report"),"","not_applicable")</f>
        <v/>
      </c>
      <c r="M4" s="20" t="n"/>
      <c r="N4" s="23" t="n"/>
      <c r="O4" s="23" t="n"/>
      <c r="P4" s="23" t="n"/>
      <c r="Q4" s="23" t="n"/>
      <c r="R4" s="22" t="n"/>
    </row>
    <row r="5" ht="92" customFormat="1" customHeight="1" s="14">
      <c r="A5" s="24" t="inlineStr">
        <is>
          <t>2018::jama.2018.17075::C004</t>
        </is>
      </c>
      <c r="B5" s="24" t="inlineStr">
        <is>
          <t>Extracranial-bleeding effect and P-value reporting conflicts with matched evidence</t>
        </is>
      </c>
      <c r="C5" s="24" t="inlineStr">
        <is>
          <t>jama_cooper_2018_oi_180132.pdf — PDF p. 7, Table 2, new significant extracranial bleeding; joi180132supp2_prod.pdf — PDF p. 10, eTable 6, same outcome; jama_cooper_2018_oi_180132.pdf — PDF p. 3, Statistical Analysis.</t>
        </is>
      </c>
      <c r="D5" s="21" t="n"/>
      <c r="E5" s="21" t="inlineStr">
        <is>
          <t>statistical_results</t>
        </is>
      </c>
      <c r="F5" s="21" t="inlineStr">
        <is>
          <t>no</t>
        </is>
      </c>
      <c r="G5" s="24">
        <f>IFERROR(IF(LEN(TRIM(CLEAN(SUBSTITUTE(Setup!$B$2,CHAR(160)," "))))=0,"CHECK REVIEWER ID",IF(OR(A5="",COUNTIF($A$2:$A$9,A5)&lt;&gt;1,LEFT(A5,LEN("2018::jama.2018.17075::"))&lt;&gt;"2018::jama.2018.17075::"),"CHECK KEY",IF(OR(AND(NOT(AND(D5="retain",E5="statistical_results")),H5&lt;&gt;"",NOT(EXACT(H5,"not_applicable"))),AND(NOT(AND(D5="retain",E5="statistical_results")),I5&lt;&gt;"",NOT(EXACT(I5,"not_applicable"))),AND(NOT(AND(D5="retain",E5="statistical_results")),J5&lt;&gt;"",NOT(EXACT(J5,"not_applicable"))),AND(NOT(AND(D5="retain",OR(E5="report_internal_inconsistency",E5="plan_material"))),K5&lt;&gt;"",NOT(EXACT(K5,"not_applicable"))),AND(NOT(AND(D5="retain",E5="protocol_report")),L5&lt;&gt;"",NOT(EXACT(L5,"not_applicable")))),"CLEAR INACTIVE VALUES",IF(OR(NOT(OR(EXACT(D5,"retain"),EXACT(D5,"exclude"),EXACT(D5,"discuss"))),NOT(OR(EXACT(E5,"statistical_results"),EXACT(E5,"report_internal_inconsistency"),EXACT(E5,"plan_material"),EXACT(E5,"protocol_report"))),AND(AND(D5="retain",E5="statistical_results"),NOT(OR(EXACT(H5,"confirmed_issue"),EXACT(H5,"probable_issue"),EXACT(H5,"not_issue"),EXACT(H5,"indeterminate")))),AND(AND(D5="retain",E5="statistical_results"),NOT(OR(EXACT(I5,"substantive"),EXACT(I5,"minor_presentation"),EXACT(I5,"indeterminate")))),AND(AND(D5="retain",E5="statistical_results"),J5&lt;&gt;"",NOT(OR(EXACT(J5,"direct"),EXACT(J5,"possible"),EXACT(J5,"unlikely"),EXACT(J5,"unknown")))),AND(AND(D5="retain",OR(E5="report_internal_inconsistency",E5="plan_material")),NOT(OR(EXACT(K5,"substantive_inconsistency"),EXACT(K5,"minor_presentation"),EXACT(K5,"non_inconsistency"),EXACT(K5,"indeterminate")))),AND(AND(D5="retain",E5="protocol_report"),L5&lt;&gt;"",NOT(OR(EXACT(L5,"substantive_difference"),EXACT(L5,"minor_presentation"),EXACT(L5,"version_timing"),EXACT(L5,"non_inconsistency"),EXACT(L5,"indeterminate"))))),"CHECK FIELDS",IF(AND(F5&lt;&gt;"",NOT(OR(EXACT(F5,"no"),EXACT(F5,"primary_done")))),"CHECK COMPLETE",IF(EXACT(F5,"primary_done"),"PRIMARY READY","PRIMARY DRAFT")))))),"CHECK INPUT / KEY")</f>
        <v/>
      </c>
      <c r="H5" s="21">
        <f>IF(AND(OR(D5="retain",D5=""),E5="statistical_results"),"","not_applicable")</f>
        <v/>
      </c>
      <c r="I5" s="21">
        <f>IF(AND(OR(D5="retain",D5=""),E5="statistical_results"),"","not_applicable")</f>
        <v/>
      </c>
      <c r="J5" s="22">
        <f>IF(AND(OR(D5="retain",D5=""),E5="statistical_results"),"","not_applicable")</f>
        <v/>
      </c>
      <c r="K5" s="21">
        <f>IF(AND(OR(D5="retain",D5=""),OR(E5="report_internal_inconsistency",E5="plan_material")),"","not_applicable")</f>
        <v/>
      </c>
      <c r="L5" s="22">
        <f>IF(AND(OR(D5="retain",D5=""),E5="protocol_report"),"","not_applicable")</f>
        <v/>
      </c>
      <c r="M5" s="24" t="n"/>
      <c r="N5" s="23" t="n"/>
      <c r="O5" s="23" t="n"/>
      <c r="P5" s="23" t="n"/>
      <c r="Q5" s="23" t="n"/>
      <c r="R5" s="22" t="n"/>
    </row>
    <row r="6" ht="92" customFormat="1" customHeight="1" s="14">
      <c r="A6" s="20" t="inlineStr">
        <is>
          <t>2018::jama.2018.17075::C005</t>
        </is>
      </c>
      <c r="B6" s="20" t="inlineStr">
        <is>
          <t>As-treated evacuated-mass-lesion cell reverses count and percentage order</t>
        </is>
      </c>
      <c r="C6" s="20" t="inlineStr">
        <is>
          <t>joi180132supp2_prod.pdf — PDF p. 18, eTable 10, CT Marshall classification, evacuated mass lesion V, normothermia.</t>
        </is>
      </c>
      <c r="D6" s="21" t="n"/>
      <c r="E6" s="21" t="inlineStr">
        <is>
          <t>report_internal_inconsistency</t>
        </is>
      </c>
      <c r="F6" s="21" t="inlineStr">
        <is>
          <t>no</t>
        </is>
      </c>
      <c r="G6" s="20">
        <f>IFERROR(IF(LEN(TRIM(CLEAN(SUBSTITUTE(Setup!$B$2,CHAR(160)," "))))=0,"CHECK REVIEWER ID",IF(OR(A6="",COUNTIF($A$2:$A$9,A6)&lt;&gt;1,LEFT(A6,LEN("2018::jama.2018.17075::"))&lt;&gt;"2018::jama.2018.17075::"),"CHECK KEY",IF(OR(AND(NOT(AND(D6="retain",E6="statistical_results")),H6&lt;&gt;"",NOT(EXACT(H6,"not_applicable"))),AND(NOT(AND(D6="retain",E6="statistical_results")),I6&lt;&gt;"",NOT(EXACT(I6,"not_applicable"))),AND(NOT(AND(D6="retain",E6="statistical_results")),J6&lt;&gt;"",NOT(EXACT(J6,"not_applicable"))),AND(NOT(AND(D6="retain",OR(E6="report_internal_inconsistency",E6="plan_material"))),K6&lt;&gt;"",NOT(EXACT(K6,"not_applicable"))),AND(NOT(AND(D6="retain",E6="protocol_report")),L6&lt;&gt;"",NOT(EXACT(L6,"not_applicable")))),"CLEAR INACTIVE VALUES",IF(OR(NOT(OR(EXACT(D6,"retain"),EXACT(D6,"exclude"),EXACT(D6,"discuss"))),NOT(OR(EXACT(E6,"statistical_results"),EXACT(E6,"report_internal_inconsistency"),EXACT(E6,"plan_material"),EXACT(E6,"protocol_report"))),AND(AND(D6="retain",E6="statistical_results"),NOT(OR(EXACT(H6,"confirmed_issue"),EXACT(H6,"probable_issue"),EXACT(H6,"not_issue"),EXACT(H6,"indeterminate")))),AND(AND(D6="retain",E6="statistical_results"),NOT(OR(EXACT(I6,"substantive"),EXACT(I6,"minor_presentation"),EXACT(I6,"indeterminate")))),AND(AND(D6="retain",E6="statistical_results"),J6&lt;&gt;"",NOT(OR(EXACT(J6,"direct"),EXACT(J6,"possible"),EXACT(J6,"unlikely"),EXACT(J6,"unknown")))),AND(AND(D6="retain",OR(E6="report_internal_inconsistency",E6="plan_material")),NOT(OR(EXACT(K6,"substantive_inconsistency"),EXACT(K6,"minor_presentation"),EXACT(K6,"non_inconsistency"),EXACT(K6,"indeterminate")))),AND(AND(D6="retain",E6="protocol_report"),L6&lt;&gt;"",NOT(OR(EXACT(L6,"substantive_difference"),EXACT(L6,"minor_presentation"),EXACT(L6,"version_timing"),EXACT(L6,"non_inconsistency"),EXACT(L6,"indeterminate"))))),"CHECK FIELDS",IF(AND(F6&lt;&gt;"",NOT(OR(EXACT(F6,"no"),EXACT(F6,"primary_done")))),"CHECK COMPLETE",IF(EXACT(F6,"primary_done"),"PRIMARY READY","PRIMARY DRAFT")))))),"CHECK INPUT / KEY")</f>
        <v/>
      </c>
      <c r="H6" s="21">
        <f>IF(AND(OR(D6="retain",D6=""),E6="statistical_results"),"","not_applicable")</f>
        <v/>
      </c>
      <c r="I6" s="21">
        <f>IF(AND(OR(D6="retain",D6=""),E6="statistical_results"),"","not_applicable")</f>
        <v/>
      </c>
      <c r="J6" s="22">
        <f>IF(AND(OR(D6="retain",D6=""),E6="statistical_results"),"","not_applicable")</f>
        <v/>
      </c>
      <c r="K6" s="21">
        <f>IF(AND(OR(D6="retain",D6=""),OR(E6="report_internal_inconsistency",E6="plan_material")),"","not_applicable")</f>
        <v/>
      </c>
      <c r="L6" s="22">
        <f>IF(AND(OR(D6="retain",D6=""),E6="protocol_report"),"","not_applicable")</f>
        <v/>
      </c>
      <c r="M6" s="20" t="n"/>
      <c r="N6" s="23" t="n"/>
      <c r="O6" s="23" t="n"/>
      <c r="P6" s="23" t="n"/>
      <c r="Q6" s="23" t="n"/>
      <c r="R6" s="22" t="n"/>
    </row>
    <row r="7" ht="92" customFormat="1" customHeight="1" s="14">
      <c r="A7" s="24" t="inlineStr">
        <is>
          <t>2018::jama.2018.17075::C006</t>
        </is>
      </c>
      <c r="B7" s="24" t="inlineStr">
        <is>
          <t>As-treated non-evacuated-mass-lesion cell reverses count and percentage order</t>
        </is>
      </c>
      <c r="C7" s="24" t="inlineStr">
        <is>
          <t>joi180132supp2_prod.pdf — PDF p. 18, eTable 10, CT Marshall classification, non-evacuated mass lesion VI, normothermia.</t>
        </is>
      </c>
      <c r="D7" s="21" t="n"/>
      <c r="E7" s="21" t="inlineStr">
        <is>
          <t>report_internal_inconsistency</t>
        </is>
      </c>
      <c r="F7" s="21" t="inlineStr">
        <is>
          <t>no</t>
        </is>
      </c>
      <c r="G7" s="24">
        <f>IFERROR(IF(LEN(TRIM(CLEAN(SUBSTITUTE(Setup!$B$2,CHAR(160)," "))))=0,"CHECK REVIEWER ID",IF(OR(A7="",COUNTIF($A$2:$A$9,A7)&lt;&gt;1,LEFT(A7,LEN("2018::jama.2018.17075::"))&lt;&gt;"2018::jama.2018.17075::"),"CHECK KEY",IF(OR(AND(NOT(AND(D7="retain",E7="statistical_results")),H7&lt;&gt;"",NOT(EXACT(H7,"not_applicable"))),AND(NOT(AND(D7="retain",E7="statistical_results")),I7&lt;&gt;"",NOT(EXACT(I7,"not_applicable"))),AND(NOT(AND(D7="retain",E7="statistical_results")),J7&lt;&gt;"",NOT(EXACT(J7,"not_applicable"))),AND(NOT(AND(D7="retain",OR(E7="report_internal_inconsistency",E7="plan_material"))),K7&lt;&gt;"",NOT(EXACT(K7,"not_applicable"))),AND(NOT(AND(D7="retain",E7="protocol_report")),L7&lt;&gt;"",NOT(EXACT(L7,"not_applicable")))),"CLEAR INACTIVE VALUES",IF(OR(NOT(OR(EXACT(D7,"retain"),EXACT(D7,"exclude"),EXACT(D7,"discuss"))),NOT(OR(EXACT(E7,"statistical_results"),EXACT(E7,"report_internal_inconsistency"),EXACT(E7,"plan_material"),EXACT(E7,"protocol_report"))),AND(AND(D7="retain",E7="statistical_results"),NOT(OR(EXACT(H7,"confirmed_issue"),EXACT(H7,"probable_issue"),EXACT(H7,"not_issue"),EXACT(H7,"indeterminate")))),AND(AND(D7="retain",E7="statistical_results"),NOT(OR(EXACT(I7,"substantive"),EXACT(I7,"minor_presentation"),EXACT(I7,"indeterminate")))),AND(AND(D7="retain",E7="statistical_results"),J7&lt;&gt;"",NOT(OR(EXACT(J7,"direct"),EXACT(J7,"possible"),EXACT(J7,"unlikely"),EXACT(J7,"unknown")))),AND(AND(D7="retain",OR(E7="report_internal_inconsistency",E7="plan_material")),NOT(OR(EXACT(K7,"substantive_inconsistency"),EXACT(K7,"minor_presentation"),EXACT(K7,"non_inconsistency"),EXACT(K7,"indeterminate")))),AND(AND(D7="retain",E7="protocol_report"),L7&lt;&gt;"",NOT(OR(EXACT(L7,"substantive_difference"),EXACT(L7,"minor_presentation"),EXACT(L7,"version_timing"),EXACT(L7,"non_inconsistency"),EXACT(L7,"indeterminate"))))),"CHECK FIELDS",IF(AND(F7&lt;&gt;"",NOT(OR(EXACT(F7,"no"),EXACT(F7,"primary_done")))),"CHECK COMPLETE",IF(EXACT(F7,"primary_done"),"PRIMARY READY","PRIMARY DRAFT")))))),"CHECK INPUT / KEY")</f>
        <v/>
      </c>
      <c r="H7" s="21">
        <f>IF(AND(OR(D7="retain",D7=""),E7="statistical_results"),"","not_applicable")</f>
        <v/>
      </c>
      <c r="I7" s="21">
        <f>IF(AND(OR(D7="retain",D7=""),E7="statistical_results"),"","not_applicable")</f>
        <v/>
      </c>
      <c r="J7" s="22">
        <f>IF(AND(OR(D7="retain",D7=""),E7="statistical_results"),"","not_applicable")</f>
        <v/>
      </c>
      <c r="K7" s="21">
        <f>IF(AND(OR(D7="retain",D7=""),OR(E7="report_internal_inconsistency",E7="plan_material")),"","not_applicable")</f>
        <v/>
      </c>
      <c r="L7" s="22">
        <f>IF(AND(OR(D7="retain",D7=""),E7="protocol_report"),"","not_applicable")</f>
        <v/>
      </c>
      <c r="M7" s="24" t="n"/>
      <c r="N7" s="23" t="n"/>
      <c r="O7" s="23" t="n"/>
      <c r="P7" s="23" t="n"/>
      <c r="Q7" s="23" t="n"/>
      <c r="R7" s="22" t="n"/>
    </row>
    <row r="8" ht="92" customFormat="1" customHeight="1" s="14">
      <c r="A8" s="20" t="inlineStr">
        <is>
          <t>2018::jama.2018.17075::C007</t>
        </is>
      </c>
      <c r="B8" s="20" t="inlineStr">
        <is>
          <t>Adjusted odds-ratio confidence-interval string is malformed</t>
        </is>
      </c>
      <c r="C8" s="20" t="inlineStr">
        <is>
          <t>joi180132supp2_prod.pdf — PDF p. 22, post-hoc adequate-cooling Results, final sentence.</t>
        </is>
      </c>
      <c r="D8" s="21" t="n"/>
      <c r="E8" s="21" t="inlineStr">
        <is>
          <t>statistical_results</t>
        </is>
      </c>
      <c r="F8" s="21" t="inlineStr">
        <is>
          <t>no</t>
        </is>
      </c>
      <c r="G8" s="20">
        <f>IFERROR(IF(LEN(TRIM(CLEAN(SUBSTITUTE(Setup!$B$2,CHAR(160)," "))))=0,"CHECK REVIEWER ID",IF(OR(A8="",COUNTIF($A$2:$A$9,A8)&lt;&gt;1,LEFT(A8,LEN("2018::jama.2018.17075::"))&lt;&gt;"2018::jama.2018.17075::"),"CHECK KEY",IF(OR(AND(NOT(AND(D8="retain",E8="statistical_results")),H8&lt;&gt;"",NOT(EXACT(H8,"not_applicable"))),AND(NOT(AND(D8="retain",E8="statistical_results")),I8&lt;&gt;"",NOT(EXACT(I8,"not_applicable"))),AND(NOT(AND(D8="retain",E8="statistical_results")),J8&lt;&gt;"",NOT(EXACT(J8,"not_applicable"))),AND(NOT(AND(D8="retain",OR(E8="report_internal_inconsistency",E8="plan_material"))),K8&lt;&gt;"",NOT(EXACT(K8,"not_applicable"))),AND(NOT(AND(D8="retain",E8="protocol_report")),L8&lt;&gt;"",NOT(EXACT(L8,"not_applicable")))),"CLEAR INACTIVE VALUES",IF(OR(NOT(OR(EXACT(D8,"retain"),EXACT(D8,"exclude"),EXACT(D8,"discuss"))),NOT(OR(EXACT(E8,"statistical_results"),EXACT(E8,"report_internal_inconsistency"),EXACT(E8,"plan_material"),EXACT(E8,"protocol_report"))),AND(AND(D8="retain",E8="statistical_results"),NOT(OR(EXACT(H8,"confirmed_issue"),EXACT(H8,"probable_issue"),EXACT(H8,"not_issue"),EXACT(H8,"indeterminate")))),AND(AND(D8="retain",E8="statistical_results"),NOT(OR(EXACT(I8,"substantive"),EXACT(I8,"minor_presentation"),EXACT(I8,"indeterminate")))),AND(AND(D8="retain",E8="statistical_results"),J8&lt;&gt;"",NOT(OR(EXACT(J8,"direct"),EXACT(J8,"possible"),EXACT(J8,"unlikely"),EXACT(J8,"unknown")))),AND(AND(D8="retain",OR(E8="report_internal_inconsistency",E8="plan_material")),NOT(OR(EXACT(K8,"substantive_inconsistency"),EXACT(K8,"minor_presentation"),EXACT(K8,"non_inconsistency"),EXACT(K8,"indeterminate")))),AND(AND(D8="retain",E8="protocol_report"),L8&lt;&gt;"",NOT(OR(EXACT(L8,"substantive_difference"),EXACT(L8,"minor_presentation"),EXACT(L8,"version_timing"),EXACT(L8,"non_inconsistency"),EXACT(L8,"indeterminate"))))),"CHECK FIELDS",IF(AND(F8&lt;&gt;"",NOT(OR(EXACT(F8,"no"),EXACT(F8,"primary_done")))),"CHECK COMPLETE",IF(EXACT(F8,"primary_done"),"PRIMARY READY","PRIMARY DRAFT")))))),"CHECK INPUT / KEY")</f>
        <v/>
      </c>
      <c r="H8" s="21">
        <f>IF(AND(OR(D8="retain",D8=""),E8="statistical_results"),"","not_applicable")</f>
        <v/>
      </c>
      <c r="I8" s="21">
        <f>IF(AND(OR(D8="retain",D8=""),E8="statistical_results"),"","not_applicable")</f>
        <v/>
      </c>
      <c r="J8" s="22">
        <f>IF(AND(OR(D8="retain",D8=""),E8="statistical_results"),"","not_applicable")</f>
        <v/>
      </c>
      <c r="K8" s="21">
        <f>IF(AND(OR(D8="retain",D8=""),OR(E8="report_internal_inconsistency",E8="plan_material")),"","not_applicable")</f>
        <v/>
      </c>
      <c r="L8" s="22">
        <f>IF(AND(OR(D8="retain",D8=""),E8="protocol_report"),"","not_applicable")</f>
        <v/>
      </c>
      <c r="M8" s="20" t="n"/>
      <c r="N8" s="23" t="n"/>
      <c r="O8" s="23" t="n"/>
      <c r="P8" s="23" t="n"/>
      <c r="Q8" s="23" t="n"/>
      <c r="R8" s="22" t="n"/>
    </row>
    <row r="9" ht="92" customFormat="1" customHeight="1" s="14">
      <c r="A9" s="24" t="inlineStr">
        <is>
          <t>2018::jama.2018.17075::C008</t>
        </is>
      </c>
      <c r="B9" s="24" t="inlineStr">
        <is>
          <t>Abstract male count conflicts with its percentage and Table 1 total</t>
        </is>
      </c>
      <c r="C9" s="24" t="inlineStr">
        <is>
          <t>jama_cooper_2018_oi_180132.pdf — PDF p. 1, abstract Results; PDF p. 5, Table 1, Men and Women rows.</t>
        </is>
      </c>
      <c r="D9" s="21" t="n"/>
      <c r="E9" s="21" t="inlineStr">
        <is>
          <t>statistical_results</t>
        </is>
      </c>
      <c r="F9" s="21" t="inlineStr">
        <is>
          <t>no</t>
        </is>
      </c>
      <c r="G9" s="24">
        <f>IFERROR(IF(LEN(TRIM(CLEAN(SUBSTITUTE(Setup!$B$2,CHAR(160)," "))))=0,"CHECK REVIEWER ID",IF(OR(A9="",COUNTIF($A$2:$A$9,A9)&lt;&gt;1,LEFT(A9,LEN("2018::jama.2018.17075::"))&lt;&gt;"2018::jama.2018.17075::"),"CHECK KEY",IF(OR(AND(NOT(AND(D9="retain",E9="statistical_results")),H9&lt;&gt;"",NOT(EXACT(H9,"not_applicable"))),AND(NOT(AND(D9="retain",E9="statistical_results")),I9&lt;&gt;"",NOT(EXACT(I9,"not_applicable"))),AND(NOT(AND(D9="retain",E9="statistical_results")),J9&lt;&gt;"",NOT(EXACT(J9,"not_applicable"))),AND(NOT(AND(D9="retain",OR(E9="report_internal_inconsistency",E9="plan_material"))),K9&lt;&gt;"",NOT(EXACT(K9,"not_applicable"))),AND(NOT(AND(D9="retain",E9="protocol_report")),L9&lt;&gt;"",NOT(EXACT(L9,"not_applicable")))),"CLEAR INACTIVE VALUES",IF(OR(NOT(OR(EXACT(D9,"retain"),EXACT(D9,"exclude"),EXACT(D9,"discuss"))),NOT(OR(EXACT(E9,"statistical_results"),EXACT(E9,"report_internal_inconsistency"),EXACT(E9,"plan_material"),EXACT(E9,"protocol_report"))),AND(AND(D9="retain",E9="statistical_results"),NOT(OR(EXACT(H9,"confirmed_issue"),EXACT(H9,"probable_issue"),EXACT(H9,"not_issue"),EXACT(H9,"indeterminate")))),AND(AND(D9="retain",E9="statistical_results"),NOT(OR(EXACT(I9,"substantive"),EXACT(I9,"minor_presentation"),EXACT(I9,"indeterminate")))),AND(AND(D9="retain",E9="statistical_results"),J9&lt;&gt;"",NOT(OR(EXACT(J9,"direct"),EXACT(J9,"possible"),EXACT(J9,"unlikely"),EXACT(J9,"unknown")))),AND(AND(D9="retain",OR(E9="report_internal_inconsistency",E9="plan_material")),NOT(OR(EXACT(K9,"substantive_inconsistency"),EXACT(K9,"minor_presentation"),EXACT(K9,"non_inconsistency"),EXACT(K9,"indeterminate")))),AND(AND(D9="retain",E9="protocol_report"),L9&lt;&gt;"",NOT(OR(EXACT(L9,"substantive_difference"),EXACT(L9,"minor_presentation"),EXACT(L9,"version_timing"),EXACT(L9,"non_inconsistency"),EXACT(L9,"indeterminate"))))),"CHECK FIELDS",IF(AND(F9&lt;&gt;"",NOT(OR(EXACT(F9,"no"),EXACT(F9,"primary_done")))),"CHECK COMPLETE",IF(EXACT(F9,"primary_done"),"PRIMARY READY","PRIMARY DRAFT")))))),"CHECK INPUT / KEY")</f>
        <v/>
      </c>
      <c r="H9" s="21">
        <f>IF(AND(OR(D9="retain",D9=""),E9="statistical_results"),"","not_applicable")</f>
        <v/>
      </c>
      <c r="I9" s="21">
        <f>IF(AND(OR(D9="retain",D9=""),E9="statistical_results"),"","not_applicable")</f>
        <v/>
      </c>
      <c r="J9" s="22">
        <f>IF(AND(OR(D9="retain",D9=""),E9="statistical_results"),"","not_applicable")</f>
        <v/>
      </c>
      <c r="K9" s="21">
        <f>IF(AND(OR(D9="retain",D9=""),OR(E9="report_internal_inconsistency",E9="plan_material")),"","not_applicable")</f>
        <v/>
      </c>
      <c r="L9" s="22">
        <f>IF(AND(OR(D9="retain",D9=""),E9="protocol_report"),"","not_applicable")</f>
        <v/>
      </c>
      <c r="M9" s="24" t="n"/>
      <c r="N9" s="23" t="n"/>
      <c r="O9" s="23" t="n"/>
      <c r="P9" s="23" t="n"/>
      <c r="Q9" s="23" t="n"/>
      <c r="R9" s="22" t="n"/>
    </row>
  </sheetData>
  <autoFilter ref="A1:R9"/>
  <conditionalFormatting sqref="H2:H9">
    <cfRule type="expression" priority="8" dxfId="70">
      <formula>NOT(AND(OR($D2="retain",$D2=""),$E2="statistical_results"))</formula>
    </cfRule>
  </conditionalFormatting>
  <conditionalFormatting sqref="I2:I9">
    <cfRule type="expression" priority="9" dxfId="70">
      <formula>NOT(AND(OR($D2="retain",$D2=""),$E2="statistical_results"))</formula>
    </cfRule>
  </conditionalFormatting>
  <conditionalFormatting sqref="J2:J9">
    <cfRule type="expression" priority="10" dxfId="70">
      <formula>NOT(AND(OR($D2="retain",$D2=""),$E2="statistical_results"))</formula>
    </cfRule>
  </conditionalFormatting>
  <conditionalFormatting sqref="K2:K9">
    <cfRule type="expression" priority="11" dxfId="70">
      <formula>NOT(AND(OR($D2="retain",$D2=""),OR($E2="report_internal_inconsistency",$E2="plan_material")))</formula>
    </cfRule>
  </conditionalFormatting>
  <conditionalFormatting sqref="L2:L9">
    <cfRule type="expression" priority="12" dxfId="70">
      <formula>NOT(AND(OR($D2="retain",$D2=""),$E2="protocol_report"))</formula>
    </cfRule>
  </conditionalFormatting>
  <conditionalFormatting sqref="G2:G9">
    <cfRule type="expression" priority="13" dxfId="71">
      <formula>G2&lt;&gt;"PRIMARY READY"</formula>
    </cfRule>
  </conditionalFormatting>
  <dataValidations count="8">
    <dataValidation sqref="D2:D9" showDropDown="0" showInputMessage="0" showErrorMessage="1" allowBlank="1" errorTitle="Use a listed option" error="Choose an option; G also checks pasted entries." type="list" errorStyle="stop">
      <formula1>"retain,exclude,discuss"</formula1>
    </dataValidation>
    <dataValidation sqref="E2:E9" showDropDown="0" showInputMessage="0" showErrorMessage="1" allowBlank="1" errorTitle="Use a listed option" error="Choose an option; G also checks pasted entries." type="list" errorStyle="stop">
      <formula1>"statistical_results,report_internal_inconsistency,plan_material,protocol_report"</formula1>
    </dataValidation>
    <dataValidation sqref="F2:F9" showDropDown="0" showInputMessage="0" showErrorMessage="1" allowBlank="1" errorTitle="Use a listed option" error="Choose an option; G also checks pasted entries." type="list" errorStyle="stop">
      <formula1>"no,primary_done"</formula1>
    </dataValidation>
    <dataValidation sqref="H2:H9" showDropDown="0" showInputMessage="0" showErrorMessage="1" allowBlank="1" errorTitle="Use a listed option" error="Choose an option; G also checks pasted entries." type="list" errorStyle="stop">
      <formula1>"confirmed_issue,probable_issue,not_issue,indeterminate,not_applicable"</formula1>
    </dataValidation>
    <dataValidation sqref="I2:I9" showDropDown="0" showInputMessage="0" showErrorMessage="1" allowBlank="1" errorTitle="Use a listed option" error="Choose an option; G also checks pasted entries." type="list" errorStyle="stop">
      <formula1>"substantive,minor_presentation,indeterminate,not_applicable"</formula1>
    </dataValidation>
    <dataValidation sqref="J2:J9" showDropDown="0" showInputMessage="0" showErrorMessage="1" allowBlank="1" errorTitle="Use a listed option" error="Choose an option; G also checks pasted entries." type="list" errorStyle="stop">
      <formula1>"direct,possible,unlikely,unknown,not_applicable"</formula1>
    </dataValidation>
    <dataValidation sqref="K2:K9" showDropDown="0" showInputMessage="0" showErrorMessage="1" allowBlank="1" errorTitle="Use a listed option" error="Choose an option; G also checks pasted entries." type="list" errorStyle="stop">
      <formula1>"substantive_inconsistency,minor_presentation,non_inconsistency,indeterminate,not_applicable"</formula1>
    </dataValidation>
    <dataValidation sqref="L2:L9" showDropDown="0" showInputMessage="0" showErrorMessage="1" allowBlank="1" errorTitle="Use a listed option" error="Choose an option; G also checks pasted entries." type="list" errorStyle="stop">
      <formula1>"substantive_difference,minor_presentation,version_timing,non_inconsistency,indeterminate,not_applicable"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R15"/>
  <sheetViews>
    <sheetView showGridLines="0" tabSelected="0" workbookViewId="0">
      <pane xSplit="1" ySplit="1" topLeftCell="B2" activePane="bottomRight" state="frozen"/>
      <selection activeCell="A1" sqref="A1"/>
    </sheetView>
  </sheetViews>
  <sheetFormatPr baseColWidth="8" defaultRowHeight="15"/>
  <cols>
    <col width="22" customWidth="1" style="14" min="1" max="1"/>
    <col width="28" customWidth="1" style="14" min="2" max="2"/>
    <col width="22" customWidth="1" style="14" min="3" max="3"/>
    <col width="20" customWidth="1" style="14" min="4" max="4"/>
    <col width="35" customWidth="1" style="14" min="5" max="5"/>
    <col width="17" customWidth="1" style="14" min="6" max="6"/>
    <col width="29" customWidth="1" style="14" min="7" max="7"/>
    <col width="28" customWidth="1" style="14" min="8" max="8"/>
    <col width="20" customWidth="1" style="14" min="9" max="9"/>
    <col width="20" customWidth="1" style="14" min="10" max="10"/>
    <col width="34" customWidth="1" style="14" min="11" max="11"/>
    <col width="26" customWidth="1" style="14" min="12" max="12"/>
    <col hidden="1" width="3" customWidth="1" style="14" min="13" max="13"/>
    <col hidden="1" width="3" customWidth="1" style="14" min="14" max="14"/>
    <col hidden="1" width="3" customWidth="1" style="14" min="15" max="15"/>
    <col hidden="1" width="3" customWidth="1" style="14" min="16" max="16"/>
    <col hidden="1" width="3" customWidth="1" style="14" min="17" max="17"/>
    <col width="32" customWidth="1" style="14" min="18" max="18"/>
  </cols>
  <sheetData>
    <row r="1" ht="70" customFormat="1" customHeight="1" s="14">
      <c r="A1" s="19" t="inlineStr">
        <is>
          <t>Candidate key</t>
        </is>
      </c>
      <c r="B1" s="19" t="inlineStr">
        <is>
          <t>Candidate title</t>
        </is>
      </c>
      <c r="C1" s="19" t="inlineStr">
        <is>
          <t>Source location</t>
        </is>
      </c>
      <c r="D1" s="19" t="inlineStr">
        <is>
          <t>Disposition</t>
        </is>
      </c>
      <c r="E1" s="19" t="inlineStr">
        <is>
          <t>Review domain (AI suggestion; editable)</t>
        </is>
      </c>
      <c r="F1" s="19" t="inlineStr">
        <is>
          <t>Complete</t>
        </is>
      </c>
      <c r="G1" s="19" t="inlineStr">
        <is>
          <t>Validation hint</t>
        </is>
      </c>
      <c r="H1" s="19" t="inlineStr">
        <is>
          <t>Statistcal_or_numerical issue</t>
        </is>
      </c>
      <c r="I1" s="19" t="inlineStr">
        <is>
          <t>Substantiveness</t>
        </is>
      </c>
      <c r="J1" s="19" t="inlineStr">
        <is>
          <t>Downstream impact</t>
        </is>
      </c>
      <c r="K1" s="19" t="inlineStr">
        <is>
          <t>Report-internal or planning-material inconsistency</t>
        </is>
      </c>
      <c r="L1" s="19" t="inlineStr">
        <is>
          <t>Protocol interpretation</t>
        </is>
      </c>
      <c r="M1" s="19" t="n"/>
      <c r="N1" s="19" t="n"/>
      <c r="O1" s="19" t="n"/>
      <c r="P1" s="19" t="n"/>
      <c r="Q1" s="19" t="n"/>
      <c r="R1" s="19" t="inlineStr">
        <is>
          <t>Notes (optional)</t>
        </is>
      </c>
    </row>
    <row r="2" ht="92" customFormat="1" customHeight="1" s="14">
      <c r="A2" s="20" t="inlineStr">
        <is>
          <t>2018::jama.2018.18020::C001</t>
        </is>
      </c>
      <c r="B2" s="20" t="inlineStr">
        <is>
          <t>Abstract sex percentage conflicts with the enrolled sex count</t>
        </is>
      </c>
      <c r="C2" s="20" t="inlineStr">
        <is>
          <t>jama_stunnenberg_2018_oi_180136.pdf — PDF p. 1, Abstract Results; jama_stunnenberg_2018_oi_180136.pdf — PDF p. 4, Baseline Data.</t>
        </is>
      </c>
      <c r="D2" s="21" t="n"/>
      <c r="E2" s="21" t="inlineStr">
        <is>
          <t>statistical_results</t>
        </is>
      </c>
      <c r="F2" s="21" t="inlineStr">
        <is>
          <t>no</t>
        </is>
      </c>
      <c r="G2" s="20">
        <f>IFERROR(IF(LEN(TRIM(CLEAN(SUBSTITUTE(Setup!$B$2,CHAR(160)," "))))=0,"CHECK REVIEWER ID",IF(OR(A2="",COUNTIF($A$2:$A$15,A2)&lt;&gt;1,LEFT(A2,LEN("2018::jama.2018.18020::"))&lt;&gt;"2018::jama.2018.18020::"),"CHECK KEY",IF(OR(AND(NOT(AND(D2="retain",E2="statistical_results")),H2&lt;&gt;"",NOT(EXACT(H2,"not_applicable"))),AND(NOT(AND(D2="retain",E2="statistical_results")),I2&lt;&gt;"",NOT(EXACT(I2,"not_applicable"))),AND(NOT(AND(D2="retain",E2="statistical_results")),J2&lt;&gt;"",NOT(EXACT(J2,"not_applicable"))),AND(NOT(AND(D2="retain",OR(E2="report_internal_inconsistency",E2="plan_material"))),K2&lt;&gt;"",NOT(EXACT(K2,"not_applicable"))),AND(NOT(AND(D2="retain",E2="protocol_report")),L2&lt;&gt;"",NOT(EXACT(L2,"not_applicable")))),"CLEAR INACTIVE VALUES",IF(OR(NOT(OR(EXACT(D2,"retain"),EXACT(D2,"exclude"),EXACT(D2,"discuss"))),NOT(OR(EXACT(E2,"statistical_results"),EXACT(E2,"report_internal_inconsistency"),EXACT(E2,"plan_material"),EXACT(E2,"protocol_report"))),AND(AND(D2="retain",E2="statistical_results"),NOT(OR(EXACT(H2,"confirmed_issue"),EXACT(H2,"probable_issue"),EXACT(H2,"not_issue"),EXACT(H2,"indeterminate")))),AND(AND(D2="retain",E2="statistical_results"),NOT(OR(EXACT(I2,"substantive"),EXACT(I2,"minor_presentation"),EXACT(I2,"indeterminate")))),AND(AND(D2="retain",E2="statistical_results"),J2&lt;&gt;"",NOT(OR(EXACT(J2,"direct"),EXACT(J2,"possible"),EXACT(J2,"unlikely"),EXACT(J2,"unknown")))),AND(AND(D2="retain",OR(E2="report_internal_inconsistency",E2="plan_material")),NOT(OR(EXACT(K2,"substantive_inconsistency"),EXACT(K2,"minor_presentation"),EXACT(K2,"non_inconsistency"),EXACT(K2,"indeterminate")))),AND(AND(D2="retain",E2="protocol_report"),L2&lt;&gt;"",NOT(OR(EXACT(L2,"substantive_difference"),EXACT(L2,"minor_presentation"),EXACT(L2,"version_timing"),EXACT(L2,"non_inconsistency"),EXACT(L2,"indeterminate"))))),"CHECK FIELDS",IF(AND(F2&lt;&gt;"",NOT(OR(EXACT(F2,"no"),EXACT(F2,"primary_done")))),"CHECK COMPLETE",IF(EXACT(F2,"primary_done"),"PRIMARY READY","PRIMARY DRAFT")))))),"CHECK INPUT / KEY")</f>
        <v/>
      </c>
      <c r="H2" s="21">
        <f>IF(AND(OR(D2="retain",D2=""),E2="statistical_results"),"","not_applicable")</f>
        <v/>
      </c>
      <c r="I2" s="21">
        <f>IF(AND(OR(D2="retain",D2=""),E2="statistical_results"),"","not_applicable")</f>
        <v/>
      </c>
      <c r="J2" s="22">
        <f>IF(AND(OR(D2="retain",D2=""),E2="statistical_results"),"","not_applicable")</f>
        <v/>
      </c>
      <c r="K2" s="21">
        <f>IF(AND(OR(D2="retain",D2=""),OR(E2="report_internal_inconsistency",E2="plan_material")),"","not_applicable")</f>
        <v/>
      </c>
      <c r="L2" s="22">
        <f>IF(AND(OR(D2="retain",D2=""),E2="protocol_report"),"","not_applicable")</f>
        <v/>
      </c>
      <c r="M2" s="20" t="n"/>
      <c r="N2" s="23" t="n"/>
      <c r="O2" s="23" t="n"/>
      <c r="P2" s="23" t="n"/>
      <c r="Q2" s="23" t="n"/>
      <c r="R2" s="22" t="n"/>
    </row>
    <row r="3" ht="92" customFormat="1" customHeight="1" s="14">
      <c r="A3" s="24" t="inlineStr">
        <is>
          <t>2018::jama.2018.18020::C002</t>
        </is>
      </c>
      <c r="B3" s="24" t="inlineStr">
        <is>
          <t>INQoL IQR endpoints exceed the stated 0-to-100 scale</t>
        </is>
      </c>
      <c r="C3" s="24" t="inlineStr">
        <is>
          <t>jama_stunnenberg_2018_oi_180136.pdf — PDF p. 5, Table 1 and footnote f; jama_stunnenberg_2018_oi_180136.pdf — PDF p. 8, Table 2 footnote g.</t>
        </is>
      </c>
      <c r="D3" s="21" t="n"/>
      <c r="E3" s="21" t="inlineStr">
        <is>
          <t>report_internal_inconsistency</t>
        </is>
      </c>
      <c r="F3" s="21" t="inlineStr">
        <is>
          <t>no</t>
        </is>
      </c>
      <c r="G3" s="24">
        <f>IFERROR(IF(LEN(TRIM(CLEAN(SUBSTITUTE(Setup!$B$2,CHAR(160)," "))))=0,"CHECK REVIEWER ID",IF(OR(A3="",COUNTIF($A$2:$A$15,A3)&lt;&gt;1,LEFT(A3,LEN("2018::jama.2018.18020::"))&lt;&gt;"2018::jama.2018.18020::"),"CHECK KEY",IF(OR(AND(NOT(AND(D3="retain",E3="statistical_results")),H3&lt;&gt;"",NOT(EXACT(H3,"not_applicable"))),AND(NOT(AND(D3="retain",E3="statistical_results")),I3&lt;&gt;"",NOT(EXACT(I3,"not_applicable"))),AND(NOT(AND(D3="retain",E3="statistical_results")),J3&lt;&gt;"",NOT(EXACT(J3,"not_applicable"))),AND(NOT(AND(D3="retain",OR(E3="report_internal_inconsistency",E3="plan_material"))),K3&lt;&gt;"",NOT(EXACT(K3,"not_applicable"))),AND(NOT(AND(D3="retain",E3="protocol_report")),L3&lt;&gt;"",NOT(EXACT(L3,"not_applicable")))),"CLEAR INACTIVE VALUES",IF(OR(NOT(OR(EXACT(D3,"retain"),EXACT(D3,"exclude"),EXACT(D3,"discuss"))),NOT(OR(EXACT(E3,"statistical_results"),EXACT(E3,"report_internal_inconsistency"),EXACT(E3,"plan_material"),EXACT(E3,"protocol_report"))),AND(AND(D3="retain",E3="statistical_results"),NOT(OR(EXACT(H3,"confirmed_issue"),EXACT(H3,"probable_issue"),EXACT(H3,"not_issue"),EXACT(H3,"indeterminate")))),AND(AND(D3="retain",E3="statistical_results"),NOT(OR(EXACT(I3,"substantive"),EXACT(I3,"minor_presentation"),EXACT(I3,"indeterminate")))),AND(AND(D3="retain",E3="statistical_results"),J3&lt;&gt;"",NOT(OR(EXACT(J3,"direct"),EXACT(J3,"possible"),EXACT(J3,"unlikely"),EXACT(J3,"unknown")))),AND(AND(D3="retain",OR(E3="report_internal_inconsistency",E3="plan_material")),NOT(OR(EXACT(K3,"substantive_inconsistency"),EXACT(K3,"minor_presentation"),EXACT(K3,"non_inconsistency"),EXACT(K3,"indeterminate")))),AND(AND(D3="retain",E3="protocol_report"),L3&lt;&gt;"",NOT(OR(EXACT(L3,"substantive_difference"),EXACT(L3,"minor_presentation"),EXACT(L3,"version_timing"),EXACT(L3,"non_inconsistency"),EXACT(L3,"indeterminate"))))),"CHECK FIELDS",IF(AND(F3&lt;&gt;"",NOT(OR(EXACT(F3,"no"),EXACT(F3,"primary_done")))),"CHECK COMPLETE",IF(EXACT(F3,"primary_done"),"PRIMARY READY","PRIMARY DRAFT")))))),"CHECK INPUT / KEY")</f>
        <v/>
      </c>
      <c r="H3" s="21">
        <f>IF(AND(OR(D3="retain",D3=""),E3="statistical_results"),"","not_applicable")</f>
        <v/>
      </c>
      <c r="I3" s="21">
        <f>IF(AND(OR(D3="retain",D3=""),E3="statistical_results"),"","not_applicable")</f>
        <v/>
      </c>
      <c r="J3" s="22">
        <f>IF(AND(OR(D3="retain",D3=""),E3="statistical_results"),"","not_applicable")</f>
        <v/>
      </c>
      <c r="K3" s="21">
        <f>IF(AND(OR(D3="retain",D3=""),OR(E3="report_internal_inconsistency",E3="plan_material")),"","not_applicable")</f>
        <v/>
      </c>
      <c r="L3" s="22">
        <f>IF(AND(OR(D3="retain",D3=""),E3="protocol_report"),"","not_applicable")</f>
        <v/>
      </c>
      <c r="M3" s="24" t="n"/>
      <c r="N3" s="23" t="n"/>
      <c r="O3" s="23" t="n"/>
      <c r="P3" s="23" t="n"/>
      <c r="Q3" s="23" t="n"/>
      <c r="R3" s="22" t="n"/>
    </row>
    <row r="4" ht="92" customFormat="1" customHeight="1" s="14">
      <c r="A4" s="20" t="inlineStr">
        <is>
          <t>2018::jama.2018.18020::C003</t>
        </is>
      </c>
      <c r="B4" s="20" t="inlineStr">
        <is>
          <t>Table 2 secondary-outcome contrast header is opposite to the displayed effect signs</t>
        </is>
      </c>
      <c r="C4" s="20" t="inlineStr">
        <is>
          <t>jama_stunnenberg_2018_oi_180136.pdf — PDF p. 7, Table 2 header and change-score rows; jama_stunnenberg_2018_oi_180136.pdf — PDF p. 8, Table 2 footnotes.</t>
        </is>
      </c>
      <c r="D4" s="21" t="n"/>
      <c r="E4" s="21" t="inlineStr">
        <is>
          <t>report_internal_inconsistency</t>
        </is>
      </c>
      <c r="F4" s="21" t="inlineStr">
        <is>
          <t>no</t>
        </is>
      </c>
      <c r="G4" s="20">
        <f>IFERROR(IF(LEN(TRIM(CLEAN(SUBSTITUTE(Setup!$B$2,CHAR(160)," "))))=0,"CHECK REVIEWER ID",IF(OR(A4="",COUNTIF($A$2:$A$15,A4)&lt;&gt;1,LEFT(A4,LEN("2018::jama.2018.18020::"))&lt;&gt;"2018::jama.2018.18020::"),"CHECK KEY",IF(OR(AND(NOT(AND(D4="retain",E4="statistical_results")),H4&lt;&gt;"",NOT(EXACT(H4,"not_applicable"))),AND(NOT(AND(D4="retain",E4="statistical_results")),I4&lt;&gt;"",NOT(EXACT(I4,"not_applicable"))),AND(NOT(AND(D4="retain",E4="statistical_results")),J4&lt;&gt;"",NOT(EXACT(J4,"not_applicable"))),AND(NOT(AND(D4="retain",OR(E4="report_internal_inconsistency",E4="plan_material"))),K4&lt;&gt;"",NOT(EXACT(K4,"not_applicable"))),AND(NOT(AND(D4="retain",E4="protocol_report")),L4&lt;&gt;"",NOT(EXACT(L4,"not_applicable")))),"CLEAR INACTIVE VALUES",IF(OR(NOT(OR(EXACT(D4,"retain"),EXACT(D4,"exclude"),EXACT(D4,"discuss"))),NOT(OR(EXACT(E4,"statistical_results"),EXACT(E4,"report_internal_inconsistency"),EXACT(E4,"plan_material"),EXACT(E4,"protocol_report"))),AND(AND(D4="retain",E4="statistical_results"),NOT(OR(EXACT(H4,"confirmed_issue"),EXACT(H4,"probable_issue"),EXACT(H4,"not_issue"),EXACT(H4,"indeterminate")))),AND(AND(D4="retain",E4="statistical_results"),NOT(OR(EXACT(I4,"substantive"),EXACT(I4,"minor_presentation"),EXACT(I4,"indeterminate")))),AND(AND(D4="retain",E4="statistical_results"),J4&lt;&gt;"",NOT(OR(EXACT(J4,"direct"),EXACT(J4,"possible"),EXACT(J4,"unlikely"),EXACT(J4,"unknown")))),AND(AND(D4="retain",OR(E4="report_internal_inconsistency",E4="plan_material")),NOT(OR(EXACT(K4,"substantive_inconsistency"),EXACT(K4,"minor_presentation"),EXACT(K4,"non_inconsistency"),EXACT(K4,"indeterminate")))),AND(AND(D4="retain",E4="protocol_report"),L4&lt;&gt;"",NOT(OR(EXACT(L4,"substantive_difference"),EXACT(L4,"minor_presentation"),EXACT(L4,"version_timing"),EXACT(L4,"non_inconsistency"),EXACT(L4,"indeterminate"))))),"CHECK FIELDS",IF(AND(F4&lt;&gt;"",NOT(OR(EXACT(F4,"no"),EXACT(F4,"primary_done")))),"CHECK COMPLETE",IF(EXACT(F4,"primary_done"),"PRIMARY READY","PRIMARY DRAFT")))))),"CHECK INPUT / KEY")</f>
        <v/>
      </c>
      <c r="H4" s="21">
        <f>IF(AND(OR(D4="retain",D4=""),E4="statistical_results"),"","not_applicable")</f>
        <v/>
      </c>
      <c r="I4" s="21">
        <f>IF(AND(OR(D4="retain",D4=""),E4="statistical_results"),"","not_applicable")</f>
        <v/>
      </c>
      <c r="J4" s="22">
        <f>IF(AND(OR(D4="retain",D4=""),E4="statistical_results"),"","not_applicable")</f>
        <v/>
      </c>
      <c r="K4" s="21">
        <f>IF(AND(OR(D4="retain",D4=""),OR(E4="report_internal_inconsistency",E4="plan_material")),"","not_applicable")</f>
        <v/>
      </c>
      <c r="L4" s="22">
        <f>IF(AND(OR(D4="retain",D4=""),E4="protocol_report"),"","not_applicable")</f>
        <v/>
      </c>
      <c r="M4" s="20" t="n"/>
      <c r="N4" s="23" t="n"/>
      <c r="O4" s="23" t="n"/>
      <c r="P4" s="23" t="n"/>
      <c r="Q4" s="23" t="n"/>
      <c r="R4" s="22" t="n"/>
    </row>
    <row r="5" ht="92" customFormat="1" customHeight="1" s="14">
      <c r="A5" s="24" t="inlineStr">
        <is>
          <t>2018::jama.2018.18020::C004</t>
        </is>
      </c>
      <c r="B5" s="24" t="inlineStr">
        <is>
          <t>Placebo “Any” adverse-reaction percentage does not reconcile with the apparent denominator</t>
        </is>
      </c>
      <c r="C5" s="24" t="inlineStr">
        <is>
          <t>joi180136supp2_prod.pdf — PDF p. 6, eTable 4; jama_stunnenberg_2018_oi_180136.pdf — PDF p. 8, Adverse Events.</t>
        </is>
      </c>
      <c r="D5" s="21" t="n"/>
      <c r="E5" s="21" t="inlineStr">
        <is>
          <t>statistical_results</t>
        </is>
      </c>
      <c r="F5" s="21" t="inlineStr">
        <is>
          <t>no</t>
        </is>
      </c>
      <c r="G5" s="24">
        <f>IFERROR(IF(LEN(TRIM(CLEAN(SUBSTITUTE(Setup!$B$2,CHAR(160)," "))))=0,"CHECK REVIEWER ID",IF(OR(A5="",COUNTIF($A$2:$A$15,A5)&lt;&gt;1,LEFT(A5,LEN("2018::jama.2018.18020::"))&lt;&gt;"2018::jama.2018.18020::"),"CHECK KEY",IF(OR(AND(NOT(AND(D5="retain",E5="statistical_results")),H5&lt;&gt;"",NOT(EXACT(H5,"not_applicable"))),AND(NOT(AND(D5="retain",E5="statistical_results")),I5&lt;&gt;"",NOT(EXACT(I5,"not_applicable"))),AND(NOT(AND(D5="retain",E5="statistical_results")),J5&lt;&gt;"",NOT(EXACT(J5,"not_applicable"))),AND(NOT(AND(D5="retain",OR(E5="report_internal_inconsistency",E5="plan_material"))),K5&lt;&gt;"",NOT(EXACT(K5,"not_applicable"))),AND(NOT(AND(D5="retain",E5="protocol_report")),L5&lt;&gt;"",NOT(EXACT(L5,"not_applicable")))),"CLEAR INACTIVE VALUES",IF(OR(NOT(OR(EXACT(D5,"retain"),EXACT(D5,"exclude"),EXACT(D5,"discuss"))),NOT(OR(EXACT(E5,"statistical_results"),EXACT(E5,"report_internal_inconsistency"),EXACT(E5,"plan_material"),EXACT(E5,"protocol_report"))),AND(AND(D5="retain",E5="statistical_results"),NOT(OR(EXACT(H5,"confirmed_issue"),EXACT(H5,"probable_issue"),EXACT(H5,"not_issue"),EXACT(H5,"indeterminate")))),AND(AND(D5="retain",E5="statistical_results"),NOT(OR(EXACT(I5,"substantive"),EXACT(I5,"minor_presentation"),EXACT(I5,"indeterminate")))),AND(AND(D5="retain",E5="statistical_results"),J5&lt;&gt;"",NOT(OR(EXACT(J5,"direct"),EXACT(J5,"possible"),EXACT(J5,"unlikely"),EXACT(J5,"unknown")))),AND(AND(D5="retain",OR(E5="report_internal_inconsistency",E5="plan_material")),NOT(OR(EXACT(K5,"substantive_inconsistency"),EXACT(K5,"minor_presentation"),EXACT(K5,"non_inconsistency"),EXACT(K5,"indeterminate")))),AND(AND(D5="retain",E5="protocol_report"),L5&lt;&gt;"",NOT(OR(EXACT(L5,"substantive_difference"),EXACT(L5,"minor_presentation"),EXACT(L5,"version_timing"),EXACT(L5,"non_inconsistency"),EXACT(L5,"indeterminate"))))),"CHECK FIELDS",IF(AND(F5&lt;&gt;"",NOT(OR(EXACT(F5,"no"),EXACT(F5,"primary_done")))),"CHECK COMPLETE",IF(EXACT(F5,"primary_done"),"PRIMARY READY","PRIMARY DRAFT")))))),"CHECK INPUT / KEY")</f>
        <v/>
      </c>
      <c r="H5" s="21">
        <f>IF(AND(OR(D5="retain",D5=""),E5="statistical_results"),"","not_applicable")</f>
        <v/>
      </c>
      <c r="I5" s="21">
        <f>IF(AND(OR(D5="retain",D5=""),E5="statistical_results"),"","not_applicable")</f>
        <v/>
      </c>
      <c r="J5" s="22">
        <f>IF(AND(OR(D5="retain",D5=""),E5="statistical_results"),"","not_applicable")</f>
        <v/>
      </c>
      <c r="K5" s="21">
        <f>IF(AND(OR(D5="retain",D5=""),OR(E5="report_internal_inconsistency",E5="plan_material")),"","not_applicable")</f>
        <v/>
      </c>
      <c r="L5" s="22">
        <f>IF(AND(OR(D5="retain",D5=""),E5="protocol_report"),"","not_applicable")</f>
        <v/>
      </c>
      <c r="M5" s="24" t="n"/>
      <c r="N5" s="23" t="n"/>
      <c r="O5" s="23" t="n"/>
      <c r="P5" s="23" t="n"/>
      <c r="Q5" s="23" t="n"/>
      <c r="R5" s="22" t="n"/>
    </row>
    <row r="6" ht="92" customFormat="1" customHeight="1" s="14">
      <c r="A6" s="20" t="inlineStr">
        <is>
          <t>2018::jama.2018.18020::C005</t>
        </is>
      </c>
      <c r="B6" s="20" t="inlineStr">
        <is>
          <t>Bayesian parameter prose swaps mu_mex[i] and mu_plac[i] treatment labels</t>
        </is>
      </c>
      <c r="C6" s="20" t="inlineStr">
        <is>
          <t>joi180136supp2_prod.pdf — PDF p. 11, eMethods 2 code/dictionary; joi180136supp2_prod.pdf — PDF p. 13, eMethods 3 code; joi180136supp2_prod.pdf — PDF p. 14, eMethods 3 dictionary.</t>
        </is>
      </c>
      <c r="D6" s="21" t="n"/>
      <c r="E6" s="21" t="inlineStr">
        <is>
          <t>report_internal_inconsistency</t>
        </is>
      </c>
      <c r="F6" s="21" t="inlineStr">
        <is>
          <t>no</t>
        </is>
      </c>
      <c r="G6" s="20">
        <f>IFERROR(IF(LEN(TRIM(CLEAN(SUBSTITUTE(Setup!$B$2,CHAR(160)," "))))=0,"CHECK REVIEWER ID",IF(OR(A6="",COUNTIF($A$2:$A$15,A6)&lt;&gt;1,LEFT(A6,LEN("2018::jama.2018.18020::"))&lt;&gt;"2018::jama.2018.18020::"),"CHECK KEY",IF(OR(AND(NOT(AND(D6="retain",E6="statistical_results")),H6&lt;&gt;"",NOT(EXACT(H6,"not_applicable"))),AND(NOT(AND(D6="retain",E6="statistical_results")),I6&lt;&gt;"",NOT(EXACT(I6,"not_applicable"))),AND(NOT(AND(D6="retain",E6="statistical_results")),J6&lt;&gt;"",NOT(EXACT(J6,"not_applicable"))),AND(NOT(AND(D6="retain",OR(E6="report_internal_inconsistency",E6="plan_material"))),K6&lt;&gt;"",NOT(EXACT(K6,"not_applicable"))),AND(NOT(AND(D6="retain",E6="protocol_report")),L6&lt;&gt;"",NOT(EXACT(L6,"not_applicable")))),"CLEAR INACTIVE VALUES",IF(OR(NOT(OR(EXACT(D6,"retain"),EXACT(D6,"exclude"),EXACT(D6,"discuss"))),NOT(OR(EXACT(E6,"statistical_results"),EXACT(E6,"report_internal_inconsistency"),EXACT(E6,"plan_material"),EXACT(E6,"protocol_report"))),AND(AND(D6="retain",E6="statistical_results"),NOT(OR(EXACT(H6,"confirmed_issue"),EXACT(H6,"probable_issue"),EXACT(H6,"not_issue"),EXACT(H6,"indeterminate")))),AND(AND(D6="retain",E6="statistical_results"),NOT(OR(EXACT(I6,"substantive"),EXACT(I6,"minor_presentation"),EXACT(I6,"indeterminate")))),AND(AND(D6="retain",E6="statistical_results"),J6&lt;&gt;"",NOT(OR(EXACT(J6,"direct"),EXACT(J6,"possible"),EXACT(J6,"unlikely"),EXACT(J6,"unknown")))),AND(AND(D6="retain",OR(E6="report_internal_inconsistency",E6="plan_material")),NOT(OR(EXACT(K6,"substantive_inconsistency"),EXACT(K6,"minor_presentation"),EXACT(K6,"non_inconsistency"),EXACT(K6,"indeterminate")))),AND(AND(D6="retain",E6="protocol_report"),L6&lt;&gt;"",NOT(OR(EXACT(L6,"substantive_difference"),EXACT(L6,"minor_presentation"),EXACT(L6,"version_timing"),EXACT(L6,"non_inconsistency"),EXACT(L6,"indeterminate"))))),"CHECK FIELDS",IF(AND(F6&lt;&gt;"",NOT(OR(EXACT(F6,"no"),EXACT(F6,"primary_done")))),"CHECK COMPLETE",IF(EXACT(F6,"primary_done"),"PRIMARY READY","PRIMARY DRAFT")))))),"CHECK INPUT / KEY")</f>
        <v/>
      </c>
      <c r="H6" s="21">
        <f>IF(AND(OR(D6="retain",D6=""),E6="statistical_results"),"","not_applicable")</f>
        <v/>
      </c>
      <c r="I6" s="21">
        <f>IF(AND(OR(D6="retain",D6=""),E6="statistical_results"),"","not_applicable")</f>
        <v/>
      </c>
      <c r="J6" s="22">
        <f>IF(AND(OR(D6="retain",D6=""),E6="statistical_results"),"","not_applicable")</f>
        <v/>
      </c>
      <c r="K6" s="21">
        <f>IF(AND(OR(D6="retain",D6=""),OR(E6="report_internal_inconsistency",E6="plan_material")),"","not_applicable")</f>
        <v/>
      </c>
      <c r="L6" s="22">
        <f>IF(AND(OR(D6="retain",D6=""),E6="protocol_report"),"","not_applicable")</f>
        <v/>
      </c>
      <c r="M6" s="20" t="n"/>
      <c r="N6" s="23" t="n"/>
      <c r="O6" s="23" t="n"/>
      <c r="P6" s="23" t="n"/>
      <c r="Q6" s="23" t="n"/>
      <c r="R6" s="22" t="n"/>
    </row>
    <row r="7" ht="92" customFormat="1" customHeight="1" s="14">
      <c r="A7" s="24" t="inlineStr">
        <is>
          <t>2018::jama.2018.18020::C006</t>
        </is>
      </c>
      <c r="B7" s="24" t="inlineStr">
        <is>
          <t>diff_CLCN1 is described as an SCN4A contrast</t>
        </is>
      </c>
      <c r="C7" s="24" t="inlineStr">
        <is>
          <t>joi180136supp2_prod.pdf — PDF p. 13, eMethods 3 code; joi180136supp2_prod.pdf — PDF p. 14, parameter dictionary.</t>
        </is>
      </c>
      <c r="D7" s="21" t="n"/>
      <c r="E7" s="21" t="inlineStr">
        <is>
          <t>report_internal_inconsistency</t>
        </is>
      </c>
      <c r="F7" s="21" t="inlineStr">
        <is>
          <t>no</t>
        </is>
      </c>
      <c r="G7" s="24">
        <f>IFERROR(IF(LEN(TRIM(CLEAN(SUBSTITUTE(Setup!$B$2,CHAR(160)," "))))=0,"CHECK REVIEWER ID",IF(OR(A7="",COUNTIF($A$2:$A$15,A7)&lt;&gt;1,LEFT(A7,LEN("2018::jama.2018.18020::"))&lt;&gt;"2018::jama.2018.18020::"),"CHECK KEY",IF(OR(AND(NOT(AND(D7="retain",E7="statistical_results")),H7&lt;&gt;"",NOT(EXACT(H7,"not_applicable"))),AND(NOT(AND(D7="retain",E7="statistical_results")),I7&lt;&gt;"",NOT(EXACT(I7,"not_applicable"))),AND(NOT(AND(D7="retain",E7="statistical_results")),J7&lt;&gt;"",NOT(EXACT(J7,"not_applicable"))),AND(NOT(AND(D7="retain",OR(E7="report_internal_inconsistency",E7="plan_material"))),K7&lt;&gt;"",NOT(EXACT(K7,"not_applicable"))),AND(NOT(AND(D7="retain",E7="protocol_report")),L7&lt;&gt;"",NOT(EXACT(L7,"not_applicable")))),"CLEAR INACTIVE VALUES",IF(OR(NOT(OR(EXACT(D7,"retain"),EXACT(D7,"exclude"),EXACT(D7,"discuss"))),NOT(OR(EXACT(E7,"statistical_results"),EXACT(E7,"report_internal_inconsistency"),EXACT(E7,"plan_material"),EXACT(E7,"protocol_report"))),AND(AND(D7="retain",E7="statistical_results"),NOT(OR(EXACT(H7,"confirmed_issue"),EXACT(H7,"probable_issue"),EXACT(H7,"not_issue"),EXACT(H7,"indeterminate")))),AND(AND(D7="retain",E7="statistical_results"),NOT(OR(EXACT(I7,"substantive"),EXACT(I7,"minor_presentation"),EXACT(I7,"indeterminate")))),AND(AND(D7="retain",E7="statistical_results"),J7&lt;&gt;"",NOT(OR(EXACT(J7,"direct"),EXACT(J7,"possible"),EXACT(J7,"unlikely"),EXACT(J7,"unknown")))),AND(AND(D7="retain",OR(E7="report_internal_inconsistency",E7="plan_material")),NOT(OR(EXACT(K7,"substantive_inconsistency"),EXACT(K7,"minor_presentation"),EXACT(K7,"non_inconsistency"),EXACT(K7,"indeterminate")))),AND(AND(D7="retain",E7="protocol_report"),L7&lt;&gt;"",NOT(OR(EXACT(L7,"substantive_difference"),EXACT(L7,"minor_presentation"),EXACT(L7,"version_timing"),EXACT(L7,"non_inconsistency"),EXACT(L7,"indeterminate"))))),"CHECK FIELDS",IF(AND(F7&lt;&gt;"",NOT(OR(EXACT(F7,"no"),EXACT(F7,"primary_done")))),"CHECK COMPLETE",IF(EXACT(F7,"primary_done"),"PRIMARY READY","PRIMARY DRAFT")))))),"CHECK INPUT / KEY")</f>
        <v/>
      </c>
      <c r="H7" s="21">
        <f>IF(AND(OR(D7="retain",D7=""),E7="statistical_results"),"","not_applicable")</f>
        <v/>
      </c>
      <c r="I7" s="21">
        <f>IF(AND(OR(D7="retain",D7=""),E7="statistical_results"),"","not_applicable")</f>
        <v/>
      </c>
      <c r="J7" s="22">
        <f>IF(AND(OR(D7="retain",D7=""),E7="statistical_results"),"","not_applicable")</f>
        <v/>
      </c>
      <c r="K7" s="21">
        <f>IF(AND(OR(D7="retain",D7=""),OR(E7="report_internal_inconsistency",E7="plan_material")),"","not_applicable")</f>
        <v/>
      </c>
      <c r="L7" s="22">
        <f>IF(AND(OR(D7="retain",D7=""),E7="protocol_report"),"","not_applicable")</f>
        <v/>
      </c>
      <c r="M7" s="24" t="n"/>
      <c r="N7" s="23" t="n"/>
      <c r="O7" s="23" t="n"/>
      <c r="P7" s="23" t="n"/>
      <c r="Q7" s="23" t="n"/>
      <c r="R7" s="22" t="n"/>
    </row>
    <row r="8" ht="92" customFormat="1" customHeight="1" s="14">
      <c r="A8" s="20" t="inlineStr">
        <is>
          <t>2018::jama.2018.18020::C007</t>
        </is>
      </c>
      <c r="B8" s="20" t="inlineStr">
        <is>
          <t>sigma.mex is described as placebo-period variability</t>
        </is>
      </c>
      <c r="C8" s="20" t="inlineStr">
        <is>
          <t>joi180136supp2_prod.pdf — PDF p. 11, eMethods 2 code; joi180136supp2_prod.pdf — PDF p. 12, eMethods 2 dictionary; joi180136supp2_prod.pdf — PDF p. 13, eMethods 3 code; joi180136supp2_prod.pdf — PDF p. 14, eMethods 3 dictionary.</t>
        </is>
      </c>
      <c r="D8" s="21" t="n"/>
      <c r="E8" s="21" t="inlineStr">
        <is>
          <t>report_internal_inconsistency</t>
        </is>
      </c>
      <c r="F8" s="21" t="inlineStr">
        <is>
          <t>no</t>
        </is>
      </c>
      <c r="G8" s="20">
        <f>IFERROR(IF(LEN(TRIM(CLEAN(SUBSTITUTE(Setup!$B$2,CHAR(160)," "))))=0,"CHECK REVIEWER ID",IF(OR(A8="",COUNTIF($A$2:$A$15,A8)&lt;&gt;1,LEFT(A8,LEN("2018::jama.2018.18020::"))&lt;&gt;"2018::jama.2018.18020::"),"CHECK KEY",IF(OR(AND(NOT(AND(D8="retain",E8="statistical_results")),H8&lt;&gt;"",NOT(EXACT(H8,"not_applicable"))),AND(NOT(AND(D8="retain",E8="statistical_results")),I8&lt;&gt;"",NOT(EXACT(I8,"not_applicable"))),AND(NOT(AND(D8="retain",E8="statistical_results")),J8&lt;&gt;"",NOT(EXACT(J8,"not_applicable"))),AND(NOT(AND(D8="retain",OR(E8="report_internal_inconsistency",E8="plan_material"))),K8&lt;&gt;"",NOT(EXACT(K8,"not_applicable"))),AND(NOT(AND(D8="retain",E8="protocol_report")),L8&lt;&gt;"",NOT(EXACT(L8,"not_applicable")))),"CLEAR INACTIVE VALUES",IF(OR(NOT(OR(EXACT(D8,"retain"),EXACT(D8,"exclude"),EXACT(D8,"discuss"))),NOT(OR(EXACT(E8,"statistical_results"),EXACT(E8,"report_internal_inconsistency"),EXACT(E8,"plan_material"),EXACT(E8,"protocol_report"))),AND(AND(D8="retain",E8="statistical_results"),NOT(OR(EXACT(H8,"confirmed_issue"),EXACT(H8,"probable_issue"),EXACT(H8,"not_issue"),EXACT(H8,"indeterminate")))),AND(AND(D8="retain",E8="statistical_results"),NOT(OR(EXACT(I8,"substantive"),EXACT(I8,"minor_presentation"),EXACT(I8,"indeterminate")))),AND(AND(D8="retain",E8="statistical_results"),J8&lt;&gt;"",NOT(OR(EXACT(J8,"direct"),EXACT(J8,"possible"),EXACT(J8,"unlikely"),EXACT(J8,"unknown")))),AND(AND(D8="retain",OR(E8="report_internal_inconsistency",E8="plan_material")),NOT(OR(EXACT(K8,"substantive_inconsistency"),EXACT(K8,"minor_presentation"),EXACT(K8,"non_inconsistency"),EXACT(K8,"indeterminate")))),AND(AND(D8="retain",E8="protocol_report"),L8&lt;&gt;"",NOT(OR(EXACT(L8,"substantive_difference"),EXACT(L8,"minor_presentation"),EXACT(L8,"version_timing"),EXACT(L8,"non_inconsistency"),EXACT(L8,"indeterminate"))))),"CHECK FIELDS",IF(AND(F8&lt;&gt;"",NOT(OR(EXACT(F8,"no"),EXACT(F8,"primary_done")))),"CHECK COMPLETE",IF(EXACT(F8,"primary_done"),"PRIMARY READY","PRIMARY DRAFT")))))),"CHECK INPUT / KEY")</f>
        <v/>
      </c>
      <c r="H8" s="21">
        <f>IF(AND(OR(D8="retain",D8=""),E8="statistical_results"),"","not_applicable")</f>
        <v/>
      </c>
      <c r="I8" s="21">
        <f>IF(AND(OR(D8="retain",D8=""),E8="statistical_results"),"","not_applicable")</f>
        <v/>
      </c>
      <c r="J8" s="22">
        <f>IF(AND(OR(D8="retain",D8=""),E8="statistical_results"),"","not_applicable")</f>
        <v/>
      </c>
      <c r="K8" s="21">
        <f>IF(AND(OR(D8="retain",D8=""),OR(E8="report_internal_inconsistency",E8="plan_material")),"","not_applicable")</f>
        <v/>
      </c>
      <c r="L8" s="22">
        <f>IF(AND(OR(D8="retain",D8=""),E8="protocol_report"),"","not_applicable")</f>
        <v/>
      </c>
      <c r="M8" s="20" t="n"/>
      <c r="N8" s="23" t="n"/>
      <c r="O8" s="23" t="n"/>
      <c r="P8" s="23" t="n"/>
      <c r="Q8" s="23" t="n"/>
      <c r="R8" s="22" t="n"/>
    </row>
    <row r="9" ht="92" customFormat="1" customHeight="1" s="14">
      <c r="A9" s="24" t="inlineStr">
        <is>
          <t>2018::jama.2018.18020::C008</t>
        </is>
      </c>
      <c r="B9" s="24" t="inlineStr">
        <is>
          <t>Main text prints CLNC1 for the matched CLCN1 genotype subgroup</t>
        </is>
      </c>
      <c r="C9" s="24" t="inlineStr">
        <is>
          <t>jama_stunnenberg_2018_oi_180136.pdf — PDF p. 4, Primary Outcome; jama_stunnenberg_2018_oi_180136.pdf — PDF p. 5, Table 1/Figure 2; jama_stunnenberg_2018_oi_180136.pdf — PDF p. 6, Figure 3; joi180136supp2_prod.pdf — PDF p. 4, eTable 2 footnote.</t>
        </is>
      </c>
      <c r="D9" s="21" t="n"/>
      <c r="E9" s="21" t="inlineStr">
        <is>
          <t>report_internal_inconsistency</t>
        </is>
      </c>
      <c r="F9" s="21" t="inlineStr">
        <is>
          <t>no</t>
        </is>
      </c>
      <c r="G9" s="24">
        <f>IFERROR(IF(LEN(TRIM(CLEAN(SUBSTITUTE(Setup!$B$2,CHAR(160)," "))))=0,"CHECK REVIEWER ID",IF(OR(A9="",COUNTIF($A$2:$A$15,A9)&lt;&gt;1,LEFT(A9,LEN("2018::jama.2018.18020::"))&lt;&gt;"2018::jama.2018.18020::"),"CHECK KEY",IF(OR(AND(NOT(AND(D9="retain",E9="statistical_results")),H9&lt;&gt;"",NOT(EXACT(H9,"not_applicable"))),AND(NOT(AND(D9="retain",E9="statistical_results")),I9&lt;&gt;"",NOT(EXACT(I9,"not_applicable"))),AND(NOT(AND(D9="retain",E9="statistical_results")),J9&lt;&gt;"",NOT(EXACT(J9,"not_applicable"))),AND(NOT(AND(D9="retain",OR(E9="report_internal_inconsistency",E9="plan_material"))),K9&lt;&gt;"",NOT(EXACT(K9,"not_applicable"))),AND(NOT(AND(D9="retain",E9="protocol_report")),L9&lt;&gt;"",NOT(EXACT(L9,"not_applicable")))),"CLEAR INACTIVE VALUES",IF(OR(NOT(OR(EXACT(D9,"retain"),EXACT(D9,"exclude"),EXACT(D9,"discuss"))),NOT(OR(EXACT(E9,"statistical_results"),EXACT(E9,"report_internal_inconsistency"),EXACT(E9,"plan_material"),EXACT(E9,"protocol_report"))),AND(AND(D9="retain",E9="statistical_results"),NOT(OR(EXACT(H9,"confirmed_issue"),EXACT(H9,"probable_issue"),EXACT(H9,"not_issue"),EXACT(H9,"indeterminate")))),AND(AND(D9="retain",E9="statistical_results"),NOT(OR(EXACT(I9,"substantive"),EXACT(I9,"minor_presentation"),EXACT(I9,"indeterminate")))),AND(AND(D9="retain",E9="statistical_results"),J9&lt;&gt;"",NOT(OR(EXACT(J9,"direct"),EXACT(J9,"possible"),EXACT(J9,"unlikely"),EXACT(J9,"unknown")))),AND(AND(D9="retain",OR(E9="report_internal_inconsistency",E9="plan_material")),NOT(OR(EXACT(K9,"substantive_inconsistency"),EXACT(K9,"minor_presentation"),EXACT(K9,"non_inconsistency"),EXACT(K9,"indeterminate")))),AND(AND(D9="retain",E9="protocol_report"),L9&lt;&gt;"",NOT(OR(EXACT(L9,"substantive_difference"),EXACT(L9,"minor_presentation"),EXACT(L9,"version_timing"),EXACT(L9,"non_inconsistency"),EXACT(L9,"indeterminate"))))),"CHECK FIELDS",IF(AND(F9&lt;&gt;"",NOT(OR(EXACT(F9,"no"),EXACT(F9,"primary_done")))),"CHECK COMPLETE",IF(EXACT(F9,"primary_done"),"PRIMARY READY","PRIMARY DRAFT")))))),"CHECK INPUT / KEY")</f>
        <v/>
      </c>
      <c r="H9" s="21">
        <f>IF(AND(OR(D9="retain",D9=""),E9="statistical_results"),"","not_applicable")</f>
        <v/>
      </c>
      <c r="I9" s="21">
        <f>IF(AND(OR(D9="retain",D9=""),E9="statistical_results"),"","not_applicable")</f>
        <v/>
      </c>
      <c r="J9" s="22">
        <f>IF(AND(OR(D9="retain",D9=""),E9="statistical_results"),"","not_applicable")</f>
        <v/>
      </c>
      <c r="K9" s="21">
        <f>IF(AND(OR(D9="retain",D9=""),OR(E9="report_internal_inconsistency",E9="plan_material")),"","not_applicable")</f>
        <v/>
      </c>
      <c r="L9" s="22">
        <f>IF(AND(OR(D9="retain",D9=""),E9="protocol_report"),"","not_applicable")</f>
        <v/>
      </c>
      <c r="M9" s="24" t="n"/>
      <c r="N9" s="23" t="n"/>
      <c r="O9" s="23" t="n"/>
      <c r="P9" s="23" t="n"/>
      <c r="Q9" s="23" t="n"/>
      <c r="R9" s="22" t="n"/>
    </row>
    <row r="10" ht="92" customFormat="1" customHeight="1" s="14">
      <c r="A10" s="20" t="inlineStr">
        <is>
          <t>2018::jama.2018.18020::C009</t>
        </is>
      </c>
      <c r="B10" s="20" t="inlineStr">
        <is>
          <t>SF-36 mental-component P value conflicts with the dependent-t 95% CI</t>
        </is>
      </c>
      <c r="C10" s="20" t="inlineStr">
        <is>
          <t>jama_stunnenberg_2018_oi_180136.pdf — PDF p. 7, Table 2; jama_stunnenberg_2018_oi_180136.pdf — PDF p. 3, dependent-t method; jama_stunnenberg_2018_oi_180136.pdf — PDF p. 4, two-sided P-value convention.</t>
        </is>
      </c>
      <c r="D10" s="21" t="n"/>
      <c r="E10" s="21" t="inlineStr">
        <is>
          <t>statistical_results</t>
        </is>
      </c>
      <c r="F10" s="21" t="inlineStr">
        <is>
          <t>no</t>
        </is>
      </c>
      <c r="G10" s="20">
        <f>IFERROR(IF(LEN(TRIM(CLEAN(SUBSTITUTE(Setup!$B$2,CHAR(160)," "))))=0,"CHECK REVIEWER ID",IF(OR(A10="",COUNTIF($A$2:$A$15,A10)&lt;&gt;1,LEFT(A10,LEN("2018::jama.2018.18020::"))&lt;&gt;"2018::jama.2018.18020::"),"CHECK KEY",IF(OR(AND(NOT(AND(D10="retain",E10="statistical_results")),H10&lt;&gt;"",NOT(EXACT(H10,"not_applicable"))),AND(NOT(AND(D10="retain",E10="statistical_results")),I10&lt;&gt;"",NOT(EXACT(I10,"not_applicable"))),AND(NOT(AND(D10="retain",E10="statistical_results")),J10&lt;&gt;"",NOT(EXACT(J10,"not_applicable"))),AND(NOT(AND(D10="retain",OR(E10="report_internal_inconsistency",E10="plan_material"))),K10&lt;&gt;"",NOT(EXACT(K10,"not_applicable"))),AND(NOT(AND(D10="retain",E10="protocol_report")),L10&lt;&gt;"",NOT(EXACT(L10,"not_applicable")))),"CLEAR INACTIVE VALUES",IF(OR(NOT(OR(EXACT(D10,"retain"),EXACT(D10,"exclude"),EXACT(D10,"discuss"))),NOT(OR(EXACT(E10,"statistical_results"),EXACT(E10,"report_internal_inconsistency"),EXACT(E10,"plan_material"),EXACT(E10,"protocol_report"))),AND(AND(D10="retain",E10="statistical_results"),NOT(OR(EXACT(H10,"confirmed_issue"),EXACT(H10,"probable_issue"),EXACT(H10,"not_issue"),EXACT(H10,"indeterminate")))),AND(AND(D10="retain",E10="statistical_results"),NOT(OR(EXACT(I10,"substantive"),EXACT(I10,"minor_presentation"),EXACT(I10,"indeterminate")))),AND(AND(D10="retain",E10="statistical_results"),J10&lt;&gt;"",NOT(OR(EXACT(J10,"direct"),EXACT(J10,"possible"),EXACT(J10,"unlikely"),EXACT(J10,"unknown")))),AND(AND(D10="retain",OR(E10="report_internal_inconsistency",E10="plan_material")),NOT(OR(EXACT(K10,"substantive_inconsistency"),EXACT(K10,"minor_presentation"),EXACT(K10,"non_inconsistency"),EXACT(K10,"indeterminate")))),AND(AND(D10="retain",E10="protocol_report"),L10&lt;&gt;"",NOT(OR(EXACT(L10,"substantive_difference"),EXACT(L10,"minor_presentation"),EXACT(L10,"version_timing"),EXACT(L10,"non_inconsistency"),EXACT(L10,"indeterminate"))))),"CHECK FIELDS",IF(AND(F10&lt;&gt;"",NOT(OR(EXACT(F10,"no"),EXACT(F10,"primary_done")))),"CHECK COMPLETE",IF(EXACT(F10,"primary_done"),"PRIMARY READY","PRIMARY DRAFT")))))),"CHECK INPUT / KEY")</f>
        <v/>
      </c>
      <c r="H10" s="21">
        <f>IF(AND(OR(D10="retain",D10=""),E10="statistical_results"),"","not_applicable")</f>
        <v/>
      </c>
      <c r="I10" s="21">
        <f>IF(AND(OR(D10="retain",D10=""),E10="statistical_results"),"","not_applicable")</f>
        <v/>
      </c>
      <c r="J10" s="22">
        <f>IF(AND(OR(D10="retain",D10=""),E10="statistical_results"),"","not_applicable")</f>
        <v/>
      </c>
      <c r="K10" s="21">
        <f>IF(AND(OR(D10="retain",D10=""),OR(E10="report_internal_inconsistency",E10="plan_material")),"","not_applicable")</f>
        <v/>
      </c>
      <c r="L10" s="22">
        <f>IF(AND(OR(D10="retain",D10=""),E10="protocol_report"),"","not_applicable")</f>
        <v/>
      </c>
      <c r="M10" s="20" t="n"/>
      <c r="N10" s="23" t="n"/>
      <c r="O10" s="23" t="n"/>
      <c r="P10" s="23" t="n"/>
      <c r="Q10" s="23" t="n"/>
      <c r="R10" s="22" t="n"/>
    </row>
    <row r="11" ht="92" customFormat="1" customHeight="1" s="14">
      <c r="A11" s="24" t="inlineStr">
        <is>
          <t>2018::jama.2018.18020::C010</t>
        </is>
      </c>
      <c r="B11" s="24" t="inlineStr">
        <is>
          <t>SCN4A fifth handgrip-action-myotonia P value conflicts with its 95% CI</t>
        </is>
      </c>
      <c r="C11" s="24" t="inlineStr">
        <is>
          <t>jama_stunnenberg_2018_oi_180136.pdf — PDF p. 7, Table 2 row; jama_stunnenberg_2018_oi_180136.pdf — PDF p. 8, Table 2 footnotes; jama_stunnenberg_2018_oi_180136.pdf — PDF p. 3, method; jama_stunnenberg_2018_oi_180136.pdf — PDF p. 4, sidedness.</t>
        </is>
      </c>
      <c r="D11" s="21" t="n"/>
      <c r="E11" s="21" t="inlineStr">
        <is>
          <t>statistical_results</t>
        </is>
      </c>
      <c r="F11" s="21" t="inlineStr">
        <is>
          <t>no</t>
        </is>
      </c>
      <c r="G11" s="24">
        <f>IFERROR(IF(LEN(TRIM(CLEAN(SUBSTITUTE(Setup!$B$2,CHAR(160)," "))))=0,"CHECK REVIEWER ID",IF(OR(A11="",COUNTIF($A$2:$A$15,A11)&lt;&gt;1,LEFT(A11,LEN("2018::jama.2018.18020::"))&lt;&gt;"2018::jama.2018.18020::"),"CHECK KEY",IF(OR(AND(NOT(AND(D11="retain",E11="statistical_results")),H11&lt;&gt;"",NOT(EXACT(H11,"not_applicable"))),AND(NOT(AND(D11="retain",E11="statistical_results")),I11&lt;&gt;"",NOT(EXACT(I11,"not_applicable"))),AND(NOT(AND(D11="retain",E11="statistical_results")),J11&lt;&gt;"",NOT(EXACT(J11,"not_applicable"))),AND(NOT(AND(D11="retain",OR(E11="report_internal_inconsistency",E11="plan_material"))),K11&lt;&gt;"",NOT(EXACT(K11,"not_applicable"))),AND(NOT(AND(D11="retain",E11="protocol_report")),L11&lt;&gt;"",NOT(EXACT(L11,"not_applicable")))),"CLEAR INACTIVE VALUES",IF(OR(NOT(OR(EXACT(D11,"retain"),EXACT(D11,"exclude"),EXACT(D11,"discuss"))),NOT(OR(EXACT(E11,"statistical_results"),EXACT(E11,"report_internal_inconsistency"),EXACT(E11,"plan_material"),EXACT(E11,"protocol_report"))),AND(AND(D11="retain",E11="statistical_results"),NOT(OR(EXACT(H11,"confirmed_issue"),EXACT(H11,"probable_issue"),EXACT(H11,"not_issue"),EXACT(H11,"indeterminate")))),AND(AND(D11="retain",E11="statistical_results"),NOT(OR(EXACT(I11,"substantive"),EXACT(I11,"minor_presentation"),EXACT(I11,"indeterminate")))),AND(AND(D11="retain",E11="statistical_results"),J11&lt;&gt;"",NOT(OR(EXACT(J11,"direct"),EXACT(J11,"possible"),EXACT(J11,"unlikely"),EXACT(J11,"unknown")))),AND(AND(D11="retain",OR(E11="report_internal_inconsistency",E11="plan_material")),NOT(OR(EXACT(K11,"substantive_inconsistency"),EXACT(K11,"minor_presentation"),EXACT(K11,"non_inconsistency"),EXACT(K11,"indeterminate")))),AND(AND(D11="retain",E11="protocol_report"),L11&lt;&gt;"",NOT(OR(EXACT(L11,"substantive_difference"),EXACT(L11,"minor_presentation"),EXACT(L11,"version_timing"),EXACT(L11,"non_inconsistency"),EXACT(L11,"indeterminate"))))),"CHECK FIELDS",IF(AND(F11&lt;&gt;"",NOT(OR(EXACT(F11,"no"),EXACT(F11,"primary_done")))),"CHECK COMPLETE",IF(EXACT(F11,"primary_done"),"PRIMARY READY","PRIMARY DRAFT")))))),"CHECK INPUT / KEY")</f>
        <v/>
      </c>
      <c r="H11" s="21">
        <f>IF(AND(OR(D11="retain",D11=""),E11="statistical_results"),"","not_applicable")</f>
        <v/>
      </c>
      <c r="I11" s="21">
        <f>IF(AND(OR(D11="retain",D11=""),E11="statistical_results"),"","not_applicable")</f>
        <v/>
      </c>
      <c r="J11" s="22">
        <f>IF(AND(OR(D11="retain",D11=""),E11="statistical_results"),"","not_applicable")</f>
        <v/>
      </c>
      <c r="K11" s="21">
        <f>IF(AND(OR(D11="retain",D11=""),OR(E11="report_internal_inconsistency",E11="plan_material")),"","not_applicable")</f>
        <v/>
      </c>
      <c r="L11" s="22">
        <f>IF(AND(OR(D11="retain",D11=""),E11="protocol_report"),"","not_applicable")</f>
        <v/>
      </c>
      <c r="M11" s="24" t="n"/>
      <c r="N11" s="23" t="n"/>
      <c r="O11" s="23" t="n"/>
      <c r="P11" s="23" t="n"/>
      <c r="Q11" s="23" t="n"/>
      <c r="R11" s="22" t="n"/>
    </row>
    <row r="12" ht="92" customFormat="1" customHeight="1" s="14">
      <c r="A12" s="20" t="inlineStr">
        <is>
          <t>2018::jama.2018.18020::C011</t>
        </is>
      </c>
      <c r="B12" s="20" t="inlineStr">
        <is>
          <t>SCN4A fifth transient-paresis estimate, interval, and P value do not form a compatible dependent-t result</t>
        </is>
      </c>
      <c r="C12" s="20" t="inlineStr">
        <is>
          <t>jama_stunnenberg_2018_oi_180136.pdf — PDF p. 7, Table 2 row; jama_stunnenberg_2018_oi_180136.pdf — PDF p. 6, narrative repetition; jama_stunnenberg_2018_oi_180136.pdf — PDF p. 8, footnotes; jama_stunnenberg_2018_oi_180136.pdf — PDF p. 3, method; jama_stunnenberg_2018_oi_180136.pdf — PDF p. 4, sidedness.</t>
        </is>
      </c>
      <c r="D12" s="21" t="n"/>
      <c r="E12" s="21" t="inlineStr">
        <is>
          <t>statistical_results</t>
        </is>
      </c>
      <c r="F12" s="21" t="inlineStr">
        <is>
          <t>no</t>
        </is>
      </c>
      <c r="G12" s="20">
        <f>IFERROR(IF(LEN(TRIM(CLEAN(SUBSTITUTE(Setup!$B$2,CHAR(160)," "))))=0,"CHECK REVIEWER ID",IF(OR(A12="",COUNTIF($A$2:$A$15,A12)&lt;&gt;1,LEFT(A12,LEN("2018::jama.2018.18020::"))&lt;&gt;"2018::jama.2018.18020::"),"CHECK KEY",IF(OR(AND(NOT(AND(D12="retain",E12="statistical_results")),H12&lt;&gt;"",NOT(EXACT(H12,"not_applicable"))),AND(NOT(AND(D12="retain",E12="statistical_results")),I12&lt;&gt;"",NOT(EXACT(I12,"not_applicable"))),AND(NOT(AND(D12="retain",E12="statistical_results")),J12&lt;&gt;"",NOT(EXACT(J12,"not_applicable"))),AND(NOT(AND(D12="retain",OR(E12="report_internal_inconsistency",E12="plan_material"))),K12&lt;&gt;"",NOT(EXACT(K12,"not_applicable"))),AND(NOT(AND(D12="retain",E12="protocol_report")),L12&lt;&gt;"",NOT(EXACT(L12,"not_applicable")))),"CLEAR INACTIVE VALUES",IF(OR(NOT(OR(EXACT(D12,"retain"),EXACT(D12,"exclude"),EXACT(D12,"discuss"))),NOT(OR(EXACT(E12,"statistical_results"),EXACT(E12,"report_internal_inconsistency"),EXACT(E12,"plan_material"),EXACT(E12,"protocol_report"))),AND(AND(D12="retain",E12="statistical_results"),NOT(OR(EXACT(H12,"confirmed_issue"),EXACT(H12,"probable_issue"),EXACT(H12,"not_issue"),EXACT(H12,"indeterminate")))),AND(AND(D12="retain",E12="statistical_results"),NOT(OR(EXACT(I12,"substantive"),EXACT(I12,"minor_presentation"),EXACT(I12,"indeterminate")))),AND(AND(D12="retain",E12="statistical_results"),J12&lt;&gt;"",NOT(OR(EXACT(J12,"direct"),EXACT(J12,"possible"),EXACT(J12,"unlikely"),EXACT(J12,"unknown")))),AND(AND(D12="retain",OR(E12="report_internal_inconsistency",E12="plan_material")),NOT(OR(EXACT(K12,"substantive_inconsistency"),EXACT(K12,"minor_presentation"),EXACT(K12,"non_inconsistency"),EXACT(K12,"indeterminate")))),AND(AND(D12="retain",E12="protocol_report"),L12&lt;&gt;"",NOT(OR(EXACT(L12,"substantive_difference"),EXACT(L12,"minor_presentation"),EXACT(L12,"version_timing"),EXACT(L12,"non_inconsistency"),EXACT(L12,"indeterminate"))))),"CHECK FIELDS",IF(AND(F12&lt;&gt;"",NOT(OR(EXACT(F12,"no"),EXACT(F12,"primary_done")))),"CHECK COMPLETE",IF(EXACT(F12,"primary_done"),"PRIMARY READY","PRIMARY DRAFT")))))),"CHECK INPUT / KEY")</f>
        <v/>
      </c>
      <c r="H12" s="21">
        <f>IF(AND(OR(D12="retain",D12=""),E12="statistical_results"),"","not_applicable")</f>
        <v/>
      </c>
      <c r="I12" s="21">
        <f>IF(AND(OR(D12="retain",D12=""),E12="statistical_results"),"","not_applicable")</f>
        <v/>
      </c>
      <c r="J12" s="22">
        <f>IF(AND(OR(D12="retain",D12=""),E12="statistical_results"),"","not_applicable")</f>
        <v/>
      </c>
      <c r="K12" s="21">
        <f>IF(AND(OR(D12="retain",D12=""),OR(E12="report_internal_inconsistency",E12="plan_material")),"","not_applicable")</f>
        <v/>
      </c>
      <c r="L12" s="22">
        <f>IF(AND(OR(D12="retain",D12=""),E12="protocol_report"),"","not_applicable")</f>
        <v/>
      </c>
      <c r="M12" s="20" t="n"/>
      <c r="N12" s="23" t="n"/>
      <c r="O12" s="23" t="n"/>
      <c r="P12" s="23" t="n"/>
      <c r="Q12" s="23" t="n"/>
      <c r="R12" s="22" t="n"/>
    </row>
    <row r="13" ht="92" customFormat="1" customHeight="1" s="14">
      <c r="A13" s="24" t="inlineStr">
        <is>
          <t>2018::jama.2018.18020::C012</t>
        </is>
      </c>
      <c r="B13" s="24" t="inlineStr">
        <is>
          <t>Myotonic-discharge P value conflicts with the dependent-t 95% CI</t>
        </is>
      </c>
      <c r="C13" s="24" t="inlineStr">
        <is>
          <t>jama_stunnenberg_2018_oi_180136.pdf — PDF p. 8, Table 2 continuation and footnotes; jama_stunnenberg_2018_oi_180136.pdf — PDF p. 3, dependent-t method; jama_stunnenberg_2018_oi_180136.pdf — PDF p. 4, two-sided convention.</t>
        </is>
      </c>
      <c r="D13" s="21" t="n"/>
      <c r="E13" s="21" t="inlineStr">
        <is>
          <t>statistical_results</t>
        </is>
      </c>
      <c r="F13" s="21" t="inlineStr">
        <is>
          <t>no</t>
        </is>
      </c>
      <c r="G13" s="24">
        <f>IFERROR(IF(LEN(TRIM(CLEAN(SUBSTITUTE(Setup!$B$2,CHAR(160)," "))))=0,"CHECK REVIEWER ID",IF(OR(A13="",COUNTIF($A$2:$A$15,A13)&lt;&gt;1,LEFT(A13,LEN("2018::jama.2018.18020::"))&lt;&gt;"2018::jama.2018.18020::"),"CHECK KEY",IF(OR(AND(NOT(AND(D13="retain",E13="statistical_results")),H13&lt;&gt;"",NOT(EXACT(H13,"not_applicable"))),AND(NOT(AND(D13="retain",E13="statistical_results")),I13&lt;&gt;"",NOT(EXACT(I13,"not_applicable"))),AND(NOT(AND(D13="retain",E13="statistical_results")),J13&lt;&gt;"",NOT(EXACT(J13,"not_applicable"))),AND(NOT(AND(D13="retain",OR(E13="report_internal_inconsistency",E13="plan_material"))),K13&lt;&gt;"",NOT(EXACT(K13,"not_applicable"))),AND(NOT(AND(D13="retain",E13="protocol_report")),L13&lt;&gt;"",NOT(EXACT(L13,"not_applicable")))),"CLEAR INACTIVE VALUES",IF(OR(NOT(OR(EXACT(D13,"retain"),EXACT(D13,"exclude"),EXACT(D13,"discuss"))),NOT(OR(EXACT(E13,"statistical_results"),EXACT(E13,"report_internal_inconsistency"),EXACT(E13,"plan_material"),EXACT(E13,"protocol_report"))),AND(AND(D13="retain",E13="statistical_results"),NOT(OR(EXACT(H13,"confirmed_issue"),EXACT(H13,"probable_issue"),EXACT(H13,"not_issue"),EXACT(H13,"indeterminate")))),AND(AND(D13="retain",E13="statistical_results"),NOT(OR(EXACT(I13,"substantive"),EXACT(I13,"minor_presentation"),EXACT(I13,"indeterminate")))),AND(AND(D13="retain",E13="statistical_results"),J13&lt;&gt;"",NOT(OR(EXACT(J13,"direct"),EXACT(J13,"possible"),EXACT(J13,"unlikely"),EXACT(J13,"unknown")))),AND(AND(D13="retain",OR(E13="report_internal_inconsistency",E13="plan_material")),NOT(OR(EXACT(K13,"substantive_inconsistency"),EXACT(K13,"minor_presentation"),EXACT(K13,"non_inconsistency"),EXACT(K13,"indeterminate")))),AND(AND(D13="retain",E13="protocol_report"),L13&lt;&gt;"",NOT(OR(EXACT(L13,"substantive_difference"),EXACT(L13,"minor_presentation"),EXACT(L13,"version_timing"),EXACT(L13,"non_inconsistency"),EXACT(L13,"indeterminate"))))),"CHECK FIELDS",IF(AND(F13&lt;&gt;"",NOT(OR(EXACT(F13,"no"),EXACT(F13,"primary_done")))),"CHECK COMPLETE",IF(EXACT(F13,"primary_done"),"PRIMARY READY","PRIMARY DRAFT")))))),"CHECK INPUT / KEY")</f>
        <v/>
      </c>
      <c r="H13" s="21">
        <f>IF(AND(OR(D13="retain",D13=""),E13="statistical_results"),"","not_applicable")</f>
        <v/>
      </c>
      <c r="I13" s="21">
        <f>IF(AND(OR(D13="retain",D13=""),E13="statistical_results"),"","not_applicable")</f>
        <v/>
      </c>
      <c r="J13" s="22">
        <f>IF(AND(OR(D13="retain",D13=""),E13="statistical_results"),"","not_applicable")</f>
        <v/>
      </c>
      <c r="K13" s="21">
        <f>IF(AND(OR(D13="retain",D13=""),OR(E13="report_internal_inconsistency",E13="plan_material")),"","not_applicable")</f>
        <v/>
      </c>
      <c r="L13" s="22">
        <f>IF(AND(OR(D13="retain",D13=""),E13="protocol_report"),"","not_applicable")</f>
        <v/>
      </c>
      <c r="M13" s="24" t="n"/>
      <c r="N13" s="23" t="n"/>
      <c r="O13" s="23" t="n"/>
      <c r="P13" s="23" t="n"/>
      <c r="Q13" s="23" t="n"/>
      <c r="R13" s="22" t="n"/>
    </row>
    <row r="14" ht="92" customFormat="1" customHeight="1" s="14">
      <c r="A14" s="20" t="inlineStr">
        <is>
          <t>2018::jama.2018.18020::C013</t>
        </is>
      </c>
      <c r="B14" s="20" t="inlineStr">
        <is>
          <t>First handgrip placebo-period interval is reversed and excludes its estimate</t>
        </is>
      </c>
      <c r="C14" s="20" t="inlineStr">
        <is>
          <t>jama_stunnenberg_2018_oi_180136.pdf — PDF p. 7, Table 2 first-attempt handgrip action-myotonia placebo-period change.</t>
        </is>
      </c>
      <c r="D14" s="21" t="n"/>
      <c r="E14" s="21" t="inlineStr">
        <is>
          <t>statistical_results</t>
        </is>
      </c>
      <c r="F14" s="21" t="inlineStr">
        <is>
          <t>no</t>
        </is>
      </c>
      <c r="G14" s="20">
        <f>IFERROR(IF(LEN(TRIM(CLEAN(SUBSTITUTE(Setup!$B$2,CHAR(160)," "))))=0,"CHECK REVIEWER ID",IF(OR(A14="",COUNTIF($A$2:$A$15,A14)&lt;&gt;1,LEFT(A14,LEN("2018::jama.2018.18020::"))&lt;&gt;"2018::jama.2018.18020::"),"CHECK KEY",IF(OR(AND(NOT(AND(D14="retain",E14="statistical_results")),H14&lt;&gt;"",NOT(EXACT(H14,"not_applicable"))),AND(NOT(AND(D14="retain",E14="statistical_results")),I14&lt;&gt;"",NOT(EXACT(I14,"not_applicable"))),AND(NOT(AND(D14="retain",E14="statistical_results")),J14&lt;&gt;"",NOT(EXACT(J14,"not_applicable"))),AND(NOT(AND(D14="retain",OR(E14="report_internal_inconsistency",E14="plan_material"))),K14&lt;&gt;"",NOT(EXACT(K14,"not_applicable"))),AND(NOT(AND(D14="retain",E14="protocol_report")),L14&lt;&gt;"",NOT(EXACT(L14,"not_applicable")))),"CLEAR INACTIVE VALUES",IF(OR(NOT(OR(EXACT(D14,"retain"),EXACT(D14,"exclude"),EXACT(D14,"discuss"))),NOT(OR(EXACT(E14,"statistical_results"),EXACT(E14,"report_internal_inconsistency"),EXACT(E14,"plan_material"),EXACT(E14,"protocol_report"))),AND(AND(D14="retain",E14="statistical_results"),NOT(OR(EXACT(H14,"confirmed_issue"),EXACT(H14,"probable_issue"),EXACT(H14,"not_issue"),EXACT(H14,"indeterminate")))),AND(AND(D14="retain",E14="statistical_results"),NOT(OR(EXACT(I14,"substantive"),EXACT(I14,"minor_presentation"),EXACT(I14,"indeterminate")))),AND(AND(D14="retain",E14="statistical_results"),J14&lt;&gt;"",NOT(OR(EXACT(J14,"direct"),EXACT(J14,"possible"),EXACT(J14,"unlikely"),EXACT(J14,"unknown")))),AND(AND(D14="retain",OR(E14="report_internal_inconsistency",E14="plan_material")),NOT(OR(EXACT(K14,"substantive_inconsistency"),EXACT(K14,"minor_presentation"),EXACT(K14,"non_inconsistency"),EXACT(K14,"indeterminate")))),AND(AND(D14="retain",E14="protocol_report"),L14&lt;&gt;"",NOT(OR(EXACT(L14,"substantive_difference"),EXACT(L14,"minor_presentation"),EXACT(L14,"version_timing"),EXACT(L14,"non_inconsistency"),EXACT(L14,"indeterminate"))))),"CHECK FIELDS",IF(AND(F14&lt;&gt;"",NOT(OR(EXACT(F14,"no"),EXACT(F14,"primary_done")))),"CHECK COMPLETE",IF(EXACT(F14,"primary_done"),"PRIMARY READY","PRIMARY DRAFT")))))),"CHECK INPUT / KEY")</f>
        <v/>
      </c>
      <c r="H14" s="21">
        <f>IF(AND(OR(D14="retain",D14=""),E14="statistical_results"),"","not_applicable")</f>
        <v/>
      </c>
      <c r="I14" s="21">
        <f>IF(AND(OR(D14="retain",D14=""),E14="statistical_results"),"","not_applicable")</f>
        <v/>
      </c>
      <c r="J14" s="22">
        <f>IF(AND(OR(D14="retain",D14=""),E14="statistical_results"),"","not_applicable")</f>
        <v/>
      </c>
      <c r="K14" s="21">
        <f>IF(AND(OR(D14="retain",D14=""),OR(E14="report_internal_inconsistency",E14="plan_material")),"","not_applicable")</f>
        <v/>
      </c>
      <c r="L14" s="22">
        <f>IF(AND(OR(D14="retain",D14=""),E14="protocol_report"),"","not_applicable")</f>
        <v/>
      </c>
      <c r="M14" s="20" t="n"/>
      <c r="N14" s="23" t="n"/>
      <c r="O14" s="23" t="n"/>
      <c r="P14" s="23" t="n"/>
      <c r="Q14" s="23" t="n"/>
      <c r="R14" s="22" t="n"/>
    </row>
    <row r="15" ht="92" customFormat="1" customHeight="1" s="14">
      <c r="A15" s="24" t="inlineStr">
        <is>
          <t>2018::jama.2018.18020::C014</t>
        </is>
      </c>
      <c r="B15" s="24" t="inlineStr">
        <is>
          <t>Mean Timed Up&amp;Go placebo-period estimate lies outside its interval</t>
        </is>
      </c>
      <c r="C15" s="24" t="inlineStr">
        <is>
          <t>jama_stunnenberg_2018_oi_180136.pdf — PDF p. 7, Table 2 mean Timed Up&amp;Go placebo-period change.</t>
        </is>
      </c>
      <c r="D15" s="21" t="n"/>
      <c r="E15" s="21" t="inlineStr">
        <is>
          <t>statistical_results</t>
        </is>
      </c>
      <c r="F15" s="21" t="inlineStr">
        <is>
          <t>no</t>
        </is>
      </c>
      <c r="G15" s="24">
        <f>IFERROR(IF(LEN(TRIM(CLEAN(SUBSTITUTE(Setup!$B$2,CHAR(160)," "))))=0,"CHECK REVIEWER ID",IF(OR(A15="",COUNTIF($A$2:$A$15,A15)&lt;&gt;1,LEFT(A15,LEN("2018::jama.2018.18020::"))&lt;&gt;"2018::jama.2018.18020::"),"CHECK KEY",IF(OR(AND(NOT(AND(D15="retain",E15="statistical_results")),H15&lt;&gt;"",NOT(EXACT(H15,"not_applicable"))),AND(NOT(AND(D15="retain",E15="statistical_results")),I15&lt;&gt;"",NOT(EXACT(I15,"not_applicable"))),AND(NOT(AND(D15="retain",E15="statistical_results")),J15&lt;&gt;"",NOT(EXACT(J15,"not_applicable"))),AND(NOT(AND(D15="retain",OR(E15="report_internal_inconsistency",E15="plan_material"))),K15&lt;&gt;"",NOT(EXACT(K15,"not_applicable"))),AND(NOT(AND(D15="retain",E15="protocol_report")),L15&lt;&gt;"",NOT(EXACT(L15,"not_applicable")))),"CLEAR INACTIVE VALUES",IF(OR(NOT(OR(EXACT(D15,"retain"),EXACT(D15,"exclude"),EXACT(D15,"discuss"))),NOT(OR(EXACT(E15,"statistical_results"),EXACT(E15,"report_internal_inconsistency"),EXACT(E15,"plan_material"),EXACT(E15,"protocol_report"))),AND(AND(D15="retain",E15="statistical_results"),NOT(OR(EXACT(H15,"confirmed_issue"),EXACT(H15,"probable_issue"),EXACT(H15,"not_issue"),EXACT(H15,"indeterminate")))),AND(AND(D15="retain",E15="statistical_results"),NOT(OR(EXACT(I15,"substantive"),EXACT(I15,"minor_presentation"),EXACT(I15,"indeterminate")))),AND(AND(D15="retain",E15="statistical_results"),J15&lt;&gt;"",NOT(OR(EXACT(J15,"direct"),EXACT(J15,"possible"),EXACT(J15,"unlikely"),EXACT(J15,"unknown")))),AND(AND(D15="retain",OR(E15="report_internal_inconsistency",E15="plan_material")),NOT(OR(EXACT(K15,"substantive_inconsistency"),EXACT(K15,"minor_presentation"),EXACT(K15,"non_inconsistency"),EXACT(K15,"indeterminate")))),AND(AND(D15="retain",E15="protocol_report"),L15&lt;&gt;"",NOT(OR(EXACT(L15,"substantive_difference"),EXACT(L15,"minor_presentation"),EXACT(L15,"version_timing"),EXACT(L15,"non_inconsistency"),EXACT(L15,"indeterminate"))))),"CHECK FIELDS",IF(AND(F15&lt;&gt;"",NOT(OR(EXACT(F15,"no"),EXACT(F15,"primary_done")))),"CHECK COMPLETE",IF(EXACT(F15,"primary_done"),"PRIMARY READY","PRIMARY DRAFT")))))),"CHECK INPUT / KEY")</f>
        <v/>
      </c>
      <c r="H15" s="21">
        <f>IF(AND(OR(D15="retain",D15=""),E15="statistical_results"),"","not_applicable")</f>
        <v/>
      </c>
      <c r="I15" s="21">
        <f>IF(AND(OR(D15="retain",D15=""),E15="statistical_results"),"","not_applicable")</f>
        <v/>
      </c>
      <c r="J15" s="22">
        <f>IF(AND(OR(D15="retain",D15=""),E15="statistical_results"),"","not_applicable")</f>
        <v/>
      </c>
      <c r="K15" s="21">
        <f>IF(AND(OR(D15="retain",D15=""),OR(E15="report_internal_inconsistency",E15="plan_material")),"","not_applicable")</f>
        <v/>
      </c>
      <c r="L15" s="22">
        <f>IF(AND(OR(D15="retain",D15=""),E15="protocol_report"),"","not_applicable")</f>
        <v/>
      </c>
      <c r="M15" s="24" t="n"/>
      <c r="N15" s="23" t="n"/>
      <c r="O15" s="23" t="n"/>
      <c r="P15" s="23" t="n"/>
      <c r="Q15" s="23" t="n"/>
      <c r="R15" s="22" t="n"/>
    </row>
  </sheetData>
  <autoFilter ref="A1:R15"/>
  <conditionalFormatting sqref="H2:H15">
    <cfRule type="expression" priority="8" dxfId="70">
      <formula>NOT(AND(OR($D2="retain",$D2=""),$E2="statistical_results"))</formula>
    </cfRule>
  </conditionalFormatting>
  <conditionalFormatting sqref="I2:I15">
    <cfRule type="expression" priority="9" dxfId="70">
      <formula>NOT(AND(OR($D2="retain",$D2=""),$E2="statistical_results"))</formula>
    </cfRule>
  </conditionalFormatting>
  <conditionalFormatting sqref="J2:J15">
    <cfRule type="expression" priority="10" dxfId="70">
      <formula>NOT(AND(OR($D2="retain",$D2=""),$E2="statistical_results"))</formula>
    </cfRule>
  </conditionalFormatting>
  <conditionalFormatting sqref="K2:K15">
    <cfRule type="expression" priority="11" dxfId="70">
      <formula>NOT(AND(OR($D2="retain",$D2=""),OR($E2="report_internal_inconsistency",$E2="plan_material")))</formula>
    </cfRule>
  </conditionalFormatting>
  <conditionalFormatting sqref="L2:L15">
    <cfRule type="expression" priority="12" dxfId="70">
      <formula>NOT(AND(OR($D2="retain",$D2=""),$E2="protocol_report"))</formula>
    </cfRule>
  </conditionalFormatting>
  <conditionalFormatting sqref="G2:G15">
    <cfRule type="expression" priority="13" dxfId="71">
      <formula>G2&lt;&gt;"PRIMARY READY"</formula>
    </cfRule>
  </conditionalFormatting>
  <dataValidations count="8">
    <dataValidation sqref="D2:D15" showDropDown="0" showInputMessage="0" showErrorMessage="1" allowBlank="1" errorTitle="Use a listed option" error="Choose an option; G also checks pasted entries." type="list" errorStyle="stop">
      <formula1>"retain,exclude,discuss"</formula1>
    </dataValidation>
    <dataValidation sqref="E2:E15" showDropDown="0" showInputMessage="0" showErrorMessage="1" allowBlank="1" errorTitle="Use a listed option" error="Choose an option; G also checks pasted entries." type="list" errorStyle="stop">
      <formula1>"statistical_results,report_internal_inconsistency,plan_material,protocol_report"</formula1>
    </dataValidation>
    <dataValidation sqref="F2:F15" showDropDown="0" showInputMessage="0" showErrorMessage="1" allowBlank="1" errorTitle="Use a listed option" error="Choose an option; G also checks pasted entries." type="list" errorStyle="stop">
      <formula1>"no,primary_done"</formula1>
    </dataValidation>
    <dataValidation sqref="H2:H15" showDropDown="0" showInputMessage="0" showErrorMessage="1" allowBlank="1" errorTitle="Use a listed option" error="Choose an option; G also checks pasted entries." type="list" errorStyle="stop">
      <formula1>"confirmed_issue,probable_issue,not_issue,indeterminate,not_applicable"</formula1>
    </dataValidation>
    <dataValidation sqref="I2:I15" showDropDown="0" showInputMessage="0" showErrorMessage="1" allowBlank="1" errorTitle="Use a listed option" error="Choose an option; G also checks pasted entries." type="list" errorStyle="stop">
      <formula1>"substantive,minor_presentation,indeterminate,not_applicable"</formula1>
    </dataValidation>
    <dataValidation sqref="J2:J15" showDropDown="0" showInputMessage="0" showErrorMessage="1" allowBlank="1" errorTitle="Use a listed option" error="Choose an option; G also checks pasted entries." type="list" errorStyle="stop">
      <formula1>"direct,possible,unlikely,unknown,not_applicable"</formula1>
    </dataValidation>
    <dataValidation sqref="K2:K15" showDropDown="0" showInputMessage="0" showErrorMessage="1" allowBlank="1" errorTitle="Use a listed option" error="Choose an option; G also checks pasted entries." type="list" errorStyle="stop">
      <formula1>"substantive_inconsistency,minor_presentation,non_inconsistency,indeterminate,not_applicable"</formula1>
    </dataValidation>
    <dataValidation sqref="L2:L15" showDropDown="0" showInputMessage="0" showErrorMessage="1" allowBlank="1" errorTitle="Use a listed option" error="Choose an option; G also checks pasted entries." type="list" errorStyle="stop">
      <formula1>"substantive_difference,minor_presentation,version_timing,non_inconsistency,indeterminate,not_applicable"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R5"/>
  <sheetViews>
    <sheetView showGridLines="0" tabSelected="0" workbookViewId="0">
      <pane xSplit="1" ySplit="1" topLeftCell="B2" activePane="bottomRight" state="frozen"/>
      <selection activeCell="A1" sqref="A1"/>
    </sheetView>
  </sheetViews>
  <sheetFormatPr baseColWidth="8" defaultRowHeight="15"/>
  <cols>
    <col width="22" customWidth="1" style="14" min="1" max="1"/>
    <col width="28" customWidth="1" style="14" min="2" max="2"/>
    <col width="22" customWidth="1" style="14" min="3" max="3"/>
    <col width="20" customWidth="1" style="14" min="4" max="4"/>
    <col width="35" customWidth="1" style="14" min="5" max="5"/>
    <col width="17" customWidth="1" style="14" min="6" max="6"/>
    <col width="29" customWidth="1" style="14" min="7" max="7"/>
    <col width="28" customWidth="1" style="14" min="8" max="8"/>
    <col width="20" customWidth="1" style="14" min="9" max="9"/>
    <col width="20" customWidth="1" style="14" min="10" max="10"/>
    <col width="34" customWidth="1" style="14" min="11" max="11"/>
    <col width="26" customWidth="1" style="14" min="12" max="12"/>
    <col hidden="1" width="3" customWidth="1" style="14" min="13" max="13"/>
    <col hidden="1" width="3" customWidth="1" style="14" min="14" max="14"/>
    <col hidden="1" width="3" customWidth="1" style="14" min="15" max="15"/>
    <col hidden="1" width="3" customWidth="1" style="14" min="16" max="16"/>
    <col hidden="1" width="3" customWidth="1" style="14" min="17" max="17"/>
    <col width="32" customWidth="1" style="14" min="18" max="18"/>
  </cols>
  <sheetData>
    <row r="1" ht="70" customFormat="1" customHeight="1" s="14">
      <c r="A1" s="19" t="inlineStr">
        <is>
          <t>Candidate key</t>
        </is>
      </c>
      <c r="B1" s="19" t="inlineStr">
        <is>
          <t>Candidate title</t>
        </is>
      </c>
      <c r="C1" s="19" t="inlineStr">
        <is>
          <t>Source location</t>
        </is>
      </c>
      <c r="D1" s="19" t="inlineStr">
        <is>
          <t>Disposition</t>
        </is>
      </c>
      <c r="E1" s="19" t="inlineStr">
        <is>
          <t>Review domain (AI suggestion; editable)</t>
        </is>
      </c>
      <c r="F1" s="19" t="inlineStr">
        <is>
          <t>Complete</t>
        </is>
      </c>
      <c r="G1" s="19" t="inlineStr">
        <is>
          <t>Validation hint</t>
        </is>
      </c>
      <c r="H1" s="19" t="inlineStr">
        <is>
          <t>Statistcal_or_numerical issue</t>
        </is>
      </c>
      <c r="I1" s="19" t="inlineStr">
        <is>
          <t>Substantiveness</t>
        </is>
      </c>
      <c r="J1" s="19" t="inlineStr">
        <is>
          <t>Downstream impact</t>
        </is>
      </c>
      <c r="K1" s="19" t="inlineStr">
        <is>
          <t>Report-internal or planning-material inconsistency</t>
        </is>
      </c>
      <c r="L1" s="19" t="inlineStr">
        <is>
          <t>Protocol interpretation</t>
        </is>
      </c>
      <c r="M1" s="19" t="n"/>
      <c r="N1" s="19" t="n"/>
      <c r="O1" s="19" t="n"/>
      <c r="P1" s="19" t="n"/>
      <c r="Q1" s="19" t="n"/>
      <c r="R1" s="19" t="inlineStr">
        <is>
          <t>Notes (optional)</t>
        </is>
      </c>
    </row>
    <row r="2" ht="92" customFormat="1" customHeight="1" s="14">
      <c r="A2" s="20" t="inlineStr">
        <is>
          <t>2018::jama.2018.6496::C001</t>
        </is>
      </c>
      <c r="B2" s="20" t="inlineStr">
        <is>
          <t>Reverse-ordered confidence-interval endpoints for all-patient first-attempt duration</t>
        </is>
      </c>
      <c r="C2" s="20" t="inlineStr">
        <is>
          <t>DOC-001 Table 3 — PDF p. 7; DOC-003 eTable 1 — PDF p. 2; DOC-003 eTable 1 note — PDF p. 3; DOC-001 statistical-analysis methods — PDF p. 4.</t>
        </is>
      </c>
      <c r="D2" s="21" t="n"/>
      <c r="E2" s="21" t="inlineStr">
        <is>
          <t>statistical_results</t>
        </is>
      </c>
      <c r="F2" s="21" t="inlineStr">
        <is>
          <t>no</t>
        </is>
      </c>
      <c r="G2" s="20">
        <f>IFERROR(IF(LEN(TRIM(CLEAN(SUBSTITUTE(Setup!$B$2,CHAR(160)," "))))=0,"CHECK REVIEWER ID",IF(OR(A2="",COUNTIF($A$2:$A$5,A2)&lt;&gt;1,LEFT(A2,LEN("2018::jama.2018.6496::"))&lt;&gt;"2018::jama.2018.6496::"),"CHECK KEY",IF(OR(AND(NOT(AND(D2="retain",E2="statistical_results")),H2&lt;&gt;"",NOT(EXACT(H2,"not_applicable"))),AND(NOT(AND(D2="retain",E2="statistical_results")),I2&lt;&gt;"",NOT(EXACT(I2,"not_applicable"))),AND(NOT(AND(D2="retain",E2="statistical_results")),J2&lt;&gt;"",NOT(EXACT(J2,"not_applicable"))),AND(NOT(AND(D2="retain",OR(E2="report_internal_inconsistency",E2="plan_material"))),K2&lt;&gt;"",NOT(EXACT(K2,"not_applicable"))),AND(NOT(AND(D2="retain",E2="protocol_report")),L2&lt;&gt;"",NOT(EXACT(L2,"not_applicable")))),"CLEAR INACTIVE VALUES",IF(OR(NOT(OR(EXACT(D2,"retain"),EXACT(D2,"exclude"),EXACT(D2,"discuss"))),NOT(OR(EXACT(E2,"statistical_results"),EXACT(E2,"report_internal_inconsistency"),EXACT(E2,"plan_material"),EXACT(E2,"protocol_report"))),AND(AND(D2="retain",E2="statistical_results"),NOT(OR(EXACT(H2,"confirmed_issue"),EXACT(H2,"probable_issue"),EXACT(H2,"not_issue"),EXACT(H2,"indeterminate")))),AND(AND(D2="retain",E2="statistical_results"),NOT(OR(EXACT(I2,"substantive"),EXACT(I2,"minor_presentation"),EXACT(I2,"indeterminate")))),AND(AND(D2="retain",E2="statistical_results"),J2&lt;&gt;"",NOT(OR(EXACT(J2,"direct"),EXACT(J2,"possible"),EXACT(J2,"unlikely"),EXACT(J2,"unknown")))),AND(AND(D2="retain",OR(E2="report_internal_inconsistency",E2="plan_material")),NOT(OR(EXACT(K2,"substantive_inconsistency"),EXACT(K2,"minor_presentation"),EXACT(K2,"non_inconsistency"),EXACT(K2,"indeterminate")))),AND(AND(D2="retain",E2="protocol_report"),L2&lt;&gt;"",NOT(OR(EXACT(L2,"substantive_difference"),EXACT(L2,"minor_presentation"),EXACT(L2,"version_timing"),EXACT(L2,"non_inconsistency"),EXACT(L2,"indeterminate"))))),"CHECK FIELDS",IF(AND(F2&lt;&gt;"",NOT(OR(EXACT(F2,"no"),EXACT(F2,"primary_done")))),"CHECK COMPLETE",IF(EXACT(F2,"primary_done"),"PRIMARY READY","PRIMARY DRAFT")))))),"CHECK INPUT / KEY")</f>
        <v/>
      </c>
      <c r="H2" s="21">
        <f>IF(AND(OR(D2="retain",D2=""),E2="statistical_results"),"","not_applicable")</f>
        <v/>
      </c>
      <c r="I2" s="21">
        <f>IF(AND(OR(D2="retain",D2=""),E2="statistical_results"),"","not_applicable")</f>
        <v/>
      </c>
      <c r="J2" s="22">
        <f>IF(AND(OR(D2="retain",D2=""),E2="statistical_results"),"","not_applicable")</f>
        <v/>
      </c>
      <c r="K2" s="21">
        <f>IF(AND(OR(D2="retain",D2=""),OR(E2="report_internal_inconsistency",E2="plan_material")),"","not_applicable")</f>
        <v/>
      </c>
      <c r="L2" s="22">
        <f>IF(AND(OR(D2="retain",D2=""),E2="protocol_report"),"","not_applicable")</f>
        <v/>
      </c>
      <c r="M2" s="20" t="n"/>
      <c r="N2" s="23" t="n"/>
      <c r="O2" s="23" t="n"/>
      <c r="P2" s="23" t="n"/>
      <c r="Q2" s="23" t="n"/>
      <c r="R2" s="22" t="n"/>
    </row>
    <row r="3" ht="92" customFormat="1" customHeight="1" s="14">
      <c r="A3" s="24" t="inlineStr">
        <is>
          <t>2018::jama.2018.6496::C002</t>
        </is>
      </c>
      <c r="B3" s="24" t="inlineStr">
        <is>
          <t>Two-patient ETT+stylet denominator difference across linked hypoxemia outcomes</t>
        </is>
      </c>
      <c r="C3" s="24" t="inlineStr">
        <is>
          <t>DOC-001 Table 3 — PDF p. 7; DOC-001 Table 5 — PDF p. 9; DOC-002 protocol secondary outcomes — PDF p. 9; DOC-002 analytic issues — PDF p. 21.</t>
        </is>
      </c>
      <c r="D3" s="21" t="n"/>
      <c r="E3" s="21" t="inlineStr">
        <is>
          <t>statistical_results</t>
        </is>
      </c>
      <c r="F3" s="21" t="inlineStr">
        <is>
          <t>no</t>
        </is>
      </c>
      <c r="G3" s="24">
        <f>IFERROR(IF(LEN(TRIM(CLEAN(SUBSTITUTE(Setup!$B$2,CHAR(160)," "))))=0,"CHECK REVIEWER ID",IF(OR(A3="",COUNTIF($A$2:$A$5,A3)&lt;&gt;1,LEFT(A3,LEN("2018::jama.2018.6496::"))&lt;&gt;"2018::jama.2018.6496::"),"CHECK KEY",IF(OR(AND(NOT(AND(D3="retain",E3="statistical_results")),H3&lt;&gt;"",NOT(EXACT(H3,"not_applicable"))),AND(NOT(AND(D3="retain",E3="statistical_results")),I3&lt;&gt;"",NOT(EXACT(I3,"not_applicable"))),AND(NOT(AND(D3="retain",E3="statistical_results")),J3&lt;&gt;"",NOT(EXACT(J3,"not_applicable"))),AND(NOT(AND(D3="retain",OR(E3="report_internal_inconsistency",E3="plan_material"))),K3&lt;&gt;"",NOT(EXACT(K3,"not_applicable"))),AND(NOT(AND(D3="retain",E3="protocol_report")),L3&lt;&gt;"",NOT(EXACT(L3,"not_applicable")))),"CLEAR INACTIVE VALUES",IF(OR(NOT(OR(EXACT(D3,"retain"),EXACT(D3,"exclude"),EXACT(D3,"discuss"))),NOT(OR(EXACT(E3,"statistical_results"),EXACT(E3,"report_internal_inconsistency"),EXACT(E3,"plan_material"),EXACT(E3,"protocol_report"))),AND(AND(D3="retain",E3="statistical_results"),NOT(OR(EXACT(H3,"confirmed_issue"),EXACT(H3,"probable_issue"),EXACT(H3,"not_issue"),EXACT(H3,"indeterminate")))),AND(AND(D3="retain",E3="statistical_results"),NOT(OR(EXACT(I3,"substantive"),EXACT(I3,"minor_presentation"),EXACT(I3,"indeterminate")))),AND(AND(D3="retain",E3="statistical_results"),J3&lt;&gt;"",NOT(OR(EXACT(J3,"direct"),EXACT(J3,"possible"),EXACT(J3,"unlikely"),EXACT(J3,"unknown")))),AND(AND(D3="retain",OR(E3="report_internal_inconsistency",E3="plan_material")),NOT(OR(EXACT(K3,"substantive_inconsistency"),EXACT(K3,"minor_presentation"),EXACT(K3,"non_inconsistency"),EXACT(K3,"indeterminate")))),AND(AND(D3="retain",E3="protocol_report"),L3&lt;&gt;"",NOT(OR(EXACT(L3,"substantive_difference"),EXACT(L3,"minor_presentation"),EXACT(L3,"version_timing"),EXACT(L3,"non_inconsistency"),EXACT(L3,"indeterminate"))))),"CHECK FIELDS",IF(AND(F3&lt;&gt;"",NOT(OR(EXACT(F3,"no"),EXACT(F3,"primary_done")))),"CHECK COMPLETE",IF(EXACT(F3,"primary_done"),"PRIMARY READY","PRIMARY DRAFT")))))),"CHECK INPUT / KEY")</f>
        <v/>
      </c>
      <c r="H3" s="21">
        <f>IF(AND(OR(D3="retain",D3=""),E3="statistical_results"),"","not_applicable")</f>
        <v/>
      </c>
      <c r="I3" s="21">
        <f>IF(AND(OR(D3="retain",D3=""),E3="statistical_results"),"","not_applicable")</f>
        <v/>
      </c>
      <c r="J3" s="22">
        <f>IF(AND(OR(D3="retain",D3=""),E3="statistical_results"),"","not_applicable")</f>
        <v/>
      </c>
      <c r="K3" s="21">
        <f>IF(AND(OR(D3="retain",D3=""),OR(E3="report_internal_inconsistency",E3="plan_material")),"","not_applicable")</f>
        <v/>
      </c>
      <c r="L3" s="22">
        <f>IF(AND(OR(D3="retain",D3=""),E3="protocol_report"),"","not_applicable")</f>
        <v/>
      </c>
      <c r="M3" s="24" t="n"/>
      <c r="N3" s="23" t="n"/>
      <c r="O3" s="23" t="n"/>
      <c r="P3" s="23" t="n"/>
      <c r="Q3" s="23" t="n"/>
      <c r="R3" s="22" t="n"/>
    </row>
    <row r="4" ht="92" customFormat="1" customHeight="1" s="14">
      <c r="A4" s="20" t="inlineStr">
        <is>
          <t>2018::jama.2018.6496::C003</t>
        </is>
      </c>
      <c r="B4" s="20" t="inlineStr">
        <is>
          <t>Protocol and published hypoxemia observation windows use different endpoint events</t>
        </is>
      </c>
      <c r="C4" s="20" t="inlineStr">
        <is>
          <t>DOC-002 protocol secondary outcomes — PDF p. 9; DOC-002 protocol measurement procedure — PDF p. 10; DOC-001 Table 3 — PDF p. 7; DOC-001 Table 5 — PDF p. 9; DOC-003 eTable 1 note — PDF p. 3; DOC-003 postintubation form — PDF p. 10.</t>
        </is>
      </c>
      <c r="D4" s="21" t="n"/>
      <c r="E4" s="21" t="inlineStr">
        <is>
          <t>protocol_report</t>
        </is>
      </c>
      <c r="F4" s="21" t="inlineStr">
        <is>
          <t>no</t>
        </is>
      </c>
      <c r="G4" s="20">
        <f>IFERROR(IF(LEN(TRIM(CLEAN(SUBSTITUTE(Setup!$B$2,CHAR(160)," "))))=0,"CHECK REVIEWER ID",IF(OR(A4="",COUNTIF($A$2:$A$5,A4)&lt;&gt;1,LEFT(A4,LEN("2018::jama.2018.6496::"))&lt;&gt;"2018::jama.2018.6496::"),"CHECK KEY",IF(OR(AND(NOT(AND(D4="retain",E4="statistical_results")),H4&lt;&gt;"",NOT(EXACT(H4,"not_applicable"))),AND(NOT(AND(D4="retain",E4="statistical_results")),I4&lt;&gt;"",NOT(EXACT(I4,"not_applicable"))),AND(NOT(AND(D4="retain",E4="statistical_results")),J4&lt;&gt;"",NOT(EXACT(J4,"not_applicable"))),AND(NOT(AND(D4="retain",OR(E4="report_internal_inconsistency",E4="plan_material"))),K4&lt;&gt;"",NOT(EXACT(K4,"not_applicable"))),AND(NOT(AND(D4="retain",E4="protocol_report")),L4&lt;&gt;"",NOT(EXACT(L4,"not_applicable")))),"CLEAR INACTIVE VALUES",IF(OR(NOT(OR(EXACT(D4,"retain"),EXACT(D4,"exclude"),EXACT(D4,"discuss"))),NOT(OR(EXACT(E4,"statistical_results"),EXACT(E4,"report_internal_inconsistency"),EXACT(E4,"plan_material"),EXACT(E4,"protocol_report"))),AND(AND(D4="retain",E4="statistical_results"),NOT(OR(EXACT(H4,"confirmed_issue"),EXACT(H4,"probable_issue"),EXACT(H4,"not_issue"),EXACT(H4,"indeterminate")))),AND(AND(D4="retain",E4="statistical_results"),NOT(OR(EXACT(I4,"substantive"),EXACT(I4,"minor_presentation"),EXACT(I4,"indeterminate")))),AND(AND(D4="retain",E4="statistical_results"),J4&lt;&gt;"",NOT(OR(EXACT(J4,"direct"),EXACT(J4,"possible"),EXACT(J4,"unlikely"),EXACT(J4,"unknown")))),AND(AND(D4="retain",OR(E4="report_internal_inconsistency",E4="plan_material")),NOT(OR(EXACT(K4,"substantive_inconsistency"),EXACT(K4,"minor_presentation"),EXACT(K4,"non_inconsistency"),EXACT(K4,"indeterminate")))),AND(AND(D4="retain",E4="protocol_report"),L4&lt;&gt;"",NOT(OR(EXACT(L4,"substantive_difference"),EXACT(L4,"minor_presentation"),EXACT(L4,"version_timing"),EXACT(L4,"non_inconsistency"),EXACT(L4,"indeterminate"))))),"CHECK FIELDS",IF(AND(F4&lt;&gt;"",NOT(OR(EXACT(F4,"no"),EXACT(F4,"primary_done")))),"CHECK COMPLETE",IF(EXACT(F4,"primary_done"),"PRIMARY READY","PRIMARY DRAFT")))))),"CHECK INPUT / KEY")</f>
        <v/>
      </c>
      <c r="H4" s="21">
        <f>IF(AND(OR(D4="retain",D4=""),E4="statistical_results"),"","not_applicable")</f>
        <v/>
      </c>
      <c r="I4" s="21">
        <f>IF(AND(OR(D4="retain",D4=""),E4="statistical_results"),"","not_applicable")</f>
        <v/>
      </c>
      <c r="J4" s="22">
        <f>IF(AND(OR(D4="retain",D4=""),E4="statistical_results"),"","not_applicable")</f>
        <v/>
      </c>
      <c r="K4" s="21">
        <f>IF(AND(OR(D4="retain",D4=""),OR(E4="report_internal_inconsistency",E4="plan_material")),"","not_applicable")</f>
        <v/>
      </c>
      <c r="L4" s="22">
        <f>IF(AND(OR(D4="retain",D4=""),E4="protocol_report"),"","not_applicable")</f>
        <v/>
      </c>
      <c r="M4" s="20" t="n"/>
      <c r="N4" s="23" t="n"/>
      <c r="O4" s="23" t="n"/>
      <c r="P4" s="23" t="n"/>
      <c r="Q4" s="23" t="n"/>
      <c r="R4" s="22" t="n"/>
    </row>
    <row r="5" ht="92" customFormat="1" customHeight="1" s="14">
      <c r="A5" s="24" t="inlineStr">
        <is>
          <t>2018::jama.2018.6496::C004</t>
        </is>
      </c>
      <c r="B5" s="24" t="inlineStr">
        <is>
          <t>Protocol and published first-attempt-duration measures use different endpoint events</t>
        </is>
      </c>
      <c r="C5" s="24" t="inlineStr">
        <is>
          <t>DOC-002 protocol — PDF p. 9; DOC-001 outcome methods — PDF p. 3; DOC-001 Table 3 — PDF p. 7; DOC-003 eTable 1 note — PDF p. 3; DOC-003 data form — PDF p. 10.</t>
        </is>
      </c>
      <c r="D5" s="21" t="n"/>
      <c r="E5" s="21" t="inlineStr">
        <is>
          <t>protocol_report</t>
        </is>
      </c>
      <c r="F5" s="21" t="inlineStr">
        <is>
          <t>no</t>
        </is>
      </c>
      <c r="G5" s="24">
        <f>IFERROR(IF(LEN(TRIM(CLEAN(SUBSTITUTE(Setup!$B$2,CHAR(160)," "))))=0,"CHECK REVIEWER ID",IF(OR(A5="",COUNTIF($A$2:$A$5,A5)&lt;&gt;1,LEFT(A5,LEN("2018::jama.2018.6496::"))&lt;&gt;"2018::jama.2018.6496::"),"CHECK KEY",IF(OR(AND(NOT(AND(D5="retain",E5="statistical_results")),H5&lt;&gt;"",NOT(EXACT(H5,"not_applicable"))),AND(NOT(AND(D5="retain",E5="statistical_results")),I5&lt;&gt;"",NOT(EXACT(I5,"not_applicable"))),AND(NOT(AND(D5="retain",E5="statistical_results")),J5&lt;&gt;"",NOT(EXACT(J5,"not_applicable"))),AND(NOT(AND(D5="retain",OR(E5="report_internal_inconsistency",E5="plan_material"))),K5&lt;&gt;"",NOT(EXACT(K5,"not_applicable"))),AND(NOT(AND(D5="retain",E5="protocol_report")),L5&lt;&gt;"",NOT(EXACT(L5,"not_applicable")))),"CLEAR INACTIVE VALUES",IF(OR(NOT(OR(EXACT(D5,"retain"),EXACT(D5,"exclude"),EXACT(D5,"discuss"))),NOT(OR(EXACT(E5,"statistical_results"),EXACT(E5,"report_internal_inconsistency"),EXACT(E5,"plan_material"),EXACT(E5,"protocol_report"))),AND(AND(D5="retain",E5="statistical_results"),NOT(OR(EXACT(H5,"confirmed_issue"),EXACT(H5,"probable_issue"),EXACT(H5,"not_issue"),EXACT(H5,"indeterminate")))),AND(AND(D5="retain",E5="statistical_results"),NOT(OR(EXACT(I5,"substantive"),EXACT(I5,"minor_presentation"),EXACT(I5,"indeterminate")))),AND(AND(D5="retain",E5="statistical_results"),J5&lt;&gt;"",NOT(OR(EXACT(J5,"direct"),EXACT(J5,"possible"),EXACT(J5,"unlikely"),EXACT(J5,"unknown")))),AND(AND(D5="retain",OR(E5="report_internal_inconsistency",E5="plan_material")),NOT(OR(EXACT(K5,"substantive_inconsistency"),EXACT(K5,"minor_presentation"),EXACT(K5,"non_inconsistency"),EXACT(K5,"indeterminate")))),AND(AND(D5="retain",E5="protocol_report"),L5&lt;&gt;"",NOT(OR(EXACT(L5,"substantive_difference"),EXACT(L5,"minor_presentation"),EXACT(L5,"version_timing"),EXACT(L5,"non_inconsistency"),EXACT(L5,"indeterminate"))))),"CHECK FIELDS",IF(AND(F5&lt;&gt;"",NOT(OR(EXACT(F5,"no"),EXACT(F5,"primary_done")))),"CHECK COMPLETE",IF(EXACT(F5,"primary_done"),"PRIMARY READY","PRIMARY DRAFT")))))),"CHECK INPUT / KEY")</f>
        <v/>
      </c>
      <c r="H5" s="21">
        <f>IF(AND(OR(D5="retain",D5=""),E5="statistical_results"),"","not_applicable")</f>
        <v/>
      </c>
      <c r="I5" s="21">
        <f>IF(AND(OR(D5="retain",D5=""),E5="statistical_results"),"","not_applicable")</f>
        <v/>
      </c>
      <c r="J5" s="22">
        <f>IF(AND(OR(D5="retain",D5=""),E5="statistical_results"),"","not_applicable")</f>
        <v/>
      </c>
      <c r="K5" s="21">
        <f>IF(AND(OR(D5="retain",D5=""),OR(E5="report_internal_inconsistency",E5="plan_material")),"","not_applicable")</f>
        <v/>
      </c>
      <c r="L5" s="22">
        <f>IF(AND(OR(D5="retain",D5=""),E5="protocol_report"),"","not_applicable")</f>
        <v/>
      </c>
      <c r="M5" s="24" t="n"/>
      <c r="N5" s="23" t="n"/>
      <c r="O5" s="23" t="n"/>
      <c r="P5" s="23" t="n"/>
      <c r="Q5" s="23" t="n"/>
      <c r="R5" s="22" t="n"/>
    </row>
  </sheetData>
  <autoFilter ref="A1:R5"/>
  <conditionalFormatting sqref="H2:H5">
    <cfRule type="expression" priority="8" dxfId="70">
      <formula>NOT(AND(OR($D2="retain",$D2=""),$E2="statistical_results"))</formula>
    </cfRule>
  </conditionalFormatting>
  <conditionalFormatting sqref="I2:I5">
    <cfRule type="expression" priority="9" dxfId="70">
      <formula>NOT(AND(OR($D2="retain",$D2=""),$E2="statistical_results"))</formula>
    </cfRule>
  </conditionalFormatting>
  <conditionalFormatting sqref="J2:J5">
    <cfRule type="expression" priority="10" dxfId="70">
      <formula>NOT(AND(OR($D2="retain",$D2=""),$E2="statistical_results"))</formula>
    </cfRule>
  </conditionalFormatting>
  <conditionalFormatting sqref="K2:K5">
    <cfRule type="expression" priority="11" dxfId="70">
      <formula>NOT(AND(OR($D2="retain",$D2=""),OR($E2="report_internal_inconsistency",$E2="plan_material")))</formula>
    </cfRule>
  </conditionalFormatting>
  <conditionalFormatting sqref="L2:L5">
    <cfRule type="expression" priority="12" dxfId="70">
      <formula>NOT(AND(OR($D2="retain",$D2=""),$E2="protocol_report"))</formula>
    </cfRule>
  </conditionalFormatting>
  <conditionalFormatting sqref="G2:G5">
    <cfRule type="expression" priority="13" dxfId="71">
      <formula>G2&lt;&gt;"PRIMARY READY"</formula>
    </cfRule>
  </conditionalFormatting>
  <dataValidations count="8">
    <dataValidation sqref="D2:D5" showDropDown="0" showInputMessage="0" showErrorMessage="1" allowBlank="1" errorTitle="Use a listed option" error="Choose an option; G also checks pasted entries." type="list" errorStyle="stop">
      <formula1>"retain,exclude,discuss"</formula1>
    </dataValidation>
    <dataValidation sqref="E2:E5" showDropDown="0" showInputMessage="0" showErrorMessage="1" allowBlank="1" errorTitle="Use a listed option" error="Choose an option; G also checks pasted entries." type="list" errorStyle="stop">
      <formula1>"statistical_results,report_internal_inconsistency,plan_material,protocol_report"</formula1>
    </dataValidation>
    <dataValidation sqref="F2:F5" showDropDown="0" showInputMessage="0" showErrorMessage="1" allowBlank="1" errorTitle="Use a listed option" error="Choose an option; G also checks pasted entries." type="list" errorStyle="stop">
      <formula1>"no,primary_done"</formula1>
    </dataValidation>
    <dataValidation sqref="H2:H5" showDropDown="0" showInputMessage="0" showErrorMessage="1" allowBlank="1" errorTitle="Use a listed option" error="Choose an option; G also checks pasted entries." type="list" errorStyle="stop">
      <formula1>"confirmed_issue,probable_issue,not_issue,indeterminate,not_applicable"</formula1>
    </dataValidation>
    <dataValidation sqref="I2:I5" showDropDown="0" showInputMessage="0" showErrorMessage="1" allowBlank="1" errorTitle="Use a listed option" error="Choose an option; G also checks pasted entries." type="list" errorStyle="stop">
      <formula1>"substantive,minor_presentation,indeterminate,not_applicable"</formula1>
    </dataValidation>
    <dataValidation sqref="J2:J5" showDropDown="0" showInputMessage="0" showErrorMessage="1" allowBlank="1" errorTitle="Use a listed option" error="Choose an option; G also checks pasted entries." type="list" errorStyle="stop">
      <formula1>"direct,possible,unlikely,unknown,not_applicable"</formula1>
    </dataValidation>
    <dataValidation sqref="K2:K5" showDropDown="0" showInputMessage="0" showErrorMessage="1" allowBlank="1" errorTitle="Use a listed option" error="Choose an option; G also checks pasted entries." type="list" errorStyle="stop">
      <formula1>"substantive_inconsistency,minor_presentation,non_inconsistency,indeterminate,not_applicable"</formula1>
    </dataValidation>
    <dataValidation sqref="L2:L5" showDropDown="0" showInputMessage="0" showErrorMessage="1" allowBlank="1" errorTitle="Use a listed option" error="Choose an option; G also checks pasted entries." type="list" errorStyle="stop">
      <formula1>"substantive_difference,minor_presentation,version_timing,non_inconsistency,indeterminate,not_applicable"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R9"/>
  <sheetViews>
    <sheetView showGridLines="0" tabSelected="0" workbookViewId="0">
      <pane xSplit="1" ySplit="1" topLeftCell="B2" activePane="bottomRight" state="frozen"/>
      <selection activeCell="A1" sqref="A1"/>
    </sheetView>
  </sheetViews>
  <sheetFormatPr baseColWidth="8" defaultRowHeight="15"/>
  <cols>
    <col width="22" customWidth="1" style="14" min="1" max="1"/>
    <col width="28" customWidth="1" style="14" min="2" max="2"/>
    <col width="22" customWidth="1" style="14" min="3" max="3"/>
    <col width="20" customWidth="1" style="14" min="4" max="4"/>
    <col width="35" customWidth="1" style="14" min="5" max="5"/>
    <col width="17" customWidth="1" style="14" min="6" max="6"/>
    <col width="29" customWidth="1" style="14" min="7" max="7"/>
    <col width="28" customWidth="1" style="14" min="8" max="8"/>
    <col width="20" customWidth="1" style="14" min="9" max="9"/>
    <col width="20" customWidth="1" style="14" min="10" max="10"/>
    <col width="34" customWidth="1" style="14" min="11" max="11"/>
    <col width="26" customWidth="1" style="14" min="12" max="12"/>
    <col hidden="1" width="3" customWidth="1" style="14" min="13" max="13"/>
    <col hidden="1" width="3" customWidth="1" style="14" min="14" max="14"/>
    <col hidden="1" width="3" customWidth="1" style="14" min="15" max="15"/>
    <col hidden="1" width="3" customWidth="1" style="14" min="16" max="16"/>
    <col hidden="1" width="3" customWidth="1" style="14" min="17" max="17"/>
    <col width="32" customWidth="1" style="14" min="18" max="18"/>
  </cols>
  <sheetData>
    <row r="1" ht="70" customFormat="1" customHeight="1" s="14">
      <c r="A1" s="19" t="inlineStr">
        <is>
          <t>Candidate key</t>
        </is>
      </c>
      <c r="B1" s="19" t="inlineStr">
        <is>
          <t>Candidate title</t>
        </is>
      </c>
      <c r="C1" s="19" t="inlineStr">
        <is>
          <t>Source location</t>
        </is>
      </c>
      <c r="D1" s="19" t="inlineStr">
        <is>
          <t>Disposition</t>
        </is>
      </c>
      <c r="E1" s="19" t="inlineStr">
        <is>
          <t>Review domain (AI suggestion; editable)</t>
        </is>
      </c>
      <c r="F1" s="19" t="inlineStr">
        <is>
          <t>Complete</t>
        </is>
      </c>
      <c r="G1" s="19" t="inlineStr">
        <is>
          <t>Validation hint</t>
        </is>
      </c>
      <c r="H1" s="19" t="inlineStr">
        <is>
          <t>Statistcal_or_numerical issue</t>
        </is>
      </c>
      <c r="I1" s="19" t="inlineStr">
        <is>
          <t>Substantiveness</t>
        </is>
      </c>
      <c r="J1" s="19" t="inlineStr">
        <is>
          <t>Downstream impact</t>
        </is>
      </c>
      <c r="K1" s="19" t="inlineStr">
        <is>
          <t>Report-internal or planning-material inconsistency</t>
        </is>
      </c>
      <c r="L1" s="19" t="inlineStr">
        <is>
          <t>Protocol interpretation</t>
        </is>
      </c>
      <c r="M1" s="19" t="n"/>
      <c r="N1" s="19" t="n"/>
      <c r="O1" s="19" t="n"/>
      <c r="P1" s="19" t="n"/>
      <c r="Q1" s="19" t="n"/>
      <c r="R1" s="19" t="inlineStr">
        <is>
          <t>Notes (optional)</t>
        </is>
      </c>
    </row>
    <row r="2" ht="92" customFormat="1" customHeight="1" s="14">
      <c r="A2" s="20" t="inlineStr">
        <is>
          <t>2018::jama.2018.8802::C001</t>
        </is>
      </c>
      <c r="B2" s="20" t="inlineStr">
        <is>
          <t>Table 1 CAD/previous-myocardial-infarction percentage does not reproduce</t>
        </is>
      </c>
      <c r="C2" s="20" t="inlineStr">
        <is>
          <t>jama_wang_2018_oi_180070.pdf — PDF p. 6, Table 1, CAD/previous myocardial infarction, intervention column and Patients, No. header.</t>
        </is>
      </c>
      <c r="D2" s="21" t="n"/>
      <c r="E2" s="21" t="inlineStr">
        <is>
          <t>statistical_results</t>
        </is>
      </c>
      <c r="F2" s="21" t="inlineStr">
        <is>
          <t>no</t>
        </is>
      </c>
      <c r="G2" s="20">
        <f>IFERROR(IF(LEN(TRIM(CLEAN(SUBSTITUTE(Setup!$B$2,CHAR(160)," "))))=0,"CHECK REVIEWER ID",IF(OR(A2="",COUNTIF($A$2:$A$9,A2)&lt;&gt;1,LEFT(A2,LEN("2018::jama.2018.8802::"))&lt;&gt;"2018::jama.2018.8802::"),"CHECK KEY",IF(OR(AND(NOT(AND(D2="retain",E2="statistical_results")),H2&lt;&gt;"",NOT(EXACT(H2,"not_applicable"))),AND(NOT(AND(D2="retain",E2="statistical_results")),I2&lt;&gt;"",NOT(EXACT(I2,"not_applicable"))),AND(NOT(AND(D2="retain",E2="statistical_results")),J2&lt;&gt;"",NOT(EXACT(J2,"not_applicable"))),AND(NOT(AND(D2="retain",OR(E2="report_internal_inconsistency",E2="plan_material"))),K2&lt;&gt;"",NOT(EXACT(K2,"not_applicable"))),AND(NOT(AND(D2="retain",E2="protocol_report")),L2&lt;&gt;"",NOT(EXACT(L2,"not_applicable")))),"CLEAR INACTIVE VALUES",IF(OR(NOT(OR(EXACT(D2,"retain"),EXACT(D2,"exclude"),EXACT(D2,"discuss"))),NOT(OR(EXACT(E2,"statistical_results"),EXACT(E2,"report_internal_inconsistency"),EXACT(E2,"plan_material"),EXACT(E2,"protocol_report"))),AND(AND(D2="retain",E2="statistical_results"),NOT(OR(EXACT(H2,"confirmed_issue"),EXACT(H2,"probable_issue"),EXACT(H2,"not_issue"),EXACT(H2,"indeterminate")))),AND(AND(D2="retain",E2="statistical_results"),NOT(OR(EXACT(I2,"substantive"),EXACT(I2,"minor_presentation"),EXACT(I2,"indeterminate")))),AND(AND(D2="retain",E2="statistical_results"),J2&lt;&gt;"",NOT(OR(EXACT(J2,"direct"),EXACT(J2,"possible"),EXACT(J2,"unlikely"),EXACT(J2,"unknown")))),AND(AND(D2="retain",OR(E2="report_internal_inconsistency",E2="plan_material")),NOT(OR(EXACT(K2,"substantive_inconsistency"),EXACT(K2,"minor_presentation"),EXACT(K2,"non_inconsistency"),EXACT(K2,"indeterminate")))),AND(AND(D2="retain",E2="protocol_report"),L2&lt;&gt;"",NOT(OR(EXACT(L2,"substantive_difference"),EXACT(L2,"minor_presentation"),EXACT(L2,"version_timing"),EXACT(L2,"non_inconsistency"),EXACT(L2,"indeterminate"))))),"CHECK FIELDS",IF(AND(F2&lt;&gt;"",NOT(OR(EXACT(F2,"no"),EXACT(F2,"primary_done")))),"CHECK COMPLETE",IF(EXACT(F2,"primary_done"),"PRIMARY READY","PRIMARY DRAFT")))))),"CHECK INPUT / KEY")</f>
        <v/>
      </c>
      <c r="H2" s="21">
        <f>IF(AND(OR(D2="retain",D2=""),E2="statistical_results"),"","not_applicable")</f>
        <v/>
      </c>
      <c r="I2" s="21">
        <f>IF(AND(OR(D2="retain",D2=""),E2="statistical_results"),"","not_applicable")</f>
        <v/>
      </c>
      <c r="J2" s="22">
        <f>IF(AND(OR(D2="retain",D2=""),E2="statistical_results"),"","not_applicable")</f>
        <v/>
      </c>
      <c r="K2" s="21">
        <f>IF(AND(OR(D2="retain",D2=""),OR(E2="report_internal_inconsistency",E2="plan_material")),"","not_applicable")</f>
        <v/>
      </c>
      <c r="L2" s="22">
        <f>IF(AND(OR(D2="retain",D2=""),E2="protocol_report"),"","not_applicable")</f>
        <v/>
      </c>
      <c r="M2" s="20" t="n"/>
      <c r="N2" s="23" t="n"/>
      <c r="O2" s="23" t="n"/>
      <c r="P2" s="23" t="n"/>
      <c r="Q2" s="23" t="n"/>
      <c r="R2" s="22" t="n"/>
    </row>
    <row r="3" ht="92" customFormat="1" customHeight="1" s="14">
      <c r="A3" s="24" t="inlineStr">
        <is>
          <t>2018::jama.2018.8802::C002</t>
        </is>
      </c>
      <c r="B3" s="24" t="inlineStr">
        <is>
          <t>LDL eligibility boundary differs between result labels and supplied measure definition</t>
        </is>
      </c>
      <c r="C3" s="24" t="inlineStr">
        <is>
          <t>jama_wang_2018_oi_180070.pdf — PDF p. 7, Table 2 lipid-lowering row; joi180070supp1_prod.pdf — PDF p. 15, definition; joi180070supp2_prod.pdf — PDF p. 3, eTable 1 definition; and joi180070supp2_prod.pdf — PDF p. 8, eTable 4 label.</t>
        </is>
      </c>
      <c r="D3" s="21" t="n"/>
      <c r="E3" s="21" t="inlineStr">
        <is>
          <t>protocol_report</t>
        </is>
      </c>
      <c r="F3" s="21" t="inlineStr">
        <is>
          <t>no</t>
        </is>
      </c>
      <c r="G3" s="24">
        <f>IFERROR(IF(LEN(TRIM(CLEAN(SUBSTITUTE(Setup!$B$2,CHAR(160)," "))))=0,"CHECK REVIEWER ID",IF(OR(A3="",COUNTIF($A$2:$A$9,A3)&lt;&gt;1,LEFT(A3,LEN("2018::jama.2018.8802::"))&lt;&gt;"2018::jama.2018.8802::"),"CHECK KEY",IF(OR(AND(NOT(AND(D3="retain",E3="statistical_results")),H3&lt;&gt;"",NOT(EXACT(H3,"not_applicable"))),AND(NOT(AND(D3="retain",E3="statistical_results")),I3&lt;&gt;"",NOT(EXACT(I3,"not_applicable"))),AND(NOT(AND(D3="retain",E3="statistical_results")),J3&lt;&gt;"",NOT(EXACT(J3,"not_applicable"))),AND(NOT(AND(D3="retain",OR(E3="report_internal_inconsistency",E3="plan_material"))),K3&lt;&gt;"",NOT(EXACT(K3,"not_applicable"))),AND(NOT(AND(D3="retain",E3="protocol_report")),L3&lt;&gt;"",NOT(EXACT(L3,"not_applicable")))),"CLEAR INACTIVE VALUES",IF(OR(NOT(OR(EXACT(D3,"retain"),EXACT(D3,"exclude"),EXACT(D3,"discuss"))),NOT(OR(EXACT(E3,"statistical_results"),EXACT(E3,"report_internal_inconsistency"),EXACT(E3,"plan_material"),EXACT(E3,"protocol_report"))),AND(AND(D3="retain",E3="statistical_results"),NOT(OR(EXACT(H3,"confirmed_issue"),EXACT(H3,"probable_issue"),EXACT(H3,"not_issue"),EXACT(H3,"indeterminate")))),AND(AND(D3="retain",E3="statistical_results"),NOT(OR(EXACT(I3,"substantive"),EXACT(I3,"minor_presentation"),EXACT(I3,"indeterminate")))),AND(AND(D3="retain",E3="statistical_results"),J3&lt;&gt;"",NOT(OR(EXACT(J3,"direct"),EXACT(J3,"possible"),EXACT(J3,"unlikely"),EXACT(J3,"unknown")))),AND(AND(D3="retain",OR(E3="report_internal_inconsistency",E3="plan_material")),NOT(OR(EXACT(K3,"substantive_inconsistency"),EXACT(K3,"minor_presentation"),EXACT(K3,"non_inconsistency"),EXACT(K3,"indeterminate")))),AND(AND(D3="retain",E3="protocol_report"),L3&lt;&gt;"",NOT(OR(EXACT(L3,"substantive_difference"),EXACT(L3,"minor_presentation"),EXACT(L3,"version_timing"),EXACT(L3,"non_inconsistency"),EXACT(L3,"indeterminate"))))),"CHECK FIELDS",IF(AND(F3&lt;&gt;"",NOT(OR(EXACT(F3,"no"),EXACT(F3,"primary_done")))),"CHECK COMPLETE",IF(EXACT(F3,"primary_done"),"PRIMARY READY","PRIMARY DRAFT")))))),"CHECK INPUT / KEY")</f>
        <v/>
      </c>
      <c r="H3" s="21">
        <f>IF(AND(OR(D3="retain",D3=""),E3="statistical_results"),"","not_applicable")</f>
        <v/>
      </c>
      <c r="I3" s="21">
        <f>IF(AND(OR(D3="retain",D3=""),E3="statistical_results"),"","not_applicable")</f>
        <v/>
      </c>
      <c r="J3" s="22">
        <f>IF(AND(OR(D3="retain",D3=""),E3="statistical_results"),"","not_applicable")</f>
        <v/>
      </c>
      <c r="K3" s="21">
        <f>IF(AND(OR(D3="retain",D3=""),OR(E3="report_internal_inconsistency",E3="plan_material")),"","not_applicable")</f>
        <v/>
      </c>
      <c r="L3" s="22">
        <f>IF(AND(OR(D3="retain",D3=""),E3="protocol_report"),"","not_applicable")</f>
        <v/>
      </c>
      <c r="M3" s="24" t="n"/>
      <c r="N3" s="23" t="n"/>
      <c r="O3" s="23" t="n"/>
      <c r="P3" s="23" t="n"/>
      <c r="Q3" s="23" t="n"/>
      <c r="R3" s="22" t="n"/>
    </row>
    <row r="4" ht="92" customFormat="1" customHeight="1" s="14">
      <c r="A4" s="20" t="inlineStr">
        <is>
          <t>2018::jama.2018.8802::C003</t>
        </is>
      </c>
      <c r="B4" s="20" t="inlineStr">
        <is>
          <t>eTable 4 discharge-antithrombotics control percentage does not reproduce</t>
        </is>
      </c>
      <c r="C4" s="20" t="inlineStr">
        <is>
          <t>joi180070supp2_prod.pdf — PDF p. 8, eTable 4, Antithrombotics, control cell.</t>
        </is>
      </c>
      <c r="D4" s="21" t="n"/>
      <c r="E4" s="21" t="inlineStr">
        <is>
          <t>statistical_results</t>
        </is>
      </c>
      <c r="F4" s="21" t="inlineStr">
        <is>
          <t>no</t>
        </is>
      </c>
      <c r="G4" s="20">
        <f>IFERROR(IF(LEN(TRIM(CLEAN(SUBSTITUTE(Setup!$B$2,CHAR(160)," "))))=0,"CHECK REVIEWER ID",IF(OR(A4="",COUNTIF($A$2:$A$9,A4)&lt;&gt;1,LEFT(A4,LEN("2018::jama.2018.8802::"))&lt;&gt;"2018::jama.2018.8802::"),"CHECK KEY",IF(OR(AND(NOT(AND(D4="retain",E4="statistical_results")),H4&lt;&gt;"",NOT(EXACT(H4,"not_applicable"))),AND(NOT(AND(D4="retain",E4="statistical_results")),I4&lt;&gt;"",NOT(EXACT(I4,"not_applicable"))),AND(NOT(AND(D4="retain",E4="statistical_results")),J4&lt;&gt;"",NOT(EXACT(J4,"not_applicable"))),AND(NOT(AND(D4="retain",OR(E4="report_internal_inconsistency",E4="plan_material"))),K4&lt;&gt;"",NOT(EXACT(K4,"not_applicable"))),AND(NOT(AND(D4="retain",E4="protocol_report")),L4&lt;&gt;"",NOT(EXACT(L4,"not_applicable")))),"CLEAR INACTIVE VALUES",IF(OR(NOT(OR(EXACT(D4,"retain"),EXACT(D4,"exclude"),EXACT(D4,"discuss"))),NOT(OR(EXACT(E4,"statistical_results"),EXACT(E4,"report_internal_inconsistency"),EXACT(E4,"plan_material"),EXACT(E4,"protocol_report"))),AND(AND(D4="retain",E4="statistical_results"),NOT(OR(EXACT(H4,"confirmed_issue"),EXACT(H4,"probable_issue"),EXACT(H4,"not_issue"),EXACT(H4,"indeterminate")))),AND(AND(D4="retain",E4="statistical_results"),NOT(OR(EXACT(I4,"substantive"),EXACT(I4,"minor_presentation"),EXACT(I4,"indeterminate")))),AND(AND(D4="retain",E4="statistical_results"),J4&lt;&gt;"",NOT(OR(EXACT(J4,"direct"),EXACT(J4,"possible"),EXACT(J4,"unlikely"),EXACT(J4,"unknown")))),AND(AND(D4="retain",OR(E4="report_internal_inconsistency",E4="plan_material")),NOT(OR(EXACT(K4,"substantive_inconsistency"),EXACT(K4,"minor_presentation"),EXACT(K4,"non_inconsistency"),EXACT(K4,"indeterminate")))),AND(AND(D4="retain",E4="protocol_report"),L4&lt;&gt;"",NOT(OR(EXACT(L4,"substantive_difference"),EXACT(L4,"minor_presentation"),EXACT(L4,"version_timing"),EXACT(L4,"non_inconsistency"),EXACT(L4,"indeterminate"))))),"CHECK FIELDS",IF(AND(F4&lt;&gt;"",NOT(OR(EXACT(F4,"no"),EXACT(F4,"primary_done")))),"CHECK COMPLETE",IF(EXACT(F4,"primary_done"),"PRIMARY READY","PRIMARY DRAFT")))))),"CHECK INPUT / KEY")</f>
        <v/>
      </c>
      <c r="H4" s="21">
        <f>IF(AND(OR(D4="retain",D4=""),E4="statistical_results"),"","not_applicable")</f>
        <v/>
      </c>
      <c r="I4" s="21">
        <f>IF(AND(OR(D4="retain",D4=""),E4="statistical_results"),"","not_applicable")</f>
        <v/>
      </c>
      <c r="J4" s="22">
        <f>IF(AND(OR(D4="retain",D4=""),E4="statistical_results"),"","not_applicable")</f>
        <v/>
      </c>
      <c r="K4" s="21">
        <f>IF(AND(OR(D4="retain",D4=""),OR(E4="report_internal_inconsistency",E4="plan_material")),"","not_applicable")</f>
        <v/>
      </c>
      <c r="L4" s="22">
        <f>IF(AND(OR(D4="retain",D4=""),E4="protocol_report"),"","not_applicable")</f>
        <v/>
      </c>
      <c r="M4" s="20" t="n"/>
      <c r="N4" s="23" t="n"/>
      <c r="O4" s="23" t="n"/>
      <c r="P4" s="23" t="n"/>
      <c r="Q4" s="23" t="n"/>
      <c r="R4" s="22" t="n"/>
    </row>
    <row r="5" ht="92" customFormat="1" customHeight="1" s="14">
      <c r="A5" s="24" t="inlineStr">
        <is>
          <t>2018::jama.2018.8802::C004</t>
        </is>
      </c>
      <c r="B5" s="24" t="inlineStr">
        <is>
          <t>eTable 4 AF-anticoagulation control percentage does not reproduce</t>
        </is>
      </c>
      <c r="C5" s="24" t="inlineStr">
        <is>
          <t>joi180070supp2_prod.pdf — PDF p. 8, eTable 4, Anticoagulation for Atrial Fibrillation, control cell.</t>
        </is>
      </c>
      <c r="D5" s="21" t="n"/>
      <c r="E5" s="21" t="inlineStr">
        <is>
          <t>statistical_results</t>
        </is>
      </c>
      <c r="F5" s="21" t="inlineStr">
        <is>
          <t>no</t>
        </is>
      </c>
      <c r="G5" s="24">
        <f>IFERROR(IF(LEN(TRIM(CLEAN(SUBSTITUTE(Setup!$B$2,CHAR(160)," "))))=0,"CHECK REVIEWER ID",IF(OR(A5="",COUNTIF($A$2:$A$9,A5)&lt;&gt;1,LEFT(A5,LEN("2018::jama.2018.8802::"))&lt;&gt;"2018::jama.2018.8802::"),"CHECK KEY",IF(OR(AND(NOT(AND(D5="retain",E5="statistical_results")),H5&lt;&gt;"",NOT(EXACT(H5,"not_applicable"))),AND(NOT(AND(D5="retain",E5="statistical_results")),I5&lt;&gt;"",NOT(EXACT(I5,"not_applicable"))),AND(NOT(AND(D5="retain",E5="statistical_results")),J5&lt;&gt;"",NOT(EXACT(J5,"not_applicable"))),AND(NOT(AND(D5="retain",OR(E5="report_internal_inconsistency",E5="plan_material"))),K5&lt;&gt;"",NOT(EXACT(K5,"not_applicable"))),AND(NOT(AND(D5="retain",E5="protocol_report")),L5&lt;&gt;"",NOT(EXACT(L5,"not_applicable")))),"CLEAR INACTIVE VALUES",IF(OR(NOT(OR(EXACT(D5,"retain"),EXACT(D5,"exclude"),EXACT(D5,"discuss"))),NOT(OR(EXACT(E5,"statistical_results"),EXACT(E5,"report_internal_inconsistency"),EXACT(E5,"plan_material"),EXACT(E5,"protocol_report"))),AND(AND(D5="retain",E5="statistical_results"),NOT(OR(EXACT(H5,"confirmed_issue"),EXACT(H5,"probable_issue"),EXACT(H5,"not_issue"),EXACT(H5,"indeterminate")))),AND(AND(D5="retain",E5="statistical_results"),NOT(OR(EXACT(I5,"substantive"),EXACT(I5,"minor_presentation"),EXACT(I5,"indeterminate")))),AND(AND(D5="retain",E5="statistical_results"),J5&lt;&gt;"",NOT(OR(EXACT(J5,"direct"),EXACT(J5,"possible"),EXACT(J5,"unlikely"),EXACT(J5,"unknown")))),AND(AND(D5="retain",OR(E5="report_internal_inconsistency",E5="plan_material")),NOT(OR(EXACT(K5,"substantive_inconsistency"),EXACT(K5,"minor_presentation"),EXACT(K5,"non_inconsistency"),EXACT(K5,"indeterminate")))),AND(AND(D5="retain",E5="protocol_report"),L5&lt;&gt;"",NOT(OR(EXACT(L5,"substantive_difference"),EXACT(L5,"minor_presentation"),EXACT(L5,"version_timing"),EXACT(L5,"non_inconsistency"),EXACT(L5,"indeterminate"))))),"CHECK FIELDS",IF(AND(F5&lt;&gt;"",NOT(OR(EXACT(F5,"no"),EXACT(F5,"primary_done")))),"CHECK COMPLETE",IF(EXACT(F5,"primary_done"),"PRIMARY READY","PRIMARY DRAFT")))))),"CHECK INPUT / KEY")</f>
        <v/>
      </c>
      <c r="H5" s="21">
        <f>IF(AND(OR(D5="retain",D5=""),E5="statistical_results"),"","not_applicable")</f>
        <v/>
      </c>
      <c r="I5" s="21">
        <f>IF(AND(OR(D5="retain",D5=""),E5="statistical_results"),"","not_applicable")</f>
        <v/>
      </c>
      <c r="J5" s="22">
        <f>IF(AND(OR(D5="retain",D5=""),E5="statistical_results"),"","not_applicable")</f>
        <v/>
      </c>
      <c r="K5" s="21">
        <f>IF(AND(OR(D5="retain",D5=""),OR(E5="report_internal_inconsistency",E5="plan_material")),"","not_applicable")</f>
        <v/>
      </c>
      <c r="L5" s="22">
        <f>IF(AND(OR(D5="retain",D5=""),E5="protocol_report"),"","not_applicable")</f>
        <v/>
      </c>
      <c r="M5" s="24" t="n"/>
      <c r="N5" s="23" t="n"/>
      <c r="O5" s="23" t="n"/>
      <c r="P5" s="23" t="n"/>
      <c r="Q5" s="23" t="n"/>
      <c r="R5" s="22" t="n"/>
    </row>
    <row r="6" ht="92" customFormat="1" customHeight="1" s="14">
      <c r="A6" s="20" t="inlineStr">
        <is>
          <t>2018::jama.2018.8802::C005</t>
        </is>
      </c>
      <c r="B6" s="20" t="inlineStr">
        <is>
          <t>eTable 4 lipid-lowering control percentage does not reproduce</t>
        </is>
      </c>
      <c r="C6" s="20" t="inlineStr">
        <is>
          <t>joi180070supp2_prod.pdf — PDF p. 8, eTable 4, Lipid-lowering for LDL &gt;100 mg/dL, control cell.</t>
        </is>
      </c>
      <c r="D6" s="21" t="n"/>
      <c r="E6" s="21" t="inlineStr">
        <is>
          <t>statistical_results</t>
        </is>
      </c>
      <c r="F6" s="21" t="inlineStr">
        <is>
          <t>no</t>
        </is>
      </c>
      <c r="G6" s="20">
        <f>IFERROR(IF(LEN(TRIM(CLEAN(SUBSTITUTE(Setup!$B$2,CHAR(160)," "))))=0,"CHECK REVIEWER ID",IF(OR(A6="",COUNTIF($A$2:$A$9,A6)&lt;&gt;1,LEFT(A6,LEN("2018::jama.2018.8802::"))&lt;&gt;"2018::jama.2018.8802::"),"CHECK KEY",IF(OR(AND(NOT(AND(D6="retain",E6="statistical_results")),H6&lt;&gt;"",NOT(EXACT(H6,"not_applicable"))),AND(NOT(AND(D6="retain",E6="statistical_results")),I6&lt;&gt;"",NOT(EXACT(I6,"not_applicable"))),AND(NOT(AND(D6="retain",E6="statistical_results")),J6&lt;&gt;"",NOT(EXACT(J6,"not_applicable"))),AND(NOT(AND(D6="retain",OR(E6="report_internal_inconsistency",E6="plan_material"))),K6&lt;&gt;"",NOT(EXACT(K6,"not_applicable"))),AND(NOT(AND(D6="retain",E6="protocol_report")),L6&lt;&gt;"",NOT(EXACT(L6,"not_applicable")))),"CLEAR INACTIVE VALUES",IF(OR(NOT(OR(EXACT(D6,"retain"),EXACT(D6,"exclude"),EXACT(D6,"discuss"))),NOT(OR(EXACT(E6,"statistical_results"),EXACT(E6,"report_internal_inconsistency"),EXACT(E6,"plan_material"),EXACT(E6,"protocol_report"))),AND(AND(D6="retain",E6="statistical_results"),NOT(OR(EXACT(H6,"confirmed_issue"),EXACT(H6,"probable_issue"),EXACT(H6,"not_issue"),EXACT(H6,"indeterminate")))),AND(AND(D6="retain",E6="statistical_results"),NOT(OR(EXACT(I6,"substantive"),EXACT(I6,"minor_presentation"),EXACT(I6,"indeterminate")))),AND(AND(D6="retain",E6="statistical_results"),J6&lt;&gt;"",NOT(OR(EXACT(J6,"direct"),EXACT(J6,"possible"),EXACT(J6,"unlikely"),EXACT(J6,"unknown")))),AND(AND(D6="retain",OR(E6="report_internal_inconsistency",E6="plan_material")),NOT(OR(EXACT(K6,"substantive_inconsistency"),EXACT(K6,"minor_presentation"),EXACT(K6,"non_inconsistency"),EXACT(K6,"indeterminate")))),AND(AND(D6="retain",E6="protocol_report"),L6&lt;&gt;"",NOT(OR(EXACT(L6,"substantive_difference"),EXACT(L6,"minor_presentation"),EXACT(L6,"version_timing"),EXACT(L6,"non_inconsistency"),EXACT(L6,"indeterminate"))))),"CHECK FIELDS",IF(AND(F6&lt;&gt;"",NOT(OR(EXACT(F6,"no"),EXACT(F6,"primary_done")))),"CHECK COMPLETE",IF(EXACT(F6,"primary_done"),"PRIMARY READY","PRIMARY DRAFT")))))),"CHECK INPUT / KEY")</f>
        <v/>
      </c>
      <c r="H6" s="21">
        <f>IF(AND(OR(D6="retain",D6=""),E6="statistical_results"),"","not_applicable")</f>
        <v/>
      </c>
      <c r="I6" s="21">
        <f>IF(AND(OR(D6="retain",D6=""),E6="statistical_results"),"","not_applicable")</f>
        <v/>
      </c>
      <c r="J6" s="22">
        <f>IF(AND(OR(D6="retain",D6=""),E6="statistical_results"),"","not_applicable")</f>
        <v/>
      </c>
      <c r="K6" s="21">
        <f>IF(AND(OR(D6="retain",D6=""),OR(E6="report_internal_inconsistency",E6="plan_material")),"","not_applicable")</f>
        <v/>
      </c>
      <c r="L6" s="22">
        <f>IF(AND(OR(D6="retain",D6=""),E6="protocol_report"),"","not_applicable")</f>
        <v/>
      </c>
      <c r="M6" s="20" t="n"/>
      <c r="N6" s="23" t="n"/>
      <c r="O6" s="23" t="n"/>
      <c r="P6" s="23" t="n"/>
      <c r="Q6" s="23" t="n"/>
      <c r="R6" s="22" t="n"/>
    </row>
    <row r="7" ht="92" customFormat="1" customHeight="1" s="14">
      <c r="A7" s="24" t="inlineStr">
        <is>
          <t>2018::jama.2018.8802::C006</t>
        </is>
      </c>
      <c r="B7" s="24" t="inlineStr">
        <is>
          <t>eTable 4 antidiabetic-medication control percentage does not reproduce</t>
        </is>
      </c>
      <c r="C7" s="24" t="inlineStr">
        <is>
          <t>joi180070supp2_prod.pdf — PDF p. 8, eTable 4, Antidiabetic Medication, control cell.</t>
        </is>
      </c>
      <c r="D7" s="21" t="n"/>
      <c r="E7" s="21" t="inlineStr">
        <is>
          <t>statistical_results</t>
        </is>
      </c>
      <c r="F7" s="21" t="inlineStr">
        <is>
          <t>no</t>
        </is>
      </c>
      <c r="G7" s="24">
        <f>IFERROR(IF(LEN(TRIM(CLEAN(SUBSTITUTE(Setup!$B$2,CHAR(160)," "))))=0,"CHECK REVIEWER ID",IF(OR(A7="",COUNTIF($A$2:$A$9,A7)&lt;&gt;1,LEFT(A7,LEN("2018::jama.2018.8802::"))&lt;&gt;"2018::jama.2018.8802::"),"CHECK KEY",IF(OR(AND(NOT(AND(D7="retain",E7="statistical_results")),H7&lt;&gt;"",NOT(EXACT(H7,"not_applicable"))),AND(NOT(AND(D7="retain",E7="statistical_results")),I7&lt;&gt;"",NOT(EXACT(I7,"not_applicable"))),AND(NOT(AND(D7="retain",E7="statistical_results")),J7&lt;&gt;"",NOT(EXACT(J7,"not_applicable"))),AND(NOT(AND(D7="retain",OR(E7="report_internal_inconsistency",E7="plan_material"))),K7&lt;&gt;"",NOT(EXACT(K7,"not_applicable"))),AND(NOT(AND(D7="retain",E7="protocol_report")),L7&lt;&gt;"",NOT(EXACT(L7,"not_applicable")))),"CLEAR INACTIVE VALUES",IF(OR(NOT(OR(EXACT(D7,"retain"),EXACT(D7,"exclude"),EXACT(D7,"discuss"))),NOT(OR(EXACT(E7,"statistical_results"),EXACT(E7,"report_internal_inconsistency"),EXACT(E7,"plan_material"),EXACT(E7,"protocol_report"))),AND(AND(D7="retain",E7="statistical_results"),NOT(OR(EXACT(H7,"confirmed_issue"),EXACT(H7,"probable_issue"),EXACT(H7,"not_issue"),EXACT(H7,"indeterminate")))),AND(AND(D7="retain",E7="statistical_results"),NOT(OR(EXACT(I7,"substantive"),EXACT(I7,"minor_presentation"),EXACT(I7,"indeterminate")))),AND(AND(D7="retain",E7="statistical_results"),J7&lt;&gt;"",NOT(OR(EXACT(J7,"direct"),EXACT(J7,"possible"),EXACT(J7,"unlikely"),EXACT(J7,"unknown")))),AND(AND(D7="retain",OR(E7="report_internal_inconsistency",E7="plan_material")),NOT(OR(EXACT(K7,"substantive_inconsistency"),EXACT(K7,"minor_presentation"),EXACT(K7,"non_inconsistency"),EXACT(K7,"indeterminate")))),AND(AND(D7="retain",E7="protocol_report"),L7&lt;&gt;"",NOT(OR(EXACT(L7,"substantive_difference"),EXACT(L7,"minor_presentation"),EXACT(L7,"version_timing"),EXACT(L7,"non_inconsistency"),EXACT(L7,"indeterminate"))))),"CHECK FIELDS",IF(AND(F7&lt;&gt;"",NOT(OR(EXACT(F7,"no"),EXACT(F7,"primary_done")))),"CHECK COMPLETE",IF(EXACT(F7,"primary_done"),"PRIMARY READY","PRIMARY DRAFT")))))),"CHECK INPUT / KEY")</f>
        <v/>
      </c>
      <c r="H7" s="21">
        <f>IF(AND(OR(D7="retain",D7=""),E7="statistical_results"),"","not_applicable")</f>
        <v/>
      </c>
      <c r="I7" s="21">
        <f>IF(AND(OR(D7="retain",D7=""),E7="statistical_results"),"","not_applicable")</f>
        <v/>
      </c>
      <c r="J7" s="22">
        <f>IF(AND(OR(D7="retain",D7=""),E7="statistical_results"),"","not_applicable")</f>
        <v/>
      </c>
      <c r="K7" s="21">
        <f>IF(AND(OR(D7="retain",D7=""),OR(E7="report_internal_inconsistency",E7="plan_material")),"","not_applicable")</f>
        <v/>
      </c>
      <c r="L7" s="22">
        <f>IF(AND(OR(D7="retain",D7=""),E7="protocol_report"),"","not_applicable")</f>
        <v/>
      </c>
      <c r="M7" s="24" t="n"/>
      <c r="N7" s="23" t="n"/>
      <c r="O7" s="23" t="n"/>
      <c r="P7" s="23" t="n"/>
      <c r="Q7" s="23" t="n"/>
      <c r="R7" s="22" t="n"/>
    </row>
    <row r="8" ht="92" customFormat="1" customHeight="1" s="14">
      <c r="A8" s="20" t="inlineStr">
        <is>
          <t>2018::jama.2018.8802::C007</t>
        </is>
      </c>
      <c r="B8" s="20" t="inlineStr">
        <is>
          <t>baseline-survey patient total does not reconcile with stated per-cluster inclusion</t>
        </is>
      </c>
      <c r="C8" s="20" t="inlineStr">
        <is>
          <t>jama_wang_2018_oi_180070.pdf — PDF p. 6, Table 1 baseline-survey Hospitals, No. = 40 and Patients, No. = 801; joi180070supp2_prod.pdf — PDF p. 2, eAppendix baseline-survey statement; jama_wang_2018_oi_180070.pdf — PDF p. 5, Figure 1; joi180070supp1_prod.pdf — PDF p. 4 and PDF p. 7, 40-cluster statements.</t>
        </is>
      </c>
      <c r="D8" s="21" t="n"/>
      <c r="E8" s="21" t="inlineStr">
        <is>
          <t>report_internal_inconsistency</t>
        </is>
      </c>
      <c r="F8" s="21" t="inlineStr">
        <is>
          <t>no</t>
        </is>
      </c>
      <c r="G8" s="20">
        <f>IFERROR(IF(LEN(TRIM(CLEAN(SUBSTITUTE(Setup!$B$2,CHAR(160)," "))))=0,"CHECK REVIEWER ID",IF(OR(A8="",COUNTIF($A$2:$A$9,A8)&lt;&gt;1,LEFT(A8,LEN("2018::jama.2018.8802::"))&lt;&gt;"2018::jama.2018.8802::"),"CHECK KEY",IF(OR(AND(NOT(AND(D8="retain",E8="statistical_results")),H8&lt;&gt;"",NOT(EXACT(H8,"not_applicable"))),AND(NOT(AND(D8="retain",E8="statistical_results")),I8&lt;&gt;"",NOT(EXACT(I8,"not_applicable"))),AND(NOT(AND(D8="retain",E8="statistical_results")),J8&lt;&gt;"",NOT(EXACT(J8,"not_applicable"))),AND(NOT(AND(D8="retain",OR(E8="report_internal_inconsistency",E8="plan_material"))),K8&lt;&gt;"",NOT(EXACT(K8,"not_applicable"))),AND(NOT(AND(D8="retain",E8="protocol_report")),L8&lt;&gt;"",NOT(EXACT(L8,"not_applicable")))),"CLEAR INACTIVE VALUES",IF(OR(NOT(OR(EXACT(D8,"retain"),EXACT(D8,"exclude"),EXACT(D8,"discuss"))),NOT(OR(EXACT(E8,"statistical_results"),EXACT(E8,"report_internal_inconsistency"),EXACT(E8,"plan_material"),EXACT(E8,"protocol_report"))),AND(AND(D8="retain",E8="statistical_results"),NOT(OR(EXACT(H8,"confirmed_issue"),EXACT(H8,"probable_issue"),EXACT(H8,"not_issue"),EXACT(H8,"indeterminate")))),AND(AND(D8="retain",E8="statistical_results"),NOT(OR(EXACT(I8,"substantive"),EXACT(I8,"minor_presentation"),EXACT(I8,"indeterminate")))),AND(AND(D8="retain",E8="statistical_results"),J8&lt;&gt;"",NOT(OR(EXACT(J8,"direct"),EXACT(J8,"possible"),EXACT(J8,"unlikely"),EXACT(J8,"unknown")))),AND(AND(D8="retain",OR(E8="report_internal_inconsistency",E8="plan_material")),NOT(OR(EXACT(K8,"substantive_inconsistency"),EXACT(K8,"minor_presentation"),EXACT(K8,"non_inconsistency"),EXACT(K8,"indeterminate")))),AND(AND(D8="retain",E8="protocol_report"),L8&lt;&gt;"",NOT(OR(EXACT(L8,"substantive_difference"),EXACT(L8,"minor_presentation"),EXACT(L8,"version_timing"),EXACT(L8,"non_inconsistency"),EXACT(L8,"indeterminate"))))),"CHECK FIELDS",IF(AND(F8&lt;&gt;"",NOT(OR(EXACT(F8,"no"),EXACT(F8,"primary_done")))),"CHECK COMPLETE",IF(EXACT(F8,"primary_done"),"PRIMARY READY","PRIMARY DRAFT")))))),"CHECK INPUT / KEY")</f>
        <v/>
      </c>
      <c r="H8" s="21">
        <f>IF(AND(OR(D8="retain",D8=""),E8="statistical_results"),"","not_applicable")</f>
        <v/>
      </c>
      <c r="I8" s="21">
        <f>IF(AND(OR(D8="retain",D8=""),E8="statistical_results"),"","not_applicable")</f>
        <v/>
      </c>
      <c r="J8" s="22">
        <f>IF(AND(OR(D8="retain",D8=""),E8="statistical_results"),"","not_applicable")</f>
        <v/>
      </c>
      <c r="K8" s="21">
        <f>IF(AND(OR(D8="retain",D8=""),OR(E8="report_internal_inconsistency",E8="plan_material")),"","not_applicable")</f>
        <v/>
      </c>
      <c r="L8" s="22">
        <f>IF(AND(OR(D8="retain",D8=""),E8="protocol_report"),"","not_applicable")</f>
        <v/>
      </c>
      <c r="M8" s="20" t="n"/>
      <c r="N8" s="23" t="n"/>
      <c r="O8" s="23" t="n"/>
      <c r="P8" s="23" t="n"/>
      <c r="Q8" s="23" t="n"/>
      <c r="R8" s="22" t="n"/>
    </row>
    <row r="9" ht="92" customFormat="1" customHeight="1" s="14">
      <c r="A9" s="24" t="inlineStr">
        <is>
          <t>2018::jama.2018.8802::C008</t>
        </is>
      </c>
      <c r="B9" s="24" t="inlineStr">
        <is>
          <t>in-hospital death absolute-difference CI and P value do not reconcile</t>
        </is>
      </c>
      <c r="C9" s="24" t="inlineStr">
        <is>
          <t>jama_wang_2018_oi_180070.pdf — PDF p. 8, Table 3 Death / In hospital row, absolute-difference and adjacent P-value columns; jama_wang_2018_oi_180070.pdf — PDF p. 4, data-analysis statements.</t>
        </is>
      </c>
      <c r="D9" s="21" t="n"/>
      <c r="E9" s="21" t="inlineStr">
        <is>
          <t>statistical_results</t>
        </is>
      </c>
      <c r="F9" s="21" t="inlineStr">
        <is>
          <t>no</t>
        </is>
      </c>
      <c r="G9" s="24">
        <f>IFERROR(IF(LEN(TRIM(CLEAN(SUBSTITUTE(Setup!$B$2,CHAR(160)," "))))=0,"CHECK REVIEWER ID",IF(OR(A9="",COUNTIF($A$2:$A$9,A9)&lt;&gt;1,LEFT(A9,LEN("2018::jama.2018.8802::"))&lt;&gt;"2018::jama.2018.8802::"),"CHECK KEY",IF(OR(AND(NOT(AND(D9="retain",E9="statistical_results")),H9&lt;&gt;"",NOT(EXACT(H9,"not_applicable"))),AND(NOT(AND(D9="retain",E9="statistical_results")),I9&lt;&gt;"",NOT(EXACT(I9,"not_applicable"))),AND(NOT(AND(D9="retain",E9="statistical_results")),J9&lt;&gt;"",NOT(EXACT(J9,"not_applicable"))),AND(NOT(AND(D9="retain",OR(E9="report_internal_inconsistency",E9="plan_material"))),K9&lt;&gt;"",NOT(EXACT(K9,"not_applicable"))),AND(NOT(AND(D9="retain",E9="protocol_report")),L9&lt;&gt;"",NOT(EXACT(L9,"not_applicable")))),"CLEAR INACTIVE VALUES",IF(OR(NOT(OR(EXACT(D9,"retain"),EXACT(D9,"exclude"),EXACT(D9,"discuss"))),NOT(OR(EXACT(E9,"statistical_results"),EXACT(E9,"report_internal_inconsistency"),EXACT(E9,"plan_material"),EXACT(E9,"protocol_report"))),AND(AND(D9="retain",E9="statistical_results"),NOT(OR(EXACT(H9,"confirmed_issue"),EXACT(H9,"probable_issue"),EXACT(H9,"not_issue"),EXACT(H9,"indeterminate")))),AND(AND(D9="retain",E9="statistical_results"),NOT(OR(EXACT(I9,"substantive"),EXACT(I9,"minor_presentation"),EXACT(I9,"indeterminate")))),AND(AND(D9="retain",E9="statistical_results"),J9&lt;&gt;"",NOT(OR(EXACT(J9,"direct"),EXACT(J9,"possible"),EXACT(J9,"unlikely"),EXACT(J9,"unknown")))),AND(AND(D9="retain",OR(E9="report_internal_inconsistency",E9="plan_material")),NOT(OR(EXACT(K9,"substantive_inconsistency"),EXACT(K9,"minor_presentation"),EXACT(K9,"non_inconsistency"),EXACT(K9,"indeterminate")))),AND(AND(D9="retain",E9="protocol_report"),L9&lt;&gt;"",NOT(OR(EXACT(L9,"substantive_difference"),EXACT(L9,"minor_presentation"),EXACT(L9,"version_timing"),EXACT(L9,"non_inconsistency"),EXACT(L9,"indeterminate"))))),"CHECK FIELDS",IF(AND(F9&lt;&gt;"",NOT(OR(EXACT(F9,"no"),EXACT(F9,"primary_done")))),"CHECK COMPLETE",IF(EXACT(F9,"primary_done"),"PRIMARY READY","PRIMARY DRAFT")))))),"CHECK INPUT / KEY")</f>
        <v/>
      </c>
      <c r="H9" s="21">
        <f>IF(AND(OR(D9="retain",D9=""),E9="statistical_results"),"","not_applicable")</f>
        <v/>
      </c>
      <c r="I9" s="21">
        <f>IF(AND(OR(D9="retain",D9=""),E9="statistical_results"),"","not_applicable")</f>
        <v/>
      </c>
      <c r="J9" s="22">
        <f>IF(AND(OR(D9="retain",D9=""),E9="statistical_results"),"","not_applicable")</f>
        <v/>
      </c>
      <c r="K9" s="21">
        <f>IF(AND(OR(D9="retain",D9=""),OR(E9="report_internal_inconsistency",E9="plan_material")),"","not_applicable")</f>
        <v/>
      </c>
      <c r="L9" s="22">
        <f>IF(AND(OR(D9="retain",D9=""),E9="protocol_report"),"","not_applicable")</f>
        <v/>
      </c>
      <c r="M9" s="24" t="n"/>
      <c r="N9" s="23" t="n"/>
      <c r="O9" s="23" t="n"/>
      <c r="P9" s="23" t="n"/>
      <c r="Q9" s="23" t="n"/>
      <c r="R9" s="22" t="n"/>
    </row>
  </sheetData>
  <autoFilter ref="A1:R9"/>
  <conditionalFormatting sqref="H2:H9">
    <cfRule type="expression" priority="8" dxfId="70">
      <formula>NOT(AND(OR($D2="retain",$D2=""),$E2="statistical_results"))</formula>
    </cfRule>
  </conditionalFormatting>
  <conditionalFormatting sqref="I2:I9">
    <cfRule type="expression" priority="9" dxfId="70">
      <formula>NOT(AND(OR($D2="retain",$D2=""),$E2="statistical_results"))</formula>
    </cfRule>
  </conditionalFormatting>
  <conditionalFormatting sqref="J2:J9">
    <cfRule type="expression" priority="10" dxfId="70">
      <formula>NOT(AND(OR($D2="retain",$D2=""),$E2="statistical_results"))</formula>
    </cfRule>
  </conditionalFormatting>
  <conditionalFormatting sqref="K2:K9">
    <cfRule type="expression" priority="11" dxfId="70">
      <formula>NOT(AND(OR($D2="retain",$D2=""),OR($E2="report_internal_inconsistency",$E2="plan_material")))</formula>
    </cfRule>
  </conditionalFormatting>
  <conditionalFormatting sqref="L2:L9">
    <cfRule type="expression" priority="12" dxfId="70">
      <formula>NOT(AND(OR($D2="retain",$D2=""),$E2="protocol_report"))</formula>
    </cfRule>
  </conditionalFormatting>
  <conditionalFormatting sqref="G2:G9">
    <cfRule type="expression" priority="13" dxfId="71">
      <formula>G2&lt;&gt;"PRIMARY READY"</formula>
    </cfRule>
  </conditionalFormatting>
  <dataValidations count="8">
    <dataValidation sqref="D2:D9" showDropDown="0" showInputMessage="0" showErrorMessage="1" allowBlank="1" errorTitle="Use a listed option" error="Choose an option; G also checks pasted entries." type="list" errorStyle="stop">
      <formula1>"retain,exclude,discuss"</formula1>
    </dataValidation>
    <dataValidation sqref="E2:E9" showDropDown="0" showInputMessage="0" showErrorMessage="1" allowBlank="1" errorTitle="Use a listed option" error="Choose an option; G also checks pasted entries." type="list" errorStyle="stop">
      <formula1>"statistical_results,report_internal_inconsistency,plan_material,protocol_report"</formula1>
    </dataValidation>
    <dataValidation sqref="F2:F9" showDropDown="0" showInputMessage="0" showErrorMessage="1" allowBlank="1" errorTitle="Use a listed option" error="Choose an option; G also checks pasted entries." type="list" errorStyle="stop">
      <formula1>"no,primary_done"</formula1>
    </dataValidation>
    <dataValidation sqref="H2:H9" showDropDown="0" showInputMessage="0" showErrorMessage="1" allowBlank="1" errorTitle="Use a listed option" error="Choose an option; G also checks pasted entries." type="list" errorStyle="stop">
      <formula1>"confirmed_issue,probable_issue,not_issue,indeterminate,not_applicable"</formula1>
    </dataValidation>
    <dataValidation sqref="I2:I9" showDropDown="0" showInputMessage="0" showErrorMessage="1" allowBlank="1" errorTitle="Use a listed option" error="Choose an option; G also checks pasted entries." type="list" errorStyle="stop">
      <formula1>"substantive,minor_presentation,indeterminate,not_applicable"</formula1>
    </dataValidation>
    <dataValidation sqref="J2:J9" showDropDown="0" showInputMessage="0" showErrorMessage="1" allowBlank="1" errorTitle="Use a listed option" error="Choose an option; G also checks pasted entries." type="list" errorStyle="stop">
      <formula1>"direct,possible,unlikely,unknown,not_applicable"</formula1>
    </dataValidation>
    <dataValidation sqref="K2:K9" showDropDown="0" showInputMessage="0" showErrorMessage="1" allowBlank="1" errorTitle="Use a listed option" error="Choose an option; G also checks pasted entries." type="list" errorStyle="stop">
      <formula1>"substantive_inconsistency,minor_presentation,non_inconsistency,indeterminate,not_applicable"</formula1>
    </dataValidation>
    <dataValidation sqref="L2:L9" showDropDown="0" showInputMessage="0" showErrorMessage="1" allowBlank="1" errorTitle="Use a listed option" error="Choose an option; G also checks pasted entries." type="list" errorStyle="stop">
      <formula1>"substantive_difference,minor_presentation,version_timing,non_inconsistency,indeterminate,not_applicable"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R14"/>
  <sheetViews>
    <sheetView showGridLines="0" tabSelected="0" workbookViewId="0">
      <pane xSplit="1" ySplit="1" topLeftCell="B2" activePane="bottomRight" state="frozen"/>
      <selection activeCell="A1" sqref="A1"/>
    </sheetView>
  </sheetViews>
  <sheetFormatPr baseColWidth="8" defaultRowHeight="15"/>
  <cols>
    <col width="22" customWidth="1" style="14" min="1" max="1"/>
    <col width="28" customWidth="1" style="14" min="2" max="2"/>
    <col width="22" customWidth="1" style="14" min="3" max="3"/>
    <col width="20" customWidth="1" style="14" min="4" max="4"/>
    <col width="35" customWidth="1" style="14" min="5" max="5"/>
    <col width="17" customWidth="1" style="14" min="6" max="6"/>
    <col width="29" customWidth="1" style="14" min="7" max="7"/>
    <col width="28" customWidth="1" style="14" min="8" max="8"/>
    <col width="20" customWidth="1" style="14" min="9" max="9"/>
    <col width="20" customWidth="1" style="14" min="10" max="10"/>
    <col width="34" customWidth="1" style="14" min="11" max="11"/>
    <col width="26" customWidth="1" style="14" min="12" max="12"/>
    <col hidden="1" width="3" customWidth="1" style="14" min="13" max="13"/>
    <col hidden="1" width="3" customWidth="1" style="14" min="14" max="14"/>
    <col hidden="1" width="3" customWidth="1" style="14" min="15" max="15"/>
    <col hidden="1" width="3" customWidth="1" style="14" min="16" max="16"/>
    <col hidden="1" width="3" customWidth="1" style="14" min="17" max="17"/>
    <col width="32" customWidth="1" style="14" min="18" max="18"/>
  </cols>
  <sheetData>
    <row r="1" ht="70" customFormat="1" customHeight="1" s="14">
      <c r="A1" s="19" t="inlineStr">
        <is>
          <t>Candidate key</t>
        </is>
      </c>
      <c r="B1" s="19" t="inlineStr">
        <is>
          <t>Candidate title</t>
        </is>
      </c>
      <c r="C1" s="19" t="inlineStr">
        <is>
          <t>Source location</t>
        </is>
      </c>
      <c r="D1" s="19" t="inlineStr">
        <is>
          <t>Disposition</t>
        </is>
      </c>
      <c r="E1" s="19" t="inlineStr">
        <is>
          <t>Review domain (AI suggestion; editable)</t>
        </is>
      </c>
      <c r="F1" s="19" t="inlineStr">
        <is>
          <t>Complete</t>
        </is>
      </c>
      <c r="G1" s="19" t="inlineStr">
        <is>
          <t>Validation hint</t>
        </is>
      </c>
      <c r="H1" s="19" t="inlineStr">
        <is>
          <t>Statistcal_or_numerical issue</t>
        </is>
      </c>
      <c r="I1" s="19" t="inlineStr">
        <is>
          <t>Substantiveness</t>
        </is>
      </c>
      <c r="J1" s="19" t="inlineStr">
        <is>
          <t>Downstream impact</t>
        </is>
      </c>
      <c r="K1" s="19" t="inlineStr">
        <is>
          <t>Report-internal or planning-material inconsistency</t>
        </is>
      </c>
      <c r="L1" s="19" t="inlineStr">
        <is>
          <t>Protocol interpretation</t>
        </is>
      </c>
      <c r="M1" s="19" t="n"/>
      <c r="N1" s="19" t="n"/>
      <c r="O1" s="19" t="n"/>
      <c r="P1" s="19" t="n"/>
      <c r="Q1" s="19" t="n"/>
      <c r="R1" s="19" t="inlineStr">
        <is>
          <t>Notes (optional)</t>
        </is>
      </c>
    </row>
    <row r="2" ht="92" customFormat="1" customHeight="1" s="14">
      <c r="A2" s="20" t="inlineStr">
        <is>
          <t>2018::jama.2018.9128::C001</t>
        </is>
      </c>
      <c r="B2" s="20" t="inlineStr">
        <is>
          <t>Intervention 3-month BMI-observation count differs across result displays</t>
        </is>
      </c>
      <c r="C2" s="20" t="inlineStr">
        <is>
          <t>DOC-001 Figure 1 — PDF p. 3; DOC-001 Figure 2 — PDF p. 7; DOC-003 eTable 1 — PDF p. 2.</t>
        </is>
      </c>
      <c r="D2" s="21" t="n"/>
      <c r="E2" s="21" t="inlineStr">
        <is>
          <t>report_internal_inconsistency</t>
        </is>
      </c>
      <c r="F2" s="21" t="inlineStr">
        <is>
          <t>no</t>
        </is>
      </c>
      <c r="G2" s="20">
        <f>IFERROR(IF(LEN(TRIM(CLEAN(SUBSTITUTE(Setup!$B$2,CHAR(160)," "))))=0,"CHECK REVIEWER ID",IF(OR(A2="",COUNTIF($A$2:$A$14,A2)&lt;&gt;1,LEFT(A2,LEN("2018::jama.2018.9128::"))&lt;&gt;"2018::jama.2018.9128::"),"CHECK KEY",IF(OR(AND(NOT(AND(D2="retain",E2="statistical_results")),H2&lt;&gt;"",NOT(EXACT(H2,"not_applicable"))),AND(NOT(AND(D2="retain",E2="statistical_results")),I2&lt;&gt;"",NOT(EXACT(I2,"not_applicable"))),AND(NOT(AND(D2="retain",E2="statistical_results")),J2&lt;&gt;"",NOT(EXACT(J2,"not_applicable"))),AND(NOT(AND(D2="retain",OR(E2="report_internal_inconsistency",E2="plan_material"))),K2&lt;&gt;"",NOT(EXACT(K2,"not_applicable"))),AND(NOT(AND(D2="retain",E2="protocol_report")),L2&lt;&gt;"",NOT(EXACT(L2,"not_applicable")))),"CLEAR INACTIVE VALUES",IF(OR(NOT(OR(EXACT(D2,"retain"),EXACT(D2,"exclude"),EXACT(D2,"discuss"))),NOT(OR(EXACT(E2,"statistical_results"),EXACT(E2,"report_internal_inconsistency"),EXACT(E2,"plan_material"),EXACT(E2,"protocol_report"))),AND(AND(D2="retain",E2="statistical_results"),NOT(OR(EXACT(H2,"confirmed_issue"),EXACT(H2,"probable_issue"),EXACT(H2,"not_issue"),EXACT(H2,"indeterminate")))),AND(AND(D2="retain",E2="statistical_results"),NOT(OR(EXACT(I2,"substantive"),EXACT(I2,"minor_presentation"),EXACT(I2,"indeterminate")))),AND(AND(D2="retain",E2="statistical_results"),J2&lt;&gt;"",NOT(OR(EXACT(J2,"direct"),EXACT(J2,"possible"),EXACT(J2,"unlikely"),EXACT(J2,"unknown")))),AND(AND(D2="retain",OR(E2="report_internal_inconsistency",E2="plan_material")),NOT(OR(EXACT(K2,"substantive_inconsistency"),EXACT(K2,"minor_presentation"),EXACT(K2,"non_inconsistency"),EXACT(K2,"indeterminate")))),AND(AND(D2="retain",E2="protocol_report"),L2&lt;&gt;"",NOT(OR(EXACT(L2,"substantive_difference"),EXACT(L2,"minor_presentation"),EXACT(L2,"version_timing"),EXACT(L2,"non_inconsistency"),EXACT(L2,"indeterminate"))))),"CHECK FIELDS",IF(AND(F2&lt;&gt;"",NOT(OR(EXACT(F2,"no"),EXACT(F2,"primary_done")))),"CHECK COMPLETE",IF(EXACT(F2,"primary_done"),"PRIMARY READY","PRIMARY DRAFT")))))),"CHECK INPUT / KEY")</f>
        <v/>
      </c>
      <c r="H2" s="21">
        <f>IF(AND(OR(D2="retain",D2=""),E2="statistical_results"),"","not_applicable")</f>
        <v/>
      </c>
      <c r="I2" s="21">
        <f>IF(AND(OR(D2="retain",D2=""),E2="statistical_results"),"","not_applicable")</f>
        <v/>
      </c>
      <c r="J2" s="22">
        <f>IF(AND(OR(D2="retain",D2=""),E2="statistical_results"),"","not_applicable")</f>
        <v/>
      </c>
      <c r="K2" s="21">
        <f>IF(AND(OR(D2="retain",D2=""),OR(E2="report_internal_inconsistency",E2="plan_material")),"","not_applicable")</f>
        <v/>
      </c>
      <c r="L2" s="22">
        <f>IF(AND(OR(D2="retain",D2=""),E2="protocol_report"),"","not_applicable")</f>
        <v/>
      </c>
      <c r="M2" s="20" t="n"/>
      <c r="N2" s="23" t="n"/>
      <c r="O2" s="23" t="n"/>
      <c r="P2" s="23" t="n"/>
      <c r="Q2" s="23" t="n"/>
      <c r="R2" s="22" t="n"/>
    </row>
    <row r="3" ht="92" customFormat="1" customHeight="1" s="14">
      <c r="A3" s="24" t="inlineStr">
        <is>
          <t>2018::jama.2018.9128::C002</t>
        </is>
      </c>
      <c r="B3" s="24" t="inlineStr">
        <is>
          <t>Control 3-month BMI-observation count differs across result displays</t>
        </is>
      </c>
      <c r="C3" s="24" t="inlineStr">
        <is>
          <t>DOC-001 Figure 1 — PDF p. 3; DOC-001 Figure 2 — PDF p. 7; DOC-003 eTable 1 — PDF p. 2.</t>
        </is>
      </c>
      <c r="D3" s="21" t="n"/>
      <c r="E3" s="21" t="inlineStr">
        <is>
          <t>report_internal_inconsistency</t>
        </is>
      </c>
      <c r="F3" s="21" t="inlineStr">
        <is>
          <t>no</t>
        </is>
      </c>
      <c r="G3" s="24">
        <f>IFERROR(IF(LEN(TRIM(CLEAN(SUBSTITUTE(Setup!$B$2,CHAR(160)," "))))=0,"CHECK REVIEWER ID",IF(OR(A3="",COUNTIF($A$2:$A$14,A3)&lt;&gt;1,LEFT(A3,LEN("2018::jama.2018.9128::"))&lt;&gt;"2018::jama.2018.9128::"),"CHECK KEY",IF(OR(AND(NOT(AND(D3="retain",E3="statistical_results")),H3&lt;&gt;"",NOT(EXACT(H3,"not_applicable"))),AND(NOT(AND(D3="retain",E3="statistical_results")),I3&lt;&gt;"",NOT(EXACT(I3,"not_applicable"))),AND(NOT(AND(D3="retain",E3="statistical_results")),J3&lt;&gt;"",NOT(EXACT(J3,"not_applicable"))),AND(NOT(AND(D3="retain",OR(E3="report_internal_inconsistency",E3="plan_material"))),K3&lt;&gt;"",NOT(EXACT(K3,"not_applicable"))),AND(NOT(AND(D3="retain",E3="protocol_report")),L3&lt;&gt;"",NOT(EXACT(L3,"not_applicable")))),"CLEAR INACTIVE VALUES",IF(OR(NOT(OR(EXACT(D3,"retain"),EXACT(D3,"exclude"),EXACT(D3,"discuss"))),NOT(OR(EXACT(E3,"statistical_results"),EXACT(E3,"report_internal_inconsistency"),EXACT(E3,"plan_material"),EXACT(E3,"protocol_report"))),AND(AND(D3="retain",E3="statistical_results"),NOT(OR(EXACT(H3,"confirmed_issue"),EXACT(H3,"probable_issue"),EXACT(H3,"not_issue"),EXACT(H3,"indeterminate")))),AND(AND(D3="retain",E3="statistical_results"),NOT(OR(EXACT(I3,"substantive"),EXACT(I3,"minor_presentation"),EXACT(I3,"indeterminate")))),AND(AND(D3="retain",E3="statistical_results"),J3&lt;&gt;"",NOT(OR(EXACT(J3,"direct"),EXACT(J3,"possible"),EXACT(J3,"unlikely"),EXACT(J3,"unknown")))),AND(AND(D3="retain",OR(E3="report_internal_inconsistency",E3="plan_material")),NOT(OR(EXACT(K3,"substantive_inconsistency"),EXACT(K3,"minor_presentation"),EXACT(K3,"non_inconsistency"),EXACT(K3,"indeterminate")))),AND(AND(D3="retain",E3="protocol_report"),L3&lt;&gt;"",NOT(OR(EXACT(L3,"substantive_difference"),EXACT(L3,"minor_presentation"),EXACT(L3,"version_timing"),EXACT(L3,"non_inconsistency"),EXACT(L3,"indeterminate"))))),"CHECK FIELDS",IF(AND(F3&lt;&gt;"",NOT(OR(EXACT(F3,"no"),EXACT(F3,"primary_done")))),"CHECK COMPLETE",IF(EXACT(F3,"primary_done"),"PRIMARY READY","PRIMARY DRAFT")))))),"CHECK INPUT / KEY")</f>
        <v/>
      </c>
      <c r="H3" s="21">
        <f>IF(AND(OR(D3="retain",D3=""),E3="statistical_results"),"","not_applicable")</f>
        <v/>
      </c>
      <c r="I3" s="21">
        <f>IF(AND(OR(D3="retain",D3=""),E3="statistical_results"),"","not_applicable")</f>
        <v/>
      </c>
      <c r="J3" s="22">
        <f>IF(AND(OR(D3="retain",D3=""),E3="statistical_results"),"","not_applicable")</f>
        <v/>
      </c>
      <c r="K3" s="21">
        <f>IF(AND(OR(D3="retain",D3=""),OR(E3="report_internal_inconsistency",E3="plan_material")),"","not_applicable")</f>
        <v/>
      </c>
      <c r="L3" s="22">
        <f>IF(AND(OR(D3="retain",D3=""),E3="protocol_report"),"","not_applicable")</f>
        <v/>
      </c>
      <c r="M3" s="24" t="n"/>
      <c r="N3" s="23" t="n"/>
      <c r="O3" s="23" t="n"/>
      <c r="P3" s="23" t="n"/>
      <c r="Q3" s="23" t="n"/>
      <c r="R3" s="22" t="n"/>
    </row>
    <row r="4" ht="92" customFormat="1" customHeight="1" s="14">
      <c r="A4" s="20" t="inlineStr">
        <is>
          <t>2018::jama.2018.9128::C003</t>
        </is>
      </c>
      <c r="B4" s="20" t="inlineStr">
        <is>
          <t>Intervention 9-month BMI-observation count differs across result displays</t>
        </is>
      </c>
      <c r="C4" s="20" t="inlineStr">
        <is>
          <t>DOC-001 Figure 1 — PDF p. 3; DOC-001 Figure 2 — PDF p. 7; DOC-003 eTable 1 — PDF p. 2.</t>
        </is>
      </c>
      <c r="D4" s="21" t="n"/>
      <c r="E4" s="21" t="inlineStr">
        <is>
          <t>report_internal_inconsistency</t>
        </is>
      </c>
      <c r="F4" s="21" t="inlineStr">
        <is>
          <t>no</t>
        </is>
      </c>
      <c r="G4" s="20">
        <f>IFERROR(IF(LEN(TRIM(CLEAN(SUBSTITUTE(Setup!$B$2,CHAR(160)," "))))=0,"CHECK REVIEWER ID",IF(OR(A4="",COUNTIF($A$2:$A$14,A4)&lt;&gt;1,LEFT(A4,LEN("2018::jama.2018.9128::"))&lt;&gt;"2018::jama.2018.9128::"),"CHECK KEY",IF(OR(AND(NOT(AND(D4="retain",E4="statistical_results")),H4&lt;&gt;"",NOT(EXACT(H4,"not_applicable"))),AND(NOT(AND(D4="retain",E4="statistical_results")),I4&lt;&gt;"",NOT(EXACT(I4,"not_applicable"))),AND(NOT(AND(D4="retain",E4="statistical_results")),J4&lt;&gt;"",NOT(EXACT(J4,"not_applicable"))),AND(NOT(AND(D4="retain",OR(E4="report_internal_inconsistency",E4="plan_material"))),K4&lt;&gt;"",NOT(EXACT(K4,"not_applicable"))),AND(NOT(AND(D4="retain",E4="protocol_report")),L4&lt;&gt;"",NOT(EXACT(L4,"not_applicable")))),"CLEAR INACTIVE VALUES",IF(OR(NOT(OR(EXACT(D4,"retain"),EXACT(D4,"exclude"),EXACT(D4,"discuss"))),NOT(OR(EXACT(E4,"statistical_results"),EXACT(E4,"report_internal_inconsistency"),EXACT(E4,"plan_material"),EXACT(E4,"protocol_report"))),AND(AND(D4="retain",E4="statistical_results"),NOT(OR(EXACT(H4,"confirmed_issue"),EXACT(H4,"probable_issue"),EXACT(H4,"not_issue"),EXACT(H4,"indeterminate")))),AND(AND(D4="retain",E4="statistical_results"),NOT(OR(EXACT(I4,"substantive"),EXACT(I4,"minor_presentation"),EXACT(I4,"indeterminate")))),AND(AND(D4="retain",E4="statistical_results"),J4&lt;&gt;"",NOT(OR(EXACT(J4,"direct"),EXACT(J4,"possible"),EXACT(J4,"unlikely"),EXACT(J4,"unknown")))),AND(AND(D4="retain",OR(E4="report_internal_inconsistency",E4="plan_material")),NOT(OR(EXACT(K4,"substantive_inconsistency"),EXACT(K4,"minor_presentation"),EXACT(K4,"non_inconsistency"),EXACT(K4,"indeterminate")))),AND(AND(D4="retain",E4="protocol_report"),L4&lt;&gt;"",NOT(OR(EXACT(L4,"substantive_difference"),EXACT(L4,"minor_presentation"),EXACT(L4,"version_timing"),EXACT(L4,"non_inconsistency"),EXACT(L4,"indeterminate"))))),"CHECK FIELDS",IF(AND(F4&lt;&gt;"",NOT(OR(EXACT(F4,"no"),EXACT(F4,"primary_done")))),"CHECK COMPLETE",IF(EXACT(F4,"primary_done"),"PRIMARY READY","PRIMARY DRAFT")))))),"CHECK INPUT / KEY")</f>
        <v/>
      </c>
      <c r="H4" s="21">
        <f>IF(AND(OR(D4="retain",D4=""),E4="statistical_results"),"","not_applicable")</f>
        <v/>
      </c>
      <c r="I4" s="21">
        <f>IF(AND(OR(D4="retain",D4=""),E4="statistical_results"),"","not_applicable")</f>
        <v/>
      </c>
      <c r="J4" s="22">
        <f>IF(AND(OR(D4="retain",D4=""),E4="statistical_results"),"","not_applicable")</f>
        <v/>
      </c>
      <c r="K4" s="21">
        <f>IF(AND(OR(D4="retain",D4=""),OR(E4="report_internal_inconsistency",E4="plan_material")),"","not_applicable")</f>
        <v/>
      </c>
      <c r="L4" s="22">
        <f>IF(AND(OR(D4="retain",D4=""),E4="protocol_report"),"","not_applicable")</f>
        <v/>
      </c>
      <c r="M4" s="20" t="n"/>
      <c r="N4" s="23" t="n"/>
      <c r="O4" s="23" t="n"/>
      <c r="P4" s="23" t="n"/>
      <c r="Q4" s="23" t="n"/>
      <c r="R4" s="22" t="n"/>
    </row>
    <row r="5" ht="92" customFormat="1" customHeight="1" s="14">
      <c r="A5" s="24" t="inlineStr">
        <is>
          <t>2018::jama.2018.9128::C004</t>
        </is>
      </c>
      <c r="B5" s="24" t="inlineStr">
        <is>
          <t>Intervention 12-month BMI-observation count differs across result displays</t>
        </is>
      </c>
      <c r="C5" s="24" t="inlineStr">
        <is>
          <t>DOC-001 Figure 1 — PDF p. 3; DOC-001 Figure 2 — PDF p. 7; DOC-003 eTable 1 — PDF p. 2.</t>
        </is>
      </c>
      <c r="D5" s="21" t="n"/>
      <c r="E5" s="21" t="inlineStr">
        <is>
          <t>report_internal_inconsistency</t>
        </is>
      </c>
      <c r="F5" s="21" t="inlineStr">
        <is>
          <t>no</t>
        </is>
      </c>
      <c r="G5" s="24">
        <f>IFERROR(IF(LEN(TRIM(CLEAN(SUBSTITUTE(Setup!$B$2,CHAR(160)," "))))=0,"CHECK REVIEWER ID",IF(OR(A5="",COUNTIF($A$2:$A$14,A5)&lt;&gt;1,LEFT(A5,LEN("2018::jama.2018.9128::"))&lt;&gt;"2018::jama.2018.9128::"),"CHECK KEY",IF(OR(AND(NOT(AND(D5="retain",E5="statistical_results")),H5&lt;&gt;"",NOT(EXACT(H5,"not_applicable"))),AND(NOT(AND(D5="retain",E5="statistical_results")),I5&lt;&gt;"",NOT(EXACT(I5,"not_applicable"))),AND(NOT(AND(D5="retain",E5="statistical_results")),J5&lt;&gt;"",NOT(EXACT(J5,"not_applicable"))),AND(NOT(AND(D5="retain",OR(E5="report_internal_inconsistency",E5="plan_material"))),K5&lt;&gt;"",NOT(EXACT(K5,"not_applicable"))),AND(NOT(AND(D5="retain",E5="protocol_report")),L5&lt;&gt;"",NOT(EXACT(L5,"not_applicable")))),"CLEAR INACTIVE VALUES",IF(OR(NOT(OR(EXACT(D5,"retain"),EXACT(D5,"exclude"),EXACT(D5,"discuss"))),NOT(OR(EXACT(E5,"statistical_results"),EXACT(E5,"report_internal_inconsistency"),EXACT(E5,"plan_material"),EXACT(E5,"protocol_report"))),AND(AND(D5="retain",E5="statistical_results"),NOT(OR(EXACT(H5,"confirmed_issue"),EXACT(H5,"probable_issue"),EXACT(H5,"not_issue"),EXACT(H5,"indeterminate")))),AND(AND(D5="retain",E5="statistical_results"),NOT(OR(EXACT(I5,"substantive"),EXACT(I5,"minor_presentation"),EXACT(I5,"indeterminate")))),AND(AND(D5="retain",E5="statistical_results"),J5&lt;&gt;"",NOT(OR(EXACT(J5,"direct"),EXACT(J5,"possible"),EXACT(J5,"unlikely"),EXACT(J5,"unknown")))),AND(AND(D5="retain",OR(E5="report_internal_inconsistency",E5="plan_material")),NOT(OR(EXACT(K5,"substantive_inconsistency"),EXACT(K5,"minor_presentation"),EXACT(K5,"non_inconsistency"),EXACT(K5,"indeterminate")))),AND(AND(D5="retain",E5="protocol_report"),L5&lt;&gt;"",NOT(OR(EXACT(L5,"substantive_difference"),EXACT(L5,"minor_presentation"),EXACT(L5,"version_timing"),EXACT(L5,"non_inconsistency"),EXACT(L5,"indeterminate"))))),"CHECK FIELDS",IF(AND(F5&lt;&gt;"",NOT(OR(EXACT(F5,"no"),EXACT(F5,"primary_done")))),"CHECK COMPLETE",IF(EXACT(F5,"primary_done"),"PRIMARY READY","PRIMARY DRAFT")))))),"CHECK INPUT / KEY")</f>
        <v/>
      </c>
      <c r="H5" s="21">
        <f>IF(AND(OR(D5="retain",D5=""),E5="statistical_results"),"","not_applicable")</f>
        <v/>
      </c>
      <c r="I5" s="21">
        <f>IF(AND(OR(D5="retain",D5=""),E5="statistical_results"),"","not_applicable")</f>
        <v/>
      </c>
      <c r="J5" s="22">
        <f>IF(AND(OR(D5="retain",D5=""),E5="statistical_results"),"","not_applicable")</f>
        <v/>
      </c>
      <c r="K5" s="21">
        <f>IF(AND(OR(D5="retain",D5=""),OR(E5="report_internal_inconsistency",E5="plan_material")),"","not_applicable")</f>
        <v/>
      </c>
      <c r="L5" s="22">
        <f>IF(AND(OR(D5="retain",D5=""),E5="protocol_report"),"","not_applicable")</f>
        <v/>
      </c>
      <c r="M5" s="24" t="n"/>
      <c r="N5" s="23" t="n"/>
      <c r="O5" s="23" t="n"/>
      <c r="P5" s="23" t="n"/>
      <c r="Q5" s="23" t="n"/>
      <c r="R5" s="22" t="n"/>
    </row>
    <row r="6" ht="92" customFormat="1" customHeight="1" s="14">
      <c r="A6" s="20" t="inlineStr">
        <is>
          <t>2018::jama.2018.9128::C005</t>
        </is>
      </c>
      <c r="B6" s="20" t="inlineStr">
        <is>
          <t>Control 12-month BMI-observation count differs across result displays</t>
        </is>
      </c>
      <c r="C6" s="20" t="inlineStr">
        <is>
          <t>DOC-001 Figure 1 — PDF p. 3; DOC-001 Figure 2 — PDF p. 7; DOC-003 eTable 1 — PDF p. 2.</t>
        </is>
      </c>
      <c r="D6" s="21" t="n"/>
      <c r="E6" s="21" t="inlineStr">
        <is>
          <t>report_internal_inconsistency</t>
        </is>
      </c>
      <c r="F6" s="21" t="inlineStr">
        <is>
          <t>no</t>
        </is>
      </c>
      <c r="G6" s="20">
        <f>IFERROR(IF(LEN(TRIM(CLEAN(SUBSTITUTE(Setup!$B$2,CHAR(160)," "))))=0,"CHECK REVIEWER ID",IF(OR(A6="",COUNTIF($A$2:$A$14,A6)&lt;&gt;1,LEFT(A6,LEN("2018::jama.2018.9128::"))&lt;&gt;"2018::jama.2018.9128::"),"CHECK KEY",IF(OR(AND(NOT(AND(D6="retain",E6="statistical_results")),H6&lt;&gt;"",NOT(EXACT(H6,"not_applicable"))),AND(NOT(AND(D6="retain",E6="statistical_results")),I6&lt;&gt;"",NOT(EXACT(I6,"not_applicable"))),AND(NOT(AND(D6="retain",E6="statistical_results")),J6&lt;&gt;"",NOT(EXACT(J6,"not_applicable"))),AND(NOT(AND(D6="retain",OR(E6="report_internal_inconsistency",E6="plan_material"))),K6&lt;&gt;"",NOT(EXACT(K6,"not_applicable"))),AND(NOT(AND(D6="retain",E6="protocol_report")),L6&lt;&gt;"",NOT(EXACT(L6,"not_applicable")))),"CLEAR INACTIVE VALUES",IF(OR(NOT(OR(EXACT(D6,"retain"),EXACT(D6,"exclude"),EXACT(D6,"discuss"))),NOT(OR(EXACT(E6,"statistical_results"),EXACT(E6,"report_internal_inconsistency"),EXACT(E6,"plan_material"),EXACT(E6,"protocol_report"))),AND(AND(D6="retain",E6="statistical_results"),NOT(OR(EXACT(H6,"confirmed_issue"),EXACT(H6,"probable_issue"),EXACT(H6,"not_issue"),EXACT(H6,"indeterminate")))),AND(AND(D6="retain",E6="statistical_results"),NOT(OR(EXACT(I6,"substantive"),EXACT(I6,"minor_presentation"),EXACT(I6,"indeterminate")))),AND(AND(D6="retain",E6="statistical_results"),J6&lt;&gt;"",NOT(OR(EXACT(J6,"direct"),EXACT(J6,"possible"),EXACT(J6,"unlikely"),EXACT(J6,"unknown")))),AND(AND(D6="retain",OR(E6="report_internal_inconsistency",E6="plan_material")),NOT(OR(EXACT(K6,"substantive_inconsistency"),EXACT(K6,"minor_presentation"),EXACT(K6,"non_inconsistency"),EXACT(K6,"indeterminate")))),AND(AND(D6="retain",E6="protocol_report"),L6&lt;&gt;"",NOT(OR(EXACT(L6,"substantive_difference"),EXACT(L6,"minor_presentation"),EXACT(L6,"version_timing"),EXACT(L6,"non_inconsistency"),EXACT(L6,"indeterminate"))))),"CHECK FIELDS",IF(AND(F6&lt;&gt;"",NOT(OR(EXACT(F6,"no"),EXACT(F6,"primary_done")))),"CHECK COMPLETE",IF(EXACT(F6,"primary_done"),"PRIMARY READY","PRIMARY DRAFT")))))),"CHECK INPUT / KEY")</f>
        <v/>
      </c>
      <c r="H6" s="21">
        <f>IF(AND(OR(D6="retain",D6=""),E6="statistical_results"),"","not_applicable")</f>
        <v/>
      </c>
      <c r="I6" s="21">
        <f>IF(AND(OR(D6="retain",D6=""),E6="statistical_results"),"","not_applicable")</f>
        <v/>
      </c>
      <c r="J6" s="22">
        <f>IF(AND(OR(D6="retain",D6=""),E6="statistical_results"),"","not_applicable")</f>
        <v/>
      </c>
      <c r="K6" s="21">
        <f>IF(AND(OR(D6="retain",D6=""),OR(E6="report_internal_inconsistency",E6="plan_material")),"","not_applicable")</f>
        <v/>
      </c>
      <c r="L6" s="22">
        <f>IF(AND(OR(D6="retain",D6=""),E6="protocol_report"),"","not_applicable")</f>
        <v/>
      </c>
      <c r="M6" s="20" t="n"/>
      <c r="N6" s="23" t="n"/>
      <c r="O6" s="23" t="n"/>
      <c r="P6" s="23" t="n"/>
      <c r="Q6" s="23" t="n"/>
      <c r="R6" s="22" t="n"/>
    </row>
    <row r="7" ht="92" customFormat="1" customHeight="1" s="14">
      <c r="A7" s="24" t="inlineStr">
        <is>
          <t>2018::jama.2018.9128::C006</t>
        </is>
      </c>
      <c r="B7" s="24" t="inlineStr">
        <is>
          <t>Intervention 24-month BMI-observation count differs across result displays</t>
        </is>
      </c>
      <c r="C7" s="24" t="inlineStr">
        <is>
          <t>DOC-001 Figure 1 — PDF p. 3; DOC-001 Figure 2 — PDF p. 7; DOC-003 eTable 1 — PDF p. 2.</t>
        </is>
      </c>
      <c r="D7" s="21" t="n"/>
      <c r="E7" s="21" t="inlineStr">
        <is>
          <t>report_internal_inconsistency</t>
        </is>
      </c>
      <c r="F7" s="21" t="inlineStr">
        <is>
          <t>no</t>
        </is>
      </c>
      <c r="G7" s="24">
        <f>IFERROR(IF(LEN(TRIM(CLEAN(SUBSTITUTE(Setup!$B$2,CHAR(160)," "))))=0,"CHECK REVIEWER ID",IF(OR(A7="",COUNTIF($A$2:$A$14,A7)&lt;&gt;1,LEFT(A7,LEN("2018::jama.2018.9128::"))&lt;&gt;"2018::jama.2018.9128::"),"CHECK KEY",IF(OR(AND(NOT(AND(D7="retain",E7="statistical_results")),H7&lt;&gt;"",NOT(EXACT(H7,"not_applicable"))),AND(NOT(AND(D7="retain",E7="statistical_results")),I7&lt;&gt;"",NOT(EXACT(I7,"not_applicable"))),AND(NOT(AND(D7="retain",E7="statistical_results")),J7&lt;&gt;"",NOT(EXACT(J7,"not_applicable"))),AND(NOT(AND(D7="retain",OR(E7="report_internal_inconsistency",E7="plan_material"))),K7&lt;&gt;"",NOT(EXACT(K7,"not_applicable"))),AND(NOT(AND(D7="retain",E7="protocol_report")),L7&lt;&gt;"",NOT(EXACT(L7,"not_applicable")))),"CLEAR INACTIVE VALUES",IF(OR(NOT(OR(EXACT(D7,"retain"),EXACT(D7,"exclude"),EXACT(D7,"discuss"))),NOT(OR(EXACT(E7,"statistical_results"),EXACT(E7,"report_internal_inconsistency"),EXACT(E7,"plan_material"),EXACT(E7,"protocol_report"))),AND(AND(D7="retain",E7="statistical_results"),NOT(OR(EXACT(H7,"confirmed_issue"),EXACT(H7,"probable_issue"),EXACT(H7,"not_issue"),EXACT(H7,"indeterminate")))),AND(AND(D7="retain",E7="statistical_results"),NOT(OR(EXACT(I7,"substantive"),EXACT(I7,"minor_presentation"),EXACT(I7,"indeterminate")))),AND(AND(D7="retain",E7="statistical_results"),J7&lt;&gt;"",NOT(OR(EXACT(J7,"direct"),EXACT(J7,"possible"),EXACT(J7,"unlikely"),EXACT(J7,"unknown")))),AND(AND(D7="retain",OR(E7="report_internal_inconsistency",E7="plan_material")),NOT(OR(EXACT(K7,"substantive_inconsistency"),EXACT(K7,"minor_presentation"),EXACT(K7,"non_inconsistency"),EXACT(K7,"indeterminate")))),AND(AND(D7="retain",E7="protocol_report"),L7&lt;&gt;"",NOT(OR(EXACT(L7,"substantive_difference"),EXACT(L7,"minor_presentation"),EXACT(L7,"version_timing"),EXACT(L7,"non_inconsistency"),EXACT(L7,"indeterminate"))))),"CHECK FIELDS",IF(AND(F7&lt;&gt;"",NOT(OR(EXACT(F7,"no"),EXACT(F7,"primary_done")))),"CHECK COMPLETE",IF(EXACT(F7,"primary_done"),"PRIMARY READY","PRIMARY DRAFT")))))),"CHECK INPUT / KEY")</f>
        <v/>
      </c>
      <c r="H7" s="21">
        <f>IF(AND(OR(D7="retain",D7=""),E7="statistical_results"),"","not_applicable")</f>
        <v/>
      </c>
      <c r="I7" s="21">
        <f>IF(AND(OR(D7="retain",D7=""),E7="statistical_results"),"","not_applicable")</f>
        <v/>
      </c>
      <c r="J7" s="22">
        <f>IF(AND(OR(D7="retain",D7=""),E7="statistical_results"),"","not_applicable")</f>
        <v/>
      </c>
      <c r="K7" s="21">
        <f>IF(AND(OR(D7="retain",D7=""),OR(E7="report_internal_inconsistency",E7="plan_material")),"","not_applicable")</f>
        <v/>
      </c>
      <c r="L7" s="22">
        <f>IF(AND(OR(D7="retain",D7=""),E7="protocol_report"),"","not_applicable")</f>
        <v/>
      </c>
      <c r="M7" s="24" t="n"/>
      <c r="N7" s="23" t="n"/>
      <c r="O7" s="23" t="n"/>
      <c r="P7" s="23" t="n"/>
      <c r="Q7" s="23" t="n"/>
      <c r="R7" s="22" t="n"/>
    </row>
    <row r="8" ht="92" customFormat="1" customHeight="1" s="14">
      <c r="A8" s="20" t="inlineStr">
        <is>
          <t>2018::jama.2018.9128::C007</t>
        </is>
      </c>
      <c r="B8" s="20" t="inlineStr">
        <is>
          <t>Control 24-month BMI-observation count differs across result displays</t>
        </is>
      </c>
      <c r="C8" s="20" t="inlineStr">
        <is>
          <t>DOC-001 Figure 1 — PDF p. 3; DOC-001 Figure 2 — PDF p. 7; DOC-003 eTable 1 — PDF p. 2.</t>
        </is>
      </c>
      <c r="D8" s="21" t="n"/>
      <c r="E8" s="21" t="inlineStr">
        <is>
          <t>report_internal_inconsistency</t>
        </is>
      </c>
      <c r="F8" s="21" t="inlineStr">
        <is>
          <t>no</t>
        </is>
      </c>
      <c r="G8" s="20">
        <f>IFERROR(IF(LEN(TRIM(CLEAN(SUBSTITUTE(Setup!$B$2,CHAR(160)," "))))=0,"CHECK REVIEWER ID",IF(OR(A8="",COUNTIF($A$2:$A$14,A8)&lt;&gt;1,LEFT(A8,LEN("2018::jama.2018.9128::"))&lt;&gt;"2018::jama.2018.9128::"),"CHECK KEY",IF(OR(AND(NOT(AND(D8="retain",E8="statistical_results")),H8&lt;&gt;"",NOT(EXACT(H8,"not_applicable"))),AND(NOT(AND(D8="retain",E8="statistical_results")),I8&lt;&gt;"",NOT(EXACT(I8,"not_applicable"))),AND(NOT(AND(D8="retain",E8="statistical_results")),J8&lt;&gt;"",NOT(EXACT(J8,"not_applicable"))),AND(NOT(AND(D8="retain",OR(E8="report_internal_inconsistency",E8="plan_material"))),K8&lt;&gt;"",NOT(EXACT(K8,"not_applicable"))),AND(NOT(AND(D8="retain",E8="protocol_report")),L8&lt;&gt;"",NOT(EXACT(L8,"not_applicable")))),"CLEAR INACTIVE VALUES",IF(OR(NOT(OR(EXACT(D8,"retain"),EXACT(D8,"exclude"),EXACT(D8,"discuss"))),NOT(OR(EXACT(E8,"statistical_results"),EXACT(E8,"report_internal_inconsistency"),EXACT(E8,"plan_material"),EXACT(E8,"protocol_report"))),AND(AND(D8="retain",E8="statistical_results"),NOT(OR(EXACT(H8,"confirmed_issue"),EXACT(H8,"probable_issue"),EXACT(H8,"not_issue"),EXACT(H8,"indeterminate")))),AND(AND(D8="retain",E8="statistical_results"),NOT(OR(EXACT(I8,"substantive"),EXACT(I8,"minor_presentation"),EXACT(I8,"indeterminate")))),AND(AND(D8="retain",E8="statistical_results"),J8&lt;&gt;"",NOT(OR(EXACT(J8,"direct"),EXACT(J8,"possible"),EXACT(J8,"unlikely"),EXACT(J8,"unknown")))),AND(AND(D8="retain",OR(E8="report_internal_inconsistency",E8="plan_material")),NOT(OR(EXACT(K8,"substantive_inconsistency"),EXACT(K8,"minor_presentation"),EXACT(K8,"non_inconsistency"),EXACT(K8,"indeterminate")))),AND(AND(D8="retain",E8="protocol_report"),L8&lt;&gt;"",NOT(OR(EXACT(L8,"substantive_difference"),EXACT(L8,"minor_presentation"),EXACT(L8,"version_timing"),EXACT(L8,"non_inconsistency"),EXACT(L8,"indeterminate"))))),"CHECK FIELDS",IF(AND(F8&lt;&gt;"",NOT(OR(EXACT(F8,"no"),EXACT(F8,"primary_done")))),"CHECK COMPLETE",IF(EXACT(F8,"primary_done"),"PRIMARY READY","PRIMARY DRAFT")))))),"CHECK INPUT / KEY")</f>
        <v/>
      </c>
      <c r="H8" s="21">
        <f>IF(AND(OR(D8="retain",D8=""),E8="statistical_results"),"","not_applicable")</f>
        <v/>
      </c>
      <c r="I8" s="21">
        <f>IF(AND(OR(D8="retain",D8=""),E8="statistical_results"),"","not_applicable")</f>
        <v/>
      </c>
      <c r="J8" s="22">
        <f>IF(AND(OR(D8="retain",D8=""),E8="statistical_results"),"","not_applicable")</f>
        <v/>
      </c>
      <c r="K8" s="21">
        <f>IF(AND(OR(D8="retain",D8=""),OR(E8="report_internal_inconsistency",E8="plan_material")),"","not_applicable")</f>
        <v/>
      </c>
      <c r="L8" s="22">
        <f>IF(AND(OR(D8="retain",D8=""),E8="protocol_report"),"","not_applicable")</f>
        <v/>
      </c>
      <c r="M8" s="20" t="n"/>
      <c r="N8" s="23" t="n"/>
      <c r="O8" s="23" t="n"/>
      <c r="P8" s="23" t="n"/>
      <c r="Q8" s="23" t="n"/>
      <c r="R8" s="22" t="n"/>
    </row>
    <row r="9" ht="92" customFormat="1" customHeight="1" s="14">
      <c r="A9" s="24" t="inlineStr">
        <is>
          <t>2018::jama.2018.9128::C008</t>
        </is>
      </c>
      <c r="B9" s="24" t="inlineStr">
        <is>
          <t>Intervention 36-month BMI-observation count differs across result displays</t>
        </is>
      </c>
      <c r="C9" s="24" t="inlineStr">
        <is>
          <t>DOC-001 Figure 1 — PDF p. 3; DOC-001 Figure 2 — PDF p. 7; DOC-003 eTable 1 — PDF p. 2.</t>
        </is>
      </c>
      <c r="D9" s="21" t="n"/>
      <c r="E9" s="21" t="inlineStr">
        <is>
          <t>report_internal_inconsistency</t>
        </is>
      </c>
      <c r="F9" s="21" t="inlineStr">
        <is>
          <t>no</t>
        </is>
      </c>
      <c r="G9" s="24">
        <f>IFERROR(IF(LEN(TRIM(CLEAN(SUBSTITUTE(Setup!$B$2,CHAR(160)," "))))=0,"CHECK REVIEWER ID",IF(OR(A9="",COUNTIF($A$2:$A$14,A9)&lt;&gt;1,LEFT(A9,LEN("2018::jama.2018.9128::"))&lt;&gt;"2018::jama.2018.9128::"),"CHECK KEY",IF(OR(AND(NOT(AND(D9="retain",E9="statistical_results")),H9&lt;&gt;"",NOT(EXACT(H9,"not_applicable"))),AND(NOT(AND(D9="retain",E9="statistical_results")),I9&lt;&gt;"",NOT(EXACT(I9,"not_applicable"))),AND(NOT(AND(D9="retain",E9="statistical_results")),J9&lt;&gt;"",NOT(EXACT(J9,"not_applicable"))),AND(NOT(AND(D9="retain",OR(E9="report_internal_inconsistency",E9="plan_material"))),K9&lt;&gt;"",NOT(EXACT(K9,"not_applicable"))),AND(NOT(AND(D9="retain",E9="protocol_report")),L9&lt;&gt;"",NOT(EXACT(L9,"not_applicable")))),"CLEAR INACTIVE VALUES",IF(OR(NOT(OR(EXACT(D9,"retain"),EXACT(D9,"exclude"),EXACT(D9,"discuss"))),NOT(OR(EXACT(E9,"statistical_results"),EXACT(E9,"report_internal_inconsistency"),EXACT(E9,"plan_material"),EXACT(E9,"protocol_report"))),AND(AND(D9="retain",E9="statistical_results"),NOT(OR(EXACT(H9,"confirmed_issue"),EXACT(H9,"probable_issue"),EXACT(H9,"not_issue"),EXACT(H9,"indeterminate")))),AND(AND(D9="retain",E9="statistical_results"),NOT(OR(EXACT(I9,"substantive"),EXACT(I9,"minor_presentation"),EXACT(I9,"indeterminate")))),AND(AND(D9="retain",E9="statistical_results"),J9&lt;&gt;"",NOT(OR(EXACT(J9,"direct"),EXACT(J9,"possible"),EXACT(J9,"unlikely"),EXACT(J9,"unknown")))),AND(AND(D9="retain",OR(E9="report_internal_inconsistency",E9="plan_material")),NOT(OR(EXACT(K9,"substantive_inconsistency"),EXACT(K9,"minor_presentation"),EXACT(K9,"non_inconsistency"),EXACT(K9,"indeterminate")))),AND(AND(D9="retain",E9="protocol_report"),L9&lt;&gt;"",NOT(OR(EXACT(L9,"substantive_difference"),EXACT(L9,"minor_presentation"),EXACT(L9,"version_timing"),EXACT(L9,"non_inconsistency"),EXACT(L9,"indeterminate"))))),"CHECK FIELDS",IF(AND(F9&lt;&gt;"",NOT(OR(EXACT(F9,"no"),EXACT(F9,"primary_done")))),"CHECK COMPLETE",IF(EXACT(F9,"primary_done"),"PRIMARY READY","PRIMARY DRAFT")))))),"CHECK INPUT / KEY")</f>
        <v/>
      </c>
      <c r="H9" s="21">
        <f>IF(AND(OR(D9="retain",D9=""),E9="statistical_results"),"","not_applicable")</f>
        <v/>
      </c>
      <c r="I9" s="21">
        <f>IF(AND(OR(D9="retain",D9=""),E9="statistical_results"),"","not_applicable")</f>
        <v/>
      </c>
      <c r="J9" s="22">
        <f>IF(AND(OR(D9="retain",D9=""),E9="statistical_results"),"","not_applicable")</f>
        <v/>
      </c>
      <c r="K9" s="21">
        <f>IF(AND(OR(D9="retain",D9=""),OR(E9="report_internal_inconsistency",E9="plan_material")),"","not_applicable")</f>
        <v/>
      </c>
      <c r="L9" s="22">
        <f>IF(AND(OR(D9="retain",D9=""),E9="protocol_report"),"","not_applicable")</f>
        <v/>
      </c>
      <c r="M9" s="24" t="n"/>
      <c r="N9" s="23" t="n"/>
      <c r="O9" s="23" t="n"/>
      <c r="P9" s="23" t="n"/>
      <c r="Q9" s="23" t="n"/>
      <c r="R9" s="22" t="n"/>
    </row>
    <row r="10" ht="92" customFormat="1" customHeight="1" s="14">
      <c r="A10" s="20" t="inlineStr">
        <is>
          <t>2018::jama.2018.9128::C009</t>
        </is>
      </c>
      <c r="B10" s="20" t="inlineStr">
        <is>
          <t>Final SAP says six assessment points but enumerates five</t>
        </is>
      </c>
      <c r="C10" s="20" t="inlineStr">
        <is>
          <t>DOC-002 final SAP — PDF p. 110; DOC-002 protocol schedule — PDF p. 15; DOC-001 Methods — PDF p. 4; DOC-003 eTable 1 — PDF p. 2.</t>
        </is>
      </c>
      <c r="D10" s="21" t="n"/>
      <c r="E10" s="21" t="inlineStr">
        <is>
          <t>plan_material</t>
        </is>
      </c>
      <c r="F10" s="21" t="inlineStr">
        <is>
          <t>no</t>
        </is>
      </c>
      <c r="G10" s="20">
        <f>IFERROR(IF(LEN(TRIM(CLEAN(SUBSTITUTE(Setup!$B$2,CHAR(160)," "))))=0,"CHECK REVIEWER ID",IF(OR(A10="",COUNTIF($A$2:$A$14,A10)&lt;&gt;1,LEFT(A10,LEN("2018::jama.2018.9128::"))&lt;&gt;"2018::jama.2018.9128::"),"CHECK KEY",IF(OR(AND(NOT(AND(D10="retain",E10="statistical_results")),H10&lt;&gt;"",NOT(EXACT(H10,"not_applicable"))),AND(NOT(AND(D10="retain",E10="statistical_results")),I10&lt;&gt;"",NOT(EXACT(I10,"not_applicable"))),AND(NOT(AND(D10="retain",E10="statistical_results")),J10&lt;&gt;"",NOT(EXACT(J10,"not_applicable"))),AND(NOT(AND(D10="retain",OR(E10="report_internal_inconsistency",E10="plan_material"))),K10&lt;&gt;"",NOT(EXACT(K10,"not_applicable"))),AND(NOT(AND(D10="retain",E10="protocol_report")),L10&lt;&gt;"",NOT(EXACT(L10,"not_applicable")))),"CLEAR INACTIVE VALUES",IF(OR(NOT(OR(EXACT(D10,"retain"),EXACT(D10,"exclude"),EXACT(D10,"discuss"))),NOT(OR(EXACT(E10,"statistical_results"),EXACT(E10,"report_internal_inconsistency"),EXACT(E10,"plan_material"),EXACT(E10,"protocol_report"))),AND(AND(D10="retain",E10="statistical_results"),NOT(OR(EXACT(H10,"confirmed_issue"),EXACT(H10,"probable_issue"),EXACT(H10,"not_issue"),EXACT(H10,"indeterminate")))),AND(AND(D10="retain",E10="statistical_results"),NOT(OR(EXACT(I10,"substantive"),EXACT(I10,"minor_presentation"),EXACT(I10,"indeterminate")))),AND(AND(D10="retain",E10="statistical_results"),J10&lt;&gt;"",NOT(OR(EXACT(J10,"direct"),EXACT(J10,"possible"),EXACT(J10,"unlikely"),EXACT(J10,"unknown")))),AND(AND(D10="retain",OR(E10="report_internal_inconsistency",E10="plan_material")),NOT(OR(EXACT(K10,"substantive_inconsistency"),EXACT(K10,"minor_presentation"),EXACT(K10,"non_inconsistency"),EXACT(K10,"indeterminate")))),AND(AND(D10="retain",E10="protocol_report"),L10&lt;&gt;"",NOT(OR(EXACT(L10,"substantive_difference"),EXACT(L10,"minor_presentation"),EXACT(L10,"version_timing"),EXACT(L10,"non_inconsistency"),EXACT(L10,"indeterminate"))))),"CHECK FIELDS",IF(AND(F10&lt;&gt;"",NOT(OR(EXACT(F10,"no"),EXACT(F10,"primary_done")))),"CHECK COMPLETE",IF(EXACT(F10,"primary_done"),"PRIMARY READY","PRIMARY DRAFT")))))),"CHECK INPUT / KEY")</f>
        <v/>
      </c>
      <c r="H10" s="21">
        <f>IF(AND(OR(D10="retain",D10=""),E10="statistical_results"),"","not_applicable")</f>
        <v/>
      </c>
      <c r="I10" s="21">
        <f>IF(AND(OR(D10="retain",D10=""),E10="statistical_results"),"","not_applicable")</f>
        <v/>
      </c>
      <c r="J10" s="22">
        <f>IF(AND(OR(D10="retain",D10=""),E10="statistical_results"),"","not_applicable")</f>
        <v/>
      </c>
      <c r="K10" s="21">
        <f>IF(AND(OR(D10="retain",D10=""),OR(E10="report_internal_inconsistency",E10="plan_material")),"","not_applicable")</f>
        <v/>
      </c>
      <c r="L10" s="22">
        <f>IF(AND(OR(D10="retain",D10=""),E10="protocol_report"),"","not_applicable")</f>
        <v/>
      </c>
      <c r="M10" s="20" t="n"/>
      <c r="N10" s="23" t="n"/>
      <c r="O10" s="23" t="n"/>
      <c r="P10" s="23" t="n"/>
      <c r="Q10" s="23" t="n"/>
      <c r="R10" s="22" t="n"/>
    </row>
    <row r="11" ht="92" customFormat="1" customHeight="1" s="14">
      <c r="A11" s="24" t="inlineStr">
        <is>
          <t>2018::jama.2018.9128::C010</t>
        </is>
      </c>
      <c r="B11" s="24" t="inlineStr">
        <is>
          <t>Revised protocol gives six points but lists seven including 48 months</t>
        </is>
      </c>
      <c r="C11" s="24" t="inlineStr">
        <is>
          <t>DOC-002 revised protocol — PDF p. 64; DOC-001 Methods — PDF p. 4; DOC-003 eTable 1 — PDF p. 2.</t>
        </is>
      </c>
      <c r="D11" s="21" t="n"/>
      <c r="E11" s="21" t="inlineStr">
        <is>
          <t>plan_material</t>
        </is>
      </c>
      <c r="F11" s="21" t="inlineStr">
        <is>
          <t>no</t>
        </is>
      </c>
      <c r="G11" s="24">
        <f>IFERROR(IF(LEN(TRIM(CLEAN(SUBSTITUTE(Setup!$B$2,CHAR(160)," "))))=0,"CHECK REVIEWER ID",IF(OR(A11="",COUNTIF($A$2:$A$14,A11)&lt;&gt;1,LEFT(A11,LEN("2018::jama.2018.9128::"))&lt;&gt;"2018::jama.2018.9128::"),"CHECK KEY",IF(OR(AND(NOT(AND(D11="retain",E11="statistical_results")),H11&lt;&gt;"",NOT(EXACT(H11,"not_applicable"))),AND(NOT(AND(D11="retain",E11="statistical_results")),I11&lt;&gt;"",NOT(EXACT(I11,"not_applicable"))),AND(NOT(AND(D11="retain",E11="statistical_results")),J11&lt;&gt;"",NOT(EXACT(J11,"not_applicable"))),AND(NOT(AND(D11="retain",OR(E11="report_internal_inconsistency",E11="plan_material"))),K11&lt;&gt;"",NOT(EXACT(K11,"not_applicable"))),AND(NOT(AND(D11="retain",E11="protocol_report")),L11&lt;&gt;"",NOT(EXACT(L11,"not_applicable")))),"CLEAR INACTIVE VALUES",IF(OR(NOT(OR(EXACT(D11,"retain"),EXACT(D11,"exclude"),EXACT(D11,"discuss"))),NOT(OR(EXACT(E11,"statistical_results"),EXACT(E11,"report_internal_inconsistency"),EXACT(E11,"plan_material"),EXACT(E11,"protocol_report"))),AND(AND(D11="retain",E11="statistical_results"),NOT(OR(EXACT(H11,"confirmed_issue"),EXACT(H11,"probable_issue"),EXACT(H11,"not_issue"),EXACT(H11,"indeterminate")))),AND(AND(D11="retain",E11="statistical_results"),NOT(OR(EXACT(I11,"substantive"),EXACT(I11,"minor_presentation"),EXACT(I11,"indeterminate")))),AND(AND(D11="retain",E11="statistical_results"),J11&lt;&gt;"",NOT(OR(EXACT(J11,"direct"),EXACT(J11,"possible"),EXACT(J11,"unlikely"),EXACT(J11,"unknown")))),AND(AND(D11="retain",OR(E11="report_internal_inconsistency",E11="plan_material")),NOT(OR(EXACT(K11,"substantive_inconsistency"),EXACT(K11,"minor_presentation"),EXACT(K11,"non_inconsistency"),EXACT(K11,"indeterminate")))),AND(AND(D11="retain",E11="protocol_report"),L11&lt;&gt;"",NOT(OR(EXACT(L11,"substantive_difference"),EXACT(L11,"minor_presentation"),EXACT(L11,"version_timing"),EXACT(L11,"non_inconsistency"),EXACT(L11,"indeterminate"))))),"CHECK FIELDS",IF(AND(F11&lt;&gt;"",NOT(OR(EXACT(F11,"no"),EXACT(F11,"primary_done")))),"CHECK COMPLETE",IF(EXACT(F11,"primary_done"),"PRIMARY READY","PRIMARY DRAFT")))))),"CHECK INPUT / KEY")</f>
        <v/>
      </c>
      <c r="H11" s="21">
        <f>IF(AND(OR(D11="retain",D11=""),E11="statistical_results"),"","not_applicable")</f>
        <v/>
      </c>
      <c r="I11" s="21">
        <f>IF(AND(OR(D11="retain",D11=""),E11="statistical_results"),"","not_applicable")</f>
        <v/>
      </c>
      <c r="J11" s="22">
        <f>IF(AND(OR(D11="retain",D11=""),E11="statistical_results"),"","not_applicable")</f>
        <v/>
      </c>
      <c r="K11" s="21">
        <f>IF(AND(OR(D11="retain",D11=""),OR(E11="report_internal_inconsistency",E11="plan_material")),"","not_applicable")</f>
        <v/>
      </c>
      <c r="L11" s="22">
        <f>IF(AND(OR(D11="retain",D11=""),E11="protocol_report"),"","not_applicable")</f>
        <v/>
      </c>
      <c r="M11" s="24" t="n"/>
      <c r="N11" s="23" t="n"/>
      <c r="O11" s="23" t="n"/>
      <c r="P11" s="23" t="n"/>
      <c r="Q11" s="23" t="n"/>
      <c r="R11" s="22" t="n"/>
    </row>
    <row r="12" ht="92" customFormat="1" customHeight="1" s="14">
      <c r="A12" s="20" t="inlineStr">
        <is>
          <t>2018::jama.2018.9128::C011</t>
        </is>
      </c>
      <c r="B12" s="20" t="inlineStr">
        <is>
          <t>Original protocol labels primary outcome as BMI percentile/BMI% while results use BMI kg/m²</t>
        </is>
      </c>
      <c r="C12" s="20" t="inlineStr">
        <is>
          <t>DOC-002 original protocol — PDF p. 16; DOC-002 final SAP — PDF p. 110; DOC-001 Outcomes — PDF p. 3; DOC-003 eTable 1 — PDF p. 2.</t>
        </is>
      </c>
      <c r="D12" s="21" t="n"/>
      <c r="E12" s="21" t="inlineStr">
        <is>
          <t>protocol_report</t>
        </is>
      </c>
      <c r="F12" s="21" t="inlineStr">
        <is>
          <t>no</t>
        </is>
      </c>
      <c r="G12" s="20">
        <f>IFERROR(IF(LEN(TRIM(CLEAN(SUBSTITUTE(Setup!$B$2,CHAR(160)," "))))=0,"CHECK REVIEWER ID",IF(OR(A12="",COUNTIF($A$2:$A$14,A12)&lt;&gt;1,LEFT(A12,LEN("2018::jama.2018.9128::"))&lt;&gt;"2018::jama.2018.9128::"),"CHECK KEY",IF(OR(AND(NOT(AND(D12="retain",E12="statistical_results")),H12&lt;&gt;"",NOT(EXACT(H12,"not_applicable"))),AND(NOT(AND(D12="retain",E12="statistical_results")),I12&lt;&gt;"",NOT(EXACT(I12,"not_applicable"))),AND(NOT(AND(D12="retain",E12="statistical_results")),J12&lt;&gt;"",NOT(EXACT(J12,"not_applicable"))),AND(NOT(AND(D12="retain",OR(E12="report_internal_inconsistency",E12="plan_material"))),K12&lt;&gt;"",NOT(EXACT(K12,"not_applicable"))),AND(NOT(AND(D12="retain",E12="protocol_report")),L12&lt;&gt;"",NOT(EXACT(L12,"not_applicable")))),"CLEAR INACTIVE VALUES",IF(OR(NOT(OR(EXACT(D12,"retain"),EXACT(D12,"exclude"),EXACT(D12,"discuss"))),NOT(OR(EXACT(E12,"statistical_results"),EXACT(E12,"report_internal_inconsistency"),EXACT(E12,"plan_material"),EXACT(E12,"protocol_report"))),AND(AND(D12="retain",E12="statistical_results"),NOT(OR(EXACT(H12,"confirmed_issue"),EXACT(H12,"probable_issue"),EXACT(H12,"not_issue"),EXACT(H12,"indeterminate")))),AND(AND(D12="retain",E12="statistical_results"),NOT(OR(EXACT(I12,"substantive"),EXACT(I12,"minor_presentation"),EXACT(I12,"indeterminate")))),AND(AND(D12="retain",E12="statistical_results"),J12&lt;&gt;"",NOT(OR(EXACT(J12,"direct"),EXACT(J12,"possible"),EXACT(J12,"unlikely"),EXACT(J12,"unknown")))),AND(AND(D12="retain",OR(E12="report_internal_inconsistency",E12="plan_material")),NOT(OR(EXACT(K12,"substantive_inconsistency"),EXACT(K12,"minor_presentation"),EXACT(K12,"non_inconsistency"),EXACT(K12,"indeterminate")))),AND(AND(D12="retain",E12="protocol_report"),L12&lt;&gt;"",NOT(OR(EXACT(L12,"substantive_difference"),EXACT(L12,"minor_presentation"),EXACT(L12,"version_timing"),EXACT(L12,"non_inconsistency"),EXACT(L12,"indeterminate"))))),"CHECK FIELDS",IF(AND(F12&lt;&gt;"",NOT(OR(EXACT(F12,"no"),EXACT(F12,"primary_done")))),"CHECK COMPLETE",IF(EXACT(F12,"primary_done"),"PRIMARY READY","PRIMARY DRAFT")))))),"CHECK INPUT / KEY")</f>
        <v/>
      </c>
      <c r="H12" s="21">
        <f>IF(AND(OR(D12="retain",D12=""),E12="statistical_results"),"","not_applicable")</f>
        <v/>
      </c>
      <c r="I12" s="21">
        <f>IF(AND(OR(D12="retain",D12=""),E12="statistical_results"),"","not_applicable")</f>
        <v/>
      </c>
      <c r="J12" s="22">
        <f>IF(AND(OR(D12="retain",D12=""),E12="statistical_results"),"","not_applicable")</f>
        <v/>
      </c>
      <c r="K12" s="21">
        <f>IF(AND(OR(D12="retain",D12=""),OR(E12="report_internal_inconsistency",E12="plan_material")),"","not_applicable")</f>
        <v/>
      </c>
      <c r="L12" s="22">
        <f>IF(AND(OR(D12="retain",D12=""),E12="protocol_report"),"","not_applicable")</f>
        <v/>
      </c>
      <c r="M12" s="20" t="n"/>
      <c r="N12" s="23" t="n"/>
      <c r="O12" s="23" t="n"/>
      <c r="P12" s="23" t="n"/>
      <c r="Q12" s="23" t="n"/>
      <c r="R12" s="22" t="n"/>
    </row>
    <row r="13" ht="92" customFormat="1" customHeight="1" s="14">
      <c r="A13" s="24" t="inlineStr">
        <is>
          <t>2018::jama.2018.9128::C012</t>
        </is>
      </c>
      <c r="B13" s="24" t="inlineStr">
        <is>
          <t>Control-condition session count and duration differ across protocol versions and article</t>
        </is>
      </c>
      <c r="C13" s="24" t="inlineStr">
        <is>
          <t>DOC-002 original protocol — PDF p. 14; DOC-002 revised protocol — PDF p. 64; DOC-001 abstract — PDF p. 1; DOC-001 Methods — PDF p. 3.</t>
        </is>
      </c>
      <c r="D13" s="21" t="n"/>
      <c r="E13" s="21" t="inlineStr">
        <is>
          <t>protocol_report</t>
        </is>
      </c>
      <c r="F13" s="21" t="inlineStr">
        <is>
          <t>no</t>
        </is>
      </c>
      <c r="G13" s="24">
        <f>IFERROR(IF(LEN(TRIM(CLEAN(SUBSTITUTE(Setup!$B$2,CHAR(160)," "))))=0,"CHECK REVIEWER ID",IF(OR(A13="",COUNTIF($A$2:$A$14,A13)&lt;&gt;1,LEFT(A13,LEN("2018::jama.2018.9128::"))&lt;&gt;"2018::jama.2018.9128::"),"CHECK KEY",IF(OR(AND(NOT(AND(D13="retain",E13="statistical_results")),H13&lt;&gt;"",NOT(EXACT(H13,"not_applicable"))),AND(NOT(AND(D13="retain",E13="statistical_results")),I13&lt;&gt;"",NOT(EXACT(I13,"not_applicable"))),AND(NOT(AND(D13="retain",E13="statistical_results")),J13&lt;&gt;"",NOT(EXACT(J13,"not_applicable"))),AND(NOT(AND(D13="retain",OR(E13="report_internal_inconsistency",E13="plan_material"))),K13&lt;&gt;"",NOT(EXACT(K13,"not_applicable"))),AND(NOT(AND(D13="retain",E13="protocol_report")),L13&lt;&gt;"",NOT(EXACT(L13,"not_applicable")))),"CLEAR INACTIVE VALUES",IF(OR(NOT(OR(EXACT(D13,"retain"),EXACT(D13,"exclude"),EXACT(D13,"discuss"))),NOT(OR(EXACT(E13,"statistical_results"),EXACT(E13,"report_internal_inconsistency"),EXACT(E13,"plan_material"),EXACT(E13,"protocol_report"))),AND(AND(D13="retain",E13="statistical_results"),NOT(OR(EXACT(H13,"confirmed_issue"),EXACT(H13,"probable_issue"),EXACT(H13,"not_issue"),EXACT(H13,"indeterminate")))),AND(AND(D13="retain",E13="statistical_results"),NOT(OR(EXACT(I13,"substantive"),EXACT(I13,"minor_presentation"),EXACT(I13,"indeterminate")))),AND(AND(D13="retain",E13="statistical_results"),J13&lt;&gt;"",NOT(OR(EXACT(J13,"direct"),EXACT(J13,"possible"),EXACT(J13,"unlikely"),EXACT(J13,"unknown")))),AND(AND(D13="retain",OR(E13="report_internal_inconsistency",E13="plan_material")),NOT(OR(EXACT(K13,"substantive_inconsistency"),EXACT(K13,"minor_presentation"),EXACT(K13,"non_inconsistency"),EXACT(K13,"indeterminate")))),AND(AND(D13="retain",E13="protocol_report"),L13&lt;&gt;"",NOT(OR(EXACT(L13,"substantive_difference"),EXACT(L13,"minor_presentation"),EXACT(L13,"version_timing"),EXACT(L13,"non_inconsistency"),EXACT(L13,"indeterminate"))))),"CHECK FIELDS",IF(AND(F13&lt;&gt;"",NOT(OR(EXACT(F13,"no"),EXACT(F13,"primary_done")))),"CHECK COMPLETE",IF(EXACT(F13,"primary_done"),"PRIMARY READY","PRIMARY DRAFT")))))),"CHECK INPUT / KEY")</f>
        <v/>
      </c>
      <c r="H13" s="21">
        <f>IF(AND(OR(D13="retain",D13=""),E13="statistical_results"),"","not_applicable")</f>
        <v/>
      </c>
      <c r="I13" s="21">
        <f>IF(AND(OR(D13="retain",D13=""),E13="statistical_results"),"","not_applicable")</f>
        <v/>
      </c>
      <c r="J13" s="22">
        <f>IF(AND(OR(D13="retain",D13=""),E13="statistical_results"),"","not_applicable")</f>
        <v/>
      </c>
      <c r="K13" s="21">
        <f>IF(AND(OR(D13="retain",D13=""),OR(E13="report_internal_inconsistency",E13="plan_material")),"","not_applicable")</f>
        <v/>
      </c>
      <c r="L13" s="22">
        <f>IF(AND(OR(D13="retain",D13=""),E13="protocol_report"),"","not_applicable")</f>
        <v/>
      </c>
      <c r="M13" s="24" t="n"/>
      <c r="N13" s="23" t="n"/>
      <c r="O13" s="23" t="n"/>
      <c r="P13" s="23" t="n"/>
      <c r="Q13" s="23" t="n"/>
      <c r="R13" s="22" t="n"/>
    </row>
    <row r="14" ht="92" customFormat="1" customHeight="1" s="14">
      <c r="A14" s="20" t="inlineStr">
        <is>
          <t>2018::jama.2018.9128::C013</t>
        </is>
      </c>
      <c r="B14" s="20" t="inlineStr">
        <is>
          <t>Control 9-month BMI-observation count differs across result displays</t>
        </is>
      </c>
      <c r="C14" s="20" t="inlineStr">
        <is>
          <t>DOC-001 Figure 1 — PDF p. 3; DOC-001 Figure 2 — PDF p. 7; DOC-003 eTable 1 — PDF p. 2.</t>
        </is>
      </c>
      <c r="D14" s="21" t="n"/>
      <c r="E14" s="21" t="inlineStr">
        <is>
          <t>report_internal_inconsistency</t>
        </is>
      </c>
      <c r="F14" s="21" t="inlineStr">
        <is>
          <t>no</t>
        </is>
      </c>
      <c r="G14" s="20">
        <f>IFERROR(IF(LEN(TRIM(CLEAN(SUBSTITUTE(Setup!$B$2,CHAR(160)," "))))=0,"CHECK REVIEWER ID",IF(OR(A14="",COUNTIF($A$2:$A$14,A14)&lt;&gt;1,LEFT(A14,LEN("2018::jama.2018.9128::"))&lt;&gt;"2018::jama.2018.9128::"),"CHECK KEY",IF(OR(AND(NOT(AND(D14="retain",E14="statistical_results")),H14&lt;&gt;"",NOT(EXACT(H14,"not_applicable"))),AND(NOT(AND(D14="retain",E14="statistical_results")),I14&lt;&gt;"",NOT(EXACT(I14,"not_applicable"))),AND(NOT(AND(D14="retain",E14="statistical_results")),J14&lt;&gt;"",NOT(EXACT(J14,"not_applicable"))),AND(NOT(AND(D14="retain",OR(E14="report_internal_inconsistency",E14="plan_material"))),K14&lt;&gt;"",NOT(EXACT(K14,"not_applicable"))),AND(NOT(AND(D14="retain",E14="protocol_report")),L14&lt;&gt;"",NOT(EXACT(L14,"not_applicable")))),"CLEAR INACTIVE VALUES",IF(OR(NOT(OR(EXACT(D14,"retain"),EXACT(D14,"exclude"),EXACT(D14,"discuss"))),NOT(OR(EXACT(E14,"statistical_results"),EXACT(E14,"report_internal_inconsistency"),EXACT(E14,"plan_material"),EXACT(E14,"protocol_report"))),AND(AND(D14="retain",E14="statistical_results"),NOT(OR(EXACT(H14,"confirmed_issue"),EXACT(H14,"probable_issue"),EXACT(H14,"not_issue"),EXACT(H14,"indeterminate")))),AND(AND(D14="retain",E14="statistical_results"),NOT(OR(EXACT(I14,"substantive"),EXACT(I14,"minor_presentation"),EXACT(I14,"indeterminate")))),AND(AND(D14="retain",E14="statistical_results"),J14&lt;&gt;"",NOT(OR(EXACT(J14,"direct"),EXACT(J14,"possible"),EXACT(J14,"unlikely"),EXACT(J14,"unknown")))),AND(AND(D14="retain",OR(E14="report_internal_inconsistency",E14="plan_material")),NOT(OR(EXACT(K14,"substantive_inconsistency"),EXACT(K14,"minor_presentation"),EXACT(K14,"non_inconsistency"),EXACT(K14,"indeterminate")))),AND(AND(D14="retain",E14="protocol_report"),L14&lt;&gt;"",NOT(OR(EXACT(L14,"substantive_difference"),EXACT(L14,"minor_presentation"),EXACT(L14,"version_timing"),EXACT(L14,"non_inconsistency"),EXACT(L14,"indeterminate"))))),"CHECK FIELDS",IF(AND(F14&lt;&gt;"",NOT(OR(EXACT(F14,"no"),EXACT(F14,"primary_done")))),"CHECK COMPLETE",IF(EXACT(F14,"primary_done"),"PRIMARY READY","PRIMARY DRAFT")))))),"CHECK INPUT / KEY")</f>
        <v/>
      </c>
      <c r="H14" s="21">
        <f>IF(AND(OR(D14="retain",D14=""),E14="statistical_results"),"","not_applicable")</f>
        <v/>
      </c>
      <c r="I14" s="21">
        <f>IF(AND(OR(D14="retain",D14=""),E14="statistical_results"),"","not_applicable")</f>
        <v/>
      </c>
      <c r="J14" s="22">
        <f>IF(AND(OR(D14="retain",D14=""),E14="statistical_results"),"","not_applicable")</f>
        <v/>
      </c>
      <c r="K14" s="21">
        <f>IF(AND(OR(D14="retain",D14=""),OR(E14="report_internal_inconsistency",E14="plan_material")),"","not_applicable")</f>
        <v/>
      </c>
      <c r="L14" s="22">
        <f>IF(AND(OR(D14="retain",D14=""),E14="protocol_report"),"","not_applicable")</f>
        <v/>
      </c>
      <c r="M14" s="20" t="n"/>
      <c r="N14" s="23" t="n"/>
      <c r="O14" s="23" t="n"/>
      <c r="P14" s="23" t="n"/>
      <c r="Q14" s="23" t="n"/>
      <c r="R14" s="22" t="n"/>
    </row>
  </sheetData>
  <autoFilter ref="A1:R14"/>
  <conditionalFormatting sqref="H2:H14">
    <cfRule type="expression" priority="8" dxfId="70">
      <formula>NOT(AND(OR($D2="retain",$D2=""),$E2="statistical_results"))</formula>
    </cfRule>
  </conditionalFormatting>
  <conditionalFormatting sqref="I2:I14">
    <cfRule type="expression" priority="9" dxfId="70">
      <formula>NOT(AND(OR($D2="retain",$D2=""),$E2="statistical_results"))</formula>
    </cfRule>
  </conditionalFormatting>
  <conditionalFormatting sqref="J2:J14">
    <cfRule type="expression" priority="10" dxfId="70">
      <formula>NOT(AND(OR($D2="retain",$D2=""),$E2="statistical_results"))</formula>
    </cfRule>
  </conditionalFormatting>
  <conditionalFormatting sqref="K2:K14">
    <cfRule type="expression" priority="11" dxfId="70">
      <formula>NOT(AND(OR($D2="retain",$D2=""),OR($E2="report_internal_inconsistency",$E2="plan_material")))</formula>
    </cfRule>
  </conditionalFormatting>
  <conditionalFormatting sqref="L2:L14">
    <cfRule type="expression" priority="12" dxfId="70">
      <formula>NOT(AND(OR($D2="retain",$D2=""),$E2="protocol_report"))</formula>
    </cfRule>
  </conditionalFormatting>
  <conditionalFormatting sqref="G2:G14">
    <cfRule type="expression" priority="13" dxfId="71">
      <formula>G2&lt;&gt;"PRIMARY READY"</formula>
    </cfRule>
  </conditionalFormatting>
  <dataValidations count="8">
    <dataValidation sqref="D2:D14" showDropDown="0" showInputMessage="0" showErrorMessage="1" allowBlank="1" errorTitle="Use a listed option" error="Choose an option; G also checks pasted entries." type="list" errorStyle="stop">
      <formula1>"retain,exclude,discuss"</formula1>
    </dataValidation>
    <dataValidation sqref="E2:E14" showDropDown="0" showInputMessage="0" showErrorMessage="1" allowBlank="1" errorTitle="Use a listed option" error="Choose an option; G also checks pasted entries." type="list" errorStyle="stop">
      <formula1>"statistical_results,report_internal_inconsistency,plan_material,protocol_report"</formula1>
    </dataValidation>
    <dataValidation sqref="F2:F14" showDropDown="0" showInputMessage="0" showErrorMessage="1" allowBlank="1" errorTitle="Use a listed option" error="Choose an option; G also checks pasted entries." type="list" errorStyle="stop">
      <formula1>"no,primary_done"</formula1>
    </dataValidation>
    <dataValidation sqref="H2:H14" showDropDown="0" showInputMessage="0" showErrorMessage="1" allowBlank="1" errorTitle="Use a listed option" error="Choose an option; G also checks pasted entries." type="list" errorStyle="stop">
      <formula1>"confirmed_issue,probable_issue,not_issue,indeterminate,not_applicable"</formula1>
    </dataValidation>
    <dataValidation sqref="I2:I14" showDropDown="0" showInputMessage="0" showErrorMessage="1" allowBlank="1" errorTitle="Use a listed option" error="Choose an option; G also checks pasted entries." type="list" errorStyle="stop">
      <formula1>"substantive,minor_presentation,indeterminate,not_applicable"</formula1>
    </dataValidation>
    <dataValidation sqref="J2:J14" showDropDown="0" showInputMessage="0" showErrorMessage="1" allowBlank="1" errorTitle="Use a listed option" error="Choose an option; G also checks pasted entries." type="list" errorStyle="stop">
      <formula1>"direct,possible,unlikely,unknown,not_applicable"</formula1>
    </dataValidation>
    <dataValidation sqref="K2:K14" showDropDown="0" showInputMessage="0" showErrorMessage="1" allowBlank="1" errorTitle="Use a listed option" error="Choose an option; G also checks pasted entries." type="list" errorStyle="stop">
      <formula1>"substantive_inconsistency,minor_presentation,non_inconsistency,indeterminate,not_applicable"</formula1>
    </dataValidation>
    <dataValidation sqref="L2:L14" showDropDown="0" showInputMessage="0" showErrorMessage="1" allowBlank="1" errorTitle="Use a listed option" error="Choose an option; G also checks pasted entries." type="list" errorStyle="stop">
      <formula1>"substantive_difference,minor_presentation,version_timing,non_inconsistency,indeterminate,not_applicable"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56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style="14" min="1" max="1"/>
    <col width="30" customWidth="1" style="14" min="2" max="2"/>
    <col width="40" customWidth="1" style="14" min="3" max="3"/>
    <col width="96" customWidth="1" style="14" min="4" max="4"/>
    <col width="28" customWidth="1" style="14" min="5" max="5"/>
  </cols>
  <sheetData>
    <row r="1" ht="42" customFormat="1" customHeight="1" s="14">
      <c r="A1" s="15" t="inlineStr">
        <is>
          <t>Field name</t>
        </is>
      </c>
      <c r="B1" s="15" t="inlineStr">
        <is>
          <t>Option / value</t>
        </is>
      </c>
      <c r="C1" s="15" t="inlineStr">
        <is>
          <t>Requirement / scope</t>
        </is>
      </c>
      <c r="D1" s="15" t="inlineStr">
        <is>
          <t>Explanation and example</t>
        </is>
      </c>
      <c r="E1" s="15" t="inlineStr">
        <is>
          <t>Internal key</t>
        </is>
      </c>
    </row>
    <row r="2" ht="100" customFormat="1" customHeight="1" s="14">
      <c r="A2" s="16" t="inlineStr">
        <is>
          <t>Working method</t>
        </is>
      </c>
      <c r="B2" s="16" t="inlineStr">
        <is>
          <t>GUIDE</t>
        </is>
      </c>
      <c r="C2" s="16" t="inlineStr">
        <is>
          <t>Independent primary</t>
        </is>
      </c>
      <c r="D2" s="16" t="inlineStr">
        <is>
          <t>Blank means no answer, never inherited. Clear obsolete literal answers after branch changes. not_applicable means inactive.</t>
        </is>
      </c>
      <c r="E2" s="16" t="n"/>
    </row>
    <row r="3" ht="100" customFormat="1" customHeight="1" s="14">
      <c r="A3" s="17" t="inlineStr">
        <is>
          <t>Required judgments</t>
        </is>
      </c>
      <c r="B3" s="17" t="inlineStr">
        <is>
          <t>GUIDE</t>
        </is>
      </c>
      <c r="C3" s="17" t="inlineStr">
        <is>
          <t>Retain only</t>
        </is>
      </c>
      <c r="D3" s="17" t="inlineStr">
        <is>
          <t>statistical_results: issue + substantiveness; report_internal_inconsistency or plan_material: internalStatus. protocol_report: no extra required judgment; interpretation is optional.</t>
        </is>
      </c>
      <c r="E3" s="17" t="n"/>
    </row>
    <row r="4" ht="100" customFormat="1" customHeight="1" s="14">
      <c r="A4" s="16" t="inlineStr">
        <is>
          <t>How to read this Codebook</t>
        </is>
      </c>
      <c r="B4" s="16" t="n"/>
      <c r="C4" s="16" t="n"/>
      <c r="D4" s="16" t="n"/>
      <c r="E4" s="16" t="n"/>
    </row>
    <row r="5" ht="100" customFormat="1" customHeight="1" s="14">
      <c r="A5" s="17" t="inlineStr">
        <is>
          <t>1  |  Common decisions and optional notes</t>
        </is>
      </c>
      <c r="B5" s="17" t="n"/>
      <c r="C5" s="17" t="n"/>
      <c r="D5" s="17" t="n"/>
      <c r="E5" s="17" t="n"/>
    </row>
    <row r="6" ht="100" customFormat="1" customHeight="1" s="14">
      <c r="A6" s="16" t="inlineStr">
        <is>
          <t>Disposition</t>
        </is>
      </c>
      <c r="B6" s="16" t="inlineStr">
        <is>
          <t>FIELD</t>
        </is>
      </c>
      <c r="C6" s="16" t="inlineStr">
        <is>
          <t>Required; all domains</t>
        </is>
      </c>
      <c r="D6" s="16" t="inlineStr">
        <is>
          <t>Keep, exclude, or defer for discussion. Blank means untouched, not discuss. No AI disposition is preselected.</t>
        </is>
      </c>
      <c r="E6" s="16" t="inlineStr">
        <is>
          <t>disposition</t>
        </is>
      </c>
    </row>
    <row r="7" ht="100" customFormat="1" customHeight="1" s="14">
      <c r="A7" s="17" t="n"/>
      <c r="B7" s="17" t="inlineStr">
        <is>
          <t>retain</t>
        </is>
      </c>
      <c r="C7" s="17" t="inlineStr">
        <is>
          <t>Option</t>
        </is>
      </c>
      <c r="D7" s="17" t="inlineStr">
        <is>
          <t>Retain candidate. After human review, keep this finding in the applicable review results; retaining a protocol discrepancy does not automatically confirm an issue.</t>
        </is>
      </c>
      <c r="E7" s="17" t="n"/>
    </row>
    <row r="8" ht="100" customFormat="1" customHeight="1" s="14">
      <c r="A8" s="16" t="n"/>
      <c r="B8" s="16" t="inlineStr">
        <is>
          <t>exclude</t>
        </is>
      </c>
      <c r="C8" s="16" t="inlineStr">
        <is>
          <t>Option</t>
        </is>
      </c>
      <c r="D8" s="16" t="inlineStr">
        <is>
          <t>Do not retain. The candidate has been assessed and should not remain as a finding, for example because the apparent mismatch has a satisfactory explanation.</t>
        </is>
      </c>
      <c r="E8" s="16" t="n"/>
    </row>
    <row r="9" ht="100" customFormat="1" customHeight="1" s="14">
      <c r="A9" s="17" t="n"/>
      <c r="B9" s="17" t="inlineStr">
        <is>
          <t>discuss</t>
        </is>
      </c>
      <c r="C9" s="17" t="inlineStr">
        <is>
          <t>Option</t>
        </is>
      </c>
      <c r="D9" s="17" t="inlineStr">
        <is>
          <t>Needs discussion. The reviewer has considered the candidate but cannot settle the disposition without further discussion. This is a decision to defer, not an untouched blank.</t>
        </is>
      </c>
      <c r="E9" s="17" t="n"/>
    </row>
    <row r="10" ht="100" customFormat="1" customHeight="1" s="14">
      <c r="A10" s="16" t="inlineStr">
        <is>
          <t>Review domain</t>
        </is>
      </c>
      <c r="B10" s="16" t="inlineStr">
        <is>
          <t>FIELD</t>
        </is>
      </c>
      <c r="C10" s="16" t="inlineStr">
        <is>
          <t>Required; all domains</t>
        </is>
      </c>
      <c r="D10" s="16" t="inlineStr">
        <is>
          <t>Choose the assessment branch first. It controls automatic not_applicable defaults and which judgments are required. All four choices are available; the frozen document relationship code does not change.</t>
        </is>
      </c>
      <c r="E10" s="16" t="inlineStr">
        <is>
          <t>domain</t>
        </is>
      </c>
    </row>
    <row r="11" ht="100" customFormat="1" customHeight="1" s="14">
      <c r="A11" s="17" t="n"/>
      <c r="B11" s="17" t="inlineStr">
        <is>
          <t>statistical_results</t>
        </is>
      </c>
      <c r="C11" s="17" t="inlineStr">
        <is>
          <t>Option</t>
        </is>
      </c>
      <c r="D11" s="17" t="inlineStr">
        <is>
          <t>Statistical results (S_C / S_W). Assess reported numbers, estimates, intervals, denominators or statistical claims in the current report materials.</t>
        </is>
      </c>
      <c r="E11" s="17" t="n"/>
    </row>
    <row r="12" ht="100" customFormat="1" customHeight="1" s="14">
      <c r="A12" s="16" t="n"/>
      <c r="B12" s="16" t="inlineStr">
        <is>
          <t>report_internal_inconsistency</t>
        </is>
      </c>
      <c r="C12" s="16" t="inlineStr">
        <is>
          <t>Option</t>
        </is>
      </c>
      <c r="D12" s="16" t="inlineStr">
        <is>
          <t>Report internal inconsistency (S_C / S_W). Assess inconsistencies within the main paper, within the updated supplement, or between the main paper and updated supplement. The name describes the report materials being compared; it is not restricted to nonstatistical content. Use statistical_results when specifically judging a statistical or numerical reporting issue.</t>
        </is>
      </c>
      <c r="E12" s="16" t="n"/>
    </row>
    <row r="13" ht="100" customFormat="1" customHeight="1" s="14">
      <c r="A13" s="17" t="n"/>
      <c r="B13" s="17" t="inlineStr">
        <is>
          <t>protocol_report</t>
        </is>
      </c>
      <c r="C13" s="17" t="inlineStr">
        <is>
          <t>Option</t>
        </is>
      </c>
      <c r="D13" s="17" t="inlineStr">
        <is>
          <t>Protocol-report (P_R). Assess whether planned and reported conduct or analyses meaningfully differ, using the compared materials. No search for acknowledgment or reasons for changes is required.</t>
        </is>
      </c>
      <c r="E13" s="17" t="n"/>
    </row>
    <row r="14" ht="100" customFormat="1" customHeight="1" s="14">
      <c r="A14" s="16" t="n"/>
      <c r="B14" s="16" t="inlineStr">
        <is>
          <t>plan_material</t>
        </is>
      </c>
      <c r="C14" s="16" t="inlineStr">
        <is>
          <t>Option</t>
        </is>
      </c>
      <c r="D14" s="16" t="inlineStr">
        <is>
          <t>Plan material (P_P). Assess an inconsistency involving planning materials themselves rather than a planned-versus-reported result. The original relationship code remains unchanged.</t>
        </is>
      </c>
      <c r="E14" s="16" t="n"/>
    </row>
    <row r="15" ht="100" customFormat="1" customHeight="1" s="14">
      <c r="A15" s="17" t="inlineStr">
        <is>
          <t>Complete</t>
        </is>
      </c>
      <c r="B15" s="17" t="inlineStr">
        <is>
          <t>FIELD</t>
        </is>
      </c>
      <c r="C15" s="17" t="inlineStr">
        <is>
          <t>Independent primary</t>
        </is>
      </c>
      <c r="D15" s="17" t="inlineStr">
        <is>
          <t>Use no while drafting; primary_done after manual review. Reset to no before editing a completed row, review again, then mark primary_done.</t>
        </is>
      </c>
      <c r="E15" s="17" t="inlineStr">
        <is>
          <t>reviewComplete</t>
        </is>
      </c>
    </row>
    <row r="16" ht="100" customFormat="1" customHeight="1" s="14">
      <c r="A16" s="16" t="n"/>
      <c r="B16" s="16" t="inlineStr">
        <is>
          <t>no</t>
        </is>
      </c>
      <c r="C16" s="16" t="inlineStr">
        <is>
          <t>Option</t>
        </is>
      </c>
      <c r="D16" s="16" t="inlineStr">
        <is>
          <t>Draft. This review stage is not yet confirmed complete; AI suggestions or partially filled fields do not count as completed human review.</t>
        </is>
      </c>
      <c r="E16" s="16" t="n"/>
    </row>
    <row r="17" ht="100" customFormat="1" customHeight="1" s="14">
      <c r="A17" s="17" t="inlineStr">
        <is>
          <t>Validation hint</t>
        </is>
      </c>
      <c r="B17" s="17" t="inlineStr">
        <is>
          <t>FIELD</t>
        </is>
      </c>
      <c r="C17" s="17" t="inlineStr">
        <is>
          <t>Calculated</t>
        </is>
      </c>
      <c r="D17" s="17" t="inlineStr">
        <is>
          <t>PRIMARY READY means valid independent primary entry and manual completion, including discuss. Other hints identify missing or invalid input. This does not establish scientific accuracy.</t>
        </is>
      </c>
      <c r="E17" s="17" t="inlineStr">
        <is>
          <t>readiness</t>
        </is>
      </c>
    </row>
    <row r="18" ht="100" customFormat="1" customHeight="1" s="14">
      <c r="A18" s="16" t="inlineStr">
        <is>
          <t>Notes (optional)</t>
        </is>
      </c>
      <c r="B18" s="16" t="inlineStr">
        <is>
          <t>FIELD</t>
        </is>
      </c>
      <c r="C18" s="16" t="inlineStr">
        <is>
          <t>Optional</t>
        </is>
      </c>
      <c r="D18" s="16" t="inlineStr">
        <is>
          <t>Optional English context. Clearing removes the text; no inheritance and no control words.</t>
        </is>
      </c>
      <c r="E18" s="16" t="inlineStr">
        <is>
          <t>notes</t>
        </is>
      </c>
    </row>
    <row r="19" ht="100" customFormat="1" customHeight="1" s="14">
      <c r="A19" s="17" t="inlineStr">
        <is>
          <t>2  |  Statistical results: two required judgments</t>
        </is>
      </c>
      <c r="B19" s="17" t="n"/>
      <c r="C19" s="17" t="n"/>
      <c r="D19" s="17" t="n"/>
      <c r="E19" s="17" t="n"/>
    </row>
    <row r="20" ht="100" customFormat="1" customHeight="1" s="14">
      <c r="A20" s="16" t="inlineStr">
        <is>
          <t>Statistcal_or_numerical issue</t>
        </is>
      </c>
      <c r="B20" s="16" t="inlineStr">
        <is>
          <t>FIELD</t>
        </is>
      </c>
      <c r="C20" s="16" t="inlineStr">
        <is>
          <t>Required; retained statistical_results</t>
        </is>
      </c>
      <c r="D20" s="16" t="inlineStr">
        <is>
          <t>Does a statistical or numerical reporting issue exist? Example: a reported percentage conflicts with its stated numerator and denominator after checking definitions. Certainty is separate from importance.</t>
        </is>
      </c>
      <c r="E20" s="16" t="inlineStr">
        <is>
          <t>statisticalIssueStatus</t>
        </is>
      </c>
    </row>
    <row r="21" ht="100" customFormat="1" customHeight="1" s="14">
      <c r="A21" s="17" t="n"/>
      <c r="B21" s="17" t="inlineStr">
        <is>
          <t>confirmed_issue</t>
        </is>
      </c>
      <c r="C21" s="17" t="inlineStr">
        <is>
          <t>Option</t>
        </is>
      </c>
      <c r="D21" s="17" t="inlineStr">
        <is>
          <t>Confirmed statistical or numerical reporting issue. The available evidence establishes a reporting issue or contradiction, even if the correct replacement value is not known.</t>
        </is>
      </c>
      <c r="E21" s="17" t="n"/>
    </row>
    <row r="22" ht="100" customFormat="1" customHeight="1" s="14">
      <c r="A22" s="16" t="n"/>
      <c r="B22" s="16" t="inlineStr">
        <is>
          <t>probable_issue</t>
        </is>
      </c>
      <c r="C22" s="16" t="inlineStr">
        <is>
          <t>Option</t>
        </is>
      </c>
      <c r="D22" s="16" t="inlineStr">
        <is>
          <t>Probable statistical or numerical reporting issue. The evidence favors a reporting issue, but an unresolved limitation or plausible alternative prevents confirmation.</t>
        </is>
      </c>
      <c r="E22" s="16" t="n"/>
    </row>
    <row r="23" ht="100" customFormat="1" customHeight="1" s="14">
      <c r="A23" s="17" t="n"/>
      <c r="B23" s="17" t="inlineStr">
        <is>
          <t>not_issue</t>
        </is>
      </c>
      <c r="C23" s="17" t="inlineStr">
        <is>
          <t>Option</t>
        </is>
      </c>
      <c r="D23" s="17" t="inlineStr">
        <is>
          <t>Not a statistical or numerical issue. The apparent discrepancy is consistent with a valid calculation, definition, analysis method or reporting context.</t>
        </is>
      </c>
      <c r="E23" s="17" t="n"/>
    </row>
    <row r="24" ht="100" customFormat="1" customHeight="1" s="14">
      <c r="A24" s="16" t="n"/>
      <c r="B24" s="16" t="inlineStr">
        <is>
          <t>indeterminate</t>
        </is>
      </c>
      <c r="C24" s="16" t="inlineStr">
        <is>
          <t>Option</t>
        </is>
      </c>
      <c r="D24" s="16" t="inlineStr">
        <is>
          <t>Indeterminate. The available evidence does not support deciding whether a statistical or numerical reporting issue exists; neither confirmation nor dismissal is justified.</t>
        </is>
      </c>
      <c r="E24" s="16" t="n"/>
    </row>
    <row r="25" ht="100" customFormat="1" customHeight="1" s="14">
      <c r="A25" s="17" t="n"/>
      <c r="B25" s="17" t="inlineStr">
        <is>
          <t>not_applicable</t>
        </is>
      </c>
      <c r="C25" s="17" t="inlineStr">
        <is>
          <t>Option</t>
        </is>
      </c>
      <c r="D25" s="17" t="inlineStr">
        <is>
          <t>Automatic default outside this field's review domain or for a non-retained candidate. It is not an issue verdict, missing evidence, or an unanswered applicable question. Do not choose it for an applicable field.</t>
        </is>
      </c>
      <c r="E25" s="17" t="n"/>
    </row>
    <row r="26" ht="100" customFormat="1" customHeight="1" s="14">
      <c r="A26" s="16" t="inlineStr">
        <is>
          <t>Substantiveness</t>
        </is>
      </c>
      <c r="B26" s="16" t="inlineStr">
        <is>
          <t>FIELD</t>
        </is>
      </c>
      <c r="C26" s="16" t="inlineStr">
        <is>
          <t>Required; retained statistical_results</t>
        </is>
      </c>
      <c r="D26" s="16" t="inlineStr">
        <is>
          <t>Could the issue meaningfully affect interpretation or data use? A harmless spacing typo is minor_presentation; an ambiguous extractable effect estimate may be substantive. An issue can be confirmed yet minor.</t>
        </is>
      </c>
      <c r="E26" s="16" t="inlineStr">
        <is>
          <t>substantiveStatus</t>
        </is>
      </c>
    </row>
    <row r="27" ht="100" customFormat="1" customHeight="1" s="14">
      <c r="A27" s="17" t="n"/>
      <c r="B27" s="17" t="inlineStr">
        <is>
          <t>substantive</t>
        </is>
      </c>
      <c r="C27" s="17" t="inlineStr">
        <is>
          <t>Option</t>
        </is>
      </c>
      <c r="D27" s="17" t="inlineStr">
        <is>
          <t>Substantive. The issue could meaningfully change interpretation, data extraction or downstream analysis, rather than only the presentation of the result.</t>
        </is>
      </c>
      <c r="E27" s="17" t="n"/>
    </row>
    <row r="28" ht="100" customFormat="1" customHeight="1" s="14">
      <c r="A28" s="16" t="n"/>
      <c r="B28" s="16" t="inlineStr">
        <is>
          <t>minor_presentation</t>
        </is>
      </c>
      <c r="C28" s="16" t="inlineStr">
        <is>
          <t>Option</t>
        </is>
      </c>
      <c r="D28" s="16" t="inlineStr">
        <is>
          <t>Minor or presentation only. The intended result remains clear and the issue is a small formatting, labeling or typographic problem without a meaningful change in interpretation.</t>
        </is>
      </c>
      <c r="E28" s="16" t="n"/>
    </row>
    <row r="29" ht="100" customFormat="1" customHeight="1" s="14">
      <c r="A29" s="17" t="n"/>
      <c r="B29" s="17" t="inlineStr">
        <is>
          <t>indeterminate</t>
        </is>
      </c>
      <c r="C29" s="17" t="inlineStr">
        <is>
          <t>Option</t>
        </is>
      </c>
      <c r="D29" s="17" t="inlineStr">
        <is>
          <t>Indeterminate. There is not enough information to decide whether the issue is substantive or limited to presentation.</t>
        </is>
      </c>
      <c r="E29" s="17" t="n"/>
    </row>
    <row r="30" ht="100" customFormat="1" customHeight="1" s="14">
      <c r="A30" s="16" t="n"/>
      <c r="B30" s="16" t="inlineStr">
        <is>
          <t>not_applicable</t>
        </is>
      </c>
      <c r="C30" s="16" t="inlineStr">
        <is>
          <t>Option</t>
        </is>
      </c>
      <c r="D30" s="16" t="inlineStr">
        <is>
          <t>Automatic default outside this field's review domain or for a non-retained candidate. It is not an issue verdict, missing evidence, or an unanswered applicable question. Do not choose it for an applicable field.</t>
        </is>
      </c>
      <c r="E30" s="16" t="n"/>
    </row>
    <row r="31" ht="100" customFormat="1" customHeight="1" s="14">
      <c r="A31" s="17" t="inlineStr">
        <is>
          <t>Downstream impact</t>
        </is>
      </c>
      <c r="B31" s="17" t="inlineStr">
        <is>
          <t>FIELD</t>
        </is>
      </c>
      <c r="C31" s="17" t="inlineStr">
        <is>
          <t>Optional; retained statistical_results</t>
        </is>
      </c>
      <c r="D31" s="17" t="inlineStr">
        <is>
          <t>Add only useful information about later extraction or analysis. direct means the affected value itself may be extracted, not that harm has occurred. Blank is allowed and means not assessed; it is not unlikely or not_applicable. This field does not determine temporal eligibility.</t>
        </is>
      </c>
      <c r="E31" s="17" t="inlineStr">
        <is>
          <t>downstreamImpact</t>
        </is>
      </c>
    </row>
    <row r="32" ht="100" customFormat="1" customHeight="1" s="14">
      <c r="A32" s="16" t="n"/>
      <c r="B32" s="16" t="inlineStr">
        <is>
          <t>direct</t>
        </is>
      </c>
      <c r="C32" s="16" t="inlineStr">
        <is>
          <t>Option</t>
        </is>
      </c>
      <c r="D32" s="16" t="inlineStr">
        <is>
          <t>Direct extraction or analysis impact. The affected value or definition is itself an input to data extraction or subsequent analysis; this describes potential impact, not proven downstream harm.</t>
        </is>
      </c>
      <c r="E32" s="16" t="n"/>
    </row>
    <row r="33" ht="100" customFormat="1" customHeight="1" s="14">
      <c r="A33" s="17" t="n"/>
      <c r="B33" s="17" t="inlineStr">
        <is>
          <t>possible</t>
        </is>
      </c>
      <c r="C33" s="17" t="inlineStr">
        <is>
          <t>Option</t>
        </is>
      </c>
      <c r="D33" s="17" t="inlineStr">
        <is>
          <t>Possible downstream impact. A plausible route to affecting later interpretation, extraction or analysis exists, but the connection is indirect or uncertain.</t>
        </is>
      </c>
      <c r="E33" s="17" t="n"/>
    </row>
    <row r="34" ht="100" customFormat="1" customHeight="1" s="14">
      <c r="A34" s="16" t="n"/>
      <c r="B34" s="16" t="inlineStr">
        <is>
          <t>unlikely</t>
        </is>
      </c>
      <c r="C34" s="16" t="inlineStr">
        <is>
          <t>Option</t>
        </is>
      </c>
      <c r="D34" s="16" t="inlineStr">
        <is>
          <t>Unlikely downstream impact. The issue is unlikely to change extracted information or later analysis because the relevant result remains clear and usable.</t>
        </is>
      </c>
      <c r="E34" s="16" t="n"/>
    </row>
    <row r="35" ht="100" customFormat="1" customHeight="1" s="14">
      <c r="A35" s="17" t="n"/>
      <c r="B35" s="17" t="inlineStr">
        <is>
          <t>unknown</t>
        </is>
      </c>
      <c r="C35" s="17" t="inlineStr">
        <is>
          <t>Option</t>
        </is>
      </c>
      <c r="D35" s="17" t="inlineStr">
        <is>
          <t>Unable to assess. The materials do not establish enough about the affected information or its likely use to judge downstream impact.</t>
        </is>
      </c>
      <c r="E35" s="17" t="n"/>
    </row>
    <row r="36" ht="100" customFormat="1" customHeight="1" s="14">
      <c r="A36" s="16" t="n"/>
      <c r="B36" s="16" t="inlineStr">
        <is>
          <t>not_applicable</t>
        </is>
      </c>
      <c r="C36" s="16" t="inlineStr">
        <is>
          <t>Option</t>
        </is>
      </c>
      <c r="D36" s="16" t="inlineStr">
        <is>
          <t>Automatic default outside this field's review domain or for a non-retained candidate. It is not an issue verdict, missing evidence, or an unanswered applicable question. Do not choose it for an applicable field.</t>
        </is>
      </c>
      <c r="E36" s="16" t="n"/>
    </row>
    <row r="37" ht="100" customFormat="1" customHeight="1" s="14">
      <c r="A37" s="17" t="inlineStr">
        <is>
          <t>3  |  Report internal or planning-material inconsistency</t>
        </is>
      </c>
      <c r="B37" s="17" t="n"/>
      <c r="C37" s="17" t="n"/>
      <c r="D37" s="17" t="n"/>
      <c r="E37" s="17" t="n"/>
    </row>
    <row r="38" ht="100" customFormat="1" customHeight="1" s="14">
      <c r="A38" s="16" t="inlineStr">
        <is>
          <t>Report-internal or planning-material inconsistency</t>
        </is>
      </c>
      <c r="B38" s="16" t="inlineStr">
        <is>
          <t>FIELD</t>
        </is>
      </c>
      <c r="C38" s="16" t="inlineStr">
        <is>
          <t>Required; retained report_internal_inconsistency or plan_material</t>
        </is>
      </c>
      <c r="D38" s="16" t="inlineStr">
        <is>
          <t>Judge whether the compared materials are inconsistent and how much that matters. For report_internal_inconsistency, compare content within the main paper, within the updated supplement, or between those two report materials. For plan_material, compare planning materials such as protocol versus protocol or SAP. Plan versus final report belongs to protocol_report. Use statistical_results when specifically judging a statistical or numerical reporting issue.</t>
        </is>
      </c>
      <c r="E38" s="16" t="inlineStr">
        <is>
          <t>internalStatus</t>
        </is>
      </c>
    </row>
    <row r="39" ht="100" customFormat="1" customHeight="1" s="14">
      <c r="A39" s="17" t="n"/>
      <c r="B39" s="17" t="inlineStr">
        <is>
          <t>substantive_inconsistency</t>
        </is>
      </c>
      <c r="C39" s="17" t="inlineStr">
        <is>
          <t>Option</t>
        </is>
      </c>
      <c r="D39" s="17" t="inlineStr">
        <is>
          <t>Substantive inconsistency. Conflicting statements, values, labels, or descriptions in the compared report or planning materials could materially change how the study, population, procedures or results are understood.</t>
        </is>
      </c>
      <c r="E39" s="17" t="n"/>
    </row>
    <row r="40" ht="100" customFormat="1" customHeight="1" s="14">
      <c r="A40" s="16" t="n"/>
      <c r="B40" s="16" t="inlineStr">
        <is>
          <t>minor_presentation</t>
        </is>
      </c>
      <c r="C40" s="16" t="inlineStr">
        <is>
          <t>Option</t>
        </is>
      </c>
      <c r="D40" s="16" t="inlineStr">
        <is>
          <t>Minor presentation inconsistency. A real discrepancy exists, but it mainly affects presentation, including minor wording or labeling problems, and the intended meaning remains clear. Example: an imprecise label whose intended meaning is clear from context.</t>
        </is>
      </c>
      <c r="E40" s="16" t="n"/>
    </row>
    <row r="41" ht="100" customFormat="1" customHeight="1" s="14">
      <c r="A41" s="17" t="n"/>
      <c r="B41" s="17" t="inlineStr">
        <is>
          <t>non_inconsistency</t>
        </is>
      </c>
      <c r="C41" s="17" t="inlineStr">
        <is>
          <t>Option</t>
        </is>
      </c>
      <c r="D41" s="17" t="inlineStr">
        <is>
          <t>Not an inconsistency. The statements are compatible once their definitions, populations, time points or other context are taken into account. This includes different wording with the same substantive meaning. Example: participants and study participants refer to the same group.</t>
        </is>
      </c>
      <c r="E41" s="17" t="n"/>
    </row>
    <row r="42" ht="100" customFormat="1" customHeight="1" s="14">
      <c r="A42" s="16" t="n"/>
      <c r="B42" s="16" t="inlineStr">
        <is>
          <t>indeterminate</t>
        </is>
      </c>
      <c r="C42" s="16" t="inlineStr">
        <is>
          <t>Option</t>
        </is>
      </c>
      <c r="D42" s="16" t="inlineStr">
        <is>
          <t>Indeterminate. The available material is insufficient to establish whether the statements conflict or how important any conflict is.</t>
        </is>
      </c>
      <c r="E42" s="16" t="n"/>
    </row>
    <row r="43" ht="100" customFormat="1" customHeight="1" s="14">
      <c r="A43" s="17" t="n"/>
      <c r="B43" s="17" t="inlineStr">
        <is>
          <t>not_applicable</t>
        </is>
      </c>
      <c r="C43" s="17" t="inlineStr">
        <is>
          <t>Option</t>
        </is>
      </c>
      <c r="D43" s="17" t="inlineStr">
        <is>
          <t>Automatic default outside this field's review domain or for a non-retained candidate. It is not an issue verdict, missing evidence, or an unanswered applicable question. Do not choose it for an applicable field.</t>
        </is>
      </c>
      <c r="E43" s="17" t="n"/>
    </row>
    <row r="44" ht="100" customFormat="1" customHeight="1" s="14">
      <c r="A44" s="16" t="inlineStr">
        <is>
          <t>4  |  Protocol versus report: optional description only</t>
        </is>
      </c>
      <c r="B44" s="16" t="n"/>
      <c r="C44" s="16" t="n"/>
      <c r="D44" s="16" t="n"/>
      <c r="E44" s="16" t="n"/>
    </row>
    <row r="45" ht="100" customFormat="1" customHeight="1" s="14">
      <c r="A45" s="17" t="inlineStr">
        <is>
          <t>Protocol interpretation</t>
        </is>
      </c>
      <c r="B45" s="17" t="inlineStr">
        <is>
          <t>FIELD</t>
        </is>
      </c>
      <c r="C45" s="17" t="inlineStr">
        <is>
          <t>Optional; retained protocol_report</t>
        </is>
      </c>
      <c r="D45" s="17" t="inlineStr">
        <is>
          <t>Describe the compared plan and report only when useful: meaningful difference, minor presentation issue, version/timing ambiguity, no inconsistency, or indeterminate. Use minor_presentation for a small wording problem and non_inconsistency for equivalent wording with no actual conflict. Use the available comparison evidence; no additional search for change records or reasons is required. Blank is allowed and never blocks completion. Retained protocol differences are descriptive and excluded from temporal analysis.</t>
        </is>
      </c>
      <c r="E45" s="17" t="inlineStr">
        <is>
          <t>protocolInterpretation</t>
        </is>
      </c>
    </row>
    <row r="46" ht="100" customFormat="1" customHeight="1" s="14">
      <c r="A46" s="16" t="n"/>
      <c r="B46" s="16" t="inlineStr">
        <is>
          <t>substantive_difference</t>
        </is>
      </c>
      <c r="C46" s="16" t="inlineStr">
        <is>
          <t>Option</t>
        </is>
      </c>
      <c r="D46" s="16" t="inlineStr">
        <is>
          <t>Substantive difference. The compared plan and report meaningfully differ in an outcome, population, procedure, or analysis. This describes the difference; it does not establish an issue or an unjustified change. Example: the planned primary time point is 12 months but the report uses 6 months.</t>
        </is>
      </c>
      <c r="E46" s="16" t="n"/>
    </row>
    <row r="47" ht="100" customFormat="1" customHeight="1" s="14">
      <c r="A47" s="17" t="n"/>
      <c r="B47" s="17" t="inlineStr">
        <is>
          <t>minor_presentation</t>
        </is>
      </c>
      <c r="C47" s="17" t="inlineStr">
        <is>
          <t>Option</t>
        </is>
      </c>
      <c r="D47" s="17" t="inlineStr">
        <is>
          <t>Minor presentation difference. A minor wording, labeling or presentation problem exists, but the intended planned and reported meaning or conduct remains clear. Example: an imprecise outcome label clarified by the same definition in both documents.</t>
        </is>
      </c>
      <c r="E47" s="17" t="n"/>
    </row>
    <row r="48" ht="100" customFormat="1" customHeight="1" s="14">
      <c r="A48" s="16" t="n"/>
      <c r="B48" s="16" t="inlineStr">
        <is>
          <t>version_timing</t>
        </is>
      </c>
      <c r="C48" s="16" t="inlineStr">
        <is>
          <t>Option</t>
        </is>
      </c>
      <c r="D48" s="16" t="inlineStr">
        <is>
          <t>Version or timing ambiguity. The difference may reflect which protocol version or date is being compared; the sequence cannot be resolved from the available material.</t>
        </is>
      </c>
      <c r="E48" s="16" t="n"/>
    </row>
    <row r="49" ht="100" customFormat="1" customHeight="1" s="14">
      <c r="A49" s="17" t="n"/>
      <c r="B49" s="17" t="inlineStr">
        <is>
          <t>non_inconsistency</t>
        </is>
      </c>
      <c r="C49" s="17" t="inlineStr">
        <is>
          <t>Option</t>
        </is>
      </c>
      <c r="D49" s="17" t="inlineStr">
        <is>
          <t>No inconsistency. The compared statements are compatible after checking the population, definitions, time points, or context, including equivalent wording with no change in meaning or conduct. Example: week 12 and 12 weeks after baseline describe the same time point. Normally consider Disposition=exclude for this candidate.</t>
        </is>
      </c>
      <c r="E49" s="17" t="n"/>
    </row>
    <row r="50" ht="100" customFormat="1" customHeight="1" s="14">
      <c r="A50" s="16" t="n"/>
      <c r="B50" s="16" t="inlineStr">
        <is>
          <t>indeterminate</t>
        </is>
      </c>
      <c r="C50" s="16" t="inlineStr">
        <is>
          <t>Option</t>
        </is>
      </c>
      <c r="D50" s="16" t="inlineStr">
        <is>
          <t>Indeterminate. The available evidence cannot support a more specific interpretation of the planned-versus-reported difference.</t>
        </is>
      </c>
      <c r="E50" s="16" t="n"/>
    </row>
    <row r="51" ht="100" customFormat="1" customHeight="1" s="14">
      <c r="A51" s="17" t="n"/>
      <c r="B51" s="17" t="inlineStr">
        <is>
          <t>not_applicable</t>
        </is>
      </c>
      <c r="C51" s="17" t="inlineStr">
        <is>
          <t>Option</t>
        </is>
      </c>
      <c r="D51" s="17" t="inlineStr">
        <is>
          <t>Automatic default outside this field's review domain or for a non-retained candidate. It is not an issue verdict, missing evidence, or an unanswered applicable question. Do not choose it for an applicable field.</t>
        </is>
      </c>
      <c r="E51" s="17" t="n"/>
    </row>
    <row r="52" ht="100" customFormat="1" customHeight="1" s="14">
      <c r="A52" s="16" t="inlineStr">
        <is>
          <t>6  |  Candidate context</t>
        </is>
      </c>
      <c r="B52" s="16" t="n"/>
      <c r="C52" s="16" t="n"/>
      <c r="D52" s="16" t="n"/>
      <c r="E52" s="16" t="n"/>
    </row>
    <row r="53" ht="100" customFormat="1" customHeight="1" s="14">
      <c r="A53" s="17" t="inlineStr">
        <is>
          <t>Candidate key</t>
        </is>
      </c>
      <c r="B53" s="17" t="inlineStr">
        <is>
          <t>FIELD</t>
        </is>
      </c>
      <c r="C53" s="17" t="inlineStr">
        <is>
          <t>Reference</t>
        </is>
      </c>
      <c r="D53" s="17" t="inlineStr">
        <is>
          <t>Unique candidate identity used for matching, even after complete rows are reordered. Never edit this value.</t>
        </is>
      </c>
      <c r="E53" s="17" t="inlineStr">
        <is>
          <t>key</t>
        </is>
      </c>
    </row>
    <row r="54" ht="100" customFormat="1" customHeight="1" s="14">
      <c r="A54" s="16" t="inlineStr">
        <is>
          <t>Candidate title</t>
        </is>
      </c>
      <c r="B54" s="16" t="inlineStr">
        <is>
          <t>FIELD</t>
        </is>
      </c>
      <c r="C54" s="16" t="inlineStr">
        <is>
          <t>Reference</t>
        </is>
      </c>
      <c r="D54" s="16" t="inlineStr">
        <is>
          <t>Short candidate title. A candidate is an AI flag for human assessment, not a confirmed issue.</t>
        </is>
      </c>
      <c r="E54" s="16" t="inlineStr">
        <is>
          <t>title</t>
        </is>
      </c>
    </row>
    <row r="55" ht="100" customFormat="1" customHeight="1" s="14">
      <c r="A55" s="17" t="inlineStr">
        <is>
          <t>Source location</t>
        </is>
      </c>
      <c r="B55" s="17" t="inlineStr">
        <is>
          <t>FIELD</t>
        </is>
      </c>
      <c r="C55" s="17" t="inlineStr">
        <is>
          <t>Source reference</t>
        </is>
      </c>
      <c r="D55" s="17" t="inlineStr">
        <is>
          <t>Where to check the source claim. Open the original documents named here (file and PDF page).</t>
        </is>
      </c>
      <c r="E55" s="17" t="inlineStr">
        <is>
          <t>locations</t>
        </is>
      </c>
    </row>
    <row r="56" ht="100" customFormat="1" customHeight="1" s="14">
      <c r="A56" s="16" t="inlineStr">
        <is>
          <t>Complete</t>
        </is>
      </c>
      <c r="B56" s="16" t="inlineStr">
        <is>
          <t>primary_done</t>
        </is>
      </c>
      <c r="C56" s="16" t="inlineStr">
        <is>
          <t>Independent primary</t>
        </is>
      </c>
      <c r="D56" s="16" t="inlineStr">
        <is>
          <t>Use no while drafting; primary_done after manual review. Reset to no before editing a completed row, review again, then mark primary_done.</t>
        </is>
      </c>
      <c r="E56" s="16" t="inlineStr">
        <is>
          <t>reviewComplete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2026-09-19T05:14:10Z</dcterms:created>
  <dcterms:modified xsi:type="dcterms:W3CDTF">2026-10-10T23:06:07Z</dcterms:modified>
</cp:coreProperties>
</file>