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17.21906" sheetId="4" state="visible" r:id="rId4"/>
    <sheet name="C_jama.2018.0156" sheetId="5" state="visible" r:id="rId5"/>
    <sheet name="C_jama.2018.0948" sheetId="6" state="visible" r:id="rId6"/>
    <sheet name="C_jama.2018.14280" sheetId="7" state="visible" r:id="rId7"/>
    <sheet name="C_jama.2018.14282" sheetId="8" state="visible" r:id="rId8"/>
    <sheet name="C_jama.2018.17075" sheetId="9" state="visible" r:id="rId9"/>
    <sheet name="C_jama.2018.18020" sheetId="10" state="visible" r:id="rId10"/>
    <sheet name="C_jama.2018.6496" sheetId="11" state="visible" r:id="rId11"/>
    <sheet name="C_jama.2018.8802" sheetId="12" state="visible" r:id="rId12"/>
    <sheet name="C_jama.2018.9128" sheetId="13" state="visible" r:id="rId13"/>
    <sheet name="Codebook" sheetId="14" state="visible" r:id="rId14"/>
  </sheets>
  <definedNames>
    <definedName name="_xlnm._FilterDatabase" localSheetId="3" hidden="1">'C_jama.2017.21906'!$A$1:$R$7</definedName>
    <definedName name="_xlnm._FilterDatabase" localSheetId="4" hidden="1">'C_jama.2018.0156'!$A$1:$R$9</definedName>
    <definedName name="_xlnm._FilterDatabase" localSheetId="5" hidden="1">'C_jama.2018.0948'!$A$1:$R$8</definedName>
    <definedName name="_xlnm._FilterDatabase" localSheetId="6" hidden="1">'C_jama.2018.14280'!$A$1:$R$24</definedName>
    <definedName name="_xlnm._FilterDatabase" localSheetId="7" hidden="1">'C_jama.2018.14282'!$A$1:$R$29</definedName>
    <definedName name="_xlnm._FilterDatabase" localSheetId="8" hidden="1">'C_jama.2018.17075'!$A$1:$R$9</definedName>
    <definedName name="_xlnm._FilterDatabase" localSheetId="9" hidden="1">'C_jama.2018.18020'!$A$1:$R$15</definedName>
    <definedName name="_xlnm._FilterDatabase" localSheetId="10" hidden="1">'C_jama.2018.6496'!$A$1:$R$5</definedName>
    <definedName name="_xlnm._FilterDatabase" localSheetId="11" hidden="1">'C_jama.2018.8802'!$A$1:$R$9</definedName>
    <definedName name="_xlnm._FilterDatabase" localSheetId="12" hidden="1">'C_jama.2018.9128'!$A$1:$R$14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5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R_A</t>
        </is>
      </c>
    </row>
    <row r="5" ht="42" customFormat="1" customHeight="1" s="14">
      <c r="A5" s="17" t="inlineStr">
        <is>
          <t>year</t>
        </is>
      </c>
      <c r="B5" s="17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119</v>
      </c>
    </row>
    <row r="4" ht="55" customFormat="1" customHeight="1" s="14">
      <c r="A4" s="16" t="inlineStr">
        <is>
          <t>Primary ready rows</t>
        </is>
      </c>
      <c r="B4" s="16">
        <f>COUNTIF('C_jama.2017.21906'!$G$2:$G$7,"PRIMARY READY")+COUNTIF('C_jama.2018.0156'!$G$2:$G$9,"PRIMARY READY")+COUNTIF('C_jama.2018.0948'!$G$2:$G$8,"PRIMARY READY")+COUNTIF('C_jama.2018.14280'!$G$2:$G$24,"PRIMARY READY")+COUNTIF('C_jama.2018.14282'!$G$2:$G$29,"PRIMARY READY")+COUNTIF('C_jama.2018.17075'!$G$2:$G$9,"PRIMARY READY")+COUNTIF('C_jama.2018.18020'!$G$2:$G$15,"PRIMARY READY")+COUNTIF('C_jama.2018.6496'!$G$2:$G$5,"PRIMARY READY")+COUNTIF('C_jama.2018.8802'!$G$2:$G$9,"PRIMARY READY")+COUNTIF('C_jama.2018.9128'!$G$2:$G$14,"PRIMARY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2017.21906'!$D$2:$D$7,"discuss")+COUNTIF('C_jama.2018.0156'!$D$2:$D$9,"discuss")+COUNTIF('C_jama.2018.0948'!$D$2:$D$8,"discuss")+COUNTIF('C_jama.2018.14280'!$D$2:$D$24,"discuss")+COUNTIF('C_jama.2018.14282'!$D$2:$D$29,"discuss")+COUNTIF('C_jama.2018.17075'!$D$2:$D$9,"discuss")+COUNTIF('C_jama.2018.18020'!$D$2:$D$15,"discuss")+COUNTIF('C_jama.2018.6496'!$D$2:$D$5,"discuss")+COUNTIF('C_jama.2018.8802'!$D$2:$D$9,"discuss")+COUNTIF('C_jama.2018.9128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Format="1" customHeight="1" s="14">
      <c r="A2" s="16" t="inlineStr">
        <is>
          <t>jama.2017.21906</t>
        </is>
      </c>
      <c r="B2" s="16" t="inlineStr">
        <is>
          <t>C_jama.2017.21906</t>
        </is>
      </c>
      <c r="C2" s="16" t="n">
        <v>6</v>
      </c>
    </row>
    <row r="3" ht="36" customFormat="1" customHeight="1" s="14">
      <c r="A3" s="17" t="inlineStr">
        <is>
          <t>jama.2018.0156</t>
        </is>
      </c>
      <c r="B3" s="17" t="inlineStr">
        <is>
          <t>C_jama.2018.0156</t>
        </is>
      </c>
      <c r="C3" s="17" t="n">
        <v>8</v>
      </c>
    </row>
    <row r="4" ht="36" customFormat="1" customHeight="1" s="14">
      <c r="A4" s="16" t="inlineStr">
        <is>
          <t>jama.2018.0948</t>
        </is>
      </c>
      <c r="B4" s="16" t="inlineStr">
        <is>
          <t>C_jama.2018.0948</t>
        </is>
      </c>
      <c r="C4" s="16" t="n">
        <v>7</v>
      </c>
    </row>
    <row r="5" ht="36" customFormat="1" customHeight="1" s="14">
      <c r="A5" s="17" t="inlineStr">
        <is>
          <t>jama.2018.14280</t>
        </is>
      </c>
      <c r="B5" s="17" t="inlineStr">
        <is>
          <t>C_jama.2018.14280</t>
        </is>
      </c>
      <c r="C5" s="17" t="n">
        <v>23</v>
      </c>
    </row>
    <row r="6" ht="36" customFormat="1" customHeight="1" s="14">
      <c r="A6" s="16" t="inlineStr">
        <is>
          <t>jama.2018.14282</t>
        </is>
      </c>
      <c r="B6" s="16" t="inlineStr">
        <is>
          <t>C_jama.2018.14282</t>
        </is>
      </c>
      <c r="C6" s="16" t="n">
        <v>28</v>
      </c>
    </row>
    <row r="7" ht="36" customFormat="1" customHeight="1" s="14">
      <c r="A7" s="17" t="inlineStr">
        <is>
          <t>jama.2018.17075</t>
        </is>
      </c>
      <c r="B7" s="17" t="inlineStr">
        <is>
          <t>C_jama.2018.17075</t>
        </is>
      </c>
      <c r="C7" s="17" t="n">
        <v>8</v>
      </c>
    </row>
    <row r="8" ht="36" customFormat="1" customHeight="1" s="14">
      <c r="A8" s="16" t="inlineStr">
        <is>
          <t>jama.2018.18020</t>
        </is>
      </c>
      <c r="B8" s="16" t="inlineStr">
        <is>
          <t>C_jama.2018.18020</t>
        </is>
      </c>
      <c r="C8" s="16" t="n">
        <v>14</v>
      </c>
    </row>
    <row r="9" ht="36" customFormat="1" customHeight="1" s="14">
      <c r="A9" s="17" t="inlineStr">
        <is>
          <t>jama.2018.6496</t>
        </is>
      </c>
      <c r="B9" s="17" t="inlineStr">
        <is>
          <t>C_jama.2018.6496</t>
        </is>
      </c>
      <c r="C9" s="17" t="n">
        <v>4</v>
      </c>
    </row>
    <row r="10" ht="36" customFormat="1" customHeight="1" s="14">
      <c r="A10" s="16" t="inlineStr">
        <is>
          <t>jama.2018.8802</t>
        </is>
      </c>
      <c r="B10" s="16" t="inlineStr">
        <is>
          <t>C_jama.2018.8802</t>
        </is>
      </c>
      <c r="C10" s="16" t="n">
        <v>8</v>
      </c>
    </row>
    <row r="11" ht="36" customFormat="1" customHeight="1" s="14">
      <c r="A11" s="17" t="inlineStr">
        <is>
          <t>jama.2018.9128</t>
        </is>
      </c>
      <c r="B11" s="17" t="inlineStr">
        <is>
          <t>C_jama.2018.9128</t>
        </is>
      </c>
      <c r="C11" s="17" t="n">
        <v>13</v>
      </c>
    </row>
  </sheetData>
  <hyperlinks>
    <hyperlink ref="B2" location="'C_jama.2017.21906'!A1"/>
    <hyperlink ref="B3" location="'C_jama.2018.0156'!A1"/>
    <hyperlink ref="B4" location="'C_jama.2018.0948'!A1"/>
    <hyperlink ref="B5" location="'C_jama.2018.14280'!A1"/>
    <hyperlink ref="B6" location="'C_jama.2018.14282'!A1"/>
    <hyperlink ref="B7" location="'C_jama.2018.17075'!A1"/>
    <hyperlink ref="B8" location="'C_jama.2018.18020'!A1"/>
    <hyperlink ref="B9" location="'C_jama.2018.6496'!A1"/>
    <hyperlink ref="B10" location="'C_jama.2018.8802'!A1"/>
    <hyperlink ref="B11" location="'C_jama.2018.9128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2018::jama.2017.21906::C001</t>
        </is>
      </c>
      <c r="B2" s="20" t="inlineStr">
        <is>
          <t>In-hospital beta-blocker adjusted-risk-difference CI endpoint differs between Table 2 and narrative</t>
        </is>
      </c>
      <c r="C2" s="20" t="inlineStr">
        <is>
          <t>Main article — PDF p. 6, Table 2 In-hospital β-blocker row and adjacent Results narrative.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ID",IF(OR(A2="",COUNTIF($A$2:$A$7,A2)&lt;&gt;1,LEFT(A2,LEN("2018::jama.2017.21906::"))&lt;&gt;"2018::jama.2017.21906::"),"CHECK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2018::jama.2017.21906::C002</t>
        </is>
      </c>
      <c r="B3" s="24" t="inlineStr">
        <is>
          <t>Discharge beta-blocker adjusted point estimates differ between Table 2 and narrative</t>
        </is>
      </c>
      <c r="C3" s="24" t="inlineStr">
        <is>
          <t>Main article — PDF p. 6, Table 2 Discharge β-blocker row; Main article — PDF p. 7, Results narrative.</t>
        </is>
      </c>
      <c r="D3" s="21" t="n"/>
      <c r="E3" s="21" t="inlineStr">
        <is>
          <t>report_internal_inconsistency</t>
        </is>
      </c>
      <c r="F3" s="21" t="inlineStr">
        <is>
          <t>no</t>
        </is>
      </c>
      <c r="G3" s="24">
        <f>IFERROR(IF(LEN(TRIM(CLEAN(SUBSTITUTE(Setup!$B$2,CHAR(160)," "))))=0,"CHECK REVIEWER ID",IF(OR(A3="",COUNTIF($A$2:$A$7,A3)&lt;&gt;1,LEFT(A3,LEN("2018::jama.2017.21906::"))&lt;&gt;"2018::jama.2017.21906::"),"CHECK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2018::jama.2017.21906::C003</t>
        </is>
      </c>
      <c r="B4" s="20" t="inlineStr">
        <is>
          <t>eTable 1 difference footnote names groups not displayed in the table</t>
        </is>
      </c>
      <c r="C4" s="20" t="inlineStr">
        <is>
          <t>Online supplement — PDF p. 17, eTable 1 title, headers, values, and footnote a.</t>
        </is>
      </c>
      <c r="D4" s="21" t="n"/>
      <c r="E4" s="21" t="inlineStr">
        <is>
          <t>report_internal_inconsistency</t>
        </is>
      </c>
      <c r="F4" s="21" t="inlineStr">
        <is>
          <t>no</t>
        </is>
      </c>
      <c r="G4" s="20">
        <f>IFERROR(IF(LEN(TRIM(CLEAN(SUBSTITUTE(Setup!$B$2,CHAR(160)," "))))=0,"CHECK REVIEWER ID",IF(OR(A4="",COUNTIF($A$2:$A$7,A4)&lt;&gt;1,LEFT(A4,LEN("2018::jama.2017.21906::"))&lt;&gt;"2018::jama.2017.21906::"),"CHECK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2018::jama.2017.21906::C004</t>
        </is>
      </c>
      <c r="B5" s="24" t="inlineStr">
        <is>
          <t>Reported prespecified age-subgroup boundaries differ from the supplied SAP</t>
        </is>
      </c>
      <c r="C5" s="24" t="inlineStr">
        <is>
          <t>SAP — PDF p. 7, section 7.5.2; main article — PDF p. 3, Statistical Analysis; main article — PDF p. 9, Figure 3 and adjacent Results narrative.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ID",IF(OR(A5="",COUNTIF($A$2:$A$7,A5)&lt;&gt;1,LEFT(A5,LEN("2018::jama.2017.21906::"))&lt;&gt;"2018::jama.2017.21906::"),"CHECK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2018::jama.2017.21906::C005</t>
        </is>
      </c>
      <c r="B6" s="20" t="inlineStr">
        <is>
          <t>The named optimal in-hospital medication composite uses different component labels across final-result tables</t>
        </is>
      </c>
      <c r="C6" s="20" t="inlineStr">
        <is>
          <t>Main article — PDF p. 3, Outcomes; main article — PDF p. 7, Table 3 footnote c; online supplement — PDF p. 21, eTable 5 footnote c; online supplement — PDF p. 22, eTable 6 footnote b.</t>
        </is>
      </c>
      <c r="D6" s="21" t="n"/>
      <c r="E6" s="21" t="inlineStr">
        <is>
          <t>report_internal_inconsistency</t>
        </is>
      </c>
      <c r="F6" s="21" t="inlineStr">
        <is>
          <t>no</t>
        </is>
      </c>
      <c r="G6" s="20">
        <f>IFERROR(IF(LEN(TRIM(CLEAN(SUBSTITUTE(Setup!$B$2,CHAR(160)," "))))=0,"CHECK REVIEWER ID",IF(OR(A6="",COUNTIF($A$2:$A$7,A6)&lt;&gt;1,LEFT(A6,LEN("2018::jama.2017.21906::"))&lt;&gt;"2018::jama.2017.21906::"),"CHECK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2018::jama.2017.21906::C006</t>
        </is>
      </c>
      <c r="B7" s="24" t="inlineStr">
        <is>
          <t>Hospital-type subgroup is reported as prespecified but is absent from the supplied SAP subgroup list</t>
        </is>
      </c>
      <c r="C7" s="24" t="inlineStr">
        <is>
          <t>Main article — PDF p. 3, Statistical Analysis; main article — PDF p. 9, Figure 3 and adjacent Results narrative; SAP — PDF p. 7, section 7.5.2.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ID",IF(OR(A7="",COUNTIF($A$2:$A$7,A7)&lt;&gt;1,LEFT(A7,LEN("2018::jama.2017.21906::"))&lt;&gt;"2018::jama.2017.21906::"),"CHECK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2018::jama.2018.0156::C001</t>
        </is>
      </c>
      <c r="B2" s="20" t="inlineStr">
        <is>
          <t>Noninferiority narrative reverses the displayed bound direction</t>
        </is>
      </c>
      <c r="C2" s="20" t="inlineStr">
        <is>
          <t>jama_jabre_2018_oi_180004.pdf — PDF p. 3 (rule); jama_jabre_2018_oi_180004.pdf — PDF p. 4 (result/narrative).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ID",IF(OR(A2="",COUNTIF($A$2:$A$9,A2)&lt;&gt;1,LEFT(A2,LEN("2018::jama.2018.0156::"))&lt;&gt;"2018::jama.2018.0156::"),"CHECK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2018::jama.2018.0156::C002</t>
        </is>
      </c>
      <c r="B3" s="24" t="inlineStr">
        <is>
          <t>Centre-5 pause contrast mixes a count outcome with seconds</t>
        </is>
      </c>
      <c r="C3" s="24" t="inlineStr">
        <is>
          <t>jama_jabre_2018_oi_180004.pdf — PDF p. 3 (definition); jama_jabre_2018_oi_180004.pdf — PDF p. 4 (contrast).</t>
        </is>
      </c>
      <c r="D3" s="21" t="n"/>
      <c r="E3" s="21" t="inlineStr">
        <is>
          <t>report_internal_inconsistency</t>
        </is>
      </c>
      <c r="F3" s="21" t="inlineStr">
        <is>
          <t>no</t>
        </is>
      </c>
      <c r="G3" s="24">
        <f>IFERROR(IF(LEN(TRIM(CLEAN(SUBSTITUTE(Setup!$B$2,CHAR(160)," "))))=0,"CHECK REVIEWER ID",IF(OR(A3="",COUNTIF($A$2:$A$9,A3)&lt;&gt;1,LEFT(A3,LEN("2018::jama.2018.0156::"))&lt;&gt;"2018::jama.2018.0156::"),"CHECK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2018::jama.2018.0156::C003</t>
        </is>
      </c>
      <c r="B4" s="20" t="inlineStr">
        <is>
          <t>PP day-28 survival point difference does not round from the printed inputs</t>
        </is>
      </c>
      <c r="C4" s="20" t="inlineStr">
        <is>
          <t>jama_jabre_2018_oi_180004.pdf — PDF p. 6 (Table 2); joi180004supp1_prod.pdf — PDF p. 123 (rounding rule).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ID",IF(OR(A4="",COUNTIF($A$2:$A$9,A4)&lt;&gt;1,LEFT(A4,LEN("2018::jama.2018.0156::"))&lt;&gt;"2018::jama.2018.0156::"),"CHECK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2018::jama.2018.0156::C004</t>
        </is>
      </c>
      <c r="B5" s="24" t="inlineStr">
        <is>
          <t>PP day-28 survival confidence interval has an unresolved scale/precision inconsistency</t>
        </is>
      </c>
      <c r="C5" s="24" t="inlineStr">
        <is>
          <t>jama_jabre_2018_oi_180004.pdf — PDF p. 3 (rule); PDF p. 6 (Table 2); joi180004supp1_prod.pdf — PDF p. 124 (CI rule).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ID",IF(OR(A5="",COUNTIF($A$2:$A$9,A5)&lt;&gt;1,LEFT(A5,LEN("2018::jama.2018.0156::"))&lt;&gt;"2018::jama.2018.0156::"),"CHECK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2018::jama.2018.0156::C005</t>
        </is>
      </c>
      <c r="B6" s="20" t="inlineStr">
        <is>
          <t>PP ROSC ETI percentage conflicts with its count, denominator, and signed difference</t>
        </is>
      </c>
      <c r="C6" s="20" t="inlineStr">
        <is>
          <t>jama_jabre_2018_oi_180004.pdf — PDF p. 6 (Table 2 PP ROSC row).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ID",IF(OR(A6="",COUNTIF($A$2:$A$9,A6)&lt;&gt;1,LEFT(A6,LEN("2018::jama.2018.0156::"))&lt;&gt;"2018::jama.2018.0156::"),"CHECK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2018::jama.2018.0156::C006</t>
        </is>
      </c>
      <c r="B7" s="24" t="inlineStr">
        <is>
          <t>Main article and eTable report different contributing-centre counts</t>
        </is>
      </c>
      <c r="C7" s="24" t="inlineStr">
        <is>
          <t>jama_jabre_2018_oi_180004.pdf — PDF p. 2; joi180004supp2_prod.pdf — PDF p. 2 (eTable 1).</t>
        </is>
      </c>
      <c r="D7" s="21" t="n"/>
      <c r="E7" s="21" t="inlineStr">
        <is>
          <t>report_internal_inconsistency</t>
        </is>
      </c>
      <c r="F7" s="21" t="inlineStr">
        <is>
          <t>no</t>
        </is>
      </c>
      <c r="G7" s="24">
        <f>IFERROR(IF(LEN(TRIM(CLEAN(SUBSTITUTE(Setup!$B$2,CHAR(160)," "))))=0,"CHECK REVIEWER ID",IF(OR(A7="",COUNTIF($A$2:$A$9,A7)&lt;&gt;1,LEFT(A7,LEN("2018::jama.2018.0156::"))&lt;&gt;"2018::jama.2018.0156::"),"CHECK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2018::jama.2018.0156::C007</t>
        </is>
      </c>
      <c r="B8" s="20" t="inlineStr">
        <is>
          <t>Published primary-endpoint description omits the amended baseline-disability qualification</t>
        </is>
      </c>
      <c r="C8" s="20" t="inlineStr">
        <is>
          <t>jama_jabre_2018_oi_180004.pdf — PDF p. 1 and PDF p. 3; joi180004supp1_prod.pdf — PDF p. 110.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ID",IF(OR(A8="",COUNTIF($A$2:$A$9,A8)&lt;&gt;1,LEFT(A8,LEN("2018::jama.2018.0156::"))&lt;&gt;"2018::jama.2018.0156::"),"CHECK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2018::jama.2018.0156::C008</t>
        </is>
      </c>
      <c r="B9" s="24" t="inlineStr">
        <is>
          <t>Protocol composite technique-failure definition cannot reconcile with the article’s smaller ETI failure count if they are the same endpoint</t>
        </is>
      </c>
      <c r="C9" s="24" t="inlineStr">
        <is>
          <t>joi180004supp1_prod.pdf — PDF p. 110; jama_jabre_2018_oi_180004.pdf — PDF p. 1, PDF p. 4, and PDF p. 6.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ID",IF(OR(A9="",COUNTIF($A$2:$A$9,A9)&lt;&gt;1,LEFT(A9,LEN("2018::jama.2018.0156::"))&lt;&gt;"2018::jama.2018.0156::"),"CHECK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2018::jama.2018.0948::C001</t>
        </is>
      </c>
      <c r="B2" s="20" t="inlineStr">
        <is>
          <t>Inclusive versus exclusive fluid threshold in the SCD definition</t>
        </is>
      </c>
      <c r="C2" s="20" t="inlineStr">
        <is>
          <t>main article — PDF p. 4; Supplement 1 Table 5 — PDF p. 24; Supplement 3 eTable 1 — PDF p. 6.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ID",IF(OR(A2="",COUNTIF($A$2:$A$8,A2)&lt;&gt;1,LEFT(A2,LEN("2018::jama.2018.0948::"))&lt;&gt;"2018::jama.2018.0948::"),"CHECK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2018::jama.2018.0948::C002</t>
        </is>
      </c>
      <c r="B3" s="24" t="inlineStr">
        <is>
          <t>Mortality absolute-risk-reduction percent/unit conflict</t>
        </is>
      </c>
      <c r="C3" s="24" t="inlineStr">
        <is>
          <t>Supplement 1 — PDF p. 1, p. 14, p. 29; main article — PDF p. 4.</t>
        </is>
      </c>
      <c r="D3" s="21" t="n"/>
      <c r="E3" s="21" t="inlineStr">
        <is>
          <t>plan_material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ID",IF(OR(A3="",COUNTIF($A$2:$A$8,A3)&lt;&gt;1,LEFT(A3,LEN("2018::jama.2018.0948::"))&lt;&gt;"2018::jama.2018.0948::"),"CHECK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2018::jama.2018.0948::C003</t>
        </is>
      </c>
      <c r="B4" s="20" t="inlineStr">
        <is>
          <t>Cardiac-arrest events assigned incompatible resuscitation-scale categories</t>
        </is>
      </c>
      <c r="C4" s="20" t="inlineStr">
        <is>
          <t>Supplement 1 — PDF p. 11, Table 5 — PDF p. 24, Table 6 legend — PDF p. 27.</t>
        </is>
      </c>
      <c r="D4" s="21" t="n"/>
      <c r="E4" s="21" t="inlineStr">
        <is>
          <t>plan_material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ID",IF(OR(A4="",COUNTIF($A$2:$A$8,A4)&lt;&gt;1,LEFT(A4,LEN("2018::jama.2018.0948::"))&lt;&gt;"2018::jama.2018.0948::"),"CHECK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2018::jama.2018.0948::C004</t>
        </is>
      </c>
      <c r="B5" s="24" t="inlineStr">
        <is>
          <t>Preventability threshold excludes and includes rating 4</t>
        </is>
      </c>
      <c r="C5" s="24" t="inlineStr">
        <is>
          <t>Supplement 1 — PDF p. 11, Table 7 — PDF p. 28; Supplement 3 eTable 1 — PDF p. 6; main article — PDF p. 7.</t>
        </is>
      </c>
      <c r="D5" s="21" t="n"/>
      <c r="E5" s="21" t="inlineStr">
        <is>
          <t>plan_material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ID",IF(OR(A5="",COUNTIF($A$2:$A$8,A5)&lt;&gt;1,LEFT(A5,LEN("2018::jama.2018.0948::"))&lt;&gt;"2018::jama.2018.0948::"),"CHECK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2018::jama.2018.0948::C005</t>
        </is>
      </c>
      <c r="B6" s="20" t="inlineStr">
        <is>
          <t>The same SCDE reference count is labelled annual and two-year</t>
        </is>
      </c>
      <c r="C6" s="20" t="inlineStr">
        <is>
          <t>Supplement 1 — PDF p. 14 and PDF p. 30.</t>
        </is>
      </c>
      <c r="D6" s="21" t="n"/>
      <c r="E6" s="21" t="inlineStr">
        <is>
          <t>plan_material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ID",IF(OR(A6="",COUNTIF($A$2:$A$8,A6)&lt;&gt;1,LEFT(A6,LEN("2018::jama.2018.0948::"))&lt;&gt;"2018::jama.2018.0948::"),"CHECK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2018::jama.2018.0948::C006</t>
        </is>
      </c>
      <c r="B7" s="24" t="inlineStr">
        <is>
          <t>Stat-call absolute reduction does not reproduce from the printed inputs</t>
        </is>
      </c>
      <c r="C7" s="24" t="inlineStr">
        <is>
          <t>Supplement 1 — PDF p. 30.</t>
        </is>
      </c>
      <c r="D7" s="21" t="n"/>
      <c r="E7" s="21" t="inlineStr">
        <is>
          <t>plan_material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ID",IF(OR(A7="",COUNTIF($A$2:$A$8,A7)&lt;&gt;1,LEFT(A7,LEN("2018::jama.2018.0948::"))&lt;&gt;"2018::jama.2018.0948::"),"CHECK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2018::jama.2018.0948::C007</t>
        </is>
      </c>
      <c r="B8" s="20" t="inlineStr">
        <is>
          <t>Urgent PICU admission rates do not match the printed counts and denominators at conventional rounding</t>
        </is>
      </c>
      <c r="C8" s="20" t="inlineStr">
        <is>
          <t>Supplement 1 — PDF p. 30.</t>
        </is>
      </c>
      <c r="D8" s="21" t="n"/>
      <c r="E8" s="21" t="inlineStr">
        <is>
          <t>plan_material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ID",IF(OR(A8="",COUNTIF($A$2:$A$8,A8)&lt;&gt;1,LEFT(A8,LEN("2018::jama.2018.0948::"))&lt;&gt;"2018::jama.2018.0948::"),"CHECK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2018::jama.2018.14280::C001</t>
        </is>
      </c>
      <c r="B2" s="20" t="inlineStr">
        <is>
          <t>Reversed endpoint in the eTable 2 PEEP interquartile range</t>
        </is>
      </c>
      <c r="C2" s="20" t="inlineStr">
        <is>
          <t>DOC-004, Supplement 3, eTable 2, Other Mode of Ventilation, after titration on randomization day, intermediate arm, PEEP.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ID",IF(OR(A2="",COUNTIF($A$2:$A$24,A2)&lt;&gt;1,LEFT(A2,LEN("2018::jama.2018.14280::"))&lt;&gt;"2018::jama.2018.14280::"),"CHECK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2018::jama.2018.14280::C002</t>
        </is>
      </c>
      <c r="B3" s="24" t="inlineStr">
        <is>
          <t>At-risk-for-ARDS percentages use undisclosed denominators</t>
        </is>
      </c>
      <c r="C3" s="24" t="inlineStr">
        <is>
          <t>DOC-001, Table 1, Patients at risk for ARDS, low and intermediate arms.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ID",IF(OR(A3="",COUNTIF($A$2:$A$24,A3)&lt;&gt;1,LEFT(A3,LEN("2018::jama.2018.14280::"))&lt;&gt;"2018::jama.2018.14280::"),"CHECK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2018::jama.2018.14280::C003</t>
        </is>
      </c>
      <c r="B4" s="20" t="inlineStr">
        <is>
          <t>Septic-shock percentages use undisclosed denominators</t>
        </is>
      </c>
      <c r="C4" s="20" t="inlineStr">
        <is>
          <t>DOC-001, Table 1, Septic shock, low and intermediate arms.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ID",IF(OR(A4="",COUNTIF($A$2:$A$24,A4)&lt;&gt;1,LEFT(A4,LEN("2018::jama.2018.14280::"))&lt;&gt;"2018::jama.2018.14280::"),"CHECK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2018::jama.2018.14280::C004</t>
        </is>
      </c>
      <c r="B5" s="24" t="inlineStr">
        <is>
          <t>Tobacco-use categories use undisclosed denominators</t>
        </is>
      </c>
      <c r="C5" s="24" t="inlineStr">
        <is>
          <t>DOC-001, Table 1, Patient tobacco use, both arms.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ID",IF(OR(A5="",COUNTIF($A$2:$A$24,A5)&lt;&gt;1,LEFT(A5,LEN("2018::jama.2018.14280::"))&lt;&gt;"2018::jama.2018.14280::"),"CHECK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2018::jama.2018.14280::C005</t>
        </is>
      </c>
      <c r="B6" s="20" t="inlineStr">
        <is>
          <t>Alcohol-use categories use undisclosed denominators</t>
        </is>
      </c>
      <c r="C6" s="20" t="inlineStr">
        <is>
          <t>DOC-001, Table 1, Patient alcohol use, both arms.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ID",IF(OR(A6="",COUNTIF($A$2:$A$24,A6)&lt;&gt;1,LEFT(A6,LEN("2018::jama.2018.14280::"))&lt;&gt;"2018::jama.2018.14280::"),"CHECK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2018::jama.2018.14280::C006</t>
        </is>
      </c>
      <c r="B7" s="24" t="inlineStr">
        <is>
          <t>ICU-admission categories use undisclosed denominators</t>
        </is>
      </c>
      <c r="C7" s="24" t="inlineStr">
        <is>
          <t>DOC-001, Table 1, Reason for ICU admission, both arms.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ID",IF(OR(A7="",COUNTIF($A$2:$A$24,A7)&lt;&gt;1,LEFT(A7,LEN("2018::jama.2018.14280::"))&lt;&gt;"2018::jama.2018.14280::"),"CHECK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2018::jama.2018.14280::C007</t>
        </is>
      </c>
      <c r="B8" s="20" t="inlineStr">
        <is>
          <t>Sedative-infusion percentages omit effective denominators</t>
        </is>
      </c>
      <c r="C8" s="20" t="inlineStr">
        <is>
          <t>DOC-004, Supplement 3, eTable 4, Sedative infusion.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ID",IF(OR(A8="",COUNTIF($A$2:$A$24,A8)&lt;&gt;1,LEFT(A8,LEN("2018::jama.2018.14280::"))&lt;&gt;"2018::jama.2018.14280::"),"CHECK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2018::jama.2018.14280::C008</t>
        </is>
      </c>
      <c r="B9" s="24" t="inlineStr">
        <is>
          <t>Analgesic-infusion percentages omit effective denominators</t>
        </is>
      </c>
      <c r="C9" s="24" t="inlineStr">
        <is>
          <t>DOC-004, Supplement 3, eTable 4, Analgesic infusion.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ID",IF(OR(A9="",COUNTIF($A$2:$A$24,A9)&lt;&gt;1,LEFT(A9,LEN("2018::jama.2018.14280::"))&lt;&gt;"2018::jama.2018.14280::"),"CHECK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2018::jama.2018.14280::C009</t>
        </is>
      </c>
      <c r="B10" s="20" t="inlineStr">
        <is>
          <t>Neuromuscular-blockade percentages omit effective denominators</t>
        </is>
      </c>
      <c r="C10" s="20" t="inlineStr">
        <is>
          <t>DOC-004, Supplement 3, eTable 4, Neuromuscular blockade.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ID",IF(OR(A10="",COUNTIF($A$2:$A$24,A10)&lt;&gt;1,LEFT(A10,LEN("2018::jama.2018.14280::"))&lt;&gt;"2018::jama.2018.14280::"),"CHECK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2018::jama.2018.14280::C010</t>
        </is>
      </c>
      <c r="B11" s="24" t="inlineStr">
        <is>
          <t>Vasopressor-use percentages omit effective denominators</t>
        </is>
      </c>
      <c r="C11" s="24" t="inlineStr">
        <is>
          <t>DOC-004, Supplement 3, eTable 4, Use of vasopressors.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ID",IF(OR(A11="",COUNTIF($A$2:$A$24,A11)&lt;&gt;1,LEFT(A11,LEN("2018::jama.2018.14280::"))&lt;&gt;"2018::jama.2018.14280::"),"CHECK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2018::jama.2018.14280::C011</t>
        </is>
      </c>
      <c r="B12" s="20" t="inlineStr">
        <is>
          <t>Mortality effect-measure wording conflicts with Table 2 and the SAP</t>
        </is>
      </c>
      <c r="C12" s="20" t="inlineStr">
        <is>
          <t>DOC-001 Statistical Analysis and Table 2/footnotes; DOC-003 SAP secondary outcomes.</t>
        </is>
      </c>
      <c r="D12" s="21" t="n"/>
      <c r="E12" s="21" t="inlineStr">
        <is>
          <t>report_internal_inconsistency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ID",IF(OR(A12="",COUNTIF($A$2:$A$24,A12)&lt;&gt;1,LEFT(A12,LEN("2018::jama.2018.14280::"))&lt;&gt;"2018::jama.2018.14280::"),"CHECK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2018::jama.2018.14280::C012</t>
        </is>
      </c>
      <c r="B13" s="24" t="inlineStr">
        <is>
          <t>ICU-mortality RR does not reproduce from printed risks</t>
        </is>
      </c>
      <c r="C13" s="24" t="inlineStr">
        <is>
          <t>DOC-001, Table 2, ICU mortality and footnote c.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ID",IF(OR(A13="",COUNTIF($A$2:$A$24,A13)&lt;&gt;1,LEFT(A13,LEN("2018::jama.2018.14280::"))&lt;&gt;"2018::jama.2018.14280::"),"CHECK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2018::jama.2018.14280::C013</t>
        </is>
      </c>
      <c r="B14" s="20" t="inlineStr">
        <is>
          <t>Hospital-mortality RR does not reproduce from printed risks</t>
        </is>
      </c>
      <c r="C14" s="20" t="inlineStr">
        <is>
          <t>DOC-001, Table 2, hospital mortality and footnote c.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ID",IF(OR(A14="",COUNTIF($A$2:$A$24,A14)&lt;&gt;1,LEFT(A14,LEN("2018::jama.2018.14280::"))&lt;&gt;"2018::jama.2018.14280::"),"CHECK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2018::jama.2018.14280::C014</t>
        </is>
      </c>
      <c r="B15" s="24" t="inlineStr">
        <is>
          <t>ARDS RR does not reproduce from printed risks</t>
        </is>
      </c>
      <c r="C15" s="24" t="inlineStr">
        <is>
          <t>DOC-001, Table 2, Development of ARDS and footnote c.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ID",IF(OR(A15="",COUNTIF($A$2:$A$24,A15)&lt;&gt;1,LEFT(A15,LEN("2018::jama.2018.14280::"))&lt;&gt;"2018::jama.2018.14280::"),"CHECK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2018::jama.2018.14280::C015</t>
        </is>
      </c>
      <c r="B16" s="20" t="inlineStr">
        <is>
          <t>Pneumonia RR does not reproduce from printed risks</t>
        </is>
      </c>
      <c r="C16" s="20" t="inlineStr">
        <is>
          <t>DOC-001, Table 2, Development of pneumonia and footnote c.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ID",IF(OR(A16="",COUNTIF($A$2:$A$24,A16)&lt;&gt;1,LEFT(A16,LEN("2018::jama.2018.14280::"))&lt;&gt;"2018::jama.2018.14280::"),"CHECK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2018::jama.2018.14280::C016</t>
        </is>
      </c>
      <c r="B17" s="24" t="inlineStr">
        <is>
          <t>Pneumothorax RR does not reproduce from printed risks</t>
        </is>
      </c>
      <c r="C17" s="24" t="inlineStr">
        <is>
          <t>DOC-001, Table 2, Pneumothorax and footnote c.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ID",IF(OR(A17="",COUNTIF($A$2:$A$24,A17)&lt;&gt;1,LEFT(A17,LEN("2018::jama.2018.14280::"))&lt;&gt;"2018::jama.2018.14280::"),"CHECK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2018::jama.2018.14280::C017</t>
        </is>
      </c>
      <c r="B18" s="20" t="inlineStr">
        <is>
          <t>Atelectasis RR does not reproduce from printed risks</t>
        </is>
      </c>
      <c r="C18" s="20" t="inlineStr">
        <is>
          <t>DOC-001, Table 2, Atelectasis and footnote c.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ID",IF(OR(A18="",COUNTIF($A$2:$A$24,A18)&lt;&gt;1,LEFT(A18,LEN("2018::jama.2018.14280::"))&lt;&gt;"2018::jama.2018.14280::"),"CHECK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2018::jama.2018.14280::C018</t>
        </is>
      </c>
      <c r="B19" s="24" t="inlineStr">
        <is>
          <t>Extrapulmonary-infection RR does not reproduce from printed risks</t>
        </is>
      </c>
      <c r="C19" s="24" t="inlineStr">
        <is>
          <t>DOC-001, Table 2, Extrapulmonary infection and footnote c.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ID",IF(OR(A19="",COUNTIF($A$2:$A$24,A19)&lt;&gt;1,LEFT(A19,LEN("2018::jama.2018.14280::"))&lt;&gt;"2018::jama.2018.14280::"),"CHECK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Format="1" customHeight="1" s="14">
      <c r="A20" s="20" t="inlineStr">
        <is>
          <t>2018::jama.2018.14280::C019</t>
        </is>
      </c>
      <c r="B20" s="20" t="inlineStr">
        <is>
          <t>Extrapulmonary-sepsis RR does not reproduce from printed risks</t>
        </is>
      </c>
      <c r="C20" s="20" t="inlineStr">
        <is>
          <t>DOC-001, Table 2, Extrapulmonary sepsis and footnote c.</t>
        </is>
      </c>
      <c r="D20" s="21" t="n"/>
      <c r="E20" s="21" t="inlineStr">
        <is>
          <t>statistical_results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ID",IF(OR(A20="",COUNTIF($A$2:$A$24,A20)&lt;&gt;1,LEFT(A20,LEN("2018::jama.2018.14280::"))&lt;&gt;"2018::jama.2018.14280::"),"CHECK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  <row r="21" ht="92" customFormat="1" customHeight="1" s="14">
      <c r="A21" s="24" t="inlineStr">
        <is>
          <t>2018::jama.2018.14280::C020</t>
        </is>
      </c>
      <c r="B21" s="24" t="inlineStr">
        <is>
          <t>Delirium RR does not reproduce from printed risks</t>
        </is>
      </c>
      <c r="C21" s="24" t="inlineStr">
        <is>
          <t>DOC-001, Table 2, Delirium and footnote c.</t>
        </is>
      </c>
      <c r="D21" s="21" t="n"/>
      <c r="E21" s="21" t="inlineStr">
        <is>
          <t>statistical_results</t>
        </is>
      </c>
      <c r="F21" s="21" t="inlineStr">
        <is>
          <t>no</t>
        </is>
      </c>
      <c r="G21" s="24">
        <f>IFERROR(IF(LEN(TRIM(CLEAN(SUBSTITUTE(Setup!$B$2,CHAR(160)," "))))=0,"CHECK REVIEWER ID",IF(OR(A21="",COUNTIF($A$2:$A$24,A21)&lt;&gt;1,LEFT(A21,LEN("2018::jama.2018.14280::"))&lt;&gt;"2018::jama.2018.14280::"),"CHECK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>
        <f>IF(AND(OR(D21="retain",D21=""),OR(E21="report_internal_inconsistency",E21="plan_material")),"","not_applicable")</f>
        <v/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n"/>
    </row>
    <row r="22" ht="92" customFormat="1" customHeight="1" s="14">
      <c r="A22" s="20" t="inlineStr">
        <is>
          <t>2018::jama.2018.14280::C021</t>
        </is>
      </c>
      <c r="B22" s="20" t="inlineStr">
        <is>
          <t>Tracheostomy RR does not reproduce from printed risks</t>
        </is>
      </c>
      <c r="C22" s="20" t="inlineStr">
        <is>
          <t>DOC-001, Table 2, Need for tracheostomy and footnote c.</t>
        </is>
      </c>
      <c r="D22" s="21" t="n"/>
      <c r="E22" s="21" t="inlineStr">
        <is>
          <t>statistical_results</t>
        </is>
      </c>
      <c r="F22" s="21" t="inlineStr">
        <is>
          <t>no</t>
        </is>
      </c>
      <c r="G22" s="20">
        <f>IFERROR(IF(LEN(TRIM(CLEAN(SUBSTITUTE(Setup!$B$2,CHAR(160)," "))))=0,"CHECK REVIEWER ID",IF(OR(A22="",COUNTIF($A$2:$A$24,A22)&lt;&gt;1,LEFT(A22,LEN("2018::jama.2018.14280::"))&lt;&gt;"2018::jama.2018.14280::"),"CHECK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>
        <f>IF(AND(OR(D22="retain",D22=""),OR(E22="report_internal_inconsistency",E22="plan_material")),"","not_applicable")</f>
        <v/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n"/>
    </row>
    <row r="23" ht="92" customFormat="1" customHeight="1" s="14">
      <c r="A23" s="24" t="inlineStr">
        <is>
          <t>2018::jama.2018.14280::C022</t>
        </is>
      </c>
      <c r="B23" s="24" t="inlineStr">
        <is>
          <t>The same subgroup intervals are labelled IQR and 95% CI</t>
        </is>
      </c>
      <c r="C23" s="24" t="inlineStr">
        <is>
          <t>DOC-001, Subgroups and Exploratory Analyses; DOC-004, Supplement 3 eTable 5.</t>
        </is>
      </c>
      <c r="D23" s="21" t="n"/>
      <c r="E23" s="21" t="inlineStr">
        <is>
          <t>report_internal_inconsistency</t>
        </is>
      </c>
      <c r="F23" s="21" t="inlineStr">
        <is>
          <t>no</t>
        </is>
      </c>
      <c r="G23" s="24">
        <f>IFERROR(IF(LEN(TRIM(CLEAN(SUBSTITUTE(Setup!$B$2,CHAR(160)," "))))=0,"CHECK REVIEWER ID",IF(OR(A23="",COUNTIF($A$2:$A$24,A23)&lt;&gt;1,LEFT(A23,LEN("2018::jama.2018.14280::"))&lt;&gt;"2018::jama.2018.14280::"),"CHECK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>
        <f>IF(AND(OR(D23="retain",D23=""),E23="statistical_results"),"","not_applicable")</f>
        <v/>
      </c>
      <c r="I23" s="21">
        <f>IF(AND(OR(D23="retain",D23=""),E23="statistical_results"),"","not_applicable")</f>
        <v/>
      </c>
      <c r="J23" s="22">
        <f>IF(AND(OR(D23="retain",D23=""),E23="statistical_results"),"","not_applicable")</f>
        <v/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n"/>
    </row>
    <row r="24" ht="92" customFormat="1" customHeight="1" s="14">
      <c r="A24" s="20" t="inlineStr">
        <is>
          <t>2018::jama.2018.14280::C023</t>
        </is>
      </c>
      <c r="B24" s="20" t="inlineStr">
        <is>
          <t>Enrollment completion dates differ by two days</t>
        </is>
      </c>
      <c r="C24" s="20" t="inlineStr">
        <is>
          <t>DOC-001 abstract and Results/Patients; DOC-003 SAP abstract and introduction.</t>
        </is>
      </c>
      <c r="D24" s="21" t="n"/>
      <c r="E24" s="21" t="inlineStr">
        <is>
          <t>protocol_report</t>
        </is>
      </c>
      <c r="F24" s="21" t="inlineStr">
        <is>
          <t>no</t>
        </is>
      </c>
      <c r="G24" s="20">
        <f>IFERROR(IF(LEN(TRIM(CLEAN(SUBSTITUTE(Setup!$B$2,CHAR(160)," "))))=0,"CHECK REVIEWER ID",IF(OR(A24="",COUNTIF($A$2:$A$24,A24)&lt;&gt;1,LEFT(A24,LEN("2018::jama.2018.14280::"))&lt;&gt;"2018::jama.2018.14280::"),"CHECK KEY",IF(OR(AND(NOT(AND(D24="retain",E24="statistical_results")),H24&lt;&gt;"",NOT(EXACT(H24,"not_applicable"))),AND(NOT(AND(D24="retain",E24="statistical_results")),I24&lt;&gt;"",NOT(EXACT(I24,"not_applicable"))),AND(NOT(AND(D24="retain",E24="statistical_results")),J24&lt;&gt;"",NOT(EXACT(J24,"not_applicable"))),AND(NOT(AND(D24="retain",OR(E24="report_internal_inconsistency",E24="plan_material"))),K24&lt;&gt;"",NOT(EXACT(K24,"not_applicable"))),AND(NOT(AND(D24="retain",E24="protocol_report")),L24&lt;&gt;"",NOT(EXACT(L24,"not_applicable")))),"CLEAR INACTIVE VALUES",IF(OR(NOT(OR(EXACT(D24,"retain"),EXACT(D24,"exclude"),EXACT(D24,"discuss"))),NOT(OR(EXACT(E24,"statistical_results"),EXACT(E24,"report_internal_inconsistency"),EXACT(E24,"plan_material"),EXACT(E24,"protocol_report"))),AND(AND(D24="retain",E24="statistical_results"),NOT(OR(EXACT(H24,"confirmed_issue"),EXACT(H24,"probable_issue"),EXACT(H24,"not_issue"),EXACT(H24,"indeterminate")))),AND(AND(D24="retain",E24="statistical_results"),NOT(OR(EXACT(I24,"substantive"),EXACT(I24,"minor_presentation"),EXACT(I24,"indeterminate")))),AND(AND(D24="retain",E24="statistical_results"),J24&lt;&gt;"",NOT(OR(EXACT(J24,"direct"),EXACT(J24,"possible"),EXACT(J24,"unlikely"),EXACT(J24,"unknown")))),AND(AND(D24="retain",OR(E24="report_internal_inconsistency",E24="plan_material")),NOT(OR(EXACT(K24,"substantive_inconsistency"),EXACT(K24,"minor_presentation"),EXACT(K24,"non_inconsistency"),EXACT(K24,"indeterminate")))),AND(AND(D24="retain",E24="protocol_report"),L24&lt;&gt;"",NOT(OR(EXACT(L24,"substantive_difference"),EXACT(L24,"minor_presentation"),EXACT(L24,"version_timing"),EXACT(L24,"non_inconsistency"),EXACT(L24,"indeterminate"))))),"CHECK FIELDS",IF(AND(F24&lt;&gt;"",NOT(OR(EXACT(F24,"no"),EXACT(F24,"primary_done")))),"CHECK COMPLETE",IF(EXACT(F24,"primary_done"),"PRIMARY READY","PRIMARY DRAFT")))))),"CHECK INPUT / KEY")</f>
        <v/>
      </c>
      <c r="H24" s="21">
        <f>IF(AND(OR(D24="retain",D24=""),E24="statistical_results"),"","not_applicable")</f>
        <v/>
      </c>
      <c r="I24" s="21">
        <f>IF(AND(OR(D24="retain",D24=""),E24="statistical_results"),"","not_applicable")</f>
        <v/>
      </c>
      <c r="J24" s="22">
        <f>IF(AND(OR(D24="retain",D24=""),E24="statistical_results"),"","not_applicable")</f>
        <v/>
      </c>
      <c r="K24" s="21">
        <f>IF(AND(OR(D24="retain",D24=""),OR(E24="report_internal_inconsistency",E24="plan_material")),"","not_applicable")</f>
        <v/>
      </c>
      <c r="L24" s="22">
        <f>IF(AND(OR(D24="retain",D24=""),E24="protocol_report"),"","not_applicable")</f>
        <v/>
      </c>
      <c r="M24" s="20" t="n"/>
      <c r="N24" s="23" t="n"/>
      <c r="O24" s="23" t="n"/>
      <c r="P24" s="23" t="n"/>
      <c r="Q24" s="23" t="n"/>
      <c r="R24" s="22" t="n"/>
    </row>
  </sheetData>
  <autoFilter ref="A1:R24"/>
  <conditionalFormatting sqref="H2:H24">
    <cfRule type="expression" priority="8" dxfId="70">
      <formula>NOT(AND(OR($D2="retain",$D2=""),$E2="statistical_results"))</formula>
    </cfRule>
  </conditionalFormatting>
  <conditionalFormatting sqref="I2:I24">
    <cfRule type="expression" priority="9" dxfId="70">
      <formula>NOT(AND(OR($D2="retain",$D2=""),$E2="statistical_results"))</formula>
    </cfRule>
  </conditionalFormatting>
  <conditionalFormatting sqref="J2:J24">
    <cfRule type="expression" priority="10" dxfId="70">
      <formula>NOT(AND(OR($D2="retain",$D2=""),$E2="statistical_results"))</formula>
    </cfRule>
  </conditionalFormatting>
  <conditionalFormatting sqref="K2:K24">
    <cfRule type="expression" priority="11" dxfId="70">
      <formula>NOT(AND(OR($D2="retain",$D2=""),OR($E2="report_internal_inconsistency",$E2="plan_material")))</formula>
    </cfRule>
  </conditionalFormatting>
  <conditionalFormatting sqref="L2:L24">
    <cfRule type="expression" priority="12" dxfId="70">
      <formula>NOT(AND(OR($D2="retain",$D2=""),$E2="protocol_report"))</formula>
    </cfRule>
  </conditionalFormatting>
  <conditionalFormatting sqref="G2:G24">
    <cfRule type="expression" priority="13" dxfId="71">
      <formula>G2&lt;&gt;"PRIMARY READY"</formula>
    </cfRule>
  </conditionalFormatting>
  <dataValidations count="8">
    <dataValidation sqref="D2:D2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2018::jama.2018.14282::C001</t>
        </is>
      </c>
      <c r="B2" s="20" t="inlineStr">
        <is>
          <t>Standard-arm men percentage does not reconcile</t>
        </is>
      </c>
      <c r="C2" s="20" t="inlineStr">
        <is>
          <t>DOC-001 Table 1 — PDF p. 4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ID",IF(OR(A2="",COUNTIF($A$2:$A$29,A2)&lt;&gt;1,LEFT(A2,LEN("2018::jama.2018.14282::"))&lt;&gt;"2018::jama.2018.14282::"),"CHECK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2018::jama.2018.14282::C002</t>
        </is>
      </c>
      <c r="B3" s="24" t="inlineStr">
        <is>
          <t>Standard-arm women percentage does not reconcile</t>
        </is>
      </c>
      <c r="C3" s="24" t="inlineStr">
        <is>
          <t>DOC-001 Table 1 — PDF p. 4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ID",IF(OR(A3="",COUNTIF($A$2:$A$29,A3)&lt;&gt;1,LEFT(A3,LEN("2018::jama.2018.14282::"))&lt;&gt;"2018::jama.2018.14282::"),"CHECK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2018::jama.2018.14282::C003</t>
        </is>
      </c>
      <c r="B4" s="20" t="inlineStr">
        <is>
          <t>Standard-arm heart-failure percentage does not reconcile</t>
        </is>
      </c>
      <c r="C4" s="20" t="inlineStr">
        <is>
          <t>DOC-001 Table 1 — PDF p. 4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ID",IF(OR(A4="",COUNTIF($A$2:$A$29,A4)&lt;&gt;1,LEFT(A4,LEN("2018::jama.2018.14282::"))&lt;&gt;"2018::jama.2018.14282::"),"CHECK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2018::jama.2018.14282::C004</t>
        </is>
      </c>
      <c r="B5" s="24" t="inlineStr">
        <is>
          <t>High-flow liver-disease percentage conflicts with displayed count</t>
        </is>
      </c>
      <c r="C5" s="24" t="inlineStr">
        <is>
          <t>DOC-001 Table 1 — PDF p. 4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ID",IF(OR(A5="",COUNTIF($A$2:$A$29,A5)&lt;&gt;1,LEFT(A5,LEN("2018::jama.2018.14282::"))&lt;&gt;"2018::jama.2018.14282::"),"CHECK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2018::jama.2018.14282::C005</t>
        </is>
      </c>
      <c r="B6" s="20" t="inlineStr">
        <is>
          <t>Standard-arm kidney-disease percentage conflicts with displayed count</t>
        </is>
      </c>
      <c r="C6" s="20" t="inlineStr">
        <is>
          <t>DOC-001 Table 1 — PDF p. 4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ID",IF(OR(A6="",COUNTIF($A$2:$A$29,A6)&lt;&gt;1,LEFT(A6,LEN("2018::jama.2018.14282::"))&lt;&gt;"2018::jama.2018.14282::"),"CHECK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2018::jama.2018.14282::C006</t>
        </is>
      </c>
      <c r="B7" s="24" t="inlineStr">
        <is>
          <t>Standard-arm nontransplant immunosuppression percentage does not reconcile</t>
        </is>
      </c>
      <c r="C7" s="24" t="inlineStr">
        <is>
          <t>DOC-001 Table 1 — PDF p. 4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ID",IF(OR(A7="",COUNTIF($A$2:$A$29,A7)&lt;&gt;1,LEFT(A7,LEN("2018::jama.2018.14282::"))&lt;&gt;"2018::jama.2018.14282::"),"CHECK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2018::jama.2018.14282::C007</t>
        </is>
      </c>
      <c r="B8" s="20" t="inlineStr">
        <is>
          <t>High-flow ≥3-days-after-ICU-admission percentage does not reconcile</t>
        </is>
      </c>
      <c r="C8" s="20" t="inlineStr">
        <is>
          <t>DOC-001 Table 1 — PDF p. 4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ID",IF(OR(A8="",COUNTIF($A$2:$A$29,A8)&lt;&gt;1,LEFT(A8,LEN("2018::jama.2018.14282::"))&lt;&gt;"2018::jama.2018.14282::"),"CHECK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2018::jama.2018.14282::C008</t>
        </is>
      </c>
      <c r="B9" s="24" t="inlineStr">
        <is>
          <t>Standard-arm ≥3-days-after-ICU-admission percentage does not reconcile</t>
        </is>
      </c>
      <c r="C9" s="24" t="inlineStr">
        <is>
          <t>DOC-001 Table 1 — PDF p. 4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ID",IF(OR(A9="",COUNTIF($A$2:$A$29,A9)&lt;&gt;1,LEFT(A9,LEN("2018::jama.2018.14282::"))&lt;&gt;"2018::jama.2018.14282::"),"CHECK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2018::jama.2018.14282::C009</t>
        </is>
      </c>
      <c r="B10" s="20" t="inlineStr">
        <is>
          <t>Standard-arm vasopressor percentage does not reconcile</t>
        </is>
      </c>
      <c r="C10" s="20" t="inlineStr">
        <is>
          <t>DOC-001 Table 1 — PDF p. 4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ID",IF(OR(A10="",COUNTIF($A$2:$A$29,A10)&lt;&gt;1,LEFT(A10,LEN("2018::jama.2018.14282::"))&lt;&gt;"2018::jama.2018.14282::"),"CHECK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2018::jama.2018.14282::C010</t>
        </is>
      </c>
      <c r="B11" s="24" t="inlineStr">
        <is>
          <t>High-flow do-not-intubate percentage does not reconcile</t>
        </is>
      </c>
      <c r="C11" s="24" t="inlineStr">
        <is>
          <t>DOC-001 Table 1 — PDF p. 4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ID",IF(OR(A11="",COUNTIF($A$2:$A$29,A11)&lt;&gt;1,LEFT(A11,LEN("2018::jama.2018.14282::"))&lt;&gt;"2018::jama.2018.14282::"),"CHECK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2018::jama.2018.14282::C011</t>
        </is>
      </c>
      <c r="B12" s="20" t="inlineStr">
        <is>
          <t>High-flow do-not-resuscitate percentage does not reconcile</t>
        </is>
      </c>
      <c r="C12" s="20" t="inlineStr">
        <is>
          <t>DOC-001 Table 1 — PDF p. 4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ID",IF(OR(A12="",COUNTIF($A$2:$A$29,A12)&lt;&gt;1,LEFT(A12,LEN("2018::jama.2018.14282::"))&lt;&gt;"2018::jama.2018.14282::"),"CHECK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2018::jama.2018.14282::C012</t>
        </is>
      </c>
      <c r="B13" s="24" t="inlineStr">
        <is>
          <t>Standard-arm do-not-resuscitate percentage does not reconcile</t>
        </is>
      </c>
      <c r="C13" s="24" t="inlineStr">
        <is>
          <t>DOC-001 Table 1 — PDF p. 4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ID",IF(OR(A13="",COUNTIF($A$2:$A$29,A13)&lt;&gt;1,LEFT(A13,LEN("2018::jama.2018.14282::"))&lt;&gt;"2018::jama.2018.14282::"),"CHECK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2018::jama.2018.14282::C013</t>
        </is>
      </c>
      <c r="B14" s="20" t="inlineStr">
        <is>
          <t>Standard-arm unknown-goals percentage does not reconcile</t>
        </is>
      </c>
      <c r="C14" s="20" t="inlineStr">
        <is>
          <t>DOC-001 Table 1 — PDF p. 4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ID",IF(OR(A14="",COUNTIF($A$2:$A$29,A14)&lt;&gt;1,LEFT(A14,LEN("2018::jama.2018.14282::"))&lt;&gt;"2018::jama.2018.14282::"),"CHECK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2018::jama.2018.14282::C014</t>
        </is>
      </c>
      <c r="B15" s="24" t="inlineStr">
        <is>
          <t>High-flow pre-randomization standard-oxygen percentage does not reconcile</t>
        </is>
      </c>
      <c r="C15" s="24" t="inlineStr">
        <is>
          <t>DOC-001 Table 1 — PDF p. 4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ID",IF(OR(A15="",COUNTIF($A$2:$A$29,A15)&lt;&gt;1,LEFT(A15,LEN("2018::jama.2018.14282::"))&lt;&gt;"2018::jama.2018.14282::"),"CHECK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Format="1" customHeight="1" s="14">
      <c r="A16" s="20" t="inlineStr">
        <is>
          <t>2018::jama.2018.14282::C015</t>
        </is>
      </c>
      <c r="B16" s="20" t="inlineStr">
        <is>
          <t>High-flow ICU-acquired-infection percentage does not reconcile</t>
        </is>
      </c>
      <c r="C16" s="20" t="inlineStr">
        <is>
          <t>DOC-001 Table 2 — PDF p. 5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ID",IF(OR(A16="",COUNTIF($A$2:$A$29,A16)&lt;&gt;1,LEFT(A16,LEN("2018::jama.2018.14282::"))&lt;&gt;"2018::jama.2018.14282::"),"CHECK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Format="1" customHeight="1" s="14">
      <c r="A17" s="24" t="inlineStr">
        <is>
          <t>2018::jama.2018.14282::C016</t>
        </is>
      </c>
      <c r="B17" s="24" t="inlineStr">
        <is>
          <t>Standard-arm hospital-mortality percentage does not reconcile</t>
        </is>
      </c>
      <c r="C17" s="24" t="inlineStr">
        <is>
          <t>DOC-001 Table 2 — PDF p. 5</t>
        </is>
      </c>
      <c r="D17" s="21" t="n"/>
      <c r="E17" s="21" t="inlineStr">
        <is>
          <t>statistical_results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ID",IF(OR(A17="",COUNTIF($A$2:$A$29,A17)&lt;&gt;1,LEFT(A17,LEN("2018::jama.2018.14282::"))&lt;&gt;"2018::jama.2018.14282::"),"CHECK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Format="1" customHeight="1" s="14">
      <c r="A18" s="20" t="inlineStr">
        <is>
          <t>2018::jama.2018.14282::C017</t>
        </is>
      </c>
      <c r="B18" s="20" t="inlineStr">
        <is>
          <t>Respiratory-rate confidence-interval endpoint differs between matched occurrences</t>
        </is>
      </c>
      <c r="C18" s="20" t="inlineStr">
        <is>
          <t>DOC-001 abstract — PDF p. 1; DOC-001 results — PDF p. 6</t>
        </is>
      </c>
      <c r="D18" s="21" t="n"/>
      <c r="E18" s="21" t="inlineStr">
        <is>
          <t>report_internal_inconsistency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ID",IF(OR(A18="",COUNTIF($A$2:$A$29,A18)&lt;&gt;1,LEFT(A18,LEN("2018::jama.2018.14282::"))&lt;&gt;"2018::jama.2018.14282::"),"CHECK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Format="1" customHeight="1" s="14">
      <c r="A19" s="24" t="inlineStr">
        <is>
          <t>2018::jama.2018.14282::C018</t>
        </is>
      </c>
      <c r="B19" s="24" t="inlineStr">
        <is>
          <t>Arm-attributed support-needs percentages use the overall-population denominator</t>
        </is>
      </c>
      <c r="C19" s="24" t="inlineStr">
        <is>
          <t>DOC-001 post hoc outcomes — PDF p. 6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ID",IF(OR(A19="",COUNTIF($A$2:$A$29,A19)&lt;&gt;1,LEFT(A19,LEN("2018::jama.2018.14282::"))&lt;&gt;"2018::jama.2018.14282::"),"CHECK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Format="1" customHeight="1" s="14">
      <c r="A20" s="20" t="inlineStr">
        <is>
          <t>2018::jama.2018.14282::C019</t>
        </is>
      </c>
      <c r="B20" s="20" t="inlineStr">
        <is>
          <t>eTable high-flow invasive-MV percentage does not reconcile</t>
        </is>
      </c>
      <c r="C20" s="20" t="inlineStr">
        <is>
          <t>DOC-003 eTable — PDF p. 2</t>
        </is>
      </c>
      <c r="D20" s="21" t="n"/>
      <c r="E20" s="21" t="inlineStr">
        <is>
          <t>statistical_results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ID",IF(OR(A20="",COUNTIF($A$2:$A$29,A20)&lt;&gt;1,LEFT(A20,LEN("2018::jama.2018.14282::"))&lt;&gt;"2018::jama.2018.14282::"),"CHECK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  <row r="21" ht="92" customFormat="1" customHeight="1" s="14">
      <c r="A21" s="24" t="inlineStr">
        <is>
          <t>2018::jama.2018.14282::C020</t>
        </is>
      </c>
      <c r="B21" s="24" t="inlineStr">
        <is>
          <t>eTable standard-arm invasive-MV percentage does not reconcile</t>
        </is>
      </c>
      <c r="C21" s="24" t="inlineStr">
        <is>
          <t>DOC-003 eTable — PDF p. 2</t>
        </is>
      </c>
      <c r="D21" s="21" t="n"/>
      <c r="E21" s="21" t="inlineStr">
        <is>
          <t>statistical_results</t>
        </is>
      </c>
      <c r="F21" s="21" t="inlineStr">
        <is>
          <t>no</t>
        </is>
      </c>
      <c r="G21" s="24">
        <f>IFERROR(IF(LEN(TRIM(CLEAN(SUBSTITUTE(Setup!$B$2,CHAR(160)," "))))=0,"CHECK REVIEWER ID",IF(OR(A21="",COUNTIF($A$2:$A$29,A21)&lt;&gt;1,LEFT(A21,LEN("2018::jama.2018.14282::"))&lt;&gt;"2018::jama.2018.14282::"),"CHECK KEY",IF(OR(AND(NOT(AND(D21="retain",E21="statistical_results")),H21&lt;&gt;"",NOT(EXACT(H21,"not_applicable"))),AND(NOT(AND(D21="retain",E21="statistical_results")),I21&lt;&gt;"",NOT(EXACT(I21,"not_applicable"))),AND(NOT(AND(D21="retain",E21="statistical_results")),J21&lt;&gt;"",NOT(EXACT(J21,"not_applicable"))),AND(NOT(AND(D21="retain",OR(E21="report_internal_inconsistency",E21="plan_material"))),K21&lt;&gt;"",NOT(EXACT(K21,"not_applicable"))),AND(NOT(AND(D21="retain",E21="protocol_report")),L21&lt;&gt;"",NOT(EXACT(L21,"not_applicable")))),"CLEAR INACTIVE VALUES",IF(OR(NOT(OR(EXACT(D21,"retain"),EXACT(D21,"exclude"),EXACT(D21,"discuss"))),NOT(OR(EXACT(E21,"statistical_results"),EXACT(E21,"report_internal_inconsistency"),EXACT(E21,"plan_material"),EXACT(E21,"protocol_report"))),AND(AND(D21="retain",E21="statistical_results"),NOT(OR(EXACT(H21,"confirmed_issue"),EXACT(H21,"probable_issue"),EXACT(H21,"not_issue"),EXACT(H21,"indeterminate")))),AND(AND(D21="retain",E21="statistical_results"),NOT(OR(EXACT(I21,"substantive"),EXACT(I21,"minor_presentation"),EXACT(I21,"indeterminate")))),AND(AND(D21="retain",E21="statistical_results"),J21&lt;&gt;"",NOT(OR(EXACT(J21,"direct"),EXACT(J21,"possible"),EXACT(J21,"unlikely"),EXACT(J21,"unknown")))),AND(AND(D21="retain",OR(E21="report_internal_inconsistency",E21="plan_material")),NOT(OR(EXACT(K21,"substantive_inconsistency"),EXACT(K21,"minor_presentation"),EXACT(K21,"non_inconsistency"),EXACT(K21,"indeterminate")))),AND(AND(D21="retain",E21="protocol_report"),L21&lt;&gt;"",NOT(OR(EXACT(L21,"substantive_difference"),EXACT(L21,"minor_presentation"),EXACT(L21,"version_timing"),EXACT(L21,"non_inconsistency"),EXACT(L21,"indeterminate"))))),"CHECK FIELDS",IF(AND(F21&lt;&gt;"",NOT(OR(EXACT(F21,"no"),EXACT(F21,"primary_done")))),"CHECK COMPLETE",IF(EXACT(F21,"primary_done"),"PRIMARY READY","PRIMARY DRAFT")))))),"CHECK INPUT / KEY")</f>
        <v/>
      </c>
      <c r="H21" s="21">
        <f>IF(AND(OR(D21="retain",D21=""),E21="statistical_results"),"","not_applicable")</f>
        <v/>
      </c>
      <c r="I21" s="21">
        <f>IF(AND(OR(D21="retain",D21=""),E21="statistical_results"),"","not_applicable")</f>
        <v/>
      </c>
      <c r="J21" s="22">
        <f>IF(AND(OR(D21="retain",D21=""),E21="statistical_results"),"","not_applicable")</f>
        <v/>
      </c>
      <c r="K21" s="21">
        <f>IF(AND(OR(D21="retain",D21=""),OR(E21="report_internal_inconsistency",E21="plan_material")),"","not_applicable")</f>
        <v/>
      </c>
      <c r="L21" s="22">
        <f>IF(AND(OR(D21="retain",D21=""),E21="protocol_report"),"","not_applicable")</f>
        <v/>
      </c>
      <c r="M21" s="24" t="n"/>
      <c r="N21" s="23" t="n"/>
      <c r="O21" s="23" t="n"/>
      <c r="P21" s="23" t="n"/>
      <c r="Q21" s="23" t="n"/>
      <c r="R21" s="22" t="n"/>
    </row>
    <row r="22" ht="92" customFormat="1" customHeight="1" s="14">
      <c r="A22" s="20" t="inlineStr">
        <is>
          <t>2018::jama.2018.14282::C021</t>
        </is>
      </c>
      <c r="B22" s="20" t="inlineStr">
        <is>
          <t>eTable standard-oxygen-only percentage does not reconcile</t>
        </is>
      </c>
      <c r="C22" s="20" t="inlineStr">
        <is>
          <t>DOC-003 eTable — PDF p. 2</t>
        </is>
      </c>
      <c r="D22" s="21" t="n"/>
      <c r="E22" s="21" t="inlineStr">
        <is>
          <t>statistical_results</t>
        </is>
      </c>
      <c r="F22" s="21" t="inlineStr">
        <is>
          <t>no</t>
        </is>
      </c>
      <c r="G22" s="20">
        <f>IFERROR(IF(LEN(TRIM(CLEAN(SUBSTITUTE(Setup!$B$2,CHAR(160)," "))))=0,"CHECK REVIEWER ID",IF(OR(A22="",COUNTIF($A$2:$A$29,A22)&lt;&gt;1,LEFT(A22,LEN("2018::jama.2018.14282::"))&lt;&gt;"2018::jama.2018.14282::"),"CHECK KEY",IF(OR(AND(NOT(AND(D22="retain",E22="statistical_results")),H22&lt;&gt;"",NOT(EXACT(H22,"not_applicable"))),AND(NOT(AND(D22="retain",E22="statistical_results")),I22&lt;&gt;"",NOT(EXACT(I22,"not_applicable"))),AND(NOT(AND(D22="retain",E22="statistical_results")),J22&lt;&gt;"",NOT(EXACT(J22,"not_applicable"))),AND(NOT(AND(D22="retain",OR(E22="report_internal_inconsistency",E22="plan_material"))),K22&lt;&gt;"",NOT(EXACT(K22,"not_applicable"))),AND(NOT(AND(D22="retain",E22="protocol_report")),L22&lt;&gt;"",NOT(EXACT(L22,"not_applicable")))),"CLEAR INACTIVE VALUES",IF(OR(NOT(OR(EXACT(D22,"retain"),EXACT(D22,"exclude"),EXACT(D22,"discuss"))),NOT(OR(EXACT(E22,"statistical_results"),EXACT(E22,"report_internal_inconsistency"),EXACT(E22,"plan_material"),EXACT(E22,"protocol_report"))),AND(AND(D22="retain",E22="statistical_results"),NOT(OR(EXACT(H22,"confirmed_issue"),EXACT(H22,"probable_issue"),EXACT(H22,"not_issue"),EXACT(H22,"indeterminate")))),AND(AND(D22="retain",E22="statistical_results"),NOT(OR(EXACT(I22,"substantive"),EXACT(I22,"minor_presentation"),EXACT(I22,"indeterminate")))),AND(AND(D22="retain",E22="statistical_results"),J22&lt;&gt;"",NOT(OR(EXACT(J22,"direct"),EXACT(J22,"possible"),EXACT(J22,"unlikely"),EXACT(J22,"unknown")))),AND(AND(D22="retain",OR(E22="report_internal_inconsistency",E22="plan_material")),NOT(OR(EXACT(K22,"substantive_inconsistency"),EXACT(K22,"minor_presentation"),EXACT(K22,"non_inconsistency"),EXACT(K22,"indeterminate")))),AND(AND(D22="retain",E22="protocol_report"),L22&lt;&gt;"",NOT(OR(EXACT(L22,"substantive_difference"),EXACT(L22,"minor_presentation"),EXACT(L22,"version_timing"),EXACT(L22,"non_inconsistency"),EXACT(L22,"indeterminate"))))),"CHECK FIELDS",IF(AND(F22&lt;&gt;"",NOT(OR(EXACT(F22,"no"),EXACT(F22,"primary_done")))),"CHECK COMPLETE",IF(EXACT(F22,"primary_done"),"PRIMARY READY","PRIMARY DRAFT")))))),"CHECK INPUT / KEY")</f>
        <v/>
      </c>
      <c r="H22" s="21">
        <f>IF(AND(OR(D22="retain",D22=""),E22="statistical_results"),"","not_applicable")</f>
        <v/>
      </c>
      <c r="I22" s="21">
        <f>IF(AND(OR(D22="retain",D22=""),E22="statistical_results"),"","not_applicable")</f>
        <v/>
      </c>
      <c r="J22" s="22">
        <f>IF(AND(OR(D22="retain",D22=""),E22="statistical_results"),"","not_applicable")</f>
        <v/>
      </c>
      <c r="K22" s="21">
        <f>IF(AND(OR(D22="retain",D22=""),OR(E22="report_internal_inconsistency",E22="plan_material")),"","not_applicable")</f>
        <v/>
      </c>
      <c r="L22" s="22">
        <f>IF(AND(OR(D22="retain",D22=""),E22="protocol_report"),"","not_applicable")</f>
        <v/>
      </c>
      <c r="M22" s="20" t="n"/>
      <c r="N22" s="23" t="n"/>
      <c r="O22" s="23" t="n"/>
      <c r="P22" s="23" t="n"/>
      <c r="Q22" s="23" t="n"/>
      <c r="R22" s="22" t="n"/>
    </row>
    <row r="23" ht="92" customFormat="1" customHeight="1" s="14">
      <c r="A23" s="24" t="inlineStr">
        <is>
          <t>2018::jama.2018.14282::C022</t>
        </is>
      </c>
      <c r="B23" s="24" t="inlineStr">
        <is>
          <t>IMV cumulative-incidence comparison has incompatible printed test labels</t>
        </is>
      </c>
      <c r="C23" s="24" t="inlineStr">
        <is>
          <t>DOC-001 methods — PDF p. 4; DOC-001 results — PDF p. 6; DOC-003 eFigure 1 — PDF p. 3</t>
        </is>
      </c>
      <c r="D23" s="21" t="n"/>
      <c r="E23" s="21" t="inlineStr">
        <is>
          <t>statistical_results</t>
        </is>
      </c>
      <c r="F23" s="21" t="inlineStr">
        <is>
          <t>no</t>
        </is>
      </c>
      <c r="G23" s="24">
        <f>IFERROR(IF(LEN(TRIM(CLEAN(SUBSTITUTE(Setup!$B$2,CHAR(160)," "))))=0,"CHECK REVIEWER ID",IF(OR(A23="",COUNTIF($A$2:$A$29,A23)&lt;&gt;1,LEFT(A23,LEN("2018::jama.2018.14282::"))&lt;&gt;"2018::jama.2018.14282::"),"CHECK KEY",IF(OR(AND(NOT(AND(D23="retain",E23="statistical_results")),H23&lt;&gt;"",NOT(EXACT(H23,"not_applicable"))),AND(NOT(AND(D23="retain",E23="statistical_results")),I23&lt;&gt;"",NOT(EXACT(I23,"not_applicable"))),AND(NOT(AND(D23="retain",E23="statistical_results")),J23&lt;&gt;"",NOT(EXACT(J23,"not_applicable"))),AND(NOT(AND(D23="retain",OR(E23="report_internal_inconsistency",E23="plan_material"))),K23&lt;&gt;"",NOT(EXACT(K23,"not_applicable"))),AND(NOT(AND(D23="retain",E23="protocol_report")),L23&lt;&gt;"",NOT(EXACT(L23,"not_applicable")))),"CLEAR INACTIVE VALUES",IF(OR(NOT(OR(EXACT(D23,"retain"),EXACT(D23,"exclude"),EXACT(D23,"discuss"))),NOT(OR(EXACT(E23,"statistical_results"),EXACT(E23,"report_internal_inconsistency"),EXACT(E23,"plan_material"),EXACT(E23,"protocol_report"))),AND(AND(D23="retain",E23="statistical_results"),NOT(OR(EXACT(H23,"confirmed_issue"),EXACT(H23,"probable_issue"),EXACT(H23,"not_issue"),EXACT(H23,"indeterminate")))),AND(AND(D23="retain",E23="statistical_results"),NOT(OR(EXACT(I23,"substantive"),EXACT(I23,"minor_presentation"),EXACT(I23,"indeterminate")))),AND(AND(D23="retain",E23="statistical_results"),J23&lt;&gt;"",NOT(OR(EXACT(J23,"direct"),EXACT(J23,"possible"),EXACT(J23,"unlikely"),EXACT(J23,"unknown")))),AND(AND(D23="retain",OR(E23="report_internal_inconsistency",E23="plan_material")),NOT(OR(EXACT(K23,"substantive_inconsistency"),EXACT(K23,"minor_presentation"),EXACT(K23,"non_inconsistency"),EXACT(K23,"indeterminate")))),AND(AND(D23="retain",E23="protocol_report"),L23&lt;&gt;"",NOT(OR(EXACT(L23,"substantive_difference"),EXACT(L23,"minor_presentation"),EXACT(L23,"version_timing"),EXACT(L23,"non_inconsistency"),EXACT(L23,"indeterminate"))))),"CHECK FIELDS",IF(AND(F23&lt;&gt;"",NOT(OR(EXACT(F23,"no"),EXACT(F23,"primary_done")))),"CHECK COMPLETE",IF(EXACT(F23,"primary_done"),"PRIMARY READY","PRIMARY DRAFT")))))),"CHECK INPUT / KEY")</f>
        <v/>
      </c>
      <c r="H23" s="21">
        <f>IF(AND(OR(D23="retain",D23=""),E23="statistical_results"),"","not_applicable")</f>
        <v/>
      </c>
      <c r="I23" s="21">
        <f>IF(AND(OR(D23="retain",D23=""),E23="statistical_results"),"","not_applicable")</f>
        <v/>
      </c>
      <c r="J23" s="22">
        <f>IF(AND(OR(D23="retain",D23=""),E23="statistical_results"),"","not_applicable")</f>
        <v/>
      </c>
      <c r="K23" s="21">
        <f>IF(AND(OR(D23="retain",D23=""),OR(E23="report_internal_inconsistency",E23="plan_material")),"","not_applicable")</f>
        <v/>
      </c>
      <c r="L23" s="22">
        <f>IF(AND(OR(D23="retain",D23=""),E23="protocol_report"),"","not_applicable")</f>
        <v/>
      </c>
      <c r="M23" s="24" t="n"/>
      <c r="N23" s="23" t="n"/>
      <c r="O23" s="23" t="n"/>
      <c r="P23" s="23" t="n"/>
      <c r="Q23" s="23" t="n"/>
      <c r="R23" s="22" t="n"/>
    </row>
    <row r="24" ht="92" customFormat="1" customHeight="1" s="14">
      <c r="A24" s="20" t="inlineStr">
        <is>
          <t>2018::jama.2018.14282::C023</t>
        </is>
      </c>
      <c r="B24" s="20" t="inlineStr">
        <is>
          <t>Figure 3A mortality HR has a near-reciprocal orientation relative to Table 2</t>
        </is>
      </c>
      <c r="C24" s="20" t="inlineStr">
        <is>
          <t>DOC-001 Table 2 and narrative — PDF p. 5; DOC-001 Figure 3A — PDF p. 7</t>
        </is>
      </c>
      <c r="D24" s="21" t="n"/>
      <c r="E24" s="21" t="inlineStr">
        <is>
          <t>report_internal_inconsistency</t>
        </is>
      </c>
      <c r="F24" s="21" t="inlineStr">
        <is>
          <t>no</t>
        </is>
      </c>
      <c r="G24" s="20">
        <f>IFERROR(IF(LEN(TRIM(CLEAN(SUBSTITUTE(Setup!$B$2,CHAR(160)," "))))=0,"CHECK REVIEWER ID",IF(OR(A24="",COUNTIF($A$2:$A$29,A24)&lt;&gt;1,LEFT(A24,LEN("2018::jama.2018.14282::"))&lt;&gt;"2018::jama.2018.14282::"),"CHECK KEY",IF(OR(AND(NOT(AND(D24="retain",E24="statistical_results")),H24&lt;&gt;"",NOT(EXACT(H24,"not_applicable"))),AND(NOT(AND(D24="retain",E24="statistical_results")),I24&lt;&gt;"",NOT(EXACT(I24,"not_applicable"))),AND(NOT(AND(D24="retain",E24="statistical_results")),J24&lt;&gt;"",NOT(EXACT(J24,"not_applicable"))),AND(NOT(AND(D24="retain",OR(E24="report_internal_inconsistency",E24="plan_material"))),K24&lt;&gt;"",NOT(EXACT(K24,"not_applicable"))),AND(NOT(AND(D24="retain",E24="protocol_report")),L24&lt;&gt;"",NOT(EXACT(L24,"not_applicable")))),"CLEAR INACTIVE VALUES",IF(OR(NOT(OR(EXACT(D24,"retain"),EXACT(D24,"exclude"),EXACT(D24,"discuss"))),NOT(OR(EXACT(E24,"statistical_results"),EXACT(E24,"report_internal_inconsistency"),EXACT(E24,"plan_material"),EXACT(E24,"protocol_report"))),AND(AND(D24="retain",E24="statistical_results"),NOT(OR(EXACT(H24,"confirmed_issue"),EXACT(H24,"probable_issue"),EXACT(H24,"not_issue"),EXACT(H24,"indeterminate")))),AND(AND(D24="retain",E24="statistical_results"),NOT(OR(EXACT(I24,"substantive"),EXACT(I24,"minor_presentation"),EXACT(I24,"indeterminate")))),AND(AND(D24="retain",E24="statistical_results"),J24&lt;&gt;"",NOT(OR(EXACT(J24,"direct"),EXACT(J24,"possible"),EXACT(J24,"unlikely"),EXACT(J24,"unknown")))),AND(AND(D24="retain",OR(E24="report_internal_inconsistency",E24="plan_material")),NOT(OR(EXACT(K24,"substantive_inconsistency"),EXACT(K24,"minor_presentation"),EXACT(K24,"non_inconsistency"),EXACT(K24,"indeterminate")))),AND(AND(D24="retain",E24="protocol_report"),L24&lt;&gt;"",NOT(OR(EXACT(L24,"substantive_difference"),EXACT(L24,"minor_presentation"),EXACT(L24,"version_timing"),EXACT(L24,"non_inconsistency"),EXACT(L24,"indeterminate"))))),"CHECK FIELDS",IF(AND(F24&lt;&gt;"",NOT(OR(EXACT(F24,"no"),EXACT(F24,"primary_done")))),"CHECK COMPLETE",IF(EXACT(F24,"primary_done"),"PRIMARY READY","PRIMARY DRAFT")))))),"CHECK INPUT / KEY")</f>
        <v/>
      </c>
      <c r="H24" s="21">
        <f>IF(AND(OR(D24="retain",D24=""),E24="statistical_results"),"","not_applicable")</f>
        <v/>
      </c>
      <c r="I24" s="21">
        <f>IF(AND(OR(D24="retain",D24=""),E24="statistical_results"),"","not_applicable")</f>
        <v/>
      </c>
      <c r="J24" s="22">
        <f>IF(AND(OR(D24="retain",D24=""),E24="statistical_results"),"","not_applicable")</f>
        <v/>
      </c>
      <c r="K24" s="21">
        <f>IF(AND(OR(D24="retain",D24=""),OR(E24="report_internal_inconsistency",E24="plan_material")),"","not_applicable")</f>
        <v/>
      </c>
      <c r="L24" s="22">
        <f>IF(AND(OR(D24="retain",D24=""),E24="protocol_report"),"","not_applicable")</f>
        <v/>
      </c>
      <c r="M24" s="20" t="n"/>
      <c r="N24" s="23" t="n"/>
      <c r="O24" s="23" t="n"/>
      <c r="P24" s="23" t="n"/>
      <c r="Q24" s="23" t="n"/>
      <c r="R24" s="22" t="n"/>
    </row>
    <row r="25" ht="92" customFormat="1" customHeight="1" s="14">
      <c r="A25" s="24" t="inlineStr">
        <is>
          <t>2018::jama.2018.14282::C024</t>
        </is>
      </c>
      <c r="B25" s="24" t="inlineStr">
        <is>
          <t>Figure 3B IMV HR has a near-reciprocal orientation relative to Table 2</t>
        </is>
      </c>
      <c r="C25" s="24" t="inlineStr">
        <is>
          <t>DOC-001 Table 2 — PDF p. 5; DOC-001 narrative — PDF p. 6; DOC-001 Figure 3B — PDF p. 7</t>
        </is>
      </c>
      <c r="D25" s="21" t="n"/>
      <c r="E25" s="21" t="inlineStr">
        <is>
          <t>report_internal_inconsistency</t>
        </is>
      </c>
      <c r="F25" s="21" t="inlineStr">
        <is>
          <t>no</t>
        </is>
      </c>
      <c r="G25" s="24">
        <f>IFERROR(IF(LEN(TRIM(CLEAN(SUBSTITUTE(Setup!$B$2,CHAR(160)," "))))=0,"CHECK REVIEWER ID",IF(OR(A25="",COUNTIF($A$2:$A$29,A25)&lt;&gt;1,LEFT(A25,LEN("2018::jama.2018.14282::"))&lt;&gt;"2018::jama.2018.14282::"),"CHECK KEY",IF(OR(AND(NOT(AND(D25="retain",E25="statistical_results")),H25&lt;&gt;"",NOT(EXACT(H25,"not_applicable"))),AND(NOT(AND(D25="retain",E25="statistical_results")),I25&lt;&gt;"",NOT(EXACT(I25,"not_applicable"))),AND(NOT(AND(D25="retain",E25="statistical_results")),J25&lt;&gt;"",NOT(EXACT(J25,"not_applicable"))),AND(NOT(AND(D25="retain",OR(E25="report_internal_inconsistency",E25="plan_material"))),K25&lt;&gt;"",NOT(EXACT(K25,"not_applicable"))),AND(NOT(AND(D25="retain",E25="protocol_report")),L25&lt;&gt;"",NOT(EXACT(L25,"not_applicable")))),"CLEAR INACTIVE VALUES",IF(OR(NOT(OR(EXACT(D25,"retain"),EXACT(D25,"exclude"),EXACT(D25,"discuss"))),NOT(OR(EXACT(E25,"statistical_results"),EXACT(E25,"report_internal_inconsistency"),EXACT(E25,"plan_material"),EXACT(E25,"protocol_report"))),AND(AND(D25="retain",E25="statistical_results"),NOT(OR(EXACT(H25,"confirmed_issue"),EXACT(H25,"probable_issue"),EXACT(H25,"not_issue"),EXACT(H25,"indeterminate")))),AND(AND(D25="retain",E25="statistical_results"),NOT(OR(EXACT(I25,"substantive"),EXACT(I25,"minor_presentation"),EXACT(I25,"indeterminate")))),AND(AND(D25="retain",E25="statistical_results"),J25&lt;&gt;"",NOT(OR(EXACT(J25,"direct"),EXACT(J25,"possible"),EXACT(J25,"unlikely"),EXACT(J25,"unknown")))),AND(AND(D25="retain",OR(E25="report_internal_inconsistency",E25="plan_material")),NOT(OR(EXACT(K25,"substantive_inconsistency"),EXACT(K25,"minor_presentation"),EXACT(K25,"non_inconsistency"),EXACT(K25,"indeterminate")))),AND(AND(D25="retain",E25="protocol_report"),L25&lt;&gt;"",NOT(OR(EXACT(L25,"substantive_difference"),EXACT(L25,"minor_presentation"),EXACT(L25,"version_timing"),EXACT(L25,"non_inconsistency"),EXACT(L25,"indeterminate"))))),"CHECK FIELDS",IF(AND(F25&lt;&gt;"",NOT(OR(EXACT(F25,"no"),EXACT(F25,"primary_done")))),"CHECK COMPLETE",IF(EXACT(F25,"primary_done"),"PRIMARY READY","PRIMARY DRAFT")))))),"CHECK INPUT / KEY")</f>
        <v/>
      </c>
      <c r="H25" s="21">
        <f>IF(AND(OR(D25="retain",D25=""),E25="statistical_results"),"","not_applicable")</f>
        <v/>
      </c>
      <c r="I25" s="21">
        <f>IF(AND(OR(D25="retain",D25=""),E25="statistical_results"),"","not_applicable")</f>
        <v/>
      </c>
      <c r="J25" s="22">
        <f>IF(AND(OR(D25="retain",D25=""),E25="statistical_results"),"","not_applicable")</f>
        <v/>
      </c>
      <c r="K25" s="21">
        <f>IF(AND(OR(D25="retain",D25=""),OR(E25="report_internal_inconsistency",E25="plan_material")),"","not_applicable")</f>
        <v/>
      </c>
      <c r="L25" s="22">
        <f>IF(AND(OR(D25="retain",D25=""),E25="protocol_report"),"","not_applicable")</f>
        <v/>
      </c>
      <c r="M25" s="24" t="n"/>
      <c r="N25" s="23" t="n"/>
      <c r="O25" s="23" t="n"/>
      <c r="P25" s="23" t="n"/>
      <c r="Q25" s="23" t="n"/>
      <c r="R25" s="22" t="n"/>
    </row>
    <row r="26" ht="92" customFormat="1" customHeight="1" s="14">
      <c r="A26" s="20" t="inlineStr">
        <is>
          <t>2018::jama.2018.14282::C025</t>
        </is>
      </c>
      <c r="B26" s="20" t="inlineStr">
        <is>
          <t>Revised-superiority sample-size total conflicts with equal arm counts</t>
        </is>
      </c>
      <c r="C26" s="20" t="inlineStr">
        <is>
          <t>DOC-001 — PDF p. 3; DOC-002 completed published-protocol abstract sentence — PDF p. 91; DOC-002 statistical-plan comparator — PDF p. 103</t>
        </is>
      </c>
      <c r="D26" s="21" t="n"/>
      <c r="E26" s="21" t="inlineStr">
        <is>
          <t>statistical_results</t>
        </is>
      </c>
      <c r="F26" s="21" t="inlineStr">
        <is>
          <t>no</t>
        </is>
      </c>
      <c r="G26" s="20">
        <f>IFERROR(IF(LEN(TRIM(CLEAN(SUBSTITUTE(Setup!$B$2,CHAR(160)," "))))=0,"CHECK REVIEWER ID",IF(OR(A26="",COUNTIF($A$2:$A$29,A26)&lt;&gt;1,LEFT(A26,LEN("2018::jama.2018.14282::"))&lt;&gt;"2018::jama.2018.14282::"),"CHECK KEY",IF(OR(AND(NOT(AND(D26="retain",E26="statistical_results")),H26&lt;&gt;"",NOT(EXACT(H26,"not_applicable"))),AND(NOT(AND(D26="retain",E26="statistical_results")),I26&lt;&gt;"",NOT(EXACT(I26,"not_applicable"))),AND(NOT(AND(D26="retain",E26="statistical_results")),J26&lt;&gt;"",NOT(EXACT(J26,"not_applicable"))),AND(NOT(AND(D26="retain",OR(E26="report_internal_inconsistency",E26="plan_material"))),K26&lt;&gt;"",NOT(EXACT(K26,"not_applicable"))),AND(NOT(AND(D26="retain",E26="protocol_report")),L26&lt;&gt;"",NOT(EXACT(L26,"not_applicable")))),"CLEAR INACTIVE VALUES",IF(OR(NOT(OR(EXACT(D26,"retain"),EXACT(D26,"exclude"),EXACT(D26,"discuss"))),NOT(OR(EXACT(E26,"statistical_results"),EXACT(E26,"report_internal_inconsistency"),EXACT(E26,"plan_material"),EXACT(E26,"protocol_report"))),AND(AND(D26="retain",E26="statistical_results"),NOT(OR(EXACT(H26,"confirmed_issue"),EXACT(H26,"probable_issue"),EXACT(H26,"not_issue"),EXACT(H26,"indeterminate")))),AND(AND(D26="retain",E26="statistical_results"),NOT(OR(EXACT(I26,"substantive"),EXACT(I26,"minor_presentation"),EXACT(I26,"indeterminate")))),AND(AND(D26="retain",E26="statistical_results"),J26&lt;&gt;"",NOT(OR(EXACT(J26,"direct"),EXACT(J26,"possible"),EXACT(J26,"unlikely"),EXACT(J26,"unknown")))),AND(AND(D26="retain",OR(E26="report_internal_inconsistency",E26="plan_material")),NOT(OR(EXACT(K26,"substantive_inconsistency"),EXACT(K26,"minor_presentation"),EXACT(K26,"non_inconsistency"),EXACT(K26,"indeterminate")))),AND(AND(D26="retain",E26="protocol_report"),L26&lt;&gt;"",NOT(OR(EXACT(L26,"substantive_difference"),EXACT(L26,"minor_presentation"),EXACT(L26,"version_timing"),EXACT(L26,"non_inconsistency"),EXACT(L26,"indeterminate"))))),"CHECK FIELDS",IF(AND(F26&lt;&gt;"",NOT(OR(EXACT(F26,"no"),EXACT(F26,"primary_done")))),"CHECK COMPLETE",IF(EXACT(F26,"primary_done"),"PRIMARY READY","PRIMARY DRAFT")))))),"CHECK INPUT / KEY")</f>
        <v/>
      </c>
      <c r="H26" s="21">
        <f>IF(AND(OR(D26="retain",D26=""),E26="statistical_results"),"","not_applicable")</f>
        <v/>
      </c>
      <c r="I26" s="21">
        <f>IF(AND(OR(D26="retain",D26=""),E26="statistical_results"),"","not_applicable")</f>
        <v/>
      </c>
      <c r="J26" s="22">
        <f>IF(AND(OR(D26="retain",D26=""),E26="statistical_results"),"","not_applicable")</f>
        <v/>
      </c>
      <c r="K26" s="21">
        <f>IF(AND(OR(D26="retain",D26=""),OR(E26="report_internal_inconsistency",E26="plan_material")),"","not_applicable")</f>
        <v/>
      </c>
      <c r="L26" s="22">
        <f>IF(AND(OR(D26="retain",D26=""),E26="protocol_report"),"","not_applicable")</f>
        <v/>
      </c>
      <c r="M26" s="20" t="n"/>
      <c r="N26" s="23" t="n"/>
      <c r="O26" s="23" t="n"/>
      <c r="P26" s="23" t="n"/>
      <c r="Q26" s="23" t="n"/>
      <c r="R26" s="22" t="n"/>
    </row>
    <row r="27" ht="92" customFormat="1" customHeight="1" s="14">
      <c r="A27" s="24" t="inlineStr">
        <is>
          <t>2018::jama.2018.14282::C026</t>
        </is>
      </c>
      <c r="B27" s="24" t="inlineStr">
        <is>
          <t>Noninferiority bound/sign wording conflicts with its explanatory axis</t>
        </is>
      </c>
      <c r="C27" s="24" t="inlineStr">
        <is>
          <t>DOC-002 Figure 4 — PDF p. 40; DOC-002 — PDF p. 42</t>
        </is>
      </c>
      <c r="D27" s="21" t="n"/>
      <c r="E27" s="21" t="inlineStr">
        <is>
          <t>plan_material</t>
        </is>
      </c>
      <c r="F27" s="21" t="inlineStr">
        <is>
          <t>no</t>
        </is>
      </c>
      <c r="G27" s="24">
        <f>IFERROR(IF(LEN(TRIM(CLEAN(SUBSTITUTE(Setup!$B$2,CHAR(160)," "))))=0,"CHECK REVIEWER ID",IF(OR(A27="",COUNTIF($A$2:$A$29,A27)&lt;&gt;1,LEFT(A27,LEN("2018::jama.2018.14282::"))&lt;&gt;"2018::jama.2018.14282::"),"CHECK KEY",IF(OR(AND(NOT(AND(D27="retain",E27="statistical_results")),H27&lt;&gt;"",NOT(EXACT(H27,"not_applicable"))),AND(NOT(AND(D27="retain",E27="statistical_results")),I27&lt;&gt;"",NOT(EXACT(I27,"not_applicable"))),AND(NOT(AND(D27="retain",E27="statistical_results")),J27&lt;&gt;"",NOT(EXACT(J27,"not_applicable"))),AND(NOT(AND(D27="retain",OR(E27="report_internal_inconsistency",E27="plan_material"))),K27&lt;&gt;"",NOT(EXACT(K27,"not_applicable"))),AND(NOT(AND(D27="retain",E27="protocol_report")),L27&lt;&gt;"",NOT(EXACT(L27,"not_applicable")))),"CLEAR INACTIVE VALUES",IF(OR(NOT(OR(EXACT(D27,"retain"),EXACT(D27,"exclude"),EXACT(D27,"discuss"))),NOT(OR(EXACT(E27,"statistical_results"),EXACT(E27,"report_internal_inconsistency"),EXACT(E27,"plan_material"),EXACT(E27,"protocol_report"))),AND(AND(D27="retain",E27="statistical_results"),NOT(OR(EXACT(H27,"confirmed_issue"),EXACT(H27,"probable_issue"),EXACT(H27,"not_issue"),EXACT(H27,"indeterminate")))),AND(AND(D27="retain",E27="statistical_results"),NOT(OR(EXACT(I27,"substantive"),EXACT(I27,"minor_presentation"),EXACT(I27,"indeterminate")))),AND(AND(D27="retain",E27="statistical_results"),J27&lt;&gt;"",NOT(OR(EXACT(J27,"direct"),EXACT(J27,"possible"),EXACT(J27,"unlikely"),EXACT(J27,"unknown")))),AND(AND(D27="retain",OR(E27="report_internal_inconsistency",E27="plan_material")),NOT(OR(EXACT(K27,"substantive_inconsistency"),EXACT(K27,"minor_presentation"),EXACT(K27,"non_inconsistency"),EXACT(K27,"indeterminate")))),AND(AND(D27="retain",E27="protocol_report"),L27&lt;&gt;"",NOT(OR(EXACT(L27,"substantive_difference"),EXACT(L27,"minor_presentation"),EXACT(L27,"version_timing"),EXACT(L27,"non_inconsistency"),EXACT(L27,"indeterminate"))))),"CHECK FIELDS",IF(AND(F27&lt;&gt;"",NOT(OR(EXACT(F27,"no"),EXACT(F27,"primary_done")))),"CHECK COMPLETE",IF(EXACT(F27,"primary_done"),"PRIMARY READY","PRIMARY DRAFT")))))),"CHECK INPUT / KEY")</f>
        <v/>
      </c>
      <c r="H27" s="21">
        <f>IF(AND(OR(D27="retain",D27=""),E27="statistical_results"),"","not_applicable")</f>
        <v/>
      </c>
      <c r="I27" s="21">
        <f>IF(AND(OR(D27="retain",D27=""),E27="statistical_results"),"","not_applicable")</f>
        <v/>
      </c>
      <c r="J27" s="22">
        <f>IF(AND(OR(D27="retain",D27=""),E27="statistical_results"),"","not_applicable")</f>
        <v/>
      </c>
      <c r="K27" s="21">
        <f>IF(AND(OR(D27="retain",D27=""),OR(E27="report_internal_inconsistency",E27="plan_material")),"","not_applicable")</f>
        <v/>
      </c>
      <c r="L27" s="22">
        <f>IF(AND(OR(D27="retain",D27=""),E27="protocol_report"),"","not_applicable")</f>
        <v/>
      </c>
      <c r="M27" s="24" t="n"/>
      <c r="N27" s="23" t="n"/>
      <c r="O27" s="23" t="n"/>
      <c r="P27" s="23" t="n"/>
      <c r="Q27" s="23" t="n"/>
      <c r="R27" s="22" t="n"/>
    </row>
    <row r="28" ht="92" customFormat="1" customHeight="1" s="14">
      <c r="A28" s="20" t="inlineStr">
        <is>
          <t>2018::jama.2018.14282::C027</t>
        </is>
      </c>
      <c r="B28" s="20" t="inlineStr">
        <is>
          <t>Primary-hypothesis intervention is labelled NIV while plans identify HFNO</t>
        </is>
      </c>
      <c r="C28" s="20" t="inlineStr">
        <is>
          <t>DOC-002 — PDF p. 52; DOC-002 — PDF p. 104</t>
        </is>
      </c>
      <c r="D28" s="21" t="n"/>
      <c r="E28" s="21" t="inlineStr">
        <is>
          <t>plan_material</t>
        </is>
      </c>
      <c r="F28" s="21" t="inlineStr">
        <is>
          <t>no</t>
        </is>
      </c>
      <c r="G28" s="20">
        <f>IFERROR(IF(LEN(TRIM(CLEAN(SUBSTITUTE(Setup!$B$2,CHAR(160)," "))))=0,"CHECK REVIEWER ID",IF(OR(A28="",COUNTIF($A$2:$A$29,A28)&lt;&gt;1,LEFT(A28,LEN("2018::jama.2018.14282::"))&lt;&gt;"2018::jama.2018.14282::"),"CHECK KEY",IF(OR(AND(NOT(AND(D28="retain",E28="statistical_results")),H28&lt;&gt;"",NOT(EXACT(H28,"not_applicable"))),AND(NOT(AND(D28="retain",E28="statistical_results")),I28&lt;&gt;"",NOT(EXACT(I28,"not_applicable"))),AND(NOT(AND(D28="retain",E28="statistical_results")),J28&lt;&gt;"",NOT(EXACT(J28,"not_applicable"))),AND(NOT(AND(D28="retain",OR(E28="report_internal_inconsistency",E28="plan_material"))),K28&lt;&gt;"",NOT(EXACT(K28,"not_applicable"))),AND(NOT(AND(D28="retain",E28="protocol_report")),L28&lt;&gt;"",NOT(EXACT(L28,"not_applicable")))),"CLEAR INACTIVE VALUES",IF(OR(NOT(OR(EXACT(D28,"retain"),EXACT(D28,"exclude"),EXACT(D28,"discuss"))),NOT(OR(EXACT(E28,"statistical_results"),EXACT(E28,"report_internal_inconsistency"),EXACT(E28,"plan_material"),EXACT(E28,"protocol_report"))),AND(AND(D28="retain",E28="statistical_results"),NOT(OR(EXACT(H28,"confirmed_issue"),EXACT(H28,"probable_issue"),EXACT(H28,"not_issue"),EXACT(H28,"indeterminate")))),AND(AND(D28="retain",E28="statistical_results"),NOT(OR(EXACT(I28,"substantive"),EXACT(I28,"minor_presentation"),EXACT(I28,"indeterminate")))),AND(AND(D28="retain",E28="statistical_results"),J28&lt;&gt;"",NOT(OR(EXACT(J28,"direct"),EXACT(J28,"possible"),EXACT(J28,"unlikely"),EXACT(J28,"unknown")))),AND(AND(D28="retain",OR(E28="report_internal_inconsistency",E28="plan_material")),NOT(OR(EXACT(K28,"substantive_inconsistency"),EXACT(K28,"minor_presentation"),EXACT(K28,"non_inconsistency"),EXACT(K28,"indeterminate")))),AND(AND(D28="retain",E28="protocol_report"),L28&lt;&gt;"",NOT(OR(EXACT(L28,"substantive_difference"),EXACT(L28,"minor_presentation"),EXACT(L28,"version_timing"),EXACT(L28,"non_inconsistency"),EXACT(L28,"indeterminate"))))),"CHECK FIELDS",IF(AND(F28&lt;&gt;"",NOT(OR(EXACT(F28,"no"),EXACT(F28,"primary_done")))),"CHECK COMPLETE",IF(EXACT(F28,"primary_done"),"PRIMARY READY","PRIMARY DRAFT")))))),"CHECK INPUT / KEY")</f>
        <v/>
      </c>
      <c r="H28" s="21">
        <f>IF(AND(OR(D28="retain",D28=""),E28="statistical_results"),"","not_applicable")</f>
        <v/>
      </c>
      <c r="I28" s="21">
        <f>IF(AND(OR(D28="retain",D28=""),E28="statistical_results"),"","not_applicable")</f>
        <v/>
      </c>
      <c r="J28" s="22">
        <f>IF(AND(OR(D28="retain",D28=""),E28="statistical_results"),"","not_applicable")</f>
        <v/>
      </c>
      <c r="K28" s="21">
        <f>IF(AND(OR(D28="retain",D28=""),OR(E28="report_internal_inconsistency",E28="plan_material")),"","not_applicable")</f>
        <v/>
      </c>
      <c r="L28" s="22">
        <f>IF(AND(OR(D28="retain",D28=""),E28="protocol_report"),"","not_applicable")</f>
        <v/>
      </c>
      <c r="M28" s="20" t="n"/>
      <c r="N28" s="23" t="n"/>
      <c r="O28" s="23" t="n"/>
      <c r="P28" s="23" t="n"/>
      <c r="Q28" s="23" t="n"/>
      <c r="R28" s="22" t="n"/>
    </row>
    <row r="29" ht="92" customFormat="1" customHeight="1" s="14">
      <c r="A29" s="24" t="inlineStr">
        <is>
          <t>2018::jama.2018.14282::C028</t>
        </is>
      </c>
      <c r="B29" s="24" t="inlineStr">
        <is>
          <t>Planned primary outcome alternates between day-28 vital status and hospital death</t>
        </is>
      </c>
      <c r="C29" s="24" t="inlineStr">
        <is>
          <t>DOC-002 — PDF p. 54; DOC-002 — PDF p. 82; DOC-002 — PDF p. 104</t>
        </is>
      </c>
      <c r="D29" s="21" t="n"/>
      <c r="E29" s="21" t="inlineStr">
        <is>
          <t>plan_material</t>
        </is>
      </c>
      <c r="F29" s="21" t="inlineStr">
        <is>
          <t>no</t>
        </is>
      </c>
      <c r="G29" s="24">
        <f>IFERROR(IF(LEN(TRIM(CLEAN(SUBSTITUTE(Setup!$B$2,CHAR(160)," "))))=0,"CHECK REVIEWER ID",IF(OR(A29="",COUNTIF($A$2:$A$29,A29)&lt;&gt;1,LEFT(A29,LEN("2018::jama.2018.14282::"))&lt;&gt;"2018::jama.2018.14282::"),"CHECK KEY",IF(OR(AND(NOT(AND(D29="retain",E29="statistical_results")),H29&lt;&gt;"",NOT(EXACT(H29,"not_applicable"))),AND(NOT(AND(D29="retain",E29="statistical_results")),I29&lt;&gt;"",NOT(EXACT(I29,"not_applicable"))),AND(NOT(AND(D29="retain",E29="statistical_results")),J29&lt;&gt;"",NOT(EXACT(J29,"not_applicable"))),AND(NOT(AND(D29="retain",OR(E29="report_internal_inconsistency",E29="plan_material"))),K29&lt;&gt;"",NOT(EXACT(K29,"not_applicable"))),AND(NOT(AND(D29="retain",E29="protocol_report")),L29&lt;&gt;"",NOT(EXACT(L29,"not_applicable")))),"CLEAR INACTIVE VALUES",IF(OR(NOT(OR(EXACT(D29,"retain"),EXACT(D29,"exclude"),EXACT(D29,"discuss"))),NOT(OR(EXACT(E29,"statistical_results"),EXACT(E29,"report_internal_inconsistency"),EXACT(E29,"plan_material"),EXACT(E29,"protocol_report"))),AND(AND(D29="retain",E29="statistical_results"),NOT(OR(EXACT(H29,"confirmed_issue"),EXACT(H29,"probable_issue"),EXACT(H29,"not_issue"),EXACT(H29,"indeterminate")))),AND(AND(D29="retain",E29="statistical_results"),NOT(OR(EXACT(I29,"substantive"),EXACT(I29,"minor_presentation"),EXACT(I29,"indeterminate")))),AND(AND(D29="retain",E29="statistical_results"),J29&lt;&gt;"",NOT(OR(EXACT(J29,"direct"),EXACT(J29,"possible"),EXACT(J29,"unlikely"),EXACT(J29,"unknown")))),AND(AND(D29="retain",OR(E29="report_internal_inconsistency",E29="plan_material")),NOT(OR(EXACT(K29,"substantive_inconsistency"),EXACT(K29,"minor_presentation"),EXACT(K29,"non_inconsistency"),EXACT(K29,"indeterminate")))),AND(AND(D29="retain",E29="protocol_report"),L29&lt;&gt;"",NOT(OR(EXACT(L29,"substantive_difference"),EXACT(L29,"minor_presentation"),EXACT(L29,"version_timing"),EXACT(L29,"non_inconsistency"),EXACT(L29,"indeterminate"))))),"CHECK FIELDS",IF(AND(F29&lt;&gt;"",NOT(OR(EXACT(F29,"no"),EXACT(F29,"primary_done")))),"CHECK COMPLETE",IF(EXACT(F29,"primary_done"),"PRIMARY READY","PRIMARY DRAFT")))))),"CHECK INPUT / KEY")</f>
        <v/>
      </c>
      <c r="H29" s="21">
        <f>IF(AND(OR(D29="retain",D29=""),E29="statistical_results"),"","not_applicable")</f>
        <v/>
      </c>
      <c r="I29" s="21">
        <f>IF(AND(OR(D29="retain",D29=""),E29="statistical_results"),"","not_applicable")</f>
        <v/>
      </c>
      <c r="J29" s="22">
        <f>IF(AND(OR(D29="retain",D29=""),E29="statistical_results"),"","not_applicable")</f>
        <v/>
      </c>
      <c r="K29" s="21">
        <f>IF(AND(OR(D29="retain",D29=""),OR(E29="report_internal_inconsistency",E29="plan_material")),"","not_applicable")</f>
        <v/>
      </c>
      <c r="L29" s="22">
        <f>IF(AND(OR(D29="retain",D29=""),E29="protocol_report"),"","not_applicable")</f>
        <v/>
      </c>
      <c r="M29" s="24" t="n"/>
      <c r="N29" s="23" t="n"/>
      <c r="O29" s="23" t="n"/>
      <c r="P29" s="23" t="n"/>
      <c r="Q29" s="23" t="n"/>
      <c r="R29" s="22" t="n"/>
    </row>
  </sheetData>
  <autoFilter ref="A1:R29"/>
  <conditionalFormatting sqref="H2:H29">
    <cfRule type="expression" priority="8" dxfId="70">
      <formula>NOT(AND(OR($D2="retain",$D2=""),$E2="statistical_results"))</formula>
    </cfRule>
  </conditionalFormatting>
  <conditionalFormatting sqref="I2:I29">
    <cfRule type="expression" priority="9" dxfId="70">
      <formula>NOT(AND(OR($D2="retain",$D2=""),$E2="statistical_results"))</formula>
    </cfRule>
  </conditionalFormatting>
  <conditionalFormatting sqref="J2:J29">
    <cfRule type="expression" priority="10" dxfId="70">
      <formula>NOT(AND(OR($D2="retain",$D2=""),$E2="statistical_results"))</formula>
    </cfRule>
  </conditionalFormatting>
  <conditionalFormatting sqref="K2:K29">
    <cfRule type="expression" priority="11" dxfId="70">
      <formula>NOT(AND(OR($D2="retain",$D2=""),OR($E2="report_internal_inconsistency",$E2="plan_material")))</formula>
    </cfRule>
  </conditionalFormatting>
  <conditionalFormatting sqref="L2:L29">
    <cfRule type="expression" priority="12" dxfId="70">
      <formula>NOT(AND(OR($D2="retain",$D2=""),$E2="protocol_report"))</formula>
    </cfRule>
  </conditionalFormatting>
  <conditionalFormatting sqref="G2:G29">
    <cfRule type="expression" priority="13" dxfId="71">
      <formula>G2&lt;&gt;"PRIMARY READY"</formula>
    </cfRule>
  </conditionalFormatting>
  <dataValidations count="8">
    <dataValidation sqref="D2:D2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2018::jama.2018.17075::C001</t>
        </is>
      </c>
      <c r="B2" s="20" t="inlineStr">
        <is>
          <t>Normothermia Injury Severity Score median is below its printed IQR lower endpoint</t>
        </is>
      </c>
      <c r="C2" s="20" t="inlineStr">
        <is>
          <t>jama_cooper_2018_oi_180132.pdf — PDF p. 5, Table 1, normothermia Injury Severity Score.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ID",IF(OR(A2="",COUNTIF($A$2:$A$9,A2)&lt;&gt;1,LEFT(A2,LEN("2018::jama.2018.17075::"))&lt;&gt;"2018::jama.2018.17075::"),"CHECK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2018::jama.2018.17075::C002</t>
        </is>
      </c>
      <c r="B3" s="24" t="inlineStr">
        <is>
          <t>Primary risk difference has opposite signs in matched main-article locations</t>
        </is>
      </c>
      <c r="C3" s="24" t="inlineStr">
        <is>
          <t>jama_cooper_2018_oi_180132.pdf — PDF p. 1, abstract Results; PDF p. 5, Primary Outcome Results; PDF p. 7, Table 2 favorable outcome.</t>
        </is>
      </c>
      <c r="D3" s="21" t="n"/>
      <c r="E3" s="21" t="inlineStr">
        <is>
          <t>report_internal_inconsistency</t>
        </is>
      </c>
      <c r="F3" s="21" t="inlineStr">
        <is>
          <t>no</t>
        </is>
      </c>
      <c r="G3" s="24">
        <f>IFERROR(IF(LEN(TRIM(CLEAN(SUBSTITUTE(Setup!$B$2,CHAR(160)," "))))=0,"CHECK REVIEWER ID",IF(OR(A3="",COUNTIF($A$2:$A$9,A3)&lt;&gt;1,LEFT(A3,LEN("2018::jama.2018.17075::"))&lt;&gt;"2018::jama.2018.17075::"),"CHECK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2018::jama.2018.17075::C003</t>
        </is>
      </c>
      <c r="B4" s="20" t="inlineStr">
        <is>
          <t>Intracranial-bleeding effect and P-value reporting conflicts with matched evidence</t>
        </is>
      </c>
      <c r="C4" s="20" t="inlineStr">
        <is>
          <t>jama_cooper_2018_oi_180132.pdf — PDF p. 7, Table 2, new or increased intracranial bleeding; joi180132supp2_prod.pdf — PDF p. 10, eTable 6, same outcome; jama_cooper_2018_oi_180132.pdf — PDF p. 3, Statistical Analysis.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ID",IF(OR(A4="",COUNTIF($A$2:$A$9,A4)&lt;&gt;1,LEFT(A4,LEN("2018::jama.2018.17075::"))&lt;&gt;"2018::jama.2018.17075::"),"CHECK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2018::jama.2018.17075::C004</t>
        </is>
      </c>
      <c r="B5" s="24" t="inlineStr">
        <is>
          <t>Extracranial-bleeding effect and P-value reporting conflicts with matched evidence</t>
        </is>
      </c>
      <c r="C5" s="24" t="inlineStr">
        <is>
          <t>jama_cooper_2018_oi_180132.pdf — PDF p. 7, Table 2, new significant extracranial bleeding; joi180132supp2_prod.pdf — PDF p. 10, eTable 6, same outcome; jama_cooper_2018_oi_180132.pdf — PDF p. 3, Statistical Analysis.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ID",IF(OR(A5="",COUNTIF($A$2:$A$9,A5)&lt;&gt;1,LEFT(A5,LEN("2018::jama.2018.17075::"))&lt;&gt;"2018::jama.2018.17075::"),"CHECK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2018::jama.2018.17075::C005</t>
        </is>
      </c>
      <c r="B6" s="20" t="inlineStr">
        <is>
          <t>As-treated evacuated-mass-lesion cell reverses count and percentage order</t>
        </is>
      </c>
      <c r="C6" s="20" t="inlineStr">
        <is>
          <t>joi180132supp2_prod.pdf — PDF p. 18, eTable 10, CT Marshall classification, evacuated mass lesion V, normothermia.</t>
        </is>
      </c>
      <c r="D6" s="21" t="n"/>
      <c r="E6" s="21" t="inlineStr">
        <is>
          <t>report_internal_inconsistency</t>
        </is>
      </c>
      <c r="F6" s="21" t="inlineStr">
        <is>
          <t>no</t>
        </is>
      </c>
      <c r="G6" s="20">
        <f>IFERROR(IF(LEN(TRIM(CLEAN(SUBSTITUTE(Setup!$B$2,CHAR(160)," "))))=0,"CHECK REVIEWER ID",IF(OR(A6="",COUNTIF($A$2:$A$9,A6)&lt;&gt;1,LEFT(A6,LEN("2018::jama.2018.17075::"))&lt;&gt;"2018::jama.2018.17075::"),"CHECK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2018::jama.2018.17075::C006</t>
        </is>
      </c>
      <c r="B7" s="24" t="inlineStr">
        <is>
          <t>As-treated non-evacuated-mass-lesion cell reverses count and percentage order</t>
        </is>
      </c>
      <c r="C7" s="24" t="inlineStr">
        <is>
          <t>joi180132supp2_prod.pdf — PDF p. 18, eTable 10, CT Marshall classification, non-evacuated mass lesion VI, normothermia.</t>
        </is>
      </c>
      <c r="D7" s="21" t="n"/>
      <c r="E7" s="21" t="inlineStr">
        <is>
          <t>report_internal_inconsistency</t>
        </is>
      </c>
      <c r="F7" s="21" t="inlineStr">
        <is>
          <t>no</t>
        </is>
      </c>
      <c r="G7" s="24">
        <f>IFERROR(IF(LEN(TRIM(CLEAN(SUBSTITUTE(Setup!$B$2,CHAR(160)," "))))=0,"CHECK REVIEWER ID",IF(OR(A7="",COUNTIF($A$2:$A$9,A7)&lt;&gt;1,LEFT(A7,LEN("2018::jama.2018.17075::"))&lt;&gt;"2018::jama.2018.17075::"),"CHECK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2018::jama.2018.17075::C007</t>
        </is>
      </c>
      <c r="B8" s="20" t="inlineStr">
        <is>
          <t>Adjusted odds-ratio confidence-interval string is malformed</t>
        </is>
      </c>
      <c r="C8" s="20" t="inlineStr">
        <is>
          <t>joi180132supp2_prod.pdf — PDF p. 22, post-hoc adequate-cooling Results, final sentence.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ID",IF(OR(A8="",COUNTIF($A$2:$A$9,A8)&lt;&gt;1,LEFT(A8,LEN("2018::jama.2018.17075::"))&lt;&gt;"2018::jama.2018.17075::"),"CHECK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2018::jama.2018.17075::C008</t>
        </is>
      </c>
      <c r="B9" s="24" t="inlineStr">
        <is>
          <t>Abstract male count conflicts with its percentage and Table 1 total</t>
        </is>
      </c>
      <c r="C9" s="24" t="inlineStr">
        <is>
          <t>jama_cooper_2018_oi_180132.pdf — PDF p. 1, abstract Results; PDF p. 5, Table 1, Men and Women rows.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ID",IF(OR(A9="",COUNTIF($A$2:$A$9,A9)&lt;&gt;1,LEFT(A9,LEN("2018::jama.2018.17075::"))&lt;&gt;"2018::jama.2018.17075::"),"CHECK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2018::jama.2018.18020::C001</t>
        </is>
      </c>
      <c r="B2" s="20" t="inlineStr">
        <is>
          <t>Abstract sex percentage conflicts with the enrolled sex count</t>
        </is>
      </c>
      <c r="C2" s="20" t="inlineStr">
        <is>
          <t>jama_stunnenberg_2018_oi_180136.pdf — PDF p. 1, Abstract Results; jama_stunnenberg_2018_oi_180136.pdf — PDF p. 4, Baseline Data.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ID",IF(OR(A2="",COUNTIF($A$2:$A$15,A2)&lt;&gt;1,LEFT(A2,LEN("2018::jama.2018.18020::"))&lt;&gt;"2018::jama.2018.18020::"),"CHECK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2018::jama.2018.18020::C002</t>
        </is>
      </c>
      <c r="B3" s="24" t="inlineStr">
        <is>
          <t>INQoL IQR endpoints exceed the stated 0-to-100 scale</t>
        </is>
      </c>
      <c r="C3" s="24" t="inlineStr">
        <is>
          <t>jama_stunnenberg_2018_oi_180136.pdf — PDF p. 5, Table 1 and footnote f; jama_stunnenberg_2018_oi_180136.pdf — PDF p. 8, Table 2 footnote g.</t>
        </is>
      </c>
      <c r="D3" s="21" t="n"/>
      <c r="E3" s="21" t="inlineStr">
        <is>
          <t>report_internal_inconsistency</t>
        </is>
      </c>
      <c r="F3" s="21" t="inlineStr">
        <is>
          <t>no</t>
        </is>
      </c>
      <c r="G3" s="24">
        <f>IFERROR(IF(LEN(TRIM(CLEAN(SUBSTITUTE(Setup!$B$2,CHAR(160)," "))))=0,"CHECK REVIEWER ID",IF(OR(A3="",COUNTIF($A$2:$A$15,A3)&lt;&gt;1,LEFT(A3,LEN("2018::jama.2018.18020::"))&lt;&gt;"2018::jama.2018.18020::"),"CHECK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2018::jama.2018.18020::C003</t>
        </is>
      </c>
      <c r="B4" s="20" t="inlineStr">
        <is>
          <t>Table 2 secondary-outcome contrast header is opposite to the displayed effect signs</t>
        </is>
      </c>
      <c r="C4" s="20" t="inlineStr">
        <is>
          <t>jama_stunnenberg_2018_oi_180136.pdf — PDF p. 7, Table 2 header and change-score rows; jama_stunnenberg_2018_oi_180136.pdf — PDF p. 8, Table 2 footnotes.</t>
        </is>
      </c>
      <c r="D4" s="21" t="n"/>
      <c r="E4" s="21" t="inlineStr">
        <is>
          <t>report_internal_inconsistency</t>
        </is>
      </c>
      <c r="F4" s="21" t="inlineStr">
        <is>
          <t>no</t>
        </is>
      </c>
      <c r="G4" s="20">
        <f>IFERROR(IF(LEN(TRIM(CLEAN(SUBSTITUTE(Setup!$B$2,CHAR(160)," "))))=0,"CHECK REVIEWER ID",IF(OR(A4="",COUNTIF($A$2:$A$15,A4)&lt;&gt;1,LEFT(A4,LEN("2018::jama.2018.18020::"))&lt;&gt;"2018::jama.2018.18020::"),"CHECK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2018::jama.2018.18020::C004</t>
        </is>
      </c>
      <c r="B5" s="24" t="inlineStr">
        <is>
          <t>Placebo “Any” adverse-reaction percentage does not reconcile with the apparent denominator</t>
        </is>
      </c>
      <c r="C5" s="24" t="inlineStr">
        <is>
          <t>joi180136supp2_prod.pdf — PDF p. 6, eTable 4; jama_stunnenberg_2018_oi_180136.pdf — PDF p. 8, Adverse Events.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ID",IF(OR(A5="",COUNTIF($A$2:$A$15,A5)&lt;&gt;1,LEFT(A5,LEN("2018::jama.2018.18020::"))&lt;&gt;"2018::jama.2018.18020::"),"CHECK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2018::jama.2018.18020::C005</t>
        </is>
      </c>
      <c r="B6" s="20" t="inlineStr">
        <is>
          <t>Bayesian parameter prose swaps mu_mex[i] and mu_plac[i] treatment labels</t>
        </is>
      </c>
      <c r="C6" s="20" t="inlineStr">
        <is>
          <t>joi180136supp2_prod.pdf — PDF p. 11, eMethods 2 code/dictionary; joi180136supp2_prod.pdf — PDF p. 13, eMethods 3 code; joi180136supp2_prod.pdf — PDF p. 14, eMethods 3 dictionary.</t>
        </is>
      </c>
      <c r="D6" s="21" t="n"/>
      <c r="E6" s="21" t="inlineStr">
        <is>
          <t>report_internal_inconsistency</t>
        </is>
      </c>
      <c r="F6" s="21" t="inlineStr">
        <is>
          <t>no</t>
        </is>
      </c>
      <c r="G6" s="20">
        <f>IFERROR(IF(LEN(TRIM(CLEAN(SUBSTITUTE(Setup!$B$2,CHAR(160)," "))))=0,"CHECK REVIEWER ID",IF(OR(A6="",COUNTIF($A$2:$A$15,A6)&lt;&gt;1,LEFT(A6,LEN("2018::jama.2018.18020::"))&lt;&gt;"2018::jama.2018.18020::"),"CHECK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2018::jama.2018.18020::C006</t>
        </is>
      </c>
      <c r="B7" s="24" t="inlineStr">
        <is>
          <t>diff_CLCN1 is described as an SCN4A contrast</t>
        </is>
      </c>
      <c r="C7" s="24" t="inlineStr">
        <is>
          <t>joi180136supp2_prod.pdf — PDF p. 13, eMethods 3 code; joi180136supp2_prod.pdf — PDF p. 14, parameter dictionary.</t>
        </is>
      </c>
      <c r="D7" s="21" t="n"/>
      <c r="E7" s="21" t="inlineStr">
        <is>
          <t>report_internal_inconsistency</t>
        </is>
      </c>
      <c r="F7" s="21" t="inlineStr">
        <is>
          <t>no</t>
        </is>
      </c>
      <c r="G7" s="24">
        <f>IFERROR(IF(LEN(TRIM(CLEAN(SUBSTITUTE(Setup!$B$2,CHAR(160)," "))))=0,"CHECK REVIEWER ID",IF(OR(A7="",COUNTIF($A$2:$A$15,A7)&lt;&gt;1,LEFT(A7,LEN("2018::jama.2018.18020::"))&lt;&gt;"2018::jama.2018.18020::"),"CHECK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2018::jama.2018.18020::C007</t>
        </is>
      </c>
      <c r="B8" s="20" t="inlineStr">
        <is>
          <t>sigma.mex is described as placebo-period variability</t>
        </is>
      </c>
      <c r="C8" s="20" t="inlineStr">
        <is>
          <t>joi180136supp2_prod.pdf — PDF p. 11, eMethods 2 code; joi180136supp2_prod.pdf — PDF p. 12, eMethods 2 dictionary; joi180136supp2_prod.pdf — PDF p. 13, eMethods 3 code; joi180136supp2_prod.pdf — PDF p. 14, eMethods 3 dictionary.</t>
        </is>
      </c>
      <c r="D8" s="21" t="n"/>
      <c r="E8" s="21" t="inlineStr">
        <is>
          <t>report_internal_inconsistency</t>
        </is>
      </c>
      <c r="F8" s="21" t="inlineStr">
        <is>
          <t>no</t>
        </is>
      </c>
      <c r="G8" s="20">
        <f>IFERROR(IF(LEN(TRIM(CLEAN(SUBSTITUTE(Setup!$B$2,CHAR(160)," "))))=0,"CHECK REVIEWER ID",IF(OR(A8="",COUNTIF($A$2:$A$15,A8)&lt;&gt;1,LEFT(A8,LEN("2018::jama.2018.18020::"))&lt;&gt;"2018::jama.2018.18020::"),"CHECK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2018::jama.2018.18020::C008</t>
        </is>
      </c>
      <c r="B9" s="24" t="inlineStr">
        <is>
          <t>Main text prints CLNC1 for the matched CLCN1 genotype subgroup</t>
        </is>
      </c>
      <c r="C9" s="24" t="inlineStr">
        <is>
          <t>jama_stunnenberg_2018_oi_180136.pdf — PDF p. 4, Primary Outcome; jama_stunnenberg_2018_oi_180136.pdf — PDF p. 5, Table 1/Figure 2; jama_stunnenberg_2018_oi_180136.pdf — PDF p. 6, Figure 3; joi180136supp2_prod.pdf — PDF p. 4, eTable 2 footnote.</t>
        </is>
      </c>
      <c r="D9" s="21" t="n"/>
      <c r="E9" s="21" t="inlineStr">
        <is>
          <t>report_internal_inconsistency</t>
        </is>
      </c>
      <c r="F9" s="21" t="inlineStr">
        <is>
          <t>no</t>
        </is>
      </c>
      <c r="G9" s="24">
        <f>IFERROR(IF(LEN(TRIM(CLEAN(SUBSTITUTE(Setup!$B$2,CHAR(160)," "))))=0,"CHECK REVIEWER ID",IF(OR(A9="",COUNTIF($A$2:$A$15,A9)&lt;&gt;1,LEFT(A9,LEN("2018::jama.2018.18020::"))&lt;&gt;"2018::jama.2018.18020::"),"CHECK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2018::jama.2018.18020::C009</t>
        </is>
      </c>
      <c r="B10" s="20" t="inlineStr">
        <is>
          <t>SF-36 mental-component P value conflicts with the dependent-t 95% CI</t>
        </is>
      </c>
      <c r="C10" s="20" t="inlineStr">
        <is>
          <t>jama_stunnenberg_2018_oi_180136.pdf — PDF p. 7, Table 2; jama_stunnenberg_2018_oi_180136.pdf — PDF p. 3, dependent-t method; jama_stunnenberg_2018_oi_180136.pdf — PDF p. 4, two-sided P-value convention.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ID",IF(OR(A10="",COUNTIF($A$2:$A$15,A10)&lt;&gt;1,LEFT(A10,LEN("2018::jama.2018.18020::"))&lt;&gt;"2018::jama.2018.18020::"),"CHECK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2018::jama.2018.18020::C010</t>
        </is>
      </c>
      <c r="B11" s="24" t="inlineStr">
        <is>
          <t>SCN4A fifth handgrip-action-myotonia P value conflicts with its 95% CI</t>
        </is>
      </c>
      <c r="C11" s="24" t="inlineStr">
        <is>
          <t>jama_stunnenberg_2018_oi_180136.pdf — PDF p. 7, Table 2 row; jama_stunnenberg_2018_oi_180136.pdf — PDF p. 8, Table 2 footnotes; jama_stunnenberg_2018_oi_180136.pdf — PDF p. 3, method; jama_stunnenberg_2018_oi_180136.pdf — PDF p. 4, sidedness.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ID",IF(OR(A11="",COUNTIF($A$2:$A$15,A11)&lt;&gt;1,LEFT(A11,LEN("2018::jama.2018.18020::"))&lt;&gt;"2018::jama.2018.18020::"),"CHECK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2018::jama.2018.18020::C011</t>
        </is>
      </c>
      <c r="B12" s="20" t="inlineStr">
        <is>
          <t>SCN4A fifth transient-paresis estimate, interval, and P value do not form a compatible dependent-t result</t>
        </is>
      </c>
      <c r="C12" s="20" t="inlineStr">
        <is>
          <t>jama_stunnenberg_2018_oi_180136.pdf — PDF p. 7, Table 2 row; jama_stunnenberg_2018_oi_180136.pdf — PDF p. 6, narrative repetition; jama_stunnenberg_2018_oi_180136.pdf — PDF p. 8, footnotes; jama_stunnenberg_2018_oi_180136.pdf — PDF p. 3, method; jama_stunnenberg_2018_oi_180136.pdf — PDF p. 4, sidedness.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ID",IF(OR(A12="",COUNTIF($A$2:$A$15,A12)&lt;&gt;1,LEFT(A12,LEN("2018::jama.2018.18020::"))&lt;&gt;"2018::jama.2018.18020::"),"CHECK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2018::jama.2018.18020::C012</t>
        </is>
      </c>
      <c r="B13" s="24" t="inlineStr">
        <is>
          <t>Myotonic-discharge P value conflicts with the dependent-t 95% CI</t>
        </is>
      </c>
      <c r="C13" s="24" t="inlineStr">
        <is>
          <t>jama_stunnenberg_2018_oi_180136.pdf — PDF p. 8, Table 2 continuation and footnotes; jama_stunnenberg_2018_oi_180136.pdf — PDF p. 3, dependent-t method; jama_stunnenberg_2018_oi_180136.pdf — PDF p. 4, two-sided convention.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ID",IF(OR(A13="",COUNTIF($A$2:$A$15,A13)&lt;&gt;1,LEFT(A13,LEN("2018::jama.2018.18020::"))&lt;&gt;"2018::jama.2018.18020::"),"CHECK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2018::jama.2018.18020::C013</t>
        </is>
      </c>
      <c r="B14" s="20" t="inlineStr">
        <is>
          <t>First handgrip placebo-period interval is reversed and excludes its estimate</t>
        </is>
      </c>
      <c r="C14" s="20" t="inlineStr">
        <is>
          <t>jama_stunnenberg_2018_oi_180136.pdf — PDF p. 7, Table 2 first-attempt handgrip action-myotonia placebo-period change.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ID",IF(OR(A14="",COUNTIF($A$2:$A$15,A14)&lt;&gt;1,LEFT(A14,LEN("2018::jama.2018.18020::"))&lt;&gt;"2018::jama.2018.18020::"),"CHECK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Format="1" customHeight="1" s="14">
      <c r="A15" s="24" t="inlineStr">
        <is>
          <t>2018::jama.2018.18020::C014</t>
        </is>
      </c>
      <c r="B15" s="24" t="inlineStr">
        <is>
          <t>Mean Timed Up&amp;Go placebo-period estimate lies outside its interval</t>
        </is>
      </c>
      <c r="C15" s="24" t="inlineStr">
        <is>
          <t>jama_stunnenberg_2018_oi_180136.pdf — PDF p. 7, Table 2 mean Timed Up&amp;Go placebo-period change.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ID",IF(OR(A15="",COUNTIF($A$2:$A$15,A15)&lt;&gt;1,LEFT(A15,LEN("2018::jama.2018.18020::"))&lt;&gt;"2018::jama.2018.18020::"),"CHECK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2018::jama.2018.6496::C001</t>
        </is>
      </c>
      <c r="B2" s="20" t="inlineStr">
        <is>
          <t>Reverse-ordered confidence-interval endpoints for all-patient first-attempt duration</t>
        </is>
      </c>
      <c r="C2" s="20" t="inlineStr">
        <is>
          <t>DOC-001 Table 3 — PDF p. 7; DOC-003 eTable 1 — PDF p. 2; DOC-003 eTable 1 note — PDF p. 3; DOC-001 statistical-analysis methods — PDF p. 4.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ID",IF(OR(A2="",COUNTIF($A$2:$A$5,A2)&lt;&gt;1,LEFT(A2,LEN("2018::jama.2018.6496::"))&lt;&gt;"2018::jama.2018.6496::"),"CHECK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2018::jama.2018.6496::C002</t>
        </is>
      </c>
      <c r="B3" s="24" t="inlineStr">
        <is>
          <t>Two-patient ETT+stylet denominator difference across linked hypoxemia outcomes</t>
        </is>
      </c>
      <c r="C3" s="24" t="inlineStr">
        <is>
          <t>DOC-001 Table 3 — PDF p. 7; DOC-001 Table 5 — PDF p. 9; DOC-002 protocol secondary outcomes — PDF p. 9; DOC-002 analytic issues — PDF p. 21.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ID",IF(OR(A3="",COUNTIF($A$2:$A$5,A3)&lt;&gt;1,LEFT(A3,LEN("2018::jama.2018.6496::"))&lt;&gt;"2018::jama.2018.6496::"),"CHECK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2018::jama.2018.6496::C003</t>
        </is>
      </c>
      <c r="B4" s="20" t="inlineStr">
        <is>
          <t>Protocol and published hypoxemia observation windows use different endpoint events</t>
        </is>
      </c>
      <c r="C4" s="20" t="inlineStr">
        <is>
          <t>DOC-002 protocol secondary outcomes — PDF p. 9; DOC-002 protocol measurement procedure — PDF p. 10; DOC-001 Table 3 — PDF p. 7; DOC-001 Table 5 — PDF p. 9; DOC-003 eTable 1 note — PDF p. 3; DOC-003 postintubation form — PDF p. 10.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ID",IF(OR(A4="",COUNTIF($A$2:$A$5,A4)&lt;&gt;1,LEFT(A4,LEN("2018::jama.2018.6496::"))&lt;&gt;"2018::jama.2018.6496::"),"CHECK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2018::jama.2018.6496::C004</t>
        </is>
      </c>
      <c r="B5" s="24" t="inlineStr">
        <is>
          <t>Protocol and published first-attempt-duration measures use different endpoint events</t>
        </is>
      </c>
      <c r="C5" s="24" t="inlineStr">
        <is>
          <t>DOC-002 protocol — PDF p. 9; DOC-001 outcome methods — PDF p. 3; DOC-001 Table 3 — PDF p. 7; DOC-003 eTable 1 note — PDF p. 3; DOC-003 data form — PDF p. 10.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ID",IF(OR(A5="",COUNTIF($A$2:$A$5,A5)&lt;&gt;1,LEFT(A5,LEN("2018::jama.2018.6496::"))&lt;&gt;"2018::jama.2018.6496::"),"CHECK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</sheetData>
  <autoFilter ref="A1:R5"/>
  <conditionalFormatting sqref="H2:H5">
    <cfRule type="expression" priority="8" dxfId="70">
      <formula>NOT(AND(OR($D2="retain",$D2=""),$E2="statistical_results"))</formula>
    </cfRule>
  </conditionalFormatting>
  <conditionalFormatting sqref="I2:I5">
    <cfRule type="expression" priority="9" dxfId="70">
      <formula>NOT(AND(OR($D2="retain",$D2=""),$E2="statistical_results"))</formula>
    </cfRule>
  </conditionalFormatting>
  <conditionalFormatting sqref="J2:J5">
    <cfRule type="expression" priority="10" dxfId="70">
      <formula>NOT(AND(OR($D2="retain",$D2=""),$E2="statistical_results"))</formula>
    </cfRule>
  </conditionalFormatting>
  <conditionalFormatting sqref="K2:K5">
    <cfRule type="expression" priority="11" dxfId="70">
      <formula>NOT(AND(OR($D2="retain",$D2=""),OR($E2="report_internal_inconsistency",$E2="plan_material")))</formula>
    </cfRule>
  </conditionalFormatting>
  <conditionalFormatting sqref="L2:L5">
    <cfRule type="expression" priority="12" dxfId="70">
      <formula>NOT(AND(OR($D2="retain",$D2=""),$E2="protocol_report"))</formula>
    </cfRule>
  </conditionalFormatting>
  <conditionalFormatting sqref="G2:G5">
    <cfRule type="expression" priority="13" dxfId="71">
      <formula>G2&lt;&gt;"PRIMARY READY"</formula>
    </cfRule>
  </conditionalFormatting>
  <dataValidations count="8">
    <dataValidation sqref="D2:D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2018::jama.2018.8802::C001</t>
        </is>
      </c>
      <c r="B2" s="20" t="inlineStr">
        <is>
          <t>Table 1 CAD/previous-myocardial-infarction percentage does not reproduce</t>
        </is>
      </c>
      <c r="C2" s="20" t="inlineStr">
        <is>
          <t>jama_wang_2018_oi_180070.pdf — PDF p. 6, Table 1, CAD/previous myocardial infarction, intervention column and Patients, No. header.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ID",IF(OR(A2="",COUNTIF($A$2:$A$9,A2)&lt;&gt;1,LEFT(A2,LEN("2018::jama.2018.8802::"))&lt;&gt;"2018::jama.2018.8802::"),"CHECK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2018::jama.2018.8802::C002</t>
        </is>
      </c>
      <c r="B3" s="24" t="inlineStr">
        <is>
          <t>LDL eligibility boundary differs between result labels and supplied measure definition</t>
        </is>
      </c>
      <c r="C3" s="24" t="inlineStr">
        <is>
          <t>jama_wang_2018_oi_180070.pdf — PDF p. 7, Table 2 lipid-lowering row; joi180070supp1_prod.pdf — PDF p. 15, definition; joi180070supp2_prod.pdf — PDF p. 3, eTable 1 definition; and joi180070supp2_prod.pdf — PDF p. 8, eTable 4 label.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ID",IF(OR(A3="",COUNTIF($A$2:$A$9,A3)&lt;&gt;1,LEFT(A3,LEN("2018::jama.2018.8802::"))&lt;&gt;"2018::jama.2018.8802::"),"CHECK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2018::jama.2018.8802::C003</t>
        </is>
      </c>
      <c r="B4" s="20" t="inlineStr">
        <is>
          <t>eTable 4 discharge-antithrombotics control percentage does not reproduce</t>
        </is>
      </c>
      <c r="C4" s="20" t="inlineStr">
        <is>
          <t>joi180070supp2_prod.pdf — PDF p. 8, eTable 4, Antithrombotics, control cell.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ID",IF(OR(A4="",COUNTIF($A$2:$A$9,A4)&lt;&gt;1,LEFT(A4,LEN("2018::jama.2018.8802::"))&lt;&gt;"2018::jama.2018.8802::"),"CHECK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2018::jama.2018.8802::C004</t>
        </is>
      </c>
      <c r="B5" s="24" t="inlineStr">
        <is>
          <t>eTable 4 AF-anticoagulation control percentage does not reproduce</t>
        </is>
      </c>
      <c r="C5" s="24" t="inlineStr">
        <is>
          <t>joi180070supp2_prod.pdf — PDF p. 8, eTable 4, Anticoagulation for Atrial Fibrillation, control cell.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ID",IF(OR(A5="",COUNTIF($A$2:$A$9,A5)&lt;&gt;1,LEFT(A5,LEN("2018::jama.2018.8802::"))&lt;&gt;"2018::jama.2018.8802::"),"CHECK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2018::jama.2018.8802::C005</t>
        </is>
      </c>
      <c r="B6" s="20" t="inlineStr">
        <is>
          <t>eTable 4 lipid-lowering control percentage does not reproduce</t>
        </is>
      </c>
      <c r="C6" s="20" t="inlineStr">
        <is>
          <t>joi180070supp2_prod.pdf — PDF p. 8, eTable 4, Lipid-lowering for LDL &gt;100 mg/dL, control cell.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ID",IF(OR(A6="",COUNTIF($A$2:$A$9,A6)&lt;&gt;1,LEFT(A6,LEN("2018::jama.2018.8802::"))&lt;&gt;"2018::jama.2018.8802::"),"CHECK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2018::jama.2018.8802::C006</t>
        </is>
      </c>
      <c r="B7" s="24" t="inlineStr">
        <is>
          <t>eTable 4 antidiabetic-medication control percentage does not reproduce</t>
        </is>
      </c>
      <c r="C7" s="24" t="inlineStr">
        <is>
          <t>joi180070supp2_prod.pdf — PDF p. 8, eTable 4, Antidiabetic Medication, control cell.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ID",IF(OR(A7="",COUNTIF($A$2:$A$9,A7)&lt;&gt;1,LEFT(A7,LEN("2018::jama.2018.8802::"))&lt;&gt;"2018::jama.2018.8802::"),"CHECK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2018::jama.2018.8802::C007</t>
        </is>
      </c>
      <c r="B8" s="20" t="inlineStr">
        <is>
          <t>baseline-survey patient total does not reconcile with stated per-cluster inclusion</t>
        </is>
      </c>
      <c r="C8" s="20" t="inlineStr">
        <is>
          <t>jama_wang_2018_oi_180070.pdf — PDF p. 6, Table 1 baseline-survey Hospitals, No. = 40 and Patients, No. = 801; joi180070supp2_prod.pdf — PDF p. 2, eAppendix baseline-survey statement; jama_wang_2018_oi_180070.pdf — PDF p. 5, Figure 1; joi180070supp1_prod.pdf — PDF p. 4 and PDF p. 7, 40-cluster statements.</t>
        </is>
      </c>
      <c r="D8" s="21" t="n"/>
      <c r="E8" s="21" t="inlineStr">
        <is>
          <t>report_internal_inconsistency</t>
        </is>
      </c>
      <c r="F8" s="21" t="inlineStr">
        <is>
          <t>no</t>
        </is>
      </c>
      <c r="G8" s="20">
        <f>IFERROR(IF(LEN(TRIM(CLEAN(SUBSTITUTE(Setup!$B$2,CHAR(160)," "))))=0,"CHECK REVIEWER ID",IF(OR(A8="",COUNTIF($A$2:$A$9,A8)&lt;&gt;1,LEFT(A8,LEN("2018::jama.2018.8802::"))&lt;&gt;"2018::jama.2018.8802::"),"CHECK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2018::jama.2018.8802::C008</t>
        </is>
      </c>
      <c r="B9" s="24" t="inlineStr">
        <is>
          <t>in-hospital death absolute-difference CI and P value do not reconcile</t>
        </is>
      </c>
      <c r="C9" s="24" t="inlineStr">
        <is>
          <t>jama_wang_2018_oi_180070.pdf — PDF p. 8, Table 3 Death / In hospital row, absolute-difference and adjacent P-value columns; jama_wang_2018_oi_180070.pdf — PDF p. 4, data-analysis statements.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ID",IF(OR(A9="",COUNTIF($A$2:$A$9,A9)&lt;&gt;1,LEFT(A9,LEN("2018::jama.2018.8802::"))&lt;&gt;"2018::jama.2018.8802::"),"CHECK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</sheetData>
  <autoFilter ref="A1:R9"/>
  <conditionalFormatting sqref="H2:H9">
    <cfRule type="expression" priority="8" dxfId="70">
      <formula>NOT(AND(OR($D2="retain",$D2=""),$E2="statistical_results"))</formula>
    </cfRule>
  </conditionalFormatting>
  <conditionalFormatting sqref="I2:I9">
    <cfRule type="expression" priority="9" dxfId="70">
      <formula>NOT(AND(OR($D2="retain",$D2=""),$E2="statistical_results"))</formula>
    </cfRule>
  </conditionalFormatting>
  <conditionalFormatting sqref="J2:J9">
    <cfRule type="expression" priority="10" dxfId="70">
      <formula>NOT(AND(OR($D2="retain",$D2=""),$E2="statistical_results"))</formula>
    </cfRule>
  </conditionalFormatting>
  <conditionalFormatting sqref="K2:K9">
    <cfRule type="expression" priority="11" dxfId="70">
      <formula>NOT(AND(OR($D2="retain",$D2=""),OR($E2="report_internal_inconsistency",$E2="plan_material")))</formula>
    </cfRule>
  </conditionalFormatting>
  <conditionalFormatting sqref="L2:L9">
    <cfRule type="expression" priority="12" dxfId="70">
      <formula>NOT(AND(OR($D2="retain",$D2=""),$E2="protocol_report"))</formula>
    </cfRule>
  </conditionalFormatting>
  <conditionalFormatting sqref="G2:G9">
    <cfRule type="expression" priority="13" dxfId="71">
      <formula>G2&lt;&gt;"PRIMARY READY"</formula>
    </cfRule>
  </conditionalFormatting>
  <dataValidations count="8">
    <dataValidation sqref="D2:D9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9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9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9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9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Format="1" customHeight="1" s="14">
      <c r="A2" s="20" t="inlineStr">
        <is>
          <t>2018::jama.2018.9128::C001</t>
        </is>
      </c>
      <c r="B2" s="20" t="inlineStr">
        <is>
          <t>Intervention 3-month BMI-observation count differs across result displays</t>
        </is>
      </c>
      <c r="C2" s="20" t="inlineStr">
        <is>
          <t>DOC-001 Figure 1 — PDF p. 3; DOC-001 Figure 2 — PDF p. 7; DOC-003 eTable 1 — PDF p. 2.</t>
        </is>
      </c>
      <c r="D2" s="21" t="n"/>
      <c r="E2" s="21" t="inlineStr">
        <is>
          <t>report_internal_inconsistency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ID",IF(OR(A2="",COUNTIF($A$2:$A$14,A2)&lt;&gt;1,LEFT(A2,LEN("2018::jama.2018.9128::"))&lt;&gt;"2018::jama.2018.9128::"),"CHECK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Format="1" customHeight="1" s="14">
      <c r="A3" s="24" t="inlineStr">
        <is>
          <t>2018::jama.2018.9128::C002</t>
        </is>
      </c>
      <c r="B3" s="24" t="inlineStr">
        <is>
          <t>Control 3-month BMI-observation count differs across result displays</t>
        </is>
      </c>
      <c r="C3" s="24" t="inlineStr">
        <is>
          <t>DOC-001 Figure 1 — PDF p. 3; DOC-001 Figure 2 — PDF p. 7; DOC-003 eTable 1 — PDF p. 2.</t>
        </is>
      </c>
      <c r="D3" s="21" t="n"/>
      <c r="E3" s="21" t="inlineStr">
        <is>
          <t>report_internal_inconsistency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ID",IF(OR(A3="",COUNTIF($A$2:$A$14,A3)&lt;&gt;1,LEFT(A3,LEN("2018::jama.2018.9128::"))&lt;&gt;"2018::jama.2018.9128::"),"CHECK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Format="1" customHeight="1" s="14">
      <c r="A4" s="20" t="inlineStr">
        <is>
          <t>2018::jama.2018.9128::C003</t>
        </is>
      </c>
      <c r="B4" s="20" t="inlineStr">
        <is>
          <t>Intervention 9-month BMI-observation count differs across result displays</t>
        </is>
      </c>
      <c r="C4" s="20" t="inlineStr">
        <is>
          <t>DOC-001 Figure 1 — PDF p. 3; DOC-001 Figure 2 — PDF p. 7; DOC-003 eTable 1 — PDF p. 2.</t>
        </is>
      </c>
      <c r="D4" s="21" t="n"/>
      <c r="E4" s="21" t="inlineStr">
        <is>
          <t>report_internal_inconsistency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ID",IF(OR(A4="",COUNTIF($A$2:$A$14,A4)&lt;&gt;1,LEFT(A4,LEN("2018::jama.2018.9128::"))&lt;&gt;"2018::jama.2018.9128::"),"CHECK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Format="1" customHeight="1" s="14">
      <c r="A5" s="24" t="inlineStr">
        <is>
          <t>2018::jama.2018.9128::C004</t>
        </is>
      </c>
      <c r="B5" s="24" t="inlineStr">
        <is>
          <t>Intervention 12-month BMI-observation count differs across result displays</t>
        </is>
      </c>
      <c r="C5" s="24" t="inlineStr">
        <is>
          <t>DOC-001 Figure 1 — PDF p. 3; DOC-001 Figure 2 — PDF p. 7; DOC-003 eTable 1 — PDF p. 2.</t>
        </is>
      </c>
      <c r="D5" s="21" t="n"/>
      <c r="E5" s="21" t="inlineStr">
        <is>
          <t>report_internal_inconsistency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ID",IF(OR(A5="",COUNTIF($A$2:$A$14,A5)&lt;&gt;1,LEFT(A5,LEN("2018::jama.2018.9128::"))&lt;&gt;"2018::jama.2018.9128::"),"CHECK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Format="1" customHeight="1" s="14">
      <c r="A6" s="20" t="inlineStr">
        <is>
          <t>2018::jama.2018.9128::C005</t>
        </is>
      </c>
      <c r="B6" s="20" t="inlineStr">
        <is>
          <t>Control 12-month BMI-observation count differs across result displays</t>
        </is>
      </c>
      <c r="C6" s="20" t="inlineStr">
        <is>
          <t>DOC-001 Figure 1 — PDF p. 3; DOC-001 Figure 2 — PDF p. 7; DOC-003 eTable 1 — PDF p. 2.</t>
        </is>
      </c>
      <c r="D6" s="21" t="n"/>
      <c r="E6" s="21" t="inlineStr">
        <is>
          <t>report_internal_inconsistency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ID",IF(OR(A6="",COUNTIF($A$2:$A$14,A6)&lt;&gt;1,LEFT(A6,LEN("2018::jama.2018.9128::"))&lt;&gt;"2018::jama.2018.9128::"),"CHECK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Format="1" customHeight="1" s="14">
      <c r="A7" s="24" t="inlineStr">
        <is>
          <t>2018::jama.2018.9128::C006</t>
        </is>
      </c>
      <c r="B7" s="24" t="inlineStr">
        <is>
          <t>Intervention 24-month BMI-observation count differs across result displays</t>
        </is>
      </c>
      <c r="C7" s="24" t="inlineStr">
        <is>
          <t>DOC-001 Figure 1 — PDF p. 3; DOC-001 Figure 2 — PDF p. 7; DOC-003 eTable 1 — PDF p. 2.</t>
        </is>
      </c>
      <c r="D7" s="21" t="n"/>
      <c r="E7" s="21" t="inlineStr">
        <is>
          <t>report_internal_inconsistency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ID",IF(OR(A7="",COUNTIF($A$2:$A$14,A7)&lt;&gt;1,LEFT(A7,LEN("2018::jama.2018.9128::"))&lt;&gt;"2018::jama.2018.9128::"),"CHECK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Format="1" customHeight="1" s="14">
      <c r="A8" s="20" t="inlineStr">
        <is>
          <t>2018::jama.2018.9128::C007</t>
        </is>
      </c>
      <c r="B8" s="20" t="inlineStr">
        <is>
          <t>Control 24-month BMI-observation count differs across result displays</t>
        </is>
      </c>
      <c r="C8" s="20" t="inlineStr">
        <is>
          <t>DOC-001 Figure 1 — PDF p. 3; DOC-001 Figure 2 — PDF p. 7; DOC-003 eTable 1 — PDF p. 2.</t>
        </is>
      </c>
      <c r="D8" s="21" t="n"/>
      <c r="E8" s="21" t="inlineStr">
        <is>
          <t>report_internal_inconsistency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ID",IF(OR(A8="",COUNTIF($A$2:$A$14,A8)&lt;&gt;1,LEFT(A8,LEN("2018::jama.2018.9128::"))&lt;&gt;"2018::jama.2018.9128::"),"CHECK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Format="1" customHeight="1" s="14">
      <c r="A9" s="24" t="inlineStr">
        <is>
          <t>2018::jama.2018.9128::C008</t>
        </is>
      </c>
      <c r="B9" s="24" t="inlineStr">
        <is>
          <t>Intervention 36-month BMI-observation count differs across result displays</t>
        </is>
      </c>
      <c r="C9" s="24" t="inlineStr">
        <is>
          <t>DOC-001 Figure 1 — PDF p. 3; DOC-001 Figure 2 — PDF p. 7; DOC-003 eTable 1 — PDF p. 2.</t>
        </is>
      </c>
      <c r="D9" s="21" t="n"/>
      <c r="E9" s="21" t="inlineStr">
        <is>
          <t>report_internal_inconsistency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ID",IF(OR(A9="",COUNTIF($A$2:$A$14,A9)&lt;&gt;1,LEFT(A9,LEN("2018::jama.2018.9128::"))&lt;&gt;"2018::jama.2018.9128::"),"CHECK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Format="1" customHeight="1" s="14">
      <c r="A10" s="20" t="inlineStr">
        <is>
          <t>2018::jama.2018.9128::C009</t>
        </is>
      </c>
      <c r="B10" s="20" t="inlineStr">
        <is>
          <t>Final SAP says six assessment points but enumerates five</t>
        </is>
      </c>
      <c r="C10" s="20" t="inlineStr">
        <is>
          <t>DOC-002 final SAP — PDF p. 110; DOC-002 protocol schedule — PDF p. 15; DOC-001 Methods — PDF p. 4; DOC-003 eTable 1 — PDF p. 2.</t>
        </is>
      </c>
      <c r="D10" s="21" t="n"/>
      <c r="E10" s="21" t="inlineStr">
        <is>
          <t>plan_material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ID",IF(OR(A10="",COUNTIF($A$2:$A$14,A10)&lt;&gt;1,LEFT(A10,LEN("2018::jama.2018.9128::"))&lt;&gt;"2018::jama.2018.9128::"),"CHECK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Format="1" customHeight="1" s="14">
      <c r="A11" s="24" t="inlineStr">
        <is>
          <t>2018::jama.2018.9128::C010</t>
        </is>
      </c>
      <c r="B11" s="24" t="inlineStr">
        <is>
          <t>Revised protocol gives six points but lists seven including 48 months</t>
        </is>
      </c>
      <c r="C11" s="24" t="inlineStr">
        <is>
          <t>DOC-002 revised protocol — PDF p. 64; DOC-001 Methods — PDF p. 4; DOC-003 eTable 1 — PDF p. 2.</t>
        </is>
      </c>
      <c r="D11" s="21" t="n"/>
      <c r="E11" s="21" t="inlineStr">
        <is>
          <t>plan_material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ID",IF(OR(A11="",COUNTIF($A$2:$A$14,A11)&lt;&gt;1,LEFT(A11,LEN("2018::jama.2018.9128::"))&lt;&gt;"2018::jama.2018.9128::"),"CHECK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Format="1" customHeight="1" s="14">
      <c r="A12" s="20" t="inlineStr">
        <is>
          <t>2018::jama.2018.9128::C011</t>
        </is>
      </c>
      <c r="B12" s="20" t="inlineStr">
        <is>
          <t>Original protocol labels primary outcome as BMI percentile/BMI% while results use BMI kg/m²</t>
        </is>
      </c>
      <c r="C12" s="20" t="inlineStr">
        <is>
          <t>DOC-002 original protocol — PDF p. 16; DOC-002 final SAP — PDF p. 110; DOC-001 Outcomes — PDF p. 3; DOC-003 eTable 1 — PDF p. 2.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ID",IF(OR(A12="",COUNTIF($A$2:$A$14,A12)&lt;&gt;1,LEFT(A12,LEN("2018::jama.2018.9128::"))&lt;&gt;"2018::jama.2018.9128::"),"CHECK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Format="1" customHeight="1" s="14">
      <c r="A13" s="24" t="inlineStr">
        <is>
          <t>2018::jama.2018.9128::C012</t>
        </is>
      </c>
      <c r="B13" s="24" t="inlineStr">
        <is>
          <t>Control-condition session count and duration differ across protocol versions and article</t>
        </is>
      </c>
      <c r="C13" s="24" t="inlineStr">
        <is>
          <t>DOC-002 original protocol — PDF p. 14; DOC-002 revised protocol — PDF p. 64; DOC-001 abstract — PDF p. 1; DOC-001 Methods — PDF p. 3.</t>
        </is>
      </c>
      <c r="D13" s="21" t="n"/>
      <c r="E13" s="21" t="inlineStr">
        <is>
          <t>protocol_report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ID",IF(OR(A13="",COUNTIF($A$2:$A$14,A13)&lt;&gt;1,LEFT(A13,LEN("2018::jama.2018.9128::"))&lt;&gt;"2018::jama.2018.9128::"),"CHECK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Format="1" customHeight="1" s="14">
      <c r="A14" s="20" t="inlineStr">
        <is>
          <t>2018::jama.2018.9128::C013</t>
        </is>
      </c>
      <c r="B14" s="20" t="inlineStr">
        <is>
          <t>Control 9-month BMI-observation count differs across result displays</t>
        </is>
      </c>
      <c r="C14" s="20" t="inlineStr">
        <is>
          <t>DOC-001 Figure 1 — PDF p. 3; DOC-001 Figure 2 — PDF p. 7; DOC-003 eTable 1 — PDF p. 2.</t>
        </is>
      </c>
      <c r="D14" s="21" t="n"/>
      <c r="E14" s="21" t="inlineStr">
        <is>
          <t>report_internal_inconsistency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ID",IF(OR(A14="",COUNTIF($A$2:$A$14,A14)&lt;&gt;1,LEFT(A14,LEN("2018::jama.2018.9128::"))&lt;&gt;"2018::jama.2018.9128::"),"CHECK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6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2026-10-10T23:06:06Z</dcterms:modified>
</cp:coreProperties>
</file>