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24.24764" sheetId="4" state="visible" r:id="rId4"/>
    <sheet name="C_jama.2024.27643" sheetId="5" state="visible" r:id="rId5"/>
    <sheet name="C_jama.2025.11178" sheetId="6" state="visible" r:id="rId6"/>
    <sheet name="C_jama.2025.15185" sheetId="7" state="visible" r:id="rId7"/>
    <sheet name="C_jama.2025.15440" sheetId="8" state="visible" r:id="rId8"/>
    <sheet name="C_jama.2025.16450" sheetId="9" state="visible" r:id="rId9"/>
    <sheet name="C_jama.2025.19563" sheetId="10" state="visible" r:id="rId10"/>
    <sheet name="C_jama.2025.19843" sheetId="11" state="visible" r:id="rId11"/>
    <sheet name="C_jama.2025.20765" sheetId="12" state="visible" r:id="rId12"/>
    <sheet name="C_jama.2025.24175" sheetId="13" state="visible" r:id="rId13"/>
    <sheet name="C_jama.2025.4390" sheetId="14" state="visible" r:id="rId14"/>
    <sheet name="C_jama.2025.7583" sheetId="15" state="visible" r:id="rId15"/>
    <sheet name="C_jama.2025.7710" sheetId="16" state="visible" r:id="rId16"/>
    <sheet name="C_jama.2025.9110" sheetId="17" state="visible" r:id="rId17"/>
    <sheet name="C_jama.2025.9663" sheetId="18" state="visible" r:id="rId18"/>
    <sheet name="Codebook" sheetId="19" state="visible" r:id="rId19"/>
  </sheets>
  <definedNames>
    <definedName name="_xlnm._FilterDatabase" localSheetId="3" hidden="1">'C_jama.2024.24764'!$A$1:$R$9</definedName>
    <definedName name="_xlnm._FilterDatabase" localSheetId="4" hidden="1">'C_jama.2024.27643'!$A$1:$R$9</definedName>
    <definedName name="_xlnm._FilterDatabase" localSheetId="5" hidden="1">'C_jama.2025.11178'!$A$1:$R$38</definedName>
    <definedName name="_xlnm._FilterDatabase" localSheetId="6" hidden="1">'C_jama.2025.15185'!$A$1:$R$13</definedName>
    <definedName name="_xlnm._FilterDatabase" localSheetId="7" hidden="1">'C_jama.2025.15440'!$A$1:$R$3</definedName>
    <definedName name="_xlnm._FilterDatabase" localSheetId="8" hidden="1">'C_jama.2025.16450'!$A$1:$R$11</definedName>
    <definedName name="_xlnm._FilterDatabase" localSheetId="9" hidden="1">'C_jama.2025.19563'!$A$1:$R$8</definedName>
    <definedName name="_xlnm._FilterDatabase" localSheetId="10" hidden="1">'C_jama.2025.19843'!$A$1:$R$2</definedName>
    <definedName name="_xlnm._FilterDatabase" localSheetId="11" hidden="1">'C_jama.2025.20765'!$A$1:$R$14</definedName>
    <definedName name="_xlnm._FilterDatabase" localSheetId="12" hidden="1">'C_jama.2025.24175'!$A$1:$R$15</definedName>
    <definedName name="_xlnm._FilterDatabase" localSheetId="13" hidden="1">'C_jama.2025.4390'!$A$1:$R$4</definedName>
    <definedName name="_xlnm._FilterDatabase" localSheetId="14" hidden="1">'C_jama.2025.7583'!$A$1:$R$4</definedName>
    <definedName name="_xlnm._FilterDatabase" localSheetId="15" hidden="1">'C_jama.2025.7710'!$A$1:$R$5</definedName>
    <definedName name="_xlnm._FilterDatabase" localSheetId="16" hidden="1">'C_jama.2025.9110'!$A$1:$R$7</definedName>
    <definedName name="_xlnm._FilterDatabase" localSheetId="17" hidden="1">'C_jama.2025.9663'!$A$1:$R$4</definedName>
    <definedName name="_xlnm._FilterDatabase" localSheetId="18" hidden="1">'Codebook'!$A$1:$E$56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DF2F5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0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9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</cellXfs>
  <cellStyles count="1">
    <cellStyle name="Normal" xfId="0"/>
  </cellStyles>
  <dxfs count="107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9C0006"/>
      </font>
      <fill>
        <patternFill patternType="solid">
          <fgColor rgb="00FFF2CC"/>
        </patternFill>
      </fill>
    </dxf>
    <dxf>
      <font>
        <color rgb="00687783"/>
      </font>
      <fill>
        <patternFill patternType="solid">
          <fgColor rgb="00EDF2F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8" min="1" max="1"/>
    <col width="70" customWidth="1" style="8" min="2" max="2"/>
  </cols>
  <sheetData>
    <row r="1" ht="42" customFormat="1" customHeight="1" s="8">
      <c r="A1" s="14" t="inlineStr">
        <is>
          <t>Field</t>
        </is>
      </c>
      <c r="B1" s="14" t="inlineStr">
        <is>
          <t>Value</t>
        </is>
      </c>
    </row>
    <row r="2" ht="42" customFormat="1" customHeight="1" s="8">
      <c r="A2" s="15" t="inlineStr">
        <is>
          <t>reviewerId / identifying name</t>
        </is>
      </c>
      <c r="B2" s="17" t="n"/>
    </row>
    <row r="3" ht="42" customFormat="1" customHeight="1" s="8">
      <c r="A3" s="16" t="inlineStr">
        <is>
          <t>reviewerName (optional)</t>
        </is>
      </c>
      <c r="B3" s="17" t="n"/>
    </row>
    <row r="4" ht="42" customFormat="1" customHeight="1" s="8">
      <c r="A4" s="15" t="inlineStr">
        <is>
          <t>reviewerRole</t>
        </is>
      </c>
      <c r="B4" s="15" t="inlineStr">
        <is>
          <t>R_B</t>
        </is>
      </c>
    </row>
    <row r="5" ht="42" customFormat="1" customHeight="1" s="8">
      <c r="A5" s="16" t="inlineStr">
        <is>
          <t>year</t>
        </is>
      </c>
      <c r="B5" s="1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8" min="1" max="1"/>
    <col width="105" customWidth="1" style="8" min="2" max="2"/>
  </cols>
  <sheetData>
    <row r="1" ht="42" customFormat="1" customHeight="1" s="8">
      <c r="A1" s="14" t="inlineStr">
        <is>
          <t>Check</t>
        </is>
      </c>
      <c r="B1" s="14" t="inlineStr">
        <is>
          <t>Result</t>
        </is>
      </c>
    </row>
    <row r="2" ht="60" customFormat="1" customHeight="1" s="8">
      <c r="A2" s="15" t="inlineStr">
        <is>
          <t>Reviewer role</t>
        </is>
      </c>
      <c r="B2" s="15">
        <f>Setup!B4</f>
        <v/>
      </c>
    </row>
    <row r="3" ht="60" customFormat="1" customHeight="1" s="8">
      <c r="A3" s="16" t="inlineStr">
        <is>
          <t>Candidates</t>
        </is>
      </c>
      <c r="B3" s="16" t="n">
        <v>131</v>
      </c>
    </row>
    <row r="4" ht="60" customFormat="1" customHeight="1" s="8">
      <c r="A4" s="15" t="inlineStr">
        <is>
          <t>Primary ready rows</t>
        </is>
      </c>
      <c r="B4" s="15">
        <f>COUNTIF('C_jama.2024.24764'!$G$2:$G$9,"PRIMARY READY")+COUNTIF('C_jama.2024.27643'!$G$2:$G$9,"PRIMARY READY")+COUNTIF('C_jama.2025.11178'!$G$2:$G$38,"PRIMARY READY")+COUNTIF('C_jama.2025.15185'!$G$2:$G$13,"PRIMARY READY")+COUNTIF('C_jama.2025.15440'!$G$2:$G$3,"PRIMARY READY")+COUNTIF('C_jama.2025.16450'!$G$2:$G$11,"PRIMARY READY")+COUNTIF('C_jama.2025.19563'!$G$2:$G$8,"PRIMARY READY")+COUNTIF('C_jama.2025.19843'!$G$2:$G$2,"PRIMARY READY")+COUNTIF('C_jama.2025.20765'!$G$2:$G$14,"PRIMARY READY")+COUNTIF('C_jama.2025.24175'!$G$2:$G$15,"PRIMARY READY")+COUNTIF('C_jama.2025.4390'!$G$2:$G$4,"PRIMARY READY")+COUNTIF('C_jama.2025.7583'!$G$2:$G$4,"PRIMARY READY")+COUNTIF('C_jama.2025.7710'!$G$2:$G$5,"PRIMARY READY")+COUNTIF('C_jama.2025.9110'!$G$2:$G$7,"PRIMARY READY")+COUNTIF('C_jama.2025.9663'!$G$2:$G$4,"PRIMARY READY")</f>
        <v/>
      </c>
    </row>
    <row r="5" ht="60" customFormat="1" customHeight="1" s="8">
      <c r="A5" s="16" t="inlineStr">
        <is>
          <t>Unfinished rows</t>
        </is>
      </c>
      <c r="B5" s="16">
        <f>B3-B4</f>
        <v/>
      </c>
    </row>
    <row r="6" ht="60" customFormat="1" customHeight="1" s="8">
      <c r="A6" s="15" t="inlineStr">
        <is>
          <t>Discuss / unresolved rows</t>
        </is>
      </c>
      <c r="B6" s="15">
        <f>COUNTIF('C_jama.2024.24764'!$D$2:$D$9,"discuss")+COUNTIF('C_jama.2024.27643'!$D$2:$D$9,"discuss")+COUNTIF('C_jama.2025.11178'!$D$2:$D$38,"discuss")+COUNTIF('C_jama.2025.15185'!$D$2:$D$13,"discuss")+COUNTIF('C_jama.2025.15440'!$D$2:$D$3,"discuss")+COUNTIF('C_jama.2025.16450'!$D$2:$D$11,"discuss")+COUNTIF('C_jama.2025.19563'!$D$2:$D$8,"discuss")+COUNTIF('C_jama.2025.19843'!$D$2:$D$2,"discuss")+COUNTIF('C_jama.2025.20765'!$D$2:$D$14,"discuss")+COUNTIF('C_jama.2025.24175'!$D$2:$D$15,"discuss")+COUNTIF('C_jama.2025.4390'!$D$2:$D$4,"discuss")+COUNTIF('C_jama.2025.7583'!$D$2:$D$4,"discuss")+COUNTIF('C_jama.2025.7710'!$D$2:$D$5,"discuss")+COUNTIF('C_jama.2025.9110'!$D$2:$D$7,"discuss")+COUNTIF('C_jama.2025.9663'!$D$2:$D$4,"discuss")</f>
        <v/>
      </c>
    </row>
    <row r="7" ht="60" customFormat="1" customHeight="1" s="8">
      <c r="A7" s="16" t="inlineStr">
        <is>
          <t>Workflow status</t>
        </is>
      </c>
      <c r="B7" s="16">
        <f>IF(B4=B3,"PRIMARY READY","ACTION NEEDED")</f>
        <v/>
      </c>
    </row>
    <row r="8" ht="60" customFormat="1" customHeight="1" s="8">
      <c r="A8" s="15" t="inlineStr">
        <is>
          <t>Interpretation</t>
        </is>
      </c>
      <c r="B8" s="15" t="inlineStr">
        <is>
          <t>Completion means independent entry is finished. Discuss remains unresolved.</t>
        </is>
      </c>
    </row>
    <row r="9" ht="60" customFormat="1" customHeight="1" s="8">
      <c r="A9" s="16" t="inlineStr">
        <is>
          <t>Next action</t>
        </is>
      </c>
      <c r="B9" s="16" t="inlineStr">
        <is>
          <t>Inspect G on the C_ sheets. When primary-ready, save and deliver this file.</t>
        </is>
      </c>
    </row>
    <row r="10" ht="60" customFormat="1" customHeight="1" s="8">
      <c r="A10" s="15" t="inlineStr">
        <is>
          <t>Ready discuss rows</t>
        </is>
      </c>
      <c r="B10" s="15">
        <f>COUNTIFS('C_jama.2024.24764'!$G$2:$G$9,"PRIMARY READY",'C_jama.2024.24764'!$D$2:$D$9,"discuss")+COUNTIFS('C_jama.2024.27643'!$G$2:$G$9,"PRIMARY READY",'C_jama.2024.27643'!$D$2:$D$9,"discuss")+COUNTIFS('C_jama.2025.11178'!$G$2:$G$38,"PRIMARY READY",'C_jama.2025.11178'!$D$2:$D$38,"discuss")+COUNTIFS('C_jama.2025.15185'!$G$2:$G$13,"PRIMARY READY",'C_jama.2025.15185'!$D$2:$D$13,"discuss")+COUNTIFS('C_jama.2025.15440'!$G$2:$G$3,"PRIMARY READY",'C_jama.2025.15440'!$D$2:$D$3,"discuss")+COUNTIFS('C_jama.2025.16450'!$G$2:$G$11,"PRIMARY READY",'C_jama.2025.16450'!$D$2:$D$11,"discuss")+COUNTIFS('C_jama.2025.19563'!$G$2:$G$8,"PRIMARY READY",'C_jama.2025.19563'!$D$2:$D$8,"discuss")+COUNTIFS('C_jama.2025.19843'!$G$2:$G$2,"PRIMARY READY",'C_jama.2025.19843'!$D$2:$D$2,"discuss")+COUNTIFS('C_jama.2025.20765'!$G$2:$G$14,"PRIMARY READY",'C_jama.2025.20765'!$D$2:$D$14,"discuss")+COUNTIFS('C_jama.2025.24175'!$G$2:$G$15,"PRIMARY READY",'C_jama.2025.24175'!$D$2:$D$15,"discuss")+COUNTIFS('C_jama.2025.4390'!$G$2:$G$4,"PRIMARY READY",'C_jama.2025.4390'!$D$2:$D$4,"discuss")+COUNTIFS('C_jama.2025.7583'!$G$2:$G$4,"PRIMARY READY",'C_jama.2025.7583'!$D$2:$D$4,"discuss")+COUNTIFS('C_jama.2025.7710'!$G$2:$G$5,"PRIMARY READY",'C_jama.2025.7710'!$D$2:$D$5,"discuss")+COUNTIFS('C_jama.2025.9110'!$G$2:$G$7,"PRIMARY READY",'C_jama.2025.9110'!$D$2:$D$7,"discuss")+COUNTIFS('C_jama.2025.9663'!$G$2:$G$4,"PRIMARY READY",'C_jama.2025.9663'!$D$2:$D$4,"discuss")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32" customWidth="1" style="8" min="1" max="1"/>
    <col width="34" customWidth="1" style="8" min="2" max="2"/>
    <col width="18" customWidth="1" style="8" min="3" max="3"/>
  </cols>
  <sheetData>
    <row r="1" ht="42" customFormat="1" customHeight="1" s="8">
      <c r="A1" s="5" t="inlineStr">
        <is>
          <t>Paper</t>
        </is>
      </c>
      <c r="B1" s="5" t="inlineStr">
        <is>
          <t>Review worksheet</t>
        </is>
      </c>
      <c r="C1" s="5" t="inlineStr">
        <is>
          <t>Candidates</t>
        </is>
      </c>
    </row>
    <row r="2" ht="36" customFormat="1" customHeight="1" s="8">
      <c r="A2" s="12" t="inlineStr">
        <is>
          <t>jama.2024.24764</t>
        </is>
      </c>
      <c r="B2" s="12" t="inlineStr">
        <is>
          <t>C_jama.2024.24764</t>
        </is>
      </c>
      <c r="C2" s="12" t="n">
        <v>8</v>
      </c>
    </row>
    <row r="3" ht="36" customFormat="1" customHeight="1" s="8">
      <c r="A3" s="11" t="inlineStr">
        <is>
          <t>jama.2024.27643</t>
        </is>
      </c>
      <c r="B3" s="11" t="inlineStr">
        <is>
          <t>C_jama.2024.27643</t>
        </is>
      </c>
      <c r="C3" s="11" t="n">
        <v>8</v>
      </c>
    </row>
    <row r="4" ht="36" customFormat="1" customHeight="1" s="8">
      <c r="A4" s="12" t="inlineStr">
        <is>
          <t>jama.2025.11178</t>
        </is>
      </c>
      <c r="B4" s="12" t="inlineStr">
        <is>
          <t>C_jama.2025.11178</t>
        </is>
      </c>
      <c r="C4" s="12" t="n">
        <v>37</v>
      </c>
    </row>
    <row r="5" ht="36" customFormat="1" customHeight="1" s="8">
      <c r="A5" s="11" t="inlineStr">
        <is>
          <t>jama.2025.15185</t>
        </is>
      </c>
      <c r="B5" s="11" t="inlineStr">
        <is>
          <t>C_jama.2025.15185</t>
        </is>
      </c>
      <c r="C5" s="11" t="n">
        <v>12</v>
      </c>
    </row>
    <row r="6" ht="36" customFormat="1" customHeight="1" s="8">
      <c r="A6" s="12" t="inlineStr">
        <is>
          <t>jama.2025.15440</t>
        </is>
      </c>
      <c r="B6" s="12" t="inlineStr">
        <is>
          <t>C_jama.2025.15440</t>
        </is>
      </c>
      <c r="C6" s="12" t="n">
        <v>2</v>
      </c>
    </row>
    <row r="7" ht="36" customFormat="1" customHeight="1" s="8">
      <c r="A7" s="11" t="inlineStr">
        <is>
          <t>jama.2025.16450</t>
        </is>
      </c>
      <c r="B7" s="11" t="inlineStr">
        <is>
          <t>C_jama.2025.16450</t>
        </is>
      </c>
      <c r="C7" s="11" t="n">
        <v>10</v>
      </c>
    </row>
    <row r="8" ht="36" customFormat="1" customHeight="1" s="8">
      <c r="A8" s="12" t="inlineStr">
        <is>
          <t>jama.2025.19563</t>
        </is>
      </c>
      <c r="B8" s="12" t="inlineStr">
        <is>
          <t>C_jama.2025.19563</t>
        </is>
      </c>
      <c r="C8" s="12" t="n">
        <v>7</v>
      </c>
    </row>
    <row r="9" ht="36" customFormat="1" customHeight="1" s="8">
      <c r="A9" s="11" t="inlineStr">
        <is>
          <t>jama.2025.19843</t>
        </is>
      </c>
      <c r="B9" s="11" t="inlineStr">
        <is>
          <t>C_jama.2025.19843</t>
        </is>
      </c>
      <c r="C9" s="11" t="n">
        <v>1</v>
      </c>
    </row>
    <row r="10" ht="36" customFormat="1" customHeight="1" s="8">
      <c r="A10" s="12" t="inlineStr">
        <is>
          <t>jama.2025.20765</t>
        </is>
      </c>
      <c r="B10" s="12" t="inlineStr">
        <is>
          <t>C_jama.2025.20765</t>
        </is>
      </c>
      <c r="C10" s="12" t="n">
        <v>13</v>
      </c>
    </row>
    <row r="11" ht="36" customFormat="1" customHeight="1" s="8">
      <c r="A11" s="11" t="inlineStr">
        <is>
          <t>jama.2025.24175</t>
        </is>
      </c>
      <c r="B11" s="11" t="inlineStr">
        <is>
          <t>C_jama.2025.24175</t>
        </is>
      </c>
      <c r="C11" s="11" t="n">
        <v>14</v>
      </c>
    </row>
    <row r="12" ht="36" customFormat="1" customHeight="1" s="8">
      <c r="A12" s="12" t="inlineStr">
        <is>
          <t>jama.2025.4390</t>
        </is>
      </c>
      <c r="B12" s="12" t="inlineStr">
        <is>
          <t>C_jama.2025.4390</t>
        </is>
      </c>
      <c r="C12" s="12" t="n">
        <v>3</v>
      </c>
    </row>
    <row r="13" ht="36" customFormat="1" customHeight="1" s="8">
      <c r="A13" s="11" t="inlineStr">
        <is>
          <t>jama.2025.7583</t>
        </is>
      </c>
      <c r="B13" s="11" t="inlineStr">
        <is>
          <t>C_jama.2025.7583</t>
        </is>
      </c>
      <c r="C13" s="11" t="n">
        <v>3</v>
      </c>
    </row>
    <row r="14" ht="36" customFormat="1" customHeight="1" s="8">
      <c r="A14" s="12" t="inlineStr">
        <is>
          <t>jama.2025.7710</t>
        </is>
      </c>
      <c r="B14" s="12" t="inlineStr">
        <is>
          <t>C_jama.2025.7710</t>
        </is>
      </c>
      <c r="C14" s="12" t="n">
        <v>4</v>
      </c>
    </row>
    <row r="15" ht="36" customFormat="1" customHeight="1" s="8">
      <c r="A15" s="11" t="inlineStr">
        <is>
          <t>jama.2025.9110</t>
        </is>
      </c>
      <c r="B15" s="11" t="inlineStr">
        <is>
          <t>C_jama.2025.9110</t>
        </is>
      </c>
      <c r="C15" s="11" t="n">
        <v>6</v>
      </c>
    </row>
    <row r="16" ht="36" customFormat="1" customHeight="1" s="8">
      <c r="A16" s="12" t="inlineStr">
        <is>
          <t>jama.2025.9663</t>
        </is>
      </c>
      <c r="B16" s="12" t="inlineStr">
        <is>
          <t>C_jama.2025.9663</t>
        </is>
      </c>
      <c r="C16" s="12" t="n">
        <v>3</v>
      </c>
    </row>
  </sheetData>
  <hyperlinks>
    <hyperlink ref="B2" location="'C_jama.2024.24764'!A1"/>
    <hyperlink ref="B3" location="'C_jama.2024.27643'!A1"/>
    <hyperlink ref="B4" location="'C_jama.2025.11178'!A1"/>
    <hyperlink ref="B5" location="'C_jama.2025.15185'!A1"/>
    <hyperlink ref="B6" location="'C_jama.2025.15440'!A1"/>
    <hyperlink ref="B7" location="'C_jama.2025.16450'!A1"/>
    <hyperlink ref="B8" location="'C_jama.2025.19563'!A1"/>
    <hyperlink ref="B9" location="'C_jama.2025.19843'!A1"/>
    <hyperlink ref="B10" location="'C_jama.2025.20765'!A1"/>
    <hyperlink ref="B11" location="'C_jama.2025.24175'!A1"/>
    <hyperlink ref="B12" location="'C_jama.2025.4390'!A1"/>
    <hyperlink ref="B13" location="'C_jama.2025.7583'!A1"/>
    <hyperlink ref="B14" location="'C_jama.2025.7710'!A1"/>
    <hyperlink ref="B15" location="'C_jama.2025.9110'!A1"/>
    <hyperlink ref="B16" location="'C_jama.2025.9663'!A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2025::jama.2024.24764::C001</t>
        </is>
      </c>
      <c r="B2" s="12" t="inlineStr">
        <is>
          <t>Smoking percentages use a different denominator from the printed smoking totals</t>
        </is>
      </c>
      <c r="C2" s="12" t="inlineStr">
        <is>
          <t>jama_atherton_2025_oi_240145_1741627844.85412.pdf — PDF p. 5, Table 1</t>
        </is>
      </c>
      <c r="D2" s="7" t="n"/>
      <c r="E2" s="7" t="inlineStr">
        <is>
          <t>statistical_results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2024.24764::"))&lt;&gt;"2025::jama.2024.24764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2025::jama.2024.24764::C002</t>
        </is>
      </c>
      <c r="B3" s="11" t="inlineStr">
        <is>
          <t>Operating-surgeon level totals exceed participant denominators without a multi-response qualifier</t>
        </is>
      </c>
      <c r="C3" s="11" t="inlineStr">
        <is>
          <t>jama_atherton_2025_oi_240145_1741627844.85412.pdf — PDF p. 7, Table 2</t>
        </is>
      </c>
      <c r="D3" s="7" t="n"/>
      <c r="E3" s="7" t="inlineStr">
        <is>
          <t>statistical_results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2024.24764::"))&lt;&gt;"2025::jama.2024.24764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2025::jama.2024.24764::C003</t>
        </is>
      </c>
      <c r="B4" s="12" t="inlineStr">
        <is>
          <t>Fascia-closing surgeon level totals exceed participant denominators without a multi-response qualifier</t>
        </is>
      </c>
      <c r="C4" s="12" t="inlineStr">
        <is>
          <t>jama_atherton_2025_oi_240145_1741627844.85412.pdf — PDF p. 7, Table 2 continuation</t>
        </is>
      </c>
      <c r="D4" s="7" t="n"/>
      <c r="E4" s="7" t="inlineStr">
        <is>
          <t>statistical_results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2024.24764::"))&lt;&gt;"2025::jama.2024.24764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2025::jama.2024.24764::C004</t>
        </is>
      </c>
      <c r="B5" s="11" t="inlineStr">
        <is>
          <t>Skin-closing surgeon level totals exceed participant denominators without a multi-response qualifier</t>
        </is>
      </c>
      <c r="C5" s="11" t="inlineStr">
        <is>
          <t>jama_atherton_2025_oi_240145_1741627844.85412.pdf — PDF p. 7, Table 2 continuation</t>
        </is>
      </c>
      <c r="D5" s="7" t="n"/>
      <c r="E5" s="7" t="inlineStr">
        <is>
          <t>statistical_results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2024.24764::"))&lt;&gt;"2025::jama.2024.24764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2025::jama.2024.24764::C005</t>
        </is>
      </c>
      <c r="B6" s="12" t="inlineStr">
        <is>
          <t>Control-arm mortality differs between participant flow and 30-day safety reporting</t>
        </is>
      </c>
      <c r="C6" s="12" t="inlineStr">
        <is>
          <t>jama_atherton_2025_oi_240145_1741627844.85412.pdf — PDF p. 3, Figure 1; PDF p. 6, safety narrative; PDF p. 8, Table 3</t>
        </is>
      </c>
      <c r="D6" s="7" t="n"/>
      <c r="E6" s="7" t="inlineStr">
        <is>
          <t>report_internal_inconsistency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2024.24764::"))&lt;&gt;"2025::jama.2024.24764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2025::jama.2024.24764::C006</t>
        </is>
      </c>
      <c r="B7" s="11" t="inlineStr">
        <is>
          <t>Longitudinal quality-of-life covariance specification differs between SAP and final article</t>
        </is>
      </c>
      <c r="C7" s="11" t="inlineStr">
        <is>
          <t>joi240145supp1_prod_1741627844.87412.pdf — PDF p. 26, SAP; jama_atherton_2025_oi_240145_1741627844.85412.pdf — PDF p. 4, Statistical Analysis</t>
        </is>
      </c>
      <c r="D7" s="7" t="n"/>
      <c r="E7" s="7" t="inlineStr">
        <is>
          <t>protocol_report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2024.24764::"))&lt;&gt;"2025::jama.2024.24764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2025::jama.2024.24764::C007</t>
        </is>
      </c>
      <c r="B8" s="12" t="inlineStr">
        <is>
          <t>Length-of-stay effect measure and model differ between SAP/protocol and final article</t>
        </is>
      </c>
      <c r="C8" s="12" t="inlineStr">
        <is>
          <t>joi240145supp1_prod_1741627844.87412.pdf — PDF p. 25, SAP; joi240145supp4_prod_1741627844.90412.pdf — PDF p. 39, protocol; jama_atherton_2025_oi_240145_1741627844.85412.pdf — PDF p. 4; PDF p. 8, Table 3</t>
        </is>
      </c>
      <c r="D8" s="7" t="n"/>
      <c r="E8" s="7" t="inlineStr">
        <is>
          <t>protocol_report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2024.24764::"))&lt;&gt;"2025::jama.2024.24764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2025::jama.2024.24764::C008</t>
        </is>
      </c>
      <c r="B9" s="11" t="inlineStr">
        <is>
          <t>Australia-inclusive length-of-stay result differs from the stated UK-only analysis population</t>
        </is>
      </c>
      <c r="C9" s="11" t="inlineStr">
        <is>
          <t>joi240145supp1_prod_1741627844.87412.pdf — PDF p. 18, SAP endpoint; PDF p. 25, SAP population; joi240145supp4_prod_1741627844.90412.pdf — PDF p. 24, protocol; jama_atherton_2025_oi_240145_1741627844.85412.pdf — PDF p. 1, abstract; PDF p. 8, Table 3</t>
        </is>
      </c>
      <c r="D9" s="7" t="n"/>
      <c r="E9" s="7" t="inlineStr">
        <is>
          <t>protocol_report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2024.24764::"))&lt;&gt;"2025::jama.2024.24764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</sheetData>
  <autoFilter ref="A1:R9"/>
  <conditionalFormatting sqref="G2:G9">
    <cfRule type="expression" priority="1" dxfId="105">
      <formula>G2&lt;&gt;"PRIMARY READY"</formula>
    </cfRule>
  </conditionalFormatting>
  <conditionalFormatting sqref="H2:H9">
    <cfRule type="expression" priority="2" dxfId="106">
      <formula>NOT(AND(OR($D2="retain",$D2=""),$E2="statistical_results"))</formula>
    </cfRule>
  </conditionalFormatting>
  <conditionalFormatting sqref="I2:I9">
    <cfRule type="expression" priority="3" dxfId="106">
      <formula>NOT(AND(OR($D2="retain",$D2=""),$E2="statistical_results"))</formula>
    </cfRule>
  </conditionalFormatting>
  <conditionalFormatting sqref="J2:J9">
    <cfRule type="expression" priority="4" dxfId="106">
      <formula>NOT(AND(OR($D2="retain",$D2=""),$E2="statistical_results"))</formula>
    </cfRule>
  </conditionalFormatting>
  <conditionalFormatting sqref="K2:K9">
    <cfRule type="expression" priority="5" dxfId="106">
      <formula>NOT(AND(OR($D2="retain",$D2=""),OR($E2="report_internal_inconsistency",$E2="plan_material")))</formula>
    </cfRule>
  </conditionalFormatting>
  <conditionalFormatting sqref="L2:L9">
    <cfRule type="expression" priority="6" dxfId="106">
      <formula>NOT(AND(OR($D2="retain",$D2=""),$E2="protocol_report"))</formula>
    </cfRule>
  </conditionalFormatting>
  <dataValidations count="8">
    <dataValidation sqref="D2:D9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9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9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9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9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2025::jama.2024.27643::C001</t>
        </is>
      </c>
      <c r="B2" s="12" t="inlineStr">
        <is>
          <t>Shared-placebo race missingness does not reconcile with the printed denominator</t>
        </is>
      </c>
      <c r="C2" s="12" t="inlineStr">
        <is>
          <t>jama_berry_2025_oi_240158_1742927563.7361.pdf — Table 1 and footnote b, PDF p. 6</t>
        </is>
      </c>
      <c r="D2" s="7" t="n"/>
      <c r="E2" s="7" t="inlineStr">
        <is>
          <t>statistical_results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2024.27643::"))&lt;&gt;"2025::jama.2024.27643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2025::jama.2024.27643::C002</t>
        </is>
      </c>
      <c r="B3" s="11" t="inlineStr">
        <is>
          <t>SVC values have incompatible monthly-rate and 24-week-change labels</t>
        </is>
      </c>
      <c r="C3" s="11" t="inlineStr">
        <is>
          <t>jama_berry_2025_oi_240158_1742927563.7361.pdf — Secondary Efficacy Outcomes, PDF p. 4; joi240158supp3_prod_1742927563.7911.pdf — eTable 3A, PDF p. 16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2024.27643::"))&lt;&gt;"2025::jama.2024.27643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2025::jama.2024.27643::C003</t>
        </is>
      </c>
      <c r="B4" s="12" t="inlineStr">
        <is>
          <t>Shared-placebo ALSFRS-R credible-interval endpoints differ for the cited primary model</t>
        </is>
      </c>
      <c r="C4" s="12" t="inlineStr">
        <is>
          <t>jama_berry_2025_oi_240158_1742927563.7361.pdf — Primary Efficacy Outcome, PDF p. 4; joi240158supp3_prod_1742927563.7911.pdf — eTable 2, PDF p. 15</t>
        </is>
      </c>
      <c r="D4" s="7" t="n"/>
      <c r="E4" s="7" t="inlineStr">
        <is>
          <t>report_internal_inconsistency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2024.27643::"))&lt;&gt;"2025::jama.2024.27643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2025::jama.2024.27643::C004</t>
        </is>
      </c>
      <c r="B5" s="11" t="inlineStr">
        <is>
          <t>Pooled-active ALSFRS-R credible-interval endpoints differ for the cited primary model</t>
        </is>
      </c>
      <c r="C5" s="11" t="inlineStr">
        <is>
          <t>jama_berry_2025_oi_240158_1742927563.7361.pdf — Primary Efficacy Outcome, PDF p. 4; joi240158supp3_prod_1742927563.7911.pdf — eTable 2, PDF p. 15</t>
        </is>
      </c>
      <c r="D5" s="7" t="n"/>
      <c r="E5" s="7" t="inlineStr">
        <is>
          <t>report_internal_inconsistency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2024.27643::"))&lt;&gt;"2025::jama.2024.27643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2025::jama.2024.27643::C005</t>
        </is>
      </c>
      <c r="B6" s="12" t="inlineStr">
        <is>
          <t>Bayesian mortality event rates differ between article text and cited eTable 2</t>
        </is>
      </c>
      <c r="C6" s="12" t="inlineStr">
        <is>
          <t>jama_berry_2025_oi_240158_1742927563.7361.pdf — Primary Efficacy Outcome, PDF p. 4; joi240158supp3_prod_1742927563.7911.pdf — eTable 2, PDF p. 15</t>
        </is>
      </c>
      <c r="D6" s="7" t="n"/>
      <c r="E6" s="7" t="inlineStr">
        <is>
          <t>report_internal_inconsistency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2024.27643::"))&lt;&gt;"2025::jama.2024.27643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2025::jama.2024.27643::C006</t>
        </is>
      </c>
      <c r="B7" s="11" t="inlineStr">
        <is>
          <t>Plasma NfL confidence intervals differ across Figure 3, narrative, and eTable 3B</t>
        </is>
      </c>
      <c r="C7" s="11" t="inlineStr">
        <is>
          <t>jama_berry_2025_oi_240158_1742927563.7361.pdf — Figure 3 and Biomarker Analyses, PDF p. 8; joi240158supp3_prod_1742927563.7911.pdf — eTable 3B, PDF p. 17</t>
        </is>
      </c>
      <c r="D7" s="7" t="n"/>
      <c r="E7" s="7" t="inlineStr">
        <is>
          <t>report_internal_inconsistency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2024.27643::"))&lt;&gt;"2025::jama.2024.27643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2025::jama.2024.27643::C007</t>
        </is>
      </c>
      <c r="B8" s="12" t="inlineStr">
        <is>
          <t>Serum NfL regimen-only values and contrast differ across displays</t>
        </is>
      </c>
      <c r="C8" s="12" t="inlineStr">
        <is>
          <t>jama_berry_2025_oi_240158_1742927563.7361.pdf — Figure 3 and Biomarker Analyses, PDF p. 8; joi240158supp3_prod_1742927563.7911.pdf — eTable 3B, PDF p. 17</t>
        </is>
      </c>
      <c r="D8" s="7" t="n"/>
      <c r="E8" s="7" t="inlineStr">
        <is>
          <t>report_internal_inconsistency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2024.27643::"))&lt;&gt;"2025::jama.2024.27643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2025::jama.2024.27643::C008</t>
        </is>
      </c>
      <c r="B9" s="11" t="inlineStr">
        <is>
          <t>Discussion total of 13 events conflicts with the 14 events displayed in Table 2</t>
        </is>
      </c>
      <c r="C9" s="11" t="inlineStr">
        <is>
          <t>jama_berry_2025_oi_240158_1742927563.7361.pdf — Table 2, PDF p. 7; jama_berry_2025_oi_240158_1742927563.7361.pdf — Discussion, PDF p. 9</t>
        </is>
      </c>
      <c r="D9" s="7" t="n"/>
      <c r="E9" s="7" t="inlineStr">
        <is>
          <t>statistical_results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2024.27643::"))&lt;&gt;"2025::jama.2024.27643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</sheetData>
  <autoFilter ref="A1:R9"/>
  <conditionalFormatting sqref="G2:G9">
    <cfRule type="expression" priority="1" dxfId="105">
      <formula>G2&lt;&gt;"PRIMARY READY"</formula>
    </cfRule>
  </conditionalFormatting>
  <conditionalFormatting sqref="H2:H9">
    <cfRule type="expression" priority="2" dxfId="106">
      <formula>NOT(AND(OR($D2="retain",$D2=""),$E2="statistical_results"))</formula>
    </cfRule>
  </conditionalFormatting>
  <conditionalFormatting sqref="I2:I9">
    <cfRule type="expression" priority="3" dxfId="106">
      <formula>NOT(AND(OR($D2="retain",$D2=""),$E2="statistical_results"))</formula>
    </cfRule>
  </conditionalFormatting>
  <conditionalFormatting sqref="J2:J9">
    <cfRule type="expression" priority="4" dxfId="106">
      <formula>NOT(AND(OR($D2="retain",$D2=""),$E2="statistical_results"))</formula>
    </cfRule>
  </conditionalFormatting>
  <conditionalFormatting sqref="K2:K9">
    <cfRule type="expression" priority="5" dxfId="106">
      <formula>NOT(AND(OR($D2="retain",$D2=""),OR($E2="report_internal_inconsistency",$E2="plan_material")))</formula>
    </cfRule>
  </conditionalFormatting>
  <conditionalFormatting sqref="L2:L9">
    <cfRule type="expression" priority="6" dxfId="106">
      <formula>NOT(AND(OR($D2="retain",$D2=""),$E2="protocol_report"))</formula>
    </cfRule>
  </conditionalFormatting>
  <dataValidations count="8">
    <dataValidation sqref="D2:D9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9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9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9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9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9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9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9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2025::jama.2025.11178::C001</t>
        </is>
      </c>
      <c r="B2" s="12" t="inlineStr">
        <is>
          <t>Conditional Figure 1 further-ineligibility component subtotal gap</t>
        </is>
      </c>
      <c r="C2" s="12" t="inlineStr">
        <is>
          <t>main article — PDF p. 5, Figure 1, “4481 Ineligible.”</t>
        </is>
      </c>
      <c r="D2" s="7" t="n"/>
      <c r="E2" s="7" t="inlineStr">
        <is>
          <t>statistical_results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2025.11178::"))&lt;&gt;"2025::jama.2025.11178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2025::jama.2025.11178::C002</t>
        </is>
      </c>
      <c r="B3" s="11" t="inlineStr">
        <is>
          <t>Overall eTable 1 follow-up-pattern partition</t>
        </is>
      </c>
      <c r="C3" s="11" t="inlineStr">
        <is>
          <t>results supplement — PDF p. 7, eTable 1, Overall column.</t>
        </is>
      </c>
      <c r="D3" s="7" t="n"/>
      <c r="E3" s="7" t="inlineStr">
        <is>
          <t>statistical_results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2025.11178::"))&lt;&gt;"2025::jama.2025.11178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2025::jama.2025.11178::C003</t>
        </is>
      </c>
      <c r="B4" s="12" t="inlineStr">
        <is>
          <t>painTRAINER eTable 1 follow-up-pattern partition</t>
        </is>
      </c>
      <c r="C4" s="12" t="inlineStr">
        <is>
          <t>results supplement — PDF p. 7, eTable 1, painTRAINER column.</t>
        </is>
      </c>
      <c r="D4" s="7" t="n"/>
      <c r="E4" s="7" t="inlineStr">
        <is>
          <t>statistical_results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2025.11178::"))&lt;&gt;"2025::jama.2025.11178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2025::jama.2025.11178::C004</t>
        </is>
      </c>
      <c r="B5" s="11" t="inlineStr">
        <is>
          <t>Health Coach eTable 1 follow-up-pattern partition</t>
        </is>
      </c>
      <c r="C5" s="11" t="inlineStr">
        <is>
          <t>results supplement — PDF p. 7, eTable 1, Health Coach column.</t>
        </is>
      </c>
      <c r="D5" s="7" t="n"/>
      <c r="E5" s="7" t="inlineStr">
        <is>
          <t>statistical_results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2025.11178::"))&lt;&gt;"2025::jama.2025.11178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2025::jama.2025.11178::C005</t>
        </is>
      </c>
      <c r="B6" s="12" t="inlineStr">
        <is>
          <t>Workbook current-depression percentage incompatible with its count</t>
        </is>
      </c>
      <c r="C6" s="12" t="inlineStr">
        <is>
          <t>workbook, worksheet eTable 3, cells A82:E83 and E2:E3.</t>
        </is>
      </c>
      <c r="D6" s="7" t="n"/>
      <c r="E6" s="7" t="inlineStr">
        <is>
          <t>statistical_results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2025.11178::"))&lt;&gt;"2025::jama.2025.11178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2025::jama.2025.11178::C006</t>
        </is>
      </c>
      <c r="B7" s="11" t="inlineStr">
        <is>
          <t>Workbook social-role cutoff labeled as mean (SD)</t>
        </is>
      </c>
      <c r="C7" s="11" t="inlineStr">
        <is>
          <t>workbook, worksheet eTable 3, cells A103:E104.</t>
        </is>
      </c>
      <c r="D7" s="7" t="n"/>
      <c r="E7" s="7" t="inlineStr">
        <is>
          <t>report_internal_inconsistency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2025.11178::"))&lt;&gt;"2025::jama.2025.11178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2025::jama.2025.11178::C007</t>
        </is>
      </c>
      <c r="B8" s="12" t="inlineStr">
        <is>
          <t>Workbook physical-function cutoff labeled as mean (SD)</t>
        </is>
      </c>
      <c r="C8" s="12" t="inlineStr">
        <is>
          <t>workbook, worksheet eTable 3, cells A106:E107.</t>
        </is>
      </c>
      <c r="D8" s="7" t="n"/>
      <c r="E8" s="7" t="inlineStr">
        <is>
          <t>report_internal_inconsistency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2025.11178::"))&lt;&gt;"2025::jama.2025.11178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2025::jama.2025.11178::C008</t>
        </is>
      </c>
      <c r="B9" s="11" t="inlineStr">
        <is>
          <t>Pain-severity 12-month painTRAINER SMD outside printed CI</t>
        </is>
      </c>
      <c r="C9" s="11" t="inlineStr">
        <is>
          <t>main article — PDF p. 10, Table 3, pain severity 12 months, painTRAINER vs usual care plus SMD.</t>
        </is>
      </c>
      <c r="D9" s="7" t="n"/>
      <c r="E9" s="7" t="inlineStr">
        <is>
          <t>statistical_results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2025.11178::"))&lt;&gt;"2025::jama.2025.11178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  <row r="10" ht="92" customFormat="1" customHeight="1" s="8">
      <c r="A10" s="12" t="inlineStr">
        <is>
          <t>2025::jama.2025.11178::C009</t>
        </is>
      </c>
      <c r="B10" s="12" t="inlineStr">
        <is>
          <t>Pain-severity 12-month Health Coach SMD outside printed CI</t>
        </is>
      </c>
      <c r="C10" s="12" t="inlineStr">
        <is>
          <t>main article — PDF p. 10, Table 3, pain severity 12 months, Health Coach vs usual care plus SMD.</t>
        </is>
      </c>
      <c r="D10" s="7" t="n"/>
      <c r="E10" s="7" t="inlineStr">
        <is>
          <t>statistical_results</t>
        </is>
      </c>
      <c r="F10" s="7" t="inlineStr">
        <is>
          <t>no</t>
        </is>
      </c>
      <c r="G10" s="12">
        <f>IFERROR(IF(LEN(TRIM(CLEAN(SUBSTITUTE(Setup!$B$2,CHAR(160)," "))))=0,"CHECK REVIEWER ID",IF(OR(A10="",(COUNTIF('C_jama.2024.24764'!$A$2:$A$9,A10)+COUNTIF('C_jama.2024.27643'!$A$2:$A$9,A10)+COUNTIF('C_jama.2025.11178'!$A$2:$A$38,A10)+COUNTIF('C_jama.2025.15185'!$A$2:$A$13,A10)+COUNTIF('C_jama.2025.15440'!$A$2:$A$3,A10)+COUNTIF('C_jama.2025.16450'!$A$2:$A$11,A10)+COUNTIF('C_jama.2025.19563'!$A$2:$A$8,A10)+COUNTIF('C_jama.2025.19843'!$A$2:$A$2,A10)+COUNTIF('C_jama.2025.20765'!$A$2:$A$14,A10)+COUNTIF('C_jama.2025.24175'!$A$2:$A$15,A10)+COUNTIF('C_jama.2025.4390'!$A$2:$A$4,A10)+COUNTIF('C_jama.2025.7583'!$A$2:$A$4,A10)+COUNTIF('C_jama.2025.7710'!$A$2:$A$5,A10)+COUNTIF('C_jama.2025.9110'!$A$2:$A$7,A10)+COUNTIF('C_jama.2025.9663'!$A$2:$A$4,A10))&lt;&gt;1,LEFT(A10,LEN("2025::jama.2025.11178::"))&lt;&gt;"2025::jama.2025.11178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COMPLETE",IF(F10="primary_done","PRIMARY READY","PRIMARY DRAFT")))))),"CHECK INPUT / KEY")</f>
        <v/>
      </c>
      <c r="H10" s="7">
        <f>IF(AND(OR(D10="retain",D10=""),E10="statistical_results"),"","not_applicable")</f>
        <v/>
      </c>
      <c r="I10" s="7">
        <f>IF(AND(OR(D10="retain",D10=""),E10="statistical_results"),"","not_applicable")</f>
        <v/>
      </c>
      <c r="J10" s="13">
        <f>IF(AND(OR(D10="retain",D10=""),E10="statistical_results"),"","not_applicable")</f>
        <v/>
      </c>
      <c r="K10" s="7">
        <f>IF(AND(OR(D10="retain",D10=""),OR(E10="report_internal_inconsistency",E10="plan_material")),"","not_applicable")</f>
        <v/>
      </c>
      <c r="L10" s="13">
        <f>IF(AND(OR(D10="retain",D10=""),E10="protocol_report"),"","not_applicable")</f>
        <v/>
      </c>
      <c r="M10" s="19" t="n"/>
      <c r="N10" s="19" t="n"/>
      <c r="O10" s="19" t="n"/>
      <c r="P10" s="19" t="n"/>
      <c r="Q10" s="19" t="n"/>
      <c r="R10" s="13" t="n"/>
    </row>
    <row r="11" ht="92" customFormat="1" customHeight="1" s="8">
      <c r="A11" s="11" t="inlineStr">
        <is>
          <t>2025::jama.2025.11178::C010</t>
        </is>
      </c>
      <c r="B11" s="11" t="inlineStr">
        <is>
          <t>Pain-intensity 12-month Health Coach SMD outside printed CI</t>
        </is>
      </c>
      <c r="C11" s="11" t="inlineStr">
        <is>
          <t>main article — PDF p. 10, Table 3, pain intensity 12 months, Health Coach vs usual care plus SMD.</t>
        </is>
      </c>
      <c r="D11" s="7" t="n"/>
      <c r="E11" s="7" t="inlineStr">
        <is>
          <t>statistical_results</t>
        </is>
      </c>
      <c r="F11" s="7" t="inlineStr">
        <is>
          <t>no</t>
        </is>
      </c>
      <c r="G11" s="11">
        <f>IFERROR(IF(LEN(TRIM(CLEAN(SUBSTITUTE(Setup!$B$2,CHAR(160)," "))))=0,"CHECK REVIEWER ID",IF(OR(A11="",(COUNTIF('C_jama.2024.24764'!$A$2:$A$9,A11)+COUNTIF('C_jama.2024.27643'!$A$2:$A$9,A11)+COUNTIF('C_jama.2025.11178'!$A$2:$A$38,A11)+COUNTIF('C_jama.2025.15185'!$A$2:$A$13,A11)+COUNTIF('C_jama.2025.15440'!$A$2:$A$3,A11)+COUNTIF('C_jama.2025.16450'!$A$2:$A$11,A11)+COUNTIF('C_jama.2025.19563'!$A$2:$A$8,A11)+COUNTIF('C_jama.2025.19843'!$A$2:$A$2,A11)+COUNTIF('C_jama.2025.20765'!$A$2:$A$14,A11)+COUNTIF('C_jama.2025.24175'!$A$2:$A$15,A11)+COUNTIF('C_jama.2025.4390'!$A$2:$A$4,A11)+COUNTIF('C_jama.2025.7583'!$A$2:$A$4,A11)+COUNTIF('C_jama.2025.7710'!$A$2:$A$5,A11)+COUNTIF('C_jama.2025.9110'!$A$2:$A$7,A11)+COUNTIF('C_jama.2025.9663'!$A$2:$A$4,A11))&lt;&gt;1,LEFT(A11,LEN("2025::jama.2025.11178::"))&lt;&gt;"2025::jama.2025.11178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COMPLETE",IF(F11="primary_done","PRIMARY READY","PRIMARY DRAFT")))))),"CHECK INPUT / KEY")</f>
        <v/>
      </c>
      <c r="H11" s="7">
        <f>IF(AND(OR(D11="retain",D11=""),E11="statistical_results"),"","not_applicable")</f>
        <v/>
      </c>
      <c r="I11" s="7">
        <f>IF(AND(OR(D11="retain",D11=""),E11="statistical_results"),"","not_applicable")</f>
        <v/>
      </c>
      <c r="J11" s="13">
        <f>IF(AND(OR(D11="retain",D11=""),E11="statistical_results"),"","not_applicable")</f>
        <v/>
      </c>
      <c r="K11" s="7">
        <f>IF(AND(OR(D11="retain",D11=""),OR(E11="report_internal_inconsistency",E11="plan_material")),"","not_applicable")</f>
        <v/>
      </c>
      <c r="L11" s="13">
        <f>IF(AND(OR(D11="retain",D11=""),E11="protocol_report"),"","not_applicable")</f>
        <v/>
      </c>
      <c r="M11" s="19" t="n"/>
      <c r="N11" s="19" t="n"/>
      <c r="O11" s="19" t="n"/>
      <c r="P11" s="19" t="n"/>
      <c r="Q11" s="19" t="n"/>
      <c r="R11" s="13" t="n"/>
    </row>
    <row r="12" ht="92" customFormat="1" customHeight="1" s="8">
      <c r="A12" s="12" t="inlineStr">
        <is>
          <t>2025::jama.2025.11178::C011</t>
        </is>
      </c>
      <c r="B12" s="12" t="inlineStr">
        <is>
          <t>Pain-interference 12-month painTRAINER SMD outside printed CI</t>
        </is>
      </c>
      <c r="C12" s="12" t="inlineStr">
        <is>
          <t>main article — PDF p. 10, Table 3, interference 12 months, painTRAINER vs usual care plus SMD.</t>
        </is>
      </c>
      <c r="D12" s="7" t="n"/>
      <c r="E12" s="7" t="inlineStr">
        <is>
          <t>statistical_results</t>
        </is>
      </c>
      <c r="F12" s="7" t="inlineStr">
        <is>
          <t>no</t>
        </is>
      </c>
      <c r="G12" s="12">
        <f>IFERROR(IF(LEN(TRIM(CLEAN(SUBSTITUTE(Setup!$B$2,CHAR(160)," "))))=0,"CHECK REVIEWER ID",IF(OR(A12="",(COUNTIF('C_jama.2024.24764'!$A$2:$A$9,A12)+COUNTIF('C_jama.2024.27643'!$A$2:$A$9,A12)+COUNTIF('C_jama.2025.11178'!$A$2:$A$38,A12)+COUNTIF('C_jama.2025.15185'!$A$2:$A$13,A12)+COUNTIF('C_jama.2025.15440'!$A$2:$A$3,A12)+COUNTIF('C_jama.2025.16450'!$A$2:$A$11,A12)+COUNTIF('C_jama.2025.19563'!$A$2:$A$8,A12)+COUNTIF('C_jama.2025.19843'!$A$2:$A$2,A12)+COUNTIF('C_jama.2025.20765'!$A$2:$A$14,A12)+COUNTIF('C_jama.2025.24175'!$A$2:$A$15,A12)+COUNTIF('C_jama.2025.4390'!$A$2:$A$4,A12)+COUNTIF('C_jama.2025.7583'!$A$2:$A$4,A12)+COUNTIF('C_jama.2025.7710'!$A$2:$A$5,A12)+COUNTIF('C_jama.2025.9110'!$A$2:$A$7,A12)+COUNTIF('C_jama.2025.9663'!$A$2:$A$4,A12))&lt;&gt;1,LEFT(A12,LEN("2025::jama.2025.11178::"))&lt;&gt;"2025::jama.2025.11178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COMPLETE",IF(F12="primary_done","PRIMARY READY","PRIMARY DRAFT")))))),"CHECK INPUT / KEY")</f>
        <v/>
      </c>
      <c r="H12" s="7">
        <f>IF(AND(OR(D12="retain",D12=""),E12="statistical_results"),"","not_applicable")</f>
        <v/>
      </c>
      <c r="I12" s="7">
        <f>IF(AND(OR(D12="retain",D12=""),E12="statistical_results"),"","not_applicable")</f>
        <v/>
      </c>
      <c r="J12" s="13">
        <f>IF(AND(OR(D12="retain",D12=""),E12="statistical_results"),"","not_applicable")</f>
        <v/>
      </c>
      <c r="K12" s="7">
        <f>IF(AND(OR(D12="retain",D12=""),OR(E12="report_internal_inconsistency",E12="plan_material")),"","not_applicable")</f>
        <v/>
      </c>
      <c r="L12" s="13">
        <f>IF(AND(OR(D12="retain",D12=""),E12="protocol_report"),"","not_applicable")</f>
        <v/>
      </c>
      <c r="M12" s="19" t="n"/>
      <c r="N12" s="19" t="n"/>
      <c r="O12" s="19" t="n"/>
      <c r="P12" s="19" t="n"/>
      <c r="Q12" s="19" t="n"/>
      <c r="R12" s="13" t="n"/>
    </row>
    <row r="13" ht="92" customFormat="1" customHeight="1" s="8">
      <c r="A13" s="11" t="inlineStr">
        <is>
          <t>2025::jama.2025.11178::C012</t>
        </is>
      </c>
      <c r="B13" s="11" t="inlineStr">
        <is>
          <t>Pain-interference 12-month Health Coach SMD outside printed CI</t>
        </is>
      </c>
      <c r="C13" s="11" t="inlineStr">
        <is>
          <t>main article — PDF p. 10, Table 3, interference 12 months, Health Coach vs usual care plus SMD.</t>
        </is>
      </c>
      <c r="D13" s="7" t="n"/>
      <c r="E13" s="7" t="inlineStr">
        <is>
          <t>statistical_results</t>
        </is>
      </c>
      <c r="F13" s="7" t="inlineStr">
        <is>
          <t>no</t>
        </is>
      </c>
      <c r="G13" s="11">
        <f>IFERROR(IF(LEN(TRIM(CLEAN(SUBSTITUTE(Setup!$B$2,CHAR(160)," "))))=0,"CHECK REVIEWER ID",IF(OR(A13="",(COUNTIF('C_jama.2024.24764'!$A$2:$A$9,A13)+COUNTIF('C_jama.2024.27643'!$A$2:$A$9,A13)+COUNTIF('C_jama.2025.11178'!$A$2:$A$38,A13)+COUNTIF('C_jama.2025.15185'!$A$2:$A$13,A13)+COUNTIF('C_jama.2025.15440'!$A$2:$A$3,A13)+COUNTIF('C_jama.2025.16450'!$A$2:$A$11,A13)+COUNTIF('C_jama.2025.19563'!$A$2:$A$8,A13)+COUNTIF('C_jama.2025.19843'!$A$2:$A$2,A13)+COUNTIF('C_jama.2025.20765'!$A$2:$A$14,A13)+COUNTIF('C_jama.2025.24175'!$A$2:$A$15,A13)+COUNTIF('C_jama.2025.4390'!$A$2:$A$4,A13)+COUNTIF('C_jama.2025.7583'!$A$2:$A$4,A13)+COUNTIF('C_jama.2025.7710'!$A$2:$A$5,A13)+COUNTIF('C_jama.2025.9110'!$A$2:$A$7,A13)+COUNTIF('C_jama.2025.9663'!$A$2:$A$4,A13))&lt;&gt;1,LEFT(A13,LEN("2025::jama.2025.11178::"))&lt;&gt;"2025::jama.2025.11178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COMPLETE",IF(F13="primary_done","PRIMARY READY","PRIMARY DRAFT")))))),"CHECK INPUT / KEY")</f>
        <v/>
      </c>
      <c r="H13" s="7">
        <f>IF(AND(OR(D13="retain",D13=""),E13="statistical_results"),"","not_applicable")</f>
        <v/>
      </c>
      <c r="I13" s="7">
        <f>IF(AND(OR(D13="retain",D13=""),E13="statistical_results"),"","not_applicable")</f>
        <v/>
      </c>
      <c r="J13" s="13">
        <f>IF(AND(OR(D13="retain",D13=""),E13="statistical_results"),"","not_applicable")</f>
        <v/>
      </c>
      <c r="K13" s="7">
        <f>IF(AND(OR(D13="retain",D13=""),OR(E13="report_internal_inconsistency",E13="plan_material")),"","not_applicable")</f>
        <v/>
      </c>
      <c r="L13" s="13">
        <f>IF(AND(OR(D13="retain",D13=""),E13="protocol_report"),"","not_applicable")</f>
        <v/>
      </c>
      <c r="M13" s="19" t="n"/>
      <c r="N13" s="19" t="n"/>
      <c r="O13" s="19" t="n"/>
      <c r="P13" s="19" t="n"/>
      <c r="Q13" s="19" t="n"/>
      <c r="R13" s="13" t="n"/>
    </row>
    <row r="14" ht="92" customFormat="1" customHeight="1" s="8">
      <c r="A14" s="12" t="inlineStr">
        <is>
          <t>2025::jama.2025.11178::C013</t>
        </is>
      </c>
      <c r="B14" s="12" t="inlineStr">
        <is>
          <t>Social-role 3-month painTRAINER SMD endpoints reversed</t>
        </is>
      </c>
      <c r="C14" s="12" t="inlineStr">
        <is>
          <t>main article — PDF p. 10, Table 3, social role, 3 months, painTRAINER vs usual care plus SMD.</t>
        </is>
      </c>
      <c r="D14" s="7" t="n"/>
      <c r="E14" s="7" t="inlineStr">
        <is>
          <t>statistical_results</t>
        </is>
      </c>
      <c r="F14" s="7" t="inlineStr">
        <is>
          <t>no</t>
        </is>
      </c>
      <c r="G14" s="12">
        <f>IFERROR(IF(LEN(TRIM(CLEAN(SUBSTITUTE(Setup!$B$2,CHAR(160)," "))))=0,"CHECK REVIEWER ID",IF(OR(A14="",(COUNTIF('C_jama.2024.24764'!$A$2:$A$9,A14)+COUNTIF('C_jama.2024.27643'!$A$2:$A$9,A14)+COUNTIF('C_jama.2025.11178'!$A$2:$A$38,A14)+COUNTIF('C_jama.2025.15185'!$A$2:$A$13,A14)+COUNTIF('C_jama.2025.15440'!$A$2:$A$3,A14)+COUNTIF('C_jama.2025.16450'!$A$2:$A$11,A14)+COUNTIF('C_jama.2025.19563'!$A$2:$A$8,A14)+COUNTIF('C_jama.2025.19843'!$A$2:$A$2,A14)+COUNTIF('C_jama.2025.20765'!$A$2:$A$14,A14)+COUNTIF('C_jama.2025.24175'!$A$2:$A$15,A14)+COUNTIF('C_jama.2025.4390'!$A$2:$A$4,A14)+COUNTIF('C_jama.2025.7583'!$A$2:$A$4,A14)+COUNTIF('C_jama.2025.7710'!$A$2:$A$5,A14)+COUNTIF('C_jama.2025.9110'!$A$2:$A$7,A14)+COUNTIF('C_jama.2025.9663'!$A$2:$A$4,A14))&lt;&gt;1,LEFT(A14,LEN("2025::jama.2025.11178::"))&lt;&gt;"2025::jama.2025.11178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COMPLETE",IF(F14="primary_done","PRIMARY READY","PRIMARY DRAFT")))))),"CHECK INPUT / KEY")</f>
        <v/>
      </c>
      <c r="H14" s="7">
        <f>IF(AND(OR(D14="retain",D14=""),E14="statistical_results"),"","not_applicable")</f>
        <v/>
      </c>
      <c r="I14" s="7">
        <f>IF(AND(OR(D14="retain",D14=""),E14="statistical_results"),"","not_applicable")</f>
        <v/>
      </c>
      <c r="J14" s="13">
        <f>IF(AND(OR(D14="retain",D14=""),E14="statistical_results"),"","not_applicable")</f>
        <v/>
      </c>
      <c r="K14" s="7">
        <f>IF(AND(OR(D14="retain",D14=""),OR(E14="report_internal_inconsistency",E14="plan_material")),"","not_applicable")</f>
        <v/>
      </c>
      <c r="L14" s="13">
        <f>IF(AND(OR(D14="retain",D14=""),E14="protocol_report"),"","not_applicable")</f>
        <v/>
      </c>
      <c r="M14" s="19" t="n"/>
      <c r="N14" s="19" t="n"/>
      <c r="O14" s="19" t="n"/>
      <c r="P14" s="19" t="n"/>
      <c r="Q14" s="19" t="n"/>
      <c r="R14" s="13" t="n"/>
    </row>
    <row r="15" ht="92" customFormat="1" customHeight="1" s="8">
      <c r="A15" s="11" t="inlineStr">
        <is>
          <t>2025::jama.2025.11178::C014</t>
        </is>
      </c>
      <c r="B15" s="11" t="inlineStr">
        <is>
          <t>Social-role 3-month Health Coach SMD endpoints reversed</t>
        </is>
      </c>
      <c r="C15" s="11" t="inlineStr">
        <is>
          <t>main article — PDF p. 10, Table 3, social role, 3 months, Health Coach vs usual care plus SMD.</t>
        </is>
      </c>
      <c r="D15" s="7" t="n"/>
      <c r="E15" s="7" t="inlineStr">
        <is>
          <t>statistical_results</t>
        </is>
      </c>
      <c r="F15" s="7" t="inlineStr">
        <is>
          <t>no</t>
        </is>
      </c>
      <c r="G15" s="11">
        <f>IFERROR(IF(LEN(TRIM(CLEAN(SUBSTITUTE(Setup!$B$2,CHAR(160)," "))))=0,"CHECK REVIEWER ID",IF(OR(A15="",(COUNTIF('C_jama.2024.24764'!$A$2:$A$9,A15)+COUNTIF('C_jama.2024.27643'!$A$2:$A$9,A15)+COUNTIF('C_jama.2025.11178'!$A$2:$A$38,A15)+COUNTIF('C_jama.2025.15185'!$A$2:$A$13,A15)+COUNTIF('C_jama.2025.15440'!$A$2:$A$3,A15)+COUNTIF('C_jama.2025.16450'!$A$2:$A$11,A15)+COUNTIF('C_jama.2025.19563'!$A$2:$A$8,A15)+COUNTIF('C_jama.2025.19843'!$A$2:$A$2,A15)+COUNTIF('C_jama.2025.20765'!$A$2:$A$14,A15)+COUNTIF('C_jama.2025.24175'!$A$2:$A$15,A15)+COUNTIF('C_jama.2025.4390'!$A$2:$A$4,A15)+COUNTIF('C_jama.2025.7583'!$A$2:$A$4,A15)+COUNTIF('C_jama.2025.7710'!$A$2:$A$5,A15)+COUNTIF('C_jama.2025.9110'!$A$2:$A$7,A15)+COUNTIF('C_jama.2025.9663'!$A$2:$A$4,A15))&lt;&gt;1,LEFT(A15,LEN("2025::jama.2025.11178::"))&lt;&gt;"2025::jama.2025.11178::"),"CHECK KEY",IF(OR(AND(NOT(AND(D15="retain",E15="statistical_results")),H15&lt;&gt;"",H15&lt;&gt;"not_applicable"),AND(NOT(AND(D15="retain",E15="statistical_results")),I15&lt;&gt;"",I15&lt;&gt;"not_applicable"),AND(NOT(AND(D15="retain",E15="statistical_results")),J15&lt;&gt;"",J15&lt;&gt;"not_applicable"),AND(NOT(AND(D15="retain",OR(E15="report_internal_inconsistency",E15="plan_material"))),K15&lt;&gt;"",K15&lt;&gt;"not_applicable"),AND(NOT(AND(D15="retain",E15="protocol_report")),L15&lt;&gt;"",L15&lt;&gt;"not_applicable")),"CLEAR INACTIVE VALUES",IF(OR(NOT(OR(D15="retain",D15="exclude",D15="discuss")),NOT(OR(E15="statistical_results",E15="report_internal_inconsistency",E15="plan_material",E15="protocol_report")),AND(AND(D15="retain",E15="statistical_results"),NOT(OR(H15="confirmed_issue",H15="probable_issue",H15="not_issue",H15="indeterminate"))),AND(AND(D15="retain",E15="statistical_results"),NOT(OR(I15="substantive",I15="minor_presentation",I15="indeterminate"))),AND(AND(D15="retain",E15="statistical_results"),J15&lt;&gt;"",NOT(OR(J15="direct",J15="possible",J15="unlikely",J15="unknown"))),AND(AND(D15="retain",OR(E15="report_internal_inconsistency",E15="plan_material")),NOT(OR(K15="substantive_inconsistency",K15="minor_presentation",K15="non_inconsistency",K15="indeterminate"))),AND(AND(D15="retain",E15="protocol_report"),L15&lt;&gt;"",NOT(OR(L15="substantive_difference",L15="minor_presentation",L15="version_timing",L15="non_inconsistency",L15="indeterminate")))),"CHECK FIELDS",IF(AND(F15&lt;&gt;"",NOT(OR(F15="no",F15="primary_done"))),"CHECK COMPLETE",IF(F15="primary_done","PRIMARY READY","PRIMARY DRAFT")))))),"CHECK INPUT / KEY")</f>
        <v/>
      </c>
      <c r="H15" s="7">
        <f>IF(AND(OR(D15="retain",D15=""),E15="statistical_results"),"","not_applicable")</f>
        <v/>
      </c>
      <c r="I15" s="7">
        <f>IF(AND(OR(D15="retain",D15=""),E15="statistical_results"),"","not_applicable")</f>
        <v/>
      </c>
      <c r="J15" s="13">
        <f>IF(AND(OR(D15="retain",D15=""),E15="statistical_results"),"","not_applicable")</f>
        <v/>
      </c>
      <c r="K15" s="7">
        <f>IF(AND(OR(D15="retain",D15=""),OR(E15="report_internal_inconsistency",E15="plan_material")),"","not_applicable")</f>
        <v/>
      </c>
      <c r="L15" s="13">
        <f>IF(AND(OR(D15="retain",D15=""),E15="protocol_report"),"","not_applicable")</f>
        <v/>
      </c>
      <c r="M15" s="19" t="n"/>
      <c r="N15" s="19" t="n"/>
      <c r="O15" s="19" t="n"/>
      <c r="P15" s="19" t="n"/>
      <c r="Q15" s="19" t="n"/>
      <c r="R15" s="13" t="n"/>
    </row>
    <row r="16" ht="92" customFormat="1" customHeight="1" s="8">
      <c r="A16" s="12" t="inlineStr">
        <is>
          <t>2025::jama.2025.11178::C015</t>
        </is>
      </c>
      <c r="B16" s="12" t="inlineStr">
        <is>
          <t>Social-role 3-month Health Coach versus painTRAINER SMD endpoints reversed</t>
        </is>
      </c>
      <c r="C16" s="12" t="inlineStr">
        <is>
          <t>main article — PDF p. 10, Table 3, social role, 3 months, Health Coach vs painTRAINER SMD.</t>
        </is>
      </c>
      <c r="D16" s="7" t="n"/>
      <c r="E16" s="7" t="inlineStr">
        <is>
          <t>statistical_results</t>
        </is>
      </c>
      <c r="F16" s="7" t="inlineStr">
        <is>
          <t>no</t>
        </is>
      </c>
      <c r="G16" s="12">
        <f>IFERROR(IF(LEN(TRIM(CLEAN(SUBSTITUTE(Setup!$B$2,CHAR(160)," "))))=0,"CHECK REVIEWER ID",IF(OR(A16="",(COUNTIF('C_jama.2024.24764'!$A$2:$A$9,A16)+COUNTIF('C_jama.2024.27643'!$A$2:$A$9,A16)+COUNTIF('C_jama.2025.11178'!$A$2:$A$38,A16)+COUNTIF('C_jama.2025.15185'!$A$2:$A$13,A16)+COUNTIF('C_jama.2025.15440'!$A$2:$A$3,A16)+COUNTIF('C_jama.2025.16450'!$A$2:$A$11,A16)+COUNTIF('C_jama.2025.19563'!$A$2:$A$8,A16)+COUNTIF('C_jama.2025.19843'!$A$2:$A$2,A16)+COUNTIF('C_jama.2025.20765'!$A$2:$A$14,A16)+COUNTIF('C_jama.2025.24175'!$A$2:$A$15,A16)+COUNTIF('C_jama.2025.4390'!$A$2:$A$4,A16)+COUNTIF('C_jama.2025.7583'!$A$2:$A$4,A16)+COUNTIF('C_jama.2025.7710'!$A$2:$A$5,A16)+COUNTIF('C_jama.2025.9110'!$A$2:$A$7,A16)+COUNTIF('C_jama.2025.9663'!$A$2:$A$4,A16))&lt;&gt;1,LEFT(A16,LEN("2025::jama.2025.11178::"))&lt;&gt;"2025::jama.2025.11178::"),"CHECK KEY",IF(OR(AND(NOT(AND(D16="retain",E16="statistical_results")),H16&lt;&gt;"",H16&lt;&gt;"not_applicable"),AND(NOT(AND(D16="retain",E16="statistical_results")),I16&lt;&gt;"",I16&lt;&gt;"not_applicable"),AND(NOT(AND(D16="retain",E16="statistical_results")),J16&lt;&gt;"",J16&lt;&gt;"not_applicable"),AND(NOT(AND(D16="retain",OR(E16="report_internal_inconsistency",E16="plan_material"))),K16&lt;&gt;"",K16&lt;&gt;"not_applicable"),AND(NOT(AND(D16="retain",E16="protocol_report")),L16&lt;&gt;"",L16&lt;&gt;"not_applicable")),"CLEAR INACTIVE VALUES",IF(OR(NOT(OR(D16="retain",D16="exclude",D16="discuss")),NOT(OR(E16="statistical_results",E16="report_internal_inconsistency",E16="plan_material",E16="protocol_report")),AND(AND(D16="retain",E16="statistical_results"),NOT(OR(H16="confirmed_issue",H16="probable_issue",H16="not_issue",H16="indeterminate"))),AND(AND(D16="retain",E16="statistical_results"),NOT(OR(I16="substantive",I16="minor_presentation",I16="indeterminate"))),AND(AND(D16="retain",E16="statistical_results"),J16&lt;&gt;"",NOT(OR(J16="direct",J16="possible",J16="unlikely",J16="unknown"))),AND(AND(D16="retain",OR(E16="report_internal_inconsistency",E16="plan_material")),NOT(OR(K16="substantive_inconsistency",K16="minor_presentation",K16="non_inconsistency",K16="indeterminate"))),AND(AND(D16="retain",E16="protocol_report"),L16&lt;&gt;"",NOT(OR(L16="substantive_difference",L16="minor_presentation",L16="version_timing",L16="non_inconsistency",L16="indeterminate")))),"CHECK FIELDS",IF(AND(F16&lt;&gt;"",NOT(OR(F16="no",F16="primary_done"))),"CHECK COMPLETE",IF(F16="primary_done","PRIMARY READY","PRIMARY DRAFT")))))),"CHECK INPUT / KEY")</f>
        <v/>
      </c>
      <c r="H16" s="7">
        <f>IF(AND(OR(D16="retain",D16=""),E16="statistical_results"),"","not_applicable")</f>
        <v/>
      </c>
      <c r="I16" s="7">
        <f>IF(AND(OR(D16="retain",D16=""),E16="statistical_results"),"","not_applicable")</f>
        <v/>
      </c>
      <c r="J16" s="13">
        <f>IF(AND(OR(D16="retain",D16=""),E16="statistical_results"),"","not_applicable")</f>
        <v/>
      </c>
      <c r="K16" s="7">
        <f>IF(AND(OR(D16="retain",D16=""),OR(E16="report_internal_inconsistency",E16="plan_material")),"","not_applicable")</f>
        <v/>
      </c>
      <c r="L16" s="13">
        <f>IF(AND(OR(D16="retain",D16=""),E16="protocol_report"),"","not_applicable")</f>
        <v/>
      </c>
      <c r="M16" s="19" t="n"/>
      <c r="N16" s="19" t="n"/>
      <c r="O16" s="19" t="n"/>
      <c r="P16" s="19" t="n"/>
      <c r="Q16" s="19" t="n"/>
      <c r="R16" s="13" t="n"/>
    </row>
    <row r="17" ht="92" customFormat="1" customHeight="1" s="8">
      <c r="A17" s="11" t="inlineStr">
        <is>
          <t>2025::jama.2025.11178::C016</t>
        </is>
      </c>
      <c r="B17" s="11" t="inlineStr">
        <is>
          <t>Social-role 6-month painTRAINER SMD endpoints reversed</t>
        </is>
      </c>
      <c r="C17" s="11" t="inlineStr">
        <is>
          <t>main article — PDF p. 10, Table 3, social role, 6 months, painTRAINER vs usual care plus SMD.</t>
        </is>
      </c>
      <c r="D17" s="7" t="n"/>
      <c r="E17" s="7" t="inlineStr">
        <is>
          <t>statistical_results</t>
        </is>
      </c>
      <c r="F17" s="7" t="inlineStr">
        <is>
          <t>no</t>
        </is>
      </c>
      <c r="G17" s="11">
        <f>IFERROR(IF(LEN(TRIM(CLEAN(SUBSTITUTE(Setup!$B$2,CHAR(160)," "))))=0,"CHECK REVIEWER ID",IF(OR(A17="",(COUNTIF('C_jama.2024.24764'!$A$2:$A$9,A17)+COUNTIF('C_jama.2024.27643'!$A$2:$A$9,A17)+COUNTIF('C_jama.2025.11178'!$A$2:$A$38,A17)+COUNTIF('C_jama.2025.15185'!$A$2:$A$13,A17)+COUNTIF('C_jama.2025.15440'!$A$2:$A$3,A17)+COUNTIF('C_jama.2025.16450'!$A$2:$A$11,A17)+COUNTIF('C_jama.2025.19563'!$A$2:$A$8,A17)+COUNTIF('C_jama.2025.19843'!$A$2:$A$2,A17)+COUNTIF('C_jama.2025.20765'!$A$2:$A$14,A17)+COUNTIF('C_jama.2025.24175'!$A$2:$A$15,A17)+COUNTIF('C_jama.2025.4390'!$A$2:$A$4,A17)+COUNTIF('C_jama.2025.7583'!$A$2:$A$4,A17)+COUNTIF('C_jama.2025.7710'!$A$2:$A$5,A17)+COUNTIF('C_jama.2025.9110'!$A$2:$A$7,A17)+COUNTIF('C_jama.2025.9663'!$A$2:$A$4,A17))&lt;&gt;1,LEFT(A17,LEN("2025::jama.2025.11178::"))&lt;&gt;"2025::jama.2025.11178::"),"CHECK KEY",IF(OR(AND(NOT(AND(D17="retain",E17="statistical_results")),H17&lt;&gt;"",H17&lt;&gt;"not_applicable"),AND(NOT(AND(D17="retain",E17="statistical_results")),I17&lt;&gt;"",I17&lt;&gt;"not_applicable"),AND(NOT(AND(D17="retain",E17="statistical_results")),J17&lt;&gt;"",J17&lt;&gt;"not_applicable"),AND(NOT(AND(D17="retain",OR(E17="report_internal_inconsistency",E17="plan_material"))),K17&lt;&gt;"",K17&lt;&gt;"not_applicable"),AND(NOT(AND(D17="retain",E17="protocol_report")),L17&lt;&gt;"",L17&lt;&gt;"not_applicable")),"CLEAR INACTIVE VALUES",IF(OR(NOT(OR(D17="retain",D17="exclude",D17="discuss")),NOT(OR(E17="statistical_results",E17="report_internal_inconsistency",E17="plan_material",E17="protocol_report")),AND(AND(D17="retain",E17="statistical_results"),NOT(OR(H17="confirmed_issue",H17="probable_issue",H17="not_issue",H17="indeterminate"))),AND(AND(D17="retain",E17="statistical_results"),NOT(OR(I17="substantive",I17="minor_presentation",I17="indeterminate"))),AND(AND(D17="retain",E17="statistical_results"),J17&lt;&gt;"",NOT(OR(J17="direct",J17="possible",J17="unlikely",J17="unknown"))),AND(AND(D17="retain",OR(E17="report_internal_inconsistency",E17="plan_material")),NOT(OR(K17="substantive_inconsistency",K17="minor_presentation",K17="non_inconsistency",K17="indeterminate"))),AND(AND(D17="retain",E17="protocol_report"),L17&lt;&gt;"",NOT(OR(L17="substantive_difference",L17="minor_presentation",L17="version_timing",L17="non_inconsistency",L17="indeterminate")))),"CHECK FIELDS",IF(AND(F17&lt;&gt;"",NOT(OR(F17="no",F17="primary_done"))),"CHECK COMPLETE",IF(F17="primary_done","PRIMARY READY","PRIMARY DRAFT")))))),"CHECK INPUT / KEY")</f>
        <v/>
      </c>
      <c r="H17" s="7">
        <f>IF(AND(OR(D17="retain",D17=""),E17="statistical_results"),"","not_applicable")</f>
        <v/>
      </c>
      <c r="I17" s="7">
        <f>IF(AND(OR(D17="retain",D17=""),E17="statistical_results"),"","not_applicable")</f>
        <v/>
      </c>
      <c r="J17" s="13">
        <f>IF(AND(OR(D17="retain",D17=""),E17="statistical_results"),"","not_applicable")</f>
        <v/>
      </c>
      <c r="K17" s="7">
        <f>IF(AND(OR(D17="retain",D17=""),OR(E17="report_internal_inconsistency",E17="plan_material")),"","not_applicable")</f>
        <v/>
      </c>
      <c r="L17" s="13">
        <f>IF(AND(OR(D17="retain",D17=""),E17="protocol_report"),"","not_applicable")</f>
        <v/>
      </c>
      <c r="M17" s="19" t="n"/>
      <c r="N17" s="19" t="n"/>
      <c r="O17" s="19" t="n"/>
      <c r="P17" s="19" t="n"/>
      <c r="Q17" s="19" t="n"/>
      <c r="R17" s="13" t="n"/>
    </row>
    <row r="18" ht="92" customFormat="1" customHeight="1" s="8">
      <c r="A18" s="12" t="inlineStr">
        <is>
          <t>2025::jama.2025.11178::C017</t>
        </is>
      </c>
      <c r="B18" s="12" t="inlineStr">
        <is>
          <t>Social-role 6-month Health Coach SMD endpoints reversed</t>
        </is>
      </c>
      <c r="C18" s="12" t="inlineStr">
        <is>
          <t>main article — PDF p. 10, Table 3, social role, 6 months, Health Coach vs usual care plus SMD.</t>
        </is>
      </c>
      <c r="D18" s="7" t="n"/>
      <c r="E18" s="7" t="inlineStr">
        <is>
          <t>statistical_results</t>
        </is>
      </c>
      <c r="F18" s="7" t="inlineStr">
        <is>
          <t>no</t>
        </is>
      </c>
      <c r="G18" s="12">
        <f>IFERROR(IF(LEN(TRIM(CLEAN(SUBSTITUTE(Setup!$B$2,CHAR(160)," "))))=0,"CHECK REVIEWER ID",IF(OR(A18="",(COUNTIF('C_jama.2024.24764'!$A$2:$A$9,A18)+COUNTIF('C_jama.2024.27643'!$A$2:$A$9,A18)+COUNTIF('C_jama.2025.11178'!$A$2:$A$38,A18)+COUNTIF('C_jama.2025.15185'!$A$2:$A$13,A18)+COUNTIF('C_jama.2025.15440'!$A$2:$A$3,A18)+COUNTIF('C_jama.2025.16450'!$A$2:$A$11,A18)+COUNTIF('C_jama.2025.19563'!$A$2:$A$8,A18)+COUNTIF('C_jama.2025.19843'!$A$2:$A$2,A18)+COUNTIF('C_jama.2025.20765'!$A$2:$A$14,A18)+COUNTIF('C_jama.2025.24175'!$A$2:$A$15,A18)+COUNTIF('C_jama.2025.4390'!$A$2:$A$4,A18)+COUNTIF('C_jama.2025.7583'!$A$2:$A$4,A18)+COUNTIF('C_jama.2025.7710'!$A$2:$A$5,A18)+COUNTIF('C_jama.2025.9110'!$A$2:$A$7,A18)+COUNTIF('C_jama.2025.9663'!$A$2:$A$4,A18))&lt;&gt;1,LEFT(A18,LEN("2025::jama.2025.11178::"))&lt;&gt;"2025::jama.2025.11178::"),"CHECK KEY",IF(OR(AND(NOT(AND(D18="retain",E18="statistical_results")),H18&lt;&gt;"",H18&lt;&gt;"not_applicable"),AND(NOT(AND(D18="retain",E18="statistical_results")),I18&lt;&gt;"",I18&lt;&gt;"not_applicable"),AND(NOT(AND(D18="retain",E18="statistical_results")),J18&lt;&gt;"",J18&lt;&gt;"not_applicable"),AND(NOT(AND(D18="retain",OR(E18="report_internal_inconsistency",E18="plan_material"))),K18&lt;&gt;"",K18&lt;&gt;"not_applicable"),AND(NOT(AND(D18="retain",E18="protocol_report")),L18&lt;&gt;"",L18&lt;&gt;"not_applicable")),"CLEAR INACTIVE VALUES",IF(OR(NOT(OR(D18="retain",D18="exclude",D18="discuss")),NOT(OR(E18="statistical_results",E18="report_internal_inconsistency",E18="plan_material",E18="protocol_report")),AND(AND(D18="retain",E18="statistical_results"),NOT(OR(H18="confirmed_issue",H18="probable_issue",H18="not_issue",H18="indeterminate"))),AND(AND(D18="retain",E18="statistical_results"),NOT(OR(I18="substantive",I18="minor_presentation",I18="indeterminate"))),AND(AND(D18="retain",E18="statistical_results"),J18&lt;&gt;"",NOT(OR(J18="direct",J18="possible",J18="unlikely",J18="unknown"))),AND(AND(D18="retain",OR(E18="report_internal_inconsistency",E18="plan_material")),NOT(OR(K18="substantive_inconsistency",K18="minor_presentation",K18="non_inconsistency",K18="indeterminate"))),AND(AND(D18="retain",E18="protocol_report"),L18&lt;&gt;"",NOT(OR(L18="substantive_difference",L18="minor_presentation",L18="version_timing",L18="non_inconsistency",L18="indeterminate")))),"CHECK FIELDS",IF(AND(F18&lt;&gt;"",NOT(OR(F18="no",F18="primary_done"))),"CHECK COMPLETE",IF(F18="primary_done","PRIMARY READY","PRIMARY DRAFT")))))),"CHECK INPUT / KEY")</f>
        <v/>
      </c>
      <c r="H18" s="7">
        <f>IF(AND(OR(D18="retain",D18=""),E18="statistical_results"),"","not_applicable")</f>
        <v/>
      </c>
      <c r="I18" s="7">
        <f>IF(AND(OR(D18="retain",D18=""),E18="statistical_results"),"","not_applicable")</f>
        <v/>
      </c>
      <c r="J18" s="13">
        <f>IF(AND(OR(D18="retain",D18=""),E18="statistical_results"),"","not_applicable")</f>
        <v/>
      </c>
      <c r="K18" s="7">
        <f>IF(AND(OR(D18="retain",D18=""),OR(E18="report_internal_inconsistency",E18="plan_material")),"","not_applicable")</f>
        <v/>
      </c>
      <c r="L18" s="13">
        <f>IF(AND(OR(D18="retain",D18=""),E18="protocol_report"),"","not_applicable")</f>
        <v/>
      </c>
      <c r="M18" s="19" t="n"/>
      <c r="N18" s="19" t="n"/>
      <c r="O18" s="19" t="n"/>
      <c r="P18" s="19" t="n"/>
      <c r="Q18" s="19" t="n"/>
      <c r="R18" s="13" t="n"/>
    </row>
    <row r="19" ht="92" customFormat="1" customHeight="1" s="8">
      <c r="A19" s="11" t="inlineStr">
        <is>
          <t>2025::jama.2025.11178::C018</t>
        </is>
      </c>
      <c r="B19" s="11" t="inlineStr">
        <is>
          <t>Social-role 6-month Health Coach versus painTRAINER SMD endpoints reversed</t>
        </is>
      </c>
      <c r="C19" s="11" t="inlineStr">
        <is>
          <t>main article — PDF p. 10, Table 3, social role, 6 months, Health Coach vs painTRAINER SMD.</t>
        </is>
      </c>
      <c r="D19" s="7" t="n"/>
      <c r="E19" s="7" t="inlineStr">
        <is>
          <t>statistical_results</t>
        </is>
      </c>
      <c r="F19" s="7" t="inlineStr">
        <is>
          <t>no</t>
        </is>
      </c>
      <c r="G19" s="11">
        <f>IFERROR(IF(LEN(TRIM(CLEAN(SUBSTITUTE(Setup!$B$2,CHAR(160)," "))))=0,"CHECK REVIEWER ID",IF(OR(A19="",(COUNTIF('C_jama.2024.24764'!$A$2:$A$9,A19)+COUNTIF('C_jama.2024.27643'!$A$2:$A$9,A19)+COUNTIF('C_jama.2025.11178'!$A$2:$A$38,A19)+COUNTIF('C_jama.2025.15185'!$A$2:$A$13,A19)+COUNTIF('C_jama.2025.15440'!$A$2:$A$3,A19)+COUNTIF('C_jama.2025.16450'!$A$2:$A$11,A19)+COUNTIF('C_jama.2025.19563'!$A$2:$A$8,A19)+COUNTIF('C_jama.2025.19843'!$A$2:$A$2,A19)+COUNTIF('C_jama.2025.20765'!$A$2:$A$14,A19)+COUNTIF('C_jama.2025.24175'!$A$2:$A$15,A19)+COUNTIF('C_jama.2025.4390'!$A$2:$A$4,A19)+COUNTIF('C_jama.2025.7583'!$A$2:$A$4,A19)+COUNTIF('C_jama.2025.7710'!$A$2:$A$5,A19)+COUNTIF('C_jama.2025.9110'!$A$2:$A$7,A19)+COUNTIF('C_jama.2025.9663'!$A$2:$A$4,A19))&lt;&gt;1,LEFT(A19,LEN("2025::jama.2025.11178::"))&lt;&gt;"2025::jama.2025.11178::"),"CHECK KEY",IF(OR(AND(NOT(AND(D19="retain",E19="statistical_results")),H19&lt;&gt;"",H19&lt;&gt;"not_applicable"),AND(NOT(AND(D19="retain",E19="statistical_results")),I19&lt;&gt;"",I19&lt;&gt;"not_applicable"),AND(NOT(AND(D19="retain",E19="statistical_results")),J19&lt;&gt;"",J19&lt;&gt;"not_applicable"),AND(NOT(AND(D19="retain",OR(E19="report_internal_inconsistency",E19="plan_material"))),K19&lt;&gt;"",K19&lt;&gt;"not_applicable"),AND(NOT(AND(D19="retain",E19="protocol_report")),L19&lt;&gt;"",L19&lt;&gt;"not_applicable")),"CLEAR INACTIVE VALUES",IF(OR(NOT(OR(D19="retain",D19="exclude",D19="discuss")),NOT(OR(E19="statistical_results",E19="report_internal_inconsistency",E19="plan_material",E19="protocol_report")),AND(AND(D19="retain",E19="statistical_results"),NOT(OR(H19="confirmed_issue",H19="probable_issue",H19="not_issue",H19="indeterminate"))),AND(AND(D19="retain",E19="statistical_results"),NOT(OR(I19="substantive",I19="minor_presentation",I19="indeterminate"))),AND(AND(D19="retain",E19="statistical_results"),J19&lt;&gt;"",NOT(OR(J19="direct",J19="possible",J19="unlikely",J19="unknown"))),AND(AND(D19="retain",OR(E19="report_internal_inconsistency",E19="plan_material")),NOT(OR(K19="substantive_inconsistency",K19="minor_presentation",K19="non_inconsistency",K19="indeterminate"))),AND(AND(D19="retain",E19="protocol_report"),L19&lt;&gt;"",NOT(OR(L19="substantive_difference",L19="minor_presentation",L19="version_timing",L19="non_inconsistency",L19="indeterminate")))),"CHECK FIELDS",IF(AND(F19&lt;&gt;"",NOT(OR(F19="no",F19="primary_done"))),"CHECK COMPLETE",IF(F19="primary_done","PRIMARY READY","PRIMARY DRAFT")))))),"CHECK INPUT / KEY")</f>
        <v/>
      </c>
      <c r="H19" s="7">
        <f>IF(AND(OR(D19="retain",D19=""),E19="statistical_results"),"","not_applicable")</f>
        <v/>
      </c>
      <c r="I19" s="7">
        <f>IF(AND(OR(D19="retain",D19=""),E19="statistical_results"),"","not_applicable")</f>
        <v/>
      </c>
      <c r="J19" s="13">
        <f>IF(AND(OR(D19="retain",D19=""),E19="statistical_results"),"","not_applicable")</f>
        <v/>
      </c>
      <c r="K19" s="7">
        <f>IF(AND(OR(D19="retain",D19=""),OR(E19="report_internal_inconsistency",E19="plan_material")),"","not_applicable")</f>
        <v/>
      </c>
      <c r="L19" s="13">
        <f>IF(AND(OR(D19="retain",D19=""),E19="protocol_report"),"","not_applicable")</f>
        <v/>
      </c>
      <c r="M19" s="19" t="n"/>
      <c r="N19" s="19" t="n"/>
      <c r="O19" s="19" t="n"/>
      <c r="P19" s="19" t="n"/>
      <c r="Q19" s="19" t="n"/>
      <c r="R19" s="13" t="n"/>
    </row>
    <row r="20" ht="92" customFormat="1" customHeight="1" s="8">
      <c r="A20" s="12" t="inlineStr">
        <is>
          <t>2025::jama.2025.11178::C019</t>
        </is>
      </c>
      <c r="B20" s="12" t="inlineStr">
        <is>
          <t>Social-role 12-month painTRAINER SMD endpoints reversed</t>
        </is>
      </c>
      <c r="C20" s="12" t="inlineStr">
        <is>
          <t>main article — PDF p. 10, Table 3, social role, 12 months, painTRAINER vs usual care plus SMD.</t>
        </is>
      </c>
      <c r="D20" s="7" t="n"/>
      <c r="E20" s="7" t="inlineStr">
        <is>
          <t>statistical_results</t>
        </is>
      </c>
      <c r="F20" s="7" t="inlineStr">
        <is>
          <t>no</t>
        </is>
      </c>
      <c r="G20" s="12">
        <f>IFERROR(IF(LEN(TRIM(CLEAN(SUBSTITUTE(Setup!$B$2,CHAR(160)," "))))=0,"CHECK REVIEWER ID",IF(OR(A20="",(COUNTIF('C_jama.2024.24764'!$A$2:$A$9,A20)+COUNTIF('C_jama.2024.27643'!$A$2:$A$9,A20)+COUNTIF('C_jama.2025.11178'!$A$2:$A$38,A20)+COUNTIF('C_jama.2025.15185'!$A$2:$A$13,A20)+COUNTIF('C_jama.2025.15440'!$A$2:$A$3,A20)+COUNTIF('C_jama.2025.16450'!$A$2:$A$11,A20)+COUNTIF('C_jama.2025.19563'!$A$2:$A$8,A20)+COUNTIF('C_jama.2025.19843'!$A$2:$A$2,A20)+COUNTIF('C_jama.2025.20765'!$A$2:$A$14,A20)+COUNTIF('C_jama.2025.24175'!$A$2:$A$15,A20)+COUNTIF('C_jama.2025.4390'!$A$2:$A$4,A20)+COUNTIF('C_jama.2025.7583'!$A$2:$A$4,A20)+COUNTIF('C_jama.2025.7710'!$A$2:$A$5,A20)+COUNTIF('C_jama.2025.9110'!$A$2:$A$7,A20)+COUNTIF('C_jama.2025.9663'!$A$2:$A$4,A20))&lt;&gt;1,LEFT(A20,LEN("2025::jama.2025.11178::"))&lt;&gt;"2025::jama.2025.11178::"),"CHECK KEY",IF(OR(AND(NOT(AND(D20="retain",E20="statistical_results")),H20&lt;&gt;"",H20&lt;&gt;"not_applicable"),AND(NOT(AND(D20="retain",E20="statistical_results")),I20&lt;&gt;"",I20&lt;&gt;"not_applicable"),AND(NOT(AND(D20="retain",E20="statistical_results")),J20&lt;&gt;"",J20&lt;&gt;"not_applicable"),AND(NOT(AND(D20="retain",OR(E20="report_internal_inconsistency",E20="plan_material"))),K20&lt;&gt;"",K20&lt;&gt;"not_applicable"),AND(NOT(AND(D20="retain",E20="protocol_report")),L20&lt;&gt;"",L20&lt;&gt;"not_applicable")),"CLEAR INACTIVE VALUES",IF(OR(NOT(OR(D20="retain",D20="exclude",D20="discuss")),NOT(OR(E20="statistical_results",E20="report_internal_inconsistency",E20="plan_material",E20="protocol_report")),AND(AND(D20="retain",E20="statistical_results"),NOT(OR(H20="confirmed_issue",H20="probable_issue",H20="not_issue",H20="indeterminate"))),AND(AND(D20="retain",E20="statistical_results"),NOT(OR(I20="substantive",I20="minor_presentation",I20="indeterminate"))),AND(AND(D20="retain",E20="statistical_results"),J20&lt;&gt;"",NOT(OR(J20="direct",J20="possible",J20="unlikely",J20="unknown"))),AND(AND(D20="retain",OR(E20="report_internal_inconsistency",E20="plan_material")),NOT(OR(K20="substantive_inconsistency",K20="minor_presentation",K20="non_inconsistency",K20="indeterminate"))),AND(AND(D20="retain",E20="protocol_report"),L20&lt;&gt;"",NOT(OR(L20="substantive_difference",L20="minor_presentation",L20="version_timing",L20="non_inconsistency",L20="indeterminate")))),"CHECK FIELDS",IF(AND(F20&lt;&gt;"",NOT(OR(F20="no",F20="primary_done"))),"CHECK COMPLETE",IF(F20="primary_done","PRIMARY READY","PRIMARY DRAFT")))))),"CHECK INPUT / KEY")</f>
        <v/>
      </c>
      <c r="H20" s="7">
        <f>IF(AND(OR(D20="retain",D20=""),E20="statistical_results"),"","not_applicable")</f>
        <v/>
      </c>
      <c r="I20" s="7">
        <f>IF(AND(OR(D20="retain",D20=""),E20="statistical_results"),"","not_applicable")</f>
        <v/>
      </c>
      <c r="J20" s="13">
        <f>IF(AND(OR(D20="retain",D20=""),E20="statistical_results"),"","not_applicable")</f>
        <v/>
      </c>
      <c r="K20" s="7">
        <f>IF(AND(OR(D20="retain",D20=""),OR(E20="report_internal_inconsistency",E20="plan_material")),"","not_applicable")</f>
        <v/>
      </c>
      <c r="L20" s="13">
        <f>IF(AND(OR(D20="retain",D20=""),E20="protocol_report"),"","not_applicable")</f>
        <v/>
      </c>
      <c r="M20" s="19" t="n"/>
      <c r="N20" s="19" t="n"/>
      <c r="O20" s="19" t="n"/>
      <c r="P20" s="19" t="n"/>
      <c r="Q20" s="19" t="n"/>
      <c r="R20" s="13" t="n"/>
    </row>
    <row r="21" ht="92" customFormat="1" customHeight="1" s="8">
      <c r="A21" s="11" t="inlineStr">
        <is>
          <t>2025::jama.2025.11178::C020</t>
        </is>
      </c>
      <c r="B21" s="11" t="inlineStr">
        <is>
          <t>Social-role 12-month Health Coach SMD endpoints reversed</t>
        </is>
      </c>
      <c r="C21" s="11" t="inlineStr">
        <is>
          <t>main article — PDF p. 10, Table 3, social role, 12 months, Health Coach vs usual care plus SMD.</t>
        </is>
      </c>
      <c r="D21" s="7" t="n"/>
      <c r="E21" s="7" t="inlineStr">
        <is>
          <t>statistical_results</t>
        </is>
      </c>
      <c r="F21" s="7" t="inlineStr">
        <is>
          <t>no</t>
        </is>
      </c>
      <c r="G21" s="11">
        <f>IFERROR(IF(LEN(TRIM(CLEAN(SUBSTITUTE(Setup!$B$2,CHAR(160)," "))))=0,"CHECK REVIEWER ID",IF(OR(A21="",(COUNTIF('C_jama.2024.24764'!$A$2:$A$9,A21)+COUNTIF('C_jama.2024.27643'!$A$2:$A$9,A21)+COUNTIF('C_jama.2025.11178'!$A$2:$A$38,A21)+COUNTIF('C_jama.2025.15185'!$A$2:$A$13,A21)+COUNTIF('C_jama.2025.15440'!$A$2:$A$3,A21)+COUNTIF('C_jama.2025.16450'!$A$2:$A$11,A21)+COUNTIF('C_jama.2025.19563'!$A$2:$A$8,A21)+COUNTIF('C_jama.2025.19843'!$A$2:$A$2,A21)+COUNTIF('C_jama.2025.20765'!$A$2:$A$14,A21)+COUNTIF('C_jama.2025.24175'!$A$2:$A$15,A21)+COUNTIF('C_jama.2025.4390'!$A$2:$A$4,A21)+COUNTIF('C_jama.2025.7583'!$A$2:$A$4,A21)+COUNTIF('C_jama.2025.7710'!$A$2:$A$5,A21)+COUNTIF('C_jama.2025.9110'!$A$2:$A$7,A21)+COUNTIF('C_jama.2025.9663'!$A$2:$A$4,A21))&lt;&gt;1,LEFT(A21,LEN("2025::jama.2025.11178::"))&lt;&gt;"2025::jama.2025.11178::"),"CHECK KEY",IF(OR(AND(NOT(AND(D21="retain",E21="statistical_results")),H21&lt;&gt;"",H21&lt;&gt;"not_applicable"),AND(NOT(AND(D21="retain",E21="statistical_results")),I21&lt;&gt;"",I21&lt;&gt;"not_applicable"),AND(NOT(AND(D21="retain",E21="statistical_results")),J21&lt;&gt;"",J21&lt;&gt;"not_applicable"),AND(NOT(AND(D21="retain",OR(E21="report_internal_inconsistency",E21="plan_material"))),K21&lt;&gt;"",K21&lt;&gt;"not_applicable"),AND(NOT(AND(D21="retain",E21="protocol_report")),L21&lt;&gt;"",L21&lt;&gt;"not_applicable")),"CLEAR INACTIVE VALUES",IF(OR(NOT(OR(D21="retain",D21="exclude",D21="discuss")),NOT(OR(E21="statistical_results",E21="report_internal_inconsistency",E21="plan_material",E21="protocol_report")),AND(AND(D21="retain",E21="statistical_results"),NOT(OR(H21="confirmed_issue",H21="probable_issue",H21="not_issue",H21="indeterminate"))),AND(AND(D21="retain",E21="statistical_results"),NOT(OR(I21="substantive",I21="minor_presentation",I21="indeterminate"))),AND(AND(D21="retain",E21="statistical_results"),J21&lt;&gt;"",NOT(OR(J21="direct",J21="possible",J21="unlikely",J21="unknown"))),AND(AND(D21="retain",OR(E21="report_internal_inconsistency",E21="plan_material")),NOT(OR(K21="substantive_inconsistency",K21="minor_presentation",K21="non_inconsistency",K21="indeterminate"))),AND(AND(D21="retain",E21="protocol_report"),L21&lt;&gt;"",NOT(OR(L21="substantive_difference",L21="minor_presentation",L21="version_timing",L21="non_inconsistency",L21="indeterminate")))),"CHECK FIELDS",IF(AND(F21&lt;&gt;"",NOT(OR(F21="no",F21="primary_done"))),"CHECK COMPLETE",IF(F21="primary_done","PRIMARY READY","PRIMARY DRAFT")))))),"CHECK INPUT / KEY")</f>
        <v/>
      </c>
      <c r="H21" s="7">
        <f>IF(AND(OR(D21="retain",D21=""),E21="statistical_results"),"","not_applicable")</f>
        <v/>
      </c>
      <c r="I21" s="7">
        <f>IF(AND(OR(D21="retain",D21=""),E21="statistical_results"),"","not_applicable")</f>
        <v/>
      </c>
      <c r="J21" s="13">
        <f>IF(AND(OR(D21="retain",D21=""),E21="statistical_results"),"","not_applicable")</f>
        <v/>
      </c>
      <c r="K21" s="7">
        <f>IF(AND(OR(D21="retain",D21=""),OR(E21="report_internal_inconsistency",E21="plan_material")),"","not_applicable")</f>
        <v/>
      </c>
      <c r="L21" s="13">
        <f>IF(AND(OR(D21="retain",D21=""),E21="protocol_report"),"","not_applicable")</f>
        <v/>
      </c>
      <c r="M21" s="19" t="n"/>
      <c r="N21" s="19" t="n"/>
      <c r="O21" s="19" t="n"/>
      <c r="P21" s="19" t="n"/>
      <c r="Q21" s="19" t="n"/>
      <c r="R21" s="13" t="n"/>
    </row>
    <row r="22" ht="92" customFormat="1" customHeight="1" s="8">
      <c r="A22" s="12" t="inlineStr">
        <is>
          <t>2025::jama.2025.11178::C021</t>
        </is>
      </c>
      <c r="B22" s="12" t="inlineStr">
        <is>
          <t>Social-role 12-month Health Coach versus painTRAINER SMD endpoints reversed</t>
        </is>
      </c>
      <c r="C22" s="12" t="inlineStr">
        <is>
          <t>main article — PDF p. 10, Table 3, social role, 12 months, Health Coach vs painTRAINER SMD.</t>
        </is>
      </c>
      <c r="D22" s="7" t="n"/>
      <c r="E22" s="7" t="inlineStr">
        <is>
          <t>statistical_results</t>
        </is>
      </c>
      <c r="F22" s="7" t="inlineStr">
        <is>
          <t>no</t>
        </is>
      </c>
      <c r="G22" s="12">
        <f>IFERROR(IF(LEN(TRIM(CLEAN(SUBSTITUTE(Setup!$B$2,CHAR(160)," "))))=0,"CHECK REVIEWER ID",IF(OR(A22="",(COUNTIF('C_jama.2024.24764'!$A$2:$A$9,A22)+COUNTIF('C_jama.2024.27643'!$A$2:$A$9,A22)+COUNTIF('C_jama.2025.11178'!$A$2:$A$38,A22)+COUNTIF('C_jama.2025.15185'!$A$2:$A$13,A22)+COUNTIF('C_jama.2025.15440'!$A$2:$A$3,A22)+COUNTIF('C_jama.2025.16450'!$A$2:$A$11,A22)+COUNTIF('C_jama.2025.19563'!$A$2:$A$8,A22)+COUNTIF('C_jama.2025.19843'!$A$2:$A$2,A22)+COUNTIF('C_jama.2025.20765'!$A$2:$A$14,A22)+COUNTIF('C_jama.2025.24175'!$A$2:$A$15,A22)+COUNTIF('C_jama.2025.4390'!$A$2:$A$4,A22)+COUNTIF('C_jama.2025.7583'!$A$2:$A$4,A22)+COUNTIF('C_jama.2025.7710'!$A$2:$A$5,A22)+COUNTIF('C_jama.2025.9110'!$A$2:$A$7,A22)+COUNTIF('C_jama.2025.9663'!$A$2:$A$4,A22))&lt;&gt;1,LEFT(A22,LEN("2025::jama.2025.11178::"))&lt;&gt;"2025::jama.2025.11178::"),"CHECK KEY",IF(OR(AND(NOT(AND(D22="retain",E22="statistical_results")),H22&lt;&gt;"",H22&lt;&gt;"not_applicable"),AND(NOT(AND(D22="retain",E22="statistical_results")),I22&lt;&gt;"",I22&lt;&gt;"not_applicable"),AND(NOT(AND(D22="retain",E22="statistical_results")),J22&lt;&gt;"",J22&lt;&gt;"not_applicable"),AND(NOT(AND(D22="retain",OR(E22="report_internal_inconsistency",E22="plan_material"))),K22&lt;&gt;"",K22&lt;&gt;"not_applicable"),AND(NOT(AND(D22="retain",E22="protocol_report")),L22&lt;&gt;"",L22&lt;&gt;"not_applicable")),"CLEAR INACTIVE VALUES",IF(OR(NOT(OR(D22="retain",D22="exclude",D22="discuss")),NOT(OR(E22="statistical_results",E22="report_internal_inconsistency",E22="plan_material",E22="protocol_report")),AND(AND(D22="retain",E22="statistical_results"),NOT(OR(H22="confirmed_issue",H22="probable_issue",H22="not_issue",H22="indeterminate"))),AND(AND(D22="retain",E22="statistical_results"),NOT(OR(I22="substantive",I22="minor_presentation",I22="indeterminate"))),AND(AND(D22="retain",E22="statistical_results"),J22&lt;&gt;"",NOT(OR(J22="direct",J22="possible",J22="unlikely",J22="unknown"))),AND(AND(D22="retain",OR(E22="report_internal_inconsistency",E22="plan_material")),NOT(OR(K22="substantive_inconsistency",K22="minor_presentation",K22="non_inconsistency",K22="indeterminate"))),AND(AND(D22="retain",E22="protocol_report"),L22&lt;&gt;"",NOT(OR(L22="substantive_difference",L22="minor_presentation",L22="version_timing",L22="non_inconsistency",L22="indeterminate")))),"CHECK FIELDS",IF(AND(F22&lt;&gt;"",NOT(OR(F22="no",F22="primary_done"))),"CHECK COMPLETE",IF(F22="primary_done","PRIMARY READY","PRIMARY DRAFT")))))),"CHECK INPUT / KEY")</f>
        <v/>
      </c>
      <c r="H22" s="7">
        <f>IF(AND(OR(D22="retain",D22=""),E22="statistical_results"),"","not_applicable")</f>
        <v/>
      </c>
      <c r="I22" s="7">
        <f>IF(AND(OR(D22="retain",D22=""),E22="statistical_results"),"","not_applicable")</f>
        <v/>
      </c>
      <c r="J22" s="13">
        <f>IF(AND(OR(D22="retain",D22=""),E22="statistical_results"),"","not_applicable")</f>
        <v/>
      </c>
      <c r="K22" s="7">
        <f>IF(AND(OR(D22="retain",D22=""),OR(E22="report_internal_inconsistency",E22="plan_material")),"","not_applicable")</f>
        <v/>
      </c>
      <c r="L22" s="13">
        <f>IF(AND(OR(D22="retain",D22=""),E22="protocol_report"),"","not_applicable")</f>
        <v/>
      </c>
      <c r="M22" s="19" t="n"/>
      <c r="N22" s="19" t="n"/>
      <c r="O22" s="19" t="n"/>
      <c r="P22" s="19" t="n"/>
      <c r="Q22" s="19" t="n"/>
      <c r="R22" s="13" t="n"/>
    </row>
    <row r="23" ht="92" customFormat="1" customHeight="1" s="8">
      <c r="A23" s="11" t="inlineStr">
        <is>
          <t>2025::jama.2025.11178::C022</t>
        </is>
      </c>
      <c r="B23" s="11" t="inlineStr">
        <is>
          <t>Physical-function 3-month painTRAINER SMD endpoints reversed</t>
        </is>
      </c>
      <c r="C23" s="11" t="inlineStr">
        <is>
          <t>main article — PDF p. 10, Table 3, physical function, 3 months, painTRAINER vs usual care plus SMD.</t>
        </is>
      </c>
      <c r="D23" s="7" t="n"/>
      <c r="E23" s="7" t="inlineStr">
        <is>
          <t>statistical_results</t>
        </is>
      </c>
      <c r="F23" s="7" t="inlineStr">
        <is>
          <t>no</t>
        </is>
      </c>
      <c r="G23" s="11">
        <f>IFERROR(IF(LEN(TRIM(CLEAN(SUBSTITUTE(Setup!$B$2,CHAR(160)," "))))=0,"CHECK REVIEWER ID",IF(OR(A23="",(COUNTIF('C_jama.2024.24764'!$A$2:$A$9,A23)+COUNTIF('C_jama.2024.27643'!$A$2:$A$9,A23)+COUNTIF('C_jama.2025.11178'!$A$2:$A$38,A23)+COUNTIF('C_jama.2025.15185'!$A$2:$A$13,A23)+COUNTIF('C_jama.2025.15440'!$A$2:$A$3,A23)+COUNTIF('C_jama.2025.16450'!$A$2:$A$11,A23)+COUNTIF('C_jama.2025.19563'!$A$2:$A$8,A23)+COUNTIF('C_jama.2025.19843'!$A$2:$A$2,A23)+COUNTIF('C_jama.2025.20765'!$A$2:$A$14,A23)+COUNTIF('C_jama.2025.24175'!$A$2:$A$15,A23)+COUNTIF('C_jama.2025.4390'!$A$2:$A$4,A23)+COUNTIF('C_jama.2025.7583'!$A$2:$A$4,A23)+COUNTIF('C_jama.2025.7710'!$A$2:$A$5,A23)+COUNTIF('C_jama.2025.9110'!$A$2:$A$7,A23)+COUNTIF('C_jama.2025.9663'!$A$2:$A$4,A23))&lt;&gt;1,LEFT(A23,LEN("2025::jama.2025.11178::"))&lt;&gt;"2025::jama.2025.11178::"),"CHECK KEY",IF(OR(AND(NOT(AND(D23="retain",E23="statistical_results")),H23&lt;&gt;"",H23&lt;&gt;"not_applicable"),AND(NOT(AND(D23="retain",E23="statistical_results")),I23&lt;&gt;"",I23&lt;&gt;"not_applicable"),AND(NOT(AND(D23="retain",E23="statistical_results")),J23&lt;&gt;"",J23&lt;&gt;"not_applicable"),AND(NOT(AND(D23="retain",OR(E23="report_internal_inconsistency",E23="plan_material"))),K23&lt;&gt;"",K23&lt;&gt;"not_applicable"),AND(NOT(AND(D23="retain",E23="protocol_report")),L23&lt;&gt;"",L23&lt;&gt;"not_applicable")),"CLEAR INACTIVE VALUES",IF(OR(NOT(OR(D23="retain",D23="exclude",D23="discuss")),NOT(OR(E23="statistical_results",E23="report_internal_inconsistency",E23="plan_material",E23="protocol_report")),AND(AND(D23="retain",E23="statistical_results"),NOT(OR(H23="confirmed_issue",H23="probable_issue",H23="not_issue",H23="indeterminate"))),AND(AND(D23="retain",E23="statistical_results"),NOT(OR(I23="substantive",I23="minor_presentation",I23="indeterminate"))),AND(AND(D23="retain",E23="statistical_results"),J23&lt;&gt;"",NOT(OR(J23="direct",J23="possible",J23="unlikely",J23="unknown"))),AND(AND(D23="retain",OR(E23="report_internal_inconsistency",E23="plan_material")),NOT(OR(K23="substantive_inconsistency",K23="minor_presentation",K23="non_inconsistency",K23="indeterminate"))),AND(AND(D23="retain",E23="protocol_report"),L23&lt;&gt;"",NOT(OR(L23="substantive_difference",L23="minor_presentation",L23="version_timing",L23="non_inconsistency",L23="indeterminate")))),"CHECK FIELDS",IF(AND(F23&lt;&gt;"",NOT(OR(F23="no",F23="primary_done"))),"CHECK COMPLETE",IF(F23="primary_done","PRIMARY READY","PRIMARY DRAFT")))))),"CHECK INPUT / KEY")</f>
        <v/>
      </c>
      <c r="H23" s="7">
        <f>IF(AND(OR(D23="retain",D23=""),E23="statistical_results"),"","not_applicable")</f>
        <v/>
      </c>
      <c r="I23" s="7">
        <f>IF(AND(OR(D23="retain",D23=""),E23="statistical_results"),"","not_applicable")</f>
        <v/>
      </c>
      <c r="J23" s="13">
        <f>IF(AND(OR(D23="retain",D23=""),E23="statistical_results"),"","not_applicable")</f>
        <v/>
      </c>
      <c r="K23" s="7">
        <f>IF(AND(OR(D23="retain",D23=""),OR(E23="report_internal_inconsistency",E23="plan_material")),"","not_applicable")</f>
        <v/>
      </c>
      <c r="L23" s="13">
        <f>IF(AND(OR(D23="retain",D23=""),E23="protocol_report"),"","not_applicable")</f>
        <v/>
      </c>
      <c r="M23" s="19" t="n"/>
      <c r="N23" s="19" t="n"/>
      <c r="O23" s="19" t="n"/>
      <c r="P23" s="19" t="n"/>
      <c r="Q23" s="19" t="n"/>
      <c r="R23" s="13" t="n"/>
    </row>
    <row r="24" ht="92" customFormat="1" customHeight="1" s="8">
      <c r="A24" s="12" t="inlineStr">
        <is>
          <t>2025::jama.2025.11178::C023</t>
        </is>
      </c>
      <c r="B24" s="12" t="inlineStr">
        <is>
          <t>Physical-function 3-month Health Coach SMD endpoints reversed</t>
        </is>
      </c>
      <c r="C24" s="12" t="inlineStr">
        <is>
          <t>main article — PDF p. 10, Table 3, physical function, 3 months, Health Coach vs usual care plus SMD.</t>
        </is>
      </c>
      <c r="D24" s="7" t="n"/>
      <c r="E24" s="7" t="inlineStr">
        <is>
          <t>statistical_results</t>
        </is>
      </c>
      <c r="F24" s="7" t="inlineStr">
        <is>
          <t>no</t>
        </is>
      </c>
      <c r="G24" s="12">
        <f>IFERROR(IF(LEN(TRIM(CLEAN(SUBSTITUTE(Setup!$B$2,CHAR(160)," "))))=0,"CHECK REVIEWER ID",IF(OR(A24="",(COUNTIF('C_jama.2024.24764'!$A$2:$A$9,A24)+COUNTIF('C_jama.2024.27643'!$A$2:$A$9,A24)+COUNTIF('C_jama.2025.11178'!$A$2:$A$38,A24)+COUNTIF('C_jama.2025.15185'!$A$2:$A$13,A24)+COUNTIF('C_jama.2025.15440'!$A$2:$A$3,A24)+COUNTIF('C_jama.2025.16450'!$A$2:$A$11,A24)+COUNTIF('C_jama.2025.19563'!$A$2:$A$8,A24)+COUNTIF('C_jama.2025.19843'!$A$2:$A$2,A24)+COUNTIF('C_jama.2025.20765'!$A$2:$A$14,A24)+COUNTIF('C_jama.2025.24175'!$A$2:$A$15,A24)+COUNTIF('C_jama.2025.4390'!$A$2:$A$4,A24)+COUNTIF('C_jama.2025.7583'!$A$2:$A$4,A24)+COUNTIF('C_jama.2025.7710'!$A$2:$A$5,A24)+COUNTIF('C_jama.2025.9110'!$A$2:$A$7,A24)+COUNTIF('C_jama.2025.9663'!$A$2:$A$4,A24))&lt;&gt;1,LEFT(A24,LEN("2025::jama.2025.11178::"))&lt;&gt;"2025::jama.2025.11178::"),"CHECK KEY",IF(OR(AND(NOT(AND(D24="retain",E24="statistical_results")),H24&lt;&gt;"",H24&lt;&gt;"not_applicable"),AND(NOT(AND(D24="retain",E24="statistical_results")),I24&lt;&gt;"",I24&lt;&gt;"not_applicable"),AND(NOT(AND(D24="retain",E24="statistical_results")),J24&lt;&gt;"",J24&lt;&gt;"not_applicable"),AND(NOT(AND(D24="retain",OR(E24="report_internal_inconsistency",E24="plan_material"))),K24&lt;&gt;"",K24&lt;&gt;"not_applicable"),AND(NOT(AND(D24="retain",E24="protocol_report")),L24&lt;&gt;"",L24&lt;&gt;"not_applicable")),"CLEAR INACTIVE VALUES",IF(OR(NOT(OR(D24="retain",D24="exclude",D24="discuss")),NOT(OR(E24="statistical_results",E24="report_internal_inconsistency",E24="plan_material",E24="protocol_report")),AND(AND(D24="retain",E24="statistical_results"),NOT(OR(H24="confirmed_issue",H24="probable_issue",H24="not_issue",H24="indeterminate"))),AND(AND(D24="retain",E24="statistical_results"),NOT(OR(I24="substantive",I24="minor_presentation",I24="indeterminate"))),AND(AND(D24="retain",E24="statistical_results"),J24&lt;&gt;"",NOT(OR(J24="direct",J24="possible",J24="unlikely",J24="unknown"))),AND(AND(D24="retain",OR(E24="report_internal_inconsistency",E24="plan_material")),NOT(OR(K24="substantive_inconsistency",K24="minor_presentation",K24="non_inconsistency",K24="indeterminate"))),AND(AND(D24="retain",E24="protocol_report"),L24&lt;&gt;"",NOT(OR(L24="substantive_difference",L24="minor_presentation",L24="version_timing",L24="non_inconsistency",L24="indeterminate")))),"CHECK FIELDS",IF(AND(F24&lt;&gt;"",NOT(OR(F24="no",F24="primary_done"))),"CHECK COMPLETE",IF(F24="primary_done","PRIMARY READY","PRIMARY DRAFT")))))),"CHECK INPUT / KEY")</f>
        <v/>
      </c>
      <c r="H24" s="7">
        <f>IF(AND(OR(D24="retain",D24=""),E24="statistical_results"),"","not_applicable")</f>
        <v/>
      </c>
      <c r="I24" s="7">
        <f>IF(AND(OR(D24="retain",D24=""),E24="statistical_results"),"","not_applicable")</f>
        <v/>
      </c>
      <c r="J24" s="13">
        <f>IF(AND(OR(D24="retain",D24=""),E24="statistical_results"),"","not_applicable")</f>
        <v/>
      </c>
      <c r="K24" s="7">
        <f>IF(AND(OR(D24="retain",D24=""),OR(E24="report_internal_inconsistency",E24="plan_material")),"","not_applicable")</f>
        <v/>
      </c>
      <c r="L24" s="13">
        <f>IF(AND(OR(D24="retain",D24=""),E24="protocol_report"),"","not_applicable")</f>
        <v/>
      </c>
      <c r="M24" s="19" t="n"/>
      <c r="N24" s="19" t="n"/>
      <c r="O24" s="19" t="n"/>
      <c r="P24" s="19" t="n"/>
      <c r="Q24" s="19" t="n"/>
      <c r="R24" s="13" t="n"/>
    </row>
    <row r="25" ht="92" customFormat="1" customHeight="1" s="8">
      <c r="A25" s="11" t="inlineStr">
        <is>
          <t>2025::jama.2025.11178::C024</t>
        </is>
      </c>
      <c r="B25" s="11" t="inlineStr">
        <is>
          <t>Physical-function 3-month Health Coach versus painTRAINER SMD endpoints reversed</t>
        </is>
      </c>
      <c r="C25" s="11" t="inlineStr">
        <is>
          <t>main article — PDF p. 10, Table 3, physical function, 3 months, Health Coach vs painTRAINER SMD.</t>
        </is>
      </c>
      <c r="D25" s="7" t="n"/>
      <c r="E25" s="7" t="inlineStr">
        <is>
          <t>statistical_results</t>
        </is>
      </c>
      <c r="F25" s="7" t="inlineStr">
        <is>
          <t>no</t>
        </is>
      </c>
      <c r="G25" s="11">
        <f>IFERROR(IF(LEN(TRIM(CLEAN(SUBSTITUTE(Setup!$B$2,CHAR(160)," "))))=0,"CHECK REVIEWER ID",IF(OR(A25="",(COUNTIF('C_jama.2024.24764'!$A$2:$A$9,A25)+COUNTIF('C_jama.2024.27643'!$A$2:$A$9,A25)+COUNTIF('C_jama.2025.11178'!$A$2:$A$38,A25)+COUNTIF('C_jama.2025.15185'!$A$2:$A$13,A25)+COUNTIF('C_jama.2025.15440'!$A$2:$A$3,A25)+COUNTIF('C_jama.2025.16450'!$A$2:$A$11,A25)+COUNTIF('C_jama.2025.19563'!$A$2:$A$8,A25)+COUNTIF('C_jama.2025.19843'!$A$2:$A$2,A25)+COUNTIF('C_jama.2025.20765'!$A$2:$A$14,A25)+COUNTIF('C_jama.2025.24175'!$A$2:$A$15,A25)+COUNTIF('C_jama.2025.4390'!$A$2:$A$4,A25)+COUNTIF('C_jama.2025.7583'!$A$2:$A$4,A25)+COUNTIF('C_jama.2025.7710'!$A$2:$A$5,A25)+COUNTIF('C_jama.2025.9110'!$A$2:$A$7,A25)+COUNTIF('C_jama.2025.9663'!$A$2:$A$4,A25))&lt;&gt;1,LEFT(A25,LEN("2025::jama.2025.11178::"))&lt;&gt;"2025::jama.2025.11178::"),"CHECK KEY",IF(OR(AND(NOT(AND(D25="retain",E25="statistical_results")),H25&lt;&gt;"",H25&lt;&gt;"not_applicable"),AND(NOT(AND(D25="retain",E25="statistical_results")),I25&lt;&gt;"",I25&lt;&gt;"not_applicable"),AND(NOT(AND(D25="retain",E25="statistical_results")),J25&lt;&gt;"",J25&lt;&gt;"not_applicable"),AND(NOT(AND(D25="retain",OR(E25="report_internal_inconsistency",E25="plan_material"))),K25&lt;&gt;"",K25&lt;&gt;"not_applicable"),AND(NOT(AND(D25="retain",E25="protocol_report")),L25&lt;&gt;"",L25&lt;&gt;"not_applicable")),"CLEAR INACTIVE VALUES",IF(OR(NOT(OR(D25="retain",D25="exclude",D25="discuss")),NOT(OR(E25="statistical_results",E25="report_internal_inconsistency",E25="plan_material",E25="protocol_report")),AND(AND(D25="retain",E25="statistical_results"),NOT(OR(H25="confirmed_issue",H25="probable_issue",H25="not_issue",H25="indeterminate"))),AND(AND(D25="retain",E25="statistical_results"),NOT(OR(I25="substantive",I25="minor_presentation",I25="indeterminate"))),AND(AND(D25="retain",E25="statistical_results"),J25&lt;&gt;"",NOT(OR(J25="direct",J25="possible",J25="unlikely",J25="unknown"))),AND(AND(D25="retain",OR(E25="report_internal_inconsistency",E25="plan_material")),NOT(OR(K25="substantive_inconsistency",K25="minor_presentation",K25="non_inconsistency",K25="indeterminate"))),AND(AND(D25="retain",E25="protocol_report"),L25&lt;&gt;"",NOT(OR(L25="substantive_difference",L25="minor_presentation",L25="version_timing",L25="non_inconsistency",L25="indeterminate")))),"CHECK FIELDS",IF(AND(F25&lt;&gt;"",NOT(OR(F25="no",F25="primary_done"))),"CHECK COMPLETE",IF(F25="primary_done","PRIMARY READY","PRIMARY DRAFT")))))),"CHECK INPUT / KEY")</f>
        <v/>
      </c>
      <c r="H25" s="7">
        <f>IF(AND(OR(D25="retain",D25=""),E25="statistical_results"),"","not_applicable")</f>
        <v/>
      </c>
      <c r="I25" s="7">
        <f>IF(AND(OR(D25="retain",D25=""),E25="statistical_results"),"","not_applicable")</f>
        <v/>
      </c>
      <c r="J25" s="13">
        <f>IF(AND(OR(D25="retain",D25=""),E25="statistical_results"),"","not_applicable")</f>
        <v/>
      </c>
      <c r="K25" s="7">
        <f>IF(AND(OR(D25="retain",D25=""),OR(E25="report_internal_inconsistency",E25="plan_material")),"","not_applicable")</f>
        <v/>
      </c>
      <c r="L25" s="13">
        <f>IF(AND(OR(D25="retain",D25=""),E25="protocol_report"),"","not_applicable")</f>
        <v/>
      </c>
      <c r="M25" s="19" t="n"/>
      <c r="N25" s="19" t="n"/>
      <c r="O25" s="19" t="n"/>
      <c r="P25" s="19" t="n"/>
      <c r="Q25" s="19" t="n"/>
      <c r="R25" s="13" t="n"/>
    </row>
    <row r="26" ht="92" customFormat="1" customHeight="1" s="8">
      <c r="A26" s="12" t="inlineStr">
        <is>
          <t>2025::jama.2025.11178::C025</t>
        </is>
      </c>
      <c r="B26" s="12" t="inlineStr">
        <is>
          <t>Physical-function 6-month painTRAINER SMD endpoints reversed and exclude estimate</t>
        </is>
      </c>
      <c r="C26" s="12" t="inlineStr">
        <is>
          <t>main article — PDF p. 10, Table 3, physical function, 6 months, painTRAINER vs usual care plus SMD.</t>
        </is>
      </c>
      <c r="D26" s="7" t="n"/>
      <c r="E26" s="7" t="inlineStr">
        <is>
          <t>statistical_results</t>
        </is>
      </c>
      <c r="F26" s="7" t="inlineStr">
        <is>
          <t>no</t>
        </is>
      </c>
      <c r="G26" s="12">
        <f>IFERROR(IF(LEN(TRIM(CLEAN(SUBSTITUTE(Setup!$B$2,CHAR(160)," "))))=0,"CHECK REVIEWER ID",IF(OR(A26="",(COUNTIF('C_jama.2024.24764'!$A$2:$A$9,A26)+COUNTIF('C_jama.2024.27643'!$A$2:$A$9,A26)+COUNTIF('C_jama.2025.11178'!$A$2:$A$38,A26)+COUNTIF('C_jama.2025.15185'!$A$2:$A$13,A26)+COUNTIF('C_jama.2025.15440'!$A$2:$A$3,A26)+COUNTIF('C_jama.2025.16450'!$A$2:$A$11,A26)+COUNTIF('C_jama.2025.19563'!$A$2:$A$8,A26)+COUNTIF('C_jama.2025.19843'!$A$2:$A$2,A26)+COUNTIF('C_jama.2025.20765'!$A$2:$A$14,A26)+COUNTIF('C_jama.2025.24175'!$A$2:$A$15,A26)+COUNTIF('C_jama.2025.4390'!$A$2:$A$4,A26)+COUNTIF('C_jama.2025.7583'!$A$2:$A$4,A26)+COUNTIF('C_jama.2025.7710'!$A$2:$A$5,A26)+COUNTIF('C_jama.2025.9110'!$A$2:$A$7,A26)+COUNTIF('C_jama.2025.9663'!$A$2:$A$4,A26))&lt;&gt;1,LEFT(A26,LEN("2025::jama.2025.11178::"))&lt;&gt;"2025::jama.2025.11178::"),"CHECK KEY",IF(OR(AND(NOT(AND(D26="retain",E26="statistical_results")),H26&lt;&gt;"",H26&lt;&gt;"not_applicable"),AND(NOT(AND(D26="retain",E26="statistical_results")),I26&lt;&gt;"",I26&lt;&gt;"not_applicable"),AND(NOT(AND(D26="retain",E26="statistical_results")),J26&lt;&gt;"",J26&lt;&gt;"not_applicable"),AND(NOT(AND(D26="retain",OR(E26="report_internal_inconsistency",E26="plan_material"))),K26&lt;&gt;"",K26&lt;&gt;"not_applicable"),AND(NOT(AND(D26="retain",E26="protocol_report")),L26&lt;&gt;"",L26&lt;&gt;"not_applicable")),"CLEAR INACTIVE VALUES",IF(OR(NOT(OR(D26="retain",D26="exclude",D26="discuss")),NOT(OR(E26="statistical_results",E26="report_internal_inconsistency",E26="plan_material",E26="protocol_report")),AND(AND(D26="retain",E26="statistical_results"),NOT(OR(H26="confirmed_issue",H26="probable_issue",H26="not_issue",H26="indeterminate"))),AND(AND(D26="retain",E26="statistical_results"),NOT(OR(I26="substantive",I26="minor_presentation",I26="indeterminate"))),AND(AND(D26="retain",E26="statistical_results"),J26&lt;&gt;"",NOT(OR(J26="direct",J26="possible",J26="unlikely",J26="unknown"))),AND(AND(D26="retain",OR(E26="report_internal_inconsistency",E26="plan_material")),NOT(OR(K26="substantive_inconsistency",K26="minor_presentation",K26="non_inconsistency",K26="indeterminate"))),AND(AND(D26="retain",E26="protocol_report"),L26&lt;&gt;"",NOT(OR(L26="substantive_difference",L26="minor_presentation",L26="version_timing",L26="non_inconsistency",L26="indeterminate")))),"CHECK FIELDS",IF(AND(F26&lt;&gt;"",NOT(OR(F26="no",F26="primary_done"))),"CHECK COMPLETE",IF(F26="primary_done","PRIMARY READY","PRIMARY DRAFT")))))),"CHECK INPUT / KEY")</f>
        <v/>
      </c>
      <c r="H26" s="7">
        <f>IF(AND(OR(D26="retain",D26=""),E26="statistical_results"),"","not_applicable")</f>
        <v/>
      </c>
      <c r="I26" s="7">
        <f>IF(AND(OR(D26="retain",D26=""),E26="statistical_results"),"","not_applicable")</f>
        <v/>
      </c>
      <c r="J26" s="13">
        <f>IF(AND(OR(D26="retain",D26=""),E26="statistical_results"),"","not_applicable")</f>
        <v/>
      </c>
      <c r="K26" s="7">
        <f>IF(AND(OR(D26="retain",D26=""),OR(E26="report_internal_inconsistency",E26="plan_material")),"","not_applicable")</f>
        <v/>
      </c>
      <c r="L26" s="13">
        <f>IF(AND(OR(D26="retain",D26=""),E26="protocol_report"),"","not_applicable")</f>
        <v/>
      </c>
      <c r="M26" s="19" t="n"/>
      <c r="N26" s="19" t="n"/>
      <c r="O26" s="19" t="n"/>
      <c r="P26" s="19" t="n"/>
      <c r="Q26" s="19" t="n"/>
      <c r="R26" s="13" t="n"/>
    </row>
    <row r="27" ht="92" customFormat="1" customHeight="1" s="8">
      <c r="A27" s="11" t="inlineStr">
        <is>
          <t>2025::jama.2025.11178::C026</t>
        </is>
      </c>
      <c r="B27" s="11" t="inlineStr">
        <is>
          <t>Physical-function 6-month Health Coach SMD endpoints reversed</t>
        </is>
      </c>
      <c r="C27" s="11" t="inlineStr">
        <is>
          <t>main article — PDF p. 10, Table 3, physical function, 6 months, Health Coach vs usual care plus SMD.</t>
        </is>
      </c>
      <c r="D27" s="7" t="n"/>
      <c r="E27" s="7" t="inlineStr">
        <is>
          <t>statistical_results</t>
        </is>
      </c>
      <c r="F27" s="7" t="inlineStr">
        <is>
          <t>no</t>
        </is>
      </c>
      <c r="G27" s="11">
        <f>IFERROR(IF(LEN(TRIM(CLEAN(SUBSTITUTE(Setup!$B$2,CHAR(160)," "))))=0,"CHECK REVIEWER ID",IF(OR(A27="",(COUNTIF('C_jama.2024.24764'!$A$2:$A$9,A27)+COUNTIF('C_jama.2024.27643'!$A$2:$A$9,A27)+COUNTIF('C_jama.2025.11178'!$A$2:$A$38,A27)+COUNTIF('C_jama.2025.15185'!$A$2:$A$13,A27)+COUNTIF('C_jama.2025.15440'!$A$2:$A$3,A27)+COUNTIF('C_jama.2025.16450'!$A$2:$A$11,A27)+COUNTIF('C_jama.2025.19563'!$A$2:$A$8,A27)+COUNTIF('C_jama.2025.19843'!$A$2:$A$2,A27)+COUNTIF('C_jama.2025.20765'!$A$2:$A$14,A27)+COUNTIF('C_jama.2025.24175'!$A$2:$A$15,A27)+COUNTIF('C_jama.2025.4390'!$A$2:$A$4,A27)+COUNTIF('C_jama.2025.7583'!$A$2:$A$4,A27)+COUNTIF('C_jama.2025.7710'!$A$2:$A$5,A27)+COUNTIF('C_jama.2025.9110'!$A$2:$A$7,A27)+COUNTIF('C_jama.2025.9663'!$A$2:$A$4,A27))&lt;&gt;1,LEFT(A27,LEN("2025::jama.2025.11178::"))&lt;&gt;"2025::jama.2025.11178::"),"CHECK KEY",IF(OR(AND(NOT(AND(D27="retain",E27="statistical_results")),H27&lt;&gt;"",H27&lt;&gt;"not_applicable"),AND(NOT(AND(D27="retain",E27="statistical_results")),I27&lt;&gt;"",I27&lt;&gt;"not_applicable"),AND(NOT(AND(D27="retain",E27="statistical_results")),J27&lt;&gt;"",J27&lt;&gt;"not_applicable"),AND(NOT(AND(D27="retain",OR(E27="report_internal_inconsistency",E27="plan_material"))),K27&lt;&gt;"",K27&lt;&gt;"not_applicable"),AND(NOT(AND(D27="retain",E27="protocol_report")),L27&lt;&gt;"",L27&lt;&gt;"not_applicable")),"CLEAR INACTIVE VALUES",IF(OR(NOT(OR(D27="retain",D27="exclude",D27="discuss")),NOT(OR(E27="statistical_results",E27="report_internal_inconsistency",E27="plan_material",E27="protocol_report")),AND(AND(D27="retain",E27="statistical_results"),NOT(OR(H27="confirmed_issue",H27="probable_issue",H27="not_issue",H27="indeterminate"))),AND(AND(D27="retain",E27="statistical_results"),NOT(OR(I27="substantive",I27="minor_presentation",I27="indeterminate"))),AND(AND(D27="retain",E27="statistical_results"),J27&lt;&gt;"",NOT(OR(J27="direct",J27="possible",J27="unlikely",J27="unknown"))),AND(AND(D27="retain",OR(E27="report_internal_inconsistency",E27="plan_material")),NOT(OR(K27="substantive_inconsistency",K27="minor_presentation",K27="non_inconsistency",K27="indeterminate"))),AND(AND(D27="retain",E27="protocol_report"),L27&lt;&gt;"",NOT(OR(L27="substantive_difference",L27="minor_presentation",L27="version_timing",L27="non_inconsistency",L27="indeterminate")))),"CHECK FIELDS",IF(AND(F27&lt;&gt;"",NOT(OR(F27="no",F27="primary_done"))),"CHECK COMPLETE",IF(F27="primary_done","PRIMARY READY","PRIMARY DRAFT")))))),"CHECK INPUT / KEY")</f>
        <v/>
      </c>
      <c r="H27" s="7">
        <f>IF(AND(OR(D27="retain",D27=""),E27="statistical_results"),"","not_applicable")</f>
        <v/>
      </c>
      <c r="I27" s="7">
        <f>IF(AND(OR(D27="retain",D27=""),E27="statistical_results"),"","not_applicable")</f>
        <v/>
      </c>
      <c r="J27" s="13">
        <f>IF(AND(OR(D27="retain",D27=""),E27="statistical_results"),"","not_applicable")</f>
        <v/>
      </c>
      <c r="K27" s="7">
        <f>IF(AND(OR(D27="retain",D27=""),OR(E27="report_internal_inconsistency",E27="plan_material")),"","not_applicable")</f>
        <v/>
      </c>
      <c r="L27" s="13">
        <f>IF(AND(OR(D27="retain",D27=""),E27="protocol_report"),"","not_applicable")</f>
        <v/>
      </c>
      <c r="M27" s="19" t="n"/>
      <c r="N27" s="19" t="n"/>
      <c r="O27" s="19" t="n"/>
      <c r="P27" s="19" t="n"/>
      <c r="Q27" s="19" t="n"/>
      <c r="R27" s="13" t="n"/>
    </row>
    <row r="28" ht="92" customFormat="1" customHeight="1" s="8">
      <c r="A28" s="12" t="inlineStr">
        <is>
          <t>2025::jama.2025.11178::C027</t>
        </is>
      </c>
      <c r="B28" s="12" t="inlineStr">
        <is>
          <t>Physical-function 6-month Health Coach versus painTRAINER SMD endpoints reversed and exclude estimate</t>
        </is>
      </c>
      <c r="C28" s="12" t="inlineStr">
        <is>
          <t>main article — PDF p. 10, Table 3, physical function, 6 months, Health Coach vs painTRAINER SMD.</t>
        </is>
      </c>
      <c r="D28" s="7" t="n"/>
      <c r="E28" s="7" t="inlineStr">
        <is>
          <t>statistical_results</t>
        </is>
      </c>
      <c r="F28" s="7" t="inlineStr">
        <is>
          <t>no</t>
        </is>
      </c>
      <c r="G28" s="12">
        <f>IFERROR(IF(LEN(TRIM(CLEAN(SUBSTITUTE(Setup!$B$2,CHAR(160)," "))))=0,"CHECK REVIEWER ID",IF(OR(A28="",(COUNTIF('C_jama.2024.24764'!$A$2:$A$9,A28)+COUNTIF('C_jama.2024.27643'!$A$2:$A$9,A28)+COUNTIF('C_jama.2025.11178'!$A$2:$A$38,A28)+COUNTIF('C_jama.2025.15185'!$A$2:$A$13,A28)+COUNTIF('C_jama.2025.15440'!$A$2:$A$3,A28)+COUNTIF('C_jama.2025.16450'!$A$2:$A$11,A28)+COUNTIF('C_jama.2025.19563'!$A$2:$A$8,A28)+COUNTIF('C_jama.2025.19843'!$A$2:$A$2,A28)+COUNTIF('C_jama.2025.20765'!$A$2:$A$14,A28)+COUNTIF('C_jama.2025.24175'!$A$2:$A$15,A28)+COUNTIF('C_jama.2025.4390'!$A$2:$A$4,A28)+COUNTIF('C_jama.2025.7583'!$A$2:$A$4,A28)+COUNTIF('C_jama.2025.7710'!$A$2:$A$5,A28)+COUNTIF('C_jama.2025.9110'!$A$2:$A$7,A28)+COUNTIF('C_jama.2025.9663'!$A$2:$A$4,A28))&lt;&gt;1,LEFT(A28,LEN("2025::jama.2025.11178::"))&lt;&gt;"2025::jama.2025.11178::"),"CHECK KEY",IF(OR(AND(NOT(AND(D28="retain",E28="statistical_results")),H28&lt;&gt;"",H28&lt;&gt;"not_applicable"),AND(NOT(AND(D28="retain",E28="statistical_results")),I28&lt;&gt;"",I28&lt;&gt;"not_applicable"),AND(NOT(AND(D28="retain",E28="statistical_results")),J28&lt;&gt;"",J28&lt;&gt;"not_applicable"),AND(NOT(AND(D28="retain",OR(E28="report_internal_inconsistency",E28="plan_material"))),K28&lt;&gt;"",K28&lt;&gt;"not_applicable"),AND(NOT(AND(D28="retain",E28="protocol_report")),L28&lt;&gt;"",L28&lt;&gt;"not_applicable")),"CLEAR INACTIVE VALUES",IF(OR(NOT(OR(D28="retain",D28="exclude",D28="discuss")),NOT(OR(E28="statistical_results",E28="report_internal_inconsistency",E28="plan_material",E28="protocol_report")),AND(AND(D28="retain",E28="statistical_results"),NOT(OR(H28="confirmed_issue",H28="probable_issue",H28="not_issue",H28="indeterminate"))),AND(AND(D28="retain",E28="statistical_results"),NOT(OR(I28="substantive",I28="minor_presentation",I28="indeterminate"))),AND(AND(D28="retain",E28="statistical_results"),J28&lt;&gt;"",NOT(OR(J28="direct",J28="possible",J28="unlikely",J28="unknown"))),AND(AND(D28="retain",OR(E28="report_internal_inconsistency",E28="plan_material")),NOT(OR(K28="substantive_inconsistency",K28="minor_presentation",K28="non_inconsistency",K28="indeterminate"))),AND(AND(D28="retain",E28="protocol_report"),L28&lt;&gt;"",NOT(OR(L28="substantive_difference",L28="minor_presentation",L28="version_timing",L28="non_inconsistency",L28="indeterminate")))),"CHECK FIELDS",IF(AND(F28&lt;&gt;"",NOT(OR(F28="no",F28="primary_done"))),"CHECK COMPLETE",IF(F28="primary_done","PRIMARY READY","PRIMARY DRAFT")))))),"CHECK INPUT / KEY")</f>
        <v/>
      </c>
      <c r="H28" s="7">
        <f>IF(AND(OR(D28="retain",D28=""),E28="statistical_results"),"","not_applicable")</f>
        <v/>
      </c>
      <c r="I28" s="7">
        <f>IF(AND(OR(D28="retain",D28=""),E28="statistical_results"),"","not_applicable")</f>
        <v/>
      </c>
      <c r="J28" s="13">
        <f>IF(AND(OR(D28="retain",D28=""),E28="statistical_results"),"","not_applicable")</f>
        <v/>
      </c>
      <c r="K28" s="7">
        <f>IF(AND(OR(D28="retain",D28=""),OR(E28="report_internal_inconsistency",E28="plan_material")),"","not_applicable")</f>
        <v/>
      </c>
      <c r="L28" s="13">
        <f>IF(AND(OR(D28="retain",D28=""),E28="protocol_report"),"","not_applicable")</f>
        <v/>
      </c>
      <c r="M28" s="19" t="n"/>
      <c r="N28" s="19" t="n"/>
      <c r="O28" s="19" t="n"/>
      <c r="P28" s="19" t="n"/>
      <c r="Q28" s="19" t="n"/>
      <c r="R28" s="13" t="n"/>
    </row>
    <row r="29" ht="92" customFormat="1" customHeight="1" s="8">
      <c r="A29" s="11" t="inlineStr">
        <is>
          <t>2025::jama.2025.11178::C028</t>
        </is>
      </c>
      <c r="B29" s="11" t="inlineStr">
        <is>
          <t>Physical-function 12-month painTRAINER SMD endpoints reversed and exclude estimate</t>
        </is>
      </c>
      <c r="C29" s="11" t="inlineStr">
        <is>
          <t>main article — PDF p. 10, Table 3, physical function, 12 months, painTRAINER vs usual care plus SMD.</t>
        </is>
      </c>
      <c r="D29" s="7" t="n"/>
      <c r="E29" s="7" t="inlineStr">
        <is>
          <t>statistical_results</t>
        </is>
      </c>
      <c r="F29" s="7" t="inlineStr">
        <is>
          <t>no</t>
        </is>
      </c>
      <c r="G29" s="11">
        <f>IFERROR(IF(LEN(TRIM(CLEAN(SUBSTITUTE(Setup!$B$2,CHAR(160)," "))))=0,"CHECK REVIEWER ID",IF(OR(A29="",(COUNTIF('C_jama.2024.24764'!$A$2:$A$9,A29)+COUNTIF('C_jama.2024.27643'!$A$2:$A$9,A29)+COUNTIF('C_jama.2025.11178'!$A$2:$A$38,A29)+COUNTIF('C_jama.2025.15185'!$A$2:$A$13,A29)+COUNTIF('C_jama.2025.15440'!$A$2:$A$3,A29)+COUNTIF('C_jama.2025.16450'!$A$2:$A$11,A29)+COUNTIF('C_jama.2025.19563'!$A$2:$A$8,A29)+COUNTIF('C_jama.2025.19843'!$A$2:$A$2,A29)+COUNTIF('C_jama.2025.20765'!$A$2:$A$14,A29)+COUNTIF('C_jama.2025.24175'!$A$2:$A$15,A29)+COUNTIF('C_jama.2025.4390'!$A$2:$A$4,A29)+COUNTIF('C_jama.2025.7583'!$A$2:$A$4,A29)+COUNTIF('C_jama.2025.7710'!$A$2:$A$5,A29)+COUNTIF('C_jama.2025.9110'!$A$2:$A$7,A29)+COUNTIF('C_jama.2025.9663'!$A$2:$A$4,A29))&lt;&gt;1,LEFT(A29,LEN("2025::jama.2025.11178::"))&lt;&gt;"2025::jama.2025.11178::"),"CHECK KEY",IF(OR(AND(NOT(AND(D29="retain",E29="statistical_results")),H29&lt;&gt;"",H29&lt;&gt;"not_applicable"),AND(NOT(AND(D29="retain",E29="statistical_results")),I29&lt;&gt;"",I29&lt;&gt;"not_applicable"),AND(NOT(AND(D29="retain",E29="statistical_results")),J29&lt;&gt;"",J29&lt;&gt;"not_applicable"),AND(NOT(AND(D29="retain",OR(E29="report_internal_inconsistency",E29="plan_material"))),K29&lt;&gt;"",K29&lt;&gt;"not_applicable"),AND(NOT(AND(D29="retain",E29="protocol_report")),L29&lt;&gt;"",L29&lt;&gt;"not_applicable")),"CLEAR INACTIVE VALUES",IF(OR(NOT(OR(D29="retain",D29="exclude",D29="discuss")),NOT(OR(E29="statistical_results",E29="report_internal_inconsistency",E29="plan_material",E29="protocol_report")),AND(AND(D29="retain",E29="statistical_results"),NOT(OR(H29="confirmed_issue",H29="probable_issue",H29="not_issue",H29="indeterminate"))),AND(AND(D29="retain",E29="statistical_results"),NOT(OR(I29="substantive",I29="minor_presentation",I29="indeterminate"))),AND(AND(D29="retain",E29="statistical_results"),J29&lt;&gt;"",NOT(OR(J29="direct",J29="possible",J29="unlikely",J29="unknown"))),AND(AND(D29="retain",OR(E29="report_internal_inconsistency",E29="plan_material")),NOT(OR(K29="substantive_inconsistency",K29="minor_presentation",K29="non_inconsistency",K29="indeterminate"))),AND(AND(D29="retain",E29="protocol_report"),L29&lt;&gt;"",NOT(OR(L29="substantive_difference",L29="minor_presentation",L29="version_timing",L29="non_inconsistency",L29="indeterminate")))),"CHECK FIELDS",IF(AND(F29&lt;&gt;"",NOT(OR(F29="no",F29="primary_done"))),"CHECK COMPLETE",IF(F29="primary_done","PRIMARY READY","PRIMARY DRAFT")))))),"CHECK INPUT / KEY")</f>
        <v/>
      </c>
      <c r="H29" s="7">
        <f>IF(AND(OR(D29="retain",D29=""),E29="statistical_results"),"","not_applicable")</f>
        <v/>
      </c>
      <c r="I29" s="7">
        <f>IF(AND(OR(D29="retain",D29=""),E29="statistical_results"),"","not_applicable")</f>
        <v/>
      </c>
      <c r="J29" s="13">
        <f>IF(AND(OR(D29="retain",D29=""),E29="statistical_results"),"","not_applicable")</f>
        <v/>
      </c>
      <c r="K29" s="7">
        <f>IF(AND(OR(D29="retain",D29=""),OR(E29="report_internal_inconsistency",E29="plan_material")),"","not_applicable")</f>
        <v/>
      </c>
      <c r="L29" s="13">
        <f>IF(AND(OR(D29="retain",D29=""),E29="protocol_report"),"","not_applicable")</f>
        <v/>
      </c>
      <c r="M29" s="19" t="n"/>
      <c r="N29" s="19" t="n"/>
      <c r="O29" s="19" t="n"/>
      <c r="P29" s="19" t="n"/>
      <c r="Q29" s="19" t="n"/>
      <c r="R29" s="13" t="n"/>
    </row>
    <row r="30" ht="92" customFormat="1" customHeight="1" s="8">
      <c r="A30" s="12" t="inlineStr">
        <is>
          <t>2025::jama.2025.11178::C029</t>
        </is>
      </c>
      <c r="B30" s="12" t="inlineStr">
        <is>
          <t>Physical-function 12-month Health Coach SMD endpoints reversed and exclude estimate</t>
        </is>
      </c>
      <c r="C30" s="12" t="inlineStr">
        <is>
          <t>main article — PDF p. 10, Table 3, physical function, 12 months, Health Coach vs usual care plus SMD.</t>
        </is>
      </c>
      <c r="D30" s="7" t="n"/>
      <c r="E30" s="7" t="inlineStr">
        <is>
          <t>statistical_results</t>
        </is>
      </c>
      <c r="F30" s="7" t="inlineStr">
        <is>
          <t>no</t>
        </is>
      </c>
      <c r="G30" s="12">
        <f>IFERROR(IF(LEN(TRIM(CLEAN(SUBSTITUTE(Setup!$B$2,CHAR(160)," "))))=0,"CHECK REVIEWER ID",IF(OR(A30="",(COUNTIF('C_jama.2024.24764'!$A$2:$A$9,A30)+COUNTIF('C_jama.2024.27643'!$A$2:$A$9,A30)+COUNTIF('C_jama.2025.11178'!$A$2:$A$38,A30)+COUNTIF('C_jama.2025.15185'!$A$2:$A$13,A30)+COUNTIF('C_jama.2025.15440'!$A$2:$A$3,A30)+COUNTIF('C_jama.2025.16450'!$A$2:$A$11,A30)+COUNTIF('C_jama.2025.19563'!$A$2:$A$8,A30)+COUNTIF('C_jama.2025.19843'!$A$2:$A$2,A30)+COUNTIF('C_jama.2025.20765'!$A$2:$A$14,A30)+COUNTIF('C_jama.2025.24175'!$A$2:$A$15,A30)+COUNTIF('C_jama.2025.4390'!$A$2:$A$4,A30)+COUNTIF('C_jama.2025.7583'!$A$2:$A$4,A30)+COUNTIF('C_jama.2025.7710'!$A$2:$A$5,A30)+COUNTIF('C_jama.2025.9110'!$A$2:$A$7,A30)+COUNTIF('C_jama.2025.9663'!$A$2:$A$4,A30))&lt;&gt;1,LEFT(A30,LEN("2025::jama.2025.11178::"))&lt;&gt;"2025::jama.2025.11178::"),"CHECK KEY",IF(OR(AND(NOT(AND(D30="retain",E30="statistical_results")),H30&lt;&gt;"",H30&lt;&gt;"not_applicable"),AND(NOT(AND(D30="retain",E30="statistical_results")),I30&lt;&gt;"",I30&lt;&gt;"not_applicable"),AND(NOT(AND(D30="retain",E30="statistical_results")),J30&lt;&gt;"",J30&lt;&gt;"not_applicable"),AND(NOT(AND(D30="retain",OR(E30="report_internal_inconsistency",E30="plan_material"))),K30&lt;&gt;"",K30&lt;&gt;"not_applicable"),AND(NOT(AND(D30="retain",E30="protocol_report")),L30&lt;&gt;"",L30&lt;&gt;"not_applicable")),"CLEAR INACTIVE VALUES",IF(OR(NOT(OR(D30="retain",D30="exclude",D30="discuss")),NOT(OR(E30="statistical_results",E30="report_internal_inconsistency",E30="plan_material",E30="protocol_report")),AND(AND(D30="retain",E30="statistical_results"),NOT(OR(H30="confirmed_issue",H30="probable_issue",H30="not_issue",H30="indeterminate"))),AND(AND(D30="retain",E30="statistical_results"),NOT(OR(I30="substantive",I30="minor_presentation",I30="indeterminate"))),AND(AND(D30="retain",E30="statistical_results"),J30&lt;&gt;"",NOT(OR(J30="direct",J30="possible",J30="unlikely",J30="unknown"))),AND(AND(D30="retain",OR(E30="report_internal_inconsistency",E30="plan_material")),NOT(OR(K30="substantive_inconsistency",K30="minor_presentation",K30="non_inconsistency",K30="indeterminate"))),AND(AND(D30="retain",E30="protocol_report"),L30&lt;&gt;"",NOT(OR(L30="substantive_difference",L30="minor_presentation",L30="version_timing",L30="non_inconsistency",L30="indeterminate")))),"CHECK FIELDS",IF(AND(F30&lt;&gt;"",NOT(OR(F30="no",F30="primary_done"))),"CHECK COMPLETE",IF(F30="primary_done","PRIMARY READY","PRIMARY DRAFT")))))),"CHECK INPUT / KEY")</f>
        <v/>
      </c>
      <c r="H30" s="7">
        <f>IF(AND(OR(D30="retain",D30=""),E30="statistical_results"),"","not_applicable")</f>
        <v/>
      </c>
      <c r="I30" s="7">
        <f>IF(AND(OR(D30="retain",D30=""),E30="statistical_results"),"","not_applicable")</f>
        <v/>
      </c>
      <c r="J30" s="13">
        <f>IF(AND(OR(D30="retain",D30=""),E30="statistical_results"),"","not_applicable")</f>
        <v/>
      </c>
      <c r="K30" s="7">
        <f>IF(AND(OR(D30="retain",D30=""),OR(E30="report_internal_inconsistency",E30="plan_material")),"","not_applicable")</f>
        <v/>
      </c>
      <c r="L30" s="13">
        <f>IF(AND(OR(D30="retain",D30=""),E30="protocol_report"),"","not_applicable")</f>
        <v/>
      </c>
      <c r="M30" s="19" t="n"/>
      <c r="N30" s="19" t="n"/>
      <c r="O30" s="19" t="n"/>
      <c r="P30" s="19" t="n"/>
      <c r="Q30" s="19" t="n"/>
      <c r="R30" s="13" t="n"/>
    </row>
    <row r="31" ht="92" customFormat="1" customHeight="1" s="8">
      <c r="A31" s="11" t="inlineStr">
        <is>
          <t>2025::jama.2025.11178::C030</t>
        </is>
      </c>
      <c r="B31" s="11" t="inlineStr">
        <is>
          <t>Physical-function 12-month Health Coach versus painTRAINER SMD endpoints reversed and exclude estimate</t>
        </is>
      </c>
      <c r="C31" s="11" t="inlineStr">
        <is>
          <t>main article — PDF p. 10, Table 3, physical function, 12 months, Health Coach vs painTRAINER SMD.</t>
        </is>
      </c>
      <c r="D31" s="7" t="n"/>
      <c r="E31" s="7" t="inlineStr">
        <is>
          <t>statistical_results</t>
        </is>
      </c>
      <c r="F31" s="7" t="inlineStr">
        <is>
          <t>no</t>
        </is>
      </c>
      <c r="G31" s="11">
        <f>IFERROR(IF(LEN(TRIM(CLEAN(SUBSTITUTE(Setup!$B$2,CHAR(160)," "))))=0,"CHECK REVIEWER ID",IF(OR(A31="",(COUNTIF('C_jama.2024.24764'!$A$2:$A$9,A31)+COUNTIF('C_jama.2024.27643'!$A$2:$A$9,A31)+COUNTIF('C_jama.2025.11178'!$A$2:$A$38,A31)+COUNTIF('C_jama.2025.15185'!$A$2:$A$13,A31)+COUNTIF('C_jama.2025.15440'!$A$2:$A$3,A31)+COUNTIF('C_jama.2025.16450'!$A$2:$A$11,A31)+COUNTIF('C_jama.2025.19563'!$A$2:$A$8,A31)+COUNTIF('C_jama.2025.19843'!$A$2:$A$2,A31)+COUNTIF('C_jama.2025.20765'!$A$2:$A$14,A31)+COUNTIF('C_jama.2025.24175'!$A$2:$A$15,A31)+COUNTIF('C_jama.2025.4390'!$A$2:$A$4,A31)+COUNTIF('C_jama.2025.7583'!$A$2:$A$4,A31)+COUNTIF('C_jama.2025.7710'!$A$2:$A$5,A31)+COUNTIF('C_jama.2025.9110'!$A$2:$A$7,A31)+COUNTIF('C_jama.2025.9663'!$A$2:$A$4,A31))&lt;&gt;1,LEFT(A31,LEN("2025::jama.2025.11178::"))&lt;&gt;"2025::jama.2025.11178::"),"CHECK KEY",IF(OR(AND(NOT(AND(D31="retain",E31="statistical_results")),H31&lt;&gt;"",H31&lt;&gt;"not_applicable"),AND(NOT(AND(D31="retain",E31="statistical_results")),I31&lt;&gt;"",I31&lt;&gt;"not_applicable"),AND(NOT(AND(D31="retain",E31="statistical_results")),J31&lt;&gt;"",J31&lt;&gt;"not_applicable"),AND(NOT(AND(D31="retain",OR(E31="report_internal_inconsistency",E31="plan_material"))),K31&lt;&gt;"",K31&lt;&gt;"not_applicable"),AND(NOT(AND(D31="retain",E31="protocol_report")),L31&lt;&gt;"",L31&lt;&gt;"not_applicable")),"CLEAR INACTIVE VALUES",IF(OR(NOT(OR(D31="retain",D31="exclude",D31="discuss")),NOT(OR(E31="statistical_results",E31="report_internal_inconsistency",E31="plan_material",E31="protocol_report")),AND(AND(D31="retain",E31="statistical_results"),NOT(OR(H31="confirmed_issue",H31="probable_issue",H31="not_issue",H31="indeterminate"))),AND(AND(D31="retain",E31="statistical_results"),NOT(OR(I31="substantive",I31="minor_presentation",I31="indeterminate"))),AND(AND(D31="retain",E31="statistical_results"),J31&lt;&gt;"",NOT(OR(J31="direct",J31="possible",J31="unlikely",J31="unknown"))),AND(AND(D31="retain",OR(E31="report_internal_inconsistency",E31="plan_material")),NOT(OR(K31="substantive_inconsistency",K31="minor_presentation",K31="non_inconsistency",K31="indeterminate"))),AND(AND(D31="retain",E31="protocol_report"),L31&lt;&gt;"",NOT(OR(L31="substantive_difference",L31="minor_presentation",L31="version_timing",L31="non_inconsistency",L31="indeterminate")))),"CHECK FIELDS",IF(AND(F31&lt;&gt;"",NOT(OR(F31="no",F31="primary_done"))),"CHECK COMPLETE",IF(F31="primary_done","PRIMARY READY","PRIMARY DRAFT")))))),"CHECK INPUT / KEY")</f>
        <v/>
      </c>
      <c r="H31" s="7">
        <f>IF(AND(OR(D31="retain",D31=""),E31="statistical_results"),"","not_applicable")</f>
        <v/>
      </c>
      <c r="I31" s="7">
        <f>IF(AND(OR(D31="retain",D31=""),E31="statistical_results"),"","not_applicable")</f>
        <v/>
      </c>
      <c r="J31" s="13">
        <f>IF(AND(OR(D31="retain",D31=""),E31="statistical_results"),"","not_applicable")</f>
        <v/>
      </c>
      <c r="K31" s="7">
        <f>IF(AND(OR(D31="retain",D31=""),OR(E31="report_internal_inconsistency",E31="plan_material")),"","not_applicable")</f>
        <v/>
      </c>
      <c r="L31" s="13">
        <f>IF(AND(OR(D31="retain",D31=""),E31="protocol_report"),"","not_applicable")</f>
        <v/>
      </c>
      <c r="M31" s="19" t="n"/>
      <c r="N31" s="19" t="n"/>
      <c r="O31" s="19" t="n"/>
      <c r="P31" s="19" t="n"/>
      <c r="Q31" s="19" t="n"/>
      <c r="R31" s="13" t="n"/>
    </row>
    <row r="32" ht="92" customFormat="1" customHeight="1" s="8">
      <c r="A32" s="12" t="inlineStr">
        <is>
          <t>2025::jama.2025.11178::C031</t>
        </is>
      </c>
      <c r="B32" s="12" t="inlineStr">
        <is>
          <t>PGIC-pain 12-month painTRAINER SMD outside printed CI</t>
        </is>
      </c>
      <c r="C32" s="12" t="inlineStr">
        <is>
          <t>main article — PDF p. 11, Table 3, PGIC-pain, 12 months, painTRAINER vs usual care plus SMD.</t>
        </is>
      </c>
      <c r="D32" s="7" t="n"/>
      <c r="E32" s="7" t="inlineStr">
        <is>
          <t>statistical_results</t>
        </is>
      </c>
      <c r="F32" s="7" t="inlineStr">
        <is>
          <t>no</t>
        </is>
      </c>
      <c r="G32" s="12">
        <f>IFERROR(IF(LEN(TRIM(CLEAN(SUBSTITUTE(Setup!$B$2,CHAR(160)," "))))=0,"CHECK REVIEWER ID",IF(OR(A32="",(COUNTIF('C_jama.2024.24764'!$A$2:$A$9,A32)+COUNTIF('C_jama.2024.27643'!$A$2:$A$9,A32)+COUNTIF('C_jama.2025.11178'!$A$2:$A$38,A32)+COUNTIF('C_jama.2025.15185'!$A$2:$A$13,A32)+COUNTIF('C_jama.2025.15440'!$A$2:$A$3,A32)+COUNTIF('C_jama.2025.16450'!$A$2:$A$11,A32)+COUNTIF('C_jama.2025.19563'!$A$2:$A$8,A32)+COUNTIF('C_jama.2025.19843'!$A$2:$A$2,A32)+COUNTIF('C_jama.2025.20765'!$A$2:$A$14,A32)+COUNTIF('C_jama.2025.24175'!$A$2:$A$15,A32)+COUNTIF('C_jama.2025.4390'!$A$2:$A$4,A32)+COUNTIF('C_jama.2025.7583'!$A$2:$A$4,A32)+COUNTIF('C_jama.2025.7710'!$A$2:$A$5,A32)+COUNTIF('C_jama.2025.9110'!$A$2:$A$7,A32)+COUNTIF('C_jama.2025.9663'!$A$2:$A$4,A32))&lt;&gt;1,LEFT(A32,LEN("2025::jama.2025.11178::"))&lt;&gt;"2025::jama.2025.11178::"),"CHECK KEY",IF(OR(AND(NOT(AND(D32="retain",E32="statistical_results")),H32&lt;&gt;"",H32&lt;&gt;"not_applicable"),AND(NOT(AND(D32="retain",E32="statistical_results")),I32&lt;&gt;"",I32&lt;&gt;"not_applicable"),AND(NOT(AND(D32="retain",E32="statistical_results")),J32&lt;&gt;"",J32&lt;&gt;"not_applicable"),AND(NOT(AND(D32="retain",OR(E32="report_internal_inconsistency",E32="plan_material"))),K32&lt;&gt;"",K32&lt;&gt;"not_applicable"),AND(NOT(AND(D32="retain",E32="protocol_report")),L32&lt;&gt;"",L32&lt;&gt;"not_applicable")),"CLEAR INACTIVE VALUES",IF(OR(NOT(OR(D32="retain",D32="exclude",D32="discuss")),NOT(OR(E32="statistical_results",E32="report_internal_inconsistency",E32="plan_material",E32="protocol_report")),AND(AND(D32="retain",E32="statistical_results"),NOT(OR(H32="confirmed_issue",H32="probable_issue",H32="not_issue",H32="indeterminate"))),AND(AND(D32="retain",E32="statistical_results"),NOT(OR(I32="substantive",I32="minor_presentation",I32="indeterminate"))),AND(AND(D32="retain",E32="statistical_results"),J32&lt;&gt;"",NOT(OR(J32="direct",J32="possible",J32="unlikely",J32="unknown"))),AND(AND(D32="retain",OR(E32="report_internal_inconsistency",E32="plan_material")),NOT(OR(K32="substantive_inconsistency",K32="minor_presentation",K32="non_inconsistency",K32="indeterminate"))),AND(AND(D32="retain",E32="protocol_report"),L32&lt;&gt;"",NOT(OR(L32="substantive_difference",L32="minor_presentation",L32="version_timing",L32="non_inconsistency",L32="indeterminate")))),"CHECK FIELDS",IF(AND(F32&lt;&gt;"",NOT(OR(F32="no",F32="primary_done"))),"CHECK COMPLETE",IF(F32="primary_done","PRIMARY READY","PRIMARY DRAFT")))))),"CHECK INPUT / KEY")</f>
        <v/>
      </c>
      <c r="H32" s="7">
        <f>IF(AND(OR(D32="retain",D32=""),E32="statistical_results"),"","not_applicable")</f>
        <v/>
      </c>
      <c r="I32" s="7">
        <f>IF(AND(OR(D32="retain",D32=""),E32="statistical_results"),"","not_applicable")</f>
        <v/>
      </c>
      <c r="J32" s="13">
        <f>IF(AND(OR(D32="retain",D32=""),E32="statistical_results"),"","not_applicable")</f>
        <v/>
      </c>
      <c r="K32" s="7">
        <f>IF(AND(OR(D32="retain",D32=""),OR(E32="report_internal_inconsistency",E32="plan_material")),"","not_applicable")</f>
        <v/>
      </c>
      <c r="L32" s="13">
        <f>IF(AND(OR(D32="retain",D32=""),E32="protocol_report"),"","not_applicable")</f>
        <v/>
      </c>
      <c r="M32" s="19" t="n"/>
      <c r="N32" s="19" t="n"/>
      <c r="O32" s="19" t="n"/>
      <c r="P32" s="19" t="n"/>
      <c r="Q32" s="19" t="n"/>
      <c r="R32" s="13" t="n"/>
    </row>
    <row r="33" ht="92" customFormat="1" customHeight="1" s="8">
      <c r="A33" s="11" t="inlineStr">
        <is>
          <t>2025::jama.2025.11178::C032</t>
        </is>
      </c>
      <c r="B33" s="11" t="inlineStr">
        <is>
          <t>PGIC-pain 12-month Health Coach SMD outside printed CI</t>
        </is>
      </c>
      <c r="C33" s="11" t="inlineStr">
        <is>
          <t>main article — PDF p. 11, Table 3, PGIC-pain, 12 months, Health Coach vs usual care plus SMD.</t>
        </is>
      </c>
      <c r="D33" s="7" t="n"/>
      <c r="E33" s="7" t="inlineStr">
        <is>
          <t>statistical_results</t>
        </is>
      </c>
      <c r="F33" s="7" t="inlineStr">
        <is>
          <t>no</t>
        </is>
      </c>
      <c r="G33" s="11">
        <f>IFERROR(IF(LEN(TRIM(CLEAN(SUBSTITUTE(Setup!$B$2,CHAR(160)," "))))=0,"CHECK REVIEWER ID",IF(OR(A33="",(COUNTIF('C_jama.2024.24764'!$A$2:$A$9,A33)+COUNTIF('C_jama.2024.27643'!$A$2:$A$9,A33)+COUNTIF('C_jama.2025.11178'!$A$2:$A$38,A33)+COUNTIF('C_jama.2025.15185'!$A$2:$A$13,A33)+COUNTIF('C_jama.2025.15440'!$A$2:$A$3,A33)+COUNTIF('C_jama.2025.16450'!$A$2:$A$11,A33)+COUNTIF('C_jama.2025.19563'!$A$2:$A$8,A33)+COUNTIF('C_jama.2025.19843'!$A$2:$A$2,A33)+COUNTIF('C_jama.2025.20765'!$A$2:$A$14,A33)+COUNTIF('C_jama.2025.24175'!$A$2:$A$15,A33)+COUNTIF('C_jama.2025.4390'!$A$2:$A$4,A33)+COUNTIF('C_jama.2025.7583'!$A$2:$A$4,A33)+COUNTIF('C_jama.2025.7710'!$A$2:$A$5,A33)+COUNTIF('C_jama.2025.9110'!$A$2:$A$7,A33)+COUNTIF('C_jama.2025.9663'!$A$2:$A$4,A33))&lt;&gt;1,LEFT(A33,LEN("2025::jama.2025.11178::"))&lt;&gt;"2025::jama.2025.11178::"),"CHECK KEY",IF(OR(AND(NOT(AND(D33="retain",E33="statistical_results")),H33&lt;&gt;"",H33&lt;&gt;"not_applicable"),AND(NOT(AND(D33="retain",E33="statistical_results")),I33&lt;&gt;"",I33&lt;&gt;"not_applicable"),AND(NOT(AND(D33="retain",E33="statistical_results")),J33&lt;&gt;"",J33&lt;&gt;"not_applicable"),AND(NOT(AND(D33="retain",OR(E33="report_internal_inconsistency",E33="plan_material"))),K33&lt;&gt;"",K33&lt;&gt;"not_applicable"),AND(NOT(AND(D33="retain",E33="protocol_report")),L33&lt;&gt;"",L33&lt;&gt;"not_applicable")),"CLEAR INACTIVE VALUES",IF(OR(NOT(OR(D33="retain",D33="exclude",D33="discuss")),NOT(OR(E33="statistical_results",E33="report_internal_inconsistency",E33="plan_material",E33="protocol_report")),AND(AND(D33="retain",E33="statistical_results"),NOT(OR(H33="confirmed_issue",H33="probable_issue",H33="not_issue",H33="indeterminate"))),AND(AND(D33="retain",E33="statistical_results"),NOT(OR(I33="substantive",I33="minor_presentation",I33="indeterminate"))),AND(AND(D33="retain",E33="statistical_results"),J33&lt;&gt;"",NOT(OR(J33="direct",J33="possible",J33="unlikely",J33="unknown"))),AND(AND(D33="retain",OR(E33="report_internal_inconsistency",E33="plan_material")),NOT(OR(K33="substantive_inconsistency",K33="minor_presentation",K33="non_inconsistency",K33="indeterminate"))),AND(AND(D33="retain",E33="protocol_report"),L33&lt;&gt;"",NOT(OR(L33="substantive_difference",L33="minor_presentation",L33="version_timing",L33="non_inconsistency",L33="indeterminate")))),"CHECK FIELDS",IF(AND(F33&lt;&gt;"",NOT(OR(F33="no",F33="primary_done"))),"CHECK COMPLETE",IF(F33="primary_done","PRIMARY READY","PRIMARY DRAFT")))))),"CHECK INPUT / KEY")</f>
        <v/>
      </c>
      <c r="H33" s="7">
        <f>IF(AND(OR(D33="retain",D33=""),E33="statistical_results"),"","not_applicable")</f>
        <v/>
      </c>
      <c r="I33" s="7">
        <f>IF(AND(OR(D33="retain",D33=""),E33="statistical_results"),"","not_applicable")</f>
        <v/>
      </c>
      <c r="J33" s="13">
        <f>IF(AND(OR(D33="retain",D33=""),E33="statistical_results"),"","not_applicable")</f>
        <v/>
      </c>
      <c r="K33" s="7">
        <f>IF(AND(OR(D33="retain",D33=""),OR(E33="report_internal_inconsistency",E33="plan_material")),"","not_applicable")</f>
        <v/>
      </c>
      <c r="L33" s="13">
        <f>IF(AND(OR(D33="retain",D33=""),E33="protocol_report"),"","not_applicable")</f>
        <v/>
      </c>
      <c r="M33" s="19" t="n"/>
      <c r="N33" s="19" t="n"/>
      <c r="O33" s="19" t="n"/>
      <c r="P33" s="19" t="n"/>
      <c r="Q33" s="19" t="n"/>
      <c r="R33" s="13" t="n"/>
    </row>
    <row r="34" ht="92" customFormat="1" customHeight="1" s="8">
      <c r="A34" s="12" t="inlineStr">
        <is>
          <t>2025::jama.2025.11178::C033</t>
        </is>
      </c>
      <c r="B34" s="12" t="inlineStr">
        <is>
          <t>PGIC-pain 12-month Health Coach versus painTRAINER SMD outside printed CI</t>
        </is>
      </c>
      <c r="C34" s="12" t="inlineStr">
        <is>
          <t>main article — PDF p. 11, Table 3, PGIC-pain, 12 months, Health Coach vs painTRAINER SMD.</t>
        </is>
      </c>
      <c r="D34" s="7" t="n"/>
      <c r="E34" s="7" t="inlineStr">
        <is>
          <t>statistical_results</t>
        </is>
      </c>
      <c r="F34" s="7" t="inlineStr">
        <is>
          <t>no</t>
        </is>
      </c>
      <c r="G34" s="12">
        <f>IFERROR(IF(LEN(TRIM(CLEAN(SUBSTITUTE(Setup!$B$2,CHAR(160)," "))))=0,"CHECK REVIEWER ID",IF(OR(A34="",(COUNTIF('C_jama.2024.24764'!$A$2:$A$9,A34)+COUNTIF('C_jama.2024.27643'!$A$2:$A$9,A34)+COUNTIF('C_jama.2025.11178'!$A$2:$A$38,A34)+COUNTIF('C_jama.2025.15185'!$A$2:$A$13,A34)+COUNTIF('C_jama.2025.15440'!$A$2:$A$3,A34)+COUNTIF('C_jama.2025.16450'!$A$2:$A$11,A34)+COUNTIF('C_jama.2025.19563'!$A$2:$A$8,A34)+COUNTIF('C_jama.2025.19843'!$A$2:$A$2,A34)+COUNTIF('C_jama.2025.20765'!$A$2:$A$14,A34)+COUNTIF('C_jama.2025.24175'!$A$2:$A$15,A34)+COUNTIF('C_jama.2025.4390'!$A$2:$A$4,A34)+COUNTIF('C_jama.2025.7583'!$A$2:$A$4,A34)+COUNTIF('C_jama.2025.7710'!$A$2:$A$5,A34)+COUNTIF('C_jama.2025.9110'!$A$2:$A$7,A34)+COUNTIF('C_jama.2025.9663'!$A$2:$A$4,A34))&lt;&gt;1,LEFT(A34,LEN("2025::jama.2025.11178::"))&lt;&gt;"2025::jama.2025.11178::"),"CHECK KEY",IF(OR(AND(NOT(AND(D34="retain",E34="statistical_results")),H34&lt;&gt;"",H34&lt;&gt;"not_applicable"),AND(NOT(AND(D34="retain",E34="statistical_results")),I34&lt;&gt;"",I34&lt;&gt;"not_applicable"),AND(NOT(AND(D34="retain",E34="statistical_results")),J34&lt;&gt;"",J34&lt;&gt;"not_applicable"),AND(NOT(AND(D34="retain",OR(E34="report_internal_inconsistency",E34="plan_material"))),K34&lt;&gt;"",K34&lt;&gt;"not_applicable"),AND(NOT(AND(D34="retain",E34="protocol_report")),L34&lt;&gt;"",L34&lt;&gt;"not_applicable")),"CLEAR INACTIVE VALUES",IF(OR(NOT(OR(D34="retain",D34="exclude",D34="discuss")),NOT(OR(E34="statistical_results",E34="report_internal_inconsistency",E34="plan_material",E34="protocol_report")),AND(AND(D34="retain",E34="statistical_results"),NOT(OR(H34="confirmed_issue",H34="probable_issue",H34="not_issue",H34="indeterminate"))),AND(AND(D34="retain",E34="statistical_results"),NOT(OR(I34="substantive",I34="minor_presentation",I34="indeterminate"))),AND(AND(D34="retain",E34="statistical_results"),J34&lt;&gt;"",NOT(OR(J34="direct",J34="possible",J34="unlikely",J34="unknown"))),AND(AND(D34="retain",OR(E34="report_internal_inconsistency",E34="plan_material")),NOT(OR(K34="substantive_inconsistency",K34="minor_presentation",K34="non_inconsistency",K34="indeterminate"))),AND(AND(D34="retain",E34="protocol_report"),L34&lt;&gt;"",NOT(OR(L34="substantive_difference",L34="minor_presentation",L34="version_timing",L34="non_inconsistency",L34="indeterminate")))),"CHECK FIELDS",IF(AND(F34&lt;&gt;"",NOT(OR(F34="no",F34="primary_done"))),"CHECK COMPLETE",IF(F34="primary_done","PRIMARY READY","PRIMARY DRAFT")))))),"CHECK INPUT / KEY")</f>
        <v/>
      </c>
      <c r="H34" s="7">
        <f>IF(AND(OR(D34="retain",D34=""),E34="statistical_results"),"","not_applicable")</f>
        <v/>
      </c>
      <c r="I34" s="7">
        <f>IF(AND(OR(D34="retain",D34=""),E34="statistical_results"),"","not_applicable")</f>
        <v/>
      </c>
      <c r="J34" s="13">
        <f>IF(AND(OR(D34="retain",D34=""),E34="statistical_results"),"","not_applicable")</f>
        <v/>
      </c>
      <c r="K34" s="7">
        <f>IF(AND(OR(D34="retain",D34=""),OR(E34="report_internal_inconsistency",E34="plan_material")),"","not_applicable")</f>
        <v/>
      </c>
      <c r="L34" s="13">
        <f>IF(AND(OR(D34="retain",D34=""),E34="protocol_report"),"","not_applicable")</f>
        <v/>
      </c>
      <c r="M34" s="19" t="n"/>
      <c r="N34" s="19" t="n"/>
      <c r="O34" s="19" t="n"/>
      <c r="P34" s="19" t="n"/>
      <c r="Q34" s="19" t="n"/>
      <c r="R34" s="13" t="n"/>
    </row>
    <row r="35" ht="92" customFormat="1" customHeight="1" s="8">
      <c r="A35" s="11" t="inlineStr">
        <is>
          <t>2025::jama.2025.11178::C034</t>
        </is>
      </c>
      <c r="B35" s="11" t="inlineStr">
        <is>
          <t>Female total differs across sources if the printed derivations are intended to match</t>
        </is>
      </c>
      <c r="C35" s="11" t="inlineStr">
        <is>
          <t>main article — PDF p. 1, Abstract; main article — PDF p. 6, Table 1; workbook, worksheet eTable 3, cells A11:B11.</t>
        </is>
      </c>
      <c r="D35" s="7" t="n"/>
      <c r="E35" s="7" t="inlineStr">
        <is>
          <t>report_internal_inconsistency</t>
        </is>
      </c>
      <c r="F35" s="7" t="inlineStr">
        <is>
          <t>no</t>
        </is>
      </c>
      <c r="G35" s="11">
        <f>IFERROR(IF(LEN(TRIM(CLEAN(SUBSTITUTE(Setup!$B$2,CHAR(160)," "))))=0,"CHECK REVIEWER ID",IF(OR(A35="",(COUNTIF('C_jama.2024.24764'!$A$2:$A$9,A35)+COUNTIF('C_jama.2024.27643'!$A$2:$A$9,A35)+COUNTIF('C_jama.2025.11178'!$A$2:$A$38,A35)+COUNTIF('C_jama.2025.15185'!$A$2:$A$13,A35)+COUNTIF('C_jama.2025.15440'!$A$2:$A$3,A35)+COUNTIF('C_jama.2025.16450'!$A$2:$A$11,A35)+COUNTIF('C_jama.2025.19563'!$A$2:$A$8,A35)+COUNTIF('C_jama.2025.19843'!$A$2:$A$2,A35)+COUNTIF('C_jama.2025.20765'!$A$2:$A$14,A35)+COUNTIF('C_jama.2025.24175'!$A$2:$A$15,A35)+COUNTIF('C_jama.2025.4390'!$A$2:$A$4,A35)+COUNTIF('C_jama.2025.7583'!$A$2:$A$4,A35)+COUNTIF('C_jama.2025.7710'!$A$2:$A$5,A35)+COUNTIF('C_jama.2025.9110'!$A$2:$A$7,A35)+COUNTIF('C_jama.2025.9663'!$A$2:$A$4,A35))&lt;&gt;1,LEFT(A35,LEN("2025::jama.2025.11178::"))&lt;&gt;"2025::jama.2025.11178::"),"CHECK KEY",IF(OR(AND(NOT(AND(D35="retain",E35="statistical_results")),H35&lt;&gt;"",H35&lt;&gt;"not_applicable"),AND(NOT(AND(D35="retain",E35="statistical_results")),I35&lt;&gt;"",I35&lt;&gt;"not_applicable"),AND(NOT(AND(D35="retain",E35="statistical_results")),J35&lt;&gt;"",J35&lt;&gt;"not_applicable"),AND(NOT(AND(D35="retain",OR(E35="report_internal_inconsistency",E35="plan_material"))),K35&lt;&gt;"",K35&lt;&gt;"not_applicable"),AND(NOT(AND(D35="retain",E35="protocol_report")),L35&lt;&gt;"",L35&lt;&gt;"not_applicable")),"CLEAR INACTIVE VALUES",IF(OR(NOT(OR(D35="retain",D35="exclude",D35="discuss")),NOT(OR(E35="statistical_results",E35="report_internal_inconsistency",E35="plan_material",E35="protocol_report")),AND(AND(D35="retain",E35="statistical_results"),NOT(OR(H35="confirmed_issue",H35="probable_issue",H35="not_issue",H35="indeterminate"))),AND(AND(D35="retain",E35="statistical_results"),NOT(OR(I35="substantive",I35="minor_presentation",I35="indeterminate"))),AND(AND(D35="retain",E35="statistical_results"),J35&lt;&gt;"",NOT(OR(J35="direct",J35="possible",J35="unlikely",J35="unknown"))),AND(AND(D35="retain",OR(E35="report_internal_inconsistency",E35="plan_material")),NOT(OR(K35="substantive_inconsistency",K35="minor_presentation",K35="non_inconsistency",K35="indeterminate"))),AND(AND(D35="retain",E35="protocol_report"),L35&lt;&gt;"",NOT(OR(L35="substantive_difference",L35="minor_presentation",L35="version_timing",L35="non_inconsistency",L35="indeterminate")))),"CHECK FIELDS",IF(AND(F35&lt;&gt;"",NOT(OR(F35="no",F35="primary_done"))),"CHECK COMPLETE",IF(F35="primary_done","PRIMARY READY","PRIMARY DRAFT")))))),"CHECK INPUT / KEY")</f>
        <v/>
      </c>
      <c r="H35" s="7">
        <f>IF(AND(OR(D35="retain",D35=""),E35="statistical_results"),"","not_applicable")</f>
        <v/>
      </c>
      <c r="I35" s="7">
        <f>IF(AND(OR(D35="retain",D35=""),E35="statistical_results"),"","not_applicable")</f>
        <v/>
      </c>
      <c r="J35" s="13">
        <f>IF(AND(OR(D35="retain",D35=""),E35="statistical_results"),"","not_applicable")</f>
        <v/>
      </c>
      <c r="K35" s="7">
        <f>IF(AND(OR(D35="retain",D35=""),OR(E35="report_internal_inconsistency",E35="plan_material")),"","not_applicable")</f>
        <v/>
      </c>
      <c r="L35" s="13">
        <f>IF(AND(OR(D35="retain",D35=""),E35="protocol_report"),"","not_applicable")</f>
        <v/>
      </c>
      <c r="M35" s="19" t="n"/>
      <c r="N35" s="19" t="n"/>
      <c r="O35" s="19" t="n"/>
      <c r="P35" s="19" t="n"/>
      <c r="Q35" s="19" t="n"/>
      <c r="R35" s="13" t="n"/>
    </row>
    <row r="36" ht="92" customFormat="1" customHeight="1" s="8">
      <c r="A36" s="12" t="inlineStr">
        <is>
          <t>2025::jama.2025.11178::C035</t>
        </is>
      </c>
      <c r="B36" s="12" t="inlineStr">
        <is>
          <t>Narrative current-depression percentage differs from Table 1/workbook record</t>
        </is>
      </c>
      <c r="C36" s="12" t="inlineStr">
        <is>
          <t>main article — PDF p. 4, Results; main article — PDF p. 6, Table 1; workbook, worksheet eTable 3, cells A82:B82.</t>
        </is>
      </c>
      <c r="D36" s="7" t="n"/>
      <c r="E36" s="7" t="inlineStr">
        <is>
          <t>report_internal_inconsistency</t>
        </is>
      </c>
      <c r="F36" s="7" t="inlineStr">
        <is>
          <t>no</t>
        </is>
      </c>
      <c r="G36" s="12">
        <f>IFERROR(IF(LEN(TRIM(CLEAN(SUBSTITUTE(Setup!$B$2,CHAR(160)," "))))=0,"CHECK REVIEWER ID",IF(OR(A36="",(COUNTIF('C_jama.2024.24764'!$A$2:$A$9,A36)+COUNTIF('C_jama.2024.27643'!$A$2:$A$9,A36)+COUNTIF('C_jama.2025.11178'!$A$2:$A$38,A36)+COUNTIF('C_jama.2025.15185'!$A$2:$A$13,A36)+COUNTIF('C_jama.2025.15440'!$A$2:$A$3,A36)+COUNTIF('C_jama.2025.16450'!$A$2:$A$11,A36)+COUNTIF('C_jama.2025.19563'!$A$2:$A$8,A36)+COUNTIF('C_jama.2025.19843'!$A$2:$A$2,A36)+COUNTIF('C_jama.2025.20765'!$A$2:$A$14,A36)+COUNTIF('C_jama.2025.24175'!$A$2:$A$15,A36)+COUNTIF('C_jama.2025.4390'!$A$2:$A$4,A36)+COUNTIF('C_jama.2025.7583'!$A$2:$A$4,A36)+COUNTIF('C_jama.2025.7710'!$A$2:$A$5,A36)+COUNTIF('C_jama.2025.9110'!$A$2:$A$7,A36)+COUNTIF('C_jama.2025.9663'!$A$2:$A$4,A36))&lt;&gt;1,LEFT(A36,LEN("2025::jama.2025.11178::"))&lt;&gt;"2025::jama.2025.11178::"),"CHECK KEY",IF(OR(AND(NOT(AND(D36="retain",E36="statistical_results")),H36&lt;&gt;"",H36&lt;&gt;"not_applicable"),AND(NOT(AND(D36="retain",E36="statistical_results")),I36&lt;&gt;"",I36&lt;&gt;"not_applicable"),AND(NOT(AND(D36="retain",E36="statistical_results")),J36&lt;&gt;"",J36&lt;&gt;"not_applicable"),AND(NOT(AND(D36="retain",OR(E36="report_internal_inconsistency",E36="plan_material"))),K36&lt;&gt;"",K36&lt;&gt;"not_applicable"),AND(NOT(AND(D36="retain",E36="protocol_report")),L36&lt;&gt;"",L36&lt;&gt;"not_applicable")),"CLEAR INACTIVE VALUES",IF(OR(NOT(OR(D36="retain",D36="exclude",D36="discuss")),NOT(OR(E36="statistical_results",E36="report_internal_inconsistency",E36="plan_material",E36="protocol_report")),AND(AND(D36="retain",E36="statistical_results"),NOT(OR(H36="confirmed_issue",H36="probable_issue",H36="not_issue",H36="indeterminate"))),AND(AND(D36="retain",E36="statistical_results"),NOT(OR(I36="substantive",I36="minor_presentation",I36="indeterminate"))),AND(AND(D36="retain",E36="statistical_results"),J36&lt;&gt;"",NOT(OR(J36="direct",J36="possible",J36="unlikely",J36="unknown"))),AND(AND(D36="retain",OR(E36="report_internal_inconsistency",E36="plan_material")),NOT(OR(K36="substantive_inconsistency",K36="minor_presentation",K36="non_inconsistency",K36="indeterminate"))),AND(AND(D36="retain",E36="protocol_report"),L36&lt;&gt;"",NOT(OR(L36="substantive_difference",L36="minor_presentation",L36="version_timing",L36="non_inconsistency",L36="indeterminate")))),"CHECK FIELDS",IF(AND(F36&lt;&gt;"",NOT(OR(F36="no",F36="primary_done"))),"CHECK COMPLETE",IF(F36="primary_done","PRIMARY READY","PRIMARY DRAFT")))))),"CHECK INPUT / KEY")</f>
        <v/>
      </c>
      <c r="H36" s="7">
        <f>IF(AND(OR(D36="retain",D36=""),E36="statistical_results"),"","not_applicable")</f>
        <v/>
      </c>
      <c r="I36" s="7">
        <f>IF(AND(OR(D36="retain",D36=""),E36="statistical_results"),"","not_applicable")</f>
        <v/>
      </c>
      <c r="J36" s="13">
        <f>IF(AND(OR(D36="retain",D36=""),E36="statistical_results"),"","not_applicable")</f>
        <v/>
      </c>
      <c r="K36" s="7">
        <f>IF(AND(OR(D36="retain",D36=""),OR(E36="report_internal_inconsistency",E36="plan_material")),"","not_applicable")</f>
        <v/>
      </c>
      <c r="L36" s="13">
        <f>IF(AND(OR(D36="retain",D36=""),E36="protocol_report"),"","not_applicable")</f>
        <v/>
      </c>
      <c r="M36" s="19" t="n"/>
      <c r="N36" s="19" t="n"/>
      <c r="O36" s="19" t="n"/>
      <c r="P36" s="19" t="n"/>
      <c r="Q36" s="19" t="n"/>
      <c r="R36" s="13" t="n"/>
    </row>
    <row r="37" ht="92" customFormat="1" customHeight="1" s="8">
      <c r="A37" s="11" t="inlineStr">
        <is>
          <t>2025::jama.2025.11178::C036</t>
        </is>
      </c>
      <c r="B37" s="11" t="inlineStr">
        <is>
          <t>painTRAINER 3-month pain-severity SMD differs between narrative and Table 3</t>
        </is>
      </c>
      <c r="C37" s="11" t="inlineStr">
        <is>
          <t>main article — PDF p. 7, Secondary Outcomes; main article — PDF p. 10, Table 3.</t>
        </is>
      </c>
      <c r="D37" s="7" t="n"/>
      <c r="E37" s="7" t="inlineStr">
        <is>
          <t>report_internal_inconsistency</t>
        </is>
      </c>
      <c r="F37" s="7" t="inlineStr">
        <is>
          <t>no</t>
        </is>
      </c>
      <c r="G37" s="11">
        <f>IFERROR(IF(LEN(TRIM(CLEAN(SUBSTITUTE(Setup!$B$2,CHAR(160)," "))))=0,"CHECK REVIEWER ID",IF(OR(A37="",(COUNTIF('C_jama.2024.24764'!$A$2:$A$9,A37)+COUNTIF('C_jama.2024.27643'!$A$2:$A$9,A37)+COUNTIF('C_jama.2025.11178'!$A$2:$A$38,A37)+COUNTIF('C_jama.2025.15185'!$A$2:$A$13,A37)+COUNTIF('C_jama.2025.15440'!$A$2:$A$3,A37)+COUNTIF('C_jama.2025.16450'!$A$2:$A$11,A37)+COUNTIF('C_jama.2025.19563'!$A$2:$A$8,A37)+COUNTIF('C_jama.2025.19843'!$A$2:$A$2,A37)+COUNTIF('C_jama.2025.20765'!$A$2:$A$14,A37)+COUNTIF('C_jama.2025.24175'!$A$2:$A$15,A37)+COUNTIF('C_jama.2025.4390'!$A$2:$A$4,A37)+COUNTIF('C_jama.2025.7583'!$A$2:$A$4,A37)+COUNTIF('C_jama.2025.7710'!$A$2:$A$5,A37)+COUNTIF('C_jama.2025.9110'!$A$2:$A$7,A37)+COUNTIF('C_jama.2025.9663'!$A$2:$A$4,A37))&lt;&gt;1,LEFT(A37,LEN("2025::jama.2025.11178::"))&lt;&gt;"2025::jama.2025.11178::"),"CHECK KEY",IF(OR(AND(NOT(AND(D37="retain",E37="statistical_results")),H37&lt;&gt;"",H37&lt;&gt;"not_applicable"),AND(NOT(AND(D37="retain",E37="statistical_results")),I37&lt;&gt;"",I37&lt;&gt;"not_applicable"),AND(NOT(AND(D37="retain",E37="statistical_results")),J37&lt;&gt;"",J37&lt;&gt;"not_applicable"),AND(NOT(AND(D37="retain",OR(E37="report_internal_inconsistency",E37="plan_material"))),K37&lt;&gt;"",K37&lt;&gt;"not_applicable"),AND(NOT(AND(D37="retain",E37="protocol_report")),L37&lt;&gt;"",L37&lt;&gt;"not_applicable")),"CLEAR INACTIVE VALUES",IF(OR(NOT(OR(D37="retain",D37="exclude",D37="discuss")),NOT(OR(E37="statistical_results",E37="report_internal_inconsistency",E37="plan_material",E37="protocol_report")),AND(AND(D37="retain",E37="statistical_results"),NOT(OR(H37="confirmed_issue",H37="probable_issue",H37="not_issue",H37="indeterminate"))),AND(AND(D37="retain",E37="statistical_results"),NOT(OR(I37="substantive",I37="minor_presentation",I37="indeterminate"))),AND(AND(D37="retain",E37="statistical_results"),J37&lt;&gt;"",NOT(OR(J37="direct",J37="possible",J37="unlikely",J37="unknown"))),AND(AND(D37="retain",OR(E37="report_internal_inconsistency",E37="plan_material")),NOT(OR(K37="substantive_inconsistency",K37="minor_presentation",K37="non_inconsistency",K37="indeterminate"))),AND(AND(D37="retain",E37="protocol_report"),L37&lt;&gt;"",NOT(OR(L37="substantive_difference",L37="minor_presentation",L37="version_timing",L37="non_inconsistency",L37="indeterminate")))),"CHECK FIELDS",IF(AND(F37&lt;&gt;"",NOT(OR(F37="no",F37="primary_done"))),"CHECK COMPLETE",IF(F37="primary_done","PRIMARY READY","PRIMARY DRAFT")))))),"CHECK INPUT / KEY")</f>
        <v/>
      </c>
      <c r="H37" s="7">
        <f>IF(AND(OR(D37="retain",D37=""),E37="statistical_results"),"","not_applicable")</f>
        <v/>
      </c>
      <c r="I37" s="7">
        <f>IF(AND(OR(D37="retain",D37=""),E37="statistical_results"),"","not_applicable")</f>
        <v/>
      </c>
      <c r="J37" s="13">
        <f>IF(AND(OR(D37="retain",D37=""),E37="statistical_results"),"","not_applicable")</f>
        <v/>
      </c>
      <c r="K37" s="7">
        <f>IF(AND(OR(D37="retain",D37=""),OR(E37="report_internal_inconsistency",E37="plan_material")),"","not_applicable")</f>
        <v/>
      </c>
      <c r="L37" s="13">
        <f>IF(AND(OR(D37="retain",D37=""),E37="protocol_report"),"","not_applicable")</f>
        <v/>
      </c>
      <c r="M37" s="19" t="n"/>
      <c r="N37" s="19" t="n"/>
      <c r="O37" s="19" t="n"/>
      <c r="P37" s="19" t="n"/>
      <c r="Q37" s="19" t="n"/>
      <c r="R37" s="13" t="n"/>
    </row>
    <row r="38" ht="92" customFormat="1" customHeight="1" s="8">
      <c r="A38" s="12" t="inlineStr">
        <is>
          <t>2025::jama.2025.11178::C037</t>
        </is>
      </c>
      <c r="B38" s="12" t="inlineStr">
        <is>
          <t>Health Coach 3-month pain-severity SMD differs between narrative and Table 3</t>
        </is>
      </c>
      <c r="C38" s="12" t="inlineStr">
        <is>
          <t>main article — PDF p. 7, Secondary Outcomes; main article — PDF p. 10, Table 3.</t>
        </is>
      </c>
      <c r="D38" s="7" t="n"/>
      <c r="E38" s="7" t="inlineStr">
        <is>
          <t>report_internal_inconsistency</t>
        </is>
      </c>
      <c r="F38" s="7" t="inlineStr">
        <is>
          <t>no</t>
        </is>
      </c>
      <c r="G38" s="12">
        <f>IFERROR(IF(LEN(TRIM(CLEAN(SUBSTITUTE(Setup!$B$2,CHAR(160)," "))))=0,"CHECK REVIEWER ID",IF(OR(A38="",(COUNTIF('C_jama.2024.24764'!$A$2:$A$9,A38)+COUNTIF('C_jama.2024.27643'!$A$2:$A$9,A38)+COUNTIF('C_jama.2025.11178'!$A$2:$A$38,A38)+COUNTIF('C_jama.2025.15185'!$A$2:$A$13,A38)+COUNTIF('C_jama.2025.15440'!$A$2:$A$3,A38)+COUNTIF('C_jama.2025.16450'!$A$2:$A$11,A38)+COUNTIF('C_jama.2025.19563'!$A$2:$A$8,A38)+COUNTIF('C_jama.2025.19843'!$A$2:$A$2,A38)+COUNTIF('C_jama.2025.20765'!$A$2:$A$14,A38)+COUNTIF('C_jama.2025.24175'!$A$2:$A$15,A38)+COUNTIF('C_jama.2025.4390'!$A$2:$A$4,A38)+COUNTIF('C_jama.2025.7583'!$A$2:$A$4,A38)+COUNTIF('C_jama.2025.7710'!$A$2:$A$5,A38)+COUNTIF('C_jama.2025.9110'!$A$2:$A$7,A38)+COUNTIF('C_jama.2025.9663'!$A$2:$A$4,A38))&lt;&gt;1,LEFT(A38,LEN("2025::jama.2025.11178::"))&lt;&gt;"2025::jama.2025.11178::"),"CHECK KEY",IF(OR(AND(NOT(AND(D38="retain",E38="statistical_results")),H38&lt;&gt;"",H38&lt;&gt;"not_applicable"),AND(NOT(AND(D38="retain",E38="statistical_results")),I38&lt;&gt;"",I38&lt;&gt;"not_applicable"),AND(NOT(AND(D38="retain",E38="statistical_results")),J38&lt;&gt;"",J38&lt;&gt;"not_applicable"),AND(NOT(AND(D38="retain",OR(E38="report_internal_inconsistency",E38="plan_material"))),K38&lt;&gt;"",K38&lt;&gt;"not_applicable"),AND(NOT(AND(D38="retain",E38="protocol_report")),L38&lt;&gt;"",L38&lt;&gt;"not_applicable")),"CLEAR INACTIVE VALUES",IF(OR(NOT(OR(D38="retain",D38="exclude",D38="discuss")),NOT(OR(E38="statistical_results",E38="report_internal_inconsistency",E38="plan_material",E38="protocol_report")),AND(AND(D38="retain",E38="statistical_results"),NOT(OR(H38="confirmed_issue",H38="probable_issue",H38="not_issue",H38="indeterminate"))),AND(AND(D38="retain",E38="statistical_results"),NOT(OR(I38="substantive",I38="minor_presentation",I38="indeterminate"))),AND(AND(D38="retain",E38="statistical_results"),J38&lt;&gt;"",NOT(OR(J38="direct",J38="possible",J38="unlikely",J38="unknown"))),AND(AND(D38="retain",OR(E38="report_internal_inconsistency",E38="plan_material")),NOT(OR(K38="substantive_inconsistency",K38="minor_presentation",K38="non_inconsistency",K38="indeterminate"))),AND(AND(D38="retain",E38="protocol_report"),L38&lt;&gt;"",NOT(OR(L38="substantive_difference",L38="minor_presentation",L38="version_timing",L38="non_inconsistency",L38="indeterminate")))),"CHECK FIELDS",IF(AND(F38&lt;&gt;"",NOT(OR(F38="no",F38="primary_done"))),"CHECK COMPLETE",IF(F38="primary_done","PRIMARY READY","PRIMARY DRAFT")))))),"CHECK INPUT / KEY")</f>
        <v/>
      </c>
      <c r="H38" s="7">
        <f>IF(AND(OR(D38="retain",D38=""),E38="statistical_results"),"","not_applicable")</f>
        <v/>
      </c>
      <c r="I38" s="7">
        <f>IF(AND(OR(D38="retain",D38=""),E38="statistical_results"),"","not_applicable")</f>
        <v/>
      </c>
      <c r="J38" s="13">
        <f>IF(AND(OR(D38="retain",D38=""),E38="statistical_results"),"","not_applicable")</f>
        <v/>
      </c>
      <c r="K38" s="7">
        <f>IF(AND(OR(D38="retain",D38=""),OR(E38="report_internal_inconsistency",E38="plan_material")),"","not_applicable")</f>
        <v/>
      </c>
      <c r="L38" s="13">
        <f>IF(AND(OR(D38="retain",D38=""),E38="protocol_report"),"","not_applicable")</f>
        <v/>
      </c>
      <c r="M38" s="19" t="n"/>
      <c r="N38" s="19" t="n"/>
      <c r="O38" s="19" t="n"/>
      <c r="P38" s="19" t="n"/>
      <c r="Q38" s="19" t="n"/>
      <c r="R38" s="13" t="n"/>
    </row>
  </sheetData>
  <autoFilter ref="A1:R38"/>
  <conditionalFormatting sqref="G2:G38">
    <cfRule type="expression" priority="1" dxfId="105">
      <formula>G2&lt;&gt;"PRIMARY READY"</formula>
    </cfRule>
  </conditionalFormatting>
  <conditionalFormatting sqref="H2:H38">
    <cfRule type="expression" priority="2" dxfId="106">
      <formula>NOT(AND(OR($D2="retain",$D2=""),$E2="statistical_results"))</formula>
    </cfRule>
  </conditionalFormatting>
  <conditionalFormatting sqref="I2:I38">
    <cfRule type="expression" priority="3" dxfId="106">
      <formula>NOT(AND(OR($D2="retain",$D2=""),$E2="statistical_results"))</formula>
    </cfRule>
  </conditionalFormatting>
  <conditionalFormatting sqref="J2:J38">
    <cfRule type="expression" priority="4" dxfId="106">
      <formula>NOT(AND(OR($D2="retain",$D2=""),$E2="statistical_results"))</formula>
    </cfRule>
  </conditionalFormatting>
  <conditionalFormatting sqref="K2:K38">
    <cfRule type="expression" priority="5" dxfId="106">
      <formula>NOT(AND(OR($D2="retain",$D2=""),OR($E2="report_internal_inconsistency",$E2="plan_material")))</formula>
    </cfRule>
  </conditionalFormatting>
  <conditionalFormatting sqref="L2:L38">
    <cfRule type="expression" priority="6" dxfId="106">
      <formula>NOT(AND(OR($D2="retain",$D2=""),$E2="protocol_report"))</formula>
    </cfRule>
  </conditionalFormatting>
  <dataValidations count="8">
    <dataValidation sqref="D2:D38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38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38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38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38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38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38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38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2025::jama.2025.15185::C001</t>
        </is>
      </c>
      <c r="B2" s="12" t="inlineStr">
        <is>
          <t>Baseline index-stroke type counts differ across baseline tables</t>
        </is>
      </c>
      <c r="C2" s="12" t="inlineStr">
        <is>
          <t>DOC-001, main article — PDF p. 4, Table 1; DOC-004, Supplement 3 — PDF p. 10 and PDF p. 11, eTable 1.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2025.15185::"))&lt;&gt;"2025::jama.2025.15185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2025::jama.2025.15185::C002</t>
        </is>
      </c>
      <c r="B3" s="11" t="inlineStr">
        <is>
          <t>Baseline NIHSS statistic and label do not reconcile across tables</t>
        </is>
      </c>
      <c r="C3" s="11" t="inlineStr">
        <is>
          <t>DOC-001, main article — PDF p. 4, Table 1, and PDF p. 5, Results; DOC-004, Supplement 3 — PDF p. 11, eTable 1.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2025.15185::"))&lt;&gt;"2025::jama.2025.15185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2025::jama.2025.15185::C003</t>
        </is>
      </c>
      <c r="B4" s="12" t="inlineStr">
        <is>
          <t>Time from stroke onset to randomization differs across baseline tables</t>
        </is>
      </c>
      <c r="C4" s="12" t="inlineStr">
        <is>
          <t>DOC-001, main article — PDF p. 4, Table 1; DOC-004, Supplement 3 — PDF p. 11, eTable 1.</t>
        </is>
      </c>
      <c r="D4" s="7" t="n"/>
      <c r="E4" s="7" t="inlineStr">
        <is>
          <t>report_internal_inconsistency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2025.15185::"))&lt;&gt;"2025::jama.2025.15185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2025::jama.2025.15185::C004</t>
        </is>
      </c>
      <c r="B5" s="11" t="inlineStr">
        <is>
          <t>Estimand 4 confidence-interval upper endpoint differs within eTable 2</t>
        </is>
      </c>
      <c r="C5" s="11" t="inlineStr">
        <is>
          <t>DOC-004, Supplement 3 — PDF p. 12, eTable 2 narrative; PDF p. 13, Estimand 4 row.</t>
        </is>
      </c>
      <c r="D5" s="7" t="n"/>
      <c r="E5" s="7" t="inlineStr">
        <is>
          <t>statistical_results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2025.15185::"))&lt;&gt;"2025::jama.2025.15185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2025::jama.2025.15185::C005</t>
        </is>
      </c>
      <c r="B6" s="12" t="inlineStr">
        <is>
          <t>Levodopa PROMIS-29 descriptive mean differs between main text and eTable 4</t>
        </is>
      </c>
      <c r="C6" s="12" t="inlineStr">
        <is>
          <t>DOC-001, main article — PDF p. 6, Secondary Outcomes; DOC-004, Supplement 3 — PDF p. 15, eTable 4.</t>
        </is>
      </c>
      <c r="D6" s="7" t="n"/>
      <c r="E6" s="7" t="inlineStr">
        <is>
          <t>report_internal_inconsistency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2025.15185::"))&lt;&gt;"2025::jama.2025.15185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2025::jama.2025.15185::C006</t>
        </is>
      </c>
      <c r="B7" s="11" t="inlineStr">
        <is>
          <t>PROMIS-10 descriptive means differ between main text and eTable 4</t>
        </is>
      </c>
      <c r="C7" s="11" t="inlineStr">
        <is>
          <t>DOC-001, main article — PDF p. 6, Secondary Outcomes; DOC-004, Supplement 3 — PDF p. 15, eTable 4.</t>
        </is>
      </c>
      <c r="D7" s="7" t="n"/>
      <c r="E7" s="7" t="inlineStr">
        <is>
          <t>report_internal_inconsistency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2025.15185::"))&lt;&gt;"2025::jama.2025.15185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2025::jama.2025.15185::C007</t>
        </is>
      </c>
      <c r="B8" s="12" t="inlineStr">
        <is>
          <t>Placebo five-week FMA standard deviation differs from eTable 4</t>
        </is>
      </c>
      <c r="C8" s="12" t="inlineStr">
        <is>
          <t>DOC-001, main article — PDF p. 6, Secondary Outcomes; DOC-004, Supplement 3 — PDF p. 15, eTable 4.</t>
        </is>
      </c>
      <c r="D8" s="7" t="n"/>
      <c r="E8" s="7" t="inlineStr">
        <is>
          <t>report_internal_inconsistency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2025.15185::"))&lt;&gt;"2025::jama.2025.15185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2025::jama.2025.15185::C008</t>
        </is>
      </c>
      <c r="B9" s="11" t="inlineStr">
        <is>
          <t>Placebo PRAI no-improvement numerator differs between main text and eTable 4</t>
        </is>
      </c>
      <c r="C9" s="11" t="inlineStr">
        <is>
          <t>DOC-001, main article — PDF p. 6, Secondary Outcomes; DOC-004, Supplement 3 — PDF p. 15, eTable 4.</t>
        </is>
      </c>
      <c r="D9" s="7" t="n"/>
      <c r="E9" s="7" t="inlineStr">
        <is>
          <t>report_internal_inconsistency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2025.15185::"))&lt;&gt;"2025::jama.2025.15185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  <row r="10" ht="92" customFormat="1" customHeight="1" s="8">
      <c r="A10" s="12" t="inlineStr">
        <is>
          <t>2025::jama.2025.15185::C009</t>
        </is>
      </c>
      <c r="B10" s="12" t="inlineStr">
        <is>
          <t>eTable 6 overall adverse-event total is one below arms and category sums</t>
        </is>
      </c>
      <c r="C10" s="12" t="inlineStr">
        <is>
          <t>DOC-001, main article — PDF p. 6, Table 2 and narrative, and PDF p. 7; DOC-004, Supplement 3 — PDF p. 17, eTable 6.</t>
        </is>
      </c>
      <c r="D10" s="7" t="n"/>
      <c r="E10" s="7" t="inlineStr">
        <is>
          <t>statistical_results</t>
        </is>
      </c>
      <c r="F10" s="7" t="inlineStr">
        <is>
          <t>no</t>
        </is>
      </c>
      <c r="G10" s="12">
        <f>IFERROR(IF(LEN(TRIM(CLEAN(SUBSTITUTE(Setup!$B$2,CHAR(160)," "))))=0,"CHECK REVIEWER ID",IF(OR(A10="",(COUNTIF('C_jama.2024.24764'!$A$2:$A$9,A10)+COUNTIF('C_jama.2024.27643'!$A$2:$A$9,A10)+COUNTIF('C_jama.2025.11178'!$A$2:$A$38,A10)+COUNTIF('C_jama.2025.15185'!$A$2:$A$13,A10)+COUNTIF('C_jama.2025.15440'!$A$2:$A$3,A10)+COUNTIF('C_jama.2025.16450'!$A$2:$A$11,A10)+COUNTIF('C_jama.2025.19563'!$A$2:$A$8,A10)+COUNTIF('C_jama.2025.19843'!$A$2:$A$2,A10)+COUNTIF('C_jama.2025.20765'!$A$2:$A$14,A10)+COUNTIF('C_jama.2025.24175'!$A$2:$A$15,A10)+COUNTIF('C_jama.2025.4390'!$A$2:$A$4,A10)+COUNTIF('C_jama.2025.7583'!$A$2:$A$4,A10)+COUNTIF('C_jama.2025.7710'!$A$2:$A$5,A10)+COUNTIF('C_jama.2025.9110'!$A$2:$A$7,A10)+COUNTIF('C_jama.2025.9663'!$A$2:$A$4,A10))&lt;&gt;1,LEFT(A10,LEN("2025::jama.2025.15185::"))&lt;&gt;"2025::jama.2025.15185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COMPLETE",IF(F10="primary_done","PRIMARY READY","PRIMARY DRAFT")))))),"CHECK INPUT / KEY")</f>
        <v/>
      </c>
      <c r="H10" s="7">
        <f>IF(AND(OR(D10="retain",D10=""),E10="statistical_results"),"","not_applicable")</f>
        <v/>
      </c>
      <c r="I10" s="7">
        <f>IF(AND(OR(D10="retain",D10=""),E10="statistical_results"),"","not_applicable")</f>
        <v/>
      </c>
      <c r="J10" s="13">
        <f>IF(AND(OR(D10="retain",D10=""),E10="statistical_results"),"","not_applicable")</f>
        <v/>
      </c>
      <c r="K10" s="7">
        <f>IF(AND(OR(D10="retain",D10=""),OR(E10="report_internal_inconsistency",E10="plan_material")),"","not_applicable")</f>
        <v/>
      </c>
      <c r="L10" s="13">
        <f>IF(AND(OR(D10="retain",D10=""),E10="protocol_report"),"","not_applicable")</f>
        <v/>
      </c>
      <c r="M10" s="19" t="n"/>
      <c r="N10" s="19" t="n"/>
      <c r="O10" s="19" t="n"/>
      <c r="P10" s="19" t="n"/>
      <c r="Q10" s="19" t="n"/>
      <c r="R10" s="13" t="n"/>
    </row>
    <row r="11" ht="92" customFormat="1" customHeight="1" s="8">
      <c r="A11" s="11" t="inlineStr">
        <is>
          <t>2025::jama.2025.15185::C010</t>
        </is>
      </c>
      <c r="B11" s="11" t="inlineStr">
        <is>
          <t>eFigure 4 switches locally from FMA to FMMA without qualification</t>
        </is>
      </c>
      <c r="C11" s="11" t="inlineStr">
        <is>
          <t>DOC-004, Supplement 3 — PDF p. 23, eFigure 4; DOC-003, Supplement 2 — PDF p. 2, SAP objective; DOC-001, main article — PDF p. 1, PDF p. 3, and PDF p. 6.</t>
        </is>
      </c>
      <c r="D11" s="7" t="n"/>
      <c r="E11" s="7" t="inlineStr">
        <is>
          <t>report_internal_inconsistency</t>
        </is>
      </c>
      <c r="F11" s="7" t="inlineStr">
        <is>
          <t>no</t>
        </is>
      </c>
      <c r="G11" s="11">
        <f>IFERROR(IF(LEN(TRIM(CLEAN(SUBSTITUTE(Setup!$B$2,CHAR(160)," "))))=0,"CHECK REVIEWER ID",IF(OR(A11="",(COUNTIF('C_jama.2024.24764'!$A$2:$A$9,A11)+COUNTIF('C_jama.2024.27643'!$A$2:$A$9,A11)+COUNTIF('C_jama.2025.11178'!$A$2:$A$38,A11)+COUNTIF('C_jama.2025.15185'!$A$2:$A$13,A11)+COUNTIF('C_jama.2025.15440'!$A$2:$A$3,A11)+COUNTIF('C_jama.2025.16450'!$A$2:$A$11,A11)+COUNTIF('C_jama.2025.19563'!$A$2:$A$8,A11)+COUNTIF('C_jama.2025.19843'!$A$2:$A$2,A11)+COUNTIF('C_jama.2025.20765'!$A$2:$A$14,A11)+COUNTIF('C_jama.2025.24175'!$A$2:$A$15,A11)+COUNTIF('C_jama.2025.4390'!$A$2:$A$4,A11)+COUNTIF('C_jama.2025.7583'!$A$2:$A$4,A11)+COUNTIF('C_jama.2025.7710'!$A$2:$A$5,A11)+COUNTIF('C_jama.2025.9110'!$A$2:$A$7,A11)+COUNTIF('C_jama.2025.9663'!$A$2:$A$4,A11))&lt;&gt;1,LEFT(A11,LEN("2025::jama.2025.15185::"))&lt;&gt;"2025::jama.2025.15185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COMPLETE",IF(F11="primary_done","PRIMARY READY","PRIMARY DRAFT")))))),"CHECK INPUT / KEY")</f>
        <v/>
      </c>
      <c r="H11" s="7">
        <f>IF(AND(OR(D11="retain",D11=""),E11="statistical_results"),"","not_applicable")</f>
        <v/>
      </c>
      <c r="I11" s="7">
        <f>IF(AND(OR(D11="retain",D11=""),E11="statistical_results"),"","not_applicable")</f>
        <v/>
      </c>
      <c r="J11" s="13">
        <f>IF(AND(OR(D11="retain",D11=""),E11="statistical_results"),"","not_applicable")</f>
        <v/>
      </c>
      <c r="K11" s="7">
        <f>IF(AND(OR(D11="retain",D11=""),OR(E11="report_internal_inconsistency",E11="plan_material")),"","not_applicable")</f>
        <v/>
      </c>
      <c r="L11" s="13">
        <f>IF(AND(OR(D11="retain",D11=""),E11="protocol_report"),"","not_applicable")</f>
        <v/>
      </c>
      <c r="M11" s="19" t="n"/>
      <c r="N11" s="19" t="n"/>
      <c r="O11" s="19" t="n"/>
      <c r="P11" s="19" t="n"/>
      <c r="Q11" s="19" t="n"/>
      <c r="R11" s="13" t="n"/>
    </row>
    <row r="12" ht="92" customFormat="1" customHeight="1" s="8">
      <c r="A12" s="12" t="inlineStr">
        <is>
          <t>2025::jama.2025.15185::C011</t>
        </is>
      </c>
      <c r="B12" s="12" t="inlineStr">
        <is>
          <t>Estimand 4 win ratio appears under an FMA mean-difference column heading</t>
        </is>
      </c>
      <c r="C12" s="12" t="inlineStr">
        <is>
          <t>DOC-004, Supplement 3 — PDF p. 13, eTable 2 column heading and Estimand 4 row.</t>
        </is>
      </c>
      <c r="D12" s="7" t="n"/>
      <c r="E12" s="7" t="inlineStr">
        <is>
          <t>report_internal_inconsistency</t>
        </is>
      </c>
      <c r="F12" s="7" t="inlineStr">
        <is>
          <t>no</t>
        </is>
      </c>
      <c r="G12" s="12">
        <f>IFERROR(IF(LEN(TRIM(CLEAN(SUBSTITUTE(Setup!$B$2,CHAR(160)," "))))=0,"CHECK REVIEWER ID",IF(OR(A12="",(COUNTIF('C_jama.2024.24764'!$A$2:$A$9,A12)+COUNTIF('C_jama.2024.27643'!$A$2:$A$9,A12)+COUNTIF('C_jama.2025.11178'!$A$2:$A$38,A12)+COUNTIF('C_jama.2025.15185'!$A$2:$A$13,A12)+COUNTIF('C_jama.2025.15440'!$A$2:$A$3,A12)+COUNTIF('C_jama.2025.16450'!$A$2:$A$11,A12)+COUNTIF('C_jama.2025.19563'!$A$2:$A$8,A12)+COUNTIF('C_jama.2025.19843'!$A$2:$A$2,A12)+COUNTIF('C_jama.2025.20765'!$A$2:$A$14,A12)+COUNTIF('C_jama.2025.24175'!$A$2:$A$15,A12)+COUNTIF('C_jama.2025.4390'!$A$2:$A$4,A12)+COUNTIF('C_jama.2025.7583'!$A$2:$A$4,A12)+COUNTIF('C_jama.2025.7710'!$A$2:$A$5,A12)+COUNTIF('C_jama.2025.9110'!$A$2:$A$7,A12)+COUNTIF('C_jama.2025.9663'!$A$2:$A$4,A12))&lt;&gt;1,LEFT(A12,LEN("2025::jama.2025.15185::"))&lt;&gt;"2025::jama.2025.15185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COMPLETE",IF(F12="primary_done","PRIMARY READY","PRIMARY DRAFT")))))),"CHECK INPUT / KEY")</f>
        <v/>
      </c>
      <c r="H12" s="7">
        <f>IF(AND(OR(D12="retain",D12=""),E12="statistical_results"),"","not_applicable")</f>
        <v/>
      </c>
      <c r="I12" s="7">
        <f>IF(AND(OR(D12="retain",D12=""),E12="statistical_results"),"","not_applicable")</f>
        <v/>
      </c>
      <c r="J12" s="13">
        <f>IF(AND(OR(D12="retain",D12=""),E12="statistical_results"),"","not_applicable")</f>
        <v/>
      </c>
      <c r="K12" s="7">
        <f>IF(AND(OR(D12="retain",D12=""),OR(E12="report_internal_inconsistency",E12="plan_material")),"","not_applicable")</f>
        <v/>
      </c>
      <c r="L12" s="13">
        <f>IF(AND(OR(D12="retain",D12=""),E12="protocol_report"),"","not_applicable")</f>
        <v/>
      </c>
      <c r="M12" s="19" t="n"/>
      <c r="N12" s="19" t="n"/>
      <c r="O12" s="19" t="n"/>
      <c r="P12" s="19" t="n"/>
      <c r="Q12" s="19" t="n"/>
      <c r="R12" s="13" t="n"/>
    </row>
    <row r="13" ht="92" customFormat="1" customHeight="1" s="8">
      <c r="A13" s="11" t="inlineStr">
        <is>
          <t>2025::jama.2025.15185::C012</t>
        </is>
      </c>
      <c r="B13" s="11" t="inlineStr">
        <is>
          <t>Estimand 4 is called an odds ratio in prose and a win ratio in the table</t>
        </is>
      </c>
      <c r="C13" s="11" t="inlineStr">
        <is>
          <t>DOC-004, Supplement 3 — PDF p. 12, eTable 2 narrative; PDF p. 13, Estimand 4 row.</t>
        </is>
      </c>
      <c r="D13" s="7" t="n"/>
      <c r="E13" s="7" t="inlineStr">
        <is>
          <t>report_internal_inconsistency</t>
        </is>
      </c>
      <c r="F13" s="7" t="inlineStr">
        <is>
          <t>no</t>
        </is>
      </c>
      <c r="G13" s="11">
        <f>IFERROR(IF(LEN(TRIM(CLEAN(SUBSTITUTE(Setup!$B$2,CHAR(160)," "))))=0,"CHECK REVIEWER ID",IF(OR(A13="",(COUNTIF('C_jama.2024.24764'!$A$2:$A$9,A13)+COUNTIF('C_jama.2024.27643'!$A$2:$A$9,A13)+COUNTIF('C_jama.2025.11178'!$A$2:$A$38,A13)+COUNTIF('C_jama.2025.15185'!$A$2:$A$13,A13)+COUNTIF('C_jama.2025.15440'!$A$2:$A$3,A13)+COUNTIF('C_jama.2025.16450'!$A$2:$A$11,A13)+COUNTIF('C_jama.2025.19563'!$A$2:$A$8,A13)+COUNTIF('C_jama.2025.19843'!$A$2:$A$2,A13)+COUNTIF('C_jama.2025.20765'!$A$2:$A$14,A13)+COUNTIF('C_jama.2025.24175'!$A$2:$A$15,A13)+COUNTIF('C_jama.2025.4390'!$A$2:$A$4,A13)+COUNTIF('C_jama.2025.7583'!$A$2:$A$4,A13)+COUNTIF('C_jama.2025.7710'!$A$2:$A$5,A13)+COUNTIF('C_jama.2025.9110'!$A$2:$A$7,A13)+COUNTIF('C_jama.2025.9663'!$A$2:$A$4,A13))&lt;&gt;1,LEFT(A13,LEN("2025::jama.2025.15185::"))&lt;&gt;"2025::jama.2025.15185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COMPLETE",IF(F13="primary_done","PRIMARY READY","PRIMARY DRAFT")))))),"CHECK INPUT / KEY")</f>
        <v/>
      </c>
      <c r="H13" s="7">
        <f>IF(AND(OR(D13="retain",D13=""),E13="statistical_results"),"","not_applicable")</f>
        <v/>
      </c>
      <c r="I13" s="7">
        <f>IF(AND(OR(D13="retain",D13=""),E13="statistical_results"),"","not_applicable")</f>
        <v/>
      </c>
      <c r="J13" s="13">
        <f>IF(AND(OR(D13="retain",D13=""),E13="statistical_results"),"","not_applicable")</f>
        <v/>
      </c>
      <c r="K13" s="7">
        <f>IF(AND(OR(D13="retain",D13=""),OR(E13="report_internal_inconsistency",E13="plan_material")),"","not_applicable")</f>
        <v/>
      </c>
      <c r="L13" s="13">
        <f>IF(AND(OR(D13="retain",D13=""),E13="protocol_report"),"","not_applicable")</f>
        <v/>
      </c>
      <c r="M13" s="19" t="n"/>
      <c r="N13" s="19" t="n"/>
      <c r="O13" s="19" t="n"/>
      <c r="P13" s="19" t="n"/>
      <c r="Q13" s="19" t="n"/>
      <c r="R13" s="13" t="n"/>
    </row>
  </sheetData>
  <autoFilter ref="A1:R13"/>
  <conditionalFormatting sqref="G2:G13">
    <cfRule type="expression" priority="1" dxfId="105">
      <formula>G2&lt;&gt;"PRIMARY READY"</formula>
    </cfRule>
  </conditionalFormatting>
  <conditionalFormatting sqref="H2:H13">
    <cfRule type="expression" priority="2" dxfId="106">
      <formula>NOT(AND(OR($D2="retain",$D2=""),$E2="statistical_results"))</formula>
    </cfRule>
  </conditionalFormatting>
  <conditionalFormatting sqref="I2:I13">
    <cfRule type="expression" priority="3" dxfId="106">
      <formula>NOT(AND(OR($D2="retain",$D2=""),$E2="statistical_results"))</formula>
    </cfRule>
  </conditionalFormatting>
  <conditionalFormatting sqref="J2:J13">
    <cfRule type="expression" priority="4" dxfId="106">
      <formula>NOT(AND(OR($D2="retain",$D2=""),$E2="statistical_results"))</formula>
    </cfRule>
  </conditionalFormatting>
  <conditionalFormatting sqref="K2:K13">
    <cfRule type="expression" priority="5" dxfId="106">
      <formula>NOT(AND(OR($D2="retain",$D2=""),OR($E2="report_internal_inconsistency",$E2="plan_material")))</formula>
    </cfRule>
  </conditionalFormatting>
  <conditionalFormatting sqref="L2:L13">
    <cfRule type="expression" priority="6" dxfId="106">
      <formula>NOT(AND(OR($D2="retain",$D2=""),$E2="protocol_report"))</formula>
    </cfRule>
  </conditionalFormatting>
  <dataValidations count="8">
    <dataValidation sqref="D2:D13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13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13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13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13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13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13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13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2025::jama.2025.15440::C001</t>
        </is>
      </c>
      <c r="B2" s="12" t="inlineStr">
        <is>
          <t>Conflicting confidence intervals for the matched any-stroke rate ratio</t>
        </is>
      </c>
      <c r="C2" s="12" t="inlineStr">
        <is>
          <t>DOC-001: jama_wijesurendra_2025_oi_250068_1760999665.28362.pdf — PDF p. 1 (abstract); PDF p. 5 (results narrative); and PDF p. 7 (Figure 4B).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2025.15440::"))&lt;&gt;"2025::jama.2025.15440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2025::jama.2025.15440::C002</t>
        </is>
      </c>
      <c r="B3" s="11" t="inlineStr">
        <is>
          <t>Stroke subtype counts do not partition the displayed any-stroke count in the patch group</t>
        </is>
      </c>
      <c r="C3" s="11" t="inlineStr">
        <is>
          <t>DOC-001: jama_wijesurendra_2025_oi_250068_1760999665.28362.pdf — PDF p. 7, Figure 4B rows Presumed ischemic stroke, Hemorrhagic stroke, and Any stroke, including its caption/footnote. The matching any-stroke total also appears on PDF p. 5 and PDF p. 1.</t>
        </is>
      </c>
      <c r="D3" s="7" t="n"/>
      <c r="E3" s="7" t="inlineStr">
        <is>
          <t>statistical_results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2025.15440::"))&lt;&gt;"2025::jama.2025.15440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</sheetData>
  <autoFilter ref="A1:R3"/>
  <conditionalFormatting sqref="G2:G3">
    <cfRule type="expression" priority="1" dxfId="105">
      <formula>G2&lt;&gt;"PRIMARY READY"</formula>
    </cfRule>
  </conditionalFormatting>
  <conditionalFormatting sqref="H2:H3">
    <cfRule type="expression" priority="2" dxfId="106">
      <formula>NOT(AND(OR($D2="retain",$D2=""),$E2="statistical_results"))</formula>
    </cfRule>
  </conditionalFormatting>
  <conditionalFormatting sqref="I2:I3">
    <cfRule type="expression" priority="3" dxfId="106">
      <formula>NOT(AND(OR($D2="retain",$D2=""),$E2="statistical_results"))</formula>
    </cfRule>
  </conditionalFormatting>
  <conditionalFormatting sqref="J2:J3">
    <cfRule type="expression" priority="4" dxfId="106">
      <formula>NOT(AND(OR($D2="retain",$D2=""),$E2="statistical_results"))</formula>
    </cfRule>
  </conditionalFormatting>
  <conditionalFormatting sqref="K2:K3">
    <cfRule type="expression" priority="5" dxfId="106">
      <formula>NOT(AND(OR($D2="retain",$D2=""),OR($E2="report_internal_inconsistency",$E2="plan_material")))</formula>
    </cfRule>
  </conditionalFormatting>
  <conditionalFormatting sqref="L2:L3">
    <cfRule type="expression" priority="6" dxfId="106">
      <formula>NOT(AND(OR($D2="retain",$D2=""),$E2="protocol_report"))</formula>
    </cfRule>
  </conditionalFormatting>
  <dataValidations count="8">
    <dataValidation sqref="D2:D3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3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3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3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3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3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3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3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2025::jama.2025.16450::C001</t>
        </is>
      </c>
      <c r="B2" s="12" t="inlineStr">
        <is>
          <t>eTable 4 expands RR as risk difference although the table reports relative risk</t>
        </is>
      </c>
      <c r="C2" s="12" t="inlineStr">
        <is>
          <t>DOC-005 results supplement — PDF p. 7 (eTable 4 header and PDA row); results supplement — PDF p. 8 (abbreviations and binary-outcome model text).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2025.16450::"))&lt;&gt;"2025::jama.2025.16450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2025::jama.2025.16450::C002</t>
        </is>
      </c>
      <c r="B3" s="11" t="inlineStr">
        <is>
          <t>Registered eligibility-bound discrepancy is not reproduced on direct-source recheck</t>
        </is>
      </c>
      <c r="C3" s="11" t="inlineStr">
        <is>
          <t>DOC-002 protocol — PDF p. 4; DOC-003 manual — PDF p. 7; DOC-004 SAP — PDF p. 8 and SAP — PDF p. 15; DOC-001 main article — PDF p. 2.</t>
        </is>
      </c>
      <c r="D3" s="7" t="n"/>
      <c r="E3" s="7" t="inlineStr">
        <is>
          <t>protocol_report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2025.16450::"))&lt;&gt;"2025::jama.2025.16450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2025::jama.2025.16450::C003</t>
        </is>
      </c>
      <c r="B4" s="12" t="inlineStr">
        <is>
          <t>Registered first-dose discrepancy is not reproduced on direct-source recheck</t>
        </is>
      </c>
      <c r="C4" s="12" t="inlineStr">
        <is>
          <t>DOC-002 protocol — PDF p. 4; DOC-003 manual — PDF p. 7 and manual — PDF p. 12; DOC-004 SAP — PDF p. 8; DOC-001 main article — PDF p. 2; DOC-005 results supplement — PDF p. 4.</t>
        </is>
      </c>
      <c r="D4" s="7" t="n"/>
      <c r="E4" s="7" t="inlineStr">
        <is>
          <t>protocol_report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2025.16450::"))&lt;&gt;"2025::jama.2025.16450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2025::jama.2025.16450::C004</t>
        </is>
      </c>
      <c r="B5" s="11" t="inlineStr">
        <is>
          <t>Severe-NDI GMFCS cutoff differs between the manual and SAP</t>
        </is>
      </c>
      <c r="C5" s="11" t="inlineStr">
        <is>
          <t>DOC-003 manual — PDF p. 14 and manual — PDF p. 16; DOC-004 SAP — PDF p. 10 and SAP — PDF p. 33.</t>
        </is>
      </c>
      <c r="D5" s="7" t="n"/>
      <c r="E5" s="7" t="inlineStr">
        <is>
          <t>plan_material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2025.16450::"))&lt;&gt;"2025::jama.2025.16450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2025::jama.2025.16450::C005</t>
        </is>
      </c>
      <c r="B6" s="12" t="inlineStr">
        <is>
          <t>Registered severe-NDI instrument-edition discrepancy is not reproduced on direct-source recheck</t>
        </is>
      </c>
      <c r="C6" s="12" t="inlineStr">
        <is>
          <t>DOC-003 manual — PDF p. 14 and manual — PDF p. 16; DOC-004 SAP — PDF p. 10, SAP — PDF p. 33, and SAP — PDF p. 34.</t>
        </is>
      </c>
      <c r="D6" s="7" t="n"/>
      <c r="E6" s="7" t="inlineStr">
        <is>
          <t>plan_material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2025.16450::"))&lt;&gt;"2025::jama.2025.16450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2025::jama.2025.16450::C006</t>
        </is>
      </c>
      <c r="B7" s="11" t="inlineStr">
        <is>
          <t>Registered first-interim-alpha discrepancy is not reproduced on direct-source recheck</t>
        </is>
      </c>
      <c r="C7" s="11" t="inlineStr">
        <is>
          <t>DOC-002 protocol — PDF p. 29; DOC-004 SAP — PDF p. 26.</t>
        </is>
      </c>
      <c r="D7" s="7" t="n"/>
      <c r="E7" s="7" t="inlineStr">
        <is>
          <t>plan_material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2025.16450::"))&lt;&gt;"2025::jama.2025.16450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2025::jama.2025.16450::C007</t>
        </is>
      </c>
      <c r="B8" s="12" t="inlineStr">
        <is>
          <t>Final primary-analysis alpha differs between the article and prospective documents</t>
        </is>
      </c>
      <c r="C8" s="12" t="inlineStr">
        <is>
          <t>DOC-001 main article — PDF p. 3 and main article — PDF p. 7; DOC-002 protocol — PDF p. 29; DOC-004 SAP — PDF p. 26.</t>
        </is>
      </c>
      <c r="D8" s="7" t="n"/>
      <c r="E8" s="7" t="inlineStr">
        <is>
          <t>protocol_report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2025.16450::"))&lt;&gt;"2025::jama.2025.16450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2025::jama.2025.16450::C008</t>
        </is>
      </c>
      <c r="B9" s="11" t="inlineStr">
        <is>
          <t>Trial center count differs between final and prospective documents</t>
        </is>
      </c>
      <c r="C9" s="11" t="inlineStr">
        <is>
          <t>DOC-001 main article — PDF p. 1; DOC-002 protocol — PDF p. 29; DOC-004 SAP — PDF p. 8.</t>
        </is>
      </c>
      <c r="D9" s="7" t="n"/>
      <c r="E9" s="7" t="inlineStr">
        <is>
          <t>protocol_report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2025.16450::"))&lt;&gt;"2025::jama.2025.16450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  <row r="10" ht="92" customFormat="1" customHeight="1" s="8">
      <c r="A10" s="12" t="inlineStr">
        <is>
          <t>2025::jama.2025.16450::C009</t>
        </is>
      </c>
      <c r="B10" s="12" t="inlineStr">
        <is>
          <t>Table 3 RR label conflicts with a stated common-OR approximation</t>
        </is>
      </c>
      <c r="C10" s="12" t="inlineStr">
        <is>
          <t>DOC-001 main article — PDF p. 8 (Table 3 additional open-label surfactant row and footnote g).</t>
        </is>
      </c>
      <c r="D10" s="7" t="n"/>
      <c r="E10" s="7" t="inlineStr">
        <is>
          <t>report_internal_inconsistency</t>
        </is>
      </c>
      <c r="F10" s="7" t="inlineStr">
        <is>
          <t>no</t>
        </is>
      </c>
      <c r="G10" s="12">
        <f>IFERROR(IF(LEN(TRIM(CLEAN(SUBSTITUTE(Setup!$B$2,CHAR(160)," "))))=0,"CHECK REVIEWER ID",IF(OR(A10="",(COUNTIF('C_jama.2024.24764'!$A$2:$A$9,A10)+COUNTIF('C_jama.2024.27643'!$A$2:$A$9,A10)+COUNTIF('C_jama.2025.11178'!$A$2:$A$38,A10)+COUNTIF('C_jama.2025.15185'!$A$2:$A$13,A10)+COUNTIF('C_jama.2025.15440'!$A$2:$A$3,A10)+COUNTIF('C_jama.2025.16450'!$A$2:$A$11,A10)+COUNTIF('C_jama.2025.19563'!$A$2:$A$8,A10)+COUNTIF('C_jama.2025.19843'!$A$2:$A$2,A10)+COUNTIF('C_jama.2025.20765'!$A$2:$A$14,A10)+COUNTIF('C_jama.2025.24175'!$A$2:$A$15,A10)+COUNTIF('C_jama.2025.4390'!$A$2:$A$4,A10)+COUNTIF('C_jama.2025.7583'!$A$2:$A$4,A10)+COUNTIF('C_jama.2025.7710'!$A$2:$A$5,A10)+COUNTIF('C_jama.2025.9110'!$A$2:$A$7,A10)+COUNTIF('C_jama.2025.9663'!$A$2:$A$4,A10))&lt;&gt;1,LEFT(A10,LEN("2025::jama.2025.16450::"))&lt;&gt;"2025::jama.2025.16450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COMPLETE",IF(F10="primary_done","PRIMARY READY","PRIMARY DRAFT")))))),"CHECK INPUT / KEY")</f>
        <v/>
      </c>
      <c r="H10" s="7">
        <f>IF(AND(OR(D10="retain",D10=""),E10="statistical_results"),"","not_applicable")</f>
        <v/>
      </c>
      <c r="I10" s="7">
        <f>IF(AND(OR(D10="retain",D10=""),E10="statistical_results"),"","not_applicable")</f>
        <v/>
      </c>
      <c r="J10" s="13">
        <f>IF(AND(OR(D10="retain",D10=""),E10="statistical_results"),"","not_applicable")</f>
        <v/>
      </c>
      <c r="K10" s="7">
        <f>IF(AND(OR(D10="retain",D10=""),OR(E10="report_internal_inconsistency",E10="plan_material")),"","not_applicable")</f>
        <v/>
      </c>
      <c r="L10" s="13">
        <f>IF(AND(OR(D10="retain",D10=""),E10="protocol_report"),"","not_applicable")</f>
        <v/>
      </c>
      <c r="M10" s="19" t="n"/>
      <c r="N10" s="19" t="n"/>
      <c r="O10" s="19" t="n"/>
      <c r="P10" s="19" t="n"/>
      <c r="Q10" s="19" t="n"/>
      <c r="R10" s="13" t="n"/>
    </row>
    <row r="11" ht="92" customFormat="1" customHeight="1" s="8">
      <c r="A11" s="11" t="inlineStr">
        <is>
          <t>2025::jama.2025.16450::C010</t>
        </is>
      </c>
      <c r="B11" s="11" t="inlineStr">
        <is>
          <t>eTable 3 relative-risk header conflicts with odds-ratio approximation footnote</t>
        </is>
      </c>
      <c r="C11" s="11" t="inlineStr">
        <is>
          <t>DOC-005 results supplement — PDF p. 5 and results supplement — PDF p. 6 (eTable 3 header and footnote b).</t>
        </is>
      </c>
      <c r="D11" s="7" t="n"/>
      <c r="E11" s="7" t="inlineStr">
        <is>
          <t>report_internal_inconsistency</t>
        </is>
      </c>
      <c r="F11" s="7" t="inlineStr">
        <is>
          <t>no</t>
        </is>
      </c>
      <c r="G11" s="11">
        <f>IFERROR(IF(LEN(TRIM(CLEAN(SUBSTITUTE(Setup!$B$2,CHAR(160)," "))))=0,"CHECK REVIEWER ID",IF(OR(A11="",(COUNTIF('C_jama.2024.24764'!$A$2:$A$9,A11)+COUNTIF('C_jama.2024.27643'!$A$2:$A$9,A11)+COUNTIF('C_jama.2025.11178'!$A$2:$A$38,A11)+COUNTIF('C_jama.2025.15185'!$A$2:$A$13,A11)+COUNTIF('C_jama.2025.15440'!$A$2:$A$3,A11)+COUNTIF('C_jama.2025.16450'!$A$2:$A$11,A11)+COUNTIF('C_jama.2025.19563'!$A$2:$A$8,A11)+COUNTIF('C_jama.2025.19843'!$A$2:$A$2,A11)+COUNTIF('C_jama.2025.20765'!$A$2:$A$14,A11)+COUNTIF('C_jama.2025.24175'!$A$2:$A$15,A11)+COUNTIF('C_jama.2025.4390'!$A$2:$A$4,A11)+COUNTIF('C_jama.2025.7583'!$A$2:$A$4,A11)+COUNTIF('C_jama.2025.7710'!$A$2:$A$5,A11)+COUNTIF('C_jama.2025.9110'!$A$2:$A$7,A11)+COUNTIF('C_jama.2025.9663'!$A$2:$A$4,A11))&lt;&gt;1,LEFT(A11,LEN("2025::jama.2025.16450::"))&lt;&gt;"2025::jama.2025.16450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COMPLETE",IF(F11="primary_done","PRIMARY READY","PRIMARY DRAFT")))))),"CHECK INPUT / KEY")</f>
        <v/>
      </c>
      <c r="H11" s="7">
        <f>IF(AND(OR(D11="retain",D11=""),E11="statistical_results"),"","not_applicable")</f>
        <v/>
      </c>
      <c r="I11" s="7">
        <f>IF(AND(OR(D11="retain",D11=""),E11="statistical_results"),"","not_applicable")</f>
        <v/>
      </c>
      <c r="J11" s="13">
        <f>IF(AND(OR(D11="retain",D11=""),E11="statistical_results"),"","not_applicable")</f>
        <v/>
      </c>
      <c r="K11" s="7">
        <f>IF(AND(OR(D11="retain",D11=""),OR(E11="report_internal_inconsistency",E11="plan_material")),"","not_applicable")</f>
        <v/>
      </c>
      <c r="L11" s="13">
        <f>IF(AND(OR(D11="retain",D11=""),E11="protocol_report"),"","not_applicable")</f>
        <v/>
      </c>
      <c r="M11" s="19" t="n"/>
      <c r="N11" s="19" t="n"/>
      <c r="O11" s="19" t="n"/>
      <c r="P11" s="19" t="n"/>
      <c r="Q11" s="19" t="n"/>
      <c r="R11" s="13" t="n"/>
    </row>
  </sheetData>
  <autoFilter ref="A1:R11"/>
  <conditionalFormatting sqref="G2:G11">
    <cfRule type="expression" priority="1" dxfId="105">
      <formula>G2&lt;&gt;"PRIMARY READY"</formula>
    </cfRule>
  </conditionalFormatting>
  <conditionalFormatting sqref="H2:H11">
    <cfRule type="expression" priority="2" dxfId="106">
      <formula>NOT(AND(OR($D2="retain",$D2=""),$E2="statistical_results"))</formula>
    </cfRule>
  </conditionalFormatting>
  <conditionalFormatting sqref="I2:I11">
    <cfRule type="expression" priority="3" dxfId="106">
      <formula>NOT(AND(OR($D2="retain",$D2=""),$E2="statistical_results"))</formula>
    </cfRule>
  </conditionalFormatting>
  <conditionalFormatting sqref="J2:J11">
    <cfRule type="expression" priority="4" dxfId="106">
      <formula>NOT(AND(OR($D2="retain",$D2=""),$E2="statistical_results"))</formula>
    </cfRule>
  </conditionalFormatting>
  <conditionalFormatting sqref="K2:K11">
    <cfRule type="expression" priority="5" dxfId="106">
      <formula>NOT(AND(OR($D2="retain",$D2=""),OR($E2="report_internal_inconsistency",$E2="plan_material")))</formula>
    </cfRule>
  </conditionalFormatting>
  <conditionalFormatting sqref="L2:L11">
    <cfRule type="expression" priority="6" dxfId="106">
      <formula>NOT(AND(OR($D2="retain",$D2=""),$E2="protocol_report"))</formula>
    </cfRule>
  </conditionalFormatting>
  <dataValidations count="8">
    <dataValidation sqref="D2:D11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11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11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11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11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11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11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11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2025::jama.2025.19563::C001</t>
        </is>
      </c>
      <c r="B2" s="12" t="inlineStr">
        <is>
          <t>Protocol and reported primary endpoint differ on the diabetes-range A1C failure condition</t>
        </is>
      </c>
      <c r="C2" s="12" t="inlineStr">
        <is>
          <t>DOC-002 protocol — PDF p. 15; DOC-001 main article — PDF p. 4; DOC-003 supplement — PDF p. 30 (explicit global-failure clause); DOC-003 supplement — PDF p. 56 (15-participant table).</t>
        </is>
      </c>
      <c r="D2" s="7" t="n"/>
      <c r="E2" s="7" t="inlineStr">
        <is>
          <t>protocol_report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2025.19563::"))&lt;&gt;"2025::jama.2025.19563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2025::jama.2025.19563::C002</t>
        </is>
      </c>
      <c r="B3" s="11" t="inlineStr">
        <is>
          <t>312 listed 12-month A1C measurements versus 313 participants with A1C available</t>
        </is>
      </c>
      <c r="C3" s="11" t="inlineStr">
        <is>
          <t>DOC-003 supplement — PDF p. 8; DOC-001 main article — PDF p. 4; DOC-001 main article — PDF p. 5; DOC-003 supplement — PDF p. 50.</t>
        </is>
      </c>
      <c r="D3" s="7" t="n"/>
      <c r="E3" s="7" t="inlineStr">
        <is>
          <t>statistical_results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2025.19563::"))&lt;&gt;"2025::jama.2025.19563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2025::jama.2025.19563::C003</t>
        </is>
      </c>
      <c r="B4" s="12" t="inlineStr">
        <is>
          <t>Figure 3 labels BMI values in kg/m² as “weight”</t>
        </is>
      </c>
      <c r="C4" s="12" t="inlineStr">
        <is>
          <t>DOC-001 main article — PDF p. 8; DOC-001 main article — PDF p. 6; DOC-003 supplement — PDF p. 53.</t>
        </is>
      </c>
      <c r="D4" s="7" t="n"/>
      <c r="E4" s="7" t="inlineStr">
        <is>
          <t>report_internal_inconsistency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2025.19563::"))&lt;&gt;"2025::jama.2025.19563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2025::jama.2025.19563::C004</t>
        </is>
      </c>
      <c r="B5" s="11" t="inlineStr">
        <is>
          <t>eTables 5-7 leave the comparator scope of a repeated age P value ambiguous</t>
        </is>
      </c>
      <c r="C5" s="11" t="inlineStr">
        <is>
          <t>DOC-003 supplement — PDF p. 39; DOC-003 supplement — PDF p. 43; DOC-003 supplement — PDF p. 45; DOC-003 supplement — PDF p. 47; DOC-001 main article — PDF p. 6.</t>
        </is>
      </c>
      <c r="D5" s="7" t="n"/>
      <c r="E5" s="7" t="inlineStr">
        <is>
          <t>report_internal_inconsistency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2025.19563::"))&lt;&gt;"2025::jama.2025.19563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2025::jama.2025.19563::C005</t>
        </is>
      </c>
      <c r="B6" s="12" t="inlineStr">
        <is>
          <t>eTable 7 pairs “no statistically significant” with p&lt;0.05</t>
        </is>
      </c>
      <c r="C6" s="12" t="inlineStr">
        <is>
          <t>DOC-003 supplement — PDF p. 46; DOC-003 supplement — PDF p. 47.</t>
        </is>
      </c>
      <c r="D6" s="7" t="n"/>
      <c r="E6" s="7" t="inlineStr">
        <is>
          <t>statistical_results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2025.19563::"))&lt;&gt;"2025::jama.2025.19563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2025::jama.2025.19563::C006</t>
        </is>
      </c>
      <c r="B7" s="11" t="inlineStr">
        <is>
          <t>eTable 10b labels one comparison as both chi-squared and Wilcoxon rank-sum</t>
        </is>
      </c>
      <c r="C7" s="11" t="inlineStr">
        <is>
          <t>DOC-003 supplement — PDF p. 29; DOC-003 supplement — PDF p. 52.</t>
        </is>
      </c>
      <c r="D7" s="7" t="n"/>
      <c r="E7" s="7" t="inlineStr">
        <is>
          <t>statistical_results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2025.19563::"))&lt;&gt;"2025::jama.2025.19563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2025::jama.2025.19563::C007</t>
        </is>
      </c>
      <c r="B8" s="12" t="inlineStr">
        <is>
          <t>MICE pooled percentages and printed risk difference have incompatible signs</t>
        </is>
      </c>
      <c r="C8" s="12" t="inlineStr">
        <is>
          <t>DOC-003 supplement — PDF p. 30; DOC-003 supplement — PDF p. 59.</t>
        </is>
      </c>
      <c r="D8" s="7" t="n"/>
      <c r="E8" s="7" t="inlineStr">
        <is>
          <t>statistical_results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2025.19563::"))&lt;&gt;"2025::jama.2025.19563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</sheetData>
  <autoFilter ref="A1:R8"/>
  <conditionalFormatting sqref="G2:G8">
    <cfRule type="expression" priority="1" dxfId="105">
      <formula>G2&lt;&gt;"PRIMARY READY"</formula>
    </cfRule>
  </conditionalFormatting>
  <conditionalFormatting sqref="H2:H8">
    <cfRule type="expression" priority="2" dxfId="106">
      <formula>NOT(AND(OR($D2="retain",$D2=""),$E2="statistical_results"))</formula>
    </cfRule>
  </conditionalFormatting>
  <conditionalFormatting sqref="I2:I8">
    <cfRule type="expression" priority="3" dxfId="106">
      <formula>NOT(AND(OR($D2="retain",$D2=""),$E2="statistical_results"))</formula>
    </cfRule>
  </conditionalFormatting>
  <conditionalFormatting sqref="J2:J8">
    <cfRule type="expression" priority="4" dxfId="106">
      <formula>NOT(AND(OR($D2="retain",$D2=""),$E2="statistical_results"))</formula>
    </cfRule>
  </conditionalFormatting>
  <conditionalFormatting sqref="K2:K8">
    <cfRule type="expression" priority="5" dxfId="106">
      <formula>NOT(AND(OR($D2="retain",$D2=""),OR($E2="report_internal_inconsistency",$E2="plan_material")))</formula>
    </cfRule>
  </conditionalFormatting>
  <conditionalFormatting sqref="L2:L8">
    <cfRule type="expression" priority="6" dxfId="106">
      <formula>NOT(AND(OR($D2="retain",$D2=""),$E2="protocol_report"))</formula>
    </cfRule>
  </conditionalFormatting>
  <dataValidations count="8">
    <dataValidation sqref="D2:D8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8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8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8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8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2025::jama.2025.19843::C001</t>
        </is>
      </c>
      <c r="B2" s="12" t="inlineStr">
        <is>
          <t>Conflicting printed P values for matched day-60 mortality result</t>
        </is>
      </c>
      <c r="C2" s="12" t="inlineStr">
        <is>
          <t>DOC-001 — PDF p. 1 (abstract); DOC-001 — PDF p. 3 (statistical methods); DOC-001 — PDF p. 4 (Results and eFigure 2 cross-reference); DOC-003 — PDF p. 7 (planned mortality analysis); and DOC-004 — PDF p. 11 (Supplement 3 eFigure 2).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2025.19843::"))&lt;&gt;"2025::jama.2025.19843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</sheetData>
  <autoFilter ref="A1:R2"/>
  <conditionalFormatting sqref="G2">
    <cfRule type="expression" priority="1" dxfId="105">
      <formula>G2&lt;&gt;"PRIMARY READY"</formula>
    </cfRule>
  </conditionalFormatting>
  <conditionalFormatting sqref="H2">
    <cfRule type="expression" priority="2" dxfId="106">
      <formula>NOT(AND(OR($D2="retain",$D2=""),$E2="statistical_results"))</formula>
    </cfRule>
  </conditionalFormatting>
  <conditionalFormatting sqref="I2">
    <cfRule type="expression" priority="3" dxfId="106">
      <formula>NOT(AND(OR($D2="retain",$D2=""),$E2="statistical_results"))</formula>
    </cfRule>
  </conditionalFormatting>
  <conditionalFormatting sqref="J2">
    <cfRule type="expression" priority="4" dxfId="106">
      <formula>NOT(AND(OR($D2="retain",$D2=""),$E2="statistical_results"))</formula>
    </cfRule>
  </conditionalFormatting>
  <conditionalFormatting sqref="K2">
    <cfRule type="expression" priority="5" dxfId="106">
      <formula>NOT(AND(OR($D2="retain",$D2=""),OR($E2="report_internal_inconsistency",$E2="plan_material")))</formula>
    </cfRule>
  </conditionalFormatting>
  <conditionalFormatting sqref="L2">
    <cfRule type="expression" priority="6" dxfId="106">
      <formula>NOT(AND(OR($D2="retain",$D2=""),$E2="protocol_report"))</formula>
    </cfRule>
  </conditionalFormatting>
  <dataValidations count="8">
    <dataValidation sqref="D2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2025::jama.2025.20765::C001</t>
        </is>
      </c>
      <c r="B2" s="12" t="inlineStr">
        <is>
          <t>Adjusted self-reported abstinence interval endpoint printed as 42</t>
        </is>
      </c>
      <c r="C2" s="12" t="inlineStr">
        <is>
          <t>DOC-001 main article — PDF p. 6, Table 2, continuous abstinence, self-reported only (ITT), adjusted RR.</t>
        </is>
      </c>
      <c r="D2" s="7" t="n"/>
      <c r="E2" s="7" t="inlineStr">
        <is>
          <t>statistical_results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2025.20765::"))&lt;&gt;"2025::jama.2025.20765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2025::jama.2025.20765::C002</t>
        </is>
      </c>
      <c r="B3" s="11" t="inlineStr">
        <is>
          <t>Discussion labels the all-cause death percentage as TB deaths</t>
        </is>
      </c>
      <c r="C3" s="11" t="inlineStr">
        <is>
          <t>DOC-001 main article — PDF p. 8, Discussion; PDF p. 5 and PDF p. 6, Results/Table 2; DOC-003 Supplement 2 — PDF p. 6, eTable 4.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2025.20765::"))&lt;&gt;"2025::jama.2025.20765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2025::jama.2025.20765::C003</t>
        </is>
      </c>
      <c r="B4" s="12" t="inlineStr">
        <is>
          <t>178-message total conflicts with its printed frequency schedule</t>
        </is>
      </c>
      <c r="C4" s="12" t="inlineStr">
        <is>
          <t>DOC-002 Supplement 1 — PDF p. 16.</t>
        </is>
      </c>
      <c r="D4" s="7" t="n"/>
      <c r="E4" s="7" t="inlineStr">
        <is>
          <t>plan_material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2025.20765::"))&lt;&gt;"2025::jama.2025.20765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2025::jama.2025.20765::C004</t>
        </is>
      </c>
      <c r="B5" s="11" t="inlineStr">
        <is>
          <t>Repeated 2,384-participant plan names 44 and 48 facilities</t>
        </is>
      </c>
      <c r="C5" s="11" t="inlineStr">
        <is>
          <t>DOC-002 Supplement 1 — PDF p. 10 and PDF p. 26.</t>
        </is>
      </c>
      <c r="D5" s="7" t="n"/>
      <c r="E5" s="7" t="inlineStr">
        <is>
          <t>plan_material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2025.20765::"))&lt;&gt;"2025::jama.2025.20765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2025::jama.2025.20765::C005</t>
        </is>
      </c>
      <c r="B6" s="12" t="inlineStr">
        <is>
          <t>134-message total conflicts with its printed frequency schedule</t>
        </is>
      </c>
      <c r="C6" s="12" t="inlineStr">
        <is>
          <t>DOC-002 Supplement 1 — PDF p. 53.</t>
        </is>
      </c>
      <c r="D6" s="7" t="n"/>
      <c r="E6" s="7" t="inlineStr">
        <is>
          <t>plan_material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2025.20765::"))&lt;&gt;"2025::jama.2025.20765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2025::jama.2025.20765::C006</t>
        </is>
      </c>
      <c r="B7" s="11" t="inlineStr">
        <is>
          <t>TAM sampling header conflicts with contemporaneous narrative and equations</t>
        </is>
      </c>
      <c r="C7" s="11" t="inlineStr">
        <is>
          <t>DOC-002 Supplement 1 — PDF p. 55.</t>
        </is>
      </c>
      <c r="D7" s="7" t="n"/>
      <c r="E7" s="7" t="inlineStr">
        <is>
          <t>plan_material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2025.20765::"))&lt;&gt;"2025::jama.2025.20765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2025::jama.2025.20765::C007</t>
        </is>
      </c>
      <c r="B8" s="12" t="inlineStr">
        <is>
          <t>Later 2,716-participant plan gives 48 clinics versus a 63-site diagram</t>
        </is>
      </c>
      <c r="C8" s="12" t="inlineStr">
        <is>
          <t>DOC-002 Supplement 1 — PDF p. 48, PDF p. 51, PDF p. 52, and PDF p. 62.</t>
        </is>
      </c>
      <c r="D8" s="7" t="n"/>
      <c r="E8" s="7" t="inlineStr">
        <is>
          <t>plan_material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2025.20765::"))&lt;&gt;"2025::jama.2025.20765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2025::jama.2025.20765::C008</t>
        </is>
      </c>
      <c r="B9" s="11" t="inlineStr">
        <is>
          <t>Phase-4 design-effect equality does not reproduce from printed inputs</t>
        </is>
      </c>
      <c r="C9" s="11" t="inlineStr">
        <is>
          <t>DOC-002 Supplement 1 — PDF p. 64.</t>
        </is>
      </c>
      <c r="D9" s="7" t="n"/>
      <c r="E9" s="7" t="inlineStr">
        <is>
          <t>plan_material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2025.20765::"))&lt;&gt;"2025::jama.2025.20765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  <row r="10" ht="92" customFormat="1" customHeight="1" s="8">
      <c r="A10" s="12" t="inlineStr">
        <is>
          <t>2025::jama.2025.20765::C009</t>
        </is>
      </c>
      <c r="B10" s="12" t="inlineStr">
        <is>
          <t>Phase-4 diagram is labelled Phase 3/Superiority</t>
        </is>
      </c>
      <c r="C10" s="12" t="inlineStr">
        <is>
          <t>DOC-002 Supplement 1 — PDF p. 64.</t>
        </is>
      </c>
      <c r="D10" s="7" t="n"/>
      <c r="E10" s="7" t="inlineStr">
        <is>
          <t>plan_material</t>
        </is>
      </c>
      <c r="F10" s="7" t="inlineStr">
        <is>
          <t>no</t>
        </is>
      </c>
      <c r="G10" s="12">
        <f>IFERROR(IF(LEN(TRIM(CLEAN(SUBSTITUTE(Setup!$B$2,CHAR(160)," "))))=0,"CHECK REVIEWER ID",IF(OR(A10="",(COUNTIF('C_jama.2024.24764'!$A$2:$A$9,A10)+COUNTIF('C_jama.2024.27643'!$A$2:$A$9,A10)+COUNTIF('C_jama.2025.11178'!$A$2:$A$38,A10)+COUNTIF('C_jama.2025.15185'!$A$2:$A$13,A10)+COUNTIF('C_jama.2025.15440'!$A$2:$A$3,A10)+COUNTIF('C_jama.2025.16450'!$A$2:$A$11,A10)+COUNTIF('C_jama.2025.19563'!$A$2:$A$8,A10)+COUNTIF('C_jama.2025.19843'!$A$2:$A$2,A10)+COUNTIF('C_jama.2025.20765'!$A$2:$A$14,A10)+COUNTIF('C_jama.2025.24175'!$A$2:$A$15,A10)+COUNTIF('C_jama.2025.4390'!$A$2:$A$4,A10)+COUNTIF('C_jama.2025.7583'!$A$2:$A$4,A10)+COUNTIF('C_jama.2025.7710'!$A$2:$A$5,A10)+COUNTIF('C_jama.2025.9110'!$A$2:$A$7,A10)+COUNTIF('C_jama.2025.9663'!$A$2:$A$4,A10))&lt;&gt;1,LEFT(A10,LEN("2025::jama.2025.20765::"))&lt;&gt;"2025::jama.2025.20765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COMPLETE",IF(F10="primary_done","PRIMARY READY","PRIMARY DRAFT")))))),"CHECK INPUT / KEY")</f>
        <v/>
      </c>
      <c r="H10" s="7">
        <f>IF(AND(OR(D10="retain",D10=""),E10="statistical_results"),"","not_applicable")</f>
        <v/>
      </c>
      <c r="I10" s="7">
        <f>IF(AND(OR(D10="retain",D10=""),E10="statistical_results"),"","not_applicable")</f>
        <v/>
      </c>
      <c r="J10" s="13">
        <f>IF(AND(OR(D10="retain",D10=""),E10="statistical_results"),"","not_applicable")</f>
        <v/>
      </c>
      <c r="K10" s="7">
        <f>IF(AND(OR(D10="retain",D10=""),OR(E10="report_internal_inconsistency",E10="plan_material")),"","not_applicable")</f>
        <v/>
      </c>
      <c r="L10" s="13">
        <f>IF(AND(OR(D10="retain",D10=""),E10="protocol_report"),"","not_applicable")</f>
        <v/>
      </c>
      <c r="M10" s="19" t="n"/>
      <c r="N10" s="19" t="n"/>
      <c r="O10" s="19" t="n"/>
      <c r="P10" s="19" t="n"/>
      <c r="Q10" s="19" t="n"/>
      <c r="R10" s="13" t="n"/>
    </row>
    <row r="11" ht="92" customFormat="1" customHeight="1" s="8">
      <c r="A11" s="11" t="inlineStr">
        <is>
          <t>2025::jama.2025.20765::C010</t>
        </is>
      </c>
      <c r="B11" s="11" t="inlineStr">
        <is>
          <t>Phase-3 design-effect display gives undocumented 1,080 effective sample size</t>
        </is>
      </c>
      <c r="C11" s="11" t="inlineStr">
        <is>
          <t>DOC-002 Supplement 1 — PDF p. 63 and PDF p. 83.</t>
        </is>
      </c>
      <c r="D11" s="7" t="n"/>
      <c r="E11" s="7" t="inlineStr">
        <is>
          <t>plan_material</t>
        </is>
      </c>
      <c r="F11" s="7" t="inlineStr">
        <is>
          <t>no</t>
        </is>
      </c>
      <c r="G11" s="11">
        <f>IFERROR(IF(LEN(TRIM(CLEAN(SUBSTITUTE(Setup!$B$2,CHAR(160)," "))))=0,"CHECK REVIEWER ID",IF(OR(A11="",(COUNTIF('C_jama.2024.24764'!$A$2:$A$9,A11)+COUNTIF('C_jama.2024.27643'!$A$2:$A$9,A11)+COUNTIF('C_jama.2025.11178'!$A$2:$A$38,A11)+COUNTIF('C_jama.2025.15185'!$A$2:$A$13,A11)+COUNTIF('C_jama.2025.15440'!$A$2:$A$3,A11)+COUNTIF('C_jama.2025.16450'!$A$2:$A$11,A11)+COUNTIF('C_jama.2025.19563'!$A$2:$A$8,A11)+COUNTIF('C_jama.2025.19843'!$A$2:$A$2,A11)+COUNTIF('C_jama.2025.20765'!$A$2:$A$14,A11)+COUNTIF('C_jama.2025.24175'!$A$2:$A$15,A11)+COUNTIF('C_jama.2025.4390'!$A$2:$A$4,A11)+COUNTIF('C_jama.2025.7583'!$A$2:$A$4,A11)+COUNTIF('C_jama.2025.7710'!$A$2:$A$5,A11)+COUNTIF('C_jama.2025.9110'!$A$2:$A$7,A11)+COUNTIF('C_jama.2025.9663'!$A$2:$A$4,A11))&lt;&gt;1,LEFT(A11,LEN("2025::jama.2025.20765::"))&lt;&gt;"2025::jama.2025.20765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COMPLETE",IF(F11="primary_done","PRIMARY READY","PRIMARY DRAFT")))))),"CHECK INPUT / KEY")</f>
        <v/>
      </c>
      <c r="H11" s="7">
        <f>IF(AND(OR(D11="retain",D11=""),E11="statistical_results"),"","not_applicable")</f>
        <v/>
      </c>
      <c r="I11" s="7">
        <f>IF(AND(OR(D11="retain",D11=""),E11="statistical_results"),"","not_applicable")</f>
        <v/>
      </c>
      <c r="J11" s="13">
        <f>IF(AND(OR(D11="retain",D11=""),E11="statistical_results"),"","not_applicable")</f>
        <v/>
      </c>
      <c r="K11" s="7">
        <f>IF(AND(OR(D11="retain",D11=""),OR(E11="report_internal_inconsistency",E11="plan_material")),"","not_applicable")</f>
        <v/>
      </c>
      <c r="L11" s="13">
        <f>IF(AND(OR(D11="retain",D11=""),E11="protocol_report"),"","not_applicable")</f>
        <v/>
      </c>
      <c r="M11" s="19" t="n"/>
      <c r="N11" s="19" t="n"/>
      <c r="O11" s="19" t="n"/>
      <c r="P11" s="19" t="n"/>
      <c r="Q11" s="19" t="n"/>
      <c r="R11" s="13" t="n"/>
    </row>
    <row r="12" ht="92" customFormat="1" customHeight="1" s="8">
      <c r="A12" s="12" t="inlineStr">
        <is>
          <t>2025::jama.2025.20765::C011</t>
        </is>
      </c>
      <c r="B12" s="12" t="inlineStr">
        <is>
          <t>MPSS score range conflicts with stated item scale</t>
        </is>
      </c>
      <c r="C12" s="12" t="inlineStr">
        <is>
          <t>DOC-002 Supplement 1 — PDF p. 85.</t>
        </is>
      </c>
      <c r="D12" s="7" t="n"/>
      <c r="E12" s="7" t="inlineStr">
        <is>
          <t>plan_material</t>
        </is>
      </c>
      <c r="F12" s="7" t="inlineStr">
        <is>
          <t>no</t>
        </is>
      </c>
      <c r="G12" s="12">
        <f>IFERROR(IF(LEN(TRIM(CLEAN(SUBSTITUTE(Setup!$B$2,CHAR(160)," "))))=0,"CHECK REVIEWER ID",IF(OR(A12="",(COUNTIF('C_jama.2024.24764'!$A$2:$A$9,A12)+COUNTIF('C_jama.2024.27643'!$A$2:$A$9,A12)+COUNTIF('C_jama.2025.11178'!$A$2:$A$38,A12)+COUNTIF('C_jama.2025.15185'!$A$2:$A$13,A12)+COUNTIF('C_jama.2025.15440'!$A$2:$A$3,A12)+COUNTIF('C_jama.2025.16450'!$A$2:$A$11,A12)+COUNTIF('C_jama.2025.19563'!$A$2:$A$8,A12)+COUNTIF('C_jama.2025.19843'!$A$2:$A$2,A12)+COUNTIF('C_jama.2025.20765'!$A$2:$A$14,A12)+COUNTIF('C_jama.2025.24175'!$A$2:$A$15,A12)+COUNTIF('C_jama.2025.4390'!$A$2:$A$4,A12)+COUNTIF('C_jama.2025.7583'!$A$2:$A$4,A12)+COUNTIF('C_jama.2025.7710'!$A$2:$A$5,A12)+COUNTIF('C_jama.2025.9110'!$A$2:$A$7,A12)+COUNTIF('C_jama.2025.9663'!$A$2:$A$4,A12))&lt;&gt;1,LEFT(A12,LEN("2025::jama.2025.20765::"))&lt;&gt;"2025::jama.2025.20765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COMPLETE",IF(F12="primary_done","PRIMARY READY","PRIMARY DRAFT")))))),"CHECK INPUT / KEY")</f>
        <v/>
      </c>
      <c r="H12" s="7">
        <f>IF(AND(OR(D12="retain",D12=""),E12="statistical_results"),"","not_applicable")</f>
        <v/>
      </c>
      <c r="I12" s="7">
        <f>IF(AND(OR(D12="retain",D12=""),E12="statistical_results"),"","not_applicable")</f>
        <v/>
      </c>
      <c r="J12" s="13">
        <f>IF(AND(OR(D12="retain",D12=""),E12="statistical_results"),"","not_applicable")</f>
        <v/>
      </c>
      <c r="K12" s="7">
        <f>IF(AND(OR(D12="retain",D12=""),OR(E12="report_internal_inconsistency",E12="plan_material")),"","not_applicable")</f>
        <v/>
      </c>
      <c r="L12" s="13">
        <f>IF(AND(OR(D12="retain",D12=""),E12="protocol_report"),"","not_applicable")</f>
        <v/>
      </c>
      <c r="M12" s="19" t="n"/>
      <c r="N12" s="19" t="n"/>
      <c r="O12" s="19" t="n"/>
      <c r="P12" s="19" t="n"/>
      <c r="Q12" s="19" t="n"/>
      <c r="R12" s="13" t="n"/>
    </row>
    <row r="13" ht="92" customFormat="1" customHeight="1" s="8">
      <c r="A13" s="11" t="inlineStr">
        <is>
          <t>2025::jama.2025.20765::C012</t>
        </is>
      </c>
      <c r="B13" s="11" t="inlineStr">
        <is>
          <t>Site 2008 death count and percentage lack a compatible supplied denominator</t>
        </is>
      </c>
      <c r="C13" s="11" t="inlineStr">
        <is>
          <t>DOC-003 Supplement 2 — PDF p. 8, eTable 5; PDF p. 9, eTable 6.</t>
        </is>
      </c>
      <c r="D13" s="7" t="n"/>
      <c r="E13" s="7" t="inlineStr">
        <is>
          <t>statistical_results</t>
        </is>
      </c>
      <c r="F13" s="7" t="inlineStr">
        <is>
          <t>no</t>
        </is>
      </c>
      <c r="G13" s="11">
        <f>IFERROR(IF(LEN(TRIM(CLEAN(SUBSTITUTE(Setup!$B$2,CHAR(160)," "))))=0,"CHECK REVIEWER ID",IF(OR(A13="",(COUNTIF('C_jama.2024.24764'!$A$2:$A$9,A13)+COUNTIF('C_jama.2024.27643'!$A$2:$A$9,A13)+COUNTIF('C_jama.2025.11178'!$A$2:$A$38,A13)+COUNTIF('C_jama.2025.15185'!$A$2:$A$13,A13)+COUNTIF('C_jama.2025.15440'!$A$2:$A$3,A13)+COUNTIF('C_jama.2025.16450'!$A$2:$A$11,A13)+COUNTIF('C_jama.2025.19563'!$A$2:$A$8,A13)+COUNTIF('C_jama.2025.19843'!$A$2:$A$2,A13)+COUNTIF('C_jama.2025.20765'!$A$2:$A$14,A13)+COUNTIF('C_jama.2025.24175'!$A$2:$A$15,A13)+COUNTIF('C_jama.2025.4390'!$A$2:$A$4,A13)+COUNTIF('C_jama.2025.7583'!$A$2:$A$4,A13)+COUNTIF('C_jama.2025.7710'!$A$2:$A$5,A13)+COUNTIF('C_jama.2025.9110'!$A$2:$A$7,A13)+COUNTIF('C_jama.2025.9663'!$A$2:$A$4,A13))&lt;&gt;1,LEFT(A13,LEN("2025::jama.2025.20765::"))&lt;&gt;"2025::jama.2025.20765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COMPLETE",IF(F13="primary_done","PRIMARY READY","PRIMARY DRAFT")))))),"CHECK INPUT / KEY")</f>
        <v/>
      </c>
      <c r="H13" s="7">
        <f>IF(AND(OR(D13="retain",D13=""),E13="statistical_results"),"","not_applicable")</f>
        <v/>
      </c>
      <c r="I13" s="7">
        <f>IF(AND(OR(D13="retain",D13=""),E13="statistical_results"),"","not_applicable")</f>
        <v/>
      </c>
      <c r="J13" s="13">
        <f>IF(AND(OR(D13="retain",D13=""),E13="statistical_results"),"","not_applicable")</f>
        <v/>
      </c>
      <c r="K13" s="7">
        <f>IF(AND(OR(D13="retain",D13=""),OR(E13="report_internal_inconsistency",E13="plan_material")),"","not_applicable")</f>
        <v/>
      </c>
      <c r="L13" s="13">
        <f>IF(AND(OR(D13="retain",D13=""),E13="protocol_report"),"","not_applicable")</f>
        <v/>
      </c>
      <c r="M13" s="19" t="n"/>
      <c r="N13" s="19" t="n"/>
      <c r="O13" s="19" t="n"/>
      <c r="P13" s="19" t="n"/>
      <c r="Q13" s="19" t="n"/>
      <c r="R13" s="13" t="n"/>
    </row>
    <row r="14" ht="92" customFormat="1" customHeight="1" s="8">
      <c r="A14" s="12" t="inlineStr">
        <is>
          <t>2025::jama.2025.20765::C013</t>
        </is>
      </c>
      <c r="B14" s="12" t="inlineStr">
        <is>
          <t>Protocol message dose changes from 178 to 134 without supplied reconciliation</t>
        </is>
      </c>
      <c r="C14" s="12" t="inlineStr">
        <is>
          <t>DOC-002 Supplement 1 — PDF p. 16, PDF p. 53, PDF p. 80, and PDF p. 101 through PDF p. 109; DOC-001 main article — PDF p. 3.</t>
        </is>
      </c>
      <c r="D14" s="7" t="n"/>
      <c r="E14" s="7" t="inlineStr">
        <is>
          <t>protocol_report</t>
        </is>
      </c>
      <c r="F14" s="7" t="inlineStr">
        <is>
          <t>no</t>
        </is>
      </c>
      <c r="G14" s="12">
        <f>IFERROR(IF(LEN(TRIM(CLEAN(SUBSTITUTE(Setup!$B$2,CHAR(160)," "))))=0,"CHECK REVIEWER ID",IF(OR(A14="",(COUNTIF('C_jama.2024.24764'!$A$2:$A$9,A14)+COUNTIF('C_jama.2024.27643'!$A$2:$A$9,A14)+COUNTIF('C_jama.2025.11178'!$A$2:$A$38,A14)+COUNTIF('C_jama.2025.15185'!$A$2:$A$13,A14)+COUNTIF('C_jama.2025.15440'!$A$2:$A$3,A14)+COUNTIF('C_jama.2025.16450'!$A$2:$A$11,A14)+COUNTIF('C_jama.2025.19563'!$A$2:$A$8,A14)+COUNTIF('C_jama.2025.19843'!$A$2:$A$2,A14)+COUNTIF('C_jama.2025.20765'!$A$2:$A$14,A14)+COUNTIF('C_jama.2025.24175'!$A$2:$A$15,A14)+COUNTIF('C_jama.2025.4390'!$A$2:$A$4,A14)+COUNTIF('C_jama.2025.7583'!$A$2:$A$4,A14)+COUNTIF('C_jama.2025.7710'!$A$2:$A$5,A14)+COUNTIF('C_jama.2025.9110'!$A$2:$A$7,A14)+COUNTIF('C_jama.2025.9663'!$A$2:$A$4,A14))&lt;&gt;1,LEFT(A14,LEN("2025::jama.2025.20765::"))&lt;&gt;"2025::jama.2025.20765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COMPLETE",IF(F14="primary_done","PRIMARY READY","PRIMARY DRAFT")))))),"CHECK INPUT / KEY")</f>
        <v/>
      </c>
      <c r="H14" s="7">
        <f>IF(AND(OR(D14="retain",D14=""),E14="statistical_results"),"","not_applicable")</f>
        <v/>
      </c>
      <c r="I14" s="7">
        <f>IF(AND(OR(D14="retain",D14=""),E14="statistical_results"),"","not_applicable")</f>
        <v/>
      </c>
      <c r="J14" s="13">
        <f>IF(AND(OR(D14="retain",D14=""),E14="statistical_results"),"","not_applicable")</f>
        <v/>
      </c>
      <c r="K14" s="7">
        <f>IF(AND(OR(D14="retain",D14=""),OR(E14="report_internal_inconsistency",E14="plan_material")),"","not_applicable")</f>
        <v/>
      </c>
      <c r="L14" s="13">
        <f>IF(AND(OR(D14="retain",D14=""),E14="protocol_report"),"","not_applicable")</f>
        <v/>
      </c>
      <c r="M14" s="19" t="n"/>
      <c r="N14" s="19" t="n"/>
      <c r="O14" s="19" t="n"/>
      <c r="P14" s="19" t="n"/>
      <c r="Q14" s="19" t="n"/>
      <c r="R14" s="13" t="n"/>
    </row>
  </sheetData>
  <autoFilter ref="A1:R14"/>
  <conditionalFormatting sqref="G2:G14">
    <cfRule type="expression" priority="1" dxfId="105">
      <formula>G2&lt;&gt;"PRIMARY READY"</formula>
    </cfRule>
  </conditionalFormatting>
  <conditionalFormatting sqref="H2:H14">
    <cfRule type="expression" priority="2" dxfId="106">
      <formula>NOT(AND(OR($D2="retain",$D2=""),$E2="statistical_results"))</formula>
    </cfRule>
  </conditionalFormatting>
  <conditionalFormatting sqref="I2:I14">
    <cfRule type="expression" priority="3" dxfId="106">
      <formula>NOT(AND(OR($D2="retain",$D2=""),$E2="statistical_results"))</formula>
    </cfRule>
  </conditionalFormatting>
  <conditionalFormatting sqref="J2:J14">
    <cfRule type="expression" priority="4" dxfId="106">
      <formula>NOT(AND(OR($D2="retain",$D2=""),$E2="statistical_results"))</formula>
    </cfRule>
  </conditionalFormatting>
  <conditionalFormatting sqref="K2:K14">
    <cfRule type="expression" priority="5" dxfId="106">
      <formula>NOT(AND(OR($D2="retain",$D2=""),OR($E2="report_internal_inconsistency",$E2="plan_material")))</formula>
    </cfRule>
  </conditionalFormatting>
  <conditionalFormatting sqref="L2:L14">
    <cfRule type="expression" priority="6" dxfId="106">
      <formula>NOT(AND(OR($D2="retain",$D2=""),$E2="protocol_report"))</formula>
    </cfRule>
  </conditionalFormatting>
  <dataValidations count="8">
    <dataValidation sqref="D2:D14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14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14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14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14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2025::jama.2025.24175::C001</t>
        </is>
      </c>
      <c r="B2" s="12" t="inlineStr">
        <is>
          <t>Day-15 SOFA responder numerator differs between Table 2 and narrative</t>
        </is>
      </c>
      <c r="C2" s="12" t="inlineStr">
        <is>
          <t>DOC-001 Table 2, PDF p. 6; DOC-001 Results narrative, PDF p. 7.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2025.24175::"))&lt;&gt;"2025::jama.2025.24175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2025::jama.2025.24175::C002</t>
        </is>
      </c>
      <c r="B3" s="11" t="inlineStr">
        <is>
          <t>Protocol and report IFN-gamma dose comparison</t>
        </is>
      </c>
      <c r="C3" s="11" t="inlineStr">
        <is>
          <t>DOC-002 protocol, PDF p. 6; DOC-001 regimen, PDF p. 2.</t>
        </is>
      </c>
      <c r="D3" s="7" t="n"/>
      <c r="E3" s="7" t="inlineStr">
        <is>
          <t>protocol_report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2025.24175::"))&lt;&gt;"2025::jama.2025.24175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2025::jama.2025.24175::C003</t>
        </is>
      </c>
      <c r="B4" s="12" t="inlineStr">
        <is>
          <t>Primary responder cutoff comparison</t>
        </is>
      </c>
      <c r="C4" s="12" t="inlineStr">
        <is>
          <t>DOC-002 protocol, PDF p. 7; DOC-001 report, PDF p. 1; DOC-002 SAP, PDF p. 66.</t>
        </is>
      </c>
      <c r="D4" s="7" t="n"/>
      <c r="E4" s="7" t="inlineStr">
        <is>
          <t>protocol_report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2025.24175::"))&lt;&gt;"2025::jama.2025.24175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2025::jama.2025.24175::C004</t>
        </is>
      </c>
      <c r="B5" s="11" t="inlineStr">
        <is>
          <t>Immunoparalysis entry-classification threshold comparison</t>
        </is>
      </c>
      <c r="C5" s="11" t="inlineStr">
        <is>
          <t>DOC-002 protocol, PDF p. 9; DOC-003 eMethods, PDF p. 13; DOC-002 SAP reversal definition, PDF p. 69.</t>
        </is>
      </c>
      <c r="D5" s="7" t="n"/>
      <c r="E5" s="7" t="inlineStr">
        <is>
          <t>protocol_report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2025.24175::"))&lt;&gt;"2025::jama.2025.24175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2025::jama.2025.24175::C005</t>
        </is>
      </c>
      <c r="B6" s="12" t="inlineStr">
        <is>
          <t>Protocol sample-size, dropout, and total-target arithmetic</t>
        </is>
      </c>
      <c r="C6" s="12" t="inlineStr">
        <is>
          <t>DOC-002 protocol, PDF p. 25 and PDF p. 26.</t>
        </is>
      </c>
      <c r="D6" s="7" t="n"/>
      <c r="E6" s="7" t="inlineStr">
        <is>
          <t>plan_material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2025.24175::"))&lt;&gt;"2025::jama.2025.24175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2025::jama.2025.24175::C006</t>
        </is>
      </c>
      <c r="B7" s="11" t="inlineStr">
        <is>
          <t>Historical-trial narrative and flow diagram death counts</t>
        </is>
      </c>
      <c r="C7" s="11" t="inlineStr">
        <is>
          <t>DOC-002 narrative, PDF p. 41; DOC-002 Figure 1, PDF p. 50.</t>
        </is>
      </c>
      <c r="D7" s="7" t="n"/>
      <c r="E7" s="7" t="inlineStr">
        <is>
          <t>plan_material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2025.24175::"))&lt;&gt;"2025::jama.2025.24175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  <row r="8" ht="92" customFormat="1" customHeight="1" s="8">
      <c r="A8" s="12" t="inlineStr">
        <is>
          <t>2025::jama.2025.24175::C007</t>
        </is>
      </c>
      <c r="B8" s="12" t="inlineStr">
        <is>
          <t>APACHE II Table 2 P value versus displayed t-test inputs</t>
        </is>
      </c>
      <c r="C8" s="12" t="inlineStr">
        <is>
          <t>DOC-002 Table 2, PDF p. 48.</t>
        </is>
      </c>
      <c r="D8" s="7" t="n"/>
      <c r="E8" s="7" t="inlineStr">
        <is>
          <t>plan_material</t>
        </is>
      </c>
      <c r="F8" s="7" t="inlineStr">
        <is>
          <t>no</t>
        </is>
      </c>
      <c r="G8" s="12">
        <f>IFERROR(IF(LEN(TRIM(CLEAN(SUBSTITUTE(Setup!$B$2,CHAR(160)," "))))=0,"CHECK REVIEWER ID",IF(OR(A8="",(COUNTIF('C_jama.2024.24764'!$A$2:$A$9,A8)+COUNTIF('C_jama.2024.27643'!$A$2:$A$9,A8)+COUNTIF('C_jama.2025.11178'!$A$2:$A$38,A8)+COUNTIF('C_jama.2025.15185'!$A$2:$A$13,A8)+COUNTIF('C_jama.2025.15440'!$A$2:$A$3,A8)+COUNTIF('C_jama.2025.16450'!$A$2:$A$11,A8)+COUNTIF('C_jama.2025.19563'!$A$2:$A$8,A8)+COUNTIF('C_jama.2025.19843'!$A$2:$A$2,A8)+COUNTIF('C_jama.2025.20765'!$A$2:$A$14,A8)+COUNTIF('C_jama.2025.24175'!$A$2:$A$15,A8)+COUNTIF('C_jama.2025.4390'!$A$2:$A$4,A8)+COUNTIF('C_jama.2025.7583'!$A$2:$A$4,A8)+COUNTIF('C_jama.2025.7710'!$A$2:$A$5,A8)+COUNTIF('C_jama.2025.9110'!$A$2:$A$7,A8)+COUNTIF('C_jama.2025.9663'!$A$2:$A$4,A8))&lt;&gt;1,LEFT(A8,LEN("2025::jama.2025.24175::"))&lt;&gt;"2025::jama.2025.24175::"),"CHECK KEY",IF(OR(AND(NOT(AND(D8="retain",E8="statistical_results")),H8&lt;&gt;"",H8&lt;&gt;"not_applicable"),AND(NOT(AND(D8="retain",E8="statistical_results")),I8&lt;&gt;"",I8&lt;&gt;"not_applicable"),AND(NOT(AND(D8="retain",E8="statistical_results")),J8&lt;&gt;"",J8&lt;&gt;"not_applicable"),AND(NOT(AND(D8="retain",OR(E8="report_internal_inconsistency",E8="plan_material"))),K8&lt;&gt;"",K8&lt;&gt;"not_applicable"),AND(NOT(AND(D8="retain",E8="protocol_report")),L8&lt;&gt;"",L8&lt;&gt;"not_applicable")),"CLEAR INACTIVE VALUES",IF(OR(NOT(OR(D8="retain",D8="exclude",D8="discuss")),NOT(OR(E8="statistical_results",E8="report_internal_inconsistency",E8="plan_material",E8="protocol_report")),AND(AND(D8="retain",E8="statistical_results"),NOT(OR(H8="confirmed_issue",H8="probable_issue",H8="not_issue",H8="indeterminate"))),AND(AND(D8="retain",E8="statistical_results"),NOT(OR(I8="substantive",I8="minor_presentation",I8="indeterminate"))),AND(AND(D8="retain",E8="statistical_results"),J8&lt;&gt;"",NOT(OR(J8="direct",J8="possible",J8="unlikely",J8="unknown"))),AND(AND(D8="retain",OR(E8="report_internal_inconsistency",E8="plan_material")),NOT(OR(K8="substantive_inconsistency",K8="minor_presentation",K8="non_inconsistency",K8="indeterminate"))),AND(AND(D8="retain",E8="protocol_report"),L8&lt;&gt;"",NOT(OR(L8="substantive_difference",L8="minor_presentation",L8="version_timing",L8="non_inconsistency",L8="indeterminate")))),"CHECK FIELDS",IF(AND(F8&lt;&gt;"",NOT(OR(F8="no",F8="primary_done"))),"CHECK COMPLETE",IF(F8="primary_done","PRIMARY READY","PRIMARY DRAFT")))))),"CHECK INPUT / KEY")</f>
        <v/>
      </c>
      <c r="H8" s="7">
        <f>IF(AND(OR(D8="retain",D8=""),E8="statistical_results"),"","not_applicable")</f>
        <v/>
      </c>
      <c r="I8" s="7">
        <f>IF(AND(OR(D8="retain",D8=""),E8="statistical_results"),"","not_applicable")</f>
        <v/>
      </c>
      <c r="J8" s="13">
        <f>IF(AND(OR(D8="retain",D8=""),E8="statistical_results"),"","not_applicable")</f>
        <v/>
      </c>
      <c r="K8" s="7">
        <f>IF(AND(OR(D8="retain",D8=""),OR(E8="report_internal_inconsistency",E8="plan_material")),"","not_applicable")</f>
        <v/>
      </c>
      <c r="L8" s="13">
        <f>IF(AND(OR(D8="retain",D8=""),E8="protocol_report"),"","not_applicable")</f>
        <v/>
      </c>
      <c r="M8" s="19" t="n"/>
      <c r="N8" s="19" t="n"/>
      <c r="O8" s="19" t="n"/>
      <c r="P8" s="19" t="n"/>
      <c r="Q8" s="19" t="n"/>
      <c r="R8" s="13" t="n"/>
    </row>
    <row r="9" ht="92" customFormat="1" customHeight="1" s="8">
      <c r="A9" s="11" t="inlineStr">
        <is>
          <t>2025::jama.2025.24175::C008</t>
        </is>
      </c>
      <c r="B9" s="11" t="inlineStr">
        <is>
          <t>Figure 1 septic-shock classification children exceed their parent total</t>
        </is>
      </c>
      <c r="C9" s="11" t="inlineStr">
        <is>
          <t>DOC-002 Figure 1, PDF p. 50.</t>
        </is>
      </c>
      <c r="D9" s="7" t="n"/>
      <c r="E9" s="7" t="inlineStr">
        <is>
          <t>plan_material</t>
        </is>
      </c>
      <c r="F9" s="7" t="inlineStr">
        <is>
          <t>no</t>
        </is>
      </c>
      <c r="G9" s="11">
        <f>IFERROR(IF(LEN(TRIM(CLEAN(SUBSTITUTE(Setup!$B$2,CHAR(160)," "))))=0,"CHECK REVIEWER ID",IF(OR(A9="",(COUNTIF('C_jama.2024.24764'!$A$2:$A$9,A9)+COUNTIF('C_jama.2024.27643'!$A$2:$A$9,A9)+COUNTIF('C_jama.2025.11178'!$A$2:$A$38,A9)+COUNTIF('C_jama.2025.15185'!$A$2:$A$13,A9)+COUNTIF('C_jama.2025.15440'!$A$2:$A$3,A9)+COUNTIF('C_jama.2025.16450'!$A$2:$A$11,A9)+COUNTIF('C_jama.2025.19563'!$A$2:$A$8,A9)+COUNTIF('C_jama.2025.19843'!$A$2:$A$2,A9)+COUNTIF('C_jama.2025.20765'!$A$2:$A$14,A9)+COUNTIF('C_jama.2025.24175'!$A$2:$A$15,A9)+COUNTIF('C_jama.2025.4390'!$A$2:$A$4,A9)+COUNTIF('C_jama.2025.7583'!$A$2:$A$4,A9)+COUNTIF('C_jama.2025.7710'!$A$2:$A$5,A9)+COUNTIF('C_jama.2025.9110'!$A$2:$A$7,A9)+COUNTIF('C_jama.2025.9663'!$A$2:$A$4,A9))&lt;&gt;1,LEFT(A9,LEN("2025::jama.2025.24175::"))&lt;&gt;"2025::jama.2025.24175::"),"CHECK KEY",IF(OR(AND(NOT(AND(D9="retain",E9="statistical_results")),H9&lt;&gt;"",H9&lt;&gt;"not_applicable"),AND(NOT(AND(D9="retain",E9="statistical_results")),I9&lt;&gt;"",I9&lt;&gt;"not_applicable"),AND(NOT(AND(D9="retain",E9="statistical_results")),J9&lt;&gt;"",J9&lt;&gt;"not_applicable"),AND(NOT(AND(D9="retain",OR(E9="report_internal_inconsistency",E9="plan_material"))),K9&lt;&gt;"",K9&lt;&gt;"not_applicable"),AND(NOT(AND(D9="retain",E9="protocol_report")),L9&lt;&gt;"",L9&lt;&gt;"not_applicable")),"CLEAR INACTIVE VALUES",IF(OR(NOT(OR(D9="retain",D9="exclude",D9="discuss")),NOT(OR(E9="statistical_results",E9="report_internal_inconsistency",E9="plan_material",E9="protocol_report")),AND(AND(D9="retain",E9="statistical_results"),NOT(OR(H9="confirmed_issue",H9="probable_issue",H9="not_issue",H9="indeterminate"))),AND(AND(D9="retain",E9="statistical_results"),NOT(OR(I9="substantive",I9="minor_presentation",I9="indeterminate"))),AND(AND(D9="retain",E9="statistical_results"),J9&lt;&gt;"",NOT(OR(J9="direct",J9="possible",J9="unlikely",J9="unknown"))),AND(AND(D9="retain",OR(E9="report_internal_inconsistency",E9="plan_material")),NOT(OR(K9="substantive_inconsistency",K9="minor_presentation",K9="non_inconsistency",K9="indeterminate"))),AND(AND(D9="retain",E9="protocol_report"),L9&lt;&gt;"",NOT(OR(L9="substantive_difference",L9="minor_presentation",L9="version_timing",L9="non_inconsistency",L9="indeterminate")))),"CHECK FIELDS",IF(AND(F9&lt;&gt;"",NOT(OR(F9="no",F9="primary_done"))),"CHECK COMPLETE",IF(F9="primary_done","PRIMARY READY","PRIMARY DRAFT")))))),"CHECK INPUT / KEY")</f>
        <v/>
      </c>
      <c r="H9" s="7">
        <f>IF(AND(OR(D9="retain",D9=""),E9="statistical_results"),"","not_applicable")</f>
        <v/>
      </c>
      <c r="I9" s="7">
        <f>IF(AND(OR(D9="retain",D9=""),E9="statistical_results"),"","not_applicable")</f>
        <v/>
      </c>
      <c r="J9" s="13">
        <f>IF(AND(OR(D9="retain",D9=""),E9="statistical_results"),"","not_applicable")</f>
        <v/>
      </c>
      <c r="K9" s="7">
        <f>IF(AND(OR(D9="retain",D9=""),OR(E9="report_internal_inconsistency",E9="plan_material")),"","not_applicable")</f>
        <v/>
      </c>
      <c r="L9" s="13">
        <f>IF(AND(OR(D9="retain",D9=""),E9="protocol_report"),"","not_applicable")</f>
        <v/>
      </c>
      <c r="M9" s="19" t="n"/>
      <c r="N9" s="19" t="n"/>
      <c r="O9" s="19" t="n"/>
      <c r="P9" s="19" t="n"/>
      <c r="Q9" s="19" t="n"/>
      <c r="R9" s="13" t="n"/>
    </row>
    <row r="10" ht="92" customFormat="1" customHeight="1" s="8">
      <c r="A10" s="12" t="inlineStr">
        <is>
          <t>2025::jama.2025.24175::C009</t>
        </is>
      </c>
      <c r="B10" s="12" t="inlineStr">
        <is>
          <t>ImmunoSep study-site totals across report, protocol, and SAP</t>
        </is>
      </c>
      <c r="C10" s="12" t="inlineStr">
        <is>
          <t>DOC-001 report, PDF p. 2; DOC-002 protocol, PDF p. 10; DOC-002 SAP, PDF p. 65; PDF p. 67.</t>
        </is>
      </c>
      <c r="D10" s="7" t="n"/>
      <c r="E10" s="7" t="inlineStr">
        <is>
          <t>protocol_report</t>
        </is>
      </c>
      <c r="F10" s="7" t="inlineStr">
        <is>
          <t>no</t>
        </is>
      </c>
      <c r="G10" s="12">
        <f>IFERROR(IF(LEN(TRIM(CLEAN(SUBSTITUTE(Setup!$B$2,CHAR(160)," "))))=0,"CHECK REVIEWER ID",IF(OR(A10="",(COUNTIF('C_jama.2024.24764'!$A$2:$A$9,A10)+COUNTIF('C_jama.2024.27643'!$A$2:$A$9,A10)+COUNTIF('C_jama.2025.11178'!$A$2:$A$38,A10)+COUNTIF('C_jama.2025.15185'!$A$2:$A$13,A10)+COUNTIF('C_jama.2025.15440'!$A$2:$A$3,A10)+COUNTIF('C_jama.2025.16450'!$A$2:$A$11,A10)+COUNTIF('C_jama.2025.19563'!$A$2:$A$8,A10)+COUNTIF('C_jama.2025.19843'!$A$2:$A$2,A10)+COUNTIF('C_jama.2025.20765'!$A$2:$A$14,A10)+COUNTIF('C_jama.2025.24175'!$A$2:$A$15,A10)+COUNTIF('C_jama.2025.4390'!$A$2:$A$4,A10)+COUNTIF('C_jama.2025.7583'!$A$2:$A$4,A10)+COUNTIF('C_jama.2025.7710'!$A$2:$A$5,A10)+COUNTIF('C_jama.2025.9110'!$A$2:$A$7,A10)+COUNTIF('C_jama.2025.9663'!$A$2:$A$4,A10))&lt;&gt;1,LEFT(A10,LEN("2025::jama.2025.24175::"))&lt;&gt;"2025::jama.2025.24175::"),"CHECK KEY",IF(OR(AND(NOT(AND(D10="retain",E10="statistical_results")),H10&lt;&gt;"",H10&lt;&gt;"not_applicable"),AND(NOT(AND(D10="retain",E10="statistical_results")),I10&lt;&gt;"",I10&lt;&gt;"not_applicable"),AND(NOT(AND(D10="retain",E10="statistical_results")),J10&lt;&gt;"",J10&lt;&gt;"not_applicable"),AND(NOT(AND(D10="retain",OR(E10="report_internal_inconsistency",E10="plan_material"))),K10&lt;&gt;"",K10&lt;&gt;"not_applicable"),AND(NOT(AND(D10="retain",E10="protocol_report")),L10&lt;&gt;"",L10&lt;&gt;"not_applicable")),"CLEAR INACTIVE VALUES",IF(OR(NOT(OR(D10="retain",D10="exclude",D10="discuss")),NOT(OR(E10="statistical_results",E10="report_internal_inconsistency",E10="plan_material",E10="protocol_report")),AND(AND(D10="retain",E10="statistical_results"),NOT(OR(H10="confirmed_issue",H10="probable_issue",H10="not_issue",H10="indeterminate"))),AND(AND(D10="retain",E10="statistical_results"),NOT(OR(I10="substantive",I10="minor_presentation",I10="indeterminate"))),AND(AND(D10="retain",E10="statistical_results"),J10&lt;&gt;"",NOT(OR(J10="direct",J10="possible",J10="unlikely",J10="unknown"))),AND(AND(D10="retain",OR(E10="report_internal_inconsistency",E10="plan_material")),NOT(OR(K10="substantive_inconsistency",K10="minor_presentation",K10="non_inconsistency",K10="indeterminate"))),AND(AND(D10="retain",E10="protocol_report"),L10&lt;&gt;"",NOT(OR(L10="substantive_difference",L10="minor_presentation",L10="version_timing",L10="non_inconsistency",L10="indeterminate")))),"CHECK FIELDS",IF(AND(F10&lt;&gt;"",NOT(OR(F10="no",F10="primary_done"))),"CHECK COMPLETE",IF(F10="primary_done","PRIMARY READY","PRIMARY DRAFT")))))),"CHECK INPUT / KEY")</f>
        <v/>
      </c>
      <c r="H10" s="7">
        <f>IF(AND(OR(D10="retain",D10=""),E10="statistical_results"),"","not_applicable")</f>
        <v/>
      </c>
      <c r="I10" s="7">
        <f>IF(AND(OR(D10="retain",D10=""),E10="statistical_results"),"","not_applicable")</f>
        <v/>
      </c>
      <c r="J10" s="13">
        <f>IF(AND(OR(D10="retain",D10=""),E10="statistical_results"),"","not_applicable")</f>
        <v/>
      </c>
      <c r="K10" s="7">
        <f>IF(AND(OR(D10="retain",D10=""),OR(E10="report_internal_inconsistency",E10="plan_material")),"","not_applicable")</f>
        <v/>
      </c>
      <c r="L10" s="13">
        <f>IF(AND(OR(D10="retain",D10=""),E10="protocol_report"),"","not_applicable")</f>
        <v/>
      </c>
      <c r="M10" s="19" t="n"/>
      <c r="N10" s="19" t="n"/>
      <c r="O10" s="19" t="n"/>
      <c r="P10" s="19" t="n"/>
      <c r="Q10" s="19" t="n"/>
      <c r="R10" s="13" t="n"/>
    </row>
    <row r="11" ht="92" customFormat="1" customHeight="1" s="8">
      <c r="A11" s="11" t="inlineStr">
        <is>
          <t>2025::jama.2025.24175::C010</t>
        </is>
      </c>
      <c r="B11" s="11" t="inlineStr">
        <is>
          <t>Figure 2C relative-risk label versus displayed association</t>
        </is>
      </c>
      <c r="C11" s="11" t="inlineStr">
        <is>
          <t>DOC-002 Figure 2C, PDF p. 51; DOC-002 Figure 3, PDF p. 52.</t>
        </is>
      </c>
      <c r="D11" s="7" t="n"/>
      <c r="E11" s="7" t="inlineStr">
        <is>
          <t>plan_material</t>
        </is>
      </c>
      <c r="F11" s="7" t="inlineStr">
        <is>
          <t>no</t>
        </is>
      </c>
      <c r="G11" s="11">
        <f>IFERROR(IF(LEN(TRIM(CLEAN(SUBSTITUTE(Setup!$B$2,CHAR(160)," "))))=0,"CHECK REVIEWER ID",IF(OR(A11="",(COUNTIF('C_jama.2024.24764'!$A$2:$A$9,A11)+COUNTIF('C_jama.2024.27643'!$A$2:$A$9,A11)+COUNTIF('C_jama.2025.11178'!$A$2:$A$38,A11)+COUNTIF('C_jama.2025.15185'!$A$2:$A$13,A11)+COUNTIF('C_jama.2025.15440'!$A$2:$A$3,A11)+COUNTIF('C_jama.2025.16450'!$A$2:$A$11,A11)+COUNTIF('C_jama.2025.19563'!$A$2:$A$8,A11)+COUNTIF('C_jama.2025.19843'!$A$2:$A$2,A11)+COUNTIF('C_jama.2025.20765'!$A$2:$A$14,A11)+COUNTIF('C_jama.2025.24175'!$A$2:$A$15,A11)+COUNTIF('C_jama.2025.4390'!$A$2:$A$4,A11)+COUNTIF('C_jama.2025.7583'!$A$2:$A$4,A11)+COUNTIF('C_jama.2025.7710'!$A$2:$A$5,A11)+COUNTIF('C_jama.2025.9110'!$A$2:$A$7,A11)+COUNTIF('C_jama.2025.9663'!$A$2:$A$4,A11))&lt;&gt;1,LEFT(A11,LEN("2025::jama.2025.24175::"))&lt;&gt;"2025::jama.2025.24175::"),"CHECK KEY",IF(OR(AND(NOT(AND(D11="retain",E11="statistical_results")),H11&lt;&gt;"",H11&lt;&gt;"not_applicable"),AND(NOT(AND(D11="retain",E11="statistical_results")),I11&lt;&gt;"",I11&lt;&gt;"not_applicable"),AND(NOT(AND(D11="retain",E11="statistical_results")),J11&lt;&gt;"",J11&lt;&gt;"not_applicable"),AND(NOT(AND(D11="retain",OR(E11="report_internal_inconsistency",E11="plan_material"))),K11&lt;&gt;"",K11&lt;&gt;"not_applicable"),AND(NOT(AND(D11="retain",E11="protocol_report")),L11&lt;&gt;"",L11&lt;&gt;"not_applicable")),"CLEAR INACTIVE VALUES",IF(OR(NOT(OR(D11="retain",D11="exclude",D11="discuss")),NOT(OR(E11="statistical_results",E11="report_internal_inconsistency",E11="plan_material",E11="protocol_report")),AND(AND(D11="retain",E11="statistical_results"),NOT(OR(H11="confirmed_issue",H11="probable_issue",H11="not_issue",H11="indeterminate"))),AND(AND(D11="retain",E11="statistical_results"),NOT(OR(I11="substantive",I11="minor_presentation",I11="indeterminate"))),AND(AND(D11="retain",E11="statistical_results"),J11&lt;&gt;"",NOT(OR(J11="direct",J11="possible",J11="unlikely",J11="unknown"))),AND(AND(D11="retain",OR(E11="report_internal_inconsistency",E11="plan_material")),NOT(OR(K11="substantive_inconsistency",K11="minor_presentation",K11="non_inconsistency",K11="indeterminate"))),AND(AND(D11="retain",E11="protocol_report"),L11&lt;&gt;"",NOT(OR(L11="substantive_difference",L11="minor_presentation",L11="version_timing",L11="non_inconsistency",L11="indeterminate")))),"CHECK FIELDS",IF(AND(F11&lt;&gt;"",NOT(OR(F11="no",F11="primary_done"))),"CHECK COMPLETE",IF(F11="primary_done","PRIMARY READY","PRIMARY DRAFT")))))),"CHECK INPUT / KEY")</f>
        <v/>
      </c>
      <c r="H11" s="7">
        <f>IF(AND(OR(D11="retain",D11=""),E11="statistical_results"),"","not_applicable")</f>
        <v/>
      </c>
      <c r="I11" s="7">
        <f>IF(AND(OR(D11="retain",D11=""),E11="statistical_results"),"","not_applicable")</f>
        <v/>
      </c>
      <c r="J11" s="13">
        <f>IF(AND(OR(D11="retain",D11=""),E11="statistical_results"),"","not_applicable")</f>
        <v/>
      </c>
      <c r="K11" s="7">
        <f>IF(AND(OR(D11="retain",D11=""),OR(E11="report_internal_inconsistency",E11="plan_material")),"","not_applicable")</f>
        <v/>
      </c>
      <c r="L11" s="13">
        <f>IF(AND(OR(D11="retain",D11=""),E11="protocol_report"),"","not_applicable")</f>
        <v/>
      </c>
      <c r="M11" s="19" t="n"/>
      <c r="N11" s="19" t="n"/>
      <c r="O11" s="19" t="n"/>
      <c r="P11" s="19" t="n"/>
      <c r="Q11" s="19" t="n"/>
      <c r="R11" s="13" t="n"/>
    </row>
    <row r="12" ht="92" customFormat="1" customHeight="1" s="8">
      <c r="A12" s="12" t="inlineStr">
        <is>
          <t>2025::jama.2025.24175::C011</t>
        </is>
      </c>
      <c r="B12" s="12" t="inlineStr">
        <is>
          <t>eTable 10 SII day-15 OR versus counts, CI, and P value</t>
        </is>
      </c>
      <c r="C12" s="12" t="inlineStr">
        <is>
          <t>DOC-003 eTable 10, PDF p. 22.</t>
        </is>
      </c>
      <c r="D12" s="7" t="n"/>
      <c r="E12" s="7" t="inlineStr">
        <is>
          <t>statistical_results</t>
        </is>
      </c>
      <c r="F12" s="7" t="inlineStr">
        <is>
          <t>no</t>
        </is>
      </c>
      <c r="G12" s="12">
        <f>IFERROR(IF(LEN(TRIM(CLEAN(SUBSTITUTE(Setup!$B$2,CHAR(160)," "))))=0,"CHECK REVIEWER ID",IF(OR(A12="",(COUNTIF('C_jama.2024.24764'!$A$2:$A$9,A12)+COUNTIF('C_jama.2024.27643'!$A$2:$A$9,A12)+COUNTIF('C_jama.2025.11178'!$A$2:$A$38,A12)+COUNTIF('C_jama.2025.15185'!$A$2:$A$13,A12)+COUNTIF('C_jama.2025.15440'!$A$2:$A$3,A12)+COUNTIF('C_jama.2025.16450'!$A$2:$A$11,A12)+COUNTIF('C_jama.2025.19563'!$A$2:$A$8,A12)+COUNTIF('C_jama.2025.19843'!$A$2:$A$2,A12)+COUNTIF('C_jama.2025.20765'!$A$2:$A$14,A12)+COUNTIF('C_jama.2025.24175'!$A$2:$A$15,A12)+COUNTIF('C_jama.2025.4390'!$A$2:$A$4,A12)+COUNTIF('C_jama.2025.7583'!$A$2:$A$4,A12)+COUNTIF('C_jama.2025.7710'!$A$2:$A$5,A12)+COUNTIF('C_jama.2025.9110'!$A$2:$A$7,A12)+COUNTIF('C_jama.2025.9663'!$A$2:$A$4,A12))&lt;&gt;1,LEFT(A12,LEN("2025::jama.2025.24175::"))&lt;&gt;"2025::jama.2025.24175::"),"CHECK KEY",IF(OR(AND(NOT(AND(D12="retain",E12="statistical_results")),H12&lt;&gt;"",H12&lt;&gt;"not_applicable"),AND(NOT(AND(D12="retain",E12="statistical_results")),I12&lt;&gt;"",I12&lt;&gt;"not_applicable"),AND(NOT(AND(D12="retain",E12="statistical_results")),J12&lt;&gt;"",J12&lt;&gt;"not_applicable"),AND(NOT(AND(D12="retain",OR(E12="report_internal_inconsistency",E12="plan_material"))),K12&lt;&gt;"",K12&lt;&gt;"not_applicable"),AND(NOT(AND(D12="retain",E12="protocol_report")),L12&lt;&gt;"",L12&lt;&gt;"not_applicable")),"CLEAR INACTIVE VALUES",IF(OR(NOT(OR(D12="retain",D12="exclude",D12="discuss")),NOT(OR(E12="statistical_results",E12="report_internal_inconsistency",E12="plan_material",E12="protocol_report")),AND(AND(D12="retain",E12="statistical_results"),NOT(OR(H12="confirmed_issue",H12="probable_issue",H12="not_issue",H12="indeterminate"))),AND(AND(D12="retain",E12="statistical_results"),NOT(OR(I12="substantive",I12="minor_presentation",I12="indeterminate"))),AND(AND(D12="retain",E12="statistical_results"),J12&lt;&gt;"",NOT(OR(J12="direct",J12="possible",J12="unlikely",J12="unknown"))),AND(AND(D12="retain",OR(E12="report_internal_inconsistency",E12="plan_material")),NOT(OR(K12="substantive_inconsistency",K12="minor_presentation",K12="non_inconsistency",K12="indeterminate"))),AND(AND(D12="retain",E12="protocol_report"),L12&lt;&gt;"",NOT(OR(L12="substantive_difference",L12="minor_presentation",L12="version_timing",L12="non_inconsistency",L12="indeterminate")))),"CHECK FIELDS",IF(AND(F12&lt;&gt;"",NOT(OR(F12="no",F12="primary_done"))),"CHECK COMPLETE",IF(F12="primary_done","PRIMARY READY","PRIMARY DRAFT")))))),"CHECK INPUT / KEY")</f>
        <v/>
      </c>
      <c r="H12" s="7">
        <f>IF(AND(OR(D12="retain",D12=""),E12="statistical_results"),"","not_applicable")</f>
        <v/>
      </c>
      <c r="I12" s="7">
        <f>IF(AND(OR(D12="retain",D12=""),E12="statistical_results"),"","not_applicable")</f>
        <v/>
      </c>
      <c r="J12" s="13">
        <f>IF(AND(OR(D12="retain",D12=""),E12="statistical_results"),"","not_applicable")</f>
        <v/>
      </c>
      <c r="K12" s="7">
        <f>IF(AND(OR(D12="retain",D12=""),OR(E12="report_internal_inconsistency",E12="plan_material")),"","not_applicable")</f>
        <v/>
      </c>
      <c r="L12" s="13">
        <f>IF(AND(OR(D12="retain",D12=""),E12="protocol_report"),"","not_applicable")</f>
        <v/>
      </c>
      <c r="M12" s="19" t="n"/>
      <c r="N12" s="19" t="n"/>
      <c r="O12" s="19" t="n"/>
      <c r="P12" s="19" t="n"/>
      <c r="Q12" s="19" t="n"/>
      <c r="R12" s="13" t="n"/>
    </row>
    <row r="13" ht="92" customFormat="1" customHeight="1" s="8">
      <c r="A13" s="11" t="inlineStr">
        <is>
          <t>2025::jama.2025.24175::C012</t>
        </is>
      </c>
      <c r="B13" s="11" t="inlineStr">
        <is>
          <t>eFigure 8B repeats eFigure 7B interaction results under a different outcome caption</t>
        </is>
      </c>
      <c r="C13" s="11" t="inlineStr">
        <is>
          <t>DOC-003 eFigure 7B, PDF p. 51; DOC-003 eFigure 8B, PDF p. 52.</t>
        </is>
      </c>
      <c r="D13" s="7" t="n"/>
      <c r="E13" s="7" t="inlineStr">
        <is>
          <t>report_internal_inconsistency</t>
        </is>
      </c>
      <c r="F13" s="7" t="inlineStr">
        <is>
          <t>no</t>
        </is>
      </c>
      <c r="G13" s="11">
        <f>IFERROR(IF(LEN(TRIM(CLEAN(SUBSTITUTE(Setup!$B$2,CHAR(160)," "))))=0,"CHECK REVIEWER ID",IF(OR(A13="",(COUNTIF('C_jama.2024.24764'!$A$2:$A$9,A13)+COUNTIF('C_jama.2024.27643'!$A$2:$A$9,A13)+COUNTIF('C_jama.2025.11178'!$A$2:$A$38,A13)+COUNTIF('C_jama.2025.15185'!$A$2:$A$13,A13)+COUNTIF('C_jama.2025.15440'!$A$2:$A$3,A13)+COUNTIF('C_jama.2025.16450'!$A$2:$A$11,A13)+COUNTIF('C_jama.2025.19563'!$A$2:$A$8,A13)+COUNTIF('C_jama.2025.19843'!$A$2:$A$2,A13)+COUNTIF('C_jama.2025.20765'!$A$2:$A$14,A13)+COUNTIF('C_jama.2025.24175'!$A$2:$A$15,A13)+COUNTIF('C_jama.2025.4390'!$A$2:$A$4,A13)+COUNTIF('C_jama.2025.7583'!$A$2:$A$4,A13)+COUNTIF('C_jama.2025.7710'!$A$2:$A$5,A13)+COUNTIF('C_jama.2025.9110'!$A$2:$A$7,A13)+COUNTIF('C_jama.2025.9663'!$A$2:$A$4,A13))&lt;&gt;1,LEFT(A13,LEN("2025::jama.2025.24175::"))&lt;&gt;"2025::jama.2025.24175::"),"CHECK KEY",IF(OR(AND(NOT(AND(D13="retain",E13="statistical_results")),H13&lt;&gt;"",H13&lt;&gt;"not_applicable"),AND(NOT(AND(D13="retain",E13="statistical_results")),I13&lt;&gt;"",I13&lt;&gt;"not_applicable"),AND(NOT(AND(D13="retain",E13="statistical_results")),J13&lt;&gt;"",J13&lt;&gt;"not_applicable"),AND(NOT(AND(D13="retain",OR(E13="report_internal_inconsistency",E13="plan_material"))),K13&lt;&gt;"",K13&lt;&gt;"not_applicable"),AND(NOT(AND(D13="retain",E13="protocol_report")),L13&lt;&gt;"",L13&lt;&gt;"not_applicable")),"CLEAR INACTIVE VALUES",IF(OR(NOT(OR(D13="retain",D13="exclude",D13="discuss")),NOT(OR(E13="statistical_results",E13="report_internal_inconsistency",E13="plan_material",E13="protocol_report")),AND(AND(D13="retain",E13="statistical_results"),NOT(OR(H13="confirmed_issue",H13="probable_issue",H13="not_issue",H13="indeterminate"))),AND(AND(D13="retain",E13="statistical_results"),NOT(OR(I13="substantive",I13="minor_presentation",I13="indeterminate"))),AND(AND(D13="retain",E13="statistical_results"),J13&lt;&gt;"",NOT(OR(J13="direct",J13="possible",J13="unlikely",J13="unknown"))),AND(AND(D13="retain",OR(E13="report_internal_inconsistency",E13="plan_material")),NOT(OR(K13="substantive_inconsistency",K13="minor_presentation",K13="non_inconsistency",K13="indeterminate"))),AND(AND(D13="retain",E13="protocol_report"),L13&lt;&gt;"",NOT(OR(L13="substantive_difference",L13="minor_presentation",L13="version_timing",L13="non_inconsistency",L13="indeterminate")))),"CHECK FIELDS",IF(AND(F13&lt;&gt;"",NOT(OR(F13="no",F13="primary_done"))),"CHECK COMPLETE",IF(F13="primary_done","PRIMARY READY","PRIMARY DRAFT")))))),"CHECK INPUT / KEY")</f>
        <v/>
      </c>
      <c r="H13" s="7">
        <f>IF(AND(OR(D13="retain",D13=""),E13="statistical_results"),"","not_applicable")</f>
        <v/>
      </c>
      <c r="I13" s="7">
        <f>IF(AND(OR(D13="retain",D13=""),E13="statistical_results"),"","not_applicable")</f>
        <v/>
      </c>
      <c r="J13" s="13">
        <f>IF(AND(OR(D13="retain",D13=""),E13="statistical_results"),"","not_applicable")</f>
        <v/>
      </c>
      <c r="K13" s="7">
        <f>IF(AND(OR(D13="retain",D13=""),OR(E13="report_internal_inconsistency",E13="plan_material")),"","not_applicable")</f>
        <v/>
      </c>
      <c r="L13" s="13">
        <f>IF(AND(OR(D13="retain",D13=""),E13="protocol_report"),"","not_applicable")</f>
        <v/>
      </c>
      <c r="M13" s="19" t="n"/>
      <c r="N13" s="19" t="n"/>
      <c r="O13" s="19" t="n"/>
      <c r="P13" s="19" t="n"/>
      <c r="Q13" s="19" t="n"/>
      <c r="R13" s="13" t="n"/>
    </row>
    <row r="14" ht="92" customFormat="1" customHeight="1" s="8">
      <c r="A14" s="12" t="inlineStr">
        <is>
          <t>2025::jama.2025.24175::C013</t>
        </is>
      </c>
      <c r="B14" s="12" t="inlineStr">
        <is>
          <t>eFigure 9B APACHE interaction point estimate outside its CI</t>
        </is>
      </c>
      <c r="C14" s="12" t="inlineStr">
        <is>
          <t>DOC-003 eFigure 9B, PDF p. 53.</t>
        </is>
      </c>
      <c r="D14" s="7" t="n"/>
      <c r="E14" s="7" t="inlineStr">
        <is>
          <t>statistical_results</t>
        </is>
      </c>
      <c r="F14" s="7" t="inlineStr">
        <is>
          <t>no</t>
        </is>
      </c>
      <c r="G14" s="12">
        <f>IFERROR(IF(LEN(TRIM(CLEAN(SUBSTITUTE(Setup!$B$2,CHAR(160)," "))))=0,"CHECK REVIEWER ID",IF(OR(A14="",(COUNTIF('C_jama.2024.24764'!$A$2:$A$9,A14)+COUNTIF('C_jama.2024.27643'!$A$2:$A$9,A14)+COUNTIF('C_jama.2025.11178'!$A$2:$A$38,A14)+COUNTIF('C_jama.2025.15185'!$A$2:$A$13,A14)+COUNTIF('C_jama.2025.15440'!$A$2:$A$3,A14)+COUNTIF('C_jama.2025.16450'!$A$2:$A$11,A14)+COUNTIF('C_jama.2025.19563'!$A$2:$A$8,A14)+COUNTIF('C_jama.2025.19843'!$A$2:$A$2,A14)+COUNTIF('C_jama.2025.20765'!$A$2:$A$14,A14)+COUNTIF('C_jama.2025.24175'!$A$2:$A$15,A14)+COUNTIF('C_jama.2025.4390'!$A$2:$A$4,A14)+COUNTIF('C_jama.2025.7583'!$A$2:$A$4,A14)+COUNTIF('C_jama.2025.7710'!$A$2:$A$5,A14)+COUNTIF('C_jama.2025.9110'!$A$2:$A$7,A14)+COUNTIF('C_jama.2025.9663'!$A$2:$A$4,A14))&lt;&gt;1,LEFT(A14,LEN("2025::jama.2025.24175::"))&lt;&gt;"2025::jama.2025.24175::"),"CHECK KEY",IF(OR(AND(NOT(AND(D14="retain",E14="statistical_results")),H14&lt;&gt;"",H14&lt;&gt;"not_applicable"),AND(NOT(AND(D14="retain",E14="statistical_results")),I14&lt;&gt;"",I14&lt;&gt;"not_applicable"),AND(NOT(AND(D14="retain",E14="statistical_results")),J14&lt;&gt;"",J14&lt;&gt;"not_applicable"),AND(NOT(AND(D14="retain",OR(E14="report_internal_inconsistency",E14="plan_material"))),K14&lt;&gt;"",K14&lt;&gt;"not_applicable"),AND(NOT(AND(D14="retain",E14="protocol_report")),L14&lt;&gt;"",L14&lt;&gt;"not_applicable")),"CLEAR INACTIVE VALUES",IF(OR(NOT(OR(D14="retain",D14="exclude",D14="discuss")),NOT(OR(E14="statistical_results",E14="report_internal_inconsistency",E14="plan_material",E14="protocol_report")),AND(AND(D14="retain",E14="statistical_results"),NOT(OR(H14="confirmed_issue",H14="probable_issue",H14="not_issue",H14="indeterminate"))),AND(AND(D14="retain",E14="statistical_results"),NOT(OR(I14="substantive",I14="minor_presentation",I14="indeterminate"))),AND(AND(D14="retain",E14="statistical_results"),J14&lt;&gt;"",NOT(OR(J14="direct",J14="possible",J14="unlikely",J14="unknown"))),AND(AND(D14="retain",OR(E14="report_internal_inconsistency",E14="plan_material")),NOT(OR(K14="substantive_inconsistency",K14="minor_presentation",K14="non_inconsistency",K14="indeterminate"))),AND(AND(D14="retain",E14="protocol_report"),L14&lt;&gt;"",NOT(OR(L14="substantive_difference",L14="minor_presentation",L14="version_timing",L14="non_inconsistency",L14="indeterminate")))),"CHECK FIELDS",IF(AND(F14&lt;&gt;"",NOT(OR(F14="no",F14="primary_done"))),"CHECK COMPLETE",IF(F14="primary_done","PRIMARY READY","PRIMARY DRAFT")))))),"CHECK INPUT / KEY")</f>
        <v/>
      </c>
      <c r="H14" s="7">
        <f>IF(AND(OR(D14="retain",D14=""),E14="statistical_results"),"","not_applicable")</f>
        <v/>
      </c>
      <c r="I14" s="7">
        <f>IF(AND(OR(D14="retain",D14=""),E14="statistical_results"),"","not_applicable")</f>
        <v/>
      </c>
      <c r="J14" s="13">
        <f>IF(AND(OR(D14="retain",D14=""),E14="statistical_results"),"","not_applicable")</f>
        <v/>
      </c>
      <c r="K14" s="7">
        <f>IF(AND(OR(D14="retain",D14=""),OR(E14="report_internal_inconsistency",E14="plan_material")),"","not_applicable")</f>
        <v/>
      </c>
      <c r="L14" s="13">
        <f>IF(AND(OR(D14="retain",D14=""),E14="protocol_report"),"","not_applicable")</f>
        <v/>
      </c>
      <c r="M14" s="19" t="n"/>
      <c r="N14" s="19" t="n"/>
      <c r="O14" s="19" t="n"/>
      <c r="P14" s="19" t="n"/>
      <c r="Q14" s="19" t="n"/>
      <c r="R14" s="13" t="n"/>
    </row>
    <row r="15" ht="92" customFormat="1" customHeight="1" s="8">
      <c r="A15" s="11" t="inlineStr">
        <is>
          <t>2025::jama.2025.24175::C014</t>
        </is>
      </c>
      <c r="B15" s="11" t="inlineStr">
        <is>
          <t>Historical mortality-pair registration</t>
        </is>
      </c>
      <c r="C15" s="11" t="inlineStr">
        <is>
          <t>DOC-002 actual mortality sentence, PDF p. 41; Discussion, PDF p. 42; Table 2, PDF p. 48; Figure 1, PDF p. 50.</t>
        </is>
      </c>
      <c r="D15" s="7" t="n"/>
      <c r="E15" s="7" t="inlineStr">
        <is>
          <t>plan_material</t>
        </is>
      </c>
      <c r="F15" s="7" t="inlineStr">
        <is>
          <t>no</t>
        </is>
      </c>
      <c r="G15" s="11">
        <f>IFERROR(IF(LEN(TRIM(CLEAN(SUBSTITUTE(Setup!$B$2,CHAR(160)," "))))=0,"CHECK REVIEWER ID",IF(OR(A15="",(COUNTIF('C_jama.2024.24764'!$A$2:$A$9,A15)+COUNTIF('C_jama.2024.27643'!$A$2:$A$9,A15)+COUNTIF('C_jama.2025.11178'!$A$2:$A$38,A15)+COUNTIF('C_jama.2025.15185'!$A$2:$A$13,A15)+COUNTIF('C_jama.2025.15440'!$A$2:$A$3,A15)+COUNTIF('C_jama.2025.16450'!$A$2:$A$11,A15)+COUNTIF('C_jama.2025.19563'!$A$2:$A$8,A15)+COUNTIF('C_jama.2025.19843'!$A$2:$A$2,A15)+COUNTIF('C_jama.2025.20765'!$A$2:$A$14,A15)+COUNTIF('C_jama.2025.24175'!$A$2:$A$15,A15)+COUNTIF('C_jama.2025.4390'!$A$2:$A$4,A15)+COUNTIF('C_jama.2025.7583'!$A$2:$A$4,A15)+COUNTIF('C_jama.2025.7710'!$A$2:$A$5,A15)+COUNTIF('C_jama.2025.9110'!$A$2:$A$7,A15)+COUNTIF('C_jama.2025.9663'!$A$2:$A$4,A15))&lt;&gt;1,LEFT(A15,LEN("2025::jama.2025.24175::"))&lt;&gt;"2025::jama.2025.24175::"),"CHECK KEY",IF(OR(AND(NOT(AND(D15="retain",E15="statistical_results")),H15&lt;&gt;"",H15&lt;&gt;"not_applicable"),AND(NOT(AND(D15="retain",E15="statistical_results")),I15&lt;&gt;"",I15&lt;&gt;"not_applicable"),AND(NOT(AND(D15="retain",E15="statistical_results")),J15&lt;&gt;"",J15&lt;&gt;"not_applicable"),AND(NOT(AND(D15="retain",OR(E15="report_internal_inconsistency",E15="plan_material"))),K15&lt;&gt;"",K15&lt;&gt;"not_applicable"),AND(NOT(AND(D15="retain",E15="protocol_report")),L15&lt;&gt;"",L15&lt;&gt;"not_applicable")),"CLEAR INACTIVE VALUES",IF(OR(NOT(OR(D15="retain",D15="exclude",D15="discuss")),NOT(OR(E15="statistical_results",E15="report_internal_inconsistency",E15="plan_material",E15="protocol_report")),AND(AND(D15="retain",E15="statistical_results"),NOT(OR(H15="confirmed_issue",H15="probable_issue",H15="not_issue",H15="indeterminate"))),AND(AND(D15="retain",E15="statistical_results"),NOT(OR(I15="substantive",I15="minor_presentation",I15="indeterminate"))),AND(AND(D15="retain",E15="statistical_results"),J15&lt;&gt;"",NOT(OR(J15="direct",J15="possible",J15="unlikely",J15="unknown"))),AND(AND(D15="retain",OR(E15="report_internal_inconsistency",E15="plan_material")),NOT(OR(K15="substantive_inconsistency",K15="minor_presentation",K15="non_inconsistency",K15="indeterminate"))),AND(AND(D15="retain",E15="protocol_report"),L15&lt;&gt;"",NOT(OR(L15="substantive_difference",L15="minor_presentation",L15="version_timing",L15="non_inconsistency",L15="indeterminate")))),"CHECK FIELDS",IF(AND(F15&lt;&gt;"",NOT(OR(F15="no",F15="primary_done"))),"CHECK COMPLETE",IF(F15="primary_done","PRIMARY READY","PRIMARY DRAFT")))))),"CHECK INPUT / KEY")</f>
        <v/>
      </c>
      <c r="H15" s="7">
        <f>IF(AND(OR(D15="retain",D15=""),E15="statistical_results"),"","not_applicable")</f>
        <v/>
      </c>
      <c r="I15" s="7">
        <f>IF(AND(OR(D15="retain",D15=""),E15="statistical_results"),"","not_applicable")</f>
        <v/>
      </c>
      <c r="J15" s="13">
        <f>IF(AND(OR(D15="retain",D15=""),E15="statistical_results"),"","not_applicable")</f>
        <v/>
      </c>
      <c r="K15" s="7">
        <f>IF(AND(OR(D15="retain",D15=""),OR(E15="report_internal_inconsistency",E15="plan_material")),"","not_applicable")</f>
        <v/>
      </c>
      <c r="L15" s="13">
        <f>IF(AND(OR(D15="retain",D15=""),E15="protocol_report"),"","not_applicable")</f>
        <v/>
      </c>
      <c r="M15" s="19" t="n"/>
      <c r="N15" s="19" t="n"/>
      <c r="O15" s="19" t="n"/>
      <c r="P15" s="19" t="n"/>
      <c r="Q15" s="19" t="n"/>
      <c r="R15" s="13" t="n"/>
    </row>
  </sheetData>
  <autoFilter ref="A1:R15"/>
  <conditionalFormatting sqref="G2:G15">
    <cfRule type="expression" priority="1" dxfId="105">
      <formula>G2&lt;&gt;"PRIMARY READY"</formula>
    </cfRule>
  </conditionalFormatting>
  <conditionalFormatting sqref="H2:H15">
    <cfRule type="expression" priority="2" dxfId="106">
      <formula>NOT(AND(OR($D2="retain",$D2=""),$E2="statistical_results"))</formula>
    </cfRule>
  </conditionalFormatting>
  <conditionalFormatting sqref="I2:I15">
    <cfRule type="expression" priority="3" dxfId="106">
      <formula>NOT(AND(OR($D2="retain",$D2=""),$E2="statistical_results"))</formula>
    </cfRule>
  </conditionalFormatting>
  <conditionalFormatting sqref="J2:J15">
    <cfRule type="expression" priority="4" dxfId="106">
      <formula>NOT(AND(OR($D2="retain",$D2=""),$E2="statistical_results"))</formula>
    </cfRule>
  </conditionalFormatting>
  <conditionalFormatting sqref="K2:K15">
    <cfRule type="expression" priority="5" dxfId="106">
      <formula>NOT(AND(OR($D2="retain",$D2=""),OR($E2="report_internal_inconsistency",$E2="plan_material")))</formula>
    </cfRule>
  </conditionalFormatting>
  <conditionalFormatting sqref="L2:L15">
    <cfRule type="expression" priority="6" dxfId="106">
      <formula>NOT(AND(OR($D2="retain",$D2=""),$E2="protocol_report"))</formula>
    </cfRule>
  </conditionalFormatting>
  <dataValidations count="8">
    <dataValidation sqref="D2:D15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15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15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15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15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15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15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15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2025::jama.2025.4390::C001</t>
        </is>
      </c>
      <c r="B2" s="12" t="inlineStr">
        <is>
          <t>Figure 3 all-patient rate-column conflict with the matched primary-outcome rate</t>
        </is>
      </c>
      <c r="C2" s="12" t="inlineStr">
        <is>
          <t>jama_garrison_2025_oi_250019_1749674951.29054.pdf — Figure 3, PDF p. 9; jama_garrison_2025_oi_250019_1749674951.29054.pdf — Table 2, PDF p. 8; main article abstract, PDF p. 1; primary-outcome narrative, PDF p. 6.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2025.4390::"))&lt;&gt;"2025::jama.2025.4390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2025::jama.2025.4390::C002</t>
        </is>
      </c>
      <c r="B3" s="11" t="inlineStr">
        <is>
          <t>Bedtime-diuretic six-month timing count triplets differ between eFigure 4 and eTable 6</t>
        </is>
      </c>
      <c r="C3" s="11" t="inlineStr">
        <is>
          <t>joi250019supp3_prod_1749674951.30054.pdf — eFigure 4, PDF p. 26; joi250019supp3_prod_1749674951.30054.pdf — eTable 6, PDF p. 42 (table begins on PDF p. 41).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2025.4390::"))&lt;&gt;"2025::jama.2025.4390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2025::jama.2025.4390::C003</t>
        </is>
      </c>
      <c r="B4" s="12" t="inlineStr">
        <is>
          <t>eTable 5 Other ethnicity row duplicates White/Caucasian values and exceeds randomized Other totals</t>
        </is>
      </c>
      <c r="C4" s="12" t="inlineStr">
        <is>
          <t>joi250019supp3_prod_1749674951.30054.pdf — eTable 5, PDF p. 37; joi250019supp3_prod_1749674951.30054.pdf — eTable 3, PDF p. 29.</t>
        </is>
      </c>
      <c r="D4" s="7" t="n"/>
      <c r="E4" s="7" t="inlineStr">
        <is>
          <t>statistical_results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2025.4390::"))&lt;&gt;"2025::jama.2025.4390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</sheetData>
  <autoFilter ref="A1:R4"/>
  <conditionalFormatting sqref="G2:G4">
    <cfRule type="expression" priority="1" dxfId="105">
      <formula>G2&lt;&gt;"PRIMARY READY"</formula>
    </cfRule>
  </conditionalFormatting>
  <conditionalFormatting sqref="H2:H4">
    <cfRule type="expression" priority="2" dxfId="106">
      <formula>NOT(AND(OR($D2="retain",$D2=""),$E2="statistical_results"))</formula>
    </cfRule>
  </conditionalFormatting>
  <conditionalFormatting sqref="I2:I4">
    <cfRule type="expression" priority="3" dxfId="106">
      <formula>NOT(AND(OR($D2="retain",$D2=""),$E2="statistical_results"))</formula>
    </cfRule>
  </conditionalFormatting>
  <conditionalFormatting sqref="J2:J4">
    <cfRule type="expression" priority="4" dxfId="106">
      <formula>NOT(AND(OR($D2="retain",$D2=""),$E2="statistical_results"))</formula>
    </cfRule>
  </conditionalFormatting>
  <conditionalFormatting sqref="K2:K4">
    <cfRule type="expression" priority="5" dxfId="106">
      <formula>NOT(AND(OR($D2="retain",$D2=""),OR($E2="report_internal_inconsistency",$E2="plan_material")))</formula>
    </cfRule>
  </conditionalFormatting>
  <conditionalFormatting sqref="L2:L4">
    <cfRule type="expression" priority="6" dxfId="106">
      <formula>NOT(AND(OR($D2="retain",$D2=""),$E2="protocol_report"))</formula>
    </cfRule>
  </conditionalFormatting>
  <dataValidations count="8">
    <dataValidation sqref="D2:D4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4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4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4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4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4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4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4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2025::jama.2025.7583::C001</t>
        </is>
      </c>
      <c r="B2" s="12" t="inlineStr">
        <is>
          <t>Primary-endpoint midline-shift boundary differs across matched supplied sources</t>
        </is>
      </c>
      <c r="C2" s="12" t="inlineStr">
        <is>
          <t>Main article — PDF p. 3; protocol — PDF p. 7; protocol — PDF p. 16; results supplement — PDF p. 15; SAP — PDF p. 3.</t>
        </is>
      </c>
      <c r="D2" s="7" t="n"/>
      <c r="E2" s="7" t="inlineStr">
        <is>
          <t>protocol_report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2025.7583::"))&lt;&gt;"2025::jama.2025.7583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2025::jama.2025.7583::C002</t>
        </is>
      </c>
      <c r="B3" s="11" t="inlineStr">
        <is>
          <t>Printed sample-size attrition allowance does not reconcile with the printed target</t>
        </is>
      </c>
      <c r="C3" s="11" t="inlineStr">
        <is>
          <t>Protocol — PDF p. 50; SAP — PDF p. 4; SAP — PDF p. 5; main article — PDF p. 3.</t>
        </is>
      </c>
      <c r="D3" s="7" t="n"/>
      <c r="E3" s="7" t="inlineStr">
        <is>
          <t>plan_material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2025.7583::"))&lt;&gt;"2025::jama.2025.7583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2025::jama.2025.7583::C003</t>
        </is>
      </c>
      <c r="B4" s="12" t="inlineStr">
        <is>
          <t>Standard-care surgery-type counts exceed their shared printed denominator</t>
        </is>
      </c>
      <c r="C4" s="12" t="inlineStr">
        <is>
          <t>Main article — PDF p. 5, Table 1, Treatment rows.</t>
        </is>
      </c>
      <c r="D4" s="7" t="n"/>
      <c r="E4" s="7" t="inlineStr">
        <is>
          <t>statistical_results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2025.7583::"))&lt;&gt;"2025::jama.2025.7583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</sheetData>
  <autoFilter ref="A1:R4"/>
  <conditionalFormatting sqref="G2:G4">
    <cfRule type="expression" priority="1" dxfId="105">
      <formula>G2&lt;&gt;"PRIMARY READY"</formula>
    </cfRule>
  </conditionalFormatting>
  <conditionalFormatting sqref="H2:H4">
    <cfRule type="expression" priority="2" dxfId="106">
      <formula>NOT(AND(OR($D2="retain",$D2=""),$E2="statistical_results"))</formula>
    </cfRule>
  </conditionalFormatting>
  <conditionalFormatting sqref="I2:I4">
    <cfRule type="expression" priority="3" dxfId="106">
      <formula>NOT(AND(OR($D2="retain",$D2=""),$E2="statistical_results"))</formula>
    </cfRule>
  </conditionalFormatting>
  <conditionalFormatting sqref="J2:J4">
    <cfRule type="expression" priority="4" dxfId="106">
      <formula>NOT(AND(OR($D2="retain",$D2=""),$E2="statistical_results"))</formula>
    </cfRule>
  </conditionalFormatting>
  <conditionalFormatting sqref="K2:K4">
    <cfRule type="expression" priority="5" dxfId="106">
      <formula>NOT(AND(OR($D2="retain",$D2=""),OR($E2="report_internal_inconsistency",$E2="plan_material")))</formula>
    </cfRule>
  </conditionalFormatting>
  <conditionalFormatting sqref="L2:L4">
    <cfRule type="expression" priority="6" dxfId="106">
      <formula>NOT(AND(OR($D2="retain",$D2=""),$E2="protocol_report"))</formula>
    </cfRule>
  </conditionalFormatting>
  <dataValidations count="8">
    <dataValidation sqref="D2:D4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4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4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4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4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4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4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4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2025::jama.2025.7710::C001</t>
        </is>
      </c>
      <c r="B2" s="12" t="inlineStr">
        <is>
          <t>Conflicting economic price-year labels within the protocol</t>
        </is>
      </c>
      <c r="C2" s="12" t="inlineStr">
        <is>
          <t>joi250034supp1_prod_1750956984.09018.pdf — PDF p. 16, section 7.2.3; joi250034supp1_prod_1750956984.09018.pdf — PDF p. 17, section 8.2.</t>
        </is>
      </c>
      <c r="D2" s="7" t="n"/>
      <c r="E2" s="7" t="inlineStr">
        <is>
          <t>plan_material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2025.7710::"))&lt;&gt;"2025::jama.2025.7710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2025::jama.2025.7710::C002</t>
        </is>
      </c>
      <c r="B3" s="11" t="inlineStr">
        <is>
          <t>Primary-composite counting rationale does not reconcile with the displayed endpoint list</t>
        </is>
      </c>
      <c r="C3" s="11" t="inlineStr">
        <is>
          <t>joi250034supp1_prod_1750956984.09018.pdf — PDF p. 15, section 7.1; joi250034supp1_prod_1750956984.09018.pdf — PDF p. 16, section 7.2.1.</t>
        </is>
      </c>
      <c r="D3" s="7" t="n"/>
      <c r="E3" s="7" t="inlineStr">
        <is>
          <t>plan_material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2025.7710::"))&lt;&gt;"2025::jama.2025.7710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2025::jama.2025.7710::C003</t>
        </is>
      </c>
      <c r="B4" s="12" t="inlineStr">
        <is>
          <t>Economic comparator label conflicts with the detailed trial comparison</t>
        </is>
      </c>
      <c r="C4" s="12" t="inlineStr">
        <is>
          <t>joi250034supp1_prod_1750956984.09018.pdf — PDF p. 5, synopsis and schema; joi250034supp1_prod_1750956984.09018.pdf — PDF p. 16, section 7.2.3; joi250034supp1_prod_1750956984.09018.pdf — PDF p. 17, section 8.2.</t>
        </is>
      </c>
      <c r="D4" s="7" t="n"/>
      <c r="E4" s="7" t="inlineStr">
        <is>
          <t>plan_material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2025.7710::"))&lt;&gt;"2025::jama.2025.7710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2025::jama.2025.7710::C004</t>
        </is>
      </c>
      <c r="B5" s="11" t="inlineStr">
        <is>
          <t>Reported no-adjustment statement conflicts with the supplied multiplicity plan</t>
        </is>
      </c>
      <c r="C5" s="11" t="inlineStr">
        <is>
          <t>jama_kumar_2025_oi_250034_1750956984.08518.pdf — PDF p. 4, Statistical Analysis; jama_kumar_2025_oi_250034_1750956984.08518.pdf — PDF p. 7, Table 3; joi250034supp1_prod_1750956984.09018.pdf — PDF p. 20, section 13.2; joi250034supp2_prod_1750956984.11521.pdf — PDF p. 12, section 3.2; joi250034supp2_prod_1750956984.11521.pdf — PDF p. 25, proposed Table 11.</t>
        </is>
      </c>
      <c r="D5" s="7" t="n"/>
      <c r="E5" s="7" t="inlineStr">
        <is>
          <t>protocol_report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2025.7710::"))&lt;&gt;"2025::jama.2025.7710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</sheetData>
  <autoFilter ref="A1:R5"/>
  <conditionalFormatting sqref="G2:G5">
    <cfRule type="expression" priority="1" dxfId="105">
      <formula>G2&lt;&gt;"PRIMARY READY"</formula>
    </cfRule>
  </conditionalFormatting>
  <conditionalFormatting sqref="H2:H5">
    <cfRule type="expression" priority="2" dxfId="106">
      <formula>NOT(AND(OR($D2="retain",$D2=""),$E2="statistical_results"))</formula>
    </cfRule>
  </conditionalFormatting>
  <conditionalFormatting sqref="I2:I5">
    <cfRule type="expression" priority="3" dxfId="106">
      <formula>NOT(AND(OR($D2="retain",$D2=""),$E2="statistical_results"))</formula>
    </cfRule>
  </conditionalFormatting>
  <conditionalFormatting sqref="J2:J5">
    <cfRule type="expression" priority="4" dxfId="106">
      <formula>NOT(AND(OR($D2="retain",$D2=""),$E2="statistical_results"))</formula>
    </cfRule>
  </conditionalFormatting>
  <conditionalFormatting sqref="K2:K5">
    <cfRule type="expression" priority="5" dxfId="106">
      <formula>NOT(AND(OR($D2="retain",$D2=""),OR($E2="report_internal_inconsistency",$E2="plan_material")))</formula>
    </cfRule>
  </conditionalFormatting>
  <conditionalFormatting sqref="L2:L5">
    <cfRule type="expression" priority="6" dxfId="106">
      <formula>NOT(AND(OR($D2="retain",$D2=""),$E2="protocol_report"))</formula>
    </cfRule>
  </conditionalFormatting>
  <dataValidations count="8">
    <dataValidation sqref="D2:D5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5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5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5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5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5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5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5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2025::jama.2025.9110::C001</t>
        </is>
      </c>
      <c r="B2" s="12" t="inlineStr">
        <is>
          <t>Invasive-ventilation descriptive summary is labeled mean (SD) but displays two endpoints</t>
        </is>
      </c>
      <c r="C2" s="12" t="inlineStr">
        <is>
          <t>Main article — PDF p. 7, Table 2, Duration of invasive ventilation, mean (SD), h; main article — PDF p. 1; Results Supplement — PDF p. 18, eTable 10.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2025.9110::"))&lt;&gt;"2025::jama.2025.9110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2025::jama.2025.9110::C002</t>
        </is>
      </c>
      <c r="B3" s="11" t="inlineStr">
        <is>
          <t>eTable 10 uses a comma in one one-decimal survival percentage</t>
        </is>
      </c>
      <c r="C3" s="11" t="inlineStr">
        <is>
          <t>Results Supplement — PDF p. 18, eTable 10, Alive at day 90 [n (%)], Period 2 usual protein (4 units, n = 530).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2025.9110::"))&lt;&gt;"2025::jama.2025.9110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2025::jama.2025.9110::C003</t>
        </is>
      </c>
      <c r="B4" s="12" t="inlineStr">
        <is>
          <t>Bayesian quantile row is labeled mean (SD) despite its associated median estimand and two-endpoint group displays</t>
        </is>
      </c>
      <c r="C4" s="12" t="inlineStr">
        <is>
          <t>Main article — PDF p. 7, Table 2; Results Supplement — PDF p. 5, secondary analyses; Results Supplement — PDF p. 27, eFigure 6.</t>
        </is>
      </c>
      <c r="D4" s="7" t="n"/>
      <c r="E4" s="7" t="inlineStr">
        <is>
          <t>report_internal_inconsistency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2025.9110::"))&lt;&gt;"2025::jama.2025.9110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  <row r="5" ht="92" customFormat="1" customHeight="1" s="8">
      <c r="A5" s="11" t="inlineStr">
        <is>
          <t>2025::jama.2025.9110::C004</t>
        </is>
      </c>
      <c r="B5" s="11" t="inlineStr">
        <is>
          <t>Discussion describes the matched day-10 urea summaries as means while Results reports medians (IQR)</t>
        </is>
      </c>
      <c r="C5" s="11" t="inlineStr">
        <is>
          <t>Main article Results — PDF p. 5, Biochemical Outcomes; main article Discussion — PDF p. 8.</t>
        </is>
      </c>
      <c r="D5" s="7" t="n"/>
      <c r="E5" s="7" t="inlineStr">
        <is>
          <t>report_internal_inconsistency</t>
        </is>
      </c>
      <c r="F5" s="7" t="inlineStr">
        <is>
          <t>no</t>
        </is>
      </c>
      <c r="G5" s="11">
        <f>IFERROR(IF(LEN(TRIM(CLEAN(SUBSTITUTE(Setup!$B$2,CHAR(160)," "))))=0,"CHECK REVIEWER ID",IF(OR(A5="",(COUNTIF('C_jama.2024.24764'!$A$2:$A$9,A5)+COUNTIF('C_jama.2024.27643'!$A$2:$A$9,A5)+COUNTIF('C_jama.2025.11178'!$A$2:$A$38,A5)+COUNTIF('C_jama.2025.15185'!$A$2:$A$13,A5)+COUNTIF('C_jama.2025.15440'!$A$2:$A$3,A5)+COUNTIF('C_jama.2025.16450'!$A$2:$A$11,A5)+COUNTIF('C_jama.2025.19563'!$A$2:$A$8,A5)+COUNTIF('C_jama.2025.19843'!$A$2:$A$2,A5)+COUNTIF('C_jama.2025.20765'!$A$2:$A$14,A5)+COUNTIF('C_jama.2025.24175'!$A$2:$A$15,A5)+COUNTIF('C_jama.2025.4390'!$A$2:$A$4,A5)+COUNTIF('C_jama.2025.7583'!$A$2:$A$4,A5)+COUNTIF('C_jama.2025.7710'!$A$2:$A$5,A5)+COUNTIF('C_jama.2025.9110'!$A$2:$A$7,A5)+COUNTIF('C_jama.2025.9663'!$A$2:$A$4,A5))&lt;&gt;1,LEFT(A5,LEN("2025::jama.2025.9110::"))&lt;&gt;"2025::jama.2025.9110::"),"CHECK KEY",IF(OR(AND(NOT(AND(D5="retain",E5="statistical_results")),H5&lt;&gt;"",H5&lt;&gt;"not_applicable"),AND(NOT(AND(D5="retain",E5="statistical_results")),I5&lt;&gt;"",I5&lt;&gt;"not_applicable"),AND(NOT(AND(D5="retain",E5="statistical_results")),J5&lt;&gt;"",J5&lt;&gt;"not_applicable"),AND(NOT(AND(D5="retain",OR(E5="report_internal_inconsistency",E5="plan_material"))),K5&lt;&gt;"",K5&lt;&gt;"not_applicable"),AND(NOT(AND(D5="retain",E5="protocol_report")),L5&lt;&gt;"",L5&lt;&gt;"not_applicable")),"CLEAR INACTIVE VALUES",IF(OR(NOT(OR(D5="retain",D5="exclude",D5="discuss")),NOT(OR(E5="statistical_results",E5="report_internal_inconsistency",E5="plan_material",E5="protocol_report")),AND(AND(D5="retain",E5="statistical_results"),NOT(OR(H5="confirmed_issue",H5="probable_issue",H5="not_issue",H5="indeterminate"))),AND(AND(D5="retain",E5="statistical_results"),NOT(OR(I5="substantive",I5="minor_presentation",I5="indeterminate"))),AND(AND(D5="retain",E5="statistical_results"),J5&lt;&gt;"",NOT(OR(J5="direct",J5="possible",J5="unlikely",J5="unknown"))),AND(AND(D5="retain",OR(E5="report_internal_inconsistency",E5="plan_material")),NOT(OR(K5="substantive_inconsistency",K5="minor_presentation",K5="non_inconsistency",K5="indeterminate"))),AND(AND(D5="retain",E5="protocol_report"),L5&lt;&gt;"",NOT(OR(L5="substantive_difference",L5="minor_presentation",L5="version_timing",L5="non_inconsistency",L5="indeterminate")))),"CHECK FIELDS",IF(AND(F5&lt;&gt;"",NOT(OR(F5="no",F5="primary_done"))),"CHECK COMPLETE",IF(F5="primary_done","PRIMARY READY","PRIMARY DRAFT")))))),"CHECK INPUT / KEY")</f>
        <v/>
      </c>
      <c r="H5" s="7">
        <f>IF(AND(OR(D5="retain",D5=""),E5="statistical_results"),"","not_applicable")</f>
        <v/>
      </c>
      <c r="I5" s="7">
        <f>IF(AND(OR(D5="retain",D5=""),E5="statistical_results"),"","not_applicable")</f>
        <v/>
      </c>
      <c r="J5" s="13">
        <f>IF(AND(OR(D5="retain",D5=""),E5="statistical_results"),"","not_applicable")</f>
        <v/>
      </c>
      <c r="K5" s="7">
        <f>IF(AND(OR(D5="retain",D5=""),OR(E5="report_internal_inconsistency",E5="plan_material")),"","not_applicable")</f>
        <v/>
      </c>
      <c r="L5" s="13">
        <f>IF(AND(OR(D5="retain",D5=""),E5="protocol_report"),"","not_applicable")</f>
        <v/>
      </c>
      <c r="M5" s="19" t="n"/>
      <c r="N5" s="19" t="n"/>
      <c r="O5" s="19" t="n"/>
      <c r="P5" s="19" t="n"/>
      <c r="Q5" s="19" t="n"/>
      <c r="R5" s="13" t="n"/>
    </row>
    <row r="6" ht="92" customFormat="1" customHeight="1" s="8">
      <c r="A6" s="12" t="inlineStr">
        <is>
          <t>2025::jama.2025.9110::C005</t>
        </is>
      </c>
      <c r="B6" s="12" t="inlineStr">
        <is>
          <t>eTable 10 tracheostomy row switches percent-sign notation across period cells</t>
        </is>
      </c>
      <c r="C6" s="12" t="inlineStr">
        <is>
          <t>Results Supplement — PDF p. 18, eTable 10, Tracheostomy in ICU [n (%)].</t>
        </is>
      </c>
      <c r="D6" s="7" t="n"/>
      <c r="E6" s="7" t="inlineStr">
        <is>
          <t>report_internal_inconsistency</t>
        </is>
      </c>
      <c r="F6" s="7" t="inlineStr">
        <is>
          <t>no</t>
        </is>
      </c>
      <c r="G6" s="12">
        <f>IFERROR(IF(LEN(TRIM(CLEAN(SUBSTITUTE(Setup!$B$2,CHAR(160)," "))))=0,"CHECK REVIEWER ID",IF(OR(A6="",(COUNTIF('C_jama.2024.24764'!$A$2:$A$9,A6)+COUNTIF('C_jama.2024.27643'!$A$2:$A$9,A6)+COUNTIF('C_jama.2025.11178'!$A$2:$A$38,A6)+COUNTIF('C_jama.2025.15185'!$A$2:$A$13,A6)+COUNTIF('C_jama.2025.15440'!$A$2:$A$3,A6)+COUNTIF('C_jama.2025.16450'!$A$2:$A$11,A6)+COUNTIF('C_jama.2025.19563'!$A$2:$A$8,A6)+COUNTIF('C_jama.2025.19843'!$A$2:$A$2,A6)+COUNTIF('C_jama.2025.20765'!$A$2:$A$14,A6)+COUNTIF('C_jama.2025.24175'!$A$2:$A$15,A6)+COUNTIF('C_jama.2025.4390'!$A$2:$A$4,A6)+COUNTIF('C_jama.2025.7583'!$A$2:$A$4,A6)+COUNTIF('C_jama.2025.7710'!$A$2:$A$5,A6)+COUNTIF('C_jama.2025.9110'!$A$2:$A$7,A6)+COUNTIF('C_jama.2025.9663'!$A$2:$A$4,A6))&lt;&gt;1,LEFT(A6,LEN("2025::jama.2025.9110::"))&lt;&gt;"2025::jama.2025.9110::"),"CHECK KEY",IF(OR(AND(NOT(AND(D6="retain",E6="statistical_results")),H6&lt;&gt;"",H6&lt;&gt;"not_applicable"),AND(NOT(AND(D6="retain",E6="statistical_results")),I6&lt;&gt;"",I6&lt;&gt;"not_applicable"),AND(NOT(AND(D6="retain",E6="statistical_results")),J6&lt;&gt;"",J6&lt;&gt;"not_applicable"),AND(NOT(AND(D6="retain",OR(E6="report_internal_inconsistency",E6="plan_material"))),K6&lt;&gt;"",K6&lt;&gt;"not_applicable"),AND(NOT(AND(D6="retain",E6="protocol_report")),L6&lt;&gt;"",L6&lt;&gt;"not_applicable")),"CLEAR INACTIVE VALUES",IF(OR(NOT(OR(D6="retain",D6="exclude",D6="discuss")),NOT(OR(E6="statistical_results",E6="report_internal_inconsistency",E6="plan_material",E6="protocol_report")),AND(AND(D6="retain",E6="statistical_results"),NOT(OR(H6="confirmed_issue",H6="probable_issue",H6="not_issue",H6="indeterminate"))),AND(AND(D6="retain",E6="statistical_results"),NOT(OR(I6="substantive",I6="minor_presentation",I6="indeterminate"))),AND(AND(D6="retain",E6="statistical_results"),J6&lt;&gt;"",NOT(OR(J6="direct",J6="possible",J6="unlikely",J6="unknown"))),AND(AND(D6="retain",OR(E6="report_internal_inconsistency",E6="plan_material")),NOT(OR(K6="substantive_inconsistency",K6="minor_presentation",K6="non_inconsistency",K6="indeterminate"))),AND(AND(D6="retain",E6="protocol_report"),L6&lt;&gt;"",NOT(OR(L6="substantive_difference",L6="minor_presentation",L6="version_timing",L6="non_inconsistency",L6="indeterminate")))),"CHECK FIELDS",IF(AND(F6&lt;&gt;"",NOT(OR(F6="no",F6="primary_done"))),"CHECK COMPLETE",IF(F6="primary_done","PRIMARY READY","PRIMARY DRAFT")))))),"CHECK INPUT / KEY")</f>
        <v/>
      </c>
      <c r="H6" s="7">
        <f>IF(AND(OR(D6="retain",D6=""),E6="statistical_results"),"","not_applicable")</f>
        <v/>
      </c>
      <c r="I6" s="7">
        <f>IF(AND(OR(D6="retain",D6=""),E6="statistical_results"),"","not_applicable")</f>
        <v/>
      </c>
      <c r="J6" s="13">
        <f>IF(AND(OR(D6="retain",D6=""),E6="statistical_results"),"","not_applicable")</f>
        <v/>
      </c>
      <c r="K6" s="7">
        <f>IF(AND(OR(D6="retain",D6=""),OR(E6="report_internal_inconsistency",E6="plan_material")),"","not_applicable")</f>
        <v/>
      </c>
      <c r="L6" s="13">
        <f>IF(AND(OR(D6="retain",D6=""),E6="protocol_report"),"","not_applicable")</f>
        <v/>
      </c>
      <c r="M6" s="19" t="n"/>
      <c r="N6" s="19" t="n"/>
      <c r="O6" s="19" t="n"/>
      <c r="P6" s="19" t="n"/>
      <c r="Q6" s="19" t="n"/>
      <c r="R6" s="13" t="n"/>
    </row>
    <row r="7" ht="92" customFormat="1" customHeight="1" s="8">
      <c r="A7" s="11" t="inlineStr">
        <is>
          <t>2025::jama.2025.9110::C006</t>
        </is>
      </c>
      <c r="B7" s="11" t="inlineStr">
        <is>
          <t>eTable 10 new-KRT row switches percent-sign notation across period cells</t>
        </is>
      </c>
      <c r="C7" s="11" t="inlineStr">
        <is>
          <t>Results Supplement — PDF p. 18, eTable 10, New kidney replacement therapy commenced during index ICU admission after commencing trial enteral nutrition [n (%)].</t>
        </is>
      </c>
      <c r="D7" s="7" t="n"/>
      <c r="E7" s="7" t="inlineStr">
        <is>
          <t>report_internal_inconsistency</t>
        </is>
      </c>
      <c r="F7" s="7" t="inlineStr">
        <is>
          <t>no</t>
        </is>
      </c>
      <c r="G7" s="11">
        <f>IFERROR(IF(LEN(TRIM(CLEAN(SUBSTITUTE(Setup!$B$2,CHAR(160)," "))))=0,"CHECK REVIEWER ID",IF(OR(A7="",(COUNTIF('C_jama.2024.24764'!$A$2:$A$9,A7)+COUNTIF('C_jama.2024.27643'!$A$2:$A$9,A7)+COUNTIF('C_jama.2025.11178'!$A$2:$A$38,A7)+COUNTIF('C_jama.2025.15185'!$A$2:$A$13,A7)+COUNTIF('C_jama.2025.15440'!$A$2:$A$3,A7)+COUNTIF('C_jama.2025.16450'!$A$2:$A$11,A7)+COUNTIF('C_jama.2025.19563'!$A$2:$A$8,A7)+COUNTIF('C_jama.2025.19843'!$A$2:$A$2,A7)+COUNTIF('C_jama.2025.20765'!$A$2:$A$14,A7)+COUNTIF('C_jama.2025.24175'!$A$2:$A$15,A7)+COUNTIF('C_jama.2025.4390'!$A$2:$A$4,A7)+COUNTIF('C_jama.2025.7583'!$A$2:$A$4,A7)+COUNTIF('C_jama.2025.7710'!$A$2:$A$5,A7)+COUNTIF('C_jama.2025.9110'!$A$2:$A$7,A7)+COUNTIF('C_jama.2025.9663'!$A$2:$A$4,A7))&lt;&gt;1,LEFT(A7,LEN("2025::jama.2025.9110::"))&lt;&gt;"2025::jama.2025.9110::"),"CHECK KEY",IF(OR(AND(NOT(AND(D7="retain",E7="statistical_results")),H7&lt;&gt;"",H7&lt;&gt;"not_applicable"),AND(NOT(AND(D7="retain",E7="statistical_results")),I7&lt;&gt;"",I7&lt;&gt;"not_applicable"),AND(NOT(AND(D7="retain",E7="statistical_results")),J7&lt;&gt;"",J7&lt;&gt;"not_applicable"),AND(NOT(AND(D7="retain",OR(E7="report_internal_inconsistency",E7="plan_material"))),K7&lt;&gt;"",K7&lt;&gt;"not_applicable"),AND(NOT(AND(D7="retain",E7="protocol_report")),L7&lt;&gt;"",L7&lt;&gt;"not_applicable")),"CLEAR INACTIVE VALUES",IF(OR(NOT(OR(D7="retain",D7="exclude",D7="discuss")),NOT(OR(E7="statistical_results",E7="report_internal_inconsistency",E7="plan_material",E7="protocol_report")),AND(AND(D7="retain",E7="statistical_results"),NOT(OR(H7="confirmed_issue",H7="probable_issue",H7="not_issue",H7="indeterminate"))),AND(AND(D7="retain",E7="statistical_results"),NOT(OR(I7="substantive",I7="minor_presentation",I7="indeterminate"))),AND(AND(D7="retain",E7="statistical_results"),J7&lt;&gt;"",NOT(OR(J7="direct",J7="possible",J7="unlikely",J7="unknown"))),AND(AND(D7="retain",OR(E7="report_internal_inconsistency",E7="plan_material")),NOT(OR(K7="substantive_inconsistency",K7="minor_presentation",K7="non_inconsistency",K7="indeterminate"))),AND(AND(D7="retain",E7="protocol_report"),L7&lt;&gt;"",NOT(OR(L7="substantive_difference",L7="minor_presentation",L7="version_timing",L7="non_inconsistency",L7="indeterminate")))),"CHECK FIELDS",IF(AND(F7&lt;&gt;"",NOT(OR(F7="no",F7="primary_done"))),"CHECK COMPLETE",IF(F7="primary_done","PRIMARY READY","PRIMARY DRAFT")))))),"CHECK INPUT / KEY")</f>
        <v/>
      </c>
      <c r="H7" s="7">
        <f>IF(AND(OR(D7="retain",D7=""),E7="statistical_results"),"","not_applicable")</f>
        <v/>
      </c>
      <c r="I7" s="7">
        <f>IF(AND(OR(D7="retain",D7=""),E7="statistical_results"),"","not_applicable")</f>
        <v/>
      </c>
      <c r="J7" s="13">
        <f>IF(AND(OR(D7="retain",D7=""),E7="statistical_results"),"","not_applicable")</f>
        <v/>
      </c>
      <c r="K7" s="7">
        <f>IF(AND(OR(D7="retain",D7=""),OR(E7="report_internal_inconsistency",E7="plan_material")),"","not_applicable")</f>
        <v/>
      </c>
      <c r="L7" s="13">
        <f>IF(AND(OR(D7="retain",D7=""),E7="protocol_report"),"","not_applicable")</f>
        <v/>
      </c>
      <c r="M7" s="19" t="n"/>
      <c r="N7" s="19" t="n"/>
      <c r="O7" s="19" t="n"/>
      <c r="P7" s="19" t="n"/>
      <c r="Q7" s="19" t="n"/>
      <c r="R7" s="13" t="n"/>
    </row>
  </sheetData>
  <autoFilter ref="A1:R7"/>
  <conditionalFormatting sqref="G2:G7">
    <cfRule type="expression" priority="1" dxfId="105">
      <formula>G2&lt;&gt;"PRIMARY READY"</formula>
    </cfRule>
  </conditionalFormatting>
  <conditionalFormatting sqref="H2:H7">
    <cfRule type="expression" priority="2" dxfId="106">
      <formula>NOT(AND(OR($D2="retain",$D2=""),$E2="statistical_results"))</formula>
    </cfRule>
  </conditionalFormatting>
  <conditionalFormatting sqref="I2:I7">
    <cfRule type="expression" priority="3" dxfId="106">
      <formula>NOT(AND(OR($D2="retain",$D2=""),$E2="statistical_results"))</formula>
    </cfRule>
  </conditionalFormatting>
  <conditionalFormatting sqref="J2:J7">
    <cfRule type="expression" priority="4" dxfId="106">
      <formula>NOT(AND(OR($D2="retain",$D2=""),$E2="statistical_results"))</formula>
    </cfRule>
  </conditionalFormatting>
  <conditionalFormatting sqref="K2:K7">
    <cfRule type="expression" priority="5" dxfId="106">
      <formula>NOT(AND(OR($D2="retain",$D2=""),OR($E2="report_internal_inconsistency",$E2="plan_material")))</formula>
    </cfRule>
  </conditionalFormatting>
  <conditionalFormatting sqref="L2:L7">
    <cfRule type="expression" priority="6" dxfId="106">
      <formula>NOT(AND(OR($D2="retain",$D2=""),$E2="protocol_report"))</formula>
    </cfRule>
  </conditionalFormatting>
  <dataValidations count="8">
    <dataValidation sqref="D2:D7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7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7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7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7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7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7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7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tabSelected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2" customWidth="1" style="8" min="1" max="1"/>
    <col width="28" customWidth="1" style="8" min="2" max="2"/>
    <col width="22" customWidth="1" style="8" min="3" max="3"/>
    <col width="18" customWidth="1" style="8" min="4" max="4"/>
    <col width="35" customWidth="1" style="8" min="5" max="5"/>
    <col width="17" customWidth="1" style="8" min="6" max="6"/>
    <col width="25" customWidth="1" style="8" min="7" max="7"/>
    <col width="29" customWidth="1" style="8" min="8" max="8"/>
    <col width="20" customWidth="1" style="8" min="9" max="9"/>
    <col width="20" customWidth="1" style="8" min="10" max="10"/>
    <col width="36" customWidth="1" style="8" min="11" max="11"/>
    <col width="28" customWidth="1" style="8" min="12" max="12"/>
    <col hidden="1" width="3" customWidth="1" style="8" min="13" max="13"/>
    <col hidden="1" width="3" customWidth="1" style="8" min="14" max="14"/>
    <col hidden="1" width="3" customWidth="1" style="8" min="15" max="15"/>
    <col hidden="1" width="3" customWidth="1" style="8" min="16" max="16"/>
    <col hidden="1" width="3" customWidth="1" style="8" min="17" max="17"/>
    <col width="32" customWidth="1" style="8" min="18" max="18"/>
  </cols>
  <sheetData>
    <row r="1" ht="42" customFormat="1" customHeight="1" s="8">
      <c r="A1" s="5" t="inlineStr">
        <is>
          <t>Candidate key</t>
        </is>
      </c>
      <c r="B1" s="5" t="inlineStr">
        <is>
          <t>Candidate title</t>
        </is>
      </c>
      <c r="C1" s="5" t="inlineStr">
        <is>
          <t>Source location</t>
        </is>
      </c>
      <c r="D1" s="5" t="inlineStr">
        <is>
          <t>Disposition</t>
        </is>
      </c>
      <c r="E1" s="5" t="inlineStr">
        <is>
          <t>Review domain (AI suggestion; editable)</t>
        </is>
      </c>
      <c r="F1" s="5" t="inlineStr">
        <is>
          <t>Complete</t>
        </is>
      </c>
      <c r="G1" s="5" t="inlineStr">
        <is>
          <t>Validation hint</t>
        </is>
      </c>
      <c r="H1" s="5" t="inlineStr">
        <is>
          <t>Statistcal_or_numerical issue</t>
        </is>
      </c>
      <c r="I1" s="5" t="inlineStr">
        <is>
          <t>Substantiveness</t>
        </is>
      </c>
      <c r="J1" s="5" t="inlineStr">
        <is>
          <t>Downstream impact</t>
        </is>
      </c>
      <c r="K1" s="5" t="inlineStr">
        <is>
          <t>Report-internal or planning-material inconsistency</t>
        </is>
      </c>
      <c r="L1" s="5" t="inlineStr">
        <is>
          <t>Protocol interpretation</t>
        </is>
      </c>
      <c r="M1" s="18" t="n"/>
      <c r="N1" s="18" t="n"/>
      <c r="O1" s="18" t="n"/>
      <c r="P1" s="18" t="n"/>
      <c r="Q1" s="18" t="n"/>
      <c r="R1" s="5" t="inlineStr">
        <is>
          <t>Notes (optional)</t>
        </is>
      </c>
    </row>
    <row r="2" ht="92" customFormat="1" customHeight="1" s="8">
      <c r="A2" s="12" t="inlineStr">
        <is>
          <t>2025::jama.2025.9663::C001</t>
        </is>
      </c>
      <c r="B2" s="12" t="inlineStr">
        <is>
          <t>Extraneous pressure unit after the usual-group SpO2 summary</t>
        </is>
      </c>
      <c r="C2" s="12" t="inlineStr">
        <is>
          <t>DOC-001, jama_martin_2025_oi_250042_1753377747.91025.pdf — PDF p. 6 (printed article p. 403), Oxygen Exposure paragraph; comparator DOC-003, joi250042supp2_prod_1753377747.93025.pdf — PDF p. 21, eTable 5.</t>
        </is>
      </c>
      <c r="D2" s="7" t="n"/>
      <c r="E2" s="7" t="inlineStr">
        <is>
          <t>report_internal_inconsistency</t>
        </is>
      </c>
      <c r="F2" s="7" t="inlineStr">
        <is>
          <t>no</t>
        </is>
      </c>
      <c r="G2" s="12">
        <f>IFERROR(IF(LEN(TRIM(CLEAN(SUBSTITUTE(Setup!$B$2,CHAR(160)," "))))=0,"CHECK REVIEWER ID",IF(OR(A2="",(COUNTIF('C_jama.2024.24764'!$A$2:$A$9,A2)+COUNTIF('C_jama.2024.27643'!$A$2:$A$9,A2)+COUNTIF('C_jama.2025.11178'!$A$2:$A$38,A2)+COUNTIF('C_jama.2025.15185'!$A$2:$A$13,A2)+COUNTIF('C_jama.2025.15440'!$A$2:$A$3,A2)+COUNTIF('C_jama.2025.16450'!$A$2:$A$11,A2)+COUNTIF('C_jama.2025.19563'!$A$2:$A$8,A2)+COUNTIF('C_jama.2025.19843'!$A$2:$A$2,A2)+COUNTIF('C_jama.2025.20765'!$A$2:$A$14,A2)+COUNTIF('C_jama.2025.24175'!$A$2:$A$15,A2)+COUNTIF('C_jama.2025.4390'!$A$2:$A$4,A2)+COUNTIF('C_jama.2025.7583'!$A$2:$A$4,A2)+COUNTIF('C_jama.2025.7710'!$A$2:$A$5,A2)+COUNTIF('C_jama.2025.9110'!$A$2:$A$7,A2)+COUNTIF('C_jama.2025.9663'!$A$2:$A$4,A2))&lt;&gt;1,LEFT(A2,LEN("2025::jama.2025.9663::"))&lt;&gt;"2025::jama.2025.9663::"),"CHECK KEY",IF(OR(AND(NOT(AND(D2="retain",E2="statistical_results")),H2&lt;&gt;"",H2&lt;&gt;"not_applicable"),AND(NOT(AND(D2="retain",E2="statistical_results")),I2&lt;&gt;"",I2&lt;&gt;"not_applicable"),AND(NOT(AND(D2="retain",E2="statistical_results")),J2&lt;&gt;"",J2&lt;&gt;"not_applicable"),AND(NOT(AND(D2="retain",OR(E2="report_internal_inconsistency",E2="plan_material"))),K2&lt;&gt;"",K2&lt;&gt;"not_applicable"),AND(NOT(AND(D2="retain",E2="protocol_report")),L2&lt;&gt;"",L2&lt;&gt;"not_applicable")),"CLEAR INACTIVE VALUES",IF(OR(NOT(OR(D2="retain",D2="exclude",D2="discuss")),NOT(OR(E2="statistical_results",E2="report_internal_inconsistency",E2="plan_material",E2="protocol_report")),AND(AND(D2="retain",E2="statistical_results"),NOT(OR(H2="confirmed_issue",H2="probable_issue",H2="not_issue",H2="indeterminate"))),AND(AND(D2="retain",E2="statistical_results"),NOT(OR(I2="substantive",I2="minor_presentation",I2="indeterminate"))),AND(AND(D2="retain",E2="statistical_results"),J2&lt;&gt;"",NOT(OR(J2="direct",J2="possible",J2="unlikely",J2="unknown"))),AND(AND(D2="retain",OR(E2="report_internal_inconsistency",E2="plan_material")),NOT(OR(K2="substantive_inconsistency",K2="minor_presentation",K2="non_inconsistency",K2="indeterminate"))),AND(AND(D2="retain",E2="protocol_report"),L2&lt;&gt;"",NOT(OR(L2="substantive_difference",L2="minor_presentation",L2="version_timing",L2="non_inconsistency",L2="indeterminate")))),"CHECK FIELDS",IF(AND(F2&lt;&gt;"",NOT(OR(F2="no",F2="primary_done"))),"CHECK COMPLETE",IF(F2="primary_done","PRIMARY READY","PRIMARY DRAFT")))))),"CHECK INPUT / KEY")</f>
        <v/>
      </c>
      <c r="H2" s="7">
        <f>IF(AND(OR(D2="retain",D2=""),E2="statistical_results"),"","not_applicable")</f>
        <v/>
      </c>
      <c r="I2" s="7">
        <f>IF(AND(OR(D2="retain",D2=""),E2="statistical_results"),"","not_applicable")</f>
        <v/>
      </c>
      <c r="J2" s="13">
        <f>IF(AND(OR(D2="retain",D2=""),E2="statistical_results"),"","not_applicable")</f>
        <v/>
      </c>
      <c r="K2" s="7">
        <f>IF(AND(OR(D2="retain",D2=""),OR(E2="report_internal_inconsistency",E2="plan_material")),"","not_applicable")</f>
        <v/>
      </c>
      <c r="L2" s="13">
        <f>IF(AND(OR(D2="retain",D2=""),E2="protocol_report"),"","not_applicable")</f>
        <v/>
      </c>
      <c r="M2" s="19" t="n"/>
      <c r="N2" s="19" t="n"/>
      <c r="O2" s="19" t="n"/>
      <c r="P2" s="19" t="n"/>
      <c r="Q2" s="19" t="n"/>
      <c r="R2" s="13" t="n"/>
    </row>
    <row r="3" ht="92" customFormat="1" customHeight="1" s="8">
      <c r="A3" s="11" t="inlineStr">
        <is>
          <t>2025::jama.2025.9663::C002</t>
        </is>
      </c>
      <c r="B3" s="11" t="inlineStr">
        <is>
          <t>Results-supplement contents page does not identify actual eTables 1-4</t>
        </is>
      </c>
      <c r="C3" s="11" t="inlineStr">
        <is>
          <t>DOC-003, joi250042supp2_prod_1753377747.93025.pdf — PDF p. 1, contents; actual eTable 1 — PDF p. 15, eTable 2 — PDF p. 17, eTable 3 — PDF p. 18, and eTable 4 — PDF p. 19.</t>
        </is>
      </c>
      <c r="D3" s="7" t="n"/>
      <c r="E3" s="7" t="inlineStr">
        <is>
          <t>report_internal_inconsistency</t>
        </is>
      </c>
      <c r="F3" s="7" t="inlineStr">
        <is>
          <t>no</t>
        </is>
      </c>
      <c r="G3" s="11">
        <f>IFERROR(IF(LEN(TRIM(CLEAN(SUBSTITUTE(Setup!$B$2,CHAR(160)," "))))=0,"CHECK REVIEWER ID",IF(OR(A3="",(COUNTIF('C_jama.2024.24764'!$A$2:$A$9,A3)+COUNTIF('C_jama.2024.27643'!$A$2:$A$9,A3)+COUNTIF('C_jama.2025.11178'!$A$2:$A$38,A3)+COUNTIF('C_jama.2025.15185'!$A$2:$A$13,A3)+COUNTIF('C_jama.2025.15440'!$A$2:$A$3,A3)+COUNTIF('C_jama.2025.16450'!$A$2:$A$11,A3)+COUNTIF('C_jama.2025.19563'!$A$2:$A$8,A3)+COUNTIF('C_jama.2025.19843'!$A$2:$A$2,A3)+COUNTIF('C_jama.2025.20765'!$A$2:$A$14,A3)+COUNTIF('C_jama.2025.24175'!$A$2:$A$15,A3)+COUNTIF('C_jama.2025.4390'!$A$2:$A$4,A3)+COUNTIF('C_jama.2025.7583'!$A$2:$A$4,A3)+COUNTIF('C_jama.2025.7710'!$A$2:$A$5,A3)+COUNTIF('C_jama.2025.9110'!$A$2:$A$7,A3)+COUNTIF('C_jama.2025.9663'!$A$2:$A$4,A3))&lt;&gt;1,LEFT(A3,LEN("2025::jama.2025.9663::"))&lt;&gt;"2025::jama.2025.9663::"),"CHECK KEY",IF(OR(AND(NOT(AND(D3="retain",E3="statistical_results")),H3&lt;&gt;"",H3&lt;&gt;"not_applicable"),AND(NOT(AND(D3="retain",E3="statistical_results")),I3&lt;&gt;"",I3&lt;&gt;"not_applicable"),AND(NOT(AND(D3="retain",E3="statistical_results")),J3&lt;&gt;"",J3&lt;&gt;"not_applicable"),AND(NOT(AND(D3="retain",OR(E3="report_internal_inconsistency",E3="plan_material"))),K3&lt;&gt;"",K3&lt;&gt;"not_applicable"),AND(NOT(AND(D3="retain",E3="protocol_report")),L3&lt;&gt;"",L3&lt;&gt;"not_applicable")),"CLEAR INACTIVE VALUES",IF(OR(NOT(OR(D3="retain",D3="exclude",D3="discuss")),NOT(OR(E3="statistical_results",E3="report_internal_inconsistency",E3="plan_material",E3="protocol_report")),AND(AND(D3="retain",E3="statistical_results"),NOT(OR(H3="confirmed_issue",H3="probable_issue",H3="not_issue",H3="indeterminate"))),AND(AND(D3="retain",E3="statistical_results"),NOT(OR(I3="substantive",I3="minor_presentation",I3="indeterminate"))),AND(AND(D3="retain",E3="statistical_results"),J3&lt;&gt;"",NOT(OR(J3="direct",J3="possible",J3="unlikely",J3="unknown"))),AND(AND(D3="retain",OR(E3="report_internal_inconsistency",E3="plan_material")),NOT(OR(K3="substantive_inconsistency",K3="minor_presentation",K3="non_inconsistency",K3="indeterminate"))),AND(AND(D3="retain",E3="protocol_report"),L3&lt;&gt;"",NOT(OR(L3="substantive_difference",L3="minor_presentation",L3="version_timing",L3="non_inconsistency",L3="indeterminate")))),"CHECK FIELDS",IF(AND(F3&lt;&gt;"",NOT(OR(F3="no",F3="primary_done"))),"CHECK COMPLETE",IF(F3="primary_done","PRIMARY READY","PRIMARY DRAFT")))))),"CHECK INPUT / KEY")</f>
        <v/>
      </c>
      <c r="H3" s="7">
        <f>IF(AND(OR(D3="retain",D3=""),E3="statistical_results"),"","not_applicable")</f>
        <v/>
      </c>
      <c r="I3" s="7">
        <f>IF(AND(OR(D3="retain",D3=""),E3="statistical_results"),"","not_applicable")</f>
        <v/>
      </c>
      <c r="J3" s="13">
        <f>IF(AND(OR(D3="retain",D3=""),E3="statistical_results"),"","not_applicable")</f>
        <v/>
      </c>
      <c r="K3" s="7">
        <f>IF(AND(OR(D3="retain",D3=""),OR(E3="report_internal_inconsistency",E3="plan_material")),"","not_applicable")</f>
        <v/>
      </c>
      <c r="L3" s="13">
        <f>IF(AND(OR(D3="retain",D3=""),E3="protocol_report"),"","not_applicable")</f>
        <v/>
      </c>
      <c r="M3" s="19" t="n"/>
      <c r="N3" s="19" t="n"/>
      <c r="O3" s="19" t="n"/>
      <c r="P3" s="19" t="n"/>
      <c r="Q3" s="19" t="n"/>
      <c r="R3" s="13" t="n"/>
    </row>
    <row r="4" ht="92" customFormat="1" customHeight="1" s="8">
      <c r="A4" s="12" t="inlineStr">
        <is>
          <t>2025::jama.2025.9663::C003</t>
        </is>
      </c>
      <c r="B4" s="12" t="inlineStr">
        <is>
          <t>Final SAP contains an unresolved reference after quantitative separation/adherence rules</t>
        </is>
      </c>
      <c r="C4" s="12" t="inlineStr">
        <is>
          <t>DOC-002, joi250042supp1_prod_1753377747.92525.pdf — PDF p. 118 (SAP p. 8), section 2.5 and Table 1, immediately after the separation/adherence definition.</t>
        </is>
      </c>
      <c r="D4" s="7" t="n"/>
      <c r="E4" s="7" t="inlineStr">
        <is>
          <t>plan_material</t>
        </is>
      </c>
      <c r="F4" s="7" t="inlineStr">
        <is>
          <t>no</t>
        </is>
      </c>
      <c r="G4" s="12">
        <f>IFERROR(IF(LEN(TRIM(CLEAN(SUBSTITUTE(Setup!$B$2,CHAR(160)," "))))=0,"CHECK REVIEWER ID",IF(OR(A4="",(COUNTIF('C_jama.2024.24764'!$A$2:$A$9,A4)+COUNTIF('C_jama.2024.27643'!$A$2:$A$9,A4)+COUNTIF('C_jama.2025.11178'!$A$2:$A$38,A4)+COUNTIF('C_jama.2025.15185'!$A$2:$A$13,A4)+COUNTIF('C_jama.2025.15440'!$A$2:$A$3,A4)+COUNTIF('C_jama.2025.16450'!$A$2:$A$11,A4)+COUNTIF('C_jama.2025.19563'!$A$2:$A$8,A4)+COUNTIF('C_jama.2025.19843'!$A$2:$A$2,A4)+COUNTIF('C_jama.2025.20765'!$A$2:$A$14,A4)+COUNTIF('C_jama.2025.24175'!$A$2:$A$15,A4)+COUNTIF('C_jama.2025.4390'!$A$2:$A$4,A4)+COUNTIF('C_jama.2025.7583'!$A$2:$A$4,A4)+COUNTIF('C_jama.2025.7710'!$A$2:$A$5,A4)+COUNTIF('C_jama.2025.9110'!$A$2:$A$7,A4)+COUNTIF('C_jama.2025.9663'!$A$2:$A$4,A4))&lt;&gt;1,LEFT(A4,LEN("2025::jama.2025.9663::"))&lt;&gt;"2025::jama.2025.9663::"),"CHECK KEY",IF(OR(AND(NOT(AND(D4="retain",E4="statistical_results")),H4&lt;&gt;"",H4&lt;&gt;"not_applicable"),AND(NOT(AND(D4="retain",E4="statistical_results")),I4&lt;&gt;"",I4&lt;&gt;"not_applicable"),AND(NOT(AND(D4="retain",E4="statistical_results")),J4&lt;&gt;"",J4&lt;&gt;"not_applicable"),AND(NOT(AND(D4="retain",OR(E4="report_internal_inconsistency",E4="plan_material"))),K4&lt;&gt;"",K4&lt;&gt;"not_applicable"),AND(NOT(AND(D4="retain",E4="protocol_report")),L4&lt;&gt;"",L4&lt;&gt;"not_applicable")),"CLEAR INACTIVE VALUES",IF(OR(NOT(OR(D4="retain",D4="exclude",D4="discuss")),NOT(OR(E4="statistical_results",E4="report_internal_inconsistency",E4="plan_material",E4="protocol_report")),AND(AND(D4="retain",E4="statistical_results"),NOT(OR(H4="confirmed_issue",H4="probable_issue",H4="not_issue",H4="indeterminate"))),AND(AND(D4="retain",E4="statistical_results"),NOT(OR(I4="substantive",I4="minor_presentation",I4="indeterminate"))),AND(AND(D4="retain",E4="statistical_results"),J4&lt;&gt;"",NOT(OR(J4="direct",J4="possible",J4="unlikely",J4="unknown"))),AND(AND(D4="retain",OR(E4="report_internal_inconsistency",E4="plan_material")),NOT(OR(K4="substantive_inconsistency",K4="minor_presentation",K4="non_inconsistency",K4="indeterminate"))),AND(AND(D4="retain",E4="protocol_report"),L4&lt;&gt;"",NOT(OR(L4="substantive_difference",L4="minor_presentation",L4="version_timing",L4="non_inconsistency",L4="indeterminate")))),"CHECK FIELDS",IF(AND(F4&lt;&gt;"",NOT(OR(F4="no",F4="primary_done"))),"CHECK COMPLETE",IF(F4="primary_done","PRIMARY READY","PRIMARY DRAFT")))))),"CHECK INPUT / KEY")</f>
        <v/>
      </c>
      <c r="H4" s="7">
        <f>IF(AND(OR(D4="retain",D4=""),E4="statistical_results"),"","not_applicable")</f>
        <v/>
      </c>
      <c r="I4" s="7">
        <f>IF(AND(OR(D4="retain",D4=""),E4="statistical_results"),"","not_applicable")</f>
        <v/>
      </c>
      <c r="J4" s="13">
        <f>IF(AND(OR(D4="retain",D4=""),E4="statistical_results"),"","not_applicable")</f>
        <v/>
      </c>
      <c r="K4" s="7">
        <f>IF(AND(OR(D4="retain",D4=""),OR(E4="report_internal_inconsistency",E4="plan_material")),"","not_applicable")</f>
        <v/>
      </c>
      <c r="L4" s="13">
        <f>IF(AND(OR(D4="retain",D4=""),E4="protocol_report"),"","not_applicable")</f>
        <v/>
      </c>
      <c r="M4" s="19" t="n"/>
      <c r="N4" s="19" t="n"/>
      <c r="O4" s="19" t="n"/>
      <c r="P4" s="19" t="n"/>
      <c r="Q4" s="19" t="n"/>
      <c r="R4" s="13" t="n"/>
    </row>
  </sheetData>
  <autoFilter ref="A1:R4"/>
  <conditionalFormatting sqref="G2:G4">
    <cfRule type="expression" priority="1" dxfId="105">
      <formula>G2&lt;&gt;"PRIMARY READY"</formula>
    </cfRule>
  </conditionalFormatting>
  <conditionalFormatting sqref="H2:H4">
    <cfRule type="expression" priority="2" dxfId="106">
      <formula>NOT(AND(OR($D2="retain",$D2=""),$E2="statistical_results"))</formula>
    </cfRule>
  </conditionalFormatting>
  <conditionalFormatting sqref="I2:I4">
    <cfRule type="expression" priority="3" dxfId="106">
      <formula>NOT(AND(OR($D2="retain",$D2=""),$E2="statistical_results"))</formula>
    </cfRule>
  </conditionalFormatting>
  <conditionalFormatting sqref="J2:J4">
    <cfRule type="expression" priority="4" dxfId="106">
      <formula>NOT(AND(OR($D2="retain",$D2=""),$E2="statistical_results"))</formula>
    </cfRule>
  </conditionalFormatting>
  <conditionalFormatting sqref="K2:K4">
    <cfRule type="expression" priority="5" dxfId="106">
      <formula>NOT(AND(OR($D2="retain",$D2=""),OR($E2="report_internal_inconsistency",$E2="plan_material")))</formula>
    </cfRule>
  </conditionalFormatting>
  <conditionalFormatting sqref="L2:L4">
    <cfRule type="expression" priority="6" dxfId="106">
      <formula>NOT(AND(OR($D2="retain",$D2=""),$E2="protocol_report"))</formula>
    </cfRule>
  </conditionalFormatting>
  <dataValidations count="8">
    <dataValidation sqref="D2:D4" showDropDown="0" showInputMessage="0" showErrorMessage="1" allowBlank="1" errorTitle="Use an allowed option" error="Choose an option from the list; see Codebook." type="list" errorStyle="stop">
      <formula1>"retain,exclude,discuss"</formula1>
    </dataValidation>
    <dataValidation sqref="E2:E4" showDropDown="0" showInputMessage="0" showErrorMessage="1" allowBlank="1" errorTitle="Use an allowed option" error="Choose an option from the list; see Codebook." type="list" errorStyle="stop">
      <formula1>"statistical_results,report_internal_inconsistency,plan_material,protocol_report"</formula1>
    </dataValidation>
    <dataValidation sqref="F2:F4" showDropDown="0" showInputMessage="0" showErrorMessage="1" allowBlank="1" errorTitle="Use an allowed option" error="Choose an option from the list; see Codebook." type="list" errorStyle="stop">
      <formula1>"no,primary_done"</formula1>
    </dataValidation>
    <dataValidation sqref="H2:H4" showDropDown="0" showInputMessage="0" showErrorMessage="1" allowBlank="1" errorTitle="Use an allowed option" error="Choose an option from the list; see Codebook." type="list" errorStyle="stop">
      <formula1>"confirmed_issue,probable_issue,not_issue,indeterminate,not_applicable"</formula1>
    </dataValidation>
    <dataValidation sqref="I2:I4" showDropDown="0" showInputMessage="0" showErrorMessage="1" allowBlank="1" errorTitle="Use an allowed option" error="Choose an option from the list; see Codebook." type="list" errorStyle="stop">
      <formula1>"substantive,minor_presentation,indeterminate,not_applicable"</formula1>
    </dataValidation>
    <dataValidation sqref="J2:J4" showDropDown="0" showInputMessage="0" showErrorMessage="1" allowBlank="1" errorTitle="Use an allowed option" error="Choose an option from the list; see Codebook." type="list" errorStyle="stop">
      <formula1>"direct,possible,unlikely,unknown,not_applicable"</formula1>
    </dataValidation>
    <dataValidation sqref="K2:K4" showDropDown="0" showInputMessage="0" showErrorMessage="1" allowBlank="1" errorTitle="Use an allowed option" error="Choose an option from the list; see Codebook." type="list" errorStyle="stop">
      <formula1>"substantive_inconsistency,minor_presentation,non_inconsistency,indeterminate,not_applicable"</formula1>
    </dataValidation>
    <dataValidation sqref="L2:L4" showDropDown="0" showInputMessage="0" showErrorMessage="1" allowBlank="1" errorTitle="Use an allowed option" error="Choose an option from the list; see Codebook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" min="1" max="1"/>
    <col width="29" customWidth="1" style="8" min="2" max="2"/>
    <col width="40" customWidth="1" style="8" min="3" max="3"/>
    <col width="96" customWidth="1" style="8" min="4" max="4"/>
    <col width="29" customWidth="1" style="8" min="5" max="5"/>
  </cols>
  <sheetData>
    <row r="1" ht="42" customFormat="1" customHeight="1" s="8">
      <c r="A1" s="14" t="inlineStr">
        <is>
          <t>Field name</t>
        </is>
      </c>
      <c r="B1" s="14" t="inlineStr">
        <is>
          <t>Option / value</t>
        </is>
      </c>
      <c r="C1" s="14" t="inlineStr">
        <is>
          <t>Requirement / scope</t>
        </is>
      </c>
      <c r="D1" s="14" t="inlineStr">
        <is>
          <t>Explanation and example</t>
        </is>
      </c>
      <c r="E1" s="14" t="inlineStr">
        <is>
          <t>Internal key</t>
        </is>
      </c>
    </row>
    <row r="2" ht="96" customFormat="1" customHeight="1" s="8">
      <c r="A2" s="15" t="inlineStr">
        <is>
          <t>Working method</t>
        </is>
      </c>
      <c r="B2" s="15" t="inlineStr">
        <is>
          <t>GUIDE</t>
        </is>
      </c>
      <c r="C2" s="15" t="inlineStr">
        <is>
          <t>Independent primary review</t>
        </is>
      </c>
      <c r="D2" s="15" t="inlineStr">
        <is>
          <t>Blank = no answer; indeterminate/unknown = uncertain; not_applicable = inactive. Clear obsolete answers after changing domain or disposition.</t>
        </is>
      </c>
      <c r="E2" s="15" t="n"/>
    </row>
    <row r="3" ht="96" customFormat="1" customHeight="1" s="8">
      <c r="A3" s="16" t="inlineStr">
        <is>
          <t>Required judgments</t>
        </is>
      </c>
      <c r="B3" s="16" t="inlineStr">
        <is>
          <t>GUIDE</t>
        </is>
      </c>
      <c r="C3" s="16" t="inlineStr">
        <is>
          <t>Retain only</t>
        </is>
      </c>
      <c r="D3" s="16" t="inlineStr">
        <is>
          <t>statistical_results: issue + substantiveness; report_internal_inconsistency or plan_material: internalStatus. protocol_report: no extra required judgment; interpretation is optional.</t>
        </is>
      </c>
      <c r="E3" s="16" t="n"/>
    </row>
    <row r="4" ht="96" customFormat="1" customHeight="1" s="8">
      <c r="A4" s="15" t="inlineStr">
        <is>
          <t>How to read this Codebook</t>
        </is>
      </c>
      <c r="B4" s="15" t="n"/>
      <c r="C4" s="15" t="n"/>
      <c r="D4" s="15" t="n"/>
      <c r="E4" s="15" t="n"/>
    </row>
    <row r="5" ht="96" customFormat="1" customHeight="1" s="8">
      <c r="A5" s="16" t="inlineStr">
        <is>
          <t>1  |  Common decisions and optional notes</t>
        </is>
      </c>
      <c r="B5" s="16" t="n"/>
      <c r="C5" s="16" t="n"/>
      <c r="D5" s="16" t="n"/>
      <c r="E5" s="16" t="n"/>
    </row>
    <row r="6" ht="96" customFormat="1" customHeight="1" s="8">
      <c r="A6" s="15" t="inlineStr">
        <is>
          <t>Disposition</t>
        </is>
      </c>
      <c r="B6" s="15" t="inlineStr">
        <is>
          <t>FIELD</t>
        </is>
      </c>
      <c r="C6" s="15" t="inlineStr">
        <is>
          <t>Required; all domains</t>
        </is>
      </c>
      <c r="D6" s="15" t="inlineStr">
        <is>
          <t>Keep, exclude, or defer as unresolved. Blank means untouched, not discuss. No AI disposition is preselected.</t>
        </is>
      </c>
      <c r="E6" s="15" t="inlineStr">
        <is>
          <t>disposition</t>
        </is>
      </c>
    </row>
    <row r="7" ht="96" customFormat="1" customHeight="1" s="8">
      <c r="A7" s="16" t="n"/>
      <c r="B7" s="16" t="inlineStr">
        <is>
          <t>retain</t>
        </is>
      </c>
      <c r="C7" s="16" t="inlineStr">
        <is>
          <t>Option</t>
        </is>
      </c>
      <c r="D7" s="16" t="inlineStr">
        <is>
          <t>Retain candidate. After human review, keep this finding in the applicable review results; retaining a protocol discrepancy does not automatically confirm an issue.</t>
        </is>
      </c>
      <c r="E7" s="16" t="n"/>
    </row>
    <row r="8" ht="96" customFormat="1" customHeight="1" s="8">
      <c r="A8" s="15" t="n"/>
      <c r="B8" s="15" t="inlineStr">
        <is>
          <t>exclude</t>
        </is>
      </c>
      <c r="C8" s="15" t="inlineStr">
        <is>
          <t>Option</t>
        </is>
      </c>
      <c r="D8" s="15" t="inlineStr">
        <is>
          <t>Do not retain. The candidate has been assessed and should not remain as a finding, for example because the apparent mismatch has a satisfactory explanation.</t>
        </is>
      </c>
      <c r="E8" s="15" t="n"/>
    </row>
    <row r="9" ht="96" customFormat="1" customHeight="1" s="8">
      <c r="A9" s="16" t="n"/>
      <c r="B9" s="16" t="inlineStr">
        <is>
          <t>discuss</t>
        </is>
      </c>
      <c r="C9" s="16" t="inlineStr">
        <is>
          <t>Option</t>
        </is>
      </c>
      <c r="D9" s="16" t="inlineStr">
        <is>
          <t>Needs discussion. The reviewer has considered the candidate but cannot settle the disposition without further discussion. This is a decision to defer, not an untouched blank.</t>
        </is>
      </c>
      <c r="E9" s="16" t="n"/>
    </row>
    <row r="10" ht="96" customFormat="1" customHeight="1" s="8">
      <c r="A10" s="15" t="inlineStr">
        <is>
          <t>Review domain</t>
        </is>
      </c>
      <c r="B10" s="15" t="inlineStr">
        <is>
          <t>FIELD</t>
        </is>
      </c>
      <c r="C10" s="15" t="inlineStr">
        <is>
          <t>Required; all domains</t>
        </is>
      </c>
      <c r="D10" s="15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5" t="inlineStr">
        <is>
          <t>domain</t>
        </is>
      </c>
    </row>
    <row r="11" ht="96" customFormat="1" customHeight="1" s="8">
      <c r="A11" s="16" t="n"/>
      <c r="B11" s="16" t="inlineStr">
        <is>
          <t>statistical_results</t>
        </is>
      </c>
      <c r="C11" s="16" t="inlineStr">
        <is>
          <t>Option</t>
        </is>
      </c>
      <c r="D11" s="16" t="inlineStr">
        <is>
          <t>Statistical results (S_C / S_W). Assess reported numbers, estimates, intervals, denominators or statistical claims in the current report materials.</t>
        </is>
      </c>
      <c r="E11" s="16" t="n"/>
    </row>
    <row r="12" ht="96" customFormat="1" customHeight="1" s="8">
      <c r="A12" s="15" t="n"/>
      <c r="B12" s="15" t="inlineStr">
        <is>
          <t>report_internal_inconsistency</t>
        </is>
      </c>
      <c r="C12" s="15" t="inlineStr">
        <is>
          <t>Option</t>
        </is>
      </c>
      <c r="D12" s="15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5" t="n"/>
    </row>
    <row r="13" ht="96" customFormat="1" customHeight="1" s="8">
      <c r="A13" s="16" t="n"/>
      <c r="B13" s="16" t="inlineStr">
        <is>
          <t>protocol_report</t>
        </is>
      </c>
      <c r="C13" s="16" t="inlineStr">
        <is>
          <t>Option</t>
        </is>
      </c>
      <c r="D13" s="16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6" t="n"/>
    </row>
    <row r="14" ht="96" customFormat="1" customHeight="1" s="8">
      <c r="A14" s="15" t="n"/>
      <c r="B14" s="15" t="inlineStr">
        <is>
          <t>plan_material</t>
        </is>
      </c>
      <c r="C14" s="15" t="inlineStr">
        <is>
          <t>Option</t>
        </is>
      </c>
      <c r="D14" s="15" t="inlineStr">
        <is>
          <t>Plan material (P_P). Assess an inconsistency involving planning materials themselves rather than a planned-versus-reported result. The original relationship code remains unchanged.</t>
        </is>
      </c>
      <c r="E14" s="15" t="n"/>
    </row>
    <row r="15" ht="96" customFormat="1" customHeight="1" s="8">
      <c r="A15" s="16" t="inlineStr">
        <is>
          <t>Complete</t>
        </is>
      </c>
      <c r="B15" s="16" t="inlineStr">
        <is>
          <t>FIELD</t>
        </is>
      </c>
      <c r="C15" s="16" t="inlineStr">
        <is>
          <t>Independent primary review</t>
        </is>
      </c>
      <c r="D15" s="16" t="inlineStr">
        <is>
          <t>Use no while drafting; primary_done only after manual review. Reset F=no before changing a completed row, review again, then mark primary_done.</t>
        </is>
      </c>
      <c r="E15" s="16" t="inlineStr">
        <is>
          <t>reviewComplete</t>
        </is>
      </c>
    </row>
    <row r="16" ht="96" customFormat="1" customHeight="1" s="8">
      <c r="A16" s="15" t="n"/>
      <c r="B16" s="15" t="inlineStr">
        <is>
          <t>no</t>
        </is>
      </c>
      <c r="C16" s="15" t="inlineStr">
        <is>
          <t>Option</t>
        </is>
      </c>
      <c r="D16" s="15" t="inlineStr">
        <is>
          <t>Draft. Manual review is not yet confirmed complete; AI suggestions or partial entries do not count as completion.</t>
        </is>
      </c>
      <c r="E16" s="15" t="n"/>
    </row>
    <row r="17" ht="96" customFormat="1" customHeight="1" s="8">
      <c r="A17" s="16" t="inlineStr">
        <is>
          <t>Validation hint</t>
        </is>
      </c>
      <c r="B17" s="16" t="inlineStr">
        <is>
          <t>FIELD</t>
        </is>
      </c>
      <c r="C17" s="16" t="inlineStr">
        <is>
          <t>Calculated</t>
        </is>
      </c>
      <c r="D17" s="16" t="inlineStr">
        <is>
          <t>PRIMARY READY means this independent primary assessment passes entry checks. Discuss remains unresolved. Checks does not establish scientific accuracy or prevent edits to source/formula cells.</t>
        </is>
      </c>
      <c r="E17" s="16" t="inlineStr">
        <is>
          <t>readiness</t>
        </is>
      </c>
    </row>
    <row r="18" ht="96" customFormat="1" customHeight="1" s="8">
      <c r="A18" s="15" t="inlineStr">
        <is>
          <t>Notes (optional)</t>
        </is>
      </c>
      <c r="B18" s="15" t="inlineStr">
        <is>
          <t>FIELD</t>
        </is>
      </c>
      <c r="C18" s="15" t="inlineStr">
        <is>
          <t>Optional</t>
        </is>
      </c>
      <c r="D18" s="15" t="inlineStr">
        <is>
          <t>Optional English context. Clearing removes the text; no inheritance and no control words.</t>
        </is>
      </c>
      <c r="E18" s="15" t="inlineStr">
        <is>
          <t>notes</t>
        </is>
      </c>
    </row>
    <row r="19" ht="96" customFormat="1" customHeight="1" s="8">
      <c r="A19" s="16" t="inlineStr">
        <is>
          <t>2  |  Statistical results: two required judgments</t>
        </is>
      </c>
      <c r="B19" s="16" t="n"/>
      <c r="C19" s="16" t="n"/>
      <c r="D19" s="16" t="n"/>
      <c r="E19" s="16" t="n"/>
    </row>
    <row r="20" ht="96" customFormat="1" customHeight="1" s="8">
      <c r="A20" s="15" t="inlineStr">
        <is>
          <t>Statistcal_or_numerical issue</t>
        </is>
      </c>
      <c r="B20" s="15" t="inlineStr">
        <is>
          <t>FIELD</t>
        </is>
      </c>
      <c r="C20" s="15" t="inlineStr">
        <is>
          <t>Required; retained statistical_results</t>
        </is>
      </c>
      <c r="D20" s="15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5" t="inlineStr">
        <is>
          <t>statisticalIssueStatus</t>
        </is>
      </c>
    </row>
    <row r="21" ht="96" customFormat="1" customHeight="1" s="8">
      <c r="A21" s="16" t="n"/>
      <c r="B21" s="16" t="inlineStr">
        <is>
          <t>confirmed_issue</t>
        </is>
      </c>
      <c r="C21" s="16" t="inlineStr">
        <is>
          <t>Option</t>
        </is>
      </c>
      <c r="D21" s="16" t="inlineStr">
        <is>
          <t>Confirmed statistical or numerical reporting issue. The available evidence establishes a reporting issue or contradiction, even if the correct replacement value is not known.</t>
        </is>
      </c>
      <c r="E21" s="16" t="n"/>
    </row>
    <row r="22" ht="96" customFormat="1" customHeight="1" s="8">
      <c r="A22" s="15" t="n"/>
      <c r="B22" s="15" t="inlineStr">
        <is>
          <t>probable_issue</t>
        </is>
      </c>
      <c r="C22" s="15" t="inlineStr">
        <is>
          <t>Option</t>
        </is>
      </c>
      <c r="D22" s="15" t="inlineStr">
        <is>
          <t>Probable statistical or numerical reporting issue. The evidence favors a reporting issue, but an unresolved limitation or plausible alternative prevents confirmation.</t>
        </is>
      </c>
      <c r="E22" s="15" t="n"/>
    </row>
    <row r="23" ht="96" customFormat="1" customHeight="1" s="8">
      <c r="A23" s="16" t="n"/>
      <c r="B23" s="16" t="inlineStr">
        <is>
          <t>not_issue</t>
        </is>
      </c>
      <c r="C23" s="16" t="inlineStr">
        <is>
          <t>Option</t>
        </is>
      </c>
      <c r="D23" s="16" t="inlineStr">
        <is>
          <t>Not a statistical or numerical issue. The apparent discrepancy is consistent with a valid calculation, definition, analysis method or reporting context.</t>
        </is>
      </c>
      <c r="E23" s="16" t="n"/>
    </row>
    <row r="24" ht="96" customFormat="1" customHeight="1" s="8">
      <c r="A24" s="15" t="n"/>
      <c r="B24" s="15" t="inlineStr">
        <is>
          <t>indeterminate</t>
        </is>
      </c>
      <c r="C24" s="15" t="inlineStr">
        <is>
          <t>Option</t>
        </is>
      </c>
      <c r="D24" s="15" t="inlineStr">
        <is>
          <t>Indeterminate. The available evidence does not support deciding whether a statistical or numerical reporting issue exists; neither confirmation nor dismissal is justified.</t>
        </is>
      </c>
      <c r="E24" s="15" t="n"/>
    </row>
    <row r="25" ht="96" customFormat="1" customHeight="1" s="8">
      <c r="A25" s="16" t="n"/>
      <c r="B25" s="16" t="inlineStr">
        <is>
          <t>not_applicable</t>
        </is>
      </c>
      <c r="C25" s="16" t="inlineStr">
        <is>
          <t>Option</t>
        </is>
      </c>
      <c r="D25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6" t="n"/>
    </row>
    <row r="26" ht="96" customFormat="1" customHeight="1" s="8">
      <c r="A26" s="15" t="inlineStr">
        <is>
          <t>Substantiveness</t>
        </is>
      </c>
      <c r="B26" s="15" t="inlineStr">
        <is>
          <t>FIELD</t>
        </is>
      </c>
      <c r="C26" s="15" t="inlineStr">
        <is>
          <t>Required; retained statistical_results</t>
        </is>
      </c>
      <c r="D26" s="15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5" t="inlineStr">
        <is>
          <t>substantiveStatus</t>
        </is>
      </c>
    </row>
    <row r="27" ht="96" customFormat="1" customHeight="1" s="8">
      <c r="A27" s="16" t="n"/>
      <c r="B27" s="16" t="inlineStr">
        <is>
          <t>substantive</t>
        </is>
      </c>
      <c r="C27" s="16" t="inlineStr">
        <is>
          <t>Option</t>
        </is>
      </c>
      <c r="D27" s="16" t="inlineStr">
        <is>
          <t>Substantive. The issue could meaningfully change interpretation, data extraction or downstream analysis, rather than only the presentation of the result.</t>
        </is>
      </c>
      <c r="E27" s="16" t="n"/>
    </row>
    <row r="28" ht="96" customFormat="1" customHeight="1" s="8">
      <c r="A28" s="15" t="n"/>
      <c r="B28" s="15" t="inlineStr">
        <is>
          <t>minor_presentation</t>
        </is>
      </c>
      <c r="C28" s="15" t="inlineStr">
        <is>
          <t>Option</t>
        </is>
      </c>
      <c r="D28" s="15" t="inlineStr">
        <is>
          <t>Minor or presentation only. The intended result remains clear and the issue is a small formatting, labeling or typographic problem without a meaningful change in interpretation.</t>
        </is>
      </c>
      <c r="E28" s="15" t="n"/>
    </row>
    <row r="29" ht="96" customFormat="1" customHeight="1" s="8">
      <c r="A29" s="16" t="n"/>
      <c r="B29" s="16" t="inlineStr">
        <is>
          <t>indeterminate</t>
        </is>
      </c>
      <c r="C29" s="16" t="inlineStr">
        <is>
          <t>Option</t>
        </is>
      </c>
      <c r="D29" s="16" t="inlineStr">
        <is>
          <t>Indeterminate. There is not enough information to decide whether the issue is substantive or limited to presentation.</t>
        </is>
      </c>
      <c r="E29" s="16" t="n"/>
    </row>
    <row r="30" ht="96" customFormat="1" customHeight="1" s="8">
      <c r="A30" s="15" t="n"/>
      <c r="B30" s="15" t="inlineStr">
        <is>
          <t>not_applicable</t>
        </is>
      </c>
      <c r="C30" s="15" t="inlineStr">
        <is>
          <t>Option</t>
        </is>
      </c>
      <c r="D30" s="15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5" t="n"/>
    </row>
    <row r="31" ht="96" customFormat="1" customHeight="1" s="8">
      <c r="A31" s="16" t="inlineStr">
        <is>
          <t>Downstream impact</t>
        </is>
      </c>
      <c r="B31" s="16" t="inlineStr">
        <is>
          <t>FIELD</t>
        </is>
      </c>
      <c r="C31" s="16" t="inlineStr">
        <is>
          <t>Optional; retained statistical_results</t>
        </is>
      </c>
      <c r="D31" s="16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6" t="inlineStr">
        <is>
          <t>downstreamImpact</t>
        </is>
      </c>
    </row>
    <row r="32" ht="96" customFormat="1" customHeight="1" s="8">
      <c r="A32" s="15" t="n"/>
      <c r="B32" s="15" t="inlineStr">
        <is>
          <t>direct</t>
        </is>
      </c>
      <c r="C32" s="15" t="inlineStr">
        <is>
          <t>Option</t>
        </is>
      </c>
      <c r="D32" s="15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5" t="n"/>
    </row>
    <row r="33" ht="96" customFormat="1" customHeight="1" s="8">
      <c r="A33" s="16" t="n"/>
      <c r="B33" s="16" t="inlineStr">
        <is>
          <t>possible</t>
        </is>
      </c>
      <c r="C33" s="16" t="inlineStr">
        <is>
          <t>Option</t>
        </is>
      </c>
      <c r="D33" s="16" t="inlineStr">
        <is>
          <t>Possible downstream impact. A plausible route to affecting later interpretation, extraction or analysis exists, but the connection is indirect or uncertain.</t>
        </is>
      </c>
      <c r="E33" s="16" t="n"/>
    </row>
    <row r="34" ht="96" customFormat="1" customHeight="1" s="8">
      <c r="A34" s="15" t="n"/>
      <c r="B34" s="15" t="inlineStr">
        <is>
          <t>unlikely</t>
        </is>
      </c>
      <c r="C34" s="15" t="inlineStr">
        <is>
          <t>Option</t>
        </is>
      </c>
      <c r="D34" s="15" t="inlineStr">
        <is>
          <t>Unlikely downstream impact. The issue is unlikely to change extracted information or later analysis because the relevant result remains clear and usable.</t>
        </is>
      </c>
      <c r="E34" s="15" t="n"/>
    </row>
    <row r="35" ht="96" customFormat="1" customHeight="1" s="8">
      <c r="A35" s="16" t="n"/>
      <c r="B35" s="16" t="inlineStr">
        <is>
          <t>unknown</t>
        </is>
      </c>
      <c r="C35" s="16" t="inlineStr">
        <is>
          <t>Option</t>
        </is>
      </c>
      <c r="D35" s="16" t="inlineStr">
        <is>
          <t>Unable to assess. The materials do not establish enough about the affected information or its likely use to judge downstream impact.</t>
        </is>
      </c>
      <c r="E35" s="16" t="n"/>
    </row>
    <row r="36" ht="96" customFormat="1" customHeight="1" s="8">
      <c r="A36" s="15" t="n"/>
      <c r="B36" s="15" t="inlineStr">
        <is>
          <t>not_applicable</t>
        </is>
      </c>
      <c r="C36" s="15" t="inlineStr">
        <is>
          <t>Option</t>
        </is>
      </c>
      <c r="D36" s="15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5" t="n"/>
    </row>
    <row r="37" ht="96" customFormat="1" customHeight="1" s="8">
      <c r="A37" s="16" t="inlineStr">
        <is>
          <t>3  |  Report internal or planning-material inconsistency</t>
        </is>
      </c>
      <c r="B37" s="16" t="n"/>
      <c r="C37" s="16" t="n"/>
      <c r="D37" s="16" t="n"/>
      <c r="E37" s="16" t="n"/>
    </row>
    <row r="38" ht="96" customFormat="1" customHeight="1" s="8">
      <c r="A38" s="15" t="inlineStr">
        <is>
          <t>Report-internal or planning-material inconsistency</t>
        </is>
      </c>
      <c r="B38" s="15" t="inlineStr">
        <is>
          <t>FIELD</t>
        </is>
      </c>
      <c r="C38" s="15" t="inlineStr">
        <is>
          <t>Required; retained report_internal_inconsistency or plan_material</t>
        </is>
      </c>
      <c r="D38" s="15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5" t="inlineStr">
        <is>
          <t>internalStatus</t>
        </is>
      </c>
    </row>
    <row r="39" ht="96" customFormat="1" customHeight="1" s="8">
      <c r="A39" s="16" t="n"/>
      <c r="B39" s="16" t="inlineStr">
        <is>
          <t>substantive_inconsistency</t>
        </is>
      </c>
      <c r="C39" s="16" t="inlineStr">
        <is>
          <t>Option</t>
        </is>
      </c>
      <c r="D39" s="16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6" t="n"/>
    </row>
    <row r="40" ht="96" customFormat="1" customHeight="1" s="8">
      <c r="A40" s="15" t="n"/>
      <c r="B40" s="15" t="inlineStr">
        <is>
          <t>minor_presentation</t>
        </is>
      </c>
      <c r="C40" s="15" t="inlineStr">
        <is>
          <t>Option</t>
        </is>
      </c>
      <c r="D40" s="15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5" t="n"/>
    </row>
    <row r="41" ht="96" customFormat="1" customHeight="1" s="8">
      <c r="A41" s="16" t="n"/>
      <c r="B41" s="16" t="inlineStr">
        <is>
          <t>non_inconsistency</t>
        </is>
      </c>
      <c r="C41" s="16" t="inlineStr">
        <is>
          <t>Option</t>
        </is>
      </c>
      <c r="D41" s="16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6" t="n"/>
    </row>
    <row r="42" ht="96" customFormat="1" customHeight="1" s="8">
      <c r="A42" s="15" t="n"/>
      <c r="B42" s="15" t="inlineStr">
        <is>
          <t>indeterminate</t>
        </is>
      </c>
      <c r="C42" s="15" t="inlineStr">
        <is>
          <t>Option</t>
        </is>
      </c>
      <c r="D42" s="15" t="inlineStr">
        <is>
          <t>Indeterminate. The available material is insufficient to establish whether the statements conflict or how important any conflict is.</t>
        </is>
      </c>
      <c r="E42" s="15" t="n"/>
    </row>
    <row r="43" ht="96" customFormat="1" customHeight="1" s="8">
      <c r="A43" s="16" t="n"/>
      <c r="B43" s="16" t="inlineStr">
        <is>
          <t>not_applicable</t>
        </is>
      </c>
      <c r="C43" s="16" t="inlineStr">
        <is>
          <t>Option</t>
        </is>
      </c>
      <c r="D43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6" t="n"/>
    </row>
    <row r="44" ht="96" customFormat="1" customHeight="1" s="8">
      <c r="A44" s="15" t="inlineStr">
        <is>
          <t>4  |  Protocol versus report: optional description only</t>
        </is>
      </c>
      <c r="B44" s="15" t="n"/>
      <c r="C44" s="15" t="n"/>
      <c r="D44" s="15" t="n"/>
      <c r="E44" s="15" t="n"/>
    </row>
    <row r="45" ht="96" customFormat="1" customHeight="1" s="8">
      <c r="A45" s="16" t="inlineStr">
        <is>
          <t>Protocol interpretation</t>
        </is>
      </c>
      <c r="B45" s="16" t="inlineStr">
        <is>
          <t>FIELD</t>
        </is>
      </c>
      <c r="C45" s="16" t="inlineStr">
        <is>
          <t>Optional; retained protocol_report</t>
        </is>
      </c>
      <c r="D45" s="16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6" t="inlineStr">
        <is>
          <t>protocolInterpretation</t>
        </is>
      </c>
    </row>
    <row r="46" ht="96" customFormat="1" customHeight="1" s="8">
      <c r="A46" s="15" t="n"/>
      <c r="B46" s="15" t="inlineStr">
        <is>
          <t>substantive_difference</t>
        </is>
      </c>
      <c r="C46" s="15" t="inlineStr">
        <is>
          <t>Option</t>
        </is>
      </c>
      <c r="D46" s="15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5" t="n"/>
    </row>
    <row r="47" ht="96" customFormat="1" customHeight="1" s="8">
      <c r="A47" s="16" t="n"/>
      <c r="B47" s="16" t="inlineStr">
        <is>
          <t>minor_presentation</t>
        </is>
      </c>
      <c r="C47" s="16" t="inlineStr">
        <is>
          <t>Option</t>
        </is>
      </c>
      <c r="D47" s="16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6" t="n"/>
    </row>
    <row r="48" ht="96" customFormat="1" customHeight="1" s="8">
      <c r="A48" s="15" t="n"/>
      <c r="B48" s="15" t="inlineStr">
        <is>
          <t>version_timing</t>
        </is>
      </c>
      <c r="C48" s="15" t="inlineStr">
        <is>
          <t>Option</t>
        </is>
      </c>
      <c r="D48" s="15" t="inlineStr">
        <is>
          <t>Version or timing ambiguity. The difference may reflect which protocol version or date is being compared; the sequence cannot be resolved from the available material.</t>
        </is>
      </c>
      <c r="E48" s="15" t="n"/>
    </row>
    <row r="49" ht="96" customFormat="1" customHeight="1" s="8">
      <c r="A49" s="16" t="n"/>
      <c r="B49" s="16" t="inlineStr">
        <is>
          <t>non_inconsistency</t>
        </is>
      </c>
      <c r="C49" s="16" t="inlineStr">
        <is>
          <t>Option</t>
        </is>
      </c>
      <c r="D49" s="16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6" t="n"/>
    </row>
    <row r="50" ht="96" customFormat="1" customHeight="1" s="8">
      <c r="A50" s="15" t="n"/>
      <c r="B50" s="15" t="inlineStr">
        <is>
          <t>indeterminate</t>
        </is>
      </c>
      <c r="C50" s="15" t="inlineStr">
        <is>
          <t>Option</t>
        </is>
      </c>
      <c r="D50" s="15" t="inlineStr">
        <is>
          <t>Indeterminate. The available evidence cannot support a more specific interpretation of the planned-versus-reported difference.</t>
        </is>
      </c>
      <c r="E50" s="15" t="n"/>
    </row>
    <row r="51" ht="96" customFormat="1" customHeight="1" s="8">
      <c r="A51" s="16" t="n"/>
      <c r="B51" s="16" t="inlineStr">
        <is>
          <t>not_applicable</t>
        </is>
      </c>
      <c r="C51" s="16" t="inlineStr">
        <is>
          <t>Option</t>
        </is>
      </c>
      <c r="D51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6" t="n"/>
    </row>
    <row r="52" ht="96" customFormat="1" customHeight="1" s="8">
      <c r="A52" s="15" t="inlineStr">
        <is>
          <t>5  |  Candidate context</t>
        </is>
      </c>
      <c r="B52" s="15" t="n"/>
      <c r="C52" s="15" t="n"/>
      <c r="D52" s="15" t="n"/>
      <c r="E52" s="15" t="n"/>
    </row>
    <row r="53" ht="96" customFormat="1" customHeight="1" s="8">
      <c r="A53" s="16" t="inlineStr">
        <is>
          <t>Candidate key</t>
        </is>
      </c>
      <c r="B53" s="16" t="inlineStr">
        <is>
          <t>FIELD</t>
        </is>
      </c>
      <c r="C53" s="16" t="inlineStr">
        <is>
          <t>Reference</t>
        </is>
      </c>
      <c r="D53" s="16" t="inlineStr">
        <is>
          <t>Unique candidate identity used for matching, even after complete rows are reordered. Never edit this value.</t>
        </is>
      </c>
      <c r="E53" s="16" t="inlineStr">
        <is>
          <t>key</t>
        </is>
      </c>
    </row>
    <row r="54" ht="96" customFormat="1" customHeight="1" s="8">
      <c r="A54" s="15" t="inlineStr">
        <is>
          <t>Candidate title</t>
        </is>
      </c>
      <c r="B54" s="15" t="inlineStr">
        <is>
          <t>FIELD</t>
        </is>
      </c>
      <c r="C54" s="15" t="inlineStr">
        <is>
          <t>Reference</t>
        </is>
      </c>
      <c r="D54" s="15" t="inlineStr">
        <is>
          <t>Short candidate title. A candidate is an AI flag for human assessment, not a confirmed issue.</t>
        </is>
      </c>
      <c r="E54" s="15" t="inlineStr">
        <is>
          <t>title</t>
        </is>
      </c>
    </row>
    <row r="55" ht="96" customFormat="1" customHeight="1" s="8">
      <c r="A55" s="16" t="inlineStr">
        <is>
          <t>Source location</t>
        </is>
      </c>
      <c r="B55" s="16" t="inlineStr">
        <is>
          <t>FIELD</t>
        </is>
      </c>
      <c r="C55" s="16" t="inlineStr">
        <is>
          <t>Source reference</t>
        </is>
      </c>
      <c r="D55" s="16" t="inlineStr">
        <is>
          <t>Where to check the source claim. Open the original documents named here (file and PDF page).</t>
        </is>
      </c>
      <c r="E55" s="16" t="inlineStr">
        <is>
          <t>locations</t>
        </is>
      </c>
    </row>
    <row r="56" ht="96" customFormat="1" customHeight="1" s="8">
      <c r="A56" s="15" t="inlineStr">
        <is>
          <t>Complete</t>
        </is>
      </c>
      <c r="B56" s="15" t="inlineStr">
        <is>
          <t>primary_done</t>
        </is>
      </c>
      <c r="C56" s="15" t="inlineStr">
        <is>
          <t>Independent primary review</t>
        </is>
      </c>
      <c r="D56" s="15" t="inlineStr">
        <is>
          <t>Use no while drafting; primary_done only after manual review. Reset F=no before changing a completed row, review again, then mark primary_done.</t>
        </is>
      </c>
      <c r="E56" s="15" t="inlineStr">
        <is>
          <t>reviewComplete</t>
        </is>
      </c>
    </row>
  </sheetData>
  <autoFilter ref="A1:E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2026-09-19T05:09:55Z</dcterms:created>
  <dcterms:modified xsi:type="dcterms:W3CDTF">2026-10-10T23:06:11Z</dcterms:modified>
</cp:coreProperties>
</file>