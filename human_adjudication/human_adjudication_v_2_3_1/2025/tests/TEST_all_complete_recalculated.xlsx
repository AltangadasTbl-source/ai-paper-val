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s:worksheet xmlns:s="http://schemas.openxmlformats.org/spreadsheetml/2006/main">
  <s:sheetPr>
    <s:outlinePr summaryBelow="1" summaryRight="1"/>
    <s:pageSetUpPr/>
  </s:sheetPr>
  <s:dimension ref="A1:B17"/>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29" customWidth="1" style="8" min="1" max="1"/>
    <s:col width="115" customWidth="1" style="8" min="2" max="2"/>
  </s:cols>
  <s:sheetData>
    <s:row r="1" ht="42" customFormat="1" customHeight="1" s="8">
      <s:c r="A1" s="14" t="inlineStr">
        <s:is>
          <s:t>Step</s:t>
        </s:is>
      </s:c>
      <s:c r="B1" s="14" t="inlineStr">
        <s:is>
          <s:t>Instructions</s:t>
        </s:is>
      </s:c>
    </s:row>
    <s:row r="2" ht="88" customFormat="1" customHeight="1" s="8">
      <s:c r="A2" s="15" t="inlineStr">
        <s:is>
          <s:t>Release</s:t>
        </s:is>
      </s:c>
      <s:c r="B2" s="15" t="inlineStr">
        <s:is>
          <s:t>TEST ONLY — SYNTHETIC INPUTS — NEVER RESEARCH DATA</s:t>
        </s:is>
      </s:c>
    </s:row>
    <s:row r="3" ht="88" customFormat="1" customHeight="1" s="8">
      <s:c r="A3" s="16" t="inlineStr">
        <s:is>
          <s:t>Coordinator</s:t>
        </s:is>
      </s:c>
      <s:c r="B3" s="16" t="inlineStr">
        <s:is>
          <s:t>Assign two different people to the two role files. Distribute only the corresponding file to each person. Roles are labels, not person IDs. This standalone file cannot verify the identity in another file.</s:t>
        </s:is>
      </s:c>
    </s:row>
    <s:row r="4" ht="88" customFormat="1" customHeight="1" s="8">
      <s:c r="A4" s="15" t="inlineStr">
        <s:is>
          <s:t>1. Begin</s:t>
        </s:is>
      </s:c>
      <s:c r="B4" s="15" t="inlineStr">
        <s:is>
          <s:t>Save As a working copy in Excel. Enter your own reviewer ID (or identifying name) in Setup B2 and optional full name in B3. Setup B4 identifies this file's role; B5 is the cohort year.</s:t>
        </s:is>
      </s:c>
    </s:row>
    <s:row r="5" ht="88" customFormat="1" customHeight="1" s="8">
      <s:c r="A5" s="16" t="inlineStr">
        <s:is>
          <s:t>2. Read</s:t>
        </s:is>
      </s:c>
      <s:c r="B5" s="16" t="inlineStr">
        <s:is>
          <s:t>Use Papers links to open each C_ sheet. Candidate-key links open embedded Evidence. Filter Candidates, Evidence, Links and Relations by key for full context. Click source labels in Links to open original PDFs. Keep the source-folder structure when using relative links.</s:t>
        </s:is>
      </s:c>
    </s:row>
    <s:row r="6" ht="88" customFormat="1" customHeight="1" s="8">
      <s:c r="A6" s="15" t="inlineStr">
        <s:is>
          <s:t>3. Assess</s:t>
        </s:is>
      </s:c>
      <s:c r="B6" s="15" t="inlineStr">
        <s:is>
          <s:t>Choose D=retain, exclude, or discuss. Confirm or change the AI-suggested domain in E. Answer applicable H-L, using Codebook definitions. R holds optional English notes. Yellow = common/required; blue = optional; gray = inactive. M-Q are empty spacers.</s:t>
        </s:is>
      </s:c>
    </s:row>
    <s:row r="7" ht="88" customFormat="1" customHeight="1" s="8">
      <s:c r="A7" s="16" t="inlineStr">
        <s:is>
          <s:t>4. Applicability</s:t>
        </s:is>
      </s:c>
      <s:c r="B7" s="16" t="inlineStr">
        <s:is>
          <s:t>For retain: statistical_results requires H and I; J is optional. report_internal_inconsistency and plan_material require K. protocol_report has no extra required judgment; L is optional. Exclude/discuss have no active H-L judgments.</s:t>
        </s:is>
      </s:c>
    </s:row>
    <s:row r="8" ht="88" customFormat="1" customHeight="1" s="8">
      <s:c r="A8" s="15" t="inlineStr">
        <s:is>
          <s:t>5. Defaults</s:t>
        </s:is>
      </s:c>
      <s:c r="B8" s="15" t="inlineStr">
        <s:is>
          <s: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s:t>
        </s:is>
      </s:c>
    </s:row>
    <s:row r="9" ht="88" customFormat="1" customHeight="1" s="8">
      <s:c r="A9" s="16" t="inlineStr">
        <s:is>
          <s:t>6. Changes</s:t>
        </s:is>
      </s:c>
      <s:c r="B9" s="16" t="inlineStr">
        <s:is>
          <s: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s:t>
        </s:is>
      </s:c>
    </s:row>
    <s:row r="10" ht="88" customFormat="1" customHeight="1" s="8">
      <s:c r="A10" s="15" t="inlineStr">
        <s:is>
          <s:t>7. Finish each row</s:t>
        </s:is>
      </s:c>
      <s:c r="B10" s="15" t="inlineStr">
        <s:is>
          <s:t>After manual evidence review, set F=primary_done. G must show PRIMARY READY. Invalid pasted values are checked as well as dropdown choices. D and a valid E are required even for exclude/discuss. Completion alone does not establish scientific accuracy.</s:t>
        </s:is>
      </s:c>
    </s:row>
    <s:row r="11" ht="88" customFormat="1" customHeight="1" s="8">
      <s:c r="A11" s="16" t="inlineStr">
        <s:is>
          <s:t>8. Inspect and deliver</s:t>
        </s:is>
      </s:c>
      <s:c r="B11" s="16" t="inlineStr">
        <s:is>
          <s:t>Inspect G and Checks; filter Decisions status for unfinished rows. When Checks shows PRIMARY READY, save the completed workbook and deliver this file. Review, calculations and delivery use Excel alone. Keep normal Excel backup copies; never regenerate a completed review file.</s:t>
        </s:is>
      </s:c>
    </s:row>
    <s:row r="12" ht="88" customFormat="1" customHeight="1" s="8">
      <s:c r="A12" s="15" t="inlineStr">
        <s:is>
          <s:t>Uncertainty</s:t>
        </s:is>
      </s:c>
      <s:c r="B12" s="15" t="inlineStr">
        <s:is>
          <s:t>Discuss is a completed independent response when otherwise valid. It records unresolved scientific uncertainty and initiates no shared workflow. Checks displays discuss totals separately; completing data entry does not resolve uncertainty.</s:t>
        </s:is>
      </s:c>
    </s:row>
    <s:row r="13" ht="88" customFormat="1" customHeight="1" s="8">
      <s:c r="A13" s="16" t="inlineStr">
        <s:is>
          <s:t>Results</s:t>
        </s:is>
      </s:c>
      <s:c r="B13" s="16" t="inlineStr">
        <s:is>
          <s:t>Decisions contains only your assessment. Unfinished and discuss outcomes stay blank. P_R/P_P retained records are descriptive and never temporal. Paper_counts shows independent completion separately and withholds outcome counts until every row is ready and none is discuss.</s:t>
        </s:is>
      </s:c>
    </s:row>
    <s:row r="14" ht="88" customFormat="1" customHeight="1" s="8">
      <s:c r="A14" s="15" t="inlineStr">
        <s:is>
          <s:t>Editing and recovery</s:t>
        </s:is>
      </s:c>
      <s:c r="B14" s="15" t="inlineStr">
        <s:is>
          <s:t>All cells, including unused cells, are unlocked; there are no protected ranges, passwords or unlock steps. Edit Setup B2:B3 and C_ D/E/F/H-L/R. Preserve keys, source text and formulas; recover accidental changes with Undo or a normal backup.</s:t>
        </s:is>
      </s:c>
    </s:row>
    <s:row r="15" ht="88" customFormat="1" customHeight="1" s="8">
      <s:c r="A15" s="16" t="inlineStr">
        <s:is>
          <s:t>Navigation and sorting</s:t>
        </s:is>
      </s:c>
      <s:c r="B15" s="16" t="inlineStr">
        <s:is>
          <s: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s:t>
        </s:is>
      </s:c>
    </s:row>
    <s:row r="16" ht="88" customFormat="1" customHeight="1" s="8">
      <s:c r="A16" s="15" t="inlineStr">
        <s:is>
          <s:t>Hints</s:t>
        </s:is>
      </s:c>
      <s:c r="B16" s="15" t="inlineStr">
        <s:is>
          <s:t>CHECK REVIEWER ID: enter an identity. CHECK KEY: restore the unique baseline key in its paper. CHECK FIELDS: check D/E and active H-L options. CHECK COMPLETE: use no or primary_done. PRIMARY DRAFT: finish manual review. CHECK INPUT / KEY: inspect pasted errors and references.</s:t>
        </s:is>
      </s:c>
    </s:row>
    <s:row r="17" ht="88" customFormat="1" customHeight="1" s="8">
      <s:c r="A17" s="16" t="inlineStr">
        <s:is>
          <s:t>Validation status</s:t>
        </s:is>
      </s:c>
      <s:c r="B17" s="16" t="inlineStr">
        <s:is>
          <s:t>Construction static and formula-engine checks are documented in the accompanying VALIDATION.md. Interactive desktop Excel smoke testing and visual rendering are pending. Excel recalculates on opening.</s:t>
        </s:is>
      </s:c>
    </s:row>
  </s:sheetData>
  <s:pageMargins left="0.75" right="0.75" top="1" bottom="1" header="0.5" footer="0.5"/>
</s:worksheet>
</file>

<file path=xl/worksheets/sheet2.xml><?xml version="1.0" encoding="utf-8"?>
<s:worksheet xmlns:s="http://schemas.openxmlformats.org/spreadsheetml/2006/main">
  <s:sheetPr>
    <s:outlinePr summaryBelow="1" summaryRight="1"/>
    <s:pageSetUpPr/>
  </s:sheetPr>
  <s:dimension ref="A1:B5"/>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35" customWidth="1" style="8" min="1" max="1"/>
    <s:col width="70" customWidth="1" style="8" min="2" max="2"/>
  </s:cols>
  <s:sheetData>
    <s:row r="1" ht="42" customFormat="1" customHeight="1" s="8">
      <s:c r="A1" s="14" t="inlineStr">
        <s:is>
          <s:t>Field</s:t>
        </s:is>
      </s:c>
      <s:c r="B1" s="14" t="inlineStr">
        <s:is>
          <s:t>Value</s:t>
        </s:is>
      </s:c>
    </s:row>
    <s:row r="2" ht="42" customFormat="1" customHeight="1" s="8">
      <s:c r="A2" s="15" t="inlineStr">
        <s:is>
          <s:t>reviewerId / identifying name</s:t>
        </s:is>
      </s:c>
      <s:c r="B2" s="17" t="inlineStr">
        <s:is>
          <s:t>TEST_REVIEWER</s:t>
        </s:is>
      </s:c>
    </s:row>
    <s:row r="3" ht="42" customFormat="1" customHeight="1" s="8">
      <s:c r="A3" s="16" t="inlineStr">
        <s:is>
          <s:t>reviewerName (optional)</s:t>
        </s:is>
      </s:c>
      <s:c r="B3" s="17" t="inlineStr">
        <s:is>
          <s:t>TEST ONLY</s:t>
        </s:is>
      </s:c>
    </s:row>
    <s:row r="4" ht="42" customFormat="1" customHeight="1" s="8">
      <s:c r="A4" s="15" t="inlineStr">
        <s:is>
          <s:t>reviewerRole</s:t>
        </s:is>
      </s:c>
      <s:c r="B4" s="15" t="inlineStr">
        <s:is>
          <s:t>R_A</s:t>
        </s:is>
      </s:c>
    </s:row>
    <s:row r="5" ht="42" customFormat="1" customHeight="1" s="8">
      <s:c r="A5" s="16" t="inlineStr">
        <s:is>
          <s:t>year</s:t>
        </s:is>
      </s:c>
      <s:c r="B5" s="16" t="n">
        <s:v>2025</s:v>
      </s:c>
    </s:row>
  </s:sheetData>
  <s:pageMargins left="0.75" right="0.75" top="1" bottom="1" header="0.5" footer="0.5"/>
</s:worksheet>
</file>

<file path=xl/worksheets/sheet3.xml><?xml version="1.0" encoding="utf-8"?>
<s:worksheet xmlns:s="http://schemas.openxmlformats.org/spreadsheetml/2006/main">
  <s:sheetPr>
    <s:outlinePr summaryBelow="1" summaryRight="1"/>
    <s:pageSetUpPr/>
  </s:sheetPr>
  <s:dimension ref="A1:B10"/>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35" customWidth="1" style="8" min="1" max="1"/>
    <s:col width="105" customWidth="1" style="8" min="2" max="2"/>
  </s:cols>
  <s:sheetData>
    <s:row r="1" ht="42" customFormat="1" customHeight="1" s="8">
      <s:c r="A1" s="14" t="inlineStr">
        <s:is>
          <s:t>Check</s:t>
        </s:is>
      </s:c>
      <s:c r="B1" s="14" t="inlineStr">
        <s:is>
          <s:t>Result</s:t>
        </s:is>
      </s:c>
    </s:row>
    <s:row r="2" ht="60" customFormat="1" customHeight="1" s="8">
      <s:c r="A2" s="15" t="inlineStr">
        <s:is>
          <s:t>Reviewer role</s:t>
        </s:is>
      </s:c>
      <s:c r="B2" s="15" t="str">
        <s:f>Setup!B4</s:f>
        <s:v>R_A</s:v>
      </s:c>
    </s:row>
    <s:row r="3" ht="60" customFormat="1" customHeight="1" s="8">
      <s:c r="A3" s="16" t="inlineStr">
        <s:is>
          <s:t>Candidates</s:t>
        </s:is>
      </s:c>
      <s:c r="B3" s="16" t="n">
        <s:v>131</s:v>
      </s:c>
    </s:row>
    <s:row r="4" ht="60" customFormat="1" customHeight="1" s="8">
      <s:c r="A4" s="15" t="inlineStr">
        <s:is>
          <s:t>Primary ready rows</s:t>
        </s:is>
      </s:c>
      <s:c r="B4" s="15" t="n">
        <s:f>COUNTIF(Decisions!G2:G132,"PRIMARY READY")</s:f>
        <s:v>131</s:v>
      </s:c>
    </s:row>
    <s:row r="5" ht="60" customFormat="1" customHeight="1" s="8">
      <s:c r="A5" s="16" t="inlineStr">
        <s:is>
          <s:t>Unfinished rows</s:t>
        </s:is>
      </s:c>
      <s:c r="B5" s="16" t="n">
        <s:f>B3-B4</s:f>
        <s:v>0.0</s:v>
      </s:c>
    </s:row>
    <s:row r="6" ht="60" customFormat="1" customHeight="1" s="8">
      <s:c r="A6" s="15" t="inlineStr">
        <s:is>
          <s:t>Discuss / unresolved rows</s:t>
        </s:is>
      </s:c>
      <s:c r="B6" s="15" t="n">
        <s:f>COUNTIF(Decisions!K2:K132,"discuss")</s:f>
        <s:v>0</s:v>
      </s:c>
    </s:row>
    <s:row r="7" ht="60" customFormat="1" customHeight="1" s="8">
      <s:c r="A7" s="16" t="inlineStr">
        <s:is>
          <s:t>Workflow status</s:t>
        </s:is>
      </s:c>
      <s:c r="B7" s="16" t="str">
        <s:f>IF(B4=B3,"PRIMARY READY","ACTION NEEDED")</s:f>
        <s:v>PRIMARY READY</s:v>
      </s:c>
    </s:row>
    <s:row r="8" ht="60" customFormat="1" customHeight="1" s="8">
      <s:c r="A8" s="15" t="inlineStr">
        <s:is>
          <s:t>Interpretation</s:t>
        </s:is>
      </s:c>
      <s:c r="B8" s="15" t="inlineStr">
        <s:is>
          <s:t>Completion means independent entry is finished. Discuss remains unresolved; affected paper outcome counts are withheld.</s:t>
        </s:is>
      </s:c>
    </s:row>
    <s:row r="9" ht="60" customFormat="1" customHeight="1" s="8">
      <s:c r="A9" s="16" t="inlineStr">
        <s:is>
          <s:t>Next action</s:t>
        </s:is>
      </s:c>
      <s:c r="B9" s="16" t="inlineStr">
        <s:is>
          <s:t>Filter Decisions status; return to C_ inputs. When primary-ready, save and deliver this file.</s:t>
        </s:is>
      </s:c>
    </s:row>
    <s:row r="10" ht="60" customFormat="1" customHeight="1" s="8">
      <s:c r="A10" s="15" t="inlineStr">
        <s:is>
          <s:t>Ready discuss rows</s:t>
        </s:is>
      </s:c>
      <s:c r="B10" s="15" t="n">
        <s:f>COUNTIFS(Decisions!G2:G132,"PRIMARY READY",Decisions!K2:K132,"discuss")</s:f>
        <s:v>0</s:v>
      </s:c>
    </s:row>
  </s:sheetData>
  <s:pageMargins left="0.75" right="0.75" top="1" bottom="1" header="0.5" footer="0.5"/>
</s:worksheet>
</file>

<file path=xl/worksheets/sheet4.xml><?xml version="1.0" encoding="utf-8"?>
<s:worksheet xmlns:s="http://schemas.openxmlformats.org/spreadsheetml/2006/main">
  <s:sheetPr>
    <s:outlinePr summaryBelow="1" summaryRight="1"/>
    <s:pageSetUpPr/>
  </s:sheetPr>
  <s:dimension ref="A1:C16"/>
  <s:sheetViews>
    <s:sheetView showGridLines="0" workbookViewId="0">
      <s:pane xSplit="1" ySplit="1" topLeftCell="B2" activePane="bottomRight" state="frozen"/>
      <s:selection activeCell="A1" sqref="A1"/>
    </s:sheetView>
  </s:sheetViews>
  <s:sheetFormatPr baseColWidth="8" defaultRowHeight="15"/>
  <s:cols>
    <s:col width="32" customWidth="1" style="8" min="1" max="1"/>
    <s:col width="34" customWidth="1" style="8" min="2" max="2"/>
    <s:col width="18" customWidth="1" style="8" min="3" max="3"/>
  </s:cols>
  <s:sheetData>
    <s:row r="1" ht="42" customFormat="1" customHeight="1" s="8">
      <s:c r="A1" s="5" t="inlineStr">
        <s:is>
          <s:t>Paper</s:t>
        </s:is>
      </s:c>
      <s:c r="B1" s="5" t="inlineStr">
        <s:is>
          <s:t>Review worksheet</s:t>
        </s:is>
      </s:c>
      <s:c r="C1" s="5" t="inlineStr">
        <s:is>
          <s:t>Candidates</s:t>
        </s:is>
      </s:c>
    </s:row>
    <s:row r="2" ht="36" customFormat="1" customHeight="1" s="8">
      <s:c r="A2" s="12" t="inlineStr">
        <s:is>
          <s:t>jama.2024.24764</s:t>
        </s:is>
      </s:c>
      <s:c r="B2" s="12" t="inlineStr">
        <s:is>
          <s:t>C_jama.2024.24764</s:t>
        </s:is>
      </s:c>
      <s:c r="C2" s="12" t="n">
        <s:v>8</s:v>
      </s:c>
    </s:row>
    <s:row r="3" ht="36" customFormat="1" customHeight="1" s="8">
      <s:c r="A3" s="11" t="inlineStr">
        <s:is>
          <s:t>jama.2024.27643</s:t>
        </s:is>
      </s:c>
      <s:c r="B3" s="11" t="inlineStr">
        <s:is>
          <s:t>C_jama.2024.27643</s:t>
        </s:is>
      </s:c>
      <s:c r="C3" s="11" t="n">
        <s:v>8</s:v>
      </s:c>
    </s:row>
    <s:row r="4" ht="36" customFormat="1" customHeight="1" s="8">
      <s:c r="A4" s="12" t="inlineStr">
        <s:is>
          <s:t>jama.2025.11178</s:t>
        </s:is>
      </s:c>
      <s:c r="B4" s="12" t="inlineStr">
        <s:is>
          <s:t>C_jama.2025.11178</s:t>
        </s:is>
      </s:c>
      <s:c r="C4" s="12" t="n">
        <s:v>37</s:v>
      </s:c>
    </s:row>
    <s:row r="5" ht="36" customFormat="1" customHeight="1" s="8">
      <s:c r="A5" s="11" t="inlineStr">
        <s:is>
          <s:t>jama.2025.15185</s:t>
        </s:is>
      </s:c>
      <s:c r="B5" s="11" t="inlineStr">
        <s:is>
          <s:t>C_jama.2025.15185</s:t>
        </s:is>
      </s:c>
      <s:c r="C5" s="11" t="n">
        <s:v>12</s:v>
      </s:c>
    </s:row>
    <s:row r="6" ht="36" customFormat="1" customHeight="1" s="8">
      <s:c r="A6" s="12" t="inlineStr">
        <s:is>
          <s:t>jama.2025.15440</s:t>
        </s:is>
      </s:c>
      <s:c r="B6" s="12" t="inlineStr">
        <s:is>
          <s:t>C_jama.2025.15440</s:t>
        </s:is>
      </s:c>
      <s:c r="C6" s="12" t="n">
        <s:v>2</s:v>
      </s:c>
    </s:row>
    <s:row r="7" ht="36" customFormat="1" customHeight="1" s="8">
      <s:c r="A7" s="11" t="inlineStr">
        <s:is>
          <s:t>jama.2025.16450</s:t>
        </s:is>
      </s:c>
      <s:c r="B7" s="11" t="inlineStr">
        <s:is>
          <s:t>C_jama.2025.16450</s:t>
        </s:is>
      </s:c>
      <s:c r="C7" s="11" t="n">
        <s:v>10</s:v>
      </s:c>
    </s:row>
    <s:row r="8" ht="36" customFormat="1" customHeight="1" s="8">
      <s:c r="A8" s="12" t="inlineStr">
        <s:is>
          <s:t>jama.2025.19563</s:t>
        </s:is>
      </s:c>
      <s:c r="B8" s="12" t="inlineStr">
        <s:is>
          <s:t>C_jama.2025.19563</s:t>
        </s:is>
      </s:c>
      <s:c r="C8" s="12" t="n">
        <s:v>7</s:v>
      </s:c>
    </s:row>
    <s:row r="9" ht="36" customFormat="1" customHeight="1" s="8">
      <s:c r="A9" s="11" t="inlineStr">
        <s:is>
          <s:t>jama.2025.19843</s:t>
        </s:is>
      </s:c>
      <s:c r="B9" s="11" t="inlineStr">
        <s:is>
          <s:t>C_jama.2025.19843</s:t>
        </s:is>
      </s:c>
      <s:c r="C9" s="11" t="n">
        <s:v>1</s:v>
      </s:c>
    </s:row>
    <s:row r="10" ht="36" customFormat="1" customHeight="1" s="8">
      <s:c r="A10" s="12" t="inlineStr">
        <s:is>
          <s:t>jama.2025.20765</s:t>
        </s:is>
      </s:c>
      <s:c r="B10" s="12" t="inlineStr">
        <s:is>
          <s:t>C_jama.2025.20765</s:t>
        </s:is>
      </s:c>
      <s:c r="C10" s="12" t="n">
        <s:v>13</s:v>
      </s:c>
    </s:row>
    <s:row r="11" ht="36" customFormat="1" customHeight="1" s="8">
      <s:c r="A11" s="11" t="inlineStr">
        <s:is>
          <s:t>jama.2025.24175</s:t>
        </s:is>
      </s:c>
      <s:c r="B11" s="11" t="inlineStr">
        <s:is>
          <s:t>C_jama.2025.24175</s:t>
        </s:is>
      </s:c>
      <s:c r="C11" s="11" t="n">
        <s:v>14</s:v>
      </s:c>
    </s:row>
    <s:row r="12" ht="36" customFormat="1" customHeight="1" s="8">
      <s:c r="A12" s="12" t="inlineStr">
        <s:is>
          <s:t>jama.2025.4390</s:t>
        </s:is>
      </s:c>
      <s:c r="B12" s="12" t="inlineStr">
        <s:is>
          <s:t>C_jama.2025.4390</s:t>
        </s:is>
      </s:c>
      <s:c r="C12" s="12" t="n">
        <s:v>3</s:v>
      </s:c>
    </s:row>
    <s:row r="13" ht="36" customFormat="1" customHeight="1" s="8">
      <s:c r="A13" s="11" t="inlineStr">
        <s:is>
          <s:t>jama.2025.7583</s:t>
        </s:is>
      </s:c>
      <s:c r="B13" s="11" t="inlineStr">
        <s:is>
          <s:t>C_jama.2025.7583</s:t>
        </s:is>
      </s:c>
      <s:c r="C13" s="11" t="n">
        <s:v>3</s:v>
      </s:c>
    </s:row>
    <s:row r="14" ht="36" customFormat="1" customHeight="1" s="8">
      <s:c r="A14" s="12" t="inlineStr">
        <s:is>
          <s:t>jama.2025.7710</s:t>
        </s:is>
      </s:c>
      <s:c r="B14" s="12" t="inlineStr">
        <s:is>
          <s:t>C_jama.2025.7710</s:t>
        </s:is>
      </s:c>
      <s:c r="C14" s="12" t="n">
        <s:v>4</s:v>
      </s:c>
    </s:row>
    <s:row r="15" ht="36" customFormat="1" customHeight="1" s="8">
      <s:c r="A15" s="11" t="inlineStr">
        <s:is>
          <s:t>jama.2025.9110</s:t>
        </s:is>
      </s:c>
      <s:c r="B15" s="11" t="inlineStr">
        <s:is>
          <s:t>C_jama.2025.9110</s:t>
        </s:is>
      </s:c>
      <s:c r="C15" s="11" t="n">
        <s:v>6</s:v>
      </s:c>
    </s:row>
    <s:row r="16" ht="36" customFormat="1" customHeight="1" s="8">
      <s:c r="A16" s="12" t="inlineStr">
        <s:is>
          <s:t>jama.2025.9663</s:t>
        </s:is>
      </s:c>
      <s:c r="B16" s="12" t="inlineStr">
        <s:is>
          <s:t>C_jama.2025.9663</s:t>
        </s:is>
      </s:c>
      <s:c r="C16" s="12" t="n">
        <s:v>3</s:v>
      </s:c>
    </s:row>
  </s:sheetData>
  <s:hyperlinks>
    <s:hyperlink ref="B2" location="'C_jama.2024.24764'!A1"/>
    <s:hyperlink ref="B3" location="'C_jama.2024.27643'!A1"/>
    <s:hyperlink ref="B4" location="'C_jama.2025.11178'!A1"/>
    <s:hyperlink ref="B5" location="'C_jama.2025.15185'!A1"/>
    <s:hyperlink ref="B6" location="'C_jama.2025.15440'!A1"/>
    <s:hyperlink ref="B7" location="'C_jama.2025.16450'!A1"/>
    <s:hyperlink ref="B8" location="'C_jama.2025.19563'!A1"/>
    <s:hyperlink ref="B9" location="'C_jama.2025.19843'!A1"/>
    <s:hyperlink ref="B10" location="'C_jama.2025.20765'!A1"/>
    <s:hyperlink ref="B11" location="'C_jama.2025.24175'!A1"/>
    <s:hyperlink ref="B12" location="'C_jama.2025.4390'!A1"/>
    <s:hyperlink ref="B13" location="'C_jama.2025.7583'!A1"/>
    <s:hyperlink ref="B14" location="'C_jama.2025.7710'!A1"/>
    <s:hyperlink ref="B15" location="'C_jama.2025.9110'!A1"/>
    <s:hyperlink ref="B16" location="'C_jama.2025.9663'!A1"/>
  </s:hyperlinks>
  <s:pageMargins left="0.7" right="0.7" top="0.75" bottom="0.75" header="0.3" footer="0.3"/>
</s:worksheet>
</file>

<file path=xl/worksheets/sheet5.xml><?xml version="1.0" encoding="utf-8"?>
<s:worksheet xmlns:s="http://schemas.openxmlformats.org/spreadsheetml/2006/main">
  <s:sheetPr>
    <s:outlinePr summaryBelow="1" summaryRight="1"/>
    <s:pageSetUpPr/>
  </s:sheetPr>
  <s:dimension ref="A1:R9"/>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2025::jama.2024.24764::C001</s:t>
        </s:is>
      </s:c>
      <s:c r="B2" s="12" t="inlineStr">
        <s:is>
          <s:t>Smoking percentages use a different denominator from the printed smoking totals</s:t>
        </s:is>
      </s:c>
      <s:c r="C2" s="12" t="inlineStr">
        <s:is>
          <s:t>jama_atherton_2025_oi_240145_1741627844.85412.pdf — PDF p. 5, Table 1</s:t>
        </s:is>
      </s:c>
      <s:c r="D2" s="7" t="inlineStr">
        <s:is>
          <s:t>retain</s:t>
        </s:is>
      </s:c>
      <s:c r="E2" s="7" t="inlineStr">
        <s:is>
          <s:t>statistical_results</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inlineStr">
        <s:is>
          <s:t>confirmed_issue</s:t>
        </s:is>
      </s:c>
      <s:c r="I2" s="7" t="inlineStr">
        <s:is>
          <s:t>substantive</s:t>
        </s:is>
      </s:c>
      <s:c r="J2" s="13" t="n"/>
      <s:c r="K2" s="7" t="n"/>
      <s:c r="L2" s="13" t="n"/>
      <s:c r="M2" s="19" t="n"/>
      <s:c r="N2" s="19" t="n"/>
      <s:c r="O2" s="19" t="n"/>
      <s:c r="P2" s="19" t="n"/>
      <s:c r="Q2" s="19" t="n"/>
      <s:c r="R2" s="13" t="inlineStr">
        <s:is>
          <s:t>TEST 2025::jama.2024.24764::C001</s:t>
        </s:is>
      </s:c>
    </s:row>
    <s:row r="3" ht="92" customFormat="1" customHeight="1" s="8">
      <s:c r="A3" s="11" t="inlineStr">
        <s:is>
          <s:t>2025::jama.2024.24764::C002</s:t>
        </s:is>
      </s:c>
      <s:c r="B3" s="11" t="inlineStr">
        <s:is>
          <s:t>Operating-surgeon level totals exceed participant denominators without a multi-response qualifier</s:t>
        </s:is>
      </s:c>
      <s:c r="C3" s="11" t="inlineStr">
        <s:is>
          <s:t>jama_atherton_2025_oi_240145_1741627844.85412.pdf — PDF p. 7, Table 2</s:t>
        </s:is>
      </s:c>
      <s:c r="D3" s="7" t="inlineStr">
        <s:is>
          <s:t>retain</s:t>
        </s:is>
      </s:c>
      <s:c r="E3" s="7" t="inlineStr">
        <s:is>
          <s:t>statistical_results</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inlineStr">
        <s:is>
          <s:t>confirmed_issue</s:t>
        </s:is>
      </s:c>
      <s:c r="I3" s="7" t="inlineStr">
        <s:is>
          <s:t>substantive</s:t>
        </s:is>
      </s:c>
      <s:c r="J3" s="13" t="n"/>
      <s:c r="K3" s="7" t="n"/>
      <s:c r="L3" s="13" t="n"/>
      <s:c r="M3" s="19" t="n"/>
      <s:c r="N3" s="19" t="n"/>
      <s:c r="O3" s="19" t="n"/>
      <s:c r="P3" s="19" t="n"/>
      <s:c r="Q3" s="19" t="n"/>
      <s:c r="R3" s="13" t="inlineStr">
        <s:is>
          <s:t>TEST 2025::jama.2024.24764::C002</s:t>
        </s:is>
      </s:c>
    </s:row>
    <s:row r="4" ht="92" customFormat="1" customHeight="1" s="8">
      <s:c r="A4" s="12" t="inlineStr">
        <s:is>
          <s:t>2025::jama.2024.24764::C003</s:t>
        </s:is>
      </s:c>
      <s:c r="B4" s="12" t="inlineStr">
        <s:is>
          <s:t>Fascia-closing surgeon level totals exceed participant denominators without a multi-response qualifier</s:t>
        </s:is>
      </s:c>
      <s:c r="C4" s="12" t="inlineStr">
        <s:is>
          <s:t>jama_atherton_2025_oi_240145_1741627844.85412.pdf — PDF p. 7, Table 2 continuation</s:t>
        </s:is>
      </s:c>
      <s:c r="D4" s="7" t="inlineStr">
        <s:is>
          <s:t>retain</s:t>
        </s:is>
      </s:c>
      <s:c r="E4" s="7" t="inlineStr">
        <s:is>
          <s:t>statistical_results</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inlineStr">
        <s:is>
          <s:t>confirmed_issue</s:t>
        </s:is>
      </s:c>
      <s:c r="I4" s="7" t="inlineStr">
        <s:is>
          <s:t>substantive</s:t>
        </s:is>
      </s:c>
      <s:c r="J4" s="13" t="n"/>
      <s:c r="K4" s="7" t="n"/>
      <s:c r="L4" s="13" t="n"/>
      <s:c r="M4" s="19" t="n"/>
      <s:c r="N4" s="19" t="n"/>
      <s:c r="O4" s="19" t="n"/>
      <s:c r="P4" s="19" t="n"/>
      <s:c r="Q4" s="19" t="n"/>
      <s:c r="R4" s="13" t="inlineStr">
        <s:is>
          <s:t>TEST 2025::jama.2024.24764::C003</s:t>
        </s:is>
      </s:c>
    </s:row>
    <s:row r="5" ht="92" customFormat="1" customHeight="1" s="8">
      <s:c r="A5" s="11" t="inlineStr">
        <s:is>
          <s:t>2025::jama.2024.24764::C004</s:t>
        </s:is>
      </s:c>
      <s:c r="B5" s="11" t="inlineStr">
        <s:is>
          <s:t>Skin-closing surgeon level totals exceed participant denominators without a multi-response qualifier</s:t>
        </s:is>
      </s:c>
      <s:c r="C5" s="11" t="inlineStr">
        <s:is>
          <s:t>jama_atherton_2025_oi_240145_1741627844.85412.pdf — PDF p. 7, Table 2 continuation</s:t>
        </s:is>
      </s:c>
      <s:c r="D5" s="7" t="inlineStr">
        <s:is>
          <s:t>retain</s:t>
        </s:is>
      </s:c>
      <s:c r="E5" s="7" t="inlineStr">
        <s:is>
          <s:t>statistical_results</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inlineStr">
        <s:is>
          <s:t>confirmed_issue</s:t>
        </s:is>
      </s:c>
      <s:c r="I5" s="7" t="inlineStr">
        <s:is>
          <s:t>substantive</s:t>
        </s:is>
      </s:c>
      <s:c r="J5" s="13" t="n"/>
      <s:c r="K5" s="7" t="n"/>
      <s:c r="L5" s="13" t="n"/>
      <s:c r="M5" s="19" t="n"/>
      <s:c r="N5" s="19" t="n"/>
      <s:c r="O5" s="19" t="n"/>
      <s:c r="P5" s="19" t="n"/>
      <s:c r="Q5" s="19" t="n"/>
      <s:c r="R5" s="13" t="inlineStr">
        <s:is>
          <s:t>TEST 2025::jama.2024.24764::C004</s:t>
        </s:is>
      </s:c>
    </s:row>
    <s:row r="6" ht="92" customFormat="1" customHeight="1" s="8">
      <s:c r="A6" s="12" t="inlineStr">
        <s:is>
          <s:t>2025::jama.2024.24764::C005</s:t>
        </s:is>
      </s:c>
      <s:c r="B6" s="12" t="inlineStr">
        <s:is>
          <s:t>Control-arm mortality differs between participant flow and 30-day safety reporting</s:t>
        </s:is>
      </s:c>
      <s:c r="C6" s="12" t="inlineStr">
        <s:is>
          <s:t>jama_atherton_2025_oi_240145_1741627844.85412.pdf — PDF p. 3, Figure 1; PDF p. 6, safety narrative; PDF p. 8, Table 3</s:t>
        </s:is>
      </s:c>
      <s:c r="D6" s="7" t="inlineStr">
        <s:is>
          <s:t>retain</s:t>
        </s:is>
      </s:c>
      <s:c r="E6" s="7" t="inlineStr">
        <s:is>
          <s:t>report_internal_inconsistency</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2025::jama.2024.24764::C005</s:t>
        </s:is>
      </s:c>
    </s:row>
    <s:row r="7" ht="92" customFormat="1" customHeight="1" s="8">
      <s:c r="A7" s="11" t="inlineStr">
        <s:is>
          <s:t>2025::jama.2024.24764::C006</s:t>
        </s:is>
      </s:c>
      <s:c r="B7" s="11" t="inlineStr">
        <s:is>
          <s:t>Longitudinal quality-of-life covariance specification differs between SAP and final article</s:t>
        </s:is>
      </s:c>
      <s:c r="C7" s="11" t="inlineStr">
        <s:is>
          <s:t>joi240145supp1_prod_1741627844.87412.pdf — PDF p. 26, SAP; jama_atherton_2025_oi_240145_1741627844.85412.pdf — PDF p. 4, Statistical Analysis</s:t>
        </s:is>
      </s:c>
      <s:c r="D7" s="7" t="inlineStr">
        <s:is>
          <s:t>retain</s:t>
        </s:is>
      </s:c>
      <s:c r="E7" s="7" t="inlineStr">
        <s:is>
          <s:t>protocol_report</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n"/>
      <s:c r="L7" s="13" t="n"/>
      <s:c r="M7" s="19" t="n"/>
      <s:c r="N7" s="19" t="n"/>
      <s:c r="O7" s="19" t="n"/>
      <s:c r="P7" s="19" t="n"/>
      <s:c r="Q7" s="19" t="n"/>
      <s:c r="R7" s="13" t="inlineStr">
        <s:is>
          <s:t>TEST 2025::jama.2024.24764::C006</s:t>
        </s:is>
      </s:c>
    </s:row>
    <s:row r="8" ht="92" customFormat="1" customHeight="1" s="8">
      <s:c r="A8" s="12" t="inlineStr">
        <s:is>
          <s:t>2025::jama.2024.24764::C007</s:t>
        </s:is>
      </s:c>
      <s:c r="B8" s="12" t="inlineStr">
        <s:is>
          <s:t>Length-of-stay effect measure and model differ between SAP/protocol and final article</s:t>
        </s:is>
      </s:c>
      <s:c r="C8" s="12" t="inlineStr">
        <s:is>
          <s:t>joi240145supp1_prod_1741627844.87412.pdf — PDF p. 25, SAP; joi240145supp4_prod_1741627844.90412.pdf — PDF p. 39, protocol; jama_atherton_2025_oi_240145_1741627844.85412.pdf — PDF p. 4; PDF p. 8, Table 3</s:t>
        </s:is>
      </s:c>
      <s:c r="D8" s="7" t="inlineStr">
        <s:is>
          <s:t>retain</s:t>
        </s:is>
      </s:c>
      <s:c r="E8" s="7" t="inlineStr">
        <s:is>
          <s:t>protocol_report</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n"/>
      <s:c r="L8" s="13" t="n"/>
      <s:c r="M8" s="19" t="n"/>
      <s:c r="N8" s="19" t="n"/>
      <s:c r="O8" s="19" t="n"/>
      <s:c r="P8" s="19" t="n"/>
      <s:c r="Q8" s="19" t="n"/>
      <s:c r="R8" s="13" t="inlineStr">
        <s:is>
          <s:t>TEST 2025::jama.2024.24764::C007</s:t>
        </s:is>
      </s:c>
    </s:row>
    <s:row r="9" ht="92" customFormat="1" customHeight="1" s="8">
      <s:c r="A9" s="11" t="inlineStr">
        <s:is>
          <s:t>2025::jama.2024.24764::C008</s:t>
        </s:is>
      </s:c>
      <s:c r="B9" s="11" t="inlineStr">
        <s:is>
          <s:t>Australia-inclusive length-of-stay result differs from the stated UK-only analysis population</s:t>
        </s:is>
      </s:c>
      <s:c r="C9" s="11" t="inlineStr">
        <s:is>
          <s:t>joi240145supp1_prod_1741627844.87412.pdf — PDF p. 18, SAP endpoint; PDF p. 25, SAP population; joi240145supp4_prod_1741627844.90412.pdf — PDF p. 24, protocol; jama_atherton_2025_oi_240145_1741627844.85412.pdf — PDF p. 1, abstract; PDF p. 8, Table 3</s:t>
        </s:is>
      </s:c>
      <s:c r="D9" s="7" t="inlineStr">
        <s:is>
          <s:t>retain</s:t>
        </s:is>
      </s:c>
      <s:c r="E9" s="7" t="inlineStr">
        <s:is>
          <s:t>protocol_report</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n"/>
      <s:c r="I9" s="7" t="n"/>
      <s:c r="J9" s="13" t="n"/>
      <s:c r="K9" s="7" t="n"/>
      <s:c r="L9" s="13" t="n"/>
      <s:c r="M9" s="19" t="n"/>
      <s:c r="N9" s="19" t="n"/>
      <s:c r="O9" s="19" t="n"/>
      <s:c r="P9" s="19" t="n"/>
      <s:c r="Q9" s="19" t="n"/>
      <s:c r="R9" s="13" t="inlineStr">
        <s:is>
          <s:t>TEST 2025::jama.2024.24764::C008</s:t>
        </s:is>
      </s:c>
    </s:row>
  </s:sheetData>
  <s:autoFilter ref="A1:R9"/>
  <s:conditionalFormatting sqref="G2:G9">
    <s:cfRule type="expression" priority="1" dxfId="105">
      <s:formula>G2&lt;&gt;"PRIMARY READY"</s:formula>
    </s:cfRule>
  </s:conditionalFormatting>
  <s:conditionalFormatting sqref="H2:H9">
    <s:cfRule type="expression" priority="2" dxfId="106">
      <s:formula>NOT(AND(OR($D2="retain",$D2=""),$E2="statistical_results"))</s:formula>
    </s:cfRule>
  </s:conditionalFormatting>
  <s:conditionalFormatting sqref="I2:I9">
    <s:cfRule type="expression" priority="3" dxfId="106">
      <s:formula>NOT(AND(OR($D2="retain",$D2=""),$E2="statistical_results"))</s:formula>
    </s:cfRule>
  </s:conditionalFormatting>
  <s:conditionalFormatting sqref="J2:J9">
    <s:cfRule type="expression" priority="4" dxfId="106">
      <s:formula>NOT(AND(OR($D2="retain",$D2=""),$E2="statistical_results"))</s:formula>
    </s:cfRule>
  </s:conditionalFormatting>
  <s:conditionalFormatting sqref="K2:K9">
    <s:cfRule type="expression" priority="5" dxfId="106">
      <s:formula>NOT(AND(OR($D2="retain",$D2=""),OR($E2="report_internal_inconsistency",$E2="plan_material")))</s:formula>
    </s:cfRule>
  </s:conditionalFormatting>
  <s:conditionalFormatting sqref="L2:L9">
    <s:cfRule type="expression" priority="6" dxfId="106">
      <s:formula>NOT(AND(OR($D2="retain",$D2=""),$E2="protocol_report"))</s:formula>
    </s:cfRule>
  </s:conditionalFormatting>
  <s:dataValidations count="8">
    <s:dataValidation sqref="D2:D9" showDropDown="0" showInputMessage="0" showErrorMessage="1" allowBlank="1" errorTitle="Use an allowed option" error="Choose an option from the list; see Codebook." type="list" errorStyle="stop">
      <s:formula1>"retain,exclude,discuss"</s:formula1>
    </s:dataValidation>
    <s:dataValidation sqref="E2:E9"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9" showDropDown="0" showInputMessage="0" showErrorMessage="1" allowBlank="1" errorTitle="Use an allowed option" error="Choose an option from the list; see Codebook." type="list" errorStyle="stop">
      <s:formula1>"no,primary_done"</s:formula1>
    </s:dataValidation>
    <s:dataValidation sqref="H2:H9"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9"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9" showDropDown="0" showInputMessage="0" showErrorMessage="1" allowBlank="1" errorTitle="Use an allowed option" error="Choose an option from the list; see Codebook." type="list" errorStyle="stop">
      <s:formula1>"direct,possible,unlikely,unknown,not_applicable"</s:formula1>
    </s:dataValidation>
    <s:dataValidation sqref="K2:K9"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9"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2" tooltip="Read embedded evidence; filter by candidate key"/>
    <s:hyperlink ref="A3" location="'Evidence'!A6" tooltip="Read embedded evidence; filter by candidate key"/>
    <s:hyperlink ref="A4" location="'Evidence'!A10" tooltip="Read embedded evidence; filter by candidate key"/>
    <s:hyperlink ref="A5" location="'Evidence'!A14" tooltip="Read embedded evidence; filter by candidate key"/>
    <s:hyperlink ref="A6" location="'Evidence'!A18" tooltip="Read embedded evidence; filter by candidate key"/>
    <s:hyperlink ref="A7" location="'Evidence'!A22" tooltip="Read embedded evidence; filter by candidate key"/>
    <s:hyperlink ref="A8" location="'Evidence'!A26" tooltip="Read embedded evidence; filter by candidate key"/>
    <s:hyperlink ref="A9" location="'Evidence'!A30" tooltip="Read embedded evidence; filter by candidate key"/>
  </s:hyperlinks>
  <s:pageMargins left="0.7" right="0.7" top="0.75" bottom="0.75" header="0.3" footer="0.3"/>
</s:worksheet>
</file>

<file path=xl/worksheets/sheet6.xml><?xml version="1.0" encoding="utf-8"?>
<s:worksheet xmlns:s="http://schemas.openxmlformats.org/spreadsheetml/2006/main">
  <s:sheetPr>
    <s:outlinePr summaryBelow="1" summaryRight="1"/>
    <s:pageSetUpPr/>
  </s:sheetPr>
  <s:dimension ref="A1:R9"/>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2025::jama.2024.27643::C001</s:t>
        </s:is>
      </s:c>
      <s:c r="B2" s="12" t="inlineStr">
        <s:is>
          <s:t>Shared-placebo race missingness does not reconcile with the printed denominator</s:t>
        </s:is>
      </s:c>
      <s:c r="C2" s="12" t="inlineStr">
        <s:is>
          <s:t>jama_berry_2025_oi_240158_1742927563.7361.pdf — Table 1 and footnote b, PDF p. 6</s:t>
        </s:is>
      </s:c>
      <s:c r="D2" s="7" t="inlineStr">
        <s:is>
          <s:t>retain</s:t>
        </s:is>
      </s:c>
      <s:c r="E2" s="7" t="inlineStr">
        <s:is>
          <s:t>statistical_results</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inlineStr">
        <s:is>
          <s:t>confirmed_issue</s:t>
        </s:is>
      </s:c>
      <s:c r="I2" s="7" t="inlineStr">
        <s:is>
          <s:t>substantive</s:t>
        </s:is>
      </s:c>
      <s:c r="J2" s="13" t="n"/>
      <s:c r="K2" s="7" t="n"/>
      <s:c r="L2" s="13" t="n"/>
      <s:c r="M2" s="19" t="n"/>
      <s:c r="N2" s="19" t="n"/>
      <s:c r="O2" s="19" t="n"/>
      <s:c r="P2" s="19" t="n"/>
      <s:c r="Q2" s="19" t="n"/>
      <s:c r="R2" s="13" t="inlineStr">
        <s:is>
          <s:t>TEST 2025::jama.2024.27643::C001</s:t>
        </s:is>
      </s:c>
    </s:row>
    <s:row r="3" ht="92" customFormat="1" customHeight="1" s="8">
      <s:c r="A3" s="11" t="inlineStr">
        <s:is>
          <s:t>2025::jama.2024.27643::C002</s:t>
        </s:is>
      </s:c>
      <s:c r="B3" s="11" t="inlineStr">
        <s:is>
          <s:t>SVC values have incompatible monthly-rate and 24-week-change labels</s:t>
        </s:is>
      </s:c>
      <s:c r="C3" s="11" t="inlineStr">
        <s:is>
          <s:t>jama_berry_2025_oi_240158_1742927563.7361.pdf — Secondary Efficacy Outcomes, PDF p. 4; joi240158supp3_prod_1742927563.7911.pdf — eTable 3A, PDF p. 16</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2025::jama.2024.27643::C002</s:t>
        </s:is>
      </s:c>
    </s:row>
    <s:row r="4" ht="92" customFormat="1" customHeight="1" s="8">
      <s:c r="A4" s="12" t="inlineStr">
        <s:is>
          <s:t>2025::jama.2024.27643::C003</s:t>
        </s:is>
      </s:c>
      <s:c r="B4" s="12" t="inlineStr">
        <s:is>
          <s:t>Shared-placebo ALSFRS-R credible-interval endpoints differ for the cited primary model</s:t>
        </s:is>
      </s:c>
      <s:c r="C4" s="12" t="inlineStr">
        <s:is>
          <s:t>jama_berry_2025_oi_240158_1742927563.7361.pdf — Primary Efficacy Outcome, PDF p. 4; joi240158supp3_prod_1742927563.7911.pdf — eTable 2, PDF p. 15</s:t>
        </s:is>
      </s:c>
      <s:c r="D4" s="7" t="inlineStr">
        <s:is>
          <s:t>retain</s:t>
        </s:is>
      </s:c>
      <s:c r="E4" s="7" t="inlineStr">
        <s:is>
          <s:t>report_internal_inconsistency</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2025::jama.2024.27643::C003</s:t>
        </s:is>
      </s:c>
    </s:row>
    <s:row r="5" ht="92" customFormat="1" customHeight="1" s="8">
      <s:c r="A5" s="11" t="inlineStr">
        <s:is>
          <s:t>2025::jama.2024.27643::C004</s:t>
        </s:is>
      </s:c>
      <s:c r="B5" s="11" t="inlineStr">
        <s:is>
          <s:t>Pooled-active ALSFRS-R credible-interval endpoints differ for the cited primary model</s:t>
        </s:is>
      </s:c>
      <s:c r="C5" s="11" t="inlineStr">
        <s:is>
          <s:t>jama_berry_2025_oi_240158_1742927563.7361.pdf — Primary Efficacy Outcome, PDF p. 4; joi240158supp3_prod_1742927563.7911.pdf — eTable 2, PDF p. 15</s:t>
        </s:is>
      </s:c>
      <s:c r="D5" s="7" t="inlineStr">
        <s:is>
          <s:t>retain</s:t>
        </s:is>
      </s:c>
      <s:c r="E5" s="7" t="inlineStr">
        <s:is>
          <s:t>report_internal_inconsistency</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inlineStr">
        <s:is>
          <s:t>substantive_inconsistency</s:t>
        </s:is>
      </s:c>
      <s:c r="L5" s="13" t="n"/>
      <s:c r="M5" s="19" t="n"/>
      <s:c r="N5" s="19" t="n"/>
      <s:c r="O5" s="19" t="n"/>
      <s:c r="P5" s="19" t="n"/>
      <s:c r="Q5" s="19" t="n"/>
      <s:c r="R5" s="13" t="inlineStr">
        <s:is>
          <s:t>TEST 2025::jama.2024.27643::C004</s:t>
        </s:is>
      </s:c>
    </s:row>
    <s:row r="6" ht="92" customFormat="1" customHeight="1" s="8">
      <s:c r="A6" s="12" t="inlineStr">
        <s:is>
          <s:t>2025::jama.2024.27643::C005</s:t>
        </s:is>
      </s:c>
      <s:c r="B6" s="12" t="inlineStr">
        <s:is>
          <s:t>Bayesian mortality event rates differ between article text and cited eTable 2</s:t>
        </s:is>
      </s:c>
      <s:c r="C6" s="12" t="inlineStr">
        <s:is>
          <s:t>jama_berry_2025_oi_240158_1742927563.7361.pdf — Primary Efficacy Outcome, PDF p. 4; joi240158supp3_prod_1742927563.7911.pdf — eTable 2, PDF p. 15</s:t>
        </s:is>
      </s:c>
      <s:c r="D6" s="7" t="inlineStr">
        <s:is>
          <s:t>retain</s:t>
        </s:is>
      </s:c>
      <s:c r="E6" s="7" t="inlineStr">
        <s:is>
          <s:t>report_internal_inconsistency</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2025::jama.2024.27643::C005</s:t>
        </s:is>
      </s:c>
    </s:row>
    <s:row r="7" ht="92" customFormat="1" customHeight="1" s="8">
      <s:c r="A7" s="11" t="inlineStr">
        <s:is>
          <s:t>2025::jama.2024.27643::C006</s:t>
        </s:is>
      </s:c>
      <s:c r="B7" s="11" t="inlineStr">
        <s:is>
          <s:t>Plasma NfL confidence intervals differ across Figure 3, narrative, and eTable 3B</s:t>
        </s:is>
      </s:c>
      <s:c r="C7" s="11" t="inlineStr">
        <s:is>
          <s:t>jama_berry_2025_oi_240158_1742927563.7361.pdf — Figure 3 and Biomarker Analyses, PDF p. 8; joi240158supp3_prod_1742927563.7911.pdf — eTable 3B, PDF p. 17</s:t>
        </s:is>
      </s:c>
      <s:c r="D7" s="7" t="inlineStr">
        <s:is>
          <s:t>retain</s:t>
        </s:is>
      </s:c>
      <s:c r="E7" s="7" t="inlineStr">
        <s:is>
          <s:t>report_internal_inconsistency</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2025::jama.2024.27643::C006</s:t>
        </s:is>
      </s:c>
    </s:row>
    <s:row r="8" ht="92" customFormat="1" customHeight="1" s="8">
      <s:c r="A8" s="12" t="inlineStr">
        <s:is>
          <s:t>2025::jama.2024.27643::C007</s:t>
        </s:is>
      </s:c>
      <s:c r="B8" s="12" t="inlineStr">
        <s:is>
          <s:t>Serum NfL regimen-only values and contrast differ across displays</s:t>
        </s:is>
      </s:c>
      <s:c r="C8" s="12" t="inlineStr">
        <s:is>
          <s:t>jama_berry_2025_oi_240158_1742927563.7361.pdf — Figure 3 and Biomarker Analyses, PDF p. 8; joi240158supp3_prod_1742927563.7911.pdf — eTable 3B, PDF p. 17</s:t>
        </s:is>
      </s:c>
      <s:c r="D8" s="7" t="inlineStr">
        <s:is>
          <s:t>retain</s:t>
        </s:is>
      </s:c>
      <s:c r="E8" s="7" t="inlineStr">
        <s:is>
          <s:t>report_internal_inconsistency</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inlineStr">
        <s:is>
          <s:t>substantive_inconsistency</s:t>
        </s:is>
      </s:c>
      <s:c r="L8" s="13" t="n"/>
      <s:c r="M8" s="19" t="n"/>
      <s:c r="N8" s="19" t="n"/>
      <s:c r="O8" s="19" t="n"/>
      <s:c r="P8" s="19" t="n"/>
      <s:c r="Q8" s="19" t="n"/>
      <s:c r="R8" s="13" t="inlineStr">
        <s:is>
          <s:t>TEST 2025::jama.2024.27643::C007</s:t>
        </s:is>
      </s:c>
    </s:row>
    <s:row r="9" ht="92" customFormat="1" customHeight="1" s="8">
      <s:c r="A9" s="11" t="inlineStr">
        <s:is>
          <s:t>2025::jama.2024.27643::C008</s:t>
        </s:is>
      </s:c>
      <s:c r="B9" s="11" t="inlineStr">
        <s:is>
          <s:t>Discussion total of 13 events conflicts with the 14 events displayed in Table 2</s:t>
        </s:is>
      </s:c>
      <s:c r="C9" s="11" t="inlineStr">
        <s:is>
          <s:t>jama_berry_2025_oi_240158_1742927563.7361.pdf — Table 2, PDF p. 7; jama_berry_2025_oi_240158_1742927563.7361.pdf — Discussion, PDF p. 9</s:t>
        </s:is>
      </s:c>
      <s:c r="D9" s="7" t="inlineStr">
        <s:is>
          <s:t>retain</s:t>
        </s:is>
      </s:c>
      <s:c r="E9" s="7" t="inlineStr">
        <s:is>
          <s:t>statistical_results</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inlineStr">
        <s:is>
          <s:t>confirmed_issue</s:t>
        </s:is>
      </s:c>
      <s:c r="I9" s="7" t="inlineStr">
        <s:is>
          <s:t>substantive</s:t>
        </s:is>
      </s:c>
      <s:c r="J9" s="13" t="n"/>
      <s:c r="K9" s="7" t="n"/>
      <s:c r="L9" s="13" t="n"/>
      <s:c r="M9" s="19" t="n"/>
      <s:c r="N9" s="19" t="n"/>
      <s:c r="O9" s="19" t="n"/>
      <s:c r="P9" s="19" t="n"/>
      <s:c r="Q9" s="19" t="n"/>
      <s:c r="R9" s="13" t="inlineStr">
        <s:is>
          <s:t>TEST 2025::jama.2024.27643::C008</s:t>
        </s:is>
      </s:c>
    </s:row>
  </s:sheetData>
  <s:autoFilter ref="A1:R9"/>
  <s:conditionalFormatting sqref="G2:G9">
    <s:cfRule type="expression" priority="1" dxfId="105">
      <s:formula>G2&lt;&gt;"PRIMARY READY"</s:formula>
    </s:cfRule>
  </s:conditionalFormatting>
  <s:conditionalFormatting sqref="H2:H9">
    <s:cfRule type="expression" priority="2" dxfId="106">
      <s:formula>NOT(AND(OR($D2="retain",$D2=""),$E2="statistical_results"))</s:formula>
    </s:cfRule>
  </s:conditionalFormatting>
  <s:conditionalFormatting sqref="I2:I9">
    <s:cfRule type="expression" priority="3" dxfId="106">
      <s:formula>NOT(AND(OR($D2="retain",$D2=""),$E2="statistical_results"))</s:formula>
    </s:cfRule>
  </s:conditionalFormatting>
  <s:conditionalFormatting sqref="J2:J9">
    <s:cfRule type="expression" priority="4" dxfId="106">
      <s:formula>NOT(AND(OR($D2="retain",$D2=""),$E2="statistical_results"))</s:formula>
    </s:cfRule>
  </s:conditionalFormatting>
  <s:conditionalFormatting sqref="K2:K9">
    <s:cfRule type="expression" priority="5" dxfId="106">
      <s:formula>NOT(AND(OR($D2="retain",$D2=""),OR($E2="report_internal_inconsistency",$E2="plan_material")))</s:formula>
    </s:cfRule>
  </s:conditionalFormatting>
  <s:conditionalFormatting sqref="L2:L9">
    <s:cfRule type="expression" priority="6" dxfId="106">
      <s:formula>NOT(AND(OR($D2="retain",$D2=""),$E2="protocol_report"))</s:formula>
    </s:cfRule>
  </s:conditionalFormatting>
  <s:dataValidations count="8">
    <s:dataValidation sqref="D2:D9" showDropDown="0" showInputMessage="0" showErrorMessage="1" allowBlank="1" errorTitle="Use an allowed option" error="Choose an option from the list; see Codebook." type="list" errorStyle="stop">
      <s:formula1>"retain,exclude,discuss"</s:formula1>
    </s:dataValidation>
    <s:dataValidation sqref="E2:E9"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9" showDropDown="0" showInputMessage="0" showErrorMessage="1" allowBlank="1" errorTitle="Use an allowed option" error="Choose an option from the list; see Codebook." type="list" errorStyle="stop">
      <s:formula1>"no,primary_done"</s:formula1>
    </s:dataValidation>
    <s:dataValidation sqref="H2:H9"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9"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9" showDropDown="0" showInputMessage="0" showErrorMessage="1" allowBlank="1" errorTitle="Use an allowed option" error="Choose an option from the list; see Codebook." type="list" errorStyle="stop">
      <s:formula1>"direct,possible,unlikely,unknown,not_applicable"</s:formula1>
    </s:dataValidation>
    <s:dataValidation sqref="K2:K9"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9"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34" tooltip="Read embedded evidence; filter by candidate key"/>
    <s:hyperlink ref="A3" location="'Evidence'!A38" tooltip="Read embedded evidence; filter by candidate key"/>
    <s:hyperlink ref="A4" location="'Evidence'!A42" tooltip="Read embedded evidence; filter by candidate key"/>
    <s:hyperlink ref="A5" location="'Evidence'!A46" tooltip="Read embedded evidence; filter by candidate key"/>
    <s:hyperlink ref="A6" location="'Evidence'!A50" tooltip="Read embedded evidence; filter by candidate key"/>
    <s:hyperlink ref="A7" location="'Evidence'!A54" tooltip="Read embedded evidence; filter by candidate key"/>
    <s:hyperlink ref="A8" location="'Evidence'!A58" tooltip="Read embedded evidence; filter by candidate key"/>
    <s:hyperlink ref="A9" location="'Evidence'!A62" tooltip="Read embedded evidence; filter by candidate key"/>
  </s:hyperlinks>
  <s:pageMargins left="0.7" right="0.7" top="0.75" bottom="0.75" header="0.3" footer="0.3"/>
</s:worksheet>
</file>

<file path=xl/worksheets/sheet7.xml><?xml version="1.0" encoding="utf-8"?>
<s:worksheet xmlns:s="http://schemas.openxmlformats.org/spreadsheetml/2006/main">
  <s:sheetPr>
    <s:outlinePr summaryBelow="1" summaryRight="1"/>
    <s:pageSetUpPr/>
  </s:sheetPr>
  <s:dimension ref="A1:R38"/>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2025::jama.2025.11178::C001</s:t>
        </s:is>
      </s:c>
      <s:c r="B2" s="12" t="inlineStr">
        <s:is>
          <s:t>Conditional Figure 1 further-ineligibility component subtotal gap</s:t>
        </s:is>
      </s:c>
      <s:c r="C2" s="12" t="inlineStr">
        <s:is>
          <s:t>main article — PDF p. 5, Figure 1, “4481 Ineligible.”</s:t>
        </s:is>
      </s:c>
      <s:c r="D2" s="7" t="inlineStr">
        <s:is>
          <s:t>retain</s:t>
        </s:is>
      </s:c>
      <s:c r="E2" s="7" t="inlineStr">
        <s:is>
          <s:t>statistical_results</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inlineStr">
        <s:is>
          <s:t>confirmed_issue</s:t>
        </s:is>
      </s:c>
      <s:c r="I2" s="7" t="inlineStr">
        <s:is>
          <s:t>substantive</s:t>
        </s:is>
      </s:c>
      <s:c r="J2" s="13" t="n"/>
      <s:c r="K2" s="7" t="n"/>
      <s:c r="L2" s="13" t="n"/>
      <s:c r="M2" s="19" t="n"/>
      <s:c r="N2" s="19" t="n"/>
      <s:c r="O2" s="19" t="n"/>
      <s:c r="P2" s="19" t="n"/>
      <s:c r="Q2" s="19" t="n"/>
      <s:c r="R2" s="13" t="inlineStr">
        <s:is>
          <s:t>TEST 2025::jama.2025.11178::C001</s:t>
        </s:is>
      </s:c>
    </s:row>
    <s:row r="3" ht="92" customFormat="1" customHeight="1" s="8">
      <s:c r="A3" s="11" t="inlineStr">
        <s:is>
          <s:t>2025::jama.2025.11178::C002</s:t>
        </s:is>
      </s:c>
      <s:c r="B3" s="11" t="inlineStr">
        <s:is>
          <s:t>Overall eTable 1 follow-up-pattern partition</s:t>
        </s:is>
      </s:c>
      <s:c r="C3" s="11" t="inlineStr">
        <s:is>
          <s:t>results supplement — PDF p. 7, eTable 1, Overall column.</s:t>
        </s:is>
      </s:c>
      <s:c r="D3" s="7" t="inlineStr">
        <s:is>
          <s:t>retain</s:t>
        </s:is>
      </s:c>
      <s:c r="E3" s="7" t="inlineStr">
        <s:is>
          <s:t>statistical_results</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inlineStr">
        <s:is>
          <s:t>confirmed_issue</s:t>
        </s:is>
      </s:c>
      <s:c r="I3" s="7" t="inlineStr">
        <s:is>
          <s:t>substantive</s:t>
        </s:is>
      </s:c>
      <s:c r="J3" s="13" t="n"/>
      <s:c r="K3" s="7" t="n"/>
      <s:c r="L3" s="13" t="n"/>
      <s:c r="M3" s="19" t="n"/>
      <s:c r="N3" s="19" t="n"/>
      <s:c r="O3" s="19" t="n"/>
      <s:c r="P3" s="19" t="n"/>
      <s:c r="Q3" s="19" t="n"/>
      <s:c r="R3" s="13" t="inlineStr">
        <s:is>
          <s:t>TEST 2025::jama.2025.11178::C002</s:t>
        </s:is>
      </s:c>
    </s:row>
    <s:row r="4" ht="92" customFormat="1" customHeight="1" s="8">
      <s:c r="A4" s="12" t="inlineStr">
        <s:is>
          <s:t>2025::jama.2025.11178::C003</s:t>
        </s:is>
      </s:c>
      <s:c r="B4" s="12" t="inlineStr">
        <s:is>
          <s:t>painTRAINER eTable 1 follow-up-pattern partition</s:t>
        </s:is>
      </s:c>
      <s:c r="C4" s="12" t="inlineStr">
        <s:is>
          <s:t>results supplement — PDF p. 7, eTable 1, painTRAINER column.</s:t>
        </s:is>
      </s:c>
      <s:c r="D4" s="7" t="inlineStr">
        <s:is>
          <s:t>retain</s:t>
        </s:is>
      </s:c>
      <s:c r="E4" s="7" t="inlineStr">
        <s:is>
          <s:t>statistical_results</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inlineStr">
        <s:is>
          <s:t>confirmed_issue</s:t>
        </s:is>
      </s:c>
      <s:c r="I4" s="7" t="inlineStr">
        <s:is>
          <s:t>substantive</s:t>
        </s:is>
      </s:c>
      <s:c r="J4" s="13" t="n"/>
      <s:c r="K4" s="7" t="n"/>
      <s:c r="L4" s="13" t="n"/>
      <s:c r="M4" s="19" t="n"/>
      <s:c r="N4" s="19" t="n"/>
      <s:c r="O4" s="19" t="n"/>
      <s:c r="P4" s="19" t="n"/>
      <s:c r="Q4" s="19" t="n"/>
      <s:c r="R4" s="13" t="inlineStr">
        <s:is>
          <s:t>TEST 2025::jama.2025.11178::C003</s:t>
        </s:is>
      </s:c>
    </s:row>
    <s:row r="5" ht="92" customFormat="1" customHeight="1" s="8">
      <s:c r="A5" s="11" t="inlineStr">
        <s:is>
          <s:t>2025::jama.2025.11178::C004</s:t>
        </s:is>
      </s:c>
      <s:c r="B5" s="11" t="inlineStr">
        <s:is>
          <s:t>Health Coach eTable 1 follow-up-pattern partition</s:t>
        </s:is>
      </s:c>
      <s:c r="C5" s="11" t="inlineStr">
        <s:is>
          <s:t>results supplement — PDF p. 7, eTable 1, Health Coach column.</s:t>
        </s:is>
      </s:c>
      <s:c r="D5" s="7" t="inlineStr">
        <s:is>
          <s:t>retain</s:t>
        </s:is>
      </s:c>
      <s:c r="E5" s="7" t="inlineStr">
        <s:is>
          <s:t>statistical_results</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inlineStr">
        <s:is>
          <s:t>confirmed_issue</s:t>
        </s:is>
      </s:c>
      <s:c r="I5" s="7" t="inlineStr">
        <s:is>
          <s:t>substantive</s:t>
        </s:is>
      </s:c>
      <s:c r="J5" s="13" t="n"/>
      <s:c r="K5" s="7" t="n"/>
      <s:c r="L5" s="13" t="n"/>
      <s:c r="M5" s="19" t="n"/>
      <s:c r="N5" s="19" t="n"/>
      <s:c r="O5" s="19" t="n"/>
      <s:c r="P5" s="19" t="n"/>
      <s:c r="Q5" s="19" t="n"/>
      <s:c r="R5" s="13" t="inlineStr">
        <s:is>
          <s:t>TEST 2025::jama.2025.11178::C004</s:t>
        </s:is>
      </s:c>
    </s:row>
    <s:row r="6" ht="92" customFormat="1" customHeight="1" s="8">
      <s:c r="A6" s="12" t="inlineStr">
        <s:is>
          <s:t>2025::jama.2025.11178::C005</s:t>
        </s:is>
      </s:c>
      <s:c r="B6" s="12" t="inlineStr">
        <s:is>
          <s:t>Workbook current-depression percentage incompatible with its count</s:t>
        </s:is>
      </s:c>
      <s:c r="C6" s="12" t="inlineStr">
        <s:is>
          <s:t>workbook, worksheet eTable 3, cells A82:E83 and E2:E3.</s:t>
        </s:is>
      </s:c>
      <s:c r="D6" s="7" t="inlineStr">
        <s:is>
          <s:t>retain</s:t>
        </s:is>
      </s:c>
      <s:c r="E6" s="7" t="inlineStr">
        <s:is>
          <s:t>statistical_results</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inlineStr">
        <s:is>
          <s:t>confirmed_issue</s:t>
        </s:is>
      </s:c>
      <s:c r="I6" s="7" t="inlineStr">
        <s:is>
          <s:t>substantive</s:t>
        </s:is>
      </s:c>
      <s:c r="J6" s="13" t="n"/>
      <s:c r="K6" s="7" t="n"/>
      <s:c r="L6" s="13" t="n"/>
      <s:c r="M6" s="19" t="n"/>
      <s:c r="N6" s="19" t="n"/>
      <s:c r="O6" s="19" t="n"/>
      <s:c r="P6" s="19" t="n"/>
      <s:c r="Q6" s="19" t="n"/>
      <s:c r="R6" s="13" t="inlineStr">
        <s:is>
          <s:t>TEST 2025::jama.2025.11178::C005</s:t>
        </s:is>
      </s:c>
    </s:row>
    <s:row r="7" ht="92" customFormat="1" customHeight="1" s="8">
      <s:c r="A7" s="11" t="inlineStr">
        <s:is>
          <s:t>2025::jama.2025.11178::C006</s:t>
        </s:is>
      </s:c>
      <s:c r="B7" s="11" t="inlineStr">
        <s:is>
          <s:t>Workbook social-role cutoff labeled as mean (SD)</s:t>
        </s:is>
      </s:c>
      <s:c r="C7" s="11" t="inlineStr">
        <s:is>
          <s:t>workbook, worksheet eTable 3, cells A103:E104.</s:t>
        </s:is>
      </s:c>
      <s:c r="D7" s="7" t="inlineStr">
        <s:is>
          <s:t>retain</s:t>
        </s:is>
      </s:c>
      <s:c r="E7" s="7" t="inlineStr">
        <s:is>
          <s:t>report_internal_inconsistency</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2025::jama.2025.11178::C006</s:t>
        </s:is>
      </s:c>
    </s:row>
    <s:row r="8" ht="92" customFormat="1" customHeight="1" s="8">
      <s:c r="A8" s="12" t="inlineStr">
        <s:is>
          <s:t>2025::jama.2025.11178::C007</s:t>
        </s:is>
      </s:c>
      <s:c r="B8" s="12" t="inlineStr">
        <s:is>
          <s:t>Workbook physical-function cutoff labeled as mean (SD)</s:t>
        </s:is>
      </s:c>
      <s:c r="C8" s="12" t="inlineStr">
        <s:is>
          <s:t>workbook, worksheet eTable 3, cells A106:E107.</s:t>
        </s:is>
      </s:c>
      <s:c r="D8" s="7" t="inlineStr">
        <s:is>
          <s:t>retain</s:t>
        </s:is>
      </s:c>
      <s:c r="E8" s="7" t="inlineStr">
        <s:is>
          <s:t>report_internal_inconsistency</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inlineStr">
        <s:is>
          <s:t>substantive_inconsistency</s:t>
        </s:is>
      </s:c>
      <s:c r="L8" s="13" t="n"/>
      <s:c r="M8" s="19" t="n"/>
      <s:c r="N8" s="19" t="n"/>
      <s:c r="O8" s="19" t="n"/>
      <s:c r="P8" s="19" t="n"/>
      <s:c r="Q8" s="19" t="n"/>
      <s:c r="R8" s="13" t="inlineStr">
        <s:is>
          <s:t>TEST 2025::jama.2025.11178::C007</s:t>
        </s:is>
      </s:c>
    </s:row>
    <s:row r="9" ht="92" customFormat="1" customHeight="1" s="8">
      <s:c r="A9" s="11" t="inlineStr">
        <s:is>
          <s:t>2025::jama.2025.11178::C008</s:t>
        </s:is>
      </s:c>
      <s:c r="B9" s="11" t="inlineStr">
        <s:is>
          <s:t>Pain-severity 12-month painTRAINER SMD outside printed CI</s:t>
        </s:is>
      </s:c>
      <s:c r="C9" s="11" t="inlineStr">
        <s:is>
          <s:t>main article — PDF p. 10, Table 3, pain severity 12 months, painTRAINER vs usual care plus SMD.</s:t>
        </s:is>
      </s:c>
      <s:c r="D9" s="7" t="inlineStr">
        <s:is>
          <s:t>retain</s:t>
        </s:is>
      </s:c>
      <s:c r="E9" s="7" t="inlineStr">
        <s:is>
          <s:t>statistical_results</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inlineStr">
        <s:is>
          <s:t>confirmed_issue</s:t>
        </s:is>
      </s:c>
      <s:c r="I9" s="7" t="inlineStr">
        <s:is>
          <s:t>substantive</s:t>
        </s:is>
      </s:c>
      <s:c r="J9" s="13" t="n"/>
      <s:c r="K9" s="7" t="n"/>
      <s:c r="L9" s="13" t="n"/>
      <s:c r="M9" s="19" t="n"/>
      <s:c r="N9" s="19" t="n"/>
      <s:c r="O9" s="19" t="n"/>
      <s:c r="P9" s="19" t="n"/>
      <s:c r="Q9" s="19" t="n"/>
      <s:c r="R9" s="13" t="inlineStr">
        <s:is>
          <s:t>TEST 2025::jama.2025.11178::C008</s:t>
        </s:is>
      </s:c>
    </s:row>
    <s:row r="10" ht="92" customFormat="1" customHeight="1" s="8">
      <s:c r="A10" s="12" t="inlineStr">
        <s:is>
          <s:t>2025::jama.2025.11178::C009</s:t>
        </s:is>
      </s:c>
      <s:c r="B10" s="12" t="inlineStr">
        <s:is>
          <s:t>Pain-severity 12-month Health Coach SMD outside printed CI</s:t>
        </s:is>
      </s:c>
      <s:c r="C10" s="12" t="inlineStr">
        <s:is>
          <s:t>main article — PDF p. 10, Table 3, pain severity 12 months, Health Coach vs usual care plus SMD.</s:t>
        </s:is>
      </s:c>
      <s:c r="D10" s="7" t="inlineStr">
        <s:is>
          <s:t>retain</s:t>
        </s:is>
      </s:c>
      <s:c r="E10" s="7" t="inlineStr">
        <s:is>
          <s:t>statistical_results</s:t>
        </s:is>
      </s:c>
      <s:c r="F10" s="7" t="inlineStr">
        <s:is>
          <s:t>primary_done</s:t>
        </s:is>
      </s:c>
      <s:c r="G10" s="12" t="str">
        <s: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s:f>
        <s:v>PRIMARY READY</s:v>
      </s:c>
      <s:c r="H10" s="7" t="inlineStr">
        <s:is>
          <s:t>confirmed_issue</s:t>
        </s:is>
      </s:c>
      <s:c r="I10" s="7" t="inlineStr">
        <s:is>
          <s:t>substantive</s:t>
        </s:is>
      </s:c>
      <s:c r="J10" s="13" t="n"/>
      <s:c r="K10" s="7" t="n"/>
      <s:c r="L10" s="13" t="n"/>
      <s:c r="M10" s="19" t="n"/>
      <s:c r="N10" s="19" t="n"/>
      <s:c r="O10" s="19" t="n"/>
      <s:c r="P10" s="19" t="n"/>
      <s:c r="Q10" s="19" t="n"/>
      <s:c r="R10" s="13" t="inlineStr">
        <s:is>
          <s:t>TEST 2025::jama.2025.11178::C009</s:t>
        </s:is>
      </s:c>
    </s:row>
    <s:row r="11" ht="92" customFormat="1" customHeight="1" s="8">
      <s:c r="A11" s="11" t="inlineStr">
        <s:is>
          <s:t>2025::jama.2025.11178::C010</s:t>
        </s:is>
      </s:c>
      <s:c r="B11" s="11" t="inlineStr">
        <s:is>
          <s:t>Pain-intensity 12-month Health Coach SMD outside printed CI</s:t>
        </s:is>
      </s:c>
      <s:c r="C11" s="11" t="inlineStr">
        <s:is>
          <s:t>main article — PDF p. 10, Table 3, pain intensity 12 months, Health Coach vs usual care plus SMD.</s:t>
        </s:is>
      </s:c>
      <s:c r="D11" s="7" t="inlineStr">
        <s:is>
          <s:t>retain</s:t>
        </s:is>
      </s:c>
      <s:c r="E11" s="7" t="inlineStr">
        <s:is>
          <s:t>statistical_results</s:t>
        </s:is>
      </s:c>
      <s:c r="F11" s="7" t="inlineStr">
        <s:is>
          <s:t>primary_done</s:t>
        </s:is>
      </s:c>
      <s:c r="G11" s="11" t="str">
        <s: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s:f>
        <s:v>PRIMARY READY</s:v>
      </s:c>
      <s:c r="H11" s="7" t="inlineStr">
        <s:is>
          <s:t>confirmed_issue</s:t>
        </s:is>
      </s:c>
      <s:c r="I11" s="7" t="inlineStr">
        <s:is>
          <s:t>substantive</s:t>
        </s:is>
      </s:c>
      <s:c r="J11" s="13" t="n"/>
      <s:c r="K11" s="7" t="n"/>
      <s:c r="L11" s="13" t="n"/>
      <s:c r="M11" s="19" t="n"/>
      <s:c r="N11" s="19" t="n"/>
      <s:c r="O11" s="19" t="n"/>
      <s:c r="P11" s="19" t="n"/>
      <s:c r="Q11" s="19" t="n"/>
      <s:c r="R11" s="13" t="inlineStr">
        <s:is>
          <s:t>TEST 2025::jama.2025.11178::C010</s:t>
        </s:is>
      </s:c>
    </s:row>
    <s:row r="12" ht="92" customFormat="1" customHeight="1" s="8">
      <s:c r="A12" s="12" t="inlineStr">
        <s:is>
          <s:t>2025::jama.2025.11178::C011</s:t>
        </s:is>
      </s:c>
      <s:c r="B12" s="12" t="inlineStr">
        <s:is>
          <s:t>Pain-interference 12-month painTRAINER SMD outside printed CI</s:t>
        </s:is>
      </s:c>
      <s:c r="C12" s="12" t="inlineStr">
        <s:is>
          <s:t>main article — PDF p. 10, Table 3, interference 12 months, painTRAINER vs usual care plus SMD.</s:t>
        </s:is>
      </s:c>
      <s:c r="D12" s="7" t="inlineStr">
        <s:is>
          <s:t>retain</s:t>
        </s:is>
      </s:c>
      <s:c r="E12" s="7" t="inlineStr">
        <s:is>
          <s:t>statistical_results</s:t>
        </s:is>
      </s:c>
      <s:c r="F12" s="7" t="inlineStr">
        <s:is>
          <s:t>primary_done</s:t>
        </s:is>
      </s:c>
      <s:c r="G12" s="12" t="str">
        <s: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s:f>
        <s:v>PRIMARY READY</s:v>
      </s:c>
      <s:c r="H12" s="7" t="inlineStr">
        <s:is>
          <s:t>confirmed_issue</s:t>
        </s:is>
      </s:c>
      <s:c r="I12" s="7" t="inlineStr">
        <s:is>
          <s:t>substantive</s:t>
        </s:is>
      </s:c>
      <s:c r="J12" s="13" t="n"/>
      <s:c r="K12" s="7" t="n"/>
      <s:c r="L12" s="13" t="n"/>
      <s:c r="M12" s="19" t="n"/>
      <s:c r="N12" s="19" t="n"/>
      <s:c r="O12" s="19" t="n"/>
      <s:c r="P12" s="19" t="n"/>
      <s:c r="Q12" s="19" t="n"/>
      <s:c r="R12" s="13" t="inlineStr">
        <s:is>
          <s:t>TEST 2025::jama.2025.11178::C011</s:t>
        </s:is>
      </s:c>
    </s:row>
    <s:row r="13" ht="92" customFormat="1" customHeight="1" s="8">
      <s:c r="A13" s="11" t="inlineStr">
        <s:is>
          <s:t>2025::jama.2025.11178::C012</s:t>
        </s:is>
      </s:c>
      <s:c r="B13" s="11" t="inlineStr">
        <s:is>
          <s:t>Pain-interference 12-month Health Coach SMD outside printed CI</s:t>
        </s:is>
      </s:c>
      <s:c r="C13" s="11" t="inlineStr">
        <s:is>
          <s:t>main article — PDF p. 10, Table 3, interference 12 months, Health Coach vs usual care plus SMD.</s:t>
        </s:is>
      </s:c>
      <s:c r="D13" s="7" t="inlineStr">
        <s:is>
          <s:t>retain</s:t>
        </s:is>
      </s:c>
      <s:c r="E13" s="7" t="inlineStr">
        <s:is>
          <s:t>statistical_results</s:t>
        </s:is>
      </s:c>
      <s:c r="F13" s="7" t="inlineStr">
        <s:is>
          <s:t>primary_done</s:t>
        </s:is>
      </s:c>
      <s:c r="G13" s="11" t="str">
        <s: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s:f>
        <s:v>PRIMARY READY</s:v>
      </s:c>
      <s:c r="H13" s="7" t="inlineStr">
        <s:is>
          <s:t>confirmed_issue</s:t>
        </s:is>
      </s:c>
      <s:c r="I13" s="7" t="inlineStr">
        <s:is>
          <s:t>substantive</s:t>
        </s:is>
      </s:c>
      <s:c r="J13" s="13" t="n"/>
      <s:c r="K13" s="7" t="n"/>
      <s:c r="L13" s="13" t="n"/>
      <s:c r="M13" s="19" t="n"/>
      <s:c r="N13" s="19" t="n"/>
      <s:c r="O13" s="19" t="n"/>
      <s:c r="P13" s="19" t="n"/>
      <s:c r="Q13" s="19" t="n"/>
      <s:c r="R13" s="13" t="inlineStr">
        <s:is>
          <s:t>TEST 2025::jama.2025.11178::C012</s:t>
        </s:is>
      </s:c>
    </s:row>
    <s:row r="14" ht="92" customFormat="1" customHeight="1" s="8">
      <s:c r="A14" s="12" t="inlineStr">
        <s:is>
          <s:t>2025::jama.2025.11178::C013</s:t>
        </s:is>
      </s:c>
      <s:c r="B14" s="12" t="inlineStr">
        <s:is>
          <s:t>Social-role 3-month painTRAINER SMD endpoints reversed</s:t>
        </s:is>
      </s:c>
      <s:c r="C14" s="12" t="inlineStr">
        <s:is>
          <s:t>main article — PDF p. 10, Table 3, social role, 3 months, painTRAINER vs usual care plus SMD.</s:t>
        </s:is>
      </s:c>
      <s:c r="D14" s="7" t="inlineStr">
        <s:is>
          <s:t>retain</s:t>
        </s:is>
      </s:c>
      <s:c r="E14" s="7" t="inlineStr">
        <s:is>
          <s:t>statistical_results</s:t>
        </s:is>
      </s:c>
      <s:c r="F14" s="7" t="inlineStr">
        <s:is>
          <s:t>primary_done</s:t>
        </s:is>
      </s:c>
      <s:c r="G14" s="12" t="str">
        <s: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s:f>
        <s:v>PRIMARY READY</s:v>
      </s:c>
      <s:c r="H14" s="7" t="inlineStr">
        <s:is>
          <s:t>confirmed_issue</s:t>
        </s:is>
      </s:c>
      <s:c r="I14" s="7" t="inlineStr">
        <s:is>
          <s:t>substantive</s:t>
        </s:is>
      </s:c>
      <s:c r="J14" s="13" t="n"/>
      <s:c r="K14" s="7" t="n"/>
      <s:c r="L14" s="13" t="n"/>
      <s:c r="M14" s="19" t="n"/>
      <s:c r="N14" s="19" t="n"/>
      <s:c r="O14" s="19" t="n"/>
      <s:c r="P14" s="19" t="n"/>
      <s:c r="Q14" s="19" t="n"/>
      <s:c r="R14" s="13" t="inlineStr">
        <s:is>
          <s:t>TEST 2025::jama.2025.11178::C013</s:t>
        </s:is>
      </s:c>
    </s:row>
    <s:row r="15" ht="92" customFormat="1" customHeight="1" s="8">
      <s:c r="A15" s="11" t="inlineStr">
        <s:is>
          <s:t>2025::jama.2025.11178::C014</s:t>
        </s:is>
      </s:c>
      <s:c r="B15" s="11" t="inlineStr">
        <s:is>
          <s:t>Social-role 3-month Health Coach SMD endpoints reversed</s:t>
        </s:is>
      </s:c>
      <s:c r="C15" s="11" t="inlineStr">
        <s:is>
          <s:t>main article — PDF p. 10, Table 3, social role, 3 months, Health Coach vs usual care plus SMD.</s:t>
        </s:is>
      </s:c>
      <s:c r="D15" s="7" t="inlineStr">
        <s:is>
          <s:t>retain</s:t>
        </s:is>
      </s:c>
      <s:c r="E15" s="7" t="inlineStr">
        <s:is>
          <s:t>statistical_results</s:t>
        </s:is>
      </s:c>
      <s:c r="F15" s="7" t="inlineStr">
        <s:is>
          <s:t>primary_done</s:t>
        </s:is>
      </s:c>
      <s:c r="G15" s="11" t="str">
        <s: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s:f>
        <s:v>PRIMARY READY</s:v>
      </s:c>
      <s:c r="H15" s="7" t="inlineStr">
        <s:is>
          <s:t>confirmed_issue</s:t>
        </s:is>
      </s:c>
      <s:c r="I15" s="7" t="inlineStr">
        <s:is>
          <s:t>substantive</s:t>
        </s:is>
      </s:c>
      <s:c r="J15" s="13" t="n"/>
      <s:c r="K15" s="7" t="n"/>
      <s:c r="L15" s="13" t="n"/>
      <s:c r="M15" s="19" t="n"/>
      <s:c r="N15" s="19" t="n"/>
      <s:c r="O15" s="19" t="n"/>
      <s:c r="P15" s="19" t="n"/>
      <s:c r="Q15" s="19" t="n"/>
      <s:c r="R15" s="13" t="inlineStr">
        <s:is>
          <s:t>TEST 2025::jama.2025.11178::C014</s:t>
        </s:is>
      </s:c>
    </s:row>
    <s:row r="16" ht="92" customFormat="1" customHeight="1" s="8">
      <s:c r="A16" s="12" t="inlineStr">
        <s:is>
          <s:t>2025::jama.2025.11178::C015</s:t>
        </s:is>
      </s:c>
      <s:c r="B16" s="12" t="inlineStr">
        <s:is>
          <s:t>Social-role 3-month Health Coach versus painTRAINER SMD endpoints reversed</s:t>
        </s:is>
      </s:c>
      <s:c r="C16" s="12" t="inlineStr">
        <s:is>
          <s:t>main article — PDF p. 10, Table 3, social role, 3 months, Health Coach vs painTRAINER SMD.</s:t>
        </s:is>
      </s:c>
      <s:c r="D16" s="7" t="inlineStr">
        <s:is>
          <s:t>retain</s:t>
        </s:is>
      </s:c>
      <s:c r="E16" s="7" t="inlineStr">
        <s:is>
          <s:t>statistical_results</s:t>
        </s:is>
      </s:c>
      <s:c r="F16" s="7" t="inlineStr">
        <s:is>
          <s:t>primary_done</s:t>
        </s:is>
      </s:c>
      <s:c r="G16" s="12" t="str">
        <s: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s:f>
        <s:v>PRIMARY READY</s:v>
      </s:c>
      <s:c r="H16" s="7" t="inlineStr">
        <s:is>
          <s:t>confirmed_issue</s:t>
        </s:is>
      </s:c>
      <s:c r="I16" s="7" t="inlineStr">
        <s:is>
          <s:t>substantive</s:t>
        </s:is>
      </s:c>
      <s:c r="J16" s="13" t="n"/>
      <s:c r="K16" s="7" t="n"/>
      <s:c r="L16" s="13" t="n"/>
      <s:c r="M16" s="19" t="n"/>
      <s:c r="N16" s="19" t="n"/>
      <s:c r="O16" s="19" t="n"/>
      <s:c r="P16" s="19" t="n"/>
      <s:c r="Q16" s="19" t="n"/>
      <s:c r="R16" s="13" t="inlineStr">
        <s:is>
          <s:t>TEST 2025::jama.2025.11178::C015</s:t>
        </s:is>
      </s:c>
    </s:row>
    <s:row r="17" ht="92" customFormat="1" customHeight="1" s="8">
      <s:c r="A17" s="11" t="inlineStr">
        <s:is>
          <s:t>2025::jama.2025.11178::C016</s:t>
        </s:is>
      </s:c>
      <s:c r="B17" s="11" t="inlineStr">
        <s:is>
          <s:t>Social-role 6-month painTRAINER SMD endpoints reversed</s:t>
        </s:is>
      </s:c>
      <s:c r="C17" s="11" t="inlineStr">
        <s:is>
          <s:t>main article — PDF p. 10, Table 3, social role, 6 months, painTRAINER vs usual care plus SMD.</s:t>
        </s:is>
      </s:c>
      <s:c r="D17" s="7" t="inlineStr">
        <s:is>
          <s:t>retain</s:t>
        </s:is>
      </s:c>
      <s:c r="E17" s="7" t="inlineStr">
        <s:is>
          <s:t>statistical_results</s:t>
        </s:is>
      </s:c>
      <s:c r="F17" s="7" t="inlineStr">
        <s:is>
          <s:t>primary_done</s:t>
        </s:is>
      </s:c>
      <s:c r="G17" s="11" t="str">
        <s: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s:f>
        <s:v>PRIMARY READY</s:v>
      </s:c>
      <s:c r="H17" s="7" t="inlineStr">
        <s:is>
          <s:t>confirmed_issue</s:t>
        </s:is>
      </s:c>
      <s:c r="I17" s="7" t="inlineStr">
        <s:is>
          <s:t>substantive</s:t>
        </s:is>
      </s:c>
      <s:c r="J17" s="13" t="n"/>
      <s:c r="K17" s="7" t="n"/>
      <s:c r="L17" s="13" t="n"/>
      <s:c r="M17" s="19" t="n"/>
      <s:c r="N17" s="19" t="n"/>
      <s:c r="O17" s="19" t="n"/>
      <s:c r="P17" s="19" t="n"/>
      <s:c r="Q17" s="19" t="n"/>
      <s:c r="R17" s="13" t="inlineStr">
        <s:is>
          <s:t>TEST 2025::jama.2025.11178::C016</s:t>
        </s:is>
      </s:c>
    </s:row>
    <s:row r="18" ht="92" customFormat="1" customHeight="1" s="8">
      <s:c r="A18" s="12" t="inlineStr">
        <s:is>
          <s:t>2025::jama.2025.11178::C017</s:t>
        </s:is>
      </s:c>
      <s:c r="B18" s="12" t="inlineStr">
        <s:is>
          <s:t>Social-role 6-month Health Coach SMD endpoints reversed</s:t>
        </s:is>
      </s:c>
      <s:c r="C18" s="12" t="inlineStr">
        <s:is>
          <s:t>main article — PDF p. 10, Table 3, social role, 6 months, Health Coach vs usual care plus SMD.</s:t>
        </s:is>
      </s:c>
      <s:c r="D18" s="7" t="inlineStr">
        <s:is>
          <s:t>retain</s:t>
        </s:is>
      </s:c>
      <s:c r="E18" s="7" t="inlineStr">
        <s:is>
          <s:t>statistical_results</s:t>
        </s:is>
      </s:c>
      <s:c r="F18" s="7" t="inlineStr">
        <s:is>
          <s:t>primary_done</s:t>
        </s:is>
      </s:c>
      <s:c r="G18" s="12" t="str">
        <s: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s:f>
        <s:v>PRIMARY READY</s:v>
      </s:c>
      <s:c r="H18" s="7" t="inlineStr">
        <s:is>
          <s:t>confirmed_issue</s:t>
        </s:is>
      </s:c>
      <s:c r="I18" s="7" t="inlineStr">
        <s:is>
          <s:t>substantive</s:t>
        </s:is>
      </s:c>
      <s:c r="J18" s="13" t="n"/>
      <s:c r="K18" s="7" t="n"/>
      <s:c r="L18" s="13" t="n"/>
      <s:c r="M18" s="19" t="n"/>
      <s:c r="N18" s="19" t="n"/>
      <s:c r="O18" s="19" t="n"/>
      <s:c r="P18" s="19" t="n"/>
      <s:c r="Q18" s="19" t="n"/>
      <s:c r="R18" s="13" t="inlineStr">
        <s:is>
          <s:t>TEST 2025::jama.2025.11178::C017</s:t>
        </s:is>
      </s:c>
    </s:row>
    <s:row r="19" ht="92" customFormat="1" customHeight="1" s="8">
      <s:c r="A19" s="11" t="inlineStr">
        <s:is>
          <s:t>2025::jama.2025.11178::C018</s:t>
        </s:is>
      </s:c>
      <s:c r="B19" s="11" t="inlineStr">
        <s:is>
          <s:t>Social-role 6-month Health Coach versus painTRAINER SMD endpoints reversed</s:t>
        </s:is>
      </s:c>
      <s:c r="C19" s="11" t="inlineStr">
        <s:is>
          <s:t>main article — PDF p. 10, Table 3, social role, 6 months, Health Coach vs painTRAINER SMD.</s:t>
        </s:is>
      </s:c>
      <s:c r="D19" s="7" t="inlineStr">
        <s:is>
          <s:t>retain</s:t>
        </s:is>
      </s:c>
      <s:c r="E19" s="7" t="inlineStr">
        <s:is>
          <s:t>statistical_results</s:t>
        </s:is>
      </s:c>
      <s:c r="F19" s="7" t="inlineStr">
        <s:is>
          <s:t>primary_done</s:t>
        </s:is>
      </s:c>
      <s:c r="G19" s="11" t="str">
        <s: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s:f>
        <s:v>PRIMARY READY</s:v>
      </s:c>
      <s:c r="H19" s="7" t="inlineStr">
        <s:is>
          <s:t>confirmed_issue</s:t>
        </s:is>
      </s:c>
      <s:c r="I19" s="7" t="inlineStr">
        <s:is>
          <s:t>substantive</s:t>
        </s:is>
      </s:c>
      <s:c r="J19" s="13" t="n"/>
      <s:c r="K19" s="7" t="n"/>
      <s:c r="L19" s="13" t="n"/>
      <s:c r="M19" s="19" t="n"/>
      <s:c r="N19" s="19" t="n"/>
      <s:c r="O19" s="19" t="n"/>
      <s:c r="P19" s="19" t="n"/>
      <s:c r="Q19" s="19" t="n"/>
      <s:c r="R19" s="13" t="inlineStr">
        <s:is>
          <s:t>TEST 2025::jama.2025.11178::C018</s:t>
        </s:is>
      </s:c>
    </s:row>
    <s:row r="20" ht="92" customFormat="1" customHeight="1" s="8">
      <s:c r="A20" s="12" t="inlineStr">
        <s:is>
          <s:t>2025::jama.2025.11178::C019</s:t>
        </s:is>
      </s:c>
      <s:c r="B20" s="12" t="inlineStr">
        <s:is>
          <s:t>Social-role 12-month painTRAINER SMD endpoints reversed</s:t>
        </s:is>
      </s:c>
      <s:c r="C20" s="12" t="inlineStr">
        <s:is>
          <s:t>main article — PDF p. 10, Table 3, social role, 12 months, painTRAINER vs usual care plus SMD.</s:t>
        </s:is>
      </s:c>
      <s:c r="D20" s="7" t="inlineStr">
        <s:is>
          <s:t>retain</s:t>
        </s:is>
      </s:c>
      <s:c r="E20" s="7" t="inlineStr">
        <s:is>
          <s:t>statistical_results</s:t>
        </s:is>
      </s:c>
      <s:c r="F20" s="7" t="inlineStr">
        <s:is>
          <s:t>primary_done</s:t>
        </s:is>
      </s:c>
      <s:c r="G20" s="12" t="str">
        <s: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s:f>
        <s:v>PRIMARY READY</s:v>
      </s:c>
      <s:c r="H20" s="7" t="inlineStr">
        <s:is>
          <s:t>confirmed_issue</s:t>
        </s:is>
      </s:c>
      <s:c r="I20" s="7" t="inlineStr">
        <s:is>
          <s:t>substantive</s:t>
        </s:is>
      </s:c>
      <s:c r="J20" s="13" t="n"/>
      <s:c r="K20" s="7" t="n"/>
      <s:c r="L20" s="13" t="n"/>
      <s:c r="M20" s="19" t="n"/>
      <s:c r="N20" s="19" t="n"/>
      <s:c r="O20" s="19" t="n"/>
      <s:c r="P20" s="19" t="n"/>
      <s:c r="Q20" s="19" t="n"/>
      <s:c r="R20" s="13" t="inlineStr">
        <s:is>
          <s:t>TEST 2025::jama.2025.11178::C019</s:t>
        </s:is>
      </s:c>
    </s:row>
    <s:row r="21" ht="92" customFormat="1" customHeight="1" s="8">
      <s:c r="A21" s="11" t="inlineStr">
        <s:is>
          <s:t>2025::jama.2025.11178::C020</s:t>
        </s:is>
      </s:c>
      <s:c r="B21" s="11" t="inlineStr">
        <s:is>
          <s:t>Social-role 12-month Health Coach SMD endpoints reversed</s:t>
        </s:is>
      </s:c>
      <s:c r="C21" s="11" t="inlineStr">
        <s:is>
          <s:t>main article — PDF p. 10, Table 3, social role, 12 months, Health Coach vs usual care plus SMD.</s:t>
        </s:is>
      </s:c>
      <s:c r="D21" s="7" t="inlineStr">
        <s:is>
          <s:t>retain</s:t>
        </s:is>
      </s:c>
      <s:c r="E21" s="7" t="inlineStr">
        <s:is>
          <s:t>statistical_results</s:t>
        </s:is>
      </s:c>
      <s:c r="F21" s="7" t="inlineStr">
        <s:is>
          <s:t>primary_done</s:t>
        </s:is>
      </s:c>
      <s:c r="G21" s="11" t="str">
        <s: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s:f>
        <s:v>PRIMARY READY</s:v>
      </s:c>
      <s:c r="H21" s="7" t="inlineStr">
        <s:is>
          <s:t>confirmed_issue</s:t>
        </s:is>
      </s:c>
      <s:c r="I21" s="7" t="inlineStr">
        <s:is>
          <s:t>substantive</s:t>
        </s:is>
      </s:c>
      <s:c r="J21" s="13" t="n"/>
      <s:c r="K21" s="7" t="n"/>
      <s:c r="L21" s="13" t="n"/>
      <s:c r="M21" s="19" t="n"/>
      <s:c r="N21" s="19" t="n"/>
      <s:c r="O21" s="19" t="n"/>
      <s:c r="P21" s="19" t="n"/>
      <s:c r="Q21" s="19" t="n"/>
      <s:c r="R21" s="13" t="inlineStr">
        <s:is>
          <s:t>TEST 2025::jama.2025.11178::C020</s:t>
        </s:is>
      </s:c>
    </s:row>
    <s:row r="22" ht="92" customFormat="1" customHeight="1" s="8">
      <s:c r="A22" s="12" t="inlineStr">
        <s:is>
          <s:t>2025::jama.2025.11178::C021</s:t>
        </s:is>
      </s:c>
      <s:c r="B22" s="12" t="inlineStr">
        <s:is>
          <s:t>Social-role 12-month Health Coach versus painTRAINER SMD endpoints reversed</s:t>
        </s:is>
      </s:c>
      <s:c r="C22" s="12" t="inlineStr">
        <s:is>
          <s:t>main article — PDF p. 10, Table 3, social role, 12 months, Health Coach vs painTRAINER SMD.</s:t>
        </s:is>
      </s:c>
      <s:c r="D22" s="7" t="inlineStr">
        <s:is>
          <s:t>retain</s:t>
        </s:is>
      </s:c>
      <s:c r="E22" s="7" t="inlineStr">
        <s:is>
          <s:t>statistical_results</s:t>
        </s:is>
      </s:c>
      <s:c r="F22" s="7" t="inlineStr">
        <s:is>
          <s:t>primary_done</s:t>
        </s:is>
      </s:c>
      <s:c r="G22" s="12" t="str">
        <s: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s:f>
        <s:v>PRIMARY READY</s:v>
      </s:c>
      <s:c r="H22" s="7" t="inlineStr">
        <s:is>
          <s:t>confirmed_issue</s:t>
        </s:is>
      </s:c>
      <s:c r="I22" s="7" t="inlineStr">
        <s:is>
          <s:t>substantive</s:t>
        </s:is>
      </s:c>
      <s:c r="J22" s="13" t="n"/>
      <s:c r="K22" s="7" t="n"/>
      <s:c r="L22" s="13" t="n"/>
      <s:c r="M22" s="19" t="n"/>
      <s:c r="N22" s="19" t="n"/>
      <s:c r="O22" s="19" t="n"/>
      <s:c r="P22" s="19" t="n"/>
      <s:c r="Q22" s="19" t="n"/>
      <s:c r="R22" s="13" t="inlineStr">
        <s:is>
          <s:t>TEST 2025::jama.2025.11178::C021</s:t>
        </s:is>
      </s:c>
    </s:row>
    <s:row r="23" ht="92" customFormat="1" customHeight="1" s="8">
      <s:c r="A23" s="11" t="inlineStr">
        <s:is>
          <s:t>2025::jama.2025.11178::C022</s:t>
        </s:is>
      </s:c>
      <s:c r="B23" s="11" t="inlineStr">
        <s:is>
          <s:t>Physical-function 3-month painTRAINER SMD endpoints reversed</s:t>
        </s:is>
      </s:c>
      <s:c r="C23" s="11" t="inlineStr">
        <s:is>
          <s:t>main article — PDF p. 10, Table 3, physical function, 3 months, painTRAINER vs usual care plus SMD.</s:t>
        </s:is>
      </s:c>
      <s:c r="D23" s="7" t="inlineStr">
        <s:is>
          <s:t>retain</s:t>
        </s:is>
      </s:c>
      <s:c r="E23" s="7" t="inlineStr">
        <s:is>
          <s:t>statistical_results</s:t>
        </s:is>
      </s:c>
      <s:c r="F23" s="7" t="inlineStr">
        <s:is>
          <s:t>primary_done</s:t>
        </s:is>
      </s:c>
      <s:c r="G23" s="11" t="str">
        <s: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s:f>
        <s:v>PRIMARY READY</s:v>
      </s:c>
      <s:c r="H23" s="7" t="inlineStr">
        <s:is>
          <s:t>confirmed_issue</s:t>
        </s:is>
      </s:c>
      <s:c r="I23" s="7" t="inlineStr">
        <s:is>
          <s:t>substantive</s:t>
        </s:is>
      </s:c>
      <s:c r="J23" s="13" t="n"/>
      <s:c r="K23" s="7" t="n"/>
      <s:c r="L23" s="13" t="n"/>
      <s:c r="M23" s="19" t="n"/>
      <s:c r="N23" s="19" t="n"/>
      <s:c r="O23" s="19" t="n"/>
      <s:c r="P23" s="19" t="n"/>
      <s:c r="Q23" s="19" t="n"/>
      <s:c r="R23" s="13" t="inlineStr">
        <s:is>
          <s:t>TEST 2025::jama.2025.11178::C022</s:t>
        </s:is>
      </s:c>
    </s:row>
    <s:row r="24" ht="92" customFormat="1" customHeight="1" s="8">
      <s:c r="A24" s="12" t="inlineStr">
        <s:is>
          <s:t>2025::jama.2025.11178::C023</s:t>
        </s:is>
      </s:c>
      <s:c r="B24" s="12" t="inlineStr">
        <s:is>
          <s:t>Physical-function 3-month Health Coach SMD endpoints reversed</s:t>
        </s:is>
      </s:c>
      <s:c r="C24" s="12" t="inlineStr">
        <s:is>
          <s:t>main article — PDF p. 10, Table 3, physical function, 3 months, Health Coach vs usual care plus SMD.</s:t>
        </s:is>
      </s:c>
      <s:c r="D24" s="7" t="inlineStr">
        <s:is>
          <s:t>retain</s:t>
        </s:is>
      </s:c>
      <s:c r="E24" s="7" t="inlineStr">
        <s:is>
          <s:t>statistical_results</s:t>
        </s:is>
      </s:c>
      <s:c r="F24" s="7" t="inlineStr">
        <s:is>
          <s:t>primary_done</s:t>
        </s:is>
      </s:c>
      <s:c r="G24" s="12" t="str">
        <s: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s:f>
        <s:v>PRIMARY READY</s:v>
      </s:c>
      <s:c r="H24" s="7" t="inlineStr">
        <s:is>
          <s:t>confirmed_issue</s:t>
        </s:is>
      </s:c>
      <s:c r="I24" s="7" t="inlineStr">
        <s:is>
          <s:t>substantive</s:t>
        </s:is>
      </s:c>
      <s:c r="J24" s="13" t="n"/>
      <s:c r="K24" s="7" t="n"/>
      <s:c r="L24" s="13" t="n"/>
      <s:c r="M24" s="19" t="n"/>
      <s:c r="N24" s="19" t="n"/>
      <s:c r="O24" s="19" t="n"/>
      <s:c r="P24" s="19" t="n"/>
      <s:c r="Q24" s="19" t="n"/>
      <s:c r="R24" s="13" t="inlineStr">
        <s:is>
          <s:t>TEST 2025::jama.2025.11178::C023</s:t>
        </s:is>
      </s:c>
    </s:row>
    <s:row r="25" ht="92" customFormat="1" customHeight="1" s="8">
      <s:c r="A25" s="11" t="inlineStr">
        <s:is>
          <s:t>2025::jama.2025.11178::C024</s:t>
        </s:is>
      </s:c>
      <s:c r="B25" s="11" t="inlineStr">
        <s:is>
          <s:t>Physical-function 3-month Health Coach versus painTRAINER SMD endpoints reversed</s:t>
        </s:is>
      </s:c>
      <s:c r="C25" s="11" t="inlineStr">
        <s:is>
          <s:t>main article — PDF p. 10, Table 3, physical function, 3 months, Health Coach vs painTRAINER SMD.</s:t>
        </s:is>
      </s:c>
      <s:c r="D25" s="7" t="inlineStr">
        <s:is>
          <s:t>retain</s:t>
        </s:is>
      </s:c>
      <s:c r="E25" s="7" t="inlineStr">
        <s:is>
          <s:t>statistical_results</s:t>
        </s:is>
      </s:c>
      <s:c r="F25" s="7" t="inlineStr">
        <s:is>
          <s:t>primary_done</s:t>
        </s:is>
      </s:c>
      <s:c r="G25" s="11" t="str">
        <s: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s:f>
        <s:v>PRIMARY READY</s:v>
      </s:c>
      <s:c r="H25" s="7" t="inlineStr">
        <s:is>
          <s:t>confirmed_issue</s:t>
        </s:is>
      </s:c>
      <s:c r="I25" s="7" t="inlineStr">
        <s:is>
          <s:t>substantive</s:t>
        </s:is>
      </s:c>
      <s:c r="J25" s="13" t="n"/>
      <s:c r="K25" s="7" t="n"/>
      <s:c r="L25" s="13" t="n"/>
      <s:c r="M25" s="19" t="n"/>
      <s:c r="N25" s="19" t="n"/>
      <s:c r="O25" s="19" t="n"/>
      <s:c r="P25" s="19" t="n"/>
      <s:c r="Q25" s="19" t="n"/>
      <s:c r="R25" s="13" t="inlineStr">
        <s:is>
          <s:t>TEST 2025::jama.2025.11178::C024</s:t>
        </s:is>
      </s:c>
    </s:row>
    <s:row r="26" ht="92" customFormat="1" customHeight="1" s="8">
      <s:c r="A26" s="12" t="inlineStr">
        <s:is>
          <s:t>2025::jama.2025.11178::C025</s:t>
        </s:is>
      </s:c>
      <s:c r="B26" s="12" t="inlineStr">
        <s:is>
          <s:t>Physical-function 6-month painTRAINER SMD endpoints reversed and exclude estimate</s:t>
        </s:is>
      </s:c>
      <s:c r="C26" s="12" t="inlineStr">
        <s:is>
          <s:t>main article — PDF p. 10, Table 3, physical function, 6 months, painTRAINER vs usual care plus SMD.</s:t>
        </s:is>
      </s:c>
      <s:c r="D26" s="7" t="inlineStr">
        <s:is>
          <s:t>retain</s:t>
        </s:is>
      </s:c>
      <s:c r="E26" s="7" t="inlineStr">
        <s:is>
          <s:t>statistical_results</s:t>
        </s:is>
      </s:c>
      <s:c r="F26" s="7" t="inlineStr">
        <s:is>
          <s:t>primary_done</s:t>
        </s:is>
      </s:c>
      <s:c r="G26" s="12" t="str">
        <s: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s:f>
        <s:v>PRIMARY READY</s:v>
      </s:c>
      <s:c r="H26" s="7" t="inlineStr">
        <s:is>
          <s:t>confirmed_issue</s:t>
        </s:is>
      </s:c>
      <s:c r="I26" s="7" t="inlineStr">
        <s:is>
          <s:t>substantive</s:t>
        </s:is>
      </s:c>
      <s:c r="J26" s="13" t="n"/>
      <s:c r="K26" s="7" t="n"/>
      <s:c r="L26" s="13" t="n"/>
      <s:c r="M26" s="19" t="n"/>
      <s:c r="N26" s="19" t="n"/>
      <s:c r="O26" s="19" t="n"/>
      <s:c r="P26" s="19" t="n"/>
      <s:c r="Q26" s="19" t="n"/>
      <s:c r="R26" s="13" t="inlineStr">
        <s:is>
          <s:t>TEST 2025::jama.2025.11178::C025</s:t>
        </s:is>
      </s:c>
    </s:row>
    <s:row r="27" ht="92" customFormat="1" customHeight="1" s="8">
      <s:c r="A27" s="11" t="inlineStr">
        <s:is>
          <s:t>2025::jama.2025.11178::C026</s:t>
        </s:is>
      </s:c>
      <s:c r="B27" s="11" t="inlineStr">
        <s:is>
          <s:t>Physical-function 6-month Health Coach SMD endpoints reversed</s:t>
        </s:is>
      </s:c>
      <s:c r="C27" s="11" t="inlineStr">
        <s:is>
          <s:t>main article — PDF p. 10, Table 3, physical function, 6 months, Health Coach vs usual care plus SMD.</s:t>
        </s:is>
      </s:c>
      <s:c r="D27" s="7" t="inlineStr">
        <s:is>
          <s:t>retain</s:t>
        </s:is>
      </s:c>
      <s:c r="E27" s="7" t="inlineStr">
        <s:is>
          <s:t>statistical_results</s:t>
        </s:is>
      </s:c>
      <s:c r="F27" s="7" t="inlineStr">
        <s:is>
          <s:t>primary_done</s:t>
        </s:is>
      </s:c>
      <s:c r="G27" s="11" t="str">
        <s: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s:f>
        <s:v>PRIMARY READY</s:v>
      </s:c>
      <s:c r="H27" s="7" t="inlineStr">
        <s:is>
          <s:t>confirmed_issue</s:t>
        </s:is>
      </s:c>
      <s:c r="I27" s="7" t="inlineStr">
        <s:is>
          <s:t>substantive</s:t>
        </s:is>
      </s:c>
      <s:c r="J27" s="13" t="n"/>
      <s:c r="K27" s="7" t="n"/>
      <s:c r="L27" s="13" t="n"/>
      <s:c r="M27" s="19" t="n"/>
      <s:c r="N27" s="19" t="n"/>
      <s:c r="O27" s="19" t="n"/>
      <s:c r="P27" s="19" t="n"/>
      <s:c r="Q27" s="19" t="n"/>
      <s:c r="R27" s="13" t="inlineStr">
        <s:is>
          <s:t>TEST 2025::jama.2025.11178::C026</s:t>
        </s:is>
      </s:c>
    </s:row>
    <s:row r="28" ht="92" customFormat="1" customHeight="1" s="8">
      <s:c r="A28" s="12" t="inlineStr">
        <s:is>
          <s:t>2025::jama.2025.11178::C027</s:t>
        </s:is>
      </s:c>
      <s:c r="B28" s="12" t="inlineStr">
        <s:is>
          <s:t>Physical-function 6-month Health Coach versus painTRAINER SMD endpoints reversed and exclude estimate</s:t>
        </s:is>
      </s:c>
      <s:c r="C28" s="12" t="inlineStr">
        <s:is>
          <s:t>main article — PDF p. 10, Table 3, physical function, 6 months, Health Coach vs painTRAINER SMD.</s:t>
        </s:is>
      </s:c>
      <s:c r="D28" s="7" t="inlineStr">
        <s:is>
          <s:t>retain</s:t>
        </s:is>
      </s:c>
      <s:c r="E28" s="7" t="inlineStr">
        <s:is>
          <s:t>statistical_results</s:t>
        </s:is>
      </s:c>
      <s:c r="F28" s="7" t="inlineStr">
        <s:is>
          <s:t>primary_done</s:t>
        </s:is>
      </s:c>
      <s:c r="G28" s="12" t="str">
        <s: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s:f>
        <s:v>PRIMARY READY</s:v>
      </s:c>
      <s:c r="H28" s="7" t="inlineStr">
        <s:is>
          <s:t>confirmed_issue</s:t>
        </s:is>
      </s:c>
      <s:c r="I28" s="7" t="inlineStr">
        <s:is>
          <s:t>substantive</s:t>
        </s:is>
      </s:c>
      <s:c r="J28" s="13" t="n"/>
      <s:c r="K28" s="7" t="n"/>
      <s:c r="L28" s="13" t="n"/>
      <s:c r="M28" s="19" t="n"/>
      <s:c r="N28" s="19" t="n"/>
      <s:c r="O28" s="19" t="n"/>
      <s:c r="P28" s="19" t="n"/>
      <s:c r="Q28" s="19" t="n"/>
      <s:c r="R28" s="13" t="inlineStr">
        <s:is>
          <s:t>TEST 2025::jama.2025.11178::C027</s:t>
        </s:is>
      </s:c>
    </s:row>
    <s:row r="29" ht="92" customFormat="1" customHeight="1" s="8">
      <s:c r="A29" s="11" t="inlineStr">
        <s:is>
          <s:t>2025::jama.2025.11178::C028</s:t>
        </s:is>
      </s:c>
      <s:c r="B29" s="11" t="inlineStr">
        <s:is>
          <s:t>Physical-function 12-month painTRAINER SMD endpoints reversed and exclude estimate</s:t>
        </s:is>
      </s:c>
      <s:c r="C29" s="11" t="inlineStr">
        <s:is>
          <s:t>main article — PDF p. 10, Table 3, physical function, 12 months, painTRAINER vs usual care plus SMD.</s:t>
        </s:is>
      </s:c>
      <s:c r="D29" s="7" t="inlineStr">
        <s:is>
          <s:t>retain</s:t>
        </s:is>
      </s:c>
      <s:c r="E29" s="7" t="inlineStr">
        <s:is>
          <s:t>statistical_results</s:t>
        </s:is>
      </s:c>
      <s:c r="F29" s="7" t="inlineStr">
        <s:is>
          <s:t>primary_done</s:t>
        </s:is>
      </s:c>
      <s:c r="G29" s="11" t="str">
        <s: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s:f>
        <s:v>PRIMARY READY</s:v>
      </s:c>
      <s:c r="H29" s="7" t="inlineStr">
        <s:is>
          <s:t>confirmed_issue</s:t>
        </s:is>
      </s:c>
      <s:c r="I29" s="7" t="inlineStr">
        <s:is>
          <s:t>substantive</s:t>
        </s:is>
      </s:c>
      <s:c r="J29" s="13" t="n"/>
      <s:c r="K29" s="7" t="n"/>
      <s:c r="L29" s="13" t="n"/>
      <s:c r="M29" s="19" t="n"/>
      <s:c r="N29" s="19" t="n"/>
      <s:c r="O29" s="19" t="n"/>
      <s:c r="P29" s="19" t="n"/>
      <s:c r="Q29" s="19" t="n"/>
      <s:c r="R29" s="13" t="inlineStr">
        <s:is>
          <s:t>TEST 2025::jama.2025.11178::C028</s:t>
        </s:is>
      </s:c>
    </s:row>
    <s:row r="30" ht="92" customFormat="1" customHeight="1" s="8">
      <s:c r="A30" s="12" t="inlineStr">
        <s:is>
          <s:t>2025::jama.2025.11178::C029</s:t>
        </s:is>
      </s:c>
      <s:c r="B30" s="12" t="inlineStr">
        <s:is>
          <s:t>Physical-function 12-month Health Coach SMD endpoints reversed and exclude estimate</s:t>
        </s:is>
      </s:c>
      <s:c r="C30" s="12" t="inlineStr">
        <s:is>
          <s:t>main article — PDF p. 10, Table 3, physical function, 12 months, Health Coach vs usual care plus SMD.</s:t>
        </s:is>
      </s:c>
      <s:c r="D30" s="7" t="inlineStr">
        <s:is>
          <s:t>retain</s:t>
        </s:is>
      </s:c>
      <s:c r="E30" s="7" t="inlineStr">
        <s:is>
          <s:t>statistical_results</s:t>
        </s:is>
      </s:c>
      <s:c r="F30" s="7" t="inlineStr">
        <s:is>
          <s:t>primary_done</s:t>
        </s:is>
      </s:c>
      <s:c r="G30" s="12" t="str">
        <s: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s:f>
        <s:v>PRIMARY READY</s:v>
      </s:c>
      <s:c r="H30" s="7" t="inlineStr">
        <s:is>
          <s:t>confirmed_issue</s:t>
        </s:is>
      </s:c>
      <s:c r="I30" s="7" t="inlineStr">
        <s:is>
          <s:t>substantive</s:t>
        </s:is>
      </s:c>
      <s:c r="J30" s="13" t="n"/>
      <s:c r="K30" s="7" t="n"/>
      <s:c r="L30" s="13" t="n"/>
      <s:c r="M30" s="19" t="n"/>
      <s:c r="N30" s="19" t="n"/>
      <s:c r="O30" s="19" t="n"/>
      <s:c r="P30" s="19" t="n"/>
      <s:c r="Q30" s="19" t="n"/>
      <s:c r="R30" s="13" t="inlineStr">
        <s:is>
          <s:t>TEST 2025::jama.2025.11178::C029</s:t>
        </s:is>
      </s:c>
    </s:row>
    <s:row r="31" ht="92" customFormat="1" customHeight="1" s="8">
      <s:c r="A31" s="11" t="inlineStr">
        <s:is>
          <s:t>2025::jama.2025.11178::C030</s:t>
        </s:is>
      </s:c>
      <s:c r="B31" s="11" t="inlineStr">
        <s:is>
          <s:t>Physical-function 12-month Health Coach versus painTRAINER SMD endpoints reversed and exclude estimate</s:t>
        </s:is>
      </s:c>
      <s:c r="C31" s="11" t="inlineStr">
        <s:is>
          <s:t>main article — PDF p. 10, Table 3, physical function, 12 months, Health Coach vs painTRAINER SMD.</s:t>
        </s:is>
      </s:c>
      <s:c r="D31" s="7" t="inlineStr">
        <s:is>
          <s:t>retain</s:t>
        </s:is>
      </s:c>
      <s:c r="E31" s="7" t="inlineStr">
        <s:is>
          <s:t>statistical_results</s:t>
        </s:is>
      </s:c>
      <s:c r="F31" s="7" t="inlineStr">
        <s:is>
          <s:t>primary_done</s:t>
        </s:is>
      </s:c>
      <s:c r="G31" s="11" t="str">
        <s: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s:f>
        <s:v>PRIMARY READY</s:v>
      </s:c>
      <s:c r="H31" s="7" t="inlineStr">
        <s:is>
          <s:t>confirmed_issue</s:t>
        </s:is>
      </s:c>
      <s:c r="I31" s="7" t="inlineStr">
        <s:is>
          <s:t>substantive</s:t>
        </s:is>
      </s:c>
      <s:c r="J31" s="13" t="n"/>
      <s:c r="K31" s="7" t="n"/>
      <s:c r="L31" s="13" t="n"/>
      <s:c r="M31" s="19" t="n"/>
      <s:c r="N31" s="19" t="n"/>
      <s:c r="O31" s="19" t="n"/>
      <s:c r="P31" s="19" t="n"/>
      <s:c r="Q31" s="19" t="n"/>
      <s:c r="R31" s="13" t="inlineStr">
        <s:is>
          <s:t>TEST 2025::jama.2025.11178::C030</s:t>
        </s:is>
      </s:c>
    </s:row>
    <s:row r="32" ht="92" customFormat="1" customHeight="1" s="8">
      <s:c r="A32" s="12" t="inlineStr">
        <s:is>
          <s:t>2025::jama.2025.11178::C031</s:t>
        </s:is>
      </s:c>
      <s:c r="B32" s="12" t="inlineStr">
        <s:is>
          <s:t>PGIC-pain 12-month painTRAINER SMD outside printed CI</s:t>
        </s:is>
      </s:c>
      <s:c r="C32" s="12" t="inlineStr">
        <s:is>
          <s:t>main article — PDF p. 11, Table 3, PGIC-pain, 12 months, painTRAINER vs usual care plus SMD.</s:t>
        </s:is>
      </s:c>
      <s:c r="D32" s="7" t="inlineStr">
        <s:is>
          <s:t>retain</s:t>
        </s:is>
      </s:c>
      <s:c r="E32" s="7" t="inlineStr">
        <s:is>
          <s:t>statistical_results</s:t>
        </s:is>
      </s:c>
      <s:c r="F32" s="7" t="inlineStr">
        <s:is>
          <s:t>primary_done</s:t>
        </s:is>
      </s:c>
      <s:c r="G32" s="12" t="str">
        <s: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s:f>
        <s:v>PRIMARY READY</s:v>
      </s:c>
      <s:c r="H32" s="7" t="inlineStr">
        <s:is>
          <s:t>confirmed_issue</s:t>
        </s:is>
      </s:c>
      <s:c r="I32" s="7" t="inlineStr">
        <s:is>
          <s:t>substantive</s:t>
        </s:is>
      </s:c>
      <s:c r="J32" s="13" t="n"/>
      <s:c r="K32" s="7" t="n"/>
      <s:c r="L32" s="13" t="n"/>
      <s:c r="M32" s="19" t="n"/>
      <s:c r="N32" s="19" t="n"/>
      <s:c r="O32" s="19" t="n"/>
      <s:c r="P32" s="19" t="n"/>
      <s:c r="Q32" s="19" t="n"/>
      <s:c r="R32" s="13" t="inlineStr">
        <s:is>
          <s:t>TEST 2025::jama.2025.11178::C031</s:t>
        </s:is>
      </s:c>
    </s:row>
    <s:row r="33" ht="92" customFormat="1" customHeight="1" s="8">
      <s:c r="A33" s="11" t="inlineStr">
        <s:is>
          <s:t>2025::jama.2025.11178::C032</s:t>
        </s:is>
      </s:c>
      <s:c r="B33" s="11" t="inlineStr">
        <s:is>
          <s:t>PGIC-pain 12-month Health Coach SMD outside printed CI</s:t>
        </s:is>
      </s:c>
      <s:c r="C33" s="11" t="inlineStr">
        <s:is>
          <s:t>main article — PDF p. 11, Table 3, PGIC-pain, 12 months, Health Coach vs usual care plus SMD.</s:t>
        </s:is>
      </s:c>
      <s:c r="D33" s="7" t="inlineStr">
        <s:is>
          <s:t>retain</s:t>
        </s:is>
      </s:c>
      <s:c r="E33" s="7" t="inlineStr">
        <s:is>
          <s:t>statistical_results</s:t>
        </s:is>
      </s:c>
      <s:c r="F33" s="7" t="inlineStr">
        <s:is>
          <s:t>primary_done</s:t>
        </s:is>
      </s:c>
      <s:c r="G33" s="11" t="str">
        <s: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s:f>
        <s:v>PRIMARY READY</s:v>
      </s:c>
      <s:c r="H33" s="7" t="inlineStr">
        <s:is>
          <s:t>confirmed_issue</s:t>
        </s:is>
      </s:c>
      <s:c r="I33" s="7" t="inlineStr">
        <s:is>
          <s:t>substantive</s:t>
        </s:is>
      </s:c>
      <s:c r="J33" s="13" t="n"/>
      <s:c r="K33" s="7" t="n"/>
      <s:c r="L33" s="13" t="n"/>
      <s:c r="M33" s="19" t="n"/>
      <s:c r="N33" s="19" t="n"/>
      <s:c r="O33" s="19" t="n"/>
      <s:c r="P33" s="19" t="n"/>
      <s:c r="Q33" s="19" t="n"/>
      <s:c r="R33" s="13" t="inlineStr">
        <s:is>
          <s:t>TEST 2025::jama.2025.11178::C032</s:t>
        </s:is>
      </s:c>
    </s:row>
    <s:row r="34" ht="92" customFormat="1" customHeight="1" s="8">
      <s:c r="A34" s="12" t="inlineStr">
        <s:is>
          <s:t>2025::jama.2025.11178::C033</s:t>
        </s:is>
      </s:c>
      <s:c r="B34" s="12" t="inlineStr">
        <s:is>
          <s:t>PGIC-pain 12-month Health Coach versus painTRAINER SMD outside printed CI</s:t>
        </s:is>
      </s:c>
      <s:c r="C34" s="12" t="inlineStr">
        <s:is>
          <s:t>main article — PDF p. 11, Table 3, PGIC-pain, 12 months, Health Coach vs painTRAINER SMD.</s:t>
        </s:is>
      </s:c>
      <s:c r="D34" s="7" t="inlineStr">
        <s:is>
          <s:t>retain</s:t>
        </s:is>
      </s:c>
      <s:c r="E34" s="7" t="inlineStr">
        <s:is>
          <s:t>statistical_results</s:t>
        </s:is>
      </s:c>
      <s:c r="F34" s="7" t="inlineStr">
        <s:is>
          <s:t>primary_done</s:t>
        </s:is>
      </s:c>
      <s:c r="G34" s="12" t="str">
        <s: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s:f>
        <s:v>PRIMARY READY</s:v>
      </s:c>
      <s:c r="H34" s="7" t="inlineStr">
        <s:is>
          <s:t>confirmed_issue</s:t>
        </s:is>
      </s:c>
      <s:c r="I34" s="7" t="inlineStr">
        <s:is>
          <s:t>substantive</s:t>
        </s:is>
      </s:c>
      <s:c r="J34" s="13" t="n"/>
      <s:c r="K34" s="7" t="n"/>
      <s:c r="L34" s="13" t="n"/>
      <s:c r="M34" s="19" t="n"/>
      <s:c r="N34" s="19" t="n"/>
      <s:c r="O34" s="19" t="n"/>
      <s:c r="P34" s="19" t="n"/>
      <s:c r="Q34" s="19" t="n"/>
      <s:c r="R34" s="13" t="inlineStr">
        <s:is>
          <s:t>TEST 2025::jama.2025.11178::C033</s:t>
        </s:is>
      </s:c>
    </s:row>
    <s:row r="35" ht="92" customFormat="1" customHeight="1" s="8">
      <s:c r="A35" s="11" t="inlineStr">
        <s:is>
          <s:t>2025::jama.2025.11178::C034</s:t>
        </s:is>
      </s:c>
      <s:c r="B35" s="11" t="inlineStr">
        <s:is>
          <s:t>Female total differs across sources if the printed derivations are intended to match</s:t>
        </s:is>
      </s:c>
      <s:c r="C35" s="11" t="inlineStr">
        <s:is>
          <s:t>main article — PDF p. 1, Abstract; main article — PDF p. 6, Table 1; workbook, worksheet eTable 3, cells A11:B11.</s:t>
        </s:is>
      </s:c>
      <s:c r="D35" s="7" t="inlineStr">
        <s:is>
          <s:t>retain</s:t>
        </s:is>
      </s:c>
      <s:c r="E35" s="7" t="inlineStr">
        <s:is>
          <s:t>report_internal_inconsistency</s:t>
        </s:is>
      </s:c>
      <s:c r="F35" s="7" t="inlineStr">
        <s:is>
          <s:t>primary_done</s:t>
        </s:is>
      </s:c>
      <s:c r="G35" s="11" t="str">
        <s: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s:f>
        <s:v>PRIMARY READY</s:v>
      </s:c>
      <s:c r="H35" s="7" t="n"/>
      <s:c r="I35" s="7" t="n"/>
      <s:c r="J35" s="13" t="n"/>
      <s:c r="K35" s="7" t="inlineStr">
        <s:is>
          <s:t>substantive_inconsistency</s:t>
        </s:is>
      </s:c>
      <s:c r="L35" s="13" t="n"/>
      <s:c r="M35" s="19" t="n"/>
      <s:c r="N35" s="19" t="n"/>
      <s:c r="O35" s="19" t="n"/>
      <s:c r="P35" s="19" t="n"/>
      <s:c r="Q35" s="19" t="n"/>
      <s:c r="R35" s="13" t="inlineStr">
        <s:is>
          <s:t>TEST 2025::jama.2025.11178::C034</s:t>
        </s:is>
      </s:c>
    </s:row>
    <s:row r="36" ht="92" customFormat="1" customHeight="1" s="8">
      <s:c r="A36" s="12" t="inlineStr">
        <s:is>
          <s:t>2025::jama.2025.11178::C035</s:t>
        </s:is>
      </s:c>
      <s:c r="B36" s="12" t="inlineStr">
        <s:is>
          <s:t>Narrative current-depression percentage differs from Table 1/workbook record</s:t>
        </s:is>
      </s:c>
      <s:c r="C36" s="12" t="inlineStr">
        <s:is>
          <s:t>main article — PDF p. 4, Results; main article — PDF p. 6, Table 1; workbook, worksheet eTable 3, cells A82:B82.</s:t>
        </s:is>
      </s:c>
      <s:c r="D36" s="7" t="inlineStr">
        <s:is>
          <s:t>retain</s:t>
        </s:is>
      </s:c>
      <s:c r="E36" s="7" t="inlineStr">
        <s:is>
          <s:t>report_internal_inconsistency</s:t>
        </s:is>
      </s:c>
      <s:c r="F36" s="7" t="inlineStr">
        <s:is>
          <s:t>primary_done</s:t>
        </s:is>
      </s:c>
      <s:c r="G36" s="12" t="str">
        <s: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s:f>
        <s:v>PRIMARY READY</s:v>
      </s:c>
      <s:c r="H36" s="7" t="n"/>
      <s:c r="I36" s="7" t="n"/>
      <s:c r="J36" s="13" t="n"/>
      <s:c r="K36" s="7" t="inlineStr">
        <s:is>
          <s:t>substantive_inconsistency</s:t>
        </s:is>
      </s:c>
      <s:c r="L36" s="13" t="n"/>
      <s:c r="M36" s="19" t="n"/>
      <s:c r="N36" s="19" t="n"/>
      <s:c r="O36" s="19" t="n"/>
      <s:c r="P36" s="19" t="n"/>
      <s:c r="Q36" s="19" t="n"/>
      <s:c r="R36" s="13" t="inlineStr">
        <s:is>
          <s:t>TEST 2025::jama.2025.11178::C035</s:t>
        </s:is>
      </s:c>
    </s:row>
    <s:row r="37" ht="92" customFormat="1" customHeight="1" s="8">
      <s:c r="A37" s="11" t="inlineStr">
        <s:is>
          <s:t>2025::jama.2025.11178::C036</s:t>
        </s:is>
      </s:c>
      <s:c r="B37" s="11" t="inlineStr">
        <s:is>
          <s:t>painTRAINER 3-month pain-severity SMD differs between narrative and Table 3</s:t>
        </s:is>
      </s:c>
      <s:c r="C37" s="11" t="inlineStr">
        <s:is>
          <s:t>main article — PDF p. 7, Secondary Outcomes; main article — PDF p. 10, Table 3.</s:t>
        </s:is>
      </s:c>
      <s:c r="D37" s="7" t="inlineStr">
        <s:is>
          <s:t>retain</s:t>
        </s:is>
      </s:c>
      <s:c r="E37" s="7" t="inlineStr">
        <s:is>
          <s:t>report_internal_inconsistency</s:t>
        </s:is>
      </s:c>
      <s:c r="F37" s="7" t="inlineStr">
        <s:is>
          <s:t>primary_done</s:t>
        </s:is>
      </s:c>
      <s:c r="G37" s="11" t="str">
        <s: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s:f>
        <s:v>PRIMARY READY</s:v>
      </s:c>
      <s:c r="H37" s="7" t="n"/>
      <s:c r="I37" s="7" t="n"/>
      <s:c r="J37" s="13" t="n"/>
      <s:c r="K37" s="7" t="inlineStr">
        <s:is>
          <s:t>substantive_inconsistency</s:t>
        </s:is>
      </s:c>
      <s:c r="L37" s="13" t="n"/>
      <s:c r="M37" s="19" t="n"/>
      <s:c r="N37" s="19" t="n"/>
      <s:c r="O37" s="19" t="n"/>
      <s:c r="P37" s="19" t="n"/>
      <s:c r="Q37" s="19" t="n"/>
      <s:c r="R37" s="13" t="inlineStr">
        <s:is>
          <s:t>TEST 2025::jama.2025.11178::C036</s:t>
        </s:is>
      </s:c>
    </s:row>
    <s:row r="38" ht="92" customFormat="1" customHeight="1" s="8">
      <s:c r="A38" s="12" t="inlineStr">
        <s:is>
          <s:t>2025::jama.2025.11178::C037</s:t>
        </s:is>
      </s:c>
      <s:c r="B38" s="12" t="inlineStr">
        <s:is>
          <s:t>Health Coach 3-month pain-severity SMD differs between narrative and Table 3</s:t>
        </s:is>
      </s:c>
      <s:c r="C38" s="12" t="inlineStr">
        <s:is>
          <s:t>main article — PDF p. 7, Secondary Outcomes; main article — PDF p. 10, Table 3.</s:t>
        </s:is>
      </s:c>
      <s:c r="D38" s="7" t="inlineStr">
        <s:is>
          <s:t>retain</s:t>
        </s:is>
      </s:c>
      <s:c r="E38" s="7" t="inlineStr">
        <s:is>
          <s:t>report_internal_inconsistency</s:t>
        </s:is>
      </s:c>
      <s:c r="F38" s="7" t="inlineStr">
        <s:is>
          <s:t>primary_done</s:t>
        </s:is>
      </s:c>
      <s:c r="G38" s="12" t="str">
        <s: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s:f>
        <s:v>PRIMARY READY</s:v>
      </s:c>
      <s:c r="H38" s="7" t="n"/>
      <s:c r="I38" s="7" t="n"/>
      <s:c r="J38" s="13" t="n"/>
      <s:c r="K38" s="7" t="inlineStr">
        <s:is>
          <s:t>substantive_inconsistency</s:t>
        </s:is>
      </s:c>
      <s:c r="L38" s="13" t="n"/>
      <s:c r="M38" s="19" t="n"/>
      <s:c r="N38" s="19" t="n"/>
      <s:c r="O38" s="19" t="n"/>
      <s:c r="P38" s="19" t="n"/>
      <s:c r="Q38" s="19" t="n"/>
      <s:c r="R38" s="13" t="inlineStr">
        <s:is>
          <s:t>TEST 2025::jama.2025.11178::C037</s:t>
        </s:is>
      </s:c>
    </s:row>
  </s:sheetData>
  <s:autoFilter ref="A1:R38"/>
  <s:conditionalFormatting sqref="G2:G38">
    <s:cfRule type="expression" priority="1" dxfId="105">
      <s:formula>G2&lt;&gt;"PRIMARY READY"</s:formula>
    </s:cfRule>
  </s:conditionalFormatting>
  <s:conditionalFormatting sqref="H2:H38">
    <s:cfRule type="expression" priority="2" dxfId="106">
      <s:formula>NOT(AND(OR($D2="retain",$D2=""),$E2="statistical_results"))</s:formula>
    </s:cfRule>
  </s:conditionalFormatting>
  <s:conditionalFormatting sqref="I2:I38">
    <s:cfRule type="expression" priority="3" dxfId="106">
      <s:formula>NOT(AND(OR($D2="retain",$D2=""),$E2="statistical_results"))</s:formula>
    </s:cfRule>
  </s:conditionalFormatting>
  <s:conditionalFormatting sqref="J2:J38">
    <s:cfRule type="expression" priority="4" dxfId="106">
      <s:formula>NOT(AND(OR($D2="retain",$D2=""),$E2="statistical_results"))</s:formula>
    </s:cfRule>
  </s:conditionalFormatting>
  <s:conditionalFormatting sqref="K2:K38">
    <s:cfRule type="expression" priority="5" dxfId="106">
      <s:formula>NOT(AND(OR($D2="retain",$D2=""),OR($E2="report_internal_inconsistency",$E2="plan_material")))</s:formula>
    </s:cfRule>
  </s:conditionalFormatting>
  <s:conditionalFormatting sqref="L2:L38">
    <s:cfRule type="expression" priority="6" dxfId="106">
      <s:formula>NOT(AND(OR($D2="retain",$D2=""),$E2="protocol_report"))</s:formula>
    </s:cfRule>
  </s:conditionalFormatting>
  <s:dataValidations count="8">
    <s:dataValidation sqref="D2:D38" showDropDown="0" showInputMessage="0" showErrorMessage="1" allowBlank="1" errorTitle="Use an allowed option" error="Choose an option from the list; see Codebook." type="list" errorStyle="stop">
      <s:formula1>"retain,exclude,discuss"</s:formula1>
    </s:dataValidation>
    <s:dataValidation sqref="E2:E38"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38" showDropDown="0" showInputMessage="0" showErrorMessage="1" allowBlank="1" errorTitle="Use an allowed option" error="Choose an option from the list; see Codebook." type="list" errorStyle="stop">
      <s:formula1>"no,primary_done"</s:formula1>
    </s:dataValidation>
    <s:dataValidation sqref="H2:H38"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38"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38" showDropDown="0" showInputMessage="0" showErrorMessage="1" allowBlank="1" errorTitle="Use an allowed option" error="Choose an option from the list; see Codebook." type="list" errorStyle="stop">
      <s:formula1>"direct,possible,unlikely,unknown,not_applicable"</s:formula1>
    </s:dataValidation>
    <s:dataValidation sqref="K2:K38"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38"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66" tooltip="Read embedded evidence; filter by candidate key"/>
    <s:hyperlink ref="A3" location="'Evidence'!A70" tooltip="Read embedded evidence; filter by candidate key"/>
    <s:hyperlink ref="A4" location="'Evidence'!A74" tooltip="Read embedded evidence; filter by candidate key"/>
    <s:hyperlink ref="A5" location="'Evidence'!A78" tooltip="Read embedded evidence; filter by candidate key"/>
    <s:hyperlink ref="A6" location="'Evidence'!A82" tooltip="Read embedded evidence; filter by candidate key"/>
    <s:hyperlink ref="A7" location="'Evidence'!A86" tooltip="Read embedded evidence; filter by candidate key"/>
    <s:hyperlink ref="A8" location="'Evidence'!A90" tooltip="Read embedded evidence; filter by candidate key"/>
    <s:hyperlink ref="A9" location="'Evidence'!A94" tooltip="Read embedded evidence; filter by candidate key"/>
    <s:hyperlink ref="A10" location="'Evidence'!A98" tooltip="Read embedded evidence; filter by candidate key"/>
    <s:hyperlink ref="A11" location="'Evidence'!A102" tooltip="Read embedded evidence; filter by candidate key"/>
    <s:hyperlink ref="A12" location="'Evidence'!A106" tooltip="Read embedded evidence; filter by candidate key"/>
    <s:hyperlink ref="A13" location="'Evidence'!A110" tooltip="Read embedded evidence; filter by candidate key"/>
    <s:hyperlink ref="A14" location="'Evidence'!A114" tooltip="Read embedded evidence; filter by candidate key"/>
    <s:hyperlink ref="A15" location="'Evidence'!A118" tooltip="Read embedded evidence; filter by candidate key"/>
    <s:hyperlink ref="A16" location="'Evidence'!A122" tooltip="Read embedded evidence; filter by candidate key"/>
    <s:hyperlink ref="A17" location="'Evidence'!A126" tooltip="Read embedded evidence; filter by candidate key"/>
    <s:hyperlink ref="A18" location="'Evidence'!A130" tooltip="Read embedded evidence; filter by candidate key"/>
    <s:hyperlink ref="A19" location="'Evidence'!A134" tooltip="Read embedded evidence; filter by candidate key"/>
    <s:hyperlink ref="A20" location="'Evidence'!A138" tooltip="Read embedded evidence; filter by candidate key"/>
    <s:hyperlink ref="A21" location="'Evidence'!A142" tooltip="Read embedded evidence; filter by candidate key"/>
    <s:hyperlink ref="A22" location="'Evidence'!A146" tooltip="Read embedded evidence; filter by candidate key"/>
    <s:hyperlink ref="A23" location="'Evidence'!A150" tooltip="Read embedded evidence; filter by candidate key"/>
    <s:hyperlink ref="A24" location="'Evidence'!A154" tooltip="Read embedded evidence; filter by candidate key"/>
    <s:hyperlink ref="A25" location="'Evidence'!A158" tooltip="Read embedded evidence; filter by candidate key"/>
    <s:hyperlink ref="A26" location="'Evidence'!A162" tooltip="Read embedded evidence; filter by candidate key"/>
    <s:hyperlink ref="A27" location="'Evidence'!A166" tooltip="Read embedded evidence; filter by candidate key"/>
    <s:hyperlink ref="A28" location="'Evidence'!A170" tooltip="Read embedded evidence; filter by candidate key"/>
    <s:hyperlink ref="A29" location="'Evidence'!A174" tooltip="Read embedded evidence; filter by candidate key"/>
    <s:hyperlink ref="A30" location="'Evidence'!A178" tooltip="Read embedded evidence; filter by candidate key"/>
    <s:hyperlink ref="A31" location="'Evidence'!A182" tooltip="Read embedded evidence; filter by candidate key"/>
    <s:hyperlink ref="A32" location="'Evidence'!A186" tooltip="Read embedded evidence; filter by candidate key"/>
    <s:hyperlink ref="A33" location="'Evidence'!A190" tooltip="Read embedded evidence; filter by candidate key"/>
    <s:hyperlink ref="A34" location="'Evidence'!A194" tooltip="Read embedded evidence; filter by candidate key"/>
    <s:hyperlink ref="A35" location="'Evidence'!A198" tooltip="Read embedded evidence; filter by candidate key"/>
    <s:hyperlink ref="A36" location="'Evidence'!A202" tooltip="Read embedded evidence; filter by candidate key"/>
    <s:hyperlink ref="A37" location="'Evidence'!A206" tooltip="Read embedded evidence; filter by candidate key"/>
    <s:hyperlink ref="A38" location="'Evidence'!A210" tooltip="Read embedded evidence; filter by candidate key"/>
  </s:hyperlinks>
  <s:pageMargins left="0.7" right="0.7" top="0.75" bottom="0.75" header="0.3" footer="0.3"/>
</s:worksheet>
</file>

<file path=xl/worksheets/sheet8.xml><?xml version="1.0" encoding="utf-8"?>
<s:worksheet xmlns:s="http://schemas.openxmlformats.org/spreadsheetml/2006/main">
  <s:sheetPr>
    <s:outlinePr summaryBelow="1" summaryRight="1"/>
    <s:pageSetUpPr/>
  </s:sheetPr>
  <s:dimension ref="A1:R13"/>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2025::jama.2025.15185::C001</s:t>
        </s:is>
      </s:c>
      <s:c r="B2" s="12" t="inlineStr">
        <s:is>
          <s:t>Baseline index-stroke type counts differ across baseline tables</s:t>
        </s:is>
      </s:c>
      <s:c r="C2" s="12" t="inlineStr">
        <s:is>
          <s:t>DOC-001, main article — PDF p. 4, Table 1; DOC-004, Supplement 3 — PDF p. 10 and PDF p. 11, eTable 1.</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2025::jama.2025.15185::C001</s:t>
        </s:is>
      </s:c>
    </s:row>
    <s:row r="3" ht="92" customFormat="1" customHeight="1" s="8">
      <s:c r="A3" s="11" t="inlineStr">
        <s:is>
          <s:t>2025::jama.2025.15185::C002</s:t>
        </s:is>
      </s:c>
      <s:c r="B3" s="11" t="inlineStr">
        <s:is>
          <s:t>Baseline NIHSS statistic and label do not reconcile across tables</s:t>
        </s:is>
      </s:c>
      <s:c r="C3" s="11" t="inlineStr">
        <s:is>
          <s:t>DOC-001, main article — PDF p. 4, Table 1, and PDF p. 5, Results; DOC-004, Supplement 3 — PDF p. 11, eTable 1.</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2025::jama.2025.15185::C002</s:t>
        </s:is>
      </s:c>
    </s:row>
    <s:row r="4" ht="92" customFormat="1" customHeight="1" s="8">
      <s:c r="A4" s="12" t="inlineStr">
        <s:is>
          <s:t>2025::jama.2025.15185::C003</s:t>
        </s:is>
      </s:c>
      <s:c r="B4" s="12" t="inlineStr">
        <s:is>
          <s:t>Time from stroke onset to randomization differs across baseline tables</s:t>
        </s:is>
      </s:c>
      <s:c r="C4" s="12" t="inlineStr">
        <s:is>
          <s:t>DOC-001, main article — PDF p. 4, Table 1; DOC-004, Supplement 3 — PDF p. 11, eTable 1.</s:t>
        </s:is>
      </s:c>
      <s:c r="D4" s="7" t="inlineStr">
        <s:is>
          <s:t>retain</s:t>
        </s:is>
      </s:c>
      <s:c r="E4" s="7" t="inlineStr">
        <s:is>
          <s:t>report_internal_inconsistency</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2025::jama.2025.15185::C003</s:t>
        </s:is>
      </s:c>
    </s:row>
    <s:row r="5" ht="92" customFormat="1" customHeight="1" s="8">
      <s:c r="A5" s="11" t="inlineStr">
        <s:is>
          <s:t>2025::jama.2025.15185::C004</s:t>
        </s:is>
      </s:c>
      <s:c r="B5" s="11" t="inlineStr">
        <s:is>
          <s:t>Estimand 4 confidence-interval upper endpoint differs within eTable 2</s:t>
        </s:is>
      </s:c>
      <s:c r="C5" s="11" t="inlineStr">
        <s:is>
          <s:t>DOC-004, Supplement 3 — PDF p. 12, eTable 2 narrative; PDF p. 13, Estimand 4 row.</s:t>
        </s:is>
      </s:c>
      <s:c r="D5" s="7" t="inlineStr">
        <s:is>
          <s:t>retain</s:t>
        </s:is>
      </s:c>
      <s:c r="E5" s="7" t="inlineStr">
        <s:is>
          <s:t>statistical_results</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inlineStr">
        <s:is>
          <s:t>confirmed_issue</s:t>
        </s:is>
      </s:c>
      <s:c r="I5" s="7" t="inlineStr">
        <s:is>
          <s:t>substantive</s:t>
        </s:is>
      </s:c>
      <s:c r="J5" s="13" t="n"/>
      <s:c r="K5" s="7" t="n"/>
      <s:c r="L5" s="13" t="n"/>
      <s:c r="M5" s="19" t="n"/>
      <s:c r="N5" s="19" t="n"/>
      <s:c r="O5" s="19" t="n"/>
      <s:c r="P5" s="19" t="n"/>
      <s:c r="Q5" s="19" t="n"/>
      <s:c r="R5" s="13" t="inlineStr">
        <s:is>
          <s:t>TEST 2025::jama.2025.15185::C004</s:t>
        </s:is>
      </s:c>
    </s:row>
    <s:row r="6" ht="92" customFormat="1" customHeight="1" s="8">
      <s:c r="A6" s="12" t="inlineStr">
        <s:is>
          <s:t>2025::jama.2025.15185::C005</s:t>
        </s:is>
      </s:c>
      <s:c r="B6" s="12" t="inlineStr">
        <s:is>
          <s:t>Levodopa PROMIS-29 descriptive mean differs between main text and eTable 4</s:t>
        </s:is>
      </s:c>
      <s:c r="C6" s="12" t="inlineStr">
        <s:is>
          <s:t>DOC-001, main article — PDF p. 6, Secondary Outcomes; DOC-004, Supplement 3 — PDF p. 15, eTable 4.</s:t>
        </s:is>
      </s:c>
      <s:c r="D6" s="7" t="inlineStr">
        <s:is>
          <s:t>retain</s:t>
        </s:is>
      </s:c>
      <s:c r="E6" s="7" t="inlineStr">
        <s:is>
          <s:t>report_internal_inconsistency</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2025::jama.2025.15185::C005</s:t>
        </s:is>
      </s:c>
    </s:row>
    <s:row r="7" ht="92" customFormat="1" customHeight="1" s="8">
      <s:c r="A7" s="11" t="inlineStr">
        <s:is>
          <s:t>2025::jama.2025.15185::C006</s:t>
        </s:is>
      </s:c>
      <s:c r="B7" s="11" t="inlineStr">
        <s:is>
          <s:t>PROMIS-10 descriptive means differ between main text and eTable 4</s:t>
        </s:is>
      </s:c>
      <s:c r="C7" s="11" t="inlineStr">
        <s:is>
          <s:t>DOC-001, main article — PDF p. 6, Secondary Outcomes; DOC-004, Supplement 3 — PDF p. 15, eTable 4.</s:t>
        </s:is>
      </s:c>
      <s:c r="D7" s="7" t="inlineStr">
        <s:is>
          <s:t>retain</s:t>
        </s:is>
      </s:c>
      <s:c r="E7" s="7" t="inlineStr">
        <s:is>
          <s:t>report_internal_inconsistency</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2025::jama.2025.15185::C006</s:t>
        </s:is>
      </s:c>
    </s:row>
    <s:row r="8" ht="92" customFormat="1" customHeight="1" s="8">
      <s:c r="A8" s="12" t="inlineStr">
        <s:is>
          <s:t>2025::jama.2025.15185::C007</s:t>
        </s:is>
      </s:c>
      <s:c r="B8" s="12" t="inlineStr">
        <s:is>
          <s:t>Placebo five-week FMA standard deviation differs from eTable 4</s:t>
        </s:is>
      </s:c>
      <s:c r="C8" s="12" t="inlineStr">
        <s:is>
          <s:t>DOC-001, main article — PDF p. 6, Secondary Outcomes; DOC-004, Supplement 3 — PDF p. 15, eTable 4.</s:t>
        </s:is>
      </s:c>
      <s:c r="D8" s="7" t="inlineStr">
        <s:is>
          <s:t>retain</s:t>
        </s:is>
      </s:c>
      <s:c r="E8" s="7" t="inlineStr">
        <s:is>
          <s:t>report_internal_inconsistency</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inlineStr">
        <s:is>
          <s:t>substantive_inconsistency</s:t>
        </s:is>
      </s:c>
      <s:c r="L8" s="13" t="n"/>
      <s:c r="M8" s="19" t="n"/>
      <s:c r="N8" s="19" t="n"/>
      <s:c r="O8" s="19" t="n"/>
      <s:c r="P8" s="19" t="n"/>
      <s:c r="Q8" s="19" t="n"/>
      <s:c r="R8" s="13" t="inlineStr">
        <s:is>
          <s:t>TEST 2025::jama.2025.15185::C007</s:t>
        </s:is>
      </s:c>
    </s:row>
    <s:row r="9" ht="92" customFormat="1" customHeight="1" s="8">
      <s:c r="A9" s="11" t="inlineStr">
        <s:is>
          <s:t>2025::jama.2025.15185::C008</s:t>
        </s:is>
      </s:c>
      <s:c r="B9" s="11" t="inlineStr">
        <s:is>
          <s:t>Placebo PRAI no-improvement numerator differs between main text and eTable 4</s:t>
        </s:is>
      </s:c>
      <s:c r="C9" s="11" t="inlineStr">
        <s:is>
          <s:t>DOC-001, main article — PDF p. 6, Secondary Outcomes; DOC-004, Supplement 3 — PDF p. 15, eTable 4.</s:t>
        </s:is>
      </s:c>
      <s:c r="D9" s="7" t="inlineStr">
        <s:is>
          <s:t>retain</s:t>
        </s:is>
      </s:c>
      <s:c r="E9" s="7" t="inlineStr">
        <s:is>
          <s:t>report_internal_inconsistency</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n"/>
      <s:c r="I9" s="7" t="n"/>
      <s:c r="J9" s="13" t="n"/>
      <s:c r="K9" s="7" t="inlineStr">
        <s:is>
          <s:t>substantive_inconsistency</s:t>
        </s:is>
      </s:c>
      <s:c r="L9" s="13" t="n"/>
      <s:c r="M9" s="19" t="n"/>
      <s:c r="N9" s="19" t="n"/>
      <s:c r="O9" s="19" t="n"/>
      <s:c r="P9" s="19" t="n"/>
      <s:c r="Q9" s="19" t="n"/>
      <s:c r="R9" s="13" t="inlineStr">
        <s:is>
          <s:t>TEST 2025::jama.2025.15185::C008</s:t>
        </s:is>
      </s:c>
    </s:row>
    <s:row r="10" ht="92" customFormat="1" customHeight="1" s="8">
      <s:c r="A10" s="12" t="inlineStr">
        <s:is>
          <s:t>2025::jama.2025.15185::C009</s:t>
        </s:is>
      </s:c>
      <s:c r="B10" s="12" t="inlineStr">
        <s:is>
          <s:t>eTable 6 overall adverse-event total is one below arms and category sums</s:t>
        </s:is>
      </s:c>
      <s:c r="C10" s="12" t="inlineStr">
        <s:is>
          <s:t>DOC-001, main article — PDF p. 6, Table 2 and narrative, and PDF p. 7; DOC-004, Supplement 3 — PDF p. 17, eTable 6.</s:t>
        </s:is>
      </s:c>
      <s:c r="D10" s="7" t="inlineStr">
        <s:is>
          <s:t>retain</s:t>
        </s:is>
      </s:c>
      <s:c r="E10" s="7" t="inlineStr">
        <s:is>
          <s:t>statistical_results</s:t>
        </s:is>
      </s:c>
      <s:c r="F10" s="7" t="inlineStr">
        <s:is>
          <s:t>primary_done</s:t>
        </s:is>
      </s:c>
      <s:c r="G10" s="12" t="str">
        <s: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s:f>
        <s:v>PRIMARY READY</s:v>
      </s:c>
      <s:c r="H10" s="7" t="inlineStr">
        <s:is>
          <s:t>confirmed_issue</s:t>
        </s:is>
      </s:c>
      <s:c r="I10" s="7" t="inlineStr">
        <s:is>
          <s:t>substantive</s:t>
        </s:is>
      </s:c>
      <s:c r="J10" s="13" t="n"/>
      <s:c r="K10" s="7" t="n"/>
      <s:c r="L10" s="13" t="n"/>
      <s:c r="M10" s="19" t="n"/>
      <s:c r="N10" s="19" t="n"/>
      <s:c r="O10" s="19" t="n"/>
      <s:c r="P10" s="19" t="n"/>
      <s:c r="Q10" s="19" t="n"/>
      <s:c r="R10" s="13" t="inlineStr">
        <s:is>
          <s:t>TEST 2025::jama.2025.15185::C009</s:t>
        </s:is>
      </s:c>
    </s:row>
    <s:row r="11" ht="92" customFormat="1" customHeight="1" s="8">
      <s:c r="A11" s="11" t="inlineStr">
        <s:is>
          <s:t>2025::jama.2025.15185::C010</s:t>
        </s:is>
      </s:c>
      <s:c r="B11" s="11" t="inlineStr">
        <s:is>
          <s:t>eFigure 4 switches locally from FMA to FMMA without qualification</s:t>
        </s:is>
      </s:c>
      <s:c r="C11" s="11" t="inlineStr">
        <s:is>
          <s:t>DOC-004, Supplement 3 — PDF p. 23, eFigure 4; DOC-003, Supplement 2 — PDF p. 2, SAP objective; DOC-001, main article — PDF p. 1, PDF p. 3, and PDF p. 6.</s:t>
        </s:is>
      </s:c>
      <s:c r="D11" s="7" t="inlineStr">
        <s:is>
          <s:t>retain</s:t>
        </s:is>
      </s:c>
      <s:c r="E11" s="7" t="inlineStr">
        <s:is>
          <s:t>report_internal_inconsistency</s:t>
        </s:is>
      </s:c>
      <s:c r="F11" s="7" t="inlineStr">
        <s:is>
          <s:t>primary_done</s:t>
        </s:is>
      </s:c>
      <s:c r="G11" s="11" t="str">
        <s: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s:f>
        <s:v>PRIMARY READY</s:v>
      </s:c>
      <s:c r="H11" s="7" t="n"/>
      <s:c r="I11" s="7" t="n"/>
      <s:c r="J11" s="13" t="n"/>
      <s:c r="K11" s="7" t="inlineStr">
        <s:is>
          <s:t>substantive_inconsistency</s:t>
        </s:is>
      </s:c>
      <s:c r="L11" s="13" t="n"/>
      <s:c r="M11" s="19" t="n"/>
      <s:c r="N11" s="19" t="n"/>
      <s:c r="O11" s="19" t="n"/>
      <s:c r="P11" s="19" t="n"/>
      <s:c r="Q11" s="19" t="n"/>
      <s:c r="R11" s="13" t="inlineStr">
        <s:is>
          <s:t>TEST 2025::jama.2025.15185::C010</s:t>
        </s:is>
      </s:c>
    </s:row>
    <s:row r="12" ht="92" customFormat="1" customHeight="1" s="8">
      <s:c r="A12" s="12" t="inlineStr">
        <s:is>
          <s:t>2025::jama.2025.15185::C011</s:t>
        </s:is>
      </s:c>
      <s:c r="B12" s="12" t="inlineStr">
        <s:is>
          <s:t>Estimand 4 win ratio appears under an FMA mean-difference column heading</s:t>
        </s:is>
      </s:c>
      <s:c r="C12" s="12" t="inlineStr">
        <s:is>
          <s:t>DOC-004, Supplement 3 — PDF p. 13, eTable 2 column heading and Estimand 4 row.</s:t>
        </s:is>
      </s:c>
      <s:c r="D12" s="7" t="inlineStr">
        <s:is>
          <s:t>retain</s:t>
        </s:is>
      </s:c>
      <s:c r="E12" s="7" t="inlineStr">
        <s:is>
          <s:t>report_internal_inconsistency</s:t>
        </s:is>
      </s:c>
      <s:c r="F12" s="7" t="inlineStr">
        <s:is>
          <s:t>primary_done</s:t>
        </s:is>
      </s:c>
      <s:c r="G12" s="12" t="str">
        <s: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s:f>
        <s:v>PRIMARY READY</s:v>
      </s:c>
      <s:c r="H12" s="7" t="n"/>
      <s:c r="I12" s="7" t="n"/>
      <s:c r="J12" s="13" t="n"/>
      <s:c r="K12" s="7" t="inlineStr">
        <s:is>
          <s:t>substantive_inconsistency</s:t>
        </s:is>
      </s:c>
      <s:c r="L12" s="13" t="n"/>
      <s:c r="M12" s="19" t="n"/>
      <s:c r="N12" s="19" t="n"/>
      <s:c r="O12" s="19" t="n"/>
      <s:c r="P12" s="19" t="n"/>
      <s:c r="Q12" s="19" t="n"/>
      <s:c r="R12" s="13" t="inlineStr">
        <s:is>
          <s:t>TEST 2025::jama.2025.15185::C011</s:t>
        </s:is>
      </s:c>
    </s:row>
    <s:row r="13" ht="92" customFormat="1" customHeight="1" s="8">
      <s:c r="A13" s="11" t="inlineStr">
        <s:is>
          <s:t>2025::jama.2025.15185::C012</s:t>
        </s:is>
      </s:c>
      <s:c r="B13" s="11" t="inlineStr">
        <s:is>
          <s:t>Estimand 4 is called an odds ratio in prose and a win ratio in the table</s:t>
        </s:is>
      </s:c>
      <s:c r="C13" s="11" t="inlineStr">
        <s:is>
          <s:t>DOC-004, Supplement 3 — PDF p. 12, eTable 2 narrative; PDF p. 13, Estimand 4 row.</s:t>
        </s:is>
      </s:c>
      <s:c r="D13" s="7" t="inlineStr">
        <s:is>
          <s:t>retain</s:t>
        </s:is>
      </s:c>
      <s:c r="E13" s="7" t="inlineStr">
        <s:is>
          <s:t>report_internal_inconsistency</s:t>
        </s:is>
      </s:c>
      <s:c r="F13" s="7" t="inlineStr">
        <s:is>
          <s:t>primary_done</s:t>
        </s:is>
      </s:c>
      <s:c r="G13" s="11" t="str">
        <s: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s:f>
        <s:v>PRIMARY READY</s:v>
      </s:c>
      <s:c r="H13" s="7" t="n"/>
      <s:c r="I13" s="7" t="n"/>
      <s:c r="J13" s="13" t="n"/>
      <s:c r="K13" s="7" t="inlineStr">
        <s:is>
          <s:t>substantive_inconsistency</s:t>
        </s:is>
      </s:c>
      <s:c r="L13" s="13" t="n"/>
      <s:c r="M13" s="19" t="n"/>
      <s:c r="N13" s="19" t="n"/>
      <s:c r="O13" s="19" t="n"/>
      <s:c r="P13" s="19" t="n"/>
      <s:c r="Q13" s="19" t="n"/>
      <s:c r="R13" s="13" t="inlineStr">
        <s:is>
          <s:t>TEST 2025::jama.2025.15185::C012</s:t>
        </s:is>
      </s:c>
    </s:row>
  </s:sheetData>
  <s:autoFilter ref="A1:R13"/>
  <s:conditionalFormatting sqref="G2:G13">
    <s:cfRule type="expression" priority="1" dxfId="105">
      <s:formula>G2&lt;&gt;"PRIMARY READY"</s:formula>
    </s:cfRule>
  </s:conditionalFormatting>
  <s:conditionalFormatting sqref="H2:H13">
    <s:cfRule type="expression" priority="2" dxfId="106">
      <s:formula>NOT(AND(OR($D2="retain",$D2=""),$E2="statistical_results"))</s:formula>
    </s:cfRule>
  </s:conditionalFormatting>
  <s:conditionalFormatting sqref="I2:I13">
    <s:cfRule type="expression" priority="3" dxfId="106">
      <s:formula>NOT(AND(OR($D2="retain",$D2=""),$E2="statistical_results"))</s:formula>
    </s:cfRule>
  </s:conditionalFormatting>
  <s:conditionalFormatting sqref="J2:J13">
    <s:cfRule type="expression" priority="4" dxfId="106">
      <s:formula>NOT(AND(OR($D2="retain",$D2=""),$E2="statistical_results"))</s:formula>
    </s:cfRule>
  </s:conditionalFormatting>
  <s:conditionalFormatting sqref="K2:K13">
    <s:cfRule type="expression" priority="5" dxfId="106">
      <s:formula>NOT(AND(OR($D2="retain",$D2=""),OR($E2="report_internal_inconsistency",$E2="plan_material")))</s:formula>
    </s:cfRule>
  </s:conditionalFormatting>
  <s:conditionalFormatting sqref="L2:L13">
    <s:cfRule type="expression" priority="6" dxfId="106">
      <s:formula>NOT(AND(OR($D2="retain",$D2=""),$E2="protocol_report"))</s:formula>
    </s:cfRule>
  </s:conditionalFormatting>
  <s:dataValidations count="8">
    <s:dataValidation sqref="D2:D13" showDropDown="0" showInputMessage="0" showErrorMessage="1" allowBlank="1" errorTitle="Use an allowed option" error="Choose an option from the list; see Codebook." type="list" errorStyle="stop">
      <s:formula1>"retain,exclude,discuss"</s:formula1>
    </s:dataValidation>
    <s:dataValidation sqref="E2:E13"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13" showDropDown="0" showInputMessage="0" showErrorMessage="1" allowBlank="1" errorTitle="Use an allowed option" error="Choose an option from the list; see Codebook." type="list" errorStyle="stop">
      <s:formula1>"no,primary_done"</s:formula1>
    </s:dataValidation>
    <s:dataValidation sqref="H2:H13"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13"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13" showDropDown="0" showInputMessage="0" showErrorMessage="1" allowBlank="1" errorTitle="Use an allowed option" error="Choose an option from the list; see Codebook." type="list" errorStyle="stop">
      <s:formula1>"direct,possible,unlikely,unknown,not_applicable"</s:formula1>
    </s:dataValidation>
    <s:dataValidation sqref="K2:K13"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13"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214" tooltip="Read embedded evidence; filter by candidate key"/>
    <s:hyperlink ref="A3" location="'Evidence'!A218" tooltip="Read embedded evidence; filter by candidate key"/>
    <s:hyperlink ref="A4" location="'Evidence'!A222" tooltip="Read embedded evidence; filter by candidate key"/>
    <s:hyperlink ref="A5" location="'Evidence'!A226" tooltip="Read embedded evidence; filter by candidate key"/>
    <s:hyperlink ref="A6" location="'Evidence'!A230" tooltip="Read embedded evidence; filter by candidate key"/>
    <s:hyperlink ref="A7" location="'Evidence'!A234" tooltip="Read embedded evidence; filter by candidate key"/>
    <s:hyperlink ref="A8" location="'Evidence'!A238" tooltip="Read embedded evidence; filter by candidate key"/>
    <s:hyperlink ref="A9" location="'Evidence'!A242" tooltip="Read embedded evidence; filter by candidate key"/>
    <s:hyperlink ref="A10" location="'Evidence'!A246" tooltip="Read embedded evidence; filter by candidate key"/>
    <s:hyperlink ref="A11" location="'Evidence'!A250" tooltip="Read embedded evidence; filter by candidate key"/>
    <s:hyperlink ref="A12" location="'Evidence'!A254" tooltip="Read embedded evidence; filter by candidate key"/>
    <s:hyperlink ref="A13" location="'Evidence'!A258" tooltip="Read embedded evidence; filter by candidate key"/>
  </s:hyperlinks>
  <s:pageMargins left="0.7" right="0.7" top="0.75" bottom="0.75" header="0.3" footer="0.3"/>
</s:worksheet>
</file>

<file path=xl/worksheets/sheet9.xml><?xml version="1.0" encoding="utf-8"?>
<s:worksheet xmlns:s="http://schemas.openxmlformats.org/spreadsheetml/2006/main">
  <s:sheetPr>
    <s:outlinePr summaryBelow="1" summaryRight="1"/>
    <s:pageSetUpPr/>
  </s:sheetPr>
  <s:dimension ref="A1:R3"/>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2025::jama.2025.15440::C001</s:t>
        </s:is>
      </s:c>
      <s:c r="B2" s="12" t="inlineStr">
        <s:is>
          <s:t>Conflicting confidence intervals for the matched any-stroke rate ratio</s:t>
        </s:is>
      </s:c>
      <s:c r="C2" s="12" t="inlineStr">
        <s:is>
          <s:t>DOC-001: jama_wijesurendra_2025_oi_250068_1760999665.28362.pdf — PDF p. 1 (abstract); PDF p. 5 (results narrative); and PDF p. 7 (Figure 4B).</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2025::jama.2025.15440::C001</s:t>
        </s:is>
      </s:c>
    </s:row>
    <s:row r="3" ht="92" customFormat="1" customHeight="1" s="8">
      <s:c r="A3" s="11" t="inlineStr">
        <s:is>
          <s:t>2025::jama.2025.15440::C002</s:t>
        </s:is>
      </s:c>
      <s:c r="B3" s="11" t="inlineStr">
        <s:is>
          <s:t>Stroke subtype counts do not partition the displayed any-stroke count in the patch group</s:t>
        </s:is>
      </s:c>
      <s:c r="C3" s="11" t="inlineStr">
        <s:is>
          <s:t>DOC-001: jama_wijesurendra_2025_oi_250068_1760999665.28362.pdf — PDF p. 7, Figure 4B rows Presumed ischemic stroke, Hemorrhagic stroke, and Any stroke, including its caption/footnote. The matching any-stroke total also appears on PDF p. 5 and PDF p. 1.</s:t>
        </s:is>
      </s:c>
      <s:c r="D3" s="7" t="inlineStr">
        <s:is>
          <s:t>retain</s:t>
        </s:is>
      </s:c>
      <s:c r="E3" s="7" t="inlineStr">
        <s:is>
          <s:t>statistical_results</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inlineStr">
        <s:is>
          <s:t>confirmed_issue</s:t>
        </s:is>
      </s:c>
      <s:c r="I3" s="7" t="inlineStr">
        <s:is>
          <s:t>substantive</s:t>
        </s:is>
      </s:c>
      <s:c r="J3" s="13" t="n"/>
      <s:c r="K3" s="7" t="n"/>
      <s:c r="L3" s="13" t="n"/>
      <s:c r="M3" s="19" t="n"/>
      <s:c r="N3" s="19" t="n"/>
      <s:c r="O3" s="19" t="n"/>
      <s:c r="P3" s="19" t="n"/>
      <s:c r="Q3" s="19" t="n"/>
      <s:c r="R3" s="13" t="inlineStr">
        <s:is>
          <s:t>TEST 2025::jama.2025.15440::C002</s:t>
        </s:is>
      </s:c>
    </s:row>
  </s:sheetData>
  <s:autoFilter ref="A1:R3"/>
  <s:conditionalFormatting sqref="G2:G3">
    <s:cfRule type="expression" priority="1" dxfId="105">
      <s:formula>G2&lt;&gt;"PRIMARY READY"</s:formula>
    </s:cfRule>
  </s:conditionalFormatting>
  <s:conditionalFormatting sqref="H2:H3">
    <s:cfRule type="expression" priority="2" dxfId="106">
      <s:formula>NOT(AND(OR($D2="retain",$D2=""),$E2="statistical_results"))</s:formula>
    </s:cfRule>
  </s:conditionalFormatting>
  <s:conditionalFormatting sqref="I2:I3">
    <s:cfRule type="expression" priority="3" dxfId="106">
      <s:formula>NOT(AND(OR($D2="retain",$D2=""),$E2="statistical_results"))</s:formula>
    </s:cfRule>
  </s:conditionalFormatting>
  <s:conditionalFormatting sqref="J2:J3">
    <s:cfRule type="expression" priority="4" dxfId="106">
      <s:formula>NOT(AND(OR($D2="retain",$D2=""),$E2="statistical_results"))</s:formula>
    </s:cfRule>
  </s:conditionalFormatting>
  <s:conditionalFormatting sqref="K2:K3">
    <s:cfRule type="expression" priority="5" dxfId="106">
      <s:formula>NOT(AND(OR($D2="retain",$D2=""),OR($E2="report_internal_inconsistency",$E2="plan_material")))</s:formula>
    </s:cfRule>
  </s:conditionalFormatting>
  <s:conditionalFormatting sqref="L2:L3">
    <s:cfRule type="expression" priority="6" dxfId="106">
      <s:formula>NOT(AND(OR($D2="retain",$D2=""),$E2="protocol_report"))</s:formula>
    </s:cfRule>
  </s:conditionalFormatting>
  <s:dataValidations count="8">
    <s:dataValidation sqref="D2:D3" showDropDown="0" showInputMessage="0" showErrorMessage="1" allowBlank="1" errorTitle="Use an allowed option" error="Choose an option from the list; see Codebook." type="list" errorStyle="stop">
      <s:formula1>"retain,exclude,discuss"</s:formula1>
    </s:dataValidation>
    <s:dataValidation sqref="E2:E3"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3" showDropDown="0" showInputMessage="0" showErrorMessage="1" allowBlank="1" errorTitle="Use an allowed option" error="Choose an option from the list; see Codebook." type="list" errorStyle="stop">
      <s:formula1>"no,primary_done"</s:formula1>
    </s:dataValidation>
    <s:dataValidation sqref="H2:H3"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3"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3" showDropDown="0" showInputMessage="0" showErrorMessage="1" allowBlank="1" errorTitle="Use an allowed option" error="Choose an option from the list; see Codebook." type="list" errorStyle="stop">
      <s:formula1>"direct,possible,unlikely,unknown,not_applicable"</s:formula1>
    </s:dataValidation>
    <s:dataValidation sqref="K2:K3"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3"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262" tooltip="Read embedded evidence; filter by candidate key"/>
    <s:hyperlink ref="A3" location="'Evidence'!A266" tooltip="Read embedded evidence; filter by candidate key"/>
  </s:hyperlinks>
  <s:pageMargins left="0.7" right="0.7" top="0.75" bottom="0.75" header="0.3" footer="0.3"/>
</s:worksheet>
</file>

<file path=xl/worksheets/sheet10.xml><?xml version="1.0" encoding="utf-8"?>
<s:worksheet xmlns:s="http://schemas.openxmlformats.org/spreadsheetml/2006/main">
  <s:sheetPr>
    <s:outlinePr summaryBelow="1" summaryRight="1"/>
    <s:pageSetUpPr/>
  </s:sheetPr>
  <s:dimension ref="A1:R11"/>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2025::jama.2025.16450::C001</s:t>
        </s:is>
      </s:c>
      <s:c r="B2" s="12" t="inlineStr">
        <s:is>
          <s:t>eTable 4 expands RR as risk difference although the table reports relative risk</s:t>
        </s:is>
      </s:c>
      <s:c r="C2" s="12" t="inlineStr">
        <s:is>
          <s:t>DOC-005 results supplement — PDF p. 7 (eTable 4 header and PDA row); results supplement — PDF p. 8 (abbreviations and binary-outcome model text).</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2025::jama.2025.16450::C001</s:t>
        </s:is>
      </s:c>
    </s:row>
    <s:row r="3" ht="92" customFormat="1" customHeight="1" s="8">
      <s:c r="A3" s="11" t="inlineStr">
        <s:is>
          <s:t>2025::jama.2025.16450::C002</s:t>
        </s:is>
      </s:c>
      <s:c r="B3" s="11" t="inlineStr">
        <s:is>
          <s:t>Registered eligibility-bound discrepancy is not reproduced on direct-source recheck</s:t>
        </s:is>
      </s:c>
      <s:c r="C3" s="11" t="inlineStr">
        <s:is>
          <s:t>DOC-002 protocol — PDF p. 4; DOC-003 manual — PDF p. 7; DOC-004 SAP — PDF p. 8 and SAP — PDF p. 15; DOC-001 main article — PDF p. 2.</s:t>
        </s:is>
      </s:c>
      <s:c r="D3" s="7" t="inlineStr">
        <s:is>
          <s:t>retain</s:t>
        </s:is>
      </s:c>
      <s:c r="E3" s="7" t="inlineStr">
        <s:is>
          <s:t>protocol_report</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n"/>
      <s:c r="L3" s="13" t="n"/>
      <s:c r="M3" s="19" t="n"/>
      <s:c r="N3" s="19" t="n"/>
      <s:c r="O3" s="19" t="n"/>
      <s:c r="P3" s="19" t="n"/>
      <s:c r="Q3" s="19" t="n"/>
      <s:c r="R3" s="13" t="inlineStr">
        <s:is>
          <s:t>TEST 2025::jama.2025.16450::C002</s:t>
        </s:is>
      </s:c>
    </s:row>
    <s:row r="4" ht="92" customFormat="1" customHeight="1" s="8">
      <s:c r="A4" s="12" t="inlineStr">
        <s:is>
          <s:t>2025::jama.2025.16450::C003</s:t>
        </s:is>
      </s:c>
      <s:c r="B4" s="12" t="inlineStr">
        <s:is>
          <s:t>Registered first-dose discrepancy is not reproduced on direct-source recheck</s:t>
        </s:is>
      </s:c>
      <s:c r="C4" s="12" t="inlineStr">
        <s:is>
          <s:t>DOC-002 protocol — PDF p. 4; DOC-003 manual — PDF p. 7 and manual — PDF p. 12; DOC-004 SAP — PDF p. 8; DOC-001 main article — PDF p. 2; DOC-005 results supplement — PDF p. 4.</s:t>
        </s:is>
      </s:c>
      <s:c r="D4" s="7" t="inlineStr">
        <s:is>
          <s:t>retain</s:t>
        </s:is>
      </s:c>
      <s:c r="E4" s="7" t="inlineStr">
        <s:is>
          <s:t>protocol_report</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n"/>
      <s:c r="L4" s="13" t="n"/>
      <s:c r="M4" s="19" t="n"/>
      <s:c r="N4" s="19" t="n"/>
      <s:c r="O4" s="19" t="n"/>
      <s:c r="P4" s="19" t="n"/>
      <s:c r="Q4" s="19" t="n"/>
      <s:c r="R4" s="13" t="inlineStr">
        <s:is>
          <s:t>TEST 2025::jama.2025.16450::C003</s:t>
        </s:is>
      </s:c>
    </s:row>
    <s:row r="5" ht="92" customFormat="1" customHeight="1" s="8">
      <s:c r="A5" s="11" t="inlineStr">
        <s:is>
          <s:t>2025::jama.2025.16450::C004</s:t>
        </s:is>
      </s:c>
      <s:c r="B5" s="11" t="inlineStr">
        <s:is>
          <s:t>Severe-NDI GMFCS cutoff differs between the manual and SAP</s:t>
        </s:is>
      </s:c>
      <s:c r="C5" s="11" t="inlineStr">
        <s:is>
          <s:t>DOC-003 manual — PDF p. 14 and manual — PDF p. 16; DOC-004 SAP — PDF p. 10 and SAP — PDF p. 33.</s:t>
        </s:is>
      </s:c>
      <s:c r="D5" s="7" t="inlineStr">
        <s:is>
          <s:t>retain</s:t>
        </s:is>
      </s:c>
      <s:c r="E5" s="7" t="inlineStr">
        <s:is>
          <s:t>plan_material</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inlineStr">
        <s:is>
          <s:t>substantive_inconsistency</s:t>
        </s:is>
      </s:c>
      <s:c r="L5" s="13" t="n"/>
      <s:c r="M5" s="19" t="n"/>
      <s:c r="N5" s="19" t="n"/>
      <s:c r="O5" s="19" t="n"/>
      <s:c r="P5" s="19" t="n"/>
      <s:c r="Q5" s="19" t="n"/>
      <s:c r="R5" s="13" t="inlineStr">
        <s:is>
          <s:t>TEST 2025::jama.2025.16450::C004</s:t>
        </s:is>
      </s:c>
    </s:row>
    <s:row r="6" ht="92" customFormat="1" customHeight="1" s="8">
      <s:c r="A6" s="12" t="inlineStr">
        <s:is>
          <s:t>2025::jama.2025.16450::C005</s:t>
        </s:is>
      </s:c>
      <s:c r="B6" s="12" t="inlineStr">
        <s:is>
          <s:t>Registered severe-NDI instrument-edition discrepancy is not reproduced on direct-source recheck</s:t>
        </s:is>
      </s:c>
      <s:c r="C6" s="12" t="inlineStr">
        <s:is>
          <s:t>DOC-003 manual — PDF p. 14 and manual — PDF p. 16; DOC-004 SAP — PDF p. 10, SAP — PDF p. 33, and SAP — PDF p. 34.</s:t>
        </s:is>
      </s:c>
      <s:c r="D6" s="7" t="inlineStr">
        <s:is>
          <s:t>retain</s:t>
        </s:is>
      </s:c>
      <s:c r="E6" s="7" t="inlineStr">
        <s:is>
          <s:t>plan_material</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2025::jama.2025.16450::C005</s:t>
        </s:is>
      </s:c>
    </s:row>
    <s:row r="7" ht="92" customFormat="1" customHeight="1" s="8">
      <s:c r="A7" s="11" t="inlineStr">
        <s:is>
          <s:t>2025::jama.2025.16450::C006</s:t>
        </s:is>
      </s:c>
      <s:c r="B7" s="11" t="inlineStr">
        <s:is>
          <s:t>Registered first-interim-alpha discrepancy is not reproduced on direct-source recheck</s:t>
        </s:is>
      </s:c>
      <s:c r="C7" s="11" t="inlineStr">
        <s:is>
          <s:t>DOC-002 protocol — PDF p. 29; DOC-004 SAP — PDF p. 26.</s:t>
        </s:is>
      </s:c>
      <s:c r="D7" s="7" t="inlineStr">
        <s:is>
          <s:t>retain</s:t>
        </s:is>
      </s:c>
      <s:c r="E7" s="7" t="inlineStr">
        <s:is>
          <s:t>plan_material</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2025::jama.2025.16450::C006</s:t>
        </s:is>
      </s:c>
    </s:row>
    <s:row r="8" ht="92" customFormat="1" customHeight="1" s="8">
      <s:c r="A8" s="12" t="inlineStr">
        <s:is>
          <s:t>2025::jama.2025.16450::C007</s:t>
        </s:is>
      </s:c>
      <s:c r="B8" s="12" t="inlineStr">
        <s:is>
          <s:t>Final primary-analysis alpha differs between the article and prospective documents</s:t>
        </s:is>
      </s:c>
      <s:c r="C8" s="12" t="inlineStr">
        <s:is>
          <s:t>DOC-001 main article — PDF p. 3 and main article — PDF p. 7; DOC-002 protocol — PDF p. 29; DOC-004 SAP — PDF p. 26.</s:t>
        </s:is>
      </s:c>
      <s:c r="D8" s="7" t="inlineStr">
        <s:is>
          <s:t>retain</s:t>
        </s:is>
      </s:c>
      <s:c r="E8" s="7" t="inlineStr">
        <s:is>
          <s:t>protocol_report</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n"/>
      <s:c r="L8" s="13" t="n"/>
      <s:c r="M8" s="19" t="n"/>
      <s:c r="N8" s="19" t="n"/>
      <s:c r="O8" s="19" t="n"/>
      <s:c r="P8" s="19" t="n"/>
      <s:c r="Q8" s="19" t="n"/>
      <s:c r="R8" s="13" t="inlineStr">
        <s:is>
          <s:t>TEST 2025::jama.2025.16450::C007</s:t>
        </s:is>
      </s:c>
    </s:row>
    <s:row r="9" ht="92" customFormat="1" customHeight="1" s="8">
      <s:c r="A9" s="11" t="inlineStr">
        <s:is>
          <s:t>2025::jama.2025.16450::C008</s:t>
        </s:is>
      </s:c>
      <s:c r="B9" s="11" t="inlineStr">
        <s:is>
          <s:t>Trial center count differs between final and prospective documents</s:t>
        </s:is>
      </s:c>
      <s:c r="C9" s="11" t="inlineStr">
        <s:is>
          <s:t>DOC-001 main article — PDF p. 1; DOC-002 protocol — PDF p. 29; DOC-004 SAP — PDF p. 8.</s:t>
        </s:is>
      </s:c>
      <s:c r="D9" s="7" t="inlineStr">
        <s:is>
          <s:t>retain</s:t>
        </s:is>
      </s:c>
      <s:c r="E9" s="7" t="inlineStr">
        <s:is>
          <s:t>protocol_report</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n"/>
      <s:c r="I9" s="7" t="n"/>
      <s:c r="J9" s="13" t="n"/>
      <s:c r="K9" s="7" t="n"/>
      <s:c r="L9" s="13" t="n"/>
      <s:c r="M9" s="19" t="n"/>
      <s:c r="N9" s="19" t="n"/>
      <s:c r="O9" s="19" t="n"/>
      <s:c r="P9" s="19" t="n"/>
      <s:c r="Q9" s="19" t="n"/>
      <s:c r="R9" s="13" t="inlineStr">
        <s:is>
          <s:t>TEST 2025::jama.2025.16450::C008</s:t>
        </s:is>
      </s:c>
    </s:row>
    <s:row r="10" ht="92" customFormat="1" customHeight="1" s="8">
      <s:c r="A10" s="12" t="inlineStr">
        <s:is>
          <s:t>2025::jama.2025.16450::C009</s:t>
        </s:is>
      </s:c>
      <s:c r="B10" s="12" t="inlineStr">
        <s:is>
          <s:t>Table 3 RR label conflicts with a stated common-OR approximation</s:t>
        </s:is>
      </s:c>
      <s:c r="C10" s="12" t="inlineStr">
        <s:is>
          <s:t>DOC-001 main article — PDF p. 8 (Table 3 additional open-label surfactant row and footnote g).</s:t>
        </s:is>
      </s:c>
      <s:c r="D10" s="7" t="inlineStr">
        <s:is>
          <s:t>retain</s:t>
        </s:is>
      </s:c>
      <s:c r="E10" s="7" t="inlineStr">
        <s:is>
          <s:t>report_internal_inconsistency</s:t>
        </s:is>
      </s:c>
      <s:c r="F10" s="7" t="inlineStr">
        <s:is>
          <s:t>primary_done</s:t>
        </s:is>
      </s:c>
      <s:c r="G10" s="12" t="str">
        <s: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s:f>
        <s:v>PRIMARY READY</s:v>
      </s:c>
      <s:c r="H10" s="7" t="n"/>
      <s:c r="I10" s="7" t="n"/>
      <s:c r="J10" s="13" t="n"/>
      <s:c r="K10" s="7" t="inlineStr">
        <s:is>
          <s:t>substantive_inconsistency</s:t>
        </s:is>
      </s:c>
      <s:c r="L10" s="13" t="n"/>
      <s:c r="M10" s="19" t="n"/>
      <s:c r="N10" s="19" t="n"/>
      <s:c r="O10" s="19" t="n"/>
      <s:c r="P10" s="19" t="n"/>
      <s:c r="Q10" s="19" t="n"/>
      <s:c r="R10" s="13" t="inlineStr">
        <s:is>
          <s:t>TEST 2025::jama.2025.16450::C009</s:t>
        </s:is>
      </s:c>
    </s:row>
    <s:row r="11" ht="92" customFormat="1" customHeight="1" s="8">
      <s:c r="A11" s="11" t="inlineStr">
        <s:is>
          <s:t>2025::jama.2025.16450::C010</s:t>
        </s:is>
      </s:c>
      <s:c r="B11" s="11" t="inlineStr">
        <s:is>
          <s:t>eTable 3 relative-risk header conflicts with odds-ratio approximation footnote</s:t>
        </s:is>
      </s:c>
      <s:c r="C11" s="11" t="inlineStr">
        <s:is>
          <s:t>DOC-005 results supplement — PDF p. 5 and results supplement — PDF p. 6 (eTable 3 header and footnote b).</s:t>
        </s:is>
      </s:c>
      <s:c r="D11" s="7" t="inlineStr">
        <s:is>
          <s:t>retain</s:t>
        </s:is>
      </s:c>
      <s:c r="E11" s="7" t="inlineStr">
        <s:is>
          <s:t>report_internal_inconsistency</s:t>
        </s:is>
      </s:c>
      <s:c r="F11" s="7" t="inlineStr">
        <s:is>
          <s:t>primary_done</s:t>
        </s:is>
      </s:c>
      <s:c r="G11" s="11" t="str">
        <s: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s:f>
        <s:v>PRIMARY READY</s:v>
      </s:c>
      <s:c r="H11" s="7" t="n"/>
      <s:c r="I11" s="7" t="n"/>
      <s:c r="J11" s="13" t="n"/>
      <s:c r="K11" s="7" t="inlineStr">
        <s:is>
          <s:t>substantive_inconsistency</s:t>
        </s:is>
      </s:c>
      <s:c r="L11" s="13" t="n"/>
      <s:c r="M11" s="19" t="n"/>
      <s:c r="N11" s="19" t="n"/>
      <s:c r="O11" s="19" t="n"/>
      <s:c r="P11" s="19" t="n"/>
      <s:c r="Q11" s="19" t="n"/>
      <s:c r="R11" s="13" t="inlineStr">
        <s:is>
          <s:t>TEST 2025::jama.2025.16450::C010</s:t>
        </s:is>
      </s:c>
    </s:row>
  </s:sheetData>
  <s:autoFilter ref="A1:R11"/>
  <s:conditionalFormatting sqref="G2:G11">
    <s:cfRule type="expression" priority="1" dxfId="105">
      <s:formula>G2&lt;&gt;"PRIMARY READY"</s:formula>
    </s:cfRule>
  </s:conditionalFormatting>
  <s:conditionalFormatting sqref="H2:H11">
    <s:cfRule type="expression" priority="2" dxfId="106">
      <s:formula>NOT(AND(OR($D2="retain",$D2=""),$E2="statistical_results"))</s:formula>
    </s:cfRule>
  </s:conditionalFormatting>
  <s:conditionalFormatting sqref="I2:I11">
    <s:cfRule type="expression" priority="3" dxfId="106">
      <s:formula>NOT(AND(OR($D2="retain",$D2=""),$E2="statistical_results"))</s:formula>
    </s:cfRule>
  </s:conditionalFormatting>
  <s:conditionalFormatting sqref="J2:J11">
    <s:cfRule type="expression" priority="4" dxfId="106">
      <s:formula>NOT(AND(OR($D2="retain",$D2=""),$E2="statistical_results"))</s:formula>
    </s:cfRule>
  </s:conditionalFormatting>
  <s:conditionalFormatting sqref="K2:K11">
    <s:cfRule type="expression" priority="5" dxfId="106">
      <s:formula>NOT(AND(OR($D2="retain",$D2=""),OR($E2="report_internal_inconsistency",$E2="plan_material")))</s:formula>
    </s:cfRule>
  </s:conditionalFormatting>
  <s:conditionalFormatting sqref="L2:L11">
    <s:cfRule type="expression" priority="6" dxfId="106">
      <s:formula>NOT(AND(OR($D2="retain",$D2=""),$E2="protocol_report"))</s:formula>
    </s:cfRule>
  </s:conditionalFormatting>
  <s:dataValidations count="8">
    <s:dataValidation sqref="D2:D11" showDropDown="0" showInputMessage="0" showErrorMessage="1" allowBlank="1" errorTitle="Use an allowed option" error="Choose an option from the list; see Codebook." type="list" errorStyle="stop">
      <s:formula1>"retain,exclude,discuss"</s:formula1>
    </s:dataValidation>
    <s:dataValidation sqref="E2:E11"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11" showDropDown="0" showInputMessage="0" showErrorMessage="1" allowBlank="1" errorTitle="Use an allowed option" error="Choose an option from the list; see Codebook." type="list" errorStyle="stop">
      <s:formula1>"no,primary_done"</s:formula1>
    </s:dataValidation>
    <s:dataValidation sqref="H2:H11"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11"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11" showDropDown="0" showInputMessage="0" showErrorMessage="1" allowBlank="1" errorTitle="Use an allowed option" error="Choose an option from the list; see Codebook." type="list" errorStyle="stop">
      <s:formula1>"direct,possible,unlikely,unknown,not_applicable"</s:formula1>
    </s:dataValidation>
    <s:dataValidation sqref="K2:K11"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11"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270" tooltip="Read embedded evidence; filter by candidate key"/>
    <s:hyperlink ref="A3" location="'Evidence'!A274" tooltip="Read embedded evidence; filter by candidate key"/>
    <s:hyperlink ref="A4" location="'Evidence'!A278" tooltip="Read embedded evidence; filter by candidate key"/>
    <s:hyperlink ref="A5" location="'Evidence'!A282" tooltip="Read embedded evidence; filter by candidate key"/>
    <s:hyperlink ref="A6" location="'Evidence'!A286" tooltip="Read embedded evidence; filter by candidate key"/>
    <s:hyperlink ref="A7" location="'Evidence'!A290" tooltip="Read embedded evidence; filter by candidate key"/>
    <s:hyperlink ref="A8" location="'Evidence'!A294" tooltip="Read embedded evidence; filter by candidate key"/>
    <s:hyperlink ref="A9" location="'Evidence'!A298" tooltip="Read embedded evidence; filter by candidate key"/>
    <s:hyperlink ref="A10" location="'Evidence'!A302" tooltip="Read embedded evidence; filter by candidate key"/>
    <s:hyperlink ref="A11" location="'Evidence'!A306" tooltip="Read embedded evidence; filter by candidate key"/>
  </s:hyperlinks>
  <s:pageMargins left="0.7" right="0.7" top="0.75" bottom="0.75" header="0.3" footer="0.3"/>
</s:worksheet>
</file>

<file path=xl/worksheets/sheet11.xml><?xml version="1.0" encoding="utf-8"?>
<s:worksheet xmlns:s="http://schemas.openxmlformats.org/spreadsheetml/2006/main">
  <s:sheetPr>
    <s:outlinePr summaryBelow="1" summaryRight="1"/>
    <s:pageSetUpPr/>
  </s:sheetPr>
  <s:dimension ref="A1:R8"/>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2025::jama.2025.19563::C001</s:t>
        </s:is>
      </s:c>
      <s:c r="B2" s="12" t="inlineStr">
        <s:is>
          <s:t>Protocol and reported primary endpoint differ on the diabetes-range A1C failure condition</s:t>
        </s:is>
      </s:c>
      <s:c r="C2" s="12" t="inlineStr">
        <s:is>
          <s:t>DOC-002 protocol — PDF p. 15; DOC-001 main article — PDF p. 4; DOC-003 supplement — PDF p. 30 (explicit global-failure clause); DOC-003 supplement — PDF p. 56 (15-participant table).</s:t>
        </s:is>
      </s:c>
      <s:c r="D2" s="7" t="inlineStr">
        <s:is>
          <s:t>retain</s:t>
        </s:is>
      </s:c>
      <s:c r="E2" s="7" t="inlineStr">
        <s:is>
          <s:t>protocol_report</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n"/>
      <s:c r="L2" s="13" t="n"/>
      <s:c r="M2" s="19" t="n"/>
      <s:c r="N2" s="19" t="n"/>
      <s:c r="O2" s="19" t="n"/>
      <s:c r="P2" s="19" t="n"/>
      <s:c r="Q2" s="19" t="n"/>
      <s:c r="R2" s="13" t="inlineStr">
        <s:is>
          <s:t>TEST 2025::jama.2025.19563::C001</s:t>
        </s:is>
      </s:c>
    </s:row>
    <s:row r="3" ht="92" customFormat="1" customHeight="1" s="8">
      <s:c r="A3" s="11" t="inlineStr">
        <s:is>
          <s:t>2025::jama.2025.19563::C002</s:t>
        </s:is>
      </s:c>
      <s:c r="B3" s="11" t="inlineStr">
        <s:is>
          <s:t>312 listed 12-month A1C measurements versus 313 participants with A1C available</s:t>
        </s:is>
      </s:c>
      <s:c r="C3" s="11" t="inlineStr">
        <s:is>
          <s:t>DOC-003 supplement — PDF p. 8; DOC-001 main article — PDF p. 4; DOC-001 main article — PDF p. 5; DOC-003 supplement — PDF p. 50.</s:t>
        </s:is>
      </s:c>
      <s:c r="D3" s="7" t="inlineStr">
        <s:is>
          <s:t>retain</s:t>
        </s:is>
      </s:c>
      <s:c r="E3" s="7" t="inlineStr">
        <s:is>
          <s:t>statistical_results</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inlineStr">
        <s:is>
          <s:t>confirmed_issue</s:t>
        </s:is>
      </s:c>
      <s:c r="I3" s="7" t="inlineStr">
        <s:is>
          <s:t>substantive</s:t>
        </s:is>
      </s:c>
      <s:c r="J3" s="13" t="n"/>
      <s:c r="K3" s="7" t="n"/>
      <s:c r="L3" s="13" t="n"/>
      <s:c r="M3" s="19" t="n"/>
      <s:c r="N3" s="19" t="n"/>
      <s:c r="O3" s="19" t="n"/>
      <s:c r="P3" s="19" t="n"/>
      <s:c r="Q3" s="19" t="n"/>
      <s:c r="R3" s="13" t="inlineStr">
        <s:is>
          <s:t>TEST 2025::jama.2025.19563::C002</s:t>
        </s:is>
      </s:c>
    </s:row>
    <s:row r="4" ht="92" customFormat="1" customHeight="1" s="8">
      <s:c r="A4" s="12" t="inlineStr">
        <s:is>
          <s:t>2025::jama.2025.19563::C003</s:t>
        </s:is>
      </s:c>
      <s:c r="B4" s="12" t="inlineStr">
        <s:is>
          <s:t>Figure 3 labels BMI values in kg/m² as “weight”</s:t>
        </s:is>
      </s:c>
      <s:c r="C4" s="12" t="inlineStr">
        <s:is>
          <s:t>DOC-001 main article — PDF p. 8; DOC-001 main article — PDF p. 6; DOC-003 supplement — PDF p. 53.</s:t>
        </s:is>
      </s:c>
      <s:c r="D4" s="7" t="inlineStr">
        <s:is>
          <s:t>retain</s:t>
        </s:is>
      </s:c>
      <s:c r="E4" s="7" t="inlineStr">
        <s:is>
          <s:t>report_internal_inconsistency</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2025::jama.2025.19563::C003</s:t>
        </s:is>
      </s:c>
    </s:row>
    <s:row r="5" ht="92" customFormat="1" customHeight="1" s="8">
      <s:c r="A5" s="11" t="inlineStr">
        <s:is>
          <s:t>2025::jama.2025.19563::C004</s:t>
        </s:is>
      </s:c>
      <s:c r="B5" s="11" t="inlineStr">
        <s:is>
          <s:t>eTables 5-7 leave the comparator scope of a repeated age P value ambiguous</s:t>
        </s:is>
      </s:c>
      <s:c r="C5" s="11" t="inlineStr">
        <s:is>
          <s:t>DOC-003 supplement — PDF p. 39; DOC-003 supplement — PDF p. 43; DOC-003 supplement — PDF p. 45; DOC-003 supplement — PDF p. 47; DOC-001 main article — PDF p. 6.</s:t>
        </s:is>
      </s:c>
      <s:c r="D5" s="7" t="inlineStr">
        <s:is>
          <s:t>retain</s:t>
        </s:is>
      </s:c>
      <s:c r="E5" s="7" t="inlineStr">
        <s:is>
          <s:t>report_internal_inconsistency</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inlineStr">
        <s:is>
          <s:t>substantive_inconsistency</s:t>
        </s:is>
      </s:c>
      <s:c r="L5" s="13" t="n"/>
      <s:c r="M5" s="19" t="n"/>
      <s:c r="N5" s="19" t="n"/>
      <s:c r="O5" s="19" t="n"/>
      <s:c r="P5" s="19" t="n"/>
      <s:c r="Q5" s="19" t="n"/>
      <s:c r="R5" s="13" t="inlineStr">
        <s:is>
          <s:t>TEST 2025::jama.2025.19563::C004</s:t>
        </s:is>
      </s:c>
    </s:row>
    <s:row r="6" ht="92" customFormat="1" customHeight="1" s="8">
      <s:c r="A6" s="12" t="inlineStr">
        <s:is>
          <s:t>2025::jama.2025.19563::C005</s:t>
        </s:is>
      </s:c>
      <s:c r="B6" s="12" t="inlineStr">
        <s:is>
          <s:t>eTable 7 pairs “no statistically significant” with p&lt;0.05</s:t>
        </s:is>
      </s:c>
      <s:c r="C6" s="12" t="inlineStr">
        <s:is>
          <s:t>DOC-003 supplement — PDF p. 46; DOC-003 supplement — PDF p. 47.</s:t>
        </s:is>
      </s:c>
      <s:c r="D6" s="7" t="inlineStr">
        <s:is>
          <s:t>retain</s:t>
        </s:is>
      </s:c>
      <s:c r="E6" s="7" t="inlineStr">
        <s:is>
          <s:t>statistical_results</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inlineStr">
        <s:is>
          <s:t>confirmed_issue</s:t>
        </s:is>
      </s:c>
      <s:c r="I6" s="7" t="inlineStr">
        <s:is>
          <s:t>substantive</s:t>
        </s:is>
      </s:c>
      <s:c r="J6" s="13" t="n"/>
      <s:c r="K6" s="7" t="n"/>
      <s:c r="L6" s="13" t="n"/>
      <s:c r="M6" s="19" t="n"/>
      <s:c r="N6" s="19" t="n"/>
      <s:c r="O6" s="19" t="n"/>
      <s:c r="P6" s="19" t="n"/>
      <s:c r="Q6" s="19" t="n"/>
      <s:c r="R6" s="13" t="inlineStr">
        <s:is>
          <s:t>TEST 2025::jama.2025.19563::C005</s:t>
        </s:is>
      </s:c>
    </s:row>
    <s:row r="7" ht="92" customFormat="1" customHeight="1" s="8">
      <s:c r="A7" s="11" t="inlineStr">
        <s:is>
          <s:t>2025::jama.2025.19563::C006</s:t>
        </s:is>
      </s:c>
      <s:c r="B7" s="11" t="inlineStr">
        <s:is>
          <s:t>eTable 10b labels one comparison as both chi-squared and Wilcoxon rank-sum</s:t>
        </s:is>
      </s:c>
      <s:c r="C7" s="11" t="inlineStr">
        <s:is>
          <s:t>DOC-003 supplement — PDF p. 29; DOC-003 supplement — PDF p. 52.</s:t>
        </s:is>
      </s:c>
      <s:c r="D7" s="7" t="inlineStr">
        <s:is>
          <s:t>retain</s:t>
        </s:is>
      </s:c>
      <s:c r="E7" s="7" t="inlineStr">
        <s:is>
          <s:t>statistical_results</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inlineStr">
        <s:is>
          <s:t>confirmed_issue</s:t>
        </s:is>
      </s:c>
      <s:c r="I7" s="7" t="inlineStr">
        <s:is>
          <s:t>substantive</s:t>
        </s:is>
      </s:c>
      <s:c r="J7" s="13" t="n"/>
      <s:c r="K7" s="7" t="n"/>
      <s:c r="L7" s="13" t="n"/>
      <s:c r="M7" s="19" t="n"/>
      <s:c r="N7" s="19" t="n"/>
      <s:c r="O7" s="19" t="n"/>
      <s:c r="P7" s="19" t="n"/>
      <s:c r="Q7" s="19" t="n"/>
      <s:c r="R7" s="13" t="inlineStr">
        <s:is>
          <s:t>TEST 2025::jama.2025.19563::C006</s:t>
        </s:is>
      </s:c>
    </s:row>
    <s:row r="8" ht="92" customFormat="1" customHeight="1" s="8">
      <s:c r="A8" s="12" t="inlineStr">
        <s:is>
          <s:t>2025::jama.2025.19563::C007</s:t>
        </s:is>
      </s:c>
      <s:c r="B8" s="12" t="inlineStr">
        <s:is>
          <s:t>MICE pooled percentages and printed risk difference have incompatible signs</s:t>
        </s:is>
      </s:c>
      <s:c r="C8" s="12" t="inlineStr">
        <s:is>
          <s:t>DOC-003 supplement — PDF p. 30; DOC-003 supplement — PDF p. 59.</s:t>
        </s:is>
      </s:c>
      <s:c r="D8" s="7" t="inlineStr">
        <s:is>
          <s:t>retain</s:t>
        </s:is>
      </s:c>
      <s:c r="E8" s="7" t="inlineStr">
        <s:is>
          <s:t>statistical_results</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inlineStr">
        <s:is>
          <s:t>confirmed_issue</s:t>
        </s:is>
      </s:c>
      <s:c r="I8" s="7" t="inlineStr">
        <s:is>
          <s:t>substantive</s:t>
        </s:is>
      </s:c>
      <s:c r="J8" s="13" t="n"/>
      <s:c r="K8" s="7" t="n"/>
      <s:c r="L8" s="13" t="n"/>
      <s:c r="M8" s="19" t="n"/>
      <s:c r="N8" s="19" t="n"/>
      <s:c r="O8" s="19" t="n"/>
      <s:c r="P8" s="19" t="n"/>
      <s:c r="Q8" s="19" t="n"/>
      <s:c r="R8" s="13" t="inlineStr">
        <s:is>
          <s:t>TEST 2025::jama.2025.19563::C007</s:t>
        </s:is>
      </s:c>
    </s:row>
  </s:sheetData>
  <s:autoFilter ref="A1:R8"/>
  <s:conditionalFormatting sqref="G2:G8">
    <s:cfRule type="expression" priority="1" dxfId="105">
      <s:formula>G2&lt;&gt;"PRIMARY READY"</s:formula>
    </s:cfRule>
  </s:conditionalFormatting>
  <s:conditionalFormatting sqref="H2:H8">
    <s:cfRule type="expression" priority="2" dxfId="106">
      <s:formula>NOT(AND(OR($D2="retain",$D2=""),$E2="statistical_results"))</s:formula>
    </s:cfRule>
  </s:conditionalFormatting>
  <s:conditionalFormatting sqref="I2:I8">
    <s:cfRule type="expression" priority="3" dxfId="106">
      <s:formula>NOT(AND(OR($D2="retain",$D2=""),$E2="statistical_results"))</s:formula>
    </s:cfRule>
  </s:conditionalFormatting>
  <s:conditionalFormatting sqref="J2:J8">
    <s:cfRule type="expression" priority="4" dxfId="106">
      <s:formula>NOT(AND(OR($D2="retain",$D2=""),$E2="statistical_results"))</s:formula>
    </s:cfRule>
  </s:conditionalFormatting>
  <s:conditionalFormatting sqref="K2:K8">
    <s:cfRule type="expression" priority="5" dxfId="106">
      <s:formula>NOT(AND(OR($D2="retain",$D2=""),OR($E2="report_internal_inconsistency",$E2="plan_material")))</s:formula>
    </s:cfRule>
  </s:conditionalFormatting>
  <s:conditionalFormatting sqref="L2:L8">
    <s:cfRule type="expression" priority="6" dxfId="106">
      <s:formula>NOT(AND(OR($D2="retain",$D2=""),$E2="protocol_report"))</s:formula>
    </s:cfRule>
  </s:conditionalFormatting>
  <s:dataValidations count="8">
    <s:dataValidation sqref="D2:D8" showDropDown="0" showInputMessage="0" showErrorMessage="1" allowBlank="1" errorTitle="Use an allowed option" error="Choose an option from the list; see Codebook." type="list" errorStyle="stop">
      <s:formula1>"retain,exclude,discuss"</s:formula1>
    </s:dataValidation>
    <s:dataValidation sqref="E2:E8"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8" showDropDown="0" showInputMessage="0" showErrorMessage="1" allowBlank="1" errorTitle="Use an allowed option" error="Choose an option from the list; see Codebook." type="list" errorStyle="stop">
      <s:formula1>"no,primary_done"</s:formula1>
    </s:dataValidation>
    <s:dataValidation sqref="H2:H8"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8"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8" showDropDown="0" showInputMessage="0" showErrorMessage="1" allowBlank="1" errorTitle="Use an allowed option" error="Choose an option from the list; see Codebook." type="list" errorStyle="stop">
      <s:formula1>"direct,possible,unlikely,unknown,not_applicable"</s:formula1>
    </s:dataValidation>
    <s:dataValidation sqref="K2:K8"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8"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310" tooltip="Read embedded evidence; filter by candidate key"/>
    <s:hyperlink ref="A3" location="'Evidence'!A314" tooltip="Read embedded evidence; filter by candidate key"/>
    <s:hyperlink ref="A4" location="'Evidence'!A318" tooltip="Read embedded evidence; filter by candidate key"/>
    <s:hyperlink ref="A5" location="'Evidence'!A322" tooltip="Read embedded evidence; filter by candidate key"/>
    <s:hyperlink ref="A6" location="'Evidence'!A326" tooltip="Read embedded evidence; filter by candidate key"/>
    <s:hyperlink ref="A7" location="'Evidence'!A330" tooltip="Read embedded evidence; filter by candidate key"/>
    <s:hyperlink ref="A8" location="'Evidence'!A334" tooltip="Read embedded evidence; filter by candidate key"/>
  </s:hyperlinks>
  <s:pageMargins left="0.7" right="0.7" top="0.75" bottom="0.75" header="0.3" footer="0.3"/>
</s:worksheet>
</file>

<file path=xl/worksheets/sheet12.xml><?xml version="1.0" encoding="utf-8"?>
<s:worksheet xmlns:s="http://schemas.openxmlformats.org/spreadsheetml/2006/main">
  <s:sheetPr>
    <s:outlinePr summaryBelow="1" summaryRight="1"/>
    <s:pageSetUpPr/>
  </s:sheetPr>
  <s:dimension ref="A1:R2"/>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2025::jama.2025.19843::C001</s:t>
        </s:is>
      </s:c>
      <s:c r="B2" s="12" t="inlineStr">
        <s:is>
          <s:t>Conflicting printed P values for matched day-60 mortality result</s:t>
        </s:is>
      </s:c>
      <s:c r="C2" s="12" t="inlineStr">
        <s:is>
          <s:t>DOC-001 — PDF p. 1 (abstract); DOC-001 — PDF p. 3 (statistical methods); DOC-001 — PDF p. 4 (Results and eFigure 2 cross-reference); DOC-003 — PDF p. 7 (planned mortality analysis); and DOC-004 — PDF p. 11 (Supplement 3 eFigure 2).</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2025::jama.2025.19843::C001</s:t>
        </s:is>
      </s:c>
    </s:row>
  </s:sheetData>
  <s:autoFilter ref="A1:R2"/>
  <s:conditionalFormatting sqref="G2">
    <s:cfRule type="expression" priority="1" dxfId="105">
      <s:formula>G2&lt;&gt;"PRIMARY READY"</s:formula>
    </s:cfRule>
  </s:conditionalFormatting>
  <s:conditionalFormatting sqref="H2">
    <s:cfRule type="expression" priority="2" dxfId="106">
      <s:formula>NOT(AND(OR($D2="retain",$D2=""),$E2="statistical_results"))</s:formula>
    </s:cfRule>
  </s:conditionalFormatting>
  <s:conditionalFormatting sqref="I2">
    <s:cfRule type="expression" priority="3" dxfId="106">
      <s:formula>NOT(AND(OR($D2="retain",$D2=""),$E2="statistical_results"))</s:formula>
    </s:cfRule>
  </s:conditionalFormatting>
  <s:conditionalFormatting sqref="J2">
    <s:cfRule type="expression" priority="4" dxfId="106">
      <s:formula>NOT(AND(OR($D2="retain",$D2=""),$E2="statistical_results"))</s:formula>
    </s:cfRule>
  </s:conditionalFormatting>
  <s:conditionalFormatting sqref="K2">
    <s:cfRule type="expression" priority="5" dxfId="106">
      <s:formula>NOT(AND(OR($D2="retain",$D2=""),OR($E2="report_internal_inconsistency",$E2="plan_material")))</s:formula>
    </s:cfRule>
  </s:conditionalFormatting>
  <s:conditionalFormatting sqref="L2">
    <s:cfRule type="expression" priority="6" dxfId="106">
      <s:formula>NOT(AND(OR($D2="retain",$D2=""),$E2="protocol_report"))</s:formula>
    </s:cfRule>
  </s:conditionalFormatting>
  <s:dataValidations count="8">
    <s:dataValidation sqref="D2" showDropDown="0" showInputMessage="0" showErrorMessage="1" allowBlank="1" errorTitle="Use an allowed option" error="Choose an option from the list; see Codebook." type="list" errorStyle="stop">
      <s:formula1>"retain,exclude,discuss"</s:formula1>
    </s:dataValidation>
    <s:dataValidation sqref="E2"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 showDropDown="0" showInputMessage="0" showErrorMessage="1" allowBlank="1" errorTitle="Use an allowed option" error="Choose an option from the list; see Codebook." type="list" errorStyle="stop">
      <s:formula1>"no,primary_done"</s:formula1>
    </s:dataValidation>
    <s:dataValidation sqref="H2"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 showDropDown="0" showInputMessage="0" showErrorMessage="1" allowBlank="1" errorTitle="Use an allowed option" error="Choose an option from the list; see Codebook." type="list" errorStyle="stop">
      <s:formula1>"direct,possible,unlikely,unknown,not_applicable"</s:formula1>
    </s:dataValidation>
    <s:dataValidation sqref="K2"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338" tooltip="Read embedded evidence; filter by candidate key"/>
  </s:hyperlinks>
  <s:pageMargins left="0.7" right="0.7" top="0.75" bottom="0.75" header="0.3" footer="0.3"/>
</s:worksheet>
</file>

<file path=xl/worksheets/sheet13.xml><?xml version="1.0" encoding="utf-8"?>
<s:worksheet xmlns:s="http://schemas.openxmlformats.org/spreadsheetml/2006/main">
  <s:sheetPr>
    <s:outlinePr summaryBelow="1" summaryRight="1"/>
    <s:pageSetUpPr/>
  </s:sheetPr>
  <s:dimension ref="A1:R14"/>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2025::jama.2025.20765::C001</s:t>
        </s:is>
      </s:c>
      <s:c r="B2" s="12" t="inlineStr">
        <s:is>
          <s:t>Adjusted self-reported abstinence interval endpoint printed as 42</s:t>
        </s:is>
      </s:c>
      <s:c r="C2" s="12" t="inlineStr">
        <s:is>
          <s:t>DOC-001 main article — PDF p. 6, Table 2, continuous abstinence, self-reported only (ITT), adjusted RR.</s:t>
        </s:is>
      </s:c>
      <s:c r="D2" s="7" t="inlineStr">
        <s:is>
          <s:t>retain</s:t>
        </s:is>
      </s:c>
      <s:c r="E2" s="7" t="inlineStr">
        <s:is>
          <s:t>statistical_results</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inlineStr">
        <s:is>
          <s:t>confirmed_issue</s:t>
        </s:is>
      </s:c>
      <s:c r="I2" s="7" t="inlineStr">
        <s:is>
          <s:t>substantive</s:t>
        </s:is>
      </s:c>
      <s:c r="J2" s="13" t="n"/>
      <s:c r="K2" s="7" t="n"/>
      <s:c r="L2" s="13" t="n"/>
      <s:c r="M2" s="19" t="n"/>
      <s:c r="N2" s="19" t="n"/>
      <s:c r="O2" s="19" t="n"/>
      <s:c r="P2" s="19" t="n"/>
      <s:c r="Q2" s="19" t="n"/>
      <s:c r="R2" s="13" t="inlineStr">
        <s:is>
          <s:t>TEST 2025::jama.2025.20765::C001</s:t>
        </s:is>
      </s:c>
    </s:row>
    <s:row r="3" ht="92" customFormat="1" customHeight="1" s="8">
      <s:c r="A3" s="11" t="inlineStr">
        <s:is>
          <s:t>2025::jama.2025.20765::C002</s:t>
        </s:is>
      </s:c>
      <s:c r="B3" s="11" t="inlineStr">
        <s:is>
          <s:t>Discussion labels the all-cause death percentage as TB deaths</s:t>
        </s:is>
      </s:c>
      <s:c r="C3" s="11" t="inlineStr">
        <s:is>
          <s:t>DOC-001 main article — PDF p. 8, Discussion; PDF p. 5 and PDF p. 6, Results/Table 2; DOC-003 Supplement 2 — PDF p. 6, eTable 4.</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2025::jama.2025.20765::C002</s:t>
        </s:is>
      </s:c>
    </s:row>
    <s:row r="4" ht="92" customFormat="1" customHeight="1" s="8">
      <s:c r="A4" s="12" t="inlineStr">
        <s:is>
          <s:t>2025::jama.2025.20765::C003</s:t>
        </s:is>
      </s:c>
      <s:c r="B4" s="12" t="inlineStr">
        <s:is>
          <s:t>178-message total conflicts with its printed frequency schedule</s:t>
        </s:is>
      </s:c>
      <s:c r="C4" s="12" t="inlineStr">
        <s:is>
          <s:t>DOC-002 Supplement 1 — PDF p. 16.</s:t>
        </s:is>
      </s:c>
      <s:c r="D4" s="7" t="inlineStr">
        <s:is>
          <s:t>retain</s:t>
        </s:is>
      </s:c>
      <s:c r="E4" s="7" t="inlineStr">
        <s:is>
          <s:t>plan_material</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2025::jama.2025.20765::C003</s:t>
        </s:is>
      </s:c>
    </s:row>
    <s:row r="5" ht="92" customFormat="1" customHeight="1" s="8">
      <s:c r="A5" s="11" t="inlineStr">
        <s:is>
          <s:t>2025::jama.2025.20765::C004</s:t>
        </s:is>
      </s:c>
      <s:c r="B5" s="11" t="inlineStr">
        <s:is>
          <s:t>Repeated 2,384-participant plan names 44 and 48 facilities</s:t>
        </s:is>
      </s:c>
      <s:c r="C5" s="11" t="inlineStr">
        <s:is>
          <s:t>DOC-002 Supplement 1 — PDF p. 10 and PDF p. 26.</s:t>
        </s:is>
      </s:c>
      <s:c r="D5" s="7" t="inlineStr">
        <s:is>
          <s:t>retain</s:t>
        </s:is>
      </s:c>
      <s:c r="E5" s="7" t="inlineStr">
        <s:is>
          <s:t>plan_material</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inlineStr">
        <s:is>
          <s:t>substantive_inconsistency</s:t>
        </s:is>
      </s:c>
      <s:c r="L5" s="13" t="n"/>
      <s:c r="M5" s="19" t="n"/>
      <s:c r="N5" s="19" t="n"/>
      <s:c r="O5" s="19" t="n"/>
      <s:c r="P5" s="19" t="n"/>
      <s:c r="Q5" s="19" t="n"/>
      <s:c r="R5" s="13" t="inlineStr">
        <s:is>
          <s:t>TEST 2025::jama.2025.20765::C004</s:t>
        </s:is>
      </s:c>
    </s:row>
    <s:row r="6" ht="92" customFormat="1" customHeight="1" s="8">
      <s:c r="A6" s="12" t="inlineStr">
        <s:is>
          <s:t>2025::jama.2025.20765::C005</s:t>
        </s:is>
      </s:c>
      <s:c r="B6" s="12" t="inlineStr">
        <s:is>
          <s:t>134-message total conflicts with its printed frequency schedule</s:t>
        </s:is>
      </s:c>
      <s:c r="C6" s="12" t="inlineStr">
        <s:is>
          <s:t>DOC-002 Supplement 1 — PDF p. 53.</s:t>
        </s:is>
      </s:c>
      <s:c r="D6" s="7" t="inlineStr">
        <s:is>
          <s:t>retain</s:t>
        </s:is>
      </s:c>
      <s:c r="E6" s="7" t="inlineStr">
        <s:is>
          <s:t>plan_material</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2025::jama.2025.20765::C005</s:t>
        </s:is>
      </s:c>
    </s:row>
    <s:row r="7" ht="92" customFormat="1" customHeight="1" s="8">
      <s:c r="A7" s="11" t="inlineStr">
        <s:is>
          <s:t>2025::jama.2025.20765::C006</s:t>
        </s:is>
      </s:c>
      <s:c r="B7" s="11" t="inlineStr">
        <s:is>
          <s:t>TAM sampling header conflicts with contemporaneous narrative and equations</s:t>
        </s:is>
      </s:c>
      <s:c r="C7" s="11" t="inlineStr">
        <s:is>
          <s:t>DOC-002 Supplement 1 — PDF p. 55.</s:t>
        </s:is>
      </s:c>
      <s:c r="D7" s="7" t="inlineStr">
        <s:is>
          <s:t>retain</s:t>
        </s:is>
      </s:c>
      <s:c r="E7" s="7" t="inlineStr">
        <s:is>
          <s:t>plan_material</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2025::jama.2025.20765::C006</s:t>
        </s:is>
      </s:c>
    </s:row>
    <s:row r="8" ht="92" customFormat="1" customHeight="1" s="8">
      <s:c r="A8" s="12" t="inlineStr">
        <s:is>
          <s:t>2025::jama.2025.20765::C007</s:t>
        </s:is>
      </s:c>
      <s:c r="B8" s="12" t="inlineStr">
        <s:is>
          <s:t>Later 2,716-participant plan gives 48 clinics versus a 63-site diagram</s:t>
        </s:is>
      </s:c>
      <s:c r="C8" s="12" t="inlineStr">
        <s:is>
          <s:t>DOC-002 Supplement 1 — PDF p. 48, PDF p. 51, PDF p. 52, and PDF p. 62.</s:t>
        </s:is>
      </s:c>
      <s:c r="D8" s="7" t="inlineStr">
        <s:is>
          <s:t>retain</s:t>
        </s:is>
      </s:c>
      <s:c r="E8" s="7" t="inlineStr">
        <s:is>
          <s:t>plan_material</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inlineStr">
        <s:is>
          <s:t>substantive_inconsistency</s:t>
        </s:is>
      </s:c>
      <s:c r="L8" s="13" t="n"/>
      <s:c r="M8" s="19" t="n"/>
      <s:c r="N8" s="19" t="n"/>
      <s:c r="O8" s="19" t="n"/>
      <s:c r="P8" s="19" t="n"/>
      <s:c r="Q8" s="19" t="n"/>
      <s:c r="R8" s="13" t="inlineStr">
        <s:is>
          <s:t>TEST 2025::jama.2025.20765::C007</s:t>
        </s:is>
      </s:c>
    </s:row>
    <s:row r="9" ht="92" customFormat="1" customHeight="1" s="8">
      <s:c r="A9" s="11" t="inlineStr">
        <s:is>
          <s:t>2025::jama.2025.20765::C008</s:t>
        </s:is>
      </s:c>
      <s:c r="B9" s="11" t="inlineStr">
        <s:is>
          <s:t>Phase-4 design-effect equality does not reproduce from printed inputs</s:t>
        </s:is>
      </s:c>
      <s:c r="C9" s="11" t="inlineStr">
        <s:is>
          <s:t>DOC-002 Supplement 1 — PDF p. 64.</s:t>
        </s:is>
      </s:c>
      <s:c r="D9" s="7" t="inlineStr">
        <s:is>
          <s:t>retain</s:t>
        </s:is>
      </s:c>
      <s:c r="E9" s="7" t="inlineStr">
        <s:is>
          <s:t>plan_material</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n"/>
      <s:c r="I9" s="7" t="n"/>
      <s:c r="J9" s="13" t="n"/>
      <s:c r="K9" s="7" t="inlineStr">
        <s:is>
          <s:t>substantive_inconsistency</s:t>
        </s:is>
      </s:c>
      <s:c r="L9" s="13" t="n"/>
      <s:c r="M9" s="19" t="n"/>
      <s:c r="N9" s="19" t="n"/>
      <s:c r="O9" s="19" t="n"/>
      <s:c r="P9" s="19" t="n"/>
      <s:c r="Q9" s="19" t="n"/>
      <s:c r="R9" s="13" t="inlineStr">
        <s:is>
          <s:t>TEST 2025::jama.2025.20765::C008</s:t>
        </s:is>
      </s:c>
    </s:row>
    <s:row r="10" ht="92" customFormat="1" customHeight="1" s="8">
      <s:c r="A10" s="12" t="inlineStr">
        <s:is>
          <s:t>2025::jama.2025.20765::C009</s:t>
        </s:is>
      </s:c>
      <s:c r="B10" s="12" t="inlineStr">
        <s:is>
          <s:t>Phase-4 diagram is labelled Phase 3/Superiority</s:t>
        </s:is>
      </s:c>
      <s:c r="C10" s="12" t="inlineStr">
        <s:is>
          <s:t>DOC-002 Supplement 1 — PDF p. 64.</s:t>
        </s:is>
      </s:c>
      <s:c r="D10" s="7" t="inlineStr">
        <s:is>
          <s:t>retain</s:t>
        </s:is>
      </s:c>
      <s:c r="E10" s="7" t="inlineStr">
        <s:is>
          <s:t>plan_material</s:t>
        </s:is>
      </s:c>
      <s:c r="F10" s="7" t="inlineStr">
        <s:is>
          <s:t>primary_done</s:t>
        </s:is>
      </s:c>
      <s:c r="G10" s="12" t="str">
        <s: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s:f>
        <s:v>PRIMARY READY</s:v>
      </s:c>
      <s:c r="H10" s="7" t="n"/>
      <s:c r="I10" s="7" t="n"/>
      <s:c r="J10" s="13" t="n"/>
      <s:c r="K10" s="7" t="inlineStr">
        <s:is>
          <s:t>substantive_inconsistency</s:t>
        </s:is>
      </s:c>
      <s:c r="L10" s="13" t="n"/>
      <s:c r="M10" s="19" t="n"/>
      <s:c r="N10" s="19" t="n"/>
      <s:c r="O10" s="19" t="n"/>
      <s:c r="P10" s="19" t="n"/>
      <s:c r="Q10" s="19" t="n"/>
      <s:c r="R10" s="13" t="inlineStr">
        <s:is>
          <s:t>TEST 2025::jama.2025.20765::C009</s:t>
        </s:is>
      </s:c>
    </s:row>
    <s:row r="11" ht="92" customFormat="1" customHeight="1" s="8">
      <s:c r="A11" s="11" t="inlineStr">
        <s:is>
          <s:t>2025::jama.2025.20765::C010</s:t>
        </s:is>
      </s:c>
      <s:c r="B11" s="11" t="inlineStr">
        <s:is>
          <s:t>Phase-3 design-effect display gives undocumented 1,080 effective sample size</s:t>
        </s:is>
      </s:c>
      <s:c r="C11" s="11" t="inlineStr">
        <s:is>
          <s:t>DOC-002 Supplement 1 — PDF p. 63 and PDF p. 83.</s:t>
        </s:is>
      </s:c>
      <s:c r="D11" s="7" t="inlineStr">
        <s:is>
          <s:t>retain</s:t>
        </s:is>
      </s:c>
      <s:c r="E11" s="7" t="inlineStr">
        <s:is>
          <s:t>plan_material</s:t>
        </s:is>
      </s:c>
      <s:c r="F11" s="7" t="inlineStr">
        <s:is>
          <s:t>primary_done</s:t>
        </s:is>
      </s:c>
      <s:c r="G11" s="11" t="str">
        <s: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s:f>
        <s:v>PRIMARY READY</s:v>
      </s:c>
      <s:c r="H11" s="7" t="n"/>
      <s:c r="I11" s="7" t="n"/>
      <s:c r="J11" s="13" t="n"/>
      <s:c r="K11" s="7" t="inlineStr">
        <s:is>
          <s:t>substantive_inconsistency</s:t>
        </s:is>
      </s:c>
      <s:c r="L11" s="13" t="n"/>
      <s:c r="M11" s="19" t="n"/>
      <s:c r="N11" s="19" t="n"/>
      <s:c r="O11" s="19" t="n"/>
      <s:c r="P11" s="19" t="n"/>
      <s:c r="Q11" s="19" t="n"/>
      <s:c r="R11" s="13" t="inlineStr">
        <s:is>
          <s:t>TEST 2025::jama.2025.20765::C010</s:t>
        </s:is>
      </s:c>
    </s:row>
    <s:row r="12" ht="92" customFormat="1" customHeight="1" s="8">
      <s:c r="A12" s="12" t="inlineStr">
        <s:is>
          <s:t>2025::jama.2025.20765::C011</s:t>
        </s:is>
      </s:c>
      <s:c r="B12" s="12" t="inlineStr">
        <s:is>
          <s:t>MPSS score range conflicts with stated item scale</s:t>
        </s:is>
      </s:c>
      <s:c r="C12" s="12" t="inlineStr">
        <s:is>
          <s:t>DOC-002 Supplement 1 — PDF p. 85.</s:t>
        </s:is>
      </s:c>
      <s:c r="D12" s="7" t="inlineStr">
        <s:is>
          <s:t>retain</s:t>
        </s:is>
      </s:c>
      <s:c r="E12" s="7" t="inlineStr">
        <s:is>
          <s:t>plan_material</s:t>
        </s:is>
      </s:c>
      <s:c r="F12" s="7" t="inlineStr">
        <s:is>
          <s:t>primary_done</s:t>
        </s:is>
      </s:c>
      <s:c r="G12" s="12" t="str">
        <s: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s:f>
        <s:v>PRIMARY READY</s:v>
      </s:c>
      <s:c r="H12" s="7" t="n"/>
      <s:c r="I12" s="7" t="n"/>
      <s:c r="J12" s="13" t="n"/>
      <s:c r="K12" s="7" t="inlineStr">
        <s:is>
          <s:t>substantive_inconsistency</s:t>
        </s:is>
      </s:c>
      <s:c r="L12" s="13" t="n"/>
      <s:c r="M12" s="19" t="n"/>
      <s:c r="N12" s="19" t="n"/>
      <s:c r="O12" s="19" t="n"/>
      <s:c r="P12" s="19" t="n"/>
      <s:c r="Q12" s="19" t="n"/>
      <s:c r="R12" s="13" t="inlineStr">
        <s:is>
          <s:t>TEST 2025::jama.2025.20765::C011</s:t>
        </s:is>
      </s:c>
    </s:row>
    <s:row r="13" ht="92" customFormat="1" customHeight="1" s="8">
      <s:c r="A13" s="11" t="inlineStr">
        <s:is>
          <s:t>2025::jama.2025.20765::C012</s:t>
        </s:is>
      </s:c>
      <s:c r="B13" s="11" t="inlineStr">
        <s:is>
          <s:t>Site 2008 death count and percentage lack a compatible supplied denominator</s:t>
        </s:is>
      </s:c>
      <s:c r="C13" s="11" t="inlineStr">
        <s:is>
          <s:t>DOC-003 Supplement 2 — PDF p. 8, eTable 5; PDF p. 9, eTable 6.</s:t>
        </s:is>
      </s:c>
      <s:c r="D13" s="7" t="inlineStr">
        <s:is>
          <s:t>retain</s:t>
        </s:is>
      </s:c>
      <s:c r="E13" s="7" t="inlineStr">
        <s:is>
          <s:t>statistical_results</s:t>
        </s:is>
      </s:c>
      <s:c r="F13" s="7" t="inlineStr">
        <s:is>
          <s:t>primary_done</s:t>
        </s:is>
      </s:c>
      <s:c r="G13" s="11" t="str">
        <s: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s:f>
        <s:v>PRIMARY READY</s:v>
      </s:c>
      <s:c r="H13" s="7" t="inlineStr">
        <s:is>
          <s:t>confirmed_issue</s:t>
        </s:is>
      </s:c>
      <s:c r="I13" s="7" t="inlineStr">
        <s:is>
          <s:t>substantive</s:t>
        </s:is>
      </s:c>
      <s:c r="J13" s="13" t="n"/>
      <s:c r="K13" s="7" t="n"/>
      <s:c r="L13" s="13" t="n"/>
      <s:c r="M13" s="19" t="n"/>
      <s:c r="N13" s="19" t="n"/>
      <s:c r="O13" s="19" t="n"/>
      <s:c r="P13" s="19" t="n"/>
      <s:c r="Q13" s="19" t="n"/>
      <s:c r="R13" s="13" t="inlineStr">
        <s:is>
          <s:t>TEST 2025::jama.2025.20765::C012</s:t>
        </s:is>
      </s:c>
    </s:row>
    <s:row r="14" ht="92" customFormat="1" customHeight="1" s="8">
      <s:c r="A14" s="12" t="inlineStr">
        <s:is>
          <s:t>2025::jama.2025.20765::C013</s:t>
        </s:is>
      </s:c>
      <s:c r="B14" s="12" t="inlineStr">
        <s:is>
          <s:t>Protocol message dose changes from 178 to 134 without supplied reconciliation</s:t>
        </s:is>
      </s:c>
      <s:c r="C14" s="12" t="inlineStr">
        <s:is>
          <s:t>DOC-002 Supplement 1 — PDF p. 16, PDF p. 53, PDF p. 80, and PDF p. 101 through PDF p. 109; DOC-001 main article — PDF p. 3.</s:t>
        </s:is>
      </s:c>
      <s:c r="D14" s="7" t="inlineStr">
        <s:is>
          <s:t>retain</s:t>
        </s:is>
      </s:c>
      <s:c r="E14" s="7" t="inlineStr">
        <s:is>
          <s:t>protocol_report</s:t>
        </s:is>
      </s:c>
      <s:c r="F14" s="7" t="inlineStr">
        <s:is>
          <s:t>primary_done</s:t>
        </s:is>
      </s:c>
      <s:c r="G14" s="12" t="str">
        <s: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s:f>
        <s:v>PRIMARY READY</s:v>
      </s:c>
      <s:c r="H14" s="7" t="n"/>
      <s:c r="I14" s="7" t="n"/>
      <s:c r="J14" s="13" t="n"/>
      <s:c r="K14" s="7" t="n"/>
      <s:c r="L14" s="13" t="n"/>
      <s:c r="M14" s="19" t="n"/>
      <s:c r="N14" s="19" t="n"/>
      <s:c r="O14" s="19" t="n"/>
      <s:c r="P14" s="19" t="n"/>
      <s:c r="Q14" s="19" t="n"/>
      <s:c r="R14" s="13" t="inlineStr">
        <s:is>
          <s:t>TEST 2025::jama.2025.20765::C013</s:t>
        </s:is>
      </s:c>
    </s:row>
  </s:sheetData>
  <s:autoFilter ref="A1:R14"/>
  <s:conditionalFormatting sqref="G2:G14">
    <s:cfRule type="expression" priority="1" dxfId="105">
      <s:formula>G2&lt;&gt;"PRIMARY READY"</s:formula>
    </s:cfRule>
  </s:conditionalFormatting>
  <s:conditionalFormatting sqref="H2:H14">
    <s:cfRule type="expression" priority="2" dxfId="106">
      <s:formula>NOT(AND(OR($D2="retain",$D2=""),$E2="statistical_results"))</s:formula>
    </s:cfRule>
  </s:conditionalFormatting>
  <s:conditionalFormatting sqref="I2:I14">
    <s:cfRule type="expression" priority="3" dxfId="106">
      <s:formula>NOT(AND(OR($D2="retain",$D2=""),$E2="statistical_results"))</s:formula>
    </s:cfRule>
  </s:conditionalFormatting>
  <s:conditionalFormatting sqref="J2:J14">
    <s:cfRule type="expression" priority="4" dxfId="106">
      <s:formula>NOT(AND(OR($D2="retain",$D2=""),$E2="statistical_results"))</s:formula>
    </s:cfRule>
  </s:conditionalFormatting>
  <s:conditionalFormatting sqref="K2:K14">
    <s:cfRule type="expression" priority="5" dxfId="106">
      <s:formula>NOT(AND(OR($D2="retain",$D2=""),OR($E2="report_internal_inconsistency",$E2="plan_material")))</s:formula>
    </s:cfRule>
  </s:conditionalFormatting>
  <s:conditionalFormatting sqref="L2:L14">
    <s:cfRule type="expression" priority="6" dxfId="106">
      <s:formula>NOT(AND(OR($D2="retain",$D2=""),$E2="protocol_report"))</s:formula>
    </s:cfRule>
  </s:conditionalFormatting>
  <s:dataValidations count="8">
    <s:dataValidation sqref="D2:D14" showDropDown="0" showInputMessage="0" showErrorMessage="1" allowBlank="1" errorTitle="Use an allowed option" error="Choose an option from the list; see Codebook." type="list" errorStyle="stop">
      <s:formula1>"retain,exclude,discuss"</s:formula1>
    </s:dataValidation>
    <s:dataValidation sqref="E2:E14"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14" showDropDown="0" showInputMessage="0" showErrorMessage="1" allowBlank="1" errorTitle="Use an allowed option" error="Choose an option from the list; see Codebook." type="list" errorStyle="stop">
      <s:formula1>"no,primary_done"</s:formula1>
    </s:dataValidation>
    <s:dataValidation sqref="H2:H14"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14"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14" showDropDown="0" showInputMessage="0" showErrorMessage="1" allowBlank="1" errorTitle="Use an allowed option" error="Choose an option from the list; see Codebook." type="list" errorStyle="stop">
      <s:formula1>"direct,possible,unlikely,unknown,not_applicable"</s:formula1>
    </s:dataValidation>
    <s:dataValidation sqref="K2:K14"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14"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342" tooltip="Read embedded evidence; filter by candidate key"/>
    <s:hyperlink ref="A3" location="'Evidence'!A346" tooltip="Read embedded evidence; filter by candidate key"/>
    <s:hyperlink ref="A4" location="'Evidence'!A350" tooltip="Read embedded evidence; filter by candidate key"/>
    <s:hyperlink ref="A5" location="'Evidence'!A354" tooltip="Read embedded evidence; filter by candidate key"/>
    <s:hyperlink ref="A6" location="'Evidence'!A358" tooltip="Read embedded evidence; filter by candidate key"/>
    <s:hyperlink ref="A7" location="'Evidence'!A362" tooltip="Read embedded evidence; filter by candidate key"/>
    <s:hyperlink ref="A8" location="'Evidence'!A366" tooltip="Read embedded evidence; filter by candidate key"/>
    <s:hyperlink ref="A9" location="'Evidence'!A370" tooltip="Read embedded evidence; filter by candidate key"/>
    <s:hyperlink ref="A10" location="'Evidence'!A374" tooltip="Read embedded evidence; filter by candidate key"/>
    <s:hyperlink ref="A11" location="'Evidence'!A378" tooltip="Read embedded evidence; filter by candidate key"/>
    <s:hyperlink ref="A12" location="'Evidence'!A382" tooltip="Read embedded evidence; filter by candidate key"/>
    <s:hyperlink ref="A13" location="'Evidence'!A386" tooltip="Read embedded evidence; filter by candidate key"/>
    <s:hyperlink ref="A14" location="'Evidence'!A390" tooltip="Read embedded evidence; filter by candidate key"/>
  </s:hyperlinks>
  <s:pageMargins left="0.7" right="0.7" top="0.75" bottom="0.75" header="0.3" footer="0.3"/>
</s:worksheet>
</file>

<file path=xl/worksheets/sheet14.xml><?xml version="1.0" encoding="utf-8"?>
<s:worksheet xmlns:s="http://schemas.openxmlformats.org/spreadsheetml/2006/main">
  <s:sheetPr>
    <s:outlinePr summaryBelow="1" summaryRight="1"/>
    <s:pageSetUpPr/>
  </s:sheetPr>
  <s:dimension ref="A1:R15"/>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2025::jama.2025.24175::C001</s:t>
        </s:is>
      </s:c>
      <s:c r="B2" s="12" t="inlineStr">
        <s:is>
          <s:t>Day-15 SOFA responder numerator differs between Table 2 and narrative</s:t>
        </s:is>
      </s:c>
      <s:c r="C2" s="12" t="inlineStr">
        <s:is>
          <s:t>DOC-001 Table 2, PDF p. 6; DOC-001 Results narrative, PDF p. 7.</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2025::jama.2025.24175::C001</s:t>
        </s:is>
      </s:c>
    </s:row>
    <s:row r="3" ht="92" customFormat="1" customHeight="1" s="8">
      <s:c r="A3" s="11" t="inlineStr">
        <s:is>
          <s:t>2025::jama.2025.24175::C002</s:t>
        </s:is>
      </s:c>
      <s:c r="B3" s="11" t="inlineStr">
        <s:is>
          <s:t>Protocol and report IFN-gamma dose comparison</s:t>
        </s:is>
      </s:c>
      <s:c r="C3" s="11" t="inlineStr">
        <s:is>
          <s:t>DOC-002 protocol, PDF p. 6; DOC-001 regimen, PDF p. 2.</s:t>
        </s:is>
      </s:c>
      <s:c r="D3" s="7" t="inlineStr">
        <s:is>
          <s:t>retain</s:t>
        </s:is>
      </s:c>
      <s:c r="E3" s="7" t="inlineStr">
        <s:is>
          <s:t>protocol_report</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n"/>
      <s:c r="L3" s="13" t="n"/>
      <s:c r="M3" s="19" t="n"/>
      <s:c r="N3" s="19" t="n"/>
      <s:c r="O3" s="19" t="n"/>
      <s:c r="P3" s="19" t="n"/>
      <s:c r="Q3" s="19" t="n"/>
      <s:c r="R3" s="13" t="inlineStr">
        <s:is>
          <s:t>TEST 2025::jama.2025.24175::C002</s:t>
        </s:is>
      </s:c>
    </s:row>
    <s:row r="4" ht="92" customFormat="1" customHeight="1" s="8">
      <s:c r="A4" s="12" t="inlineStr">
        <s:is>
          <s:t>2025::jama.2025.24175::C003</s:t>
        </s:is>
      </s:c>
      <s:c r="B4" s="12" t="inlineStr">
        <s:is>
          <s:t>Primary responder cutoff comparison</s:t>
        </s:is>
      </s:c>
      <s:c r="C4" s="12" t="inlineStr">
        <s:is>
          <s:t>DOC-002 protocol, PDF p. 7; DOC-001 report, PDF p. 1; DOC-002 SAP, PDF p. 66.</s:t>
        </s:is>
      </s:c>
      <s:c r="D4" s="7" t="inlineStr">
        <s:is>
          <s:t>retain</s:t>
        </s:is>
      </s:c>
      <s:c r="E4" s="7" t="inlineStr">
        <s:is>
          <s:t>protocol_report</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n"/>
      <s:c r="L4" s="13" t="n"/>
      <s:c r="M4" s="19" t="n"/>
      <s:c r="N4" s="19" t="n"/>
      <s:c r="O4" s="19" t="n"/>
      <s:c r="P4" s="19" t="n"/>
      <s:c r="Q4" s="19" t="n"/>
      <s:c r="R4" s="13" t="inlineStr">
        <s:is>
          <s:t>TEST 2025::jama.2025.24175::C003</s:t>
        </s:is>
      </s:c>
    </s:row>
    <s:row r="5" ht="92" customFormat="1" customHeight="1" s="8">
      <s:c r="A5" s="11" t="inlineStr">
        <s:is>
          <s:t>2025::jama.2025.24175::C004</s:t>
        </s:is>
      </s:c>
      <s:c r="B5" s="11" t="inlineStr">
        <s:is>
          <s:t>Immunoparalysis entry-classification threshold comparison</s:t>
        </s:is>
      </s:c>
      <s:c r="C5" s="11" t="inlineStr">
        <s:is>
          <s:t>DOC-002 protocol, PDF p. 9; DOC-003 eMethods, PDF p. 13; DOC-002 SAP reversal definition, PDF p. 69.</s:t>
        </s:is>
      </s:c>
      <s:c r="D5" s="7" t="inlineStr">
        <s:is>
          <s:t>retain</s:t>
        </s:is>
      </s:c>
      <s:c r="E5" s="7" t="inlineStr">
        <s:is>
          <s:t>protocol_report</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n"/>
      <s:c r="L5" s="13" t="n"/>
      <s:c r="M5" s="19" t="n"/>
      <s:c r="N5" s="19" t="n"/>
      <s:c r="O5" s="19" t="n"/>
      <s:c r="P5" s="19" t="n"/>
      <s:c r="Q5" s="19" t="n"/>
      <s:c r="R5" s="13" t="inlineStr">
        <s:is>
          <s:t>TEST 2025::jama.2025.24175::C004</s:t>
        </s:is>
      </s:c>
    </s:row>
    <s:row r="6" ht="92" customFormat="1" customHeight="1" s="8">
      <s:c r="A6" s="12" t="inlineStr">
        <s:is>
          <s:t>2025::jama.2025.24175::C005</s:t>
        </s:is>
      </s:c>
      <s:c r="B6" s="12" t="inlineStr">
        <s:is>
          <s:t>Protocol sample-size, dropout, and total-target arithmetic</s:t>
        </s:is>
      </s:c>
      <s:c r="C6" s="12" t="inlineStr">
        <s:is>
          <s:t>DOC-002 protocol, PDF p. 25 and PDF p. 26.</s:t>
        </s:is>
      </s:c>
      <s:c r="D6" s="7" t="inlineStr">
        <s:is>
          <s:t>retain</s:t>
        </s:is>
      </s:c>
      <s:c r="E6" s="7" t="inlineStr">
        <s:is>
          <s:t>plan_material</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2025::jama.2025.24175::C005</s:t>
        </s:is>
      </s:c>
    </s:row>
    <s:row r="7" ht="92" customFormat="1" customHeight="1" s="8">
      <s:c r="A7" s="11" t="inlineStr">
        <s:is>
          <s:t>2025::jama.2025.24175::C006</s:t>
        </s:is>
      </s:c>
      <s:c r="B7" s="11" t="inlineStr">
        <s:is>
          <s:t>Historical-trial narrative and flow diagram death counts</s:t>
        </s:is>
      </s:c>
      <s:c r="C7" s="11" t="inlineStr">
        <s:is>
          <s:t>DOC-002 narrative, PDF p. 41; DOC-002 Figure 1, PDF p. 50.</s:t>
        </s:is>
      </s:c>
      <s:c r="D7" s="7" t="inlineStr">
        <s:is>
          <s:t>retain</s:t>
        </s:is>
      </s:c>
      <s:c r="E7" s="7" t="inlineStr">
        <s:is>
          <s:t>plan_material</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2025::jama.2025.24175::C006</s:t>
        </s:is>
      </s:c>
    </s:row>
    <s:row r="8" ht="92" customFormat="1" customHeight="1" s="8">
      <s:c r="A8" s="12" t="inlineStr">
        <s:is>
          <s:t>2025::jama.2025.24175::C007</s:t>
        </s:is>
      </s:c>
      <s:c r="B8" s="12" t="inlineStr">
        <s:is>
          <s:t>APACHE II Table 2 P value versus displayed t-test inputs</s:t>
        </s:is>
      </s:c>
      <s:c r="C8" s="12" t="inlineStr">
        <s:is>
          <s:t>DOC-002 Table 2, PDF p. 48.</s:t>
        </s:is>
      </s:c>
      <s:c r="D8" s="7" t="inlineStr">
        <s:is>
          <s:t>retain</s:t>
        </s:is>
      </s:c>
      <s:c r="E8" s="7" t="inlineStr">
        <s:is>
          <s:t>plan_material</s:t>
        </s:is>
      </s:c>
      <s:c r="F8" s="7" t="inlineStr">
        <s:is>
          <s:t>primary_done</s:t>
        </s:is>
      </s:c>
      <s:c r="G8" s="12" t="str">
        <s: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s:f>
        <s:v>PRIMARY READY</s:v>
      </s:c>
      <s:c r="H8" s="7" t="n"/>
      <s:c r="I8" s="7" t="n"/>
      <s:c r="J8" s="13" t="n"/>
      <s:c r="K8" s="7" t="inlineStr">
        <s:is>
          <s:t>substantive_inconsistency</s:t>
        </s:is>
      </s:c>
      <s:c r="L8" s="13" t="n"/>
      <s:c r="M8" s="19" t="n"/>
      <s:c r="N8" s="19" t="n"/>
      <s:c r="O8" s="19" t="n"/>
      <s:c r="P8" s="19" t="n"/>
      <s:c r="Q8" s="19" t="n"/>
      <s:c r="R8" s="13" t="inlineStr">
        <s:is>
          <s:t>TEST 2025::jama.2025.24175::C007</s:t>
        </s:is>
      </s:c>
    </s:row>
    <s:row r="9" ht="92" customFormat="1" customHeight="1" s="8">
      <s:c r="A9" s="11" t="inlineStr">
        <s:is>
          <s:t>2025::jama.2025.24175::C008</s:t>
        </s:is>
      </s:c>
      <s:c r="B9" s="11" t="inlineStr">
        <s:is>
          <s:t>Figure 1 septic-shock classification children exceed their parent total</s:t>
        </s:is>
      </s:c>
      <s:c r="C9" s="11" t="inlineStr">
        <s:is>
          <s:t>DOC-002 Figure 1, PDF p. 50.</s:t>
        </s:is>
      </s:c>
      <s:c r="D9" s="7" t="inlineStr">
        <s:is>
          <s:t>retain</s:t>
        </s:is>
      </s:c>
      <s:c r="E9" s="7" t="inlineStr">
        <s:is>
          <s:t>plan_material</s:t>
        </s:is>
      </s:c>
      <s:c r="F9" s="7" t="inlineStr">
        <s:is>
          <s:t>primary_done</s:t>
        </s:is>
      </s:c>
      <s:c r="G9" s="11" t="str">
        <s: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s:f>
        <s:v>PRIMARY READY</s:v>
      </s:c>
      <s:c r="H9" s="7" t="n"/>
      <s:c r="I9" s="7" t="n"/>
      <s:c r="J9" s="13" t="n"/>
      <s:c r="K9" s="7" t="inlineStr">
        <s:is>
          <s:t>substantive_inconsistency</s:t>
        </s:is>
      </s:c>
      <s:c r="L9" s="13" t="n"/>
      <s:c r="M9" s="19" t="n"/>
      <s:c r="N9" s="19" t="n"/>
      <s:c r="O9" s="19" t="n"/>
      <s:c r="P9" s="19" t="n"/>
      <s:c r="Q9" s="19" t="n"/>
      <s:c r="R9" s="13" t="inlineStr">
        <s:is>
          <s:t>TEST 2025::jama.2025.24175::C008</s:t>
        </s:is>
      </s:c>
    </s:row>
    <s:row r="10" ht="92" customFormat="1" customHeight="1" s="8">
      <s:c r="A10" s="12" t="inlineStr">
        <s:is>
          <s:t>2025::jama.2025.24175::C009</s:t>
        </s:is>
      </s:c>
      <s:c r="B10" s="12" t="inlineStr">
        <s:is>
          <s:t>ImmunoSep study-site totals across report, protocol, and SAP</s:t>
        </s:is>
      </s:c>
      <s:c r="C10" s="12" t="inlineStr">
        <s:is>
          <s:t>DOC-001 report, PDF p. 2; DOC-002 protocol, PDF p. 10; DOC-002 SAP, PDF p. 65; PDF p. 67.</s:t>
        </s:is>
      </s:c>
      <s:c r="D10" s="7" t="inlineStr">
        <s:is>
          <s:t>retain</s:t>
        </s:is>
      </s:c>
      <s:c r="E10" s="7" t="inlineStr">
        <s:is>
          <s:t>protocol_report</s:t>
        </s:is>
      </s:c>
      <s:c r="F10" s="7" t="inlineStr">
        <s:is>
          <s:t>primary_done</s:t>
        </s:is>
      </s:c>
      <s:c r="G10" s="12" t="str">
        <s: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s:f>
        <s:v>PRIMARY READY</s:v>
      </s:c>
      <s:c r="H10" s="7" t="n"/>
      <s:c r="I10" s="7" t="n"/>
      <s:c r="J10" s="13" t="n"/>
      <s:c r="K10" s="7" t="n"/>
      <s:c r="L10" s="13" t="n"/>
      <s:c r="M10" s="19" t="n"/>
      <s:c r="N10" s="19" t="n"/>
      <s:c r="O10" s="19" t="n"/>
      <s:c r="P10" s="19" t="n"/>
      <s:c r="Q10" s="19" t="n"/>
      <s:c r="R10" s="13" t="inlineStr">
        <s:is>
          <s:t>TEST 2025::jama.2025.24175::C009</s:t>
        </s:is>
      </s:c>
    </s:row>
    <s:row r="11" ht="92" customFormat="1" customHeight="1" s="8">
      <s:c r="A11" s="11" t="inlineStr">
        <s:is>
          <s:t>2025::jama.2025.24175::C010</s:t>
        </s:is>
      </s:c>
      <s:c r="B11" s="11" t="inlineStr">
        <s:is>
          <s:t>Figure 2C relative-risk label versus displayed association</s:t>
        </s:is>
      </s:c>
      <s:c r="C11" s="11" t="inlineStr">
        <s:is>
          <s:t>DOC-002 Figure 2C, PDF p. 51; DOC-002 Figure 3, PDF p. 52.</s:t>
        </s:is>
      </s:c>
      <s:c r="D11" s="7" t="inlineStr">
        <s:is>
          <s:t>retain</s:t>
        </s:is>
      </s:c>
      <s:c r="E11" s="7" t="inlineStr">
        <s:is>
          <s:t>plan_material</s:t>
        </s:is>
      </s:c>
      <s:c r="F11" s="7" t="inlineStr">
        <s:is>
          <s:t>primary_done</s:t>
        </s:is>
      </s:c>
      <s:c r="G11" s="11" t="str">
        <s: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s:f>
        <s:v>PRIMARY READY</s:v>
      </s:c>
      <s:c r="H11" s="7" t="n"/>
      <s:c r="I11" s="7" t="n"/>
      <s:c r="J11" s="13" t="n"/>
      <s:c r="K11" s="7" t="inlineStr">
        <s:is>
          <s:t>substantive_inconsistency</s:t>
        </s:is>
      </s:c>
      <s:c r="L11" s="13" t="n"/>
      <s:c r="M11" s="19" t="n"/>
      <s:c r="N11" s="19" t="n"/>
      <s:c r="O11" s="19" t="n"/>
      <s:c r="P11" s="19" t="n"/>
      <s:c r="Q11" s="19" t="n"/>
      <s:c r="R11" s="13" t="inlineStr">
        <s:is>
          <s:t>TEST 2025::jama.2025.24175::C010</s:t>
        </s:is>
      </s:c>
    </s:row>
    <s:row r="12" ht="92" customFormat="1" customHeight="1" s="8">
      <s:c r="A12" s="12" t="inlineStr">
        <s:is>
          <s:t>2025::jama.2025.24175::C011</s:t>
        </s:is>
      </s:c>
      <s:c r="B12" s="12" t="inlineStr">
        <s:is>
          <s:t>eTable 10 SII day-15 OR versus counts, CI, and P value</s:t>
        </s:is>
      </s:c>
      <s:c r="C12" s="12" t="inlineStr">
        <s:is>
          <s:t>DOC-003 eTable 10, PDF p. 22.</s:t>
        </s:is>
      </s:c>
      <s:c r="D12" s="7" t="inlineStr">
        <s:is>
          <s:t>retain</s:t>
        </s:is>
      </s:c>
      <s:c r="E12" s="7" t="inlineStr">
        <s:is>
          <s:t>statistical_results</s:t>
        </s:is>
      </s:c>
      <s:c r="F12" s="7" t="inlineStr">
        <s:is>
          <s:t>primary_done</s:t>
        </s:is>
      </s:c>
      <s:c r="G12" s="12" t="str">
        <s: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s:f>
        <s:v>PRIMARY READY</s:v>
      </s:c>
      <s:c r="H12" s="7" t="inlineStr">
        <s:is>
          <s:t>confirmed_issue</s:t>
        </s:is>
      </s:c>
      <s:c r="I12" s="7" t="inlineStr">
        <s:is>
          <s:t>substantive</s:t>
        </s:is>
      </s:c>
      <s:c r="J12" s="13" t="n"/>
      <s:c r="K12" s="7" t="n"/>
      <s:c r="L12" s="13" t="n"/>
      <s:c r="M12" s="19" t="n"/>
      <s:c r="N12" s="19" t="n"/>
      <s:c r="O12" s="19" t="n"/>
      <s:c r="P12" s="19" t="n"/>
      <s:c r="Q12" s="19" t="n"/>
      <s:c r="R12" s="13" t="inlineStr">
        <s:is>
          <s:t>TEST 2025::jama.2025.24175::C011</s:t>
        </s:is>
      </s:c>
    </s:row>
    <s:row r="13" ht="92" customFormat="1" customHeight="1" s="8">
      <s:c r="A13" s="11" t="inlineStr">
        <s:is>
          <s:t>2025::jama.2025.24175::C012</s:t>
        </s:is>
      </s:c>
      <s:c r="B13" s="11" t="inlineStr">
        <s:is>
          <s:t>eFigure 8B repeats eFigure 7B interaction results under a different outcome caption</s:t>
        </s:is>
      </s:c>
      <s:c r="C13" s="11" t="inlineStr">
        <s:is>
          <s:t>DOC-003 eFigure 7B, PDF p. 51; DOC-003 eFigure 8B, PDF p. 52.</s:t>
        </s:is>
      </s:c>
      <s:c r="D13" s="7" t="inlineStr">
        <s:is>
          <s:t>retain</s:t>
        </s:is>
      </s:c>
      <s:c r="E13" s="7" t="inlineStr">
        <s:is>
          <s:t>report_internal_inconsistency</s:t>
        </s:is>
      </s:c>
      <s:c r="F13" s="7" t="inlineStr">
        <s:is>
          <s:t>primary_done</s:t>
        </s:is>
      </s:c>
      <s:c r="G13" s="11" t="str">
        <s: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s:f>
        <s:v>PRIMARY READY</s:v>
      </s:c>
      <s:c r="H13" s="7" t="n"/>
      <s:c r="I13" s="7" t="n"/>
      <s:c r="J13" s="13" t="n"/>
      <s:c r="K13" s="7" t="inlineStr">
        <s:is>
          <s:t>substantive_inconsistency</s:t>
        </s:is>
      </s:c>
      <s:c r="L13" s="13" t="n"/>
      <s:c r="M13" s="19" t="n"/>
      <s:c r="N13" s="19" t="n"/>
      <s:c r="O13" s="19" t="n"/>
      <s:c r="P13" s="19" t="n"/>
      <s:c r="Q13" s="19" t="n"/>
      <s:c r="R13" s="13" t="inlineStr">
        <s:is>
          <s:t>TEST 2025::jama.2025.24175::C012</s:t>
        </s:is>
      </s:c>
    </s:row>
    <s:row r="14" ht="92" customFormat="1" customHeight="1" s="8">
      <s:c r="A14" s="12" t="inlineStr">
        <s:is>
          <s:t>2025::jama.2025.24175::C013</s:t>
        </s:is>
      </s:c>
      <s:c r="B14" s="12" t="inlineStr">
        <s:is>
          <s:t>eFigure 9B APACHE interaction point estimate outside its CI</s:t>
        </s:is>
      </s:c>
      <s:c r="C14" s="12" t="inlineStr">
        <s:is>
          <s:t>DOC-003 eFigure 9B, PDF p. 53.</s:t>
        </s:is>
      </s:c>
      <s:c r="D14" s="7" t="inlineStr">
        <s:is>
          <s:t>retain</s:t>
        </s:is>
      </s:c>
      <s:c r="E14" s="7" t="inlineStr">
        <s:is>
          <s:t>statistical_results</s:t>
        </s:is>
      </s:c>
      <s:c r="F14" s="7" t="inlineStr">
        <s:is>
          <s:t>primary_done</s:t>
        </s:is>
      </s:c>
      <s:c r="G14" s="12" t="str">
        <s: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s:f>
        <s:v>PRIMARY READY</s:v>
      </s:c>
      <s:c r="H14" s="7" t="inlineStr">
        <s:is>
          <s:t>confirmed_issue</s:t>
        </s:is>
      </s:c>
      <s:c r="I14" s="7" t="inlineStr">
        <s:is>
          <s:t>substantive</s:t>
        </s:is>
      </s:c>
      <s:c r="J14" s="13" t="n"/>
      <s:c r="K14" s="7" t="n"/>
      <s:c r="L14" s="13" t="n"/>
      <s:c r="M14" s="19" t="n"/>
      <s:c r="N14" s="19" t="n"/>
      <s:c r="O14" s="19" t="n"/>
      <s:c r="P14" s="19" t="n"/>
      <s:c r="Q14" s="19" t="n"/>
      <s:c r="R14" s="13" t="inlineStr">
        <s:is>
          <s:t>TEST 2025::jama.2025.24175::C013</s:t>
        </s:is>
      </s:c>
    </s:row>
    <s:row r="15" ht="92" customFormat="1" customHeight="1" s="8">
      <s:c r="A15" s="11" t="inlineStr">
        <s:is>
          <s:t>2025::jama.2025.24175::C014</s:t>
        </s:is>
      </s:c>
      <s:c r="B15" s="11" t="inlineStr">
        <s:is>
          <s:t>Historical mortality-pair registration</s:t>
        </s:is>
      </s:c>
      <s:c r="C15" s="11" t="inlineStr">
        <s:is>
          <s:t>DOC-002 actual mortality sentence, PDF p. 41; Discussion, PDF p. 42; Table 2, PDF p. 48; Figure 1, PDF p. 50.</s:t>
        </s:is>
      </s:c>
      <s:c r="D15" s="7" t="inlineStr">
        <s:is>
          <s:t>retain</s:t>
        </s:is>
      </s:c>
      <s:c r="E15" s="7" t="inlineStr">
        <s:is>
          <s:t>plan_material</s:t>
        </s:is>
      </s:c>
      <s:c r="F15" s="7" t="inlineStr">
        <s:is>
          <s:t>primary_done</s:t>
        </s:is>
      </s:c>
      <s:c r="G15" s="11" t="str">
        <s: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s:f>
        <s:v>PRIMARY READY</s:v>
      </s:c>
      <s:c r="H15" s="7" t="n"/>
      <s:c r="I15" s="7" t="n"/>
      <s:c r="J15" s="13" t="n"/>
      <s:c r="K15" s="7" t="inlineStr">
        <s:is>
          <s:t>substantive_inconsistency</s:t>
        </s:is>
      </s:c>
      <s:c r="L15" s="13" t="n"/>
      <s:c r="M15" s="19" t="n"/>
      <s:c r="N15" s="19" t="n"/>
      <s:c r="O15" s="19" t="n"/>
      <s:c r="P15" s="19" t="n"/>
      <s:c r="Q15" s="19" t="n"/>
      <s:c r="R15" s="13" t="inlineStr">
        <s:is>
          <s:t>TEST 2025::jama.2025.24175::C014</s:t>
        </s:is>
      </s:c>
    </s:row>
  </s:sheetData>
  <s:autoFilter ref="A1:R15"/>
  <s:conditionalFormatting sqref="G2:G15">
    <s:cfRule type="expression" priority="1" dxfId="105">
      <s:formula>G2&lt;&gt;"PRIMARY READY"</s:formula>
    </s:cfRule>
  </s:conditionalFormatting>
  <s:conditionalFormatting sqref="H2:H15">
    <s:cfRule type="expression" priority="2" dxfId="106">
      <s:formula>NOT(AND(OR($D2="retain",$D2=""),$E2="statistical_results"))</s:formula>
    </s:cfRule>
  </s:conditionalFormatting>
  <s:conditionalFormatting sqref="I2:I15">
    <s:cfRule type="expression" priority="3" dxfId="106">
      <s:formula>NOT(AND(OR($D2="retain",$D2=""),$E2="statistical_results"))</s:formula>
    </s:cfRule>
  </s:conditionalFormatting>
  <s:conditionalFormatting sqref="J2:J15">
    <s:cfRule type="expression" priority="4" dxfId="106">
      <s:formula>NOT(AND(OR($D2="retain",$D2=""),$E2="statistical_results"))</s:formula>
    </s:cfRule>
  </s:conditionalFormatting>
  <s:conditionalFormatting sqref="K2:K15">
    <s:cfRule type="expression" priority="5" dxfId="106">
      <s:formula>NOT(AND(OR($D2="retain",$D2=""),OR($E2="report_internal_inconsistency",$E2="plan_material")))</s:formula>
    </s:cfRule>
  </s:conditionalFormatting>
  <s:conditionalFormatting sqref="L2:L15">
    <s:cfRule type="expression" priority="6" dxfId="106">
      <s:formula>NOT(AND(OR($D2="retain",$D2=""),$E2="protocol_report"))</s:formula>
    </s:cfRule>
  </s:conditionalFormatting>
  <s:dataValidations count="8">
    <s:dataValidation sqref="D2:D15" showDropDown="0" showInputMessage="0" showErrorMessage="1" allowBlank="1" errorTitle="Use an allowed option" error="Choose an option from the list; see Codebook." type="list" errorStyle="stop">
      <s:formula1>"retain,exclude,discuss"</s:formula1>
    </s:dataValidation>
    <s:dataValidation sqref="E2:E15"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15" showDropDown="0" showInputMessage="0" showErrorMessage="1" allowBlank="1" errorTitle="Use an allowed option" error="Choose an option from the list; see Codebook." type="list" errorStyle="stop">
      <s:formula1>"no,primary_done"</s:formula1>
    </s:dataValidation>
    <s:dataValidation sqref="H2:H15"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15"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15" showDropDown="0" showInputMessage="0" showErrorMessage="1" allowBlank="1" errorTitle="Use an allowed option" error="Choose an option from the list; see Codebook." type="list" errorStyle="stop">
      <s:formula1>"direct,possible,unlikely,unknown,not_applicable"</s:formula1>
    </s:dataValidation>
    <s:dataValidation sqref="K2:K15"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15"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394" tooltip="Read embedded evidence; filter by candidate key"/>
    <s:hyperlink ref="A3" location="'Evidence'!A398" tooltip="Read embedded evidence; filter by candidate key"/>
    <s:hyperlink ref="A4" location="'Evidence'!A402" tooltip="Read embedded evidence; filter by candidate key"/>
    <s:hyperlink ref="A5" location="'Evidence'!A406" tooltip="Read embedded evidence; filter by candidate key"/>
    <s:hyperlink ref="A6" location="'Evidence'!A410" tooltip="Read embedded evidence; filter by candidate key"/>
    <s:hyperlink ref="A7" location="'Evidence'!A414" tooltip="Read embedded evidence; filter by candidate key"/>
    <s:hyperlink ref="A8" location="'Evidence'!A418" tooltip="Read embedded evidence; filter by candidate key"/>
    <s:hyperlink ref="A9" location="'Evidence'!A422" tooltip="Read embedded evidence; filter by candidate key"/>
    <s:hyperlink ref="A10" location="'Evidence'!A426" tooltip="Read embedded evidence; filter by candidate key"/>
    <s:hyperlink ref="A11" location="'Evidence'!A430" tooltip="Read embedded evidence; filter by candidate key"/>
    <s:hyperlink ref="A12" location="'Evidence'!A434" tooltip="Read embedded evidence; filter by candidate key"/>
    <s:hyperlink ref="A13" location="'Evidence'!A438" tooltip="Read embedded evidence; filter by candidate key"/>
    <s:hyperlink ref="A14" location="'Evidence'!A442" tooltip="Read embedded evidence; filter by candidate key"/>
    <s:hyperlink ref="A15" location="'Evidence'!A446" tooltip="Read embedded evidence; filter by candidate key"/>
  </s:hyperlinks>
  <s:pageMargins left="0.7" right="0.7" top="0.75" bottom="0.75" header="0.3" footer="0.3"/>
</s:worksheet>
</file>

<file path=xl/worksheets/sheet15.xml><?xml version="1.0" encoding="utf-8"?>
<s:worksheet xmlns:s="http://schemas.openxmlformats.org/spreadsheetml/2006/main">
  <s:sheetPr>
    <s:outlinePr summaryBelow="1" summaryRight="1"/>
    <s:pageSetUpPr/>
  </s:sheetPr>
  <s:dimension ref="A1:R4"/>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2025::jama.2025.4390::C001</s:t>
        </s:is>
      </s:c>
      <s:c r="B2" s="12" t="inlineStr">
        <s:is>
          <s:t>Figure 3 all-patient rate-column conflict with the matched primary-outcome rate</s:t>
        </s:is>
      </s:c>
      <s:c r="C2" s="12" t="inlineStr">
        <s:is>
          <s:t>jama_garrison_2025_oi_250019_1749674951.29054.pdf — Figure 3, PDF p. 9; jama_garrison_2025_oi_250019_1749674951.29054.pdf — Table 2, PDF p. 8; main article abstract, PDF p. 1; primary-outcome narrative, PDF p. 6.</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2025::jama.2025.4390::C001</s:t>
        </s:is>
      </s:c>
    </s:row>
    <s:row r="3" ht="92" customFormat="1" customHeight="1" s="8">
      <s:c r="A3" s="11" t="inlineStr">
        <s:is>
          <s:t>2025::jama.2025.4390::C002</s:t>
        </s:is>
      </s:c>
      <s:c r="B3" s="11" t="inlineStr">
        <s:is>
          <s:t>Bedtime-diuretic six-month timing count triplets differ between eFigure 4 and eTable 6</s:t>
        </s:is>
      </s:c>
      <s:c r="C3" s="11" t="inlineStr">
        <s:is>
          <s:t>joi250019supp3_prod_1749674951.30054.pdf — eFigure 4, PDF p. 26; joi250019supp3_prod_1749674951.30054.pdf — eTable 6, PDF p. 42 (table begins on PDF p. 41).</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2025::jama.2025.4390::C002</s:t>
        </s:is>
      </s:c>
    </s:row>
    <s:row r="4" ht="92" customFormat="1" customHeight="1" s="8">
      <s:c r="A4" s="12" t="inlineStr">
        <s:is>
          <s:t>2025::jama.2025.4390::C003</s:t>
        </s:is>
      </s:c>
      <s:c r="B4" s="12" t="inlineStr">
        <s:is>
          <s:t>eTable 5 Other ethnicity row duplicates White/Caucasian values and exceeds randomized Other totals</s:t>
        </s:is>
      </s:c>
      <s:c r="C4" s="12" t="inlineStr">
        <s:is>
          <s:t>joi250019supp3_prod_1749674951.30054.pdf — eTable 5, PDF p. 37; joi250019supp3_prod_1749674951.30054.pdf — eTable 3, PDF p. 29.</s:t>
        </s:is>
      </s:c>
      <s:c r="D4" s="7" t="inlineStr">
        <s:is>
          <s:t>retain</s:t>
        </s:is>
      </s:c>
      <s:c r="E4" s="7" t="inlineStr">
        <s:is>
          <s:t>statistical_results</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inlineStr">
        <s:is>
          <s:t>confirmed_issue</s:t>
        </s:is>
      </s:c>
      <s:c r="I4" s="7" t="inlineStr">
        <s:is>
          <s:t>substantive</s:t>
        </s:is>
      </s:c>
      <s:c r="J4" s="13" t="n"/>
      <s:c r="K4" s="7" t="n"/>
      <s:c r="L4" s="13" t="n"/>
      <s:c r="M4" s="19" t="n"/>
      <s:c r="N4" s="19" t="n"/>
      <s:c r="O4" s="19" t="n"/>
      <s:c r="P4" s="19" t="n"/>
      <s:c r="Q4" s="19" t="n"/>
      <s:c r="R4" s="13" t="inlineStr">
        <s:is>
          <s:t>TEST 2025::jama.2025.4390::C003</s:t>
        </s:is>
      </s:c>
    </s:row>
  </s:sheetData>
  <s:autoFilter ref="A1:R4"/>
  <s:conditionalFormatting sqref="G2:G4">
    <s:cfRule type="expression" priority="1" dxfId="105">
      <s:formula>G2&lt;&gt;"PRIMARY READY"</s:formula>
    </s:cfRule>
  </s:conditionalFormatting>
  <s:conditionalFormatting sqref="H2:H4">
    <s:cfRule type="expression" priority="2" dxfId="106">
      <s:formula>NOT(AND(OR($D2="retain",$D2=""),$E2="statistical_results"))</s:formula>
    </s:cfRule>
  </s:conditionalFormatting>
  <s:conditionalFormatting sqref="I2:I4">
    <s:cfRule type="expression" priority="3" dxfId="106">
      <s:formula>NOT(AND(OR($D2="retain",$D2=""),$E2="statistical_results"))</s:formula>
    </s:cfRule>
  </s:conditionalFormatting>
  <s:conditionalFormatting sqref="J2:J4">
    <s:cfRule type="expression" priority="4" dxfId="106">
      <s:formula>NOT(AND(OR($D2="retain",$D2=""),$E2="statistical_results"))</s:formula>
    </s:cfRule>
  </s:conditionalFormatting>
  <s:conditionalFormatting sqref="K2:K4">
    <s:cfRule type="expression" priority="5" dxfId="106">
      <s:formula>NOT(AND(OR($D2="retain",$D2=""),OR($E2="report_internal_inconsistency",$E2="plan_material")))</s:formula>
    </s:cfRule>
  </s:conditionalFormatting>
  <s:conditionalFormatting sqref="L2:L4">
    <s:cfRule type="expression" priority="6" dxfId="106">
      <s:formula>NOT(AND(OR($D2="retain",$D2=""),$E2="protocol_report"))</s:formula>
    </s:cfRule>
  </s:conditionalFormatting>
  <s:dataValidations count="8">
    <s:dataValidation sqref="D2:D4" showDropDown="0" showInputMessage="0" showErrorMessage="1" allowBlank="1" errorTitle="Use an allowed option" error="Choose an option from the list; see Codebook." type="list" errorStyle="stop">
      <s:formula1>"retain,exclude,discuss"</s:formula1>
    </s:dataValidation>
    <s:dataValidation sqref="E2:E4"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4" showDropDown="0" showInputMessage="0" showErrorMessage="1" allowBlank="1" errorTitle="Use an allowed option" error="Choose an option from the list; see Codebook." type="list" errorStyle="stop">
      <s:formula1>"no,primary_done"</s:formula1>
    </s:dataValidation>
    <s:dataValidation sqref="H2:H4"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4"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4" showDropDown="0" showInputMessage="0" showErrorMessage="1" allowBlank="1" errorTitle="Use an allowed option" error="Choose an option from the list; see Codebook." type="list" errorStyle="stop">
      <s:formula1>"direct,possible,unlikely,unknown,not_applicable"</s:formula1>
    </s:dataValidation>
    <s:dataValidation sqref="K2:K4"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4"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450" tooltip="Read embedded evidence; filter by candidate key"/>
    <s:hyperlink ref="A3" location="'Evidence'!A454" tooltip="Read embedded evidence; filter by candidate key"/>
    <s:hyperlink ref="A4" location="'Evidence'!A458" tooltip="Read embedded evidence; filter by candidate key"/>
  </s:hyperlinks>
  <s:pageMargins left="0.7" right="0.7" top="0.75" bottom="0.75" header="0.3" footer="0.3"/>
</s:worksheet>
</file>

<file path=xl/worksheets/sheet16.xml><?xml version="1.0" encoding="utf-8"?>
<s:worksheet xmlns:s="http://schemas.openxmlformats.org/spreadsheetml/2006/main">
  <s:sheetPr>
    <s:outlinePr summaryBelow="1" summaryRight="1"/>
    <s:pageSetUpPr/>
  </s:sheetPr>
  <s:dimension ref="A1:R4"/>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2025::jama.2025.7583::C001</s:t>
        </s:is>
      </s:c>
      <s:c r="B2" s="12" t="inlineStr">
        <s:is>
          <s:t>Primary-endpoint midline-shift boundary differs across matched supplied sources</s:t>
        </s:is>
      </s:c>
      <s:c r="C2" s="12" t="inlineStr">
        <s:is>
          <s:t>Main article — PDF p. 3; protocol — PDF p. 7; protocol — PDF p. 16; results supplement — PDF p. 15; SAP — PDF p. 3.</s:t>
        </s:is>
      </s:c>
      <s:c r="D2" s="7" t="inlineStr">
        <s:is>
          <s:t>retain</s:t>
        </s:is>
      </s:c>
      <s:c r="E2" s="7" t="inlineStr">
        <s:is>
          <s:t>protocol_report</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n"/>
      <s:c r="L2" s="13" t="n"/>
      <s:c r="M2" s="19" t="n"/>
      <s:c r="N2" s="19" t="n"/>
      <s:c r="O2" s="19" t="n"/>
      <s:c r="P2" s="19" t="n"/>
      <s:c r="Q2" s="19" t="n"/>
      <s:c r="R2" s="13" t="inlineStr">
        <s:is>
          <s:t>TEST 2025::jama.2025.7583::C001</s:t>
        </s:is>
      </s:c>
    </s:row>
    <s:row r="3" ht="92" customFormat="1" customHeight="1" s="8">
      <s:c r="A3" s="11" t="inlineStr">
        <s:is>
          <s:t>2025::jama.2025.7583::C002</s:t>
        </s:is>
      </s:c>
      <s:c r="B3" s="11" t="inlineStr">
        <s:is>
          <s:t>Printed sample-size attrition allowance does not reconcile with the printed target</s:t>
        </s:is>
      </s:c>
      <s:c r="C3" s="11" t="inlineStr">
        <s:is>
          <s:t>Protocol — PDF p. 50; SAP — PDF p. 4; SAP — PDF p. 5; main article — PDF p. 3.</s:t>
        </s:is>
      </s:c>
      <s:c r="D3" s="7" t="inlineStr">
        <s:is>
          <s:t>retain</s:t>
        </s:is>
      </s:c>
      <s:c r="E3" s="7" t="inlineStr">
        <s:is>
          <s:t>plan_material</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2025::jama.2025.7583::C002</s:t>
        </s:is>
      </s:c>
    </s:row>
    <s:row r="4" ht="92" customFormat="1" customHeight="1" s="8">
      <s:c r="A4" s="12" t="inlineStr">
        <s:is>
          <s:t>2025::jama.2025.7583::C003</s:t>
        </s:is>
      </s:c>
      <s:c r="B4" s="12" t="inlineStr">
        <s:is>
          <s:t>Standard-care surgery-type counts exceed their shared printed denominator</s:t>
        </s:is>
      </s:c>
      <s:c r="C4" s="12" t="inlineStr">
        <s:is>
          <s:t>Main article — PDF p. 5, Table 1, Treatment rows.</s:t>
        </s:is>
      </s:c>
      <s:c r="D4" s="7" t="inlineStr">
        <s:is>
          <s:t>retain</s:t>
        </s:is>
      </s:c>
      <s:c r="E4" s="7" t="inlineStr">
        <s:is>
          <s:t>statistical_results</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inlineStr">
        <s:is>
          <s:t>confirmed_issue</s:t>
        </s:is>
      </s:c>
      <s:c r="I4" s="7" t="inlineStr">
        <s:is>
          <s:t>substantive</s:t>
        </s:is>
      </s:c>
      <s:c r="J4" s="13" t="n"/>
      <s:c r="K4" s="7" t="n"/>
      <s:c r="L4" s="13" t="n"/>
      <s:c r="M4" s="19" t="n"/>
      <s:c r="N4" s="19" t="n"/>
      <s:c r="O4" s="19" t="n"/>
      <s:c r="P4" s="19" t="n"/>
      <s:c r="Q4" s="19" t="n"/>
      <s:c r="R4" s="13" t="inlineStr">
        <s:is>
          <s:t>TEST 2025::jama.2025.7583::C003</s:t>
        </s:is>
      </s:c>
    </s:row>
  </s:sheetData>
  <s:autoFilter ref="A1:R4"/>
  <s:conditionalFormatting sqref="G2:G4">
    <s:cfRule type="expression" priority="1" dxfId="105">
      <s:formula>G2&lt;&gt;"PRIMARY READY"</s:formula>
    </s:cfRule>
  </s:conditionalFormatting>
  <s:conditionalFormatting sqref="H2:H4">
    <s:cfRule type="expression" priority="2" dxfId="106">
      <s:formula>NOT(AND(OR($D2="retain",$D2=""),$E2="statistical_results"))</s:formula>
    </s:cfRule>
  </s:conditionalFormatting>
  <s:conditionalFormatting sqref="I2:I4">
    <s:cfRule type="expression" priority="3" dxfId="106">
      <s:formula>NOT(AND(OR($D2="retain",$D2=""),$E2="statistical_results"))</s:formula>
    </s:cfRule>
  </s:conditionalFormatting>
  <s:conditionalFormatting sqref="J2:J4">
    <s:cfRule type="expression" priority="4" dxfId="106">
      <s:formula>NOT(AND(OR($D2="retain",$D2=""),$E2="statistical_results"))</s:formula>
    </s:cfRule>
  </s:conditionalFormatting>
  <s:conditionalFormatting sqref="K2:K4">
    <s:cfRule type="expression" priority="5" dxfId="106">
      <s:formula>NOT(AND(OR($D2="retain",$D2=""),OR($E2="report_internal_inconsistency",$E2="plan_material")))</s:formula>
    </s:cfRule>
  </s:conditionalFormatting>
  <s:conditionalFormatting sqref="L2:L4">
    <s:cfRule type="expression" priority="6" dxfId="106">
      <s:formula>NOT(AND(OR($D2="retain",$D2=""),$E2="protocol_report"))</s:formula>
    </s:cfRule>
  </s:conditionalFormatting>
  <s:dataValidations count="8">
    <s:dataValidation sqref="D2:D4" showDropDown="0" showInputMessage="0" showErrorMessage="1" allowBlank="1" errorTitle="Use an allowed option" error="Choose an option from the list; see Codebook." type="list" errorStyle="stop">
      <s:formula1>"retain,exclude,discuss"</s:formula1>
    </s:dataValidation>
    <s:dataValidation sqref="E2:E4"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4" showDropDown="0" showInputMessage="0" showErrorMessage="1" allowBlank="1" errorTitle="Use an allowed option" error="Choose an option from the list; see Codebook." type="list" errorStyle="stop">
      <s:formula1>"no,primary_done"</s:formula1>
    </s:dataValidation>
    <s:dataValidation sqref="H2:H4"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4"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4" showDropDown="0" showInputMessage="0" showErrorMessage="1" allowBlank="1" errorTitle="Use an allowed option" error="Choose an option from the list; see Codebook." type="list" errorStyle="stop">
      <s:formula1>"direct,possible,unlikely,unknown,not_applicable"</s:formula1>
    </s:dataValidation>
    <s:dataValidation sqref="K2:K4"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4"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462" tooltip="Read embedded evidence; filter by candidate key"/>
    <s:hyperlink ref="A3" location="'Evidence'!A466" tooltip="Read embedded evidence; filter by candidate key"/>
    <s:hyperlink ref="A4" location="'Evidence'!A470" tooltip="Read embedded evidence; filter by candidate key"/>
  </s:hyperlinks>
  <s:pageMargins left="0.7" right="0.7" top="0.75" bottom="0.75" header="0.3" footer="0.3"/>
</s:worksheet>
</file>

<file path=xl/worksheets/sheet17.xml><?xml version="1.0" encoding="utf-8"?>
<s:worksheet xmlns:s="http://schemas.openxmlformats.org/spreadsheetml/2006/main">
  <s:sheetPr>
    <s:outlinePr summaryBelow="1" summaryRight="1"/>
    <s:pageSetUpPr/>
  </s:sheetPr>
  <s:dimension ref="A1:R5"/>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2025::jama.2025.7710::C001</s:t>
        </s:is>
      </s:c>
      <s:c r="B2" s="12" t="inlineStr">
        <s:is>
          <s:t>Conflicting economic price-year labels within the protocol</s:t>
        </s:is>
      </s:c>
      <s:c r="C2" s="12" t="inlineStr">
        <s:is>
          <s:t>joi250034supp1_prod_1750956984.09018.pdf — PDF p. 16, section 7.2.3; joi250034supp1_prod_1750956984.09018.pdf — PDF p. 17, section 8.2.</s:t>
        </s:is>
      </s:c>
      <s:c r="D2" s="7" t="inlineStr">
        <s:is>
          <s:t>retain</s:t>
        </s:is>
      </s:c>
      <s:c r="E2" s="7" t="inlineStr">
        <s:is>
          <s:t>plan_material</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2025::jama.2025.7710::C001</s:t>
        </s:is>
      </s:c>
    </s:row>
    <s:row r="3" ht="92" customFormat="1" customHeight="1" s="8">
      <s:c r="A3" s="11" t="inlineStr">
        <s:is>
          <s:t>2025::jama.2025.7710::C002</s:t>
        </s:is>
      </s:c>
      <s:c r="B3" s="11" t="inlineStr">
        <s:is>
          <s:t>Primary-composite counting rationale does not reconcile with the displayed endpoint list</s:t>
        </s:is>
      </s:c>
      <s:c r="C3" s="11" t="inlineStr">
        <s:is>
          <s:t>joi250034supp1_prod_1750956984.09018.pdf — PDF p. 15, section 7.1; joi250034supp1_prod_1750956984.09018.pdf — PDF p. 16, section 7.2.1.</s:t>
        </s:is>
      </s:c>
      <s:c r="D3" s="7" t="inlineStr">
        <s:is>
          <s:t>retain</s:t>
        </s:is>
      </s:c>
      <s:c r="E3" s="7" t="inlineStr">
        <s:is>
          <s:t>plan_material</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2025::jama.2025.7710::C002</s:t>
        </s:is>
      </s:c>
    </s:row>
    <s:row r="4" ht="92" customFormat="1" customHeight="1" s="8">
      <s:c r="A4" s="12" t="inlineStr">
        <s:is>
          <s:t>2025::jama.2025.7710::C003</s:t>
        </s:is>
      </s:c>
      <s:c r="B4" s="12" t="inlineStr">
        <s:is>
          <s:t>Economic comparator label conflicts with the detailed trial comparison</s:t>
        </s:is>
      </s:c>
      <s:c r="C4" s="12" t="inlineStr">
        <s:is>
          <s:t>joi250034supp1_prod_1750956984.09018.pdf — PDF p. 5, synopsis and schema; joi250034supp1_prod_1750956984.09018.pdf — PDF p. 16, section 7.2.3; joi250034supp1_prod_1750956984.09018.pdf — PDF p. 17, section 8.2.</s:t>
        </s:is>
      </s:c>
      <s:c r="D4" s="7" t="inlineStr">
        <s:is>
          <s:t>retain</s:t>
        </s:is>
      </s:c>
      <s:c r="E4" s="7" t="inlineStr">
        <s:is>
          <s:t>plan_material</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2025::jama.2025.7710::C003</s:t>
        </s:is>
      </s:c>
    </s:row>
    <s:row r="5" ht="92" customFormat="1" customHeight="1" s="8">
      <s:c r="A5" s="11" t="inlineStr">
        <s:is>
          <s:t>2025::jama.2025.7710::C004</s:t>
        </s:is>
      </s:c>
      <s:c r="B5" s="11" t="inlineStr">
        <s:is>
          <s:t>Reported no-adjustment statement conflicts with the supplied multiplicity plan</s:t>
        </s:is>
      </s:c>
      <s:c r="C5" s="11" t="inlineStr">
        <s:is>
          <s: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s:t>
        </s:is>
      </s:c>
      <s:c r="D5" s="7" t="inlineStr">
        <s:is>
          <s:t>retain</s:t>
        </s:is>
      </s:c>
      <s:c r="E5" s="7" t="inlineStr">
        <s:is>
          <s:t>protocol_report</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n"/>
      <s:c r="L5" s="13" t="n"/>
      <s:c r="M5" s="19" t="n"/>
      <s:c r="N5" s="19" t="n"/>
      <s:c r="O5" s="19" t="n"/>
      <s:c r="P5" s="19" t="n"/>
      <s:c r="Q5" s="19" t="n"/>
      <s:c r="R5" s="13" t="inlineStr">
        <s:is>
          <s:t>TEST 2025::jama.2025.7710::C004</s:t>
        </s:is>
      </s:c>
    </s:row>
  </s:sheetData>
  <s:autoFilter ref="A1:R5"/>
  <s:conditionalFormatting sqref="G2:G5">
    <s:cfRule type="expression" priority="1" dxfId="105">
      <s:formula>G2&lt;&gt;"PRIMARY READY"</s:formula>
    </s:cfRule>
  </s:conditionalFormatting>
  <s:conditionalFormatting sqref="H2:H5">
    <s:cfRule type="expression" priority="2" dxfId="106">
      <s:formula>NOT(AND(OR($D2="retain",$D2=""),$E2="statistical_results"))</s:formula>
    </s:cfRule>
  </s:conditionalFormatting>
  <s:conditionalFormatting sqref="I2:I5">
    <s:cfRule type="expression" priority="3" dxfId="106">
      <s:formula>NOT(AND(OR($D2="retain",$D2=""),$E2="statistical_results"))</s:formula>
    </s:cfRule>
  </s:conditionalFormatting>
  <s:conditionalFormatting sqref="J2:J5">
    <s:cfRule type="expression" priority="4" dxfId="106">
      <s:formula>NOT(AND(OR($D2="retain",$D2=""),$E2="statistical_results"))</s:formula>
    </s:cfRule>
  </s:conditionalFormatting>
  <s:conditionalFormatting sqref="K2:K5">
    <s:cfRule type="expression" priority="5" dxfId="106">
      <s:formula>NOT(AND(OR($D2="retain",$D2=""),OR($E2="report_internal_inconsistency",$E2="plan_material")))</s:formula>
    </s:cfRule>
  </s:conditionalFormatting>
  <s:conditionalFormatting sqref="L2:L5">
    <s:cfRule type="expression" priority="6" dxfId="106">
      <s:formula>NOT(AND(OR($D2="retain",$D2=""),$E2="protocol_report"))</s:formula>
    </s:cfRule>
  </s:conditionalFormatting>
  <s:dataValidations count="8">
    <s:dataValidation sqref="D2:D5" showDropDown="0" showInputMessage="0" showErrorMessage="1" allowBlank="1" errorTitle="Use an allowed option" error="Choose an option from the list; see Codebook." type="list" errorStyle="stop">
      <s:formula1>"retain,exclude,discuss"</s:formula1>
    </s:dataValidation>
    <s:dataValidation sqref="E2:E5"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5" showDropDown="0" showInputMessage="0" showErrorMessage="1" allowBlank="1" errorTitle="Use an allowed option" error="Choose an option from the list; see Codebook." type="list" errorStyle="stop">
      <s:formula1>"no,primary_done"</s:formula1>
    </s:dataValidation>
    <s:dataValidation sqref="H2:H5"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5"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5" showDropDown="0" showInputMessage="0" showErrorMessage="1" allowBlank="1" errorTitle="Use an allowed option" error="Choose an option from the list; see Codebook." type="list" errorStyle="stop">
      <s:formula1>"direct,possible,unlikely,unknown,not_applicable"</s:formula1>
    </s:dataValidation>
    <s:dataValidation sqref="K2:K5"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5"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474" tooltip="Read embedded evidence; filter by candidate key"/>
    <s:hyperlink ref="A3" location="'Evidence'!A478" tooltip="Read embedded evidence; filter by candidate key"/>
    <s:hyperlink ref="A4" location="'Evidence'!A482" tooltip="Read embedded evidence; filter by candidate key"/>
    <s:hyperlink ref="A5" location="'Evidence'!A486" tooltip="Read embedded evidence; filter by candidate key"/>
  </s:hyperlinks>
  <s:pageMargins left="0.7" right="0.7" top="0.75" bottom="0.75" header="0.3" footer="0.3"/>
</s:worksheet>
</file>

<file path=xl/worksheets/sheet18.xml><?xml version="1.0" encoding="utf-8"?>
<s:worksheet xmlns:s="http://schemas.openxmlformats.org/spreadsheetml/2006/main">
  <s:sheetPr>
    <s:outlinePr summaryBelow="1" summaryRight="1"/>
    <s:pageSetUpPr/>
  </s:sheetPr>
  <s:dimension ref="A1:R7"/>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2025::jama.2025.9110::C001</s:t>
        </s:is>
      </s:c>
      <s:c r="B2" s="12" t="inlineStr">
        <s:is>
          <s:t>Invasive-ventilation descriptive summary is labeled mean (SD) but displays two endpoints</s:t>
        </s:is>
      </s:c>
      <s:c r="C2" s="12" t="inlineStr">
        <s:is>
          <s:t>Main article — PDF p. 7, Table 2, Duration of invasive ventilation, mean (SD), h; main article — PDF p. 1; Results Supplement — PDF p. 18, eTable 10.</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2025::jama.2025.9110::C001</s:t>
        </s:is>
      </s:c>
    </s:row>
    <s:row r="3" ht="92" customFormat="1" customHeight="1" s="8">
      <s:c r="A3" s="11" t="inlineStr">
        <s:is>
          <s:t>2025::jama.2025.9110::C002</s:t>
        </s:is>
      </s:c>
      <s:c r="B3" s="11" t="inlineStr">
        <s:is>
          <s:t>eTable 10 uses a comma in one one-decimal survival percentage</s:t>
        </s:is>
      </s:c>
      <s:c r="C3" s="11" t="inlineStr">
        <s:is>
          <s:t>Results Supplement — PDF p. 18, eTable 10, Alive at day 90 [n (%)], Period 2 usual protein (4 units, n = 530).</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2025::jama.2025.9110::C002</s:t>
        </s:is>
      </s:c>
    </s:row>
    <s:row r="4" ht="92" customFormat="1" customHeight="1" s="8">
      <s:c r="A4" s="12" t="inlineStr">
        <s:is>
          <s:t>2025::jama.2025.9110::C003</s:t>
        </s:is>
      </s:c>
      <s:c r="B4" s="12" t="inlineStr">
        <s:is>
          <s:t>Bayesian quantile row is labeled mean (SD) despite its associated median estimand and two-endpoint group displays</s:t>
        </s:is>
      </s:c>
      <s:c r="C4" s="12" t="inlineStr">
        <s:is>
          <s:t>Main article — PDF p. 7, Table 2; Results Supplement — PDF p. 5, secondary analyses; Results Supplement — PDF p. 27, eFigure 6.</s:t>
        </s:is>
      </s:c>
      <s:c r="D4" s="7" t="inlineStr">
        <s:is>
          <s:t>retain</s:t>
        </s:is>
      </s:c>
      <s:c r="E4" s="7" t="inlineStr">
        <s:is>
          <s:t>report_internal_inconsistency</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2025::jama.2025.9110::C003</s:t>
        </s:is>
      </s:c>
    </s:row>
    <s:row r="5" ht="92" customFormat="1" customHeight="1" s="8">
      <s:c r="A5" s="11" t="inlineStr">
        <s:is>
          <s:t>2025::jama.2025.9110::C004</s:t>
        </s:is>
      </s:c>
      <s:c r="B5" s="11" t="inlineStr">
        <s:is>
          <s:t>Discussion describes the matched day-10 urea summaries as means while Results reports medians (IQR)</s:t>
        </s:is>
      </s:c>
      <s:c r="C5" s="11" t="inlineStr">
        <s:is>
          <s:t>Main article Results — PDF p. 5, Biochemical Outcomes; main article Discussion — PDF p. 8.</s:t>
        </s:is>
      </s:c>
      <s:c r="D5" s="7" t="inlineStr">
        <s:is>
          <s:t>retain</s:t>
        </s:is>
      </s:c>
      <s:c r="E5" s="7" t="inlineStr">
        <s:is>
          <s:t>report_internal_inconsistency</s:t>
        </s:is>
      </s:c>
      <s:c r="F5" s="7" t="inlineStr">
        <s:is>
          <s:t>primary_done</s:t>
        </s:is>
      </s:c>
      <s:c r="G5" s="11" t="str">
        <s: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s:f>
        <s:v>PRIMARY READY</s:v>
      </s:c>
      <s:c r="H5" s="7" t="n"/>
      <s:c r="I5" s="7" t="n"/>
      <s:c r="J5" s="13" t="n"/>
      <s:c r="K5" s="7" t="inlineStr">
        <s:is>
          <s:t>substantive_inconsistency</s:t>
        </s:is>
      </s:c>
      <s:c r="L5" s="13" t="n"/>
      <s:c r="M5" s="19" t="n"/>
      <s:c r="N5" s="19" t="n"/>
      <s:c r="O5" s="19" t="n"/>
      <s:c r="P5" s="19" t="n"/>
      <s:c r="Q5" s="19" t="n"/>
      <s:c r="R5" s="13" t="inlineStr">
        <s:is>
          <s:t>TEST 2025::jama.2025.9110::C004</s:t>
        </s:is>
      </s:c>
    </s:row>
    <s:row r="6" ht="92" customFormat="1" customHeight="1" s="8">
      <s:c r="A6" s="12" t="inlineStr">
        <s:is>
          <s:t>2025::jama.2025.9110::C005</s:t>
        </s:is>
      </s:c>
      <s:c r="B6" s="12" t="inlineStr">
        <s:is>
          <s:t>eTable 10 tracheostomy row switches percent-sign notation across period cells</s:t>
        </s:is>
      </s:c>
      <s:c r="C6" s="12" t="inlineStr">
        <s:is>
          <s:t>Results Supplement — PDF p. 18, eTable 10, Tracheostomy in ICU [n (%)].</s:t>
        </s:is>
      </s:c>
      <s:c r="D6" s="7" t="inlineStr">
        <s:is>
          <s:t>retain</s:t>
        </s:is>
      </s:c>
      <s:c r="E6" s="7" t="inlineStr">
        <s:is>
          <s:t>report_internal_inconsistency</s:t>
        </s:is>
      </s:c>
      <s:c r="F6" s="7" t="inlineStr">
        <s:is>
          <s:t>primary_done</s:t>
        </s:is>
      </s:c>
      <s:c r="G6" s="12" t="str">
        <s: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s:f>
        <s:v>PRIMARY READY</s:v>
      </s:c>
      <s:c r="H6" s="7" t="n"/>
      <s:c r="I6" s="7" t="n"/>
      <s:c r="J6" s="13" t="n"/>
      <s:c r="K6" s="7" t="inlineStr">
        <s:is>
          <s:t>substantive_inconsistency</s:t>
        </s:is>
      </s:c>
      <s:c r="L6" s="13" t="n"/>
      <s:c r="M6" s="19" t="n"/>
      <s:c r="N6" s="19" t="n"/>
      <s:c r="O6" s="19" t="n"/>
      <s:c r="P6" s="19" t="n"/>
      <s:c r="Q6" s="19" t="n"/>
      <s:c r="R6" s="13" t="inlineStr">
        <s:is>
          <s:t>TEST 2025::jama.2025.9110::C005</s:t>
        </s:is>
      </s:c>
    </s:row>
    <s:row r="7" ht="92" customFormat="1" customHeight="1" s="8">
      <s:c r="A7" s="11" t="inlineStr">
        <s:is>
          <s:t>2025::jama.2025.9110::C006</s:t>
        </s:is>
      </s:c>
      <s:c r="B7" s="11" t="inlineStr">
        <s:is>
          <s:t>eTable 10 new-KRT row switches percent-sign notation across period cells</s:t>
        </s:is>
      </s:c>
      <s:c r="C7" s="11" t="inlineStr">
        <s:is>
          <s:t>Results Supplement — PDF p. 18, eTable 10, New kidney replacement therapy commenced during index ICU admission after commencing trial enteral nutrition [n (%)].</s:t>
        </s:is>
      </s:c>
      <s:c r="D7" s="7" t="inlineStr">
        <s:is>
          <s:t>retain</s:t>
        </s:is>
      </s:c>
      <s:c r="E7" s="7" t="inlineStr">
        <s:is>
          <s:t>report_internal_inconsistency</s:t>
        </s:is>
      </s:c>
      <s:c r="F7" s="7" t="inlineStr">
        <s:is>
          <s:t>primary_done</s:t>
        </s:is>
      </s:c>
      <s:c r="G7" s="11" t="str">
        <s: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s:f>
        <s:v>PRIMARY READY</s:v>
      </s:c>
      <s:c r="H7" s="7" t="n"/>
      <s:c r="I7" s="7" t="n"/>
      <s:c r="J7" s="13" t="n"/>
      <s:c r="K7" s="7" t="inlineStr">
        <s:is>
          <s:t>substantive_inconsistency</s:t>
        </s:is>
      </s:c>
      <s:c r="L7" s="13" t="n"/>
      <s:c r="M7" s="19" t="n"/>
      <s:c r="N7" s="19" t="n"/>
      <s:c r="O7" s="19" t="n"/>
      <s:c r="P7" s="19" t="n"/>
      <s:c r="Q7" s="19" t="n"/>
      <s:c r="R7" s="13" t="inlineStr">
        <s:is>
          <s:t>TEST 2025::jama.2025.9110::C006</s:t>
        </s:is>
      </s:c>
    </s:row>
  </s:sheetData>
  <s:autoFilter ref="A1:R7"/>
  <s:conditionalFormatting sqref="G2:G7">
    <s:cfRule type="expression" priority="1" dxfId="105">
      <s:formula>G2&lt;&gt;"PRIMARY READY"</s:formula>
    </s:cfRule>
  </s:conditionalFormatting>
  <s:conditionalFormatting sqref="H2:H7">
    <s:cfRule type="expression" priority="2" dxfId="106">
      <s:formula>NOT(AND(OR($D2="retain",$D2=""),$E2="statistical_results"))</s:formula>
    </s:cfRule>
  </s:conditionalFormatting>
  <s:conditionalFormatting sqref="I2:I7">
    <s:cfRule type="expression" priority="3" dxfId="106">
      <s:formula>NOT(AND(OR($D2="retain",$D2=""),$E2="statistical_results"))</s:formula>
    </s:cfRule>
  </s:conditionalFormatting>
  <s:conditionalFormatting sqref="J2:J7">
    <s:cfRule type="expression" priority="4" dxfId="106">
      <s:formula>NOT(AND(OR($D2="retain",$D2=""),$E2="statistical_results"))</s:formula>
    </s:cfRule>
  </s:conditionalFormatting>
  <s:conditionalFormatting sqref="K2:K7">
    <s:cfRule type="expression" priority="5" dxfId="106">
      <s:formula>NOT(AND(OR($D2="retain",$D2=""),OR($E2="report_internal_inconsistency",$E2="plan_material")))</s:formula>
    </s:cfRule>
  </s:conditionalFormatting>
  <s:conditionalFormatting sqref="L2:L7">
    <s:cfRule type="expression" priority="6" dxfId="106">
      <s:formula>NOT(AND(OR($D2="retain",$D2=""),$E2="protocol_report"))</s:formula>
    </s:cfRule>
  </s:conditionalFormatting>
  <s:dataValidations count="8">
    <s:dataValidation sqref="D2:D7" showDropDown="0" showInputMessage="0" showErrorMessage="1" allowBlank="1" errorTitle="Use an allowed option" error="Choose an option from the list; see Codebook." type="list" errorStyle="stop">
      <s:formula1>"retain,exclude,discuss"</s:formula1>
    </s:dataValidation>
    <s:dataValidation sqref="E2:E7"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7" showDropDown="0" showInputMessage="0" showErrorMessage="1" allowBlank="1" errorTitle="Use an allowed option" error="Choose an option from the list; see Codebook." type="list" errorStyle="stop">
      <s:formula1>"no,primary_done"</s:formula1>
    </s:dataValidation>
    <s:dataValidation sqref="H2:H7"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7"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7" showDropDown="0" showInputMessage="0" showErrorMessage="1" allowBlank="1" errorTitle="Use an allowed option" error="Choose an option from the list; see Codebook." type="list" errorStyle="stop">
      <s:formula1>"direct,possible,unlikely,unknown,not_applicable"</s:formula1>
    </s:dataValidation>
    <s:dataValidation sqref="K2:K7"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7"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490" tooltip="Read embedded evidence; filter by candidate key"/>
    <s:hyperlink ref="A3" location="'Evidence'!A494" tooltip="Read embedded evidence; filter by candidate key"/>
    <s:hyperlink ref="A4" location="'Evidence'!A498" tooltip="Read embedded evidence; filter by candidate key"/>
    <s:hyperlink ref="A5" location="'Evidence'!A502" tooltip="Read embedded evidence; filter by candidate key"/>
    <s:hyperlink ref="A6" location="'Evidence'!A506" tooltip="Read embedded evidence; filter by candidate key"/>
    <s:hyperlink ref="A7" location="'Evidence'!A510" tooltip="Read embedded evidence; filter by candidate key"/>
  </s:hyperlinks>
  <s:pageMargins left="0.7" right="0.7" top="0.75" bottom="0.75" header="0.3" footer="0.3"/>
</s:worksheet>
</file>

<file path=xl/worksheets/sheet19.xml><?xml version="1.0" encoding="utf-8"?>
<s:worksheet xmlns:s="http://schemas.openxmlformats.org/spreadsheetml/2006/main">
  <s:sheetPr>
    <s:outlinePr summaryBelow="1" summaryRight="1"/>
    <s:pageSetUpPr/>
  </s:sheetPr>
  <s:dimension ref="A1:R4"/>
  <s:sheetViews>
    <s:sheetView showGridLines="0" workbookViewId="0">
      <s:pane xSplit="1" ySplit="1" topLeftCell="B2" activePane="bottomRight" state="frozen"/>
      <s:selection activeCell="A1" sqref="A1"/>
    </s:sheetView>
  </s:sheetViews>
  <s:sheetFormatPr baseColWidth="8" defaultRowHeight="15"/>
  <s:cols>
    <s:col width="22" customWidth="1" style="8" min="1" max="1"/>
    <s:col width="28" customWidth="1" style="8" min="2" max="2"/>
    <s:col width="22" customWidth="1" style="8" min="3" max="3"/>
    <s:col width="18" customWidth="1" style="8" min="4" max="4"/>
    <s:col width="35" customWidth="1" style="8" min="5" max="5"/>
    <s:col width="17" customWidth="1" style="8" min="6" max="6"/>
    <s:col width="25" customWidth="1" style="8" min="7" max="7"/>
    <s:col width="29" customWidth="1" style="8" min="8" max="8"/>
    <s:col width="20" customWidth="1" style="8" min="9" max="9"/>
    <s:col width="20" customWidth="1" style="8" min="10" max="10"/>
    <s:col width="36" customWidth="1" style="8" min="11" max="11"/>
    <s:col width="28" customWidth="1" style="8" min="12" max="12"/>
    <s:col hidden="1" width="3" customWidth="1" style="8" min="13" max="13"/>
    <s:col hidden="1" width="3" customWidth="1" style="8" min="14" max="14"/>
    <s:col hidden="1" width="3" customWidth="1" style="8" min="15" max="15"/>
    <s:col hidden="1" width="3" customWidth="1" style="8" min="16" max="16"/>
    <s:col hidden="1" width="3" customWidth="1" style="8" min="17" max="17"/>
    <s:col width="32" customWidth="1" style="8" min="18" max="18"/>
  </s:cols>
  <s:sheetData>
    <s:row r="1" ht="42" customFormat="1" customHeight="1" s="8">
      <s:c r="A1" s="5" t="inlineStr">
        <s:is>
          <s:t>Candidate key</s:t>
        </s:is>
      </s:c>
      <s:c r="B1" s="5" t="inlineStr">
        <s:is>
          <s:t>Candidate title</s:t>
        </s:is>
      </s:c>
      <s:c r="C1" s="5" t="inlineStr">
        <s:is>
          <s:t>Source location</s:t>
        </s:is>
      </s:c>
      <s:c r="D1" s="5" t="inlineStr">
        <s:is>
          <s:t>Disposition</s:t>
        </s:is>
      </s:c>
      <s:c r="E1" s="5" t="inlineStr">
        <s:is>
          <s:t>Review domain (AI suggestion; editable)</s:t>
        </s:is>
      </s:c>
      <s:c r="F1" s="5" t="inlineStr">
        <s:is>
          <s:t>Complete</s:t>
        </s:is>
      </s:c>
      <s:c r="G1" s="5" t="inlineStr">
        <s:is>
          <s:t>Validation hint</s:t>
        </s:is>
      </s:c>
      <s:c r="H1" s="5" t="inlineStr">
        <s:is>
          <s:t>Statistcal_or_numerical issue</s:t>
        </s:is>
      </s:c>
      <s:c r="I1" s="5" t="inlineStr">
        <s:is>
          <s:t>Substantiveness</s:t>
        </s:is>
      </s:c>
      <s:c r="J1" s="5" t="inlineStr">
        <s:is>
          <s:t>Downstream impact</s:t>
        </s:is>
      </s:c>
      <s:c r="K1" s="5" t="inlineStr">
        <s:is>
          <s:t>Report-internal or planning-material inconsistency</s:t>
        </s:is>
      </s:c>
      <s:c r="L1" s="5" t="inlineStr">
        <s:is>
          <s:t>Protocol interpretation</s:t>
        </s:is>
      </s:c>
      <s:c r="M1" s="18" t="n"/>
      <s:c r="N1" s="18" t="n"/>
      <s:c r="O1" s="18" t="n"/>
      <s:c r="P1" s="18" t="n"/>
      <s:c r="Q1" s="18" t="n"/>
      <s:c r="R1" s="5" t="inlineStr">
        <s:is>
          <s:t>Notes (optional)</s:t>
        </s:is>
      </s:c>
    </s:row>
    <s:row r="2" ht="92" customFormat="1" customHeight="1" s="8">
      <s:c r="A2" s="12" t="inlineStr">
        <s:is>
          <s:t>2025::jama.2025.9663::C001</s:t>
        </s:is>
      </s:c>
      <s:c r="B2" s="12" t="inlineStr">
        <s:is>
          <s:t>Extraneous pressure unit after the usual-group SpO2 summary</s:t>
        </s:is>
      </s:c>
      <s:c r="C2" s="12" t="inlineStr">
        <s:is>
          <s:t>DOC-001, jama_martin_2025_oi_250042_1753377747.91025.pdf — PDF p. 6 (printed article p. 403), Oxygen Exposure paragraph; comparator DOC-003, joi250042supp2_prod_1753377747.93025.pdf — PDF p. 21, eTable 5.</s:t>
        </s:is>
      </s:c>
      <s:c r="D2" s="7" t="inlineStr">
        <s:is>
          <s:t>retain</s:t>
        </s:is>
      </s:c>
      <s:c r="E2" s="7" t="inlineStr">
        <s:is>
          <s:t>report_internal_inconsistency</s:t>
        </s:is>
      </s:c>
      <s:c r="F2" s="7" t="inlineStr">
        <s:is>
          <s:t>primary_done</s:t>
        </s:is>
      </s:c>
      <s:c r="G2" s="12" t="str">
        <s: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s:f>
        <s:v>PRIMARY READY</s:v>
      </s:c>
      <s:c r="H2" s="7" t="n"/>
      <s:c r="I2" s="7" t="n"/>
      <s:c r="J2" s="13" t="n"/>
      <s:c r="K2" s="7" t="inlineStr">
        <s:is>
          <s:t>substantive_inconsistency</s:t>
        </s:is>
      </s:c>
      <s:c r="L2" s="13" t="n"/>
      <s:c r="M2" s="19" t="n"/>
      <s:c r="N2" s="19" t="n"/>
      <s:c r="O2" s="19" t="n"/>
      <s:c r="P2" s="19" t="n"/>
      <s:c r="Q2" s="19" t="n"/>
      <s:c r="R2" s="13" t="inlineStr">
        <s:is>
          <s:t>TEST 2025::jama.2025.9663::C001</s:t>
        </s:is>
      </s:c>
    </s:row>
    <s:row r="3" ht="92" customFormat="1" customHeight="1" s="8">
      <s:c r="A3" s="11" t="inlineStr">
        <s:is>
          <s:t>2025::jama.2025.9663::C002</s:t>
        </s:is>
      </s:c>
      <s:c r="B3" s="11" t="inlineStr">
        <s:is>
          <s:t>Results-supplement contents page does not identify actual eTables 1-4</s:t>
        </s:is>
      </s:c>
      <s:c r="C3" s="11" t="inlineStr">
        <s:is>
          <s:t>DOC-003, joi250042supp2_prod_1753377747.93025.pdf — PDF p. 1, contents; actual eTable 1 — PDF p. 15, eTable 2 — PDF p. 17, eTable 3 — PDF p. 18, and eTable 4 — PDF p. 19.</s:t>
        </s:is>
      </s:c>
      <s:c r="D3" s="7" t="inlineStr">
        <s:is>
          <s:t>retain</s:t>
        </s:is>
      </s:c>
      <s:c r="E3" s="7" t="inlineStr">
        <s:is>
          <s:t>report_internal_inconsistency</s:t>
        </s:is>
      </s:c>
      <s:c r="F3" s="7" t="inlineStr">
        <s:is>
          <s:t>primary_done</s:t>
        </s:is>
      </s:c>
      <s:c r="G3" s="11" t="str">
        <s: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s:f>
        <s:v>PRIMARY READY</s:v>
      </s:c>
      <s:c r="H3" s="7" t="n"/>
      <s:c r="I3" s="7" t="n"/>
      <s:c r="J3" s="13" t="n"/>
      <s:c r="K3" s="7" t="inlineStr">
        <s:is>
          <s:t>substantive_inconsistency</s:t>
        </s:is>
      </s:c>
      <s:c r="L3" s="13" t="n"/>
      <s:c r="M3" s="19" t="n"/>
      <s:c r="N3" s="19" t="n"/>
      <s:c r="O3" s="19" t="n"/>
      <s:c r="P3" s="19" t="n"/>
      <s:c r="Q3" s="19" t="n"/>
      <s:c r="R3" s="13" t="inlineStr">
        <s:is>
          <s:t>TEST 2025::jama.2025.9663::C002</s:t>
        </s:is>
      </s:c>
    </s:row>
    <s:row r="4" ht="92" customFormat="1" customHeight="1" s="8">
      <s:c r="A4" s="12" t="inlineStr">
        <s:is>
          <s:t>2025::jama.2025.9663::C003</s:t>
        </s:is>
      </s:c>
      <s:c r="B4" s="12" t="inlineStr">
        <s:is>
          <s:t>Final SAP contains an unresolved reference after quantitative separation/adherence rules</s:t>
        </s:is>
      </s:c>
      <s:c r="C4" s="12" t="inlineStr">
        <s:is>
          <s:t>DOC-002, joi250042supp1_prod_1753377747.92525.pdf — PDF p. 118 (SAP p. 8), section 2.5 and Table 1, immediately after the separation/adherence definition.</s:t>
        </s:is>
      </s:c>
      <s:c r="D4" s="7" t="inlineStr">
        <s:is>
          <s:t>retain</s:t>
        </s:is>
      </s:c>
      <s:c r="E4" s="7" t="inlineStr">
        <s:is>
          <s:t>plan_material</s:t>
        </s:is>
      </s:c>
      <s:c r="F4" s="7" t="inlineStr">
        <s:is>
          <s:t>primary_done</s:t>
        </s:is>
      </s:c>
      <s:c r="G4" s="12" t="str">
        <s: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s:f>
        <s:v>PRIMARY READY</s:v>
      </s:c>
      <s:c r="H4" s="7" t="n"/>
      <s:c r="I4" s="7" t="n"/>
      <s:c r="J4" s="13" t="n"/>
      <s:c r="K4" s="7" t="inlineStr">
        <s:is>
          <s:t>substantive_inconsistency</s:t>
        </s:is>
      </s:c>
      <s:c r="L4" s="13" t="n"/>
      <s:c r="M4" s="19" t="n"/>
      <s:c r="N4" s="19" t="n"/>
      <s:c r="O4" s="19" t="n"/>
      <s:c r="P4" s="19" t="n"/>
      <s:c r="Q4" s="19" t="n"/>
      <s:c r="R4" s="13" t="inlineStr">
        <s:is>
          <s:t>TEST 2025::jama.2025.9663::C003</s:t>
        </s:is>
      </s:c>
    </s:row>
  </s:sheetData>
  <s:autoFilter ref="A1:R4"/>
  <s:conditionalFormatting sqref="G2:G4">
    <s:cfRule type="expression" priority="1" dxfId="105">
      <s:formula>G2&lt;&gt;"PRIMARY READY"</s:formula>
    </s:cfRule>
  </s:conditionalFormatting>
  <s:conditionalFormatting sqref="H2:H4">
    <s:cfRule type="expression" priority="2" dxfId="106">
      <s:formula>NOT(AND(OR($D2="retain",$D2=""),$E2="statistical_results"))</s:formula>
    </s:cfRule>
  </s:conditionalFormatting>
  <s:conditionalFormatting sqref="I2:I4">
    <s:cfRule type="expression" priority="3" dxfId="106">
      <s:formula>NOT(AND(OR($D2="retain",$D2=""),$E2="statistical_results"))</s:formula>
    </s:cfRule>
  </s:conditionalFormatting>
  <s:conditionalFormatting sqref="J2:J4">
    <s:cfRule type="expression" priority="4" dxfId="106">
      <s:formula>NOT(AND(OR($D2="retain",$D2=""),$E2="statistical_results"))</s:formula>
    </s:cfRule>
  </s:conditionalFormatting>
  <s:conditionalFormatting sqref="K2:K4">
    <s:cfRule type="expression" priority="5" dxfId="106">
      <s:formula>NOT(AND(OR($D2="retain",$D2=""),OR($E2="report_internal_inconsistency",$E2="plan_material")))</s:formula>
    </s:cfRule>
  </s:conditionalFormatting>
  <s:conditionalFormatting sqref="L2:L4">
    <s:cfRule type="expression" priority="6" dxfId="106">
      <s:formula>NOT(AND(OR($D2="retain",$D2=""),$E2="protocol_report"))</s:formula>
    </s:cfRule>
  </s:conditionalFormatting>
  <s:dataValidations count="8">
    <s:dataValidation sqref="D2:D4" showDropDown="0" showInputMessage="0" showErrorMessage="1" allowBlank="1" errorTitle="Use an allowed option" error="Choose an option from the list; see Codebook." type="list" errorStyle="stop">
      <s:formula1>"retain,exclude,discuss"</s:formula1>
    </s:dataValidation>
    <s:dataValidation sqref="E2:E4" showDropDown="0" showInputMessage="0" showErrorMessage="1" allowBlank="1" errorTitle="Use an allowed option" error="Choose an option from the list; see Codebook." type="list" errorStyle="stop">
      <s:formula1>"statistical_results,report_internal_inconsistency,plan_material,protocol_report"</s:formula1>
    </s:dataValidation>
    <s:dataValidation sqref="F2:F4" showDropDown="0" showInputMessage="0" showErrorMessage="1" allowBlank="1" errorTitle="Use an allowed option" error="Choose an option from the list; see Codebook." type="list" errorStyle="stop">
      <s:formula1>"no,primary_done"</s:formula1>
    </s:dataValidation>
    <s:dataValidation sqref="H2:H4" showDropDown="0" showInputMessage="0" showErrorMessage="1" allowBlank="1" errorTitle="Use an allowed option" error="Choose an option from the list; see Codebook." type="list" errorStyle="stop">
      <s:formula1>"confirmed_issue,probable_issue,not_issue,indeterminate,not_applicable"</s:formula1>
    </s:dataValidation>
    <s:dataValidation sqref="I2:I4" showDropDown="0" showInputMessage="0" showErrorMessage="1" allowBlank="1" errorTitle="Use an allowed option" error="Choose an option from the list; see Codebook." type="list" errorStyle="stop">
      <s:formula1>"substantive,minor_presentation,indeterminate,not_applicable"</s:formula1>
    </s:dataValidation>
    <s:dataValidation sqref="J2:J4" showDropDown="0" showInputMessage="0" showErrorMessage="1" allowBlank="1" errorTitle="Use an allowed option" error="Choose an option from the list; see Codebook." type="list" errorStyle="stop">
      <s:formula1>"direct,possible,unlikely,unknown,not_applicable"</s:formula1>
    </s:dataValidation>
    <s:dataValidation sqref="K2:K4" showDropDown="0" showInputMessage="0" showErrorMessage="1" allowBlank="1" errorTitle="Use an allowed option" error="Choose an option from the list; see Codebook." type="list" errorStyle="stop">
      <s:formula1>"substantive_inconsistency,minor_presentation,non_inconsistency,indeterminate,not_applicable"</s:formula1>
    </s:dataValidation>
    <s:dataValidation sqref="L2:L4" showDropDown="0" showInputMessage="0" showErrorMessage="1" allowBlank="1" errorTitle="Use an allowed option" error="Choose an option from the list; see Codebook." type="list" errorStyle="stop">
      <s:formula1>"substantive_difference,minor_presentation,version_timing,non_inconsistency,indeterminate,not_applicable"</s:formula1>
    </s:dataValidation>
  </s:dataValidations>
  <s:hyperlinks>
    <s:hyperlink ref="A2" location="'Evidence'!A514" tooltip="Read embedded evidence; filter by candidate key"/>
    <s:hyperlink ref="A3" location="'Evidence'!A518" tooltip="Read embedded evidence; filter by candidate key"/>
    <s:hyperlink ref="A4" location="'Evidence'!A522" tooltip="Read embedded evidence; filter by candidate key"/>
  </s:hyperlinks>
  <s:pageMargins left="0.7" right="0.7" top="0.75" bottom="0.75" header="0.3" footer="0.3"/>
</s:worksheet>
</file>

<file path=xl/worksheets/sheet20.xml><?xml version="1.0" encoding="utf-8"?>
<s:worksheet xmlns:s="http://schemas.openxmlformats.org/spreadsheetml/2006/main">
  <s:sheetPr>
    <s:outlinePr summaryBelow="1" summaryRight="1"/>
    <s:pageSetUpPr/>
  </s:sheetPr>
  <s:dimension ref="A1:S132"/>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12" customWidth="1" style="8" min="1" max="1"/>
    <s:col width="27" customWidth="1" style="8" min="2" max="2"/>
    <s:col width="44" customWidth="1" style="8" min="3" max="3"/>
    <s:col width="28" customWidth="1" style="8" min="4" max="4"/>
    <s:col width="28" customWidth="1" style="8" min="5" max="5"/>
    <s:col width="28" customWidth="1" style="8" min="6" max="6"/>
    <s:col width="28" customWidth="1" style="8" min="7" max="7"/>
    <s:col width="28" customWidth="1" style="8" min="8" max="8"/>
    <s:col width="28" customWidth="1" style="8" min="9" max="9"/>
    <s:col width="28" customWidth="1" style="8" min="10" max="10"/>
    <s:col width="28" customWidth="1" style="8" min="11" max="11"/>
    <s:col width="28" customWidth="1" style="8" min="12" max="12"/>
    <s:col width="28" customWidth="1" style="8" min="13" max="13"/>
    <s:col width="28" customWidth="1" style="8" min="14" max="14"/>
    <s:col width="28" customWidth="1" style="8" min="15" max="15"/>
    <s:col width="28" customWidth="1" style="8" min="16" max="16"/>
    <s:col width="28" customWidth="1" style="8" min="17" max="17"/>
    <s:col width="55" customWidth="1" style="8" min="18" max="18"/>
    <s:col width="28" customWidth="1" style="8" min="19" max="19"/>
  </s:cols>
  <s:sheetData>
    <s:row r="1" ht="42" customFormat="1" customHeight="1" s="8">
      <s:c r="A1" s="14" t="inlineStr">
        <s:is>
          <s:t>year</s:t>
        </s:is>
      </s:c>
      <s:c r="B1" s="14" t="inlineStr">
        <s:is>
          <s:t>paper</s:t>
        </s:is>
      </s:c>
      <s:c r="C1" s="14" t="inlineStr">
        <s:is>
          <s:t>key</s:t>
        </s:is>
      </s:c>
      <s:c r="D1" s="14" t="inlineStr">
        <s:is>
          <s:t>relationship</s:t>
        </s:is>
      </s:c>
      <s:c r="E1" s="14" t="inlineStr">
        <s:is>
          <s:t>reviewerRole</s:t>
        </s:is>
      </s:c>
      <s:c r="F1" s="14" t="inlineStr">
        <s:is>
          <s:t>reviewerId</s:t>
        </s:is>
      </s:c>
      <s:c r="G1" s="14" t="inlineStr">
        <s:is>
          <s:t>status</s:t>
        </s:is>
      </s:c>
      <s:c r="H1" s="14" t="inlineStr">
        <s:is>
          <s:t>outcome</s:t>
        </s:is>
      </s:c>
      <s:c r="I1" s="14" t="inlineStr">
        <s:is>
          <s:t>aiDisposition</s:t>
        </s:is>
      </s:c>
      <s:c r="J1" s="14" t="inlineStr">
        <s:is>
          <s:t>aiDomain</s:t>
        </s:is>
      </s:c>
      <s:c r="K1" s="14" t="inlineStr">
        <s:is>
          <s:t>disposition</s:t>
        </s:is>
      </s:c>
      <s:c r="L1" s="14" t="inlineStr">
        <s:is>
          <s:t>domain</s:t>
        </s:is>
      </s:c>
      <s:c r="M1" s="14" t="inlineStr">
        <s:is>
          <s:t>statisticalIssueStatus</s:t>
        </s:is>
      </s:c>
      <s:c r="N1" s="14" t="inlineStr">
        <s:is>
          <s:t>substantiveStatus</s:t>
        </s:is>
      </s:c>
      <s:c r="O1" s="14" t="inlineStr">
        <s:is>
          <s:t>downstreamImpact</s:t>
        </s:is>
      </s:c>
      <s:c r="P1" s="14" t="inlineStr">
        <s:is>
          <s:t>internalStatus</s:t>
        </s:is>
      </s:c>
      <s:c r="Q1" s="14" t="inlineStr">
        <s:is>
          <s:t>protocolInterpretation</s:t>
        </s:is>
      </s:c>
      <s:c r="R1" s="14" t="inlineStr">
        <s:is>
          <s:t>notes</s:t>
        </s:is>
      </s:c>
      <s:c r="S1" s="14" t="inlineStr">
        <s:is>
          <s:t>reviewerName</s:t>
        </s:is>
      </s:c>
    </s:row>
    <s:row r="2" ht="72" customFormat="1" customHeight="1" s="8">
      <s:c r="A2" s="15" t="n">
        <s:v>2025</s:v>
      </s:c>
      <s:c r="B2" s="15" t="inlineStr">
        <s:is>
          <s:t>jama.2024.24764</s:t>
        </s:is>
      </s:c>
      <s:c r="C2" s="15" t="inlineStr">
        <s:is>
          <s:t>2025::jama.2024.24764::C001</s:t>
        </s:is>
      </s:c>
      <s:c r="D2" s="15" t="inlineStr">
        <s:is>
          <s:t>S_W</s:t>
        </s:is>
      </s:c>
      <s:c r="E2" s="15" t="str">
        <s:f>Setup!$B$4</s:f>
        <s:v>R_A</s:v>
      </s:c>
      <s:c r="F2" s="15" t="str">
        <s:f>IF(Setup!$B$2="","",Setup!$B$2)</s:f>
        <s:v>TEST_REVIEWER</s:v>
      </s:c>
      <s:c r="G2" s="15" t="str">
        <s:f>IFERROR(INDEX('C_jama.2024.24764'!$G$2:$G$9,MATCH(C2,'C_jama.2024.24764'!$A$2:$A$9,0)),"CHECK KEY")</s:f>
        <s:v>PRIMARY READY</s:v>
      </s:c>
      <s:c r="H2" s="15" t="str">
        <s: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s:f>
        <s:v>primary_temporal</s:v>
      </s:c>
      <s:c r="I2" s="15" t="inlineStr">
        <s:is>
          <s:t>retain</s:t>
        </s:is>
      </s:c>
      <s:c r="J2" s="15" t="inlineStr">
        <s:is>
          <s:t>statistical_results</s:t>
        </s:is>
      </s:c>
      <s:c r="K2" s="15" t="str">
        <s:f>IFERROR(IF(INDEX('C_jama.2024.24764'!$D$2:$D$9,MATCH(C2,'C_jama.2024.24764'!$A$2:$A$9,0))="","",INDEX('C_jama.2024.24764'!$D$2:$D$9,MATCH(C2,'C_jama.2024.24764'!$A$2:$A$9,0))),"")</s:f>
        <s:v>retain</s:v>
      </s:c>
      <s:c r="L2" s="15" t="str">
        <s:f>IFERROR(IF(INDEX('C_jama.2024.24764'!$E$2:$E$9,MATCH(C2,'C_jama.2024.24764'!$A$2:$A$9,0))="","",INDEX('C_jama.2024.24764'!$E$2:$E$9,MATCH(C2,'C_jama.2024.24764'!$A$2:$A$9,0))),"")</s:f>
        <s:v>statistical_results</s:v>
      </s:c>
      <s:c r="M2" s="15" t="str">
        <s:f>IFERROR(IF(AND(K2="retain",L2="statistical_results"),IF(INDEX('C_jama.2024.24764'!$H$2:$H$9,MATCH(C2,'C_jama.2024.24764'!$A$2:$A$9,0))="","",INDEX('C_jama.2024.24764'!$H$2:$H$9,MATCH(C2,'C_jama.2024.24764'!$A$2:$A$9,0))),"not_applicable"),"")</s:f>
        <s:v>confirmed_issue</s:v>
      </s:c>
      <s:c r="N2" s="15" t="str">
        <s:f>IFERROR(IF(AND(K2="retain",L2="statistical_results"),IF(INDEX('C_jama.2024.24764'!$I$2:$I$9,MATCH(C2,'C_jama.2024.24764'!$A$2:$A$9,0))="","",INDEX('C_jama.2024.24764'!$I$2:$I$9,MATCH(C2,'C_jama.2024.24764'!$A$2:$A$9,0))),"not_applicable"),"")</s:f>
        <s:v>substantive</s:v>
      </s:c>
      <s:c r="O2" s="15" t="str">
        <s:f>IFERROR(IF(AND(K2="retain",L2="statistical_results"),IF(INDEX('C_jama.2024.24764'!$J$2:$J$9,MATCH(C2,'C_jama.2024.24764'!$A$2:$A$9,0))="","",INDEX('C_jama.2024.24764'!$J$2:$J$9,MATCH(C2,'C_jama.2024.24764'!$A$2:$A$9,0))),"not_applicable"),"")</s:f>
        <s:v/>
      </s:c>
      <s:c r="P2" s="15" t="str">
        <s:f>IFERROR(IF(AND(K2="retain",OR(L2="report_internal_inconsistency",L2="plan_material")),IF(INDEX('C_jama.2024.24764'!$K$2:$K$9,MATCH(C2,'C_jama.2024.24764'!$A$2:$A$9,0))="","",INDEX('C_jama.2024.24764'!$K$2:$K$9,MATCH(C2,'C_jama.2024.24764'!$A$2:$A$9,0))),"not_applicable"),"")</s:f>
        <s:v>not_applicable</s:v>
      </s:c>
      <s:c r="Q2" s="15" t="str">
        <s:f>IFERROR(IF(AND(K2="retain",L2="protocol_report"),IF(INDEX('C_jama.2024.24764'!$L$2:$L$9,MATCH(C2,'C_jama.2024.24764'!$A$2:$A$9,0))="","",INDEX('C_jama.2024.24764'!$L$2:$L$9,MATCH(C2,'C_jama.2024.24764'!$A$2:$A$9,0))),"not_applicable"),"")</s:f>
        <s:v>not_applicable</s:v>
      </s:c>
      <s:c r="R2" s="15" t="str">
        <s:f>IFERROR(IF(INDEX('C_jama.2024.24764'!$R$2:$R$9,MATCH(C2,'C_jama.2024.24764'!$A$2:$A$9,0))="","",INDEX('C_jama.2024.24764'!$R$2:$R$9,MATCH(C2,'C_jama.2024.24764'!$A$2:$A$9,0))),"")</s:f>
        <s:v>TEST 2025::jama.2024.24764::C001</s:v>
      </s:c>
      <s:c r="S2" s="15" t="str">
        <s:f>IF(Setup!$B$3="","",Setup!$B$3)</s:f>
        <s:v>TEST ONLY</s:v>
      </s:c>
    </s:row>
    <s:row r="3" ht="72" customFormat="1" customHeight="1" s="8">
      <s:c r="A3" s="16" t="n">
        <s:v>2025</s:v>
      </s:c>
      <s:c r="B3" s="16" t="inlineStr">
        <s:is>
          <s:t>jama.2024.24764</s:t>
        </s:is>
      </s:c>
      <s:c r="C3" s="16" t="inlineStr">
        <s:is>
          <s:t>2025::jama.2024.24764::C002</s:t>
        </s:is>
      </s:c>
      <s:c r="D3" s="16" t="inlineStr">
        <s:is>
          <s:t>S_W</s:t>
        </s:is>
      </s:c>
      <s:c r="E3" s="16" t="str">
        <s:f>Setup!$B$4</s:f>
        <s:v>R_A</s:v>
      </s:c>
      <s:c r="F3" s="16" t="str">
        <s:f>IF(Setup!$B$2="","",Setup!$B$2)</s:f>
        <s:v>TEST_REVIEWER</s:v>
      </s:c>
      <s:c r="G3" s="16" t="str">
        <s:f>IFERROR(INDEX('C_jama.2024.24764'!$G$2:$G$9,MATCH(C3,'C_jama.2024.24764'!$A$2:$A$9,0)),"CHECK KEY")</s:f>
        <s:v>PRIMARY READY</s:v>
      </s:c>
      <s:c r="H3" s="16" t="str">
        <s: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s:f>
        <s:v>primary_temporal</s:v>
      </s:c>
      <s:c r="I3" s="16" t="inlineStr">
        <s:is>
          <s:t>retain</s:t>
        </s:is>
      </s:c>
      <s:c r="J3" s="16" t="inlineStr">
        <s:is>
          <s:t>statistical_results</s:t>
        </s:is>
      </s:c>
      <s:c r="K3" s="16" t="str">
        <s:f>IFERROR(IF(INDEX('C_jama.2024.24764'!$D$2:$D$9,MATCH(C3,'C_jama.2024.24764'!$A$2:$A$9,0))="","",INDEX('C_jama.2024.24764'!$D$2:$D$9,MATCH(C3,'C_jama.2024.24764'!$A$2:$A$9,0))),"")</s:f>
        <s:v>retain</s:v>
      </s:c>
      <s:c r="L3" s="16" t="str">
        <s:f>IFERROR(IF(INDEX('C_jama.2024.24764'!$E$2:$E$9,MATCH(C3,'C_jama.2024.24764'!$A$2:$A$9,0))="","",INDEX('C_jama.2024.24764'!$E$2:$E$9,MATCH(C3,'C_jama.2024.24764'!$A$2:$A$9,0))),"")</s:f>
        <s:v>statistical_results</s:v>
      </s:c>
      <s:c r="M3" s="16" t="str">
        <s:f>IFERROR(IF(AND(K3="retain",L3="statistical_results"),IF(INDEX('C_jama.2024.24764'!$H$2:$H$9,MATCH(C3,'C_jama.2024.24764'!$A$2:$A$9,0))="","",INDEX('C_jama.2024.24764'!$H$2:$H$9,MATCH(C3,'C_jama.2024.24764'!$A$2:$A$9,0))),"not_applicable"),"")</s:f>
        <s:v>confirmed_issue</s:v>
      </s:c>
      <s:c r="N3" s="16" t="str">
        <s:f>IFERROR(IF(AND(K3="retain",L3="statistical_results"),IF(INDEX('C_jama.2024.24764'!$I$2:$I$9,MATCH(C3,'C_jama.2024.24764'!$A$2:$A$9,0))="","",INDEX('C_jama.2024.24764'!$I$2:$I$9,MATCH(C3,'C_jama.2024.24764'!$A$2:$A$9,0))),"not_applicable"),"")</s:f>
        <s:v>substantive</s:v>
      </s:c>
      <s:c r="O3" s="16" t="str">
        <s:f>IFERROR(IF(AND(K3="retain",L3="statistical_results"),IF(INDEX('C_jama.2024.24764'!$J$2:$J$9,MATCH(C3,'C_jama.2024.24764'!$A$2:$A$9,0))="","",INDEX('C_jama.2024.24764'!$J$2:$J$9,MATCH(C3,'C_jama.2024.24764'!$A$2:$A$9,0))),"not_applicable"),"")</s:f>
        <s:v/>
      </s:c>
      <s:c r="P3" s="16" t="str">
        <s:f>IFERROR(IF(AND(K3="retain",OR(L3="report_internal_inconsistency",L3="plan_material")),IF(INDEX('C_jama.2024.24764'!$K$2:$K$9,MATCH(C3,'C_jama.2024.24764'!$A$2:$A$9,0))="","",INDEX('C_jama.2024.24764'!$K$2:$K$9,MATCH(C3,'C_jama.2024.24764'!$A$2:$A$9,0))),"not_applicable"),"")</s:f>
        <s:v>not_applicable</s:v>
      </s:c>
      <s:c r="Q3" s="16" t="str">
        <s:f>IFERROR(IF(AND(K3="retain",L3="protocol_report"),IF(INDEX('C_jama.2024.24764'!$L$2:$L$9,MATCH(C3,'C_jama.2024.24764'!$A$2:$A$9,0))="","",INDEX('C_jama.2024.24764'!$L$2:$L$9,MATCH(C3,'C_jama.2024.24764'!$A$2:$A$9,0))),"not_applicable"),"")</s:f>
        <s:v>not_applicable</s:v>
      </s:c>
      <s:c r="R3" s="16" t="str">
        <s:f>IFERROR(IF(INDEX('C_jama.2024.24764'!$R$2:$R$9,MATCH(C3,'C_jama.2024.24764'!$A$2:$A$9,0))="","",INDEX('C_jama.2024.24764'!$R$2:$R$9,MATCH(C3,'C_jama.2024.24764'!$A$2:$A$9,0))),"")</s:f>
        <s:v>TEST 2025::jama.2024.24764::C002</s:v>
      </s:c>
      <s:c r="S3" s="16" t="str">
        <s:f>IF(Setup!$B$3="","",Setup!$B$3)</s:f>
        <s:v>TEST ONLY</s:v>
      </s:c>
    </s:row>
    <s:row r="4" ht="72" customFormat="1" customHeight="1" s="8">
      <s:c r="A4" s="15" t="n">
        <s:v>2025</s:v>
      </s:c>
      <s:c r="B4" s="15" t="inlineStr">
        <s:is>
          <s:t>jama.2024.24764</s:t>
        </s:is>
      </s:c>
      <s:c r="C4" s="15" t="inlineStr">
        <s:is>
          <s:t>2025::jama.2024.24764::C003</s:t>
        </s:is>
      </s:c>
      <s:c r="D4" s="15" t="inlineStr">
        <s:is>
          <s:t>S_W</s:t>
        </s:is>
      </s:c>
      <s:c r="E4" s="15" t="str">
        <s:f>Setup!$B$4</s:f>
        <s:v>R_A</s:v>
      </s:c>
      <s:c r="F4" s="15" t="str">
        <s:f>IF(Setup!$B$2="","",Setup!$B$2)</s:f>
        <s:v>TEST_REVIEWER</s:v>
      </s:c>
      <s:c r="G4" s="15" t="str">
        <s:f>IFERROR(INDEX('C_jama.2024.24764'!$G$2:$G$9,MATCH(C4,'C_jama.2024.24764'!$A$2:$A$9,0)),"CHECK KEY")</s:f>
        <s:v>PRIMARY READY</s:v>
      </s:c>
      <s:c r="H4" s="15" t="str">
        <s: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s:f>
        <s:v>primary_temporal</s:v>
      </s:c>
      <s:c r="I4" s="15" t="inlineStr">
        <s:is>
          <s:t>retain</s:t>
        </s:is>
      </s:c>
      <s:c r="J4" s="15" t="inlineStr">
        <s:is>
          <s:t>statistical_results</s:t>
        </s:is>
      </s:c>
      <s:c r="K4" s="15" t="str">
        <s:f>IFERROR(IF(INDEX('C_jama.2024.24764'!$D$2:$D$9,MATCH(C4,'C_jama.2024.24764'!$A$2:$A$9,0))="","",INDEX('C_jama.2024.24764'!$D$2:$D$9,MATCH(C4,'C_jama.2024.24764'!$A$2:$A$9,0))),"")</s:f>
        <s:v>retain</s:v>
      </s:c>
      <s:c r="L4" s="15" t="str">
        <s:f>IFERROR(IF(INDEX('C_jama.2024.24764'!$E$2:$E$9,MATCH(C4,'C_jama.2024.24764'!$A$2:$A$9,0))="","",INDEX('C_jama.2024.24764'!$E$2:$E$9,MATCH(C4,'C_jama.2024.24764'!$A$2:$A$9,0))),"")</s:f>
        <s:v>statistical_results</s:v>
      </s:c>
      <s:c r="M4" s="15" t="str">
        <s:f>IFERROR(IF(AND(K4="retain",L4="statistical_results"),IF(INDEX('C_jama.2024.24764'!$H$2:$H$9,MATCH(C4,'C_jama.2024.24764'!$A$2:$A$9,0))="","",INDEX('C_jama.2024.24764'!$H$2:$H$9,MATCH(C4,'C_jama.2024.24764'!$A$2:$A$9,0))),"not_applicable"),"")</s:f>
        <s:v>confirmed_issue</s:v>
      </s:c>
      <s:c r="N4" s="15" t="str">
        <s:f>IFERROR(IF(AND(K4="retain",L4="statistical_results"),IF(INDEX('C_jama.2024.24764'!$I$2:$I$9,MATCH(C4,'C_jama.2024.24764'!$A$2:$A$9,0))="","",INDEX('C_jama.2024.24764'!$I$2:$I$9,MATCH(C4,'C_jama.2024.24764'!$A$2:$A$9,0))),"not_applicable"),"")</s:f>
        <s:v>substantive</s:v>
      </s:c>
      <s:c r="O4" s="15" t="str">
        <s:f>IFERROR(IF(AND(K4="retain",L4="statistical_results"),IF(INDEX('C_jama.2024.24764'!$J$2:$J$9,MATCH(C4,'C_jama.2024.24764'!$A$2:$A$9,0))="","",INDEX('C_jama.2024.24764'!$J$2:$J$9,MATCH(C4,'C_jama.2024.24764'!$A$2:$A$9,0))),"not_applicable"),"")</s:f>
        <s:v/>
      </s:c>
      <s:c r="P4" s="15" t="str">
        <s:f>IFERROR(IF(AND(K4="retain",OR(L4="report_internal_inconsistency",L4="plan_material")),IF(INDEX('C_jama.2024.24764'!$K$2:$K$9,MATCH(C4,'C_jama.2024.24764'!$A$2:$A$9,0))="","",INDEX('C_jama.2024.24764'!$K$2:$K$9,MATCH(C4,'C_jama.2024.24764'!$A$2:$A$9,0))),"not_applicable"),"")</s:f>
        <s:v>not_applicable</s:v>
      </s:c>
      <s:c r="Q4" s="15" t="str">
        <s:f>IFERROR(IF(AND(K4="retain",L4="protocol_report"),IF(INDEX('C_jama.2024.24764'!$L$2:$L$9,MATCH(C4,'C_jama.2024.24764'!$A$2:$A$9,0))="","",INDEX('C_jama.2024.24764'!$L$2:$L$9,MATCH(C4,'C_jama.2024.24764'!$A$2:$A$9,0))),"not_applicable"),"")</s:f>
        <s:v>not_applicable</s:v>
      </s:c>
      <s:c r="R4" s="15" t="str">
        <s:f>IFERROR(IF(INDEX('C_jama.2024.24764'!$R$2:$R$9,MATCH(C4,'C_jama.2024.24764'!$A$2:$A$9,0))="","",INDEX('C_jama.2024.24764'!$R$2:$R$9,MATCH(C4,'C_jama.2024.24764'!$A$2:$A$9,0))),"")</s:f>
        <s:v>TEST 2025::jama.2024.24764::C003</s:v>
      </s:c>
      <s:c r="S4" s="15" t="str">
        <s:f>IF(Setup!$B$3="","",Setup!$B$3)</s:f>
        <s:v>TEST ONLY</s:v>
      </s:c>
    </s:row>
    <s:row r="5" ht="72" customFormat="1" customHeight="1" s="8">
      <s:c r="A5" s="16" t="n">
        <s:v>2025</s:v>
      </s:c>
      <s:c r="B5" s="16" t="inlineStr">
        <s:is>
          <s:t>jama.2024.24764</s:t>
        </s:is>
      </s:c>
      <s:c r="C5" s="16" t="inlineStr">
        <s:is>
          <s:t>2025::jama.2024.24764::C004</s:t>
        </s:is>
      </s:c>
      <s:c r="D5" s="16" t="inlineStr">
        <s:is>
          <s:t>S_W</s:t>
        </s:is>
      </s:c>
      <s:c r="E5" s="16" t="str">
        <s:f>Setup!$B$4</s:f>
        <s:v>R_A</s:v>
      </s:c>
      <s:c r="F5" s="16" t="str">
        <s:f>IF(Setup!$B$2="","",Setup!$B$2)</s:f>
        <s:v>TEST_REVIEWER</s:v>
      </s:c>
      <s:c r="G5" s="16" t="str">
        <s:f>IFERROR(INDEX('C_jama.2024.24764'!$G$2:$G$9,MATCH(C5,'C_jama.2024.24764'!$A$2:$A$9,0)),"CHECK KEY")</s:f>
        <s:v>PRIMARY READY</s:v>
      </s:c>
      <s:c r="H5" s="16" t="str">
        <s: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s:f>
        <s:v>primary_temporal</s:v>
      </s:c>
      <s:c r="I5" s="16" t="inlineStr">
        <s:is>
          <s:t>retain</s:t>
        </s:is>
      </s:c>
      <s:c r="J5" s="16" t="inlineStr">
        <s:is>
          <s:t>statistical_results</s:t>
        </s:is>
      </s:c>
      <s:c r="K5" s="16" t="str">
        <s:f>IFERROR(IF(INDEX('C_jama.2024.24764'!$D$2:$D$9,MATCH(C5,'C_jama.2024.24764'!$A$2:$A$9,0))="","",INDEX('C_jama.2024.24764'!$D$2:$D$9,MATCH(C5,'C_jama.2024.24764'!$A$2:$A$9,0))),"")</s:f>
        <s:v>retain</s:v>
      </s:c>
      <s:c r="L5" s="16" t="str">
        <s:f>IFERROR(IF(INDEX('C_jama.2024.24764'!$E$2:$E$9,MATCH(C5,'C_jama.2024.24764'!$A$2:$A$9,0))="","",INDEX('C_jama.2024.24764'!$E$2:$E$9,MATCH(C5,'C_jama.2024.24764'!$A$2:$A$9,0))),"")</s:f>
        <s:v>statistical_results</s:v>
      </s:c>
      <s:c r="M5" s="16" t="str">
        <s:f>IFERROR(IF(AND(K5="retain",L5="statistical_results"),IF(INDEX('C_jama.2024.24764'!$H$2:$H$9,MATCH(C5,'C_jama.2024.24764'!$A$2:$A$9,0))="","",INDEX('C_jama.2024.24764'!$H$2:$H$9,MATCH(C5,'C_jama.2024.24764'!$A$2:$A$9,0))),"not_applicable"),"")</s:f>
        <s:v>confirmed_issue</s:v>
      </s:c>
      <s:c r="N5" s="16" t="str">
        <s:f>IFERROR(IF(AND(K5="retain",L5="statistical_results"),IF(INDEX('C_jama.2024.24764'!$I$2:$I$9,MATCH(C5,'C_jama.2024.24764'!$A$2:$A$9,0))="","",INDEX('C_jama.2024.24764'!$I$2:$I$9,MATCH(C5,'C_jama.2024.24764'!$A$2:$A$9,0))),"not_applicable"),"")</s:f>
        <s:v>substantive</s:v>
      </s:c>
      <s:c r="O5" s="16" t="str">
        <s:f>IFERROR(IF(AND(K5="retain",L5="statistical_results"),IF(INDEX('C_jama.2024.24764'!$J$2:$J$9,MATCH(C5,'C_jama.2024.24764'!$A$2:$A$9,0))="","",INDEX('C_jama.2024.24764'!$J$2:$J$9,MATCH(C5,'C_jama.2024.24764'!$A$2:$A$9,0))),"not_applicable"),"")</s:f>
        <s:v/>
      </s:c>
      <s:c r="P5" s="16" t="str">
        <s:f>IFERROR(IF(AND(K5="retain",OR(L5="report_internal_inconsistency",L5="plan_material")),IF(INDEX('C_jama.2024.24764'!$K$2:$K$9,MATCH(C5,'C_jama.2024.24764'!$A$2:$A$9,0))="","",INDEX('C_jama.2024.24764'!$K$2:$K$9,MATCH(C5,'C_jama.2024.24764'!$A$2:$A$9,0))),"not_applicable"),"")</s:f>
        <s:v>not_applicable</s:v>
      </s:c>
      <s:c r="Q5" s="16" t="str">
        <s:f>IFERROR(IF(AND(K5="retain",L5="protocol_report"),IF(INDEX('C_jama.2024.24764'!$L$2:$L$9,MATCH(C5,'C_jama.2024.24764'!$A$2:$A$9,0))="","",INDEX('C_jama.2024.24764'!$L$2:$L$9,MATCH(C5,'C_jama.2024.24764'!$A$2:$A$9,0))),"not_applicable"),"")</s:f>
        <s:v>not_applicable</s:v>
      </s:c>
      <s:c r="R5" s="16" t="str">
        <s:f>IFERROR(IF(INDEX('C_jama.2024.24764'!$R$2:$R$9,MATCH(C5,'C_jama.2024.24764'!$A$2:$A$9,0))="","",INDEX('C_jama.2024.24764'!$R$2:$R$9,MATCH(C5,'C_jama.2024.24764'!$A$2:$A$9,0))),"")</s:f>
        <s:v>TEST 2025::jama.2024.24764::C004</s:v>
      </s:c>
      <s:c r="S5" s="16" t="str">
        <s:f>IF(Setup!$B$3="","",Setup!$B$3)</s:f>
        <s:v>TEST ONLY</s:v>
      </s:c>
    </s:row>
    <s:row r="6" ht="72" customFormat="1" customHeight="1" s="8">
      <s:c r="A6" s="15" t="n">
        <s:v>2025</s:v>
      </s:c>
      <s:c r="B6" s="15" t="inlineStr">
        <s:is>
          <s:t>jama.2024.24764</s:t>
        </s:is>
      </s:c>
      <s:c r="C6" s="15" t="inlineStr">
        <s:is>
          <s:t>2025::jama.2024.24764::C005</s:t>
        </s:is>
      </s:c>
      <s:c r="D6" s="15" t="inlineStr">
        <s:is>
          <s:t>S_W</s:t>
        </s:is>
      </s:c>
      <s:c r="E6" s="15" t="str">
        <s:f>Setup!$B$4</s:f>
        <s:v>R_A</s:v>
      </s:c>
      <s:c r="F6" s="15" t="str">
        <s:f>IF(Setup!$B$2="","",Setup!$B$2)</s:f>
        <s:v>TEST_REVIEWER</s:v>
      </s:c>
      <s:c r="G6" s="15" t="str">
        <s:f>IFERROR(INDEX('C_jama.2024.24764'!$G$2:$G$9,MATCH(C6,'C_jama.2024.24764'!$A$2:$A$9,0)),"CHECK KEY")</s:f>
        <s:v>PRIMARY READY</s:v>
      </s:c>
      <s:c r="H6" s="15" t="str">
        <s: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s:f>
        <s:v>secondary_temporal</s:v>
      </s:c>
      <s:c r="I6" s="15" t="inlineStr">
        <s:is>
          <s:t>retain</s:t>
        </s:is>
      </s:c>
      <s:c r="J6" s="15" t="inlineStr">
        <s:is>
          <s:t>report_internal_inconsistency</s:t>
        </s:is>
      </s:c>
      <s:c r="K6" s="15" t="str">
        <s:f>IFERROR(IF(INDEX('C_jama.2024.24764'!$D$2:$D$9,MATCH(C6,'C_jama.2024.24764'!$A$2:$A$9,0))="","",INDEX('C_jama.2024.24764'!$D$2:$D$9,MATCH(C6,'C_jama.2024.24764'!$A$2:$A$9,0))),"")</s:f>
        <s:v>retain</s:v>
      </s:c>
      <s:c r="L6" s="15" t="str">
        <s:f>IFERROR(IF(INDEX('C_jama.2024.24764'!$E$2:$E$9,MATCH(C6,'C_jama.2024.24764'!$A$2:$A$9,0))="","",INDEX('C_jama.2024.24764'!$E$2:$E$9,MATCH(C6,'C_jama.2024.24764'!$A$2:$A$9,0))),"")</s:f>
        <s:v>report_internal_inconsistency</s:v>
      </s:c>
      <s:c r="M6" s="15" t="str">
        <s:f>IFERROR(IF(AND(K6="retain",L6="statistical_results"),IF(INDEX('C_jama.2024.24764'!$H$2:$H$9,MATCH(C6,'C_jama.2024.24764'!$A$2:$A$9,0))="","",INDEX('C_jama.2024.24764'!$H$2:$H$9,MATCH(C6,'C_jama.2024.24764'!$A$2:$A$9,0))),"not_applicable"),"")</s:f>
        <s:v>not_applicable</s:v>
      </s:c>
      <s:c r="N6" s="15" t="str">
        <s:f>IFERROR(IF(AND(K6="retain",L6="statistical_results"),IF(INDEX('C_jama.2024.24764'!$I$2:$I$9,MATCH(C6,'C_jama.2024.24764'!$A$2:$A$9,0))="","",INDEX('C_jama.2024.24764'!$I$2:$I$9,MATCH(C6,'C_jama.2024.24764'!$A$2:$A$9,0))),"not_applicable"),"")</s:f>
        <s:v>not_applicable</s:v>
      </s:c>
      <s:c r="O6" s="15" t="str">
        <s:f>IFERROR(IF(AND(K6="retain",L6="statistical_results"),IF(INDEX('C_jama.2024.24764'!$J$2:$J$9,MATCH(C6,'C_jama.2024.24764'!$A$2:$A$9,0))="","",INDEX('C_jama.2024.24764'!$J$2:$J$9,MATCH(C6,'C_jama.2024.24764'!$A$2:$A$9,0))),"not_applicable"),"")</s:f>
        <s:v>not_applicable</s:v>
      </s:c>
      <s:c r="P6" s="15" t="str">
        <s:f>IFERROR(IF(AND(K6="retain",OR(L6="report_internal_inconsistency",L6="plan_material")),IF(INDEX('C_jama.2024.24764'!$K$2:$K$9,MATCH(C6,'C_jama.2024.24764'!$A$2:$A$9,0))="","",INDEX('C_jama.2024.24764'!$K$2:$K$9,MATCH(C6,'C_jama.2024.24764'!$A$2:$A$9,0))),"not_applicable"),"")</s:f>
        <s:v>substantive_inconsistency</s:v>
      </s:c>
      <s:c r="Q6" s="15" t="str">
        <s:f>IFERROR(IF(AND(K6="retain",L6="protocol_report"),IF(INDEX('C_jama.2024.24764'!$L$2:$L$9,MATCH(C6,'C_jama.2024.24764'!$A$2:$A$9,0))="","",INDEX('C_jama.2024.24764'!$L$2:$L$9,MATCH(C6,'C_jama.2024.24764'!$A$2:$A$9,0))),"not_applicable"),"")</s:f>
        <s:v>not_applicable</s:v>
      </s:c>
      <s:c r="R6" s="15" t="str">
        <s:f>IFERROR(IF(INDEX('C_jama.2024.24764'!$R$2:$R$9,MATCH(C6,'C_jama.2024.24764'!$A$2:$A$9,0))="","",INDEX('C_jama.2024.24764'!$R$2:$R$9,MATCH(C6,'C_jama.2024.24764'!$A$2:$A$9,0))),"")</s:f>
        <s:v>TEST 2025::jama.2024.24764::C005</s:v>
      </s:c>
      <s:c r="S6" s="15" t="str">
        <s:f>IF(Setup!$B$3="","",Setup!$B$3)</s:f>
        <s:v>TEST ONLY</s:v>
      </s:c>
    </s:row>
    <s:row r="7" ht="72" customFormat="1" customHeight="1" s="8">
      <s:c r="A7" s="16" t="n">
        <s:v>2025</s:v>
      </s:c>
      <s:c r="B7" s="16" t="inlineStr">
        <s:is>
          <s:t>jama.2024.24764</s:t>
        </s:is>
      </s:c>
      <s:c r="C7" s="16" t="inlineStr">
        <s:is>
          <s:t>2025::jama.2024.24764::C006</s:t>
        </s:is>
      </s:c>
      <s:c r="D7" s="16" t="inlineStr">
        <s:is>
          <s:t>P_R</s:t>
        </s:is>
      </s:c>
      <s:c r="E7" s="16" t="str">
        <s:f>Setup!$B$4</s:f>
        <s:v>R_A</s:v>
      </s:c>
      <s:c r="F7" s="16" t="str">
        <s:f>IF(Setup!$B$2="","",Setup!$B$2)</s:f>
        <s:v>TEST_REVIEWER</s:v>
      </s:c>
      <s:c r="G7" s="16" t="str">
        <s:f>IFERROR(INDEX('C_jama.2024.24764'!$G$2:$G$9,MATCH(C7,'C_jama.2024.24764'!$A$2:$A$9,0)),"CHECK KEY")</s:f>
        <s:v>PRIMARY READY</s:v>
      </s:c>
      <s:c r="H7" s="16" t="str">
        <s: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s:f>
        <s:v>protocol_descriptive</s:v>
      </s:c>
      <s:c r="I7" s="16" t="inlineStr">
        <s:is>
          <s:t>retain</s:t>
        </s:is>
      </s:c>
      <s:c r="J7" s="16" t="inlineStr">
        <s:is>
          <s:t>protocol_report</s:t>
        </s:is>
      </s:c>
      <s:c r="K7" s="16" t="str">
        <s:f>IFERROR(IF(INDEX('C_jama.2024.24764'!$D$2:$D$9,MATCH(C7,'C_jama.2024.24764'!$A$2:$A$9,0))="","",INDEX('C_jama.2024.24764'!$D$2:$D$9,MATCH(C7,'C_jama.2024.24764'!$A$2:$A$9,0))),"")</s:f>
        <s:v>retain</s:v>
      </s:c>
      <s:c r="L7" s="16" t="str">
        <s:f>IFERROR(IF(INDEX('C_jama.2024.24764'!$E$2:$E$9,MATCH(C7,'C_jama.2024.24764'!$A$2:$A$9,0))="","",INDEX('C_jama.2024.24764'!$E$2:$E$9,MATCH(C7,'C_jama.2024.24764'!$A$2:$A$9,0))),"")</s:f>
        <s:v>protocol_report</s:v>
      </s:c>
      <s:c r="M7" s="16" t="str">
        <s:f>IFERROR(IF(AND(K7="retain",L7="statistical_results"),IF(INDEX('C_jama.2024.24764'!$H$2:$H$9,MATCH(C7,'C_jama.2024.24764'!$A$2:$A$9,0))="","",INDEX('C_jama.2024.24764'!$H$2:$H$9,MATCH(C7,'C_jama.2024.24764'!$A$2:$A$9,0))),"not_applicable"),"")</s:f>
        <s:v>not_applicable</s:v>
      </s:c>
      <s:c r="N7" s="16" t="str">
        <s:f>IFERROR(IF(AND(K7="retain",L7="statistical_results"),IF(INDEX('C_jama.2024.24764'!$I$2:$I$9,MATCH(C7,'C_jama.2024.24764'!$A$2:$A$9,0))="","",INDEX('C_jama.2024.24764'!$I$2:$I$9,MATCH(C7,'C_jama.2024.24764'!$A$2:$A$9,0))),"not_applicable"),"")</s:f>
        <s:v>not_applicable</s:v>
      </s:c>
      <s:c r="O7" s="16" t="str">
        <s:f>IFERROR(IF(AND(K7="retain",L7="statistical_results"),IF(INDEX('C_jama.2024.24764'!$J$2:$J$9,MATCH(C7,'C_jama.2024.24764'!$A$2:$A$9,0))="","",INDEX('C_jama.2024.24764'!$J$2:$J$9,MATCH(C7,'C_jama.2024.24764'!$A$2:$A$9,0))),"not_applicable"),"")</s:f>
        <s:v>not_applicable</s:v>
      </s:c>
      <s:c r="P7" s="16" t="str">
        <s:f>IFERROR(IF(AND(K7="retain",OR(L7="report_internal_inconsistency",L7="plan_material")),IF(INDEX('C_jama.2024.24764'!$K$2:$K$9,MATCH(C7,'C_jama.2024.24764'!$A$2:$A$9,0))="","",INDEX('C_jama.2024.24764'!$K$2:$K$9,MATCH(C7,'C_jama.2024.24764'!$A$2:$A$9,0))),"not_applicable"),"")</s:f>
        <s:v>not_applicable</s:v>
      </s:c>
      <s:c r="Q7" s="16" t="str">
        <s:f>IFERROR(IF(AND(K7="retain",L7="protocol_report"),IF(INDEX('C_jama.2024.24764'!$L$2:$L$9,MATCH(C7,'C_jama.2024.24764'!$A$2:$A$9,0))="","",INDEX('C_jama.2024.24764'!$L$2:$L$9,MATCH(C7,'C_jama.2024.24764'!$A$2:$A$9,0))),"not_applicable"),"")</s:f>
        <s:v/>
      </s:c>
      <s:c r="R7" s="16" t="str">
        <s:f>IFERROR(IF(INDEX('C_jama.2024.24764'!$R$2:$R$9,MATCH(C7,'C_jama.2024.24764'!$A$2:$A$9,0))="","",INDEX('C_jama.2024.24764'!$R$2:$R$9,MATCH(C7,'C_jama.2024.24764'!$A$2:$A$9,0))),"")</s:f>
        <s:v>TEST 2025::jama.2024.24764::C006</s:v>
      </s:c>
      <s:c r="S7" s="16" t="str">
        <s:f>IF(Setup!$B$3="","",Setup!$B$3)</s:f>
        <s:v>TEST ONLY</s:v>
      </s:c>
    </s:row>
    <s:row r="8" ht="72" customFormat="1" customHeight="1" s="8">
      <s:c r="A8" s="15" t="n">
        <s:v>2025</s:v>
      </s:c>
      <s:c r="B8" s="15" t="inlineStr">
        <s:is>
          <s:t>jama.2024.24764</s:t>
        </s:is>
      </s:c>
      <s:c r="C8" s="15" t="inlineStr">
        <s:is>
          <s:t>2025::jama.2024.24764::C007</s:t>
        </s:is>
      </s:c>
      <s:c r="D8" s="15" t="inlineStr">
        <s:is>
          <s:t>P_R</s:t>
        </s:is>
      </s:c>
      <s:c r="E8" s="15" t="str">
        <s:f>Setup!$B$4</s:f>
        <s:v>R_A</s:v>
      </s:c>
      <s:c r="F8" s="15" t="str">
        <s:f>IF(Setup!$B$2="","",Setup!$B$2)</s:f>
        <s:v>TEST_REVIEWER</s:v>
      </s:c>
      <s:c r="G8" s="15" t="str">
        <s:f>IFERROR(INDEX('C_jama.2024.24764'!$G$2:$G$9,MATCH(C8,'C_jama.2024.24764'!$A$2:$A$9,0)),"CHECK KEY")</s:f>
        <s:v>PRIMARY READY</s:v>
      </s:c>
      <s:c r="H8" s="15" t="str">
        <s: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s:f>
        <s:v>protocol_descriptive</s:v>
      </s:c>
      <s:c r="I8" s="15" t="inlineStr">
        <s:is>
          <s:t>retain</s:t>
        </s:is>
      </s:c>
      <s:c r="J8" s="15" t="inlineStr">
        <s:is>
          <s:t>protocol_report</s:t>
        </s:is>
      </s:c>
      <s:c r="K8" s="15" t="str">
        <s:f>IFERROR(IF(INDEX('C_jama.2024.24764'!$D$2:$D$9,MATCH(C8,'C_jama.2024.24764'!$A$2:$A$9,0))="","",INDEX('C_jama.2024.24764'!$D$2:$D$9,MATCH(C8,'C_jama.2024.24764'!$A$2:$A$9,0))),"")</s:f>
        <s:v>retain</s:v>
      </s:c>
      <s:c r="L8" s="15" t="str">
        <s:f>IFERROR(IF(INDEX('C_jama.2024.24764'!$E$2:$E$9,MATCH(C8,'C_jama.2024.24764'!$A$2:$A$9,0))="","",INDEX('C_jama.2024.24764'!$E$2:$E$9,MATCH(C8,'C_jama.2024.24764'!$A$2:$A$9,0))),"")</s:f>
        <s:v>protocol_report</s:v>
      </s:c>
      <s:c r="M8" s="15" t="str">
        <s:f>IFERROR(IF(AND(K8="retain",L8="statistical_results"),IF(INDEX('C_jama.2024.24764'!$H$2:$H$9,MATCH(C8,'C_jama.2024.24764'!$A$2:$A$9,0))="","",INDEX('C_jama.2024.24764'!$H$2:$H$9,MATCH(C8,'C_jama.2024.24764'!$A$2:$A$9,0))),"not_applicable"),"")</s:f>
        <s:v>not_applicable</s:v>
      </s:c>
      <s:c r="N8" s="15" t="str">
        <s:f>IFERROR(IF(AND(K8="retain",L8="statistical_results"),IF(INDEX('C_jama.2024.24764'!$I$2:$I$9,MATCH(C8,'C_jama.2024.24764'!$A$2:$A$9,0))="","",INDEX('C_jama.2024.24764'!$I$2:$I$9,MATCH(C8,'C_jama.2024.24764'!$A$2:$A$9,0))),"not_applicable"),"")</s:f>
        <s:v>not_applicable</s:v>
      </s:c>
      <s:c r="O8" s="15" t="str">
        <s:f>IFERROR(IF(AND(K8="retain",L8="statistical_results"),IF(INDEX('C_jama.2024.24764'!$J$2:$J$9,MATCH(C8,'C_jama.2024.24764'!$A$2:$A$9,0))="","",INDEX('C_jama.2024.24764'!$J$2:$J$9,MATCH(C8,'C_jama.2024.24764'!$A$2:$A$9,0))),"not_applicable"),"")</s:f>
        <s:v>not_applicable</s:v>
      </s:c>
      <s:c r="P8" s="15" t="str">
        <s:f>IFERROR(IF(AND(K8="retain",OR(L8="report_internal_inconsistency",L8="plan_material")),IF(INDEX('C_jama.2024.24764'!$K$2:$K$9,MATCH(C8,'C_jama.2024.24764'!$A$2:$A$9,0))="","",INDEX('C_jama.2024.24764'!$K$2:$K$9,MATCH(C8,'C_jama.2024.24764'!$A$2:$A$9,0))),"not_applicable"),"")</s:f>
        <s:v>not_applicable</s:v>
      </s:c>
      <s:c r="Q8" s="15" t="str">
        <s:f>IFERROR(IF(AND(K8="retain",L8="protocol_report"),IF(INDEX('C_jama.2024.24764'!$L$2:$L$9,MATCH(C8,'C_jama.2024.24764'!$A$2:$A$9,0))="","",INDEX('C_jama.2024.24764'!$L$2:$L$9,MATCH(C8,'C_jama.2024.24764'!$A$2:$A$9,0))),"not_applicable"),"")</s:f>
        <s:v/>
      </s:c>
      <s:c r="R8" s="15" t="str">
        <s:f>IFERROR(IF(INDEX('C_jama.2024.24764'!$R$2:$R$9,MATCH(C8,'C_jama.2024.24764'!$A$2:$A$9,0))="","",INDEX('C_jama.2024.24764'!$R$2:$R$9,MATCH(C8,'C_jama.2024.24764'!$A$2:$A$9,0))),"")</s:f>
        <s:v>TEST 2025::jama.2024.24764::C007</s:v>
      </s:c>
      <s:c r="S8" s="15" t="str">
        <s:f>IF(Setup!$B$3="","",Setup!$B$3)</s:f>
        <s:v>TEST ONLY</s:v>
      </s:c>
    </s:row>
    <s:row r="9" ht="72" customFormat="1" customHeight="1" s="8">
      <s:c r="A9" s="16" t="n">
        <s:v>2025</s:v>
      </s:c>
      <s:c r="B9" s="16" t="inlineStr">
        <s:is>
          <s:t>jama.2024.24764</s:t>
        </s:is>
      </s:c>
      <s:c r="C9" s="16" t="inlineStr">
        <s:is>
          <s:t>2025::jama.2024.24764::C008</s:t>
        </s:is>
      </s:c>
      <s:c r="D9" s="16" t="inlineStr">
        <s:is>
          <s:t>P_R</s:t>
        </s:is>
      </s:c>
      <s:c r="E9" s="16" t="str">
        <s:f>Setup!$B$4</s:f>
        <s:v>R_A</s:v>
      </s:c>
      <s:c r="F9" s="16" t="str">
        <s:f>IF(Setup!$B$2="","",Setup!$B$2)</s:f>
        <s:v>TEST_REVIEWER</s:v>
      </s:c>
      <s:c r="G9" s="16" t="str">
        <s:f>IFERROR(INDEX('C_jama.2024.24764'!$G$2:$G$9,MATCH(C9,'C_jama.2024.24764'!$A$2:$A$9,0)),"CHECK KEY")</s:f>
        <s:v>PRIMARY READY</s:v>
      </s:c>
      <s:c r="H9" s="16" t="str">
        <s: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s:f>
        <s:v>protocol_descriptive</s:v>
      </s:c>
      <s:c r="I9" s="16" t="inlineStr">
        <s:is>
          <s:t>retain</s:t>
        </s:is>
      </s:c>
      <s:c r="J9" s="16" t="inlineStr">
        <s:is>
          <s:t>protocol_report</s:t>
        </s:is>
      </s:c>
      <s:c r="K9" s="16" t="str">
        <s:f>IFERROR(IF(INDEX('C_jama.2024.24764'!$D$2:$D$9,MATCH(C9,'C_jama.2024.24764'!$A$2:$A$9,0))="","",INDEX('C_jama.2024.24764'!$D$2:$D$9,MATCH(C9,'C_jama.2024.24764'!$A$2:$A$9,0))),"")</s:f>
        <s:v>retain</s:v>
      </s:c>
      <s:c r="L9" s="16" t="str">
        <s:f>IFERROR(IF(INDEX('C_jama.2024.24764'!$E$2:$E$9,MATCH(C9,'C_jama.2024.24764'!$A$2:$A$9,0))="","",INDEX('C_jama.2024.24764'!$E$2:$E$9,MATCH(C9,'C_jama.2024.24764'!$A$2:$A$9,0))),"")</s:f>
        <s:v>protocol_report</s:v>
      </s:c>
      <s:c r="M9" s="16" t="str">
        <s:f>IFERROR(IF(AND(K9="retain",L9="statistical_results"),IF(INDEX('C_jama.2024.24764'!$H$2:$H$9,MATCH(C9,'C_jama.2024.24764'!$A$2:$A$9,0))="","",INDEX('C_jama.2024.24764'!$H$2:$H$9,MATCH(C9,'C_jama.2024.24764'!$A$2:$A$9,0))),"not_applicable"),"")</s:f>
        <s:v>not_applicable</s:v>
      </s:c>
      <s:c r="N9" s="16" t="str">
        <s:f>IFERROR(IF(AND(K9="retain",L9="statistical_results"),IF(INDEX('C_jama.2024.24764'!$I$2:$I$9,MATCH(C9,'C_jama.2024.24764'!$A$2:$A$9,0))="","",INDEX('C_jama.2024.24764'!$I$2:$I$9,MATCH(C9,'C_jama.2024.24764'!$A$2:$A$9,0))),"not_applicable"),"")</s:f>
        <s:v>not_applicable</s:v>
      </s:c>
      <s:c r="O9" s="16" t="str">
        <s:f>IFERROR(IF(AND(K9="retain",L9="statistical_results"),IF(INDEX('C_jama.2024.24764'!$J$2:$J$9,MATCH(C9,'C_jama.2024.24764'!$A$2:$A$9,0))="","",INDEX('C_jama.2024.24764'!$J$2:$J$9,MATCH(C9,'C_jama.2024.24764'!$A$2:$A$9,0))),"not_applicable"),"")</s:f>
        <s:v>not_applicable</s:v>
      </s:c>
      <s:c r="P9" s="16" t="str">
        <s:f>IFERROR(IF(AND(K9="retain",OR(L9="report_internal_inconsistency",L9="plan_material")),IF(INDEX('C_jama.2024.24764'!$K$2:$K$9,MATCH(C9,'C_jama.2024.24764'!$A$2:$A$9,0))="","",INDEX('C_jama.2024.24764'!$K$2:$K$9,MATCH(C9,'C_jama.2024.24764'!$A$2:$A$9,0))),"not_applicable"),"")</s:f>
        <s:v>not_applicable</s:v>
      </s:c>
      <s:c r="Q9" s="16" t="str">
        <s:f>IFERROR(IF(AND(K9="retain",L9="protocol_report"),IF(INDEX('C_jama.2024.24764'!$L$2:$L$9,MATCH(C9,'C_jama.2024.24764'!$A$2:$A$9,0))="","",INDEX('C_jama.2024.24764'!$L$2:$L$9,MATCH(C9,'C_jama.2024.24764'!$A$2:$A$9,0))),"not_applicable"),"")</s:f>
        <s:v/>
      </s:c>
      <s:c r="R9" s="16" t="str">
        <s:f>IFERROR(IF(INDEX('C_jama.2024.24764'!$R$2:$R$9,MATCH(C9,'C_jama.2024.24764'!$A$2:$A$9,0))="","",INDEX('C_jama.2024.24764'!$R$2:$R$9,MATCH(C9,'C_jama.2024.24764'!$A$2:$A$9,0))),"")</s:f>
        <s:v>TEST 2025::jama.2024.24764::C008</s:v>
      </s:c>
      <s:c r="S9" s="16" t="str">
        <s:f>IF(Setup!$B$3="","",Setup!$B$3)</s:f>
        <s:v>TEST ONLY</s:v>
      </s:c>
    </s:row>
    <s:row r="10" ht="72" customFormat="1" customHeight="1" s="8">
      <s:c r="A10" s="15" t="n">
        <s:v>2025</s:v>
      </s:c>
      <s:c r="B10" s="15" t="inlineStr">
        <s:is>
          <s:t>jama.2024.27643</s:t>
        </s:is>
      </s:c>
      <s:c r="C10" s="15" t="inlineStr">
        <s:is>
          <s:t>2025::jama.2024.27643::C001</s:t>
        </s:is>
      </s:c>
      <s:c r="D10" s="15" t="inlineStr">
        <s:is>
          <s:t>S_W</s:t>
        </s:is>
      </s:c>
      <s:c r="E10" s="15" t="str">
        <s:f>Setup!$B$4</s:f>
        <s:v>R_A</s:v>
      </s:c>
      <s:c r="F10" s="15" t="str">
        <s:f>IF(Setup!$B$2="","",Setup!$B$2)</s:f>
        <s:v>TEST_REVIEWER</s:v>
      </s:c>
      <s:c r="G10" s="15" t="str">
        <s:f>IFERROR(INDEX('C_jama.2024.27643'!$G$2:$G$9,MATCH(C10,'C_jama.2024.27643'!$A$2:$A$9,0)),"CHECK KEY")</s:f>
        <s:v>PRIMARY READY</s:v>
      </s:c>
      <s:c r="H10" s="15" t="str">
        <s: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s:f>
        <s:v>primary_temporal</s:v>
      </s:c>
      <s:c r="I10" s="15" t="inlineStr">
        <s:is>
          <s:t>retain</s:t>
        </s:is>
      </s:c>
      <s:c r="J10" s="15" t="inlineStr">
        <s:is>
          <s:t>statistical_results</s:t>
        </s:is>
      </s:c>
      <s:c r="K10" s="15" t="str">
        <s:f>IFERROR(IF(INDEX('C_jama.2024.27643'!$D$2:$D$9,MATCH(C10,'C_jama.2024.27643'!$A$2:$A$9,0))="","",INDEX('C_jama.2024.27643'!$D$2:$D$9,MATCH(C10,'C_jama.2024.27643'!$A$2:$A$9,0))),"")</s:f>
        <s:v>retain</s:v>
      </s:c>
      <s:c r="L10" s="15" t="str">
        <s:f>IFERROR(IF(INDEX('C_jama.2024.27643'!$E$2:$E$9,MATCH(C10,'C_jama.2024.27643'!$A$2:$A$9,0))="","",INDEX('C_jama.2024.27643'!$E$2:$E$9,MATCH(C10,'C_jama.2024.27643'!$A$2:$A$9,0))),"")</s:f>
        <s:v>statistical_results</s:v>
      </s:c>
      <s:c r="M10" s="15" t="str">
        <s:f>IFERROR(IF(AND(K10="retain",L10="statistical_results"),IF(INDEX('C_jama.2024.27643'!$H$2:$H$9,MATCH(C10,'C_jama.2024.27643'!$A$2:$A$9,0))="","",INDEX('C_jama.2024.27643'!$H$2:$H$9,MATCH(C10,'C_jama.2024.27643'!$A$2:$A$9,0))),"not_applicable"),"")</s:f>
        <s:v>confirmed_issue</s:v>
      </s:c>
      <s:c r="N10" s="15" t="str">
        <s:f>IFERROR(IF(AND(K10="retain",L10="statistical_results"),IF(INDEX('C_jama.2024.27643'!$I$2:$I$9,MATCH(C10,'C_jama.2024.27643'!$A$2:$A$9,0))="","",INDEX('C_jama.2024.27643'!$I$2:$I$9,MATCH(C10,'C_jama.2024.27643'!$A$2:$A$9,0))),"not_applicable"),"")</s:f>
        <s:v>substantive</s:v>
      </s:c>
      <s:c r="O10" s="15" t="str">
        <s:f>IFERROR(IF(AND(K10="retain",L10="statistical_results"),IF(INDEX('C_jama.2024.27643'!$J$2:$J$9,MATCH(C10,'C_jama.2024.27643'!$A$2:$A$9,0))="","",INDEX('C_jama.2024.27643'!$J$2:$J$9,MATCH(C10,'C_jama.2024.27643'!$A$2:$A$9,0))),"not_applicable"),"")</s:f>
        <s:v/>
      </s:c>
      <s:c r="P10" s="15" t="str">
        <s:f>IFERROR(IF(AND(K10="retain",OR(L10="report_internal_inconsistency",L10="plan_material")),IF(INDEX('C_jama.2024.27643'!$K$2:$K$9,MATCH(C10,'C_jama.2024.27643'!$A$2:$A$9,0))="","",INDEX('C_jama.2024.27643'!$K$2:$K$9,MATCH(C10,'C_jama.2024.27643'!$A$2:$A$9,0))),"not_applicable"),"")</s:f>
        <s:v>not_applicable</s:v>
      </s:c>
      <s:c r="Q10" s="15" t="str">
        <s:f>IFERROR(IF(AND(K10="retain",L10="protocol_report"),IF(INDEX('C_jama.2024.27643'!$L$2:$L$9,MATCH(C10,'C_jama.2024.27643'!$A$2:$A$9,0))="","",INDEX('C_jama.2024.27643'!$L$2:$L$9,MATCH(C10,'C_jama.2024.27643'!$A$2:$A$9,0))),"not_applicable"),"")</s:f>
        <s:v>not_applicable</s:v>
      </s:c>
      <s:c r="R10" s="15" t="str">
        <s:f>IFERROR(IF(INDEX('C_jama.2024.27643'!$R$2:$R$9,MATCH(C10,'C_jama.2024.27643'!$A$2:$A$9,0))="","",INDEX('C_jama.2024.27643'!$R$2:$R$9,MATCH(C10,'C_jama.2024.27643'!$A$2:$A$9,0))),"")</s:f>
        <s:v>TEST 2025::jama.2024.27643::C001</s:v>
      </s:c>
      <s:c r="S10" s="15" t="str">
        <s:f>IF(Setup!$B$3="","",Setup!$B$3)</s:f>
        <s:v>TEST ONLY</s:v>
      </s:c>
    </s:row>
    <s:row r="11" ht="72" customFormat="1" customHeight="1" s="8">
      <s:c r="A11" s="16" t="n">
        <s:v>2025</s:v>
      </s:c>
      <s:c r="B11" s="16" t="inlineStr">
        <s:is>
          <s:t>jama.2024.27643</s:t>
        </s:is>
      </s:c>
      <s:c r="C11" s="16" t="inlineStr">
        <s:is>
          <s:t>2025::jama.2024.27643::C002</s:t>
        </s:is>
      </s:c>
      <s:c r="D11" s="16" t="inlineStr">
        <s:is>
          <s:t>S_C</s:t>
        </s:is>
      </s:c>
      <s:c r="E11" s="16" t="str">
        <s:f>Setup!$B$4</s:f>
        <s:v>R_A</s:v>
      </s:c>
      <s:c r="F11" s="16" t="str">
        <s:f>IF(Setup!$B$2="","",Setup!$B$2)</s:f>
        <s:v>TEST_REVIEWER</s:v>
      </s:c>
      <s:c r="G11" s="16" t="str">
        <s:f>IFERROR(INDEX('C_jama.2024.27643'!$G$2:$G$9,MATCH(C11,'C_jama.2024.27643'!$A$2:$A$9,0)),"CHECK KEY")</s:f>
        <s:v>PRIMARY READY</s:v>
      </s:c>
      <s:c r="H11" s="16" t="str">
        <s: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s:f>
        <s:v>secondary_temporal</s:v>
      </s:c>
      <s:c r="I11" s="16" t="inlineStr">
        <s:is>
          <s:t>retain</s:t>
        </s:is>
      </s:c>
      <s:c r="J11" s="16" t="inlineStr">
        <s:is>
          <s:t>report_internal_inconsistency</s:t>
        </s:is>
      </s:c>
      <s:c r="K11" s="16" t="str">
        <s:f>IFERROR(IF(INDEX('C_jama.2024.27643'!$D$2:$D$9,MATCH(C11,'C_jama.2024.27643'!$A$2:$A$9,0))="","",INDEX('C_jama.2024.27643'!$D$2:$D$9,MATCH(C11,'C_jama.2024.27643'!$A$2:$A$9,0))),"")</s:f>
        <s:v>retain</s:v>
      </s:c>
      <s:c r="L11" s="16" t="str">
        <s:f>IFERROR(IF(INDEX('C_jama.2024.27643'!$E$2:$E$9,MATCH(C11,'C_jama.2024.27643'!$A$2:$A$9,0))="","",INDEX('C_jama.2024.27643'!$E$2:$E$9,MATCH(C11,'C_jama.2024.27643'!$A$2:$A$9,0))),"")</s:f>
        <s:v>report_internal_inconsistency</s:v>
      </s:c>
      <s:c r="M11" s="16" t="str">
        <s:f>IFERROR(IF(AND(K11="retain",L11="statistical_results"),IF(INDEX('C_jama.2024.27643'!$H$2:$H$9,MATCH(C11,'C_jama.2024.27643'!$A$2:$A$9,0))="","",INDEX('C_jama.2024.27643'!$H$2:$H$9,MATCH(C11,'C_jama.2024.27643'!$A$2:$A$9,0))),"not_applicable"),"")</s:f>
        <s:v>not_applicable</s:v>
      </s:c>
      <s:c r="N11" s="16" t="str">
        <s:f>IFERROR(IF(AND(K11="retain",L11="statistical_results"),IF(INDEX('C_jama.2024.27643'!$I$2:$I$9,MATCH(C11,'C_jama.2024.27643'!$A$2:$A$9,0))="","",INDEX('C_jama.2024.27643'!$I$2:$I$9,MATCH(C11,'C_jama.2024.27643'!$A$2:$A$9,0))),"not_applicable"),"")</s:f>
        <s:v>not_applicable</s:v>
      </s:c>
      <s:c r="O11" s="16" t="str">
        <s:f>IFERROR(IF(AND(K11="retain",L11="statistical_results"),IF(INDEX('C_jama.2024.27643'!$J$2:$J$9,MATCH(C11,'C_jama.2024.27643'!$A$2:$A$9,0))="","",INDEX('C_jama.2024.27643'!$J$2:$J$9,MATCH(C11,'C_jama.2024.27643'!$A$2:$A$9,0))),"not_applicable"),"")</s:f>
        <s:v>not_applicable</s:v>
      </s:c>
      <s:c r="P11" s="16" t="str">
        <s:f>IFERROR(IF(AND(K11="retain",OR(L11="report_internal_inconsistency",L11="plan_material")),IF(INDEX('C_jama.2024.27643'!$K$2:$K$9,MATCH(C11,'C_jama.2024.27643'!$A$2:$A$9,0))="","",INDEX('C_jama.2024.27643'!$K$2:$K$9,MATCH(C11,'C_jama.2024.27643'!$A$2:$A$9,0))),"not_applicable"),"")</s:f>
        <s:v>substantive_inconsistency</s:v>
      </s:c>
      <s:c r="Q11" s="16" t="str">
        <s:f>IFERROR(IF(AND(K11="retain",L11="protocol_report"),IF(INDEX('C_jama.2024.27643'!$L$2:$L$9,MATCH(C11,'C_jama.2024.27643'!$A$2:$A$9,0))="","",INDEX('C_jama.2024.27643'!$L$2:$L$9,MATCH(C11,'C_jama.2024.27643'!$A$2:$A$9,0))),"not_applicable"),"")</s:f>
        <s:v>not_applicable</s:v>
      </s:c>
      <s:c r="R11" s="16" t="str">
        <s:f>IFERROR(IF(INDEX('C_jama.2024.27643'!$R$2:$R$9,MATCH(C11,'C_jama.2024.27643'!$A$2:$A$9,0))="","",INDEX('C_jama.2024.27643'!$R$2:$R$9,MATCH(C11,'C_jama.2024.27643'!$A$2:$A$9,0))),"")</s:f>
        <s:v>TEST 2025::jama.2024.27643::C002</s:v>
      </s:c>
      <s:c r="S11" s="16" t="str">
        <s:f>IF(Setup!$B$3="","",Setup!$B$3)</s:f>
        <s:v>TEST ONLY</s:v>
      </s:c>
    </s:row>
    <s:row r="12" ht="72" customFormat="1" customHeight="1" s="8">
      <s:c r="A12" s="15" t="n">
        <s:v>2025</s:v>
      </s:c>
      <s:c r="B12" s="15" t="inlineStr">
        <s:is>
          <s:t>jama.2024.27643</s:t>
        </s:is>
      </s:c>
      <s:c r="C12" s="15" t="inlineStr">
        <s:is>
          <s:t>2025::jama.2024.27643::C003</s:t>
        </s:is>
      </s:c>
      <s:c r="D12" s="15" t="inlineStr">
        <s:is>
          <s:t>S_C</s:t>
        </s:is>
      </s:c>
      <s:c r="E12" s="15" t="str">
        <s:f>Setup!$B$4</s:f>
        <s:v>R_A</s:v>
      </s:c>
      <s:c r="F12" s="15" t="str">
        <s:f>IF(Setup!$B$2="","",Setup!$B$2)</s:f>
        <s:v>TEST_REVIEWER</s:v>
      </s:c>
      <s:c r="G12" s="15" t="str">
        <s:f>IFERROR(INDEX('C_jama.2024.27643'!$G$2:$G$9,MATCH(C12,'C_jama.2024.27643'!$A$2:$A$9,0)),"CHECK KEY")</s:f>
        <s:v>PRIMARY READY</s:v>
      </s:c>
      <s:c r="H12" s="15" t="str">
        <s: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s:f>
        <s:v>secondary_temporal</s:v>
      </s:c>
      <s:c r="I12" s="15" t="inlineStr">
        <s:is>
          <s:t>retain</s:t>
        </s:is>
      </s:c>
      <s:c r="J12" s="15" t="inlineStr">
        <s:is>
          <s:t>report_internal_inconsistency</s:t>
        </s:is>
      </s:c>
      <s:c r="K12" s="15" t="str">
        <s:f>IFERROR(IF(INDEX('C_jama.2024.27643'!$D$2:$D$9,MATCH(C12,'C_jama.2024.27643'!$A$2:$A$9,0))="","",INDEX('C_jama.2024.27643'!$D$2:$D$9,MATCH(C12,'C_jama.2024.27643'!$A$2:$A$9,0))),"")</s:f>
        <s:v>retain</s:v>
      </s:c>
      <s:c r="L12" s="15" t="str">
        <s:f>IFERROR(IF(INDEX('C_jama.2024.27643'!$E$2:$E$9,MATCH(C12,'C_jama.2024.27643'!$A$2:$A$9,0))="","",INDEX('C_jama.2024.27643'!$E$2:$E$9,MATCH(C12,'C_jama.2024.27643'!$A$2:$A$9,0))),"")</s:f>
        <s:v>report_internal_inconsistency</s:v>
      </s:c>
      <s:c r="M12" s="15" t="str">
        <s:f>IFERROR(IF(AND(K12="retain",L12="statistical_results"),IF(INDEX('C_jama.2024.27643'!$H$2:$H$9,MATCH(C12,'C_jama.2024.27643'!$A$2:$A$9,0))="","",INDEX('C_jama.2024.27643'!$H$2:$H$9,MATCH(C12,'C_jama.2024.27643'!$A$2:$A$9,0))),"not_applicable"),"")</s:f>
        <s:v>not_applicable</s:v>
      </s:c>
      <s:c r="N12" s="15" t="str">
        <s:f>IFERROR(IF(AND(K12="retain",L12="statistical_results"),IF(INDEX('C_jama.2024.27643'!$I$2:$I$9,MATCH(C12,'C_jama.2024.27643'!$A$2:$A$9,0))="","",INDEX('C_jama.2024.27643'!$I$2:$I$9,MATCH(C12,'C_jama.2024.27643'!$A$2:$A$9,0))),"not_applicable"),"")</s:f>
        <s:v>not_applicable</s:v>
      </s:c>
      <s:c r="O12" s="15" t="str">
        <s:f>IFERROR(IF(AND(K12="retain",L12="statistical_results"),IF(INDEX('C_jama.2024.27643'!$J$2:$J$9,MATCH(C12,'C_jama.2024.27643'!$A$2:$A$9,0))="","",INDEX('C_jama.2024.27643'!$J$2:$J$9,MATCH(C12,'C_jama.2024.27643'!$A$2:$A$9,0))),"not_applicable"),"")</s:f>
        <s:v>not_applicable</s:v>
      </s:c>
      <s:c r="P12" s="15" t="str">
        <s:f>IFERROR(IF(AND(K12="retain",OR(L12="report_internal_inconsistency",L12="plan_material")),IF(INDEX('C_jama.2024.27643'!$K$2:$K$9,MATCH(C12,'C_jama.2024.27643'!$A$2:$A$9,0))="","",INDEX('C_jama.2024.27643'!$K$2:$K$9,MATCH(C12,'C_jama.2024.27643'!$A$2:$A$9,0))),"not_applicable"),"")</s:f>
        <s:v>substantive_inconsistency</s:v>
      </s:c>
      <s:c r="Q12" s="15" t="str">
        <s:f>IFERROR(IF(AND(K12="retain",L12="protocol_report"),IF(INDEX('C_jama.2024.27643'!$L$2:$L$9,MATCH(C12,'C_jama.2024.27643'!$A$2:$A$9,0))="","",INDEX('C_jama.2024.27643'!$L$2:$L$9,MATCH(C12,'C_jama.2024.27643'!$A$2:$A$9,0))),"not_applicable"),"")</s:f>
        <s:v>not_applicable</s:v>
      </s:c>
      <s:c r="R12" s="15" t="str">
        <s:f>IFERROR(IF(INDEX('C_jama.2024.27643'!$R$2:$R$9,MATCH(C12,'C_jama.2024.27643'!$A$2:$A$9,0))="","",INDEX('C_jama.2024.27643'!$R$2:$R$9,MATCH(C12,'C_jama.2024.27643'!$A$2:$A$9,0))),"")</s:f>
        <s:v>TEST 2025::jama.2024.27643::C003</s:v>
      </s:c>
      <s:c r="S12" s="15" t="str">
        <s:f>IF(Setup!$B$3="","",Setup!$B$3)</s:f>
        <s:v>TEST ONLY</s:v>
      </s:c>
    </s:row>
    <s:row r="13" ht="72" customFormat="1" customHeight="1" s="8">
      <s:c r="A13" s="16" t="n">
        <s:v>2025</s:v>
      </s:c>
      <s:c r="B13" s="16" t="inlineStr">
        <s:is>
          <s:t>jama.2024.27643</s:t>
        </s:is>
      </s:c>
      <s:c r="C13" s="16" t="inlineStr">
        <s:is>
          <s:t>2025::jama.2024.27643::C004</s:t>
        </s:is>
      </s:c>
      <s:c r="D13" s="16" t="inlineStr">
        <s:is>
          <s:t>S_C</s:t>
        </s:is>
      </s:c>
      <s:c r="E13" s="16" t="str">
        <s:f>Setup!$B$4</s:f>
        <s:v>R_A</s:v>
      </s:c>
      <s:c r="F13" s="16" t="str">
        <s:f>IF(Setup!$B$2="","",Setup!$B$2)</s:f>
        <s:v>TEST_REVIEWER</s:v>
      </s:c>
      <s:c r="G13" s="16" t="str">
        <s:f>IFERROR(INDEX('C_jama.2024.27643'!$G$2:$G$9,MATCH(C13,'C_jama.2024.27643'!$A$2:$A$9,0)),"CHECK KEY")</s:f>
        <s:v>PRIMARY READY</s:v>
      </s:c>
      <s:c r="H13" s="16" t="str">
        <s: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s:f>
        <s:v>secondary_temporal</s:v>
      </s:c>
      <s:c r="I13" s="16" t="inlineStr">
        <s:is>
          <s:t>retain</s:t>
        </s:is>
      </s:c>
      <s:c r="J13" s="16" t="inlineStr">
        <s:is>
          <s:t>report_internal_inconsistency</s:t>
        </s:is>
      </s:c>
      <s:c r="K13" s="16" t="str">
        <s:f>IFERROR(IF(INDEX('C_jama.2024.27643'!$D$2:$D$9,MATCH(C13,'C_jama.2024.27643'!$A$2:$A$9,0))="","",INDEX('C_jama.2024.27643'!$D$2:$D$9,MATCH(C13,'C_jama.2024.27643'!$A$2:$A$9,0))),"")</s:f>
        <s:v>retain</s:v>
      </s:c>
      <s:c r="L13" s="16" t="str">
        <s:f>IFERROR(IF(INDEX('C_jama.2024.27643'!$E$2:$E$9,MATCH(C13,'C_jama.2024.27643'!$A$2:$A$9,0))="","",INDEX('C_jama.2024.27643'!$E$2:$E$9,MATCH(C13,'C_jama.2024.27643'!$A$2:$A$9,0))),"")</s:f>
        <s:v>report_internal_inconsistency</s:v>
      </s:c>
      <s:c r="M13" s="16" t="str">
        <s:f>IFERROR(IF(AND(K13="retain",L13="statistical_results"),IF(INDEX('C_jama.2024.27643'!$H$2:$H$9,MATCH(C13,'C_jama.2024.27643'!$A$2:$A$9,0))="","",INDEX('C_jama.2024.27643'!$H$2:$H$9,MATCH(C13,'C_jama.2024.27643'!$A$2:$A$9,0))),"not_applicable"),"")</s:f>
        <s:v>not_applicable</s:v>
      </s:c>
      <s:c r="N13" s="16" t="str">
        <s:f>IFERROR(IF(AND(K13="retain",L13="statistical_results"),IF(INDEX('C_jama.2024.27643'!$I$2:$I$9,MATCH(C13,'C_jama.2024.27643'!$A$2:$A$9,0))="","",INDEX('C_jama.2024.27643'!$I$2:$I$9,MATCH(C13,'C_jama.2024.27643'!$A$2:$A$9,0))),"not_applicable"),"")</s:f>
        <s:v>not_applicable</s:v>
      </s:c>
      <s:c r="O13" s="16" t="str">
        <s:f>IFERROR(IF(AND(K13="retain",L13="statistical_results"),IF(INDEX('C_jama.2024.27643'!$J$2:$J$9,MATCH(C13,'C_jama.2024.27643'!$A$2:$A$9,0))="","",INDEX('C_jama.2024.27643'!$J$2:$J$9,MATCH(C13,'C_jama.2024.27643'!$A$2:$A$9,0))),"not_applicable"),"")</s:f>
        <s:v>not_applicable</s:v>
      </s:c>
      <s:c r="P13" s="16" t="str">
        <s:f>IFERROR(IF(AND(K13="retain",OR(L13="report_internal_inconsistency",L13="plan_material")),IF(INDEX('C_jama.2024.27643'!$K$2:$K$9,MATCH(C13,'C_jama.2024.27643'!$A$2:$A$9,0))="","",INDEX('C_jama.2024.27643'!$K$2:$K$9,MATCH(C13,'C_jama.2024.27643'!$A$2:$A$9,0))),"not_applicable"),"")</s:f>
        <s:v>substantive_inconsistency</s:v>
      </s:c>
      <s:c r="Q13" s="16" t="str">
        <s:f>IFERROR(IF(AND(K13="retain",L13="protocol_report"),IF(INDEX('C_jama.2024.27643'!$L$2:$L$9,MATCH(C13,'C_jama.2024.27643'!$A$2:$A$9,0))="","",INDEX('C_jama.2024.27643'!$L$2:$L$9,MATCH(C13,'C_jama.2024.27643'!$A$2:$A$9,0))),"not_applicable"),"")</s:f>
        <s:v>not_applicable</s:v>
      </s:c>
      <s:c r="R13" s="16" t="str">
        <s:f>IFERROR(IF(INDEX('C_jama.2024.27643'!$R$2:$R$9,MATCH(C13,'C_jama.2024.27643'!$A$2:$A$9,0))="","",INDEX('C_jama.2024.27643'!$R$2:$R$9,MATCH(C13,'C_jama.2024.27643'!$A$2:$A$9,0))),"")</s:f>
        <s:v>TEST 2025::jama.2024.27643::C004</s:v>
      </s:c>
      <s:c r="S13" s="16" t="str">
        <s:f>IF(Setup!$B$3="","",Setup!$B$3)</s:f>
        <s:v>TEST ONLY</s:v>
      </s:c>
    </s:row>
    <s:row r="14" ht="72" customFormat="1" customHeight="1" s="8">
      <s:c r="A14" s="15" t="n">
        <s:v>2025</s:v>
      </s:c>
      <s:c r="B14" s="15" t="inlineStr">
        <s:is>
          <s:t>jama.2024.27643</s:t>
        </s:is>
      </s:c>
      <s:c r="C14" s="15" t="inlineStr">
        <s:is>
          <s:t>2025::jama.2024.27643::C005</s:t>
        </s:is>
      </s:c>
      <s:c r="D14" s="15" t="inlineStr">
        <s:is>
          <s:t>S_C</s:t>
        </s:is>
      </s:c>
      <s:c r="E14" s="15" t="str">
        <s:f>Setup!$B$4</s:f>
        <s:v>R_A</s:v>
      </s:c>
      <s:c r="F14" s="15" t="str">
        <s:f>IF(Setup!$B$2="","",Setup!$B$2)</s:f>
        <s:v>TEST_REVIEWER</s:v>
      </s:c>
      <s:c r="G14" s="15" t="str">
        <s:f>IFERROR(INDEX('C_jama.2024.27643'!$G$2:$G$9,MATCH(C14,'C_jama.2024.27643'!$A$2:$A$9,0)),"CHECK KEY")</s:f>
        <s:v>PRIMARY READY</s:v>
      </s:c>
      <s:c r="H14" s="15" t="str">
        <s: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s:f>
        <s:v>secondary_temporal</s:v>
      </s:c>
      <s:c r="I14" s="15" t="inlineStr">
        <s:is>
          <s:t>retain</s:t>
        </s:is>
      </s:c>
      <s:c r="J14" s="15" t="inlineStr">
        <s:is>
          <s:t>report_internal_inconsistency</s:t>
        </s:is>
      </s:c>
      <s:c r="K14" s="15" t="str">
        <s:f>IFERROR(IF(INDEX('C_jama.2024.27643'!$D$2:$D$9,MATCH(C14,'C_jama.2024.27643'!$A$2:$A$9,0))="","",INDEX('C_jama.2024.27643'!$D$2:$D$9,MATCH(C14,'C_jama.2024.27643'!$A$2:$A$9,0))),"")</s:f>
        <s:v>retain</s:v>
      </s:c>
      <s:c r="L14" s="15" t="str">
        <s:f>IFERROR(IF(INDEX('C_jama.2024.27643'!$E$2:$E$9,MATCH(C14,'C_jama.2024.27643'!$A$2:$A$9,0))="","",INDEX('C_jama.2024.27643'!$E$2:$E$9,MATCH(C14,'C_jama.2024.27643'!$A$2:$A$9,0))),"")</s:f>
        <s:v>report_internal_inconsistency</s:v>
      </s:c>
      <s:c r="M14" s="15" t="str">
        <s:f>IFERROR(IF(AND(K14="retain",L14="statistical_results"),IF(INDEX('C_jama.2024.27643'!$H$2:$H$9,MATCH(C14,'C_jama.2024.27643'!$A$2:$A$9,0))="","",INDEX('C_jama.2024.27643'!$H$2:$H$9,MATCH(C14,'C_jama.2024.27643'!$A$2:$A$9,0))),"not_applicable"),"")</s:f>
        <s:v>not_applicable</s:v>
      </s:c>
      <s:c r="N14" s="15" t="str">
        <s:f>IFERROR(IF(AND(K14="retain",L14="statistical_results"),IF(INDEX('C_jama.2024.27643'!$I$2:$I$9,MATCH(C14,'C_jama.2024.27643'!$A$2:$A$9,0))="","",INDEX('C_jama.2024.27643'!$I$2:$I$9,MATCH(C14,'C_jama.2024.27643'!$A$2:$A$9,0))),"not_applicable"),"")</s:f>
        <s:v>not_applicable</s:v>
      </s:c>
      <s:c r="O14" s="15" t="str">
        <s:f>IFERROR(IF(AND(K14="retain",L14="statistical_results"),IF(INDEX('C_jama.2024.27643'!$J$2:$J$9,MATCH(C14,'C_jama.2024.27643'!$A$2:$A$9,0))="","",INDEX('C_jama.2024.27643'!$J$2:$J$9,MATCH(C14,'C_jama.2024.27643'!$A$2:$A$9,0))),"not_applicable"),"")</s:f>
        <s:v>not_applicable</s:v>
      </s:c>
      <s:c r="P14" s="15" t="str">
        <s:f>IFERROR(IF(AND(K14="retain",OR(L14="report_internal_inconsistency",L14="plan_material")),IF(INDEX('C_jama.2024.27643'!$K$2:$K$9,MATCH(C14,'C_jama.2024.27643'!$A$2:$A$9,0))="","",INDEX('C_jama.2024.27643'!$K$2:$K$9,MATCH(C14,'C_jama.2024.27643'!$A$2:$A$9,0))),"not_applicable"),"")</s:f>
        <s:v>substantive_inconsistency</s:v>
      </s:c>
      <s:c r="Q14" s="15" t="str">
        <s:f>IFERROR(IF(AND(K14="retain",L14="protocol_report"),IF(INDEX('C_jama.2024.27643'!$L$2:$L$9,MATCH(C14,'C_jama.2024.27643'!$A$2:$A$9,0))="","",INDEX('C_jama.2024.27643'!$L$2:$L$9,MATCH(C14,'C_jama.2024.27643'!$A$2:$A$9,0))),"not_applicable"),"")</s:f>
        <s:v>not_applicable</s:v>
      </s:c>
      <s:c r="R14" s="15" t="str">
        <s:f>IFERROR(IF(INDEX('C_jama.2024.27643'!$R$2:$R$9,MATCH(C14,'C_jama.2024.27643'!$A$2:$A$9,0))="","",INDEX('C_jama.2024.27643'!$R$2:$R$9,MATCH(C14,'C_jama.2024.27643'!$A$2:$A$9,0))),"")</s:f>
        <s:v>TEST 2025::jama.2024.27643::C005</s:v>
      </s:c>
      <s:c r="S14" s="15" t="str">
        <s:f>IF(Setup!$B$3="","",Setup!$B$3)</s:f>
        <s:v>TEST ONLY</s:v>
      </s:c>
    </s:row>
    <s:row r="15" ht="72" customFormat="1" customHeight="1" s="8">
      <s:c r="A15" s="16" t="n">
        <s:v>2025</s:v>
      </s:c>
      <s:c r="B15" s="16" t="inlineStr">
        <s:is>
          <s:t>jama.2024.27643</s:t>
        </s:is>
      </s:c>
      <s:c r="C15" s="16" t="inlineStr">
        <s:is>
          <s:t>2025::jama.2024.27643::C006</s:t>
        </s:is>
      </s:c>
      <s:c r="D15" s="16" t="inlineStr">
        <s:is>
          <s:t>S_C</s:t>
        </s:is>
      </s:c>
      <s:c r="E15" s="16" t="str">
        <s:f>Setup!$B$4</s:f>
        <s:v>R_A</s:v>
      </s:c>
      <s:c r="F15" s="16" t="str">
        <s:f>IF(Setup!$B$2="","",Setup!$B$2)</s:f>
        <s:v>TEST_REVIEWER</s:v>
      </s:c>
      <s:c r="G15" s="16" t="str">
        <s:f>IFERROR(INDEX('C_jama.2024.27643'!$G$2:$G$9,MATCH(C15,'C_jama.2024.27643'!$A$2:$A$9,0)),"CHECK KEY")</s:f>
        <s:v>PRIMARY READY</s:v>
      </s:c>
      <s:c r="H15" s="16" t="str">
        <s: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s:f>
        <s:v>secondary_temporal</s:v>
      </s:c>
      <s:c r="I15" s="16" t="inlineStr">
        <s:is>
          <s:t>retain</s:t>
        </s:is>
      </s:c>
      <s:c r="J15" s="16" t="inlineStr">
        <s:is>
          <s:t>report_internal_inconsistency</s:t>
        </s:is>
      </s:c>
      <s:c r="K15" s="16" t="str">
        <s:f>IFERROR(IF(INDEX('C_jama.2024.27643'!$D$2:$D$9,MATCH(C15,'C_jama.2024.27643'!$A$2:$A$9,0))="","",INDEX('C_jama.2024.27643'!$D$2:$D$9,MATCH(C15,'C_jama.2024.27643'!$A$2:$A$9,0))),"")</s:f>
        <s:v>retain</s:v>
      </s:c>
      <s:c r="L15" s="16" t="str">
        <s:f>IFERROR(IF(INDEX('C_jama.2024.27643'!$E$2:$E$9,MATCH(C15,'C_jama.2024.27643'!$A$2:$A$9,0))="","",INDEX('C_jama.2024.27643'!$E$2:$E$9,MATCH(C15,'C_jama.2024.27643'!$A$2:$A$9,0))),"")</s:f>
        <s:v>report_internal_inconsistency</s:v>
      </s:c>
      <s:c r="M15" s="16" t="str">
        <s:f>IFERROR(IF(AND(K15="retain",L15="statistical_results"),IF(INDEX('C_jama.2024.27643'!$H$2:$H$9,MATCH(C15,'C_jama.2024.27643'!$A$2:$A$9,0))="","",INDEX('C_jama.2024.27643'!$H$2:$H$9,MATCH(C15,'C_jama.2024.27643'!$A$2:$A$9,0))),"not_applicable"),"")</s:f>
        <s:v>not_applicable</s:v>
      </s:c>
      <s:c r="N15" s="16" t="str">
        <s:f>IFERROR(IF(AND(K15="retain",L15="statistical_results"),IF(INDEX('C_jama.2024.27643'!$I$2:$I$9,MATCH(C15,'C_jama.2024.27643'!$A$2:$A$9,0))="","",INDEX('C_jama.2024.27643'!$I$2:$I$9,MATCH(C15,'C_jama.2024.27643'!$A$2:$A$9,0))),"not_applicable"),"")</s:f>
        <s:v>not_applicable</s:v>
      </s:c>
      <s:c r="O15" s="16" t="str">
        <s:f>IFERROR(IF(AND(K15="retain",L15="statistical_results"),IF(INDEX('C_jama.2024.27643'!$J$2:$J$9,MATCH(C15,'C_jama.2024.27643'!$A$2:$A$9,0))="","",INDEX('C_jama.2024.27643'!$J$2:$J$9,MATCH(C15,'C_jama.2024.27643'!$A$2:$A$9,0))),"not_applicable"),"")</s:f>
        <s:v>not_applicable</s:v>
      </s:c>
      <s:c r="P15" s="16" t="str">
        <s:f>IFERROR(IF(AND(K15="retain",OR(L15="report_internal_inconsistency",L15="plan_material")),IF(INDEX('C_jama.2024.27643'!$K$2:$K$9,MATCH(C15,'C_jama.2024.27643'!$A$2:$A$9,0))="","",INDEX('C_jama.2024.27643'!$K$2:$K$9,MATCH(C15,'C_jama.2024.27643'!$A$2:$A$9,0))),"not_applicable"),"")</s:f>
        <s:v>substantive_inconsistency</s:v>
      </s:c>
      <s:c r="Q15" s="16" t="str">
        <s:f>IFERROR(IF(AND(K15="retain",L15="protocol_report"),IF(INDEX('C_jama.2024.27643'!$L$2:$L$9,MATCH(C15,'C_jama.2024.27643'!$A$2:$A$9,0))="","",INDEX('C_jama.2024.27643'!$L$2:$L$9,MATCH(C15,'C_jama.2024.27643'!$A$2:$A$9,0))),"not_applicable"),"")</s:f>
        <s:v>not_applicable</s:v>
      </s:c>
      <s:c r="R15" s="16" t="str">
        <s:f>IFERROR(IF(INDEX('C_jama.2024.27643'!$R$2:$R$9,MATCH(C15,'C_jama.2024.27643'!$A$2:$A$9,0))="","",INDEX('C_jama.2024.27643'!$R$2:$R$9,MATCH(C15,'C_jama.2024.27643'!$A$2:$A$9,0))),"")</s:f>
        <s:v>TEST 2025::jama.2024.27643::C006</s:v>
      </s:c>
      <s:c r="S15" s="16" t="str">
        <s:f>IF(Setup!$B$3="","",Setup!$B$3)</s:f>
        <s:v>TEST ONLY</s:v>
      </s:c>
    </s:row>
    <s:row r="16" ht="72" customFormat="1" customHeight="1" s="8">
      <s:c r="A16" s="15" t="n">
        <s:v>2025</s:v>
      </s:c>
      <s:c r="B16" s="15" t="inlineStr">
        <s:is>
          <s:t>jama.2024.27643</s:t>
        </s:is>
      </s:c>
      <s:c r="C16" s="15" t="inlineStr">
        <s:is>
          <s:t>2025::jama.2024.27643::C007</s:t>
        </s:is>
      </s:c>
      <s:c r="D16" s="15" t="inlineStr">
        <s:is>
          <s:t>S_C</s:t>
        </s:is>
      </s:c>
      <s:c r="E16" s="15" t="str">
        <s:f>Setup!$B$4</s:f>
        <s:v>R_A</s:v>
      </s:c>
      <s:c r="F16" s="15" t="str">
        <s:f>IF(Setup!$B$2="","",Setup!$B$2)</s:f>
        <s:v>TEST_REVIEWER</s:v>
      </s:c>
      <s:c r="G16" s="15" t="str">
        <s:f>IFERROR(INDEX('C_jama.2024.27643'!$G$2:$G$9,MATCH(C16,'C_jama.2024.27643'!$A$2:$A$9,0)),"CHECK KEY")</s:f>
        <s:v>PRIMARY READY</s:v>
      </s:c>
      <s:c r="H16" s="15" t="str">
        <s: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s:f>
        <s:v>secondary_temporal</s:v>
      </s:c>
      <s:c r="I16" s="15" t="inlineStr">
        <s:is>
          <s:t>retain</s:t>
        </s:is>
      </s:c>
      <s:c r="J16" s="15" t="inlineStr">
        <s:is>
          <s:t>report_internal_inconsistency</s:t>
        </s:is>
      </s:c>
      <s:c r="K16" s="15" t="str">
        <s:f>IFERROR(IF(INDEX('C_jama.2024.27643'!$D$2:$D$9,MATCH(C16,'C_jama.2024.27643'!$A$2:$A$9,0))="","",INDEX('C_jama.2024.27643'!$D$2:$D$9,MATCH(C16,'C_jama.2024.27643'!$A$2:$A$9,0))),"")</s:f>
        <s:v>retain</s:v>
      </s:c>
      <s:c r="L16" s="15" t="str">
        <s:f>IFERROR(IF(INDEX('C_jama.2024.27643'!$E$2:$E$9,MATCH(C16,'C_jama.2024.27643'!$A$2:$A$9,0))="","",INDEX('C_jama.2024.27643'!$E$2:$E$9,MATCH(C16,'C_jama.2024.27643'!$A$2:$A$9,0))),"")</s:f>
        <s:v>report_internal_inconsistency</s:v>
      </s:c>
      <s:c r="M16" s="15" t="str">
        <s:f>IFERROR(IF(AND(K16="retain",L16="statistical_results"),IF(INDEX('C_jama.2024.27643'!$H$2:$H$9,MATCH(C16,'C_jama.2024.27643'!$A$2:$A$9,0))="","",INDEX('C_jama.2024.27643'!$H$2:$H$9,MATCH(C16,'C_jama.2024.27643'!$A$2:$A$9,0))),"not_applicable"),"")</s:f>
        <s:v>not_applicable</s:v>
      </s:c>
      <s:c r="N16" s="15" t="str">
        <s:f>IFERROR(IF(AND(K16="retain",L16="statistical_results"),IF(INDEX('C_jama.2024.27643'!$I$2:$I$9,MATCH(C16,'C_jama.2024.27643'!$A$2:$A$9,0))="","",INDEX('C_jama.2024.27643'!$I$2:$I$9,MATCH(C16,'C_jama.2024.27643'!$A$2:$A$9,0))),"not_applicable"),"")</s:f>
        <s:v>not_applicable</s:v>
      </s:c>
      <s:c r="O16" s="15" t="str">
        <s:f>IFERROR(IF(AND(K16="retain",L16="statistical_results"),IF(INDEX('C_jama.2024.27643'!$J$2:$J$9,MATCH(C16,'C_jama.2024.27643'!$A$2:$A$9,0))="","",INDEX('C_jama.2024.27643'!$J$2:$J$9,MATCH(C16,'C_jama.2024.27643'!$A$2:$A$9,0))),"not_applicable"),"")</s:f>
        <s:v>not_applicable</s:v>
      </s:c>
      <s:c r="P16" s="15" t="str">
        <s:f>IFERROR(IF(AND(K16="retain",OR(L16="report_internal_inconsistency",L16="plan_material")),IF(INDEX('C_jama.2024.27643'!$K$2:$K$9,MATCH(C16,'C_jama.2024.27643'!$A$2:$A$9,0))="","",INDEX('C_jama.2024.27643'!$K$2:$K$9,MATCH(C16,'C_jama.2024.27643'!$A$2:$A$9,0))),"not_applicable"),"")</s:f>
        <s:v>substantive_inconsistency</s:v>
      </s:c>
      <s:c r="Q16" s="15" t="str">
        <s:f>IFERROR(IF(AND(K16="retain",L16="protocol_report"),IF(INDEX('C_jama.2024.27643'!$L$2:$L$9,MATCH(C16,'C_jama.2024.27643'!$A$2:$A$9,0))="","",INDEX('C_jama.2024.27643'!$L$2:$L$9,MATCH(C16,'C_jama.2024.27643'!$A$2:$A$9,0))),"not_applicable"),"")</s:f>
        <s:v>not_applicable</s:v>
      </s:c>
      <s:c r="R16" s="15" t="str">
        <s:f>IFERROR(IF(INDEX('C_jama.2024.27643'!$R$2:$R$9,MATCH(C16,'C_jama.2024.27643'!$A$2:$A$9,0))="","",INDEX('C_jama.2024.27643'!$R$2:$R$9,MATCH(C16,'C_jama.2024.27643'!$A$2:$A$9,0))),"")</s:f>
        <s:v>TEST 2025::jama.2024.27643::C007</s:v>
      </s:c>
      <s:c r="S16" s="15" t="str">
        <s:f>IF(Setup!$B$3="","",Setup!$B$3)</s:f>
        <s:v>TEST ONLY</s:v>
      </s:c>
    </s:row>
    <s:row r="17" ht="72" customFormat="1" customHeight="1" s="8">
      <s:c r="A17" s="16" t="n">
        <s:v>2025</s:v>
      </s:c>
      <s:c r="B17" s="16" t="inlineStr">
        <s:is>
          <s:t>jama.2024.27643</s:t>
        </s:is>
      </s:c>
      <s:c r="C17" s="16" t="inlineStr">
        <s:is>
          <s:t>2025::jama.2024.27643::C008</s:t>
        </s:is>
      </s:c>
      <s:c r="D17" s="16" t="inlineStr">
        <s:is>
          <s:t>S_W</s:t>
        </s:is>
      </s:c>
      <s:c r="E17" s="16" t="str">
        <s:f>Setup!$B$4</s:f>
        <s:v>R_A</s:v>
      </s:c>
      <s:c r="F17" s="16" t="str">
        <s:f>IF(Setup!$B$2="","",Setup!$B$2)</s:f>
        <s:v>TEST_REVIEWER</s:v>
      </s:c>
      <s:c r="G17" s="16" t="str">
        <s:f>IFERROR(INDEX('C_jama.2024.27643'!$G$2:$G$9,MATCH(C17,'C_jama.2024.27643'!$A$2:$A$9,0)),"CHECK KEY")</s:f>
        <s:v>PRIMARY READY</s:v>
      </s:c>
      <s:c r="H17" s="16" t="str">
        <s: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s:f>
        <s:v>primary_temporal</s:v>
      </s:c>
      <s:c r="I17" s="16" t="inlineStr">
        <s:is>
          <s:t>retain</s:t>
        </s:is>
      </s:c>
      <s:c r="J17" s="16" t="inlineStr">
        <s:is>
          <s:t>statistical_results</s:t>
        </s:is>
      </s:c>
      <s:c r="K17" s="16" t="str">
        <s:f>IFERROR(IF(INDEX('C_jama.2024.27643'!$D$2:$D$9,MATCH(C17,'C_jama.2024.27643'!$A$2:$A$9,0))="","",INDEX('C_jama.2024.27643'!$D$2:$D$9,MATCH(C17,'C_jama.2024.27643'!$A$2:$A$9,0))),"")</s:f>
        <s:v>retain</s:v>
      </s:c>
      <s:c r="L17" s="16" t="str">
        <s:f>IFERROR(IF(INDEX('C_jama.2024.27643'!$E$2:$E$9,MATCH(C17,'C_jama.2024.27643'!$A$2:$A$9,0))="","",INDEX('C_jama.2024.27643'!$E$2:$E$9,MATCH(C17,'C_jama.2024.27643'!$A$2:$A$9,0))),"")</s:f>
        <s:v>statistical_results</s:v>
      </s:c>
      <s:c r="M17" s="16" t="str">
        <s:f>IFERROR(IF(AND(K17="retain",L17="statistical_results"),IF(INDEX('C_jama.2024.27643'!$H$2:$H$9,MATCH(C17,'C_jama.2024.27643'!$A$2:$A$9,0))="","",INDEX('C_jama.2024.27643'!$H$2:$H$9,MATCH(C17,'C_jama.2024.27643'!$A$2:$A$9,0))),"not_applicable"),"")</s:f>
        <s:v>confirmed_issue</s:v>
      </s:c>
      <s:c r="N17" s="16" t="str">
        <s:f>IFERROR(IF(AND(K17="retain",L17="statistical_results"),IF(INDEX('C_jama.2024.27643'!$I$2:$I$9,MATCH(C17,'C_jama.2024.27643'!$A$2:$A$9,0))="","",INDEX('C_jama.2024.27643'!$I$2:$I$9,MATCH(C17,'C_jama.2024.27643'!$A$2:$A$9,0))),"not_applicable"),"")</s:f>
        <s:v>substantive</s:v>
      </s:c>
      <s:c r="O17" s="16" t="str">
        <s:f>IFERROR(IF(AND(K17="retain",L17="statistical_results"),IF(INDEX('C_jama.2024.27643'!$J$2:$J$9,MATCH(C17,'C_jama.2024.27643'!$A$2:$A$9,0))="","",INDEX('C_jama.2024.27643'!$J$2:$J$9,MATCH(C17,'C_jama.2024.27643'!$A$2:$A$9,0))),"not_applicable"),"")</s:f>
        <s:v/>
      </s:c>
      <s:c r="P17" s="16" t="str">
        <s:f>IFERROR(IF(AND(K17="retain",OR(L17="report_internal_inconsistency",L17="plan_material")),IF(INDEX('C_jama.2024.27643'!$K$2:$K$9,MATCH(C17,'C_jama.2024.27643'!$A$2:$A$9,0))="","",INDEX('C_jama.2024.27643'!$K$2:$K$9,MATCH(C17,'C_jama.2024.27643'!$A$2:$A$9,0))),"not_applicable"),"")</s:f>
        <s:v>not_applicable</s:v>
      </s:c>
      <s:c r="Q17" s="16" t="str">
        <s:f>IFERROR(IF(AND(K17="retain",L17="protocol_report"),IF(INDEX('C_jama.2024.27643'!$L$2:$L$9,MATCH(C17,'C_jama.2024.27643'!$A$2:$A$9,0))="","",INDEX('C_jama.2024.27643'!$L$2:$L$9,MATCH(C17,'C_jama.2024.27643'!$A$2:$A$9,0))),"not_applicable"),"")</s:f>
        <s:v>not_applicable</s:v>
      </s:c>
      <s:c r="R17" s="16" t="str">
        <s:f>IFERROR(IF(INDEX('C_jama.2024.27643'!$R$2:$R$9,MATCH(C17,'C_jama.2024.27643'!$A$2:$A$9,0))="","",INDEX('C_jama.2024.27643'!$R$2:$R$9,MATCH(C17,'C_jama.2024.27643'!$A$2:$A$9,0))),"")</s:f>
        <s:v>TEST 2025::jama.2024.27643::C008</s:v>
      </s:c>
      <s:c r="S17" s="16" t="str">
        <s:f>IF(Setup!$B$3="","",Setup!$B$3)</s:f>
        <s:v>TEST ONLY</s:v>
      </s:c>
    </s:row>
    <s:row r="18" ht="72" customFormat="1" customHeight="1" s="8">
      <s:c r="A18" s="15" t="n">
        <s:v>2025</s:v>
      </s:c>
      <s:c r="B18" s="15" t="inlineStr">
        <s:is>
          <s:t>jama.2025.11178</s:t>
        </s:is>
      </s:c>
      <s:c r="C18" s="15" t="inlineStr">
        <s:is>
          <s:t>2025::jama.2025.11178::C001</s:t>
        </s:is>
      </s:c>
      <s:c r="D18" s="15" t="inlineStr">
        <s:is>
          <s:t>S_W</s:t>
        </s:is>
      </s:c>
      <s:c r="E18" s="15" t="str">
        <s:f>Setup!$B$4</s:f>
        <s:v>R_A</s:v>
      </s:c>
      <s:c r="F18" s="15" t="str">
        <s:f>IF(Setup!$B$2="","",Setup!$B$2)</s:f>
        <s:v>TEST_REVIEWER</s:v>
      </s:c>
      <s:c r="G18" s="15" t="str">
        <s:f>IFERROR(INDEX('C_jama.2025.11178'!$G$2:$G$38,MATCH(C18,'C_jama.2025.11178'!$A$2:$A$38,0)),"CHECK KEY")</s:f>
        <s:v>PRIMARY READY</s:v>
      </s:c>
      <s:c r="H18" s="15" t="str">
        <s: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s:f>
        <s:v>primary_temporal</s:v>
      </s:c>
      <s:c r="I18" s="15" t="inlineStr">
        <s:is>
          <s:t>retain</s:t>
        </s:is>
      </s:c>
      <s:c r="J18" s="15" t="inlineStr">
        <s:is>
          <s:t>statistical_results</s:t>
        </s:is>
      </s:c>
      <s:c r="K18" s="15" t="str">
        <s:f>IFERROR(IF(INDEX('C_jama.2025.11178'!$D$2:$D$38,MATCH(C18,'C_jama.2025.11178'!$A$2:$A$38,0))="","",INDEX('C_jama.2025.11178'!$D$2:$D$38,MATCH(C18,'C_jama.2025.11178'!$A$2:$A$38,0))),"")</s:f>
        <s:v>retain</s:v>
      </s:c>
      <s:c r="L18" s="15" t="str">
        <s:f>IFERROR(IF(INDEX('C_jama.2025.11178'!$E$2:$E$38,MATCH(C18,'C_jama.2025.11178'!$A$2:$A$38,0))="","",INDEX('C_jama.2025.11178'!$E$2:$E$38,MATCH(C18,'C_jama.2025.11178'!$A$2:$A$38,0))),"")</s:f>
        <s:v>statistical_results</s:v>
      </s:c>
      <s:c r="M18" s="15" t="str">
        <s:f>IFERROR(IF(AND(K18="retain",L18="statistical_results"),IF(INDEX('C_jama.2025.11178'!$H$2:$H$38,MATCH(C18,'C_jama.2025.11178'!$A$2:$A$38,0))="","",INDEX('C_jama.2025.11178'!$H$2:$H$38,MATCH(C18,'C_jama.2025.11178'!$A$2:$A$38,0))),"not_applicable"),"")</s:f>
        <s:v>confirmed_issue</s:v>
      </s:c>
      <s:c r="N18" s="15" t="str">
        <s:f>IFERROR(IF(AND(K18="retain",L18="statistical_results"),IF(INDEX('C_jama.2025.11178'!$I$2:$I$38,MATCH(C18,'C_jama.2025.11178'!$A$2:$A$38,0))="","",INDEX('C_jama.2025.11178'!$I$2:$I$38,MATCH(C18,'C_jama.2025.11178'!$A$2:$A$38,0))),"not_applicable"),"")</s:f>
        <s:v>substantive</s:v>
      </s:c>
      <s:c r="O18" s="15" t="str">
        <s:f>IFERROR(IF(AND(K18="retain",L18="statistical_results"),IF(INDEX('C_jama.2025.11178'!$J$2:$J$38,MATCH(C18,'C_jama.2025.11178'!$A$2:$A$38,0))="","",INDEX('C_jama.2025.11178'!$J$2:$J$38,MATCH(C18,'C_jama.2025.11178'!$A$2:$A$38,0))),"not_applicable"),"")</s:f>
        <s:v/>
      </s:c>
      <s:c r="P18" s="15" t="str">
        <s:f>IFERROR(IF(AND(K18="retain",OR(L18="report_internal_inconsistency",L18="plan_material")),IF(INDEX('C_jama.2025.11178'!$K$2:$K$38,MATCH(C18,'C_jama.2025.11178'!$A$2:$A$38,0))="","",INDEX('C_jama.2025.11178'!$K$2:$K$38,MATCH(C18,'C_jama.2025.11178'!$A$2:$A$38,0))),"not_applicable"),"")</s:f>
        <s:v>not_applicable</s:v>
      </s:c>
      <s:c r="Q18" s="15" t="str">
        <s:f>IFERROR(IF(AND(K18="retain",L18="protocol_report"),IF(INDEX('C_jama.2025.11178'!$L$2:$L$38,MATCH(C18,'C_jama.2025.11178'!$A$2:$A$38,0))="","",INDEX('C_jama.2025.11178'!$L$2:$L$38,MATCH(C18,'C_jama.2025.11178'!$A$2:$A$38,0))),"not_applicable"),"")</s:f>
        <s:v>not_applicable</s:v>
      </s:c>
      <s:c r="R18" s="15" t="str">
        <s:f>IFERROR(IF(INDEX('C_jama.2025.11178'!$R$2:$R$38,MATCH(C18,'C_jama.2025.11178'!$A$2:$A$38,0))="","",INDEX('C_jama.2025.11178'!$R$2:$R$38,MATCH(C18,'C_jama.2025.11178'!$A$2:$A$38,0))),"")</s:f>
        <s:v>TEST 2025::jama.2025.11178::C001</s:v>
      </s:c>
      <s:c r="S18" s="15" t="str">
        <s:f>IF(Setup!$B$3="","",Setup!$B$3)</s:f>
        <s:v>TEST ONLY</s:v>
      </s:c>
    </s:row>
    <s:row r="19" ht="72" customFormat="1" customHeight="1" s="8">
      <s:c r="A19" s="16" t="n">
        <s:v>2025</s:v>
      </s:c>
      <s:c r="B19" s="16" t="inlineStr">
        <s:is>
          <s:t>jama.2025.11178</s:t>
        </s:is>
      </s:c>
      <s:c r="C19" s="16" t="inlineStr">
        <s:is>
          <s:t>2025::jama.2025.11178::C002</s:t>
        </s:is>
      </s:c>
      <s:c r="D19" s="16" t="inlineStr">
        <s:is>
          <s:t>S_W</s:t>
        </s:is>
      </s:c>
      <s:c r="E19" s="16" t="str">
        <s:f>Setup!$B$4</s:f>
        <s:v>R_A</s:v>
      </s:c>
      <s:c r="F19" s="16" t="str">
        <s:f>IF(Setup!$B$2="","",Setup!$B$2)</s:f>
        <s:v>TEST_REVIEWER</s:v>
      </s:c>
      <s:c r="G19" s="16" t="str">
        <s:f>IFERROR(INDEX('C_jama.2025.11178'!$G$2:$G$38,MATCH(C19,'C_jama.2025.11178'!$A$2:$A$38,0)),"CHECK KEY")</s:f>
        <s:v>PRIMARY READY</s:v>
      </s:c>
      <s:c r="H19" s="16" t="str">
        <s: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s:f>
        <s:v>primary_temporal</s:v>
      </s:c>
      <s:c r="I19" s="16" t="inlineStr">
        <s:is>
          <s:t>retain</s:t>
        </s:is>
      </s:c>
      <s:c r="J19" s="16" t="inlineStr">
        <s:is>
          <s:t>statistical_results</s:t>
        </s:is>
      </s:c>
      <s:c r="K19" s="16" t="str">
        <s:f>IFERROR(IF(INDEX('C_jama.2025.11178'!$D$2:$D$38,MATCH(C19,'C_jama.2025.11178'!$A$2:$A$38,0))="","",INDEX('C_jama.2025.11178'!$D$2:$D$38,MATCH(C19,'C_jama.2025.11178'!$A$2:$A$38,0))),"")</s:f>
        <s:v>retain</s:v>
      </s:c>
      <s:c r="L19" s="16" t="str">
        <s:f>IFERROR(IF(INDEX('C_jama.2025.11178'!$E$2:$E$38,MATCH(C19,'C_jama.2025.11178'!$A$2:$A$38,0))="","",INDEX('C_jama.2025.11178'!$E$2:$E$38,MATCH(C19,'C_jama.2025.11178'!$A$2:$A$38,0))),"")</s:f>
        <s:v>statistical_results</s:v>
      </s:c>
      <s:c r="M19" s="16" t="str">
        <s:f>IFERROR(IF(AND(K19="retain",L19="statistical_results"),IF(INDEX('C_jama.2025.11178'!$H$2:$H$38,MATCH(C19,'C_jama.2025.11178'!$A$2:$A$38,0))="","",INDEX('C_jama.2025.11178'!$H$2:$H$38,MATCH(C19,'C_jama.2025.11178'!$A$2:$A$38,0))),"not_applicable"),"")</s:f>
        <s:v>confirmed_issue</s:v>
      </s:c>
      <s:c r="N19" s="16" t="str">
        <s:f>IFERROR(IF(AND(K19="retain",L19="statistical_results"),IF(INDEX('C_jama.2025.11178'!$I$2:$I$38,MATCH(C19,'C_jama.2025.11178'!$A$2:$A$38,0))="","",INDEX('C_jama.2025.11178'!$I$2:$I$38,MATCH(C19,'C_jama.2025.11178'!$A$2:$A$38,0))),"not_applicable"),"")</s:f>
        <s:v>substantive</s:v>
      </s:c>
      <s:c r="O19" s="16" t="str">
        <s:f>IFERROR(IF(AND(K19="retain",L19="statistical_results"),IF(INDEX('C_jama.2025.11178'!$J$2:$J$38,MATCH(C19,'C_jama.2025.11178'!$A$2:$A$38,0))="","",INDEX('C_jama.2025.11178'!$J$2:$J$38,MATCH(C19,'C_jama.2025.11178'!$A$2:$A$38,0))),"not_applicable"),"")</s:f>
        <s:v/>
      </s:c>
      <s:c r="P19" s="16" t="str">
        <s:f>IFERROR(IF(AND(K19="retain",OR(L19="report_internal_inconsistency",L19="plan_material")),IF(INDEX('C_jama.2025.11178'!$K$2:$K$38,MATCH(C19,'C_jama.2025.11178'!$A$2:$A$38,0))="","",INDEX('C_jama.2025.11178'!$K$2:$K$38,MATCH(C19,'C_jama.2025.11178'!$A$2:$A$38,0))),"not_applicable"),"")</s:f>
        <s:v>not_applicable</s:v>
      </s:c>
      <s:c r="Q19" s="16" t="str">
        <s:f>IFERROR(IF(AND(K19="retain",L19="protocol_report"),IF(INDEX('C_jama.2025.11178'!$L$2:$L$38,MATCH(C19,'C_jama.2025.11178'!$A$2:$A$38,0))="","",INDEX('C_jama.2025.11178'!$L$2:$L$38,MATCH(C19,'C_jama.2025.11178'!$A$2:$A$38,0))),"not_applicable"),"")</s:f>
        <s:v>not_applicable</s:v>
      </s:c>
      <s:c r="R19" s="16" t="str">
        <s:f>IFERROR(IF(INDEX('C_jama.2025.11178'!$R$2:$R$38,MATCH(C19,'C_jama.2025.11178'!$A$2:$A$38,0))="","",INDEX('C_jama.2025.11178'!$R$2:$R$38,MATCH(C19,'C_jama.2025.11178'!$A$2:$A$38,0))),"")</s:f>
        <s:v>TEST 2025::jama.2025.11178::C002</s:v>
      </s:c>
      <s:c r="S19" s="16" t="str">
        <s:f>IF(Setup!$B$3="","",Setup!$B$3)</s:f>
        <s:v>TEST ONLY</s:v>
      </s:c>
    </s:row>
    <s:row r="20" ht="72" customFormat="1" customHeight="1" s="8">
      <s:c r="A20" s="15" t="n">
        <s:v>2025</s:v>
      </s:c>
      <s:c r="B20" s="15" t="inlineStr">
        <s:is>
          <s:t>jama.2025.11178</s:t>
        </s:is>
      </s:c>
      <s:c r="C20" s="15" t="inlineStr">
        <s:is>
          <s:t>2025::jama.2025.11178::C003</s:t>
        </s:is>
      </s:c>
      <s:c r="D20" s="15" t="inlineStr">
        <s:is>
          <s:t>S_W</s:t>
        </s:is>
      </s:c>
      <s:c r="E20" s="15" t="str">
        <s:f>Setup!$B$4</s:f>
        <s:v>R_A</s:v>
      </s:c>
      <s:c r="F20" s="15" t="str">
        <s:f>IF(Setup!$B$2="","",Setup!$B$2)</s:f>
        <s:v>TEST_REVIEWER</s:v>
      </s:c>
      <s:c r="G20" s="15" t="str">
        <s:f>IFERROR(INDEX('C_jama.2025.11178'!$G$2:$G$38,MATCH(C20,'C_jama.2025.11178'!$A$2:$A$38,0)),"CHECK KEY")</s:f>
        <s:v>PRIMARY READY</s:v>
      </s:c>
      <s:c r="H20" s="15" t="str">
        <s: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s:f>
        <s:v>primary_temporal</s:v>
      </s:c>
      <s:c r="I20" s="15" t="inlineStr">
        <s:is>
          <s:t>retain</s:t>
        </s:is>
      </s:c>
      <s:c r="J20" s="15" t="inlineStr">
        <s:is>
          <s:t>statistical_results</s:t>
        </s:is>
      </s:c>
      <s:c r="K20" s="15" t="str">
        <s:f>IFERROR(IF(INDEX('C_jama.2025.11178'!$D$2:$D$38,MATCH(C20,'C_jama.2025.11178'!$A$2:$A$38,0))="","",INDEX('C_jama.2025.11178'!$D$2:$D$38,MATCH(C20,'C_jama.2025.11178'!$A$2:$A$38,0))),"")</s:f>
        <s:v>retain</s:v>
      </s:c>
      <s:c r="L20" s="15" t="str">
        <s:f>IFERROR(IF(INDEX('C_jama.2025.11178'!$E$2:$E$38,MATCH(C20,'C_jama.2025.11178'!$A$2:$A$38,0))="","",INDEX('C_jama.2025.11178'!$E$2:$E$38,MATCH(C20,'C_jama.2025.11178'!$A$2:$A$38,0))),"")</s:f>
        <s:v>statistical_results</s:v>
      </s:c>
      <s:c r="M20" s="15" t="str">
        <s:f>IFERROR(IF(AND(K20="retain",L20="statistical_results"),IF(INDEX('C_jama.2025.11178'!$H$2:$H$38,MATCH(C20,'C_jama.2025.11178'!$A$2:$A$38,0))="","",INDEX('C_jama.2025.11178'!$H$2:$H$38,MATCH(C20,'C_jama.2025.11178'!$A$2:$A$38,0))),"not_applicable"),"")</s:f>
        <s:v>confirmed_issue</s:v>
      </s:c>
      <s:c r="N20" s="15" t="str">
        <s:f>IFERROR(IF(AND(K20="retain",L20="statistical_results"),IF(INDEX('C_jama.2025.11178'!$I$2:$I$38,MATCH(C20,'C_jama.2025.11178'!$A$2:$A$38,0))="","",INDEX('C_jama.2025.11178'!$I$2:$I$38,MATCH(C20,'C_jama.2025.11178'!$A$2:$A$38,0))),"not_applicable"),"")</s:f>
        <s:v>substantive</s:v>
      </s:c>
      <s:c r="O20" s="15" t="str">
        <s:f>IFERROR(IF(AND(K20="retain",L20="statistical_results"),IF(INDEX('C_jama.2025.11178'!$J$2:$J$38,MATCH(C20,'C_jama.2025.11178'!$A$2:$A$38,0))="","",INDEX('C_jama.2025.11178'!$J$2:$J$38,MATCH(C20,'C_jama.2025.11178'!$A$2:$A$38,0))),"not_applicable"),"")</s:f>
        <s:v/>
      </s:c>
      <s:c r="P20" s="15" t="str">
        <s:f>IFERROR(IF(AND(K20="retain",OR(L20="report_internal_inconsistency",L20="plan_material")),IF(INDEX('C_jama.2025.11178'!$K$2:$K$38,MATCH(C20,'C_jama.2025.11178'!$A$2:$A$38,0))="","",INDEX('C_jama.2025.11178'!$K$2:$K$38,MATCH(C20,'C_jama.2025.11178'!$A$2:$A$38,0))),"not_applicable"),"")</s:f>
        <s:v>not_applicable</s:v>
      </s:c>
      <s:c r="Q20" s="15" t="str">
        <s:f>IFERROR(IF(AND(K20="retain",L20="protocol_report"),IF(INDEX('C_jama.2025.11178'!$L$2:$L$38,MATCH(C20,'C_jama.2025.11178'!$A$2:$A$38,0))="","",INDEX('C_jama.2025.11178'!$L$2:$L$38,MATCH(C20,'C_jama.2025.11178'!$A$2:$A$38,0))),"not_applicable"),"")</s:f>
        <s:v>not_applicable</s:v>
      </s:c>
      <s:c r="R20" s="15" t="str">
        <s:f>IFERROR(IF(INDEX('C_jama.2025.11178'!$R$2:$R$38,MATCH(C20,'C_jama.2025.11178'!$A$2:$A$38,0))="","",INDEX('C_jama.2025.11178'!$R$2:$R$38,MATCH(C20,'C_jama.2025.11178'!$A$2:$A$38,0))),"")</s:f>
        <s:v>TEST 2025::jama.2025.11178::C003</s:v>
      </s:c>
      <s:c r="S20" s="15" t="str">
        <s:f>IF(Setup!$B$3="","",Setup!$B$3)</s:f>
        <s:v>TEST ONLY</s:v>
      </s:c>
    </s:row>
    <s:row r="21" ht="72" customFormat="1" customHeight="1" s="8">
      <s:c r="A21" s="16" t="n">
        <s:v>2025</s:v>
      </s:c>
      <s:c r="B21" s="16" t="inlineStr">
        <s:is>
          <s:t>jama.2025.11178</s:t>
        </s:is>
      </s:c>
      <s:c r="C21" s="16" t="inlineStr">
        <s:is>
          <s:t>2025::jama.2025.11178::C004</s:t>
        </s:is>
      </s:c>
      <s:c r="D21" s="16" t="inlineStr">
        <s:is>
          <s:t>S_W</s:t>
        </s:is>
      </s:c>
      <s:c r="E21" s="16" t="str">
        <s:f>Setup!$B$4</s:f>
        <s:v>R_A</s:v>
      </s:c>
      <s:c r="F21" s="16" t="str">
        <s:f>IF(Setup!$B$2="","",Setup!$B$2)</s:f>
        <s:v>TEST_REVIEWER</s:v>
      </s:c>
      <s:c r="G21" s="16" t="str">
        <s:f>IFERROR(INDEX('C_jama.2025.11178'!$G$2:$G$38,MATCH(C21,'C_jama.2025.11178'!$A$2:$A$38,0)),"CHECK KEY")</s:f>
        <s:v>PRIMARY READY</s:v>
      </s:c>
      <s:c r="H21" s="16" t="str">
        <s: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s:f>
        <s:v>primary_temporal</s:v>
      </s:c>
      <s:c r="I21" s="16" t="inlineStr">
        <s:is>
          <s:t>retain</s:t>
        </s:is>
      </s:c>
      <s:c r="J21" s="16" t="inlineStr">
        <s:is>
          <s:t>statistical_results</s:t>
        </s:is>
      </s:c>
      <s:c r="K21" s="16" t="str">
        <s:f>IFERROR(IF(INDEX('C_jama.2025.11178'!$D$2:$D$38,MATCH(C21,'C_jama.2025.11178'!$A$2:$A$38,0))="","",INDEX('C_jama.2025.11178'!$D$2:$D$38,MATCH(C21,'C_jama.2025.11178'!$A$2:$A$38,0))),"")</s:f>
        <s:v>retain</s:v>
      </s:c>
      <s:c r="L21" s="16" t="str">
        <s:f>IFERROR(IF(INDEX('C_jama.2025.11178'!$E$2:$E$38,MATCH(C21,'C_jama.2025.11178'!$A$2:$A$38,0))="","",INDEX('C_jama.2025.11178'!$E$2:$E$38,MATCH(C21,'C_jama.2025.11178'!$A$2:$A$38,0))),"")</s:f>
        <s:v>statistical_results</s:v>
      </s:c>
      <s:c r="M21" s="16" t="str">
        <s:f>IFERROR(IF(AND(K21="retain",L21="statistical_results"),IF(INDEX('C_jama.2025.11178'!$H$2:$H$38,MATCH(C21,'C_jama.2025.11178'!$A$2:$A$38,0))="","",INDEX('C_jama.2025.11178'!$H$2:$H$38,MATCH(C21,'C_jama.2025.11178'!$A$2:$A$38,0))),"not_applicable"),"")</s:f>
        <s:v>confirmed_issue</s:v>
      </s:c>
      <s:c r="N21" s="16" t="str">
        <s:f>IFERROR(IF(AND(K21="retain",L21="statistical_results"),IF(INDEX('C_jama.2025.11178'!$I$2:$I$38,MATCH(C21,'C_jama.2025.11178'!$A$2:$A$38,0))="","",INDEX('C_jama.2025.11178'!$I$2:$I$38,MATCH(C21,'C_jama.2025.11178'!$A$2:$A$38,0))),"not_applicable"),"")</s:f>
        <s:v>substantive</s:v>
      </s:c>
      <s:c r="O21" s="16" t="str">
        <s:f>IFERROR(IF(AND(K21="retain",L21="statistical_results"),IF(INDEX('C_jama.2025.11178'!$J$2:$J$38,MATCH(C21,'C_jama.2025.11178'!$A$2:$A$38,0))="","",INDEX('C_jama.2025.11178'!$J$2:$J$38,MATCH(C21,'C_jama.2025.11178'!$A$2:$A$38,0))),"not_applicable"),"")</s:f>
        <s:v/>
      </s:c>
      <s:c r="P21" s="16" t="str">
        <s:f>IFERROR(IF(AND(K21="retain",OR(L21="report_internal_inconsistency",L21="plan_material")),IF(INDEX('C_jama.2025.11178'!$K$2:$K$38,MATCH(C21,'C_jama.2025.11178'!$A$2:$A$38,0))="","",INDEX('C_jama.2025.11178'!$K$2:$K$38,MATCH(C21,'C_jama.2025.11178'!$A$2:$A$38,0))),"not_applicable"),"")</s:f>
        <s:v>not_applicable</s:v>
      </s:c>
      <s:c r="Q21" s="16" t="str">
        <s:f>IFERROR(IF(AND(K21="retain",L21="protocol_report"),IF(INDEX('C_jama.2025.11178'!$L$2:$L$38,MATCH(C21,'C_jama.2025.11178'!$A$2:$A$38,0))="","",INDEX('C_jama.2025.11178'!$L$2:$L$38,MATCH(C21,'C_jama.2025.11178'!$A$2:$A$38,0))),"not_applicable"),"")</s:f>
        <s:v>not_applicable</s:v>
      </s:c>
      <s:c r="R21" s="16" t="str">
        <s:f>IFERROR(IF(INDEX('C_jama.2025.11178'!$R$2:$R$38,MATCH(C21,'C_jama.2025.11178'!$A$2:$A$38,0))="","",INDEX('C_jama.2025.11178'!$R$2:$R$38,MATCH(C21,'C_jama.2025.11178'!$A$2:$A$38,0))),"")</s:f>
        <s:v>TEST 2025::jama.2025.11178::C004</s:v>
      </s:c>
      <s:c r="S21" s="16" t="str">
        <s:f>IF(Setup!$B$3="","",Setup!$B$3)</s:f>
        <s:v>TEST ONLY</s:v>
      </s:c>
    </s:row>
    <s:row r="22" ht="72" customFormat="1" customHeight="1" s="8">
      <s:c r="A22" s="15" t="n">
        <s:v>2025</s:v>
      </s:c>
      <s:c r="B22" s="15" t="inlineStr">
        <s:is>
          <s:t>jama.2025.11178</s:t>
        </s:is>
      </s:c>
      <s:c r="C22" s="15" t="inlineStr">
        <s:is>
          <s:t>2025::jama.2025.11178::C005</s:t>
        </s:is>
      </s:c>
      <s:c r="D22" s="15" t="inlineStr">
        <s:is>
          <s:t>S_W</s:t>
        </s:is>
      </s:c>
      <s:c r="E22" s="15" t="str">
        <s:f>Setup!$B$4</s:f>
        <s:v>R_A</s:v>
      </s:c>
      <s:c r="F22" s="15" t="str">
        <s:f>IF(Setup!$B$2="","",Setup!$B$2)</s:f>
        <s:v>TEST_REVIEWER</s:v>
      </s:c>
      <s:c r="G22" s="15" t="str">
        <s:f>IFERROR(INDEX('C_jama.2025.11178'!$G$2:$G$38,MATCH(C22,'C_jama.2025.11178'!$A$2:$A$38,0)),"CHECK KEY")</s:f>
        <s:v>PRIMARY READY</s:v>
      </s:c>
      <s:c r="H22" s="15" t="str">
        <s: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s:f>
        <s:v>primary_temporal</s:v>
      </s:c>
      <s:c r="I22" s="15" t="inlineStr">
        <s:is>
          <s:t>retain</s:t>
        </s:is>
      </s:c>
      <s:c r="J22" s="15" t="inlineStr">
        <s:is>
          <s:t>statistical_results</s:t>
        </s:is>
      </s:c>
      <s:c r="K22" s="15" t="str">
        <s:f>IFERROR(IF(INDEX('C_jama.2025.11178'!$D$2:$D$38,MATCH(C22,'C_jama.2025.11178'!$A$2:$A$38,0))="","",INDEX('C_jama.2025.11178'!$D$2:$D$38,MATCH(C22,'C_jama.2025.11178'!$A$2:$A$38,0))),"")</s:f>
        <s:v>retain</s:v>
      </s:c>
      <s:c r="L22" s="15" t="str">
        <s:f>IFERROR(IF(INDEX('C_jama.2025.11178'!$E$2:$E$38,MATCH(C22,'C_jama.2025.11178'!$A$2:$A$38,0))="","",INDEX('C_jama.2025.11178'!$E$2:$E$38,MATCH(C22,'C_jama.2025.11178'!$A$2:$A$38,0))),"")</s:f>
        <s:v>statistical_results</s:v>
      </s:c>
      <s:c r="M22" s="15" t="str">
        <s:f>IFERROR(IF(AND(K22="retain",L22="statistical_results"),IF(INDEX('C_jama.2025.11178'!$H$2:$H$38,MATCH(C22,'C_jama.2025.11178'!$A$2:$A$38,0))="","",INDEX('C_jama.2025.11178'!$H$2:$H$38,MATCH(C22,'C_jama.2025.11178'!$A$2:$A$38,0))),"not_applicable"),"")</s:f>
        <s:v>confirmed_issue</s:v>
      </s:c>
      <s:c r="N22" s="15" t="str">
        <s:f>IFERROR(IF(AND(K22="retain",L22="statistical_results"),IF(INDEX('C_jama.2025.11178'!$I$2:$I$38,MATCH(C22,'C_jama.2025.11178'!$A$2:$A$38,0))="","",INDEX('C_jama.2025.11178'!$I$2:$I$38,MATCH(C22,'C_jama.2025.11178'!$A$2:$A$38,0))),"not_applicable"),"")</s:f>
        <s:v>substantive</s:v>
      </s:c>
      <s:c r="O22" s="15" t="str">
        <s:f>IFERROR(IF(AND(K22="retain",L22="statistical_results"),IF(INDEX('C_jama.2025.11178'!$J$2:$J$38,MATCH(C22,'C_jama.2025.11178'!$A$2:$A$38,0))="","",INDEX('C_jama.2025.11178'!$J$2:$J$38,MATCH(C22,'C_jama.2025.11178'!$A$2:$A$38,0))),"not_applicable"),"")</s:f>
        <s:v/>
      </s:c>
      <s:c r="P22" s="15" t="str">
        <s:f>IFERROR(IF(AND(K22="retain",OR(L22="report_internal_inconsistency",L22="plan_material")),IF(INDEX('C_jama.2025.11178'!$K$2:$K$38,MATCH(C22,'C_jama.2025.11178'!$A$2:$A$38,0))="","",INDEX('C_jama.2025.11178'!$K$2:$K$38,MATCH(C22,'C_jama.2025.11178'!$A$2:$A$38,0))),"not_applicable"),"")</s:f>
        <s:v>not_applicable</s:v>
      </s:c>
      <s:c r="Q22" s="15" t="str">
        <s:f>IFERROR(IF(AND(K22="retain",L22="protocol_report"),IF(INDEX('C_jama.2025.11178'!$L$2:$L$38,MATCH(C22,'C_jama.2025.11178'!$A$2:$A$38,0))="","",INDEX('C_jama.2025.11178'!$L$2:$L$38,MATCH(C22,'C_jama.2025.11178'!$A$2:$A$38,0))),"not_applicable"),"")</s:f>
        <s:v>not_applicable</s:v>
      </s:c>
      <s:c r="R22" s="15" t="str">
        <s:f>IFERROR(IF(INDEX('C_jama.2025.11178'!$R$2:$R$38,MATCH(C22,'C_jama.2025.11178'!$A$2:$A$38,0))="","",INDEX('C_jama.2025.11178'!$R$2:$R$38,MATCH(C22,'C_jama.2025.11178'!$A$2:$A$38,0))),"")</s:f>
        <s:v>TEST 2025::jama.2025.11178::C005</s:v>
      </s:c>
      <s:c r="S22" s="15" t="str">
        <s:f>IF(Setup!$B$3="","",Setup!$B$3)</s:f>
        <s:v>TEST ONLY</s:v>
      </s:c>
    </s:row>
    <s:row r="23" ht="72" customFormat="1" customHeight="1" s="8">
      <s:c r="A23" s="16" t="n">
        <s:v>2025</s:v>
      </s:c>
      <s:c r="B23" s="16" t="inlineStr">
        <s:is>
          <s:t>jama.2025.11178</s:t>
        </s:is>
      </s:c>
      <s:c r="C23" s="16" t="inlineStr">
        <s:is>
          <s:t>2025::jama.2025.11178::C006</s:t>
        </s:is>
      </s:c>
      <s:c r="D23" s="16" t="inlineStr">
        <s:is>
          <s:t>S_W</s:t>
        </s:is>
      </s:c>
      <s:c r="E23" s="16" t="str">
        <s:f>Setup!$B$4</s:f>
        <s:v>R_A</s:v>
      </s:c>
      <s:c r="F23" s="16" t="str">
        <s:f>IF(Setup!$B$2="","",Setup!$B$2)</s:f>
        <s:v>TEST_REVIEWER</s:v>
      </s:c>
      <s:c r="G23" s="16" t="str">
        <s:f>IFERROR(INDEX('C_jama.2025.11178'!$G$2:$G$38,MATCH(C23,'C_jama.2025.11178'!$A$2:$A$38,0)),"CHECK KEY")</s:f>
        <s:v>PRIMARY READY</s:v>
      </s:c>
      <s:c r="H23" s="16" t="str">
        <s: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s:f>
        <s:v>secondary_temporal</s:v>
      </s:c>
      <s:c r="I23" s="16" t="inlineStr">
        <s:is>
          <s:t>retain</s:t>
        </s:is>
      </s:c>
      <s:c r="J23" s="16" t="inlineStr">
        <s:is>
          <s:t>report_internal_inconsistency</s:t>
        </s:is>
      </s:c>
      <s:c r="K23" s="16" t="str">
        <s:f>IFERROR(IF(INDEX('C_jama.2025.11178'!$D$2:$D$38,MATCH(C23,'C_jama.2025.11178'!$A$2:$A$38,0))="","",INDEX('C_jama.2025.11178'!$D$2:$D$38,MATCH(C23,'C_jama.2025.11178'!$A$2:$A$38,0))),"")</s:f>
        <s:v>retain</s:v>
      </s:c>
      <s:c r="L23" s="16" t="str">
        <s:f>IFERROR(IF(INDEX('C_jama.2025.11178'!$E$2:$E$38,MATCH(C23,'C_jama.2025.11178'!$A$2:$A$38,0))="","",INDEX('C_jama.2025.11178'!$E$2:$E$38,MATCH(C23,'C_jama.2025.11178'!$A$2:$A$38,0))),"")</s:f>
        <s:v>report_internal_inconsistency</s:v>
      </s:c>
      <s:c r="M23" s="16" t="str">
        <s:f>IFERROR(IF(AND(K23="retain",L23="statistical_results"),IF(INDEX('C_jama.2025.11178'!$H$2:$H$38,MATCH(C23,'C_jama.2025.11178'!$A$2:$A$38,0))="","",INDEX('C_jama.2025.11178'!$H$2:$H$38,MATCH(C23,'C_jama.2025.11178'!$A$2:$A$38,0))),"not_applicable"),"")</s:f>
        <s:v>not_applicable</s:v>
      </s:c>
      <s:c r="N23" s="16" t="str">
        <s:f>IFERROR(IF(AND(K23="retain",L23="statistical_results"),IF(INDEX('C_jama.2025.11178'!$I$2:$I$38,MATCH(C23,'C_jama.2025.11178'!$A$2:$A$38,0))="","",INDEX('C_jama.2025.11178'!$I$2:$I$38,MATCH(C23,'C_jama.2025.11178'!$A$2:$A$38,0))),"not_applicable"),"")</s:f>
        <s:v>not_applicable</s:v>
      </s:c>
      <s:c r="O23" s="16" t="str">
        <s:f>IFERROR(IF(AND(K23="retain",L23="statistical_results"),IF(INDEX('C_jama.2025.11178'!$J$2:$J$38,MATCH(C23,'C_jama.2025.11178'!$A$2:$A$38,0))="","",INDEX('C_jama.2025.11178'!$J$2:$J$38,MATCH(C23,'C_jama.2025.11178'!$A$2:$A$38,0))),"not_applicable"),"")</s:f>
        <s:v>not_applicable</s:v>
      </s:c>
      <s:c r="P23" s="16" t="str">
        <s:f>IFERROR(IF(AND(K23="retain",OR(L23="report_internal_inconsistency",L23="plan_material")),IF(INDEX('C_jama.2025.11178'!$K$2:$K$38,MATCH(C23,'C_jama.2025.11178'!$A$2:$A$38,0))="","",INDEX('C_jama.2025.11178'!$K$2:$K$38,MATCH(C23,'C_jama.2025.11178'!$A$2:$A$38,0))),"not_applicable"),"")</s:f>
        <s:v>substantive_inconsistency</s:v>
      </s:c>
      <s:c r="Q23" s="16" t="str">
        <s:f>IFERROR(IF(AND(K23="retain",L23="protocol_report"),IF(INDEX('C_jama.2025.11178'!$L$2:$L$38,MATCH(C23,'C_jama.2025.11178'!$A$2:$A$38,0))="","",INDEX('C_jama.2025.11178'!$L$2:$L$38,MATCH(C23,'C_jama.2025.11178'!$A$2:$A$38,0))),"not_applicable"),"")</s:f>
        <s:v>not_applicable</s:v>
      </s:c>
      <s:c r="R23" s="16" t="str">
        <s:f>IFERROR(IF(INDEX('C_jama.2025.11178'!$R$2:$R$38,MATCH(C23,'C_jama.2025.11178'!$A$2:$A$38,0))="","",INDEX('C_jama.2025.11178'!$R$2:$R$38,MATCH(C23,'C_jama.2025.11178'!$A$2:$A$38,0))),"")</s:f>
        <s:v>TEST 2025::jama.2025.11178::C006</s:v>
      </s:c>
      <s:c r="S23" s="16" t="str">
        <s:f>IF(Setup!$B$3="","",Setup!$B$3)</s:f>
        <s:v>TEST ONLY</s:v>
      </s:c>
    </s:row>
    <s:row r="24" ht="72" customFormat="1" customHeight="1" s="8">
      <s:c r="A24" s="15" t="n">
        <s:v>2025</s:v>
      </s:c>
      <s:c r="B24" s="15" t="inlineStr">
        <s:is>
          <s:t>jama.2025.11178</s:t>
        </s:is>
      </s:c>
      <s:c r="C24" s="15" t="inlineStr">
        <s:is>
          <s:t>2025::jama.2025.11178::C007</s:t>
        </s:is>
      </s:c>
      <s:c r="D24" s="15" t="inlineStr">
        <s:is>
          <s:t>S_W</s:t>
        </s:is>
      </s:c>
      <s:c r="E24" s="15" t="str">
        <s:f>Setup!$B$4</s:f>
        <s:v>R_A</s:v>
      </s:c>
      <s:c r="F24" s="15" t="str">
        <s:f>IF(Setup!$B$2="","",Setup!$B$2)</s:f>
        <s:v>TEST_REVIEWER</s:v>
      </s:c>
      <s:c r="G24" s="15" t="str">
        <s:f>IFERROR(INDEX('C_jama.2025.11178'!$G$2:$G$38,MATCH(C24,'C_jama.2025.11178'!$A$2:$A$38,0)),"CHECK KEY")</s:f>
        <s:v>PRIMARY READY</s:v>
      </s:c>
      <s:c r="H24" s="15" t="str">
        <s: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s:f>
        <s:v>secondary_temporal</s:v>
      </s:c>
      <s:c r="I24" s="15" t="inlineStr">
        <s:is>
          <s:t>retain</s:t>
        </s:is>
      </s:c>
      <s:c r="J24" s="15" t="inlineStr">
        <s:is>
          <s:t>report_internal_inconsistency</s:t>
        </s:is>
      </s:c>
      <s:c r="K24" s="15" t="str">
        <s:f>IFERROR(IF(INDEX('C_jama.2025.11178'!$D$2:$D$38,MATCH(C24,'C_jama.2025.11178'!$A$2:$A$38,0))="","",INDEX('C_jama.2025.11178'!$D$2:$D$38,MATCH(C24,'C_jama.2025.11178'!$A$2:$A$38,0))),"")</s:f>
        <s:v>retain</s:v>
      </s:c>
      <s:c r="L24" s="15" t="str">
        <s:f>IFERROR(IF(INDEX('C_jama.2025.11178'!$E$2:$E$38,MATCH(C24,'C_jama.2025.11178'!$A$2:$A$38,0))="","",INDEX('C_jama.2025.11178'!$E$2:$E$38,MATCH(C24,'C_jama.2025.11178'!$A$2:$A$38,0))),"")</s:f>
        <s:v>report_internal_inconsistency</s:v>
      </s:c>
      <s:c r="M24" s="15" t="str">
        <s:f>IFERROR(IF(AND(K24="retain",L24="statistical_results"),IF(INDEX('C_jama.2025.11178'!$H$2:$H$38,MATCH(C24,'C_jama.2025.11178'!$A$2:$A$38,0))="","",INDEX('C_jama.2025.11178'!$H$2:$H$38,MATCH(C24,'C_jama.2025.11178'!$A$2:$A$38,0))),"not_applicable"),"")</s:f>
        <s:v>not_applicable</s:v>
      </s:c>
      <s:c r="N24" s="15" t="str">
        <s:f>IFERROR(IF(AND(K24="retain",L24="statistical_results"),IF(INDEX('C_jama.2025.11178'!$I$2:$I$38,MATCH(C24,'C_jama.2025.11178'!$A$2:$A$38,0))="","",INDEX('C_jama.2025.11178'!$I$2:$I$38,MATCH(C24,'C_jama.2025.11178'!$A$2:$A$38,0))),"not_applicable"),"")</s:f>
        <s:v>not_applicable</s:v>
      </s:c>
      <s:c r="O24" s="15" t="str">
        <s:f>IFERROR(IF(AND(K24="retain",L24="statistical_results"),IF(INDEX('C_jama.2025.11178'!$J$2:$J$38,MATCH(C24,'C_jama.2025.11178'!$A$2:$A$38,0))="","",INDEX('C_jama.2025.11178'!$J$2:$J$38,MATCH(C24,'C_jama.2025.11178'!$A$2:$A$38,0))),"not_applicable"),"")</s:f>
        <s:v>not_applicable</s:v>
      </s:c>
      <s:c r="P24" s="15" t="str">
        <s:f>IFERROR(IF(AND(K24="retain",OR(L24="report_internal_inconsistency",L24="plan_material")),IF(INDEX('C_jama.2025.11178'!$K$2:$K$38,MATCH(C24,'C_jama.2025.11178'!$A$2:$A$38,0))="","",INDEX('C_jama.2025.11178'!$K$2:$K$38,MATCH(C24,'C_jama.2025.11178'!$A$2:$A$38,0))),"not_applicable"),"")</s:f>
        <s:v>substantive_inconsistency</s:v>
      </s:c>
      <s:c r="Q24" s="15" t="str">
        <s:f>IFERROR(IF(AND(K24="retain",L24="protocol_report"),IF(INDEX('C_jama.2025.11178'!$L$2:$L$38,MATCH(C24,'C_jama.2025.11178'!$A$2:$A$38,0))="","",INDEX('C_jama.2025.11178'!$L$2:$L$38,MATCH(C24,'C_jama.2025.11178'!$A$2:$A$38,0))),"not_applicable"),"")</s:f>
        <s:v>not_applicable</s:v>
      </s:c>
      <s:c r="R24" s="15" t="str">
        <s:f>IFERROR(IF(INDEX('C_jama.2025.11178'!$R$2:$R$38,MATCH(C24,'C_jama.2025.11178'!$A$2:$A$38,0))="","",INDEX('C_jama.2025.11178'!$R$2:$R$38,MATCH(C24,'C_jama.2025.11178'!$A$2:$A$38,0))),"")</s:f>
        <s:v>TEST 2025::jama.2025.11178::C007</s:v>
      </s:c>
      <s:c r="S24" s="15" t="str">
        <s:f>IF(Setup!$B$3="","",Setup!$B$3)</s:f>
        <s:v>TEST ONLY</s:v>
      </s:c>
    </s:row>
    <s:row r="25" ht="72" customFormat="1" customHeight="1" s="8">
      <s:c r="A25" s="16" t="n">
        <s:v>2025</s:v>
      </s:c>
      <s:c r="B25" s="16" t="inlineStr">
        <s:is>
          <s:t>jama.2025.11178</s:t>
        </s:is>
      </s:c>
      <s:c r="C25" s="16" t="inlineStr">
        <s:is>
          <s:t>2025::jama.2025.11178::C008</s:t>
        </s:is>
      </s:c>
      <s:c r="D25" s="16" t="inlineStr">
        <s:is>
          <s:t>S_W</s:t>
        </s:is>
      </s:c>
      <s:c r="E25" s="16" t="str">
        <s:f>Setup!$B$4</s:f>
        <s:v>R_A</s:v>
      </s:c>
      <s:c r="F25" s="16" t="str">
        <s:f>IF(Setup!$B$2="","",Setup!$B$2)</s:f>
        <s:v>TEST_REVIEWER</s:v>
      </s:c>
      <s:c r="G25" s="16" t="str">
        <s:f>IFERROR(INDEX('C_jama.2025.11178'!$G$2:$G$38,MATCH(C25,'C_jama.2025.11178'!$A$2:$A$38,0)),"CHECK KEY")</s:f>
        <s:v>PRIMARY READY</s:v>
      </s:c>
      <s:c r="H25" s="16" t="str">
        <s: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s:f>
        <s:v>primary_temporal</s:v>
      </s:c>
      <s:c r="I25" s="16" t="inlineStr">
        <s:is>
          <s:t>retain</s:t>
        </s:is>
      </s:c>
      <s:c r="J25" s="16" t="inlineStr">
        <s:is>
          <s:t>statistical_results</s:t>
        </s:is>
      </s:c>
      <s:c r="K25" s="16" t="str">
        <s:f>IFERROR(IF(INDEX('C_jama.2025.11178'!$D$2:$D$38,MATCH(C25,'C_jama.2025.11178'!$A$2:$A$38,0))="","",INDEX('C_jama.2025.11178'!$D$2:$D$38,MATCH(C25,'C_jama.2025.11178'!$A$2:$A$38,0))),"")</s:f>
        <s:v>retain</s:v>
      </s:c>
      <s:c r="L25" s="16" t="str">
        <s:f>IFERROR(IF(INDEX('C_jama.2025.11178'!$E$2:$E$38,MATCH(C25,'C_jama.2025.11178'!$A$2:$A$38,0))="","",INDEX('C_jama.2025.11178'!$E$2:$E$38,MATCH(C25,'C_jama.2025.11178'!$A$2:$A$38,0))),"")</s:f>
        <s:v>statistical_results</s:v>
      </s:c>
      <s:c r="M25" s="16" t="str">
        <s:f>IFERROR(IF(AND(K25="retain",L25="statistical_results"),IF(INDEX('C_jama.2025.11178'!$H$2:$H$38,MATCH(C25,'C_jama.2025.11178'!$A$2:$A$38,0))="","",INDEX('C_jama.2025.11178'!$H$2:$H$38,MATCH(C25,'C_jama.2025.11178'!$A$2:$A$38,0))),"not_applicable"),"")</s:f>
        <s:v>confirmed_issue</s:v>
      </s:c>
      <s:c r="N25" s="16" t="str">
        <s:f>IFERROR(IF(AND(K25="retain",L25="statistical_results"),IF(INDEX('C_jama.2025.11178'!$I$2:$I$38,MATCH(C25,'C_jama.2025.11178'!$A$2:$A$38,0))="","",INDEX('C_jama.2025.11178'!$I$2:$I$38,MATCH(C25,'C_jama.2025.11178'!$A$2:$A$38,0))),"not_applicable"),"")</s:f>
        <s:v>substantive</s:v>
      </s:c>
      <s:c r="O25" s="16" t="str">
        <s:f>IFERROR(IF(AND(K25="retain",L25="statistical_results"),IF(INDEX('C_jama.2025.11178'!$J$2:$J$38,MATCH(C25,'C_jama.2025.11178'!$A$2:$A$38,0))="","",INDEX('C_jama.2025.11178'!$J$2:$J$38,MATCH(C25,'C_jama.2025.11178'!$A$2:$A$38,0))),"not_applicable"),"")</s:f>
        <s:v/>
      </s:c>
      <s:c r="P25" s="16" t="str">
        <s:f>IFERROR(IF(AND(K25="retain",OR(L25="report_internal_inconsistency",L25="plan_material")),IF(INDEX('C_jama.2025.11178'!$K$2:$K$38,MATCH(C25,'C_jama.2025.11178'!$A$2:$A$38,0))="","",INDEX('C_jama.2025.11178'!$K$2:$K$38,MATCH(C25,'C_jama.2025.11178'!$A$2:$A$38,0))),"not_applicable"),"")</s:f>
        <s:v>not_applicable</s:v>
      </s:c>
      <s:c r="Q25" s="16" t="str">
        <s:f>IFERROR(IF(AND(K25="retain",L25="protocol_report"),IF(INDEX('C_jama.2025.11178'!$L$2:$L$38,MATCH(C25,'C_jama.2025.11178'!$A$2:$A$38,0))="","",INDEX('C_jama.2025.11178'!$L$2:$L$38,MATCH(C25,'C_jama.2025.11178'!$A$2:$A$38,0))),"not_applicable"),"")</s:f>
        <s:v>not_applicable</s:v>
      </s:c>
      <s:c r="R25" s="16" t="str">
        <s:f>IFERROR(IF(INDEX('C_jama.2025.11178'!$R$2:$R$38,MATCH(C25,'C_jama.2025.11178'!$A$2:$A$38,0))="","",INDEX('C_jama.2025.11178'!$R$2:$R$38,MATCH(C25,'C_jama.2025.11178'!$A$2:$A$38,0))),"")</s:f>
        <s:v>TEST 2025::jama.2025.11178::C008</s:v>
      </s:c>
      <s:c r="S25" s="16" t="str">
        <s:f>IF(Setup!$B$3="","",Setup!$B$3)</s:f>
        <s:v>TEST ONLY</s:v>
      </s:c>
    </s:row>
    <s:row r="26" ht="72" customFormat="1" customHeight="1" s="8">
      <s:c r="A26" s="15" t="n">
        <s:v>2025</s:v>
      </s:c>
      <s:c r="B26" s="15" t="inlineStr">
        <s:is>
          <s:t>jama.2025.11178</s:t>
        </s:is>
      </s:c>
      <s:c r="C26" s="15" t="inlineStr">
        <s:is>
          <s:t>2025::jama.2025.11178::C009</s:t>
        </s:is>
      </s:c>
      <s:c r="D26" s="15" t="inlineStr">
        <s:is>
          <s:t>S_W</s:t>
        </s:is>
      </s:c>
      <s:c r="E26" s="15" t="str">
        <s:f>Setup!$B$4</s:f>
        <s:v>R_A</s:v>
      </s:c>
      <s:c r="F26" s="15" t="str">
        <s:f>IF(Setup!$B$2="","",Setup!$B$2)</s:f>
        <s:v>TEST_REVIEWER</s:v>
      </s:c>
      <s:c r="G26" s="15" t="str">
        <s:f>IFERROR(INDEX('C_jama.2025.11178'!$G$2:$G$38,MATCH(C26,'C_jama.2025.11178'!$A$2:$A$38,0)),"CHECK KEY")</s:f>
        <s:v>PRIMARY READY</s:v>
      </s:c>
      <s:c r="H26" s="15" t="str">
        <s: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s:f>
        <s:v>primary_temporal</s:v>
      </s:c>
      <s:c r="I26" s="15" t="inlineStr">
        <s:is>
          <s:t>retain</s:t>
        </s:is>
      </s:c>
      <s:c r="J26" s="15" t="inlineStr">
        <s:is>
          <s:t>statistical_results</s:t>
        </s:is>
      </s:c>
      <s:c r="K26" s="15" t="str">
        <s:f>IFERROR(IF(INDEX('C_jama.2025.11178'!$D$2:$D$38,MATCH(C26,'C_jama.2025.11178'!$A$2:$A$38,0))="","",INDEX('C_jama.2025.11178'!$D$2:$D$38,MATCH(C26,'C_jama.2025.11178'!$A$2:$A$38,0))),"")</s:f>
        <s:v>retain</s:v>
      </s:c>
      <s:c r="L26" s="15" t="str">
        <s:f>IFERROR(IF(INDEX('C_jama.2025.11178'!$E$2:$E$38,MATCH(C26,'C_jama.2025.11178'!$A$2:$A$38,0))="","",INDEX('C_jama.2025.11178'!$E$2:$E$38,MATCH(C26,'C_jama.2025.11178'!$A$2:$A$38,0))),"")</s:f>
        <s:v>statistical_results</s:v>
      </s:c>
      <s:c r="M26" s="15" t="str">
        <s:f>IFERROR(IF(AND(K26="retain",L26="statistical_results"),IF(INDEX('C_jama.2025.11178'!$H$2:$H$38,MATCH(C26,'C_jama.2025.11178'!$A$2:$A$38,0))="","",INDEX('C_jama.2025.11178'!$H$2:$H$38,MATCH(C26,'C_jama.2025.11178'!$A$2:$A$38,0))),"not_applicable"),"")</s:f>
        <s:v>confirmed_issue</s:v>
      </s:c>
      <s:c r="N26" s="15" t="str">
        <s:f>IFERROR(IF(AND(K26="retain",L26="statistical_results"),IF(INDEX('C_jama.2025.11178'!$I$2:$I$38,MATCH(C26,'C_jama.2025.11178'!$A$2:$A$38,0))="","",INDEX('C_jama.2025.11178'!$I$2:$I$38,MATCH(C26,'C_jama.2025.11178'!$A$2:$A$38,0))),"not_applicable"),"")</s:f>
        <s:v>substantive</s:v>
      </s:c>
      <s:c r="O26" s="15" t="str">
        <s:f>IFERROR(IF(AND(K26="retain",L26="statistical_results"),IF(INDEX('C_jama.2025.11178'!$J$2:$J$38,MATCH(C26,'C_jama.2025.11178'!$A$2:$A$38,0))="","",INDEX('C_jama.2025.11178'!$J$2:$J$38,MATCH(C26,'C_jama.2025.11178'!$A$2:$A$38,0))),"not_applicable"),"")</s:f>
        <s:v/>
      </s:c>
      <s:c r="P26" s="15" t="str">
        <s:f>IFERROR(IF(AND(K26="retain",OR(L26="report_internal_inconsistency",L26="plan_material")),IF(INDEX('C_jama.2025.11178'!$K$2:$K$38,MATCH(C26,'C_jama.2025.11178'!$A$2:$A$38,0))="","",INDEX('C_jama.2025.11178'!$K$2:$K$38,MATCH(C26,'C_jama.2025.11178'!$A$2:$A$38,0))),"not_applicable"),"")</s:f>
        <s:v>not_applicable</s:v>
      </s:c>
      <s:c r="Q26" s="15" t="str">
        <s:f>IFERROR(IF(AND(K26="retain",L26="protocol_report"),IF(INDEX('C_jama.2025.11178'!$L$2:$L$38,MATCH(C26,'C_jama.2025.11178'!$A$2:$A$38,0))="","",INDEX('C_jama.2025.11178'!$L$2:$L$38,MATCH(C26,'C_jama.2025.11178'!$A$2:$A$38,0))),"not_applicable"),"")</s:f>
        <s:v>not_applicable</s:v>
      </s:c>
      <s:c r="R26" s="15" t="str">
        <s:f>IFERROR(IF(INDEX('C_jama.2025.11178'!$R$2:$R$38,MATCH(C26,'C_jama.2025.11178'!$A$2:$A$38,0))="","",INDEX('C_jama.2025.11178'!$R$2:$R$38,MATCH(C26,'C_jama.2025.11178'!$A$2:$A$38,0))),"")</s:f>
        <s:v>TEST 2025::jama.2025.11178::C009</s:v>
      </s:c>
      <s:c r="S26" s="15" t="str">
        <s:f>IF(Setup!$B$3="","",Setup!$B$3)</s:f>
        <s:v>TEST ONLY</s:v>
      </s:c>
    </s:row>
    <s:row r="27" ht="72" customFormat="1" customHeight="1" s="8">
      <s:c r="A27" s="16" t="n">
        <s:v>2025</s:v>
      </s:c>
      <s:c r="B27" s="16" t="inlineStr">
        <s:is>
          <s:t>jama.2025.11178</s:t>
        </s:is>
      </s:c>
      <s:c r="C27" s="16" t="inlineStr">
        <s:is>
          <s:t>2025::jama.2025.11178::C010</s:t>
        </s:is>
      </s:c>
      <s:c r="D27" s="16" t="inlineStr">
        <s:is>
          <s:t>S_W</s:t>
        </s:is>
      </s:c>
      <s:c r="E27" s="16" t="str">
        <s:f>Setup!$B$4</s:f>
        <s:v>R_A</s:v>
      </s:c>
      <s:c r="F27" s="16" t="str">
        <s:f>IF(Setup!$B$2="","",Setup!$B$2)</s:f>
        <s:v>TEST_REVIEWER</s:v>
      </s:c>
      <s:c r="G27" s="16" t="str">
        <s:f>IFERROR(INDEX('C_jama.2025.11178'!$G$2:$G$38,MATCH(C27,'C_jama.2025.11178'!$A$2:$A$38,0)),"CHECK KEY")</s:f>
        <s:v>PRIMARY READY</s:v>
      </s:c>
      <s:c r="H27" s="16" t="str">
        <s: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s:f>
        <s:v>primary_temporal</s:v>
      </s:c>
      <s:c r="I27" s="16" t="inlineStr">
        <s:is>
          <s:t>retain</s:t>
        </s:is>
      </s:c>
      <s:c r="J27" s="16" t="inlineStr">
        <s:is>
          <s:t>statistical_results</s:t>
        </s:is>
      </s:c>
      <s:c r="K27" s="16" t="str">
        <s:f>IFERROR(IF(INDEX('C_jama.2025.11178'!$D$2:$D$38,MATCH(C27,'C_jama.2025.11178'!$A$2:$A$38,0))="","",INDEX('C_jama.2025.11178'!$D$2:$D$38,MATCH(C27,'C_jama.2025.11178'!$A$2:$A$38,0))),"")</s:f>
        <s:v>retain</s:v>
      </s:c>
      <s:c r="L27" s="16" t="str">
        <s:f>IFERROR(IF(INDEX('C_jama.2025.11178'!$E$2:$E$38,MATCH(C27,'C_jama.2025.11178'!$A$2:$A$38,0))="","",INDEX('C_jama.2025.11178'!$E$2:$E$38,MATCH(C27,'C_jama.2025.11178'!$A$2:$A$38,0))),"")</s:f>
        <s:v>statistical_results</s:v>
      </s:c>
      <s:c r="M27" s="16" t="str">
        <s:f>IFERROR(IF(AND(K27="retain",L27="statistical_results"),IF(INDEX('C_jama.2025.11178'!$H$2:$H$38,MATCH(C27,'C_jama.2025.11178'!$A$2:$A$38,0))="","",INDEX('C_jama.2025.11178'!$H$2:$H$38,MATCH(C27,'C_jama.2025.11178'!$A$2:$A$38,0))),"not_applicable"),"")</s:f>
        <s:v>confirmed_issue</s:v>
      </s:c>
      <s:c r="N27" s="16" t="str">
        <s:f>IFERROR(IF(AND(K27="retain",L27="statistical_results"),IF(INDEX('C_jama.2025.11178'!$I$2:$I$38,MATCH(C27,'C_jama.2025.11178'!$A$2:$A$38,0))="","",INDEX('C_jama.2025.11178'!$I$2:$I$38,MATCH(C27,'C_jama.2025.11178'!$A$2:$A$38,0))),"not_applicable"),"")</s:f>
        <s:v>substantive</s:v>
      </s:c>
      <s:c r="O27" s="16" t="str">
        <s:f>IFERROR(IF(AND(K27="retain",L27="statistical_results"),IF(INDEX('C_jama.2025.11178'!$J$2:$J$38,MATCH(C27,'C_jama.2025.11178'!$A$2:$A$38,0))="","",INDEX('C_jama.2025.11178'!$J$2:$J$38,MATCH(C27,'C_jama.2025.11178'!$A$2:$A$38,0))),"not_applicable"),"")</s:f>
        <s:v/>
      </s:c>
      <s:c r="P27" s="16" t="str">
        <s:f>IFERROR(IF(AND(K27="retain",OR(L27="report_internal_inconsistency",L27="plan_material")),IF(INDEX('C_jama.2025.11178'!$K$2:$K$38,MATCH(C27,'C_jama.2025.11178'!$A$2:$A$38,0))="","",INDEX('C_jama.2025.11178'!$K$2:$K$38,MATCH(C27,'C_jama.2025.11178'!$A$2:$A$38,0))),"not_applicable"),"")</s:f>
        <s:v>not_applicable</s:v>
      </s:c>
      <s:c r="Q27" s="16" t="str">
        <s:f>IFERROR(IF(AND(K27="retain",L27="protocol_report"),IF(INDEX('C_jama.2025.11178'!$L$2:$L$38,MATCH(C27,'C_jama.2025.11178'!$A$2:$A$38,0))="","",INDEX('C_jama.2025.11178'!$L$2:$L$38,MATCH(C27,'C_jama.2025.11178'!$A$2:$A$38,0))),"not_applicable"),"")</s:f>
        <s:v>not_applicable</s:v>
      </s:c>
      <s:c r="R27" s="16" t="str">
        <s:f>IFERROR(IF(INDEX('C_jama.2025.11178'!$R$2:$R$38,MATCH(C27,'C_jama.2025.11178'!$A$2:$A$38,0))="","",INDEX('C_jama.2025.11178'!$R$2:$R$38,MATCH(C27,'C_jama.2025.11178'!$A$2:$A$38,0))),"")</s:f>
        <s:v>TEST 2025::jama.2025.11178::C010</s:v>
      </s:c>
      <s:c r="S27" s="16" t="str">
        <s:f>IF(Setup!$B$3="","",Setup!$B$3)</s:f>
        <s:v>TEST ONLY</s:v>
      </s:c>
    </s:row>
    <s:row r="28" ht="72" customFormat="1" customHeight="1" s="8">
      <s:c r="A28" s="15" t="n">
        <s:v>2025</s:v>
      </s:c>
      <s:c r="B28" s="15" t="inlineStr">
        <s:is>
          <s:t>jama.2025.11178</s:t>
        </s:is>
      </s:c>
      <s:c r="C28" s="15" t="inlineStr">
        <s:is>
          <s:t>2025::jama.2025.11178::C011</s:t>
        </s:is>
      </s:c>
      <s:c r="D28" s="15" t="inlineStr">
        <s:is>
          <s:t>S_W</s:t>
        </s:is>
      </s:c>
      <s:c r="E28" s="15" t="str">
        <s:f>Setup!$B$4</s:f>
        <s:v>R_A</s:v>
      </s:c>
      <s:c r="F28" s="15" t="str">
        <s:f>IF(Setup!$B$2="","",Setup!$B$2)</s:f>
        <s:v>TEST_REVIEWER</s:v>
      </s:c>
      <s:c r="G28" s="15" t="str">
        <s:f>IFERROR(INDEX('C_jama.2025.11178'!$G$2:$G$38,MATCH(C28,'C_jama.2025.11178'!$A$2:$A$38,0)),"CHECK KEY")</s:f>
        <s:v>PRIMARY READY</s:v>
      </s:c>
      <s:c r="H28" s="15" t="str">
        <s: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s:f>
        <s:v>primary_temporal</s:v>
      </s:c>
      <s:c r="I28" s="15" t="inlineStr">
        <s:is>
          <s:t>retain</s:t>
        </s:is>
      </s:c>
      <s:c r="J28" s="15" t="inlineStr">
        <s:is>
          <s:t>statistical_results</s:t>
        </s:is>
      </s:c>
      <s:c r="K28" s="15" t="str">
        <s:f>IFERROR(IF(INDEX('C_jama.2025.11178'!$D$2:$D$38,MATCH(C28,'C_jama.2025.11178'!$A$2:$A$38,0))="","",INDEX('C_jama.2025.11178'!$D$2:$D$38,MATCH(C28,'C_jama.2025.11178'!$A$2:$A$38,0))),"")</s:f>
        <s:v>retain</s:v>
      </s:c>
      <s:c r="L28" s="15" t="str">
        <s:f>IFERROR(IF(INDEX('C_jama.2025.11178'!$E$2:$E$38,MATCH(C28,'C_jama.2025.11178'!$A$2:$A$38,0))="","",INDEX('C_jama.2025.11178'!$E$2:$E$38,MATCH(C28,'C_jama.2025.11178'!$A$2:$A$38,0))),"")</s:f>
        <s:v>statistical_results</s:v>
      </s:c>
      <s:c r="M28" s="15" t="str">
        <s:f>IFERROR(IF(AND(K28="retain",L28="statistical_results"),IF(INDEX('C_jama.2025.11178'!$H$2:$H$38,MATCH(C28,'C_jama.2025.11178'!$A$2:$A$38,0))="","",INDEX('C_jama.2025.11178'!$H$2:$H$38,MATCH(C28,'C_jama.2025.11178'!$A$2:$A$38,0))),"not_applicable"),"")</s:f>
        <s:v>confirmed_issue</s:v>
      </s:c>
      <s:c r="N28" s="15" t="str">
        <s:f>IFERROR(IF(AND(K28="retain",L28="statistical_results"),IF(INDEX('C_jama.2025.11178'!$I$2:$I$38,MATCH(C28,'C_jama.2025.11178'!$A$2:$A$38,0))="","",INDEX('C_jama.2025.11178'!$I$2:$I$38,MATCH(C28,'C_jama.2025.11178'!$A$2:$A$38,0))),"not_applicable"),"")</s:f>
        <s:v>substantive</s:v>
      </s:c>
      <s:c r="O28" s="15" t="str">
        <s:f>IFERROR(IF(AND(K28="retain",L28="statistical_results"),IF(INDEX('C_jama.2025.11178'!$J$2:$J$38,MATCH(C28,'C_jama.2025.11178'!$A$2:$A$38,0))="","",INDEX('C_jama.2025.11178'!$J$2:$J$38,MATCH(C28,'C_jama.2025.11178'!$A$2:$A$38,0))),"not_applicable"),"")</s:f>
        <s:v/>
      </s:c>
      <s:c r="P28" s="15" t="str">
        <s:f>IFERROR(IF(AND(K28="retain",OR(L28="report_internal_inconsistency",L28="plan_material")),IF(INDEX('C_jama.2025.11178'!$K$2:$K$38,MATCH(C28,'C_jama.2025.11178'!$A$2:$A$38,0))="","",INDEX('C_jama.2025.11178'!$K$2:$K$38,MATCH(C28,'C_jama.2025.11178'!$A$2:$A$38,0))),"not_applicable"),"")</s:f>
        <s:v>not_applicable</s:v>
      </s:c>
      <s:c r="Q28" s="15" t="str">
        <s:f>IFERROR(IF(AND(K28="retain",L28="protocol_report"),IF(INDEX('C_jama.2025.11178'!$L$2:$L$38,MATCH(C28,'C_jama.2025.11178'!$A$2:$A$38,0))="","",INDEX('C_jama.2025.11178'!$L$2:$L$38,MATCH(C28,'C_jama.2025.11178'!$A$2:$A$38,0))),"not_applicable"),"")</s:f>
        <s:v>not_applicable</s:v>
      </s:c>
      <s:c r="R28" s="15" t="str">
        <s:f>IFERROR(IF(INDEX('C_jama.2025.11178'!$R$2:$R$38,MATCH(C28,'C_jama.2025.11178'!$A$2:$A$38,0))="","",INDEX('C_jama.2025.11178'!$R$2:$R$38,MATCH(C28,'C_jama.2025.11178'!$A$2:$A$38,0))),"")</s:f>
        <s:v>TEST 2025::jama.2025.11178::C011</s:v>
      </s:c>
      <s:c r="S28" s="15" t="str">
        <s:f>IF(Setup!$B$3="","",Setup!$B$3)</s:f>
        <s:v>TEST ONLY</s:v>
      </s:c>
    </s:row>
    <s:row r="29" ht="72" customFormat="1" customHeight="1" s="8">
      <s:c r="A29" s="16" t="n">
        <s:v>2025</s:v>
      </s:c>
      <s:c r="B29" s="16" t="inlineStr">
        <s:is>
          <s:t>jama.2025.11178</s:t>
        </s:is>
      </s:c>
      <s:c r="C29" s="16" t="inlineStr">
        <s:is>
          <s:t>2025::jama.2025.11178::C012</s:t>
        </s:is>
      </s:c>
      <s:c r="D29" s="16" t="inlineStr">
        <s:is>
          <s:t>S_W</s:t>
        </s:is>
      </s:c>
      <s:c r="E29" s="16" t="str">
        <s:f>Setup!$B$4</s:f>
        <s:v>R_A</s:v>
      </s:c>
      <s:c r="F29" s="16" t="str">
        <s:f>IF(Setup!$B$2="","",Setup!$B$2)</s:f>
        <s:v>TEST_REVIEWER</s:v>
      </s:c>
      <s:c r="G29" s="16" t="str">
        <s:f>IFERROR(INDEX('C_jama.2025.11178'!$G$2:$G$38,MATCH(C29,'C_jama.2025.11178'!$A$2:$A$38,0)),"CHECK KEY")</s:f>
        <s:v>PRIMARY READY</s:v>
      </s:c>
      <s:c r="H29" s="16" t="str">
        <s: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s:f>
        <s:v>primary_temporal</s:v>
      </s:c>
      <s:c r="I29" s="16" t="inlineStr">
        <s:is>
          <s:t>retain</s:t>
        </s:is>
      </s:c>
      <s:c r="J29" s="16" t="inlineStr">
        <s:is>
          <s:t>statistical_results</s:t>
        </s:is>
      </s:c>
      <s:c r="K29" s="16" t="str">
        <s:f>IFERROR(IF(INDEX('C_jama.2025.11178'!$D$2:$D$38,MATCH(C29,'C_jama.2025.11178'!$A$2:$A$38,0))="","",INDEX('C_jama.2025.11178'!$D$2:$D$38,MATCH(C29,'C_jama.2025.11178'!$A$2:$A$38,0))),"")</s:f>
        <s:v>retain</s:v>
      </s:c>
      <s:c r="L29" s="16" t="str">
        <s:f>IFERROR(IF(INDEX('C_jama.2025.11178'!$E$2:$E$38,MATCH(C29,'C_jama.2025.11178'!$A$2:$A$38,0))="","",INDEX('C_jama.2025.11178'!$E$2:$E$38,MATCH(C29,'C_jama.2025.11178'!$A$2:$A$38,0))),"")</s:f>
        <s:v>statistical_results</s:v>
      </s:c>
      <s:c r="M29" s="16" t="str">
        <s:f>IFERROR(IF(AND(K29="retain",L29="statistical_results"),IF(INDEX('C_jama.2025.11178'!$H$2:$H$38,MATCH(C29,'C_jama.2025.11178'!$A$2:$A$38,0))="","",INDEX('C_jama.2025.11178'!$H$2:$H$38,MATCH(C29,'C_jama.2025.11178'!$A$2:$A$38,0))),"not_applicable"),"")</s:f>
        <s:v>confirmed_issue</s:v>
      </s:c>
      <s:c r="N29" s="16" t="str">
        <s:f>IFERROR(IF(AND(K29="retain",L29="statistical_results"),IF(INDEX('C_jama.2025.11178'!$I$2:$I$38,MATCH(C29,'C_jama.2025.11178'!$A$2:$A$38,0))="","",INDEX('C_jama.2025.11178'!$I$2:$I$38,MATCH(C29,'C_jama.2025.11178'!$A$2:$A$38,0))),"not_applicable"),"")</s:f>
        <s:v>substantive</s:v>
      </s:c>
      <s:c r="O29" s="16" t="str">
        <s:f>IFERROR(IF(AND(K29="retain",L29="statistical_results"),IF(INDEX('C_jama.2025.11178'!$J$2:$J$38,MATCH(C29,'C_jama.2025.11178'!$A$2:$A$38,0))="","",INDEX('C_jama.2025.11178'!$J$2:$J$38,MATCH(C29,'C_jama.2025.11178'!$A$2:$A$38,0))),"not_applicable"),"")</s:f>
        <s:v/>
      </s:c>
      <s:c r="P29" s="16" t="str">
        <s:f>IFERROR(IF(AND(K29="retain",OR(L29="report_internal_inconsistency",L29="plan_material")),IF(INDEX('C_jama.2025.11178'!$K$2:$K$38,MATCH(C29,'C_jama.2025.11178'!$A$2:$A$38,0))="","",INDEX('C_jama.2025.11178'!$K$2:$K$38,MATCH(C29,'C_jama.2025.11178'!$A$2:$A$38,0))),"not_applicable"),"")</s:f>
        <s:v>not_applicable</s:v>
      </s:c>
      <s:c r="Q29" s="16" t="str">
        <s:f>IFERROR(IF(AND(K29="retain",L29="protocol_report"),IF(INDEX('C_jama.2025.11178'!$L$2:$L$38,MATCH(C29,'C_jama.2025.11178'!$A$2:$A$38,0))="","",INDEX('C_jama.2025.11178'!$L$2:$L$38,MATCH(C29,'C_jama.2025.11178'!$A$2:$A$38,0))),"not_applicable"),"")</s:f>
        <s:v>not_applicable</s:v>
      </s:c>
      <s:c r="R29" s="16" t="str">
        <s:f>IFERROR(IF(INDEX('C_jama.2025.11178'!$R$2:$R$38,MATCH(C29,'C_jama.2025.11178'!$A$2:$A$38,0))="","",INDEX('C_jama.2025.11178'!$R$2:$R$38,MATCH(C29,'C_jama.2025.11178'!$A$2:$A$38,0))),"")</s:f>
        <s:v>TEST 2025::jama.2025.11178::C012</s:v>
      </s:c>
      <s:c r="S29" s="16" t="str">
        <s:f>IF(Setup!$B$3="","",Setup!$B$3)</s:f>
        <s:v>TEST ONLY</s:v>
      </s:c>
    </s:row>
    <s:row r="30" ht="72" customFormat="1" customHeight="1" s="8">
      <s:c r="A30" s="15" t="n">
        <s:v>2025</s:v>
      </s:c>
      <s:c r="B30" s="15" t="inlineStr">
        <s:is>
          <s:t>jama.2025.11178</s:t>
        </s:is>
      </s:c>
      <s:c r="C30" s="15" t="inlineStr">
        <s:is>
          <s:t>2025::jama.2025.11178::C013</s:t>
        </s:is>
      </s:c>
      <s:c r="D30" s="15" t="inlineStr">
        <s:is>
          <s:t>S_W</s:t>
        </s:is>
      </s:c>
      <s:c r="E30" s="15" t="str">
        <s:f>Setup!$B$4</s:f>
        <s:v>R_A</s:v>
      </s:c>
      <s:c r="F30" s="15" t="str">
        <s:f>IF(Setup!$B$2="","",Setup!$B$2)</s:f>
        <s:v>TEST_REVIEWER</s:v>
      </s:c>
      <s:c r="G30" s="15" t="str">
        <s:f>IFERROR(INDEX('C_jama.2025.11178'!$G$2:$G$38,MATCH(C30,'C_jama.2025.11178'!$A$2:$A$38,0)),"CHECK KEY")</s:f>
        <s:v>PRIMARY READY</s:v>
      </s:c>
      <s:c r="H30" s="15" t="str">
        <s: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s:f>
        <s:v>primary_temporal</s:v>
      </s:c>
      <s:c r="I30" s="15" t="inlineStr">
        <s:is>
          <s:t>retain</s:t>
        </s:is>
      </s:c>
      <s:c r="J30" s="15" t="inlineStr">
        <s:is>
          <s:t>statistical_results</s:t>
        </s:is>
      </s:c>
      <s:c r="K30" s="15" t="str">
        <s:f>IFERROR(IF(INDEX('C_jama.2025.11178'!$D$2:$D$38,MATCH(C30,'C_jama.2025.11178'!$A$2:$A$38,0))="","",INDEX('C_jama.2025.11178'!$D$2:$D$38,MATCH(C30,'C_jama.2025.11178'!$A$2:$A$38,0))),"")</s:f>
        <s:v>retain</s:v>
      </s:c>
      <s:c r="L30" s="15" t="str">
        <s:f>IFERROR(IF(INDEX('C_jama.2025.11178'!$E$2:$E$38,MATCH(C30,'C_jama.2025.11178'!$A$2:$A$38,0))="","",INDEX('C_jama.2025.11178'!$E$2:$E$38,MATCH(C30,'C_jama.2025.11178'!$A$2:$A$38,0))),"")</s:f>
        <s:v>statistical_results</s:v>
      </s:c>
      <s:c r="M30" s="15" t="str">
        <s:f>IFERROR(IF(AND(K30="retain",L30="statistical_results"),IF(INDEX('C_jama.2025.11178'!$H$2:$H$38,MATCH(C30,'C_jama.2025.11178'!$A$2:$A$38,0))="","",INDEX('C_jama.2025.11178'!$H$2:$H$38,MATCH(C30,'C_jama.2025.11178'!$A$2:$A$38,0))),"not_applicable"),"")</s:f>
        <s:v>confirmed_issue</s:v>
      </s:c>
      <s:c r="N30" s="15" t="str">
        <s:f>IFERROR(IF(AND(K30="retain",L30="statistical_results"),IF(INDEX('C_jama.2025.11178'!$I$2:$I$38,MATCH(C30,'C_jama.2025.11178'!$A$2:$A$38,0))="","",INDEX('C_jama.2025.11178'!$I$2:$I$38,MATCH(C30,'C_jama.2025.11178'!$A$2:$A$38,0))),"not_applicable"),"")</s:f>
        <s:v>substantive</s:v>
      </s:c>
      <s:c r="O30" s="15" t="str">
        <s:f>IFERROR(IF(AND(K30="retain",L30="statistical_results"),IF(INDEX('C_jama.2025.11178'!$J$2:$J$38,MATCH(C30,'C_jama.2025.11178'!$A$2:$A$38,0))="","",INDEX('C_jama.2025.11178'!$J$2:$J$38,MATCH(C30,'C_jama.2025.11178'!$A$2:$A$38,0))),"not_applicable"),"")</s:f>
        <s:v/>
      </s:c>
      <s:c r="P30" s="15" t="str">
        <s:f>IFERROR(IF(AND(K30="retain",OR(L30="report_internal_inconsistency",L30="plan_material")),IF(INDEX('C_jama.2025.11178'!$K$2:$K$38,MATCH(C30,'C_jama.2025.11178'!$A$2:$A$38,0))="","",INDEX('C_jama.2025.11178'!$K$2:$K$38,MATCH(C30,'C_jama.2025.11178'!$A$2:$A$38,0))),"not_applicable"),"")</s:f>
        <s:v>not_applicable</s:v>
      </s:c>
      <s:c r="Q30" s="15" t="str">
        <s:f>IFERROR(IF(AND(K30="retain",L30="protocol_report"),IF(INDEX('C_jama.2025.11178'!$L$2:$L$38,MATCH(C30,'C_jama.2025.11178'!$A$2:$A$38,0))="","",INDEX('C_jama.2025.11178'!$L$2:$L$38,MATCH(C30,'C_jama.2025.11178'!$A$2:$A$38,0))),"not_applicable"),"")</s:f>
        <s:v>not_applicable</s:v>
      </s:c>
      <s:c r="R30" s="15" t="str">
        <s:f>IFERROR(IF(INDEX('C_jama.2025.11178'!$R$2:$R$38,MATCH(C30,'C_jama.2025.11178'!$A$2:$A$38,0))="","",INDEX('C_jama.2025.11178'!$R$2:$R$38,MATCH(C30,'C_jama.2025.11178'!$A$2:$A$38,0))),"")</s:f>
        <s:v>TEST 2025::jama.2025.11178::C013</s:v>
      </s:c>
      <s:c r="S30" s="15" t="str">
        <s:f>IF(Setup!$B$3="","",Setup!$B$3)</s:f>
        <s:v>TEST ONLY</s:v>
      </s:c>
    </s:row>
    <s:row r="31" ht="72" customFormat="1" customHeight="1" s="8">
      <s:c r="A31" s="16" t="n">
        <s:v>2025</s:v>
      </s:c>
      <s:c r="B31" s="16" t="inlineStr">
        <s:is>
          <s:t>jama.2025.11178</s:t>
        </s:is>
      </s:c>
      <s:c r="C31" s="16" t="inlineStr">
        <s:is>
          <s:t>2025::jama.2025.11178::C014</s:t>
        </s:is>
      </s:c>
      <s:c r="D31" s="16" t="inlineStr">
        <s:is>
          <s:t>S_W</s:t>
        </s:is>
      </s:c>
      <s:c r="E31" s="16" t="str">
        <s:f>Setup!$B$4</s:f>
        <s:v>R_A</s:v>
      </s:c>
      <s:c r="F31" s="16" t="str">
        <s:f>IF(Setup!$B$2="","",Setup!$B$2)</s:f>
        <s:v>TEST_REVIEWER</s:v>
      </s:c>
      <s:c r="G31" s="16" t="str">
        <s:f>IFERROR(INDEX('C_jama.2025.11178'!$G$2:$G$38,MATCH(C31,'C_jama.2025.11178'!$A$2:$A$38,0)),"CHECK KEY")</s:f>
        <s:v>PRIMARY READY</s:v>
      </s:c>
      <s:c r="H31" s="16" t="str">
        <s: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s:f>
        <s:v>primary_temporal</s:v>
      </s:c>
      <s:c r="I31" s="16" t="inlineStr">
        <s:is>
          <s:t>retain</s:t>
        </s:is>
      </s:c>
      <s:c r="J31" s="16" t="inlineStr">
        <s:is>
          <s:t>statistical_results</s:t>
        </s:is>
      </s:c>
      <s:c r="K31" s="16" t="str">
        <s:f>IFERROR(IF(INDEX('C_jama.2025.11178'!$D$2:$D$38,MATCH(C31,'C_jama.2025.11178'!$A$2:$A$38,0))="","",INDEX('C_jama.2025.11178'!$D$2:$D$38,MATCH(C31,'C_jama.2025.11178'!$A$2:$A$38,0))),"")</s:f>
        <s:v>retain</s:v>
      </s:c>
      <s:c r="L31" s="16" t="str">
        <s:f>IFERROR(IF(INDEX('C_jama.2025.11178'!$E$2:$E$38,MATCH(C31,'C_jama.2025.11178'!$A$2:$A$38,0))="","",INDEX('C_jama.2025.11178'!$E$2:$E$38,MATCH(C31,'C_jama.2025.11178'!$A$2:$A$38,0))),"")</s:f>
        <s:v>statistical_results</s:v>
      </s:c>
      <s:c r="M31" s="16" t="str">
        <s:f>IFERROR(IF(AND(K31="retain",L31="statistical_results"),IF(INDEX('C_jama.2025.11178'!$H$2:$H$38,MATCH(C31,'C_jama.2025.11178'!$A$2:$A$38,0))="","",INDEX('C_jama.2025.11178'!$H$2:$H$38,MATCH(C31,'C_jama.2025.11178'!$A$2:$A$38,0))),"not_applicable"),"")</s:f>
        <s:v>confirmed_issue</s:v>
      </s:c>
      <s:c r="N31" s="16" t="str">
        <s:f>IFERROR(IF(AND(K31="retain",L31="statistical_results"),IF(INDEX('C_jama.2025.11178'!$I$2:$I$38,MATCH(C31,'C_jama.2025.11178'!$A$2:$A$38,0))="","",INDEX('C_jama.2025.11178'!$I$2:$I$38,MATCH(C31,'C_jama.2025.11178'!$A$2:$A$38,0))),"not_applicable"),"")</s:f>
        <s:v>substantive</s:v>
      </s:c>
      <s:c r="O31" s="16" t="str">
        <s:f>IFERROR(IF(AND(K31="retain",L31="statistical_results"),IF(INDEX('C_jama.2025.11178'!$J$2:$J$38,MATCH(C31,'C_jama.2025.11178'!$A$2:$A$38,0))="","",INDEX('C_jama.2025.11178'!$J$2:$J$38,MATCH(C31,'C_jama.2025.11178'!$A$2:$A$38,0))),"not_applicable"),"")</s:f>
        <s:v/>
      </s:c>
      <s:c r="P31" s="16" t="str">
        <s:f>IFERROR(IF(AND(K31="retain",OR(L31="report_internal_inconsistency",L31="plan_material")),IF(INDEX('C_jama.2025.11178'!$K$2:$K$38,MATCH(C31,'C_jama.2025.11178'!$A$2:$A$38,0))="","",INDEX('C_jama.2025.11178'!$K$2:$K$38,MATCH(C31,'C_jama.2025.11178'!$A$2:$A$38,0))),"not_applicable"),"")</s:f>
        <s:v>not_applicable</s:v>
      </s:c>
      <s:c r="Q31" s="16" t="str">
        <s:f>IFERROR(IF(AND(K31="retain",L31="protocol_report"),IF(INDEX('C_jama.2025.11178'!$L$2:$L$38,MATCH(C31,'C_jama.2025.11178'!$A$2:$A$38,0))="","",INDEX('C_jama.2025.11178'!$L$2:$L$38,MATCH(C31,'C_jama.2025.11178'!$A$2:$A$38,0))),"not_applicable"),"")</s:f>
        <s:v>not_applicable</s:v>
      </s:c>
      <s:c r="R31" s="16" t="str">
        <s:f>IFERROR(IF(INDEX('C_jama.2025.11178'!$R$2:$R$38,MATCH(C31,'C_jama.2025.11178'!$A$2:$A$38,0))="","",INDEX('C_jama.2025.11178'!$R$2:$R$38,MATCH(C31,'C_jama.2025.11178'!$A$2:$A$38,0))),"")</s:f>
        <s:v>TEST 2025::jama.2025.11178::C014</s:v>
      </s:c>
      <s:c r="S31" s="16" t="str">
        <s:f>IF(Setup!$B$3="","",Setup!$B$3)</s:f>
        <s:v>TEST ONLY</s:v>
      </s:c>
    </s:row>
    <s:row r="32" ht="72" customFormat="1" customHeight="1" s="8">
      <s:c r="A32" s="15" t="n">
        <s:v>2025</s:v>
      </s:c>
      <s:c r="B32" s="15" t="inlineStr">
        <s:is>
          <s:t>jama.2025.11178</s:t>
        </s:is>
      </s:c>
      <s:c r="C32" s="15" t="inlineStr">
        <s:is>
          <s:t>2025::jama.2025.11178::C015</s:t>
        </s:is>
      </s:c>
      <s:c r="D32" s="15" t="inlineStr">
        <s:is>
          <s:t>S_W</s:t>
        </s:is>
      </s:c>
      <s:c r="E32" s="15" t="str">
        <s:f>Setup!$B$4</s:f>
        <s:v>R_A</s:v>
      </s:c>
      <s:c r="F32" s="15" t="str">
        <s:f>IF(Setup!$B$2="","",Setup!$B$2)</s:f>
        <s:v>TEST_REVIEWER</s:v>
      </s:c>
      <s:c r="G32" s="15" t="str">
        <s:f>IFERROR(INDEX('C_jama.2025.11178'!$G$2:$G$38,MATCH(C32,'C_jama.2025.11178'!$A$2:$A$38,0)),"CHECK KEY")</s:f>
        <s:v>PRIMARY READY</s:v>
      </s:c>
      <s:c r="H32" s="15" t="str">
        <s: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s:f>
        <s:v>primary_temporal</s:v>
      </s:c>
      <s:c r="I32" s="15" t="inlineStr">
        <s:is>
          <s:t>retain</s:t>
        </s:is>
      </s:c>
      <s:c r="J32" s="15" t="inlineStr">
        <s:is>
          <s:t>statistical_results</s:t>
        </s:is>
      </s:c>
      <s:c r="K32" s="15" t="str">
        <s:f>IFERROR(IF(INDEX('C_jama.2025.11178'!$D$2:$D$38,MATCH(C32,'C_jama.2025.11178'!$A$2:$A$38,0))="","",INDEX('C_jama.2025.11178'!$D$2:$D$38,MATCH(C32,'C_jama.2025.11178'!$A$2:$A$38,0))),"")</s:f>
        <s:v>retain</s:v>
      </s:c>
      <s:c r="L32" s="15" t="str">
        <s:f>IFERROR(IF(INDEX('C_jama.2025.11178'!$E$2:$E$38,MATCH(C32,'C_jama.2025.11178'!$A$2:$A$38,0))="","",INDEX('C_jama.2025.11178'!$E$2:$E$38,MATCH(C32,'C_jama.2025.11178'!$A$2:$A$38,0))),"")</s:f>
        <s:v>statistical_results</s:v>
      </s:c>
      <s:c r="M32" s="15" t="str">
        <s:f>IFERROR(IF(AND(K32="retain",L32="statistical_results"),IF(INDEX('C_jama.2025.11178'!$H$2:$H$38,MATCH(C32,'C_jama.2025.11178'!$A$2:$A$38,0))="","",INDEX('C_jama.2025.11178'!$H$2:$H$38,MATCH(C32,'C_jama.2025.11178'!$A$2:$A$38,0))),"not_applicable"),"")</s:f>
        <s:v>confirmed_issue</s:v>
      </s:c>
      <s:c r="N32" s="15" t="str">
        <s:f>IFERROR(IF(AND(K32="retain",L32="statistical_results"),IF(INDEX('C_jama.2025.11178'!$I$2:$I$38,MATCH(C32,'C_jama.2025.11178'!$A$2:$A$38,0))="","",INDEX('C_jama.2025.11178'!$I$2:$I$38,MATCH(C32,'C_jama.2025.11178'!$A$2:$A$38,0))),"not_applicable"),"")</s:f>
        <s:v>substantive</s:v>
      </s:c>
      <s:c r="O32" s="15" t="str">
        <s:f>IFERROR(IF(AND(K32="retain",L32="statistical_results"),IF(INDEX('C_jama.2025.11178'!$J$2:$J$38,MATCH(C32,'C_jama.2025.11178'!$A$2:$A$38,0))="","",INDEX('C_jama.2025.11178'!$J$2:$J$38,MATCH(C32,'C_jama.2025.11178'!$A$2:$A$38,0))),"not_applicable"),"")</s:f>
        <s:v/>
      </s:c>
      <s:c r="P32" s="15" t="str">
        <s:f>IFERROR(IF(AND(K32="retain",OR(L32="report_internal_inconsistency",L32="plan_material")),IF(INDEX('C_jama.2025.11178'!$K$2:$K$38,MATCH(C32,'C_jama.2025.11178'!$A$2:$A$38,0))="","",INDEX('C_jama.2025.11178'!$K$2:$K$38,MATCH(C32,'C_jama.2025.11178'!$A$2:$A$38,0))),"not_applicable"),"")</s:f>
        <s:v>not_applicable</s:v>
      </s:c>
      <s:c r="Q32" s="15" t="str">
        <s:f>IFERROR(IF(AND(K32="retain",L32="protocol_report"),IF(INDEX('C_jama.2025.11178'!$L$2:$L$38,MATCH(C32,'C_jama.2025.11178'!$A$2:$A$38,0))="","",INDEX('C_jama.2025.11178'!$L$2:$L$38,MATCH(C32,'C_jama.2025.11178'!$A$2:$A$38,0))),"not_applicable"),"")</s:f>
        <s:v>not_applicable</s:v>
      </s:c>
      <s:c r="R32" s="15" t="str">
        <s:f>IFERROR(IF(INDEX('C_jama.2025.11178'!$R$2:$R$38,MATCH(C32,'C_jama.2025.11178'!$A$2:$A$38,0))="","",INDEX('C_jama.2025.11178'!$R$2:$R$38,MATCH(C32,'C_jama.2025.11178'!$A$2:$A$38,0))),"")</s:f>
        <s:v>TEST 2025::jama.2025.11178::C015</s:v>
      </s:c>
      <s:c r="S32" s="15" t="str">
        <s:f>IF(Setup!$B$3="","",Setup!$B$3)</s:f>
        <s:v>TEST ONLY</s:v>
      </s:c>
    </s:row>
    <s:row r="33" ht="72" customFormat="1" customHeight="1" s="8">
      <s:c r="A33" s="16" t="n">
        <s:v>2025</s:v>
      </s:c>
      <s:c r="B33" s="16" t="inlineStr">
        <s:is>
          <s:t>jama.2025.11178</s:t>
        </s:is>
      </s:c>
      <s:c r="C33" s="16" t="inlineStr">
        <s:is>
          <s:t>2025::jama.2025.11178::C016</s:t>
        </s:is>
      </s:c>
      <s:c r="D33" s="16" t="inlineStr">
        <s:is>
          <s:t>S_W</s:t>
        </s:is>
      </s:c>
      <s:c r="E33" s="16" t="str">
        <s:f>Setup!$B$4</s:f>
        <s:v>R_A</s:v>
      </s:c>
      <s:c r="F33" s="16" t="str">
        <s:f>IF(Setup!$B$2="","",Setup!$B$2)</s:f>
        <s:v>TEST_REVIEWER</s:v>
      </s:c>
      <s:c r="G33" s="16" t="str">
        <s:f>IFERROR(INDEX('C_jama.2025.11178'!$G$2:$G$38,MATCH(C33,'C_jama.2025.11178'!$A$2:$A$38,0)),"CHECK KEY")</s:f>
        <s:v>PRIMARY READY</s:v>
      </s:c>
      <s:c r="H33" s="16" t="str">
        <s: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s:f>
        <s:v>primary_temporal</s:v>
      </s:c>
      <s:c r="I33" s="16" t="inlineStr">
        <s:is>
          <s:t>retain</s:t>
        </s:is>
      </s:c>
      <s:c r="J33" s="16" t="inlineStr">
        <s:is>
          <s:t>statistical_results</s:t>
        </s:is>
      </s:c>
      <s:c r="K33" s="16" t="str">
        <s:f>IFERROR(IF(INDEX('C_jama.2025.11178'!$D$2:$D$38,MATCH(C33,'C_jama.2025.11178'!$A$2:$A$38,0))="","",INDEX('C_jama.2025.11178'!$D$2:$D$38,MATCH(C33,'C_jama.2025.11178'!$A$2:$A$38,0))),"")</s:f>
        <s:v>retain</s:v>
      </s:c>
      <s:c r="L33" s="16" t="str">
        <s:f>IFERROR(IF(INDEX('C_jama.2025.11178'!$E$2:$E$38,MATCH(C33,'C_jama.2025.11178'!$A$2:$A$38,0))="","",INDEX('C_jama.2025.11178'!$E$2:$E$38,MATCH(C33,'C_jama.2025.11178'!$A$2:$A$38,0))),"")</s:f>
        <s:v>statistical_results</s:v>
      </s:c>
      <s:c r="M33" s="16" t="str">
        <s:f>IFERROR(IF(AND(K33="retain",L33="statistical_results"),IF(INDEX('C_jama.2025.11178'!$H$2:$H$38,MATCH(C33,'C_jama.2025.11178'!$A$2:$A$38,0))="","",INDEX('C_jama.2025.11178'!$H$2:$H$38,MATCH(C33,'C_jama.2025.11178'!$A$2:$A$38,0))),"not_applicable"),"")</s:f>
        <s:v>confirmed_issue</s:v>
      </s:c>
      <s:c r="N33" s="16" t="str">
        <s:f>IFERROR(IF(AND(K33="retain",L33="statistical_results"),IF(INDEX('C_jama.2025.11178'!$I$2:$I$38,MATCH(C33,'C_jama.2025.11178'!$A$2:$A$38,0))="","",INDEX('C_jama.2025.11178'!$I$2:$I$38,MATCH(C33,'C_jama.2025.11178'!$A$2:$A$38,0))),"not_applicable"),"")</s:f>
        <s:v>substantive</s:v>
      </s:c>
      <s:c r="O33" s="16" t="str">
        <s:f>IFERROR(IF(AND(K33="retain",L33="statistical_results"),IF(INDEX('C_jama.2025.11178'!$J$2:$J$38,MATCH(C33,'C_jama.2025.11178'!$A$2:$A$38,0))="","",INDEX('C_jama.2025.11178'!$J$2:$J$38,MATCH(C33,'C_jama.2025.11178'!$A$2:$A$38,0))),"not_applicable"),"")</s:f>
        <s:v/>
      </s:c>
      <s:c r="P33" s="16" t="str">
        <s:f>IFERROR(IF(AND(K33="retain",OR(L33="report_internal_inconsistency",L33="plan_material")),IF(INDEX('C_jama.2025.11178'!$K$2:$K$38,MATCH(C33,'C_jama.2025.11178'!$A$2:$A$38,0))="","",INDEX('C_jama.2025.11178'!$K$2:$K$38,MATCH(C33,'C_jama.2025.11178'!$A$2:$A$38,0))),"not_applicable"),"")</s:f>
        <s:v>not_applicable</s:v>
      </s:c>
      <s:c r="Q33" s="16" t="str">
        <s:f>IFERROR(IF(AND(K33="retain",L33="protocol_report"),IF(INDEX('C_jama.2025.11178'!$L$2:$L$38,MATCH(C33,'C_jama.2025.11178'!$A$2:$A$38,0))="","",INDEX('C_jama.2025.11178'!$L$2:$L$38,MATCH(C33,'C_jama.2025.11178'!$A$2:$A$38,0))),"not_applicable"),"")</s:f>
        <s:v>not_applicable</s:v>
      </s:c>
      <s:c r="R33" s="16" t="str">
        <s:f>IFERROR(IF(INDEX('C_jama.2025.11178'!$R$2:$R$38,MATCH(C33,'C_jama.2025.11178'!$A$2:$A$38,0))="","",INDEX('C_jama.2025.11178'!$R$2:$R$38,MATCH(C33,'C_jama.2025.11178'!$A$2:$A$38,0))),"")</s:f>
        <s:v>TEST 2025::jama.2025.11178::C016</s:v>
      </s:c>
      <s:c r="S33" s="16" t="str">
        <s:f>IF(Setup!$B$3="","",Setup!$B$3)</s:f>
        <s:v>TEST ONLY</s:v>
      </s:c>
    </s:row>
    <s:row r="34" ht="72" customFormat="1" customHeight="1" s="8">
      <s:c r="A34" s="15" t="n">
        <s:v>2025</s:v>
      </s:c>
      <s:c r="B34" s="15" t="inlineStr">
        <s:is>
          <s:t>jama.2025.11178</s:t>
        </s:is>
      </s:c>
      <s:c r="C34" s="15" t="inlineStr">
        <s:is>
          <s:t>2025::jama.2025.11178::C017</s:t>
        </s:is>
      </s:c>
      <s:c r="D34" s="15" t="inlineStr">
        <s:is>
          <s:t>S_W</s:t>
        </s:is>
      </s:c>
      <s:c r="E34" s="15" t="str">
        <s:f>Setup!$B$4</s:f>
        <s:v>R_A</s:v>
      </s:c>
      <s:c r="F34" s="15" t="str">
        <s:f>IF(Setup!$B$2="","",Setup!$B$2)</s:f>
        <s:v>TEST_REVIEWER</s:v>
      </s:c>
      <s:c r="G34" s="15" t="str">
        <s:f>IFERROR(INDEX('C_jama.2025.11178'!$G$2:$G$38,MATCH(C34,'C_jama.2025.11178'!$A$2:$A$38,0)),"CHECK KEY")</s:f>
        <s:v>PRIMARY READY</s:v>
      </s:c>
      <s:c r="H34" s="15" t="str">
        <s: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s:f>
        <s:v>primary_temporal</s:v>
      </s:c>
      <s:c r="I34" s="15" t="inlineStr">
        <s:is>
          <s:t>retain</s:t>
        </s:is>
      </s:c>
      <s:c r="J34" s="15" t="inlineStr">
        <s:is>
          <s:t>statistical_results</s:t>
        </s:is>
      </s:c>
      <s:c r="K34" s="15" t="str">
        <s:f>IFERROR(IF(INDEX('C_jama.2025.11178'!$D$2:$D$38,MATCH(C34,'C_jama.2025.11178'!$A$2:$A$38,0))="","",INDEX('C_jama.2025.11178'!$D$2:$D$38,MATCH(C34,'C_jama.2025.11178'!$A$2:$A$38,0))),"")</s:f>
        <s:v>retain</s:v>
      </s:c>
      <s:c r="L34" s="15" t="str">
        <s:f>IFERROR(IF(INDEX('C_jama.2025.11178'!$E$2:$E$38,MATCH(C34,'C_jama.2025.11178'!$A$2:$A$38,0))="","",INDEX('C_jama.2025.11178'!$E$2:$E$38,MATCH(C34,'C_jama.2025.11178'!$A$2:$A$38,0))),"")</s:f>
        <s:v>statistical_results</s:v>
      </s:c>
      <s:c r="M34" s="15" t="str">
        <s:f>IFERROR(IF(AND(K34="retain",L34="statistical_results"),IF(INDEX('C_jama.2025.11178'!$H$2:$H$38,MATCH(C34,'C_jama.2025.11178'!$A$2:$A$38,0))="","",INDEX('C_jama.2025.11178'!$H$2:$H$38,MATCH(C34,'C_jama.2025.11178'!$A$2:$A$38,0))),"not_applicable"),"")</s:f>
        <s:v>confirmed_issue</s:v>
      </s:c>
      <s:c r="N34" s="15" t="str">
        <s:f>IFERROR(IF(AND(K34="retain",L34="statistical_results"),IF(INDEX('C_jama.2025.11178'!$I$2:$I$38,MATCH(C34,'C_jama.2025.11178'!$A$2:$A$38,0))="","",INDEX('C_jama.2025.11178'!$I$2:$I$38,MATCH(C34,'C_jama.2025.11178'!$A$2:$A$38,0))),"not_applicable"),"")</s:f>
        <s:v>substantive</s:v>
      </s:c>
      <s:c r="O34" s="15" t="str">
        <s:f>IFERROR(IF(AND(K34="retain",L34="statistical_results"),IF(INDEX('C_jama.2025.11178'!$J$2:$J$38,MATCH(C34,'C_jama.2025.11178'!$A$2:$A$38,0))="","",INDEX('C_jama.2025.11178'!$J$2:$J$38,MATCH(C34,'C_jama.2025.11178'!$A$2:$A$38,0))),"not_applicable"),"")</s:f>
        <s:v/>
      </s:c>
      <s:c r="P34" s="15" t="str">
        <s:f>IFERROR(IF(AND(K34="retain",OR(L34="report_internal_inconsistency",L34="plan_material")),IF(INDEX('C_jama.2025.11178'!$K$2:$K$38,MATCH(C34,'C_jama.2025.11178'!$A$2:$A$38,0))="","",INDEX('C_jama.2025.11178'!$K$2:$K$38,MATCH(C34,'C_jama.2025.11178'!$A$2:$A$38,0))),"not_applicable"),"")</s:f>
        <s:v>not_applicable</s:v>
      </s:c>
      <s:c r="Q34" s="15" t="str">
        <s:f>IFERROR(IF(AND(K34="retain",L34="protocol_report"),IF(INDEX('C_jama.2025.11178'!$L$2:$L$38,MATCH(C34,'C_jama.2025.11178'!$A$2:$A$38,0))="","",INDEX('C_jama.2025.11178'!$L$2:$L$38,MATCH(C34,'C_jama.2025.11178'!$A$2:$A$38,0))),"not_applicable"),"")</s:f>
        <s:v>not_applicable</s:v>
      </s:c>
      <s:c r="R34" s="15" t="str">
        <s:f>IFERROR(IF(INDEX('C_jama.2025.11178'!$R$2:$R$38,MATCH(C34,'C_jama.2025.11178'!$A$2:$A$38,0))="","",INDEX('C_jama.2025.11178'!$R$2:$R$38,MATCH(C34,'C_jama.2025.11178'!$A$2:$A$38,0))),"")</s:f>
        <s:v>TEST 2025::jama.2025.11178::C017</s:v>
      </s:c>
      <s:c r="S34" s="15" t="str">
        <s:f>IF(Setup!$B$3="","",Setup!$B$3)</s:f>
        <s:v>TEST ONLY</s:v>
      </s:c>
    </s:row>
    <s:row r="35" ht="72" customFormat="1" customHeight="1" s="8">
      <s:c r="A35" s="16" t="n">
        <s:v>2025</s:v>
      </s:c>
      <s:c r="B35" s="16" t="inlineStr">
        <s:is>
          <s:t>jama.2025.11178</s:t>
        </s:is>
      </s:c>
      <s:c r="C35" s="16" t="inlineStr">
        <s:is>
          <s:t>2025::jama.2025.11178::C018</s:t>
        </s:is>
      </s:c>
      <s:c r="D35" s="16" t="inlineStr">
        <s:is>
          <s:t>S_W</s:t>
        </s:is>
      </s:c>
      <s:c r="E35" s="16" t="str">
        <s:f>Setup!$B$4</s:f>
        <s:v>R_A</s:v>
      </s:c>
      <s:c r="F35" s="16" t="str">
        <s:f>IF(Setup!$B$2="","",Setup!$B$2)</s:f>
        <s:v>TEST_REVIEWER</s:v>
      </s:c>
      <s:c r="G35" s="16" t="str">
        <s:f>IFERROR(INDEX('C_jama.2025.11178'!$G$2:$G$38,MATCH(C35,'C_jama.2025.11178'!$A$2:$A$38,0)),"CHECK KEY")</s:f>
        <s:v>PRIMARY READY</s:v>
      </s:c>
      <s:c r="H35" s="16" t="str">
        <s: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s:f>
        <s:v>primary_temporal</s:v>
      </s:c>
      <s:c r="I35" s="16" t="inlineStr">
        <s:is>
          <s:t>retain</s:t>
        </s:is>
      </s:c>
      <s:c r="J35" s="16" t="inlineStr">
        <s:is>
          <s:t>statistical_results</s:t>
        </s:is>
      </s:c>
      <s:c r="K35" s="16" t="str">
        <s:f>IFERROR(IF(INDEX('C_jama.2025.11178'!$D$2:$D$38,MATCH(C35,'C_jama.2025.11178'!$A$2:$A$38,0))="","",INDEX('C_jama.2025.11178'!$D$2:$D$38,MATCH(C35,'C_jama.2025.11178'!$A$2:$A$38,0))),"")</s:f>
        <s:v>retain</s:v>
      </s:c>
      <s:c r="L35" s="16" t="str">
        <s:f>IFERROR(IF(INDEX('C_jama.2025.11178'!$E$2:$E$38,MATCH(C35,'C_jama.2025.11178'!$A$2:$A$38,0))="","",INDEX('C_jama.2025.11178'!$E$2:$E$38,MATCH(C35,'C_jama.2025.11178'!$A$2:$A$38,0))),"")</s:f>
        <s:v>statistical_results</s:v>
      </s:c>
      <s:c r="M35" s="16" t="str">
        <s:f>IFERROR(IF(AND(K35="retain",L35="statistical_results"),IF(INDEX('C_jama.2025.11178'!$H$2:$H$38,MATCH(C35,'C_jama.2025.11178'!$A$2:$A$38,0))="","",INDEX('C_jama.2025.11178'!$H$2:$H$38,MATCH(C35,'C_jama.2025.11178'!$A$2:$A$38,0))),"not_applicable"),"")</s:f>
        <s:v>confirmed_issue</s:v>
      </s:c>
      <s:c r="N35" s="16" t="str">
        <s:f>IFERROR(IF(AND(K35="retain",L35="statistical_results"),IF(INDEX('C_jama.2025.11178'!$I$2:$I$38,MATCH(C35,'C_jama.2025.11178'!$A$2:$A$38,0))="","",INDEX('C_jama.2025.11178'!$I$2:$I$38,MATCH(C35,'C_jama.2025.11178'!$A$2:$A$38,0))),"not_applicable"),"")</s:f>
        <s:v>substantive</s:v>
      </s:c>
      <s:c r="O35" s="16" t="str">
        <s:f>IFERROR(IF(AND(K35="retain",L35="statistical_results"),IF(INDEX('C_jama.2025.11178'!$J$2:$J$38,MATCH(C35,'C_jama.2025.11178'!$A$2:$A$38,0))="","",INDEX('C_jama.2025.11178'!$J$2:$J$38,MATCH(C35,'C_jama.2025.11178'!$A$2:$A$38,0))),"not_applicable"),"")</s:f>
        <s:v/>
      </s:c>
      <s:c r="P35" s="16" t="str">
        <s:f>IFERROR(IF(AND(K35="retain",OR(L35="report_internal_inconsistency",L35="plan_material")),IF(INDEX('C_jama.2025.11178'!$K$2:$K$38,MATCH(C35,'C_jama.2025.11178'!$A$2:$A$38,0))="","",INDEX('C_jama.2025.11178'!$K$2:$K$38,MATCH(C35,'C_jama.2025.11178'!$A$2:$A$38,0))),"not_applicable"),"")</s:f>
        <s:v>not_applicable</s:v>
      </s:c>
      <s:c r="Q35" s="16" t="str">
        <s:f>IFERROR(IF(AND(K35="retain",L35="protocol_report"),IF(INDEX('C_jama.2025.11178'!$L$2:$L$38,MATCH(C35,'C_jama.2025.11178'!$A$2:$A$38,0))="","",INDEX('C_jama.2025.11178'!$L$2:$L$38,MATCH(C35,'C_jama.2025.11178'!$A$2:$A$38,0))),"not_applicable"),"")</s:f>
        <s:v>not_applicable</s:v>
      </s:c>
      <s:c r="R35" s="16" t="str">
        <s:f>IFERROR(IF(INDEX('C_jama.2025.11178'!$R$2:$R$38,MATCH(C35,'C_jama.2025.11178'!$A$2:$A$38,0))="","",INDEX('C_jama.2025.11178'!$R$2:$R$38,MATCH(C35,'C_jama.2025.11178'!$A$2:$A$38,0))),"")</s:f>
        <s:v>TEST 2025::jama.2025.11178::C018</s:v>
      </s:c>
      <s:c r="S35" s="16" t="str">
        <s:f>IF(Setup!$B$3="","",Setup!$B$3)</s:f>
        <s:v>TEST ONLY</s:v>
      </s:c>
    </s:row>
    <s:row r="36" ht="72" customFormat="1" customHeight="1" s="8">
      <s:c r="A36" s="15" t="n">
        <s:v>2025</s:v>
      </s:c>
      <s:c r="B36" s="15" t="inlineStr">
        <s:is>
          <s:t>jama.2025.11178</s:t>
        </s:is>
      </s:c>
      <s:c r="C36" s="15" t="inlineStr">
        <s:is>
          <s:t>2025::jama.2025.11178::C019</s:t>
        </s:is>
      </s:c>
      <s:c r="D36" s="15" t="inlineStr">
        <s:is>
          <s:t>S_W</s:t>
        </s:is>
      </s:c>
      <s:c r="E36" s="15" t="str">
        <s:f>Setup!$B$4</s:f>
        <s:v>R_A</s:v>
      </s:c>
      <s:c r="F36" s="15" t="str">
        <s:f>IF(Setup!$B$2="","",Setup!$B$2)</s:f>
        <s:v>TEST_REVIEWER</s:v>
      </s:c>
      <s:c r="G36" s="15" t="str">
        <s:f>IFERROR(INDEX('C_jama.2025.11178'!$G$2:$G$38,MATCH(C36,'C_jama.2025.11178'!$A$2:$A$38,0)),"CHECK KEY")</s:f>
        <s:v>PRIMARY READY</s:v>
      </s:c>
      <s:c r="H36" s="15" t="str">
        <s: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s:f>
        <s:v>primary_temporal</s:v>
      </s:c>
      <s:c r="I36" s="15" t="inlineStr">
        <s:is>
          <s:t>retain</s:t>
        </s:is>
      </s:c>
      <s:c r="J36" s="15" t="inlineStr">
        <s:is>
          <s:t>statistical_results</s:t>
        </s:is>
      </s:c>
      <s:c r="K36" s="15" t="str">
        <s:f>IFERROR(IF(INDEX('C_jama.2025.11178'!$D$2:$D$38,MATCH(C36,'C_jama.2025.11178'!$A$2:$A$38,0))="","",INDEX('C_jama.2025.11178'!$D$2:$D$38,MATCH(C36,'C_jama.2025.11178'!$A$2:$A$38,0))),"")</s:f>
        <s:v>retain</s:v>
      </s:c>
      <s:c r="L36" s="15" t="str">
        <s:f>IFERROR(IF(INDEX('C_jama.2025.11178'!$E$2:$E$38,MATCH(C36,'C_jama.2025.11178'!$A$2:$A$38,0))="","",INDEX('C_jama.2025.11178'!$E$2:$E$38,MATCH(C36,'C_jama.2025.11178'!$A$2:$A$38,0))),"")</s:f>
        <s:v>statistical_results</s:v>
      </s:c>
      <s:c r="M36" s="15" t="str">
        <s:f>IFERROR(IF(AND(K36="retain",L36="statistical_results"),IF(INDEX('C_jama.2025.11178'!$H$2:$H$38,MATCH(C36,'C_jama.2025.11178'!$A$2:$A$38,0))="","",INDEX('C_jama.2025.11178'!$H$2:$H$38,MATCH(C36,'C_jama.2025.11178'!$A$2:$A$38,0))),"not_applicable"),"")</s:f>
        <s:v>confirmed_issue</s:v>
      </s:c>
      <s:c r="N36" s="15" t="str">
        <s:f>IFERROR(IF(AND(K36="retain",L36="statistical_results"),IF(INDEX('C_jama.2025.11178'!$I$2:$I$38,MATCH(C36,'C_jama.2025.11178'!$A$2:$A$38,0))="","",INDEX('C_jama.2025.11178'!$I$2:$I$38,MATCH(C36,'C_jama.2025.11178'!$A$2:$A$38,0))),"not_applicable"),"")</s:f>
        <s:v>substantive</s:v>
      </s:c>
      <s:c r="O36" s="15" t="str">
        <s:f>IFERROR(IF(AND(K36="retain",L36="statistical_results"),IF(INDEX('C_jama.2025.11178'!$J$2:$J$38,MATCH(C36,'C_jama.2025.11178'!$A$2:$A$38,0))="","",INDEX('C_jama.2025.11178'!$J$2:$J$38,MATCH(C36,'C_jama.2025.11178'!$A$2:$A$38,0))),"not_applicable"),"")</s:f>
        <s:v/>
      </s:c>
      <s:c r="P36" s="15" t="str">
        <s:f>IFERROR(IF(AND(K36="retain",OR(L36="report_internal_inconsistency",L36="plan_material")),IF(INDEX('C_jama.2025.11178'!$K$2:$K$38,MATCH(C36,'C_jama.2025.11178'!$A$2:$A$38,0))="","",INDEX('C_jama.2025.11178'!$K$2:$K$38,MATCH(C36,'C_jama.2025.11178'!$A$2:$A$38,0))),"not_applicable"),"")</s:f>
        <s:v>not_applicable</s:v>
      </s:c>
      <s:c r="Q36" s="15" t="str">
        <s:f>IFERROR(IF(AND(K36="retain",L36="protocol_report"),IF(INDEX('C_jama.2025.11178'!$L$2:$L$38,MATCH(C36,'C_jama.2025.11178'!$A$2:$A$38,0))="","",INDEX('C_jama.2025.11178'!$L$2:$L$38,MATCH(C36,'C_jama.2025.11178'!$A$2:$A$38,0))),"not_applicable"),"")</s:f>
        <s:v>not_applicable</s:v>
      </s:c>
      <s:c r="R36" s="15" t="str">
        <s:f>IFERROR(IF(INDEX('C_jama.2025.11178'!$R$2:$R$38,MATCH(C36,'C_jama.2025.11178'!$A$2:$A$38,0))="","",INDEX('C_jama.2025.11178'!$R$2:$R$38,MATCH(C36,'C_jama.2025.11178'!$A$2:$A$38,0))),"")</s:f>
        <s:v>TEST 2025::jama.2025.11178::C019</s:v>
      </s:c>
      <s:c r="S36" s="15" t="str">
        <s:f>IF(Setup!$B$3="","",Setup!$B$3)</s:f>
        <s:v>TEST ONLY</s:v>
      </s:c>
    </s:row>
    <s:row r="37" ht="72" customFormat="1" customHeight="1" s="8">
      <s:c r="A37" s="16" t="n">
        <s:v>2025</s:v>
      </s:c>
      <s:c r="B37" s="16" t="inlineStr">
        <s:is>
          <s:t>jama.2025.11178</s:t>
        </s:is>
      </s:c>
      <s:c r="C37" s="16" t="inlineStr">
        <s:is>
          <s:t>2025::jama.2025.11178::C020</s:t>
        </s:is>
      </s:c>
      <s:c r="D37" s="16" t="inlineStr">
        <s:is>
          <s:t>S_W</s:t>
        </s:is>
      </s:c>
      <s:c r="E37" s="16" t="str">
        <s:f>Setup!$B$4</s:f>
        <s:v>R_A</s:v>
      </s:c>
      <s:c r="F37" s="16" t="str">
        <s:f>IF(Setup!$B$2="","",Setup!$B$2)</s:f>
        <s:v>TEST_REVIEWER</s:v>
      </s:c>
      <s:c r="G37" s="16" t="str">
        <s:f>IFERROR(INDEX('C_jama.2025.11178'!$G$2:$G$38,MATCH(C37,'C_jama.2025.11178'!$A$2:$A$38,0)),"CHECK KEY")</s:f>
        <s:v>PRIMARY READY</s:v>
      </s:c>
      <s:c r="H37" s="16" t="str">
        <s: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s:f>
        <s:v>primary_temporal</s:v>
      </s:c>
      <s:c r="I37" s="16" t="inlineStr">
        <s:is>
          <s:t>retain</s:t>
        </s:is>
      </s:c>
      <s:c r="J37" s="16" t="inlineStr">
        <s:is>
          <s:t>statistical_results</s:t>
        </s:is>
      </s:c>
      <s:c r="K37" s="16" t="str">
        <s:f>IFERROR(IF(INDEX('C_jama.2025.11178'!$D$2:$D$38,MATCH(C37,'C_jama.2025.11178'!$A$2:$A$38,0))="","",INDEX('C_jama.2025.11178'!$D$2:$D$38,MATCH(C37,'C_jama.2025.11178'!$A$2:$A$38,0))),"")</s:f>
        <s:v>retain</s:v>
      </s:c>
      <s:c r="L37" s="16" t="str">
        <s:f>IFERROR(IF(INDEX('C_jama.2025.11178'!$E$2:$E$38,MATCH(C37,'C_jama.2025.11178'!$A$2:$A$38,0))="","",INDEX('C_jama.2025.11178'!$E$2:$E$38,MATCH(C37,'C_jama.2025.11178'!$A$2:$A$38,0))),"")</s:f>
        <s:v>statistical_results</s:v>
      </s:c>
      <s:c r="M37" s="16" t="str">
        <s:f>IFERROR(IF(AND(K37="retain",L37="statistical_results"),IF(INDEX('C_jama.2025.11178'!$H$2:$H$38,MATCH(C37,'C_jama.2025.11178'!$A$2:$A$38,0))="","",INDEX('C_jama.2025.11178'!$H$2:$H$38,MATCH(C37,'C_jama.2025.11178'!$A$2:$A$38,0))),"not_applicable"),"")</s:f>
        <s:v>confirmed_issue</s:v>
      </s:c>
      <s:c r="N37" s="16" t="str">
        <s:f>IFERROR(IF(AND(K37="retain",L37="statistical_results"),IF(INDEX('C_jama.2025.11178'!$I$2:$I$38,MATCH(C37,'C_jama.2025.11178'!$A$2:$A$38,0))="","",INDEX('C_jama.2025.11178'!$I$2:$I$38,MATCH(C37,'C_jama.2025.11178'!$A$2:$A$38,0))),"not_applicable"),"")</s:f>
        <s:v>substantive</s:v>
      </s:c>
      <s:c r="O37" s="16" t="str">
        <s:f>IFERROR(IF(AND(K37="retain",L37="statistical_results"),IF(INDEX('C_jama.2025.11178'!$J$2:$J$38,MATCH(C37,'C_jama.2025.11178'!$A$2:$A$38,0))="","",INDEX('C_jama.2025.11178'!$J$2:$J$38,MATCH(C37,'C_jama.2025.11178'!$A$2:$A$38,0))),"not_applicable"),"")</s:f>
        <s:v/>
      </s:c>
      <s:c r="P37" s="16" t="str">
        <s:f>IFERROR(IF(AND(K37="retain",OR(L37="report_internal_inconsistency",L37="plan_material")),IF(INDEX('C_jama.2025.11178'!$K$2:$K$38,MATCH(C37,'C_jama.2025.11178'!$A$2:$A$38,0))="","",INDEX('C_jama.2025.11178'!$K$2:$K$38,MATCH(C37,'C_jama.2025.11178'!$A$2:$A$38,0))),"not_applicable"),"")</s:f>
        <s:v>not_applicable</s:v>
      </s:c>
      <s:c r="Q37" s="16" t="str">
        <s:f>IFERROR(IF(AND(K37="retain",L37="protocol_report"),IF(INDEX('C_jama.2025.11178'!$L$2:$L$38,MATCH(C37,'C_jama.2025.11178'!$A$2:$A$38,0))="","",INDEX('C_jama.2025.11178'!$L$2:$L$38,MATCH(C37,'C_jama.2025.11178'!$A$2:$A$38,0))),"not_applicable"),"")</s:f>
        <s:v>not_applicable</s:v>
      </s:c>
      <s:c r="R37" s="16" t="str">
        <s:f>IFERROR(IF(INDEX('C_jama.2025.11178'!$R$2:$R$38,MATCH(C37,'C_jama.2025.11178'!$A$2:$A$38,0))="","",INDEX('C_jama.2025.11178'!$R$2:$R$38,MATCH(C37,'C_jama.2025.11178'!$A$2:$A$38,0))),"")</s:f>
        <s:v>TEST 2025::jama.2025.11178::C020</s:v>
      </s:c>
      <s:c r="S37" s="16" t="str">
        <s:f>IF(Setup!$B$3="","",Setup!$B$3)</s:f>
        <s:v>TEST ONLY</s:v>
      </s:c>
    </s:row>
    <s:row r="38" ht="72" customFormat="1" customHeight="1" s="8">
      <s:c r="A38" s="15" t="n">
        <s:v>2025</s:v>
      </s:c>
      <s:c r="B38" s="15" t="inlineStr">
        <s:is>
          <s:t>jama.2025.11178</s:t>
        </s:is>
      </s:c>
      <s:c r="C38" s="15" t="inlineStr">
        <s:is>
          <s:t>2025::jama.2025.11178::C021</s:t>
        </s:is>
      </s:c>
      <s:c r="D38" s="15" t="inlineStr">
        <s:is>
          <s:t>S_W</s:t>
        </s:is>
      </s:c>
      <s:c r="E38" s="15" t="str">
        <s:f>Setup!$B$4</s:f>
        <s:v>R_A</s:v>
      </s:c>
      <s:c r="F38" s="15" t="str">
        <s:f>IF(Setup!$B$2="","",Setup!$B$2)</s:f>
        <s:v>TEST_REVIEWER</s:v>
      </s:c>
      <s:c r="G38" s="15" t="str">
        <s:f>IFERROR(INDEX('C_jama.2025.11178'!$G$2:$G$38,MATCH(C38,'C_jama.2025.11178'!$A$2:$A$38,0)),"CHECK KEY")</s:f>
        <s:v>PRIMARY READY</s:v>
      </s:c>
      <s:c r="H38" s="15" t="str">
        <s: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s:f>
        <s:v>primary_temporal</s:v>
      </s:c>
      <s:c r="I38" s="15" t="inlineStr">
        <s:is>
          <s:t>retain</s:t>
        </s:is>
      </s:c>
      <s:c r="J38" s="15" t="inlineStr">
        <s:is>
          <s:t>statistical_results</s:t>
        </s:is>
      </s:c>
      <s:c r="K38" s="15" t="str">
        <s:f>IFERROR(IF(INDEX('C_jama.2025.11178'!$D$2:$D$38,MATCH(C38,'C_jama.2025.11178'!$A$2:$A$38,0))="","",INDEX('C_jama.2025.11178'!$D$2:$D$38,MATCH(C38,'C_jama.2025.11178'!$A$2:$A$38,0))),"")</s:f>
        <s:v>retain</s:v>
      </s:c>
      <s:c r="L38" s="15" t="str">
        <s:f>IFERROR(IF(INDEX('C_jama.2025.11178'!$E$2:$E$38,MATCH(C38,'C_jama.2025.11178'!$A$2:$A$38,0))="","",INDEX('C_jama.2025.11178'!$E$2:$E$38,MATCH(C38,'C_jama.2025.11178'!$A$2:$A$38,0))),"")</s:f>
        <s:v>statistical_results</s:v>
      </s:c>
      <s:c r="M38" s="15" t="str">
        <s:f>IFERROR(IF(AND(K38="retain",L38="statistical_results"),IF(INDEX('C_jama.2025.11178'!$H$2:$H$38,MATCH(C38,'C_jama.2025.11178'!$A$2:$A$38,0))="","",INDEX('C_jama.2025.11178'!$H$2:$H$38,MATCH(C38,'C_jama.2025.11178'!$A$2:$A$38,0))),"not_applicable"),"")</s:f>
        <s:v>confirmed_issue</s:v>
      </s:c>
      <s:c r="N38" s="15" t="str">
        <s:f>IFERROR(IF(AND(K38="retain",L38="statistical_results"),IF(INDEX('C_jama.2025.11178'!$I$2:$I$38,MATCH(C38,'C_jama.2025.11178'!$A$2:$A$38,0))="","",INDEX('C_jama.2025.11178'!$I$2:$I$38,MATCH(C38,'C_jama.2025.11178'!$A$2:$A$38,0))),"not_applicable"),"")</s:f>
        <s:v>substantive</s:v>
      </s:c>
      <s:c r="O38" s="15" t="str">
        <s:f>IFERROR(IF(AND(K38="retain",L38="statistical_results"),IF(INDEX('C_jama.2025.11178'!$J$2:$J$38,MATCH(C38,'C_jama.2025.11178'!$A$2:$A$38,0))="","",INDEX('C_jama.2025.11178'!$J$2:$J$38,MATCH(C38,'C_jama.2025.11178'!$A$2:$A$38,0))),"not_applicable"),"")</s:f>
        <s:v/>
      </s:c>
      <s:c r="P38" s="15" t="str">
        <s:f>IFERROR(IF(AND(K38="retain",OR(L38="report_internal_inconsistency",L38="plan_material")),IF(INDEX('C_jama.2025.11178'!$K$2:$K$38,MATCH(C38,'C_jama.2025.11178'!$A$2:$A$38,0))="","",INDEX('C_jama.2025.11178'!$K$2:$K$38,MATCH(C38,'C_jama.2025.11178'!$A$2:$A$38,0))),"not_applicable"),"")</s:f>
        <s:v>not_applicable</s:v>
      </s:c>
      <s:c r="Q38" s="15" t="str">
        <s:f>IFERROR(IF(AND(K38="retain",L38="protocol_report"),IF(INDEX('C_jama.2025.11178'!$L$2:$L$38,MATCH(C38,'C_jama.2025.11178'!$A$2:$A$38,0))="","",INDEX('C_jama.2025.11178'!$L$2:$L$38,MATCH(C38,'C_jama.2025.11178'!$A$2:$A$38,0))),"not_applicable"),"")</s:f>
        <s:v>not_applicable</s:v>
      </s:c>
      <s:c r="R38" s="15" t="str">
        <s:f>IFERROR(IF(INDEX('C_jama.2025.11178'!$R$2:$R$38,MATCH(C38,'C_jama.2025.11178'!$A$2:$A$38,0))="","",INDEX('C_jama.2025.11178'!$R$2:$R$38,MATCH(C38,'C_jama.2025.11178'!$A$2:$A$38,0))),"")</s:f>
        <s:v>TEST 2025::jama.2025.11178::C021</s:v>
      </s:c>
      <s:c r="S38" s="15" t="str">
        <s:f>IF(Setup!$B$3="","",Setup!$B$3)</s:f>
        <s:v>TEST ONLY</s:v>
      </s:c>
    </s:row>
    <s:row r="39" ht="72" customFormat="1" customHeight="1" s="8">
      <s:c r="A39" s="16" t="n">
        <s:v>2025</s:v>
      </s:c>
      <s:c r="B39" s="16" t="inlineStr">
        <s:is>
          <s:t>jama.2025.11178</s:t>
        </s:is>
      </s:c>
      <s:c r="C39" s="16" t="inlineStr">
        <s:is>
          <s:t>2025::jama.2025.11178::C022</s:t>
        </s:is>
      </s:c>
      <s:c r="D39" s="16" t="inlineStr">
        <s:is>
          <s:t>S_W</s:t>
        </s:is>
      </s:c>
      <s:c r="E39" s="16" t="str">
        <s:f>Setup!$B$4</s:f>
        <s:v>R_A</s:v>
      </s:c>
      <s:c r="F39" s="16" t="str">
        <s:f>IF(Setup!$B$2="","",Setup!$B$2)</s:f>
        <s:v>TEST_REVIEWER</s:v>
      </s:c>
      <s:c r="G39" s="16" t="str">
        <s:f>IFERROR(INDEX('C_jama.2025.11178'!$G$2:$G$38,MATCH(C39,'C_jama.2025.11178'!$A$2:$A$38,0)),"CHECK KEY")</s:f>
        <s:v>PRIMARY READY</s:v>
      </s:c>
      <s:c r="H39" s="16" t="str">
        <s: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s:f>
        <s:v>primary_temporal</s:v>
      </s:c>
      <s:c r="I39" s="16" t="inlineStr">
        <s:is>
          <s:t>retain</s:t>
        </s:is>
      </s:c>
      <s:c r="J39" s="16" t="inlineStr">
        <s:is>
          <s:t>statistical_results</s:t>
        </s:is>
      </s:c>
      <s:c r="K39" s="16" t="str">
        <s:f>IFERROR(IF(INDEX('C_jama.2025.11178'!$D$2:$D$38,MATCH(C39,'C_jama.2025.11178'!$A$2:$A$38,0))="","",INDEX('C_jama.2025.11178'!$D$2:$D$38,MATCH(C39,'C_jama.2025.11178'!$A$2:$A$38,0))),"")</s:f>
        <s:v>retain</s:v>
      </s:c>
      <s:c r="L39" s="16" t="str">
        <s:f>IFERROR(IF(INDEX('C_jama.2025.11178'!$E$2:$E$38,MATCH(C39,'C_jama.2025.11178'!$A$2:$A$38,0))="","",INDEX('C_jama.2025.11178'!$E$2:$E$38,MATCH(C39,'C_jama.2025.11178'!$A$2:$A$38,0))),"")</s:f>
        <s:v>statistical_results</s:v>
      </s:c>
      <s:c r="M39" s="16" t="str">
        <s:f>IFERROR(IF(AND(K39="retain",L39="statistical_results"),IF(INDEX('C_jama.2025.11178'!$H$2:$H$38,MATCH(C39,'C_jama.2025.11178'!$A$2:$A$38,0))="","",INDEX('C_jama.2025.11178'!$H$2:$H$38,MATCH(C39,'C_jama.2025.11178'!$A$2:$A$38,0))),"not_applicable"),"")</s:f>
        <s:v>confirmed_issue</s:v>
      </s:c>
      <s:c r="N39" s="16" t="str">
        <s:f>IFERROR(IF(AND(K39="retain",L39="statistical_results"),IF(INDEX('C_jama.2025.11178'!$I$2:$I$38,MATCH(C39,'C_jama.2025.11178'!$A$2:$A$38,0))="","",INDEX('C_jama.2025.11178'!$I$2:$I$38,MATCH(C39,'C_jama.2025.11178'!$A$2:$A$38,0))),"not_applicable"),"")</s:f>
        <s:v>substantive</s:v>
      </s:c>
      <s:c r="O39" s="16" t="str">
        <s:f>IFERROR(IF(AND(K39="retain",L39="statistical_results"),IF(INDEX('C_jama.2025.11178'!$J$2:$J$38,MATCH(C39,'C_jama.2025.11178'!$A$2:$A$38,0))="","",INDEX('C_jama.2025.11178'!$J$2:$J$38,MATCH(C39,'C_jama.2025.11178'!$A$2:$A$38,0))),"not_applicable"),"")</s:f>
        <s:v/>
      </s:c>
      <s:c r="P39" s="16" t="str">
        <s:f>IFERROR(IF(AND(K39="retain",OR(L39="report_internal_inconsistency",L39="plan_material")),IF(INDEX('C_jama.2025.11178'!$K$2:$K$38,MATCH(C39,'C_jama.2025.11178'!$A$2:$A$38,0))="","",INDEX('C_jama.2025.11178'!$K$2:$K$38,MATCH(C39,'C_jama.2025.11178'!$A$2:$A$38,0))),"not_applicable"),"")</s:f>
        <s:v>not_applicable</s:v>
      </s:c>
      <s:c r="Q39" s="16" t="str">
        <s:f>IFERROR(IF(AND(K39="retain",L39="protocol_report"),IF(INDEX('C_jama.2025.11178'!$L$2:$L$38,MATCH(C39,'C_jama.2025.11178'!$A$2:$A$38,0))="","",INDEX('C_jama.2025.11178'!$L$2:$L$38,MATCH(C39,'C_jama.2025.11178'!$A$2:$A$38,0))),"not_applicable"),"")</s:f>
        <s:v>not_applicable</s:v>
      </s:c>
      <s:c r="R39" s="16" t="str">
        <s:f>IFERROR(IF(INDEX('C_jama.2025.11178'!$R$2:$R$38,MATCH(C39,'C_jama.2025.11178'!$A$2:$A$38,0))="","",INDEX('C_jama.2025.11178'!$R$2:$R$38,MATCH(C39,'C_jama.2025.11178'!$A$2:$A$38,0))),"")</s:f>
        <s:v>TEST 2025::jama.2025.11178::C022</s:v>
      </s:c>
      <s:c r="S39" s="16" t="str">
        <s:f>IF(Setup!$B$3="","",Setup!$B$3)</s:f>
        <s:v>TEST ONLY</s:v>
      </s:c>
    </s:row>
    <s:row r="40" ht="72" customFormat="1" customHeight="1" s="8">
      <s:c r="A40" s="15" t="n">
        <s:v>2025</s:v>
      </s:c>
      <s:c r="B40" s="15" t="inlineStr">
        <s:is>
          <s:t>jama.2025.11178</s:t>
        </s:is>
      </s:c>
      <s:c r="C40" s="15" t="inlineStr">
        <s:is>
          <s:t>2025::jama.2025.11178::C023</s:t>
        </s:is>
      </s:c>
      <s:c r="D40" s="15" t="inlineStr">
        <s:is>
          <s:t>S_W</s:t>
        </s:is>
      </s:c>
      <s:c r="E40" s="15" t="str">
        <s:f>Setup!$B$4</s:f>
        <s:v>R_A</s:v>
      </s:c>
      <s:c r="F40" s="15" t="str">
        <s:f>IF(Setup!$B$2="","",Setup!$B$2)</s:f>
        <s:v>TEST_REVIEWER</s:v>
      </s:c>
      <s:c r="G40" s="15" t="str">
        <s:f>IFERROR(INDEX('C_jama.2025.11178'!$G$2:$G$38,MATCH(C40,'C_jama.2025.11178'!$A$2:$A$38,0)),"CHECK KEY")</s:f>
        <s:v>PRIMARY READY</s:v>
      </s:c>
      <s:c r="H40" s="15" t="str">
        <s: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s:f>
        <s:v>primary_temporal</s:v>
      </s:c>
      <s:c r="I40" s="15" t="inlineStr">
        <s:is>
          <s:t>retain</s:t>
        </s:is>
      </s:c>
      <s:c r="J40" s="15" t="inlineStr">
        <s:is>
          <s:t>statistical_results</s:t>
        </s:is>
      </s:c>
      <s:c r="K40" s="15" t="str">
        <s:f>IFERROR(IF(INDEX('C_jama.2025.11178'!$D$2:$D$38,MATCH(C40,'C_jama.2025.11178'!$A$2:$A$38,0))="","",INDEX('C_jama.2025.11178'!$D$2:$D$38,MATCH(C40,'C_jama.2025.11178'!$A$2:$A$38,0))),"")</s:f>
        <s:v>retain</s:v>
      </s:c>
      <s:c r="L40" s="15" t="str">
        <s:f>IFERROR(IF(INDEX('C_jama.2025.11178'!$E$2:$E$38,MATCH(C40,'C_jama.2025.11178'!$A$2:$A$38,0))="","",INDEX('C_jama.2025.11178'!$E$2:$E$38,MATCH(C40,'C_jama.2025.11178'!$A$2:$A$38,0))),"")</s:f>
        <s:v>statistical_results</s:v>
      </s:c>
      <s:c r="M40" s="15" t="str">
        <s:f>IFERROR(IF(AND(K40="retain",L40="statistical_results"),IF(INDEX('C_jama.2025.11178'!$H$2:$H$38,MATCH(C40,'C_jama.2025.11178'!$A$2:$A$38,0))="","",INDEX('C_jama.2025.11178'!$H$2:$H$38,MATCH(C40,'C_jama.2025.11178'!$A$2:$A$38,0))),"not_applicable"),"")</s:f>
        <s:v>confirmed_issue</s:v>
      </s:c>
      <s:c r="N40" s="15" t="str">
        <s:f>IFERROR(IF(AND(K40="retain",L40="statistical_results"),IF(INDEX('C_jama.2025.11178'!$I$2:$I$38,MATCH(C40,'C_jama.2025.11178'!$A$2:$A$38,0))="","",INDEX('C_jama.2025.11178'!$I$2:$I$38,MATCH(C40,'C_jama.2025.11178'!$A$2:$A$38,0))),"not_applicable"),"")</s:f>
        <s:v>substantive</s:v>
      </s:c>
      <s:c r="O40" s="15" t="str">
        <s:f>IFERROR(IF(AND(K40="retain",L40="statistical_results"),IF(INDEX('C_jama.2025.11178'!$J$2:$J$38,MATCH(C40,'C_jama.2025.11178'!$A$2:$A$38,0))="","",INDEX('C_jama.2025.11178'!$J$2:$J$38,MATCH(C40,'C_jama.2025.11178'!$A$2:$A$38,0))),"not_applicable"),"")</s:f>
        <s:v/>
      </s:c>
      <s:c r="P40" s="15" t="str">
        <s:f>IFERROR(IF(AND(K40="retain",OR(L40="report_internal_inconsistency",L40="plan_material")),IF(INDEX('C_jama.2025.11178'!$K$2:$K$38,MATCH(C40,'C_jama.2025.11178'!$A$2:$A$38,0))="","",INDEX('C_jama.2025.11178'!$K$2:$K$38,MATCH(C40,'C_jama.2025.11178'!$A$2:$A$38,0))),"not_applicable"),"")</s:f>
        <s:v>not_applicable</s:v>
      </s:c>
      <s:c r="Q40" s="15" t="str">
        <s:f>IFERROR(IF(AND(K40="retain",L40="protocol_report"),IF(INDEX('C_jama.2025.11178'!$L$2:$L$38,MATCH(C40,'C_jama.2025.11178'!$A$2:$A$38,0))="","",INDEX('C_jama.2025.11178'!$L$2:$L$38,MATCH(C40,'C_jama.2025.11178'!$A$2:$A$38,0))),"not_applicable"),"")</s:f>
        <s:v>not_applicable</s:v>
      </s:c>
      <s:c r="R40" s="15" t="str">
        <s:f>IFERROR(IF(INDEX('C_jama.2025.11178'!$R$2:$R$38,MATCH(C40,'C_jama.2025.11178'!$A$2:$A$38,0))="","",INDEX('C_jama.2025.11178'!$R$2:$R$38,MATCH(C40,'C_jama.2025.11178'!$A$2:$A$38,0))),"")</s:f>
        <s:v>TEST 2025::jama.2025.11178::C023</s:v>
      </s:c>
      <s:c r="S40" s="15" t="str">
        <s:f>IF(Setup!$B$3="","",Setup!$B$3)</s:f>
        <s:v>TEST ONLY</s:v>
      </s:c>
    </s:row>
    <s:row r="41" ht="72" customFormat="1" customHeight="1" s="8">
      <s:c r="A41" s="16" t="n">
        <s:v>2025</s:v>
      </s:c>
      <s:c r="B41" s="16" t="inlineStr">
        <s:is>
          <s:t>jama.2025.11178</s:t>
        </s:is>
      </s:c>
      <s:c r="C41" s="16" t="inlineStr">
        <s:is>
          <s:t>2025::jama.2025.11178::C024</s:t>
        </s:is>
      </s:c>
      <s:c r="D41" s="16" t="inlineStr">
        <s:is>
          <s:t>S_W</s:t>
        </s:is>
      </s:c>
      <s:c r="E41" s="16" t="str">
        <s:f>Setup!$B$4</s:f>
        <s:v>R_A</s:v>
      </s:c>
      <s:c r="F41" s="16" t="str">
        <s:f>IF(Setup!$B$2="","",Setup!$B$2)</s:f>
        <s:v>TEST_REVIEWER</s:v>
      </s:c>
      <s:c r="G41" s="16" t="str">
        <s:f>IFERROR(INDEX('C_jama.2025.11178'!$G$2:$G$38,MATCH(C41,'C_jama.2025.11178'!$A$2:$A$38,0)),"CHECK KEY")</s:f>
        <s:v>PRIMARY READY</s:v>
      </s:c>
      <s:c r="H41" s="16" t="str">
        <s: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s:f>
        <s:v>primary_temporal</s:v>
      </s:c>
      <s:c r="I41" s="16" t="inlineStr">
        <s:is>
          <s:t>retain</s:t>
        </s:is>
      </s:c>
      <s:c r="J41" s="16" t="inlineStr">
        <s:is>
          <s:t>statistical_results</s:t>
        </s:is>
      </s:c>
      <s:c r="K41" s="16" t="str">
        <s:f>IFERROR(IF(INDEX('C_jama.2025.11178'!$D$2:$D$38,MATCH(C41,'C_jama.2025.11178'!$A$2:$A$38,0))="","",INDEX('C_jama.2025.11178'!$D$2:$D$38,MATCH(C41,'C_jama.2025.11178'!$A$2:$A$38,0))),"")</s:f>
        <s:v>retain</s:v>
      </s:c>
      <s:c r="L41" s="16" t="str">
        <s:f>IFERROR(IF(INDEX('C_jama.2025.11178'!$E$2:$E$38,MATCH(C41,'C_jama.2025.11178'!$A$2:$A$38,0))="","",INDEX('C_jama.2025.11178'!$E$2:$E$38,MATCH(C41,'C_jama.2025.11178'!$A$2:$A$38,0))),"")</s:f>
        <s:v>statistical_results</s:v>
      </s:c>
      <s:c r="M41" s="16" t="str">
        <s:f>IFERROR(IF(AND(K41="retain",L41="statistical_results"),IF(INDEX('C_jama.2025.11178'!$H$2:$H$38,MATCH(C41,'C_jama.2025.11178'!$A$2:$A$38,0))="","",INDEX('C_jama.2025.11178'!$H$2:$H$38,MATCH(C41,'C_jama.2025.11178'!$A$2:$A$38,0))),"not_applicable"),"")</s:f>
        <s:v>confirmed_issue</s:v>
      </s:c>
      <s:c r="N41" s="16" t="str">
        <s:f>IFERROR(IF(AND(K41="retain",L41="statistical_results"),IF(INDEX('C_jama.2025.11178'!$I$2:$I$38,MATCH(C41,'C_jama.2025.11178'!$A$2:$A$38,0))="","",INDEX('C_jama.2025.11178'!$I$2:$I$38,MATCH(C41,'C_jama.2025.11178'!$A$2:$A$38,0))),"not_applicable"),"")</s:f>
        <s:v>substantive</s:v>
      </s:c>
      <s:c r="O41" s="16" t="str">
        <s:f>IFERROR(IF(AND(K41="retain",L41="statistical_results"),IF(INDEX('C_jama.2025.11178'!$J$2:$J$38,MATCH(C41,'C_jama.2025.11178'!$A$2:$A$38,0))="","",INDEX('C_jama.2025.11178'!$J$2:$J$38,MATCH(C41,'C_jama.2025.11178'!$A$2:$A$38,0))),"not_applicable"),"")</s:f>
        <s:v/>
      </s:c>
      <s:c r="P41" s="16" t="str">
        <s:f>IFERROR(IF(AND(K41="retain",OR(L41="report_internal_inconsistency",L41="plan_material")),IF(INDEX('C_jama.2025.11178'!$K$2:$K$38,MATCH(C41,'C_jama.2025.11178'!$A$2:$A$38,0))="","",INDEX('C_jama.2025.11178'!$K$2:$K$38,MATCH(C41,'C_jama.2025.11178'!$A$2:$A$38,0))),"not_applicable"),"")</s:f>
        <s:v>not_applicable</s:v>
      </s:c>
      <s:c r="Q41" s="16" t="str">
        <s:f>IFERROR(IF(AND(K41="retain",L41="protocol_report"),IF(INDEX('C_jama.2025.11178'!$L$2:$L$38,MATCH(C41,'C_jama.2025.11178'!$A$2:$A$38,0))="","",INDEX('C_jama.2025.11178'!$L$2:$L$38,MATCH(C41,'C_jama.2025.11178'!$A$2:$A$38,0))),"not_applicable"),"")</s:f>
        <s:v>not_applicable</s:v>
      </s:c>
      <s:c r="R41" s="16" t="str">
        <s:f>IFERROR(IF(INDEX('C_jama.2025.11178'!$R$2:$R$38,MATCH(C41,'C_jama.2025.11178'!$A$2:$A$38,0))="","",INDEX('C_jama.2025.11178'!$R$2:$R$38,MATCH(C41,'C_jama.2025.11178'!$A$2:$A$38,0))),"")</s:f>
        <s:v>TEST 2025::jama.2025.11178::C024</s:v>
      </s:c>
      <s:c r="S41" s="16" t="str">
        <s:f>IF(Setup!$B$3="","",Setup!$B$3)</s:f>
        <s:v>TEST ONLY</s:v>
      </s:c>
    </s:row>
    <s:row r="42" ht="72" customFormat="1" customHeight="1" s="8">
      <s:c r="A42" s="15" t="n">
        <s:v>2025</s:v>
      </s:c>
      <s:c r="B42" s="15" t="inlineStr">
        <s:is>
          <s:t>jama.2025.11178</s:t>
        </s:is>
      </s:c>
      <s:c r="C42" s="15" t="inlineStr">
        <s:is>
          <s:t>2025::jama.2025.11178::C025</s:t>
        </s:is>
      </s:c>
      <s:c r="D42" s="15" t="inlineStr">
        <s:is>
          <s:t>S_W</s:t>
        </s:is>
      </s:c>
      <s:c r="E42" s="15" t="str">
        <s:f>Setup!$B$4</s:f>
        <s:v>R_A</s:v>
      </s:c>
      <s:c r="F42" s="15" t="str">
        <s:f>IF(Setup!$B$2="","",Setup!$B$2)</s:f>
        <s:v>TEST_REVIEWER</s:v>
      </s:c>
      <s:c r="G42" s="15" t="str">
        <s:f>IFERROR(INDEX('C_jama.2025.11178'!$G$2:$G$38,MATCH(C42,'C_jama.2025.11178'!$A$2:$A$38,0)),"CHECK KEY")</s:f>
        <s:v>PRIMARY READY</s:v>
      </s:c>
      <s:c r="H42" s="15" t="str">
        <s: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s:f>
        <s:v>primary_temporal</s:v>
      </s:c>
      <s:c r="I42" s="15" t="inlineStr">
        <s:is>
          <s:t>retain</s:t>
        </s:is>
      </s:c>
      <s:c r="J42" s="15" t="inlineStr">
        <s:is>
          <s:t>statistical_results</s:t>
        </s:is>
      </s:c>
      <s:c r="K42" s="15" t="str">
        <s:f>IFERROR(IF(INDEX('C_jama.2025.11178'!$D$2:$D$38,MATCH(C42,'C_jama.2025.11178'!$A$2:$A$38,0))="","",INDEX('C_jama.2025.11178'!$D$2:$D$38,MATCH(C42,'C_jama.2025.11178'!$A$2:$A$38,0))),"")</s:f>
        <s:v>retain</s:v>
      </s:c>
      <s:c r="L42" s="15" t="str">
        <s:f>IFERROR(IF(INDEX('C_jama.2025.11178'!$E$2:$E$38,MATCH(C42,'C_jama.2025.11178'!$A$2:$A$38,0))="","",INDEX('C_jama.2025.11178'!$E$2:$E$38,MATCH(C42,'C_jama.2025.11178'!$A$2:$A$38,0))),"")</s:f>
        <s:v>statistical_results</s:v>
      </s:c>
      <s:c r="M42" s="15" t="str">
        <s:f>IFERROR(IF(AND(K42="retain",L42="statistical_results"),IF(INDEX('C_jama.2025.11178'!$H$2:$H$38,MATCH(C42,'C_jama.2025.11178'!$A$2:$A$38,0))="","",INDEX('C_jama.2025.11178'!$H$2:$H$38,MATCH(C42,'C_jama.2025.11178'!$A$2:$A$38,0))),"not_applicable"),"")</s:f>
        <s:v>confirmed_issue</s:v>
      </s:c>
      <s:c r="N42" s="15" t="str">
        <s:f>IFERROR(IF(AND(K42="retain",L42="statistical_results"),IF(INDEX('C_jama.2025.11178'!$I$2:$I$38,MATCH(C42,'C_jama.2025.11178'!$A$2:$A$38,0))="","",INDEX('C_jama.2025.11178'!$I$2:$I$38,MATCH(C42,'C_jama.2025.11178'!$A$2:$A$38,0))),"not_applicable"),"")</s:f>
        <s:v>substantive</s:v>
      </s:c>
      <s:c r="O42" s="15" t="str">
        <s:f>IFERROR(IF(AND(K42="retain",L42="statistical_results"),IF(INDEX('C_jama.2025.11178'!$J$2:$J$38,MATCH(C42,'C_jama.2025.11178'!$A$2:$A$38,0))="","",INDEX('C_jama.2025.11178'!$J$2:$J$38,MATCH(C42,'C_jama.2025.11178'!$A$2:$A$38,0))),"not_applicable"),"")</s:f>
        <s:v/>
      </s:c>
      <s:c r="P42" s="15" t="str">
        <s:f>IFERROR(IF(AND(K42="retain",OR(L42="report_internal_inconsistency",L42="plan_material")),IF(INDEX('C_jama.2025.11178'!$K$2:$K$38,MATCH(C42,'C_jama.2025.11178'!$A$2:$A$38,0))="","",INDEX('C_jama.2025.11178'!$K$2:$K$38,MATCH(C42,'C_jama.2025.11178'!$A$2:$A$38,0))),"not_applicable"),"")</s:f>
        <s:v>not_applicable</s:v>
      </s:c>
      <s:c r="Q42" s="15" t="str">
        <s:f>IFERROR(IF(AND(K42="retain",L42="protocol_report"),IF(INDEX('C_jama.2025.11178'!$L$2:$L$38,MATCH(C42,'C_jama.2025.11178'!$A$2:$A$38,0))="","",INDEX('C_jama.2025.11178'!$L$2:$L$38,MATCH(C42,'C_jama.2025.11178'!$A$2:$A$38,0))),"not_applicable"),"")</s:f>
        <s:v>not_applicable</s:v>
      </s:c>
      <s:c r="R42" s="15" t="str">
        <s:f>IFERROR(IF(INDEX('C_jama.2025.11178'!$R$2:$R$38,MATCH(C42,'C_jama.2025.11178'!$A$2:$A$38,0))="","",INDEX('C_jama.2025.11178'!$R$2:$R$38,MATCH(C42,'C_jama.2025.11178'!$A$2:$A$38,0))),"")</s:f>
        <s:v>TEST 2025::jama.2025.11178::C025</s:v>
      </s:c>
      <s:c r="S42" s="15" t="str">
        <s:f>IF(Setup!$B$3="","",Setup!$B$3)</s:f>
        <s:v>TEST ONLY</s:v>
      </s:c>
    </s:row>
    <s:row r="43" ht="72" customFormat="1" customHeight="1" s="8">
      <s:c r="A43" s="16" t="n">
        <s:v>2025</s:v>
      </s:c>
      <s:c r="B43" s="16" t="inlineStr">
        <s:is>
          <s:t>jama.2025.11178</s:t>
        </s:is>
      </s:c>
      <s:c r="C43" s="16" t="inlineStr">
        <s:is>
          <s:t>2025::jama.2025.11178::C026</s:t>
        </s:is>
      </s:c>
      <s:c r="D43" s="16" t="inlineStr">
        <s:is>
          <s:t>S_W</s:t>
        </s:is>
      </s:c>
      <s:c r="E43" s="16" t="str">
        <s:f>Setup!$B$4</s:f>
        <s:v>R_A</s:v>
      </s:c>
      <s:c r="F43" s="16" t="str">
        <s:f>IF(Setup!$B$2="","",Setup!$B$2)</s:f>
        <s:v>TEST_REVIEWER</s:v>
      </s:c>
      <s:c r="G43" s="16" t="str">
        <s:f>IFERROR(INDEX('C_jama.2025.11178'!$G$2:$G$38,MATCH(C43,'C_jama.2025.11178'!$A$2:$A$38,0)),"CHECK KEY")</s:f>
        <s:v>PRIMARY READY</s:v>
      </s:c>
      <s:c r="H43" s="16" t="str">
        <s: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s:f>
        <s:v>primary_temporal</s:v>
      </s:c>
      <s:c r="I43" s="16" t="inlineStr">
        <s:is>
          <s:t>retain</s:t>
        </s:is>
      </s:c>
      <s:c r="J43" s="16" t="inlineStr">
        <s:is>
          <s:t>statistical_results</s:t>
        </s:is>
      </s:c>
      <s:c r="K43" s="16" t="str">
        <s:f>IFERROR(IF(INDEX('C_jama.2025.11178'!$D$2:$D$38,MATCH(C43,'C_jama.2025.11178'!$A$2:$A$38,0))="","",INDEX('C_jama.2025.11178'!$D$2:$D$38,MATCH(C43,'C_jama.2025.11178'!$A$2:$A$38,0))),"")</s:f>
        <s:v>retain</s:v>
      </s:c>
      <s:c r="L43" s="16" t="str">
        <s:f>IFERROR(IF(INDEX('C_jama.2025.11178'!$E$2:$E$38,MATCH(C43,'C_jama.2025.11178'!$A$2:$A$38,0))="","",INDEX('C_jama.2025.11178'!$E$2:$E$38,MATCH(C43,'C_jama.2025.11178'!$A$2:$A$38,0))),"")</s:f>
        <s:v>statistical_results</s:v>
      </s:c>
      <s:c r="M43" s="16" t="str">
        <s:f>IFERROR(IF(AND(K43="retain",L43="statistical_results"),IF(INDEX('C_jama.2025.11178'!$H$2:$H$38,MATCH(C43,'C_jama.2025.11178'!$A$2:$A$38,0))="","",INDEX('C_jama.2025.11178'!$H$2:$H$38,MATCH(C43,'C_jama.2025.11178'!$A$2:$A$38,0))),"not_applicable"),"")</s:f>
        <s:v>confirmed_issue</s:v>
      </s:c>
      <s:c r="N43" s="16" t="str">
        <s:f>IFERROR(IF(AND(K43="retain",L43="statistical_results"),IF(INDEX('C_jama.2025.11178'!$I$2:$I$38,MATCH(C43,'C_jama.2025.11178'!$A$2:$A$38,0))="","",INDEX('C_jama.2025.11178'!$I$2:$I$38,MATCH(C43,'C_jama.2025.11178'!$A$2:$A$38,0))),"not_applicable"),"")</s:f>
        <s:v>substantive</s:v>
      </s:c>
      <s:c r="O43" s="16" t="str">
        <s:f>IFERROR(IF(AND(K43="retain",L43="statistical_results"),IF(INDEX('C_jama.2025.11178'!$J$2:$J$38,MATCH(C43,'C_jama.2025.11178'!$A$2:$A$38,0))="","",INDEX('C_jama.2025.11178'!$J$2:$J$38,MATCH(C43,'C_jama.2025.11178'!$A$2:$A$38,0))),"not_applicable"),"")</s:f>
        <s:v/>
      </s:c>
      <s:c r="P43" s="16" t="str">
        <s:f>IFERROR(IF(AND(K43="retain",OR(L43="report_internal_inconsistency",L43="plan_material")),IF(INDEX('C_jama.2025.11178'!$K$2:$K$38,MATCH(C43,'C_jama.2025.11178'!$A$2:$A$38,0))="","",INDEX('C_jama.2025.11178'!$K$2:$K$38,MATCH(C43,'C_jama.2025.11178'!$A$2:$A$38,0))),"not_applicable"),"")</s:f>
        <s:v>not_applicable</s:v>
      </s:c>
      <s:c r="Q43" s="16" t="str">
        <s:f>IFERROR(IF(AND(K43="retain",L43="protocol_report"),IF(INDEX('C_jama.2025.11178'!$L$2:$L$38,MATCH(C43,'C_jama.2025.11178'!$A$2:$A$38,0))="","",INDEX('C_jama.2025.11178'!$L$2:$L$38,MATCH(C43,'C_jama.2025.11178'!$A$2:$A$38,0))),"not_applicable"),"")</s:f>
        <s:v>not_applicable</s:v>
      </s:c>
      <s:c r="R43" s="16" t="str">
        <s:f>IFERROR(IF(INDEX('C_jama.2025.11178'!$R$2:$R$38,MATCH(C43,'C_jama.2025.11178'!$A$2:$A$38,0))="","",INDEX('C_jama.2025.11178'!$R$2:$R$38,MATCH(C43,'C_jama.2025.11178'!$A$2:$A$38,0))),"")</s:f>
        <s:v>TEST 2025::jama.2025.11178::C026</s:v>
      </s:c>
      <s:c r="S43" s="16" t="str">
        <s:f>IF(Setup!$B$3="","",Setup!$B$3)</s:f>
        <s:v>TEST ONLY</s:v>
      </s:c>
    </s:row>
    <s:row r="44" ht="72" customFormat="1" customHeight="1" s="8">
      <s:c r="A44" s="15" t="n">
        <s:v>2025</s:v>
      </s:c>
      <s:c r="B44" s="15" t="inlineStr">
        <s:is>
          <s:t>jama.2025.11178</s:t>
        </s:is>
      </s:c>
      <s:c r="C44" s="15" t="inlineStr">
        <s:is>
          <s:t>2025::jama.2025.11178::C027</s:t>
        </s:is>
      </s:c>
      <s:c r="D44" s="15" t="inlineStr">
        <s:is>
          <s:t>S_W</s:t>
        </s:is>
      </s:c>
      <s:c r="E44" s="15" t="str">
        <s:f>Setup!$B$4</s:f>
        <s:v>R_A</s:v>
      </s:c>
      <s:c r="F44" s="15" t="str">
        <s:f>IF(Setup!$B$2="","",Setup!$B$2)</s:f>
        <s:v>TEST_REVIEWER</s:v>
      </s:c>
      <s:c r="G44" s="15" t="str">
        <s:f>IFERROR(INDEX('C_jama.2025.11178'!$G$2:$G$38,MATCH(C44,'C_jama.2025.11178'!$A$2:$A$38,0)),"CHECK KEY")</s:f>
        <s:v>PRIMARY READY</s:v>
      </s:c>
      <s:c r="H44" s="15" t="str">
        <s: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s:f>
        <s:v>primary_temporal</s:v>
      </s:c>
      <s:c r="I44" s="15" t="inlineStr">
        <s:is>
          <s:t>retain</s:t>
        </s:is>
      </s:c>
      <s:c r="J44" s="15" t="inlineStr">
        <s:is>
          <s:t>statistical_results</s:t>
        </s:is>
      </s:c>
      <s:c r="K44" s="15" t="str">
        <s:f>IFERROR(IF(INDEX('C_jama.2025.11178'!$D$2:$D$38,MATCH(C44,'C_jama.2025.11178'!$A$2:$A$38,0))="","",INDEX('C_jama.2025.11178'!$D$2:$D$38,MATCH(C44,'C_jama.2025.11178'!$A$2:$A$38,0))),"")</s:f>
        <s:v>retain</s:v>
      </s:c>
      <s:c r="L44" s="15" t="str">
        <s:f>IFERROR(IF(INDEX('C_jama.2025.11178'!$E$2:$E$38,MATCH(C44,'C_jama.2025.11178'!$A$2:$A$38,0))="","",INDEX('C_jama.2025.11178'!$E$2:$E$38,MATCH(C44,'C_jama.2025.11178'!$A$2:$A$38,0))),"")</s:f>
        <s:v>statistical_results</s:v>
      </s:c>
      <s:c r="M44" s="15" t="str">
        <s:f>IFERROR(IF(AND(K44="retain",L44="statistical_results"),IF(INDEX('C_jama.2025.11178'!$H$2:$H$38,MATCH(C44,'C_jama.2025.11178'!$A$2:$A$38,0))="","",INDEX('C_jama.2025.11178'!$H$2:$H$38,MATCH(C44,'C_jama.2025.11178'!$A$2:$A$38,0))),"not_applicable"),"")</s:f>
        <s:v>confirmed_issue</s:v>
      </s:c>
      <s:c r="N44" s="15" t="str">
        <s:f>IFERROR(IF(AND(K44="retain",L44="statistical_results"),IF(INDEX('C_jama.2025.11178'!$I$2:$I$38,MATCH(C44,'C_jama.2025.11178'!$A$2:$A$38,0))="","",INDEX('C_jama.2025.11178'!$I$2:$I$38,MATCH(C44,'C_jama.2025.11178'!$A$2:$A$38,0))),"not_applicable"),"")</s:f>
        <s:v>substantive</s:v>
      </s:c>
      <s:c r="O44" s="15" t="str">
        <s:f>IFERROR(IF(AND(K44="retain",L44="statistical_results"),IF(INDEX('C_jama.2025.11178'!$J$2:$J$38,MATCH(C44,'C_jama.2025.11178'!$A$2:$A$38,0))="","",INDEX('C_jama.2025.11178'!$J$2:$J$38,MATCH(C44,'C_jama.2025.11178'!$A$2:$A$38,0))),"not_applicable"),"")</s:f>
        <s:v/>
      </s:c>
      <s:c r="P44" s="15" t="str">
        <s:f>IFERROR(IF(AND(K44="retain",OR(L44="report_internal_inconsistency",L44="plan_material")),IF(INDEX('C_jama.2025.11178'!$K$2:$K$38,MATCH(C44,'C_jama.2025.11178'!$A$2:$A$38,0))="","",INDEX('C_jama.2025.11178'!$K$2:$K$38,MATCH(C44,'C_jama.2025.11178'!$A$2:$A$38,0))),"not_applicable"),"")</s:f>
        <s:v>not_applicable</s:v>
      </s:c>
      <s:c r="Q44" s="15" t="str">
        <s:f>IFERROR(IF(AND(K44="retain",L44="protocol_report"),IF(INDEX('C_jama.2025.11178'!$L$2:$L$38,MATCH(C44,'C_jama.2025.11178'!$A$2:$A$38,0))="","",INDEX('C_jama.2025.11178'!$L$2:$L$38,MATCH(C44,'C_jama.2025.11178'!$A$2:$A$38,0))),"not_applicable"),"")</s:f>
        <s:v>not_applicable</s:v>
      </s:c>
      <s:c r="R44" s="15" t="str">
        <s:f>IFERROR(IF(INDEX('C_jama.2025.11178'!$R$2:$R$38,MATCH(C44,'C_jama.2025.11178'!$A$2:$A$38,0))="","",INDEX('C_jama.2025.11178'!$R$2:$R$38,MATCH(C44,'C_jama.2025.11178'!$A$2:$A$38,0))),"")</s:f>
        <s:v>TEST 2025::jama.2025.11178::C027</s:v>
      </s:c>
      <s:c r="S44" s="15" t="str">
        <s:f>IF(Setup!$B$3="","",Setup!$B$3)</s:f>
        <s:v>TEST ONLY</s:v>
      </s:c>
    </s:row>
    <s:row r="45" ht="72" customFormat="1" customHeight="1" s="8">
      <s:c r="A45" s="16" t="n">
        <s:v>2025</s:v>
      </s:c>
      <s:c r="B45" s="16" t="inlineStr">
        <s:is>
          <s:t>jama.2025.11178</s:t>
        </s:is>
      </s:c>
      <s:c r="C45" s="16" t="inlineStr">
        <s:is>
          <s:t>2025::jama.2025.11178::C028</s:t>
        </s:is>
      </s:c>
      <s:c r="D45" s="16" t="inlineStr">
        <s:is>
          <s:t>S_W</s:t>
        </s:is>
      </s:c>
      <s:c r="E45" s="16" t="str">
        <s:f>Setup!$B$4</s:f>
        <s:v>R_A</s:v>
      </s:c>
      <s:c r="F45" s="16" t="str">
        <s:f>IF(Setup!$B$2="","",Setup!$B$2)</s:f>
        <s:v>TEST_REVIEWER</s:v>
      </s:c>
      <s:c r="G45" s="16" t="str">
        <s:f>IFERROR(INDEX('C_jama.2025.11178'!$G$2:$G$38,MATCH(C45,'C_jama.2025.11178'!$A$2:$A$38,0)),"CHECK KEY")</s:f>
        <s:v>PRIMARY READY</s:v>
      </s:c>
      <s:c r="H45" s="16" t="str">
        <s: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s:f>
        <s:v>primary_temporal</s:v>
      </s:c>
      <s:c r="I45" s="16" t="inlineStr">
        <s:is>
          <s:t>retain</s:t>
        </s:is>
      </s:c>
      <s:c r="J45" s="16" t="inlineStr">
        <s:is>
          <s:t>statistical_results</s:t>
        </s:is>
      </s:c>
      <s:c r="K45" s="16" t="str">
        <s:f>IFERROR(IF(INDEX('C_jama.2025.11178'!$D$2:$D$38,MATCH(C45,'C_jama.2025.11178'!$A$2:$A$38,0))="","",INDEX('C_jama.2025.11178'!$D$2:$D$38,MATCH(C45,'C_jama.2025.11178'!$A$2:$A$38,0))),"")</s:f>
        <s:v>retain</s:v>
      </s:c>
      <s:c r="L45" s="16" t="str">
        <s:f>IFERROR(IF(INDEX('C_jama.2025.11178'!$E$2:$E$38,MATCH(C45,'C_jama.2025.11178'!$A$2:$A$38,0))="","",INDEX('C_jama.2025.11178'!$E$2:$E$38,MATCH(C45,'C_jama.2025.11178'!$A$2:$A$38,0))),"")</s:f>
        <s:v>statistical_results</s:v>
      </s:c>
      <s:c r="M45" s="16" t="str">
        <s:f>IFERROR(IF(AND(K45="retain",L45="statistical_results"),IF(INDEX('C_jama.2025.11178'!$H$2:$H$38,MATCH(C45,'C_jama.2025.11178'!$A$2:$A$38,0))="","",INDEX('C_jama.2025.11178'!$H$2:$H$38,MATCH(C45,'C_jama.2025.11178'!$A$2:$A$38,0))),"not_applicable"),"")</s:f>
        <s:v>confirmed_issue</s:v>
      </s:c>
      <s:c r="N45" s="16" t="str">
        <s:f>IFERROR(IF(AND(K45="retain",L45="statistical_results"),IF(INDEX('C_jama.2025.11178'!$I$2:$I$38,MATCH(C45,'C_jama.2025.11178'!$A$2:$A$38,0))="","",INDEX('C_jama.2025.11178'!$I$2:$I$38,MATCH(C45,'C_jama.2025.11178'!$A$2:$A$38,0))),"not_applicable"),"")</s:f>
        <s:v>substantive</s:v>
      </s:c>
      <s:c r="O45" s="16" t="str">
        <s:f>IFERROR(IF(AND(K45="retain",L45="statistical_results"),IF(INDEX('C_jama.2025.11178'!$J$2:$J$38,MATCH(C45,'C_jama.2025.11178'!$A$2:$A$38,0))="","",INDEX('C_jama.2025.11178'!$J$2:$J$38,MATCH(C45,'C_jama.2025.11178'!$A$2:$A$38,0))),"not_applicable"),"")</s:f>
        <s:v/>
      </s:c>
      <s:c r="P45" s="16" t="str">
        <s:f>IFERROR(IF(AND(K45="retain",OR(L45="report_internal_inconsistency",L45="plan_material")),IF(INDEX('C_jama.2025.11178'!$K$2:$K$38,MATCH(C45,'C_jama.2025.11178'!$A$2:$A$38,0))="","",INDEX('C_jama.2025.11178'!$K$2:$K$38,MATCH(C45,'C_jama.2025.11178'!$A$2:$A$38,0))),"not_applicable"),"")</s:f>
        <s:v>not_applicable</s:v>
      </s:c>
      <s:c r="Q45" s="16" t="str">
        <s:f>IFERROR(IF(AND(K45="retain",L45="protocol_report"),IF(INDEX('C_jama.2025.11178'!$L$2:$L$38,MATCH(C45,'C_jama.2025.11178'!$A$2:$A$38,0))="","",INDEX('C_jama.2025.11178'!$L$2:$L$38,MATCH(C45,'C_jama.2025.11178'!$A$2:$A$38,0))),"not_applicable"),"")</s:f>
        <s:v>not_applicable</s:v>
      </s:c>
      <s:c r="R45" s="16" t="str">
        <s:f>IFERROR(IF(INDEX('C_jama.2025.11178'!$R$2:$R$38,MATCH(C45,'C_jama.2025.11178'!$A$2:$A$38,0))="","",INDEX('C_jama.2025.11178'!$R$2:$R$38,MATCH(C45,'C_jama.2025.11178'!$A$2:$A$38,0))),"")</s:f>
        <s:v>TEST 2025::jama.2025.11178::C028</s:v>
      </s:c>
      <s:c r="S45" s="16" t="str">
        <s:f>IF(Setup!$B$3="","",Setup!$B$3)</s:f>
        <s:v>TEST ONLY</s:v>
      </s:c>
    </s:row>
    <s:row r="46" ht="72" customFormat="1" customHeight="1" s="8">
      <s:c r="A46" s="15" t="n">
        <s:v>2025</s:v>
      </s:c>
      <s:c r="B46" s="15" t="inlineStr">
        <s:is>
          <s:t>jama.2025.11178</s:t>
        </s:is>
      </s:c>
      <s:c r="C46" s="15" t="inlineStr">
        <s:is>
          <s:t>2025::jama.2025.11178::C029</s:t>
        </s:is>
      </s:c>
      <s:c r="D46" s="15" t="inlineStr">
        <s:is>
          <s:t>S_W</s:t>
        </s:is>
      </s:c>
      <s:c r="E46" s="15" t="str">
        <s:f>Setup!$B$4</s:f>
        <s:v>R_A</s:v>
      </s:c>
      <s:c r="F46" s="15" t="str">
        <s:f>IF(Setup!$B$2="","",Setup!$B$2)</s:f>
        <s:v>TEST_REVIEWER</s:v>
      </s:c>
      <s:c r="G46" s="15" t="str">
        <s:f>IFERROR(INDEX('C_jama.2025.11178'!$G$2:$G$38,MATCH(C46,'C_jama.2025.11178'!$A$2:$A$38,0)),"CHECK KEY")</s:f>
        <s:v>PRIMARY READY</s:v>
      </s:c>
      <s:c r="H46" s="15" t="str">
        <s: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s:f>
        <s:v>primary_temporal</s:v>
      </s:c>
      <s:c r="I46" s="15" t="inlineStr">
        <s:is>
          <s:t>retain</s:t>
        </s:is>
      </s:c>
      <s:c r="J46" s="15" t="inlineStr">
        <s:is>
          <s:t>statistical_results</s:t>
        </s:is>
      </s:c>
      <s:c r="K46" s="15" t="str">
        <s:f>IFERROR(IF(INDEX('C_jama.2025.11178'!$D$2:$D$38,MATCH(C46,'C_jama.2025.11178'!$A$2:$A$38,0))="","",INDEX('C_jama.2025.11178'!$D$2:$D$38,MATCH(C46,'C_jama.2025.11178'!$A$2:$A$38,0))),"")</s:f>
        <s:v>retain</s:v>
      </s:c>
      <s:c r="L46" s="15" t="str">
        <s:f>IFERROR(IF(INDEX('C_jama.2025.11178'!$E$2:$E$38,MATCH(C46,'C_jama.2025.11178'!$A$2:$A$38,0))="","",INDEX('C_jama.2025.11178'!$E$2:$E$38,MATCH(C46,'C_jama.2025.11178'!$A$2:$A$38,0))),"")</s:f>
        <s:v>statistical_results</s:v>
      </s:c>
      <s:c r="M46" s="15" t="str">
        <s:f>IFERROR(IF(AND(K46="retain",L46="statistical_results"),IF(INDEX('C_jama.2025.11178'!$H$2:$H$38,MATCH(C46,'C_jama.2025.11178'!$A$2:$A$38,0))="","",INDEX('C_jama.2025.11178'!$H$2:$H$38,MATCH(C46,'C_jama.2025.11178'!$A$2:$A$38,0))),"not_applicable"),"")</s:f>
        <s:v>confirmed_issue</s:v>
      </s:c>
      <s:c r="N46" s="15" t="str">
        <s:f>IFERROR(IF(AND(K46="retain",L46="statistical_results"),IF(INDEX('C_jama.2025.11178'!$I$2:$I$38,MATCH(C46,'C_jama.2025.11178'!$A$2:$A$38,0))="","",INDEX('C_jama.2025.11178'!$I$2:$I$38,MATCH(C46,'C_jama.2025.11178'!$A$2:$A$38,0))),"not_applicable"),"")</s:f>
        <s:v>substantive</s:v>
      </s:c>
      <s:c r="O46" s="15" t="str">
        <s:f>IFERROR(IF(AND(K46="retain",L46="statistical_results"),IF(INDEX('C_jama.2025.11178'!$J$2:$J$38,MATCH(C46,'C_jama.2025.11178'!$A$2:$A$38,0))="","",INDEX('C_jama.2025.11178'!$J$2:$J$38,MATCH(C46,'C_jama.2025.11178'!$A$2:$A$38,0))),"not_applicable"),"")</s:f>
        <s:v/>
      </s:c>
      <s:c r="P46" s="15" t="str">
        <s:f>IFERROR(IF(AND(K46="retain",OR(L46="report_internal_inconsistency",L46="plan_material")),IF(INDEX('C_jama.2025.11178'!$K$2:$K$38,MATCH(C46,'C_jama.2025.11178'!$A$2:$A$38,0))="","",INDEX('C_jama.2025.11178'!$K$2:$K$38,MATCH(C46,'C_jama.2025.11178'!$A$2:$A$38,0))),"not_applicable"),"")</s:f>
        <s:v>not_applicable</s:v>
      </s:c>
      <s:c r="Q46" s="15" t="str">
        <s:f>IFERROR(IF(AND(K46="retain",L46="protocol_report"),IF(INDEX('C_jama.2025.11178'!$L$2:$L$38,MATCH(C46,'C_jama.2025.11178'!$A$2:$A$38,0))="","",INDEX('C_jama.2025.11178'!$L$2:$L$38,MATCH(C46,'C_jama.2025.11178'!$A$2:$A$38,0))),"not_applicable"),"")</s:f>
        <s:v>not_applicable</s:v>
      </s:c>
      <s:c r="R46" s="15" t="str">
        <s:f>IFERROR(IF(INDEX('C_jama.2025.11178'!$R$2:$R$38,MATCH(C46,'C_jama.2025.11178'!$A$2:$A$38,0))="","",INDEX('C_jama.2025.11178'!$R$2:$R$38,MATCH(C46,'C_jama.2025.11178'!$A$2:$A$38,0))),"")</s:f>
        <s:v>TEST 2025::jama.2025.11178::C029</s:v>
      </s:c>
      <s:c r="S46" s="15" t="str">
        <s:f>IF(Setup!$B$3="","",Setup!$B$3)</s:f>
        <s:v>TEST ONLY</s:v>
      </s:c>
    </s:row>
    <s:row r="47" ht="72" customFormat="1" customHeight="1" s="8">
      <s:c r="A47" s="16" t="n">
        <s:v>2025</s:v>
      </s:c>
      <s:c r="B47" s="16" t="inlineStr">
        <s:is>
          <s:t>jama.2025.11178</s:t>
        </s:is>
      </s:c>
      <s:c r="C47" s="16" t="inlineStr">
        <s:is>
          <s:t>2025::jama.2025.11178::C030</s:t>
        </s:is>
      </s:c>
      <s:c r="D47" s="16" t="inlineStr">
        <s:is>
          <s:t>S_W</s:t>
        </s:is>
      </s:c>
      <s:c r="E47" s="16" t="str">
        <s:f>Setup!$B$4</s:f>
        <s:v>R_A</s:v>
      </s:c>
      <s:c r="F47" s="16" t="str">
        <s:f>IF(Setup!$B$2="","",Setup!$B$2)</s:f>
        <s:v>TEST_REVIEWER</s:v>
      </s:c>
      <s:c r="G47" s="16" t="str">
        <s:f>IFERROR(INDEX('C_jama.2025.11178'!$G$2:$G$38,MATCH(C47,'C_jama.2025.11178'!$A$2:$A$38,0)),"CHECK KEY")</s:f>
        <s:v>PRIMARY READY</s:v>
      </s:c>
      <s:c r="H47" s="16" t="str">
        <s: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s:f>
        <s:v>primary_temporal</s:v>
      </s:c>
      <s:c r="I47" s="16" t="inlineStr">
        <s:is>
          <s:t>retain</s:t>
        </s:is>
      </s:c>
      <s:c r="J47" s="16" t="inlineStr">
        <s:is>
          <s:t>statistical_results</s:t>
        </s:is>
      </s:c>
      <s:c r="K47" s="16" t="str">
        <s:f>IFERROR(IF(INDEX('C_jama.2025.11178'!$D$2:$D$38,MATCH(C47,'C_jama.2025.11178'!$A$2:$A$38,0))="","",INDEX('C_jama.2025.11178'!$D$2:$D$38,MATCH(C47,'C_jama.2025.11178'!$A$2:$A$38,0))),"")</s:f>
        <s:v>retain</s:v>
      </s:c>
      <s:c r="L47" s="16" t="str">
        <s:f>IFERROR(IF(INDEX('C_jama.2025.11178'!$E$2:$E$38,MATCH(C47,'C_jama.2025.11178'!$A$2:$A$38,0))="","",INDEX('C_jama.2025.11178'!$E$2:$E$38,MATCH(C47,'C_jama.2025.11178'!$A$2:$A$38,0))),"")</s:f>
        <s:v>statistical_results</s:v>
      </s:c>
      <s:c r="M47" s="16" t="str">
        <s:f>IFERROR(IF(AND(K47="retain",L47="statistical_results"),IF(INDEX('C_jama.2025.11178'!$H$2:$H$38,MATCH(C47,'C_jama.2025.11178'!$A$2:$A$38,0))="","",INDEX('C_jama.2025.11178'!$H$2:$H$38,MATCH(C47,'C_jama.2025.11178'!$A$2:$A$38,0))),"not_applicable"),"")</s:f>
        <s:v>confirmed_issue</s:v>
      </s:c>
      <s:c r="N47" s="16" t="str">
        <s:f>IFERROR(IF(AND(K47="retain",L47="statistical_results"),IF(INDEX('C_jama.2025.11178'!$I$2:$I$38,MATCH(C47,'C_jama.2025.11178'!$A$2:$A$38,0))="","",INDEX('C_jama.2025.11178'!$I$2:$I$38,MATCH(C47,'C_jama.2025.11178'!$A$2:$A$38,0))),"not_applicable"),"")</s:f>
        <s:v>substantive</s:v>
      </s:c>
      <s:c r="O47" s="16" t="str">
        <s:f>IFERROR(IF(AND(K47="retain",L47="statistical_results"),IF(INDEX('C_jama.2025.11178'!$J$2:$J$38,MATCH(C47,'C_jama.2025.11178'!$A$2:$A$38,0))="","",INDEX('C_jama.2025.11178'!$J$2:$J$38,MATCH(C47,'C_jama.2025.11178'!$A$2:$A$38,0))),"not_applicable"),"")</s:f>
        <s:v/>
      </s:c>
      <s:c r="P47" s="16" t="str">
        <s:f>IFERROR(IF(AND(K47="retain",OR(L47="report_internal_inconsistency",L47="plan_material")),IF(INDEX('C_jama.2025.11178'!$K$2:$K$38,MATCH(C47,'C_jama.2025.11178'!$A$2:$A$38,0))="","",INDEX('C_jama.2025.11178'!$K$2:$K$38,MATCH(C47,'C_jama.2025.11178'!$A$2:$A$38,0))),"not_applicable"),"")</s:f>
        <s:v>not_applicable</s:v>
      </s:c>
      <s:c r="Q47" s="16" t="str">
        <s:f>IFERROR(IF(AND(K47="retain",L47="protocol_report"),IF(INDEX('C_jama.2025.11178'!$L$2:$L$38,MATCH(C47,'C_jama.2025.11178'!$A$2:$A$38,0))="","",INDEX('C_jama.2025.11178'!$L$2:$L$38,MATCH(C47,'C_jama.2025.11178'!$A$2:$A$38,0))),"not_applicable"),"")</s:f>
        <s:v>not_applicable</s:v>
      </s:c>
      <s:c r="R47" s="16" t="str">
        <s:f>IFERROR(IF(INDEX('C_jama.2025.11178'!$R$2:$R$38,MATCH(C47,'C_jama.2025.11178'!$A$2:$A$38,0))="","",INDEX('C_jama.2025.11178'!$R$2:$R$38,MATCH(C47,'C_jama.2025.11178'!$A$2:$A$38,0))),"")</s:f>
        <s:v>TEST 2025::jama.2025.11178::C030</s:v>
      </s:c>
      <s:c r="S47" s="16" t="str">
        <s:f>IF(Setup!$B$3="","",Setup!$B$3)</s:f>
        <s:v>TEST ONLY</s:v>
      </s:c>
    </s:row>
    <s:row r="48" ht="72" customFormat="1" customHeight="1" s="8">
      <s:c r="A48" s="15" t="n">
        <s:v>2025</s:v>
      </s:c>
      <s:c r="B48" s="15" t="inlineStr">
        <s:is>
          <s:t>jama.2025.11178</s:t>
        </s:is>
      </s:c>
      <s:c r="C48" s="15" t="inlineStr">
        <s:is>
          <s:t>2025::jama.2025.11178::C031</s:t>
        </s:is>
      </s:c>
      <s:c r="D48" s="15" t="inlineStr">
        <s:is>
          <s:t>S_W</s:t>
        </s:is>
      </s:c>
      <s:c r="E48" s="15" t="str">
        <s:f>Setup!$B$4</s:f>
        <s:v>R_A</s:v>
      </s:c>
      <s:c r="F48" s="15" t="str">
        <s:f>IF(Setup!$B$2="","",Setup!$B$2)</s:f>
        <s:v>TEST_REVIEWER</s:v>
      </s:c>
      <s:c r="G48" s="15" t="str">
        <s:f>IFERROR(INDEX('C_jama.2025.11178'!$G$2:$G$38,MATCH(C48,'C_jama.2025.11178'!$A$2:$A$38,0)),"CHECK KEY")</s:f>
        <s:v>PRIMARY READY</s:v>
      </s:c>
      <s:c r="H48" s="15" t="str">
        <s: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s:f>
        <s:v>primary_temporal</s:v>
      </s:c>
      <s:c r="I48" s="15" t="inlineStr">
        <s:is>
          <s:t>retain</s:t>
        </s:is>
      </s:c>
      <s:c r="J48" s="15" t="inlineStr">
        <s:is>
          <s:t>statistical_results</s:t>
        </s:is>
      </s:c>
      <s:c r="K48" s="15" t="str">
        <s:f>IFERROR(IF(INDEX('C_jama.2025.11178'!$D$2:$D$38,MATCH(C48,'C_jama.2025.11178'!$A$2:$A$38,0))="","",INDEX('C_jama.2025.11178'!$D$2:$D$38,MATCH(C48,'C_jama.2025.11178'!$A$2:$A$38,0))),"")</s:f>
        <s:v>retain</s:v>
      </s:c>
      <s:c r="L48" s="15" t="str">
        <s:f>IFERROR(IF(INDEX('C_jama.2025.11178'!$E$2:$E$38,MATCH(C48,'C_jama.2025.11178'!$A$2:$A$38,0))="","",INDEX('C_jama.2025.11178'!$E$2:$E$38,MATCH(C48,'C_jama.2025.11178'!$A$2:$A$38,0))),"")</s:f>
        <s:v>statistical_results</s:v>
      </s:c>
      <s:c r="M48" s="15" t="str">
        <s:f>IFERROR(IF(AND(K48="retain",L48="statistical_results"),IF(INDEX('C_jama.2025.11178'!$H$2:$H$38,MATCH(C48,'C_jama.2025.11178'!$A$2:$A$38,0))="","",INDEX('C_jama.2025.11178'!$H$2:$H$38,MATCH(C48,'C_jama.2025.11178'!$A$2:$A$38,0))),"not_applicable"),"")</s:f>
        <s:v>confirmed_issue</s:v>
      </s:c>
      <s:c r="N48" s="15" t="str">
        <s:f>IFERROR(IF(AND(K48="retain",L48="statistical_results"),IF(INDEX('C_jama.2025.11178'!$I$2:$I$38,MATCH(C48,'C_jama.2025.11178'!$A$2:$A$38,0))="","",INDEX('C_jama.2025.11178'!$I$2:$I$38,MATCH(C48,'C_jama.2025.11178'!$A$2:$A$38,0))),"not_applicable"),"")</s:f>
        <s:v>substantive</s:v>
      </s:c>
      <s:c r="O48" s="15" t="str">
        <s:f>IFERROR(IF(AND(K48="retain",L48="statistical_results"),IF(INDEX('C_jama.2025.11178'!$J$2:$J$38,MATCH(C48,'C_jama.2025.11178'!$A$2:$A$38,0))="","",INDEX('C_jama.2025.11178'!$J$2:$J$38,MATCH(C48,'C_jama.2025.11178'!$A$2:$A$38,0))),"not_applicable"),"")</s:f>
        <s:v/>
      </s:c>
      <s:c r="P48" s="15" t="str">
        <s:f>IFERROR(IF(AND(K48="retain",OR(L48="report_internal_inconsistency",L48="plan_material")),IF(INDEX('C_jama.2025.11178'!$K$2:$K$38,MATCH(C48,'C_jama.2025.11178'!$A$2:$A$38,0))="","",INDEX('C_jama.2025.11178'!$K$2:$K$38,MATCH(C48,'C_jama.2025.11178'!$A$2:$A$38,0))),"not_applicable"),"")</s:f>
        <s:v>not_applicable</s:v>
      </s:c>
      <s:c r="Q48" s="15" t="str">
        <s:f>IFERROR(IF(AND(K48="retain",L48="protocol_report"),IF(INDEX('C_jama.2025.11178'!$L$2:$L$38,MATCH(C48,'C_jama.2025.11178'!$A$2:$A$38,0))="","",INDEX('C_jama.2025.11178'!$L$2:$L$38,MATCH(C48,'C_jama.2025.11178'!$A$2:$A$38,0))),"not_applicable"),"")</s:f>
        <s:v>not_applicable</s:v>
      </s:c>
      <s:c r="R48" s="15" t="str">
        <s:f>IFERROR(IF(INDEX('C_jama.2025.11178'!$R$2:$R$38,MATCH(C48,'C_jama.2025.11178'!$A$2:$A$38,0))="","",INDEX('C_jama.2025.11178'!$R$2:$R$38,MATCH(C48,'C_jama.2025.11178'!$A$2:$A$38,0))),"")</s:f>
        <s:v>TEST 2025::jama.2025.11178::C031</s:v>
      </s:c>
      <s:c r="S48" s="15" t="str">
        <s:f>IF(Setup!$B$3="","",Setup!$B$3)</s:f>
        <s:v>TEST ONLY</s:v>
      </s:c>
    </s:row>
    <s:row r="49" ht="72" customFormat="1" customHeight="1" s="8">
      <s:c r="A49" s="16" t="n">
        <s:v>2025</s:v>
      </s:c>
      <s:c r="B49" s="16" t="inlineStr">
        <s:is>
          <s:t>jama.2025.11178</s:t>
        </s:is>
      </s:c>
      <s:c r="C49" s="16" t="inlineStr">
        <s:is>
          <s:t>2025::jama.2025.11178::C032</s:t>
        </s:is>
      </s:c>
      <s:c r="D49" s="16" t="inlineStr">
        <s:is>
          <s:t>S_W</s:t>
        </s:is>
      </s:c>
      <s:c r="E49" s="16" t="str">
        <s:f>Setup!$B$4</s:f>
        <s:v>R_A</s:v>
      </s:c>
      <s:c r="F49" s="16" t="str">
        <s:f>IF(Setup!$B$2="","",Setup!$B$2)</s:f>
        <s:v>TEST_REVIEWER</s:v>
      </s:c>
      <s:c r="G49" s="16" t="str">
        <s:f>IFERROR(INDEX('C_jama.2025.11178'!$G$2:$G$38,MATCH(C49,'C_jama.2025.11178'!$A$2:$A$38,0)),"CHECK KEY")</s:f>
        <s:v>PRIMARY READY</s:v>
      </s:c>
      <s:c r="H49" s="16" t="str">
        <s: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s:f>
        <s:v>primary_temporal</s:v>
      </s:c>
      <s:c r="I49" s="16" t="inlineStr">
        <s:is>
          <s:t>retain</s:t>
        </s:is>
      </s:c>
      <s:c r="J49" s="16" t="inlineStr">
        <s:is>
          <s:t>statistical_results</s:t>
        </s:is>
      </s:c>
      <s:c r="K49" s="16" t="str">
        <s:f>IFERROR(IF(INDEX('C_jama.2025.11178'!$D$2:$D$38,MATCH(C49,'C_jama.2025.11178'!$A$2:$A$38,0))="","",INDEX('C_jama.2025.11178'!$D$2:$D$38,MATCH(C49,'C_jama.2025.11178'!$A$2:$A$38,0))),"")</s:f>
        <s:v>retain</s:v>
      </s:c>
      <s:c r="L49" s="16" t="str">
        <s:f>IFERROR(IF(INDEX('C_jama.2025.11178'!$E$2:$E$38,MATCH(C49,'C_jama.2025.11178'!$A$2:$A$38,0))="","",INDEX('C_jama.2025.11178'!$E$2:$E$38,MATCH(C49,'C_jama.2025.11178'!$A$2:$A$38,0))),"")</s:f>
        <s:v>statistical_results</s:v>
      </s:c>
      <s:c r="M49" s="16" t="str">
        <s:f>IFERROR(IF(AND(K49="retain",L49="statistical_results"),IF(INDEX('C_jama.2025.11178'!$H$2:$H$38,MATCH(C49,'C_jama.2025.11178'!$A$2:$A$38,0))="","",INDEX('C_jama.2025.11178'!$H$2:$H$38,MATCH(C49,'C_jama.2025.11178'!$A$2:$A$38,0))),"not_applicable"),"")</s:f>
        <s:v>confirmed_issue</s:v>
      </s:c>
      <s:c r="N49" s="16" t="str">
        <s:f>IFERROR(IF(AND(K49="retain",L49="statistical_results"),IF(INDEX('C_jama.2025.11178'!$I$2:$I$38,MATCH(C49,'C_jama.2025.11178'!$A$2:$A$38,0))="","",INDEX('C_jama.2025.11178'!$I$2:$I$38,MATCH(C49,'C_jama.2025.11178'!$A$2:$A$38,0))),"not_applicable"),"")</s:f>
        <s:v>substantive</s:v>
      </s:c>
      <s:c r="O49" s="16" t="str">
        <s:f>IFERROR(IF(AND(K49="retain",L49="statistical_results"),IF(INDEX('C_jama.2025.11178'!$J$2:$J$38,MATCH(C49,'C_jama.2025.11178'!$A$2:$A$38,0))="","",INDEX('C_jama.2025.11178'!$J$2:$J$38,MATCH(C49,'C_jama.2025.11178'!$A$2:$A$38,0))),"not_applicable"),"")</s:f>
        <s:v/>
      </s:c>
      <s:c r="P49" s="16" t="str">
        <s:f>IFERROR(IF(AND(K49="retain",OR(L49="report_internal_inconsistency",L49="plan_material")),IF(INDEX('C_jama.2025.11178'!$K$2:$K$38,MATCH(C49,'C_jama.2025.11178'!$A$2:$A$38,0))="","",INDEX('C_jama.2025.11178'!$K$2:$K$38,MATCH(C49,'C_jama.2025.11178'!$A$2:$A$38,0))),"not_applicable"),"")</s:f>
        <s:v>not_applicable</s:v>
      </s:c>
      <s:c r="Q49" s="16" t="str">
        <s:f>IFERROR(IF(AND(K49="retain",L49="protocol_report"),IF(INDEX('C_jama.2025.11178'!$L$2:$L$38,MATCH(C49,'C_jama.2025.11178'!$A$2:$A$38,0))="","",INDEX('C_jama.2025.11178'!$L$2:$L$38,MATCH(C49,'C_jama.2025.11178'!$A$2:$A$38,0))),"not_applicable"),"")</s:f>
        <s:v>not_applicable</s:v>
      </s:c>
      <s:c r="R49" s="16" t="str">
        <s:f>IFERROR(IF(INDEX('C_jama.2025.11178'!$R$2:$R$38,MATCH(C49,'C_jama.2025.11178'!$A$2:$A$38,0))="","",INDEX('C_jama.2025.11178'!$R$2:$R$38,MATCH(C49,'C_jama.2025.11178'!$A$2:$A$38,0))),"")</s:f>
        <s:v>TEST 2025::jama.2025.11178::C032</s:v>
      </s:c>
      <s:c r="S49" s="16" t="str">
        <s:f>IF(Setup!$B$3="","",Setup!$B$3)</s:f>
        <s:v>TEST ONLY</s:v>
      </s:c>
    </s:row>
    <s:row r="50" ht="72" customFormat="1" customHeight="1" s="8">
      <s:c r="A50" s="15" t="n">
        <s:v>2025</s:v>
      </s:c>
      <s:c r="B50" s="15" t="inlineStr">
        <s:is>
          <s:t>jama.2025.11178</s:t>
        </s:is>
      </s:c>
      <s:c r="C50" s="15" t="inlineStr">
        <s:is>
          <s:t>2025::jama.2025.11178::C033</s:t>
        </s:is>
      </s:c>
      <s:c r="D50" s="15" t="inlineStr">
        <s:is>
          <s:t>S_W</s:t>
        </s:is>
      </s:c>
      <s:c r="E50" s="15" t="str">
        <s:f>Setup!$B$4</s:f>
        <s:v>R_A</s:v>
      </s:c>
      <s:c r="F50" s="15" t="str">
        <s:f>IF(Setup!$B$2="","",Setup!$B$2)</s:f>
        <s:v>TEST_REVIEWER</s:v>
      </s:c>
      <s:c r="G50" s="15" t="str">
        <s:f>IFERROR(INDEX('C_jama.2025.11178'!$G$2:$G$38,MATCH(C50,'C_jama.2025.11178'!$A$2:$A$38,0)),"CHECK KEY")</s:f>
        <s:v>PRIMARY READY</s:v>
      </s:c>
      <s:c r="H50" s="15" t="str">
        <s: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s:f>
        <s:v>primary_temporal</s:v>
      </s:c>
      <s:c r="I50" s="15" t="inlineStr">
        <s:is>
          <s:t>retain</s:t>
        </s:is>
      </s:c>
      <s:c r="J50" s="15" t="inlineStr">
        <s:is>
          <s:t>statistical_results</s:t>
        </s:is>
      </s:c>
      <s:c r="K50" s="15" t="str">
        <s:f>IFERROR(IF(INDEX('C_jama.2025.11178'!$D$2:$D$38,MATCH(C50,'C_jama.2025.11178'!$A$2:$A$38,0))="","",INDEX('C_jama.2025.11178'!$D$2:$D$38,MATCH(C50,'C_jama.2025.11178'!$A$2:$A$38,0))),"")</s:f>
        <s:v>retain</s:v>
      </s:c>
      <s:c r="L50" s="15" t="str">
        <s:f>IFERROR(IF(INDEX('C_jama.2025.11178'!$E$2:$E$38,MATCH(C50,'C_jama.2025.11178'!$A$2:$A$38,0))="","",INDEX('C_jama.2025.11178'!$E$2:$E$38,MATCH(C50,'C_jama.2025.11178'!$A$2:$A$38,0))),"")</s:f>
        <s:v>statistical_results</s:v>
      </s:c>
      <s:c r="M50" s="15" t="str">
        <s:f>IFERROR(IF(AND(K50="retain",L50="statistical_results"),IF(INDEX('C_jama.2025.11178'!$H$2:$H$38,MATCH(C50,'C_jama.2025.11178'!$A$2:$A$38,0))="","",INDEX('C_jama.2025.11178'!$H$2:$H$38,MATCH(C50,'C_jama.2025.11178'!$A$2:$A$38,0))),"not_applicable"),"")</s:f>
        <s:v>confirmed_issue</s:v>
      </s:c>
      <s:c r="N50" s="15" t="str">
        <s:f>IFERROR(IF(AND(K50="retain",L50="statistical_results"),IF(INDEX('C_jama.2025.11178'!$I$2:$I$38,MATCH(C50,'C_jama.2025.11178'!$A$2:$A$38,0))="","",INDEX('C_jama.2025.11178'!$I$2:$I$38,MATCH(C50,'C_jama.2025.11178'!$A$2:$A$38,0))),"not_applicable"),"")</s:f>
        <s:v>substantive</s:v>
      </s:c>
      <s:c r="O50" s="15" t="str">
        <s:f>IFERROR(IF(AND(K50="retain",L50="statistical_results"),IF(INDEX('C_jama.2025.11178'!$J$2:$J$38,MATCH(C50,'C_jama.2025.11178'!$A$2:$A$38,0))="","",INDEX('C_jama.2025.11178'!$J$2:$J$38,MATCH(C50,'C_jama.2025.11178'!$A$2:$A$38,0))),"not_applicable"),"")</s:f>
        <s:v/>
      </s:c>
      <s:c r="P50" s="15" t="str">
        <s:f>IFERROR(IF(AND(K50="retain",OR(L50="report_internal_inconsistency",L50="plan_material")),IF(INDEX('C_jama.2025.11178'!$K$2:$K$38,MATCH(C50,'C_jama.2025.11178'!$A$2:$A$38,0))="","",INDEX('C_jama.2025.11178'!$K$2:$K$38,MATCH(C50,'C_jama.2025.11178'!$A$2:$A$38,0))),"not_applicable"),"")</s:f>
        <s:v>not_applicable</s:v>
      </s:c>
      <s:c r="Q50" s="15" t="str">
        <s:f>IFERROR(IF(AND(K50="retain",L50="protocol_report"),IF(INDEX('C_jama.2025.11178'!$L$2:$L$38,MATCH(C50,'C_jama.2025.11178'!$A$2:$A$38,0))="","",INDEX('C_jama.2025.11178'!$L$2:$L$38,MATCH(C50,'C_jama.2025.11178'!$A$2:$A$38,0))),"not_applicable"),"")</s:f>
        <s:v>not_applicable</s:v>
      </s:c>
      <s:c r="R50" s="15" t="str">
        <s:f>IFERROR(IF(INDEX('C_jama.2025.11178'!$R$2:$R$38,MATCH(C50,'C_jama.2025.11178'!$A$2:$A$38,0))="","",INDEX('C_jama.2025.11178'!$R$2:$R$38,MATCH(C50,'C_jama.2025.11178'!$A$2:$A$38,0))),"")</s:f>
        <s:v>TEST 2025::jama.2025.11178::C033</s:v>
      </s:c>
      <s:c r="S50" s="15" t="str">
        <s:f>IF(Setup!$B$3="","",Setup!$B$3)</s:f>
        <s:v>TEST ONLY</s:v>
      </s:c>
    </s:row>
    <s:row r="51" ht="72" customFormat="1" customHeight="1" s="8">
      <s:c r="A51" s="16" t="n">
        <s:v>2025</s:v>
      </s:c>
      <s:c r="B51" s="16" t="inlineStr">
        <s:is>
          <s:t>jama.2025.11178</s:t>
        </s:is>
      </s:c>
      <s:c r="C51" s="16" t="inlineStr">
        <s:is>
          <s:t>2025::jama.2025.11178::C034</s:t>
        </s:is>
      </s:c>
      <s:c r="D51" s="16" t="inlineStr">
        <s:is>
          <s:t>S_C</s:t>
        </s:is>
      </s:c>
      <s:c r="E51" s="16" t="str">
        <s:f>Setup!$B$4</s:f>
        <s:v>R_A</s:v>
      </s:c>
      <s:c r="F51" s="16" t="str">
        <s:f>IF(Setup!$B$2="","",Setup!$B$2)</s:f>
        <s:v>TEST_REVIEWER</s:v>
      </s:c>
      <s:c r="G51" s="16" t="str">
        <s:f>IFERROR(INDEX('C_jama.2025.11178'!$G$2:$G$38,MATCH(C51,'C_jama.2025.11178'!$A$2:$A$38,0)),"CHECK KEY")</s:f>
        <s:v>PRIMARY READY</s:v>
      </s:c>
      <s:c r="H51" s="16" t="str">
        <s: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s:f>
        <s:v>secondary_temporal</s:v>
      </s:c>
      <s:c r="I51" s="16" t="inlineStr">
        <s:is>
          <s:t>retain</s:t>
        </s:is>
      </s:c>
      <s:c r="J51" s="16" t="inlineStr">
        <s:is>
          <s:t>report_internal_inconsistency</s:t>
        </s:is>
      </s:c>
      <s:c r="K51" s="16" t="str">
        <s:f>IFERROR(IF(INDEX('C_jama.2025.11178'!$D$2:$D$38,MATCH(C51,'C_jama.2025.11178'!$A$2:$A$38,0))="","",INDEX('C_jama.2025.11178'!$D$2:$D$38,MATCH(C51,'C_jama.2025.11178'!$A$2:$A$38,0))),"")</s:f>
        <s:v>retain</s:v>
      </s:c>
      <s:c r="L51" s="16" t="str">
        <s:f>IFERROR(IF(INDEX('C_jama.2025.11178'!$E$2:$E$38,MATCH(C51,'C_jama.2025.11178'!$A$2:$A$38,0))="","",INDEX('C_jama.2025.11178'!$E$2:$E$38,MATCH(C51,'C_jama.2025.11178'!$A$2:$A$38,0))),"")</s:f>
        <s:v>report_internal_inconsistency</s:v>
      </s:c>
      <s:c r="M51" s="16" t="str">
        <s:f>IFERROR(IF(AND(K51="retain",L51="statistical_results"),IF(INDEX('C_jama.2025.11178'!$H$2:$H$38,MATCH(C51,'C_jama.2025.11178'!$A$2:$A$38,0))="","",INDEX('C_jama.2025.11178'!$H$2:$H$38,MATCH(C51,'C_jama.2025.11178'!$A$2:$A$38,0))),"not_applicable"),"")</s:f>
        <s:v>not_applicable</s:v>
      </s:c>
      <s:c r="N51" s="16" t="str">
        <s:f>IFERROR(IF(AND(K51="retain",L51="statistical_results"),IF(INDEX('C_jama.2025.11178'!$I$2:$I$38,MATCH(C51,'C_jama.2025.11178'!$A$2:$A$38,0))="","",INDEX('C_jama.2025.11178'!$I$2:$I$38,MATCH(C51,'C_jama.2025.11178'!$A$2:$A$38,0))),"not_applicable"),"")</s:f>
        <s:v>not_applicable</s:v>
      </s:c>
      <s:c r="O51" s="16" t="str">
        <s:f>IFERROR(IF(AND(K51="retain",L51="statistical_results"),IF(INDEX('C_jama.2025.11178'!$J$2:$J$38,MATCH(C51,'C_jama.2025.11178'!$A$2:$A$38,0))="","",INDEX('C_jama.2025.11178'!$J$2:$J$38,MATCH(C51,'C_jama.2025.11178'!$A$2:$A$38,0))),"not_applicable"),"")</s:f>
        <s:v>not_applicable</s:v>
      </s:c>
      <s:c r="P51" s="16" t="str">
        <s:f>IFERROR(IF(AND(K51="retain",OR(L51="report_internal_inconsistency",L51="plan_material")),IF(INDEX('C_jama.2025.11178'!$K$2:$K$38,MATCH(C51,'C_jama.2025.11178'!$A$2:$A$38,0))="","",INDEX('C_jama.2025.11178'!$K$2:$K$38,MATCH(C51,'C_jama.2025.11178'!$A$2:$A$38,0))),"not_applicable"),"")</s:f>
        <s:v>substantive_inconsistency</s:v>
      </s:c>
      <s:c r="Q51" s="16" t="str">
        <s:f>IFERROR(IF(AND(K51="retain",L51="protocol_report"),IF(INDEX('C_jama.2025.11178'!$L$2:$L$38,MATCH(C51,'C_jama.2025.11178'!$A$2:$A$38,0))="","",INDEX('C_jama.2025.11178'!$L$2:$L$38,MATCH(C51,'C_jama.2025.11178'!$A$2:$A$38,0))),"not_applicable"),"")</s:f>
        <s:v>not_applicable</s:v>
      </s:c>
      <s:c r="R51" s="16" t="str">
        <s:f>IFERROR(IF(INDEX('C_jama.2025.11178'!$R$2:$R$38,MATCH(C51,'C_jama.2025.11178'!$A$2:$A$38,0))="","",INDEX('C_jama.2025.11178'!$R$2:$R$38,MATCH(C51,'C_jama.2025.11178'!$A$2:$A$38,0))),"")</s:f>
        <s:v>TEST 2025::jama.2025.11178::C034</s:v>
      </s:c>
      <s:c r="S51" s="16" t="str">
        <s:f>IF(Setup!$B$3="","",Setup!$B$3)</s:f>
        <s:v>TEST ONLY</s:v>
      </s:c>
    </s:row>
    <s:row r="52" ht="72" customFormat="1" customHeight="1" s="8">
      <s:c r="A52" s="15" t="n">
        <s:v>2025</s:v>
      </s:c>
      <s:c r="B52" s="15" t="inlineStr">
        <s:is>
          <s:t>jama.2025.11178</s:t>
        </s:is>
      </s:c>
      <s:c r="C52" s="15" t="inlineStr">
        <s:is>
          <s:t>2025::jama.2025.11178::C035</s:t>
        </s:is>
      </s:c>
      <s:c r="D52" s="15" t="inlineStr">
        <s:is>
          <s:t>S_C</s:t>
        </s:is>
      </s:c>
      <s:c r="E52" s="15" t="str">
        <s:f>Setup!$B$4</s:f>
        <s:v>R_A</s:v>
      </s:c>
      <s:c r="F52" s="15" t="str">
        <s:f>IF(Setup!$B$2="","",Setup!$B$2)</s:f>
        <s:v>TEST_REVIEWER</s:v>
      </s:c>
      <s:c r="G52" s="15" t="str">
        <s:f>IFERROR(INDEX('C_jama.2025.11178'!$G$2:$G$38,MATCH(C52,'C_jama.2025.11178'!$A$2:$A$38,0)),"CHECK KEY")</s:f>
        <s:v>PRIMARY READY</s:v>
      </s:c>
      <s:c r="H52" s="15" t="str">
        <s: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s:f>
        <s:v>secondary_temporal</s:v>
      </s:c>
      <s:c r="I52" s="15" t="inlineStr">
        <s:is>
          <s:t>retain</s:t>
        </s:is>
      </s:c>
      <s:c r="J52" s="15" t="inlineStr">
        <s:is>
          <s:t>report_internal_inconsistency</s:t>
        </s:is>
      </s:c>
      <s:c r="K52" s="15" t="str">
        <s:f>IFERROR(IF(INDEX('C_jama.2025.11178'!$D$2:$D$38,MATCH(C52,'C_jama.2025.11178'!$A$2:$A$38,0))="","",INDEX('C_jama.2025.11178'!$D$2:$D$38,MATCH(C52,'C_jama.2025.11178'!$A$2:$A$38,0))),"")</s:f>
        <s:v>retain</s:v>
      </s:c>
      <s:c r="L52" s="15" t="str">
        <s:f>IFERROR(IF(INDEX('C_jama.2025.11178'!$E$2:$E$38,MATCH(C52,'C_jama.2025.11178'!$A$2:$A$38,0))="","",INDEX('C_jama.2025.11178'!$E$2:$E$38,MATCH(C52,'C_jama.2025.11178'!$A$2:$A$38,0))),"")</s:f>
        <s:v>report_internal_inconsistency</s:v>
      </s:c>
      <s:c r="M52" s="15" t="str">
        <s:f>IFERROR(IF(AND(K52="retain",L52="statistical_results"),IF(INDEX('C_jama.2025.11178'!$H$2:$H$38,MATCH(C52,'C_jama.2025.11178'!$A$2:$A$38,0))="","",INDEX('C_jama.2025.11178'!$H$2:$H$38,MATCH(C52,'C_jama.2025.11178'!$A$2:$A$38,0))),"not_applicable"),"")</s:f>
        <s:v>not_applicable</s:v>
      </s:c>
      <s:c r="N52" s="15" t="str">
        <s:f>IFERROR(IF(AND(K52="retain",L52="statistical_results"),IF(INDEX('C_jama.2025.11178'!$I$2:$I$38,MATCH(C52,'C_jama.2025.11178'!$A$2:$A$38,0))="","",INDEX('C_jama.2025.11178'!$I$2:$I$38,MATCH(C52,'C_jama.2025.11178'!$A$2:$A$38,0))),"not_applicable"),"")</s:f>
        <s:v>not_applicable</s:v>
      </s:c>
      <s:c r="O52" s="15" t="str">
        <s:f>IFERROR(IF(AND(K52="retain",L52="statistical_results"),IF(INDEX('C_jama.2025.11178'!$J$2:$J$38,MATCH(C52,'C_jama.2025.11178'!$A$2:$A$38,0))="","",INDEX('C_jama.2025.11178'!$J$2:$J$38,MATCH(C52,'C_jama.2025.11178'!$A$2:$A$38,0))),"not_applicable"),"")</s:f>
        <s:v>not_applicable</s:v>
      </s:c>
      <s:c r="P52" s="15" t="str">
        <s:f>IFERROR(IF(AND(K52="retain",OR(L52="report_internal_inconsistency",L52="plan_material")),IF(INDEX('C_jama.2025.11178'!$K$2:$K$38,MATCH(C52,'C_jama.2025.11178'!$A$2:$A$38,0))="","",INDEX('C_jama.2025.11178'!$K$2:$K$38,MATCH(C52,'C_jama.2025.11178'!$A$2:$A$38,0))),"not_applicable"),"")</s:f>
        <s:v>substantive_inconsistency</s:v>
      </s:c>
      <s:c r="Q52" s="15" t="str">
        <s:f>IFERROR(IF(AND(K52="retain",L52="protocol_report"),IF(INDEX('C_jama.2025.11178'!$L$2:$L$38,MATCH(C52,'C_jama.2025.11178'!$A$2:$A$38,0))="","",INDEX('C_jama.2025.11178'!$L$2:$L$38,MATCH(C52,'C_jama.2025.11178'!$A$2:$A$38,0))),"not_applicable"),"")</s:f>
        <s:v>not_applicable</s:v>
      </s:c>
      <s:c r="R52" s="15" t="str">
        <s:f>IFERROR(IF(INDEX('C_jama.2025.11178'!$R$2:$R$38,MATCH(C52,'C_jama.2025.11178'!$A$2:$A$38,0))="","",INDEX('C_jama.2025.11178'!$R$2:$R$38,MATCH(C52,'C_jama.2025.11178'!$A$2:$A$38,0))),"")</s:f>
        <s:v>TEST 2025::jama.2025.11178::C035</s:v>
      </s:c>
      <s:c r="S52" s="15" t="str">
        <s:f>IF(Setup!$B$3="","",Setup!$B$3)</s:f>
        <s:v>TEST ONLY</s:v>
      </s:c>
    </s:row>
    <s:row r="53" ht="72" customFormat="1" customHeight="1" s="8">
      <s:c r="A53" s="16" t="n">
        <s:v>2025</s:v>
      </s:c>
      <s:c r="B53" s="16" t="inlineStr">
        <s:is>
          <s:t>jama.2025.11178</s:t>
        </s:is>
      </s:c>
      <s:c r="C53" s="16" t="inlineStr">
        <s:is>
          <s:t>2025::jama.2025.11178::C036</s:t>
        </s:is>
      </s:c>
      <s:c r="D53" s="16" t="inlineStr">
        <s:is>
          <s:t>S_W</s:t>
        </s:is>
      </s:c>
      <s:c r="E53" s="16" t="str">
        <s:f>Setup!$B$4</s:f>
        <s:v>R_A</s:v>
      </s:c>
      <s:c r="F53" s="16" t="str">
        <s:f>IF(Setup!$B$2="","",Setup!$B$2)</s:f>
        <s:v>TEST_REVIEWER</s:v>
      </s:c>
      <s:c r="G53" s="16" t="str">
        <s:f>IFERROR(INDEX('C_jama.2025.11178'!$G$2:$G$38,MATCH(C53,'C_jama.2025.11178'!$A$2:$A$38,0)),"CHECK KEY")</s:f>
        <s:v>PRIMARY READY</s:v>
      </s:c>
      <s:c r="H53" s="16" t="str">
        <s: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s:f>
        <s:v>secondary_temporal</s:v>
      </s:c>
      <s:c r="I53" s="16" t="inlineStr">
        <s:is>
          <s:t>retain</s:t>
        </s:is>
      </s:c>
      <s:c r="J53" s="16" t="inlineStr">
        <s:is>
          <s:t>report_internal_inconsistency</s:t>
        </s:is>
      </s:c>
      <s:c r="K53" s="16" t="str">
        <s:f>IFERROR(IF(INDEX('C_jama.2025.11178'!$D$2:$D$38,MATCH(C53,'C_jama.2025.11178'!$A$2:$A$38,0))="","",INDEX('C_jama.2025.11178'!$D$2:$D$38,MATCH(C53,'C_jama.2025.11178'!$A$2:$A$38,0))),"")</s:f>
        <s:v>retain</s:v>
      </s:c>
      <s:c r="L53" s="16" t="str">
        <s:f>IFERROR(IF(INDEX('C_jama.2025.11178'!$E$2:$E$38,MATCH(C53,'C_jama.2025.11178'!$A$2:$A$38,0))="","",INDEX('C_jama.2025.11178'!$E$2:$E$38,MATCH(C53,'C_jama.2025.11178'!$A$2:$A$38,0))),"")</s:f>
        <s:v>report_internal_inconsistency</s:v>
      </s:c>
      <s:c r="M53" s="16" t="str">
        <s:f>IFERROR(IF(AND(K53="retain",L53="statistical_results"),IF(INDEX('C_jama.2025.11178'!$H$2:$H$38,MATCH(C53,'C_jama.2025.11178'!$A$2:$A$38,0))="","",INDEX('C_jama.2025.11178'!$H$2:$H$38,MATCH(C53,'C_jama.2025.11178'!$A$2:$A$38,0))),"not_applicable"),"")</s:f>
        <s:v>not_applicable</s:v>
      </s:c>
      <s:c r="N53" s="16" t="str">
        <s:f>IFERROR(IF(AND(K53="retain",L53="statistical_results"),IF(INDEX('C_jama.2025.11178'!$I$2:$I$38,MATCH(C53,'C_jama.2025.11178'!$A$2:$A$38,0))="","",INDEX('C_jama.2025.11178'!$I$2:$I$38,MATCH(C53,'C_jama.2025.11178'!$A$2:$A$38,0))),"not_applicable"),"")</s:f>
        <s:v>not_applicable</s:v>
      </s:c>
      <s:c r="O53" s="16" t="str">
        <s:f>IFERROR(IF(AND(K53="retain",L53="statistical_results"),IF(INDEX('C_jama.2025.11178'!$J$2:$J$38,MATCH(C53,'C_jama.2025.11178'!$A$2:$A$38,0))="","",INDEX('C_jama.2025.11178'!$J$2:$J$38,MATCH(C53,'C_jama.2025.11178'!$A$2:$A$38,0))),"not_applicable"),"")</s:f>
        <s:v>not_applicable</s:v>
      </s:c>
      <s:c r="P53" s="16" t="str">
        <s:f>IFERROR(IF(AND(K53="retain",OR(L53="report_internal_inconsistency",L53="plan_material")),IF(INDEX('C_jama.2025.11178'!$K$2:$K$38,MATCH(C53,'C_jama.2025.11178'!$A$2:$A$38,0))="","",INDEX('C_jama.2025.11178'!$K$2:$K$38,MATCH(C53,'C_jama.2025.11178'!$A$2:$A$38,0))),"not_applicable"),"")</s:f>
        <s:v>substantive_inconsistency</s:v>
      </s:c>
      <s:c r="Q53" s="16" t="str">
        <s:f>IFERROR(IF(AND(K53="retain",L53="protocol_report"),IF(INDEX('C_jama.2025.11178'!$L$2:$L$38,MATCH(C53,'C_jama.2025.11178'!$A$2:$A$38,0))="","",INDEX('C_jama.2025.11178'!$L$2:$L$38,MATCH(C53,'C_jama.2025.11178'!$A$2:$A$38,0))),"not_applicable"),"")</s:f>
        <s:v>not_applicable</s:v>
      </s:c>
      <s:c r="R53" s="16" t="str">
        <s:f>IFERROR(IF(INDEX('C_jama.2025.11178'!$R$2:$R$38,MATCH(C53,'C_jama.2025.11178'!$A$2:$A$38,0))="","",INDEX('C_jama.2025.11178'!$R$2:$R$38,MATCH(C53,'C_jama.2025.11178'!$A$2:$A$38,0))),"")</s:f>
        <s:v>TEST 2025::jama.2025.11178::C036</s:v>
      </s:c>
      <s:c r="S53" s="16" t="str">
        <s:f>IF(Setup!$B$3="","",Setup!$B$3)</s:f>
        <s:v>TEST ONLY</s:v>
      </s:c>
    </s:row>
    <s:row r="54" ht="72" customFormat="1" customHeight="1" s="8">
      <s:c r="A54" s="15" t="n">
        <s:v>2025</s:v>
      </s:c>
      <s:c r="B54" s="15" t="inlineStr">
        <s:is>
          <s:t>jama.2025.11178</s:t>
        </s:is>
      </s:c>
      <s:c r="C54" s="15" t="inlineStr">
        <s:is>
          <s:t>2025::jama.2025.11178::C037</s:t>
        </s:is>
      </s:c>
      <s:c r="D54" s="15" t="inlineStr">
        <s:is>
          <s:t>S_W</s:t>
        </s:is>
      </s:c>
      <s:c r="E54" s="15" t="str">
        <s:f>Setup!$B$4</s:f>
        <s:v>R_A</s:v>
      </s:c>
      <s:c r="F54" s="15" t="str">
        <s:f>IF(Setup!$B$2="","",Setup!$B$2)</s:f>
        <s:v>TEST_REVIEWER</s:v>
      </s:c>
      <s:c r="G54" s="15" t="str">
        <s:f>IFERROR(INDEX('C_jama.2025.11178'!$G$2:$G$38,MATCH(C54,'C_jama.2025.11178'!$A$2:$A$38,0)),"CHECK KEY")</s:f>
        <s:v>PRIMARY READY</s:v>
      </s:c>
      <s:c r="H54" s="15" t="str">
        <s: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s:f>
        <s:v>secondary_temporal</s:v>
      </s:c>
      <s:c r="I54" s="15" t="inlineStr">
        <s:is>
          <s:t>retain</s:t>
        </s:is>
      </s:c>
      <s:c r="J54" s="15" t="inlineStr">
        <s:is>
          <s:t>report_internal_inconsistency</s:t>
        </s:is>
      </s:c>
      <s:c r="K54" s="15" t="str">
        <s:f>IFERROR(IF(INDEX('C_jama.2025.11178'!$D$2:$D$38,MATCH(C54,'C_jama.2025.11178'!$A$2:$A$38,0))="","",INDEX('C_jama.2025.11178'!$D$2:$D$38,MATCH(C54,'C_jama.2025.11178'!$A$2:$A$38,0))),"")</s:f>
        <s:v>retain</s:v>
      </s:c>
      <s:c r="L54" s="15" t="str">
        <s:f>IFERROR(IF(INDEX('C_jama.2025.11178'!$E$2:$E$38,MATCH(C54,'C_jama.2025.11178'!$A$2:$A$38,0))="","",INDEX('C_jama.2025.11178'!$E$2:$E$38,MATCH(C54,'C_jama.2025.11178'!$A$2:$A$38,0))),"")</s:f>
        <s:v>report_internal_inconsistency</s:v>
      </s:c>
      <s:c r="M54" s="15" t="str">
        <s:f>IFERROR(IF(AND(K54="retain",L54="statistical_results"),IF(INDEX('C_jama.2025.11178'!$H$2:$H$38,MATCH(C54,'C_jama.2025.11178'!$A$2:$A$38,0))="","",INDEX('C_jama.2025.11178'!$H$2:$H$38,MATCH(C54,'C_jama.2025.11178'!$A$2:$A$38,0))),"not_applicable"),"")</s:f>
        <s:v>not_applicable</s:v>
      </s:c>
      <s:c r="N54" s="15" t="str">
        <s:f>IFERROR(IF(AND(K54="retain",L54="statistical_results"),IF(INDEX('C_jama.2025.11178'!$I$2:$I$38,MATCH(C54,'C_jama.2025.11178'!$A$2:$A$38,0))="","",INDEX('C_jama.2025.11178'!$I$2:$I$38,MATCH(C54,'C_jama.2025.11178'!$A$2:$A$38,0))),"not_applicable"),"")</s:f>
        <s:v>not_applicable</s:v>
      </s:c>
      <s:c r="O54" s="15" t="str">
        <s:f>IFERROR(IF(AND(K54="retain",L54="statistical_results"),IF(INDEX('C_jama.2025.11178'!$J$2:$J$38,MATCH(C54,'C_jama.2025.11178'!$A$2:$A$38,0))="","",INDEX('C_jama.2025.11178'!$J$2:$J$38,MATCH(C54,'C_jama.2025.11178'!$A$2:$A$38,0))),"not_applicable"),"")</s:f>
        <s:v>not_applicable</s:v>
      </s:c>
      <s:c r="P54" s="15" t="str">
        <s:f>IFERROR(IF(AND(K54="retain",OR(L54="report_internal_inconsistency",L54="plan_material")),IF(INDEX('C_jama.2025.11178'!$K$2:$K$38,MATCH(C54,'C_jama.2025.11178'!$A$2:$A$38,0))="","",INDEX('C_jama.2025.11178'!$K$2:$K$38,MATCH(C54,'C_jama.2025.11178'!$A$2:$A$38,0))),"not_applicable"),"")</s:f>
        <s:v>substantive_inconsistency</s:v>
      </s:c>
      <s:c r="Q54" s="15" t="str">
        <s:f>IFERROR(IF(AND(K54="retain",L54="protocol_report"),IF(INDEX('C_jama.2025.11178'!$L$2:$L$38,MATCH(C54,'C_jama.2025.11178'!$A$2:$A$38,0))="","",INDEX('C_jama.2025.11178'!$L$2:$L$38,MATCH(C54,'C_jama.2025.11178'!$A$2:$A$38,0))),"not_applicable"),"")</s:f>
        <s:v>not_applicable</s:v>
      </s:c>
      <s:c r="R54" s="15" t="str">
        <s:f>IFERROR(IF(INDEX('C_jama.2025.11178'!$R$2:$R$38,MATCH(C54,'C_jama.2025.11178'!$A$2:$A$38,0))="","",INDEX('C_jama.2025.11178'!$R$2:$R$38,MATCH(C54,'C_jama.2025.11178'!$A$2:$A$38,0))),"")</s:f>
        <s:v>TEST 2025::jama.2025.11178::C037</s:v>
      </s:c>
      <s:c r="S54" s="15" t="str">
        <s:f>IF(Setup!$B$3="","",Setup!$B$3)</s:f>
        <s:v>TEST ONLY</s:v>
      </s:c>
    </s:row>
    <s:row r="55" ht="72" customFormat="1" customHeight="1" s="8">
      <s:c r="A55" s="16" t="n">
        <s:v>2025</s:v>
      </s:c>
      <s:c r="B55" s="16" t="inlineStr">
        <s:is>
          <s:t>jama.2025.15185</s:t>
        </s:is>
      </s:c>
      <s:c r="C55" s="16" t="inlineStr">
        <s:is>
          <s:t>2025::jama.2025.15185::C001</s:t>
        </s:is>
      </s:c>
      <s:c r="D55" s="16" t="inlineStr">
        <s:is>
          <s:t>S_C</s:t>
        </s:is>
      </s:c>
      <s:c r="E55" s="16" t="str">
        <s:f>Setup!$B$4</s:f>
        <s:v>R_A</s:v>
      </s:c>
      <s:c r="F55" s="16" t="str">
        <s:f>IF(Setup!$B$2="","",Setup!$B$2)</s:f>
        <s:v>TEST_REVIEWER</s:v>
      </s:c>
      <s:c r="G55" s="16" t="str">
        <s:f>IFERROR(INDEX('C_jama.2025.15185'!$G$2:$G$13,MATCH(C55,'C_jama.2025.15185'!$A$2:$A$13,0)),"CHECK KEY")</s:f>
        <s:v>PRIMARY READY</s:v>
      </s:c>
      <s:c r="H55" s="16" t="str">
        <s: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s:f>
        <s:v>secondary_temporal</s:v>
      </s:c>
      <s:c r="I55" s="16" t="inlineStr">
        <s:is>
          <s:t>retain</s:t>
        </s:is>
      </s:c>
      <s:c r="J55" s="16" t="inlineStr">
        <s:is>
          <s:t>report_internal_inconsistency</s:t>
        </s:is>
      </s:c>
      <s:c r="K55" s="16" t="str">
        <s:f>IFERROR(IF(INDEX('C_jama.2025.15185'!$D$2:$D$13,MATCH(C55,'C_jama.2025.15185'!$A$2:$A$13,0))="","",INDEX('C_jama.2025.15185'!$D$2:$D$13,MATCH(C55,'C_jama.2025.15185'!$A$2:$A$13,0))),"")</s:f>
        <s:v>retain</s:v>
      </s:c>
      <s:c r="L55" s="16" t="str">
        <s:f>IFERROR(IF(INDEX('C_jama.2025.15185'!$E$2:$E$13,MATCH(C55,'C_jama.2025.15185'!$A$2:$A$13,0))="","",INDEX('C_jama.2025.15185'!$E$2:$E$13,MATCH(C55,'C_jama.2025.15185'!$A$2:$A$13,0))),"")</s:f>
        <s:v>report_internal_inconsistency</s:v>
      </s:c>
      <s:c r="M55" s="16" t="str">
        <s:f>IFERROR(IF(AND(K55="retain",L55="statistical_results"),IF(INDEX('C_jama.2025.15185'!$H$2:$H$13,MATCH(C55,'C_jama.2025.15185'!$A$2:$A$13,0))="","",INDEX('C_jama.2025.15185'!$H$2:$H$13,MATCH(C55,'C_jama.2025.15185'!$A$2:$A$13,0))),"not_applicable"),"")</s:f>
        <s:v>not_applicable</s:v>
      </s:c>
      <s:c r="N55" s="16" t="str">
        <s:f>IFERROR(IF(AND(K55="retain",L55="statistical_results"),IF(INDEX('C_jama.2025.15185'!$I$2:$I$13,MATCH(C55,'C_jama.2025.15185'!$A$2:$A$13,0))="","",INDEX('C_jama.2025.15185'!$I$2:$I$13,MATCH(C55,'C_jama.2025.15185'!$A$2:$A$13,0))),"not_applicable"),"")</s:f>
        <s:v>not_applicable</s:v>
      </s:c>
      <s:c r="O55" s="16" t="str">
        <s:f>IFERROR(IF(AND(K55="retain",L55="statistical_results"),IF(INDEX('C_jama.2025.15185'!$J$2:$J$13,MATCH(C55,'C_jama.2025.15185'!$A$2:$A$13,0))="","",INDEX('C_jama.2025.15185'!$J$2:$J$13,MATCH(C55,'C_jama.2025.15185'!$A$2:$A$13,0))),"not_applicable"),"")</s:f>
        <s:v>not_applicable</s:v>
      </s:c>
      <s:c r="P55" s="16" t="str">
        <s:f>IFERROR(IF(AND(K55="retain",OR(L55="report_internal_inconsistency",L55="plan_material")),IF(INDEX('C_jama.2025.15185'!$K$2:$K$13,MATCH(C55,'C_jama.2025.15185'!$A$2:$A$13,0))="","",INDEX('C_jama.2025.15185'!$K$2:$K$13,MATCH(C55,'C_jama.2025.15185'!$A$2:$A$13,0))),"not_applicable"),"")</s:f>
        <s:v>substantive_inconsistency</s:v>
      </s:c>
      <s:c r="Q55" s="16" t="str">
        <s:f>IFERROR(IF(AND(K55="retain",L55="protocol_report"),IF(INDEX('C_jama.2025.15185'!$L$2:$L$13,MATCH(C55,'C_jama.2025.15185'!$A$2:$A$13,0))="","",INDEX('C_jama.2025.15185'!$L$2:$L$13,MATCH(C55,'C_jama.2025.15185'!$A$2:$A$13,0))),"not_applicable"),"")</s:f>
        <s:v>not_applicable</s:v>
      </s:c>
      <s:c r="R55" s="16" t="str">
        <s:f>IFERROR(IF(INDEX('C_jama.2025.15185'!$R$2:$R$13,MATCH(C55,'C_jama.2025.15185'!$A$2:$A$13,0))="","",INDEX('C_jama.2025.15185'!$R$2:$R$13,MATCH(C55,'C_jama.2025.15185'!$A$2:$A$13,0))),"")</s:f>
        <s:v>TEST 2025::jama.2025.15185::C001</s:v>
      </s:c>
      <s:c r="S55" s="16" t="str">
        <s:f>IF(Setup!$B$3="","",Setup!$B$3)</s:f>
        <s:v>TEST ONLY</s:v>
      </s:c>
    </s:row>
    <s:row r="56" ht="72" customFormat="1" customHeight="1" s="8">
      <s:c r="A56" s="15" t="n">
        <s:v>2025</s:v>
      </s:c>
      <s:c r="B56" s="15" t="inlineStr">
        <s:is>
          <s:t>jama.2025.15185</s:t>
        </s:is>
      </s:c>
      <s:c r="C56" s="15" t="inlineStr">
        <s:is>
          <s:t>2025::jama.2025.15185::C002</s:t>
        </s:is>
      </s:c>
      <s:c r="D56" s="15" t="inlineStr">
        <s:is>
          <s:t>S_C</s:t>
        </s:is>
      </s:c>
      <s:c r="E56" s="15" t="str">
        <s:f>Setup!$B$4</s:f>
        <s:v>R_A</s:v>
      </s:c>
      <s:c r="F56" s="15" t="str">
        <s:f>IF(Setup!$B$2="","",Setup!$B$2)</s:f>
        <s:v>TEST_REVIEWER</s:v>
      </s:c>
      <s:c r="G56" s="15" t="str">
        <s:f>IFERROR(INDEX('C_jama.2025.15185'!$G$2:$G$13,MATCH(C56,'C_jama.2025.15185'!$A$2:$A$13,0)),"CHECK KEY")</s:f>
        <s:v>PRIMARY READY</s:v>
      </s:c>
      <s:c r="H56" s="15" t="str">
        <s: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s:f>
        <s:v>secondary_temporal</s:v>
      </s:c>
      <s:c r="I56" s="15" t="inlineStr">
        <s:is>
          <s:t>retain</s:t>
        </s:is>
      </s:c>
      <s:c r="J56" s="15" t="inlineStr">
        <s:is>
          <s:t>report_internal_inconsistency</s:t>
        </s:is>
      </s:c>
      <s:c r="K56" s="15" t="str">
        <s:f>IFERROR(IF(INDEX('C_jama.2025.15185'!$D$2:$D$13,MATCH(C56,'C_jama.2025.15185'!$A$2:$A$13,0))="","",INDEX('C_jama.2025.15185'!$D$2:$D$13,MATCH(C56,'C_jama.2025.15185'!$A$2:$A$13,0))),"")</s:f>
        <s:v>retain</s:v>
      </s:c>
      <s:c r="L56" s="15" t="str">
        <s:f>IFERROR(IF(INDEX('C_jama.2025.15185'!$E$2:$E$13,MATCH(C56,'C_jama.2025.15185'!$A$2:$A$13,0))="","",INDEX('C_jama.2025.15185'!$E$2:$E$13,MATCH(C56,'C_jama.2025.15185'!$A$2:$A$13,0))),"")</s:f>
        <s:v>report_internal_inconsistency</s:v>
      </s:c>
      <s:c r="M56" s="15" t="str">
        <s:f>IFERROR(IF(AND(K56="retain",L56="statistical_results"),IF(INDEX('C_jama.2025.15185'!$H$2:$H$13,MATCH(C56,'C_jama.2025.15185'!$A$2:$A$13,0))="","",INDEX('C_jama.2025.15185'!$H$2:$H$13,MATCH(C56,'C_jama.2025.15185'!$A$2:$A$13,0))),"not_applicable"),"")</s:f>
        <s:v>not_applicable</s:v>
      </s:c>
      <s:c r="N56" s="15" t="str">
        <s:f>IFERROR(IF(AND(K56="retain",L56="statistical_results"),IF(INDEX('C_jama.2025.15185'!$I$2:$I$13,MATCH(C56,'C_jama.2025.15185'!$A$2:$A$13,0))="","",INDEX('C_jama.2025.15185'!$I$2:$I$13,MATCH(C56,'C_jama.2025.15185'!$A$2:$A$13,0))),"not_applicable"),"")</s:f>
        <s:v>not_applicable</s:v>
      </s:c>
      <s:c r="O56" s="15" t="str">
        <s:f>IFERROR(IF(AND(K56="retain",L56="statistical_results"),IF(INDEX('C_jama.2025.15185'!$J$2:$J$13,MATCH(C56,'C_jama.2025.15185'!$A$2:$A$13,0))="","",INDEX('C_jama.2025.15185'!$J$2:$J$13,MATCH(C56,'C_jama.2025.15185'!$A$2:$A$13,0))),"not_applicable"),"")</s:f>
        <s:v>not_applicable</s:v>
      </s:c>
      <s:c r="P56" s="15" t="str">
        <s:f>IFERROR(IF(AND(K56="retain",OR(L56="report_internal_inconsistency",L56="plan_material")),IF(INDEX('C_jama.2025.15185'!$K$2:$K$13,MATCH(C56,'C_jama.2025.15185'!$A$2:$A$13,0))="","",INDEX('C_jama.2025.15185'!$K$2:$K$13,MATCH(C56,'C_jama.2025.15185'!$A$2:$A$13,0))),"not_applicable"),"")</s:f>
        <s:v>substantive_inconsistency</s:v>
      </s:c>
      <s:c r="Q56" s="15" t="str">
        <s:f>IFERROR(IF(AND(K56="retain",L56="protocol_report"),IF(INDEX('C_jama.2025.15185'!$L$2:$L$13,MATCH(C56,'C_jama.2025.15185'!$A$2:$A$13,0))="","",INDEX('C_jama.2025.15185'!$L$2:$L$13,MATCH(C56,'C_jama.2025.15185'!$A$2:$A$13,0))),"not_applicable"),"")</s:f>
        <s:v>not_applicable</s:v>
      </s:c>
      <s:c r="R56" s="15" t="str">
        <s:f>IFERROR(IF(INDEX('C_jama.2025.15185'!$R$2:$R$13,MATCH(C56,'C_jama.2025.15185'!$A$2:$A$13,0))="","",INDEX('C_jama.2025.15185'!$R$2:$R$13,MATCH(C56,'C_jama.2025.15185'!$A$2:$A$13,0))),"")</s:f>
        <s:v>TEST 2025::jama.2025.15185::C002</s:v>
      </s:c>
      <s:c r="S56" s="15" t="str">
        <s:f>IF(Setup!$B$3="","",Setup!$B$3)</s:f>
        <s:v>TEST ONLY</s:v>
      </s:c>
    </s:row>
    <s:row r="57" ht="72" customFormat="1" customHeight="1" s="8">
      <s:c r="A57" s="16" t="n">
        <s:v>2025</s:v>
      </s:c>
      <s:c r="B57" s="16" t="inlineStr">
        <s:is>
          <s:t>jama.2025.15185</s:t>
        </s:is>
      </s:c>
      <s:c r="C57" s="16" t="inlineStr">
        <s:is>
          <s:t>2025::jama.2025.15185::C003</s:t>
        </s:is>
      </s:c>
      <s:c r="D57" s="16" t="inlineStr">
        <s:is>
          <s:t>S_C</s:t>
        </s:is>
      </s:c>
      <s:c r="E57" s="16" t="str">
        <s:f>Setup!$B$4</s:f>
        <s:v>R_A</s:v>
      </s:c>
      <s:c r="F57" s="16" t="str">
        <s:f>IF(Setup!$B$2="","",Setup!$B$2)</s:f>
        <s:v>TEST_REVIEWER</s:v>
      </s:c>
      <s:c r="G57" s="16" t="str">
        <s:f>IFERROR(INDEX('C_jama.2025.15185'!$G$2:$G$13,MATCH(C57,'C_jama.2025.15185'!$A$2:$A$13,0)),"CHECK KEY")</s:f>
        <s:v>PRIMARY READY</s:v>
      </s:c>
      <s:c r="H57" s="16" t="str">
        <s: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s:f>
        <s:v>secondary_temporal</s:v>
      </s:c>
      <s:c r="I57" s="16" t="inlineStr">
        <s:is>
          <s:t>retain</s:t>
        </s:is>
      </s:c>
      <s:c r="J57" s="16" t="inlineStr">
        <s:is>
          <s:t>report_internal_inconsistency</s:t>
        </s:is>
      </s:c>
      <s:c r="K57" s="16" t="str">
        <s:f>IFERROR(IF(INDEX('C_jama.2025.15185'!$D$2:$D$13,MATCH(C57,'C_jama.2025.15185'!$A$2:$A$13,0))="","",INDEX('C_jama.2025.15185'!$D$2:$D$13,MATCH(C57,'C_jama.2025.15185'!$A$2:$A$13,0))),"")</s:f>
        <s:v>retain</s:v>
      </s:c>
      <s:c r="L57" s="16" t="str">
        <s:f>IFERROR(IF(INDEX('C_jama.2025.15185'!$E$2:$E$13,MATCH(C57,'C_jama.2025.15185'!$A$2:$A$13,0))="","",INDEX('C_jama.2025.15185'!$E$2:$E$13,MATCH(C57,'C_jama.2025.15185'!$A$2:$A$13,0))),"")</s:f>
        <s:v>report_internal_inconsistency</s:v>
      </s:c>
      <s:c r="M57" s="16" t="str">
        <s:f>IFERROR(IF(AND(K57="retain",L57="statistical_results"),IF(INDEX('C_jama.2025.15185'!$H$2:$H$13,MATCH(C57,'C_jama.2025.15185'!$A$2:$A$13,0))="","",INDEX('C_jama.2025.15185'!$H$2:$H$13,MATCH(C57,'C_jama.2025.15185'!$A$2:$A$13,0))),"not_applicable"),"")</s:f>
        <s:v>not_applicable</s:v>
      </s:c>
      <s:c r="N57" s="16" t="str">
        <s:f>IFERROR(IF(AND(K57="retain",L57="statistical_results"),IF(INDEX('C_jama.2025.15185'!$I$2:$I$13,MATCH(C57,'C_jama.2025.15185'!$A$2:$A$13,0))="","",INDEX('C_jama.2025.15185'!$I$2:$I$13,MATCH(C57,'C_jama.2025.15185'!$A$2:$A$13,0))),"not_applicable"),"")</s:f>
        <s:v>not_applicable</s:v>
      </s:c>
      <s:c r="O57" s="16" t="str">
        <s:f>IFERROR(IF(AND(K57="retain",L57="statistical_results"),IF(INDEX('C_jama.2025.15185'!$J$2:$J$13,MATCH(C57,'C_jama.2025.15185'!$A$2:$A$13,0))="","",INDEX('C_jama.2025.15185'!$J$2:$J$13,MATCH(C57,'C_jama.2025.15185'!$A$2:$A$13,0))),"not_applicable"),"")</s:f>
        <s:v>not_applicable</s:v>
      </s:c>
      <s:c r="P57" s="16" t="str">
        <s:f>IFERROR(IF(AND(K57="retain",OR(L57="report_internal_inconsistency",L57="plan_material")),IF(INDEX('C_jama.2025.15185'!$K$2:$K$13,MATCH(C57,'C_jama.2025.15185'!$A$2:$A$13,0))="","",INDEX('C_jama.2025.15185'!$K$2:$K$13,MATCH(C57,'C_jama.2025.15185'!$A$2:$A$13,0))),"not_applicable"),"")</s:f>
        <s:v>substantive_inconsistency</s:v>
      </s:c>
      <s:c r="Q57" s="16" t="str">
        <s:f>IFERROR(IF(AND(K57="retain",L57="protocol_report"),IF(INDEX('C_jama.2025.15185'!$L$2:$L$13,MATCH(C57,'C_jama.2025.15185'!$A$2:$A$13,0))="","",INDEX('C_jama.2025.15185'!$L$2:$L$13,MATCH(C57,'C_jama.2025.15185'!$A$2:$A$13,0))),"not_applicable"),"")</s:f>
        <s:v>not_applicable</s:v>
      </s:c>
      <s:c r="R57" s="16" t="str">
        <s:f>IFERROR(IF(INDEX('C_jama.2025.15185'!$R$2:$R$13,MATCH(C57,'C_jama.2025.15185'!$A$2:$A$13,0))="","",INDEX('C_jama.2025.15185'!$R$2:$R$13,MATCH(C57,'C_jama.2025.15185'!$A$2:$A$13,0))),"")</s:f>
        <s:v>TEST 2025::jama.2025.15185::C003</s:v>
      </s:c>
      <s:c r="S57" s="16" t="str">
        <s:f>IF(Setup!$B$3="","",Setup!$B$3)</s:f>
        <s:v>TEST ONLY</s:v>
      </s:c>
    </s:row>
    <s:row r="58" ht="72" customFormat="1" customHeight="1" s="8">
      <s:c r="A58" s="15" t="n">
        <s:v>2025</s:v>
      </s:c>
      <s:c r="B58" s="15" t="inlineStr">
        <s:is>
          <s:t>jama.2025.15185</s:t>
        </s:is>
      </s:c>
      <s:c r="C58" s="15" t="inlineStr">
        <s:is>
          <s:t>2025::jama.2025.15185::C004</s:t>
        </s:is>
      </s:c>
      <s:c r="D58" s="15" t="inlineStr">
        <s:is>
          <s:t>S_W</s:t>
        </s:is>
      </s:c>
      <s:c r="E58" s="15" t="str">
        <s:f>Setup!$B$4</s:f>
        <s:v>R_A</s:v>
      </s:c>
      <s:c r="F58" s="15" t="str">
        <s:f>IF(Setup!$B$2="","",Setup!$B$2)</s:f>
        <s:v>TEST_REVIEWER</s:v>
      </s:c>
      <s:c r="G58" s="15" t="str">
        <s:f>IFERROR(INDEX('C_jama.2025.15185'!$G$2:$G$13,MATCH(C58,'C_jama.2025.15185'!$A$2:$A$13,0)),"CHECK KEY")</s:f>
        <s:v>PRIMARY READY</s:v>
      </s:c>
      <s:c r="H58" s="15" t="str">
        <s: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s:f>
        <s:v>primary_temporal</s:v>
      </s:c>
      <s:c r="I58" s="15" t="inlineStr">
        <s:is>
          <s:t>retain</s:t>
        </s:is>
      </s:c>
      <s:c r="J58" s="15" t="inlineStr">
        <s:is>
          <s:t>statistical_results</s:t>
        </s:is>
      </s:c>
      <s:c r="K58" s="15" t="str">
        <s:f>IFERROR(IF(INDEX('C_jama.2025.15185'!$D$2:$D$13,MATCH(C58,'C_jama.2025.15185'!$A$2:$A$13,0))="","",INDEX('C_jama.2025.15185'!$D$2:$D$13,MATCH(C58,'C_jama.2025.15185'!$A$2:$A$13,0))),"")</s:f>
        <s:v>retain</s:v>
      </s:c>
      <s:c r="L58" s="15" t="str">
        <s:f>IFERROR(IF(INDEX('C_jama.2025.15185'!$E$2:$E$13,MATCH(C58,'C_jama.2025.15185'!$A$2:$A$13,0))="","",INDEX('C_jama.2025.15185'!$E$2:$E$13,MATCH(C58,'C_jama.2025.15185'!$A$2:$A$13,0))),"")</s:f>
        <s:v>statistical_results</s:v>
      </s:c>
      <s:c r="M58" s="15" t="str">
        <s:f>IFERROR(IF(AND(K58="retain",L58="statistical_results"),IF(INDEX('C_jama.2025.15185'!$H$2:$H$13,MATCH(C58,'C_jama.2025.15185'!$A$2:$A$13,0))="","",INDEX('C_jama.2025.15185'!$H$2:$H$13,MATCH(C58,'C_jama.2025.15185'!$A$2:$A$13,0))),"not_applicable"),"")</s:f>
        <s:v>confirmed_issue</s:v>
      </s:c>
      <s:c r="N58" s="15" t="str">
        <s:f>IFERROR(IF(AND(K58="retain",L58="statistical_results"),IF(INDEX('C_jama.2025.15185'!$I$2:$I$13,MATCH(C58,'C_jama.2025.15185'!$A$2:$A$13,0))="","",INDEX('C_jama.2025.15185'!$I$2:$I$13,MATCH(C58,'C_jama.2025.15185'!$A$2:$A$13,0))),"not_applicable"),"")</s:f>
        <s:v>substantive</s:v>
      </s:c>
      <s:c r="O58" s="15" t="str">
        <s:f>IFERROR(IF(AND(K58="retain",L58="statistical_results"),IF(INDEX('C_jama.2025.15185'!$J$2:$J$13,MATCH(C58,'C_jama.2025.15185'!$A$2:$A$13,0))="","",INDEX('C_jama.2025.15185'!$J$2:$J$13,MATCH(C58,'C_jama.2025.15185'!$A$2:$A$13,0))),"not_applicable"),"")</s:f>
        <s:v/>
      </s:c>
      <s:c r="P58" s="15" t="str">
        <s:f>IFERROR(IF(AND(K58="retain",OR(L58="report_internal_inconsistency",L58="plan_material")),IF(INDEX('C_jama.2025.15185'!$K$2:$K$13,MATCH(C58,'C_jama.2025.15185'!$A$2:$A$13,0))="","",INDEX('C_jama.2025.15185'!$K$2:$K$13,MATCH(C58,'C_jama.2025.15185'!$A$2:$A$13,0))),"not_applicable"),"")</s:f>
        <s:v>not_applicable</s:v>
      </s:c>
      <s:c r="Q58" s="15" t="str">
        <s:f>IFERROR(IF(AND(K58="retain",L58="protocol_report"),IF(INDEX('C_jama.2025.15185'!$L$2:$L$13,MATCH(C58,'C_jama.2025.15185'!$A$2:$A$13,0))="","",INDEX('C_jama.2025.15185'!$L$2:$L$13,MATCH(C58,'C_jama.2025.15185'!$A$2:$A$13,0))),"not_applicable"),"")</s:f>
        <s:v>not_applicable</s:v>
      </s:c>
      <s:c r="R58" s="15" t="str">
        <s:f>IFERROR(IF(INDEX('C_jama.2025.15185'!$R$2:$R$13,MATCH(C58,'C_jama.2025.15185'!$A$2:$A$13,0))="","",INDEX('C_jama.2025.15185'!$R$2:$R$13,MATCH(C58,'C_jama.2025.15185'!$A$2:$A$13,0))),"")</s:f>
        <s:v>TEST 2025::jama.2025.15185::C004</s:v>
      </s:c>
      <s:c r="S58" s="15" t="str">
        <s:f>IF(Setup!$B$3="","",Setup!$B$3)</s:f>
        <s:v>TEST ONLY</s:v>
      </s:c>
    </s:row>
    <s:row r="59" ht="72" customFormat="1" customHeight="1" s="8">
      <s:c r="A59" s="16" t="n">
        <s:v>2025</s:v>
      </s:c>
      <s:c r="B59" s="16" t="inlineStr">
        <s:is>
          <s:t>jama.2025.15185</s:t>
        </s:is>
      </s:c>
      <s:c r="C59" s="16" t="inlineStr">
        <s:is>
          <s:t>2025::jama.2025.15185::C005</s:t>
        </s:is>
      </s:c>
      <s:c r="D59" s="16" t="inlineStr">
        <s:is>
          <s:t>S_C</s:t>
        </s:is>
      </s:c>
      <s:c r="E59" s="16" t="str">
        <s:f>Setup!$B$4</s:f>
        <s:v>R_A</s:v>
      </s:c>
      <s:c r="F59" s="16" t="str">
        <s:f>IF(Setup!$B$2="","",Setup!$B$2)</s:f>
        <s:v>TEST_REVIEWER</s:v>
      </s:c>
      <s:c r="G59" s="16" t="str">
        <s:f>IFERROR(INDEX('C_jama.2025.15185'!$G$2:$G$13,MATCH(C59,'C_jama.2025.15185'!$A$2:$A$13,0)),"CHECK KEY")</s:f>
        <s:v>PRIMARY READY</s:v>
      </s:c>
      <s:c r="H59" s="16" t="str">
        <s: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s:f>
        <s:v>secondary_temporal</s:v>
      </s:c>
      <s:c r="I59" s="16" t="inlineStr">
        <s:is>
          <s:t>retain</s:t>
        </s:is>
      </s:c>
      <s:c r="J59" s="16" t="inlineStr">
        <s:is>
          <s:t>report_internal_inconsistency</s:t>
        </s:is>
      </s:c>
      <s:c r="K59" s="16" t="str">
        <s:f>IFERROR(IF(INDEX('C_jama.2025.15185'!$D$2:$D$13,MATCH(C59,'C_jama.2025.15185'!$A$2:$A$13,0))="","",INDEX('C_jama.2025.15185'!$D$2:$D$13,MATCH(C59,'C_jama.2025.15185'!$A$2:$A$13,0))),"")</s:f>
        <s:v>retain</s:v>
      </s:c>
      <s:c r="L59" s="16" t="str">
        <s:f>IFERROR(IF(INDEX('C_jama.2025.15185'!$E$2:$E$13,MATCH(C59,'C_jama.2025.15185'!$A$2:$A$13,0))="","",INDEX('C_jama.2025.15185'!$E$2:$E$13,MATCH(C59,'C_jama.2025.15185'!$A$2:$A$13,0))),"")</s:f>
        <s:v>report_internal_inconsistency</s:v>
      </s:c>
      <s:c r="M59" s="16" t="str">
        <s:f>IFERROR(IF(AND(K59="retain",L59="statistical_results"),IF(INDEX('C_jama.2025.15185'!$H$2:$H$13,MATCH(C59,'C_jama.2025.15185'!$A$2:$A$13,0))="","",INDEX('C_jama.2025.15185'!$H$2:$H$13,MATCH(C59,'C_jama.2025.15185'!$A$2:$A$13,0))),"not_applicable"),"")</s:f>
        <s:v>not_applicable</s:v>
      </s:c>
      <s:c r="N59" s="16" t="str">
        <s:f>IFERROR(IF(AND(K59="retain",L59="statistical_results"),IF(INDEX('C_jama.2025.15185'!$I$2:$I$13,MATCH(C59,'C_jama.2025.15185'!$A$2:$A$13,0))="","",INDEX('C_jama.2025.15185'!$I$2:$I$13,MATCH(C59,'C_jama.2025.15185'!$A$2:$A$13,0))),"not_applicable"),"")</s:f>
        <s:v>not_applicable</s:v>
      </s:c>
      <s:c r="O59" s="16" t="str">
        <s:f>IFERROR(IF(AND(K59="retain",L59="statistical_results"),IF(INDEX('C_jama.2025.15185'!$J$2:$J$13,MATCH(C59,'C_jama.2025.15185'!$A$2:$A$13,0))="","",INDEX('C_jama.2025.15185'!$J$2:$J$13,MATCH(C59,'C_jama.2025.15185'!$A$2:$A$13,0))),"not_applicable"),"")</s:f>
        <s:v>not_applicable</s:v>
      </s:c>
      <s:c r="P59" s="16" t="str">
        <s:f>IFERROR(IF(AND(K59="retain",OR(L59="report_internal_inconsistency",L59="plan_material")),IF(INDEX('C_jama.2025.15185'!$K$2:$K$13,MATCH(C59,'C_jama.2025.15185'!$A$2:$A$13,0))="","",INDEX('C_jama.2025.15185'!$K$2:$K$13,MATCH(C59,'C_jama.2025.15185'!$A$2:$A$13,0))),"not_applicable"),"")</s:f>
        <s:v>substantive_inconsistency</s:v>
      </s:c>
      <s:c r="Q59" s="16" t="str">
        <s:f>IFERROR(IF(AND(K59="retain",L59="protocol_report"),IF(INDEX('C_jama.2025.15185'!$L$2:$L$13,MATCH(C59,'C_jama.2025.15185'!$A$2:$A$13,0))="","",INDEX('C_jama.2025.15185'!$L$2:$L$13,MATCH(C59,'C_jama.2025.15185'!$A$2:$A$13,0))),"not_applicable"),"")</s:f>
        <s:v>not_applicable</s:v>
      </s:c>
      <s:c r="R59" s="16" t="str">
        <s:f>IFERROR(IF(INDEX('C_jama.2025.15185'!$R$2:$R$13,MATCH(C59,'C_jama.2025.15185'!$A$2:$A$13,0))="","",INDEX('C_jama.2025.15185'!$R$2:$R$13,MATCH(C59,'C_jama.2025.15185'!$A$2:$A$13,0))),"")</s:f>
        <s:v>TEST 2025::jama.2025.15185::C005</s:v>
      </s:c>
      <s:c r="S59" s="16" t="str">
        <s:f>IF(Setup!$B$3="","",Setup!$B$3)</s:f>
        <s:v>TEST ONLY</s:v>
      </s:c>
    </s:row>
    <s:row r="60" ht="72" customFormat="1" customHeight="1" s="8">
      <s:c r="A60" s="15" t="n">
        <s:v>2025</s:v>
      </s:c>
      <s:c r="B60" s="15" t="inlineStr">
        <s:is>
          <s:t>jama.2025.15185</s:t>
        </s:is>
      </s:c>
      <s:c r="C60" s="15" t="inlineStr">
        <s:is>
          <s:t>2025::jama.2025.15185::C006</s:t>
        </s:is>
      </s:c>
      <s:c r="D60" s="15" t="inlineStr">
        <s:is>
          <s:t>S_C</s:t>
        </s:is>
      </s:c>
      <s:c r="E60" s="15" t="str">
        <s:f>Setup!$B$4</s:f>
        <s:v>R_A</s:v>
      </s:c>
      <s:c r="F60" s="15" t="str">
        <s:f>IF(Setup!$B$2="","",Setup!$B$2)</s:f>
        <s:v>TEST_REVIEWER</s:v>
      </s:c>
      <s:c r="G60" s="15" t="str">
        <s:f>IFERROR(INDEX('C_jama.2025.15185'!$G$2:$G$13,MATCH(C60,'C_jama.2025.15185'!$A$2:$A$13,0)),"CHECK KEY")</s:f>
        <s:v>PRIMARY READY</s:v>
      </s:c>
      <s:c r="H60" s="15" t="str">
        <s: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s:f>
        <s:v>secondary_temporal</s:v>
      </s:c>
      <s:c r="I60" s="15" t="inlineStr">
        <s:is>
          <s:t>retain</s:t>
        </s:is>
      </s:c>
      <s:c r="J60" s="15" t="inlineStr">
        <s:is>
          <s:t>report_internal_inconsistency</s:t>
        </s:is>
      </s:c>
      <s:c r="K60" s="15" t="str">
        <s:f>IFERROR(IF(INDEX('C_jama.2025.15185'!$D$2:$D$13,MATCH(C60,'C_jama.2025.15185'!$A$2:$A$13,0))="","",INDEX('C_jama.2025.15185'!$D$2:$D$13,MATCH(C60,'C_jama.2025.15185'!$A$2:$A$13,0))),"")</s:f>
        <s:v>retain</s:v>
      </s:c>
      <s:c r="L60" s="15" t="str">
        <s:f>IFERROR(IF(INDEX('C_jama.2025.15185'!$E$2:$E$13,MATCH(C60,'C_jama.2025.15185'!$A$2:$A$13,0))="","",INDEX('C_jama.2025.15185'!$E$2:$E$13,MATCH(C60,'C_jama.2025.15185'!$A$2:$A$13,0))),"")</s:f>
        <s:v>report_internal_inconsistency</s:v>
      </s:c>
      <s:c r="M60" s="15" t="str">
        <s:f>IFERROR(IF(AND(K60="retain",L60="statistical_results"),IF(INDEX('C_jama.2025.15185'!$H$2:$H$13,MATCH(C60,'C_jama.2025.15185'!$A$2:$A$13,0))="","",INDEX('C_jama.2025.15185'!$H$2:$H$13,MATCH(C60,'C_jama.2025.15185'!$A$2:$A$13,0))),"not_applicable"),"")</s:f>
        <s:v>not_applicable</s:v>
      </s:c>
      <s:c r="N60" s="15" t="str">
        <s:f>IFERROR(IF(AND(K60="retain",L60="statistical_results"),IF(INDEX('C_jama.2025.15185'!$I$2:$I$13,MATCH(C60,'C_jama.2025.15185'!$A$2:$A$13,0))="","",INDEX('C_jama.2025.15185'!$I$2:$I$13,MATCH(C60,'C_jama.2025.15185'!$A$2:$A$13,0))),"not_applicable"),"")</s:f>
        <s:v>not_applicable</s:v>
      </s:c>
      <s:c r="O60" s="15" t="str">
        <s:f>IFERROR(IF(AND(K60="retain",L60="statistical_results"),IF(INDEX('C_jama.2025.15185'!$J$2:$J$13,MATCH(C60,'C_jama.2025.15185'!$A$2:$A$13,0))="","",INDEX('C_jama.2025.15185'!$J$2:$J$13,MATCH(C60,'C_jama.2025.15185'!$A$2:$A$13,0))),"not_applicable"),"")</s:f>
        <s:v>not_applicable</s:v>
      </s:c>
      <s:c r="P60" s="15" t="str">
        <s:f>IFERROR(IF(AND(K60="retain",OR(L60="report_internal_inconsistency",L60="plan_material")),IF(INDEX('C_jama.2025.15185'!$K$2:$K$13,MATCH(C60,'C_jama.2025.15185'!$A$2:$A$13,0))="","",INDEX('C_jama.2025.15185'!$K$2:$K$13,MATCH(C60,'C_jama.2025.15185'!$A$2:$A$13,0))),"not_applicable"),"")</s:f>
        <s:v>substantive_inconsistency</s:v>
      </s:c>
      <s:c r="Q60" s="15" t="str">
        <s:f>IFERROR(IF(AND(K60="retain",L60="protocol_report"),IF(INDEX('C_jama.2025.15185'!$L$2:$L$13,MATCH(C60,'C_jama.2025.15185'!$A$2:$A$13,0))="","",INDEX('C_jama.2025.15185'!$L$2:$L$13,MATCH(C60,'C_jama.2025.15185'!$A$2:$A$13,0))),"not_applicable"),"")</s:f>
        <s:v>not_applicable</s:v>
      </s:c>
      <s:c r="R60" s="15" t="str">
        <s:f>IFERROR(IF(INDEX('C_jama.2025.15185'!$R$2:$R$13,MATCH(C60,'C_jama.2025.15185'!$A$2:$A$13,0))="","",INDEX('C_jama.2025.15185'!$R$2:$R$13,MATCH(C60,'C_jama.2025.15185'!$A$2:$A$13,0))),"")</s:f>
        <s:v>TEST 2025::jama.2025.15185::C006</s:v>
      </s:c>
      <s:c r="S60" s="15" t="str">
        <s:f>IF(Setup!$B$3="","",Setup!$B$3)</s:f>
        <s:v>TEST ONLY</s:v>
      </s:c>
    </s:row>
    <s:row r="61" ht="72" customFormat="1" customHeight="1" s="8">
      <s:c r="A61" s="16" t="n">
        <s:v>2025</s:v>
      </s:c>
      <s:c r="B61" s="16" t="inlineStr">
        <s:is>
          <s:t>jama.2025.15185</s:t>
        </s:is>
      </s:c>
      <s:c r="C61" s="16" t="inlineStr">
        <s:is>
          <s:t>2025::jama.2025.15185::C007</s:t>
        </s:is>
      </s:c>
      <s:c r="D61" s="16" t="inlineStr">
        <s:is>
          <s:t>S_C</s:t>
        </s:is>
      </s:c>
      <s:c r="E61" s="16" t="str">
        <s:f>Setup!$B$4</s:f>
        <s:v>R_A</s:v>
      </s:c>
      <s:c r="F61" s="16" t="str">
        <s:f>IF(Setup!$B$2="","",Setup!$B$2)</s:f>
        <s:v>TEST_REVIEWER</s:v>
      </s:c>
      <s:c r="G61" s="16" t="str">
        <s:f>IFERROR(INDEX('C_jama.2025.15185'!$G$2:$G$13,MATCH(C61,'C_jama.2025.15185'!$A$2:$A$13,0)),"CHECK KEY")</s:f>
        <s:v>PRIMARY READY</s:v>
      </s:c>
      <s:c r="H61" s="16" t="str">
        <s: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s:f>
        <s:v>secondary_temporal</s:v>
      </s:c>
      <s:c r="I61" s="16" t="inlineStr">
        <s:is>
          <s:t>retain</s:t>
        </s:is>
      </s:c>
      <s:c r="J61" s="16" t="inlineStr">
        <s:is>
          <s:t>report_internal_inconsistency</s:t>
        </s:is>
      </s:c>
      <s:c r="K61" s="16" t="str">
        <s:f>IFERROR(IF(INDEX('C_jama.2025.15185'!$D$2:$D$13,MATCH(C61,'C_jama.2025.15185'!$A$2:$A$13,0))="","",INDEX('C_jama.2025.15185'!$D$2:$D$13,MATCH(C61,'C_jama.2025.15185'!$A$2:$A$13,0))),"")</s:f>
        <s:v>retain</s:v>
      </s:c>
      <s:c r="L61" s="16" t="str">
        <s:f>IFERROR(IF(INDEX('C_jama.2025.15185'!$E$2:$E$13,MATCH(C61,'C_jama.2025.15185'!$A$2:$A$13,0))="","",INDEX('C_jama.2025.15185'!$E$2:$E$13,MATCH(C61,'C_jama.2025.15185'!$A$2:$A$13,0))),"")</s:f>
        <s:v>report_internal_inconsistency</s:v>
      </s:c>
      <s:c r="M61" s="16" t="str">
        <s:f>IFERROR(IF(AND(K61="retain",L61="statistical_results"),IF(INDEX('C_jama.2025.15185'!$H$2:$H$13,MATCH(C61,'C_jama.2025.15185'!$A$2:$A$13,0))="","",INDEX('C_jama.2025.15185'!$H$2:$H$13,MATCH(C61,'C_jama.2025.15185'!$A$2:$A$13,0))),"not_applicable"),"")</s:f>
        <s:v>not_applicable</s:v>
      </s:c>
      <s:c r="N61" s="16" t="str">
        <s:f>IFERROR(IF(AND(K61="retain",L61="statistical_results"),IF(INDEX('C_jama.2025.15185'!$I$2:$I$13,MATCH(C61,'C_jama.2025.15185'!$A$2:$A$13,0))="","",INDEX('C_jama.2025.15185'!$I$2:$I$13,MATCH(C61,'C_jama.2025.15185'!$A$2:$A$13,0))),"not_applicable"),"")</s:f>
        <s:v>not_applicable</s:v>
      </s:c>
      <s:c r="O61" s="16" t="str">
        <s:f>IFERROR(IF(AND(K61="retain",L61="statistical_results"),IF(INDEX('C_jama.2025.15185'!$J$2:$J$13,MATCH(C61,'C_jama.2025.15185'!$A$2:$A$13,0))="","",INDEX('C_jama.2025.15185'!$J$2:$J$13,MATCH(C61,'C_jama.2025.15185'!$A$2:$A$13,0))),"not_applicable"),"")</s:f>
        <s:v>not_applicable</s:v>
      </s:c>
      <s:c r="P61" s="16" t="str">
        <s:f>IFERROR(IF(AND(K61="retain",OR(L61="report_internal_inconsistency",L61="plan_material")),IF(INDEX('C_jama.2025.15185'!$K$2:$K$13,MATCH(C61,'C_jama.2025.15185'!$A$2:$A$13,0))="","",INDEX('C_jama.2025.15185'!$K$2:$K$13,MATCH(C61,'C_jama.2025.15185'!$A$2:$A$13,0))),"not_applicable"),"")</s:f>
        <s:v>substantive_inconsistency</s:v>
      </s:c>
      <s:c r="Q61" s="16" t="str">
        <s:f>IFERROR(IF(AND(K61="retain",L61="protocol_report"),IF(INDEX('C_jama.2025.15185'!$L$2:$L$13,MATCH(C61,'C_jama.2025.15185'!$A$2:$A$13,0))="","",INDEX('C_jama.2025.15185'!$L$2:$L$13,MATCH(C61,'C_jama.2025.15185'!$A$2:$A$13,0))),"not_applicable"),"")</s:f>
        <s:v>not_applicable</s:v>
      </s:c>
      <s:c r="R61" s="16" t="str">
        <s:f>IFERROR(IF(INDEX('C_jama.2025.15185'!$R$2:$R$13,MATCH(C61,'C_jama.2025.15185'!$A$2:$A$13,0))="","",INDEX('C_jama.2025.15185'!$R$2:$R$13,MATCH(C61,'C_jama.2025.15185'!$A$2:$A$13,0))),"")</s:f>
        <s:v>TEST 2025::jama.2025.15185::C007</s:v>
      </s:c>
      <s:c r="S61" s="16" t="str">
        <s:f>IF(Setup!$B$3="","",Setup!$B$3)</s:f>
        <s:v>TEST ONLY</s:v>
      </s:c>
    </s:row>
    <s:row r="62" ht="72" customFormat="1" customHeight="1" s="8">
      <s:c r="A62" s="15" t="n">
        <s:v>2025</s:v>
      </s:c>
      <s:c r="B62" s="15" t="inlineStr">
        <s:is>
          <s:t>jama.2025.15185</s:t>
        </s:is>
      </s:c>
      <s:c r="C62" s="15" t="inlineStr">
        <s:is>
          <s:t>2025::jama.2025.15185::C008</s:t>
        </s:is>
      </s:c>
      <s:c r="D62" s="15" t="inlineStr">
        <s:is>
          <s:t>S_C</s:t>
        </s:is>
      </s:c>
      <s:c r="E62" s="15" t="str">
        <s:f>Setup!$B$4</s:f>
        <s:v>R_A</s:v>
      </s:c>
      <s:c r="F62" s="15" t="str">
        <s:f>IF(Setup!$B$2="","",Setup!$B$2)</s:f>
        <s:v>TEST_REVIEWER</s:v>
      </s:c>
      <s:c r="G62" s="15" t="str">
        <s:f>IFERROR(INDEX('C_jama.2025.15185'!$G$2:$G$13,MATCH(C62,'C_jama.2025.15185'!$A$2:$A$13,0)),"CHECK KEY")</s:f>
        <s:v>PRIMARY READY</s:v>
      </s:c>
      <s:c r="H62" s="15" t="str">
        <s: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s:f>
        <s:v>secondary_temporal</s:v>
      </s:c>
      <s:c r="I62" s="15" t="inlineStr">
        <s:is>
          <s:t>retain</s:t>
        </s:is>
      </s:c>
      <s:c r="J62" s="15" t="inlineStr">
        <s:is>
          <s:t>report_internal_inconsistency</s:t>
        </s:is>
      </s:c>
      <s:c r="K62" s="15" t="str">
        <s:f>IFERROR(IF(INDEX('C_jama.2025.15185'!$D$2:$D$13,MATCH(C62,'C_jama.2025.15185'!$A$2:$A$13,0))="","",INDEX('C_jama.2025.15185'!$D$2:$D$13,MATCH(C62,'C_jama.2025.15185'!$A$2:$A$13,0))),"")</s:f>
        <s:v>retain</s:v>
      </s:c>
      <s:c r="L62" s="15" t="str">
        <s:f>IFERROR(IF(INDEX('C_jama.2025.15185'!$E$2:$E$13,MATCH(C62,'C_jama.2025.15185'!$A$2:$A$13,0))="","",INDEX('C_jama.2025.15185'!$E$2:$E$13,MATCH(C62,'C_jama.2025.15185'!$A$2:$A$13,0))),"")</s:f>
        <s:v>report_internal_inconsistency</s:v>
      </s:c>
      <s:c r="M62" s="15" t="str">
        <s:f>IFERROR(IF(AND(K62="retain",L62="statistical_results"),IF(INDEX('C_jama.2025.15185'!$H$2:$H$13,MATCH(C62,'C_jama.2025.15185'!$A$2:$A$13,0))="","",INDEX('C_jama.2025.15185'!$H$2:$H$13,MATCH(C62,'C_jama.2025.15185'!$A$2:$A$13,0))),"not_applicable"),"")</s:f>
        <s:v>not_applicable</s:v>
      </s:c>
      <s:c r="N62" s="15" t="str">
        <s:f>IFERROR(IF(AND(K62="retain",L62="statistical_results"),IF(INDEX('C_jama.2025.15185'!$I$2:$I$13,MATCH(C62,'C_jama.2025.15185'!$A$2:$A$13,0))="","",INDEX('C_jama.2025.15185'!$I$2:$I$13,MATCH(C62,'C_jama.2025.15185'!$A$2:$A$13,0))),"not_applicable"),"")</s:f>
        <s:v>not_applicable</s:v>
      </s:c>
      <s:c r="O62" s="15" t="str">
        <s:f>IFERROR(IF(AND(K62="retain",L62="statistical_results"),IF(INDEX('C_jama.2025.15185'!$J$2:$J$13,MATCH(C62,'C_jama.2025.15185'!$A$2:$A$13,0))="","",INDEX('C_jama.2025.15185'!$J$2:$J$13,MATCH(C62,'C_jama.2025.15185'!$A$2:$A$13,0))),"not_applicable"),"")</s:f>
        <s:v>not_applicable</s:v>
      </s:c>
      <s:c r="P62" s="15" t="str">
        <s:f>IFERROR(IF(AND(K62="retain",OR(L62="report_internal_inconsistency",L62="plan_material")),IF(INDEX('C_jama.2025.15185'!$K$2:$K$13,MATCH(C62,'C_jama.2025.15185'!$A$2:$A$13,0))="","",INDEX('C_jama.2025.15185'!$K$2:$K$13,MATCH(C62,'C_jama.2025.15185'!$A$2:$A$13,0))),"not_applicable"),"")</s:f>
        <s:v>substantive_inconsistency</s:v>
      </s:c>
      <s:c r="Q62" s="15" t="str">
        <s:f>IFERROR(IF(AND(K62="retain",L62="protocol_report"),IF(INDEX('C_jama.2025.15185'!$L$2:$L$13,MATCH(C62,'C_jama.2025.15185'!$A$2:$A$13,0))="","",INDEX('C_jama.2025.15185'!$L$2:$L$13,MATCH(C62,'C_jama.2025.15185'!$A$2:$A$13,0))),"not_applicable"),"")</s:f>
        <s:v>not_applicable</s:v>
      </s:c>
      <s:c r="R62" s="15" t="str">
        <s:f>IFERROR(IF(INDEX('C_jama.2025.15185'!$R$2:$R$13,MATCH(C62,'C_jama.2025.15185'!$A$2:$A$13,0))="","",INDEX('C_jama.2025.15185'!$R$2:$R$13,MATCH(C62,'C_jama.2025.15185'!$A$2:$A$13,0))),"")</s:f>
        <s:v>TEST 2025::jama.2025.15185::C008</s:v>
      </s:c>
      <s:c r="S62" s="15" t="str">
        <s:f>IF(Setup!$B$3="","",Setup!$B$3)</s:f>
        <s:v>TEST ONLY</s:v>
      </s:c>
    </s:row>
    <s:row r="63" ht="72" customFormat="1" customHeight="1" s="8">
      <s:c r="A63" s="16" t="n">
        <s:v>2025</s:v>
      </s:c>
      <s:c r="B63" s="16" t="inlineStr">
        <s:is>
          <s:t>jama.2025.15185</s:t>
        </s:is>
      </s:c>
      <s:c r="C63" s="16" t="inlineStr">
        <s:is>
          <s:t>2025::jama.2025.15185::C009</s:t>
        </s:is>
      </s:c>
      <s:c r="D63" s="16" t="inlineStr">
        <s:is>
          <s:t>S_W</s:t>
        </s:is>
      </s:c>
      <s:c r="E63" s="16" t="str">
        <s:f>Setup!$B$4</s:f>
        <s:v>R_A</s:v>
      </s:c>
      <s:c r="F63" s="16" t="str">
        <s:f>IF(Setup!$B$2="","",Setup!$B$2)</s:f>
        <s:v>TEST_REVIEWER</s:v>
      </s:c>
      <s:c r="G63" s="16" t="str">
        <s:f>IFERROR(INDEX('C_jama.2025.15185'!$G$2:$G$13,MATCH(C63,'C_jama.2025.15185'!$A$2:$A$13,0)),"CHECK KEY")</s:f>
        <s:v>PRIMARY READY</s:v>
      </s:c>
      <s:c r="H63" s="16" t="str">
        <s: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s:f>
        <s:v>primary_temporal</s:v>
      </s:c>
      <s:c r="I63" s="16" t="inlineStr">
        <s:is>
          <s:t>retain</s:t>
        </s:is>
      </s:c>
      <s:c r="J63" s="16" t="inlineStr">
        <s:is>
          <s:t>statistical_results</s:t>
        </s:is>
      </s:c>
      <s:c r="K63" s="16" t="str">
        <s:f>IFERROR(IF(INDEX('C_jama.2025.15185'!$D$2:$D$13,MATCH(C63,'C_jama.2025.15185'!$A$2:$A$13,0))="","",INDEX('C_jama.2025.15185'!$D$2:$D$13,MATCH(C63,'C_jama.2025.15185'!$A$2:$A$13,0))),"")</s:f>
        <s:v>retain</s:v>
      </s:c>
      <s:c r="L63" s="16" t="str">
        <s:f>IFERROR(IF(INDEX('C_jama.2025.15185'!$E$2:$E$13,MATCH(C63,'C_jama.2025.15185'!$A$2:$A$13,0))="","",INDEX('C_jama.2025.15185'!$E$2:$E$13,MATCH(C63,'C_jama.2025.15185'!$A$2:$A$13,0))),"")</s:f>
        <s:v>statistical_results</s:v>
      </s:c>
      <s:c r="M63" s="16" t="str">
        <s:f>IFERROR(IF(AND(K63="retain",L63="statistical_results"),IF(INDEX('C_jama.2025.15185'!$H$2:$H$13,MATCH(C63,'C_jama.2025.15185'!$A$2:$A$13,0))="","",INDEX('C_jama.2025.15185'!$H$2:$H$13,MATCH(C63,'C_jama.2025.15185'!$A$2:$A$13,0))),"not_applicable"),"")</s:f>
        <s:v>confirmed_issue</s:v>
      </s:c>
      <s:c r="N63" s="16" t="str">
        <s:f>IFERROR(IF(AND(K63="retain",L63="statistical_results"),IF(INDEX('C_jama.2025.15185'!$I$2:$I$13,MATCH(C63,'C_jama.2025.15185'!$A$2:$A$13,0))="","",INDEX('C_jama.2025.15185'!$I$2:$I$13,MATCH(C63,'C_jama.2025.15185'!$A$2:$A$13,0))),"not_applicable"),"")</s:f>
        <s:v>substantive</s:v>
      </s:c>
      <s:c r="O63" s="16" t="str">
        <s:f>IFERROR(IF(AND(K63="retain",L63="statistical_results"),IF(INDEX('C_jama.2025.15185'!$J$2:$J$13,MATCH(C63,'C_jama.2025.15185'!$A$2:$A$13,0))="","",INDEX('C_jama.2025.15185'!$J$2:$J$13,MATCH(C63,'C_jama.2025.15185'!$A$2:$A$13,0))),"not_applicable"),"")</s:f>
        <s:v/>
      </s:c>
      <s:c r="P63" s="16" t="str">
        <s:f>IFERROR(IF(AND(K63="retain",OR(L63="report_internal_inconsistency",L63="plan_material")),IF(INDEX('C_jama.2025.15185'!$K$2:$K$13,MATCH(C63,'C_jama.2025.15185'!$A$2:$A$13,0))="","",INDEX('C_jama.2025.15185'!$K$2:$K$13,MATCH(C63,'C_jama.2025.15185'!$A$2:$A$13,0))),"not_applicable"),"")</s:f>
        <s:v>not_applicable</s:v>
      </s:c>
      <s:c r="Q63" s="16" t="str">
        <s:f>IFERROR(IF(AND(K63="retain",L63="protocol_report"),IF(INDEX('C_jama.2025.15185'!$L$2:$L$13,MATCH(C63,'C_jama.2025.15185'!$A$2:$A$13,0))="","",INDEX('C_jama.2025.15185'!$L$2:$L$13,MATCH(C63,'C_jama.2025.15185'!$A$2:$A$13,0))),"not_applicable"),"")</s:f>
        <s:v>not_applicable</s:v>
      </s:c>
      <s:c r="R63" s="16" t="str">
        <s:f>IFERROR(IF(INDEX('C_jama.2025.15185'!$R$2:$R$13,MATCH(C63,'C_jama.2025.15185'!$A$2:$A$13,0))="","",INDEX('C_jama.2025.15185'!$R$2:$R$13,MATCH(C63,'C_jama.2025.15185'!$A$2:$A$13,0))),"")</s:f>
        <s:v>TEST 2025::jama.2025.15185::C009</s:v>
      </s:c>
      <s:c r="S63" s="16" t="str">
        <s:f>IF(Setup!$B$3="","",Setup!$B$3)</s:f>
        <s:v>TEST ONLY</s:v>
      </s:c>
    </s:row>
    <s:row r="64" ht="72" customFormat="1" customHeight="1" s="8">
      <s:c r="A64" s="15" t="n">
        <s:v>2025</s:v>
      </s:c>
      <s:c r="B64" s="15" t="inlineStr">
        <s:is>
          <s:t>jama.2025.15185</s:t>
        </s:is>
      </s:c>
      <s:c r="C64" s="15" t="inlineStr">
        <s:is>
          <s:t>2025::jama.2025.15185::C010</s:t>
        </s:is>
      </s:c>
      <s:c r="D64" s="15" t="inlineStr">
        <s:is>
          <s:t>S_W</s:t>
        </s:is>
      </s:c>
      <s:c r="E64" s="15" t="str">
        <s:f>Setup!$B$4</s:f>
        <s:v>R_A</s:v>
      </s:c>
      <s:c r="F64" s="15" t="str">
        <s:f>IF(Setup!$B$2="","",Setup!$B$2)</s:f>
        <s:v>TEST_REVIEWER</s:v>
      </s:c>
      <s:c r="G64" s="15" t="str">
        <s:f>IFERROR(INDEX('C_jama.2025.15185'!$G$2:$G$13,MATCH(C64,'C_jama.2025.15185'!$A$2:$A$13,0)),"CHECK KEY")</s:f>
        <s:v>PRIMARY READY</s:v>
      </s:c>
      <s:c r="H64" s="15" t="str">
        <s: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s:f>
        <s:v>secondary_temporal</s:v>
      </s:c>
      <s:c r="I64" s="15" t="inlineStr">
        <s:is>
          <s:t>retain</s:t>
        </s:is>
      </s:c>
      <s:c r="J64" s="15" t="inlineStr">
        <s:is>
          <s:t>report_internal_inconsistency</s:t>
        </s:is>
      </s:c>
      <s:c r="K64" s="15" t="str">
        <s:f>IFERROR(IF(INDEX('C_jama.2025.15185'!$D$2:$D$13,MATCH(C64,'C_jama.2025.15185'!$A$2:$A$13,0))="","",INDEX('C_jama.2025.15185'!$D$2:$D$13,MATCH(C64,'C_jama.2025.15185'!$A$2:$A$13,0))),"")</s:f>
        <s:v>retain</s:v>
      </s:c>
      <s:c r="L64" s="15" t="str">
        <s:f>IFERROR(IF(INDEX('C_jama.2025.15185'!$E$2:$E$13,MATCH(C64,'C_jama.2025.15185'!$A$2:$A$13,0))="","",INDEX('C_jama.2025.15185'!$E$2:$E$13,MATCH(C64,'C_jama.2025.15185'!$A$2:$A$13,0))),"")</s:f>
        <s:v>report_internal_inconsistency</s:v>
      </s:c>
      <s:c r="M64" s="15" t="str">
        <s:f>IFERROR(IF(AND(K64="retain",L64="statistical_results"),IF(INDEX('C_jama.2025.15185'!$H$2:$H$13,MATCH(C64,'C_jama.2025.15185'!$A$2:$A$13,0))="","",INDEX('C_jama.2025.15185'!$H$2:$H$13,MATCH(C64,'C_jama.2025.15185'!$A$2:$A$13,0))),"not_applicable"),"")</s:f>
        <s:v>not_applicable</s:v>
      </s:c>
      <s:c r="N64" s="15" t="str">
        <s:f>IFERROR(IF(AND(K64="retain",L64="statistical_results"),IF(INDEX('C_jama.2025.15185'!$I$2:$I$13,MATCH(C64,'C_jama.2025.15185'!$A$2:$A$13,0))="","",INDEX('C_jama.2025.15185'!$I$2:$I$13,MATCH(C64,'C_jama.2025.15185'!$A$2:$A$13,0))),"not_applicable"),"")</s:f>
        <s:v>not_applicable</s:v>
      </s:c>
      <s:c r="O64" s="15" t="str">
        <s:f>IFERROR(IF(AND(K64="retain",L64="statistical_results"),IF(INDEX('C_jama.2025.15185'!$J$2:$J$13,MATCH(C64,'C_jama.2025.15185'!$A$2:$A$13,0))="","",INDEX('C_jama.2025.15185'!$J$2:$J$13,MATCH(C64,'C_jama.2025.15185'!$A$2:$A$13,0))),"not_applicable"),"")</s:f>
        <s:v>not_applicable</s:v>
      </s:c>
      <s:c r="P64" s="15" t="str">
        <s:f>IFERROR(IF(AND(K64="retain",OR(L64="report_internal_inconsistency",L64="plan_material")),IF(INDEX('C_jama.2025.15185'!$K$2:$K$13,MATCH(C64,'C_jama.2025.15185'!$A$2:$A$13,0))="","",INDEX('C_jama.2025.15185'!$K$2:$K$13,MATCH(C64,'C_jama.2025.15185'!$A$2:$A$13,0))),"not_applicable"),"")</s:f>
        <s:v>substantive_inconsistency</s:v>
      </s:c>
      <s:c r="Q64" s="15" t="str">
        <s:f>IFERROR(IF(AND(K64="retain",L64="protocol_report"),IF(INDEX('C_jama.2025.15185'!$L$2:$L$13,MATCH(C64,'C_jama.2025.15185'!$A$2:$A$13,0))="","",INDEX('C_jama.2025.15185'!$L$2:$L$13,MATCH(C64,'C_jama.2025.15185'!$A$2:$A$13,0))),"not_applicable"),"")</s:f>
        <s:v>not_applicable</s:v>
      </s:c>
      <s:c r="R64" s="15" t="str">
        <s:f>IFERROR(IF(INDEX('C_jama.2025.15185'!$R$2:$R$13,MATCH(C64,'C_jama.2025.15185'!$A$2:$A$13,0))="","",INDEX('C_jama.2025.15185'!$R$2:$R$13,MATCH(C64,'C_jama.2025.15185'!$A$2:$A$13,0))),"")</s:f>
        <s:v>TEST 2025::jama.2025.15185::C010</s:v>
      </s:c>
      <s:c r="S64" s="15" t="str">
        <s:f>IF(Setup!$B$3="","",Setup!$B$3)</s:f>
        <s:v>TEST ONLY</s:v>
      </s:c>
    </s:row>
    <s:row r="65" ht="72" customFormat="1" customHeight="1" s="8">
      <s:c r="A65" s="16" t="n">
        <s:v>2025</s:v>
      </s:c>
      <s:c r="B65" s="16" t="inlineStr">
        <s:is>
          <s:t>jama.2025.15185</s:t>
        </s:is>
      </s:c>
      <s:c r="C65" s="16" t="inlineStr">
        <s:is>
          <s:t>2025::jama.2025.15185::C011</s:t>
        </s:is>
      </s:c>
      <s:c r="D65" s="16" t="inlineStr">
        <s:is>
          <s:t>S_W</s:t>
        </s:is>
      </s:c>
      <s:c r="E65" s="16" t="str">
        <s:f>Setup!$B$4</s:f>
        <s:v>R_A</s:v>
      </s:c>
      <s:c r="F65" s="16" t="str">
        <s:f>IF(Setup!$B$2="","",Setup!$B$2)</s:f>
        <s:v>TEST_REVIEWER</s:v>
      </s:c>
      <s:c r="G65" s="16" t="str">
        <s:f>IFERROR(INDEX('C_jama.2025.15185'!$G$2:$G$13,MATCH(C65,'C_jama.2025.15185'!$A$2:$A$13,0)),"CHECK KEY")</s:f>
        <s:v>PRIMARY READY</s:v>
      </s:c>
      <s:c r="H65" s="16" t="str">
        <s: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s:f>
        <s:v>secondary_temporal</s:v>
      </s:c>
      <s:c r="I65" s="16" t="inlineStr">
        <s:is>
          <s:t>retain</s:t>
        </s:is>
      </s:c>
      <s:c r="J65" s="16" t="inlineStr">
        <s:is>
          <s:t>report_internal_inconsistency</s:t>
        </s:is>
      </s:c>
      <s:c r="K65" s="16" t="str">
        <s:f>IFERROR(IF(INDEX('C_jama.2025.15185'!$D$2:$D$13,MATCH(C65,'C_jama.2025.15185'!$A$2:$A$13,0))="","",INDEX('C_jama.2025.15185'!$D$2:$D$13,MATCH(C65,'C_jama.2025.15185'!$A$2:$A$13,0))),"")</s:f>
        <s:v>retain</s:v>
      </s:c>
      <s:c r="L65" s="16" t="str">
        <s:f>IFERROR(IF(INDEX('C_jama.2025.15185'!$E$2:$E$13,MATCH(C65,'C_jama.2025.15185'!$A$2:$A$13,0))="","",INDEX('C_jama.2025.15185'!$E$2:$E$13,MATCH(C65,'C_jama.2025.15185'!$A$2:$A$13,0))),"")</s:f>
        <s:v>report_internal_inconsistency</s:v>
      </s:c>
      <s:c r="M65" s="16" t="str">
        <s:f>IFERROR(IF(AND(K65="retain",L65="statistical_results"),IF(INDEX('C_jama.2025.15185'!$H$2:$H$13,MATCH(C65,'C_jama.2025.15185'!$A$2:$A$13,0))="","",INDEX('C_jama.2025.15185'!$H$2:$H$13,MATCH(C65,'C_jama.2025.15185'!$A$2:$A$13,0))),"not_applicable"),"")</s:f>
        <s:v>not_applicable</s:v>
      </s:c>
      <s:c r="N65" s="16" t="str">
        <s:f>IFERROR(IF(AND(K65="retain",L65="statistical_results"),IF(INDEX('C_jama.2025.15185'!$I$2:$I$13,MATCH(C65,'C_jama.2025.15185'!$A$2:$A$13,0))="","",INDEX('C_jama.2025.15185'!$I$2:$I$13,MATCH(C65,'C_jama.2025.15185'!$A$2:$A$13,0))),"not_applicable"),"")</s:f>
        <s:v>not_applicable</s:v>
      </s:c>
      <s:c r="O65" s="16" t="str">
        <s:f>IFERROR(IF(AND(K65="retain",L65="statistical_results"),IF(INDEX('C_jama.2025.15185'!$J$2:$J$13,MATCH(C65,'C_jama.2025.15185'!$A$2:$A$13,0))="","",INDEX('C_jama.2025.15185'!$J$2:$J$13,MATCH(C65,'C_jama.2025.15185'!$A$2:$A$13,0))),"not_applicable"),"")</s:f>
        <s:v>not_applicable</s:v>
      </s:c>
      <s:c r="P65" s="16" t="str">
        <s:f>IFERROR(IF(AND(K65="retain",OR(L65="report_internal_inconsistency",L65="plan_material")),IF(INDEX('C_jama.2025.15185'!$K$2:$K$13,MATCH(C65,'C_jama.2025.15185'!$A$2:$A$13,0))="","",INDEX('C_jama.2025.15185'!$K$2:$K$13,MATCH(C65,'C_jama.2025.15185'!$A$2:$A$13,0))),"not_applicable"),"")</s:f>
        <s:v>substantive_inconsistency</s:v>
      </s:c>
      <s:c r="Q65" s="16" t="str">
        <s:f>IFERROR(IF(AND(K65="retain",L65="protocol_report"),IF(INDEX('C_jama.2025.15185'!$L$2:$L$13,MATCH(C65,'C_jama.2025.15185'!$A$2:$A$13,0))="","",INDEX('C_jama.2025.15185'!$L$2:$L$13,MATCH(C65,'C_jama.2025.15185'!$A$2:$A$13,0))),"not_applicable"),"")</s:f>
        <s:v>not_applicable</s:v>
      </s:c>
      <s:c r="R65" s="16" t="str">
        <s:f>IFERROR(IF(INDEX('C_jama.2025.15185'!$R$2:$R$13,MATCH(C65,'C_jama.2025.15185'!$A$2:$A$13,0))="","",INDEX('C_jama.2025.15185'!$R$2:$R$13,MATCH(C65,'C_jama.2025.15185'!$A$2:$A$13,0))),"")</s:f>
        <s:v>TEST 2025::jama.2025.15185::C011</s:v>
      </s:c>
      <s:c r="S65" s="16" t="str">
        <s:f>IF(Setup!$B$3="","",Setup!$B$3)</s:f>
        <s:v>TEST ONLY</s:v>
      </s:c>
    </s:row>
    <s:row r="66" ht="72" customFormat="1" customHeight="1" s="8">
      <s:c r="A66" s="15" t="n">
        <s:v>2025</s:v>
      </s:c>
      <s:c r="B66" s="15" t="inlineStr">
        <s:is>
          <s:t>jama.2025.15185</s:t>
        </s:is>
      </s:c>
      <s:c r="C66" s="15" t="inlineStr">
        <s:is>
          <s:t>2025::jama.2025.15185::C012</s:t>
        </s:is>
      </s:c>
      <s:c r="D66" s="15" t="inlineStr">
        <s:is>
          <s:t>S_W</s:t>
        </s:is>
      </s:c>
      <s:c r="E66" s="15" t="str">
        <s:f>Setup!$B$4</s:f>
        <s:v>R_A</s:v>
      </s:c>
      <s:c r="F66" s="15" t="str">
        <s:f>IF(Setup!$B$2="","",Setup!$B$2)</s:f>
        <s:v>TEST_REVIEWER</s:v>
      </s:c>
      <s:c r="G66" s="15" t="str">
        <s:f>IFERROR(INDEX('C_jama.2025.15185'!$G$2:$G$13,MATCH(C66,'C_jama.2025.15185'!$A$2:$A$13,0)),"CHECK KEY")</s:f>
        <s:v>PRIMARY READY</s:v>
      </s:c>
      <s:c r="H66" s="15" t="str">
        <s: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s:f>
        <s:v>secondary_temporal</s:v>
      </s:c>
      <s:c r="I66" s="15" t="inlineStr">
        <s:is>
          <s:t>retain</s:t>
        </s:is>
      </s:c>
      <s:c r="J66" s="15" t="inlineStr">
        <s:is>
          <s:t>report_internal_inconsistency</s:t>
        </s:is>
      </s:c>
      <s:c r="K66" s="15" t="str">
        <s:f>IFERROR(IF(INDEX('C_jama.2025.15185'!$D$2:$D$13,MATCH(C66,'C_jama.2025.15185'!$A$2:$A$13,0))="","",INDEX('C_jama.2025.15185'!$D$2:$D$13,MATCH(C66,'C_jama.2025.15185'!$A$2:$A$13,0))),"")</s:f>
        <s:v>retain</s:v>
      </s:c>
      <s:c r="L66" s="15" t="str">
        <s:f>IFERROR(IF(INDEX('C_jama.2025.15185'!$E$2:$E$13,MATCH(C66,'C_jama.2025.15185'!$A$2:$A$13,0))="","",INDEX('C_jama.2025.15185'!$E$2:$E$13,MATCH(C66,'C_jama.2025.15185'!$A$2:$A$13,0))),"")</s:f>
        <s:v>report_internal_inconsistency</s:v>
      </s:c>
      <s:c r="M66" s="15" t="str">
        <s:f>IFERROR(IF(AND(K66="retain",L66="statistical_results"),IF(INDEX('C_jama.2025.15185'!$H$2:$H$13,MATCH(C66,'C_jama.2025.15185'!$A$2:$A$13,0))="","",INDEX('C_jama.2025.15185'!$H$2:$H$13,MATCH(C66,'C_jama.2025.15185'!$A$2:$A$13,0))),"not_applicable"),"")</s:f>
        <s:v>not_applicable</s:v>
      </s:c>
      <s:c r="N66" s="15" t="str">
        <s:f>IFERROR(IF(AND(K66="retain",L66="statistical_results"),IF(INDEX('C_jama.2025.15185'!$I$2:$I$13,MATCH(C66,'C_jama.2025.15185'!$A$2:$A$13,0))="","",INDEX('C_jama.2025.15185'!$I$2:$I$13,MATCH(C66,'C_jama.2025.15185'!$A$2:$A$13,0))),"not_applicable"),"")</s:f>
        <s:v>not_applicable</s:v>
      </s:c>
      <s:c r="O66" s="15" t="str">
        <s:f>IFERROR(IF(AND(K66="retain",L66="statistical_results"),IF(INDEX('C_jama.2025.15185'!$J$2:$J$13,MATCH(C66,'C_jama.2025.15185'!$A$2:$A$13,0))="","",INDEX('C_jama.2025.15185'!$J$2:$J$13,MATCH(C66,'C_jama.2025.15185'!$A$2:$A$13,0))),"not_applicable"),"")</s:f>
        <s:v>not_applicable</s:v>
      </s:c>
      <s:c r="P66" s="15" t="str">
        <s:f>IFERROR(IF(AND(K66="retain",OR(L66="report_internal_inconsistency",L66="plan_material")),IF(INDEX('C_jama.2025.15185'!$K$2:$K$13,MATCH(C66,'C_jama.2025.15185'!$A$2:$A$13,0))="","",INDEX('C_jama.2025.15185'!$K$2:$K$13,MATCH(C66,'C_jama.2025.15185'!$A$2:$A$13,0))),"not_applicable"),"")</s:f>
        <s:v>substantive_inconsistency</s:v>
      </s:c>
      <s:c r="Q66" s="15" t="str">
        <s:f>IFERROR(IF(AND(K66="retain",L66="protocol_report"),IF(INDEX('C_jama.2025.15185'!$L$2:$L$13,MATCH(C66,'C_jama.2025.15185'!$A$2:$A$13,0))="","",INDEX('C_jama.2025.15185'!$L$2:$L$13,MATCH(C66,'C_jama.2025.15185'!$A$2:$A$13,0))),"not_applicable"),"")</s:f>
        <s:v>not_applicable</s:v>
      </s:c>
      <s:c r="R66" s="15" t="str">
        <s:f>IFERROR(IF(INDEX('C_jama.2025.15185'!$R$2:$R$13,MATCH(C66,'C_jama.2025.15185'!$A$2:$A$13,0))="","",INDEX('C_jama.2025.15185'!$R$2:$R$13,MATCH(C66,'C_jama.2025.15185'!$A$2:$A$13,0))),"")</s:f>
        <s:v>TEST 2025::jama.2025.15185::C012</s:v>
      </s:c>
      <s:c r="S66" s="15" t="str">
        <s:f>IF(Setup!$B$3="","",Setup!$B$3)</s:f>
        <s:v>TEST ONLY</s:v>
      </s:c>
    </s:row>
    <s:row r="67" ht="72" customFormat="1" customHeight="1" s="8">
      <s:c r="A67" s="16" t="n">
        <s:v>2025</s:v>
      </s:c>
      <s:c r="B67" s="16" t="inlineStr">
        <s:is>
          <s:t>jama.2025.15440</s:t>
        </s:is>
      </s:c>
      <s:c r="C67" s="16" t="inlineStr">
        <s:is>
          <s:t>2025::jama.2025.15440::C001</s:t>
        </s:is>
      </s:c>
      <s:c r="D67" s="16" t="inlineStr">
        <s:is>
          <s:t>S_W</s:t>
        </s:is>
      </s:c>
      <s:c r="E67" s="16" t="str">
        <s:f>Setup!$B$4</s:f>
        <s:v>R_A</s:v>
      </s:c>
      <s:c r="F67" s="16" t="str">
        <s:f>IF(Setup!$B$2="","",Setup!$B$2)</s:f>
        <s:v>TEST_REVIEWER</s:v>
      </s:c>
      <s:c r="G67" s="16" t="str">
        <s:f>IFERROR(INDEX('C_jama.2025.15440'!$G$2:$G$3,MATCH(C67,'C_jama.2025.15440'!$A$2:$A$3,0)),"CHECK KEY")</s:f>
        <s:v>PRIMARY READY</s:v>
      </s:c>
      <s:c r="H67" s="16" t="str">
        <s: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s:f>
        <s:v>secondary_temporal</s:v>
      </s:c>
      <s:c r="I67" s="16" t="inlineStr">
        <s:is>
          <s:t>retain</s:t>
        </s:is>
      </s:c>
      <s:c r="J67" s="16" t="inlineStr">
        <s:is>
          <s:t>report_internal_inconsistency</s:t>
        </s:is>
      </s:c>
      <s:c r="K67" s="16" t="str">
        <s:f>IFERROR(IF(INDEX('C_jama.2025.15440'!$D$2:$D$3,MATCH(C67,'C_jama.2025.15440'!$A$2:$A$3,0))="","",INDEX('C_jama.2025.15440'!$D$2:$D$3,MATCH(C67,'C_jama.2025.15440'!$A$2:$A$3,0))),"")</s:f>
        <s:v>retain</s:v>
      </s:c>
      <s:c r="L67" s="16" t="str">
        <s:f>IFERROR(IF(INDEX('C_jama.2025.15440'!$E$2:$E$3,MATCH(C67,'C_jama.2025.15440'!$A$2:$A$3,0))="","",INDEX('C_jama.2025.15440'!$E$2:$E$3,MATCH(C67,'C_jama.2025.15440'!$A$2:$A$3,0))),"")</s:f>
        <s:v>report_internal_inconsistency</s:v>
      </s:c>
      <s:c r="M67" s="16" t="str">
        <s:f>IFERROR(IF(AND(K67="retain",L67="statistical_results"),IF(INDEX('C_jama.2025.15440'!$H$2:$H$3,MATCH(C67,'C_jama.2025.15440'!$A$2:$A$3,0))="","",INDEX('C_jama.2025.15440'!$H$2:$H$3,MATCH(C67,'C_jama.2025.15440'!$A$2:$A$3,0))),"not_applicable"),"")</s:f>
        <s:v>not_applicable</s:v>
      </s:c>
      <s:c r="N67" s="16" t="str">
        <s:f>IFERROR(IF(AND(K67="retain",L67="statistical_results"),IF(INDEX('C_jama.2025.15440'!$I$2:$I$3,MATCH(C67,'C_jama.2025.15440'!$A$2:$A$3,0))="","",INDEX('C_jama.2025.15440'!$I$2:$I$3,MATCH(C67,'C_jama.2025.15440'!$A$2:$A$3,0))),"not_applicable"),"")</s:f>
        <s:v>not_applicable</s:v>
      </s:c>
      <s:c r="O67" s="16" t="str">
        <s:f>IFERROR(IF(AND(K67="retain",L67="statistical_results"),IF(INDEX('C_jama.2025.15440'!$J$2:$J$3,MATCH(C67,'C_jama.2025.15440'!$A$2:$A$3,0))="","",INDEX('C_jama.2025.15440'!$J$2:$J$3,MATCH(C67,'C_jama.2025.15440'!$A$2:$A$3,0))),"not_applicable"),"")</s:f>
        <s:v>not_applicable</s:v>
      </s:c>
      <s:c r="P67" s="16" t="str">
        <s:f>IFERROR(IF(AND(K67="retain",OR(L67="report_internal_inconsistency",L67="plan_material")),IF(INDEX('C_jama.2025.15440'!$K$2:$K$3,MATCH(C67,'C_jama.2025.15440'!$A$2:$A$3,0))="","",INDEX('C_jama.2025.15440'!$K$2:$K$3,MATCH(C67,'C_jama.2025.15440'!$A$2:$A$3,0))),"not_applicable"),"")</s:f>
        <s:v>substantive_inconsistency</s:v>
      </s:c>
      <s:c r="Q67" s="16" t="str">
        <s:f>IFERROR(IF(AND(K67="retain",L67="protocol_report"),IF(INDEX('C_jama.2025.15440'!$L$2:$L$3,MATCH(C67,'C_jama.2025.15440'!$A$2:$A$3,0))="","",INDEX('C_jama.2025.15440'!$L$2:$L$3,MATCH(C67,'C_jama.2025.15440'!$A$2:$A$3,0))),"not_applicable"),"")</s:f>
        <s:v>not_applicable</s:v>
      </s:c>
      <s:c r="R67" s="16" t="str">
        <s:f>IFERROR(IF(INDEX('C_jama.2025.15440'!$R$2:$R$3,MATCH(C67,'C_jama.2025.15440'!$A$2:$A$3,0))="","",INDEX('C_jama.2025.15440'!$R$2:$R$3,MATCH(C67,'C_jama.2025.15440'!$A$2:$A$3,0))),"")</s:f>
        <s:v>TEST 2025::jama.2025.15440::C001</s:v>
      </s:c>
      <s:c r="S67" s="16" t="str">
        <s:f>IF(Setup!$B$3="","",Setup!$B$3)</s:f>
        <s:v>TEST ONLY</s:v>
      </s:c>
    </s:row>
    <s:row r="68" ht="72" customFormat="1" customHeight="1" s="8">
      <s:c r="A68" s="15" t="n">
        <s:v>2025</s:v>
      </s:c>
      <s:c r="B68" s="15" t="inlineStr">
        <s:is>
          <s:t>jama.2025.15440</s:t>
        </s:is>
      </s:c>
      <s:c r="C68" s="15" t="inlineStr">
        <s:is>
          <s:t>2025::jama.2025.15440::C002</s:t>
        </s:is>
      </s:c>
      <s:c r="D68" s="15" t="inlineStr">
        <s:is>
          <s:t>S_W</s:t>
        </s:is>
      </s:c>
      <s:c r="E68" s="15" t="str">
        <s:f>Setup!$B$4</s:f>
        <s:v>R_A</s:v>
      </s:c>
      <s:c r="F68" s="15" t="str">
        <s:f>IF(Setup!$B$2="","",Setup!$B$2)</s:f>
        <s:v>TEST_REVIEWER</s:v>
      </s:c>
      <s:c r="G68" s="15" t="str">
        <s:f>IFERROR(INDEX('C_jama.2025.15440'!$G$2:$G$3,MATCH(C68,'C_jama.2025.15440'!$A$2:$A$3,0)),"CHECK KEY")</s:f>
        <s:v>PRIMARY READY</s:v>
      </s:c>
      <s:c r="H68" s="15" t="str">
        <s: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s:f>
        <s:v>primary_temporal</s:v>
      </s:c>
      <s:c r="I68" s="15" t="inlineStr">
        <s:is>
          <s:t>retain</s:t>
        </s:is>
      </s:c>
      <s:c r="J68" s="15" t="inlineStr">
        <s:is>
          <s:t>statistical_results</s:t>
        </s:is>
      </s:c>
      <s:c r="K68" s="15" t="str">
        <s:f>IFERROR(IF(INDEX('C_jama.2025.15440'!$D$2:$D$3,MATCH(C68,'C_jama.2025.15440'!$A$2:$A$3,0))="","",INDEX('C_jama.2025.15440'!$D$2:$D$3,MATCH(C68,'C_jama.2025.15440'!$A$2:$A$3,0))),"")</s:f>
        <s:v>retain</s:v>
      </s:c>
      <s:c r="L68" s="15" t="str">
        <s:f>IFERROR(IF(INDEX('C_jama.2025.15440'!$E$2:$E$3,MATCH(C68,'C_jama.2025.15440'!$A$2:$A$3,0))="","",INDEX('C_jama.2025.15440'!$E$2:$E$3,MATCH(C68,'C_jama.2025.15440'!$A$2:$A$3,0))),"")</s:f>
        <s:v>statistical_results</s:v>
      </s:c>
      <s:c r="M68" s="15" t="str">
        <s:f>IFERROR(IF(AND(K68="retain",L68="statistical_results"),IF(INDEX('C_jama.2025.15440'!$H$2:$H$3,MATCH(C68,'C_jama.2025.15440'!$A$2:$A$3,0))="","",INDEX('C_jama.2025.15440'!$H$2:$H$3,MATCH(C68,'C_jama.2025.15440'!$A$2:$A$3,0))),"not_applicable"),"")</s:f>
        <s:v>confirmed_issue</s:v>
      </s:c>
      <s:c r="N68" s="15" t="str">
        <s:f>IFERROR(IF(AND(K68="retain",L68="statistical_results"),IF(INDEX('C_jama.2025.15440'!$I$2:$I$3,MATCH(C68,'C_jama.2025.15440'!$A$2:$A$3,0))="","",INDEX('C_jama.2025.15440'!$I$2:$I$3,MATCH(C68,'C_jama.2025.15440'!$A$2:$A$3,0))),"not_applicable"),"")</s:f>
        <s:v>substantive</s:v>
      </s:c>
      <s:c r="O68" s="15" t="str">
        <s:f>IFERROR(IF(AND(K68="retain",L68="statistical_results"),IF(INDEX('C_jama.2025.15440'!$J$2:$J$3,MATCH(C68,'C_jama.2025.15440'!$A$2:$A$3,0))="","",INDEX('C_jama.2025.15440'!$J$2:$J$3,MATCH(C68,'C_jama.2025.15440'!$A$2:$A$3,0))),"not_applicable"),"")</s:f>
        <s:v/>
      </s:c>
      <s:c r="P68" s="15" t="str">
        <s:f>IFERROR(IF(AND(K68="retain",OR(L68="report_internal_inconsistency",L68="plan_material")),IF(INDEX('C_jama.2025.15440'!$K$2:$K$3,MATCH(C68,'C_jama.2025.15440'!$A$2:$A$3,0))="","",INDEX('C_jama.2025.15440'!$K$2:$K$3,MATCH(C68,'C_jama.2025.15440'!$A$2:$A$3,0))),"not_applicable"),"")</s:f>
        <s:v>not_applicable</s:v>
      </s:c>
      <s:c r="Q68" s="15" t="str">
        <s:f>IFERROR(IF(AND(K68="retain",L68="protocol_report"),IF(INDEX('C_jama.2025.15440'!$L$2:$L$3,MATCH(C68,'C_jama.2025.15440'!$A$2:$A$3,0))="","",INDEX('C_jama.2025.15440'!$L$2:$L$3,MATCH(C68,'C_jama.2025.15440'!$A$2:$A$3,0))),"not_applicable"),"")</s:f>
        <s:v>not_applicable</s:v>
      </s:c>
      <s:c r="R68" s="15" t="str">
        <s:f>IFERROR(IF(INDEX('C_jama.2025.15440'!$R$2:$R$3,MATCH(C68,'C_jama.2025.15440'!$A$2:$A$3,0))="","",INDEX('C_jama.2025.15440'!$R$2:$R$3,MATCH(C68,'C_jama.2025.15440'!$A$2:$A$3,0))),"")</s:f>
        <s:v>TEST 2025::jama.2025.15440::C002</s:v>
      </s:c>
      <s:c r="S68" s="15" t="str">
        <s:f>IF(Setup!$B$3="","",Setup!$B$3)</s:f>
        <s:v>TEST ONLY</s:v>
      </s:c>
    </s:row>
    <s:row r="69" ht="72" customFormat="1" customHeight="1" s="8">
      <s:c r="A69" s="16" t="n">
        <s:v>2025</s:v>
      </s:c>
      <s:c r="B69" s="16" t="inlineStr">
        <s:is>
          <s:t>jama.2025.16450</s:t>
        </s:is>
      </s:c>
      <s:c r="C69" s="16" t="inlineStr">
        <s:is>
          <s:t>2025::jama.2025.16450::C001</s:t>
        </s:is>
      </s:c>
      <s:c r="D69" s="16" t="inlineStr">
        <s:is>
          <s:t>S_W</s:t>
        </s:is>
      </s:c>
      <s:c r="E69" s="16" t="str">
        <s:f>Setup!$B$4</s:f>
        <s:v>R_A</s:v>
      </s:c>
      <s:c r="F69" s="16" t="str">
        <s:f>IF(Setup!$B$2="","",Setup!$B$2)</s:f>
        <s:v>TEST_REVIEWER</s:v>
      </s:c>
      <s:c r="G69" s="16" t="str">
        <s:f>IFERROR(INDEX('C_jama.2025.16450'!$G$2:$G$11,MATCH(C69,'C_jama.2025.16450'!$A$2:$A$11,0)),"CHECK KEY")</s:f>
        <s:v>PRIMARY READY</s:v>
      </s:c>
      <s:c r="H69" s="16" t="str">
        <s: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s:f>
        <s:v>secondary_temporal</s:v>
      </s:c>
      <s:c r="I69" s="16" t="inlineStr">
        <s:is>
          <s:t>retain</s:t>
        </s:is>
      </s:c>
      <s:c r="J69" s="16" t="inlineStr">
        <s:is>
          <s:t>report_internal_inconsistency</s:t>
        </s:is>
      </s:c>
      <s:c r="K69" s="16" t="str">
        <s:f>IFERROR(IF(INDEX('C_jama.2025.16450'!$D$2:$D$11,MATCH(C69,'C_jama.2025.16450'!$A$2:$A$11,0))="","",INDEX('C_jama.2025.16450'!$D$2:$D$11,MATCH(C69,'C_jama.2025.16450'!$A$2:$A$11,0))),"")</s:f>
        <s:v>retain</s:v>
      </s:c>
      <s:c r="L69" s="16" t="str">
        <s:f>IFERROR(IF(INDEX('C_jama.2025.16450'!$E$2:$E$11,MATCH(C69,'C_jama.2025.16450'!$A$2:$A$11,0))="","",INDEX('C_jama.2025.16450'!$E$2:$E$11,MATCH(C69,'C_jama.2025.16450'!$A$2:$A$11,0))),"")</s:f>
        <s:v>report_internal_inconsistency</s:v>
      </s:c>
      <s:c r="M69" s="16" t="str">
        <s:f>IFERROR(IF(AND(K69="retain",L69="statistical_results"),IF(INDEX('C_jama.2025.16450'!$H$2:$H$11,MATCH(C69,'C_jama.2025.16450'!$A$2:$A$11,0))="","",INDEX('C_jama.2025.16450'!$H$2:$H$11,MATCH(C69,'C_jama.2025.16450'!$A$2:$A$11,0))),"not_applicable"),"")</s:f>
        <s:v>not_applicable</s:v>
      </s:c>
      <s:c r="N69" s="16" t="str">
        <s:f>IFERROR(IF(AND(K69="retain",L69="statistical_results"),IF(INDEX('C_jama.2025.16450'!$I$2:$I$11,MATCH(C69,'C_jama.2025.16450'!$A$2:$A$11,0))="","",INDEX('C_jama.2025.16450'!$I$2:$I$11,MATCH(C69,'C_jama.2025.16450'!$A$2:$A$11,0))),"not_applicable"),"")</s:f>
        <s:v>not_applicable</s:v>
      </s:c>
      <s:c r="O69" s="16" t="str">
        <s:f>IFERROR(IF(AND(K69="retain",L69="statistical_results"),IF(INDEX('C_jama.2025.16450'!$J$2:$J$11,MATCH(C69,'C_jama.2025.16450'!$A$2:$A$11,0))="","",INDEX('C_jama.2025.16450'!$J$2:$J$11,MATCH(C69,'C_jama.2025.16450'!$A$2:$A$11,0))),"not_applicable"),"")</s:f>
        <s:v>not_applicable</s:v>
      </s:c>
      <s:c r="P69" s="16" t="str">
        <s:f>IFERROR(IF(AND(K69="retain",OR(L69="report_internal_inconsistency",L69="plan_material")),IF(INDEX('C_jama.2025.16450'!$K$2:$K$11,MATCH(C69,'C_jama.2025.16450'!$A$2:$A$11,0))="","",INDEX('C_jama.2025.16450'!$K$2:$K$11,MATCH(C69,'C_jama.2025.16450'!$A$2:$A$11,0))),"not_applicable"),"")</s:f>
        <s:v>substantive_inconsistency</s:v>
      </s:c>
      <s:c r="Q69" s="16" t="str">
        <s:f>IFERROR(IF(AND(K69="retain",L69="protocol_report"),IF(INDEX('C_jama.2025.16450'!$L$2:$L$11,MATCH(C69,'C_jama.2025.16450'!$A$2:$A$11,0))="","",INDEX('C_jama.2025.16450'!$L$2:$L$11,MATCH(C69,'C_jama.2025.16450'!$A$2:$A$11,0))),"not_applicable"),"")</s:f>
        <s:v>not_applicable</s:v>
      </s:c>
      <s:c r="R69" s="16" t="str">
        <s:f>IFERROR(IF(INDEX('C_jama.2025.16450'!$R$2:$R$11,MATCH(C69,'C_jama.2025.16450'!$A$2:$A$11,0))="","",INDEX('C_jama.2025.16450'!$R$2:$R$11,MATCH(C69,'C_jama.2025.16450'!$A$2:$A$11,0))),"")</s:f>
        <s:v>TEST 2025::jama.2025.16450::C001</s:v>
      </s:c>
      <s:c r="S69" s="16" t="str">
        <s:f>IF(Setup!$B$3="","",Setup!$B$3)</s:f>
        <s:v>TEST ONLY</s:v>
      </s:c>
    </s:row>
    <s:row r="70" ht="72" customFormat="1" customHeight="1" s="8">
      <s:c r="A70" s="15" t="n">
        <s:v>2025</s:v>
      </s:c>
      <s:c r="B70" s="15" t="inlineStr">
        <s:is>
          <s:t>jama.2025.16450</s:t>
        </s:is>
      </s:c>
      <s:c r="C70" s="15" t="inlineStr">
        <s:is>
          <s:t>2025::jama.2025.16450::C002</s:t>
        </s:is>
      </s:c>
      <s:c r="D70" s="15" t="inlineStr">
        <s:is>
          <s:t>P_R</s:t>
        </s:is>
      </s:c>
      <s:c r="E70" s="15" t="str">
        <s:f>Setup!$B$4</s:f>
        <s:v>R_A</s:v>
      </s:c>
      <s:c r="F70" s="15" t="str">
        <s:f>IF(Setup!$B$2="","",Setup!$B$2)</s:f>
        <s:v>TEST_REVIEWER</s:v>
      </s:c>
      <s:c r="G70" s="15" t="str">
        <s:f>IFERROR(INDEX('C_jama.2025.16450'!$G$2:$G$11,MATCH(C70,'C_jama.2025.16450'!$A$2:$A$11,0)),"CHECK KEY")</s:f>
        <s:v>PRIMARY READY</s:v>
      </s:c>
      <s:c r="H70" s="15" t="str">
        <s: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s:f>
        <s:v>protocol_descriptive</s:v>
      </s:c>
      <s:c r="I70" s="15" t="inlineStr">
        <s:is>
          <s:t>exclude</s:t>
        </s:is>
      </s:c>
      <s:c r="J70" s="15" t="inlineStr">
        <s:is>
          <s:t>protocol_report</s:t>
        </s:is>
      </s:c>
      <s:c r="K70" s="15" t="str">
        <s:f>IFERROR(IF(INDEX('C_jama.2025.16450'!$D$2:$D$11,MATCH(C70,'C_jama.2025.16450'!$A$2:$A$11,0))="","",INDEX('C_jama.2025.16450'!$D$2:$D$11,MATCH(C70,'C_jama.2025.16450'!$A$2:$A$11,0))),"")</s:f>
        <s:v>retain</s:v>
      </s:c>
      <s:c r="L70" s="15" t="str">
        <s:f>IFERROR(IF(INDEX('C_jama.2025.16450'!$E$2:$E$11,MATCH(C70,'C_jama.2025.16450'!$A$2:$A$11,0))="","",INDEX('C_jama.2025.16450'!$E$2:$E$11,MATCH(C70,'C_jama.2025.16450'!$A$2:$A$11,0))),"")</s:f>
        <s:v>protocol_report</s:v>
      </s:c>
      <s:c r="M70" s="15" t="str">
        <s:f>IFERROR(IF(AND(K70="retain",L70="statistical_results"),IF(INDEX('C_jama.2025.16450'!$H$2:$H$11,MATCH(C70,'C_jama.2025.16450'!$A$2:$A$11,0))="","",INDEX('C_jama.2025.16450'!$H$2:$H$11,MATCH(C70,'C_jama.2025.16450'!$A$2:$A$11,0))),"not_applicable"),"")</s:f>
        <s:v>not_applicable</s:v>
      </s:c>
      <s:c r="N70" s="15" t="str">
        <s:f>IFERROR(IF(AND(K70="retain",L70="statistical_results"),IF(INDEX('C_jama.2025.16450'!$I$2:$I$11,MATCH(C70,'C_jama.2025.16450'!$A$2:$A$11,0))="","",INDEX('C_jama.2025.16450'!$I$2:$I$11,MATCH(C70,'C_jama.2025.16450'!$A$2:$A$11,0))),"not_applicable"),"")</s:f>
        <s:v>not_applicable</s:v>
      </s:c>
      <s:c r="O70" s="15" t="str">
        <s:f>IFERROR(IF(AND(K70="retain",L70="statistical_results"),IF(INDEX('C_jama.2025.16450'!$J$2:$J$11,MATCH(C70,'C_jama.2025.16450'!$A$2:$A$11,0))="","",INDEX('C_jama.2025.16450'!$J$2:$J$11,MATCH(C70,'C_jama.2025.16450'!$A$2:$A$11,0))),"not_applicable"),"")</s:f>
        <s:v>not_applicable</s:v>
      </s:c>
      <s:c r="P70" s="15" t="str">
        <s:f>IFERROR(IF(AND(K70="retain",OR(L70="report_internal_inconsistency",L70="plan_material")),IF(INDEX('C_jama.2025.16450'!$K$2:$K$11,MATCH(C70,'C_jama.2025.16450'!$A$2:$A$11,0))="","",INDEX('C_jama.2025.16450'!$K$2:$K$11,MATCH(C70,'C_jama.2025.16450'!$A$2:$A$11,0))),"not_applicable"),"")</s:f>
        <s:v>not_applicable</s:v>
      </s:c>
      <s:c r="Q70" s="15" t="str">
        <s:f>IFERROR(IF(AND(K70="retain",L70="protocol_report"),IF(INDEX('C_jama.2025.16450'!$L$2:$L$11,MATCH(C70,'C_jama.2025.16450'!$A$2:$A$11,0))="","",INDEX('C_jama.2025.16450'!$L$2:$L$11,MATCH(C70,'C_jama.2025.16450'!$A$2:$A$11,0))),"not_applicable"),"")</s:f>
        <s:v/>
      </s:c>
      <s:c r="R70" s="15" t="str">
        <s:f>IFERROR(IF(INDEX('C_jama.2025.16450'!$R$2:$R$11,MATCH(C70,'C_jama.2025.16450'!$A$2:$A$11,0))="","",INDEX('C_jama.2025.16450'!$R$2:$R$11,MATCH(C70,'C_jama.2025.16450'!$A$2:$A$11,0))),"")</s:f>
        <s:v>TEST 2025::jama.2025.16450::C002</s:v>
      </s:c>
      <s:c r="S70" s="15" t="str">
        <s:f>IF(Setup!$B$3="","",Setup!$B$3)</s:f>
        <s:v>TEST ONLY</s:v>
      </s:c>
    </s:row>
    <s:row r="71" ht="72" customFormat="1" customHeight="1" s="8">
      <s:c r="A71" s="16" t="n">
        <s:v>2025</s:v>
      </s:c>
      <s:c r="B71" s="16" t="inlineStr">
        <s:is>
          <s:t>jama.2025.16450</s:t>
        </s:is>
      </s:c>
      <s:c r="C71" s="16" t="inlineStr">
        <s:is>
          <s:t>2025::jama.2025.16450::C003</s:t>
        </s:is>
      </s:c>
      <s:c r="D71" s="16" t="inlineStr">
        <s:is>
          <s:t>P_R</s:t>
        </s:is>
      </s:c>
      <s:c r="E71" s="16" t="str">
        <s:f>Setup!$B$4</s:f>
        <s:v>R_A</s:v>
      </s:c>
      <s:c r="F71" s="16" t="str">
        <s:f>IF(Setup!$B$2="","",Setup!$B$2)</s:f>
        <s:v>TEST_REVIEWER</s:v>
      </s:c>
      <s:c r="G71" s="16" t="str">
        <s:f>IFERROR(INDEX('C_jama.2025.16450'!$G$2:$G$11,MATCH(C71,'C_jama.2025.16450'!$A$2:$A$11,0)),"CHECK KEY")</s:f>
        <s:v>PRIMARY READY</s:v>
      </s:c>
      <s:c r="H71" s="16" t="str">
        <s: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s:f>
        <s:v>protocol_descriptive</s:v>
      </s:c>
      <s:c r="I71" s="16" t="inlineStr">
        <s:is>
          <s:t>exclude</s:t>
        </s:is>
      </s:c>
      <s:c r="J71" s="16" t="inlineStr">
        <s:is>
          <s:t>protocol_report</s:t>
        </s:is>
      </s:c>
      <s:c r="K71" s="16" t="str">
        <s:f>IFERROR(IF(INDEX('C_jama.2025.16450'!$D$2:$D$11,MATCH(C71,'C_jama.2025.16450'!$A$2:$A$11,0))="","",INDEX('C_jama.2025.16450'!$D$2:$D$11,MATCH(C71,'C_jama.2025.16450'!$A$2:$A$11,0))),"")</s:f>
        <s:v>retain</s:v>
      </s:c>
      <s:c r="L71" s="16" t="str">
        <s:f>IFERROR(IF(INDEX('C_jama.2025.16450'!$E$2:$E$11,MATCH(C71,'C_jama.2025.16450'!$A$2:$A$11,0))="","",INDEX('C_jama.2025.16450'!$E$2:$E$11,MATCH(C71,'C_jama.2025.16450'!$A$2:$A$11,0))),"")</s:f>
        <s:v>protocol_report</s:v>
      </s:c>
      <s:c r="M71" s="16" t="str">
        <s:f>IFERROR(IF(AND(K71="retain",L71="statistical_results"),IF(INDEX('C_jama.2025.16450'!$H$2:$H$11,MATCH(C71,'C_jama.2025.16450'!$A$2:$A$11,0))="","",INDEX('C_jama.2025.16450'!$H$2:$H$11,MATCH(C71,'C_jama.2025.16450'!$A$2:$A$11,0))),"not_applicable"),"")</s:f>
        <s:v>not_applicable</s:v>
      </s:c>
      <s:c r="N71" s="16" t="str">
        <s:f>IFERROR(IF(AND(K71="retain",L71="statistical_results"),IF(INDEX('C_jama.2025.16450'!$I$2:$I$11,MATCH(C71,'C_jama.2025.16450'!$A$2:$A$11,0))="","",INDEX('C_jama.2025.16450'!$I$2:$I$11,MATCH(C71,'C_jama.2025.16450'!$A$2:$A$11,0))),"not_applicable"),"")</s:f>
        <s:v>not_applicable</s:v>
      </s:c>
      <s:c r="O71" s="16" t="str">
        <s:f>IFERROR(IF(AND(K71="retain",L71="statistical_results"),IF(INDEX('C_jama.2025.16450'!$J$2:$J$11,MATCH(C71,'C_jama.2025.16450'!$A$2:$A$11,0))="","",INDEX('C_jama.2025.16450'!$J$2:$J$11,MATCH(C71,'C_jama.2025.16450'!$A$2:$A$11,0))),"not_applicable"),"")</s:f>
        <s:v>not_applicable</s:v>
      </s:c>
      <s:c r="P71" s="16" t="str">
        <s:f>IFERROR(IF(AND(K71="retain",OR(L71="report_internal_inconsistency",L71="plan_material")),IF(INDEX('C_jama.2025.16450'!$K$2:$K$11,MATCH(C71,'C_jama.2025.16450'!$A$2:$A$11,0))="","",INDEX('C_jama.2025.16450'!$K$2:$K$11,MATCH(C71,'C_jama.2025.16450'!$A$2:$A$11,0))),"not_applicable"),"")</s:f>
        <s:v>not_applicable</s:v>
      </s:c>
      <s:c r="Q71" s="16" t="str">
        <s:f>IFERROR(IF(AND(K71="retain",L71="protocol_report"),IF(INDEX('C_jama.2025.16450'!$L$2:$L$11,MATCH(C71,'C_jama.2025.16450'!$A$2:$A$11,0))="","",INDEX('C_jama.2025.16450'!$L$2:$L$11,MATCH(C71,'C_jama.2025.16450'!$A$2:$A$11,0))),"not_applicable"),"")</s:f>
        <s:v/>
      </s:c>
      <s:c r="R71" s="16" t="str">
        <s:f>IFERROR(IF(INDEX('C_jama.2025.16450'!$R$2:$R$11,MATCH(C71,'C_jama.2025.16450'!$A$2:$A$11,0))="","",INDEX('C_jama.2025.16450'!$R$2:$R$11,MATCH(C71,'C_jama.2025.16450'!$A$2:$A$11,0))),"")</s:f>
        <s:v>TEST 2025::jama.2025.16450::C003</s:v>
      </s:c>
      <s:c r="S71" s="16" t="str">
        <s:f>IF(Setup!$B$3="","",Setup!$B$3)</s:f>
        <s:v>TEST ONLY</s:v>
      </s:c>
    </s:row>
    <s:row r="72" ht="72" customFormat="1" customHeight="1" s="8">
      <s:c r="A72" s="15" t="n">
        <s:v>2025</s:v>
      </s:c>
      <s:c r="B72" s="15" t="inlineStr">
        <s:is>
          <s:t>jama.2025.16450</s:t>
        </s:is>
      </s:c>
      <s:c r="C72" s="15" t="inlineStr">
        <s:is>
          <s:t>2025::jama.2025.16450::C004</s:t>
        </s:is>
      </s:c>
      <s:c r="D72" s="15" t="inlineStr">
        <s:is>
          <s:t>P_P</s:t>
        </s:is>
      </s:c>
      <s:c r="E72" s="15" t="str">
        <s:f>Setup!$B$4</s:f>
        <s:v>R_A</s:v>
      </s:c>
      <s:c r="F72" s="15" t="str">
        <s:f>IF(Setup!$B$2="","",Setup!$B$2)</s:f>
        <s:v>TEST_REVIEWER</s:v>
      </s:c>
      <s:c r="G72" s="15" t="str">
        <s:f>IFERROR(INDEX('C_jama.2025.16450'!$G$2:$G$11,MATCH(C72,'C_jama.2025.16450'!$A$2:$A$11,0)),"CHECK KEY")</s:f>
        <s:v>PRIMARY READY</s:v>
      </s:c>
      <s:c r="H72" s="15" t="str">
        <s: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s:f>
        <s:v>plan_descriptive</s:v>
      </s:c>
      <s:c r="I72" s="15" t="inlineStr">
        <s:is>
          <s:t>retain</s:t>
        </s:is>
      </s:c>
      <s:c r="J72" s="15" t="inlineStr">
        <s:is>
          <s:t>plan_material</s:t>
        </s:is>
      </s:c>
      <s:c r="K72" s="15" t="str">
        <s:f>IFERROR(IF(INDEX('C_jama.2025.16450'!$D$2:$D$11,MATCH(C72,'C_jama.2025.16450'!$A$2:$A$11,0))="","",INDEX('C_jama.2025.16450'!$D$2:$D$11,MATCH(C72,'C_jama.2025.16450'!$A$2:$A$11,0))),"")</s:f>
        <s:v>retain</s:v>
      </s:c>
      <s:c r="L72" s="15" t="str">
        <s:f>IFERROR(IF(INDEX('C_jama.2025.16450'!$E$2:$E$11,MATCH(C72,'C_jama.2025.16450'!$A$2:$A$11,0))="","",INDEX('C_jama.2025.16450'!$E$2:$E$11,MATCH(C72,'C_jama.2025.16450'!$A$2:$A$11,0))),"")</s:f>
        <s:v>plan_material</s:v>
      </s:c>
      <s:c r="M72" s="15" t="str">
        <s:f>IFERROR(IF(AND(K72="retain",L72="statistical_results"),IF(INDEX('C_jama.2025.16450'!$H$2:$H$11,MATCH(C72,'C_jama.2025.16450'!$A$2:$A$11,0))="","",INDEX('C_jama.2025.16450'!$H$2:$H$11,MATCH(C72,'C_jama.2025.16450'!$A$2:$A$11,0))),"not_applicable"),"")</s:f>
        <s:v>not_applicable</s:v>
      </s:c>
      <s:c r="N72" s="15" t="str">
        <s:f>IFERROR(IF(AND(K72="retain",L72="statistical_results"),IF(INDEX('C_jama.2025.16450'!$I$2:$I$11,MATCH(C72,'C_jama.2025.16450'!$A$2:$A$11,0))="","",INDEX('C_jama.2025.16450'!$I$2:$I$11,MATCH(C72,'C_jama.2025.16450'!$A$2:$A$11,0))),"not_applicable"),"")</s:f>
        <s:v>not_applicable</s:v>
      </s:c>
      <s:c r="O72" s="15" t="str">
        <s:f>IFERROR(IF(AND(K72="retain",L72="statistical_results"),IF(INDEX('C_jama.2025.16450'!$J$2:$J$11,MATCH(C72,'C_jama.2025.16450'!$A$2:$A$11,0))="","",INDEX('C_jama.2025.16450'!$J$2:$J$11,MATCH(C72,'C_jama.2025.16450'!$A$2:$A$11,0))),"not_applicable"),"")</s:f>
        <s:v>not_applicable</s:v>
      </s:c>
      <s:c r="P72" s="15" t="str">
        <s:f>IFERROR(IF(AND(K72="retain",OR(L72="report_internal_inconsistency",L72="plan_material")),IF(INDEX('C_jama.2025.16450'!$K$2:$K$11,MATCH(C72,'C_jama.2025.16450'!$A$2:$A$11,0))="","",INDEX('C_jama.2025.16450'!$K$2:$K$11,MATCH(C72,'C_jama.2025.16450'!$A$2:$A$11,0))),"not_applicable"),"")</s:f>
        <s:v>substantive_inconsistency</s:v>
      </s:c>
      <s:c r="Q72" s="15" t="str">
        <s:f>IFERROR(IF(AND(K72="retain",L72="protocol_report"),IF(INDEX('C_jama.2025.16450'!$L$2:$L$11,MATCH(C72,'C_jama.2025.16450'!$A$2:$A$11,0))="","",INDEX('C_jama.2025.16450'!$L$2:$L$11,MATCH(C72,'C_jama.2025.16450'!$A$2:$A$11,0))),"not_applicable"),"")</s:f>
        <s:v>not_applicable</s:v>
      </s:c>
      <s:c r="R72" s="15" t="str">
        <s:f>IFERROR(IF(INDEX('C_jama.2025.16450'!$R$2:$R$11,MATCH(C72,'C_jama.2025.16450'!$A$2:$A$11,0))="","",INDEX('C_jama.2025.16450'!$R$2:$R$11,MATCH(C72,'C_jama.2025.16450'!$A$2:$A$11,0))),"")</s:f>
        <s:v>TEST 2025::jama.2025.16450::C004</s:v>
      </s:c>
      <s:c r="S72" s="15" t="str">
        <s:f>IF(Setup!$B$3="","",Setup!$B$3)</s:f>
        <s:v>TEST ONLY</s:v>
      </s:c>
    </s:row>
    <s:row r="73" ht="72" customFormat="1" customHeight="1" s="8">
      <s:c r="A73" s="16" t="n">
        <s:v>2025</s:v>
      </s:c>
      <s:c r="B73" s="16" t="inlineStr">
        <s:is>
          <s:t>jama.2025.16450</s:t>
        </s:is>
      </s:c>
      <s:c r="C73" s="16" t="inlineStr">
        <s:is>
          <s:t>2025::jama.2025.16450::C005</s:t>
        </s:is>
      </s:c>
      <s:c r="D73" s="16" t="inlineStr">
        <s:is>
          <s:t>P_P</s:t>
        </s:is>
      </s:c>
      <s:c r="E73" s="16" t="str">
        <s:f>Setup!$B$4</s:f>
        <s:v>R_A</s:v>
      </s:c>
      <s:c r="F73" s="16" t="str">
        <s:f>IF(Setup!$B$2="","",Setup!$B$2)</s:f>
        <s:v>TEST_REVIEWER</s:v>
      </s:c>
      <s:c r="G73" s="16" t="str">
        <s:f>IFERROR(INDEX('C_jama.2025.16450'!$G$2:$G$11,MATCH(C73,'C_jama.2025.16450'!$A$2:$A$11,0)),"CHECK KEY")</s:f>
        <s:v>PRIMARY READY</s:v>
      </s:c>
      <s:c r="H73" s="16" t="str">
        <s: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s:f>
        <s:v>plan_descriptive</s:v>
      </s:c>
      <s:c r="I73" s="16" t="inlineStr">
        <s:is>
          <s:t>exclude</s:t>
        </s:is>
      </s:c>
      <s:c r="J73" s="16" t="inlineStr">
        <s:is>
          <s:t>plan_material</s:t>
        </s:is>
      </s:c>
      <s:c r="K73" s="16" t="str">
        <s:f>IFERROR(IF(INDEX('C_jama.2025.16450'!$D$2:$D$11,MATCH(C73,'C_jama.2025.16450'!$A$2:$A$11,0))="","",INDEX('C_jama.2025.16450'!$D$2:$D$11,MATCH(C73,'C_jama.2025.16450'!$A$2:$A$11,0))),"")</s:f>
        <s:v>retain</s:v>
      </s:c>
      <s:c r="L73" s="16" t="str">
        <s:f>IFERROR(IF(INDEX('C_jama.2025.16450'!$E$2:$E$11,MATCH(C73,'C_jama.2025.16450'!$A$2:$A$11,0))="","",INDEX('C_jama.2025.16450'!$E$2:$E$11,MATCH(C73,'C_jama.2025.16450'!$A$2:$A$11,0))),"")</s:f>
        <s:v>plan_material</s:v>
      </s:c>
      <s:c r="M73" s="16" t="str">
        <s:f>IFERROR(IF(AND(K73="retain",L73="statistical_results"),IF(INDEX('C_jama.2025.16450'!$H$2:$H$11,MATCH(C73,'C_jama.2025.16450'!$A$2:$A$11,0))="","",INDEX('C_jama.2025.16450'!$H$2:$H$11,MATCH(C73,'C_jama.2025.16450'!$A$2:$A$11,0))),"not_applicable"),"")</s:f>
        <s:v>not_applicable</s:v>
      </s:c>
      <s:c r="N73" s="16" t="str">
        <s:f>IFERROR(IF(AND(K73="retain",L73="statistical_results"),IF(INDEX('C_jama.2025.16450'!$I$2:$I$11,MATCH(C73,'C_jama.2025.16450'!$A$2:$A$11,0))="","",INDEX('C_jama.2025.16450'!$I$2:$I$11,MATCH(C73,'C_jama.2025.16450'!$A$2:$A$11,0))),"not_applicable"),"")</s:f>
        <s:v>not_applicable</s:v>
      </s:c>
      <s:c r="O73" s="16" t="str">
        <s:f>IFERROR(IF(AND(K73="retain",L73="statistical_results"),IF(INDEX('C_jama.2025.16450'!$J$2:$J$11,MATCH(C73,'C_jama.2025.16450'!$A$2:$A$11,0))="","",INDEX('C_jama.2025.16450'!$J$2:$J$11,MATCH(C73,'C_jama.2025.16450'!$A$2:$A$11,0))),"not_applicable"),"")</s:f>
        <s:v>not_applicable</s:v>
      </s:c>
      <s:c r="P73" s="16" t="str">
        <s:f>IFERROR(IF(AND(K73="retain",OR(L73="report_internal_inconsistency",L73="plan_material")),IF(INDEX('C_jama.2025.16450'!$K$2:$K$11,MATCH(C73,'C_jama.2025.16450'!$A$2:$A$11,0))="","",INDEX('C_jama.2025.16450'!$K$2:$K$11,MATCH(C73,'C_jama.2025.16450'!$A$2:$A$11,0))),"not_applicable"),"")</s:f>
        <s:v>substantive_inconsistency</s:v>
      </s:c>
      <s:c r="Q73" s="16" t="str">
        <s:f>IFERROR(IF(AND(K73="retain",L73="protocol_report"),IF(INDEX('C_jama.2025.16450'!$L$2:$L$11,MATCH(C73,'C_jama.2025.16450'!$A$2:$A$11,0))="","",INDEX('C_jama.2025.16450'!$L$2:$L$11,MATCH(C73,'C_jama.2025.16450'!$A$2:$A$11,0))),"not_applicable"),"")</s:f>
        <s:v>not_applicable</s:v>
      </s:c>
      <s:c r="R73" s="16" t="str">
        <s:f>IFERROR(IF(INDEX('C_jama.2025.16450'!$R$2:$R$11,MATCH(C73,'C_jama.2025.16450'!$A$2:$A$11,0))="","",INDEX('C_jama.2025.16450'!$R$2:$R$11,MATCH(C73,'C_jama.2025.16450'!$A$2:$A$11,0))),"")</s:f>
        <s:v>TEST 2025::jama.2025.16450::C005</s:v>
      </s:c>
      <s:c r="S73" s="16" t="str">
        <s:f>IF(Setup!$B$3="","",Setup!$B$3)</s:f>
        <s:v>TEST ONLY</s:v>
      </s:c>
    </s:row>
    <s:row r="74" ht="72" customFormat="1" customHeight="1" s="8">
      <s:c r="A74" s="15" t="n">
        <s:v>2025</s:v>
      </s:c>
      <s:c r="B74" s="15" t="inlineStr">
        <s:is>
          <s:t>jama.2025.16450</s:t>
        </s:is>
      </s:c>
      <s:c r="C74" s="15" t="inlineStr">
        <s:is>
          <s:t>2025::jama.2025.16450::C006</s:t>
        </s:is>
      </s:c>
      <s:c r="D74" s="15" t="inlineStr">
        <s:is>
          <s:t>P_P</s:t>
        </s:is>
      </s:c>
      <s:c r="E74" s="15" t="str">
        <s:f>Setup!$B$4</s:f>
        <s:v>R_A</s:v>
      </s:c>
      <s:c r="F74" s="15" t="str">
        <s:f>IF(Setup!$B$2="","",Setup!$B$2)</s:f>
        <s:v>TEST_REVIEWER</s:v>
      </s:c>
      <s:c r="G74" s="15" t="str">
        <s:f>IFERROR(INDEX('C_jama.2025.16450'!$G$2:$G$11,MATCH(C74,'C_jama.2025.16450'!$A$2:$A$11,0)),"CHECK KEY")</s:f>
        <s:v>PRIMARY READY</s:v>
      </s:c>
      <s:c r="H74" s="15" t="str">
        <s: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s:f>
        <s:v>plan_descriptive</s:v>
      </s:c>
      <s:c r="I74" s="15" t="inlineStr">
        <s:is>
          <s:t>exclude</s:t>
        </s:is>
      </s:c>
      <s:c r="J74" s="15" t="inlineStr">
        <s:is>
          <s:t>plan_material</s:t>
        </s:is>
      </s:c>
      <s:c r="K74" s="15" t="str">
        <s:f>IFERROR(IF(INDEX('C_jama.2025.16450'!$D$2:$D$11,MATCH(C74,'C_jama.2025.16450'!$A$2:$A$11,0))="","",INDEX('C_jama.2025.16450'!$D$2:$D$11,MATCH(C74,'C_jama.2025.16450'!$A$2:$A$11,0))),"")</s:f>
        <s:v>retain</s:v>
      </s:c>
      <s:c r="L74" s="15" t="str">
        <s:f>IFERROR(IF(INDEX('C_jama.2025.16450'!$E$2:$E$11,MATCH(C74,'C_jama.2025.16450'!$A$2:$A$11,0))="","",INDEX('C_jama.2025.16450'!$E$2:$E$11,MATCH(C74,'C_jama.2025.16450'!$A$2:$A$11,0))),"")</s:f>
        <s:v>plan_material</s:v>
      </s:c>
      <s:c r="M74" s="15" t="str">
        <s:f>IFERROR(IF(AND(K74="retain",L74="statistical_results"),IF(INDEX('C_jama.2025.16450'!$H$2:$H$11,MATCH(C74,'C_jama.2025.16450'!$A$2:$A$11,0))="","",INDEX('C_jama.2025.16450'!$H$2:$H$11,MATCH(C74,'C_jama.2025.16450'!$A$2:$A$11,0))),"not_applicable"),"")</s:f>
        <s:v>not_applicable</s:v>
      </s:c>
      <s:c r="N74" s="15" t="str">
        <s:f>IFERROR(IF(AND(K74="retain",L74="statistical_results"),IF(INDEX('C_jama.2025.16450'!$I$2:$I$11,MATCH(C74,'C_jama.2025.16450'!$A$2:$A$11,0))="","",INDEX('C_jama.2025.16450'!$I$2:$I$11,MATCH(C74,'C_jama.2025.16450'!$A$2:$A$11,0))),"not_applicable"),"")</s:f>
        <s:v>not_applicable</s:v>
      </s:c>
      <s:c r="O74" s="15" t="str">
        <s:f>IFERROR(IF(AND(K74="retain",L74="statistical_results"),IF(INDEX('C_jama.2025.16450'!$J$2:$J$11,MATCH(C74,'C_jama.2025.16450'!$A$2:$A$11,0))="","",INDEX('C_jama.2025.16450'!$J$2:$J$11,MATCH(C74,'C_jama.2025.16450'!$A$2:$A$11,0))),"not_applicable"),"")</s:f>
        <s:v>not_applicable</s:v>
      </s:c>
      <s:c r="P74" s="15" t="str">
        <s:f>IFERROR(IF(AND(K74="retain",OR(L74="report_internal_inconsistency",L74="plan_material")),IF(INDEX('C_jama.2025.16450'!$K$2:$K$11,MATCH(C74,'C_jama.2025.16450'!$A$2:$A$11,0))="","",INDEX('C_jama.2025.16450'!$K$2:$K$11,MATCH(C74,'C_jama.2025.16450'!$A$2:$A$11,0))),"not_applicable"),"")</s:f>
        <s:v>substantive_inconsistency</s:v>
      </s:c>
      <s:c r="Q74" s="15" t="str">
        <s:f>IFERROR(IF(AND(K74="retain",L74="protocol_report"),IF(INDEX('C_jama.2025.16450'!$L$2:$L$11,MATCH(C74,'C_jama.2025.16450'!$A$2:$A$11,0))="","",INDEX('C_jama.2025.16450'!$L$2:$L$11,MATCH(C74,'C_jama.2025.16450'!$A$2:$A$11,0))),"not_applicable"),"")</s:f>
        <s:v>not_applicable</s:v>
      </s:c>
      <s:c r="R74" s="15" t="str">
        <s:f>IFERROR(IF(INDEX('C_jama.2025.16450'!$R$2:$R$11,MATCH(C74,'C_jama.2025.16450'!$A$2:$A$11,0))="","",INDEX('C_jama.2025.16450'!$R$2:$R$11,MATCH(C74,'C_jama.2025.16450'!$A$2:$A$11,0))),"")</s:f>
        <s:v>TEST 2025::jama.2025.16450::C006</s:v>
      </s:c>
      <s:c r="S74" s="15" t="str">
        <s:f>IF(Setup!$B$3="","",Setup!$B$3)</s:f>
        <s:v>TEST ONLY</s:v>
      </s:c>
    </s:row>
    <s:row r="75" ht="72" customFormat="1" customHeight="1" s="8">
      <s:c r="A75" s="16" t="n">
        <s:v>2025</s:v>
      </s:c>
      <s:c r="B75" s="16" t="inlineStr">
        <s:is>
          <s:t>jama.2025.16450</s:t>
        </s:is>
      </s:c>
      <s:c r="C75" s="16" t="inlineStr">
        <s:is>
          <s:t>2025::jama.2025.16450::C007</s:t>
        </s:is>
      </s:c>
      <s:c r="D75" s="16" t="inlineStr">
        <s:is>
          <s:t>P_R</s:t>
        </s:is>
      </s:c>
      <s:c r="E75" s="16" t="str">
        <s:f>Setup!$B$4</s:f>
        <s:v>R_A</s:v>
      </s:c>
      <s:c r="F75" s="16" t="str">
        <s:f>IF(Setup!$B$2="","",Setup!$B$2)</s:f>
        <s:v>TEST_REVIEWER</s:v>
      </s:c>
      <s:c r="G75" s="16" t="str">
        <s:f>IFERROR(INDEX('C_jama.2025.16450'!$G$2:$G$11,MATCH(C75,'C_jama.2025.16450'!$A$2:$A$11,0)),"CHECK KEY")</s:f>
        <s:v>PRIMARY READY</s:v>
      </s:c>
      <s:c r="H75" s="16" t="str">
        <s: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s:f>
        <s:v>protocol_descriptive</s:v>
      </s:c>
      <s:c r="I75" s="16" t="inlineStr">
        <s:is>
          <s:t>retain</s:t>
        </s:is>
      </s:c>
      <s:c r="J75" s="16" t="inlineStr">
        <s:is>
          <s:t>protocol_report</s:t>
        </s:is>
      </s:c>
      <s:c r="K75" s="16" t="str">
        <s:f>IFERROR(IF(INDEX('C_jama.2025.16450'!$D$2:$D$11,MATCH(C75,'C_jama.2025.16450'!$A$2:$A$11,0))="","",INDEX('C_jama.2025.16450'!$D$2:$D$11,MATCH(C75,'C_jama.2025.16450'!$A$2:$A$11,0))),"")</s:f>
        <s:v>retain</s:v>
      </s:c>
      <s:c r="L75" s="16" t="str">
        <s:f>IFERROR(IF(INDEX('C_jama.2025.16450'!$E$2:$E$11,MATCH(C75,'C_jama.2025.16450'!$A$2:$A$11,0))="","",INDEX('C_jama.2025.16450'!$E$2:$E$11,MATCH(C75,'C_jama.2025.16450'!$A$2:$A$11,0))),"")</s:f>
        <s:v>protocol_report</s:v>
      </s:c>
      <s:c r="M75" s="16" t="str">
        <s:f>IFERROR(IF(AND(K75="retain",L75="statistical_results"),IF(INDEX('C_jama.2025.16450'!$H$2:$H$11,MATCH(C75,'C_jama.2025.16450'!$A$2:$A$11,0))="","",INDEX('C_jama.2025.16450'!$H$2:$H$11,MATCH(C75,'C_jama.2025.16450'!$A$2:$A$11,0))),"not_applicable"),"")</s:f>
        <s:v>not_applicable</s:v>
      </s:c>
      <s:c r="N75" s="16" t="str">
        <s:f>IFERROR(IF(AND(K75="retain",L75="statistical_results"),IF(INDEX('C_jama.2025.16450'!$I$2:$I$11,MATCH(C75,'C_jama.2025.16450'!$A$2:$A$11,0))="","",INDEX('C_jama.2025.16450'!$I$2:$I$11,MATCH(C75,'C_jama.2025.16450'!$A$2:$A$11,0))),"not_applicable"),"")</s:f>
        <s:v>not_applicable</s:v>
      </s:c>
      <s:c r="O75" s="16" t="str">
        <s:f>IFERROR(IF(AND(K75="retain",L75="statistical_results"),IF(INDEX('C_jama.2025.16450'!$J$2:$J$11,MATCH(C75,'C_jama.2025.16450'!$A$2:$A$11,0))="","",INDEX('C_jama.2025.16450'!$J$2:$J$11,MATCH(C75,'C_jama.2025.16450'!$A$2:$A$11,0))),"not_applicable"),"")</s:f>
        <s:v>not_applicable</s:v>
      </s:c>
      <s:c r="P75" s="16" t="str">
        <s:f>IFERROR(IF(AND(K75="retain",OR(L75="report_internal_inconsistency",L75="plan_material")),IF(INDEX('C_jama.2025.16450'!$K$2:$K$11,MATCH(C75,'C_jama.2025.16450'!$A$2:$A$11,0))="","",INDEX('C_jama.2025.16450'!$K$2:$K$11,MATCH(C75,'C_jama.2025.16450'!$A$2:$A$11,0))),"not_applicable"),"")</s:f>
        <s:v>not_applicable</s:v>
      </s:c>
      <s:c r="Q75" s="16" t="str">
        <s:f>IFERROR(IF(AND(K75="retain",L75="protocol_report"),IF(INDEX('C_jama.2025.16450'!$L$2:$L$11,MATCH(C75,'C_jama.2025.16450'!$A$2:$A$11,0))="","",INDEX('C_jama.2025.16450'!$L$2:$L$11,MATCH(C75,'C_jama.2025.16450'!$A$2:$A$11,0))),"not_applicable"),"")</s:f>
        <s:v/>
      </s:c>
      <s:c r="R75" s="16" t="str">
        <s:f>IFERROR(IF(INDEX('C_jama.2025.16450'!$R$2:$R$11,MATCH(C75,'C_jama.2025.16450'!$A$2:$A$11,0))="","",INDEX('C_jama.2025.16450'!$R$2:$R$11,MATCH(C75,'C_jama.2025.16450'!$A$2:$A$11,0))),"")</s:f>
        <s:v>TEST 2025::jama.2025.16450::C007</s:v>
      </s:c>
      <s:c r="S75" s="16" t="str">
        <s:f>IF(Setup!$B$3="","",Setup!$B$3)</s:f>
        <s:v>TEST ONLY</s:v>
      </s:c>
    </s:row>
    <s:row r="76" ht="72" customFormat="1" customHeight="1" s="8">
      <s:c r="A76" s="15" t="n">
        <s:v>2025</s:v>
      </s:c>
      <s:c r="B76" s="15" t="inlineStr">
        <s:is>
          <s:t>jama.2025.16450</s:t>
        </s:is>
      </s:c>
      <s:c r="C76" s="15" t="inlineStr">
        <s:is>
          <s:t>2025::jama.2025.16450::C008</s:t>
        </s:is>
      </s:c>
      <s:c r="D76" s="15" t="inlineStr">
        <s:is>
          <s:t>P_R</s:t>
        </s:is>
      </s:c>
      <s:c r="E76" s="15" t="str">
        <s:f>Setup!$B$4</s:f>
        <s:v>R_A</s:v>
      </s:c>
      <s:c r="F76" s="15" t="str">
        <s:f>IF(Setup!$B$2="","",Setup!$B$2)</s:f>
        <s:v>TEST_REVIEWER</s:v>
      </s:c>
      <s:c r="G76" s="15" t="str">
        <s:f>IFERROR(INDEX('C_jama.2025.16450'!$G$2:$G$11,MATCH(C76,'C_jama.2025.16450'!$A$2:$A$11,0)),"CHECK KEY")</s:f>
        <s:v>PRIMARY READY</s:v>
      </s:c>
      <s:c r="H76" s="15" t="str">
        <s: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s:f>
        <s:v>protocol_descriptive</s:v>
      </s:c>
      <s:c r="I76" s="15" t="inlineStr">
        <s:is>
          <s:t>retain</s:t>
        </s:is>
      </s:c>
      <s:c r="J76" s="15" t="inlineStr">
        <s:is>
          <s:t>protocol_report</s:t>
        </s:is>
      </s:c>
      <s:c r="K76" s="15" t="str">
        <s:f>IFERROR(IF(INDEX('C_jama.2025.16450'!$D$2:$D$11,MATCH(C76,'C_jama.2025.16450'!$A$2:$A$11,0))="","",INDEX('C_jama.2025.16450'!$D$2:$D$11,MATCH(C76,'C_jama.2025.16450'!$A$2:$A$11,0))),"")</s:f>
        <s:v>retain</s:v>
      </s:c>
      <s:c r="L76" s="15" t="str">
        <s:f>IFERROR(IF(INDEX('C_jama.2025.16450'!$E$2:$E$11,MATCH(C76,'C_jama.2025.16450'!$A$2:$A$11,0))="","",INDEX('C_jama.2025.16450'!$E$2:$E$11,MATCH(C76,'C_jama.2025.16450'!$A$2:$A$11,0))),"")</s:f>
        <s:v>protocol_report</s:v>
      </s:c>
      <s:c r="M76" s="15" t="str">
        <s:f>IFERROR(IF(AND(K76="retain",L76="statistical_results"),IF(INDEX('C_jama.2025.16450'!$H$2:$H$11,MATCH(C76,'C_jama.2025.16450'!$A$2:$A$11,0))="","",INDEX('C_jama.2025.16450'!$H$2:$H$11,MATCH(C76,'C_jama.2025.16450'!$A$2:$A$11,0))),"not_applicable"),"")</s:f>
        <s:v>not_applicable</s:v>
      </s:c>
      <s:c r="N76" s="15" t="str">
        <s:f>IFERROR(IF(AND(K76="retain",L76="statistical_results"),IF(INDEX('C_jama.2025.16450'!$I$2:$I$11,MATCH(C76,'C_jama.2025.16450'!$A$2:$A$11,0))="","",INDEX('C_jama.2025.16450'!$I$2:$I$11,MATCH(C76,'C_jama.2025.16450'!$A$2:$A$11,0))),"not_applicable"),"")</s:f>
        <s:v>not_applicable</s:v>
      </s:c>
      <s:c r="O76" s="15" t="str">
        <s:f>IFERROR(IF(AND(K76="retain",L76="statistical_results"),IF(INDEX('C_jama.2025.16450'!$J$2:$J$11,MATCH(C76,'C_jama.2025.16450'!$A$2:$A$11,0))="","",INDEX('C_jama.2025.16450'!$J$2:$J$11,MATCH(C76,'C_jama.2025.16450'!$A$2:$A$11,0))),"not_applicable"),"")</s:f>
        <s:v>not_applicable</s:v>
      </s:c>
      <s:c r="P76" s="15" t="str">
        <s:f>IFERROR(IF(AND(K76="retain",OR(L76="report_internal_inconsistency",L76="plan_material")),IF(INDEX('C_jama.2025.16450'!$K$2:$K$11,MATCH(C76,'C_jama.2025.16450'!$A$2:$A$11,0))="","",INDEX('C_jama.2025.16450'!$K$2:$K$11,MATCH(C76,'C_jama.2025.16450'!$A$2:$A$11,0))),"not_applicable"),"")</s:f>
        <s:v>not_applicable</s:v>
      </s:c>
      <s:c r="Q76" s="15" t="str">
        <s:f>IFERROR(IF(AND(K76="retain",L76="protocol_report"),IF(INDEX('C_jama.2025.16450'!$L$2:$L$11,MATCH(C76,'C_jama.2025.16450'!$A$2:$A$11,0))="","",INDEX('C_jama.2025.16450'!$L$2:$L$11,MATCH(C76,'C_jama.2025.16450'!$A$2:$A$11,0))),"not_applicable"),"")</s:f>
        <s:v/>
      </s:c>
      <s:c r="R76" s="15" t="str">
        <s:f>IFERROR(IF(INDEX('C_jama.2025.16450'!$R$2:$R$11,MATCH(C76,'C_jama.2025.16450'!$A$2:$A$11,0))="","",INDEX('C_jama.2025.16450'!$R$2:$R$11,MATCH(C76,'C_jama.2025.16450'!$A$2:$A$11,0))),"")</s:f>
        <s:v>TEST 2025::jama.2025.16450::C008</s:v>
      </s:c>
      <s:c r="S76" s="15" t="str">
        <s:f>IF(Setup!$B$3="","",Setup!$B$3)</s:f>
        <s:v>TEST ONLY</s:v>
      </s:c>
    </s:row>
    <s:row r="77" ht="72" customFormat="1" customHeight="1" s="8">
      <s:c r="A77" s="16" t="n">
        <s:v>2025</s:v>
      </s:c>
      <s:c r="B77" s="16" t="inlineStr">
        <s:is>
          <s:t>jama.2025.16450</s:t>
        </s:is>
      </s:c>
      <s:c r="C77" s="16" t="inlineStr">
        <s:is>
          <s:t>2025::jama.2025.16450::C009</s:t>
        </s:is>
      </s:c>
      <s:c r="D77" s="16" t="inlineStr">
        <s:is>
          <s:t>S_W</s:t>
        </s:is>
      </s:c>
      <s:c r="E77" s="16" t="str">
        <s:f>Setup!$B$4</s:f>
        <s:v>R_A</s:v>
      </s:c>
      <s:c r="F77" s="16" t="str">
        <s:f>IF(Setup!$B$2="","",Setup!$B$2)</s:f>
        <s:v>TEST_REVIEWER</s:v>
      </s:c>
      <s:c r="G77" s="16" t="str">
        <s:f>IFERROR(INDEX('C_jama.2025.16450'!$G$2:$G$11,MATCH(C77,'C_jama.2025.16450'!$A$2:$A$11,0)),"CHECK KEY")</s:f>
        <s:v>PRIMARY READY</s:v>
      </s:c>
      <s:c r="H77" s="16" t="str">
        <s: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s:f>
        <s:v>secondary_temporal</s:v>
      </s:c>
      <s:c r="I77" s="16" t="inlineStr">
        <s:is>
          <s:t>retain</s:t>
        </s:is>
      </s:c>
      <s:c r="J77" s="16" t="inlineStr">
        <s:is>
          <s:t>report_internal_inconsistency</s:t>
        </s:is>
      </s:c>
      <s:c r="K77" s="16" t="str">
        <s:f>IFERROR(IF(INDEX('C_jama.2025.16450'!$D$2:$D$11,MATCH(C77,'C_jama.2025.16450'!$A$2:$A$11,0))="","",INDEX('C_jama.2025.16450'!$D$2:$D$11,MATCH(C77,'C_jama.2025.16450'!$A$2:$A$11,0))),"")</s:f>
        <s:v>retain</s:v>
      </s:c>
      <s:c r="L77" s="16" t="str">
        <s:f>IFERROR(IF(INDEX('C_jama.2025.16450'!$E$2:$E$11,MATCH(C77,'C_jama.2025.16450'!$A$2:$A$11,0))="","",INDEX('C_jama.2025.16450'!$E$2:$E$11,MATCH(C77,'C_jama.2025.16450'!$A$2:$A$11,0))),"")</s:f>
        <s:v>report_internal_inconsistency</s:v>
      </s:c>
      <s:c r="M77" s="16" t="str">
        <s:f>IFERROR(IF(AND(K77="retain",L77="statistical_results"),IF(INDEX('C_jama.2025.16450'!$H$2:$H$11,MATCH(C77,'C_jama.2025.16450'!$A$2:$A$11,0))="","",INDEX('C_jama.2025.16450'!$H$2:$H$11,MATCH(C77,'C_jama.2025.16450'!$A$2:$A$11,0))),"not_applicable"),"")</s:f>
        <s:v>not_applicable</s:v>
      </s:c>
      <s:c r="N77" s="16" t="str">
        <s:f>IFERROR(IF(AND(K77="retain",L77="statistical_results"),IF(INDEX('C_jama.2025.16450'!$I$2:$I$11,MATCH(C77,'C_jama.2025.16450'!$A$2:$A$11,0))="","",INDEX('C_jama.2025.16450'!$I$2:$I$11,MATCH(C77,'C_jama.2025.16450'!$A$2:$A$11,0))),"not_applicable"),"")</s:f>
        <s:v>not_applicable</s:v>
      </s:c>
      <s:c r="O77" s="16" t="str">
        <s:f>IFERROR(IF(AND(K77="retain",L77="statistical_results"),IF(INDEX('C_jama.2025.16450'!$J$2:$J$11,MATCH(C77,'C_jama.2025.16450'!$A$2:$A$11,0))="","",INDEX('C_jama.2025.16450'!$J$2:$J$11,MATCH(C77,'C_jama.2025.16450'!$A$2:$A$11,0))),"not_applicable"),"")</s:f>
        <s:v>not_applicable</s:v>
      </s:c>
      <s:c r="P77" s="16" t="str">
        <s:f>IFERROR(IF(AND(K77="retain",OR(L77="report_internal_inconsistency",L77="plan_material")),IF(INDEX('C_jama.2025.16450'!$K$2:$K$11,MATCH(C77,'C_jama.2025.16450'!$A$2:$A$11,0))="","",INDEX('C_jama.2025.16450'!$K$2:$K$11,MATCH(C77,'C_jama.2025.16450'!$A$2:$A$11,0))),"not_applicable"),"")</s:f>
        <s:v>substantive_inconsistency</s:v>
      </s:c>
      <s:c r="Q77" s="16" t="str">
        <s:f>IFERROR(IF(AND(K77="retain",L77="protocol_report"),IF(INDEX('C_jama.2025.16450'!$L$2:$L$11,MATCH(C77,'C_jama.2025.16450'!$A$2:$A$11,0))="","",INDEX('C_jama.2025.16450'!$L$2:$L$11,MATCH(C77,'C_jama.2025.16450'!$A$2:$A$11,0))),"not_applicable"),"")</s:f>
        <s:v>not_applicable</s:v>
      </s:c>
      <s:c r="R77" s="16" t="str">
        <s:f>IFERROR(IF(INDEX('C_jama.2025.16450'!$R$2:$R$11,MATCH(C77,'C_jama.2025.16450'!$A$2:$A$11,0))="","",INDEX('C_jama.2025.16450'!$R$2:$R$11,MATCH(C77,'C_jama.2025.16450'!$A$2:$A$11,0))),"")</s:f>
        <s:v>TEST 2025::jama.2025.16450::C009</s:v>
      </s:c>
      <s:c r="S77" s="16" t="str">
        <s:f>IF(Setup!$B$3="","",Setup!$B$3)</s:f>
        <s:v>TEST ONLY</s:v>
      </s:c>
    </s:row>
    <s:row r="78" ht="72" customFormat="1" customHeight="1" s="8">
      <s:c r="A78" s="15" t="n">
        <s:v>2025</s:v>
      </s:c>
      <s:c r="B78" s="15" t="inlineStr">
        <s:is>
          <s:t>jama.2025.16450</s:t>
        </s:is>
      </s:c>
      <s:c r="C78" s="15" t="inlineStr">
        <s:is>
          <s:t>2025::jama.2025.16450::C010</s:t>
        </s:is>
      </s:c>
      <s:c r="D78" s="15" t="inlineStr">
        <s:is>
          <s:t>S_W</s:t>
        </s:is>
      </s:c>
      <s:c r="E78" s="15" t="str">
        <s:f>Setup!$B$4</s:f>
        <s:v>R_A</s:v>
      </s:c>
      <s:c r="F78" s="15" t="str">
        <s:f>IF(Setup!$B$2="","",Setup!$B$2)</s:f>
        <s:v>TEST_REVIEWER</s:v>
      </s:c>
      <s:c r="G78" s="15" t="str">
        <s:f>IFERROR(INDEX('C_jama.2025.16450'!$G$2:$G$11,MATCH(C78,'C_jama.2025.16450'!$A$2:$A$11,0)),"CHECK KEY")</s:f>
        <s:v>PRIMARY READY</s:v>
      </s:c>
      <s:c r="H78" s="15" t="str">
        <s: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s:f>
        <s:v>secondary_temporal</s:v>
      </s:c>
      <s:c r="I78" s="15" t="inlineStr">
        <s:is>
          <s:t>retain</s:t>
        </s:is>
      </s:c>
      <s:c r="J78" s="15" t="inlineStr">
        <s:is>
          <s:t>report_internal_inconsistency</s:t>
        </s:is>
      </s:c>
      <s:c r="K78" s="15" t="str">
        <s:f>IFERROR(IF(INDEX('C_jama.2025.16450'!$D$2:$D$11,MATCH(C78,'C_jama.2025.16450'!$A$2:$A$11,0))="","",INDEX('C_jama.2025.16450'!$D$2:$D$11,MATCH(C78,'C_jama.2025.16450'!$A$2:$A$11,0))),"")</s:f>
        <s:v>retain</s:v>
      </s:c>
      <s:c r="L78" s="15" t="str">
        <s:f>IFERROR(IF(INDEX('C_jama.2025.16450'!$E$2:$E$11,MATCH(C78,'C_jama.2025.16450'!$A$2:$A$11,0))="","",INDEX('C_jama.2025.16450'!$E$2:$E$11,MATCH(C78,'C_jama.2025.16450'!$A$2:$A$11,0))),"")</s:f>
        <s:v>report_internal_inconsistency</s:v>
      </s:c>
      <s:c r="M78" s="15" t="str">
        <s:f>IFERROR(IF(AND(K78="retain",L78="statistical_results"),IF(INDEX('C_jama.2025.16450'!$H$2:$H$11,MATCH(C78,'C_jama.2025.16450'!$A$2:$A$11,0))="","",INDEX('C_jama.2025.16450'!$H$2:$H$11,MATCH(C78,'C_jama.2025.16450'!$A$2:$A$11,0))),"not_applicable"),"")</s:f>
        <s:v>not_applicable</s:v>
      </s:c>
      <s:c r="N78" s="15" t="str">
        <s:f>IFERROR(IF(AND(K78="retain",L78="statistical_results"),IF(INDEX('C_jama.2025.16450'!$I$2:$I$11,MATCH(C78,'C_jama.2025.16450'!$A$2:$A$11,0))="","",INDEX('C_jama.2025.16450'!$I$2:$I$11,MATCH(C78,'C_jama.2025.16450'!$A$2:$A$11,0))),"not_applicable"),"")</s:f>
        <s:v>not_applicable</s:v>
      </s:c>
      <s:c r="O78" s="15" t="str">
        <s:f>IFERROR(IF(AND(K78="retain",L78="statistical_results"),IF(INDEX('C_jama.2025.16450'!$J$2:$J$11,MATCH(C78,'C_jama.2025.16450'!$A$2:$A$11,0))="","",INDEX('C_jama.2025.16450'!$J$2:$J$11,MATCH(C78,'C_jama.2025.16450'!$A$2:$A$11,0))),"not_applicable"),"")</s:f>
        <s:v>not_applicable</s:v>
      </s:c>
      <s:c r="P78" s="15" t="str">
        <s:f>IFERROR(IF(AND(K78="retain",OR(L78="report_internal_inconsistency",L78="plan_material")),IF(INDEX('C_jama.2025.16450'!$K$2:$K$11,MATCH(C78,'C_jama.2025.16450'!$A$2:$A$11,0))="","",INDEX('C_jama.2025.16450'!$K$2:$K$11,MATCH(C78,'C_jama.2025.16450'!$A$2:$A$11,0))),"not_applicable"),"")</s:f>
        <s:v>substantive_inconsistency</s:v>
      </s:c>
      <s:c r="Q78" s="15" t="str">
        <s:f>IFERROR(IF(AND(K78="retain",L78="protocol_report"),IF(INDEX('C_jama.2025.16450'!$L$2:$L$11,MATCH(C78,'C_jama.2025.16450'!$A$2:$A$11,0))="","",INDEX('C_jama.2025.16450'!$L$2:$L$11,MATCH(C78,'C_jama.2025.16450'!$A$2:$A$11,0))),"not_applicable"),"")</s:f>
        <s:v>not_applicable</s:v>
      </s:c>
      <s:c r="R78" s="15" t="str">
        <s:f>IFERROR(IF(INDEX('C_jama.2025.16450'!$R$2:$R$11,MATCH(C78,'C_jama.2025.16450'!$A$2:$A$11,0))="","",INDEX('C_jama.2025.16450'!$R$2:$R$11,MATCH(C78,'C_jama.2025.16450'!$A$2:$A$11,0))),"")</s:f>
        <s:v>TEST 2025::jama.2025.16450::C010</s:v>
      </s:c>
      <s:c r="S78" s="15" t="str">
        <s:f>IF(Setup!$B$3="","",Setup!$B$3)</s:f>
        <s:v>TEST ONLY</s:v>
      </s:c>
    </s:row>
    <s:row r="79" ht="72" customFormat="1" customHeight="1" s="8">
      <s:c r="A79" s="16" t="n">
        <s:v>2025</s:v>
      </s:c>
      <s:c r="B79" s="16" t="inlineStr">
        <s:is>
          <s:t>jama.2025.19563</s:t>
        </s:is>
      </s:c>
      <s:c r="C79" s="16" t="inlineStr">
        <s:is>
          <s:t>2025::jama.2025.19563::C001</s:t>
        </s:is>
      </s:c>
      <s:c r="D79" s="16" t="inlineStr">
        <s:is>
          <s:t>P_R</s:t>
        </s:is>
      </s:c>
      <s:c r="E79" s="16" t="str">
        <s:f>Setup!$B$4</s:f>
        <s:v>R_A</s:v>
      </s:c>
      <s:c r="F79" s="16" t="str">
        <s:f>IF(Setup!$B$2="","",Setup!$B$2)</s:f>
        <s:v>TEST_REVIEWER</s:v>
      </s:c>
      <s:c r="G79" s="16" t="str">
        <s:f>IFERROR(INDEX('C_jama.2025.19563'!$G$2:$G$8,MATCH(C79,'C_jama.2025.19563'!$A$2:$A$8,0)),"CHECK KEY")</s:f>
        <s:v>PRIMARY READY</s:v>
      </s:c>
      <s:c r="H79" s="16" t="str">
        <s: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s:f>
        <s:v>protocol_descriptive</s:v>
      </s:c>
      <s:c r="I79" s="16" t="inlineStr">
        <s:is>
          <s:t>retain</s:t>
        </s:is>
      </s:c>
      <s:c r="J79" s="16" t="inlineStr">
        <s:is>
          <s:t>protocol_report</s:t>
        </s:is>
      </s:c>
      <s:c r="K79" s="16" t="str">
        <s:f>IFERROR(IF(INDEX('C_jama.2025.19563'!$D$2:$D$8,MATCH(C79,'C_jama.2025.19563'!$A$2:$A$8,0))="","",INDEX('C_jama.2025.19563'!$D$2:$D$8,MATCH(C79,'C_jama.2025.19563'!$A$2:$A$8,0))),"")</s:f>
        <s:v>retain</s:v>
      </s:c>
      <s:c r="L79" s="16" t="str">
        <s:f>IFERROR(IF(INDEX('C_jama.2025.19563'!$E$2:$E$8,MATCH(C79,'C_jama.2025.19563'!$A$2:$A$8,0))="","",INDEX('C_jama.2025.19563'!$E$2:$E$8,MATCH(C79,'C_jama.2025.19563'!$A$2:$A$8,0))),"")</s:f>
        <s:v>protocol_report</s:v>
      </s:c>
      <s:c r="M79" s="16" t="str">
        <s:f>IFERROR(IF(AND(K79="retain",L79="statistical_results"),IF(INDEX('C_jama.2025.19563'!$H$2:$H$8,MATCH(C79,'C_jama.2025.19563'!$A$2:$A$8,0))="","",INDEX('C_jama.2025.19563'!$H$2:$H$8,MATCH(C79,'C_jama.2025.19563'!$A$2:$A$8,0))),"not_applicable"),"")</s:f>
        <s:v>not_applicable</s:v>
      </s:c>
      <s:c r="N79" s="16" t="str">
        <s:f>IFERROR(IF(AND(K79="retain",L79="statistical_results"),IF(INDEX('C_jama.2025.19563'!$I$2:$I$8,MATCH(C79,'C_jama.2025.19563'!$A$2:$A$8,0))="","",INDEX('C_jama.2025.19563'!$I$2:$I$8,MATCH(C79,'C_jama.2025.19563'!$A$2:$A$8,0))),"not_applicable"),"")</s:f>
        <s:v>not_applicable</s:v>
      </s:c>
      <s:c r="O79" s="16" t="str">
        <s:f>IFERROR(IF(AND(K79="retain",L79="statistical_results"),IF(INDEX('C_jama.2025.19563'!$J$2:$J$8,MATCH(C79,'C_jama.2025.19563'!$A$2:$A$8,0))="","",INDEX('C_jama.2025.19563'!$J$2:$J$8,MATCH(C79,'C_jama.2025.19563'!$A$2:$A$8,0))),"not_applicable"),"")</s:f>
        <s:v>not_applicable</s:v>
      </s:c>
      <s:c r="P79" s="16" t="str">
        <s:f>IFERROR(IF(AND(K79="retain",OR(L79="report_internal_inconsistency",L79="plan_material")),IF(INDEX('C_jama.2025.19563'!$K$2:$K$8,MATCH(C79,'C_jama.2025.19563'!$A$2:$A$8,0))="","",INDEX('C_jama.2025.19563'!$K$2:$K$8,MATCH(C79,'C_jama.2025.19563'!$A$2:$A$8,0))),"not_applicable"),"")</s:f>
        <s:v>not_applicable</s:v>
      </s:c>
      <s:c r="Q79" s="16" t="str">
        <s:f>IFERROR(IF(AND(K79="retain",L79="protocol_report"),IF(INDEX('C_jama.2025.19563'!$L$2:$L$8,MATCH(C79,'C_jama.2025.19563'!$A$2:$A$8,0))="","",INDEX('C_jama.2025.19563'!$L$2:$L$8,MATCH(C79,'C_jama.2025.19563'!$A$2:$A$8,0))),"not_applicable"),"")</s:f>
        <s:v/>
      </s:c>
      <s:c r="R79" s="16" t="str">
        <s:f>IFERROR(IF(INDEX('C_jama.2025.19563'!$R$2:$R$8,MATCH(C79,'C_jama.2025.19563'!$A$2:$A$8,0))="","",INDEX('C_jama.2025.19563'!$R$2:$R$8,MATCH(C79,'C_jama.2025.19563'!$A$2:$A$8,0))),"")</s:f>
        <s:v>TEST 2025::jama.2025.19563::C001</s:v>
      </s:c>
      <s:c r="S79" s="16" t="str">
        <s:f>IF(Setup!$B$3="","",Setup!$B$3)</s:f>
        <s:v>TEST ONLY</s:v>
      </s:c>
    </s:row>
    <s:row r="80" ht="72" customFormat="1" customHeight="1" s="8">
      <s:c r="A80" s="15" t="n">
        <s:v>2025</s:v>
      </s:c>
      <s:c r="B80" s="15" t="inlineStr">
        <s:is>
          <s:t>jama.2025.19563</s:t>
        </s:is>
      </s:c>
      <s:c r="C80" s="15" t="inlineStr">
        <s:is>
          <s:t>2025::jama.2025.19563::C002</s:t>
        </s:is>
      </s:c>
      <s:c r="D80" s="15" t="inlineStr">
        <s:is>
          <s:t>S_C</s:t>
        </s:is>
      </s:c>
      <s:c r="E80" s="15" t="str">
        <s:f>Setup!$B$4</s:f>
        <s:v>R_A</s:v>
      </s:c>
      <s:c r="F80" s="15" t="str">
        <s:f>IF(Setup!$B$2="","",Setup!$B$2)</s:f>
        <s:v>TEST_REVIEWER</s:v>
      </s:c>
      <s:c r="G80" s="15" t="str">
        <s:f>IFERROR(INDEX('C_jama.2025.19563'!$G$2:$G$8,MATCH(C80,'C_jama.2025.19563'!$A$2:$A$8,0)),"CHECK KEY")</s:f>
        <s:v>PRIMARY READY</s:v>
      </s:c>
      <s:c r="H80" s="15" t="str">
        <s: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s:f>
        <s:v>primary_temporal</s:v>
      </s:c>
      <s:c r="I80" s="15" t="inlineStr">
        <s:is>
          <s:t>retain</s:t>
        </s:is>
      </s:c>
      <s:c r="J80" s="15" t="inlineStr">
        <s:is>
          <s:t>statistical_results</s:t>
        </s:is>
      </s:c>
      <s:c r="K80" s="15" t="str">
        <s:f>IFERROR(IF(INDEX('C_jama.2025.19563'!$D$2:$D$8,MATCH(C80,'C_jama.2025.19563'!$A$2:$A$8,0))="","",INDEX('C_jama.2025.19563'!$D$2:$D$8,MATCH(C80,'C_jama.2025.19563'!$A$2:$A$8,0))),"")</s:f>
        <s:v>retain</s:v>
      </s:c>
      <s:c r="L80" s="15" t="str">
        <s:f>IFERROR(IF(INDEX('C_jama.2025.19563'!$E$2:$E$8,MATCH(C80,'C_jama.2025.19563'!$A$2:$A$8,0))="","",INDEX('C_jama.2025.19563'!$E$2:$E$8,MATCH(C80,'C_jama.2025.19563'!$A$2:$A$8,0))),"")</s:f>
        <s:v>statistical_results</s:v>
      </s:c>
      <s:c r="M80" s="15" t="str">
        <s:f>IFERROR(IF(AND(K80="retain",L80="statistical_results"),IF(INDEX('C_jama.2025.19563'!$H$2:$H$8,MATCH(C80,'C_jama.2025.19563'!$A$2:$A$8,0))="","",INDEX('C_jama.2025.19563'!$H$2:$H$8,MATCH(C80,'C_jama.2025.19563'!$A$2:$A$8,0))),"not_applicable"),"")</s:f>
        <s:v>confirmed_issue</s:v>
      </s:c>
      <s:c r="N80" s="15" t="str">
        <s:f>IFERROR(IF(AND(K80="retain",L80="statistical_results"),IF(INDEX('C_jama.2025.19563'!$I$2:$I$8,MATCH(C80,'C_jama.2025.19563'!$A$2:$A$8,0))="","",INDEX('C_jama.2025.19563'!$I$2:$I$8,MATCH(C80,'C_jama.2025.19563'!$A$2:$A$8,0))),"not_applicable"),"")</s:f>
        <s:v>substantive</s:v>
      </s:c>
      <s:c r="O80" s="15" t="str">
        <s:f>IFERROR(IF(AND(K80="retain",L80="statistical_results"),IF(INDEX('C_jama.2025.19563'!$J$2:$J$8,MATCH(C80,'C_jama.2025.19563'!$A$2:$A$8,0))="","",INDEX('C_jama.2025.19563'!$J$2:$J$8,MATCH(C80,'C_jama.2025.19563'!$A$2:$A$8,0))),"not_applicable"),"")</s:f>
        <s:v/>
      </s:c>
      <s:c r="P80" s="15" t="str">
        <s:f>IFERROR(IF(AND(K80="retain",OR(L80="report_internal_inconsistency",L80="plan_material")),IF(INDEX('C_jama.2025.19563'!$K$2:$K$8,MATCH(C80,'C_jama.2025.19563'!$A$2:$A$8,0))="","",INDEX('C_jama.2025.19563'!$K$2:$K$8,MATCH(C80,'C_jama.2025.19563'!$A$2:$A$8,0))),"not_applicable"),"")</s:f>
        <s:v>not_applicable</s:v>
      </s:c>
      <s:c r="Q80" s="15" t="str">
        <s:f>IFERROR(IF(AND(K80="retain",L80="protocol_report"),IF(INDEX('C_jama.2025.19563'!$L$2:$L$8,MATCH(C80,'C_jama.2025.19563'!$A$2:$A$8,0))="","",INDEX('C_jama.2025.19563'!$L$2:$L$8,MATCH(C80,'C_jama.2025.19563'!$A$2:$A$8,0))),"not_applicable"),"")</s:f>
        <s:v>not_applicable</s:v>
      </s:c>
      <s:c r="R80" s="15" t="str">
        <s:f>IFERROR(IF(INDEX('C_jama.2025.19563'!$R$2:$R$8,MATCH(C80,'C_jama.2025.19563'!$A$2:$A$8,0))="","",INDEX('C_jama.2025.19563'!$R$2:$R$8,MATCH(C80,'C_jama.2025.19563'!$A$2:$A$8,0))),"")</s:f>
        <s:v>TEST 2025::jama.2025.19563::C002</s:v>
      </s:c>
      <s:c r="S80" s="15" t="str">
        <s:f>IF(Setup!$B$3="","",Setup!$B$3)</s:f>
        <s:v>TEST ONLY</s:v>
      </s:c>
    </s:row>
    <s:row r="81" ht="72" customFormat="1" customHeight="1" s="8">
      <s:c r="A81" s="16" t="n">
        <s:v>2025</s:v>
      </s:c>
      <s:c r="B81" s="16" t="inlineStr">
        <s:is>
          <s:t>jama.2025.19563</s:t>
        </s:is>
      </s:c>
      <s:c r="C81" s="16" t="inlineStr">
        <s:is>
          <s:t>2025::jama.2025.19563::C003</s:t>
        </s:is>
      </s:c>
      <s:c r="D81" s="16" t="inlineStr">
        <s:is>
          <s:t>S_W</s:t>
        </s:is>
      </s:c>
      <s:c r="E81" s="16" t="str">
        <s:f>Setup!$B$4</s:f>
        <s:v>R_A</s:v>
      </s:c>
      <s:c r="F81" s="16" t="str">
        <s:f>IF(Setup!$B$2="","",Setup!$B$2)</s:f>
        <s:v>TEST_REVIEWER</s:v>
      </s:c>
      <s:c r="G81" s="16" t="str">
        <s:f>IFERROR(INDEX('C_jama.2025.19563'!$G$2:$G$8,MATCH(C81,'C_jama.2025.19563'!$A$2:$A$8,0)),"CHECK KEY")</s:f>
        <s:v>PRIMARY READY</s:v>
      </s:c>
      <s:c r="H81" s="16" t="str">
        <s: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s:f>
        <s:v>secondary_temporal</s:v>
      </s:c>
      <s:c r="I81" s="16" t="inlineStr">
        <s:is>
          <s:t>retain</s:t>
        </s:is>
      </s:c>
      <s:c r="J81" s="16" t="inlineStr">
        <s:is>
          <s:t>report_internal_inconsistency</s:t>
        </s:is>
      </s:c>
      <s:c r="K81" s="16" t="str">
        <s:f>IFERROR(IF(INDEX('C_jama.2025.19563'!$D$2:$D$8,MATCH(C81,'C_jama.2025.19563'!$A$2:$A$8,0))="","",INDEX('C_jama.2025.19563'!$D$2:$D$8,MATCH(C81,'C_jama.2025.19563'!$A$2:$A$8,0))),"")</s:f>
        <s:v>retain</s:v>
      </s:c>
      <s:c r="L81" s="16" t="str">
        <s:f>IFERROR(IF(INDEX('C_jama.2025.19563'!$E$2:$E$8,MATCH(C81,'C_jama.2025.19563'!$A$2:$A$8,0))="","",INDEX('C_jama.2025.19563'!$E$2:$E$8,MATCH(C81,'C_jama.2025.19563'!$A$2:$A$8,0))),"")</s:f>
        <s:v>report_internal_inconsistency</s:v>
      </s:c>
      <s:c r="M81" s="16" t="str">
        <s:f>IFERROR(IF(AND(K81="retain",L81="statistical_results"),IF(INDEX('C_jama.2025.19563'!$H$2:$H$8,MATCH(C81,'C_jama.2025.19563'!$A$2:$A$8,0))="","",INDEX('C_jama.2025.19563'!$H$2:$H$8,MATCH(C81,'C_jama.2025.19563'!$A$2:$A$8,0))),"not_applicable"),"")</s:f>
        <s:v>not_applicable</s:v>
      </s:c>
      <s:c r="N81" s="16" t="str">
        <s:f>IFERROR(IF(AND(K81="retain",L81="statistical_results"),IF(INDEX('C_jama.2025.19563'!$I$2:$I$8,MATCH(C81,'C_jama.2025.19563'!$A$2:$A$8,0))="","",INDEX('C_jama.2025.19563'!$I$2:$I$8,MATCH(C81,'C_jama.2025.19563'!$A$2:$A$8,0))),"not_applicable"),"")</s:f>
        <s:v>not_applicable</s:v>
      </s:c>
      <s:c r="O81" s="16" t="str">
        <s:f>IFERROR(IF(AND(K81="retain",L81="statistical_results"),IF(INDEX('C_jama.2025.19563'!$J$2:$J$8,MATCH(C81,'C_jama.2025.19563'!$A$2:$A$8,0))="","",INDEX('C_jama.2025.19563'!$J$2:$J$8,MATCH(C81,'C_jama.2025.19563'!$A$2:$A$8,0))),"not_applicable"),"")</s:f>
        <s:v>not_applicable</s:v>
      </s:c>
      <s:c r="P81" s="16" t="str">
        <s:f>IFERROR(IF(AND(K81="retain",OR(L81="report_internal_inconsistency",L81="plan_material")),IF(INDEX('C_jama.2025.19563'!$K$2:$K$8,MATCH(C81,'C_jama.2025.19563'!$A$2:$A$8,0))="","",INDEX('C_jama.2025.19563'!$K$2:$K$8,MATCH(C81,'C_jama.2025.19563'!$A$2:$A$8,0))),"not_applicable"),"")</s:f>
        <s:v>substantive_inconsistency</s:v>
      </s:c>
      <s:c r="Q81" s="16" t="str">
        <s:f>IFERROR(IF(AND(K81="retain",L81="protocol_report"),IF(INDEX('C_jama.2025.19563'!$L$2:$L$8,MATCH(C81,'C_jama.2025.19563'!$A$2:$A$8,0))="","",INDEX('C_jama.2025.19563'!$L$2:$L$8,MATCH(C81,'C_jama.2025.19563'!$A$2:$A$8,0))),"not_applicable"),"")</s:f>
        <s:v>not_applicable</s:v>
      </s:c>
      <s:c r="R81" s="16" t="str">
        <s:f>IFERROR(IF(INDEX('C_jama.2025.19563'!$R$2:$R$8,MATCH(C81,'C_jama.2025.19563'!$A$2:$A$8,0))="","",INDEX('C_jama.2025.19563'!$R$2:$R$8,MATCH(C81,'C_jama.2025.19563'!$A$2:$A$8,0))),"")</s:f>
        <s:v>TEST 2025::jama.2025.19563::C003</s:v>
      </s:c>
      <s:c r="S81" s="16" t="str">
        <s:f>IF(Setup!$B$3="","",Setup!$B$3)</s:f>
        <s:v>TEST ONLY</s:v>
      </s:c>
    </s:row>
    <s:row r="82" ht="72" customFormat="1" customHeight="1" s="8">
      <s:c r="A82" s="15" t="n">
        <s:v>2025</s:v>
      </s:c>
      <s:c r="B82" s="15" t="inlineStr">
        <s:is>
          <s:t>jama.2025.19563</s:t>
        </s:is>
      </s:c>
      <s:c r="C82" s="15" t="inlineStr">
        <s:is>
          <s:t>2025::jama.2025.19563::C004</s:t>
        </s:is>
      </s:c>
      <s:c r="D82" s="15" t="inlineStr">
        <s:is>
          <s:t>S_W</s:t>
        </s:is>
      </s:c>
      <s:c r="E82" s="15" t="str">
        <s:f>Setup!$B$4</s:f>
        <s:v>R_A</s:v>
      </s:c>
      <s:c r="F82" s="15" t="str">
        <s:f>IF(Setup!$B$2="","",Setup!$B$2)</s:f>
        <s:v>TEST_REVIEWER</s:v>
      </s:c>
      <s:c r="G82" s="15" t="str">
        <s:f>IFERROR(INDEX('C_jama.2025.19563'!$G$2:$G$8,MATCH(C82,'C_jama.2025.19563'!$A$2:$A$8,0)),"CHECK KEY")</s:f>
        <s:v>PRIMARY READY</s:v>
      </s:c>
      <s:c r="H82" s="15" t="str">
        <s: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s:f>
        <s:v>secondary_temporal</s:v>
      </s:c>
      <s:c r="I82" s="15" t="inlineStr">
        <s:is>
          <s:t>retain</s:t>
        </s:is>
      </s:c>
      <s:c r="J82" s="15" t="inlineStr">
        <s:is>
          <s:t>report_internal_inconsistency</s:t>
        </s:is>
      </s:c>
      <s:c r="K82" s="15" t="str">
        <s:f>IFERROR(IF(INDEX('C_jama.2025.19563'!$D$2:$D$8,MATCH(C82,'C_jama.2025.19563'!$A$2:$A$8,0))="","",INDEX('C_jama.2025.19563'!$D$2:$D$8,MATCH(C82,'C_jama.2025.19563'!$A$2:$A$8,0))),"")</s:f>
        <s:v>retain</s:v>
      </s:c>
      <s:c r="L82" s="15" t="str">
        <s:f>IFERROR(IF(INDEX('C_jama.2025.19563'!$E$2:$E$8,MATCH(C82,'C_jama.2025.19563'!$A$2:$A$8,0))="","",INDEX('C_jama.2025.19563'!$E$2:$E$8,MATCH(C82,'C_jama.2025.19563'!$A$2:$A$8,0))),"")</s:f>
        <s:v>report_internal_inconsistency</s:v>
      </s:c>
      <s:c r="M82" s="15" t="str">
        <s:f>IFERROR(IF(AND(K82="retain",L82="statistical_results"),IF(INDEX('C_jama.2025.19563'!$H$2:$H$8,MATCH(C82,'C_jama.2025.19563'!$A$2:$A$8,0))="","",INDEX('C_jama.2025.19563'!$H$2:$H$8,MATCH(C82,'C_jama.2025.19563'!$A$2:$A$8,0))),"not_applicable"),"")</s:f>
        <s:v>not_applicable</s:v>
      </s:c>
      <s:c r="N82" s="15" t="str">
        <s:f>IFERROR(IF(AND(K82="retain",L82="statistical_results"),IF(INDEX('C_jama.2025.19563'!$I$2:$I$8,MATCH(C82,'C_jama.2025.19563'!$A$2:$A$8,0))="","",INDEX('C_jama.2025.19563'!$I$2:$I$8,MATCH(C82,'C_jama.2025.19563'!$A$2:$A$8,0))),"not_applicable"),"")</s:f>
        <s:v>not_applicable</s:v>
      </s:c>
      <s:c r="O82" s="15" t="str">
        <s:f>IFERROR(IF(AND(K82="retain",L82="statistical_results"),IF(INDEX('C_jama.2025.19563'!$J$2:$J$8,MATCH(C82,'C_jama.2025.19563'!$A$2:$A$8,0))="","",INDEX('C_jama.2025.19563'!$J$2:$J$8,MATCH(C82,'C_jama.2025.19563'!$A$2:$A$8,0))),"not_applicable"),"")</s:f>
        <s:v>not_applicable</s:v>
      </s:c>
      <s:c r="P82" s="15" t="str">
        <s:f>IFERROR(IF(AND(K82="retain",OR(L82="report_internal_inconsistency",L82="plan_material")),IF(INDEX('C_jama.2025.19563'!$K$2:$K$8,MATCH(C82,'C_jama.2025.19563'!$A$2:$A$8,0))="","",INDEX('C_jama.2025.19563'!$K$2:$K$8,MATCH(C82,'C_jama.2025.19563'!$A$2:$A$8,0))),"not_applicable"),"")</s:f>
        <s:v>substantive_inconsistency</s:v>
      </s:c>
      <s:c r="Q82" s="15" t="str">
        <s:f>IFERROR(IF(AND(K82="retain",L82="protocol_report"),IF(INDEX('C_jama.2025.19563'!$L$2:$L$8,MATCH(C82,'C_jama.2025.19563'!$A$2:$A$8,0))="","",INDEX('C_jama.2025.19563'!$L$2:$L$8,MATCH(C82,'C_jama.2025.19563'!$A$2:$A$8,0))),"not_applicable"),"")</s:f>
        <s:v>not_applicable</s:v>
      </s:c>
      <s:c r="R82" s="15" t="str">
        <s:f>IFERROR(IF(INDEX('C_jama.2025.19563'!$R$2:$R$8,MATCH(C82,'C_jama.2025.19563'!$A$2:$A$8,0))="","",INDEX('C_jama.2025.19563'!$R$2:$R$8,MATCH(C82,'C_jama.2025.19563'!$A$2:$A$8,0))),"")</s:f>
        <s:v>TEST 2025::jama.2025.19563::C004</s:v>
      </s:c>
      <s:c r="S82" s="15" t="str">
        <s:f>IF(Setup!$B$3="","",Setup!$B$3)</s:f>
        <s:v>TEST ONLY</s:v>
      </s:c>
    </s:row>
    <s:row r="83" ht="72" customFormat="1" customHeight="1" s="8">
      <s:c r="A83" s="16" t="n">
        <s:v>2025</s:v>
      </s:c>
      <s:c r="B83" s="16" t="inlineStr">
        <s:is>
          <s:t>jama.2025.19563</s:t>
        </s:is>
      </s:c>
      <s:c r="C83" s="16" t="inlineStr">
        <s:is>
          <s:t>2025::jama.2025.19563::C005</s:t>
        </s:is>
      </s:c>
      <s:c r="D83" s="16" t="inlineStr">
        <s:is>
          <s:t>S_W</s:t>
        </s:is>
      </s:c>
      <s:c r="E83" s="16" t="str">
        <s:f>Setup!$B$4</s:f>
        <s:v>R_A</s:v>
      </s:c>
      <s:c r="F83" s="16" t="str">
        <s:f>IF(Setup!$B$2="","",Setup!$B$2)</s:f>
        <s:v>TEST_REVIEWER</s:v>
      </s:c>
      <s:c r="G83" s="16" t="str">
        <s:f>IFERROR(INDEX('C_jama.2025.19563'!$G$2:$G$8,MATCH(C83,'C_jama.2025.19563'!$A$2:$A$8,0)),"CHECK KEY")</s:f>
        <s:v>PRIMARY READY</s:v>
      </s:c>
      <s:c r="H83" s="16" t="str">
        <s: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s:f>
        <s:v>primary_temporal</s:v>
      </s:c>
      <s:c r="I83" s="16" t="inlineStr">
        <s:is>
          <s:t>retain</s:t>
        </s:is>
      </s:c>
      <s:c r="J83" s="16" t="inlineStr">
        <s:is>
          <s:t>statistical_results</s:t>
        </s:is>
      </s:c>
      <s:c r="K83" s="16" t="str">
        <s:f>IFERROR(IF(INDEX('C_jama.2025.19563'!$D$2:$D$8,MATCH(C83,'C_jama.2025.19563'!$A$2:$A$8,0))="","",INDEX('C_jama.2025.19563'!$D$2:$D$8,MATCH(C83,'C_jama.2025.19563'!$A$2:$A$8,0))),"")</s:f>
        <s:v>retain</s:v>
      </s:c>
      <s:c r="L83" s="16" t="str">
        <s:f>IFERROR(IF(INDEX('C_jama.2025.19563'!$E$2:$E$8,MATCH(C83,'C_jama.2025.19563'!$A$2:$A$8,0))="","",INDEX('C_jama.2025.19563'!$E$2:$E$8,MATCH(C83,'C_jama.2025.19563'!$A$2:$A$8,0))),"")</s:f>
        <s:v>statistical_results</s:v>
      </s:c>
      <s:c r="M83" s="16" t="str">
        <s:f>IFERROR(IF(AND(K83="retain",L83="statistical_results"),IF(INDEX('C_jama.2025.19563'!$H$2:$H$8,MATCH(C83,'C_jama.2025.19563'!$A$2:$A$8,0))="","",INDEX('C_jama.2025.19563'!$H$2:$H$8,MATCH(C83,'C_jama.2025.19563'!$A$2:$A$8,0))),"not_applicable"),"")</s:f>
        <s:v>confirmed_issue</s:v>
      </s:c>
      <s:c r="N83" s="16" t="str">
        <s:f>IFERROR(IF(AND(K83="retain",L83="statistical_results"),IF(INDEX('C_jama.2025.19563'!$I$2:$I$8,MATCH(C83,'C_jama.2025.19563'!$A$2:$A$8,0))="","",INDEX('C_jama.2025.19563'!$I$2:$I$8,MATCH(C83,'C_jama.2025.19563'!$A$2:$A$8,0))),"not_applicable"),"")</s:f>
        <s:v>substantive</s:v>
      </s:c>
      <s:c r="O83" s="16" t="str">
        <s:f>IFERROR(IF(AND(K83="retain",L83="statistical_results"),IF(INDEX('C_jama.2025.19563'!$J$2:$J$8,MATCH(C83,'C_jama.2025.19563'!$A$2:$A$8,0))="","",INDEX('C_jama.2025.19563'!$J$2:$J$8,MATCH(C83,'C_jama.2025.19563'!$A$2:$A$8,0))),"not_applicable"),"")</s:f>
        <s:v/>
      </s:c>
      <s:c r="P83" s="16" t="str">
        <s:f>IFERROR(IF(AND(K83="retain",OR(L83="report_internal_inconsistency",L83="plan_material")),IF(INDEX('C_jama.2025.19563'!$K$2:$K$8,MATCH(C83,'C_jama.2025.19563'!$A$2:$A$8,0))="","",INDEX('C_jama.2025.19563'!$K$2:$K$8,MATCH(C83,'C_jama.2025.19563'!$A$2:$A$8,0))),"not_applicable"),"")</s:f>
        <s:v>not_applicable</s:v>
      </s:c>
      <s:c r="Q83" s="16" t="str">
        <s:f>IFERROR(IF(AND(K83="retain",L83="protocol_report"),IF(INDEX('C_jama.2025.19563'!$L$2:$L$8,MATCH(C83,'C_jama.2025.19563'!$A$2:$A$8,0))="","",INDEX('C_jama.2025.19563'!$L$2:$L$8,MATCH(C83,'C_jama.2025.19563'!$A$2:$A$8,0))),"not_applicable"),"")</s:f>
        <s:v>not_applicable</s:v>
      </s:c>
      <s:c r="R83" s="16" t="str">
        <s:f>IFERROR(IF(INDEX('C_jama.2025.19563'!$R$2:$R$8,MATCH(C83,'C_jama.2025.19563'!$A$2:$A$8,0))="","",INDEX('C_jama.2025.19563'!$R$2:$R$8,MATCH(C83,'C_jama.2025.19563'!$A$2:$A$8,0))),"")</s:f>
        <s:v>TEST 2025::jama.2025.19563::C005</s:v>
      </s:c>
      <s:c r="S83" s="16" t="str">
        <s:f>IF(Setup!$B$3="","",Setup!$B$3)</s:f>
        <s:v>TEST ONLY</s:v>
      </s:c>
    </s:row>
    <s:row r="84" ht="72" customFormat="1" customHeight="1" s="8">
      <s:c r="A84" s="15" t="n">
        <s:v>2025</s:v>
      </s:c>
      <s:c r="B84" s="15" t="inlineStr">
        <s:is>
          <s:t>jama.2025.19563</s:t>
        </s:is>
      </s:c>
      <s:c r="C84" s="15" t="inlineStr">
        <s:is>
          <s:t>2025::jama.2025.19563::C006</s:t>
        </s:is>
      </s:c>
      <s:c r="D84" s="15" t="inlineStr">
        <s:is>
          <s:t>S_W</s:t>
        </s:is>
      </s:c>
      <s:c r="E84" s="15" t="str">
        <s:f>Setup!$B$4</s:f>
        <s:v>R_A</s:v>
      </s:c>
      <s:c r="F84" s="15" t="str">
        <s:f>IF(Setup!$B$2="","",Setup!$B$2)</s:f>
        <s:v>TEST_REVIEWER</s:v>
      </s:c>
      <s:c r="G84" s="15" t="str">
        <s:f>IFERROR(INDEX('C_jama.2025.19563'!$G$2:$G$8,MATCH(C84,'C_jama.2025.19563'!$A$2:$A$8,0)),"CHECK KEY")</s:f>
        <s:v>PRIMARY READY</s:v>
      </s:c>
      <s:c r="H84" s="15" t="str">
        <s: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s:f>
        <s:v>primary_temporal</s:v>
      </s:c>
      <s:c r="I84" s="15" t="inlineStr">
        <s:is>
          <s:t>retain</s:t>
        </s:is>
      </s:c>
      <s:c r="J84" s="15" t="inlineStr">
        <s:is>
          <s:t>statistical_results</s:t>
        </s:is>
      </s:c>
      <s:c r="K84" s="15" t="str">
        <s:f>IFERROR(IF(INDEX('C_jama.2025.19563'!$D$2:$D$8,MATCH(C84,'C_jama.2025.19563'!$A$2:$A$8,0))="","",INDEX('C_jama.2025.19563'!$D$2:$D$8,MATCH(C84,'C_jama.2025.19563'!$A$2:$A$8,0))),"")</s:f>
        <s:v>retain</s:v>
      </s:c>
      <s:c r="L84" s="15" t="str">
        <s:f>IFERROR(IF(INDEX('C_jama.2025.19563'!$E$2:$E$8,MATCH(C84,'C_jama.2025.19563'!$A$2:$A$8,0))="","",INDEX('C_jama.2025.19563'!$E$2:$E$8,MATCH(C84,'C_jama.2025.19563'!$A$2:$A$8,0))),"")</s:f>
        <s:v>statistical_results</s:v>
      </s:c>
      <s:c r="M84" s="15" t="str">
        <s:f>IFERROR(IF(AND(K84="retain",L84="statistical_results"),IF(INDEX('C_jama.2025.19563'!$H$2:$H$8,MATCH(C84,'C_jama.2025.19563'!$A$2:$A$8,0))="","",INDEX('C_jama.2025.19563'!$H$2:$H$8,MATCH(C84,'C_jama.2025.19563'!$A$2:$A$8,0))),"not_applicable"),"")</s:f>
        <s:v>confirmed_issue</s:v>
      </s:c>
      <s:c r="N84" s="15" t="str">
        <s:f>IFERROR(IF(AND(K84="retain",L84="statistical_results"),IF(INDEX('C_jama.2025.19563'!$I$2:$I$8,MATCH(C84,'C_jama.2025.19563'!$A$2:$A$8,0))="","",INDEX('C_jama.2025.19563'!$I$2:$I$8,MATCH(C84,'C_jama.2025.19563'!$A$2:$A$8,0))),"not_applicable"),"")</s:f>
        <s:v>substantive</s:v>
      </s:c>
      <s:c r="O84" s="15" t="str">
        <s:f>IFERROR(IF(AND(K84="retain",L84="statistical_results"),IF(INDEX('C_jama.2025.19563'!$J$2:$J$8,MATCH(C84,'C_jama.2025.19563'!$A$2:$A$8,0))="","",INDEX('C_jama.2025.19563'!$J$2:$J$8,MATCH(C84,'C_jama.2025.19563'!$A$2:$A$8,0))),"not_applicable"),"")</s:f>
        <s:v/>
      </s:c>
      <s:c r="P84" s="15" t="str">
        <s:f>IFERROR(IF(AND(K84="retain",OR(L84="report_internal_inconsistency",L84="plan_material")),IF(INDEX('C_jama.2025.19563'!$K$2:$K$8,MATCH(C84,'C_jama.2025.19563'!$A$2:$A$8,0))="","",INDEX('C_jama.2025.19563'!$K$2:$K$8,MATCH(C84,'C_jama.2025.19563'!$A$2:$A$8,0))),"not_applicable"),"")</s:f>
        <s:v>not_applicable</s:v>
      </s:c>
      <s:c r="Q84" s="15" t="str">
        <s:f>IFERROR(IF(AND(K84="retain",L84="protocol_report"),IF(INDEX('C_jama.2025.19563'!$L$2:$L$8,MATCH(C84,'C_jama.2025.19563'!$A$2:$A$8,0))="","",INDEX('C_jama.2025.19563'!$L$2:$L$8,MATCH(C84,'C_jama.2025.19563'!$A$2:$A$8,0))),"not_applicable"),"")</s:f>
        <s:v>not_applicable</s:v>
      </s:c>
      <s:c r="R84" s="15" t="str">
        <s:f>IFERROR(IF(INDEX('C_jama.2025.19563'!$R$2:$R$8,MATCH(C84,'C_jama.2025.19563'!$A$2:$A$8,0))="","",INDEX('C_jama.2025.19563'!$R$2:$R$8,MATCH(C84,'C_jama.2025.19563'!$A$2:$A$8,0))),"")</s:f>
        <s:v>TEST 2025::jama.2025.19563::C006</s:v>
      </s:c>
      <s:c r="S84" s="15" t="str">
        <s:f>IF(Setup!$B$3="","",Setup!$B$3)</s:f>
        <s:v>TEST ONLY</s:v>
      </s:c>
    </s:row>
    <s:row r="85" ht="72" customFormat="1" customHeight="1" s="8">
      <s:c r="A85" s="16" t="n">
        <s:v>2025</s:v>
      </s:c>
      <s:c r="B85" s="16" t="inlineStr">
        <s:is>
          <s:t>jama.2025.19563</s:t>
        </s:is>
      </s:c>
      <s:c r="C85" s="16" t="inlineStr">
        <s:is>
          <s:t>2025::jama.2025.19563::C007</s:t>
        </s:is>
      </s:c>
      <s:c r="D85" s="16" t="inlineStr">
        <s:is>
          <s:t>S_W</s:t>
        </s:is>
      </s:c>
      <s:c r="E85" s="16" t="str">
        <s:f>Setup!$B$4</s:f>
        <s:v>R_A</s:v>
      </s:c>
      <s:c r="F85" s="16" t="str">
        <s:f>IF(Setup!$B$2="","",Setup!$B$2)</s:f>
        <s:v>TEST_REVIEWER</s:v>
      </s:c>
      <s:c r="G85" s="16" t="str">
        <s:f>IFERROR(INDEX('C_jama.2025.19563'!$G$2:$G$8,MATCH(C85,'C_jama.2025.19563'!$A$2:$A$8,0)),"CHECK KEY")</s:f>
        <s:v>PRIMARY READY</s:v>
      </s:c>
      <s:c r="H85" s="16" t="str">
        <s: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s:f>
        <s:v>primary_temporal</s:v>
      </s:c>
      <s:c r="I85" s="16" t="inlineStr">
        <s:is>
          <s:t>retain</s:t>
        </s:is>
      </s:c>
      <s:c r="J85" s="16" t="inlineStr">
        <s:is>
          <s:t>statistical_results</s:t>
        </s:is>
      </s:c>
      <s:c r="K85" s="16" t="str">
        <s:f>IFERROR(IF(INDEX('C_jama.2025.19563'!$D$2:$D$8,MATCH(C85,'C_jama.2025.19563'!$A$2:$A$8,0))="","",INDEX('C_jama.2025.19563'!$D$2:$D$8,MATCH(C85,'C_jama.2025.19563'!$A$2:$A$8,0))),"")</s:f>
        <s:v>retain</s:v>
      </s:c>
      <s:c r="L85" s="16" t="str">
        <s:f>IFERROR(IF(INDEX('C_jama.2025.19563'!$E$2:$E$8,MATCH(C85,'C_jama.2025.19563'!$A$2:$A$8,0))="","",INDEX('C_jama.2025.19563'!$E$2:$E$8,MATCH(C85,'C_jama.2025.19563'!$A$2:$A$8,0))),"")</s:f>
        <s:v>statistical_results</s:v>
      </s:c>
      <s:c r="M85" s="16" t="str">
        <s:f>IFERROR(IF(AND(K85="retain",L85="statistical_results"),IF(INDEX('C_jama.2025.19563'!$H$2:$H$8,MATCH(C85,'C_jama.2025.19563'!$A$2:$A$8,0))="","",INDEX('C_jama.2025.19563'!$H$2:$H$8,MATCH(C85,'C_jama.2025.19563'!$A$2:$A$8,0))),"not_applicable"),"")</s:f>
        <s:v>confirmed_issue</s:v>
      </s:c>
      <s:c r="N85" s="16" t="str">
        <s:f>IFERROR(IF(AND(K85="retain",L85="statistical_results"),IF(INDEX('C_jama.2025.19563'!$I$2:$I$8,MATCH(C85,'C_jama.2025.19563'!$A$2:$A$8,0))="","",INDEX('C_jama.2025.19563'!$I$2:$I$8,MATCH(C85,'C_jama.2025.19563'!$A$2:$A$8,0))),"not_applicable"),"")</s:f>
        <s:v>substantive</s:v>
      </s:c>
      <s:c r="O85" s="16" t="str">
        <s:f>IFERROR(IF(AND(K85="retain",L85="statistical_results"),IF(INDEX('C_jama.2025.19563'!$J$2:$J$8,MATCH(C85,'C_jama.2025.19563'!$A$2:$A$8,0))="","",INDEX('C_jama.2025.19563'!$J$2:$J$8,MATCH(C85,'C_jama.2025.19563'!$A$2:$A$8,0))),"not_applicable"),"")</s:f>
        <s:v/>
      </s:c>
      <s:c r="P85" s="16" t="str">
        <s:f>IFERROR(IF(AND(K85="retain",OR(L85="report_internal_inconsistency",L85="plan_material")),IF(INDEX('C_jama.2025.19563'!$K$2:$K$8,MATCH(C85,'C_jama.2025.19563'!$A$2:$A$8,0))="","",INDEX('C_jama.2025.19563'!$K$2:$K$8,MATCH(C85,'C_jama.2025.19563'!$A$2:$A$8,0))),"not_applicable"),"")</s:f>
        <s:v>not_applicable</s:v>
      </s:c>
      <s:c r="Q85" s="16" t="str">
        <s:f>IFERROR(IF(AND(K85="retain",L85="protocol_report"),IF(INDEX('C_jama.2025.19563'!$L$2:$L$8,MATCH(C85,'C_jama.2025.19563'!$A$2:$A$8,0))="","",INDEX('C_jama.2025.19563'!$L$2:$L$8,MATCH(C85,'C_jama.2025.19563'!$A$2:$A$8,0))),"not_applicable"),"")</s:f>
        <s:v>not_applicable</s:v>
      </s:c>
      <s:c r="R85" s="16" t="str">
        <s:f>IFERROR(IF(INDEX('C_jama.2025.19563'!$R$2:$R$8,MATCH(C85,'C_jama.2025.19563'!$A$2:$A$8,0))="","",INDEX('C_jama.2025.19563'!$R$2:$R$8,MATCH(C85,'C_jama.2025.19563'!$A$2:$A$8,0))),"")</s:f>
        <s:v>TEST 2025::jama.2025.19563::C007</s:v>
      </s:c>
      <s:c r="S85" s="16" t="str">
        <s:f>IF(Setup!$B$3="","",Setup!$B$3)</s:f>
        <s:v>TEST ONLY</s:v>
      </s:c>
    </s:row>
    <s:row r="86" ht="72" customFormat="1" customHeight="1" s="8">
      <s:c r="A86" s="15" t="n">
        <s:v>2025</s:v>
      </s:c>
      <s:c r="B86" s="15" t="inlineStr">
        <s:is>
          <s:t>jama.2025.19843</s:t>
        </s:is>
      </s:c>
      <s:c r="C86" s="15" t="inlineStr">
        <s:is>
          <s:t>2025::jama.2025.19843::C001</s:t>
        </s:is>
      </s:c>
      <s:c r="D86" s="15" t="inlineStr">
        <s:is>
          <s:t>S_C</s:t>
        </s:is>
      </s:c>
      <s:c r="E86" s="15" t="str">
        <s:f>Setup!$B$4</s:f>
        <s:v>R_A</s:v>
      </s:c>
      <s:c r="F86" s="15" t="str">
        <s:f>IF(Setup!$B$2="","",Setup!$B$2)</s:f>
        <s:v>TEST_REVIEWER</s:v>
      </s:c>
      <s:c r="G86" s="15" t="str">
        <s:f>IFERROR(INDEX('C_jama.2025.19843'!$G$2:$G$2,MATCH(C86,'C_jama.2025.19843'!$A$2:$A$2,0)),"CHECK KEY")</s:f>
        <s:v>PRIMARY READY</s:v>
      </s:c>
      <s:c r="H86" s="15" t="str">
        <s: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s:f>
        <s:v>secondary_temporal</s:v>
      </s:c>
      <s:c r="I86" s="15" t="inlineStr">
        <s:is>
          <s:t>retain</s:t>
        </s:is>
      </s:c>
      <s:c r="J86" s="15" t="inlineStr">
        <s:is>
          <s:t>report_internal_inconsistency</s:t>
        </s:is>
      </s:c>
      <s:c r="K86" s="15" t="str">
        <s:f>IFERROR(IF(INDEX('C_jama.2025.19843'!$D$2:$D$2,MATCH(C86,'C_jama.2025.19843'!$A$2:$A$2,0))="","",INDEX('C_jama.2025.19843'!$D$2:$D$2,MATCH(C86,'C_jama.2025.19843'!$A$2:$A$2,0))),"")</s:f>
        <s:v>retain</s:v>
      </s:c>
      <s:c r="L86" s="15" t="str">
        <s:f>IFERROR(IF(INDEX('C_jama.2025.19843'!$E$2:$E$2,MATCH(C86,'C_jama.2025.19843'!$A$2:$A$2,0))="","",INDEX('C_jama.2025.19843'!$E$2:$E$2,MATCH(C86,'C_jama.2025.19843'!$A$2:$A$2,0))),"")</s:f>
        <s:v>report_internal_inconsistency</s:v>
      </s:c>
      <s:c r="M86" s="15" t="str">
        <s:f>IFERROR(IF(AND(K86="retain",L86="statistical_results"),IF(INDEX('C_jama.2025.19843'!$H$2:$H$2,MATCH(C86,'C_jama.2025.19843'!$A$2:$A$2,0))="","",INDEX('C_jama.2025.19843'!$H$2:$H$2,MATCH(C86,'C_jama.2025.19843'!$A$2:$A$2,0))),"not_applicable"),"")</s:f>
        <s:v>not_applicable</s:v>
      </s:c>
      <s:c r="N86" s="15" t="str">
        <s:f>IFERROR(IF(AND(K86="retain",L86="statistical_results"),IF(INDEX('C_jama.2025.19843'!$I$2:$I$2,MATCH(C86,'C_jama.2025.19843'!$A$2:$A$2,0))="","",INDEX('C_jama.2025.19843'!$I$2:$I$2,MATCH(C86,'C_jama.2025.19843'!$A$2:$A$2,0))),"not_applicable"),"")</s:f>
        <s:v>not_applicable</s:v>
      </s:c>
      <s:c r="O86" s="15" t="str">
        <s:f>IFERROR(IF(AND(K86="retain",L86="statistical_results"),IF(INDEX('C_jama.2025.19843'!$J$2:$J$2,MATCH(C86,'C_jama.2025.19843'!$A$2:$A$2,0))="","",INDEX('C_jama.2025.19843'!$J$2:$J$2,MATCH(C86,'C_jama.2025.19843'!$A$2:$A$2,0))),"not_applicable"),"")</s:f>
        <s:v>not_applicable</s:v>
      </s:c>
      <s:c r="P86" s="15" t="str">
        <s:f>IFERROR(IF(AND(K86="retain",OR(L86="report_internal_inconsistency",L86="plan_material")),IF(INDEX('C_jama.2025.19843'!$K$2:$K$2,MATCH(C86,'C_jama.2025.19843'!$A$2:$A$2,0))="","",INDEX('C_jama.2025.19843'!$K$2:$K$2,MATCH(C86,'C_jama.2025.19843'!$A$2:$A$2,0))),"not_applicable"),"")</s:f>
        <s:v>substantive_inconsistency</s:v>
      </s:c>
      <s:c r="Q86" s="15" t="str">
        <s:f>IFERROR(IF(AND(K86="retain",L86="protocol_report"),IF(INDEX('C_jama.2025.19843'!$L$2:$L$2,MATCH(C86,'C_jama.2025.19843'!$A$2:$A$2,0))="","",INDEX('C_jama.2025.19843'!$L$2:$L$2,MATCH(C86,'C_jama.2025.19843'!$A$2:$A$2,0))),"not_applicable"),"")</s:f>
        <s:v>not_applicable</s:v>
      </s:c>
      <s:c r="R86" s="15" t="str">
        <s:f>IFERROR(IF(INDEX('C_jama.2025.19843'!$R$2:$R$2,MATCH(C86,'C_jama.2025.19843'!$A$2:$A$2,0))="","",INDEX('C_jama.2025.19843'!$R$2:$R$2,MATCH(C86,'C_jama.2025.19843'!$A$2:$A$2,0))),"")</s:f>
        <s:v>TEST 2025::jama.2025.19843::C001</s:v>
      </s:c>
      <s:c r="S86" s="15" t="str">
        <s:f>IF(Setup!$B$3="","",Setup!$B$3)</s:f>
        <s:v>TEST ONLY</s:v>
      </s:c>
    </s:row>
    <s:row r="87" ht="72" customFormat="1" customHeight="1" s="8">
      <s:c r="A87" s="16" t="n">
        <s:v>2025</s:v>
      </s:c>
      <s:c r="B87" s="16" t="inlineStr">
        <s:is>
          <s:t>jama.2025.20765</s:t>
        </s:is>
      </s:c>
      <s:c r="C87" s="16" t="inlineStr">
        <s:is>
          <s:t>2025::jama.2025.20765::C001</s:t>
        </s:is>
      </s:c>
      <s:c r="D87" s="16" t="inlineStr">
        <s:is>
          <s:t>S_W</s:t>
        </s:is>
      </s:c>
      <s:c r="E87" s="16" t="str">
        <s:f>Setup!$B$4</s:f>
        <s:v>R_A</s:v>
      </s:c>
      <s:c r="F87" s="16" t="str">
        <s:f>IF(Setup!$B$2="","",Setup!$B$2)</s:f>
        <s:v>TEST_REVIEWER</s:v>
      </s:c>
      <s:c r="G87" s="16" t="str">
        <s:f>IFERROR(INDEX('C_jama.2025.20765'!$G$2:$G$14,MATCH(C87,'C_jama.2025.20765'!$A$2:$A$14,0)),"CHECK KEY")</s:f>
        <s:v>PRIMARY READY</s:v>
      </s:c>
      <s:c r="H87" s="16" t="str">
        <s: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s:f>
        <s:v>primary_temporal</s:v>
      </s:c>
      <s:c r="I87" s="16" t="inlineStr">
        <s:is>
          <s:t>retain</s:t>
        </s:is>
      </s:c>
      <s:c r="J87" s="16" t="inlineStr">
        <s:is>
          <s:t>statistical_results</s:t>
        </s:is>
      </s:c>
      <s:c r="K87" s="16" t="str">
        <s:f>IFERROR(IF(INDEX('C_jama.2025.20765'!$D$2:$D$14,MATCH(C87,'C_jama.2025.20765'!$A$2:$A$14,0))="","",INDEX('C_jama.2025.20765'!$D$2:$D$14,MATCH(C87,'C_jama.2025.20765'!$A$2:$A$14,0))),"")</s:f>
        <s:v>retain</s:v>
      </s:c>
      <s:c r="L87" s="16" t="str">
        <s:f>IFERROR(IF(INDEX('C_jama.2025.20765'!$E$2:$E$14,MATCH(C87,'C_jama.2025.20765'!$A$2:$A$14,0))="","",INDEX('C_jama.2025.20765'!$E$2:$E$14,MATCH(C87,'C_jama.2025.20765'!$A$2:$A$14,0))),"")</s:f>
        <s:v>statistical_results</s:v>
      </s:c>
      <s:c r="M87" s="16" t="str">
        <s:f>IFERROR(IF(AND(K87="retain",L87="statistical_results"),IF(INDEX('C_jama.2025.20765'!$H$2:$H$14,MATCH(C87,'C_jama.2025.20765'!$A$2:$A$14,0))="","",INDEX('C_jama.2025.20765'!$H$2:$H$14,MATCH(C87,'C_jama.2025.20765'!$A$2:$A$14,0))),"not_applicable"),"")</s:f>
        <s:v>confirmed_issue</s:v>
      </s:c>
      <s:c r="N87" s="16" t="str">
        <s:f>IFERROR(IF(AND(K87="retain",L87="statistical_results"),IF(INDEX('C_jama.2025.20765'!$I$2:$I$14,MATCH(C87,'C_jama.2025.20765'!$A$2:$A$14,0))="","",INDEX('C_jama.2025.20765'!$I$2:$I$14,MATCH(C87,'C_jama.2025.20765'!$A$2:$A$14,0))),"not_applicable"),"")</s:f>
        <s:v>substantive</s:v>
      </s:c>
      <s:c r="O87" s="16" t="str">
        <s:f>IFERROR(IF(AND(K87="retain",L87="statistical_results"),IF(INDEX('C_jama.2025.20765'!$J$2:$J$14,MATCH(C87,'C_jama.2025.20765'!$A$2:$A$14,0))="","",INDEX('C_jama.2025.20765'!$J$2:$J$14,MATCH(C87,'C_jama.2025.20765'!$A$2:$A$14,0))),"not_applicable"),"")</s:f>
        <s:v/>
      </s:c>
      <s:c r="P87" s="16" t="str">
        <s:f>IFERROR(IF(AND(K87="retain",OR(L87="report_internal_inconsistency",L87="plan_material")),IF(INDEX('C_jama.2025.20765'!$K$2:$K$14,MATCH(C87,'C_jama.2025.20765'!$A$2:$A$14,0))="","",INDEX('C_jama.2025.20765'!$K$2:$K$14,MATCH(C87,'C_jama.2025.20765'!$A$2:$A$14,0))),"not_applicable"),"")</s:f>
        <s:v>not_applicable</s:v>
      </s:c>
      <s:c r="Q87" s="16" t="str">
        <s:f>IFERROR(IF(AND(K87="retain",L87="protocol_report"),IF(INDEX('C_jama.2025.20765'!$L$2:$L$14,MATCH(C87,'C_jama.2025.20765'!$A$2:$A$14,0))="","",INDEX('C_jama.2025.20765'!$L$2:$L$14,MATCH(C87,'C_jama.2025.20765'!$A$2:$A$14,0))),"not_applicable"),"")</s:f>
        <s:v>not_applicable</s:v>
      </s:c>
      <s:c r="R87" s="16" t="str">
        <s:f>IFERROR(IF(INDEX('C_jama.2025.20765'!$R$2:$R$14,MATCH(C87,'C_jama.2025.20765'!$A$2:$A$14,0))="","",INDEX('C_jama.2025.20765'!$R$2:$R$14,MATCH(C87,'C_jama.2025.20765'!$A$2:$A$14,0))),"")</s:f>
        <s:v>TEST 2025::jama.2025.20765::C001</s:v>
      </s:c>
      <s:c r="S87" s="16" t="str">
        <s:f>IF(Setup!$B$3="","",Setup!$B$3)</s:f>
        <s:v>TEST ONLY</s:v>
      </s:c>
    </s:row>
    <s:row r="88" ht="72" customFormat="1" customHeight="1" s="8">
      <s:c r="A88" s="15" t="n">
        <s:v>2025</s:v>
      </s:c>
      <s:c r="B88" s="15" t="inlineStr">
        <s:is>
          <s:t>jama.2025.20765</s:t>
        </s:is>
      </s:c>
      <s:c r="C88" s="15" t="inlineStr">
        <s:is>
          <s:t>2025::jama.2025.20765::C002</s:t>
        </s:is>
      </s:c>
      <s:c r="D88" s="15" t="inlineStr">
        <s:is>
          <s:t>S_C</s:t>
        </s:is>
      </s:c>
      <s:c r="E88" s="15" t="str">
        <s:f>Setup!$B$4</s:f>
        <s:v>R_A</s:v>
      </s:c>
      <s:c r="F88" s="15" t="str">
        <s:f>IF(Setup!$B$2="","",Setup!$B$2)</s:f>
        <s:v>TEST_REVIEWER</s:v>
      </s:c>
      <s:c r="G88" s="15" t="str">
        <s:f>IFERROR(INDEX('C_jama.2025.20765'!$G$2:$G$14,MATCH(C88,'C_jama.2025.20765'!$A$2:$A$14,0)),"CHECK KEY")</s:f>
        <s:v>PRIMARY READY</s:v>
      </s:c>
      <s:c r="H88" s="15" t="str">
        <s: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s:f>
        <s:v>secondary_temporal</s:v>
      </s:c>
      <s:c r="I88" s="15" t="inlineStr">
        <s:is>
          <s:t>retain</s:t>
        </s:is>
      </s:c>
      <s:c r="J88" s="15" t="inlineStr">
        <s:is>
          <s:t>report_internal_inconsistency</s:t>
        </s:is>
      </s:c>
      <s:c r="K88" s="15" t="str">
        <s:f>IFERROR(IF(INDEX('C_jama.2025.20765'!$D$2:$D$14,MATCH(C88,'C_jama.2025.20765'!$A$2:$A$14,0))="","",INDEX('C_jama.2025.20765'!$D$2:$D$14,MATCH(C88,'C_jama.2025.20765'!$A$2:$A$14,0))),"")</s:f>
        <s:v>retain</s:v>
      </s:c>
      <s:c r="L88" s="15" t="str">
        <s:f>IFERROR(IF(INDEX('C_jama.2025.20765'!$E$2:$E$14,MATCH(C88,'C_jama.2025.20765'!$A$2:$A$14,0))="","",INDEX('C_jama.2025.20765'!$E$2:$E$14,MATCH(C88,'C_jama.2025.20765'!$A$2:$A$14,0))),"")</s:f>
        <s:v>report_internal_inconsistency</s:v>
      </s:c>
      <s:c r="M88" s="15" t="str">
        <s:f>IFERROR(IF(AND(K88="retain",L88="statistical_results"),IF(INDEX('C_jama.2025.20765'!$H$2:$H$14,MATCH(C88,'C_jama.2025.20765'!$A$2:$A$14,0))="","",INDEX('C_jama.2025.20765'!$H$2:$H$14,MATCH(C88,'C_jama.2025.20765'!$A$2:$A$14,0))),"not_applicable"),"")</s:f>
        <s:v>not_applicable</s:v>
      </s:c>
      <s:c r="N88" s="15" t="str">
        <s:f>IFERROR(IF(AND(K88="retain",L88="statistical_results"),IF(INDEX('C_jama.2025.20765'!$I$2:$I$14,MATCH(C88,'C_jama.2025.20765'!$A$2:$A$14,0))="","",INDEX('C_jama.2025.20765'!$I$2:$I$14,MATCH(C88,'C_jama.2025.20765'!$A$2:$A$14,0))),"not_applicable"),"")</s:f>
        <s:v>not_applicable</s:v>
      </s:c>
      <s:c r="O88" s="15" t="str">
        <s:f>IFERROR(IF(AND(K88="retain",L88="statistical_results"),IF(INDEX('C_jama.2025.20765'!$J$2:$J$14,MATCH(C88,'C_jama.2025.20765'!$A$2:$A$14,0))="","",INDEX('C_jama.2025.20765'!$J$2:$J$14,MATCH(C88,'C_jama.2025.20765'!$A$2:$A$14,0))),"not_applicable"),"")</s:f>
        <s:v>not_applicable</s:v>
      </s:c>
      <s:c r="P88" s="15" t="str">
        <s:f>IFERROR(IF(AND(K88="retain",OR(L88="report_internal_inconsistency",L88="plan_material")),IF(INDEX('C_jama.2025.20765'!$K$2:$K$14,MATCH(C88,'C_jama.2025.20765'!$A$2:$A$14,0))="","",INDEX('C_jama.2025.20765'!$K$2:$K$14,MATCH(C88,'C_jama.2025.20765'!$A$2:$A$14,0))),"not_applicable"),"")</s:f>
        <s:v>substantive_inconsistency</s:v>
      </s:c>
      <s:c r="Q88" s="15" t="str">
        <s:f>IFERROR(IF(AND(K88="retain",L88="protocol_report"),IF(INDEX('C_jama.2025.20765'!$L$2:$L$14,MATCH(C88,'C_jama.2025.20765'!$A$2:$A$14,0))="","",INDEX('C_jama.2025.20765'!$L$2:$L$14,MATCH(C88,'C_jama.2025.20765'!$A$2:$A$14,0))),"not_applicable"),"")</s:f>
        <s:v>not_applicable</s:v>
      </s:c>
      <s:c r="R88" s="15" t="str">
        <s:f>IFERROR(IF(INDEX('C_jama.2025.20765'!$R$2:$R$14,MATCH(C88,'C_jama.2025.20765'!$A$2:$A$14,0))="","",INDEX('C_jama.2025.20765'!$R$2:$R$14,MATCH(C88,'C_jama.2025.20765'!$A$2:$A$14,0))),"")</s:f>
        <s:v>TEST 2025::jama.2025.20765::C002</s:v>
      </s:c>
      <s:c r="S88" s="15" t="str">
        <s:f>IF(Setup!$B$3="","",Setup!$B$3)</s:f>
        <s:v>TEST ONLY</s:v>
      </s:c>
    </s:row>
    <s:row r="89" ht="72" customFormat="1" customHeight="1" s="8">
      <s:c r="A89" s="16" t="n">
        <s:v>2025</s:v>
      </s:c>
      <s:c r="B89" s="16" t="inlineStr">
        <s:is>
          <s:t>jama.2025.20765</s:t>
        </s:is>
      </s:c>
      <s:c r="C89" s="16" t="inlineStr">
        <s:is>
          <s:t>2025::jama.2025.20765::C003</s:t>
        </s:is>
      </s:c>
      <s:c r="D89" s="16" t="inlineStr">
        <s:is>
          <s:t>P_P</s:t>
        </s:is>
      </s:c>
      <s:c r="E89" s="16" t="str">
        <s:f>Setup!$B$4</s:f>
        <s:v>R_A</s:v>
      </s:c>
      <s:c r="F89" s="16" t="str">
        <s:f>IF(Setup!$B$2="","",Setup!$B$2)</s:f>
        <s:v>TEST_REVIEWER</s:v>
      </s:c>
      <s:c r="G89" s="16" t="str">
        <s:f>IFERROR(INDEX('C_jama.2025.20765'!$G$2:$G$14,MATCH(C89,'C_jama.2025.20765'!$A$2:$A$14,0)),"CHECK KEY")</s:f>
        <s:v>PRIMARY READY</s:v>
      </s:c>
      <s:c r="H89" s="16" t="str">
        <s: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s:f>
        <s:v>plan_descriptive</s:v>
      </s:c>
      <s:c r="I89" s="16" t="inlineStr">
        <s:is>
          <s:t>retain</s:t>
        </s:is>
      </s:c>
      <s:c r="J89" s="16" t="inlineStr">
        <s:is>
          <s:t>plan_material</s:t>
        </s:is>
      </s:c>
      <s:c r="K89" s="16" t="str">
        <s:f>IFERROR(IF(INDEX('C_jama.2025.20765'!$D$2:$D$14,MATCH(C89,'C_jama.2025.20765'!$A$2:$A$14,0))="","",INDEX('C_jama.2025.20765'!$D$2:$D$14,MATCH(C89,'C_jama.2025.20765'!$A$2:$A$14,0))),"")</s:f>
        <s:v>retain</s:v>
      </s:c>
      <s:c r="L89" s="16" t="str">
        <s:f>IFERROR(IF(INDEX('C_jama.2025.20765'!$E$2:$E$14,MATCH(C89,'C_jama.2025.20765'!$A$2:$A$14,0))="","",INDEX('C_jama.2025.20765'!$E$2:$E$14,MATCH(C89,'C_jama.2025.20765'!$A$2:$A$14,0))),"")</s:f>
        <s:v>plan_material</s:v>
      </s:c>
      <s:c r="M89" s="16" t="str">
        <s:f>IFERROR(IF(AND(K89="retain",L89="statistical_results"),IF(INDEX('C_jama.2025.20765'!$H$2:$H$14,MATCH(C89,'C_jama.2025.20765'!$A$2:$A$14,0))="","",INDEX('C_jama.2025.20765'!$H$2:$H$14,MATCH(C89,'C_jama.2025.20765'!$A$2:$A$14,0))),"not_applicable"),"")</s:f>
        <s:v>not_applicable</s:v>
      </s:c>
      <s:c r="N89" s="16" t="str">
        <s:f>IFERROR(IF(AND(K89="retain",L89="statistical_results"),IF(INDEX('C_jama.2025.20765'!$I$2:$I$14,MATCH(C89,'C_jama.2025.20765'!$A$2:$A$14,0))="","",INDEX('C_jama.2025.20765'!$I$2:$I$14,MATCH(C89,'C_jama.2025.20765'!$A$2:$A$14,0))),"not_applicable"),"")</s:f>
        <s:v>not_applicable</s:v>
      </s:c>
      <s:c r="O89" s="16" t="str">
        <s:f>IFERROR(IF(AND(K89="retain",L89="statistical_results"),IF(INDEX('C_jama.2025.20765'!$J$2:$J$14,MATCH(C89,'C_jama.2025.20765'!$A$2:$A$14,0))="","",INDEX('C_jama.2025.20765'!$J$2:$J$14,MATCH(C89,'C_jama.2025.20765'!$A$2:$A$14,0))),"not_applicable"),"")</s:f>
        <s:v>not_applicable</s:v>
      </s:c>
      <s:c r="P89" s="16" t="str">
        <s:f>IFERROR(IF(AND(K89="retain",OR(L89="report_internal_inconsistency",L89="plan_material")),IF(INDEX('C_jama.2025.20765'!$K$2:$K$14,MATCH(C89,'C_jama.2025.20765'!$A$2:$A$14,0))="","",INDEX('C_jama.2025.20765'!$K$2:$K$14,MATCH(C89,'C_jama.2025.20765'!$A$2:$A$14,0))),"not_applicable"),"")</s:f>
        <s:v>substantive_inconsistency</s:v>
      </s:c>
      <s:c r="Q89" s="16" t="str">
        <s:f>IFERROR(IF(AND(K89="retain",L89="protocol_report"),IF(INDEX('C_jama.2025.20765'!$L$2:$L$14,MATCH(C89,'C_jama.2025.20765'!$A$2:$A$14,0))="","",INDEX('C_jama.2025.20765'!$L$2:$L$14,MATCH(C89,'C_jama.2025.20765'!$A$2:$A$14,0))),"not_applicable"),"")</s:f>
        <s:v>not_applicable</s:v>
      </s:c>
      <s:c r="R89" s="16" t="str">
        <s:f>IFERROR(IF(INDEX('C_jama.2025.20765'!$R$2:$R$14,MATCH(C89,'C_jama.2025.20765'!$A$2:$A$14,0))="","",INDEX('C_jama.2025.20765'!$R$2:$R$14,MATCH(C89,'C_jama.2025.20765'!$A$2:$A$14,0))),"")</s:f>
        <s:v>TEST 2025::jama.2025.20765::C003</s:v>
      </s:c>
      <s:c r="S89" s="16" t="str">
        <s:f>IF(Setup!$B$3="","",Setup!$B$3)</s:f>
        <s:v>TEST ONLY</s:v>
      </s:c>
    </s:row>
    <s:row r="90" ht="72" customFormat="1" customHeight="1" s="8">
      <s:c r="A90" s="15" t="n">
        <s:v>2025</s:v>
      </s:c>
      <s:c r="B90" s="15" t="inlineStr">
        <s:is>
          <s:t>jama.2025.20765</s:t>
        </s:is>
      </s:c>
      <s:c r="C90" s="15" t="inlineStr">
        <s:is>
          <s:t>2025::jama.2025.20765::C004</s:t>
        </s:is>
      </s:c>
      <s:c r="D90" s="15" t="inlineStr">
        <s:is>
          <s:t>P_P</s:t>
        </s:is>
      </s:c>
      <s:c r="E90" s="15" t="str">
        <s:f>Setup!$B$4</s:f>
        <s:v>R_A</s:v>
      </s:c>
      <s:c r="F90" s="15" t="str">
        <s:f>IF(Setup!$B$2="","",Setup!$B$2)</s:f>
        <s:v>TEST_REVIEWER</s:v>
      </s:c>
      <s:c r="G90" s="15" t="str">
        <s:f>IFERROR(INDEX('C_jama.2025.20765'!$G$2:$G$14,MATCH(C90,'C_jama.2025.20765'!$A$2:$A$14,0)),"CHECK KEY")</s:f>
        <s:v>PRIMARY READY</s:v>
      </s:c>
      <s:c r="H90" s="15" t="str">
        <s: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s:f>
        <s:v>plan_descriptive</s:v>
      </s:c>
      <s:c r="I90" s="15" t="inlineStr">
        <s:is>
          <s:t>retain</s:t>
        </s:is>
      </s:c>
      <s:c r="J90" s="15" t="inlineStr">
        <s:is>
          <s:t>plan_material</s:t>
        </s:is>
      </s:c>
      <s:c r="K90" s="15" t="str">
        <s:f>IFERROR(IF(INDEX('C_jama.2025.20765'!$D$2:$D$14,MATCH(C90,'C_jama.2025.20765'!$A$2:$A$14,0))="","",INDEX('C_jama.2025.20765'!$D$2:$D$14,MATCH(C90,'C_jama.2025.20765'!$A$2:$A$14,0))),"")</s:f>
        <s:v>retain</s:v>
      </s:c>
      <s:c r="L90" s="15" t="str">
        <s:f>IFERROR(IF(INDEX('C_jama.2025.20765'!$E$2:$E$14,MATCH(C90,'C_jama.2025.20765'!$A$2:$A$14,0))="","",INDEX('C_jama.2025.20765'!$E$2:$E$14,MATCH(C90,'C_jama.2025.20765'!$A$2:$A$14,0))),"")</s:f>
        <s:v>plan_material</s:v>
      </s:c>
      <s:c r="M90" s="15" t="str">
        <s:f>IFERROR(IF(AND(K90="retain",L90="statistical_results"),IF(INDEX('C_jama.2025.20765'!$H$2:$H$14,MATCH(C90,'C_jama.2025.20765'!$A$2:$A$14,0))="","",INDEX('C_jama.2025.20765'!$H$2:$H$14,MATCH(C90,'C_jama.2025.20765'!$A$2:$A$14,0))),"not_applicable"),"")</s:f>
        <s:v>not_applicable</s:v>
      </s:c>
      <s:c r="N90" s="15" t="str">
        <s:f>IFERROR(IF(AND(K90="retain",L90="statistical_results"),IF(INDEX('C_jama.2025.20765'!$I$2:$I$14,MATCH(C90,'C_jama.2025.20765'!$A$2:$A$14,0))="","",INDEX('C_jama.2025.20765'!$I$2:$I$14,MATCH(C90,'C_jama.2025.20765'!$A$2:$A$14,0))),"not_applicable"),"")</s:f>
        <s:v>not_applicable</s:v>
      </s:c>
      <s:c r="O90" s="15" t="str">
        <s:f>IFERROR(IF(AND(K90="retain",L90="statistical_results"),IF(INDEX('C_jama.2025.20765'!$J$2:$J$14,MATCH(C90,'C_jama.2025.20765'!$A$2:$A$14,0))="","",INDEX('C_jama.2025.20765'!$J$2:$J$14,MATCH(C90,'C_jama.2025.20765'!$A$2:$A$14,0))),"not_applicable"),"")</s:f>
        <s:v>not_applicable</s:v>
      </s:c>
      <s:c r="P90" s="15" t="str">
        <s:f>IFERROR(IF(AND(K90="retain",OR(L90="report_internal_inconsistency",L90="plan_material")),IF(INDEX('C_jama.2025.20765'!$K$2:$K$14,MATCH(C90,'C_jama.2025.20765'!$A$2:$A$14,0))="","",INDEX('C_jama.2025.20765'!$K$2:$K$14,MATCH(C90,'C_jama.2025.20765'!$A$2:$A$14,0))),"not_applicable"),"")</s:f>
        <s:v>substantive_inconsistency</s:v>
      </s:c>
      <s:c r="Q90" s="15" t="str">
        <s:f>IFERROR(IF(AND(K90="retain",L90="protocol_report"),IF(INDEX('C_jama.2025.20765'!$L$2:$L$14,MATCH(C90,'C_jama.2025.20765'!$A$2:$A$14,0))="","",INDEX('C_jama.2025.20765'!$L$2:$L$14,MATCH(C90,'C_jama.2025.20765'!$A$2:$A$14,0))),"not_applicable"),"")</s:f>
        <s:v>not_applicable</s:v>
      </s:c>
      <s:c r="R90" s="15" t="str">
        <s:f>IFERROR(IF(INDEX('C_jama.2025.20765'!$R$2:$R$14,MATCH(C90,'C_jama.2025.20765'!$A$2:$A$14,0))="","",INDEX('C_jama.2025.20765'!$R$2:$R$14,MATCH(C90,'C_jama.2025.20765'!$A$2:$A$14,0))),"")</s:f>
        <s:v>TEST 2025::jama.2025.20765::C004</s:v>
      </s:c>
      <s:c r="S90" s="15" t="str">
        <s:f>IF(Setup!$B$3="","",Setup!$B$3)</s:f>
        <s:v>TEST ONLY</s:v>
      </s:c>
    </s:row>
    <s:row r="91" ht="72" customFormat="1" customHeight="1" s="8">
      <s:c r="A91" s="16" t="n">
        <s:v>2025</s:v>
      </s:c>
      <s:c r="B91" s="16" t="inlineStr">
        <s:is>
          <s:t>jama.2025.20765</s:t>
        </s:is>
      </s:c>
      <s:c r="C91" s="16" t="inlineStr">
        <s:is>
          <s:t>2025::jama.2025.20765::C005</s:t>
        </s:is>
      </s:c>
      <s:c r="D91" s="16" t="inlineStr">
        <s:is>
          <s:t>P_P</s:t>
        </s:is>
      </s:c>
      <s:c r="E91" s="16" t="str">
        <s:f>Setup!$B$4</s:f>
        <s:v>R_A</s:v>
      </s:c>
      <s:c r="F91" s="16" t="str">
        <s:f>IF(Setup!$B$2="","",Setup!$B$2)</s:f>
        <s:v>TEST_REVIEWER</s:v>
      </s:c>
      <s:c r="G91" s="16" t="str">
        <s:f>IFERROR(INDEX('C_jama.2025.20765'!$G$2:$G$14,MATCH(C91,'C_jama.2025.20765'!$A$2:$A$14,0)),"CHECK KEY")</s:f>
        <s:v>PRIMARY READY</s:v>
      </s:c>
      <s:c r="H91" s="16" t="str">
        <s: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s:f>
        <s:v>plan_descriptive</s:v>
      </s:c>
      <s:c r="I91" s="16" t="inlineStr">
        <s:is>
          <s:t>retain</s:t>
        </s:is>
      </s:c>
      <s:c r="J91" s="16" t="inlineStr">
        <s:is>
          <s:t>plan_material</s:t>
        </s:is>
      </s:c>
      <s:c r="K91" s="16" t="str">
        <s:f>IFERROR(IF(INDEX('C_jama.2025.20765'!$D$2:$D$14,MATCH(C91,'C_jama.2025.20765'!$A$2:$A$14,0))="","",INDEX('C_jama.2025.20765'!$D$2:$D$14,MATCH(C91,'C_jama.2025.20765'!$A$2:$A$14,0))),"")</s:f>
        <s:v>retain</s:v>
      </s:c>
      <s:c r="L91" s="16" t="str">
        <s:f>IFERROR(IF(INDEX('C_jama.2025.20765'!$E$2:$E$14,MATCH(C91,'C_jama.2025.20765'!$A$2:$A$14,0))="","",INDEX('C_jama.2025.20765'!$E$2:$E$14,MATCH(C91,'C_jama.2025.20765'!$A$2:$A$14,0))),"")</s:f>
        <s:v>plan_material</s:v>
      </s:c>
      <s:c r="M91" s="16" t="str">
        <s:f>IFERROR(IF(AND(K91="retain",L91="statistical_results"),IF(INDEX('C_jama.2025.20765'!$H$2:$H$14,MATCH(C91,'C_jama.2025.20765'!$A$2:$A$14,0))="","",INDEX('C_jama.2025.20765'!$H$2:$H$14,MATCH(C91,'C_jama.2025.20765'!$A$2:$A$14,0))),"not_applicable"),"")</s:f>
        <s:v>not_applicable</s:v>
      </s:c>
      <s:c r="N91" s="16" t="str">
        <s:f>IFERROR(IF(AND(K91="retain",L91="statistical_results"),IF(INDEX('C_jama.2025.20765'!$I$2:$I$14,MATCH(C91,'C_jama.2025.20765'!$A$2:$A$14,0))="","",INDEX('C_jama.2025.20765'!$I$2:$I$14,MATCH(C91,'C_jama.2025.20765'!$A$2:$A$14,0))),"not_applicable"),"")</s:f>
        <s:v>not_applicable</s:v>
      </s:c>
      <s:c r="O91" s="16" t="str">
        <s:f>IFERROR(IF(AND(K91="retain",L91="statistical_results"),IF(INDEX('C_jama.2025.20765'!$J$2:$J$14,MATCH(C91,'C_jama.2025.20765'!$A$2:$A$14,0))="","",INDEX('C_jama.2025.20765'!$J$2:$J$14,MATCH(C91,'C_jama.2025.20765'!$A$2:$A$14,0))),"not_applicable"),"")</s:f>
        <s:v>not_applicable</s:v>
      </s:c>
      <s:c r="P91" s="16" t="str">
        <s:f>IFERROR(IF(AND(K91="retain",OR(L91="report_internal_inconsistency",L91="plan_material")),IF(INDEX('C_jama.2025.20765'!$K$2:$K$14,MATCH(C91,'C_jama.2025.20765'!$A$2:$A$14,0))="","",INDEX('C_jama.2025.20765'!$K$2:$K$14,MATCH(C91,'C_jama.2025.20765'!$A$2:$A$14,0))),"not_applicable"),"")</s:f>
        <s:v>substantive_inconsistency</s:v>
      </s:c>
      <s:c r="Q91" s="16" t="str">
        <s:f>IFERROR(IF(AND(K91="retain",L91="protocol_report"),IF(INDEX('C_jama.2025.20765'!$L$2:$L$14,MATCH(C91,'C_jama.2025.20765'!$A$2:$A$14,0))="","",INDEX('C_jama.2025.20765'!$L$2:$L$14,MATCH(C91,'C_jama.2025.20765'!$A$2:$A$14,0))),"not_applicable"),"")</s:f>
        <s:v>not_applicable</s:v>
      </s:c>
      <s:c r="R91" s="16" t="str">
        <s:f>IFERROR(IF(INDEX('C_jama.2025.20765'!$R$2:$R$14,MATCH(C91,'C_jama.2025.20765'!$A$2:$A$14,0))="","",INDEX('C_jama.2025.20765'!$R$2:$R$14,MATCH(C91,'C_jama.2025.20765'!$A$2:$A$14,0))),"")</s:f>
        <s:v>TEST 2025::jama.2025.20765::C005</s:v>
      </s:c>
      <s:c r="S91" s="16" t="str">
        <s:f>IF(Setup!$B$3="","",Setup!$B$3)</s:f>
        <s:v>TEST ONLY</s:v>
      </s:c>
    </s:row>
    <s:row r="92" ht="72" customFormat="1" customHeight="1" s="8">
      <s:c r="A92" s="15" t="n">
        <s:v>2025</s:v>
      </s:c>
      <s:c r="B92" s="15" t="inlineStr">
        <s:is>
          <s:t>jama.2025.20765</s:t>
        </s:is>
      </s:c>
      <s:c r="C92" s="15" t="inlineStr">
        <s:is>
          <s:t>2025::jama.2025.20765::C006</s:t>
        </s:is>
      </s:c>
      <s:c r="D92" s="15" t="inlineStr">
        <s:is>
          <s:t>P_P</s:t>
        </s:is>
      </s:c>
      <s:c r="E92" s="15" t="str">
        <s:f>Setup!$B$4</s:f>
        <s:v>R_A</s:v>
      </s:c>
      <s:c r="F92" s="15" t="str">
        <s:f>IF(Setup!$B$2="","",Setup!$B$2)</s:f>
        <s:v>TEST_REVIEWER</s:v>
      </s:c>
      <s:c r="G92" s="15" t="str">
        <s:f>IFERROR(INDEX('C_jama.2025.20765'!$G$2:$G$14,MATCH(C92,'C_jama.2025.20765'!$A$2:$A$14,0)),"CHECK KEY")</s:f>
        <s:v>PRIMARY READY</s:v>
      </s:c>
      <s:c r="H92" s="15" t="str">
        <s: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s:f>
        <s:v>plan_descriptive</s:v>
      </s:c>
      <s:c r="I92" s="15" t="inlineStr">
        <s:is>
          <s:t>retain</s:t>
        </s:is>
      </s:c>
      <s:c r="J92" s="15" t="inlineStr">
        <s:is>
          <s:t>plan_material</s:t>
        </s:is>
      </s:c>
      <s:c r="K92" s="15" t="str">
        <s:f>IFERROR(IF(INDEX('C_jama.2025.20765'!$D$2:$D$14,MATCH(C92,'C_jama.2025.20765'!$A$2:$A$14,0))="","",INDEX('C_jama.2025.20765'!$D$2:$D$14,MATCH(C92,'C_jama.2025.20765'!$A$2:$A$14,0))),"")</s:f>
        <s:v>retain</s:v>
      </s:c>
      <s:c r="L92" s="15" t="str">
        <s:f>IFERROR(IF(INDEX('C_jama.2025.20765'!$E$2:$E$14,MATCH(C92,'C_jama.2025.20765'!$A$2:$A$14,0))="","",INDEX('C_jama.2025.20765'!$E$2:$E$14,MATCH(C92,'C_jama.2025.20765'!$A$2:$A$14,0))),"")</s:f>
        <s:v>plan_material</s:v>
      </s:c>
      <s:c r="M92" s="15" t="str">
        <s:f>IFERROR(IF(AND(K92="retain",L92="statistical_results"),IF(INDEX('C_jama.2025.20765'!$H$2:$H$14,MATCH(C92,'C_jama.2025.20765'!$A$2:$A$14,0))="","",INDEX('C_jama.2025.20765'!$H$2:$H$14,MATCH(C92,'C_jama.2025.20765'!$A$2:$A$14,0))),"not_applicable"),"")</s:f>
        <s:v>not_applicable</s:v>
      </s:c>
      <s:c r="N92" s="15" t="str">
        <s:f>IFERROR(IF(AND(K92="retain",L92="statistical_results"),IF(INDEX('C_jama.2025.20765'!$I$2:$I$14,MATCH(C92,'C_jama.2025.20765'!$A$2:$A$14,0))="","",INDEX('C_jama.2025.20765'!$I$2:$I$14,MATCH(C92,'C_jama.2025.20765'!$A$2:$A$14,0))),"not_applicable"),"")</s:f>
        <s:v>not_applicable</s:v>
      </s:c>
      <s:c r="O92" s="15" t="str">
        <s:f>IFERROR(IF(AND(K92="retain",L92="statistical_results"),IF(INDEX('C_jama.2025.20765'!$J$2:$J$14,MATCH(C92,'C_jama.2025.20765'!$A$2:$A$14,0))="","",INDEX('C_jama.2025.20765'!$J$2:$J$14,MATCH(C92,'C_jama.2025.20765'!$A$2:$A$14,0))),"not_applicable"),"")</s:f>
        <s:v>not_applicable</s:v>
      </s:c>
      <s:c r="P92" s="15" t="str">
        <s:f>IFERROR(IF(AND(K92="retain",OR(L92="report_internal_inconsistency",L92="plan_material")),IF(INDEX('C_jama.2025.20765'!$K$2:$K$14,MATCH(C92,'C_jama.2025.20765'!$A$2:$A$14,0))="","",INDEX('C_jama.2025.20765'!$K$2:$K$14,MATCH(C92,'C_jama.2025.20765'!$A$2:$A$14,0))),"not_applicable"),"")</s:f>
        <s:v>substantive_inconsistency</s:v>
      </s:c>
      <s:c r="Q92" s="15" t="str">
        <s:f>IFERROR(IF(AND(K92="retain",L92="protocol_report"),IF(INDEX('C_jama.2025.20765'!$L$2:$L$14,MATCH(C92,'C_jama.2025.20765'!$A$2:$A$14,0))="","",INDEX('C_jama.2025.20765'!$L$2:$L$14,MATCH(C92,'C_jama.2025.20765'!$A$2:$A$14,0))),"not_applicable"),"")</s:f>
        <s:v>not_applicable</s:v>
      </s:c>
      <s:c r="R92" s="15" t="str">
        <s:f>IFERROR(IF(INDEX('C_jama.2025.20765'!$R$2:$R$14,MATCH(C92,'C_jama.2025.20765'!$A$2:$A$14,0))="","",INDEX('C_jama.2025.20765'!$R$2:$R$14,MATCH(C92,'C_jama.2025.20765'!$A$2:$A$14,0))),"")</s:f>
        <s:v>TEST 2025::jama.2025.20765::C006</s:v>
      </s:c>
      <s:c r="S92" s="15" t="str">
        <s:f>IF(Setup!$B$3="","",Setup!$B$3)</s:f>
        <s:v>TEST ONLY</s:v>
      </s:c>
    </s:row>
    <s:row r="93" ht="72" customFormat="1" customHeight="1" s="8">
      <s:c r="A93" s="16" t="n">
        <s:v>2025</s:v>
      </s:c>
      <s:c r="B93" s="16" t="inlineStr">
        <s:is>
          <s:t>jama.2025.20765</s:t>
        </s:is>
      </s:c>
      <s:c r="C93" s="16" t="inlineStr">
        <s:is>
          <s:t>2025::jama.2025.20765::C007</s:t>
        </s:is>
      </s:c>
      <s:c r="D93" s="16" t="inlineStr">
        <s:is>
          <s:t>P_P</s:t>
        </s:is>
      </s:c>
      <s:c r="E93" s="16" t="str">
        <s:f>Setup!$B$4</s:f>
        <s:v>R_A</s:v>
      </s:c>
      <s:c r="F93" s="16" t="str">
        <s:f>IF(Setup!$B$2="","",Setup!$B$2)</s:f>
        <s:v>TEST_REVIEWER</s:v>
      </s:c>
      <s:c r="G93" s="16" t="str">
        <s:f>IFERROR(INDEX('C_jama.2025.20765'!$G$2:$G$14,MATCH(C93,'C_jama.2025.20765'!$A$2:$A$14,0)),"CHECK KEY")</s:f>
        <s:v>PRIMARY READY</s:v>
      </s:c>
      <s:c r="H93" s="16" t="str">
        <s: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s:f>
        <s:v>plan_descriptive</s:v>
      </s:c>
      <s:c r="I93" s="16" t="inlineStr">
        <s:is>
          <s:t>retain</s:t>
        </s:is>
      </s:c>
      <s:c r="J93" s="16" t="inlineStr">
        <s:is>
          <s:t>plan_material</s:t>
        </s:is>
      </s:c>
      <s:c r="K93" s="16" t="str">
        <s:f>IFERROR(IF(INDEX('C_jama.2025.20765'!$D$2:$D$14,MATCH(C93,'C_jama.2025.20765'!$A$2:$A$14,0))="","",INDEX('C_jama.2025.20765'!$D$2:$D$14,MATCH(C93,'C_jama.2025.20765'!$A$2:$A$14,0))),"")</s:f>
        <s:v>retain</s:v>
      </s:c>
      <s:c r="L93" s="16" t="str">
        <s:f>IFERROR(IF(INDEX('C_jama.2025.20765'!$E$2:$E$14,MATCH(C93,'C_jama.2025.20765'!$A$2:$A$14,0))="","",INDEX('C_jama.2025.20765'!$E$2:$E$14,MATCH(C93,'C_jama.2025.20765'!$A$2:$A$14,0))),"")</s:f>
        <s:v>plan_material</s:v>
      </s:c>
      <s:c r="M93" s="16" t="str">
        <s:f>IFERROR(IF(AND(K93="retain",L93="statistical_results"),IF(INDEX('C_jama.2025.20765'!$H$2:$H$14,MATCH(C93,'C_jama.2025.20765'!$A$2:$A$14,0))="","",INDEX('C_jama.2025.20765'!$H$2:$H$14,MATCH(C93,'C_jama.2025.20765'!$A$2:$A$14,0))),"not_applicable"),"")</s:f>
        <s:v>not_applicable</s:v>
      </s:c>
      <s:c r="N93" s="16" t="str">
        <s:f>IFERROR(IF(AND(K93="retain",L93="statistical_results"),IF(INDEX('C_jama.2025.20765'!$I$2:$I$14,MATCH(C93,'C_jama.2025.20765'!$A$2:$A$14,0))="","",INDEX('C_jama.2025.20765'!$I$2:$I$14,MATCH(C93,'C_jama.2025.20765'!$A$2:$A$14,0))),"not_applicable"),"")</s:f>
        <s:v>not_applicable</s:v>
      </s:c>
      <s:c r="O93" s="16" t="str">
        <s:f>IFERROR(IF(AND(K93="retain",L93="statistical_results"),IF(INDEX('C_jama.2025.20765'!$J$2:$J$14,MATCH(C93,'C_jama.2025.20765'!$A$2:$A$14,0))="","",INDEX('C_jama.2025.20765'!$J$2:$J$14,MATCH(C93,'C_jama.2025.20765'!$A$2:$A$14,0))),"not_applicable"),"")</s:f>
        <s:v>not_applicable</s:v>
      </s:c>
      <s:c r="P93" s="16" t="str">
        <s:f>IFERROR(IF(AND(K93="retain",OR(L93="report_internal_inconsistency",L93="plan_material")),IF(INDEX('C_jama.2025.20765'!$K$2:$K$14,MATCH(C93,'C_jama.2025.20765'!$A$2:$A$14,0))="","",INDEX('C_jama.2025.20765'!$K$2:$K$14,MATCH(C93,'C_jama.2025.20765'!$A$2:$A$14,0))),"not_applicable"),"")</s:f>
        <s:v>substantive_inconsistency</s:v>
      </s:c>
      <s:c r="Q93" s="16" t="str">
        <s:f>IFERROR(IF(AND(K93="retain",L93="protocol_report"),IF(INDEX('C_jama.2025.20765'!$L$2:$L$14,MATCH(C93,'C_jama.2025.20765'!$A$2:$A$14,0))="","",INDEX('C_jama.2025.20765'!$L$2:$L$14,MATCH(C93,'C_jama.2025.20765'!$A$2:$A$14,0))),"not_applicable"),"")</s:f>
        <s:v>not_applicable</s:v>
      </s:c>
      <s:c r="R93" s="16" t="str">
        <s:f>IFERROR(IF(INDEX('C_jama.2025.20765'!$R$2:$R$14,MATCH(C93,'C_jama.2025.20765'!$A$2:$A$14,0))="","",INDEX('C_jama.2025.20765'!$R$2:$R$14,MATCH(C93,'C_jama.2025.20765'!$A$2:$A$14,0))),"")</s:f>
        <s:v>TEST 2025::jama.2025.20765::C007</s:v>
      </s:c>
      <s:c r="S93" s="16" t="str">
        <s:f>IF(Setup!$B$3="","",Setup!$B$3)</s:f>
        <s:v>TEST ONLY</s:v>
      </s:c>
    </s:row>
    <s:row r="94" ht="72" customFormat="1" customHeight="1" s="8">
      <s:c r="A94" s="15" t="n">
        <s:v>2025</s:v>
      </s:c>
      <s:c r="B94" s="15" t="inlineStr">
        <s:is>
          <s:t>jama.2025.20765</s:t>
        </s:is>
      </s:c>
      <s:c r="C94" s="15" t="inlineStr">
        <s:is>
          <s:t>2025::jama.2025.20765::C008</s:t>
        </s:is>
      </s:c>
      <s:c r="D94" s="15" t="inlineStr">
        <s:is>
          <s:t>P_P</s:t>
        </s:is>
      </s:c>
      <s:c r="E94" s="15" t="str">
        <s:f>Setup!$B$4</s:f>
        <s:v>R_A</s:v>
      </s:c>
      <s:c r="F94" s="15" t="str">
        <s:f>IF(Setup!$B$2="","",Setup!$B$2)</s:f>
        <s:v>TEST_REVIEWER</s:v>
      </s:c>
      <s:c r="G94" s="15" t="str">
        <s:f>IFERROR(INDEX('C_jama.2025.20765'!$G$2:$G$14,MATCH(C94,'C_jama.2025.20765'!$A$2:$A$14,0)),"CHECK KEY")</s:f>
        <s:v>PRIMARY READY</s:v>
      </s:c>
      <s:c r="H94" s="15" t="str">
        <s: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s:f>
        <s:v>plan_descriptive</s:v>
      </s:c>
      <s:c r="I94" s="15" t="inlineStr">
        <s:is>
          <s:t>retain</s:t>
        </s:is>
      </s:c>
      <s:c r="J94" s="15" t="inlineStr">
        <s:is>
          <s:t>plan_material</s:t>
        </s:is>
      </s:c>
      <s:c r="K94" s="15" t="str">
        <s:f>IFERROR(IF(INDEX('C_jama.2025.20765'!$D$2:$D$14,MATCH(C94,'C_jama.2025.20765'!$A$2:$A$14,0))="","",INDEX('C_jama.2025.20765'!$D$2:$D$14,MATCH(C94,'C_jama.2025.20765'!$A$2:$A$14,0))),"")</s:f>
        <s:v>retain</s:v>
      </s:c>
      <s:c r="L94" s="15" t="str">
        <s:f>IFERROR(IF(INDEX('C_jama.2025.20765'!$E$2:$E$14,MATCH(C94,'C_jama.2025.20765'!$A$2:$A$14,0))="","",INDEX('C_jama.2025.20765'!$E$2:$E$14,MATCH(C94,'C_jama.2025.20765'!$A$2:$A$14,0))),"")</s:f>
        <s:v>plan_material</s:v>
      </s:c>
      <s:c r="M94" s="15" t="str">
        <s:f>IFERROR(IF(AND(K94="retain",L94="statistical_results"),IF(INDEX('C_jama.2025.20765'!$H$2:$H$14,MATCH(C94,'C_jama.2025.20765'!$A$2:$A$14,0))="","",INDEX('C_jama.2025.20765'!$H$2:$H$14,MATCH(C94,'C_jama.2025.20765'!$A$2:$A$14,0))),"not_applicable"),"")</s:f>
        <s:v>not_applicable</s:v>
      </s:c>
      <s:c r="N94" s="15" t="str">
        <s:f>IFERROR(IF(AND(K94="retain",L94="statistical_results"),IF(INDEX('C_jama.2025.20765'!$I$2:$I$14,MATCH(C94,'C_jama.2025.20765'!$A$2:$A$14,0))="","",INDEX('C_jama.2025.20765'!$I$2:$I$14,MATCH(C94,'C_jama.2025.20765'!$A$2:$A$14,0))),"not_applicable"),"")</s:f>
        <s:v>not_applicable</s:v>
      </s:c>
      <s:c r="O94" s="15" t="str">
        <s:f>IFERROR(IF(AND(K94="retain",L94="statistical_results"),IF(INDEX('C_jama.2025.20765'!$J$2:$J$14,MATCH(C94,'C_jama.2025.20765'!$A$2:$A$14,0))="","",INDEX('C_jama.2025.20765'!$J$2:$J$14,MATCH(C94,'C_jama.2025.20765'!$A$2:$A$14,0))),"not_applicable"),"")</s:f>
        <s:v>not_applicable</s:v>
      </s:c>
      <s:c r="P94" s="15" t="str">
        <s:f>IFERROR(IF(AND(K94="retain",OR(L94="report_internal_inconsistency",L94="plan_material")),IF(INDEX('C_jama.2025.20765'!$K$2:$K$14,MATCH(C94,'C_jama.2025.20765'!$A$2:$A$14,0))="","",INDEX('C_jama.2025.20765'!$K$2:$K$14,MATCH(C94,'C_jama.2025.20765'!$A$2:$A$14,0))),"not_applicable"),"")</s:f>
        <s:v>substantive_inconsistency</s:v>
      </s:c>
      <s:c r="Q94" s="15" t="str">
        <s:f>IFERROR(IF(AND(K94="retain",L94="protocol_report"),IF(INDEX('C_jama.2025.20765'!$L$2:$L$14,MATCH(C94,'C_jama.2025.20765'!$A$2:$A$14,0))="","",INDEX('C_jama.2025.20765'!$L$2:$L$14,MATCH(C94,'C_jama.2025.20765'!$A$2:$A$14,0))),"not_applicable"),"")</s:f>
        <s:v>not_applicable</s:v>
      </s:c>
      <s:c r="R94" s="15" t="str">
        <s:f>IFERROR(IF(INDEX('C_jama.2025.20765'!$R$2:$R$14,MATCH(C94,'C_jama.2025.20765'!$A$2:$A$14,0))="","",INDEX('C_jama.2025.20765'!$R$2:$R$14,MATCH(C94,'C_jama.2025.20765'!$A$2:$A$14,0))),"")</s:f>
        <s:v>TEST 2025::jama.2025.20765::C008</s:v>
      </s:c>
      <s:c r="S94" s="15" t="str">
        <s:f>IF(Setup!$B$3="","",Setup!$B$3)</s:f>
        <s:v>TEST ONLY</s:v>
      </s:c>
    </s:row>
    <s:row r="95" ht="72" customFormat="1" customHeight="1" s="8">
      <s:c r="A95" s="16" t="n">
        <s:v>2025</s:v>
      </s:c>
      <s:c r="B95" s="16" t="inlineStr">
        <s:is>
          <s:t>jama.2025.20765</s:t>
        </s:is>
      </s:c>
      <s:c r="C95" s="16" t="inlineStr">
        <s:is>
          <s:t>2025::jama.2025.20765::C009</s:t>
        </s:is>
      </s:c>
      <s:c r="D95" s="16" t="inlineStr">
        <s:is>
          <s:t>P_P</s:t>
        </s:is>
      </s:c>
      <s:c r="E95" s="16" t="str">
        <s:f>Setup!$B$4</s:f>
        <s:v>R_A</s:v>
      </s:c>
      <s:c r="F95" s="16" t="str">
        <s:f>IF(Setup!$B$2="","",Setup!$B$2)</s:f>
        <s:v>TEST_REVIEWER</s:v>
      </s:c>
      <s:c r="G95" s="16" t="str">
        <s:f>IFERROR(INDEX('C_jama.2025.20765'!$G$2:$G$14,MATCH(C95,'C_jama.2025.20765'!$A$2:$A$14,0)),"CHECK KEY")</s:f>
        <s:v>PRIMARY READY</s:v>
      </s:c>
      <s:c r="H95" s="16" t="str">
        <s: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s:f>
        <s:v>plan_descriptive</s:v>
      </s:c>
      <s:c r="I95" s="16" t="inlineStr">
        <s:is>
          <s:t>retain</s:t>
        </s:is>
      </s:c>
      <s:c r="J95" s="16" t="inlineStr">
        <s:is>
          <s:t>plan_material</s:t>
        </s:is>
      </s:c>
      <s:c r="K95" s="16" t="str">
        <s:f>IFERROR(IF(INDEX('C_jama.2025.20765'!$D$2:$D$14,MATCH(C95,'C_jama.2025.20765'!$A$2:$A$14,0))="","",INDEX('C_jama.2025.20765'!$D$2:$D$14,MATCH(C95,'C_jama.2025.20765'!$A$2:$A$14,0))),"")</s:f>
        <s:v>retain</s:v>
      </s:c>
      <s:c r="L95" s="16" t="str">
        <s:f>IFERROR(IF(INDEX('C_jama.2025.20765'!$E$2:$E$14,MATCH(C95,'C_jama.2025.20765'!$A$2:$A$14,0))="","",INDEX('C_jama.2025.20765'!$E$2:$E$14,MATCH(C95,'C_jama.2025.20765'!$A$2:$A$14,0))),"")</s:f>
        <s:v>plan_material</s:v>
      </s:c>
      <s:c r="M95" s="16" t="str">
        <s:f>IFERROR(IF(AND(K95="retain",L95="statistical_results"),IF(INDEX('C_jama.2025.20765'!$H$2:$H$14,MATCH(C95,'C_jama.2025.20765'!$A$2:$A$14,0))="","",INDEX('C_jama.2025.20765'!$H$2:$H$14,MATCH(C95,'C_jama.2025.20765'!$A$2:$A$14,0))),"not_applicable"),"")</s:f>
        <s:v>not_applicable</s:v>
      </s:c>
      <s:c r="N95" s="16" t="str">
        <s:f>IFERROR(IF(AND(K95="retain",L95="statistical_results"),IF(INDEX('C_jama.2025.20765'!$I$2:$I$14,MATCH(C95,'C_jama.2025.20765'!$A$2:$A$14,0))="","",INDEX('C_jama.2025.20765'!$I$2:$I$14,MATCH(C95,'C_jama.2025.20765'!$A$2:$A$14,0))),"not_applicable"),"")</s:f>
        <s:v>not_applicable</s:v>
      </s:c>
      <s:c r="O95" s="16" t="str">
        <s:f>IFERROR(IF(AND(K95="retain",L95="statistical_results"),IF(INDEX('C_jama.2025.20765'!$J$2:$J$14,MATCH(C95,'C_jama.2025.20765'!$A$2:$A$14,0))="","",INDEX('C_jama.2025.20765'!$J$2:$J$14,MATCH(C95,'C_jama.2025.20765'!$A$2:$A$14,0))),"not_applicable"),"")</s:f>
        <s:v>not_applicable</s:v>
      </s:c>
      <s:c r="P95" s="16" t="str">
        <s:f>IFERROR(IF(AND(K95="retain",OR(L95="report_internal_inconsistency",L95="plan_material")),IF(INDEX('C_jama.2025.20765'!$K$2:$K$14,MATCH(C95,'C_jama.2025.20765'!$A$2:$A$14,0))="","",INDEX('C_jama.2025.20765'!$K$2:$K$14,MATCH(C95,'C_jama.2025.20765'!$A$2:$A$14,0))),"not_applicable"),"")</s:f>
        <s:v>substantive_inconsistency</s:v>
      </s:c>
      <s:c r="Q95" s="16" t="str">
        <s:f>IFERROR(IF(AND(K95="retain",L95="protocol_report"),IF(INDEX('C_jama.2025.20765'!$L$2:$L$14,MATCH(C95,'C_jama.2025.20765'!$A$2:$A$14,0))="","",INDEX('C_jama.2025.20765'!$L$2:$L$14,MATCH(C95,'C_jama.2025.20765'!$A$2:$A$14,0))),"not_applicable"),"")</s:f>
        <s:v>not_applicable</s:v>
      </s:c>
      <s:c r="R95" s="16" t="str">
        <s:f>IFERROR(IF(INDEX('C_jama.2025.20765'!$R$2:$R$14,MATCH(C95,'C_jama.2025.20765'!$A$2:$A$14,0))="","",INDEX('C_jama.2025.20765'!$R$2:$R$14,MATCH(C95,'C_jama.2025.20765'!$A$2:$A$14,0))),"")</s:f>
        <s:v>TEST 2025::jama.2025.20765::C009</s:v>
      </s:c>
      <s:c r="S95" s="16" t="str">
        <s:f>IF(Setup!$B$3="","",Setup!$B$3)</s:f>
        <s:v>TEST ONLY</s:v>
      </s:c>
    </s:row>
    <s:row r="96" ht="72" customFormat="1" customHeight="1" s="8">
      <s:c r="A96" s="15" t="n">
        <s:v>2025</s:v>
      </s:c>
      <s:c r="B96" s="15" t="inlineStr">
        <s:is>
          <s:t>jama.2025.20765</s:t>
        </s:is>
      </s:c>
      <s:c r="C96" s="15" t="inlineStr">
        <s:is>
          <s:t>2025::jama.2025.20765::C010</s:t>
        </s:is>
      </s:c>
      <s:c r="D96" s="15" t="inlineStr">
        <s:is>
          <s:t>P_P</s:t>
        </s:is>
      </s:c>
      <s:c r="E96" s="15" t="str">
        <s:f>Setup!$B$4</s:f>
        <s:v>R_A</s:v>
      </s:c>
      <s:c r="F96" s="15" t="str">
        <s:f>IF(Setup!$B$2="","",Setup!$B$2)</s:f>
        <s:v>TEST_REVIEWER</s:v>
      </s:c>
      <s:c r="G96" s="15" t="str">
        <s:f>IFERROR(INDEX('C_jama.2025.20765'!$G$2:$G$14,MATCH(C96,'C_jama.2025.20765'!$A$2:$A$14,0)),"CHECK KEY")</s:f>
        <s:v>PRIMARY READY</s:v>
      </s:c>
      <s:c r="H96" s="15" t="str">
        <s: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s:f>
        <s:v>plan_descriptive</s:v>
      </s:c>
      <s:c r="I96" s="15" t="inlineStr">
        <s:is>
          <s:t>retain</s:t>
        </s:is>
      </s:c>
      <s:c r="J96" s="15" t="inlineStr">
        <s:is>
          <s:t>plan_material</s:t>
        </s:is>
      </s:c>
      <s:c r="K96" s="15" t="str">
        <s:f>IFERROR(IF(INDEX('C_jama.2025.20765'!$D$2:$D$14,MATCH(C96,'C_jama.2025.20765'!$A$2:$A$14,0))="","",INDEX('C_jama.2025.20765'!$D$2:$D$14,MATCH(C96,'C_jama.2025.20765'!$A$2:$A$14,0))),"")</s:f>
        <s:v>retain</s:v>
      </s:c>
      <s:c r="L96" s="15" t="str">
        <s:f>IFERROR(IF(INDEX('C_jama.2025.20765'!$E$2:$E$14,MATCH(C96,'C_jama.2025.20765'!$A$2:$A$14,0))="","",INDEX('C_jama.2025.20765'!$E$2:$E$14,MATCH(C96,'C_jama.2025.20765'!$A$2:$A$14,0))),"")</s:f>
        <s:v>plan_material</s:v>
      </s:c>
      <s:c r="M96" s="15" t="str">
        <s:f>IFERROR(IF(AND(K96="retain",L96="statistical_results"),IF(INDEX('C_jama.2025.20765'!$H$2:$H$14,MATCH(C96,'C_jama.2025.20765'!$A$2:$A$14,0))="","",INDEX('C_jama.2025.20765'!$H$2:$H$14,MATCH(C96,'C_jama.2025.20765'!$A$2:$A$14,0))),"not_applicable"),"")</s:f>
        <s:v>not_applicable</s:v>
      </s:c>
      <s:c r="N96" s="15" t="str">
        <s:f>IFERROR(IF(AND(K96="retain",L96="statistical_results"),IF(INDEX('C_jama.2025.20765'!$I$2:$I$14,MATCH(C96,'C_jama.2025.20765'!$A$2:$A$14,0))="","",INDEX('C_jama.2025.20765'!$I$2:$I$14,MATCH(C96,'C_jama.2025.20765'!$A$2:$A$14,0))),"not_applicable"),"")</s:f>
        <s:v>not_applicable</s:v>
      </s:c>
      <s:c r="O96" s="15" t="str">
        <s:f>IFERROR(IF(AND(K96="retain",L96="statistical_results"),IF(INDEX('C_jama.2025.20765'!$J$2:$J$14,MATCH(C96,'C_jama.2025.20765'!$A$2:$A$14,0))="","",INDEX('C_jama.2025.20765'!$J$2:$J$14,MATCH(C96,'C_jama.2025.20765'!$A$2:$A$14,0))),"not_applicable"),"")</s:f>
        <s:v>not_applicable</s:v>
      </s:c>
      <s:c r="P96" s="15" t="str">
        <s:f>IFERROR(IF(AND(K96="retain",OR(L96="report_internal_inconsistency",L96="plan_material")),IF(INDEX('C_jama.2025.20765'!$K$2:$K$14,MATCH(C96,'C_jama.2025.20765'!$A$2:$A$14,0))="","",INDEX('C_jama.2025.20765'!$K$2:$K$14,MATCH(C96,'C_jama.2025.20765'!$A$2:$A$14,0))),"not_applicable"),"")</s:f>
        <s:v>substantive_inconsistency</s:v>
      </s:c>
      <s:c r="Q96" s="15" t="str">
        <s:f>IFERROR(IF(AND(K96="retain",L96="protocol_report"),IF(INDEX('C_jama.2025.20765'!$L$2:$L$14,MATCH(C96,'C_jama.2025.20765'!$A$2:$A$14,0))="","",INDEX('C_jama.2025.20765'!$L$2:$L$14,MATCH(C96,'C_jama.2025.20765'!$A$2:$A$14,0))),"not_applicable"),"")</s:f>
        <s:v>not_applicable</s:v>
      </s:c>
      <s:c r="R96" s="15" t="str">
        <s:f>IFERROR(IF(INDEX('C_jama.2025.20765'!$R$2:$R$14,MATCH(C96,'C_jama.2025.20765'!$A$2:$A$14,0))="","",INDEX('C_jama.2025.20765'!$R$2:$R$14,MATCH(C96,'C_jama.2025.20765'!$A$2:$A$14,0))),"")</s:f>
        <s:v>TEST 2025::jama.2025.20765::C010</s:v>
      </s:c>
      <s:c r="S96" s="15" t="str">
        <s:f>IF(Setup!$B$3="","",Setup!$B$3)</s:f>
        <s:v>TEST ONLY</s:v>
      </s:c>
    </s:row>
    <s:row r="97" ht="72" customFormat="1" customHeight="1" s="8">
      <s:c r="A97" s="16" t="n">
        <s:v>2025</s:v>
      </s:c>
      <s:c r="B97" s="16" t="inlineStr">
        <s:is>
          <s:t>jama.2025.20765</s:t>
        </s:is>
      </s:c>
      <s:c r="C97" s="16" t="inlineStr">
        <s:is>
          <s:t>2025::jama.2025.20765::C011</s:t>
        </s:is>
      </s:c>
      <s:c r="D97" s="16" t="inlineStr">
        <s:is>
          <s:t>P_P</s:t>
        </s:is>
      </s:c>
      <s:c r="E97" s="16" t="str">
        <s:f>Setup!$B$4</s:f>
        <s:v>R_A</s:v>
      </s:c>
      <s:c r="F97" s="16" t="str">
        <s:f>IF(Setup!$B$2="","",Setup!$B$2)</s:f>
        <s:v>TEST_REVIEWER</s:v>
      </s:c>
      <s:c r="G97" s="16" t="str">
        <s:f>IFERROR(INDEX('C_jama.2025.20765'!$G$2:$G$14,MATCH(C97,'C_jama.2025.20765'!$A$2:$A$14,0)),"CHECK KEY")</s:f>
        <s:v>PRIMARY READY</s:v>
      </s:c>
      <s:c r="H97" s="16" t="str">
        <s: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s:f>
        <s:v>plan_descriptive</s:v>
      </s:c>
      <s:c r="I97" s="16" t="inlineStr">
        <s:is>
          <s:t>retain</s:t>
        </s:is>
      </s:c>
      <s:c r="J97" s="16" t="inlineStr">
        <s:is>
          <s:t>plan_material</s:t>
        </s:is>
      </s:c>
      <s:c r="K97" s="16" t="str">
        <s:f>IFERROR(IF(INDEX('C_jama.2025.20765'!$D$2:$D$14,MATCH(C97,'C_jama.2025.20765'!$A$2:$A$14,0))="","",INDEX('C_jama.2025.20765'!$D$2:$D$14,MATCH(C97,'C_jama.2025.20765'!$A$2:$A$14,0))),"")</s:f>
        <s:v>retain</s:v>
      </s:c>
      <s:c r="L97" s="16" t="str">
        <s:f>IFERROR(IF(INDEX('C_jama.2025.20765'!$E$2:$E$14,MATCH(C97,'C_jama.2025.20765'!$A$2:$A$14,0))="","",INDEX('C_jama.2025.20765'!$E$2:$E$14,MATCH(C97,'C_jama.2025.20765'!$A$2:$A$14,0))),"")</s:f>
        <s:v>plan_material</s:v>
      </s:c>
      <s:c r="M97" s="16" t="str">
        <s:f>IFERROR(IF(AND(K97="retain",L97="statistical_results"),IF(INDEX('C_jama.2025.20765'!$H$2:$H$14,MATCH(C97,'C_jama.2025.20765'!$A$2:$A$14,0))="","",INDEX('C_jama.2025.20765'!$H$2:$H$14,MATCH(C97,'C_jama.2025.20765'!$A$2:$A$14,0))),"not_applicable"),"")</s:f>
        <s:v>not_applicable</s:v>
      </s:c>
      <s:c r="N97" s="16" t="str">
        <s:f>IFERROR(IF(AND(K97="retain",L97="statistical_results"),IF(INDEX('C_jama.2025.20765'!$I$2:$I$14,MATCH(C97,'C_jama.2025.20765'!$A$2:$A$14,0))="","",INDEX('C_jama.2025.20765'!$I$2:$I$14,MATCH(C97,'C_jama.2025.20765'!$A$2:$A$14,0))),"not_applicable"),"")</s:f>
        <s:v>not_applicable</s:v>
      </s:c>
      <s:c r="O97" s="16" t="str">
        <s:f>IFERROR(IF(AND(K97="retain",L97="statistical_results"),IF(INDEX('C_jama.2025.20765'!$J$2:$J$14,MATCH(C97,'C_jama.2025.20765'!$A$2:$A$14,0))="","",INDEX('C_jama.2025.20765'!$J$2:$J$14,MATCH(C97,'C_jama.2025.20765'!$A$2:$A$14,0))),"not_applicable"),"")</s:f>
        <s:v>not_applicable</s:v>
      </s:c>
      <s:c r="P97" s="16" t="str">
        <s:f>IFERROR(IF(AND(K97="retain",OR(L97="report_internal_inconsistency",L97="plan_material")),IF(INDEX('C_jama.2025.20765'!$K$2:$K$14,MATCH(C97,'C_jama.2025.20765'!$A$2:$A$14,0))="","",INDEX('C_jama.2025.20765'!$K$2:$K$14,MATCH(C97,'C_jama.2025.20765'!$A$2:$A$14,0))),"not_applicable"),"")</s:f>
        <s:v>substantive_inconsistency</s:v>
      </s:c>
      <s:c r="Q97" s="16" t="str">
        <s:f>IFERROR(IF(AND(K97="retain",L97="protocol_report"),IF(INDEX('C_jama.2025.20765'!$L$2:$L$14,MATCH(C97,'C_jama.2025.20765'!$A$2:$A$14,0))="","",INDEX('C_jama.2025.20765'!$L$2:$L$14,MATCH(C97,'C_jama.2025.20765'!$A$2:$A$14,0))),"not_applicable"),"")</s:f>
        <s:v>not_applicable</s:v>
      </s:c>
      <s:c r="R97" s="16" t="str">
        <s:f>IFERROR(IF(INDEX('C_jama.2025.20765'!$R$2:$R$14,MATCH(C97,'C_jama.2025.20765'!$A$2:$A$14,0))="","",INDEX('C_jama.2025.20765'!$R$2:$R$14,MATCH(C97,'C_jama.2025.20765'!$A$2:$A$14,0))),"")</s:f>
        <s:v>TEST 2025::jama.2025.20765::C011</s:v>
      </s:c>
      <s:c r="S97" s="16" t="str">
        <s:f>IF(Setup!$B$3="","",Setup!$B$3)</s:f>
        <s:v>TEST ONLY</s:v>
      </s:c>
    </s:row>
    <s:row r="98" ht="72" customFormat="1" customHeight="1" s="8">
      <s:c r="A98" s="15" t="n">
        <s:v>2025</s:v>
      </s:c>
      <s:c r="B98" s="15" t="inlineStr">
        <s:is>
          <s:t>jama.2025.20765</s:t>
        </s:is>
      </s:c>
      <s:c r="C98" s="15" t="inlineStr">
        <s:is>
          <s:t>2025::jama.2025.20765::C012</s:t>
        </s:is>
      </s:c>
      <s:c r="D98" s="15" t="inlineStr">
        <s:is>
          <s:t>S_W</s:t>
        </s:is>
      </s:c>
      <s:c r="E98" s="15" t="str">
        <s:f>Setup!$B$4</s:f>
        <s:v>R_A</s:v>
      </s:c>
      <s:c r="F98" s="15" t="str">
        <s:f>IF(Setup!$B$2="","",Setup!$B$2)</s:f>
        <s:v>TEST_REVIEWER</s:v>
      </s:c>
      <s:c r="G98" s="15" t="str">
        <s:f>IFERROR(INDEX('C_jama.2025.20765'!$G$2:$G$14,MATCH(C98,'C_jama.2025.20765'!$A$2:$A$14,0)),"CHECK KEY")</s:f>
        <s:v>PRIMARY READY</s:v>
      </s:c>
      <s:c r="H98" s="15" t="str">
        <s: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s:f>
        <s:v>primary_temporal</s:v>
      </s:c>
      <s:c r="I98" s="15" t="inlineStr">
        <s:is>
          <s:t>retain</s:t>
        </s:is>
      </s:c>
      <s:c r="J98" s="15" t="inlineStr">
        <s:is>
          <s:t>statistical_results</s:t>
        </s:is>
      </s:c>
      <s:c r="K98" s="15" t="str">
        <s:f>IFERROR(IF(INDEX('C_jama.2025.20765'!$D$2:$D$14,MATCH(C98,'C_jama.2025.20765'!$A$2:$A$14,0))="","",INDEX('C_jama.2025.20765'!$D$2:$D$14,MATCH(C98,'C_jama.2025.20765'!$A$2:$A$14,0))),"")</s:f>
        <s:v>retain</s:v>
      </s:c>
      <s:c r="L98" s="15" t="str">
        <s:f>IFERROR(IF(INDEX('C_jama.2025.20765'!$E$2:$E$14,MATCH(C98,'C_jama.2025.20765'!$A$2:$A$14,0))="","",INDEX('C_jama.2025.20765'!$E$2:$E$14,MATCH(C98,'C_jama.2025.20765'!$A$2:$A$14,0))),"")</s:f>
        <s:v>statistical_results</s:v>
      </s:c>
      <s:c r="M98" s="15" t="str">
        <s:f>IFERROR(IF(AND(K98="retain",L98="statistical_results"),IF(INDEX('C_jama.2025.20765'!$H$2:$H$14,MATCH(C98,'C_jama.2025.20765'!$A$2:$A$14,0))="","",INDEX('C_jama.2025.20765'!$H$2:$H$14,MATCH(C98,'C_jama.2025.20765'!$A$2:$A$14,0))),"not_applicable"),"")</s:f>
        <s:v>confirmed_issue</s:v>
      </s:c>
      <s:c r="N98" s="15" t="str">
        <s:f>IFERROR(IF(AND(K98="retain",L98="statistical_results"),IF(INDEX('C_jama.2025.20765'!$I$2:$I$14,MATCH(C98,'C_jama.2025.20765'!$A$2:$A$14,0))="","",INDEX('C_jama.2025.20765'!$I$2:$I$14,MATCH(C98,'C_jama.2025.20765'!$A$2:$A$14,0))),"not_applicable"),"")</s:f>
        <s:v>substantive</s:v>
      </s:c>
      <s:c r="O98" s="15" t="str">
        <s:f>IFERROR(IF(AND(K98="retain",L98="statistical_results"),IF(INDEX('C_jama.2025.20765'!$J$2:$J$14,MATCH(C98,'C_jama.2025.20765'!$A$2:$A$14,0))="","",INDEX('C_jama.2025.20765'!$J$2:$J$14,MATCH(C98,'C_jama.2025.20765'!$A$2:$A$14,0))),"not_applicable"),"")</s:f>
        <s:v/>
      </s:c>
      <s:c r="P98" s="15" t="str">
        <s:f>IFERROR(IF(AND(K98="retain",OR(L98="report_internal_inconsistency",L98="plan_material")),IF(INDEX('C_jama.2025.20765'!$K$2:$K$14,MATCH(C98,'C_jama.2025.20765'!$A$2:$A$14,0))="","",INDEX('C_jama.2025.20765'!$K$2:$K$14,MATCH(C98,'C_jama.2025.20765'!$A$2:$A$14,0))),"not_applicable"),"")</s:f>
        <s:v>not_applicable</s:v>
      </s:c>
      <s:c r="Q98" s="15" t="str">
        <s:f>IFERROR(IF(AND(K98="retain",L98="protocol_report"),IF(INDEX('C_jama.2025.20765'!$L$2:$L$14,MATCH(C98,'C_jama.2025.20765'!$A$2:$A$14,0))="","",INDEX('C_jama.2025.20765'!$L$2:$L$14,MATCH(C98,'C_jama.2025.20765'!$A$2:$A$14,0))),"not_applicable"),"")</s:f>
        <s:v>not_applicable</s:v>
      </s:c>
      <s:c r="R98" s="15" t="str">
        <s:f>IFERROR(IF(INDEX('C_jama.2025.20765'!$R$2:$R$14,MATCH(C98,'C_jama.2025.20765'!$A$2:$A$14,0))="","",INDEX('C_jama.2025.20765'!$R$2:$R$14,MATCH(C98,'C_jama.2025.20765'!$A$2:$A$14,0))),"")</s:f>
        <s:v>TEST 2025::jama.2025.20765::C012</s:v>
      </s:c>
      <s:c r="S98" s="15" t="str">
        <s:f>IF(Setup!$B$3="","",Setup!$B$3)</s:f>
        <s:v>TEST ONLY</s:v>
      </s:c>
    </s:row>
    <s:row r="99" ht="72" customFormat="1" customHeight="1" s="8">
      <s:c r="A99" s="16" t="n">
        <s:v>2025</s:v>
      </s:c>
      <s:c r="B99" s="16" t="inlineStr">
        <s:is>
          <s:t>jama.2025.20765</s:t>
        </s:is>
      </s:c>
      <s:c r="C99" s="16" t="inlineStr">
        <s:is>
          <s:t>2025::jama.2025.20765::C013</s:t>
        </s:is>
      </s:c>
      <s:c r="D99" s="16" t="inlineStr">
        <s:is>
          <s:t>P_R</s:t>
        </s:is>
      </s:c>
      <s:c r="E99" s="16" t="str">
        <s:f>Setup!$B$4</s:f>
        <s:v>R_A</s:v>
      </s:c>
      <s:c r="F99" s="16" t="str">
        <s:f>IF(Setup!$B$2="","",Setup!$B$2)</s:f>
        <s:v>TEST_REVIEWER</s:v>
      </s:c>
      <s:c r="G99" s="16" t="str">
        <s:f>IFERROR(INDEX('C_jama.2025.20765'!$G$2:$G$14,MATCH(C99,'C_jama.2025.20765'!$A$2:$A$14,0)),"CHECK KEY")</s:f>
        <s:v>PRIMARY READY</s:v>
      </s:c>
      <s:c r="H99" s="16" t="str">
        <s: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s:f>
        <s:v>protocol_descriptive</s:v>
      </s:c>
      <s:c r="I99" s="16" t="inlineStr">
        <s:is>
          <s:t>retain</s:t>
        </s:is>
      </s:c>
      <s:c r="J99" s="16" t="inlineStr">
        <s:is>
          <s:t>protocol_report</s:t>
        </s:is>
      </s:c>
      <s:c r="K99" s="16" t="str">
        <s:f>IFERROR(IF(INDEX('C_jama.2025.20765'!$D$2:$D$14,MATCH(C99,'C_jama.2025.20765'!$A$2:$A$14,0))="","",INDEX('C_jama.2025.20765'!$D$2:$D$14,MATCH(C99,'C_jama.2025.20765'!$A$2:$A$14,0))),"")</s:f>
        <s:v>retain</s:v>
      </s:c>
      <s:c r="L99" s="16" t="str">
        <s:f>IFERROR(IF(INDEX('C_jama.2025.20765'!$E$2:$E$14,MATCH(C99,'C_jama.2025.20765'!$A$2:$A$14,0))="","",INDEX('C_jama.2025.20765'!$E$2:$E$14,MATCH(C99,'C_jama.2025.20765'!$A$2:$A$14,0))),"")</s:f>
        <s:v>protocol_report</s:v>
      </s:c>
      <s:c r="M99" s="16" t="str">
        <s:f>IFERROR(IF(AND(K99="retain",L99="statistical_results"),IF(INDEX('C_jama.2025.20765'!$H$2:$H$14,MATCH(C99,'C_jama.2025.20765'!$A$2:$A$14,0))="","",INDEX('C_jama.2025.20765'!$H$2:$H$14,MATCH(C99,'C_jama.2025.20765'!$A$2:$A$14,0))),"not_applicable"),"")</s:f>
        <s:v>not_applicable</s:v>
      </s:c>
      <s:c r="N99" s="16" t="str">
        <s:f>IFERROR(IF(AND(K99="retain",L99="statistical_results"),IF(INDEX('C_jama.2025.20765'!$I$2:$I$14,MATCH(C99,'C_jama.2025.20765'!$A$2:$A$14,0))="","",INDEX('C_jama.2025.20765'!$I$2:$I$14,MATCH(C99,'C_jama.2025.20765'!$A$2:$A$14,0))),"not_applicable"),"")</s:f>
        <s:v>not_applicable</s:v>
      </s:c>
      <s:c r="O99" s="16" t="str">
        <s:f>IFERROR(IF(AND(K99="retain",L99="statistical_results"),IF(INDEX('C_jama.2025.20765'!$J$2:$J$14,MATCH(C99,'C_jama.2025.20765'!$A$2:$A$14,0))="","",INDEX('C_jama.2025.20765'!$J$2:$J$14,MATCH(C99,'C_jama.2025.20765'!$A$2:$A$14,0))),"not_applicable"),"")</s:f>
        <s:v>not_applicable</s:v>
      </s:c>
      <s:c r="P99" s="16" t="str">
        <s:f>IFERROR(IF(AND(K99="retain",OR(L99="report_internal_inconsistency",L99="plan_material")),IF(INDEX('C_jama.2025.20765'!$K$2:$K$14,MATCH(C99,'C_jama.2025.20765'!$A$2:$A$14,0))="","",INDEX('C_jama.2025.20765'!$K$2:$K$14,MATCH(C99,'C_jama.2025.20765'!$A$2:$A$14,0))),"not_applicable"),"")</s:f>
        <s:v>not_applicable</s:v>
      </s:c>
      <s:c r="Q99" s="16" t="str">
        <s:f>IFERROR(IF(AND(K99="retain",L99="protocol_report"),IF(INDEX('C_jama.2025.20765'!$L$2:$L$14,MATCH(C99,'C_jama.2025.20765'!$A$2:$A$14,0))="","",INDEX('C_jama.2025.20765'!$L$2:$L$14,MATCH(C99,'C_jama.2025.20765'!$A$2:$A$14,0))),"not_applicable"),"")</s:f>
        <s:v/>
      </s:c>
      <s:c r="R99" s="16" t="str">
        <s:f>IFERROR(IF(INDEX('C_jama.2025.20765'!$R$2:$R$14,MATCH(C99,'C_jama.2025.20765'!$A$2:$A$14,0))="","",INDEX('C_jama.2025.20765'!$R$2:$R$14,MATCH(C99,'C_jama.2025.20765'!$A$2:$A$14,0))),"")</s:f>
        <s:v>TEST 2025::jama.2025.20765::C013</s:v>
      </s:c>
      <s:c r="S99" s="16" t="str">
        <s:f>IF(Setup!$B$3="","",Setup!$B$3)</s:f>
        <s:v>TEST ONLY</s:v>
      </s:c>
    </s:row>
    <s:row r="100" ht="72" customFormat="1" customHeight="1" s="8">
      <s:c r="A100" s="15" t="n">
        <s:v>2025</s:v>
      </s:c>
      <s:c r="B100" s="15" t="inlineStr">
        <s:is>
          <s:t>jama.2025.24175</s:t>
        </s:is>
      </s:c>
      <s:c r="C100" s="15" t="inlineStr">
        <s:is>
          <s:t>2025::jama.2025.24175::C001</s:t>
        </s:is>
      </s:c>
      <s:c r="D100" s="15" t="inlineStr">
        <s:is>
          <s:t>S_W</s:t>
        </s:is>
      </s:c>
      <s:c r="E100" s="15" t="str">
        <s:f>Setup!$B$4</s:f>
        <s:v>R_A</s:v>
      </s:c>
      <s:c r="F100" s="15" t="str">
        <s:f>IF(Setup!$B$2="","",Setup!$B$2)</s:f>
        <s:v>TEST_REVIEWER</s:v>
      </s:c>
      <s:c r="G100" s="15" t="str">
        <s:f>IFERROR(INDEX('C_jama.2025.24175'!$G$2:$G$15,MATCH(C100,'C_jama.2025.24175'!$A$2:$A$15,0)),"CHECK KEY")</s:f>
        <s:v>PRIMARY READY</s:v>
      </s:c>
      <s:c r="H100" s="15" t="str">
        <s: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s:f>
        <s:v>secondary_temporal</s:v>
      </s:c>
      <s:c r="I100" s="15" t="inlineStr">
        <s:is>
          <s:t>retain</s:t>
        </s:is>
      </s:c>
      <s:c r="J100" s="15" t="inlineStr">
        <s:is>
          <s:t>report_internal_inconsistency</s:t>
        </s:is>
      </s:c>
      <s:c r="K100" s="15" t="str">
        <s:f>IFERROR(IF(INDEX('C_jama.2025.24175'!$D$2:$D$15,MATCH(C100,'C_jama.2025.24175'!$A$2:$A$15,0))="","",INDEX('C_jama.2025.24175'!$D$2:$D$15,MATCH(C100,'C_jama.2025.24175'!$A$2:$A$15,0))),"")</s:f>
        <s:v>retain</s:v>
      </s:c>
      <s:c r="L100" s="15" t="str">
        <s:f>IFERROR(IF(INDEX('C_jama.2025.24175'!$E$2:$E$15,MATCH(C100,'C_jama.2025.24175'!$A$2:$A$15,0))="","",INDEX('C_jama.2025.24175'!$E$2:$E$15,MATCH(C100,'C_jama.2025.24175'!$A$2:$A$15,0))),"")</s:f>
        <s:v>report_internal_inconsistency</s:v>
      </s:c>
      <s:c r="M100" s="15" t="str">
        <s:f>IFERROR(IF(AND(K100="retain",L100="statistical_results"),IF(INDEX('C_jama.2025.24175'!$H$2:$H$15,MATCH(C100,'C_jama.2025.24175'!$A$2:$A$15,0))="","",INDEX('C_jama.2025.24175'!$H$2:$H$15,MATCH(C100,'C_jama.2025.24175'!$A$2:$A$15,0))),"not_applicable"),"")</s:f>
        <s:v>not_applicable</s:v>
      </s:c>
      <s:c r="N100" s="15" t="str">
        <s:f>IFERROR(IF(AND(K100="retain",L100="statistical_results"),IF(INDEX('C_jama.2025.24175'!$I$2:$I$15,MATCH(C100,'C_jama.2025.24175'!$A$2:$A$15,0))="","",INDEX('C_jama.2025.24175'!$I$2:$I$15,MATCH(C100,'C_jama.2025.24175'!$A$2:$A$15,0))),"not_applicable"),"")</s:f>
        <s:v>not_applicable</s:v>
      </s:c>
      <s:c r="O100" s="15" t="str">
        <s:f>IFERROR(IF(AND(K100="retain",L100="statistical_results"),IF(INDEX('C_jama.2025.24175'!$J$2:$J$15,MATCH(C100,'C_jama.2025.24175'!$A$2:$A$15,0))="","",INDEX('C_jama.2025.24175'!$J$2:$J$15,MATCH(C100,'C_jama.2025.24175'!$A$2:$A$15,0))),"not_applicable"),"")</s:f>
        <s:v>not_applicable</s:v>
      </s:c>
      <s:c r="P100" s="15" t="str">
        <s:f>IFERROR(IF(AND(K100="retain",OR(L100="report_internal_inconsistency",L100="plan_material")),IF(INDEX('C_jama.2025.24175'!$K$2:$K$15,MATCH(C100,'C_jama.2025.24175'!$A$2:$A$15,0))="","",INDEX('C_jama.2025.24175'!$K$2:$K$15,MATCH(C100,'C_jama.2025.24175'!$A$2:$A$15,0))),"not_applicable"),"")</s:f>
        <s:v>substantive_inconsistency</s:v>
      </s:c>
      <s:c r="Q100" s="15" t="str">
        <s:f>IFERROR(IF(AND(K100="retain",L100="protocol_report"),IF(INDEX('C_jama.2025.24175'!$L$2:$L$15,MATCH(C100,'C_jama.2025.24175'!$A$2:$A$15,0))="","",INDEX('C_jama.2025.24175'!$L$2:$L$15,MATCH(C100,'C_jama.2025.24175'!$A$2:$A$15,0))),"not_applicable"),"")</s:f>
        <s:v>not_applicable</s:v>
      </s:c>
      <s:c r="R100" s="15" t="str">
        <s:f>IFERROR(IF(INDEX('C_jama.2025.24175'!$R$2:$R$15,MATCH(C100,'C_jama.2025.24175'!$A$2:$A$15,0))="","",INDEX('C_jama.2025.24175'!$R$2:$R$15,MATCH(C100,'C_jama.2025.24175'!$A$2:$A$15,0))),"")</s:f>
        <s:v>TEST 2025::jama.2025.24175::C001</s:v>
      </s:c>
      <s:c r="S100" s="15" t="str">
        <s:f>IF(Setup!$B$3="","",Setup!$B$3)</s:f>
        <s:v>TEST ONLY</s:v>
      </s:c>
    </s:row>
    <s:row r="101" ht="72" customFormat="1" customHeight="1" s="8">
      <s:c r="A101" s="16" t="n">
        <s:v>2025</s:v>
      </s:c>
      <s:c r="B101" s="16" t="inlineStr">
        <s:is>
          <s:t>jama.2025.24175</s:t>
        </s:is>
      </s:c>
      <s:c r="C101" s="16" t="inlineStr">
        <s:is>
          <s:t>2025::jama.2025.24175::C002</s:t>
        </s:is>
      </s:c>
      <s:c r="D101" s="16" t="inlineStr">
        <s:is>
          <s:t>P_R</s:t>
        </s:is>
      </s:c>
      <s:c r="E101" s="16" t="str">
        <s:f>Setup!$B$4</s:f>
        <s:v>R_A</s:v>
      </s:c>
      <s:c r="F101" s="16" t="str">
        <s:f>IF(Setup!$B$2="","",Setup!$B$2)</s:f>
        <s:v>TEST_REVIEWER</s:v>
      </s:c>
      <s:c r="G101" s="16" t="str">
        <s:f>IFERROR(INDEX('C_jama.2025.24175'!$G$2:$G$15,MATCH(C101,'C_jama.2025.24175'!$A$2:$A$15,0)),"CHECK KEY")</s:f>
        <s:v>PRIMARY READY</s:v>
      </s:c>
      <s:c r="H101" s="16" t="str">
        <s: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s:f>
        <s:v>protocol_descriptive</s:v>
      </s:c>
      <s:c r="I101" s="16" t="inlineStr">
        <s:is>
          <s:t>exclude</s:t>
        </s:is>
      </s:c>
      <s:c r="J101" s="16" t="inlineStr">
        <s:is>
          <s:t>protocol_report</s:t>
        </s:is>
      </s:c>
      <s:c r="K101" s="16" t="str">
        <s:f>IFERROR(IF(INDEX('C_jama.2025.24175'!$D$2:$D$15,MATCH(C101,'C_jama.2025.24175'!$A$2:$A$15,0))="","",INDEX('C_jama.2025.24175'!$D$2:$D$15,MATCH(C101,'C_jama.2025.24175'!$A$2:$A$15,0))),"")</s:f>
        <s:v>retain</s:v>
      </s:c>
      <s:c r="L101" s="16" t="str">
        <s:f>IFERROR(IF(INDEX('C_jama.2025.24175'!$E$2:$E$15,MATCH(C101,'C_jama.2025.24175'!$A$2:$A$15,0))="","",INDEX('C_jama.2025.24175'!$E$2:$E$15,MATCH(C101,'C_jama.2025.24175'!$A$2:$A$15,0))),"")</s:f>
        <s:v>protocol_report</s:v>
      </s:c>
      <s:c r="M101" s="16" t="str">
        <s:f>IFERROR(IF(AND(K101="retain",L101="statistical_results"),IF(INDEX('C_jama.2025.24175'!$H$2:$H$15,MATCH(C101,'C_jama.2025.24175'!$A$2:$A$15,0))="","",INDEX('C_jama.2025.24175'!$H$2:$H$15,MATCH(C101,'C_jama.2025.24175'!$A$2:$A$15,0))),"not_applicable"),"")</s:f>
        <s:v>not_applicable</s:v>
      </s:c>
      <s:c r="N101" s="16" t="str">
        <s:f>IFERROR(IF(AND(K101="retain",L101="statistical_results"),IF(INDEX('C_jama.2025.24175'!$I$2:$I$15,MATCH(C101,'C_jama.2025.24175'!$A$2:$A$15,0))="","",INDEX('C_jama.2025.24175'!$I$2:$I$15,MATCH(C101,'C_jama.2025.24175'!$A$2:$A$15,0))),"not_applicable"),"")</s:f>
        <s:v>not_applicable</s:v>
      </s:c>
      <s:c r="O101" s="16" t="str">
        <s:f>IFERROR(IF(AND(K101="retain",L101="statistical_results"),IF(INDEX('C_jama.2025.24175'!$J$2:$J$15,MATCH(C101,'C_jama.2025.24175'!$A$2:$A$15,0))="","",INDEX('C_jama.2025.24175'!$J$2:$J$15,MATCH(C101,'C_jama.2025.24175'!$A$2:$A$15,0))),"not_applicable"),"")</s:f>
        <s:v>not_applicable</s:v>
      </s:c>
      <s:c r="P101" s="16" t="str">
        <s:f>IFERROR(IF(AND(K101="retain",OR(L101="report_internal_inconsistency",L101="plan_material")),IF(INDEX('C_jama.2025.24175'!$K$2:$K$15,MATCH(C101,'C_jama.2025.24175'!$A$2:$A$15,0))="","",INDEX('C_jama.2025.24175'!$K$2:$K$15,MATCH(C101,'C_jama.2025.24175'!$A$2:$A$15,0))),"not_applicable"),"")</s:f>
        <s:v>not_applicable</s:v>
      </s:c>
      <s:c r="Q101" s="16" t="str">
        <s:f>IFERROR(IF(AND(K101="retain",L101="protocol_report"),IF(INDEX('C_jama.2025.24175'!$L$2:$L$15,MATCH(C101,'C_jama.2025.24175'!$A$2:$A$15,0))="","",INDEX('C_jama.2025.24175'!$L$2:$L$15,MATCH(C101,'C_jama.2025.24175'!$A$2:$A$15,0))),"not_applicable"),"")</s:f>
        <s:v/>
      </s:c>
      <s:c r="R101" s="16" t="str">
        <s:f>IFERROR(IF(INDEX('C_jama.2025.24175'!$R$2:$R$15,MATCH(C101,'C_jama.2025.24175'!$A$2:$A$15,0))="","",INDEX('C_jama.2025.24175'!$R$2:$R$15,MATCH(C101,'C_jama.2025.24175'!$A$2:$A$15,0))),"")</s:f>
        <s:v>TEST 2025::jama.2025.24175::C002</s:v>
      </s:c>
      <s:c r="S101" s="16" t="str">
        <s:f>IF(Setup!$B$3="","",Setup!$B$3)</s:f>
        <s:v>TEST ONLY</s:v>
      </s:c>
    </s:row>
    <s:row r="102" ht="72" customFormat="1" customHeight="1" s="8">
      <s:c r="A102" s="15" t="n">
        <s:v>2025</s:v>
      </s:c>
      <s:c r="B102" s="15" t="inlineStr">
        <s:is>
          <s:t>jama.2025.24175</s:t>
        </s:is>
      </s:c>
      <s:c r="C102" s="15" t="inlineStr">
        <s:is>
          <s:t>2025::jama.2025.24175::C003</s:t>
        </s:is>
      </s:c>
      <s:c r="D102" s="15" t="inlineStr">
        <s:is>
          <s:t>P_R</s:t>
        </s:is>
      </s:c>
      <s:c r="E102" s="15" t="str">
        <s:f>Setup!$B$4</s:f>
        <s:v>R_A</s:v>
      </s:c>
      <s:c r="F102" s="15" t="str">
        <s:f>IF(Setup!$B$2="","",Setup!$B$2)</s:f>
        <s:v>TEST_REVIEWER</s:v>
      </s:c>
      <s:c r="G102" s="15" t="str">
        <s:f>IFERROR(INDEX('C_jama.2025.24175'!$G$2:$G$15,MATCH(C102,'C_jama.2025.24175'!$A$2:$A$15,0)),"CHECK KEY")</s:f>
        <s:v>PRIMARY READY</s:v>
      </s:c>
      <s:c r="H102" s="15" t="str">
        <s: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s:f>
        <s:v>protocol_descriptive</s:v>
      </s:c>
      <s:c r="I102" s="15" t="inlineStr">
        <s:is>
          <s:t>exclude</s:t>
        </s:is>
      </s:c>
      <s:c r="J102" s="15" t="inlineStr">
        <s:is>
          <s:t>protocol_report</s:t>
        </s:is>
      </s:c>
      <s:c r="K102" s="15" t="str">
        <s:f>IFERROR(IF(INDEX('C_jama.2025.24175'!$D$2:$D$15,MATCH(C102,'C_jama.2025.24175'!$A$2:$A$15,0))="","",INDEX('C_jama.2025.24175'!$D$2:$D$15,MATCH(C102,'C_jama.2025.24175'!$A$2:$A$15,0))),"")</s:f>
        <s:v>retain</s:v>
      </s:c>
      <s:c r="L102" s="15" t="str">
        <s:f>IFERROR(IF(INDEX('C_jama.2025.24175'!$E$2:$E$15,MATCH(C102,'C_jama.2025.24175'!$A$2:$A$15,0))="","",INDEX('C_jama.2025.24175'!$E$2:$E$15,MATCH(C102,'C_jama.2025.24175'!$A$2:$A$15,0))),"")</s:f>
        <s:v>protocol_report</s:v>
      </s:c>
      <s:c r="M102" s="15" t="str">
        <s:f>IFERROR(IF(AND(K102="retain",L102="statistical_results"),IF(INDEX('C_jama.2025.24175'!$H$2:$H$15,MATCH(C102,'C_jama.2025.24175'!$A$2:$A$15,0))="","",INDEX('C_jama.2025.24175'!$H$2:$H$15,MATCH(C102,'C_jama.2025.24175'!$A$2:$A$15,0))),"not_applicable"),"")</s:f>
        <s:v>not_applicable</s:v>
      </s:c>
      <s:c r="N102" s="15" t="str">
        <s:f>IFERROR(IF(AND(K102="retain",L102="statistical_results"),IF(INDEX('C_jama.2025.24175'!$I$2:$I$15,MATCH(C102,'C_jama.2025.24175'!$A$2:$A$15,0))="","",INDEX('C_jama.2025.24175'!$I$2:$I$15,MATCH(C102,'C_jama.2025.24175'!$A$2:$A$15,0))),"not_applicable"),"")</s:f>
        <s:v>not_applicable</s:v>
      </s:c>
      <s:c r="O102" s="15" t="str">
        <s:f>IFERROR(IF(AND(K102="retain",L102="statistical_results"),IF(INDEX('C_jama.2025.24175'!$J$2:$J$15,MATCH(C102,'C_jama.2025.24175'!$A$2:$A$15,0))="","",INDEX('C_jama.2025.24175'!$J$2:$J$15,MATCH(C102,'C_jama.2025.24175'!$A$2:$A$15,0))),"not_applicable"),"")</s:f>
        <s:v>not_applicable</s:v>
      </s:c>
      <s:c r="P102" s="15" t="str">
        <s:f>IFERROR(IF(AND(K102="retain",OR(L102="report_internal_inconsistency",L102="plan_material")),IF(INDEX('C_jama.2025.24175'!$K$2:$K$15,MATCH(C102,'C_jama.2025.24175'!$A$2:$A$15,0))="","",INDEX('C_jama.2025.24175'!$K$2:$K$15,MATCH(C102,'C_jama.2025.24175'!$A$2:$A$15,0))),"not_applicable"),"")</s:f>
        <s:v>not_applicable</s:v>
      </s:c>
      <s:c r="Q102" s="15" t="str">
        <s:f>IFERROR(IF(AND(K102="retain",L102="protocol_report"),IF(INDEX('C_jama.2025.24175'!$L$2:$L$15,MATCH(C102,'C_jama.2025.24175'!$A$2:$A$15,0))="","",INDEX('C_jama.2025.24175'!$L$2:$L$15,MATCH(C102,'C_jama.2025.24175'!$A$2:$A$15,0))),"not_applicable"),"")</s:f>
        <s:v/>
      </s:c>
      <s:c r="R102" s="15" t="str">
        <s:f>IFERROR(IF(INDEX('C_jama.2025.24175'!$R$2:$R$15,MATCH(C102,'C_jama.2025.24175'!$A$2:$A$15,0))="","",INDEX('C_jama.2025.24175'!$R$2:$R$15,MATCH(C102,'C_jama.2025.24175'!$A$2:$A$15,0))),"")</s:f>
        <s:v>TEST 2025::jama.2025.24175::C003</s:v>
      </s:c>
      <s:c r="S102" s="15" t="str">
        <s:f>IF(Setup!$B$3="","",Setup!$B$3)</s:f>
        <s:v>TEST ONLY</s:v>
      </s:c>
    </s:row>
    <s:row r="103" ht="72" customFormat="1" customHeight="1" s="8">
      <s:c r="A103" s="16" t="n">
        <s:v>2025</s:v>
      </s:c>
      <s:c r="B103" s="16" t="inlineStr">
        <s:is>
          <s:t>jama.2025.24175</s:t>
        </s:is>
      </s:c>
      <s:c r="C103" s="16" t="inlineStr">
        <s:is>
          <s:t>2025::jama.2025.24175::C004</s:t>
        </s:is>
      </s:c>
      <s:c r="D103" s="16" t="inlineStr">
        <s:is>
          <s:t>P_R</s:t>
        </s:is>
      </s:c>
      <s:c r="E103" s="16" t="str">
        <s:f>Setup!$B$4</s:f>
        <s:v>R_A</s:v>
      </s:c>
      <s:c r="F103" s="16" t="str">
        <s:f>IF(Setup!$B$2="","",Setup!$B$2)</s:f>
        <s:v>TEST_REVIEWER</s:v>
      </s:c>
      <s:c r="G103" s="16" t="str">
        <s:f>IFERROR(INDEX('C_jama.2025.24175'!$G$2:$G$15,MATCH(C103,'C_jama.2025.24175'!$A$2:$A$15,0)),"CHECK KEY")</s:f>
        <s:v>PRIMARY READY</s:v>
      </s:c>
      <s:c r="H103" s="16" t="str">
        <s: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s:f>
        <s:v>protocol_descriptive</s:v>
      </s:c>
      <s:c r="I103" s="16" t="inlineStr">
        <s:is>
          <s:t>exclude</s:t>
        </s:is>
      </s:c>
      <s:c r="J103" s="16" t="inlineStr">
        <s:is>
          <s:t>protocol_report</s:t>
        </s:is>
      </s:c>
      <s:c r="K103" s="16" t="str">
        <s:f>IFERROR(IF(INDEX('C_jama.2025.24175'!$D$2:$D$15,MATCH(C103,'C_jama.2025.24175'!$A$2:$A$15,0))="","",INDEX('C_jama.2025.24175'!$D$2:$D$15,MATCH(C103,'C_jama.2025.24175'!$A$2:$A$15,0))),"")</s:f>
        <s:v>retain</s:v>
      </s:c>
      <s:c r="L103" s="16" t="str">
        <s:f>IFERROR(IF(INDEX('C_jama.2025.24175'!$E$2:$E$15,MATCH(C103,'C_jama.2025.24175'!$A$2:$A$15,0))="","",INDEX('C_jama.2025.24175'!$E$2:$E$15,MATCH(C103,'C_jama.2025.24175'!$A$2:$A$15,0))),"")</s:f>
        <s:v>protocol_report</s:v>
      </s:c>
      <s:c r="M103" s="16" t="str">
        <s:f>IFERROR(IF(AND(K103="retain",L103="statistical_results"),IF(INDEX('C_jama.2025.24175'!$H$2:$H$15,MATCH(C103,'C_jama.2025.24175'!$A$2:$A$15,0))="","",INDEX('C_jama.2025.24175'!$H$2:$H$15,MATCH(C103,'C_jama.2025.24175'!$A$2:$A$15,0))),"not_applicable"),"")</s:f>
        <s:v>not_applicable</s:v>
      </s:c>
      <s:c r="N103" s="16" t="str">
        <s:f>IFERROR(IF(AND(K103="retain",L103="statistical_results"),IF(INDEX('C_jama.2025.24175'!$I$2:$I$15,MATCH(C103,'C_jama.2025.24175'!$A$2:$A$15,0))="","",INDEX('C_jama.2025.24175'!$I$2:$I$15,MATCH(C103,'C_jama.2025.24175'!$A$2:$A$15,0))),"not_applicable"),"")</s:f>
        <s:v>not_applicable</s:v>
      </s:c>
      <s:c r="O103" s="16" t="str">
        <s:f>IFERROR(IF(AND(K103="retain",L103="statistical_results"),IF(INDEX('C_jama.2025.24175'!$J$2:$J$15,MATCH(C103,'C_jama.2025.24175'!$A$2:$A$15,0))="","",INDEX('C_jama.2025.24175'!$J$2:$J$15,MATCH(C103,'C_jama.2025.24175'!$A$2:$A$15,0))),"not_applicable"),"")</s:f>
        <s:v>not_applicable</s:v>
      </s:c>
      <s:c r="P103" s="16" t="str">
        <s:f>IFERROR(IF(AND(K103="retain",OR(L103="report_internal_inconsistency",L103="plan_material")),IF(INDEX('C_jama.2025.24175'!$K$2:$K$15,MATCH(C103,'C_jama.2025.24175'!$A$2:$A$15,0))="","",INDEX('C_jama.2025.24175'!$K$2:$K$15,MATCH(C103,'C_jama.2025.24175'!$A$2:$A$15,0))),"not_applicable"),"")</s:f>
        <s:v>not_applicable</s:v>
      </s:c>
      <s:c r="Q103" s="16" t="str">
        <s:f>IFERROR(IF(AND(K103="retain",L103="protocol_report"),IF(INDEX('C_jama.2025.24175'!$L$2:$L$15,MATCH(C103,'C_jama.2025.24175'!$A$2:$A$15,0))="","",INDEX('C_jama.2025.24175'!$L$2:$L$15,MATCH(C103,'C_jama.2025.24175'!$A$2:$A$15,0))),"not_applicable"),"")</s:f>
        <s:v/>
      </s:c>
      <s:c r="R103" s="16" t="str">
        <s:f>IFERROR(IF(INDEX('C_jama.2025.24175'!$R$2:$R$15,MATCH(C103,'C_jama.2025.24175'!$A$2:$A$15,0))="","",INDEX('C_jama.2025.24175'!$R$2:$R$15,MATCH(C103,'C_jama.2025.24175'!$A$2:$A$15,0))),"")</s:f>
        <s:v>TEST 2025::jama.2025.24175::C004</s:v>
      </s:c>
      <s:c r="S103" s="16" t="str">
        <s:f>IF(Setup!$B$3="","",Setup!$B$3)</s:f>
        <s:v>TEST ONLY</s:v>
      </s:c>
    </s:row>
    <s:row r="104" ht="72" customFormat="1" customHeight="1" s="8">
      <s:c r="A104" s="15" t="n">
        <s:v>2025</s:v>
      </s:c>
      <s:c r="B104" s="15" t="inlineStr">
        <s:is>
          <s:t>jama.2025.24175</s:t>
        </s:is>
      </s:c>
      <s:c r="C104" s="15" t="inlineStr">
        <s:is>
          <s:t>2025::jama.2025.24175::C005</s:t>
        </s:is>
      </s:c>
      <s:c r="D104" s="15" t="inlineStr">
        <s:is>
          <s:t>P_P</s:t>
        </s:is>
      </s:c>
      <s:c r="E104" s="15" t="str">
        <s:f>Setup!$B$4</s:f>
        <s:v>R_A</s:v>
      </s:c>
      <s:c r="F104" s="15" t="str">
        <s:f>IF(Setup!$B$2="","",Setup!$B$2)</s:f>
        <s:v>TEST_REVIEWER</s:v>
      </s:c>
      <s:c r="G104" s="15" t="str">
        <s:f>IFERROR(INDEX('C_jama.2025.24175'!$G$2:$G$15,MATCH(C104,'C_jama.2025.24175'!$A$2:$A$15,0)),"CHECK KEY")</s:f>
        <s:v>PRIMARY READY</s:v>
      </s:c>
      <s:c r="H104" s="15" t="str">
        <s: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s:f>
        <s:v>plan_descriptive</s:v>
      </s:c>
      <s:c r="I104" s="15" t="inlineStr">
        <s:is>
          <s:t>retain</s:t>
        </s:is>
      </s:c>
      <s:c r="J104" s="15" t="inlineStr">
        <s:is>
          <s:t>plan_material</s:t>
        </s:is>
      </s:c>
      <s:c r="K104" s="15" t="str">
        <s:f>IFERROR(IF(INDEX('C_jama.2025.24175'!$D$2:$D$15,MATCH(C104,'C_jama.2025.24175'!$A$2:$A$15,0))="","",INDEX('C_jama.2025.24175'!$D$2:$D$15,MATCH(C104,'C_jama.2025.24175'!$A$2:$A$15,0))),"")</s:f>
        <s:v>retain</s:v>
      </s:c>
      <s:c r="L104" s="15" t="str">
        <s:f>IFERROR(IF(INDEX('C_jama.2025.24175'!$E$2:$E$15,MATCH(C104,'C_jama.2025.24175'!$A$2:$A$15,0))="","",INDEX('C_jama.2025.24175'!$E$2:$E$15,MATCH(C104,'C_jama.2025.24175'!$A$2:$A$15,0))),"")</s:f>
        <s:v>plan_material</s:v>
      </s:c>
      <s:c r="M104" s="15" t="str">
        <s:f>IFERROR(IF(AND(K104="retain",L104="statistical_results"),IF(INDEX('C_jama.2025.24175'!$H$2:$H$15,MATCH(C104,'C_jama.2025.24175'!$A$2:$A$15,0))="","",INDEX('C_jama.2025.24175'!$H$2:$H$15,MATCH(C104,'C_jama.2025.24175'!$A$2:$A$15,0))),"not_applicable"),"")</s:f>
        <s:v>not_applicable</s:v>
      </s:c>
      <s:c r="N104" s="15" t="str">
        <s:f>IFERROR(IF(AND(K104="retain",L104="statistical_results"),IF(INDEX('C_jama.2025.24175'!$I$2:$I$15,MATCH(C104,'C_jama.2025.24175'!$A$2:$A$15,0))="","",INDEX('C_jama.2025.24175'!$I$2:$I$15,MATCH(C104,'C_jama.2025.24175'!$A$2:$A$15,0))),"not_applicable"),"")</s:f>
        <s:v>not_applicable</s:v>
      </s:c>
      <s:c r="O104" s="15" t="str">
        <s:f>IFERROR(IF(AND(K104="retain",L104="statistical_results"),IF(INDEX('C_jama.2025.24175'!$J$2:$J$15,MATCH(C104,'C_jama.2025.24175'!$A$2:$A$15,0))="","",INDEX('C_jama.2025.24175'!$J$2:$J$15,MATCH(C104,'C_jama.2025.24175'!$A$2:$A$15,0))),"not_applicable"),"")</s:f>
        <s:v>not_applicable</s:v>
      </s:c>
      <s:c r="P104" s="15" t="str">
        <s:f>IFERROR(IF(AND(K104="retain",OR(L104="report_internal_inconsistency",L104="plan_material")),IF(INDEX('C_jama.2025.24175'!$K$2:$K$15,MATCH(C104,'C_jama.2025.24175'!$A$2:$A$15,0))="","",INDEX('C_jama.2025.24175'!$K$2:$K$15,MATCH(C104,'C_jama.2025.24175'!$A$2:$A$15,0))),"not_applicable"),"")</s:f>
        <s:v>substantive_inconsistency</s:v>
      </s:c>
      <s:c r="Q104" s="15" t="str">
        <s:f>IFERROR(IF(AND(K104="retain",L104="protocol_report"),IF(INDEX('C_jama.2025.24175'!$L$2:$L$15,MATCH(C104,'C_jama.2025.24175'!$A$2:$A$15,0))="","",INDEX('C_jama.2025.24175'!$L$2:$L$15,MATCH(C104,'C_jama.2025.24175'!$A$2:$A$15,0))),"not_applicable"),"")</s:f>
        <s:v>not_applicable</s:v>
      </s:c>
      <s:c r="R104" s="15" t="str">
        <s:f>IFERROR(IF(INDEX('C_jama.2025.24175'!$R$2:$R$15,MATCH(C104,'C_jama.2025.24175'!$A$2:$A$15,0))="","",INDEX('C_jama.2025.24175'!$R$2:$R$15,MATCH(C104,'C_jama.2025.24175'!$A$2:$A$15,0))),"")</s:f>
        <s:v>TEST 2025::jama.2025.24175::C005</s:v>
      </s:c>
      <s:c r="S104" s="15" t="str">
        <s:f>IF(Setup!$B$3="","",Setup!$B$3)</s:f>
        <s:v>TEST ONLY</s:v>
      </s:c>
    </s:row>
    <s:row r="105" ht="72" customFormat="1" customHeight="1" s="8">
      <s:c r="A105" s="16" t="n">
        <s:v>2025</s:v>
      </s:c>
      <s:c r="B105" s="16" t="inlineStr">
        <s:is>
          <s:t>jama.2025.24175</s:t>
        </s:is>
      </s:c>
      <s:c r="C105" s="16" t="inlineStr">
        <s:is>
          <s:t>2025::jama.2025.24175::C006</s:t>
        </s:is>
      </s:c>
      <s:c r="D105" s="16" t="inlineStr">
        <s:is>
          <s:t>P_P</s:t>
        </s:is>
      </s:c>
      <s:c r="E105" s="16" t="str">
        <s:f>Setup!$B$4</s:f>
        <s:v>R_A</s:v>
      </s:c>
      <s:c r="F105" s="16" t="str">
        <s:f>IF(Setup!$B$2="","",Setup!$B$2)</s:f>
        <s:v>TEST_REVIEWER</s:v>
      </s:c>
      <s:c r="G105" s="16" t="str">
        <s:f>IFERROR(INDEX('C_jama.2025.24175'!$G$2:$G$15,MATCH(C105,'C_jama.2025.24175'!$A$2:$A$15,0)),"CHECK KEY")</s:f>
        <s:v>PRIMARY READY</s:v>
      </s:c>
      <s:c r="H105" s="16" t="str">
        <s: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s:f>
        <s:v>plan_descriptive</s:v>
      </s:c>
      <s:c r="I105" s="16" t="inlineStr">
        <s:is>
          <s:t>retain</s:t>
        </s:is>
      </s:c>
      <s:c r="J105" s="16" t="inlineStr">
        <s:is>
          <s:t>plan_material</s:t>
        </s:is>
      </s:c>
      <s:c r="K105" s="16" t="str">
        <s:f>IFERROR(IF(INDEX('C_jama.2025.24175'!$D$2:$D$15,MATCH(C105,'C_jama.2025.24175'!$A$2:$A$15,0))="","",INDEX('C_jama.2025.24175'!$D$2:$D$15,MATCH(C105,'C_jama.2025.24175'!$A$2:$A$15,0))),"")</s:f>
        <s:v>retain</s:v>
      </s:c>
      <s:c r="L105" s="16" t="str">
        <s:f>IFERROR(IF(INDEX('C_jama.2025.24175'!$E$2:$E$15,MATCH(C105,'C_jama.2025.24175'!$A$2:$A$15,0))="","",INDEX('C_jama.2025.24175'!$E$2:$E$15,MATCH(C105,'C_jama.2025.24175'!$A$2:$A$15,0))),"")</s:f>
        <s:v>plan_material</s:v>
      </s:c>
      <s:c r="M105" s="16" t="str">
        <s:f>IFERROR(IF(AND(K105="retain",L105="statistical_results"),IF(INDEX('C_jama.2025.24175'!$H$2:$H$15,MATCH(C105,'C_jama.2025.24175'!$A$2:$A$15,0))="","",INDEX('C_jama.2025.24175'!$H$2:$H$15,MATCH(C105,'C_jama.2025.24175'!$A$2:$A$15,0))),"not_applicable"),"")</s:f>
        <s:v>not_applicable</s:v>
      </s:c>
      <s:c r="N105" s="16" t="str">
        <s:f>IFERROR(IF(AND(K105="retain",L105="statistical_results"),IF(INDEX('C_jama.2025.24175'!$I$2:$I$15,MATCH(C105,'C_jama.2025.24175'!$A$2:$A$15,0))="","",INDEX('C_jama.2025.24175'!$I$2:$I$15,MATCH(C105,'C_jama.2025.24175'!$A$2:$A$15,0))),"not_applicable"),"")</s:f>
        <s:v>not_applicable</s:v>
      </s:c>
      <s:c r="O105" s="16" t="str">
        <s:f>IFERROR(IF(AND(K105="retain",L105="statistical_results"),IF(INDEX('C_jama.2025.24175'!$J$2:$J$15,MATCH(C105,'C_jama.2025.24175'!$A$2:$A$15,0))="","",INDEX('C_jama.2025.24175'!$J$2:$J$15,MATCH(C105,'C_jama.2025.24175'!$A$2:$A$15,0))),"not_applicable"),"")</s:f>
        <s:v>not_applicable</s:v>
      </s:c>
      <s:c r="P105" s="16" t="str">
        <s:f>IFERROR(IF(AND(K105="retain",OR(L105="report_internal_inconsistency",L105="plan_material")),IF(INDEX('C_jama.2025.24175'!$K$2:$K$15,MATCH(C105,'C_jama.2025.24175'!$A$2:$A$15,0))="","",INDEX('C_jama.2025.24175'!$K$2:$K$15,MATCH(C105,'C_jama.2025.24175'!$A$2:$A$15,0))),"not_applicable"),"")</s:f>
        <s:v>substantive_inconsistency</s:v>
      </s:c>
      <s:c r="Q105" s="16" t="str">
        <s:f>IFERROR(IF(AND(K105="retain",L105="protocol_report"),IF(INDEX('C_jama.2025.24175'!$L$2:$L$15,MATCH(C105,'C_jama.2025.24175'!$A$2:$A$15,0))="","",INDEX('C_jama.2025.24175'!$L$2:$L$15,MATCH(C105,'C_jama.2025.24175'!$A$2:$A$15,0))),"not_applicable"),"")</s:f>
        <s:v>not_applicable</s:v>
      </s:c>
      <s:c r="R105" s="16" t="str">
        <s:f>IFERROR(IF(INDEX('C_jama.2025.24175'!$R$2:$R$15,MATCH(C105,'C_jama.2025.24175'!$A$2:$A$15,0))="","",INDEX('C_jama.2025.24175'!$R$2:$R$15,MATCH(C105,'C_jama.2025.24175'!$A$2:$A$15,0))),"")</s:f>
        <s:v>TEST 2025::jama.2025.24175::C006</s:v>
      </s:c>
      <s:c r="S105" s="16" t="str">
        <s:f>IF(Setup!$B$3="","",Setup!$B$3)</s:f>
        <s:v>TEST ONLY</s:v>
      </s:c>
    </s:row>
    <s:row r="106" ht="72" customFormat="1" customHeight="1" s="8">
      <s:c r="A106" s="15" t="n">
        <s:v>2025</s:v>
      </s:c>
      <s:c r="B106" s="15" t="inlineStr">
        <s:is>
          <s:t>jama.2025.24175</s:t>
        </s:is>
      </s:c>
      <s:c r="C106" s="15" t="inlineStr">
        <s:is>
          <s:t>2025::jama.2025.24175::C007</s:t>
        </s:is>
      </s:c>
      <s:c r="D106" s="15" t="inlineStr">
        <s:is>
          <s:t>P_P</s:t>
        </s:is>
      </s:c>
      <s:c r="E106" s="15" t="str">
        <s:f>Setup!$B$4</s:f>
        <s:v>R_A</s:v>
      </s:c>
      <s:c r="F106" s="15" t="str">
        <s:f>IF(Setup!$B$2="","",Setup!$B$2)</s:f>
        <s:v>TEST_REVIEWER</s:v>
      </s:c>
      <s:c r="G106" s="15" t="str">
        <s:f>IFERROR(INDEX('C_jama.2025.24175'!$G$2:$G$15,MATCH(C106,'C_jama.2025.24175'!$A$2:$A$15,0)),"CHECK KEY")</s:f>
        <s:v>PRIMARY READY</s:v>
      </s:c>
      <s:c r="H106" s="15" t="str">
        <s: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s:f>
        <s:v>plan_descriptive</s:v>
      </s:c>
      <s:c r="I106" s="15" t="inlineStr">
        <s:is>
          <s:t>retain</s:t>
        </s:is>
      </s:c>
      <s:c r="J106" s="15" t="inlineStr">
        <s:is>
          <s:t>plan_material</s:t>
        </s:is>
      </s:c>
      <s:c r="K106" s="15" t="str">
        <s:f>IFERROR(IF(INDEX('C_jama.2025.24175'!$D$2:$D$15,MATCH(C106,'C_jama.2025.24175'!$A$2:$A$15,0))="","",INDEX('C_jama.2025.24175'!$D$2:$D$15,MATCH(C106,'C_jama.2025.24175'!$A$2:$A$15,0))),"")</s:f>
        <s:v>retain</s:v>
      </s:c>
      <s:c r="L106" s="15" t="str">
        <s:f>IFERROR(IF(INDEX('C_jama.2025.24175'!$E$2:$E$15,MATCH(C106,'C_jama.2025.24175'!$A$2:$A$15,0))="","",INDEX('C_jama.2025.24175'!$E$2:$E$15,MATCH(C106,'C_jama.2025.24175'!$A$2:$A$15,0))),"")</s:f>
        <s:v>plan_material</s:v>
      </s:c>
      <s:c r="M106" s="15" t="str">
        <s:f>IFERROR(IF(AND(K106="retain",L106="statistical_results"),IF(INDEX('C_jama.2025.24175'!$H$2:$H$15,MATCH(C106,'C_jama.2025.24175'!$A$2:$A$15,0))="","",INDEX('C_jama.2025.24175'!$H$2:$H$15,MATCH(C106,'C_jama.2025.24175'!$A$2:$A$15,0))),"not_applicable"),"")</s:f>
        <s:v>not_applicable</s:v>
      </s:c>
      <s:c r="N106" s="15" t="str">
        <s:f>IFERROR(IF(AND(K106="retain",L106="statistical_results"),IF(INDEX('C_jama.2025.24175'!$I$2:$I$15,MATCH(C106,'C_jama.2025.24175'!$A$2:$A$15,0))="","",INDEX('C_jama.2025.24175'!$I$2:$I$15,MATCH(C106,'C_jama.2025.24175'!$A$2:$A$15,0))),"not_applicable"),"")</s:f>
        <s:v>not_applicable</s:v>
      </s:c>
      <s:c r="O106" s="15" t="str">
        <s:f>IFERROR(IF(AND(K106="retain",L106="statistical_results"),IF(INDEX('C_jama.2025.24175'!$J$2:$J$15,MATCH(C106,'C_jama.2025.24175'!$A$2:$A$15,0))="","",INDEX('C_jama.2025.24175'!$J$2:$J$15,MATCH(C106,'C_jama.2025.24175'!$A$2:$A$15,0))),"not_applicable"),"")</s:f>
        <s:v>not_applicable</s:v>
      </s:c>
      <s:c r="P106" s="15" t="str">
        <s:f>IFERROR(IF(AND(K106="retain",OR(L106="report_internal_inconsistency",L106="plan_material")),IF(INDEX('C_jama.2025.24175'!$K$2:$K$15,MATCH(C106,'C_jama.2025.24175'!$A$2:$A$15,0))="","",INDEX('C_jama.2025.24175'!$K$2:$K$15,MATCH(C106,'C_jama.2025.24175'!$A$2:$A$15,0))),"not_applicable"),"")</s:f>
        <s:v>substantive_inconsistency</s:v>
      </s:c>
      <s:c r="Q106" s="15" t="str">
        <s:f>IFERROR(IF(AND(K106="retain",L106="protocol_report"),IF(INDEX('C_jama.2025.24175'!$L$2:$L$15,MATCH(C106,'C_jama.2025.24175'!$A$2:$A$15,0))="","",INDEX('C_jama.2025.24175'!$L$2:$L$15,MATCH(C106,'C_jama.2025.24175'!$A$2:$A$15,0))),"not_applicable"),"")</s:f>
        <s:v>not_applicable</s:v>
      </s:c>
      <s:c r="R106" s="15" t="str">
        <s:f>IFERROR(IF(INDEX('C_jama.2025.24175'!$R$2:$R$15,MATCH(C106,'C_jama.2025.24175'!$A$2:$A$15,0))="","",INDEX('C_jama.2025.24175'!$R$2:$R$15,MATCH(C106,'C_jama.2025.24175'!$A$2:$A$15,0))),"")</s:f>
        <s:v>TEST 2025::jama.2025.24175::C007</s:v>
      </s:c>
      <s:c r="S106" s="15" t="str">
        <s:f>IF(Setup!$B$3="","",Setup!$B$3)</s:f>
        <s:v>TEST ONLY</s:v>
      </s:c>
    </s:row>
    <s:row r="107" ht="72" customFormat="1" customHeight="1" s="8">
      <s:c r="A107" s="16" t="n">
        <s:v>2025</s:v>
      </s:c>
      <s:c r="B107" s="16" t="inlineStr">
        <s:is>
          <s:t>jama.2025.24175</s:t>
        </s:is>
      </s:c>
      <s:c r="C107" s="16" t="inlineStr">
        <s:is>
          <s:t>2025::jama.2025.24175::C008</s:t>
        </s:is>
      </s:c>
      <s:c r="D107" s="16" t="inlineStr">
        <s:is>
          <s:t>P_P</s:t>
        </s:is>
      </s:c>
      <s:c r="E107" s="16" t="str">
        <s:f>Setup!$B$4</s:f>
        <s:v>R_A</s:v>
      </s:c>
      <s:c r="F107" s="16" t="str">
        <s:f>IF(Setup!$B$2="","",Setup!$B$2)</s:f>
        <s:v>TEST_REVIEWER</s:v>
      </s:c>
      <s:c r="G107" s="16" t="str">
        <s:f>IFERROR(INDEX('C_jama.2025.24175'!$G$2:$G$15,MATCH(C107,'C_jama.2025.24175'!$A$2:$A$15,0)),"CHECK KEY")</s:f>
        <s:v>PRIMARY READY</s:v>
      </s:c>
      <s:c r="H107" s="16" t="str">
        <s: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s:f>
        <s:v>plan_descriptive</s:v>
      </s:c>
      <s:c r="I107" s="16" t="inlineStr">
        <s:is>
          <s:t>retain</s:t>
        </s:is>
      </s:c>
      <s:c r="J107" s="16" t="inlineStr">
        <s:is>
          <s:t>plan_material</s:t>
        </s:is>
      </s:c>
      <s:c r="K107" s="16" t="str">
        <s:f>IFERROR(IF(INDEX('C_jama.2025.24175'!$D$2:$D$15,MATCH(C107,'C_jama.2025.24175'!$A$2:$A$15,0))="","",INDEX('C_jama.2025.24175'!$D$2:$D$15,MATCH(C107,'C_jama.2025.24175'!$A$2:$A$15,0))),"")</s:f>
        <s:v>retain</s:v>
      </s:c>
      <s:c r="L107" s="16" t="str">
        <s:f>IFERROR(IF(INDEX('C_jama.2025.24175'!$E$2:$E$15,MATCH(C107,'C_jama.2025.24175'!$A$2:$A$15,0))="","",INDEX('C_jama.2025.24175'!$E$2:$E$15,MATCH(C107,'C_jama.2025.24175'!$A$2:$A$15,0))),"")</s:f>
        <s:v>plan_material</s:v>
      </s:c>
      <s:c r="M107" s="16" t="str">
        <s:f>IFERROR(IF(AND(K107="retain",L107="statistical_results"),IF(INDEX('C_jama.2025.24175'!$H$2:$H$15,MATCH(C107,'C_jama.2025.24175'!$A$2:$A$15,0))="","",INDEX('C_jama.2025.24175'!$H$2:$H$15,MATCH(C107,'C_jama.2025.24175'!$A$2:$A$15,0))),"not_applicable"),"")</s:f>
        <s:v>not_applicable</s:v>
      </s:c>
      <s:c r="N107" s="16" t="str">
        <s:f>IFERROR(IF(AND(K107="retain",L107="statistical_results"),IF(INDEX('C_jama.2025.24175'!$I$2:$I$15,MATCH(C107,'C_jama.2025.24175'!$A$2:$A$15,0))="","",INDEX('C_jama.2025.24175'!$I$2:$I$15,MATCH(C107,'C_jama.2025.24175'!$A$2:$A$15,0))),"not_applicable"),"")</s:f>
        <s:v>not_applicable</s:v>
      </s:c>
      <s:c r="O107" s="16" t="str">
        <s:f>IFERROR(IF(AND(K107="retain",L107="statistical_results"),IF(INDEX('C_jama.2025.24175'!$J$2:$J$15,MATCH(C107,'C_jama.2025.24175'!$A$2:$A$15,0))="","",INDEX('C_jama.2025.24175'!$J$2:$J$15,MATCH(C107,'C_jama.2025.24175'!$A$2:$A$15,0))),"not_applicable"),"")</s:f>
        <s:v>not_applicable</s:v>
      </s:c>
      <s:c r="P107" s="16" t="str">
        <s:f>IFERROR(IF(AND(K107="retain",OR(L107="report_internal_inconsistency",L107="plan_material")),IF(INDEX('C_jama.2025.24175'!$K$2:$K$15,MATCH(C107,'C_jama.2025.24175'!$A$2:$A$15,0))="","",INDEX('C_jama.2025.24175'!$K$2:$K$15,MATCH(C107,'C_jama.2025.24175'!$A$2:$A$15,0))),"not_applicable"),"")</s:f>
        <s:v>substantive_inconsistency</s:v>
      </s:c>
      <s:c r="Q107" s="16" t="str">
        <s:f>IFERROR(IF(AND(K107="retain",L107="protocol_report"),IF(INDEX('C_jama.2025.24175'!$L$2:$L$15,MATCH(C107,'C_jama.2025.24175'!$A$2:$A$15,0))="","",INDEX('C_jama.2025.24175'!$L$2:$L$15,MATCH(C107,'C_jama.2025.24175'!$A$2:$A$15,0))),"not_applicable"),"")</s:f>
        <s:v>not_applicable</s:v>
      </s:c>
      <s:c r="R107" s="16" t="str">
        <s:f>IFERROR(IF(INDEX('C_jama.2025.24175'!$R$2:$R$15,MATCH(C107,'C_jama.2025.24175'!$A$2:$A$15,0))="","",INDEX('C_jama.2025.24175'!$R$2:$R$15,MATCH(C107,'C_jama.2025.24175'!$A$2:$A$15,0))),"")</s:f>
        <s:v>TEST 2025::jama.2025.24175::C008</s:v>
      </s:c>
      <s:c r="S107" s="16" t="str">
        <s:f>IF(Setup!$B$3="","",Setup!$B$3)</s:f>
        <s:v>TEST ONLY</s:v>
      </s:c>
    </s:row>
    <s:row r="108" ht="72" customFormat="1" customHeight="1" s="8">
      <s:c r="A108" s="15" t="n">
        <s:v>2025</s:v>
      </s:c>
      <s:c r="B108" s="15" t="inlineStr">
        <s:is>
          <s:t>jama.2025.24175</s:t>
        </s:is>
      </s:c>
      <s:c r="C108" s="15" t="inlineStr">
        <s:is>
          <s:t>2025::jama.2025.24175::C009</s:t>
        </s:is>
      </s:c>
      <s:c r="D108" s="15" t="inlineStr">
        <s:is>
          <s:t>P_R</s:t>
        </s:is>
      </s:c>
      <s:c r="E108" s="15" t="str">
        <s:f>Setup!$B$4</s:f>
        <s:v>R_A</s:v>
      </s:c>
      <s:c r="F108" s="15" t="str">
        <s:f>IF(Setup!$B$2="","",Setup!$B$2)</s:f>
        <s:v>TEST_REVIEWER</s:v>
      </s:c>
      <s:c r="G108" s="15" t="str">
        <s:f>IFERROR(INDEX('C_jama.2025.24175'!$G$2:$G$15,MATCH(C108,'C_jama.2025.24175'!$A$2:$A$15,0)),"CHECK KEY")</s:f>
        <s:v>PRIMARY READY</s:v>
      </s:c>
      <s:c r="H108" s="15" t="str">
        <s: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s:f>
        <s:v>protocol_descriptive</s:v>
      </s:c>
      <s:c r="I108" s="15" t="inlineStr">
        <s:is>
          <s:t>retain</s:t>
        </s:is>
      </s:c>
      <s:c r="J108" s="15" t="inlineStr">
        <s:is>
          <s:t>protocol_report</s:t>
        </s:is>
      </s:c>
      <s:c r="K108" s="15" t="str">
        <s:f>IFERROR(IF(INDEX('C_jama.2025.24175'!$D$2:$D$15,MATCH(C108,'C_jama.2025.24175'!$A$2:$A$15,0))="","",INDEX('C_jama.2025.24175'!$D$2:$D$15,MATCH(C108,'C_jama.2025.24175'!$A$2:$A$15,0))),"")</s:f>
        <s:v>retain</s:v>
      </s:c>
      <s:c r="L108" s="15" t="str">
        <s:f>IFERROR(IF(INDEX('C_jama.2025.24175'!$E$2:$E$15,MATCH(C108,'C_jama.2025.24175'!$A$2:$A$15,0))="","",INDEX('C_jama.2025.24175'!$E$2:$E$15,MATCH(C108,'C_jama.2025.24175'!$A$2:$A$15,0))),"")</s:f>
        <s:v>protocol_report</s:v>
      </s:c>
      <s:c r="M108" s="15" t="str">
        <s:f>IFERROR(IF(AND(K108="retain",L108="statistical_results"),IF(INDEX('C_jama.2025.24175'!$H$2:$H$15,MATCH(C108,'C_jama.2025.24175'!$A$2:$A$15,0))="","",INDEX('C_jama.2025.24175'!$H$2:$H$15,MATCH(C108,'C_jama.2025.24175'!$A$2:$A$15,0))),"not_applicable"),"")</s:f>
        <s:v>not_applicable</s:v>
      </s:c>
      <s:c r="N108" s="15" t="str">
        <s:f>IFERROR(IF(AND(K108="retain",L108="statistical_results"),IF(INDEX('C_jama.2025.24175'!$I$2:$I$15,MATCH(C108,'C_jama.2025.24175'!$A$2:$A$15,0))="","",INDEX('C_jama.2025.24175'!$I$2:$I$15,MATCH(C108,'C_jama.2025.24175'!$A$2:$A$15,0))),"not_applicable"),"")</s:f>
        <s:v>not_applicable</s:v>
      </s:c>
      <s:c r="O108" s="15" t="str">
        <s:f>IFERROR(IF(AND(K108="retain",L108="statistical_results"),IF(INDEX('C_jama.2025.24175'!$J$2:$J$15,MATCH(C108,'C_jama.2025.24175'!$A$2:$A$15,0))="","",INDEX('C_jama.2025.24175'!$J$2:$J$15,MATCH(C108,'C_jama.2025.24175'!$A$2:$A$15,0))),"not_applicable"),"")</s:f>
        <s:v>not_applicable</s:v>
      </s:c>
      <s:c r="P108" s="15" t="str">
        <s:f>IFERROR(IF(AND(K108="retain",OR(L108="report_internal_inconsistency",L108="plan_material")),IF(INDEX('C_jama.2025.24175'!$K$2:$K$15,MATCH(C108,'C_jama.2025.24175'!$A$2:$A$15,0))="","",INDEX('C_jama.2025.24175'!$K$2:$K$15,MATCH(C108,'C_jama.2025.24175'!$A$2:$A$15,0))),"not_applicable"),"")</s:f>
        <s:v>not_applicable</s:v>
      </s:c>
      <s:c r="Q108" s="15" t="str">
        <s:f>IFERROR(IF(AND(K108="retain",L108="protocol_report"),IF(INDEX('C_jama.2025.24175'!$L$2:$L$15,MATCH(C108,'C_jama.2025.24175'!$A$2:$A$15,0))="","",INDEX('C_jama.2025.24175'!$L$2:$L$15,MATCH(C108,'C_jama.2025.24175'!$A$2:$A$15,0))),"not_applicable"),"")</s:f>
        <s:v/>
      </s:c>
      <s:c r="R108" s="15" t="str">
        <s:f>IFERROR(IF(INDEX('C_jama.2025.24175'!$R$2:$R$15,MATCH(C108,'C_jama.2025.24175'!$A$2:$A$15,0))="","",INDEX('C_jama.2025.24175'!$R$2:$R$15,MATCH(C108,'C_jama.2025.24175'!$A$2:$A$15,0))),"")</s:f>
        <s:v>TEST 2025::jama.2025.24175::C009</s:v>
      </s:c>
      <s:c r="S108" s="15" t="str">
        <s:f>IF(Setup!$B$3="","",Setup!$B$3)</s:f>
        <s:v>TEST ONLY</s:v>
      </s:c>
    </s:row>
    <s:row r="109" ht="72" customFormat="1" customHeight="1" s="8">
      <s:c r="A109" s="16" t="n">
        <s:v>2025</s:v>
      </s:c>
      <s:c r="B109" s="16" t="inlineStr">
        <s:is>
          <s:t>jama.2025.24175</s:t>
        </s:is>
      </s:c>
      <s:c r="C109" s="16" t="inlineStr">
        <s:is>
          <s:t>2025::jama.2025.24175::C010</s:t>
        </s:is>
      </s:c>
      <s:c r="D109" s="16" t="inlineStr">
        <s:is>
          <s:t>P_P</s:t>
        </s:is>
      </s:c>
      <s:c r="E109" s="16" t="str">
        <s:f>Setup!$B$4</s:f>
        <s:v>R_A</s:v>
      </s:c>
      <s:c r="F109" s="16" t="str">
        <s:f>IF(Setup!$B$2="","",Setup!$B$2)</s:f>
        <s:v>TEST_REVIEWER</s:v>
      </s:c>
      <s:c r="G109" s="16" t="str">
        <s:f>IFERROR(INDEX('C_jama.2025.24175'!$G$2:$G$15,MATCH(C109,'C_jama.2025.24175'!$A$2:$A$15,0)),"CHECK KEY")</s:f>
        <s:v>PRIMARY READY</s:v>
      </s:c>
      <s:c r="H109" s="16" t="str">
        <s: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s:f>
        <s:v>plan_descriptive</s:v>
      </s:c>
      <s:c r="I109" s="16" t="inlineStr">
        <s:is>
          <s:t>retain</s:t>
        </s:is>
      </s:c>
      <s:c r="J109" s="16" t="inlineStr">
        <s:is>
          <s:t>plan_material</s:t>
        </s:is>
      </s:c>
      <s:c r="K109" s="16" t="str">
        <s:f>IFERROR(IF(INDEX('C_jama.2025.24175'!$D$2:$D$15,MATCH(C109,'C_jama.2025.24175'!$A$2:$A$15,0))="","",INDEX('C_jama.2025.24175'!$D$2:$D$15,MATCH(C109,'C_jama.2025.24175'!$A$2:$A$15,0))),"")</s:f>
        <s:v>retain</s:v>
      </s:c>
      <s:c r="L109" s="16" t="str">
        <s:f>IFERROR(IF(INDEX('C_jama.2025.24175'!$E$2:$E$15,MATCH(C109,'C_jama.2025.24175'!$A$2:$A$15,0))="","",INDEX('C_jama.2025.24175'!$E$2:$E$15,MATCH(C109,'C_jama.2025.24175'!$A$2:$A$15,0))),"")</s:f>
        <s:v>plan_material</s:v>
      </s:c>
      <s:c r="M109" s="16" t="str">
        <s:f>IFERROR(IF(AND(K109="retain",L109="statistical_results"),IF(INDEX('C_jama.2025.24175'!$H$2:$H$15,MATCH(C109,'C_jama.2025.24175'!$A$2:$A$15,0))="","",INDEX('C_jama.2025.24175'!$H$2:$H$15,MATCH(C109,'C_jama.2025.24175'!$A$2:$A$15,0))),"not_applicable"),"")</s:f>
        <s:v>not_applicable</s:v>
      </s:c>
      <s:c r="N109" s="16" t="str">
        <s:f>IFERROR(IF(AND(K109="retain",L109="statistical_results"),IF(INDEX('C_jama.2025.24175'!$I$2:$I$15,MATCH(C109,'C_jama.2025.24175'!$A$2:$A$15,0))="","",INDEX('C_jama.2025.24175'!$I$2:$I$15,MATCH(C109,'C_jama.2025.24175'!$A$2:$A$15,0))),"not_applicable"),"")</s:f>
        <s:v>not_applicable</s:v>
      </s:c>
      <s:c r="O109" s="16" t="str">
        <s:f>IFERROR(IF(AND(K109="retain",L109="statistical_results"),IF(INDEX('C_jama.2025.24175'!$J$2:$J$15,MATCH(C109,'C_jama.2025.24175'!$A$2:$A$15,0))="","",INDEX('C_jama.2025.24175'!$J$2:$J$15,MATCH(C109,'C_jama.2025.24175'!$A$2:$A$15,0))),"not_applicable"),"")</s:f>
        <s:v>not_applicable</s:v>
      </s:c>
      <s:c r="P109" s="16" t="str">
        <s:f>IFERROR(IF(AND(K109="retain",OR(L109="report_internal_inconsistency",L109="plan_material")),IF(INDEX('C_jama.2025.24175'!$K$2:$K$15,MATCH(C109,'C_jama.2025.24175'!$A$2:$A$15,0))="","",INDEX('C_jama.2025.24175'!$K$2:$K$15,MATCH(C109,'C_jama.2025.24175'!$A$2:$A$15,0))),"not_applicable"),"")</s:f>
        <s:v>substantive_inconsistency</s:v>
      </s:c>
      <s:c r="Q109" s="16" t="str">
        <s:f>IFERROR(IF(AND(K109="retain",L109="protocol_report"),IF(INDEX('C_jama.2025.24175'!$L$2:$L$15,MATCH(C109,'C_jama.2025.24175'!$A$2:$A$15,0))="","",INDEX('C_jama.2025.24175'!$L$2:$L$15,MATCH(C109,'C_jama.2025.24175'!$A$2:$A$15,0))),"not_applicable"),"")</s:f>
        <s:v>not_applicable</s:v>
      </s:c>
      <s:c r="R109" s="16" t="str">
        <s:f>IFERROR(IF(INDEX('C_jama.2025.24175'!$R$2:$R$15,MATCH(C109,'C_jama.2025.24175'!$A$2:$A$15,0))="","",INDEX('C_jama.2025.24175'!$R$2:$R$15,MATCH(C109,'C_jama.2025.24175'!$A$2:$A$15,0))),"")</s:f>
        <s:v>TEST 2025::jama.2025.24175::C010</s:v>
      </s:c>
      <s:c r="S109" s="16" t="str">
        <s:f>IF(Setup!$B$3="","",Setup!$B$3)</s:f>
        <s:v>TEST ONLY</s:v>
      </s:c>
    </s:row>
    <s:row r="110" ht="72" customFormat="1" customHeight="1" s="8">
      <s:c r="A110" s="15" t="n">
        <s:v>2025</s:v>
      </s:c>
      <s:c r="B110" s="15" t="inlineStr">
        <s:is>
          <s:t>jama.2025.24175</s:t>
        </s:is>
      </s:c>
      <s:c r="C110" s="15" t="inlineStr">
        <s:is>
          <s:t>2025::jama.2025.24175::C011</s:t>
        </s:is>
      </s:c>
      <s:c r="D110" s="15" t="inlineStr">
        <s:is>
          <s:t>S_W</s:t>
        </s:is>
      </s:c>
      <s:c r="E110" s="15" t="str">
        <s:f>Setup!$B$4</s:f>
        <s:v>R_A</s:v>
      </s:c>
      <s:c r="F110" s="15" t="str">
        <s:f>IF(Setup!$B$2="","",Setup!$B$2)</s:f>
        <s:v>TEST_REVIEWER</s:v>
      </s:c>
      <s:c r="G110" s="15" t="str">
        <s:f>IFERROR(INDEX('C_jama.2025.24175'!$G$2:$G$15,MATCH(C110,'C_jama.2025.24175'!$A$2:$A$15,0)),"CHECK KEY")</s:f>
        <s:v>PRIMARY READY</s:v>
      </s:c>
      <s:c r="H110" s="15" t="str">
        <s: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s:f>
        <s:v>primary_temporal</s:v>
      </s:c>
      <s:c r="I110" s="15" t="inlineStr">
        <s:is>
          <s:t>retain</s:t>
        </s:is>
      </s:c>
      <s:c r="J110" s="15" t="inlineStr">
        <s:is>
          <s:t>statistical_results</s:t>
        </s:is>
      </s:c>
      <s:c r="K110" s="15" t="str">
        <s:f>IFERROR(IF(INDEX('C_jama.2025.24175'!$D$2:$D$15,MATCH(C110,'C_jama.2025.24175'!$A$2:$A$15,0))="","",INDEX('C_jama.2025.24175'!$D$2:$D$15,MATCH(C110,'C_jama.2025.24175'!$A$2:$A$15,0))),"")</s:f>
        <s:v>retain</s:v>
      </s:c>
      <s:c r="L110" s="15" t="str">
        <s:f>IFERROR(IF(INDEX('C_jama.2025.24175'!$E$2:$E$15,MATCH(C110,'C_jama.2025.24175'!$A$2:$A$15,0))="","",INDEX('C_jama.2025.24175'!$E$2:$E$15,MATCH(C110,'C_jama.2025.24175'!$A$2:$A$15,0))),"")</s:f>
        <s:v>statistical_results</s:v>
      </s:c>
      <s:c r="M110" s="15" t="str">
        <s:f>IFERROR(IF(AND(K110="retain",L110="statistical_results"),IF(INDEX('C_jama.2025.24175'!$H$2:$H$15,MATCH(C110,'C_jama.2025.24175'!$A$2:$A$15,0))="","",INDEX('C_jama.2025.24175'!$H$2:$H$15,MATCH(C110,'C_jama.2025.24175'!$A$2:$A$15,0))),"not_applicable"),"")</s:f>
        <s:v>confirmed_issue</s:v>
      </s:c>
      <s:c r="N110" s="15" t="str">
        <s:f>IFERROR(IF(AND(K110="retain",L110="statistical_results"),IF(INDEX('C_jama.2025.24175'!$I$2:$I$15,MATCH(C110,'C_jama.2025.24175'!$A$2:$A$15,0))="","",INDEX('C_jama.2025.24175'!$I$2:$I$15,MATCH(C110,'C_jama.2025.24175'!$A$2:$A$15,0))),"not_applicable"),"")</s:f>
        <s:v>substantive</s:v>
      </s:c>
      <s:c r="O110" s="15" t="str">
        <s:f>IFERROR(IF(AND(K110="retain",L110="statistical_results"),IF(INDEX('C_jama.2025.24175'!$J$2:$J$15,MATCH(C110,'C_jama.2025.24175'!$A$2:$A$15,0))="","",INDEX('C_jama.2025.24175'!$J$2:$J$15,MATCH(C110,'C_jama.2025.24175'!$A$2:$A$15,0))),"not_applicable"),"")</s:f>
        <s:v/>
      </s:c>
      <s:c r="P110" s="15" t="str">
        <s:f>IFERROR(IF(AND(K110="retain",OR(L110="report_internal_inconsistency",L110="plan_material")),IF(INDEX('C_jama.2025.24175'!$K$2:$K$15,MATCH(C110,'C_jama.2025.24175'!$A$2:$A$15,0))="","",INDEX('C_jama.2025.24175'!$K$2:$K$15,MATCH(C110,'C_jama.2025.24175'!$A$2:$A$15,0))),"not_applicable"),"")</s:f>
        <s:v>not_applicable</s:v>
      </s:c>
      <s:c r="Q110" s="15" t="str">
        <s:f>IFERROR(IF(AND(K110="retain",L110="protocol_report"),IF(INDEX('C_jama.2025.24175'!$L$2:$L$15,MATCH(C110,'C_jama.2025.24175'!$A$2:$A$15,0))="","",INDEX('C_jama.2025.24175'!$L$2:$L$15,MATCH(C110,'C_jama.2025.24175'!$A$2:$A$15,0))),"not_applicable"),"")</s:f>
        <s:v>not_applicable</s:v>
      </s:c>
      <s:c r="R110" s="15" t="str">
        <s:f>IFERROR(IF(INDEX('C_jama.2025.24175'!$R$2:$R$15,MATCH(C110,'C_jama.2025.24175'!$A$2:$A$15,0))="","",INDEX('C_jama.2025.24175'!$R$2:$R$15,MATCH(C110,'C_jama.2025.24175'!$A$2:$A$15,0))),"")</s:f>
        <s:v>TEST 2025::jama.2025.24175::C011</s:v>
      </s:c>
      <s:c r="S110" s="15" t="str">
        <s:f>IF(Setup!$B$3="","",Setup!$B$3)</s:f>
        <s:v>TEST ONLY</s:v>
      </s:c>
    </s:row>
    <s:row r="111" ht="72" customFormat="1" customHeight="1" s="8">
      <s:c r="A111" s="16" t="n">
        <s:v>2025</s:v>
      </s:c>
      <s:c r="B111" s="16" t="inlineStr">
        <s:is>
          <s:t>jama.2025.24175</s:t>
        </s:is>
      </s:c>
      <s:c r="C111" s="16" t="inlineStr">
        <s:is>
          <s:t>2025::jama.2025.24175::C012</s:t>
        </s:is>
      </s:c>
      <s:c r="D111" s="16" t="inlineStr">
        <s:is>
          <s:t>S_W</s:t>
        </s:is>
      </s:c>
      <s:c r="E111" s="16" t="str">
        <s:f>Setup!$B$4</s:f>
        <s:v>R_A</s:v>
      </s:c>
      <s:c r="F111" s="16" t="str">
        <s:f>IF(Setup!$B$2="","",Setup!$B$2)</s:f>
        <s:v>TEST_REVIEWER</s:v>
      </s:c>
      <s:c r="G111" s="16" t="str">
        <s:f>IFERROR(INDEX('C_jama.2025.24175'!$G$2:$G$15,MATCH(C111,'C_jama.2025.24175'!$A$2:$A$15,0)),"CHECK KEY")</s:f>
        <s:v>PRIMARY READY</s:v>
      </s:c>
      <s:c r="H111" s="16" t="str">
        <s: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s:f>
        <s:v>secondary_temporal</s:v>
      </s:c>
      <s:c r="I111" s="16" t="inlineStr">
        <s:is>
          <s:t>retain</s:t>
        </s:is>
      </s:c>
      <s:c r="J111" s="16" t="inlineStr">
        <s:is>
          <s:t>report_internal_inconsistency</s:t>
        </s:is>
      </s:c>
      <s:c r="K111" s="16" t="str">
        <s:f>IFERROR(IF(INDEX('C_jama.2025.24175'!$D$2:$D$15,MATCH(C111,'C_jama.2025.24175'!$A$2:$A$15,0))="","",INDEX('C_jama.2025.24175'!$D$2:$D$15,MATCH(C111,'C_jama.2025.24175'!$A$2:$A$15,0))),"")</s:f>
        <s:v>retain</s:v>
      </s:c>
      <s:c r="L111" s="16" t="str">
        <s:f>IFERROR(IF(INDEX('C_jama.2025.24175'!$E$2:$E$15,MATCH(C111,'C_jama.2025.24175'!$A$2:$A$15,0))="","",INDEX('C_jama.2025.24175'!$E$2:$E$15,MATCH(C111,'C_jama.2025.24175'!$A$2:$A$15,0))),"")</s:f>
        <s:v>report_internal_inconsistency</s:v>
      </s:c>
      <s:c r="M111" s="16" t="str">
        <s:f>IFERROR(IF(AND(K111="retain",L111="statistical_results"),IF(INDEX('C_jama.2025.24175'!$H$2:$H$15,MATCH(C111,'C_jama.2025.24175'!$A$2:$A$15,0))="","",INDEX('C_jama.2025.24175'!$H$2:$H$15,MATCH(C111,'C_jama.2025.24175'!$A$2:$A$15,0))),"not_applicable"),"")</s:f>
        <s:v>not_applicable</s:v>
      </s:c>
      <s:c r="N111" s="16" t="str">
        <s:f>IFERROR(IF(AND(K111="retain",L111="statistical_results"),IF(INDEX('C_jama.2025.24175'!$I$2:$I$15,MATCH(C111,'C_jama.2025.24175'!$A$2:$A$15,0))="","",INDEX('C_jama.2025.24175'!$I$2:$I$15,MATCH(C111,'C_jama.2025.24175'!$A$2:$A$15,0))),"not_applicable"),"")</s:f>
        <s:v>not_applicable</s:v>
      </s:c>
      <s:c r="O111" s="16" t="str">
        <s:f>IFERROR(IF(AND(K111="retain",L111="statistical_results"),IF(INDEX('C_jama.2025.24175'!$J$2:$J$15,MATCH(C111,'C_jama.2025.24175'!$A$2:$A$15,0))="","",INDEX('C_jama.2025.24175'!$J$2:$J$15,MATCH(C111,'C_jama.2025.24175'!$A$2:$A$15,0))),"not_applicable"),"")</s:f>
        <s:v>not_applicable</s:v>
      </s:c>
      <s:c r="P111" s="16" t="str">
        <s:f>IFERROR(IF(AND(K111="retain",OR(L111="report_internal_inconsistency",L111="plan_material")),IF(INDEX('C_jama.2025.24175'!$K$2:$K$15,MATCH(C111,'C_jama.2025.24175'!$A$2:$A$15,0))="","",INDEX('C_jama.2025.24175'!$K$2:$K$15,MATCH(C111,'C_jama.2025.24175'!$A$2:$A$15,0))),"not_applicable"),"")</s:f>
        <s:v>substantive_inconsistency</s:v>
      </s:c>
      <s:c r="Q111" s="16" t="str">
        <s:f>IFERROR(IF(AND(K111="retain",L111="protocol_report"),IF(INDEX('C_jama.2025.24175'!$L$2:$L$15,MATCH(C111,'C_jama.2025.24175'!$A$2:$A$15,0))="","",INDEX('C_jama.2025.24175'!$L$2:$L$15,MATCH(C111,'C_jama.2025.24175'!$A$2:$A$15,0))),"not_applicable"),"")</s:f>
        <s:v>not_applicable</s:v>
      </s:c>
      <s:c r="R111" s="16" t="str">
        <s:f>IFERROR(IF(INDEX('C_jama.2025.24175'!$R$2:$R$15,MATCH(C111,'C_jama.2025.24175'!$A$2:$A$15,0))="","",INDEX('C_jama.2025.24175'!$R$2:$R$15,MATCH(C111,'C_jama.2025.24175'!$A$2:$A$15,0))),"")</s:f>
        <s:v>TEST 2025::jama.2025.24175::C012</s:v>
      </s:c>
      <s:c r="S111" s="16" t="str">
        <s:f>IF(Setup!$B$3="","",Setup!$B$3)</s:f>
        <s:v>TEST ONLY</s:v>
      </s:c>
    </s:row>
    <s:row r="112" ht="72" customFormat="1" customHeight="1" s="8">
      <s:c r="A112" s="15" t="n">
        <s:v>2025</s:v>
      </s:c>
      <s:c r="B112" s="15" t="inlineStr">
        <s:is>
          <s:t>jama.2025.24175</s:t>
        </s:is>
      </s:c>
      <s:c r="C112" s="15" t="inlineStr">
        <s:is>
          <s:t>2025::jama.2025.24175::C013</s:t>
        </s:is>
      </s:c>
      <s:c r="D112" s="15" t="inlineStr">
        <s:is>
          <s:t>S_W</s:t>
        </s:is>
      </s:c>
      <s:c r="E112" s="15" t="str">
        <s:f>Setup!$B$4</s:f>
        <s:v>R_A</s:v>
      </s:c>
      <s:c r="F112" s="15" t="str">
        <s:f>IF(Setup!$B$2="","",Setup!$B$2)</s:f>
        <s:v>TEST_REVIEWER</s:v>
      </s:c>
      <s:c r="G112" s="15" t="str">
        <s:f>IFERROR(INDEX('C_jama.2025.24175'!$G$2:$G$15,MATCH(C112,'C_jama.2025.24175'!$A$2:$A$15,0)),"CHECK KEY")</s:f>
        <s:v>PRIMARY READY</s:v>
      </s:c>
      <s:c r="H112" s="15" t="str">
        <s: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s:f>
        <s:v>primary_temporal</s:v>
      </s:c>
      <s:c r="I112" s="15" t="inlineStr">
        <s:is>
          <s:t>retain</s:t>
        </s:is>
      </s:c>
      <s:c r="J112" s="15" t="inlineStr">
        <s:is>
          <s:t>statistical_results</s:t>
        </s:is>
      </s:c>
      <s:c r="K112" s="15" t="str">
        <s:f>IFERROR(IF(INDEX('C_jama.2025.24175'!$D$2:$D$15,MATCH(C112,'C_jama.2025.24175'!$A$2:$A$15,0))="","",INDEX('C_jama.2025.24175'!$D$2:$D$15,MATCH(C112,'C_jama.2025.24175'!$A$2:$A$15,0))),"")</s:f>
        <s:v>retain</s:v>
      </s:c>
      <s:c r="L112" s="15" t="str">
        <s:f>IFERROR(IF(INDEX('C_jama.2025.24175'!$E$2:$E$15,MATCH(C112,'C_jama.2025.24175'!$A$2:$A$15,0))="","",INDEX('C_jama.2025.24175'!$E$2:$E$15,MATCH(C112,'C_jama.2025.24175'!$A$2:$A$15,0))),"")</s:f>
        <s:v>statistical_results</s:v>
      </s:c>
      <s:c r="M112" s="15" t="str">
        <s:f>IFERROR(IF(AND(K112="retain",L112="statistical_results"),IF(INDEX('C_jama.2025.24175'!$H$2:$H$15,MATCH(C112,'C_jama.2025.24175'!$A$2:$A$15,0))="","",INDEX('C_jama.2025.24175'!$H$2:$H$15,MATCH(C112,'C_jama.2025.24175'!$A$2:$A$15,0))),"not_applicable"),"")</s:f>
        <s:v>confirmed_issue</s:v>
      </s:c>
      <s:c r="N112" s="15" t="str">
        <s:f>IFERROR(IF(AND(K112="retain",L112="statistical_results"),IF(INDEX('C_jama.2025.24175'!$I$2:$I$15,MATCH(C112,'C_jama.2025.24175'!$A$2:$A$15,0))="","",INDEX('C_jama.2025.24175'!$I$2:$I$15,MATCH(C112,'C_jama.2025.24175'!$A$2:$A$15,0))),"not_applicable"),"")</s:f>
        <s:v>substantive</s:v>
      </s:c>
      <s:c r="O112" s="15" t="str">
        <s:f>IFERROR(IF(AND(K112="retain",L112="statistical_results"),IF(INDEX('C_jama.2025.24175'!$J$2:$J$15,MATCH(C112,'C_jama.2025.24175'!$A$2:$A$15,0))="","",INDEX('C_jama.2025.24175'!$J$2:$J$15,MATCH(C112,'C_jama.2025.24175'!$A$2:$A$15,0))),"not_applicable"),"")</s:f>
        <s:v/>
      </s:c>
      <s:c r="P112" s="15" t="str">
        <s:f>IFERROR(IF(AND(K112="retain",OR(L112="report_internal_inconsistency",L112="plan_material")),IF(INDEX('C_jama.2025.24175'!$K$2:$K$15,MATCH(C112,'C_jama.2025.24175'!$A$2:$A$15,0))="","",INDEX('C_jama.2025.24175'!$K$2:$K$15,MATCH(C112,'C_jama.2025.24175'!$A$2:$A$15,0))),"not_applicable"),"")</s:f>
        <s:v>not_applicable</s:v>
      </s:c>
      <s:c r="Q112" s="15" t="str">
        <s:f>IFERROR(IF(AND(K112="retain",L112="protocol_report"),IF(INDEX('C_jama.2025.24175'!$L$2:$L$15,MATCH(C112,'C_jama.2025.24175'!$A$2:$A$15,0))="","",INDEX('C_jama.2025.24175'!$L$2:$L$15,MATCH(C112,'C_jama.2025.24175'!$A$2:$A$15,0))),"not_applicable"),"")</s:f>
        <s:v>not_applicable</s:v>
      </s:c>
      <s:c r="R112" s="15" t="str">
        <s:f>IFERROR(IF(INDEX('C_jama.2025.24175'!$R$2:$R$15,MATCH(C112,'C_jama.2025.24175'!$A$2:$A$15,0))="","",INDEX('C_jama.2025.24175'!$R$2:$R$15,MATCH(C112,'C_jama.2025.24175'!$A$2:$A$15,0))),"")</s:f>
        <s:v>TEST 2025::jama.2025.24175::C013</s:v>
      </s:c>
      <s:c r="S112" s="15" t="str">
        <s:f>IF(Setup!$B$3="","",Setup!$B$3)</s:f>
        <s:v>TEST ONLY</s:v>
      </s:c>
    </s:row>
    <s:row r="113" ht="72" customFormat="1" customHeight="1" s="8">
      <s:c r="A113" s="16" t="n">
        <s:v>2025</s:v>
      </s:c>
      <s:c r="B113" s="16" t="inlineStr">
        <s:is>
          <s:t>jama.2025.24175</s:t>
        </s:is>
      </s:c>
      <s:c r="C113" s="16" t="inlineStr">
        <s:is>
          <s:t>2025::jama.2025.24175::C014</s:t>
        </s:is>
      </s:c>
      <s:c r="D113" s="16" t="inlineStr">
        <s:is>
          <s:t>P_P</s:t>
        </s:is>
      </s:c>
      <s:c r="E113" s="16" t="str">
        <s:f>Setup!$B$4</s:f>
        <s:v>R_A</s:v>
      </s:c>
      <s:c r="F113" s="16" t="str">
        <s:f>IF(Setup!$B$2="","",Setup!$B$2)</s:f>
        <s:v>TEST_REVIEWER</s:v>
      </s:c>
      <s:c r="G113" s="16" t="str">
        <s:f>IFERROR(INDEX('C_jama.2025.24175'!$G$2:$G$15,MATCH(C113,'C_jama.2025.24175'!$A$2:$A$15,0)),"CHECK KEY")</s:f>
        <s:v>PRIMARY READY</s:v>
      </s:c>
      <s:c r="H113" s="16" t="str">
        <s: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s:f>
        <s:v>plan_descriptive</s:v>
      </s:c>
      <s:c r="I113" s="16" t="inlineStr">
        <s:is>
          <s:t>exclude</s:t>
        </s:is>
      </s:c>
      <s:c r="J113" s="16" t="inlineStr">
        <s:is>
          <s:t>plan_material</s:t>
        </s:is>
      </s:c>
      <s:c r="K113" s="16" t="str">
        <s:f>IFERROR(IF(INDEX('C_jama.2025.24175'!$D$2:$D$15,MATCH(C113,'C_jama.2025.24175'!$A$2:$A$15,0))="","",INDEX('C_jama.2025.24175'!$D$2:$D$15,MATCH(C113,'C_jama.2025.24175'!$A$2:$A$15,0))),"")</s:f>
        <s:v>retain</s:v>
      </s:c>
      <s:c r="L113" s="16" t="str">
        <s:f>IFERROR(IF(INDEX('C_jama.2025.24175'!$E$2:$E$15,MATCH(C113,'C_jama.2025.24175'!$A$2:$A$15,0))="","",INDEX('C_jama.2025.24175'!$E$2:$E$15,MATCH(C113,'C_jama.2025.24175'!$A$2:$A$15,0))),"")</s:f>
        <s:v>plan_material</s:v>
      </s:c>
      <s:c r="M113" s="16" t="str">
        <s:f>IFERROR(IF(AND(K113="retain",L113="statistical_results"),IF(INDEX('C_jama.2025.24175'!$H$2:$H$15,MATCH(C113,'C_jama.2025.24175'!$A$2:$A$15,0))="","",INDEX('C_jama.2025.24175'!$H$2:$H$15,MATCH(C113,'C_jama.2025.24175'!$A$2:$A$15,0))),"not_applicable"),"")</s:f>
        <s:v>not_applicable</s:v>
      </s:c>
      <s:c r="N113" s="16" t="str">
        <s:f>IFERROR(IF(AND(K113="retain",L113="statistical_results"),IF(INDEX('C_jama.2025.24175'!$I$2:$I$15,MATCH(C113,'C_jama.2025.24175'!$A$2:$A$15,0))="","",INDEX('C_jama.2025.24175'!$I$2:$I$15,MATCH(C113,'C_jama.2025.24175'!$A$2:$A$15,0))),"not_applicable"),"")</s:f>
        <s:v>not_applicable</s:v>
      </s:c>
      <s:c r="O113" s="16" t="str">
        <s:f>IFERROR(IF(AND(K113="retain",L113="statistical_results"),IF(INDEX('C_jama.2025.24175'!$J$2:$J$15,MATCH(C113,'C_jama.2025.24175'!$A$2:$A$15,0))="","",INDEX('C_jama.2025.24175'!$J$2:$J$15,MATCH(C113,'C_jama.2025.24175'!$A$2:$A$15,0))),"not_applicable"),"")</s:f>
        <s:v>not_applicable</s:v>
      </s:c>
      <s:c r="P113" s="16" t="str">
        <s:f>IFERROR(IF(AND(K113="retain",OR(L113="report_internal_inconsistency",L113="plan_material")),IF(INDEX('C_jama.2025.24175'!$K$2:$K$15,MATCH(C113,'C_jama.2025.24175'!$A$2:$A$15,0))="","",INDEX('C_jama.2025.24175'!$K$2:$K$15,MATCH(C113,'C_jama.2025.24175'!$A$2:$A$15,0))),"not_applicable"),"")</s:f>
        <s:v>substantive_inconsistency</s:v>
      </s:c>
      <s:c r="Q113" s="16" t="str">
        <s:f>IFERROR(IF(AND(K113="retain",L113="protocol_report"),IF(INDEX('C_jama.2025.24175'!$L$2:$L$15,MATCH(C113,'C_jama.2025.24175'!$A$2:$A$15,0))="","",INDEX('C_jama.2025.24175'!$L$2:$L$15,MATCH(C113,'C_jama.2025.24175'!$A$2:$A$15,0))),"not_applicable"),"")</s:f>
        <s:v>not_applicable</s:v>
      </s:c>
      <s:c r="R113" s="16" t="str">
        <s:f>IFERROR(IF(INDEX('C_jama.2025.24175'!$R$2:$R$15,MATCH(C113,'C_jama.2025.24175'!$A$2:$A$15,0))="","",INDEX('C_jama.2025.24175'!$R$2:$R$15,MATCH(C113,'C_jama.2025.24175'!$A$2:$A$15,0))),"")</s:f>
        <s:v>TEST 2025::jama.2025.24175::C014</s:v>
      </s:c>
      <s:c r="S113" s="16" t="str">
        <s:f>IF(Setup!$B$3="","",Setup!$B$3)</s:f>
        <s:v>TEST ONLY</s:v>
      </s:c>
    </s:row>
    <s:row r="114" ht="72" customFormat="1" customHeight="1" s="8">
      <s:c r="A114" s="15" t="n">
        <s:v>2025</s:v>
      </s:c>
      <s:c r="B114" s="15" t="inlineStr">
        <s:is>
          <s:t>jama.2025.4390</s:t>
        </s:is>
      </s:c>
      <s:c r="C114" s="15" t="inlineStr">
        <s:is>
          <s:t>2025::jama.2025.4390::C001</s:t>
        </s:is>
      </s:c>
      <s:c r="D114" s="15" t="inlineStr">
        <s:is>
          <s:t>S_W</s:t>
        </s:is>
      </s:c>
      <s:c r="E114" s="15" t="str">
        <s:f>Setup!$B$4</s:f>
        <s:v>R_A</s:v>
      </s:c>
      <s:c r="F114" s="15" t="str">
        <s:f>IF(Setup!$B$2="","",Setup!$B$2)</s:f>
        <s:v>TEST_REVIEWER</s:v>
      </s:c>
      <s:c r="G114" s="15" t="str">
        <s:f>IFERROR(INDEX('C_jama.2025.4390'!$G$2:$G$4,MATCH(C114,'C_jama.2025.4390'!$A$2:$A$4,0)),"CHECK KEY")</s:f>
        <s:v>PRIMARY READY</s:v>
      </s:c>
      <s:c r="H114" s="15" t="str">
        <s: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s:f>
        <s:v>secondary_temporal</s:v>
      </s:c>
      <s:c r="I114" s="15" t="inlineStr">
        <s:is>
          <s:t>retain</s:t>
        </s:is>
      </s:c>
      <s:c r="J114" s="15" t="inlineStr">
        <s:is>
          <s:t>report_internal_inconsistency</s:t>
        </s:is>
      </s:c>
      <s:c r="K114" s="15" t="str">
        <s:f>IFERROR(IF(INDEX('C_jama.2025.4390'!$D$2:$D$4,MATCH(C114,'C_jama.2025.4390'!$A$2:$A$4,0))="","",INDEX('C_jama.2025.4390'!$D$2:$D$4,MATCH(C114,'C_jama.2025.4390'!$A$2:$A$4,0))),"")</s:f>
        <s:v>retain</s:v>
      </s:c>
      <s:c r="L114" s="15" t="str">
        <s:f>IFERROR(IF(INDEX('C_jama.2025.4390'!$E$2:$E$4,MATCH(C114,'C_jama.2025.4390'!$A$2:$A$4,0))="","",INDEX('C_jama.2025.4390'!$E$2:$E$4,MATCH(C114,'C_jama.2025.4390'!$A$2:$A$4,0))),"")</s:f>
        <s:v>report_internal_inconsistency</s:v>
      </s:c>
      <s:c r="M114" s="15" t="str">
        <s:f>IFERROR(IF(AND(K114="retain",L114="statistical_results"),IF(INDEX('C_jama.2025.4390'!$H$2:$H$4,MATCH(C114,'C_jama.2025.4390'!$A$2:$A$4,0))="","",INDEX('C_jama.2025.4390'!$H$2:$H$4,MATCH(C114,'C_jama.2025.4390'!$A$2:$A$4,0))),"not_applicable"),"")</s:f>
        <s:v>not_applicable</s:v>
      </s:c>
      <s:c r="N114" s="15" t="str">
        <s:f>IFERROR(IF(AND(K114="retain",L114="statistical_results"),IF(INDEX('C_jama.2025.4390'!$I$2:$I$4,MATCH(C114,'C_jama.2025.4390'!$A$2:$A$4,0))="","",INDEX('C_jama.2025.4390'!$I$2:$I$4,MATCH(C114,'C_jama.2025.4390'!$A$2:$A$4,0))),"not_applicable"),"")</s:f>
        <s:v>not_applicable</s:v>
      </s:c>
      <s:c r="O114" s="15" t="str">
        <s:f>IFERROR(IF(AND(K114="retain",L114="statistical_results"),IF(INDEX('C_jama.2025.4390'!$J$2:$J$4,MATCH(C114,'C_jama.2025.4390'!$A$2:$A$4,0))="","",INDEX('C_jama.2025.4390'!$J$2:$J$4,MATCH(C114,'C_jama.2025.4390'!$A$2:$A$4,0))),"not_applicable"),"")</s:f>
        <s:v>not_applicable</s:v>
      </s:c>
      <s:c r="P114" s="15" t="str">
        <s:f>IFERROR(IF(AND(K114="retain",OR(L114="report_internal_inconsistency",L114="plan_material")),IF(INDEX('C_jama.2025.4390'!$K$2:$K$4,MATCH(C114,'C_jama.2025.4390'!$A$2:$A$4,0))="","",INDEX('C_jama.2025.4390'!$K$2:$K$4,MATCH(C114,'C_jama.2025.4390'!$A$2:$A$4,0))),"not_applicable"),"")</s:f>
        <s:v>substantive_inconsistency</s:v>
      </s:c>
      <s:c r="Q114" s="15" t="str">
        <s:f>IFERROR(IF(AND(K114="retain",L114="protocol_report"),IF(INDEX('C_jama.2025.4390'!$L$2:$L$4,MATCH(C114,'C_jama.2025.4390'!$A$2:$A$4,0))="","",INDEX('C_jama.2025.4390'!$L$2:$L$4,MATCH(C114,'C_jama.2025.4390'!$A$2:$A$4,0))),"not_applicable"),"")</s:f>
        <s:v>not_applicable</s:v>
      </s:c>
      <s:c r="R114" s="15" t="str">
        <s:f>IFERROR(IF(INDEX('C_jama.2025.4390'!$R$2:$R$4,MATCH(C114,'C_jama.2025.4390'!$A$2:$A$4,0))="","",INDEX('C_jama.2025.4390'!$R$2:$R$4,MATCH(C114,'C_jama.2025.4390'!$A$2:$A$4,0))),"")</s:f>
        <s:v>TEST 2025::jama.2025.4390::C001</s:v>
      </s:c>
      <s:c r="S114" s="15" t="str">
        <s:f>IF(Setup!$B$3="","",Setup!$B$3)</s:f>
        <s:v>TEST ONLY</s:v>
      </s:c>
    </s:row>
    <s:row r="115" ht="72" customFormat="1" customHeight="1" s="8">
      <s:c r="A115" s="16" t="n">
        <s:v>2025</s:v>
      </s:c>
      <s:c r="B115" s="16" t="inlineStr">
        <s:is>
          <s:t>jama.2025.4390</s:t>
        </s:is>
      </s:c>
      <s:c r="C115" s="16" t="inlineStr">
        <s:is>
          <s:t>2025::jama.2025.4390::C002</s:t>
        </s:is>
      </s:c>
      <s:c r="D115" s="16" t="inlineStr">
        <s:is>
          <s:t>S_W</s:t>
        </s:is>
      </s:c>
      <s:c r="E115" s="16" t="str">
        <s:f>Setup!$B$4</s:f>
        <s:v>R_A</s:v>
      </s:c>
      <s:c r="F115" s="16" t="str">
        <s:f>IF(Setup!$B$2="","",Setup!$B$2)</s:f>
        <s:v>TEST_REVIEWER</s:v>
      </s:c>
      <s:c r="G115" s="16" t="str">
        <s:f>IFERROR(INDEX('C_jama.2025.4390'!$G$2:$G$4,MATCH(C115,'C_jama.2025.4390'!$A$2:$A$4,0)),"CHECK KEY")</s:f>
        <s:v>PRIMARY READY</s:v>
      </s:c>
      <s:c r="H115" s="16" t="str">
        <s: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s:f>
        <s:v>secondary_temporal</s:v>
      </s:c>
      <s:c r="I115" s="16" t="inlineStr">
        <s:is>
          <s:t>retain</s:t>
        </s:is>
      </s:c>
      <s:c r="J115" s="16" t="inlineStr">
        <s:is>
          <s:t>report_internal_inconsistency</s:t>
        </s:is>
      </s:c>
      <s:c r="K115" s="16" t="str">
        <s:f>IFERROR(IF(INDEX('C_jama.2025.4390'!$D$2:$D$4,MATCH(C115,'C_jama.2025.4390'!$A$2:$A$4,0))="","",INDEX('C_jama.2025.4390'!$D$2:$D$4,MATCH(C115,'C_jama.2025.4390'!$A$2:$A$4,0))),"")</s:f>
        <s:v>retain</s:v>
      </s:c>
      <s:c r="L115" s="16" t="str">
        <s:f>IFERROR(IF(INDEX('C_jama.2025.4390'!$E$2:$E$4,MATCH(C115,'C_jama.2025.4390'!$A$2:$A$4,0))="","",INDEX('C_jama.2025.4390'!$E$2:$E$4,MATCH(C115,'C_jama.2025.4390'!$A$2:$A$4,0))),"")</s:f>
        <s:v>report_internal_inconsistency</s:v>
      </s:c>
      <s:c r="M115" s="16" t="str">
        <s:f>IFERROR(IF(AND(K115="retain",L115="statistical_results"),IF(INDEX('C_jama.2025.4390'!$H$2:$H$4,MATCH(C115,'C_jama.2025.4390'!$A$2:$A$4,0))="","",INDEX('C_jama.2025.4390'!$H$2:$H$4,MATCH(C115,'C_jama.2025.4390'!$A$2:$A$4,0))),"not_applicable"),"")</s:f>
        <s:v>not_applicable</s:v>
      </s:c>
      <s:c r="N115" s="16" t="str">
        <s:f>IFERROR(IF(AND(K115="retain",L115="statistical_results"),IF(INDEX('C_jama.2025.4390'!$I$2:$I$4,MATCH(C115,'C_jama.2025.4390'!$A$2:$A$4,0))="","",INDEX('C_jama.2025.4390'!$I$2:$I$4,MATCH(C115,'C_jama.2025.4390'!$A$2:$A$4,0))),"not_applicable"),"")</s:f>
        <s:v>not_applicable</s:v>
      </s:c>
      <s:c r="O115" s="16" t="str">
        <s:f>IFERROR(IF(AND(K115="retain",L115="statistical_results"),IF(INDEX('C_jama.2025.4390'!$J$2:$J$4,MATCH(C115,'C_jama.2025.4390'!$A$2:$A$4,0))="","",INDEX('C_jama.2025.4390'!$J$2:$J$4,MATCH(C115,'C_jama.2025.4390'!$A$2:$A$4,0))),"not_applicable"),"")</s:f>
        <s:v>not_applicable</s:v>
      </s:c>
      <s:c r="P115" s="16" t="str">
        <s:f>IFERROR(IF(AND(K115="retain",OR(L115="report_internal_inconsistency",L115="plan_material")),IF(INDEX('C_jama.2025.4390'!$K$2:$K$4,MATCH(C115,'C_jama.2025.4390'!$A$2:$A$4,0))="","",INDEX('C_jama.2025.4390'!$K$2:$K$4,MATCH(C115,'C_jama.2025.4390'!$A$2:$A$4,0))),"not_applicable"),"")</s:f>
        <s:v>substantive_inconsistency</s:v>
      </s:c>
      <s:c r="Q115" s="16" t="str">
        <s:f>IFERROR(IF(AND(K115="retain",L115="protocol_report"),IF(INDEX('C_jama.2025.4390'!$L$2:$L$4,MATCH(C115,'C_jama.2025.4390'!$A$2:$A$4,0))="","",INDEX('C_jama.2025.4390'!$L$2:$L$4,MATCH(C115,'C_jama.2025.4390'!$A$2:$A$4,0))),"not_applicable"),"")</s:f>
        <s:v>not_applicable</s:v>
      </s:c>
      <s:c r="R115" s="16" t="str">
        <s:f>IFERROR(IF(INDEX('C_jama.2025.4390'!$R$2:$R$4,MATCH(C115,'C_jama.2025.4390'!$A$2:$A$4,0))="","",INDEX('C_jama.2025.4390'!$R$2:$R$4,MATCH(C115,'C_jama.2025.4390'!$A$2:$A$4,0))),"")</s:f>
        <s:v>TEST 2025::jama.2025.4390::C002</s:v>
      </s:c>
      <s:c r="S115" s="16" t="str">
        <s:f>IF(Setup!$B$3="","",Setup!$B$3)</s:f>
        <s:v>TEST ONLY</s:v>
      </s:c>
    </s:row>
    <s:row r="116" ht="72" customFormat="1" customHeight="1" s="8">
      <s:c r="A116" s="15" t="n">
        <s:v>2025</s:v>
      </s:c>
      <s:c r="B116" s="15" t="inlineStr">
        <s:is>
          <s:t>jama.2025.4390</s:t>
        </s:is>
      </s:c>
      <s:c r="C116" s="15" t="inlineStr">
        <s:is>
          <s:t>2025::jama.2025.4390::C003</s:t>
        </s:is>
      </s:c>
      <s:c r="D116" s="15" t="inlineStr">
        <s:is>
          <s:t>S_W</s:t>
        </s:is>
      </s:c>
      <s:c r="E116" s="15" t="str">
        <s:f>Setup!$B$4</s:f>
        <s:v>R_A</s:v>
      </s:c>
      <s:c r="F116" s="15" t="str">
        <s:f>IF(Setup!$B$2="","",Setup!$B$2)</s:f>
        <s:v>TEST_REVIEWER</s:v>
      </s:c>
      <s:c r="G116" s="15" t="str">
        <s:f>IFERROR(INDEX('C_jama.2025.4390'!$G$2:$G$4,MATCH(C116,'C_jama.2025.4390'!$A$2:$A$4,0)),"CHECK KEY")</s:f>
        <s:v>PRIMARY READY</s:v>
      </s:c>
      <s:c r="H116" s="15" t="str">
        <s: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s:f>
        <s:v>primary_temporal</s:v>
      </s:c>
      <s:c r="I116" s="15" t="inlineStr">
        <s:is>
          <s:t>retain</s:t>
        </s:is>
      </s:c>
      <s:c r="J116" s="15" t="inlineStr">
        <s:is>
          <s:t>statistical_results</s:t>
        </s:is>
      </s:c>
      <s:c r="K116" s="15" t="str">
        <s:f>IFERROR(IF(INDEX('C_jama.2025.4390'!$D$2:$D$4,MATCH(C116,'C_jama.2025.4390'!$A$2:$A$4,0))="","",INDEX('C_jama.2025.4390'!$D$2:$D$4,MATCH(C116,'C_jama.2025.4390'!$A$2:$A$4,0))),"")</s:f>
        <s:v>retain</s:v>
      </s:c>
      <s:c r="L116" s="15" t="str">
        <s:f>IFERROR(IF(INDEX('C_jama.2025.4390'!$E$2:$E$4,MATCH(C116,'C_jama.2025.4390'!$A$2:$A$4,0))="","",INDEX('C_jama.2025.4390'!$E$2:$E$4,MATCH(C116,'C_jama.2025.4390'!$A$2:$A$4,0))),"")</s:f>
        <s:v>statistical_results</s:v>
      </s:c>
      <s:c r="M116" s="15" t="str">
        <s:f>IFERROR(IF(AND(K116="retain",L116="statistical_results"),IF(INDEX('C_jama.2025.4390'!$H$2:$H$4,MATCH(C116,'C_jama.2025.4390'!$A$2:$A$4,0))="","",INDEX('C_jama.2025.4390'!$H$2:$H$4,MATCH(C116,'C_jama.2025.4390'!$A$2:$A$4,0))),"not_applicable"),"")</s:f>
        <s:v>confirmed_issue</s:v>
      </s:c>
      <s:c r="N116" s="15" t="str">
        <s:f>IFERROR(IF(AND(K116="retain",L116="statistical_results"),IF(INDEX('C_jama.2025.4390'!$I$2:$I$4,MATCH(C116,'C_jama.2025.4390'!$A$2:$A$4,0))="","",INDEX('C_jama.2025.4390'!$I$2:$I$4,MATCH(C116,'C_jama.2025.4390'!$A$2:$A$4,0))),"not_applicable"),"")</s:f>
        <s:v>substantive</s:v>
      </s:c>
      <s:c r="O116" s="15" t="str">
        <s:f>IFERROR(IF(AND(K116="retain",L116="statistical_results"),IF(INDEX('C_jama.2025.4390'!$J$2:$J$4,MATCH(C116,'C_jama.2025.4390'!$A$2:$A$4,0))="","",INDEX('C_jama.2025.4390'!$J$2:$J$4,MATCH(C116,'C_jama.2025.4390'!$A$2:$A$4,0))),"not_applicable"),"")</s:f>
        <s:v/>
      </s:c>
      <s:c r="P116" s="15" t="str">
        <s:f>IFERROR(IF(AND(K116="retain",OR(L116="report_internal_inconsistency",L116="plan_material")),IF(INDEX('C_jama.2025.4390'!$K$2:$K$4,MATCH(C116,'C_jama.2025.4390'!$A$2:$A$4,0))="","",INDEX('C_jama.2025.4390'!$K$2:$K$4,MATCH(C116,'C_jama.2025.4390'!$A$2:$A$4,0))),"not_applicable"),"")</s:f>
        <s:v>not_applicable</s:v>
      </s:c>
      <s:c r="Q116" s="15" t="str">
        <s:f>IFERROR(IF(AND(K116="retain",L116="protocol_report"),IF(INDEX('C_jama.2025.4390'!$L$2:$L$4,MATCH(C116,'C_jama.2025.4390'!$A$2:$A$4,0))="","",INDEX('C_jama.2025.4390'!$L$2:$L$4,MATCH(C116,'C_jama.2025.4390'!$A$2:$A$4,0))),"not_applicable"),"")</s:f>
        <s:v>not_applicable</s:v>
      </s:c>
      <s:c r="R116" s="15" t="str">
        <s:f>IFERROR(IF(INDEX('C_jama.2025.4390'!$R$2:$R$4,MATCH(C116,'C_jama.2025.4390'!$A$2:$A$4,0))="","",INDEX('C_jama.2025.4390'!$R$2:$R$4,MATCH(C116,'C_jama.2025.4390'!$A$2:$A$4,0))),"")</s:f>
        <s:v>TEST 2025::jama.2025.4390::C003</s:v>
      </s:c>
      <s:c r="S116" s="15" t="str">
        <s:f>IF(Setup!$B$3="","",Setup!$B$3)</s:f>
        <s:v>TEST ONLY</s:v>
      </s:c>
    </s:row>
    <s:row r="117" ht="72" customFormat="1" customHeight="1" s="8">
      <s:c r="A117" s="16" t="n">
        <s:v>2025</s:v>
      </s:c>
      <s:c r="B117" s="16" t="inlineStr">
        <s:is>
          <s:t>jama.2025.7583</s:t>
        </s:is>
      </s:c>
      <s:c r="C117" s="16" t="inlineStr">
        <s:is>
          <s:t>2025::jama.2025.7583::C001</s:t>
        </s:is>
      </s:c>
      <s:c r="D117" s="16" t="inlineStr">
        <s:is>
          <s:t>P_R</s:t>
        </s:is>
      </s:c>
      <s:c r="E117" s="16" t="str">
        <s:f>Setup!$B$4</s:f>
        <s:v>R_A</s:v>
      </s:c>
      <s:c r="F117" s="16" t="str">
        <s:f>IF(Setup!$B$2="","",Setup!$B$2)</s:f>
        <s:v>TEST_REVIEWER</s:v>
      </s:c>
      <s:c r="G117" s="16" t="str">
        <s:f>IFERROR(INDEX('C_jama.2025.7583'!$G$2:$G$4,MATCH(C117,'C_jama.2025.7583'!$A$2:$A$4,0)),"CHECK KEY")</s:f>
        <s:v>PRIMARY READY</s:v>
      </s:c>
      <s:c r="H117" s="16" t="str">
        <s: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s:f>
        <s:v>protocol_descriptive</s:v>
      </s:c>
      <s:c r="I117" s="16" t="inlineStr">
        <s:is>
          <s:t>retain</s:t>
        </s:is>
      </s:c>
      <s:c r="J117" s="16" t="inlineStr">
        <s:is>
          <s:t>protocol_report</s:t>
        </s:is>
      </s:c>
      <s:c r="K117" s="16" t="str">
        <s:f>IFERROR(IF(INDEX('C_jama.2025.7583'!$D$2:$D$4,MATCH(C117,'C_jama.2025.7583'!$A$2:$A$4,0))="","",INDEX('C_jama.2025.7583'!$D$2:$D$4,MATCH(C117,'C_jama.2025.7583'!$A$2:$A$4,0))),"")</s:f>
        <s:v>retain</s:v>
      </s:c>
      <s:c r="L117" s="16" t="str">
        <s:f>IFERROR(IF(INDEX('C_jama.2025.7583'!$E$2:$E$4,MATCH(C117,'C_jama.2025.7583'!$A$2:$A$4,0))="","",INDEX('C_jama.2025.7583'!$E$2:$E$4,MATCH(C117,'C_jama.2025.7583'!$A$2:$A$4,0))),"")</s:f>
        <s:v>protocol_report</s:v>
      </s:c>
      <s:c r="M117" s="16" t="str">
        <s:f>IFERROR(IF(AND(K117="retain",L117="statistical_results"),IF(INDEX('C_jama.2025.7583'!$H$2:$H$4,MATCH(C117,'C_jama.2025.7583'!$A$2:$A$4,0))="","",INDEX('C_jama.2025.7583'!$H$2:$H$4,MATCH(C117,'C_jama.2025.7583'!$A$2:$A$4,0))),"not_applicable"),"")</s:f>
        <s:v>not_applicable</s:v>
      </s:c>
      <s:c r="N117" s="16" t="str">
        <s:f>IFERROR(IF(AND(K117="retain",L117="statistical_results"),IF(INDEX('C_jama.2025.7583'!$I$2:$I$4,MATCH(C117,'C_jama.2025.7583'!$A$2:$A$4,0))="","",INDEX('C_jama.2025.7583'!$I$2:$I$4,MATCH(C117,'C_jama.2025.7583'!$A$2:$A$4,0))),"not_applicable"),"")</s:f>
        <s:v>not_applicable</s:v>
      </s:c>
      <s:c r="O117" s="16" t="str">
        <s:f>IFERROR(IF(AND(K117="retain",L117="statistical_results"),IF(INDEX('C_jama.2025.7583'!$J$2:$J$4,MATCH(C117,'C_jama.2025.7583'!$A$2:$A$4,0))="","",INDEX('C_jama.2025.7583'!$J$2:$J$4,MATCH(C117,'C_jama.2025.7583'!$A$2:$A$4,0))),"not_applicable"),"")</s:f>
        <s:v>not_applicable</s:v>
      </s:c>
      <s:c r="P117" s="16" t="str">
        <s:f>IFERROR(IF(AND(K117="retain",OR(L117="report_internal_inconsistency",L117="plan_material")),IF(INDEX('C_jama.2025.7583'!$K$2:$K$4,MATCH(C117,'C_jama.2025.7583'!$A$2:$A$4,0))="","",INDEX('C_jama.2025.7583'!$K$2:$K$4,MATCH(C117,'C_jama.2025.7583'!$A$2:$A$4,0))),"not_applicable"),"")</s:f>
        <s:v>not_applicable</s:v>
      </s:c>
      <s:c r="Q117" s="16" t="str">
        <s:f>IFERROR(IF(AND(K117="retain",L117="protocol_report"),IF(INDEX('C_jama.2025.7583'!$L$2:$L$4,MATCH(C117,'C_jama.2025.7583'!$A$2:$A$4,0))="","",INDEX('C_jama.2025.7583'!$L$2:$L$4,MATCH(C117,'C_jama.2025.7583'!$A$2:$A$4,0))),"not_applicable"),"")</s:f>
        <s:v/>
      </s:c>
      <s:c r="R117" s="16" t="str">
        <s:f>IFERROR(IF(INDEX('C_jama.2025.7583'!$R$2:$R$4,MATCH(C117,'C_jama.2025.7583'!$A$2:$A$4,0))="","",INDEX('C_jama.2025.7583'!$R$2:$R$4,MATCH(C117,'C_jama.2025.7583'!$A$2:$A$4,0))),"")</s:f>
        <s:v>TEST 2025::jama.2025.7583::C001</s:v>
      </s:c>
      <s:c r="S117" s="16" t="str">
        <s:f>IF(Setup!$B$3="","",Setup!$B$3)</s:f>
        <s:v>TEST ONLY</s:v>
      </s:c>
    </s:row>
    <s:row r="118" ht="72" customFormat="1" customHeight="1" s="8">
      <s:c r="A118" s="15" t="n">
        <s:v>2025</s:v>
      </s:c>
      <s:c r="B118" s="15" t="inlineStr">
        <s:is>
          <s:t>jama.2025.7583</s:t>
        </s:is>
      </s:c>
      <s:c r="C118" s="15" t="inlineStr">
        <s:is>
          <s:t>2025::jama.2025.7583::C002</s:t>
        </s:is>
      </s:c>
      <s:c r="D118" s="15" t="inlineStr">
        <s:is>
          <s:t>P_P</s:t>
        </s:is>
      </s:c>
      <s:c r="E118" s="15" t="str">
        <s:f>Setup!$B$4</s:f>
        <s:v>R_A</s:v>
      </s:c>
      <s:c r="F118" s="15" t="str">
        <s:f>IF(Setup!$B$2="","",Setup!$B$2)</s:f>
        <s:v>TEST_REVIEWER</s:v>
      </s:c>
      <s:c r="G118" s="15" t="str">
        <s:f>IFERROR(INDEX('C_jama.2025.7583'!$G$2:$G$4,MATCH(C118,'C_jama.2025.7583'!$A$2:$A$4,0)),"CHECK KEY")</s:f>
        <s:v>PRIMARY READY</s:v>
      </s:c>
      <s:c r="H118" s="15" t="str">
        <s: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s:f>
        <s:v>plan_descriptive</s:v>
      </s:c>
      <s:c r="I118" s="15" t="inlineStr">
        <s:is>
          <s:t>retain</s:t>
        </s:is>
      </s:c>
      <s:c r="J118" s="15" t="inlineStr">
        <s:is>
          <s:t>plan_material</s:t>
        </s:is>
      </s:c>
      <s:c r="K118" s="15" t="str">
        <s:f>IFERROR(IF(INDEX('C_jama.2025.7583'!$D$2:$D$4,MATCH(C118,'C_jama.2025.7583'!$A$2:$A$4,0))="","",INDEX('C_jama.2025.7583'!$D$2:$D$4,MATCH(C118,'C_jama.2025.7583'!$A$2:$A$4,0))),"")</s:f>
        <s:v>retain</s:v>
      </s:c>
      <s:c r="L118" s="15" t="str">
        <s:f>IFERROR(IF(INDEX('C_jama.2025.7583'!$E$2:$E$4,MATCH(C118,'C_jama.2025.7583'!$A$2:$A$4,0))="","",INDEX('C_jama.2025.7583'!$E$2:$E$4,MATCH(C118,'C_jama.2025.7583'!$A$2:$A$4,0))),"")</s:f>
        <s:v>plan_material</s:v>
      </s:c>
      <s:c r="M118" s="15" t="str">
        <s:f>IFERROR(IF(AND(K118="retain",L118="statistical_results"),IF(INDEX('C_jama.2025.7583'!$H$2:$H$4,MATCH(C118,'C_jama.2025.7583'!$A$2:$A$4,0))="","",INDEX('C_jama.2025.7583'!$H$2:$H$4,MATCH(C118,'C_jama.2025.7583'!$A$2:$A$4,0))),"not_applicable"),"")</s:f>
        <s:v>not_applicable</s:v>
      </s:c>
      <s:c r="N118" s="15" t="str">
        <s:f>IFERROR(IF(AND(K118="retain",L118="statistical_results"),IF(INDEX('C_jama.2025.7583'!$I$2:$I$4,MATCH(C118,'C_jama.2025.7583'!$A$2:$A$4,0))="","",INDEX('C_jama.2025.7583'!$I$2:$I$4,MATCH(C118,'C_jama.2025.7583'!$A$2:$A$4,0))),"not_applicable"),"")</s:f>
        <s:v>not_applicable</s:v>
      </s:c>
      <s:c r="O118" s="15" t="str">
        <s:f>IFERROR(IF(AND(K118="retain",L118="statistical_results"),IF(INDEX('C_jama.2025.7583'!$J$2:$J$4,MATCH(C118,'C_jama.2025.7583'!$A$2:$A$4,0))="","",INDEX('C_jama.2025.7583'!$J$2:$J$4,MATCH(C118,'C_jama.2025.7583'!$A$2:$A$4,0))),"not_applicable"),"")</s:f>
        <s:v>not_applicable</s:v>
      </s:c>
      <s:c r="P118" s="15" t="str">
        <s:f>IFERROR(IF(AND(K118="retain",OR(L118="report_internal_inconsistency",L118="plan_material")),IF(INDEX('C_jama.2025.7583'!$K$2:$K$4,MATCH(C118,'C_jama.2025.7583'!$A$2:$A$4,0))="","",INDEX('C_jama.2025.7583'!$K$2:$K$4,MATCH(C118,'C_jama.2025.7583'!$A$2:$A$4,0))),"not_applicable"),"")</s:f>
        <s:v>substantive_inconsistency</s:v>
      </s:c>
      <s:c r="Q118" s="15" t="str">
        <s:f>IFERROR(IF(AND(K118="retain",L118="protocol_report"),IF(INDEX('C_jama.2025.7583'!$L$2:$L$4,MATCH(C118,'C_jama.2025.7583'!$A$2:$A$4,0))="","",INDEX('C_jama.2025.7583'!$L$2:$L$4,MATCH(C118,'C_jama.2025.7583'!$A$2:$A$4,0))),"not_applicable"),"")</s:f>
        <s:v>not_applicable</s:v>
      </s:c>
      <s:c r="R118" s="15" t="str">
        <s:f>IFERROR(IF(INDEX('C_jama.2025.7583'!$R$2:$R$4,MATCH(C118,'C_jama.2025.7583'!$A$2:$A$4,0))="","",INDEX('C_jama.2025.7583'!$R$2:$R$4,MATCH(C118,'C_jama.2025.7583'!$A$2:$A$4,0))),"")</s:f>
        <s:v>TEST 2025::jama.2025.7583::C002</s:v>
      </s:c>
      <s:c r="S118" s="15" t="str">
        <s:f>IF(Setup!$B$3="","",Setup!$B$3)</s:f>
        <s:v>TEST ONLY</s:v>
      </s:c>
    </s:row>
    <s:row r="119" ht="72" customFormat="1" customHeight="1" s="8">
      <s:c r="A119" s="16" t="n">
        <s:v>2025</s:v>
      </s:c>
      <s:c r="B119" s="16" t="inlineStr">
        <s:is>
          <s:t>jama.2025.7583</s:t>
        </s:is>
      </s:c>
      <s:c r="C119" s="16" t="inlineStr">
        <s:is>
          <s:t>2025::jama.2025.7583::C003</s:t>
        </s:is>
      </s:c>
      <s:c r="D119" s="16" t="inlineStr">
        <s:is>
          <s:t>S_W</s:t>
        </s:is>
      </s:c>
      <s:c r="E119" s="16" t="str">
        <s:f>Setup!$B$4</s:f>
        <s:v>R_A</s:v>
      </s:c>
      <s:c r="F119" s="16" t="str">
        <s:f>IF(Setup!$B$2="","",Setup!$B$2)</s:f>
        <s:v>TEST_REVIEWER</s:v>
      </s:c>
      <s:c r="G119" s="16" t="str">
        <s:f>IFERROR(INDEX('C_jama.2025.7583'!$G$2:$G$4,MATCH(C119,'C_jama.2025.7583'!$A$2:$A$4,0)),"CHECK KEY")</s:f>
        <s:v>PRIMARY READY</s:v>
      </s:c>
      <s:c r="H119" s="16" t="str">
        <s: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s:f>
        <s:v>primary_temporal</s:v>
      </s:c>
      <s:c r="I119" s="16" t="inlineStr">
        <s:is>
          <s:t>retain</s:t>
        </s:is>
      </s:c>
      <s:c r="J119" s="16" t="inlineStr">
        <s:is>
          <s:t>statistical_results</s:t>
        </s:is>
      </s:c>
      <s:c r="K119" s="16" t="str">
        <s:f>IFERROR(IF(INDEX('C_jama.2025.7583'!$D$2:$D$4,MATCH(C119,'C_jama.2025.7583'!$A$2:$A$4,0))="","",INDEX('C_jama.2025.7583'!$D$2:$D$4,MATCH(C119,'C_jama.2025.7583'!$A$2:$A$4,0))),"")</s:f>
        <s:v>retain</s:v>
      </s:c>
      <s:c r="L119" s="16" t="str">
        <s:f>IFERROR(IF(INDEX('C_jama.2025.7583'!$E$2:$E$4,MATCH(C119,'C_jama.2025.7583'!$A$2:$A$4,0))="","",INDEX('C_jama.2025.7583'!$E$2:$E$4,MATCH(C119,'C_jama.2025.7583'!$A$2:$A$4,0))),"")</s:f>
        <s:v>statistical_results</s:v>
      </s:c>
      <s:c r="M119" s="16" t="str">
        <s:f>IFERROR(IF(AND(K119="retain",L119="statistical_results"),IF(INDEX('C_jama.2025.7583'!$H$2:$H$4,MATCH(C119,'C_jama.2025.7583'!$A$2:$A$4,0))="","",INDEX('C_jama.2025.7583'!$H$2:$H$4,MATCH(C119,'C_jama.2025.7583'!$A$2:$A$4,0))),"not_applicable"),"")</s:f>
        <s:v>confirmed_issue</s:v>
      </s:c>
      <s:c r="N119" s="16" t="str">
        <s:f>IFERROR(IF(AND(K119="retain",L119="statistical_results"),IF(INDEX('C_jama.2025.7583'!$I$2:$I$4,MATCH(C119,'C_jama.2025.7583'!$A$2:$A$4,0))="","",INDEX('C_jama.2025.7583'!$I$2:$I$4,MATCH(C119,'C_jama.2025.7583'!$A$2:$A$4,0))),"not_applicable"),"")</s:f>
        <s:v>substantive</s:v>
      </s:c>
      <s:c r="O119" s="16" t="str">
        <s:f>IFERROR(IF(AND(K119="retain",L119="statistical_results"),IF(INDEX('C_jama.2025.7583'!$J$2:$J$4,MATCH(C119,'C_jama.2025.7583'!$A$2:$A$4,0))="","",INDEX('C_jama.2025.7583'!$J$2:$J$4,MATCH(C119,'C_jama.2025.7583'!$A$2:$A$4,0))),"not_applicable"),"")</s:f>
        <s:v/>
      </s:c>
      <s:c r="P119" s="16" t="str">
        <s:f>IFERROR(IF(AND(K119="retain",OR(L119="report_internal_inconsistency",L119="plan_material")),IF(INDEX('C_jama.2025.7583'!$K$2:$K$4,MATCH(C119,'C_jama.2025.7583'!$A$2:$A$4,0))="","",INDEX('C_jama.2025.7583'!$K$2:$K$4,MATCH(C119,'C_jama.2025.7583'!$A$2:$A$4,0))),"not_applicable"),"")</s:f>
        <s:v>not_applicable</s:v>
      </s:c>
      <s:c r="Q119" s="16" t="str">
        <s:f>IFERROR(IF(AND(K119="retain",L119="protocol_report"),IF(INDEX('C_jama.2025.7583'!$L$2:$L$4,MATCH(C119,'C_jama.2025.7583'!$A$2:$A$4,0))="","",INDEX('C_jama.2025.7583'!$L$2:$L$4,MATCH(C119,'C_jama.2025.7583'!$A$2:$A$4,0))),"not_applicable"),"")</s:f>
        <s:v>not_applicable</s:v>
      </s:c>
      <s:c r="R119" s="16" t="str">
        <s:f>IFERROR(IF(INDEX('C_jama.2025.7583'!$R$2:$R$4,MATCH(C119,'C_jama.2025.7583'!$A$2:$A$4,0))="","",INDEX('C_jama.2025.7583'!$R$2:$R$4,MATCH(C119,'C_jama.2025.7583'!$A$2:$A$4,0))),"")</s:f>
        <s:v>TEST 2025::jama.2025.7583::C003</s:v>
      </s:c>
      <s:c r="S119" s="16" t="str">
        <s:f>IF(Setup!$B$3="","",Setup!$B$3)</s:f>
        <s:v>TEST ONLY</s:v>
      </s:c>
    </s:row>
    <s:row r="120" ht="72" customFormat="1" customHeight="1" s="8">
      <s:c r="A120" s="15" t="n">
        <s:v>2025</s:v>
      </s:c>
      <s:c r="B120" s="15" t="inlineStr">
        <s:is>
          <s:t>jama.2025.7710</s:t>
        </s:is>
      </s:c>
      <s:c r="C120" s="15" t="inlineStr">
        <s:is>
          <s:t>2025::jama.2025.7710::C001</s:t>
        </s:is>
      </s:c>
      <s:c r="D120" s="15" t="inlineStr">
        <s:is>
          <s:t>P_P</s:t>
        </s:is>
      </s:c>
      <s:c r="E120" s="15" t="str">
        <s:f>Setup!$B$4</s:f>
        <s:v>R_A</s:v>
      </s:c>
      <s:c r="F120" s="15" t="str">
        <s:f>IF(Setup!$B$2="","",Setup!$B$2)</s:f>
        <s:v>TEST_REVIEWER</s:v>
      </s:c>
      <s:c r="G120" s="15" t="str">
        <s:f>IFERROR(INDEX('C_jama.2025.7710'!$G$2:$G$5,MATCH(C120,'C_jama.2025.7710'!$A$2:$A$5,0)),"CHECK KEY")</s:f>
        <s:v>PRIMARY READY</s:v>
      </s:c>
      <s:c r="H120" s="15" t="str">
        <s: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s:f>
        <s:v>plan_descriptive</s:v>
      </s:c>
      <s:c r="I120" s="15" t="inlineStr">
        <s:is>
          <s:t>retain</s:t>
        </s:is>
      </s:c>
      <s:c r="J120" s="15" t="inlineStr">
        <s:is>
          <s:t>plan_material</s:t>
        </s:is>
      </s:c>
      <s:c r="K120" s="15" t="str">
        <s:f>IFERROR(IF(INDEX('C_jama.2025.7710'!$D$2:$D$5,MATCH(C120,'C_jama.2025.7710'!$A$2:$A$5,0))="","",INDEX('C_jama.2025.7710'!$D$2:$D$5,MATCH(C120,'C_jama.2025.7710'!$A$2:$A$5,0))),"")</s:f>
        <s:v>retain</s:v>
      </s:c>
      <s:c r="L120" s="15" t="str">
        <s:f>IFERROR(IF(INDEX('C_jama.2025.7710'!$E$2:$E$5,MATCH(C120,'C_jama.2025.7710'!$A$2:$A$5,0))="","",INDEX('C_jama.2025.7710'!$E$2:$E$5,MATCH(C120,'C_jama.2025.7710'!$A$2:$A$5,0))),"")</s:f>
        <s:v>plan_material</s:v>
      </s:c>
      <s:c r="M120" s="15" t="str">
        <s:f>IFERROR(IF(AND(K120="retain",L120="statistical_results"),IF(INDEX('C_jama.2025.7710'!$H$2:$H$5,MATCH(C120,'C_jama.2025.7710'!$A$2:$A$5,0))="","",INDEX('C_jama.2025.7710'!$H$2:$H$5,MATCH(C120,'C_jama.2025.7710'!$A$2:$A$5,0))),"not_applicable"),"")</s:f>
        <s:v>not_applicable</s:v>
      </s:c>
      <s:c r="N120" s="15" t="str">
        <s:f>IFERROR(IF(AND(K120="retain",L120="statistical_results"),IF(INDEX('C_jama.2025.7710'!$I$2:$I$5,MATCH(C120,'C_jama.2025.7710'!$A$2:$A$5,0))="","",INDEX('C_jama.2025.7710'!$I$2:$I$5,MATCH(C120,'C_jama.2025.7710'!$A$2:$A$5,0))),"not_applicable"),"")</s:f>
        <s:v>not_applicable</s:v>
      </s:c>
      <s:c r="O120" s="15" t="str">
        <s:f>IFERROR(IF(AND(K120="retain",L120="statistical_results"),IF(INDEX('C_jama.2025.7710'!$J$2:$J$5,MATCH(C120,'C_jama.2025.7710'!$A$2:$A$5,0))="","",INDEX('C_jama.2025.7710'!$J$2:$J$5,MATCH(C120,'C_jama.2025.7710'!$A$2:$A$5,0))),"not_applicable"),"")</s:f>
        <s:v>not_applicable</s:v>
      </s:c>
      <s:c r="P120" s="15" t="str">
        <s:f>IFERROR(IF(AND(K120="retain",OR(L120="report_internal_inconsistency",L120="plan_material")),IF(INDEX('C_jama.2025.7710'!$K$2:$K$5,MATCH(C120,'C_jama.2025.7710'!$A$2:$A$5,0))="","",INDEX('C_jama.2025.7710'!$K$2:$K$5,MATCH(C120,'C_jama.2025.7710'!$A$2:$A$5,0))),"not_applicable"),"")</s:f>
        <s:v>substantive_inconsistency</s:v>
      </s:c>
      <s:c r="Q120" s="15" t="str">
        <s:f>IFERROR(IF(AND(K120="retain",L120="protocol_report"),IF(INDEX('C_jama.2025.7710'!$L$2:$L$5,MATCH(C120,'C_jama.2025.7710'!$A$2:$A$5,0))="","",INDEX('C_jama.2025.7710'!$L$2:$L$5,MATCH(C120,'C_jama.2025.7710'!$A$2:$A$5,0))),"not_applicable"),"")</s:f>
        <s:v>not_applicable</s:v>
      </s:c>
      <s:c r="R120" s="15" t="str">
        <s:f>IFERROR(IF(INDEX('C_jama.2025.7710'!$R$2:$R$5,MATCH(C120,'C_jama.2025.7710'!$A$2:$A$5,0))="","",INDEX('C_jama.2025.7710'!$R$2:$R$5,MATCH(C120,'C_jama.2025.7710'!$A$2:$A$5,0))),"")</s:f>
        <s:v>TEST 2025::jama.2025.7710::C001</s:v>
      </s:c>
      <s:c r="S120" s="15" t="str">
        <s:f>IF(Setup!$B$3="","",Setup!$B$3)</s:f>
        <s:v>TEST ONLY</s:v>
      </s:c>
    </s:row>
    <s:row r="121" ht="72" customFormat="1" customHeight="1" s="8">
      <s:c r="A121" s="16" t="n">
        <s:v>2025</s:v>
      </s:c>
      <s:c r="B121" s="16" t="inlineStr">
        <s:is>
          <s:t>jama.2025.7710</s:t>
        </s:is>
      </s:c>
      <s:c r="C121" s="16" t="inlineStr">
        <s:is>
          <s:t>2025::jama.2025.7710::C002</s:t>
        </s:is>
      </s:c>
      <s:c r="D121" s="16" t="inlineStr">
        <s:is>
          <s:t>P_P</s:t>
        </s:is>
      </s:c>
      <s:c r="E121" s="16" t="str">
        <s:f>Setup!$B$4</s:f>
        <s:v>R_A</s:v>
      </s:c>
      <s:c r="F121" s="16" t="str">
        <s:f>IF(Setup!$B$2="","",Setup!$B$2)</s:f>
        <s:v>TEST_REVIEWER</s:v>
      </s:c>
      <s:c r="G121" s="16" t="str">
        <s:f>IFERROR(INDEX('C_jama.2025.7710'!$G$2:$G$5,MATCH(C121,'C_jama.2025.7710'!$A$2:$A$5,0)),"CHECK KEY")</s:f>
        <s:v>PRIMARY READY</s:v>
      </s:c>
      <s:c r="H121" s="16" t="str">
        <s: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s:f>
        <s:v>plan_descriptive</s:v>
      </s:c>
      <s:c r="I121" s="16" t="inlineStr">
        <s:is>
          <s:t>retain</s:t>
        </s:is>
      </s:c>
      <s:c r="J121" s="16" t="inlineStr">
        <s:is>
          <s:t>plan_material</s:t>
        </s:is>
      </s:c>
      <s:c r="K121" s="16" t="str">
        <s:f>IFERROR(IF(INDEX('C_jama.2025.7710'!$D$2:$D$5,MATCH(C121,'C_jama.2025.7710'!$A$2:$A$5,0))="","",INDEX('C_jama.2025.7710'!$D$2:$D$5,MATCH(C121,'C_jama.2025.7710'!$A$2:$A$5,0))),"")</s:f>
        <s:v>retain</s:v>
      </s:c>
      <s:c r="L121" s="16" t="str">
        <s:f>IFERROR(IF(INDEX('C_jama.2025.7710'!$E$2:$E$5,MATCH(C121,'C_jama.2025.7710'!$A$2:$A$5,0))="","",INDEX('C_jama.2025.7710'!$E$2:$E$5,MATCH(C121,'C_jama.2025.7710'!$A$2:$A$5,0))),"")</s:f>
        <s:v>plan_material</s:v>
      </s:c>
      <s:c r="M121" s="16" t="str">
        <s:f>IFERROR(IF(AND(K121="retain",L121="statistical_results"),IF(INDEX('C_jama.2025.7710'!$H$2:$H$5,MATCH(C121,'C_jama.2025.7710'!$A$2:$A$5,0))="","",INDEX('C_jama.2025.7710'!$H$2:$H$5,MATCH(C121,'C_jama.2025.7710'!$A$2:$A$5,0))),"not_applicable"),"")</s:f>
        <s:v>not_applicable</s:v>
      </s:c>
      <s:c r="N121" s="16" t="str">
        <s:f>IFERROR(IF(AND(K121="retain",L121="statistical_results"),IF(INDEX('C_jama.2025.7710'!$I$2:$I$5,MATCH(C121,'C_jama.2025.7710'!$A$2:$A$5,0))="","",INDEX('C_jama.2025.7710'!$I$2:$I$5,MATCH(C121,'C_jama.2025.7710'!$A$2:$A$5,0))),"not_applicable"),"")</s:f>
        <s:v>not_applicable</s:v>
      </s:c>
      <s:c r="O121" s="16" t="str">
        <s:f>IFERROR(IF(AND(K121="retain",L121="statistical_results"),IF(INDEX('C_jama.2025.7710'!$J$2:$J$5,MATCH(C121,'C_jama.2025.7710'!$A$2:$A$5,0))="","",INDEX('C_jama.2025.7710'!$J$2:$J$5,MATCH(C121,'C_jama.2025.7710'!$A$2:$A$5,0))),"not_applicable"),"")</s:f>
        <s:v>not_applicable</s:v>
      </s:c>
      <s:c r="P121" s="16" t="str">
        <s:f>IFERROR(IF(AND(K121="retain",OR(L121="report_internal_inconsistency",L121="plan_material")),IF(INDEX('C_jama.2025.7710'!$K$2:$K$5,MATCH(C121,'C_jama.2025.7710'!$A$2:$A$5,0))="","",INDEX('C_jama.2025.7710'!$K$2:$K$5,MATCH(C121,'C_jama.2025.7710'!$A$2:$A$5,0))),"not_applicable"),"")</s:f>
        <s:v>substantive_inconsistency</s:v>
      </s:c>
      <s:c r="Q121" s="16" t="str">
        <s:f>IFERROR(IF(AND(K121="retain",L121="protocol_report"),IF(INDEX('C_jama.2025.7710'!$L$2:$L$5,MATCH(C121,'C_jama.2025.7710'!$A$2:$A$5,0))="","",INDEX('C_jama.2025.7710'!$L$2:$L$5,MATCH(C121,'C_jama.2025.7710'!$A$2:$A$5,0))),"not_applicable"),"")</s:f>
        <s:v>not_applicable</s:v>
      </s:c>
      <s:c r="R121" s="16" t="str">
        <s:f>IFERROR(IF(INDEX('C_jama.2025.7710'!$R$2:$R$5,MATCH(C121,'C_jama.2025.7710'!$A$2:$A$5,0))="","",INDEX('C_jama.2025.7710'!$R$2:$R$5,MATCH(C121,'C_jama.2025.7710'!$A$2:$A$5,0))),"")</s:f>
        <s:v>TEST 2025::jama.2025.7710::C002</s:v>
      </s:c>
      <s:c r="S121" s="16" t="str">
        <s:f>IF(Setup!$B$3="","",Setup!$B$3)</s:f>
        <s:v>TEST ONLY</s:v>
      </s:c>
    </s:row>
    <s:row r="122" ht="72" customFormat="1" customHeight="1" s="8">
      <s:c r="A122" s="15" t="n">
        <s:v>2025</s:v>
      </s:c>
      <s:c r="B122" s="15" t="inlineStr">
        <s:is>
          <s:t>jama.2025.7710</s:t>
        </s:is>
      </s:c>
      <s:c r="C122" s="15" t="inlineStr">
        <s:is>
          <s:t>2025::jama.2025.7710::C003</s:t>
        </s:is>
      </s:c>
      <s:c r="D122" s="15" t="inlineStr">
        <s:is>
          <s:t>P_P</s:t>
        </s:is>
      </s:c>
      <s:c r="E122" s="15" t="str">
        <s:f>Setup!$B$4</s:f>
        <s:v>R_A</s:v>
      </s:c>
      <s:c r="F122" s="15" t="str">
        <s:f>IF(Setup!$B$2="","",Setup!$B$2)</s:f>
        <s:v>TEST_REVIEWER</s:v>
      </s:c>
      <s:c r="G122" s="15" t="str">
        <s:f>IFERROR(INDEX('C_jama.2025.7710'!$G$2:$G$5,MATCH(C122,'C_jama.2025.7710'!$A$2:$A$5,0)),"CHECK KEY")</s:f>
        <s:v>PRIMARY READY</s:v>
      </s:c>
      <s:c r="H122" s="15" t="str">
        <s: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s:f>
        <s:v>plan_descriptive</s:v>
      </s:c>
      <s:c r="I122" s="15" t="inlineStr">
        <s:is>
          <s:t>retain</s:t>
        </s:is>
      </s:c>
      <s:c r="J122" s="15" t="inlineStr">
        <s:is>
          <s:t>plan_material</s:t>
        </s:is>
      </s:c>
      <s:c r="K122" s="15" t="str">
        <s:f>IFERROR(IF(INDEX('C_jama.2025.7710'!$D$2:$D$5,MATCH(C122,'C_jama.2025.7710'!$A$2:$A$5,0))="","",INDEX('C_jama.2025.7710'!$D$2:$D$5,MATCH(C122,'C_jama.2025.7710'!$A$2:$A$5,0))),"")</s:f>
        <s:v>retain</s:v>
      </s:c>
      <s:c r="L122" s="15" t="str">
        <s:f>IFERROR(IF(INDEX('C_jama.2025.7710'!$E$2:$E$5,MATCH(C122,'C_jama.2025.7710'!$A$2:$A$5,0))="","",INDEX('C_jama.2025.7710'!$E$2:$E$5,MATCH(C122,'C_jama.2025.7710'!$A$2:$A$5,0))),"")</s:f>
        <s:v>plan_material</s:v>
      </s:c>
      <s:c r="M122" s="15" t="str">
        <s:f>IFERROR(IF(AND(K122="retain",L122="statistical_results"),IF(INDEX('C_jama.2025.7710'!$H$2:$H$5,MATCH(C122,'C_jama.2025.7710'!$A$2:$A$5,0))="","",INDEX('C_jama.2025.7710'!$H$2:$H$5,MATCH(C122,'C_jama.2025.7710'!$A$2:$A$5,0))),"not_applicable"),"")</s:f>
        <s:v>not_applicable</s:v>
      </s:c>
      <s:c r="N122" s="15" t="str">
        <s:f>IFERROR(IF(AND(K122="retain",L122="statistical_results"),IF(INDEX('C_jama.2025.7710'!$I$2:$I$5,MATCH(C122,'C_jama.2025.7710'!$A$2:$A$5,0))="","",INDEX('C_jama.2025.7710'!$I$2:$I$5,MATCH(C122,'C_jama.2025.7710'!$A$2:$A$5,0))),"not_applicable"),"")</s:f>
        <s:v>not_applicable</s:v>
      </s:c>
      <s:c r="O122" s="15" t="str">
        <s:f>IFERROR(IF(AND(K122="retain",L122="statistical_results"),IF(INDEX('C_jama.2025.7710'!$J$2:$J$5,MATCH(C122,'C_jama.2025.7710'!$A$2:$A$5,0))="","",INDEX('C_jama.2025.7710'!$J$2:$J$5,MATCH(C122,'C_jama.2025.7710'!$A$2:$A$5,0))),"not_applicable"),"")</s:f>
        <s:v>not_applicable</s:v>
      </s:c>
      <s:c r="P122" s="15" t="str">
        <s:f>IFERROR(IF(AND(K122="retain",OR(L122="report_internal_inconsistency",L122="plan_material")),IF(INDEX('C_jama.2025.7710'!$K$2:$K$5,MATCH(C122,'C_jama.2025.7710'!$A$2:$A$5,0))="","",INDEX('C_jama.2025.7710'!$K$2:$K$5,MATCH(C122,'C_jama.2025.7710'!$A$2:$A$5,0))),"not_applicable"),"")</s:f>
        <s:v>substantive_inconsistency</s:v>
      </s:c>
      <s:c r="Q122" s="15" t="str">
        <s:f>IFERROR(IF(AND(K122="retain",L122="protocol_report"),IF(INDEX('C_jama.2025.7710'!$L$2:$L$5,MATCH(C122,'C_jama.2025.7710'!$A$2:$A$5,0))="","",INDEX('C_jama.2025.7710'!$L$2:$L$5,MATCH(C122,'C_jama.2025.7710'!$A$2:$A$5,0))),"not_applicable"),"")</s:f>
        <s:v>not_applicable</s:v>
      </s:c>
      <s:c r="R122" s="15" t="str">
        <s:f>IFERROR(IF(INDEX('C_jama.2025.7710'!$R$2:$R$5,MATCH(C122,'C_jama.2025.7710'!$A$2:$A$5,0))="","",INDEX('C_jama.2025.7710'!$R$2:$R$5,MATCH(C122,'C_jama.2025.7710'!$A$2:$A$5,0))),"")</s:f>
        <s:v>TEST 2025::jama.2025.7710::C003</s:v>
      </s:c>
      <s:c r="S122" s="15" t="str">
        <s:f>IF(Setup!$B$3="","",Setup!$B$3)</s:f>
        <s:v>TEST ONLY</s:v>
      </s:c>
    </s:row>
    <s:row r="123" ht="72" customFormat="1" customHeight="1" s="8">
      <s:c r="A123" s="16" t="n">
        <s:v>2025</s:v>
      </s:c>
      <s:c r="B123" s="16" t="inlineStr">
        <s:is>
          <s:t>jama.2025.7710</s:t>
        </s:is>
      </s:c>
      <s:c r="C123" s="16" t="inlineStr">
        <s:is>
          <s:t>2025::jama.2025.7710::C004</s:t>
        </s:is>
      </s:c>
      <s:c r="D123" s="16" t="inlineStr">
        <s:is>
          <s:t>P_R</s:t>
        </s:is>
      </s:c>
      <s:c r="E123" s="16" t="str">
        <s:f>Setup!$B$4</s:f>
        <s:v>R_A</s:v>
      </s:c>
      <s:c r="F123" s="16" t="str">
        <s:f>IF(Setup!$B$2="","",Setup!$B$2)</s:f>
        <s:v>TEST_REVIEWER</s:v>
      </s:c>
      <s:c r="G123" s="16" t="str">
        <s:f>IFERROR(INDEX('C_jama.2025.7710'!$G$2:$G$5,MATCH(C123,'C_jama.2025.7710'!$A$2:$A$5,0)),"CHECK KEY")</s:f>
        <s:v>PRIMARY READY</s:v>
      </s:c>
      <s:c r="H123" s="16" t="str">
        <s: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s:f>
        <s:v>protocol_descriptive</s:v>
      </s:c>
      <s:c r="I123" s="16" t="inlineStr">
        <s:is>
          <s:t>retain</s:t>
        </s:is>
      </s:c>
      <s:c r="J123" s="16" t="inlineStr">
        <s:is>
          <s:t>protocol_report</s:t>
        </s:is>
      </s:c>
      <s:c r="K123" s="16" t="str">
        <s:f>IFERROR(IF(INDEX('C_jama.2025.7710'!$D$2:$D$5,MATCH(C123,'C_jama.2025.7710'!$A$2:$A$5,0))="","",INDEX('C_jama.2025.7710'!$D$2:$D$5,MATCH(C123,'C_jama.2025.7710'!$A$2:$A$5,0))),"")</s:f>
        <s:v>retain</s:v>
      </s:c>
      <s:c r="L123" s="16" t="str">
        <s:f>IFERROR(IF(INDEX('C_jama.2025.7710'!$E$2:$E$5,MATCH(C123,'C_jama.2025.7710'!$A$2:$A$5,0))="","",INDEX('C_jama.2025.7710'!$E$2:$E$5,MATCH(C123,'C_jama.2025.7710'!$A$2:$A$5,0))),"")</s:f>
        <s:v>protocol_report</s:v>
      </s:c>
      <s:c r="M123" s="16" t="str">
        <s:f>IFERROR(IF(AND(K123="retain",L123="statistical_results"),IF(INDEX('C_jama.2025.7710'!$H$2:$H$5,MATCH(C123,'C_jama.2025.7710'!$A$2:$A$5,0))="","",INDEX('C_jama.2025.7710'!$H$2:$H$5,MATCH(C123,'C_jama.2025.7710'!$A$2:$A$5,0))),"not_applicable"),"")</s:f>
        <s:v>not_applicable</s:v>
      </s:c>
      <s:c r="N123" s="16" t="str">
        <s:f>IFERROR(IF(AND(K123="retain",L123="statistical_results"),IF(INDEX('C_jama.2025.7710'!$I$2:$I$5,MATCH(C123,'C_jama.2025.7710'!$A$2:$A$5,0))="","",INDEX('C_jama.2025.7710'!$I$2:$I$5,MATCH(C123,'C_jama.2025.7710'!$A$2:$A$5,0))),"not_applicable"),"")</s:f>
        <s:v>not_applicable</s:v>
      </s:c>
      <s:c r="O123" s="16" t="str">
        <s:f>IFERROR(IF(AND(K123="retain",L123="statistical_results"),IF(INDEX('C_jama.2025.7710'!$J$2:$J$5,MATCH(C123,'C_jama.2025.7710'!$A$2:$A$5,0))="","",INDEX('C_jama.2025.7710'!$J$2:$J$5,MATCH(C123,'C_jama.2025.7710'!$A$2:$A$5,0))),"not_applicable"),"")</s:f>
        <s:v>not_applicable</s:v>
      </s:c>
      <s:c r="P123" s="16" t="str">
        <s:f>IFERROR(IF(AND(K123="retain",OR(L123="report_internal_inconsistency",L123="plan_material")),IF(INDEX('C_jama.2025.7710'!$K$2:$K$5,MATCH(C123,'C_jama.2025.7710'!$A$2:$A$5,0))="","",INDEX('C_jama.2025.7710'!$K$2:$K$5,MATCH(C123,'C_jama.2025.7710'!$A$2:$A$5,0))),"not_applicable"),"")</s:f>
        <s:v>not_applicable</s:v>
      </s:c>
      <s:c r="Q123" s="16" t="str">
        <s:f>IFERROR(IF(AND(K123="retain",L123="protocol_report"),IF(INDEX('C_jama.2025.7710'!$L$2:$L$5,MATCH(C123,'C_jama.2025.7710'!$A$2:$A$5,0))="","",INDEX('C_jama.2025.7710'!$L$2:$L$5,MATCH(C123,'C_jama.2025.7710'!$A$2:$A$5,0))),"not_applicable"),"")</s:f>
        <s:v/>
      </s:c>
      <s:c r="R123" s="16" t="str">
        <s:f>IFERROR(IF(INDEX('C_jama.2025.7710'!$R$2:$R$5,MATCH(C123,'C_jama.2025.7710'!$A$2:$A$5,0))="","",INDEX('C_jama.2025.7710'!$R$2:$R$5,MATCH(C123,'C_jama.2025.7710'!$A$2:$A$5,0))),"")</s:f>
        <s:v>TEST 2025::jama.2025.7710::C004</s:v>
      </s:c>
      <s:c r="S123" s="16" t="str">
        <s:f>IF(Setup!$B$3="","",Setup!$B$3)</s:f>
        <s:v>TEST ONLY</s:v>
      </s:c>
    </s:row>
    <s:row r="124" ht="72" customFormat="1" customHeight="1" s="8">
      <s:c r="A124" s="15" t="n">
        <s:v>2025</s:v>
      </s:c>
      <s:c r="B124" s="15" t="inlineStr">
        <s:is>
          <s:t>jama.2025.9110</s:t>
        </s:is>
      </s:c>
      <s:c r="C124" s="15" t="inlineStr">
        <s:is>
          <s:t>2025::jama.2025.9110::C001</s:t>
        </s:is>
      </s:c>
      <s:c r="D124" s="15" t="inlineStr">
        <s:is>
          <s:t>S_W</s:t>
        </s:is>
      </s:c>
      <s:c r="E124" s="15" t="str">
        <s:f>Setup!$B$4</s:f>
        <s:v>R_A</s:v>
      </s:c>
      <s:c r="F124" s="15" t="str">
        <s:f>IF(Setup!$B$2="","",Setup!$B$2)</s:f>
        <s:v>TEST_REVIEWER</s:v>
      </s:c>
      <s:c r="G124" s="15" t="str">
        <s:f>IFERROR(INDEX('C_jama.2025.9110'!$G$2:$G$7,MATCH(C124,'C_jama.2025.9110'!$A$2:$A$7,0)),"CHECK KEY")</s:f>
        <s:v>PRIMARY READY</s:v>
      </s:c>
      <s:c r="H124" s="15" t="str">
        <s: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s:f>
        <s:v>secondary_temporal</s:v>
      </s:c>
      <s:c r="I124" s="15" t="inlineStr">
        <s:is>
          <s:t>retain</s:t>
        </s:is>
      </s:c>
      <s:c r="J124" s="15" t="inlineStr">
        <s:is>
          <s:t>report_internal_inconsistency</s:t>
        </s:is>
      </s:c>
      <s:c r="K124" s="15" t="str">
        <s:f>IFERROR(IF(INDEX('C_jama.2025.9110'!$D$2:$D$7,MATCH(C124,'C_jama.2025.9110'!$A$2:$A$7,0))="","",INDEX('C_jama.2025.9110'!$D$2:$D$7,MATCH(C124,'C_jama.2025.9110'!$A$2:$A$7,0))),"")</s:f>
        <s:v>retain</s:v>
      </s:c>
      <s:c r="L124" s="15" t="str">
        <s:f>IFERROR(IF(INDEX('C_jama.2025.9110'!$E$2:$E$7,MATCH(C124,'C_jama.2025.9110'!$A$2:$A$7,0))="","",INDEX('C_jama.2025.9110'!$E$2:$E$7,MATCH(C124,'C_jama.2025.9110'!$A$2:$A$7,0))),"")</s:f>
        <s:v>report_internal_inconsistency</s:v>
      </s:c>
      <s:c r="M124" s="15" t="str">
        <s:f>IFERROR(IF(AND(K124="retain",L124="statistical_results"),IF(INDEX('C_jama.2025.9110'!$H$2:$H$7,MATCH(C124,'C_jama.2025.9110'!$A$2:$A$7,0))="","",INDEX('C_jama.2025.9110'!$H$2:$H$7,MATCH(C124,'C_jama.2025.9110'!$A$2:$A$7,0))),"not_applicable"),"")</s:f>
        <s:v>not_applicable</s:v>
      </s:c>
      <s:c r="N124" s="15" t="str">
        <s:f>IFERROR(IF(AND(K124="retain",L124="statistical_results"),IF(INDEX('C_jama.2025.9110'!$I$2:$I$7,MATCH(C124,'C_jama.2025.9110'!$A$2:$A$7,0))="","",INDEX('C_jama.2025.9110'!$I$2:$I$7,MATCH(C124,'C_jama.2025.9110'!$A$2:$A$7,0))),"not_applicable"),"")</s:f>
        <s:v>not_applicable</s:v>
      </s:c>
      <s:c r="O124" s="15" t="str">
        <s:f>IFERROR(IF(AND(K124="retain",L124="statistical_results"),IF(INDEX('C_jama.2025.9110'!$J$2:$J$7,MATCH(C124,'C_jama.2025.9110'!$A$2:$A$7,0))="","",INDEX('C_jama.2025.9110'!$J$2:$J$7,MATCH(C124,'C_jama.2025.9110'!$A$2:$A$7,0))),"not_applicable"),"")</s:f>
        <s:v>not_applicable</s:v>
      </s:c>
      <s:c r="P124" s="15" t="str">
        <s:f>IFERROR(IF(AND(K124="retain",OR(L124="report_internal_inconsistency",L124="plan_material")),IF(INDEX('C_jama.2025.9110'!$K$2:$K$7,MATCH(C124,'C_jama.2025.9110'!$A$2:$A$7,0))="","",INDEX('C_jama.2025.9110'!$K$2:$K$7,MATCH(C124,'C_jama.2025.9110'!$A$2:$A$7,0))),"not_applicable"),"")</s:f>
        <s:v>substantive_inconsistency</s:v>
      </s:c>
      <s:c r="Q124" s="15" t="str">
        <s:f>IFERROR(IF(AND(K124="retain",L124="protocol_report"),IF(INDEX('C_jama.2025.9110'!$L$2:$L$7,MATCH(C124,'C_jama.2025.9110'!$A$2:$A$7,0))="","",INDEX('C_jama.2025.9110'!$L$2:$L$7,MATCH(C124,'C_jama.2025.9110'!$A$2:$A$7,0))),"not_applicable"),"")</s:f>
        <s:v>not_applicable</s:v>
      </s:c>
      <s:c r="R124" s="15" t="str">
        <s:f>IFERROR(IF(INDEX('C_jama.2025.9110'!$R$2:$R$7,MATCH(C124,'C_jama.2025.9110'!$A$2:$A$7,0))="","",INDEX('C_jama.2025.9110'!$R$2:$R$7,MATCH(C124,'C_jama.2025.9110'!$A$2:$A$7,0))),"")</s:f>
        <s:v>TEST 2025::jama.2025.9110::C001</s:v>
      </s:c>
      <s:c r="S124" s="15" t="str">
        <s:f>IF(Setup!$B$3="","",Setup!$B$3)</s:f>
        <s:v>TEST ONLY</s:v>
      </s:c>
    </s:row>
    <s:row r="125" ht="72" customFormat="1" customHeight="1" s="8">
      <s:c r="A125" s="16" t="n">
        <s:v>2025</s:v>
      </s:c>
      <s:c r="B125" s="16" t="inlineStr">
        <s:is>
          <s:t>jama.2025.9110</s:t>
        </s:is>
      </s:c>
      <s:c r="C125" s="16" t="inlineStr">
        <s:is>
          <s:t>2025::jama.2025.9110::C002</s:t>
        </s:is>
      </s:c>
      <s:c r="D125" s="16" t="inlineStr">
        <s:is>
          <s:t>S_W</s:t>
        </s:is>
      </s:c>
      <s:c r="E125" s="16" t="str">
        <s:f>Setup!$B$4</s:f>
        <s:v>R_A</s:v>
      </s:c>
      <s:c r="F125" s="16" t="str">
        <s:f>IF(Setup!$B$2="","",Setup!$B$2)</s:f>
        <s:v>TEST_REVIEWER</s:v>
      </s:c>
      <s:c r="G125" s="16" t="str">
        <s:f>IFERROR(INDEX('C_jama.2025.9110'!$G$2:$G$7,MATCH(C125,'C_jama.2025.9110'!$A$2:$A$7,0)),"CHECK KEY")</s:f>
        <s:v>PRIMARY READY</s:v>
      </s:c>
      <s:c r="H125" s="16" t="str">
        <s: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s:f>
        <s:v>secondary_temporal</s:v>
      </s:c>
      <s:c r="I125" s="16" t="inlineStr">
        <s:is>
          <s:t>retain</s:t>
        </s:is>
      </s:c>
      <s:c r="J125" s="16" t="inlineStr">
        <s:is>
          <s:t>report_internal_inconsistency</s:t>
        </s:is>
      </s:c>
      <s:c r="K125" s="16" t="str">
        <s:f>IFERROR(IF(INDEX('C_jama.2025.9110'!$D$2:$D$7,MATCH(C125,'C_jama.2025.9110'!$A$2:$A$7,0))="","",INDEX('C_jama.2025.9110'!$D$2:$D$7,MATCH(C125,'C_jama.2025.9110'!$A$2:$A$7,0))),"")</s:f>
        <s:v>retain</s:v>
      </s:c>
      <s:c r="L125" s="16" t="str">
        <s:f>IFERROR(IF(INDEX('C_jama.2025.9110'!$E$2:$E$7,MATCH(C125,'C_jama.2025.9110'!$A$2:$A$7,0))="","",INDEX('C_jama.2025.9110'!$E$2:$E$7,MATCH(C125,'C_jama.2025.9110'!$A$2:$A$7,0))),"")</s:f>
        <s:v>report_internal_inconsistency</s:v>
      </s:c>
      <s:c r="M125" s="16" t="str">
        <s:f>IFERROR(IF(AND(K125="retain",L125="statistical_results"),IF(INDEX('C_jama.2025.9110'!$H$2:$H$7,MATCH(C125,'C_jama.2025.9110'!$A$2:$A$7,0))="","",INDEX('C_jama.2025.9110'!$H$2:$H$7,MATCH(C125,'C_jama.2025.9110'!$A$2:$A$7,0))),"not_applicable"),"")</s:f>
        <s:v>not_applicable</s:v>
      </s:c>
      <s:c r="N125" s="16" t="str">
        <s:f>IFERROR(IF(AND(K125="retain",L125="statistical_results"),IF(INDEX('C_jama.2025.9110'!$I$2:$I$7,MATCH(C125,'C_jama.2025.9110'!$A$2:$A$7,0))="","",INDEX('C_jama.2025.9110'!$I$2:$I$7,MATCH(C125,'C_jama.2025.9110'!$A$2:$A$7,0))),"not_applicable"),"")</s:f>
        <s:v>not_applicable</s:v>
      </s:c>
      <s:c r="O125" s="16" t="str">
        <s:f>IFERROR(IF(AND(K125="retain",L125="statistical_results"),IF(INDEX('C_jama.2025.9110'!$J$2:$J$7,MATCH(C125,'C_jama.2025.9110'!$A$2:$A$7,0))="","",INDEX('C_jama.2025.9110'!$J$2:$J$7,MATCH(C125,'C_jama.2025.9110'!$A$2:$A$7,0))),"not_applicable"),"")</s:f>
        <s:v>not_applicable</s:v>
      </s:c>
      <s:c r="P125" s="16" t="str">
        <s:f>IFERROR(IF(AND(K125="retain",OR(L125="report_internal_inconsistency",L125="plan_material")),IF(INDEX('C_jama.2025.9110'!$K$2:$K$7,MATCH(C125,'C_jama.2025.9110'!$A$2:$A$7,0))="","",INDEX('C_jama.2025.9110'!$K$2:$K$7,MATCH(C125,'C_jama.2025.9110'!$A$2:$A$7,0))),"not_applicable"),"")</s:f>
        <s:v>substantive_inconsistency</s:v>
      </s:c>
      <s:c r="Q125" s="16" t="str">
        <s:f>IFERROR(IF(AND(K125="retain",L125="protocol_report"),IF(INDEX('C_jama.2025.9110'!$L$2:$L$7,MATCH(C125,'C_jama.2025.9110'!$A$2:$A$7,0))="","",INDEX('C_jama.2025.9110'!$L$2:$L$7,MATCH(C125,'C_jama.2025.9110'!$A$2:$A$7,0))),"not_applicable"),"")</s:f>
        <s:v>not_applicable</s:v>
      </s:c>
      <s:c r="R125" s="16" t="str">
        <s:f>IFERROR(IF(INDEX('C_jama.2025.9110'!$R$2:$R$7,MATCH(C125,'C_jama.2025.9110'!$A$2:$A$7,0))="","",INDEX('C_jama.2025.9110'!$R$2:$R$7,MATCH(C125,'C_jama.2025.9110'!$A$2:$A$7,0))),"")</s:f>
        <s:v>TEST 2025::jama.2025.9110::C002</s:v>
      </s:c>
      <s:c r="S125" s="16" t="str">
        <s:f>IF(Setup!$B$3="","",Setup!$B$3)</s:f>
        <s:v>TEST ONLY</s:v>
      </s:c>
    </s:row>
    <s:row r="126" ht="72" customFormat="1" customHeight="1" s="8">
      <s:c r="A126" s="15" t="n">
        <s:v>2025</s:v>
      </s:c>
      <s:c r="B126" s="15" t="inlineStr">
        <s:is>
          <s:t>jama.2025.9110</s:t>
        </s:is>
      </s:c>
      <s:c r="C126" s="15" t="inlineStr">
        <s:is>
          <s:t>2025::jama.2025.9110::C003</s:t>
        </s:is>
      </s:c>
      <s:c r="D126" s="15" t="inlineStr">
        <s:is>
          <s:t>S_W</s:t>
        </s:is>
      </s:c>
      <s:c r="E126" s="15" t="str">
        <s:f>Setup!$B$4</s:f>
        <s:v>R_A</s:v>
      </s:c>
      <s:c r="F126" s="15" t="str">
        <s:f>IF(Setup!$B$2="","",Setup!$B$2)</s:f>
        <s:v>TEST_REVIEWER</s:v>
      </s:c>
      <s:c r="G126" s="15" t="str">
        <s:f>IFERROR(INDEX('C_jama.2025.9110'!$G$2:$G$7,MATCH(C126,'C_jama.2025.9110'!$A$2:$A$7,0)),"CHECK KEY")</s:f>
        <s:v>PRIMARY READY</s:v>
      </s:c>
      <s:c r="H126" s="15" t="str">
        <s: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s:f>
        <s:v>secondary_temporal</s:v>
      </s:c>
      <s:c r="I126" s="15" t="inlineStr">
        <s:is>
          <s:t>retain</s:t>
        </s:is>
      </s:c>
      <s:c r="J126" s="15" t="inlineStr">
        <s:is>
          <s:t>report_internal_inconsistency</s:t>
        </s:is>
      </s:c>
      <s:c r="K126" s="15" t="str">
        <s:f>IFERROR(IF(INDEX('C_jama.2025.9110'!$D$2:$D$7,MATCH(C126,'C_jama.2025.9110'!$A$2:$A$7,0))="","",INDEX('C_jama.2025.9110'!$D$2:$D$7,MATCH(C126,'C_jama.2025.9110'!$A$2:$A$7,0))),"")</s:f>
        <s:v>retain</s:v>
      </s:c>
      <s:c r="L126" s="15" t="str">
        <s:f>IFERROR(IF(INDEX('C_jama.2025.9110'!$E$2:$E$7,MATCH(C126,'C_jama.2025.9110'!$A$2:$A$7,0))="","",INDEX('C_jama.2025.9110'!$E$2:$E$7,MATCH(C126,'C_jama.2025.9110'!$A$2:$A$7,0))),"")</s:f>
        <s:v>report_internal_inconsistency</s:v>
      </s:c>
      <s:c r="M126" s="15" t="str">
        <s:f>IFERROR(IF(AND(K126="retain",L126="statistical_results"),IF(INDEX('C_jama.2025.9110'!$H$2:$H$7,MATCH(C126,'C_jama.2025.9110'!$A$2:$A$7,0))="","",INDEX('C_jama.2025.9110'!$H$2:$H$7,MATCH(C126,'C_jama.2025.9110'!$A$2:$A$7,0))),"not_applicable"),"")</s:f>
        <s:v>not_applicable</s:v>
      </s:c>
      <s:c r="N126" s="15" t="str">
        <s:f>IFERROR(IF(AND(K126="retain",L126="statistical_results"),IF(INDEX('C_jama.2025.9110'!$I$2:$I$7,MATCH(C126,'C_jama.2025.9110'!$A$2:$A$7,0))="","",INDEX('C_jama.2025.9110'!$I$2:$I$7,MATCH(C126,'C_jama.2025.9110'!$A$2:$A$7,0))),"not_applicable"),"")</s:f>
        <s:v>not_applicable</s:v>
      </s:c>
      <s:c r="O126" s="15" t="str">
        <s:f>IFERROR(IF(AND(K126="retain",L126="statistical_results"),IF(INDEX('C_jama.2025.9110'!$J$2:$J$7,MATCH(C126,'C_jama.2025.9110'!$A$2:$A$7,0))="","",INDEX('C_jama.2025.9110'!$J$2:$J$7,MATCH(C126,'C_jama.2025.9110'!$A$2:$A$7,0))),"not_applicable"),"")</s:f>
        <s:v>not_applicable</s:v>
      </s:c>
      <s:c r="P126" s="15" t="str">
        <s:f>IFERROR(IF(AND(K126="retain",OR(L126="report_internal_inconsistency",L126="plan_material")),IF(INDEX('C_jama.2025.9110'!$K$2:$K$7,MATCH(C126,'C_jama.2025.9110'!$A$2:$A$7,0))="","",INDEX('C_jama.2025.9110'!$K$2:$K$7,MATCH(C126,'C_jama.2025.9110'!$A$2:$A$7,0))),"not_applicable"),"")</s:f>
        <s:v>substantive_inconsistency</s:v>
      </s:c>
      <s:c r="Q126" s="15" t="str">
        <s:f>IFERROR(IF(AND(K126="retain",L126="protocol_report"),IF(INDEX('C_jama.2025.9110'!$L$2:$L$7,MATCH(C126,'C_jama.2025.9110'!$A$2:$A$7,0))="","",INDEX('C_jama.2025.9110'!$L$2:$L$7,MATCH(C126,'C_jama.2025.9110'!$A$2:$A$7,0))),"not_applicable"),"")</s:f>
        <s:v>not_applicable</s:v>
      </s:c>
      <s:c r="R126" s="15" t="str">
        <s:f>IFERROR(IF(INDEX('C_jama.2025.9110'!$R$2:$R$7,MATCH(C126,'C_jama.2025.9110'!$A$2:$A$7,0))="","",INDEX('C_jama.2025.9110'!$R$2:$R$7,MATCH(C126,'C_jama.2025.9110'!$A$2:$A$7,0))),"")</s:f>
        <s:v>TEST 2025::jama.2025.9110::C003</s:v>
      </s:c>
      <s:c r="S126" s="15" t="str">
        <s:f>IF(Setup!$B$3="","",Setup!$B$3)</s:f>
        <s:v>TEST ONLY</s:v>
      </s:c>
    </s:row>
    <s:row r="127" ht="72" customFormat="1" customHeight="1" s="8">
      <s:c r="A127" s="16" t="n">
        <s:v>2025</s:v>
      </s:c>
      <s:c r="B127" s="16" t="inlineStr">
        <s:is>
          <s:t>jama.2025.9110</s:t>
        </s:is>
      </s:c>
      <s:c r="C127" s="16" t="inlineStr">
        <s:is>
          <s:t>2025::jama.2025.9110::C004</s:t>
        </s:is>
      </s:c>
      <s:c r="D127" s="16" t="inlineStr">
        <s:is>
          <s:t>S_W</s:t>
        </s:is>
      </s:c>
      <s:c r="E127" s="16" t="str">
        <s:f>Setup!$B$4</s:f>
        <s:v>R_A</s:v>
      </s:c>
      <s:c r="F127" s="16" t="str">
        <s:f>IF(Setup!$B$2="","",Setup!$B$2)</s:f>
        <s:v>TEST_REVIEWER</s:v>
      </s:c>
      <s:c r="G127" s="16" t="str">
        <s:f>IFERROR(INDEX('C_jama.2025.9110'!$G$2:$G$7,MATCH(C127,'C_jama.2025.9110'!$A$2:$A$7,0)),"CHECK KEY")</s:f>
        <s:v>PRIMARY READY</s:v>
      </s:c>
      <s:c r="H127" s="16" t="str">
        <s: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s:f>
        <s:v>secondary_temporal</s:v>
      </s:c>
      <s:c r="I127" s="16" t="inlineStr">
        <s:is>
          <s:t>retain</s:t>
        </s:is>
      </s:c>
      <s:c r="J127" s="16" t="inlineStr">
        <s:is>
          <s:t>report_internal_inconsistency</s:t>
        </s:is>
      </s:c>
      <s:c r="K127" s="16" t="str">
        <s:f>IFERROR(IF(INDEX('C_jama.2025.9110'!$D$2:$D$7,MATCH(C127,'C_jama.2025.9110'!$A$2:$A$7,0))="","",INDEX('C_jama.2025.9110'!$D$2:$D$7,MATCH(C127,'C_jama.2025.9110'!$A$2:$A$7,0))),"")</s:f>
        <s:v>retain</s:v>
      </s:c>
      <s:c r="L127" s="16" t="str">
        <s:f>IFERROR(IF(INDEX('C_jama.2025.9110'!$E$2:$E$7,MATCH(C127,'C_jama.2025.9110'!$A$2:$A$7,0))="","",INDEX('C_jama.2025.9110'!$E$2:$E$7,MATCH(C127,'C_jama.2025.9110'!$A$2:$A$7,0))),"")</s:f>
        <s:v>report_internal_inconsistency</s:v>
      </s:c>
      <s:c r="M127" s="16" t="str">
        <s:f>IFERROR(IF(AND(K127="retain",L127="statistical_results"),IF(INDEX('C_jama.2025.9110'!$H$2:$H$7,MATCH(C127,'C_jama.2025.9110'!$A$2:$A$7,0))="","",INDEX('C_jama.2025.9110'!$H$2:$H$7,MATCH(C127,'C_jama.2025.9110'!$A$2:$A$7,0))),"not_applicable"),"")</s:f>
        <s:v>not_applicable</s:v>
      </s:c>
      <s:c r="N127" s="16" t="str">
        <s:f>IFERROR(IF(AND(K127="retain",L127="statistical_results"),IF(INDEX('C_jama.2025.9110'!$I$2:$I$7,MATCH(C127,'C_jama.2025.9110'!$A$2:$A$7,0))="","",INDEX('C_jama.2025.9110'!$I$2:$I$7,MATCH(C127,'C_jama.2025.9110'!$A$2:$A$7,0))),"not_applicable"),"")</s:f>
        <s:v>not_applicable</s:v>
      </s:c>
      <s:c r="O127" s="16" t="str">
        <s:f>IFERROR(IF(AND(K127="retain",L127="statistical_results"),IF(INDEX('C_jama.2025.9110'!$J$2:$J$7,MATCH(C127,'C_jama.2025.9110'!$A$2:$A$7,0))="","",INDEX('C_jama.2025.9110'!$J$2:$J$7,MATCH(C127,'C_jama.2025.9110'!$A$2:$A$7,0))),"not_applicable"),"")</s:f>
        <s:v>not_applicable</s:v>
      </s:c>
      <s:c r="P127" s="16" t="str">
        <s:f>IFERROR(IF(AND(K127="retain",OR(L127="report_internal_inconsistency",L127="plan_material")),IF(INDEX('C_jama.2025.9110'!$K$2:$K$7,MATCH(C127,'C_jama.2025.9110'!$A$2:$A$7,0))="","",INDEX('C_jama.2025.9110'!$K$2:$K$7,MATCH(C127,'C_jama.2025.9110'!$A$2:$A$7,0))),"not_applicable"),"")</s:f>
        <s:v>substantive_inconsistency</s:v>
      </s:c>
      <s:c r="Q127" s="16" t="str">
        <s:f>IFERROR(IF(AND(K127="retain",L127="protocol_report"),IF(INDEX('C_jama.2025.9110'!$L$2:$L$7,MATCH(C127,'C_jama.2025.9110'!$A$2:$A$7,0))="","",INDEX('C_jama.2025.9110'!$L$2:$L$7,MATCH(C127,'C_jama.2025.9110'!$A$2:$A$7,0))),"not_applicable"),"")</s:f>
        <s:v>not_applicable</s:v>
      </s:c>
      <s:c r="R127" s="16" t="str">
        <s:f>IFERROR(IF(INDEX('C_jama.2025.9110'!$R$2:$R$7,MATCH(C127,'C_jama.2025.9110'!$A$2:$A$7,0))="","",INDEX('C_jama.2025.9110'!$R$2:$R$7,MATCH(C127,'C_jama.2025.9110'!$A$2:$A$7,0))),"")</s:f>
        <s:v>TEST 2025::jama.2025.9110::C004</s:v>
      </s:c>
      <s:c r="S127" s="16" t="str">
        <s:f>IF(Setup!$B$3="","",Setup!$B$3)</s:f>
        <s:v>TEST ONLY</s:v>
      </s:c>
    </s:row>
    <s:row r="128" ht="72" customFormat="1" customHeight="1" s="8">
      <s:c r="A128" s="15" t="n">
        <s:v>2025</s:v>
      </s:c>
      <s:c r="B128" s="15" t="inlineStr">
        <s:is>
          <s:t>jama.2025.9110</s:t>
        </s:is>
      </s:c>
      <s:c r="C128" s="15" t="inlineStr">
        <s:is>
          <s:t>2025::jama.2025.9110::C005</s:t>
        </s:is>
      </s:c>
      <s:c r="D128" s="15" t="inlineStr">
        <s:is>
          <s:t>S_W</s:t>
        </s:is>
      </s:c>
      <s:c r="E128" s="15" t="str">
        <s:f>Setup!$B$4</s:f>
        <s:v>R_A</s:v>
      </s:c>
      <s:c r="F128" s="15" t="str">
        <s:f>IF(Setup!$B$2="","",Setup!$B$2)</s:f>
        <s:v>TEST_REVIEWER</s:v>
      </s:c>
      <s:c r="G128" s="15" t="str">
        <s:f>IFERROR(INDEX('C_jama.2025.9110'!$G$2:$G$7,MATCH(C128,'C_jama.2025.9110'!$A$2:$A$7,0)),"CHECK KEY")</s:f>
        <s:v>PRIMARY READY</s:v>
      </s:c>
      <s:c r="H128" s="15" t="str">
        <s: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s:f>
        <s:v>secondary_temporal</s:v>
      </s:c>
      <s:c r="I128" s="15" t="inlineStr">
        <s:is>
          <s:t>retain</s:t>
        </s:is>
      </s:c>
      <s:c r="J128" s="15" t="inlineStr">
        <s:is>
          <s:t>report_internal_inconsistency</s:t>
        </s:is>
      </s:c>
      <s:c r="K128" s="15" t="str">
        <s:f>IFERROR(IF(INDEX('C_jama.2025.9110'!$D$2:$D$7,MATCH(C128,'C_jama.2025.9110'!$A$2:$A$7,0))="","",INDEX('C_jama.2025.9110'!$D$2:$D$7,MATCH(C128,'C_jama.2025.9110'!$A$2:$A$7,0))),"")</s:f>
        <s:v>retain</s:v>
      </s:c>
      <s:c r="L128" s="15" t="str">
        <s:f>IFERROR(IF(INDEX('C_jama.2025.9110'!$E$2:$E$7,MATCH(C128,'C_jama.2025.9110'!$A$2:$A$7,0))="","",INDEX('C_jama.2025.9110'!$E$2:$E$7,MATCH(C128,'C_jama.2025.9110'!$A$2:$A$7,0))),"")</s:f>
        <s:v>report_internal_inconsistency</s:v>
      </s:c>
      <s:c r="M128" s="15" t="str">
        <s:f>IFERROR(IF(AND(K128="retain",L128="statistical_results"),IF(INDEX('C_jama.2025.9110'!$H$2:$H$7,MATCH(C128,'C_jama.2025.9110'!$A$2:$A$7,0))="","",INDEX('C_jama.2025.9110'!$H$2:$H$7,MATCH(C128,'C_jama.2025.9110'!$A$2:$A$7,0))),"not_applicable"),"")</s:f>
        <s:v>not_applicable</s:v>
      </s:c>
      <s:c r="N128" s="15" t="str">
        <s:f>IFERROR(IF(AND(K128="retain",L128="statistical_results"),IF(INDEX('C_jama.2025.9110'!$I$2:$I$7,MATCH(C128,'C_jama.2025.9110'!$A$2:$A$7,0))="","",INDEX('C_jama.2025.9110'!$I$2:$I$7,MATCH(C128,'C_jama.2025.9110'!$A$2:$A$7,0))),"not_applicable"),"")</s:f>
        <s:v>not_applicable</s:v>
      </s:c>
      <s:c r="O128" s="15" t="str">
        <s:f>IFERROR(IF(AND(K128="retain",L128="statistical_results"),IF(INDEX('C_jama.2025.9110'!$J$2:$J$7,MATCH(C128,'C_jama.2025.9110'!$A$2:$A$7,0))="","",INDEX('C_jama.2025.9110'!$J$2:$J$7,MATCH(C128,'C_jama.2025.9110'!$A$2:$A$7,0))),"not_applicable"),"")</s:f>
        <s:v>not_applicable</s:v>
      </s:c>
      <s:c r="P128" s="15" t="str">
        <s:f>IFERROR(IF(AND(K128="retain",OR(L128="report_internal_inconsistency",L128="plan_material")),IF(INDEX('C_jama.2025.9110'!$K$2:$K$7,MATCH(C128,'C_jama.2025.9110'!$A$2:$A$7,0))="","",INDEX('C_jama.2025.9110'!$K$2:$K$7,MATCH(C128,'C_jama.2025.9110'!$A$2:$A$7,0))),"not_applicable"),"")</s:f>
        <s:v>substantive_inconsistency</s:v>
      </s:c>
      <s:c r="Q128" s="15" t="str">
        <s:f>IFERROR(IF(AND(K128="retain",L128="protocol_report"),IF(INDEX('C_jama.2025.9110'!$L$2:$L$7,MATCH(C128,'C_jama.2025.9110'!$A$2:$A$7,0))="","",INDEX('C_jama.2025.9110'!$L$2:$L$7,MATCH(C128,'C_jama.2025.9110'!$A$2:$A$7,0))),"not_applicable"),"")</s:f>
        <s:v>not_applicable</s:v>
      </s:c>
      <s:c r="R128" s="15" t="str">
        <s:f>IFERROR(IF(INDEX('C_jama.2025.9110'!$R$2:$R$7,MATCH(C128,'C_jama.2025.9110'!$A$2:$A$7,0))="","",INDEX('C_jama.2025.9110'!$R$2:$R$7,MATCH(C128,'C_jama.2025.9110'!$A$2:$A$7,0))),"")</s:f>
        <s:v>TEST 2025::jama.2025.9110::C005</s:v>
      </s:c>
      <s:c r="S128" s="15" t="str">
        <s:f>IF(Setup!$B$3="","",Setup!$B$3)</s:f>
        <s:v>TEST ONLY</s:v>
      </s:c>
    </s:row>
    <s:row r="129" ht="72" customFormat="1" customHeight="1" s="8">
      <s:c r="A129" s="16" t="n">
        <s:v>2025</s:v>
      </s:c>
      <s:c r="B129" s="16" t="inlineStr">
        <s:is>
          <s:t>jama.2025.9110</s:t>
        </s:is>
      </s:c>
      <s:c r="C129" s="16" t="inlineStr">
        <s:is>
          <s:t>2025::jama.2025.9110::C006</s:t>
        </s:is>
      </s:c>
      <s:c r="D129" s="16" t="inlineStr">
        <s:is>
          <s:t>S_W</s:t>
        </s:is>
      </s:c>
      <s:c r="E129" s="16" t="str">
        <s:f>Setup!$B$4</s:f>
        <s:v>R_A</s:v>
      </s:c>
      <s:c r="F129" s="16" t="str">
        <s:f>IF(Setup!$B$2="","",Setup!$B$2)</s:f>
        <s:v>TEST_REVIEWER</s:v>
      </s:c>
      <s:c r="G129" s="16" t="str">
        <s:f>IFERROR(INDEX('C_jama.2025.9110'!$G$2:$G$7,MATCH(C129,'C_jama.2025.9110'!$A$2:$A$7,0)),"CHECK KEY")</s:f>
        <s:v>PRIMARY READY</s:v>
      </s:c>
      <s:c r="H129" s="16" t="str">
        <s: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s:f>
        <s:v>secondary_temporal</s:v>
      </s:c>
      <s:c r="I129" s="16" t="inlineStr">
        <s:is>
          <s:t>retain</s:t>
        </s:is>
      </s:c>
      <s:c r="J129" s="16" t="inlineStr">
        <s:is>
          <s:t>report_internal_inconsistency</s:t>
        </s:is>
      </s:c>
      <s:c r="K129" s="16" t="str">
        <s:f>IFERROR(IF(INDEX('C_jama.2025.9110'!$D$2:$D$7,MATCH(C129,'C_jama.2025.9110'!$A$2:$A$7,0))="","",INDEX('C_jama.2025.9110'!$D$2:$D$7,MATCH(C129,'C_jama.2025.9110'!$A$2:$A$7,0))),"")</s:f>
        <s:v>retain</s:v>
      </s:c>
      <s:c r="L129" s="16" t="str">
        <s:f>IFERROR(IF(INDEX('C_jama.2025.9110'!$E$2:$E$7,MATCH(C129,'C_jama.2025.9110'!$A$2:$A$7,0))="","",INDEX('C_jama.2025.9110'!$E$2:$E$7,MATCH(C129,'C_jama.2025.9110'!$A$2:$A$7,0))),"")</s:f>
        <s:v>report_internal_inconsistency</s:v>
      </s:c>
      <s:c r="M129" s="16" t="str">
        <s:f>IFERROR(IF(AND(K129="retain",L129="statistical_results"),IF(INDEX('C_jama.2025.9110'!$H$2:$H$7,MATCH(C129,'C_jama.2025.9110'!$A$2:$A$7,0))="","",INDEX('C_jama.2025.9110'!$H$2:$H$7,MATCH(C129,'C_jama.2025.9110'!$A$2:$A$7,0))),"not_applicable"),"")</s:f>
        <s:v>not_applicable</s:v>
      </s:c>
      <s:c r="N129" s="16" t="str">
        <s:f>IFERROR(IF(AND(K129="retain",L129="statistical_results"),IF(INDEX('C_jama.2025.9110'!$I$2:$I$7,MATCH(C129,'C_jama.2025.9110'!$A$2:$A$7,0))="","",INDEX('C_jama.2025.9110'!$I$2:$I$7,MATCH(C129,'C_jama.2025.9110'!$A$2:$A$7,0))),"not_applicable"),"")</s:f>
        <s:v>not_applicable</s:v>
      </s:c>
      <s:c r="O129" s="16" t="str">
        <s:f>IFERROR(IF(AND(K129="retain",L129="statistical_results"),IF(INDEX('C_jama.2025.9110'!$J$2:$J$7,MATCH(C129,'C_jama.2025.9110'!$A$2:$A$7,0))="","",INDEX('C_jama.2025.9110'!$J$2:$J$7,MATCH(C129,'C_jama.2025.9110'!$A$2:$A$7,0))),"not_applicable"),"")</s:f>
        <s:v>not_applicable</s:v>
      </s:c>
      <s:c r="P129" s="16" t="str">
        <s:f>IFERROR(IF(AND(K129="retain",OR(L129="report_internal_inconsistency",L129="plan_material")),IF(INDEX('C_jama.2025.9110'!$K$2:$K$7,MATCH(C129,'C_jama.2025.9110'!$A$2:$A$7,0))="","",INDEX('C_jama.2025.9110'!$K$2:$K$7,MATCH(C129,'C_jama.2025.9110'!$A$2:$A$7,0))),"not_applicable"),"")</s:f>
        <s:v>substantive_inconsistency</s:v>
      </s:c>
      <s:c r="Q129" s="16" t="str">
        <s:f>IFERROR(IF(AND(K129="retain",L129="protocol_report"),IF(INDEX('C_jama.2025.9110'!$L$2:$L$7,MATCH(C129,'C_jama.2025.9110'!$A$2:$A$7,0))="","",INDEX('C_jama.2025.9110'!$L$2:$L$7,MATCH(C129,'C_jama.2025.9110'!$A$2:$A$7,0))),"not_applicable"),"")</s:f>
        <s:v>not_applicable</s:v>
      </s:c>
      <s:c r="R129" s="16" t="str">
        <s:f>IFERROR(IF(INDEX('C_jama.2025.9110'!$R$2:$R$7,MATCH(C129,'C_jama.2025.9110'!$A$2:$A$7,0))="","",INDEX('C_jama.2025.9110'!$R$2:$R$7,MATCH(C129,'C_jama.2025.9110'!$A$2:$A$7,0))),"")</s:f>
        <s:v>TEST 2025::jama.2025.9110::C006</s:v>
      </s:c>
      <s:c r="S129" s="16" t="str">
        <s:f>IF(Setup!$B$3="","",Setup!$B$3)</s:f>
        <s:v>TEST ONLY</s:v>
      </s:c>
    </s:row>
    <s:row r="130" ht="72" customFormat="1" customHeight="1" s="8">
      <s:c r="A130" s="15" t="n">
        <s:v>2025</s:v>
      </s:c>
      <s:c r="B130" s="15" t="inlineStr">
        <s:is>
          <s:t>jama.2025.9663</s:t>
        </s:is>
      </s:c>
      <s:c r="C130" s="15" t="inlineStr">
        <s:is>
          <s:t>2025::jama.2025.9663::C001</s:t>
        </s:is>
      </s:c>
      <s:c r="D130" s="15" t="inlineStr">
        <s:is>
          <s:t>S_W</s:t>
        </s:is>
      </s:c>
      <s:c r="E130" s="15" t="str">
        <s:f>Setup!$B$4</s:f>
        <s:v>R_A</s:v>
      </s:c>
      <s:c r="F130" s="15" t="str">
        <s:f>IF(Setup!$B$2="","",Setup!$B$2)</s:f>
        <s:v>TEST_REVIEWER</s:v>
      </s:c>
      <s:c r="G130" s="15" t="str">
        <s:f>IFERROR(INDEX('C_jama.2025.9663'!$G$2:$G$4,MATCH(C130,'C_jama.2025.9663'!$A$2:$A$4,0)),"CHECK KEY")</s:f>
        <s:v>PRIMARY READY</s:v>
      </s:c>
      <s:c r="H130" s="15" t="str">
        <s: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s:f>
        <s:v>secondary_temporal</s:v>
      </s:c>
      <s:c r="I130" s="15" t="inlineStr">
        <s:is>
          <s:t>retain</s:t>
        </s:is>
      </s:c>
      <s:c r="J130" s="15" t="inlineStr">
        <s:is>
          <s:t>report_internal_inconsistency</s:t>
        </s:is>
      </s:c>
      <s:c r="K130" s="15" t="str">
        <s:f>IFERROR(IF(INDEX('C_jama.2025.9663'!$D$2:$D$4,MATCH(C130,'C_jama.2025.9663'!$A$2:$A$4,0))="","",INDEX('C_jama.2025.9663'!$D$2:$D$4,MATCH(C130,'C_jama.2025.9663'!$A$2:$A$4,0))),"")</s:f>
        <s:v>retain</s:v>
      </s:c>
      <s:c r="L130" s="15" t="str">
        <s:f>IFERROR(IF(INDEX('C_jama.2025.9663'!$E$2:$E$4,MATCH(C130,'C_jama.2025.9663'!$A$2:$A$4,0))="","",INDEX('C_jama.2025.9663'!$E$2:$E$4,MATCH(C130,'C_jama.2025.9663'!$A$2:$A$4,0))),"")</s:f>
        <s:v>report_internal_inconsistency</s:v>
      </s:c>
      <s:c r="M130" s="15" t="str">
        <s:f>IFERROR(IF(AND(K130="retain",L130="statistical_results"),IF(INDEX('C_jama.2025.9663'!$H$2:$H$4,MATCH(C130,'C_jama.2025.9663'!$A$2:$A$4,0))="","",INDEX('C_jama.2025.9663'!$H$2:$H$4,MATCH(C130,'C_jama.2025.9663'!$A$2:$A$4,0))),"not_applicable"),"")</s:f>
        <s:v>not_applicable</s:v>
      </s:c>
      <s:c r="N130" s="15" t="str">
        <s:f>IFERROR(IF(AND(K130="retain",L130="statistical_results"),IF(INDEX('C_jama.2025.9663'!$I$2:$I$4,MATCH(C130,'C_jama.2025.9663'!$A$2:$A$4,0))="","",INDEX('C_jama.2025.9663'!$I$2:$I$4,MATCH(C130,'C_jama.2025.9663'!$A$2:$A$4,0))),"not_applicable"),"")</s:f>
        <s:v>not_applicable</s:v>
      </s:c>
      <s:c r="O130" s="15" t="str">
        <s:f>IFERROR(IF(AND(K130="retain",L130="statistical_results"),IF(INDEX('C_jama.2025.9663'!$J$2:$J$4,MATCH(C130,'C_jama.2025.9663'!$A$2:$A$4,0))="","",INDEX('C_jama.2025.9663'!$J$2:$J$4,MATCH(C130,'C_jama.2025.9663'!$A$2:$A$4,0))),"not_applicable"),"")</s:f>
        <s:v>not_applicable</s:v>
      </s:c>
      <s:c r="P130" s="15" t="str">
        <s:f>IFERROR(IF(AND(K130="retain",OR(L130="report_internal_inconsistency",L130="plan_material")),IF(INDEX('C_jama.2025.9663'!$K$2:$K$4,MATCH(C130,'C_jama.2025.9663'!$A$2:$A$4,0))="","",INDEX('C_jama.2025.9663'!$K$2:$K$4,MATCH(C130,'C_jama.2025.9663'!$A$2:$A$4,0))),"not_applicable"),"")</s:f>
        <s:v>substantive_inconsistency</s:v>
      </s:c>
      <s:c r="Q130" s="15" t="str">
        <s:f>IFERROR(IF(AND(K130="retain",L130="protocol_report"),IF(INDEX('C_jama.2025.9663'!$L$2:$L$4,MATCH(C130,'C_jama.2025.9663'!$A$2:$A$4,0))="","",INDEX('C_jama.2025.9663'!$L$2:$L$4,MATCH(C130,'C_jama.2025.9663'!$A$2:$A$4,0))),"not_applicable"),"")</s:f>
        <s:v>not_applicable</s:v>
      </s:c>
      <s:c r="R130" s="15" t="str">
        <s:f>IFERROR(IF(INDEX('C_jama.2025.9663'!$R$2:$R$4,MATCH(C130,'C_jama.2025.9663'!$A$2:$A$4,0))="","",INDEX('C_jama.2025.9663'!$R$2:$R$4,MATCH(C130,'C_jama.2025.9663'!$A$2:$A$4,0))),"")</s:f>
        <s:v>TEST 2025::jama.2025.9663::C001</s:v>
      </s:c>
      <s:c r="S130" s="15" t="str">
        <s:f>IF(Setup!$B$3="","",Setup!$B$3)</s:f>
        <s:v>TEST ONLY</s:v>
      </s:c>
    </s:row>
    <s:row r="131" ht="72" customFormat="1" customHeight="1" s="8">
      <s:c r="A131" s="16" t="n">
        <s:v>2025</s:v>
      </s:c>
      <s:c r="B131" s="16" t="inlineStr">
        <s:is>
          <s:t>jama.2025.9663</s:t>
        </s:is>
      </s:c>
      <s:c r="C131" s="16" t="inlineStr">
        <s:is>
          <s:t>2025::jama.2025.9663::C002</s:t>
        </s:is>
      </s:c>
      <s:c r="D131" s="16" t="inlineStr">
        <s:is>
          <s:t>S_W</s:t>
        </s:is>
      </s:c>
      <s:c r="E131" s="16" t="str">
        <s:f>Setup!$B$4</s:f>
        <s:v>R_A</s:v>
      </s:c>
      <s:c r="F131" s="16" t="str">
        <s:f>IF(Setup!$B$2="","",Setup!$B$2)</s:f>
        <s:v>TEST_REVIEWER</s:v>
      </s:c>
      <s:c r="G131" s="16" t="str">
        <s:f>IFERROR(INDEX('C_jama.2025.9663'!$G$2:$G$4,MATCH(C131,'C_jama.2025.9663'!$A$2:$A$4,0)),"CHECK KEY")</s:f>
        <s:v>PRIMARY READY</s:v>
      </s:c>
      <s:c r="H131" s="16" t="str">
        <s: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s:f>
        <s:v>secondary_temporal</s:v>
      </s:c>
      <s:c r="I131" s="16" t="inlineStr">
        <s:is>
          <s:t>retain</s:t>
        </s:is>
      </s:c>
      <s:c r="J131" s="16" t="inlineStr">
        <s:is>
          <s:t>report_internal_inconsistency</s:t>
        </s:is>
      </s:c>
      <s:c r="K131" s="16" t="str">
        <s:f>IFERROR(IF(INDEX('C_jama.2025.9663'!$D$2:$D$4,MATCH(C131,'C_jama.2025.9663'!$A$2:$A$4,0))="","",INDEX('C_jama.2025.9663'!$D$2:$D$4,MATCH(C131,'C_jama.2025.9663'!$A$2:$A$4,0))),"")</s:f>
        <s:v>retain</s:v>
      </s:c>
      <s:c r="L131" s="16" t="str">
        <s:f>IFERROR(IF(INDEX('C_jama.2025.9663'!$E$2:$E$4,MATCH(C131,'C_jama.2025.9663'!$A$2:$A$4,0))="","",INDEX('C_jama.2025.9663'!$E$2:$E$4,MATCH(C131,'C_jama.2025.9663'!$A$2:$A$4,0))),"")</s:f>
        <s:v>report_internal_inconsistency</s:v>
      </s:c>
      <s:c r="M131" s="16" t="str">
        <s:f>IFERROR(IF(AND(K131="retain",L131="statistical_results"),IF(INDEX('C_jama.2025.9663'!$H$2:$H$4,MATCH(C131,'C_jama.2025.9663'!$A$2:$A$4,0))="","",INDEX('C_jama.2025.9663'!$H$2:$H$4,MATCH(C131,'C_jama.2025.9663'!$A$2:$A$4,0))),"not_applicable"),"")</s:f>
        <s:v>not_applicable</s:v>
      </s:c>
      <s:c r="N131" s="16" t="str">
        <s:f>IFERROR(IF(AND(K131="retain",L131="statistical_results"),IF(INDEX('C_jama.2025.9663'!$I$2:$I$4,MATCH(C131,'C_jama.2025.9663'!$A$2:$A$4,0))="","",INDEX('C_jama.2025.9663'!$I$2:$I$4,MATCH(C131,'C_jama.2025.9663'!$A$2:$A$4,0))),"not_applicable"),"")</s:f>
        <s:v>not_applicable</s:v>
      </s:c>
      <s:c r="O131" s="16" t="str">
        <s:f>IFERROR(IF(AND(K131="retain",L131="statistical_results"),IF(INDEX('C_jama.2025.9663'!$J$2:$J$4,MATCH(C131,'C_jama.2025.9663'!$A$2:$A$4,0))="","",INDEX('C_jama.2025.9663'!$J$2:$J$4,MATCH(C131,'C_jama.2025.9663'!$A$2:$A$4,0))),"not_applicable"),"")</s:f>
        <s:v>not_applicable</s:v>
      </s:c>
      <s:c r="P131" s="16" t="str">
        <s:f>IFERROR(IF(AND(K131="retain",OR(L131="report_internal_inconsistency",L131="plan_material")),IF(INDEX('C_jama.2025.9663'!$K$2:$K$4,MATCH(C131,'C_jama.2025.9663'!$A$2:$A$4,0))="","",INDEX('C_jama.2025.9663'!$K$2:$K$4,MATCH(C131,'C_jama.2025.9663'!$A$2:$A$4,0))),"not_applicable"),"")</s:f>
        <s:v>substantive_inconsistency</s:v>
      </s:c>
      <s:c r="Q131" s="16" t="str">
        <s:f>IFERROR(IF(AND(K131="retain",L131="protocol_report"),IF(INDEX('C_jama.2025.9663'!$L$2:$L$4,MATCH(C131,'C_jama.2025.9663'!$A$2:$A$4,0))="","",INDEX('C_jama.2025.9663'!$L$2:$L$4,MATCH(C131,'C_jama.2025.9663'!$A$2:$A$4,0))),"not_applicable"),"")</s:f>
        <s:v>not_applicable</s:v>
      </s:c>
      <s:c r="R131" s="16" t="str">
        <s:f>IFERROR(IF(INDEX('C_jama.2025.9663'!$R$2:$R$4,MATCH(C131,'C_jama.2025.9663'!$A$2:$A$4,0))="","",INDEX('C_jama.2025.9663'!$R$2:$R$4,MATCH(C131,'C_jama.2025.9663'!$A$2:$A$4,0))),"")</s:f>
        <s:v>TEST 2025::jama.2025.9663::C002</s:v>
      </s:c>
      <s:c r="S131" s="16" t="str">
        <s:f>IF(Setup!$B$3="","",Setup!$B$3)</s:f>
        <s:v>TEST ONLY</s:v>
      </s:c>
    </s:row>
    <s:row r="132" ht="72" customFormat="1" customHeight="1" s="8">
      <s:c r="A132" s="15" t="n">
        <s:v>2025</s:v>
      </s:c>
      <s:c r="B132" s="15" t="inlineStr">
        <s:is>
          <s:t>jama.2025.9663</s:t>
        </s:is>
      </s:c>
      <s:c r="C132" s="15" t="inlineStr">
        <s:is>
          <s:t>2025::jama.2025.9663::C003</s:t>
        </s:is>
      </s:c>
      <s:c r="D132" s="15" t="inlineStr">
        <s:is>
          <s:t>P_P</s:t>
        </s:is>
      </s:c>
      <s:c r="E132" s="15" t="str">
        <s:f>Setup!$B$4</s:f>
        <s:v>R_A</s:v>
      </s:c>
      <s:c r="F132" s="15" t="str">
        <s:f>IF(Setup!$B$2="","",Setup!$B$2)</s:f>
        <s:v>TEST_REVIEWER</s:v>
      </s:c>
      <s:c r="G132" s="15" t="str">
        <s:f>IFERROR(INDEX('C_jama.2025.9663'!$G$2:$G$4,MATCH(C132,'C_jama.2025.9663'!$A$2:$A$4,0)),"CHECK KEY")</s:f>
        <s:v>PRIMARY READY</s:v>
      </s:c>
      <s:c r="H132" s="15" t="str">
        <s: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s:f>
        <s:v>plan_descriptive</s:v>
      </s:c>
      <s:c r="I132" s="15" t="inlineStr">
        <s:is>
          <s:t>retain</s:t>
        </s:is>
      </s:c>
      <s:c r="J132" s="15" t="inlineStr">
        <s:is>
          <s:t>plan_material</s:t>
        </s:is>
      </s:c>
      <s:c r="K132" s="15" t="str">
        <s:f>IFERROR(IF(INDEX('C_jama.2025.9663'!$D$2:$D$4,MATCH(C132,'C_jama.2025.9663'!$A$2:$A$4,0))="","",INDEX('C_jama.2025.9663'!$D$2:$D$4,MATCH(C132,'C_jama.2025.9663'!$A$2:$A$4,0))),"")</s:f>
        <s:v>retain</s:v>
      </s:c>
      <s:c r="L132" s="15" t="str">
        <s:f>IFERROR(IF(INDEX('C_jama.2025.9663'!$E$2:$E$4,MATCH(C132,'C_jama.2025.9663'!$A$2:$A$4,0))="","",INDEX('C_jama.2025.9663'!$E$2:$E$4,MATCH(C132,'C_jama.2025.9663'!$A$2:$A$4,0))),"")</s:f>
        <s:v>plan_material</s:v>
      </s:c>
      <s:c r="M132" s="15" t="str">
        <s:f>IFERROR(IF(AND(K132="retain",L132="statistical_results"),IF(INDEX('C_jama.2025.9663'!$H$2:$H$4,MATCH(C132,'C_jama.2025.9663'!$A$2:$A$4,0))="","",INDEX('C_jama.2025.9663'!$H$2:$H$4,MATCH(C132,'C_jama.2025.9663'!$A$2:$A$4,0))),"not_applicable"),"")</s:f>
        <s:v>not_applicable</s:v>
      </s:c>
      <s:c r="N132" s="15" t="str">
        <s:f>IFERROR(IF(AND(K132="retain",L132="statistical_results"),IF(INDEX('C_jama.2025.9663'!$I$2:$I$4,MATCH(C132,'C_jama.2025.9663'!$A$2:$A$4,0))="","",INDEX('C_jama.2025.9663'!$I$2:$I$4,MATCH(C132,'C_jama.2025.9663'!$A$2:$A$4,0))),"not_applicable"),"")</s:f>
        <s:v>not_applicable</s:v>
      </s:c>
      <s:c r="O132" s="15" t="str">
        <s:f>IFERROR(IF(AND(K132="retain",L132="statistical_results"),IF(INDEX('C_jama.2025.9663'!$J$2:$J$4,MATCH(C132,'C_jama.2025.9663'!$A$2:$A$4,0))="","",INDEX('C_jama.2025.9663'!$J$2:$J$4,MATCH(C132,'C_jama.2025.9663'!$A$2:$A$4,0))),"not_applicable"),"")</s:f>
        <s:v>not_applicable</s:v>
      </s:c>
      <s:c r="P132" s="15" t="str">
        <s:f>IFERROR(IF(AND(K132="retain",OR(L132="report_internal_inconsistency",L132="plan_material")),IF(INDEX('C_jama.2025.9663'!$K$2:$K$4,MATCH(C132,'C_jama.2025.9663'!$A$2:$A$4,0))="","",INDEX('C_jama.2025.9663'!$K$2:$K$4,MATCH(C132,'C_jama.2025.9663'!$A$2:$A$4,0))),"not_applicable"),"")</s:f>
        <s:v>substantive_inconsistency</s:v>
      </s:c>
      <s:c r="Q132" s="15" t="str">
        <s:f>IFERROR(IF(AND(K132="retain",L132="protocol_report"),IF(INDEX('C_jama.2025.9663'!$L$2:$L$4,MATCH(C132,'C_jama.2025.9663'!$A$2:$A$4,0))="","",INDEX('C_jama.2025.9663'!$L$2:$L$4,MATCH(C132,'C_jama.2025.9663'!$A$2:$A$4,0))),"not_applicable"),"")</s:f>
        <s:v>not_applicable</s:v>
      </s:c>
      <s:c r="R132" s="15" t="str">
        <s:f>IFERROR(IF(INDEX('C_jama.2025.9663'!$R$2:$R$4,MATCH(C132,'C_jama.2025.9663'!$A$2:$A$4,0))="","",INDEX('C_jama.2025.9663'!$R$2:$R$4,MATCH(C132,'C_jama.2025.9663'!$A$2:$A$4,0))),"")</s:f>
        <s:v>TEST 2025::jama.2025.9663::C003</s:v>
      </s:c>
      <s:c r="S132" s="15" t="str">
        <s:f>IF(Setup!$B$3="","",Setup!$B$3)</s:f>
        <s:v>TEST ONLY</s:v>
      </s:c>
    </s:row>
  </s:sheetData>
  <s:autoFilter ref="A1:S132"/>
  <s:pageMargins left="0.75" right="0.75" top="1" bottom="1" header="0.5" footer="0.5"/>
</s:worksheet>
</file>

<file path=xl/worksheets/sheet21.xml><?xml version="1.0" encoding="utf-8"?>
<s:worksheet xmlns:s="http://schemas.openxmlformats.org/spreadsheetml/2006/main">
  <s:sheetPr>
    <s:outlinePr summaryBelow="1" summaryRight="1"/>
    <s:pageSetUpPr/>
  </s:sheetPr>
  <s:dimension ref="A1:M16"/>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12" customWidth="1" style="8" min="1" max="1"/>
    <s:col width="28" customWidth="1" style="8" min="2" max="2"/>
    <s:col width="28" customWidth="1" style="8" min="3" max="3"/>
    <s:col width="28" customWidth="1" style="8" min="4" max="4"/>
    <s:col width="28" customWidth="1" style="8" min="5" max="5"/>
    <s:col width="28" customWidth="1" style="8" min="6" max="6"/>
    <s:col width="29" customWidth="1" style="8" min="7" max="7"/>
    <s:col width="29" customWidth="1" style="8" min="8" max="8"/>
    <s:col width="28" customWidth="1" style="8" min="9" max="9"/>
    <s:col width="28" customWidth="1" style="8" min="10" max="10"/>
    <s:col width="28" customWidth="1" style="8" min="11" max="11"/>
    <s:col width="28" customWidth="1" style="8" min="12" max="12"/>
    <s:col width="28" customWidth="1" style="8" min="13" max="13"/>
  </s:cols>
  <s:sheetData>
    <s:row r="1" ht="42" customFormat="1" customHeight="1" s="8">
      <s:c r="A1" s="14" t="inlineStr">
        <s:is>
          <s:t>year</s:t>
        </s:is>
      </s:c>
      <s:c r="B1" s="14" t="inlineStr">
        <s:is>
          <s:t>paper</s:t>
        </s:is>
      </s:c>
      <s:c r="C1" s="14" t="inlineStr">
        <s:is>
          <s:t>candidates</s:t>
        </s:is>
      </s:c>
      <s:c r="D1" s="14" t="inlineStr">
        <s:is>
          <s:t>ready</s:t>
        </s:is>
      </s:c>
      <s:c r="E1" s="14" t="inlineStr">
        <s:is>
          <s:t>unfinished</s:t>
        </s:is>
      </s:c>
      <s:c r="F1" s="14" t="inlineStr">
        <s:is>
          <s:t>discuss_unresolved</s:t>
        </s:is>
      </s:c>
      <s:c r="G1" s="14" t="inlineStr">
        <s:is>
          <s:t>independent_review_complete</s:t>
        </s:is>
      </s:c>
      <s:c r="H1" s="14" t="inlineStr">
        <s:is>
          <s:t>outcome_counts_available</s:t>
        </s:is>
      </s:c>
      <s:c r="I1" s="14" t="inlineStr">
        <s:is>
          <s:t>primary_temporal</s:t>
        </s:is>
      </s:c>
      <s:c r="J1" s="14" t="inlineStr">
        <s:is>
          <s:t>secondary_temporal</s:t>
        </s:is>
      </s:c>
      <s:c r="K1" s="14" t="inlineStr">
        <s:is>
          <s:t>protocol_descriptive</s:t>
        </s:is>
      </s:c>
      <s:c r="L1" s="14" t="inlineStr">
        <s:is>
          <s:t>plan_descriptive</s:t>
        </s:is>
      </s:c>
      <s:c r="M1" s="14" t="inlineStr">
        <s:is>
          <s:t>not_eligible</s:t>
        </s:is>
      </s:c>
    </s:row>
    <s:row r="2" ht="55" customFormat="1" customHeight="1" s="8">
      <s:c r="A2" s="15" t="n">
        <s:v>2025</s:v>
      </s:c>
      <s:c r="B2" s="15" t="inlineStr">
        <s:is>
          <s:t>jama.2024.24764</s:t>
        </s:is>
      </s:c>
      <s:c r="C2" s="15" t="n">
        <s:v>8</s:v>
      </s:c>
      <s:c r="D2" s="15" t="n">
        <s:f>COUNTIFS(Decisions!$B$2:$B$132,B2,Decisions!$G$2:$G$132,"PRIMARY READY")</s:f>
        <s:v>8</s:v>
      </s:c>
      <s:c r="E2" s="15" t="n">
        <s:f>C2-D2</s:f>
        <s:v>0.0</s:v>
      </s:c>
      <s:c r="F2" s="15" t="n">
        <s:f>COUNTIFS(Decisions!$B$2:$B$132,B2,Decisions!$K$2:$K$132,"discuss")</s:f>
        <s:v>0</s:v>
      </s:c>
      <s:c r="G2" s="15" t="str">
        <s:f>IF(E2=0,"yes","no")</s:f>
        <s:v>yes</s:v>
      </s:c>
      <s:c r="H2" s="15" t="str">
        <s:f>IF(AND(E2=0,F2=0),"yes","no")</s:f>
        <s:v>yes</s:v>
      </s:c>
      <s:c r="I2" s="15" t="n">
        <s:f>IF(H2&lt;&gt;"yes","",COUNTIFS(Decisions!$B$2:$B$132,B2,Decisions!$H$2:$H$132,"primary_temporal"))</s:f>
        <s:v>4</s:v>
      </s:c>
      <s:c r="J2" s="15" t="n">
        <s:f>IF(H2&lt;&gt;"yes","",COUNTIFS(Decisions!$B$2:$B$132,B2,Decisions!$H$2:$H$132,"secondary_temporal"))</s:f>
        <s:v>1</s:v>
      </s:c>
      <s:c r="K2" s="15" t="n">
        <s:f>IF(H2&lt;&gt;"yes","",COUNTIFS(Decisions!$B$2:$B$132,B2,Decisions!$H$2:$H$132,"protocol_descriptive"))</s:f>
        <s:v>3</s:v>
      </s:c>
      <s:c r="L2" s="15" t="n">
        <s:f>IF(H2&lt;&gt;"yes","",COUNTIFS(Decisions!$B$2:$B$132,B2,Decisions!$H$2:$H$132,"plan_descriptive"))</s:f>
        <s:v>0</s:v>
      </s:c>
      <s:c r="M2" s="15" t="n">
        <s:f>IF(H2&lt;&gt;"yes","",COUNTIFS(Decisions!$B$2:$B$132,B2,Decisions!$H$2:$H$132,"not_eligible"))</s:f>
        <s:v>0</s:v>
      </s:c>
    </s:row>
    <s:row r="3" ht="55" customFormat="1" customHeight="1" s="8">
      <s:c r="A3" s="16" t="n">
        <s:v>2025</s:v>
      </s:c>
      <s:c r="B3" s="16" t="inlineStr">
        <s:is>
          <s:t>jama.2024.27643</s:t>
        </s:is>
      </s:c>
      <s:c r="C3" s="16" t="n">
        <s:v>8</s:v>
      </s:c>
      <s:c r="D3" s="16" t="n">
        <s:f>COUNTIFS(Decisions!$B$2:$B$132,B3,Decisions!$G$2:$G$132,"PRIMARY READY")</s:f>
        <s:v>8</s:v>
      </s:c>
      <s:c r="E3" s="16" t="n">
        <s:f>C3-D3</s:f>
        <s:v>0.0</s:v>
      </s:c>
      <s:c r="F3" s="16" t="n">
        <s:f>COUNTIFS(Decisions!$B$2:$B$132,B3,Decisions!$K$2:$K$132,"discuss")</s:f>
        <s:v>0</s:v>
      </s:c>
      <s:c r="G3" s="16" t="str">
        <s:f>IF(E3=0,"yes","no")</s:f>
        <s:v>yes</s:v>
      </s:c>
      <s:c r="H3" s="16" t="str">
        <s:f>IF(AND(E3=0,F3=0),"yes","no")</s:f>
        <s:v>yes</s:v>
      </s:c>
      <s:c r="I3" s="16" t="n">
        <s:f>IF(H3&lt;&gt;"yes","",COUNTIFS(Decisions!$B$2:$B$132,B3,Decisions!$H$2:$H$132,"primary_temporal"))</s:f>
        <s:v>2</s:v>
      </s:c>
      <s:c r="J3" s="16" t="n">
        <s:f>IF(H3&lt;&gt;"yes","",COUNTIFS(Decisions!$B$2:$B$132,B3,Decisions!$H$2:$H$132,"secondary_temporal"))</s:f>
        <s:v>6</s:v>
      </s:c>
      <s:c r="K3" s="16" t="n">
        <s:f>IF(H3&lt;&gt;"yes","",COUNTIFS(Decisions!$B$2:$B$132,B3,Decisions!$H$2:$H$132,"protocol_descriptive"))</s:f>
        <s:v>0</s:v>
      </s:c>
      <s:c r="L3" s="16" t="n">
        <s:f>IF(H3&lt;&gt;"yes","",COUNTIFS(Decisions!$B$2:$B$132,B3,Decisions!$H$2:$H$132,"plan_descriptive"))</s:f>
        <s:v>0</s:v>
      </s:c>
      <s:c r="M3" s="16" t="n">
        <s:f>IF(H3&lt;&gt;"yes","",COUNTIFS(Decisions!$B$2:$B$132,B3,Decisions!$H$2:$H$132,"not_eligible"))</s:f>
        <s:v>0</s:v>
      </s:c>
    </s:row>
    <s:row r="4" ht="55" customFormat="1" customHeight="1" s="8">
      <s:c r="A4" s="15" t="n">
        <s:v>2025</s:v>
      </s:c>
      <s:c r="B4" s="15" t="inlineStr">
        <s:is>
          <s:t>jama.2025.11178</s:t>
        </s:is>
      </s:c>
      <s:c r="C4" s="15" t="n">
        <s:v>37</s:v>
      </s:c>
      <s:c r="D4" s="15" t="n">
        <s:f>COUNTIFS(Decisions!$B$2:$B$132,B4,Decisions!$G$2:$G$132,"PRIMARY READY")</s:f>
        <s:v>37</s:v>
      </s:c>
      <s:c r="E4" s="15" t="n">
        <s:f>C4-D4</s:f>
        <s:v>0.0</s:v>
      </s:c>
      <s:c r="F4" s="15" t="n">
        <s:f>COUNTIFS(Decisions!$B$2:$B$132,B4,Decisions!$K$2:$K$132,"discuss")</s:f>
        <s:v>0</s:v>
      </s:c>
      <s:c r="G4" s="15" t="str">
        <s:f>IF(E4=0,"yes","no")</s:f>
        <s:v>yes</s:v>
      </s:c>
      <s:c r="H4" s="15" t="str">
        <s:f>IF(AND(E4=0,F4=0),"yes","no")</s:f>
        <s:v>yes</s:v>
      </s:c>
      <s:c r="I4" s="15" t="n">
        <s:f>IF(H4&lt;&gt;"yes","",COUNTIFS(Decisions!$B$2:$B$132,B4,Decisions!$H$2:$H$132,"primary_temporal"))</s:f>
        <s:v>31</s:v>
      </s:c>
      <s:c r="J4" s="15" t="n">
        <s:f>IF(H4&lt;&gt;"yes","",COUNTIFS(Decisions!$B$2:$B$132,B4,Decisions!$H$2:$H$132,"secondary_temporal"))</s:f>
        <s:v>6</s:v>
      </s:c>
      <s:c r="K4" s="15" t="n">
        <s:f>IF(H4&lt;&gt;"yes","",COUNTIFS(Decisions!$B$2:$B$132,B4,Decisions!$H$2:$H$132,"protocol_descriptive"))</s:f>
        <s:v>0</s:v>
      </s:c>
      <s:c r="L4" s="15" t="n">
        <s:f>IF(H4&lt;&gt;"yes","",COUNTIFS(Decisions!$B$2:$B$132,B4,Decisions!$H$2:$H$132,"plan_descriptive"))</s:f>
        <s:v>0</s:v>
      </s:c>
      <s:c r="M4" s="15" t="n">
        <s:f>IF(H4&lt;&gt;"yes","",COUNTIFS(Decisions!$B$2:$B$132,B4,Decisions!$H$2:$H$132,"not_eligible"))</s:f>
        <s:v>0</s:v>
      </s:c>
    </s:row>
    <s:row r="5" ht="55" customFormat="1" customHeight="1" s="8">
      <s:c r="A5" s="16" t="n">
        <s:v>2025</s:v>
      </s:c>
      <s:c r="B5" s="16" t="inlineStr">
        <s:is>
          <s:t>jama.2025.15185</s:t>
        </s:is>
      </s:c>
      <s:c r="C5" s="16" t="n">
        <s:v>12</s:v>
      </s:c>
      <s:c r="D5" s="16" t="n">
        <s:f>COUNTIFS(Decisions!$B$2:$B$132,B5,Decisions!$G$2:$G$132,"PRIMARY READY")</s:f>
        <s:v>12</s:v>
      </s:c>
      <s:c r="E5" s="16" t="n">
        <s:f>C5-D5</s:f>
        <s:v>0.0</s:v>
      </s:c>
      <s:c r="F5" s="16" t="n">
        <s:f>COUNTIFS(Decisions!$B$2:$B$132,B5,Decisions!$K$2:$K$132,"discuss")</s:f>
        <s:v>0</s:v>
      </s:c>
      <s:c r="G5" s="16" t="str">
        <s:f>IF(E5=0,"yes","no")</s:f>
        <s:v>yes</s:v>
      </s:c>
      <s:c r="H5" s="16" t="str">
        <s:f>IF(AND(E5=0,F5=0),"yes","no")</s:f>
        <s:v>yes</s:v>
      </s:c>
      <s:c r="I5" s="16" t="n">
        <s:f>IF(H5&lt;&gt;"yes","",COUNTIFS(Decisions!$B$2:$B$132,B5,Decisions!$H$2:$H$132,"primary_temporal"))</s:f>
        <s:v>2</s:v>
      </s:c>
      <s:c r="J5" s="16" t="n">
        <s:f>IF(H5&lt;&gt;"yes","",COUNTIFS(Decisions!$B$2:$B$132,B5,Decisions!$H$2:$H$132,"secondary_temporal"))</s:f>
        <s:v>10</s:v>
      </s:c>
      <s:c r="K5" s="16" t="n">
        <s:f>IF(H5&lt;&gt;"yes","",COUNTIFS(Decisions!$B$2:$B$132,B5,Decisions!$H$2:$H$132,"protocol_descriptive"))</s:f>
        <s:v>0</s:v>
      </s:c>
      <s:c r="L5" s="16" t="n">
        <s:f>IF(H5&lt;&gt;"yes","",COUNTIFS(Decisions!$B$2:$B$132,B5,Decisions!$H$2:$H$132,"plan_descriptive"))</s:f>
        <s:v>0</s:v>
      </s:c>
      <s:c r="M5" s="16" t="n">
        <s:f>IF(H5&lt;&gt;"yes","",COUNTIFS(Decisions!$B$2:$B$132,B5,Decisions!$H$2:$H$132,"not_eligible"))</s:f>
        <s:v>0</s:v>
      </s:c>
    </s:row>
    <s:row r="6" ht="55" customFormat="1" customHeight="1" s="8">
      <s:c r="A6" s="15" t="n">
        <s:v>2025</s:v>
      </s:c>
      <s:c r="B6" s="15" t="inlineStr">
        <s:is>
          <s:t>jama.2025.15440</s:t>
        </s:is>
      </s:c>
      <s:c r="C6" s="15" t="n">
        <s:v>2</s:v>
      </s:c>
      <s:c r="D6" s="15" t="n">
        <s:f>COUNTIFS(Decisions!$B$2:$B$132,B6,Decisions!$G$2:$G$132,"PRIMARY READY")</s:f>
        <s:v>2</s:v>
      </s:c>
      <s:c r="E6" s="15" t="n">
        <s:f>C6-D6</s:f>
        <s:v>0.0</s:v>
      </s:c>
      <s:c r="F6" s="15" t="n">
        <s:f>COUNTIFS(Decisions!$B$2:$B$132,B6,Decisions!$K$2:$K$132,"discuss")</s:f>
        <s:v>0</s:v>
      </s:c>
      <s:c r="G6" s="15" t="str">
        <s:f>IF(E6=0,"yes","no")</s:f>
        <s:v>yes</s:v>
      </s:c>
      <s:c r="H6" s="15" t="str">
        <s:f>IF(AND(E6=0,F6=0),"yes","no")</s:f>
        <s:v>yes</s:v>
      </s:c>
      <s:c r="I6" s="15" t="n">
        <s:f>IF(H6&lt;&gt;"yes","",COUNTIFS(Decisions!$B$2:$B$132,B6,Decisions!$H$2:$H$132,"primary_temporal"))</s:f>
        <s:v>1</s:v>
      </s:c>
      <s:c r="J6" s="15" t="n">
        <s:f>IF(H6&lt;&gt;"yes","",COUNTIFS(Decisions!$B$2:$B$132,B6,Decisions!$H$2:$H$132,"secondary_temporal"))</s:f>
        <s:v>1</s:v>
      </s:c>
      <s:c r="K6" s="15" t="n">
        <s:f>IF(H6&lt;&gt;"yes","",COUNTIFS(Decisions!$B$2:$B$132,B6,Decisions!$H$2:$H$132,"protocol_descriptive"))</s:f>
        <s:v>0</s:v>
      </s:c>
      <s:c r="L6" s="15" t="n">
        <s:f>IF(H6&lt;&gt;"yes","",COUNTIFS(Decisions!$B$2:$B$132,B6,Decisions!$H$2:$H$132,"plan_descriptive"))</s:f>
        <s:v>0</s:v>
      </s:c>
      <s:c r="M6" s="15" t="n">
        <s:f>IF(H6&lt;&gt;"yes","",COUNTIFS(Decisions!$B$2:$B$132,B6,Decisions!$H$2:$H$132,"not_eligible"))</s:f>
        <s:v>0</s:v>
      </s:c>
    </s:row>
    <s:row r="7" ht="55" customFormat="1" customHeight="1" s="8">
      <s:c r="A7" s="16" t="n">
        <s:v>2025</s:v>
      </s:c>
      <s:c r="B7" s="16" t="inlineStr">
        <s:is>
          <s:t>jama.2025.16450</s:t>
        </s:is>
      </s:c>
      <s:c r="C7" s="16" t="n">
        <s:v>10</s:v>
      </s:c>
      <s:c r="D7" s="16" t="n">
        <s:f>COUNTIFS(Decisions!$B$2:$B$132,B7,Decisions!$G$2:$G$132,"PRIMARY READY")</s:f>
        <s:v>10</s:v>
      </s:c>
      <s:c r="E7" s="16" t="n">
        <s:f>C7-D7</s:f>
        <s:v>0.0</s:v>
      </s:c>
      <s:c r="F7" s="16" t="n">
        <s:f>COUNTIFS(Decisions!$B$2:$B$132,B7,Decisions!$K$2:$K$132,"discuss")</s:f>
        <s:v>0</s:v>
      </s:c>
      <s:c r="G7" s="16" t="str">
        <s:f>IF(E7=0,"yes","no")</s:f>
        <s:v>yes</s:v>
      </s:c>
      <s:c r="H7" s="16" t="str">
        <s:f>IF(AND(E7=0,F7=0),"yes","no")</s:f>
        <s:v>yes</s:v>
      </s:c>
      <s:c r="I7" s="16" t="n">
        <s:f>IF(H7&lt;&gt;"yes","",COUNTIFS(Decisions!$B$2:$B$132,B7,Decisions!$H$2:$H$132,"primary_temporal"))</s:f>
        <s:v>0</s:v>
      </s:c>
      <s:c r="J7" s="16" t="n">
        <s:f>IF(H7&lt;&gt;"yes","",COUNTIFS(Decisions!$B$2:$B$132,B7,Decisions!$H$2:$H$132,"secondary_temporal"))</s:f>
        <s:v>3</s:v>
      </s:c>
      <s:c r="K7" s="16" t="n">
        <s:f>IF(H7&lt;&gt;"yes","",COUNTIFS(Decisions!$B$2:$B$132,B7,Decisions!$H$2:$H$132,"protocol_descriptive"))</s:f>
        <s:v>4</s:v>
      </s:c>
      <s:c r="L7" s="16" t="n">
        <s:f>IF(H7&lt;&gt;"yes","",COUNTIFS(Decisions!$B$2:$B$132,B7,Decisions!$H$2:$H$132,"plan_descriptive"))</s:f>
        <s:v>3</s:v>
      </s:c>
      <s:c r="M7" s="16" t="n">
        <s:f>IF(H7&lt;&gt;"yes","",COUNTIFS(Decisions!$B$2:$B$132,B7,Decisions!$H$2:$H$132,"not_eligible"))</s:f>
        <s:v>0</s:v>
      </s:c>
    </s:row>
    <s:row r="8" ht="55" customFormat="1" customHeight="1" s="8">
      <s:c r="A8" s="15" t="n">
        <s:v>2025</s:v>
      </s:c>
      <s:c r="B8" s="15" t="inlineStr">
        <s:is>
          <s:t>jama.2025.19563</s:t>
        </s:is>
      </s:c>
      <s:c r="C8" s="15" t="n">
        <s:v>7</s:v>
      </s:c>
      <s:c r="D8" s="15" t="n">
        <s:f>COUNTIFS(Decisions!$B$2:$B$132,B8,Decisions!$G$2:$G$132,"PRIMARY READY")</s:f>
        <s:v>7</s:v>
      </s:c>
      <s:c r="E8" s="15" t="n">
        <s:f>C8-D8</s:f>
        <s:v>0.0</s:v>
      </s:c>
      <s:c r="F8" s="15" t="n">
        <s:f>COUNTIFS(Decisions!$B$2:$B$132,B8,Decisions!$K$2:$K$132,"discuss")</s:f>
        <s:v>0</s:v>
      </s:c>
      <s:c r="G8" s="15" t="str">
        <s:f>IF(E8=0,"yes","no")</s:f>
        <s:v>yes</s:v>
      </s:c>
      <s:c r="H8" s="15" t="str">
        <s:f>IF(AND(E8=0,F8=0),"yes","no")</s:f>
        <s:v>yes</s:v>
      </s:c>
      <s:c r="I8" s="15" t="n">
        <s:f>IF(H8&lt;&gt;"yes","",COUNTIFS(Decisions!$B$2:$B$132,B8,Decisions!$H$2:$H$132,"primary_temporal"))</s:f>
        <s:v>4</s:v>
      </s:c>
      <s:c r="J8" s="15" t="n">
        <s:f>IF(H8&lt;&gt;"yes","",COUNTIFS(Decisions!$B$2:$B$132,B8,Decisions!$H$2:$H$132,"secondary_temporal"))</s:f>
        <s:v>2</s:v>
      </s:c>
      <s:c r="K8" s="15" t="n">
        <s:f>IF(H8&lt;&gt;"yes","",COUNTIFS(Decisions!$B$2:$B$132,B8,Decisions!$H$2:$H$132,"protocol_descriptive"))</s:f>
        <s:v>1</s:v>
      </s:c>
      <s:c r="L8" s="15" t="n">
        <s:f>IF(H8&lt;&gt;"yes","",COUNTIFS(Decisions!$B$2:$B$132,B8,Decisions!$H$2:$H$132,"plan_descriptive"))</s:f>
        <s:v>0</s:v>
      </s:c>
      <s:c r="M8" s="15" t="n">
        <s:f>IF(H8&lt;&gt;"yes","",COUNTIFS(Decisions!$B$2:$B$132,B8,Decisions!$H$2:$H$132,"not_eligible"))</s:f>
        <s:v>0</s:v>
      </s:c>
    </s:row>
    <s:row r="9" ht="55" customFormat="1" customHeight="1" s="8">
      <s:c r="A9" s="16" t="n">
        <s:v>2025</s:v>
      </s:c>
      <s:c r="B9" s="16" t="inlineStr">
        <s:is>
          <s:t>jama.2025.19843</s:t>
        </s:is>
      </s:c>
      <s:c r="C9" s="16" t="n">
        <s:v>1</s:v>
      </s:c>
      <s:c r="D9" s="16" t="n">
        <s:f>COUNTIFS(Decisions!$B$2:$B$132,B9,Decisions!$G$2:$G$132,"PRIMARY READY")</s:f>
        <s:v>1</s:v>
      </s:c>
      <s:c r="E9" s="16" t="n">
        <s:f>C9-D9</s:f>
        <s:v>0.0</s:v>
      </s:c>
      <s:c r="F9" s="16" t="n">
        <s:f>COUNTIFS(Decisions!$B$2:$B$132,B9,Decisions!$K$2:$K$132,"discuss")</s:f>
        <s:v>0</s:v>
      </s:c>
      <s:c r="G9" s="16" t="str">
        <s:f>IF(E9=0,"yes","no")</s:f>
        <s:v>yes</s:v>
      </s:c>
      <s:c r="H9" s="16" t="str">
        <s:f>IF(AND(E9=0,F9=0),"yes","no")</s:f>
        <s:v>yes</s:v>
      </s:c>
      <s:c r="I9" s="16" t="n">
        <s:f>IF(H9&lt;&gt;"yes","",COUNTIFS(Decisions!$B$2:$B$132,B9,Decisions!$H$2:$H$132,"primary_temporal"))</s:f>
        <s:v>0</s:v>
      </s:c>
      <s:c r="J9" s="16" t="n">
        <s:f>IF(H9&lt;&gt;"yes","",COUNTIFS(Decisions!$B$2:$B$132,B9,Decisions!$H$2:$H$132,"secondary_temporal"))</s:f>
        <s:v>1</s:v>
      </s:c>
      <s:c r="K9" s="16" t="n">
        <s:f>IF(H9&lt;&gt;"yes","",COUNTIFS(Decisions!$B$2:$B$132,B9,Decisions!$H$2:$H$132,"protocol_descriptive"))</s:f>
        <s:v>0</s:v>
      </s:c>
      <s:c r="L9" s="16" t="n">
        <s:f>IF(H9&lt;&gt;"yes","",COUNTIFS(Decisions!$B$2:$B$132,B9,Decisions!$H$2:$H$132,"plan_descriptive"))</s:f>
        <s:v>0</s:v>
      </s:c>
      <s:c r="M9" s="16" t="n">
        <s:f>IF(H9&lt;&gt;"yes","",COUNTIFS(Decisions!$B$2:$B$132,B9,Decisions!$H$2:$H$132,"not_eligible"))</s:f>
        <s:v>0</s:v>
      </s:c>
    </s:row>
    <s:row r="10" ht="55" customFormat="1" customHeight="1" s="8">
      <s:c r="A10" s="15" t="n">
        <s:v>2025</s:v>
      </s:c>
      <s:c r="B10" s="15" t="inlineStr">
        <s:is>
          <s:t>jama.2025.20765</s:t>
        </s:is>
      </s:c>
      <s:c r="C10" s="15" t="n">
        <s:v>13</s:v>
      </s:c>
      <s:c r="D10" s="15" t="n">
        <s:f>COUNTIFS(Decisions!$B$2:$B$132,B10,Decisions!$G$2:$G$132,"PRIMARY READY")</s:f>
        <s:v>13</s:v>
      </s:c>
      <s:c r="E10" s="15" t="n">
        <s:f>C10-D10</s:f>
        <s:v>0.0</s:v>
      </s:c>
      <s:c r="F10" s="15" t="n">
        <s:f>COUNTIFS(Decisions!$B$2:$B$132,B10,Decisions!$K$2:$K$132,"discuss")</s:f>
        <s:v>0</s:v>
      </s:c>
      <s:c r="G10" s="15" t="str">
        <s:f>IF(E10=0,"yes","no")</s:f>
        <s:v>yes</s:v>
      </s:c>
      <s:c r="H10" s="15" t="str">
        <s:f>IF(AND(E10=0,F10=0),"yes","no")</s:f>
        <s:v>yes</s:v>
      </s:c>
      <s:c r="I10" s="15" t="n">
        <s:f>IF(H10&lt;&gt;"yes","",COUNTIFS(Decisions!$B$2:$B$132,B10,Decisions!$H$2:$H$132,"primary_temporal"))</s:f>
        <s:v>2</s:v>
      </s:c>
      <s:c r="J10" s="15" t="n">
        <s:f>IF(H10&lt;&gt;"yes","",COUNTIFS(Decisions!$B$2:$B$132,B10,Decisions!$H$2:$H$132,"secondary_temporal"))</s:f>
        <s:v>1</s:v>
      </s:c>
      <s:c r="K10" s="15" t="n">
        <s:f>IF(H10&lt;&gt;"yes","",COUNTIFS(Decisions!$B$2:$B$132,B10,Decisions!$H$2:$H$132,"protocol_descriptive"))</s:f>
        <s:v>1</s:v>
      </s:c>
      <s:c r="L10" s="15" t="n">
        <s:f>IF(H10&lt;&gt;"yes","",COUNTIFS(Decisions!$B$2:$B$132,B10,Decisions!$H$2:$H$132,"plan_descriptive"))</s:f>
        <s:v>9</s:v>
      </s:c>
      <s:c r="M10" s="15" t="n">
        <s:f>IF(H10&lt;&gt;"yes","",COUNTIFS(Decisions!$B$2:$B$132,B10,Decisions!$H$2:$H$132,"not_eligible"))</s:f>
        <s:v>0</s:v>
      </s:c>
    </s:row>
    <s:row r="11" ht="55" customFormat="1" customHeight="1" s="8">
      <s:c r="A11" s="16" t="n">
        <s:v>2025</s:v>
      </s:c>
      <s:c r="B11" s="16" t="inlineStr">
        <s:is>
          <s:t>jama.2025.24175</s:t>
        </s:is>
      </s:c>
      <s:c r="C11" s="16" t="n">
        <s:v>14</s:v>
      </s:c>
      <s:c r="D11" s="16" t="n">
        <s:f>COUNTIFS(Decisions!$B$2:$B$132,B11,Decisions!$G$2:$G$132,"PRIMARY READY")</s:f>
        <s:v>14</s:v>
      </s:c>
      <s:c r="E11" s="16" t="n">
        <s:f>C11-D11</s:f>
        <s:v>0.0</s:v>
      </s:c>
      <s:c r="F11" s="16" t="n">
        <s:f>COUNTIFS(Decisions!$B$2:$B$132,B11,Decisions!$K$2:$K$132,"discuss")</s:f>
        <s:v>0</s:v>
      </s:c>
      <s:c r="G11" s="16" t="str">
        <s:f>IF(E11=0,"yes","no")</s:f>
        <s:v>yes</s:v>
      </s:c>
      <s:c r="H11" s="16" t="str">
        <s:f>IF(AND(E11=0,F11=0),"yes","no")</s:f>
        <s:v>yes</s:v>
      </s:c>
      <s:c r="I11" s="16" t="n">
        <s:f>IF(H11&lt;&gt;"yes","",COUNTIFS(Decisions!$B$2:$B$132,B11,Decisions!$H$2:$H$132,"primary_temporal"))</s:f>
        <s:v>2</s:v>
      </s:c>
      <s:c r="J11" s="16" t="n">
        <s:f>IF(H11&lt;&gt;"yes","",COUNTIFS(Decisions!$B$2:$B$132,B11,Decisions!$H$2:$H$132,"secondary_temporal"))</s:f>
        <s:v>2</s:v>
      </s:c>
      <s:c r="K11" s="16" t="n">
        <s:f>IF(H11&lt;&gt;"yes","",COUNTIFS(Decisions!$B$2:$B$132,B11,Decisions!$H$2:$H$132,"protocol_descriptive"))</s:f>
        <s:v>4</s:v>
      </s:c>
      <s:c r="L11" s="16" t="n">
        <s:f>IF(H11&lt;&gt;"yes","",COUNTIFS(Decisions!$B$2:$B$132,B11,Decisions!$H$2:$H$132,"plan_descriptive"))</s:f>
        <s:v>6</s:v>
      </s:c>
      <s:c r="M11" s="16" t="n">
        <s:f>IF(H11&lt;&gt;"yes","",COUNTIFS(Decisions!$B$2:$B$132,B11,Decisions!$H$2:$H$132,"not_eligible"))</s:f>
        <s:v>0</s:v>
      </s:c>
    </s:row>
    <s:row r="12" ht="55" customFormat="1" customHeight="1" s="8">
      <s:c r="A12" s="15" t="n">
        <s:v>2025</s:v>
      </s:c>
      <s:c r="B12" s="15" t="inlineStr">
        <s:is>
          <s:t>jama.2025.4390</s:t>
        </s:is>
      </s:c>
      <s:c r="C12" s="15" t="n">
        <s:v>3</s:v>
      </s:c>
      <s:c r="D12" s="15" t="n">
        <s:f>COUNTIFS(Decisions!$B$2:$B$132,B12,Decisions!$G$2:$G$132,"PRIMARY READY")</s:f>
        <s:v>3</s:v>
      </s:c>
      <s:c r="E12" s="15" t="n">
        <s:f>C12-D12</s:f>
        <s:v>0.0</s:v>
      </s:c>
      <s:c r="F12" s="15" t="n">
        <s:f>COUNTIFS(Decisions!$B$2:$B$132,B12,Decisions!$K$2:$K$132,"discuss")</s:f>
        <s:v>0</s:v>
      </s:c>
      <s:c r="G12" s="15" t="str">
        <s:f>IF(E12=0,"yes","no")</s:f>
        <s:v>yes</s:v>
      </s:c>
      <s:c r="H12" s="15" t="str">
        <s:f>IF(AND(E12=0,F12=0),"yes","no")</s:f>
        <s:v>yes</s:v>
      </s:c>
      <s:c r="I12" s="15" t="n">
        <s:f>IF(H12&lt;&gt;"yes","",COUNTIFS(Decisions!$B$2:$B$132,B12,Decisions!$H$2:$H$132,"primary_temporal"))</s:f>
        <s:v>1</s:v>
      </s:c>
      <s:c r="J12" s="15" t="n">
        <s:f>IF(H12&lt;&gt;"yes","",COUNTIFS(Decisions!$B$2:$B$132,B12,Decisions!$H$2:$H$132,"secondary_temporal"))</s:f>
        <s:v>2</s:v>
      </s:c>
      <s:c r="K12" s="15" t="n">
        <s:f>IF(H12&lt;&gt;"yes","",COUNTIFS(Decisions!$B$2:$B$132,B12,Decisions!$H$2:$H$132,"protocol_descriptive"))</s:f>
        <s:v>0</s:v>
      </s:c>
      <s:c r="L12" s="15" t="n">
        <s:f>IF(H12&lt;&gt;"yes","",COUNTIFS(Decisions!$B$2:$B$132,B12,Decisions!$H$2:$H$132,"plan_descriptive"))</s:f>
        <s:v>0</s:v>
      </s:c>
      <s:c r="M12" s="15" t="n">
        <s:f>IF(H12&lt;&gt;"yes","",COUNTIFS(Decisions!$B$2:$B$132,B12,Decisions!$H$2:$H$132,"not_eligible"))</s:f>
        <s:v>0</s:v>
      </s:c>
    </s:row>
    <s:row r="13" ht="55" customFormat="1" customHeight="1" s="8">
      <s:c r="A13" s="16" t="n">
        <s:v>2025</s:v>
      </s:c>
      <s:c r="B13" s="16" t="inlineStr">
        <s:is>
          <s:t>jama.2025.7583</s:t>
        </s:is>
      </s:c>
      <s:c r="C13" s="16" t="n">
        <s:v>3</s:v>
      </s:c>
      <s:c r="D13" s="16" t="n">
        <s:f>COUNTIFS(Decisions!$B$2:$B$132,B13,Decisions!$G$2:$G$132,"PRIMARY READY")</s:f>
        <s:v>3</s:v>
      </s:c>
      <s:c r="E13" s="16" t="n">
        <s:f>C13-D13</s:f>
        <s:v>0.0</s:v>
      </s:c>
      <s:c r="F13" s="16" t="n">
        <s:f>COUNTIFS(Decisions!$B$2:$B$132,B13,Decisions!$K$2:$K$132,"discuss")</s:f>
        <s:v>0</s:v>
      </s:c>
      <s:c r="G13" s="16" t="str">
        <s:f>IF(E13=0,"yes","no")</s:f>
        <s:v>yes</s:v>
      </s:c>
      <s:c r="H13" s="16" t="str">
        <s:f>IF(AND(E13=0,F13=0),"yes","no")</s:f>
        <s:v>yes</s:v>
      </s:c>
      <s:c r="I13" s="16" t="n">
        <s:f>IF(H13&lt;&gt;"yes","",COUNTIFS(Decisions!$B$2:$B$132,B13,Decisions!$H$2:$H$132,"primary_temporal"))</s:f>
        <s:v>1</s:v>
      </s:c>
      <s:c r="J13" s="16" t="n">
        <s:f>IF(H13&lt;&gt;"yes","",COUNTIFS(Decisions!$B$2:$B$132,B13,Decisions!$H$2:$H$132,"secondary_temporal"))</s:f>
        <s:v>0</s:v>
      </s:c>
      <s:c r="K13" s="16" t="n">
        <s:f>IF(H13&lt;&gt;"yes","",COUNTIFS(Decisions!$B$2:$B$132,B13,Decisions!$H$2:$H$132,"protocol_descriptive"))</s:f>
        <s:v>1</s:v>
      </s:c>
      <s:c r="L13" s="16" t="n">
        <s:f>IF(H13&lt;&gt;"yes","",COUNTIFS(Decisions!$B$2:$B$132,B13,Decisions!$H$2:$H$132,"plan_descriptive"))</s:f>
        <s:v>1</s:v>
      </s:c>
      <s:c r="M13" s="16" t="n">
        <s:f>IF(H13&lt;&gt;"yes","",COUNTIFS(Decisions!$B$2:$B$132,B13,Decisions!$H$2:$H$132,"not_eligible"))</s:f>
        <s:v>0</s:v>
      </s:c>
    </s:row>
    <s:row r="14" ht="55" customFormat="1" customHeight="1" s="8">
      <s:c r="A14" s="15" t="n">
        <s:v>2025</s:v>
      </s:c>
      <s:c r="B14" s="15" t="inlineStr">
        <s:is>
          <s:t>jama.2025.7710</s:t>
        </s:is>
      </s:c>
      <s:c r="C14" s="15" t="n">
        <s:v>4</s:v>
      </s:c>
      <s:c r="D14" s="15" t="n">
        <s:f>COUNTIFS(Decisions!$B$2:$B$132,B14,Decisions!$G$2:$G$132,"PRIMARY READY")</s:f>
        <s:v>4</s:v>
      </s:c>
      <s:c r="E14" s="15" t="n">
        <s:f>C14-D14</s:f>
        <s:v>0.0</s:v>
      </s:c>
      <s:c r="F14" s="15" t="n">
        <s:f>COUNTIFS(Decisions!$B$2:$B$132,B14,Decisions!$K$2:$K$132,"discuss")</s:f>
        <s:v>0</s:v>
      </s:c>
      <s:c r="G14" s="15" t="str">
        <s:f>IF(E14=0,"yes","no")</s:f>
        <s:v>yes</s:v>
      </s:c>
      <s:c r="H14" s="15" t="str">
        <s:f>IF(AND(E14=0,F14=0),"yes","no")</s:f>
        <s:v>yes</s:v>
      </s:c>
      <s:c r="I14" s="15" t="n">
        <s:f>IF(H14&lt;&gt;"yes","",COUNTIFS(Decisions!$B$2:$B$132,B14,Decisions!$H$2:$H$132,"primary_temporal"))</s:f>
        <s:v>0</s:v>
      </s:c>
      <s:c r="J14" s="15" t="n">
        <s:f>IF(H14&lt;&gt;"yes","",COUNTIFS(Decisions!$B$2:$B$132,B14,Decisions!$H$2:$H$132,"secondary_temporal"))</s:f>
        <s:v>0</s:v>
      </s:c>
      <s:c r="K14" s="15" t="n">
        <s:f>IF(H14&lt;&gt;"yes","",COUNTIFS(Decisions!$B$2:$B$132,B14,Decisions!$H$2:$H$132,"protocol_descriptive"))</s:f>
        <s:v>1</s:v>
      </s:c>
      <s:c r="L14" s="15" t="n">
        <s:f>IF(H14&lt;&gt;"yes","",COUNTIFS(Decisions!$B$2:$B$132,B14,Decisions!$H$2:$H$132,"plan_descriptive"))</s:f>
        <s:v>3</s:v>
      </s:c>
      <s:c r="M14" s="15" t="n">
        <s:f>IF(H14&lt;&gt;"yes","",COUNTIFS(Decisions!$B$2:$B$132,B14,Decisions!$H$2:$H$132,"not_eligible"))</s:f>
        <s:v>0</s:v>
      </s:c>
    </s:row>
    <s:row r="15" ht="55" customFormat="1" customHeight="1" s="8">
      <s:c r="A15" s="16" t="n">
        <s:v>2025</s:v>
      </s:c>
      <s:c r="B15" s="16" t="inlineStr">
        <s:is>
          <s:t>jama.2025.9110</s:t>
        </s:is>
      </s:c>
      <s:c r="C15" s="16" t="n">
        <s:v>6</s:v>
      </s:c>
      <s:c r="D15" s="16" t="n">
        <s:f>COUNTIFS(Decisions!$B$2:$B$132,B15,Decisions!$G$2:$G$132,"PRIMARY READY")</s:f>
        <s:v>6</s:v>
      </s:c>
      <s:c r="E15" s="16" t="n">
        <s:f>C15-D15</s:f>
        <s:v>0.0</s:v>
      </s:c>
      <s:c r="F15" s="16" t="n">
        <s:f>COUNTIFS(Decisions!$B$2:$B$132,B15,Decisions!$K$2:$K$132,"discuss")</s:f>
        <s:v>0</s:v>
      </s:c>
      <s:c r="G15" s="16" t="str">
        <s:f>IF(E15=0,"yes","no")</s:f>
        <s:v>yes</s:v>
      </s:c>
      <s:c r="H15" s="16" t="str">
        <s:f>IF(AND(E15=0,F15=0),"yes","no")</s:f>
        <s:v>yes</s:v>
      </s:c>
      <s:c r="I15" s="16" t="n">
        <s:f>IF(H15&lt;&gt;"yes","",COUNTIFS(Decisions!$B$2:$B$132,B15,Decisions!$H$2:$H$132,"primary_temporal"))</s:f>
        <s:v>0</s:v>
      </s:c>
      <s:c r="J15" s="16" t="n">
        <s:f>IF(H15&lt;&gt;"yes","",COUNTIFS(Decisions!$B$2:$B$132,B15,Decisions!$H$2:$H$132,"secondary_temporal"))</s:f>
        <s:v>6</s:v>
      </s:c>
      <s:c r="K15" s="16" t="n">
        <s:f>IF(H15&lt;&gt;"yes","",COUNTIFS(Decisions!$B$2:$B$132,B15,Decisions!$H$2:$H$132,"protocol_descriptive"))</s:f>
        <s:v>0</s:v>
      </s:c>
      <s:c r="L15" s="16" t="n">
        <s:f>IF(H15&lt;&gt;"yes","",COUNTIFS(Decisions!$B$2:$B$132,B15,Decisions!$H$2:$H$132,"plan_descriptive"))</s:f>
        <s:v>0</s:v>
      </s:c>
      <s:c r="M15" s="16" t="n">
        <s:f>IF(H15&lt;&gt;"yes","",COUNTIFS(Decisions!$B$2:$B$132,B15,Decisions!$H$2:$H$132,"not_eligible"))</s:f>
        <s:v>0</s:v>
      </s:c>
    </s:row>
    <s:row r="16" ht="55" customFormat="1" customHeight="1" s="8">
      <s:c r="A16" s="15" t="n">
        <s:v>2025</s:v>
      </s:c>
      <s:c r="B16" s="15" t="inlineStr">
        <s:is>
          <s:t>jama.2025.9663</s:t>
        </s:is>
      </s:c>
      <s:c r="C16" s="15" t="n">
        <s:v>3</s:v>
      </s:c>
      <s:c r="D16" s="15" t="n">
        <s:f>COUNTIFS(Decisions!$B$2:$B$132,B16,Decisions!$G$2:$G$132,"PRIMARY READY")</s:f>
        <s:v>3</s:v>
      </s:c>
      <s:c r="E16" s="15" t="n">
        <s:f>C16-D16</s:f>
        <s:v>0.0</s:v>
      </s:c>
      <s:c r="F16" s="15" t="n">
        <s:f>COUNTIFS(Decisions!$B$2:$B$132,B16,Decisions!$K$2:$K$132,"discuss")</s:f>
        <s:v>0</s:v>
      </s:c>
      <s:c r="G16" s="15" t="str">
        <s:f>IF(E16=0,"yes","no")</s:f>
        <s:v>yes</s:v>
      </s:c>
      <s:c r="H16" s="15" t="str">
        <s:f>IF(AND(E16=0,F16=0),"yes","no")</s:f>
        <s:v>yes</s:v>
      </s:c>
      <s:c r="I16" s="15" t="n">
        <s:f>IF(H16&lt;&gt;"yes","",COUNTIFS(Decisions!$B$2:$B$132,B16,Decisions!$H$2:$H$132,"primary_temporal"))</s:f>
        <s:v>0</s:v>
      </s:c>
      <s:c r="J16" s="15" t="n">
        <s:f>IF(H16&lt;&gt;"yes","",COUNTIFS(Decisions!$B$2:$B$132,B16,Decisions!$H$2:$H$132,"secondary_temporal"))</s:f>
        <s:v>2</s:v>
      </s:c>
      <s:c r="K16" s="15" t="n">
        <s:f>IF(H16&lt;&gt;"yes","",COUNTIFS(Decisions!$B$2:$B$132,B16,Decisions!$H$2:$H$132,"protocol_descriptive"))</s:f>
        <s:v>0</s:v>
      </s:c>
      <s:c r="L16" s="15" t="n">
        <s:f>IF(H16&lt;&gt;"yes","",COUNTIFS(Decisions!$B$2:$B$132,B16,Decisions!$H$2:$H$132,"plan_descriptive"))</s:f>
        <s:v>1</s:v>
      </s:c>
      <s:c r="M16" s="15" t="n">
        <s:f>IF(H16&lt;&gt;"yes","",COUNTIFS(Decisions!$B$2:$B$132,B16,Decisions!$H$2:$H$132,"not_eligible"))</s:f>
        <s:v>0</s:v>
      </s:c>
    </s:row>
  </s:sheetData>
  <s:autoFilter ref="A1:M16"/>
  <s:pageMargins left="0.75" right="0.75" top="1" bottom="1" header="0.5" footer="0.5"/>
</s:worksheet>
</file>

<file path=xl/worksheets/sheet22.xml><?xml version="1.0" encoding="utf-8"?>
<s:worksheet xmlns:s="http://schemas.openxmlformats.org/spreadsheetml/2006/main">
  <s:sheetPr>
    <s:outlinePr summaryBelow="1" summaryRight="1"/>
    <s:pageSetUpPr/>
  </s:sheetPr>
  <s:dimension ref="A1:O39"/>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12" customWidth="1" style="8" min="1" max="1"/>
    <s:col width="27" customWidth="1" style="8" min="2" max="2"/>
    <s:col width="44" customWidth="1" style="8" min="3" max="3"/>
    <s:col width="28" customWidth="1" style="8" min="4" max="4"/>
    <s:col width="60" customWidth="1" style="8" min="5" max="5"/>
    <s:col width="90" customWidth="1" style="8" min="6" max="6"/>
    <s:col width="28" customWidth="1" style="8" min="7" max="7"/>
    <s:col width="28" customWidth="1" style="8" min="8" max="8"/>
    <s:col width="28" customWidth="1" style="8" min="9" max="9"/>
    <s:col width="28" customWidth="1" style="8" min="10" max="10"/>
    <s:col width="28" customWidth="1" style="8" min="11" max="11"/>
    <s:col width="55" customWidth="1" style="8" min="12" max="12"/>
    <s:col width="28" customWidth="1" style="8" min="13" max="13"/>
    <s:col width="28" customWidth="1" style="8" min="14" max="14"/>
    <s:col width="28" customWidth="1" style="8" min="15" max="15"/>
  </s:cols>
  <s:sheetData>
    <s:row r="1" ht="42" customFormat="1" customHeight="1" s="8">
      <s:c r="A1" s="14" t="inlineStr">
        <s:is>
          <s:t>year</s:t>
        </s:is>
      </s:c>
      <s:c r="B1" s="14" t="inlineStr">
        <s:is>
          <s:t>paper</s:t>
        </s:is>
      </s:c>
      <s:c r="C1" s="14" t="inlineStr">
        <s:is>
          <s:t>key</s:t>
        </s:is>
      </s:c>
      <s:c r="D1" s="14" t="inlineStr">
        <s:is>
          <s:t>relationship</s:t>
        </s:is>
      </s:c>
      <s:c r="E1" s="14" t="inlineStr">
        <s:is>
          <s:t>title</s:t>
        </s:is>
      </s:c>
      <s:c r="F1" s="14" t="inlineStr">
        <s:is>
          <s:t>statement</s:t>
        </s:is>
      </s:c>
      <s:c r="G1" s="14" t="inlineStr">
        <s:is>
          <s:t>status</s:t>
        </s:is>
      </s:c>
      <s:c r="H1" s="14" t="inlineStr">
        <s:is>
          <s:t>disposition</s:t>
        </s:is>
      </s:c>
      <s:c r="I1" s="14" t="inlineStr">
        <s:is>
          <s:t>domain</s:t>
        </s:is>
      </s:c>
      <s:c r="J1" s="14" t="inlineStr">
        <s:is>
          <s:t>interpretation</s:t>
        </s:is>
      </s:c>
      <s:c r="K1" s="14" t="inlineStr">
        <s:is>
          <s:t>internalStatus</s:t>
        </s:is>
      </s:c>
      <s:c r="L1" s="14" t="inlineStr">
        <s:is>
          <s:t>notes</s:t>
        </s:is>
      </s:c>
      <s:c r="M1" s="14" t="inlineStr">
        <s:is>
          <s:t>outcome</s:t>
        </s:is>
      </s:c>
      <s:c r="N1" s="14" t="inlineStr">
        <s:is>
          <s:t>reviewerRole</s:t>
        </s:is>
      </s:c>
      <s:c r="O1" s="14" t="inlineStr">
        <s:is>
          <s:t>reviewerId</s:t>
        </s:is>
      </s:c>
    </s:row>
    <s:row r="2" ht="105" customFormat="1" customHeight="1" s="8">
      <s:c r="A2" s="15" t="n">
        <s:v>2025</s:v>
      </s:c>
      <s:c r="B2" s="15" t="inlineStr">
        <s:is>
          <s:t>jama.2024.24764</s:t>
        </s:is>
      </s:c>
      <s:c r="C2" s="15" t="inlineStr">
        <s:is>
          <s:t>2025::jama.2024.24764::C006</s:t>
        </s:is>
      </s:c>
      <s:c r="D2" s="15" t="inlineStr">
        <s:is>
          <s:t>P_R</s:t>
        </s:is>
      </s:c>
      <s:c r="E2" s="15" t="inlineStr">
        <s:is>
          <s:t>Longitudinal quality-of-life covariance specification differs between SAP and final article</s:t>
        </s:is>
      </s:c>
      <s:c r="F2" s="15" t="inlineStr">
        <s:is>
          <s:t>The SAP specifies unstructured covariance with robust sandwich standard errors for the QoL model family, while the final article specifies independent covariance.</s:t>
        </s:is>
      </s:c>
      <s:c r="G2" s="15" t="str">
        <s:f>IFERROR(IF(INDEX('Decisions'!$G$2:$G$132,MATCH(C2,'Decisions'!$C$2:$C$132,0))="","",INDEX('Decisions'!$G$2:$G$132,MATCH(C2,'Decisions'!$C$2:$C$132,0))),"")</s:f>
        <s:v>PRIMARY READY</s:v>
      </s:c>
      <s:c r="H2" s="15" t="str">
        <s:f>IFERROR(IF(INDEX('Decisions'!$K$2:$K$132,MATCH(C2,'Decisions'!$C$2:$C$132,0))="","",INDEX('Decisions'!$K$2:$K$132,MATCH(C2,'Decisions'!$C$2:$C$132,0))),"")</s:f>
        <s:v>retain</s:v>
      </s:c>
      <s:c r="I2" s="15" t="str">
        <s:f>IFERROR(IF(INDEX('Decisions'!$L$2:$L$132,MATCH(C2,'Decisions'!$C$2:$C$132,0))="","",INDEX('Decisions'!$L$2:$L$132,MATCH(C2,'Decisions'!$C$2:$C$132,0))),"")</s:f>
        <s:v>protocol_report</s:v>
      </s:c>
      <s:c r="J2" s="15" t="str">
        <s:f>IFERROR(IF(INDEX('Decisions'!$Q$2:$Q$132,MATCH(C2,'Decisions'!$C$2:$C$132,0))="","",INDEX('Decisions'!$Q$2:$Q$132,MATCH(C2,'Decisions'!$C$2:$C$132,0))),"")</s:f>
        <s:v/>
      </s:c>
      <s:c r="K2" s="15" t="str">
        <s:f>IFERROR(IF(INDEX('Decisions'!$P$2:$P$132,MATCH(C2,'Decisions'!$C$2:$C$132,0))="","",INDEX('Decisions'!$P$2:$P$132,MATCH(C2,'Decisions'!$C$2:$C$132,0))),"")</s:f>
        <s:v>not_applicable</s:v>
      </s:c>
      <s:c r="L2" s="15" t="str">
        <s:f>IFERROR(IF(INDEX('Decisions'!$R$2:$R$132,MATCH(C2,'Decisions'!$C$2:$C$132,0))="","",INDEX('Decisions'!$R$2:$R$132,MATCH(C2,'Decisions'!$C$2:$C$132,0))),"")</s:f>
        <s:v>TEST 2025::jama.2024.24764::C006</s:v>
      </s:c>
      <s:c r="M2" s="15" t="str">
        <s:f>IFERROR(IF(INDEX('Decisions'!$H$2:$H$132,MATCH(C2,'Decisions'!$C$2:$C$132,0))="","",INDEX('Decisions'!$H$2:$H$132,MATCH(C2,'Decisions'!$C$2:$C$132,0))),"")</s:f>
        <s:v>protocol_descriptive</s:v>
      </s:c>
      <s:c r="N2" s="15" t="str">
        <s:f>IFERROR(IF(INDEX('Decisions'!$E$2:$E$132,MATCH(C2,'Decisions'!$C$2:$C$132,0))="","",INDEX('Decisions'!$E$2:$E$132,MATCH(C2,'Decisions'!$C$2:$C$132,0))),"")</s:f>
        <s:v>R_A</s:v>
      </s:c>
      <s:c r="O2" s="15" t="str">
        <s:f>IFERROR(IF(INDEX('Decisions'!$F$2:$F$132,MATCH(C2,'Decisions'!$C$2:$C$132,0))="","",INDEX('Decisions'!$F$2:$F$132,MATCH(C2,'Decisions'!$C$2:$C$132,0))),"")</s:f>
        <s:v>TEST_REVIEWER</s:v>
      </s:c>
    </s:row>
    <s:row r="3" ht="105" customFormat="1" customHeight="1" s="8">
      <s:c r="A3" s="16" t="n">
        <s:v>2025</s:v>
      </s:c>
      <s:c r="B3" s="16" t="inlineStr">
        <s:is>
          <s:t>jama.2024.24764</s:t>
        </s:is>
      </s:c>
      <s:c r="C3" s="16" t="inlineStr">
        <s:is>
          <s:t>2025::jama.2024.24764::C007</s:t>
        </s:is>
      </s:c>
      <s:c r="D3" s="16" t="inlineStr">
        <s:is>
          <s:t>P_R</s:t>
        </s:is>
      </s:c>
      <s:c r="E3" s="16" t="inlineStr">
        <s:is>
          <s:t>Length-of-stay effect measure and model differ between SAP/protocol and final article</s:t>
        </s:is>
      </s:c>
      <s:c r="F3" s="16" t="inlineStr">
        <s:is>
          <s:t>SAP/protocol describe adjusted mean difference, or skewed-data unadjusted median difference, whereas the final article reports log-transformed adjusted ratios of geometric means for length of stay.</s:t>
        </s:is>
      </s:c>
      <s:c r="G3" s="16" t="str">
        <s:f>IFERROR(IF(INDEX('Decisions'!$G$2:$G$132,MATCH(C3,'Decisions'!$C$2:$C$132,0))="","",INDEX('Decisions'!$G$2:$G$132,MATCH(C3,'Decisions'!$C$2:$C$132,0))),"")</s:f>
        <s:v>PRIMARY READY</s:v>
      </s:c>
      <s:c r="H3" s="16" t="str">
        <s:f>IFERROR(IF(INDEX('Decisions'!$K$2:$K$132,MATCH(C3,'Decisions'!$C$2:$C$132,0))="","",INDEX('Decisions'!$K$2:$K$132,MATCH(C3,'Decisions'!$C$2:$C$132,0))),"")</s:f>
        <s:v>retain</s:v>
      </s:c>
      <s:c r="I3" s="16" t="str">
        <s:f>IFERROR(IF(INDEX('Decisions'!$L$2:$L$132,MATCH(C3,'Decisions'!$C$2:$C$132,0))="","",INDEX('Decisions'!$L$2:$L$132,MATCH(C3,'Decisions'!$C$2:$C$132,0))),"")</s:f>
        <s:v>protocol_report</s:v>
      </s:c>
      <s:c r="J3" s="16" t="str">
        <s:f>IFERROR(IF(INDEX('Decisions'!$Q$2:$Q$132,MATCH(C3,'Decisions'!$C$2:$C$132,0))="","",INDEX('Decisions'!$Q$2:$Q$132,MATCH(C3,'Decisions'!$C$2:$C$132,0))),"")</s:f>
        <s:v/>
      </s:c>
      <s:c r="K3" s="16" t="str">
        <s:f>IFERROR(IF(INDEX('Decisions'!$P$2:$P$132,MATCH(C3,'Decisions'!$C$2:$C$132,0))="","",INDEX('Decisions'!$P$2:$P$132,MATCH(C3,'Decisions'!$C$2:$C$132,0))),"")</s:f>
        <s:v>not_applicable</s:v>
      </s:c>
      <s:c r="L3" s="16" t="str">
        <s:f>IFERROR(IF(INDEX('Decisions'!$R$2:$R$132,MATCH(C3,'Decisions'!$C$2:$C$132,0))="","",INDEX('Decisions'!$R$2:$R$132,MATCH(C3,'Decisions'!$C$2:$C$132,0))),"")</s:f>
        <s:v>TEST 2025::jama.2024.24764::C007</s:v>
      </s:c>
      <s:c r="M3" s="16" t="str">
        <s:f>IFERROR(IF(INDEX('Decisions'!$H$2:$H$132,MATCH(C3,'Decisions'!$C$2:$C$132,0))="","",INDEX('Decisions'!$H$2:$H$132,MATCH(C3,'Decisions'!$C$2:$C$132,0))),"")</s:f>
        <s:v>protocol_descriptive</s:v>
      </s:c>
      <s:c r="N3" s="16" t="str">
        <s:f>IFERROR(IF(INDEX('Decisions'!$E$2:$E$132,MATCH(C3,'Decisions'!$C$2:$C$132,0))="","",INDEX('Decisions'!$E$2:$E$132,MATCH(C3,'Decisions'!$C$2:$C$132,0))),"")</s:f>
        <s:v>R_A</s:v>
      </s:c>
      <s:c r="O3" s="16" t="str">
        <s:f>IFERROR(IF(INDEX('Decisions'!$F$2:$F$132,MATCH(C3,'Decisions'!$C$2:$C$132,0))="","",INDEX('Decisions'!$F$2:$F$132,MATCH(C3,'Decisions'!$C$2:$C$132,0))),"")</s:f>
        <s:v>TEST_REVIEWER</s:v>
      </s:c>
    </s:row>
    <s:row r="4" ht="105" customFormat="1" customHeight="1" s="8">
      <s:c r="A4" s="15" t="n">
        <s:v>2025</s:v>
      </s:c>
      <s:c r="B4" s="15" t="inlineStr">
        <s:is>
          <s:t>jama.2024.24764</s:t>
        </s:is>
      </s:c>
      <s:c r="C4" s="15" t="inlineStr">
        <s:is>
          <s:t>2025::jama.2024.24764::C008</s:t>
        </s:is>
      </s:c>
      <s:c r="D4" s="15" t="inlineStr">
        <s:is>
          <s:t>P_R</s:t>
        </s:is>
      </s:c>
      <s:c r="E4" s="15" t="inlineStr">
        <s:is>
          <s:t>Australia-inclusive length-of-stay result differs from the stated UK-only analysis population</s:t>
        </s:is>
      </s:c>
      <s:c r="F4" s="15" t="inlineStr">
        <s:is>
          <s:t>SAP and protocol specify UK-only length-of-stay reporting, while the final article additionally reports a UK-and-Australia result.</s:t>
        </s:is>
      </s:c>
      <s:c r="G4" s="15" t="str">
        <s:f>IFERROR(IF(INDEX('Decisions'!$G$2:$G$132,MATCH(C4,'Decisions'!$C$2:$C$132,0))="","",INDEX('Decisions'!$G$2:$G$132,MATCH(C4,'Decisions'!$C$2:$C$132,0))),"")</s:f>
        <s:v>PRIMARY READY</s:v>
      </s:c>
      <s:c r="H4" s="15" t="str">
        <s:f>IFERROR(IF(INDEX('Decisions'!$K$2:$K$132,MATCH(C4,'Decisions'!$C$2:$C$132,0))="","",INDEX('Decisions'!$K$2:$K$132,MATCH(C4,'Decisions'!$C$2:$C$132,0))),"")</s:f>
        <s:v>retain</s:v>
      </s:c>
      <s:c r="I4" s="15" t="str">
        <s:f>IFERROR(IF(INDEX('Decisions'!$L$2:$L$132,MATCH(C4,'Decisions'!$C$2:$C$132,0))="","",INDEX('Decisions'!$L$2:$L$132,MATCH(C4,'Decisions'!$C$2:$C$132,0))),"")</s:f>
        <s:v>protocol_report</s:v>
      </s:c>
      <s:c r="J4" s="15" t="str">
        <s:f>IFERROR(IF(INDEX('Decisions'!$Q$2:$Q$132,MATCH(C4,'Decisions'!$C$2:$C$132,0))="","",INDEX('Decisions'!$Q$2:$Q$132,MATCH(C4,'Decisions'!$C$2:$C$132,0))),"")</s:f>
        <s:v/>
      </s:c>
      <s:c r="K4" s="15" t="str">
        <s:f>IFERROR(IF(INDEX('Decisions'!$P$2:$P$132,MATCH(C4,'Decisions'!$C$2:$C$132,0))="","",INDEX('Decisions'!$P$2:$P$132,MATCH(C4,'Decisions'!$C$2:$C$132,0))),"")</s:f>
        <s:v>not_applicable</s:v>
      </s:c>
      <s:c r="L4" s="15" t="str">
        <s:f>IFERROR(IF(INDEX('Decisions'!$R$2:$R$132,MATCH(C4,'Decisions'!$C$2:$C$132,0))="","",INDEX('Decisions'!$R$2:$R$132,MATCH(C4,'Decisions'!$C$2:$C$132,0))),"")</s:f>
        <s:v>TEST 2025::jama.2024.24764::C008</s:v>
      </s:c>
      <s:c r="M4" s="15" t="str">
        <s:f>IFERROR(IF(INDEX('Decisions'!$H$2:$H$132,MATCH(C4,'Decisions'!$C$2:$C$132,0))="","",INDEX('Decisions'!$H$2:$H$132,MATCH(C4,'Decisions'!$C$2:$C$132,0))),"")</s:f>
        <s:v>protocol_descriptive</s:v>
      </s:c>
      <s:c r="N4" s="15" t="str">
        <s:f>IFERROR(IF(INDEX('Decisions'!$E$2:$E$132,MATCH(C4,'Decisions'!$C$2:$C$132,0))="","",INDEX('Decisions'!$E$2:$E$132,MATCH(C4,'Decisions'!$C$2:$C$132,0))),"")</s:f>
        <s:v>R_A</s:v>
      </s:c>
      <s:c r="O4" s="15" t="str">
        <s:f>IFERROR(IF(INDEX('Decisions'!$F$2:$F$132,MATCH(C4,'Decisions'!$C$2:$C$132,0))="","",INDEX('Decisions'!$F$2:$F$132,MATCH(C4,'Decisions'!$C$2:$C$132,0))),"")</s:f>
        <s:v>TEST_REVIEWER</s:v>
      </s:c>
    </s:row>
    <s:row r="5" ht="105" customFormat="1" customHeight="1" s="8">
      <s:c r="A5" s="16" t="n">
        <s:v>2025</s:v>
      </s:c>
      <s:c r="B5" s="16" t="inlineStr">
        <s:is>
          <s:t>jama.2025.16450</s:t>
        </s:is>
      </s:c>
      <s:c r="C5" s="16" t="inlineStr">
        <s:is>
          <s:t>2025::jama.2025.16450::C002</s:t>
        </s:is>
      </s:c>
      <s:c r="D5" s="16" t="inlineStr">
        <s:is>
          <s:t>P_R</s:t>
        </s:is>
      </s:c>
      <s:c r="E5" s="16" t="inlineStr">
        <s:is>
          <s:t>Registered eligibility-bound discrepancy is not reproduced on direct-source recheck</s:t>
        </s:is>
      </s:c>
      <s:c r="F5" s="16" t="inlineStr">
        <s:is>
          <s:t>The prior ledger recorded 27 6/7 weeks for DOC-002, but direct-source recheck shows 28 6/7; the original cross-document mismatch is not reproduced.</s:t>
        </s:is>
      </s:c>
      <s:c r="G5" s="16" t="str">
        <s:f>IFERROR(IF(INDEX('Decisions'!$G$2:$G$132,MATCH(C5,'Decisions'!$C$2:$C$132,0))="","",INDEX('Decisions'!$G$2:$G$132,MATCH(C5,'Decisions'!$C$2:$C$132,0))),"")</s:f>
        <s:v>PRIMARY READY</s:v>
      </s:c>
      <s:c r="H5" s="16" t="str">
        <s:f>IFERROR(IF(INDEX('Decisions'!$K$2:$K$132,MATCH(C5,'Decisions'!$C$2:$C$132,0))="","",INDEX('Decisions'!$K$2:$K$132,MATCH(C5,'Decisions'!$C$2:$C$132,0))),"")</s:f>
        <s:v>retain</s:v>
      </s:c>
      <s:c r="I5" s="16" t="str">
        <s:f>IFERROR(IF(INDEX('Decisions'!$L$2:$L$132,MATCH(C5,'Decisions'!$C$2:$C$132,0))="","",INDEX('Decisions'!$L$2:$L$132,MATCH(C5,'Decisions'!$C$2:$C$132,0))),"")</s:f>
        <s:v>protocol_report</s:v>
      </s:c>
      <s:c r="J5" s="16" t="str">
        <s:f>IFERROR(IF(INDEX('Decisions'!$Q$2:$Q$132,MATCH(C5,'Decisions'!$C$2:$C$132,0))="","",INDEX('Decisions'!$Q$2:$Q$132,MATCH(C5,'Decisions'!$C$2:$C$132,0))),"")</s:f>
        <s:v/>
      </s:c>
      <s:c r="K5" s="16" t="str">
        <s:f>IFERROR(IF(INDEX('Decisions'!$P$2:$P$132,MATCH(C5,'Decisions'!$C$2:$C$132,0))="","",INDEX('Decisions'!$P$2:$P$132,MATCH(C5,'Decisions'!$C$2:$C$132,0))),"")</s:f>
        <s:v>not_applicable</s:v>
      </s:c>
      <s:c r="L5" s="16" t="str">
        <s:f>IFERROR(IF(INDEX('Decisions'!$R$2:$R$132,MATCH(C5,'Decisions'!$C$2:$C$132,0))="","",INDEX('Decisions'!$R$2:$R$132,MATCH(C5,'Decisions'!$C$2:$C$132,0))),"")</s:f>
        <s:v>TEST 2025::jama.2025.16450::C002</s:v>
      </s:c>
      <s:c r="M5" s="16" t="str">
        <s:f>IFERROR(IF(INDEX('Decisions'!$H$2:$H$132,MATCH(C5,'Decisions'!$C$2:$C$132,0))="","",INDEX('Decisions'!$H$2:$H$132,MATCH(C5,'Decisions'!$C$2:$C$132,0))),"")</s:f>
        <s:v>protocol_descriptive</s:v>
      </s:c>
      <s:c r="N5" s="16" t="str">
        <s:f>IFERROR(IF(INDEX('Decisions'!$E$2:$E$132,MATCH(C5,'Decisions'!$C$2:$C$132,0))="","",INDEX('Decisions'!$E$2:$E$132,MATCH(C5,'Decisions'!$C$2:$C$132,0))),"")</s:f>
        <s:v>R_A</s:v>
      </s:c>
      <s:c r="O5" s="16" t="str">
        <s:f>IFERROR(IF(INDEX('Decisions'!$F$2:$F$132,MATCH(C5,'Decisions'!$C$2:$C$132,0))="","",INDEX('Decisions'!$F$2:$F$132,MATCH(C5,'Decisions'!$C$2:$C$132,0))),"")</s:f>
        <s:v>TEST_REVIEWER</s:v>
      </s:c>
    </s:row>
    <s:row r="6" ht="105" customFormat="1" customHeight="1" s="8">
      <s:c r="A6" s="15" t="n">
        <s:v>2025</s:v>
      </s:c>
      <s:c r="B6" s="15" t="inlineStr">
        <s:is>
          <s:t>jama.2025.16450</s:t>
        </s:is>
      </s:c>
      <s:c r="C6" s="15" t="inlineStr">
        <s:is>
          <s:t>2025::jama.2025.16450::C003</s:t>
        </s:is>
      </s:c>
      <s:c r="D6" s="15" t="inlineStr">
        <s:is>
          <s:t>P_R</s:t>
        </s:is>
      </s:c>
      <s:c r="E6" s="15" t="inlineStr">
        <s:is>
          <s:t>Registered first-dose discrepancy is not reproduced on direct-source recheck</s:t>
        </s:is>
      </s:c>
      <s:c r="F6" s="15" t="inlineStr">
        <s:is>
          <s:t>The prior ledger assigned 1.25 mL/kg to the first dose in DOC-002, but direct-source recheck shows 2.5 mL/kg; the original mismatch is not reproduced.</s:t>
        </s:is>
      </s:c>
      <s:c r="G6" s="15" t="str">
        <s:f>IFERROR(IF(INDEX('Decisions'!$G$2:$G$132,MATCH(C6,'Decisions'!$C$2:$C$132,0))="","",INDEX('Decisions'!$G$2:$G$132,MATCH(C6,'Decisions'!$C$2:$C$132,0))),"")</s:f>
        <s:v>PRIMARY READY</s:v>
      </s:c>
      <s:c r="H6" s="15" t="str">
        <s:f>IFERROR(IF(INDEX('Decisions'!$K$2:$K$132,MATCH(C6,'Decisions'!$C$2:$C$132,0))="","",INDEX('Decisions'!$K$2:$K$132,MATCH(C6,'Decisions'!$C$2:$C$132,0))),"")</s:f>
        <s:v>retain</s:v>
      </s:c>
      <s:c r="I6" s="15" t="str">
        <s:f>IFERROR(IF(INDEX('Decisions'!$L$2:$L$132,MATCH(C6,'Decisions'!$C$2:$C$132,0))="","",INDEX('Decisions'!$L$2:$L$132,MATCH(C6,'Decisions'!$C$2:$C$132,0))),"")</s:f>
        <s:v>protocol_report</s:v>
      </s:c>
      <s:c r="J6" s="15" t="str">
        <s:f>IFERROR(IF(INDEX('Decisions'!$Q$2:$Q$132,MATCH(C6,'Decisions'!$C$2:$C$132,0))="","",INDEX('Decisions'!$Q$2:$Q$132,MATCH(C6,'Decisions'!$C$2:$C$132,0))),"")</s:f>
        <s:v/>
      </s:c>
      <s:c r="K6" s="15" t="str">
        <s:f>IFERROR(IF(INDEX('Decisions'!$P$2:$P$132,MATCH(C6,'Decisions'!$C$2:$C$132,0))="","",INDEX('Decisions'!$P$2:$P$132,MATCH(C6,'Decisions'!$C$2:$C$132,0))),"")</s:f>
        <s:v>not_applicable</s:v>
      </s:c>
      <s:c r="L6" s="15" t="str">
        <s:f>IFERROR(IF(INDEX('Decisions'!$R$2:$R$132,MATCH(C6,'Decisions'!$C$2:$C$132,0))="","",INDEX('Decisions'!$R$2:$R$132,MATCH(C6,'Decisions'!$C$2:$C$132,0))),"")</s:f>
        <s:v>TEST 2025::jama.2025.16450::C003</s:v>
      </s:c>
      <s:c r="M6" s="15" t="str">
        <s:f>IFERROR(IF(INDEX('Decisions'!$H$2:$H$132,MATCH(C6,'Decisions'!$C$2:$C$132,0))="","",INDEX('Decisions'!$H$2:$H$132,MATCH(C6,'Decisions'!$C$2:$C$132,0))),"")</s:f>
        <s:v>protocol_descriptive</s:v>
      </s:c>
      <s:c r="N6" s="15" t="str">
        <s:f>IFERROR(IF(INDEX('Decisions'!$E$2:$E$132,MATCH(C6,'Decisions'!$C$2:$C$132,0))="","",INDEX('Decisions'!$E$2:$E$132,MATCH(C6,'Decisions'!$C$2:$C$132,0))),"")</s:f>
        <s:v>R_A</s:v>
      </s:c>
      <s:c r="O6" s="15" t="str">
        <s:f>IFERROR(IF(INDEX('Decisions'!$F$2:$F$132,MATCH(C6,'Decisions'!$C$2:$C$132,0))="","",INDEX('Decisions'!$F$2:$F$132,MATCH(C6,'Decisions'!$C$2:$C$132,0))),"")</s:f>
        <s:v>TEST_REVIEWER</s:v>
      </s:c>
    </s:row>
    <s:row r="7" ht="105" customFormat="1" customHeight="1" s="8">
      <s:c r="A7" s="16" t="n">
        <s:v>2025</s:v>
      </s:c>
      <s:c r="B7" s="16" t="inlineStr">
        <s:is>
          <s:t>jama.2025.16450</s:t>
        </s:is>
      </s:c>
      <s:c r="C7" s="16" t="inlineStr">
        <s:is>
          <s:t>2025::jama.2025.16450::C004</s:t>
        </s:is>
      </s:c>
      <s:c r="D7" s="16" t="inlineStr">
        <s:is>
          <s:t>P_P</s:t>
        </s:is>
      </s:c>
      <s:c r="E7" s="16" t="inlineStr">
        <s:is>
          <s:t>Severe-NDI GMFCS cutoff differs between the manual and SAP</s:t>
        </s:is>
      </s:c>
      <s:c r="F7" s="16" t="inlineStr">
        <s:is>
          <s:t>The manual defines severe NDI using GMFCS levels 3-5, whereas the SAP uses 4-5.</s:t>
        </s:is>
      </s:c>
      <s:c r="G7" s="16" t="str">
        <s:f>IFERROR(IF(INDEX('Decisions'!$G$2:$G$132,MATCH(C7,'Decisions'!$C$2:$C$132,0))="","",INDEX('Decisions'!$G$2:$G$132,MATCH(C7,'Decisions'!$C$2:$C$132,0))),"")</s:f>
        <s:v>PRIMARY READY</s:v>
      </s:c>
      <s:c r="H7" s="16" t="str">
        <s:f>IFERROR(IF(INDEX('Decisions'!$K$2:$K$132,MATCH(C7,'Decisions'!$C$2:$C$132,0))="","",INDEX('Decisions'!$K$2:$K$132,MATCH(C7,'Decisions'!$C$2:$C$132,0))),"")</s:f>
        <s:v>retain</s:v>
      </s:c>
      <s:c r="I7" s="16" t="str">
        <s:f>IFERROR(IF(INDEX('Decisions'!$L$2:$L$132,MATCH(C7,'Decisions'!$C$2:$C$132,0))="","",INDEX('Decisions'!$L$2:$L$132,MATCH(C7,'Decisions'!$C$2:$C$132,0))),"")</s:f>
        <s:v>plan_material</s:v>
      </s:c>
      <s:c r="J7" s="16" t="str">
        <s:f>IFERROR(IF(INDEX('Decisions'!$Q$2:$Q$132,MATCH(C7,'Decisions'!$C$2:$C$132,0))="","",INDEX('Decisions'!$Q$2:$Q$132,MATCH(C7,'Decisions'!$C$2:$C$132,0))),"")</s:f>
        <s:v>not_applicable</s:v>
      </s:c>
      <s:c r="K7" s="16" t="str">
        <s:f>IFERROR(IF(INDEX('Decisions'!$P$2:$P$132,MATCH(C7,'Decisions'!$C$2:$C$132,0))="","",INDEX('Decisions'!$P$2:$P$132,MATCH(C7,'Decisions'!$C$2:$C$132,0))),"")</s:f>
        <s:v>substantive_inconsistency</s:v>
      </s:c>
      <s:c r="L7" s="16" t="str">
        <s:f>IFERROR(IF(INDEX('Decisions'!$R$2:$R$132,MATCH(C7,'Decisions'!$C$2:$C$132,0))="","",INDEX('Decisions'!$R$2:$R$132,MATCH(C7,'Decisions'!$C$2:$C$132,0))),"")</s:f>
        <s:v>TEST 2025::jama.2025.16450::C004</s:v>
      </s:c>
      <s:c r="M7" s="16" t="str">
        <s:f>IFERROR(IF(INDEX('Decisions'!$H$2:$H$132,MATCH(C7,'Decisions'!$C$2:$C$132,0))="","",INDEX('Decisions'!$H$2:$H$132,MATCH(C7,'Decisions'!$C$2:$C$132,0))),"")</s:f>
        <s:v>plan_descriptive</s:v>
      </s:c>
      <s:c r="N7" s="16" t="str">
        <s:f>IFERROR(IF(INDEX('Decisions'!$E$2:$E$132,MATCH(C7,'Decisions'!$C$2:$C$132,0))="","",INDEX('Decisions'!$E$2:$E$132,MATCH(C7,'Decisions'!$C$2:$C$132,0))),"")</s:f>
        <s:v>R_A</s:v>
      </s:c>
      <s:c r="O7" s="16" t="str">
        <s:f>IFERROR(IF(INDEX('Decisions'!$F$2:$F$132,MATCH(C7,'Decisions'!$C$2:$C$132,0))="","",INDEX('Decisions'!$F$2:$F$132,MATCH(C7,'Decisions'!$C$2:$C$132,0))),"")</s:f>
        <s:v>TEST_REVIEWER</s:v>
      </s:c>
    </s:row>
    <s:row r="8" ht="105" customFormat="1" customHeight="1" s="8">
      <s:c r="A8" s="15" t="n">
        <s:v>2025</s:v>
      </s:c>
      <s:c r="B8" s="15" t="inlineStr">
        <s:is>
          <s:t>jama.2025.16450</s:t>
        </s:is>
      </s:c>
      <s:c r="C8" s="15" t="inlineStr">
        <s:is>
          <s:t>2025::jama.2025.16450::C005</s:t>
        </s:is>
      </s:c>
      <s:c r="D8" s="15" t="inlineStr">
        <s:is>
          <s:t>P_P</s:t>
        </s:is>
      </s:c>
      <s:c r="E8" s="15" t="inlineStr">
        <s:is>
          <s:t>Registered severe-NDI instrument-edition discrepancy is not reproduced on direct-source recheck</s:t>
        </s:is>
      </s:c>
      <s:c r="F8" s="15" t="inlineStr">
        <s:is>
          <s:t>The prior ledger reported Bayley-III versus BSID-IV, but direct-source recheck shows BSID-IV/fourth edition throughout; the original mismatch is not reproduced.</s:t>
        </s:is>
      </s:c>
      <s:c r="G8" s="15" t="str">
        <s:f>IFERROR(IF(INDEX('Decisions'!$G$2:$G$132,MATCH(C8,'Decisions'!$C$2:$C$132,0))="","",INDEX('Decisions'!$G$2:$G$132,MATCH(C8,'Decisions'!$C$2:$C$132,0))),"")</s:f>
        <s:v>PRIMARY READY</s:v>
      </s:c>
      <s:c r="H8" s="15" t="str">
        <s:f>IFERROR(IF(INDEX('Decisions'!$K$2:$K$132,MATCH(C8,'Decisions'!$C$2:$C$132,0))="","",INDEX('Decisions'!$K$2:$K$132,MATCH(C8,'Decisions'!$C$2:$C$132,0))),"")</s:f>
        <s:v>retain</s:v>
      </s:c>
      <s:c r="I8" s="15" t="str">
        <s:f>IFERROR(IF(INDEX('Decisions'!$L$2:$L$132,MATCH(C8,'Decisions'!$C$2:$C$132,0))="","",INDEX('Decisions'!$L$2:$L$132,MATCH(C8,'Decisions'!$C$2:$C$132,0))),"")</s:f>
        <s:v>plan_material</s:v>
      </s:c>
      <s:c r="J8" s="15" t="str">
        <s:f>IFERROR(IF(INDEX('Decisions'!$Q$2:$Q$132,MATCH(C8,'Decisions'!$C$2:$C$132,0))="","",INDEX('Decisions'!$Q$2:$Q$132,MATCH(C8,'Decisions'!$C$2:$C$132,0))),"")</s:f>
        <s:v>not_applicable</s:v>
      </s:c>
      <s:c r="K8" s="15" t="str">
        <s:f>IFERROR(IF(INDEX('Decisions'!$P$2:$P$132,MATCH(C8,'Decisions'!$C$2:$C$132,0))="","",INDEX('Decisions'!$P$2:$P$132,MATCH(C8,'Decisions'!$C$2:$C$132,0))),"")</s:f>
        <s:v>substantive_inconsistency</s:v>
      </s:c>
      <s:c r="L8" s="15" t="str">
        <s:f>IFERROR(IF(INDEX('Decisions'!$R$2:$R$132,MATCH(C8,'Decisions'!$C$2:$C$132,0))="","",INDEX('Decisions'!$R$2:$R$132,MATCH(C8,'Decisions'!$C$2:$C$132,0))),"")</s:f>
        <s:v>TEST 2025::jama.2025.16450::C005</s:v>
      </s:c>
      <s:c r="M8" s="15" t="str">
        <s:f>IFERROR(IF(INDEX('Decisions'!$H$2:$H$132,MATCH(C8,'Decisions'!$C$2:$C$132,0))="","",INDEX('Decisions'!$H$2:$H$132,MATCH(C8,'Decisions'!$C$2:$C$132,0))),"")</s:f>
        <s:v>plan_descriptive</s:v>
      </s:c>
      <s:c r="N8" s="15" t="str">
        <s:f>IFERROR(IF(INDEX('Decisions'!$E$2:$E$132,MATCH(C8,'Decisions'!$C$2:$C$132,0))="","",INDEX('Decisions'!$E$2:$E$132,MATCH(C8,'Decisions'!$C$2:$C$132,0))),"")</s:f>
        <s:v>R_A</s:v>
      </s:c>
      <s:c r="O8" s="15" t="str">
        <s:f>IFERROR(IF(INDEX('Decisions'!$F$2:$F$132,MATCH(C8,'Decisions'!$C$2:$C$132,0))="","",INDEX('Decisions'!$F$2:$F$132,MATCH(C8,'Decisions'!$C$2:$C$132,0))),"")</s:f>
        <s:v>TEST_REVIEWER</s:v>
      </s:c>
    </s:row>
    <s:row r="9" ht="105" customFormat="1" customHeight="1" s="8">
      <s:c r="A9" s="16" t="n">
        <s:v>2025</s:v>
      </s:c>
      <s:c r="B9" s="16" t="inlineStr">
        <s:is>
          <s:t>jama.2025.16450</s:t>
        </s:is>
      </s:c>
      <s:c r="C9" s="16" t="inlineStr">
        <s:is>
          <s:t>2025::jama.2025.16450::C006</s:t>
        </s:is>
      </s:c>
      <s:c r="D9" s="16" t="inlineStr">
        <s:is>
          <s:t>P_P</s:t>
        </s:is>
      </s:c>
      <s:c r="E9" s="16" t="inlineStr">
        <s:is>
          <s:t>Registered first-interim-alpha discrepancy is not reproduced on direct-source recheck</s:t>
        </s:is>
      </s:c>
      <s:c r="F9" s="16" t="inlineStr">
        <s:is>
          <s:t>The prior ledger recorded protocol alpha 0.00015, but both direct pages print 0.000015; the original tenfold mismatch is not reproduced.</s:t>
        </s:is>
      </s:c>
      <s:c r="G9" s="16" t="str">
        <s:f>IFERROR(IF(INDEX('Decisions'!$G$2:$G$132,MATCH(C9,'Decisions'!$C$2:$C$132,0))="","",INDEX('Decisions'!$G$2:$G$132,MATCH(C9,'Decisions'!$C$2:$C$132,0))),"")</s:f>
        <s:v>PRIMARY READY</s:v>
      </s:c>
      <s:c r="H9" s="16" t="str">
        <s:f>IFERROR(IF(INDEX('Decisions'!$K$2:$K$132,MATCH(C9,'Decisions'!$C$2:$C$132,0))="","",INDEX('Decisions'!$K$2:$K$132,MATCH(C9,'Decisions'!$C$2:$C$132,0))),"")</s:f>
        <s:v>retain</s:v>
      </s:c>
      <s:c r="I9" s="16" t="str">
        <s:f>IFERROR(IF(INDEX('Decisions'!$L$2:$L$132,MATCH(C9,'Decisions'!$C$2:$C$132,0))="","",INDEX('Decisions'!$L$2:$L$132,MATCH(C9,'Decisions'!$C$2:$C$132,0))),"")</s:f>
        <s:v>plan_material</s:v>
      </s:c>
      <s:c r="J9" s="16" t="str">
        <s:f>IFERROR(IF(INDEX('Decisions'!$Q$2:$Q$132,MATCH(C9,'Decisions'!$C$2:$C$132,0))="","",INDEX('Decisions'!$Q$2:$Q$132,MATCH(C9,'Decisions'!$C$2:$C$132,0))),"")</s:f>
        <s:v>not_applicable</s:v>
      </s:c>
      <s:c r="K9" s="16" t="str">
        <s:f>IFERROR(IF(INDEX('Decisions'!$P$2:$P$132,MATCH(C9,'Decisions'!$C$2:$C$132,0))="","",INDEX('Decisions'!$P$2:$P$132,MATCH(C9,'Decisions'!$C$2:$C$132,0))),"")</s:f>
        <s:v>substantive_inconsistency</s:v>
      </s:c>
      <s:c r="L9" s="16" t="str">
        <s:f>IFERROR(IF(INDEX('Decisions'!$R$2:$R$132,MATCH(C9,'Decisions'!$C$2:$C$132,0))="","",INDEX('Decisions'!$R$2:$R$132,MATCH(C9,'Decisions'!$C$2:$C$132,0))),"")</s:f>
        <s:v>TEST 2025::jama.2025.16450::C006</s:v>
      </s:c>
      <s:c r="M9" s="16" t="str">
        <s:f>IFERROR(IF(INDEX('Decisions'!$H$2:$H$132,MATCH(C9,'Decisions'!$C$2:$C$132,0))="","",INDEX('Decisions'!$H$2:$H$132,MATCH(C9,'Decisions'!$C$2:$C$132,0))),"")</s:f>
        <s:v>plan_descriptive</s:v>
      </s:c>
      <s:c r="N9" s="16" t="str">
        <s:f>IFERROR(IF(INDEX('Decisions'!$E$2:$E$132,MATCH(C9,'Decisions'!$C$2:$C$132,0))="","",INDEX('Decisions'!$E$2:$E$132,MATCH(C9,'Decisions'!$C$2:$C$132,0))),"")</s:f>
        <s:v>R_A</s:v>
      </s:c>
      <s:c r="O9" s="16" t="str">
        <s:f>IFERROR(IF(INDEX('Decisions'!$F$2:$F$132,MATCH(C9,'Decisions'!$C$2:$C$132,0))="","",INDEX('Decisions'!$F$2:$F$132,MATCH(C9,'Decisions'!$C$2:$C$132,0))),"")</s:f>
        <s:v>TEST_REVIEWER</s:v>
      </s:c>
    </s:row>
    <s:row r="10" ht="105" customFormat="1" customHeight="1" s="8">
      <s:c r="A10" s="15" t="n">
        <s:v>2025</s:v>
      </s:c>
      <s:c r="B10" s="15" t="inlineStr">
        <s:is>
          <s:t>jama.2025.16450</s:t>
        </s:is>
      </s:c>
      <s:c r="C10" s="15" t="inlineStr">
        <s:is>
          <s:t>2025::jama.2025.16450::C007</s:t>
        </s:is>
      </s:c>
      <s:c r="D10" s="15" t="inlineStr">
        <s:is>
          <s:t>P_R</s:t>
        </s:is>
      </s:c>
      <s:c r="E10" s="15" t="inlineStr">
        <s:is>
          <s:t>Final primary-analysis alpha differs between the article and prospective documents</s:t>
        </s:is>
      </s:c>
      <s:c r="F10" s="15" t="inlineStr">
        <s:is>
          <s:t>The article reports primary-analysis alpha .049; the protocol and SAP list planned final alpha .0440.</s:t>
        </s:is>
      </s:c>
      <s:c r="G10" s="15" t="str">
        <s:f>IFERROR(IF(INDEX('Decisions'!$G$2:$G$132,MATCH(C10,'Decisions'!$C$2:$C$132,0))="","",INDEX('Decisions'!$G$2:$G$132,MATCH(C10,'Decisions'!$C$2:$C$132,0))),"")</s:f>
        <s:v>PRIMARY READY</s:v>
      </s:c>
      <s:c r="H10" s="15" t="str">
        <s:f>IFERROR(IF(INDEX('Decisions'!$K$2:$K$132,MATCH(C10,'Decisions'!$C$2:$C$132,0))="","",INDEX('Decisions'!$K$2:$K$132,MATCH(C10,'Decisions'!$C$2:$C$132,0))),"")</s:f>
        <s:v>retain</s:v>
      </s:c>
      <s:c r="I10" s="15" t="str">
        <s:f>IFERROR(IF(INDEX('Decisions'!$L$2:$L$132,MATCH(C10,'Decisions'!$C$2:$C$132,0))="","",INDEX('Decisions'!$L$2:$L$132,MATCH(C10,'Decisions'!$C$2:$C$132,0))),"")</s:f>
        <s:v>protocol_report</s:v>
      </s:c>
      <s:c r="J10" s="15" t="str">
        <s:f>IFERROR(IF(INDEX('Decisions'!$Q$2:$Q$132,MATCH(C10,'Decisions'!$C$2:$C$132,0))="","",INDEX('Decisions'!$Q$2:$Q$132,MATCH(C10,'Decisions'!$C$2:$C$132,0))),"")</s:f>
        <s:v/>
      </s:c>
      <s:c r="K10" s="15" t="str">
        <s:f>IFERROR(IF(INDEX('Decisions'!$P$2:$P$132,MATCH(C10,'Decisions'!$C$2:$C$132,0))="","",INDEX('Decisions'!$P$2:$P$132,MATCH(C10,'Decisions'!$C$2:$C$132,0))),"")</s:f>
        <s:v>not_applicable</s:v>
      </s:c>
      <s:c r="L10" s="15" t="str">
        <s:f>IFERROR(IF(INDEX('Decisions'!$R$2:$R$132,MATCH(C10,'Decisions'!$C$2:$C$132,0))="","",INDEX('Decisions'!$R$2:$R$132,MATCH(C10,'Decisions'!$C$2:$C$132,0))),"")</s:f>
        <s:v>TEST 2025::jama.2025.16450::C007</s:v>
      </s:c>
      <s:c r="M10" s="15" t="str">
        <s:f>IFERROR(IF(INDEX('Decisions'!$H$2:$H$132,MATCH(C10,'Decisions'!$C$2:$C$132,0))="","",INDEX('Decisions'!$H$2:$H$132,MATCH(C10,'Decisions'!$C$2:$C$132,0))),"")</s:f>
        <s:v>protocol_descriptive</s:v>
      </s:c>
      <s:c r="N10" s="15" t="str">
        <s:f>IFERROR(IF(INDEX('Decisions'!$E$2:$E$132,MATCH(C10,'Decisions'!$C$2:$C$132,0))="","",INDEX('Decisions'!$E$2:$E$132,MATCH(C10,'Decisions'!$C$2:$C$132,0))),"")</s:f>
        <s:v>R_A</s:v>
      </s:c>
      <s:c r="O10" s="15" t="str">
        <s:f>IFERROR(IF(INDEX('Decisions'!$F$2:$F$132,MATCH(C10,'Decisions'!$C$2:$C$132,0))="","",INDEX('Decisions'!$F$2:$F$132,MATCH(C10,'Decisions'!$C$2:$C$132,0))),"")</s:f>
        <s:v>TEST_REVIEWER</s:v>
      </s:c>
    </s:row>
    <s:row r="11" ht="105" customFormat="1" customHeight="1" s="8">
      <s:c r="A11" s="16" t="n">
        <s:v>2025</s:v>
      </s:c>
      <s:c r="B11" s="16" t="inlineStr">
        <s:is>
          <s:t>jama.2025.16450</s:t>
        </s:is>
      </s:c>
      <s:c r="C11" s="16" t="inlineStr">
        <s:is>
          <s:t>2025::jama.2025.16450::C008</s:t>
        </s:is>
      </s:c>
      <s:c r="D11" s="16" t="inlineStr">
        <s:is>
          <s:t>P_R</s:t>
        </s:is>
      </s:c>
      <s:c r="E11" s="16" t="inlineStr">
        <s:is>
          <s:t>Trial center count differs between final and prospective documents</s:t>
        </s:is>
      </s:c>
      <s:c r="F11" s="16" t="inlineStr">
        <s:is>
          <s:t>The article states 17 centers; the protocol and SAP state 15 centers in prospective context.</s:t>
        </s:is>
      </s:c>
      <s:c r="G11" s="16" t="str">
        <s:f>IFERROR(IF(INDEX('Decisions'!$G$2:$G$132,MATCH(C11,'Decisions'!$C$2:$C$132,0))="","",INDEX('Decisions'!$G$2:$G$132,MATCH(C11,'Decisions'!$C$2:$C$132,0))),"")</s:f>
        <s:v>PRIMARY READY</s:v>
      </s:c>
      <s:c r="H11" s="16" t="str">
        <s:f>IFERROR(IF(INDEX('Decisions'!$K$2:$K$132,MATCH(C11,'Decisions'!$C$2:$C$132,0))="","",INDEX('Decisions'!$K$2:$K$132,MATCH(C11,'Decisions'!$C$2:$C$132,0))),"")</s:f>
        <s:v>retain</s:v>
      </s:c>
      <s:c r="I11" s="16" t="str">
        <s:f>IFERROR(IF(INDEX('Decisions'!$L$2:$L$132,MATCH(C11,'Decisions'!$C$2:$C$132,0))="","",INDEX('Decisions'!$L$2:$L$132,MATCH(C11,'Decisions'!$C$2:$C$132,0))),"")</s:f>
        <s:v>protocol_report</s:v>
      </s:c>
      <s:c r="J11" s="16" t="str">
        <s:f>IFERROR(IF(INDEX('Decisions'!$Q$2:$Q$132,MATCH(C11,'Decisions'!$C$2:$C$132,0))="","",INDEX('Decisions'!$Q$2:$Q$132,MATCH(C11,'Decisions'!$C$2:$C$132,0))),"")</s:f>
        <s:v/>
      </s:c>
      <s:c r="K11" s="16" t="str">
        <s:f>IFERROR(IF(INDEX('Decisions'!$P$2:$P$132,MATCH(C11,'Decisions'!$C$2:$C$132,0))="","",INDEX('Decisions'!$P$2:$P$132,MATCH(C11,'Decisions'!$C$2:$C$132,0))),"")</s:f>
        <s:v>not_applicable</s:v>
      </s:c>
      <s:c r="L11" s="16" t="str">
        <s:f>IFERROR(IF(INDEX('Decisions'!$R$2:$R$132,MATCH(C11,'Decisions'!$C$2:$C$132,0))="","",INDEX('Decisions'!$R$2:$R$132,MATCH(C11,'Decisions'!$C$2:$C$132,0))),"")</s:f>
        <s:v>TEST 2025::jama.2025.16450::C008</s:v>
      </s:c>
      <s:c r="M11" s="16" t="str">
        <s:f>IFERROR(IF(INDEX('Decisions'!$H$2:$H$132,MATCH(C11,'Decisions'!$C$2:$C$132,0))="","",INDEX('Decisions'!$H$2:$H$132,MATCH(C11,'Decisions'!$C$2:$C$132,0))),"")</s:f>
        <s:v>protocol_descriptive</s:v>
      </s:c>
      <s:c r="N11" s="16" t="str">
        <s:f>IFERROR(IF(INDEX('Decisions'!$E$2:$E$132,MATCH(C11,'Decisions'!$C$2:$C$132,0))="","",INDEX('Decisions'!$E$2:$E$132,MATCH(C11,'Decisions'!$C$2:$C$132,0))),"")</s:f>
        <s:v>R_A</s:v>
      </s:c>
      <s:c r="O11" s="16" t="str">
        <s:f>IFERROR(IF(INDEX('Decisions'!$F$2:$F$132,MATCH(C11,'Decisions'!$C$2:$C$132,0))="","",INDEX('Decisions'!$F$2:$F$132,MATCH(C11,'Decisions'!$C$2:$C$132,0))),"")</s:f>
        <s:v>TEST_REVIEWER</s:v>
      </s:c>
    </s:row>
    <s:row r="12" ht="105" customFormat="1" customHeight="1" s="8">
      <s:c r="A12" s="15" t="n">
        <s:v>2025</s:v>
      </s:c>
      <s:c r="B12" s="15" t="inlineStr">
        <s:is>
          <s:t>jama.2025.19563</s:t>
        </s:is>
      </s:c>
      <s:c r="C12" s="15" t="inlineStr">
        <s:is>
          <s:t>2025::jama.2025.19563::C001</s:t>
        </s:is>
      </s:c>
      <s:c r="D12" s="15" t="inlineStr">
        <s:is>
          <s:t>P_R</s:t>
        </s:is>
      </s:c>
      <s:c r="E12" s="15" t="inlineStr">
        <s:is>
          <s:t>Protocol and reported primary endpoint differ on the diabetes-range A1C failure condition</s:t>
        </s:is>
      </s:c>
      <s:c r="F12" s="15" t="inlineStr">
        <s:is>
          <s:t>The protocol's success rule is at least one of three components, while the reported/supplement rule adds a diabetes-range A1C failure condition that can override all components.</s:t>
        </s:is>
      </s:c>
      <s:c r="G12" s="15" t="str">
        <s:f>IFERROR(IF(INDEX('Decisions'!$G$2:$G$132,MATCH(C12,'Decisions'!$C$2:$C$132,0))="","",INDEX('Decisions'!$G$2:$G$132,MATCH(C12,'Decisions'!$C$2:$C$132,0))),"")</s:f>
        <s:v>PRIMARY READY</s:v>
      </s:c>
      <s:c r="H12" s="15" t="str">
        <s:f>IFERROR(IF(INDEX('Decisions'!$K$2:$K$132,MATCH(C12,'Decisions'!$C$2:$C$132,0))="","",INDEX('Decisions'!$K$2:$K$132,MATCH(C12,'Decisions'!$C$2:$C$132,0))),"")</s:f>
        <s:v>retain</s:v>
      </s:c>
      <s:c r="I12" s="15" t="str">
        <s:f>IFERROR(IF(INDEX('Decisions'!$L$2:$L$132,MATCH(C12,'Decisions'!$C$2:$C$132,0))="","",INDEX('Decisions'!$L$2:$L$132,MATCH(C12,'Decisions'!$C$2:$C$132,0))),"")</s:f>
        <s:v>protocol_report</s:v>
      </s:c>
      <s:c r="J12" s="15" t="str">
        <s:f>IFERROR(IF(INDEX('Decisions'!$Q$2:$Q$132,MATCH(C12,'Decisions'!$C$2:$C$132,0))="","",INDEX('Decisions'!$Q$2:$Q$132,MATCH(C12,'Decisions'!$C$2:$C$132,0))),"")</s:f>
        <s:v/>
      </s:c>
      <s:c r="K12" s="15" t="str">
        <s:f>IFERROR(IF(INDEX('Decisions'!$P$2:$P$132,MATCH(C12,'Decisions'!$C$2:$C$132,0))="","",INDEX('Decisions'!$P$2:$P$132,MATCH(C12,'Decisions'!$C$2:$C$132,0))),"")</s:f>
        <s:v>not_applicable</s:v>
      </s:c>
      <s:c r="L12" s="15" t="str">
        <s:f>IFERROR(IF(INDEX('Decisions'!$R$2:$R$132,MATCH(C12,'Decisions'!$C$2:$C$132,0))="","",INDEX('Decisions'!$R$2:$R$132,MATCH(C12,'Decisions'!$C$2:$C$132,0))),"")</s:f>
        <s:v>TEST 2025::jama.2025.19563::C001</s:v>
      </s:c>
      <s:c r="M12" s="15" t="str">
        <s:f>IFERROR(IF(INDEX('Decisions'!$H$2:$H$132,MATCH(C12,'Decisions'!$C$2:$C$132,0))="","",INDEX('Decisions'!$H$2:$H$132,MATCH(C12,'Decisions'!$C$2:$C$132,0))),"")</s:f>
        <s:v>protocol_descriptive</s:v>
      </s:c>
      <s:c r="N12" s="15" t="str">
        <s:f>IFERROR(IF(INDEX('Decisions'!$E$2:$E$132,MATCH(C12,'Decisions'!$C$2:$C$132,0))="","",INDEX('Decisions'!$E$2:$E$132,MATCH(C12,'Decisions'!$C$2:$C$132,0))),"")</s:f>
        <s:v>R_A</s:v>
      </s:c>
      <s:c r="O12" s="15" t="str">
        <s:f>IFERROR(IF(INDEX('Decisions'!$F$2:$F$132,MATCH(C12,'Decisions'!$C$2:$C$132,0))="","",INDEX('Decisions'!$F$2:$F$132,MATCH(C12,'Decisions'!$C$2:$C$132,0))),"")</s:f>
        <s:v>TEST_REVIEWER</s:v>
      </s:c>
    </s:row>
    <s:row r="13" ht="105" customFormat="1" customHeight="1" s="8">
      <s:c r="A13" s="16" t="n">
        <s:v>2025</s:v>
      </s:c>
      <s:c r="B13" s="16" t="inlineStr">
        <s:is>
          <s:t>jama.2025.20765</s:t>
        </s:is>
      </s:c>
      <s:c r="C13" s="16" t="inlineStr">
        <s:is>
          <s:t>2025::jama.2025.20765::C003</s:t>
        </s:is>
      </s:c>
      <s:c r="D13" s="16" t="inlineStr">
        <s:is>
          <s:t>P_P</s:t>
        </s:is>
      </s:c>
      <s:c r="E13" s="16" t="inlineStr">
        <s:is>
          <s:t>178-message total conflicts with its printed frequency schedule</s:t>
        </s:is>
      </s:c>
      <s:c r="F13" s="16" t="inlineStr">
        <s:is>
          <s:t>A six-month plan states 178 SMS but its own minimum printed schedule exceeds that total.</s:t>
        </s:is>
      </s:c>
      <s:c r="G13" s="16" t="str">
        <s:f>IFERROR(IF(INDEX('Decisions'!$G$2:$G$132,MATCH(C13,'Decisions'!$C$2:$C$132,0))="","",INDEX('Decisions'!$G$2:$G$132,MATCH(C13,'Decisions'!$C$2:$C$132,0))),"")</s:f>
        <s:v>PRIMARY READY</s:v>
      </s:c>
      <s:c r="H13" s="16" t="str">
        <s:f>IFERROR(IF(INDEX('Decisions'!$K$2:$K$132,MATCH(C13,'Decisions'!$C$2:$C$132,0))="","",INDEX('Decisions'!$K$2:$K$132,MATCH(C13,'Decisions'!$C$2:$C$132,0))),"")</s:f>
        <s:v>retain</s:v>
      </s:c>
      <s:c r="I13" s="16" t="str">
        <s:f>IFERROR(IF(INDEX('Decisions'!$L$2:$L$132,MATCH(C13,'Decisions'!$C$2:$C$132,0))="","",INDEX('Decisions'!$L$2:$L$132,MATCH(C13,'Decisions'!$C$2:$C$132,0))),"")</s:f>
        <s:v>plan_material</s:v>
      </s:c>
      <s:c r="J13" s="16" t="str">
        <s:f>IFERROR(IF(INDEX('Decisions'!$Q$2:$Q$132,MATCH(C13,'Decisions'!$C$2:$C$132,0))="","",INDEX('Decisions'!$Q$2:$Q$132,MATCH(C13,'Decisions'!$C$2:$C$132,0))),"")</s:f>
        <s:v>not_applicable</s:v>
      </s:c>
      <s:c r="K13" s="16" t="str">
        <s:f>IFERROR(IF(INDEX('Decisions'!$P$2:$P$132,MATCH(C13,'Decisions'!$C$2:$C$132,0))="","",INDEX('Decisions'!$P$2:$P$132,MATCH(C13,'Decisions'!$C$2:$C$132,0))),"")</s:f>
        <s:v>substantive_inconsistency</s:v>
      </s:c>
      <s:c r="L13" s="16" t="str">
        <s:f>IFERROR(IF(INDEX('Decisions'!$R$2:$R$132,MATCH(C13,'Decisions'!$C$2:$C$132,0))="","",INDEX('Decisions'!$R$2:$R$132,MATCH(C13,'Decisions'!$C$2:$C$132,0))),"")</s:f>
        <s:v>TEST 2025::jama.2025.20765::C003</s:v>
      </s:c>
      <s:c r="M13" s="16" t="str">
        <s:f>IFERROR(IF(INDEX('Decisions'!$H$2:$H$132,MATCH(C13,'Decisions'!$C$2:$C$132,0))="","",INDEX('Decisions'!$H$2:$H$132,MATCH(C13,'Decisions'!$C$2:$C$132,0))),"")</s:f>
        <s:v>plan_descriptive</s:v>
      </s:c>
      <s:c r="N13" s="16" t="str">
        <s:f>IFERROR(IF(INDEX('Decisions'!$E$2:$E$132,MATCH(C13,'Decisions'!$C$2:$C$132,0))="","",INDEX('Decisions'!$E$2:$E$132,MATCH(C13,'Decisions'!$C$2:$C$132,0))),"")</s:f>
        <s:v>R_A</s:v>
      </s:c>
      <s:c r="O13" s="16" t="str">
        <s:f>IFERROR(IF(INDEX('Decisions'!$F$2:$F$132,MATCH(C13,'Decisions'!$C$2:$C$132,0))="","",INDEX('Decisions'!$F$2:$F$132,MATCH(C13,'Decisions'!$C$2:$C$132,0))),"")</s:f>
        <s:v>TEST_REVIEWER</s:v>
      </s:c>
    </s:row>
    <s:row r="14" ht="105" customFormat="1" customHeight="1" s="8">
      <s:c r="A14" s="15" t="n">
        <s:v>2025</s:v>
      </s:c>
      <s:c r="B14" s="15" t="inlineStr">
        <s:is>
          <s:t>jama.2025.20765</s:t>
        </s:is>
      </s:c>
      <s:c r="C14" s="15" t="inlineStr">
        <s:is>
          <s:t>2025::jama.2025.20765::C004</s:t>
        </s:is>
      </s:c>
      <s:c r="D14" s="15" t="inlineStr">
        <s:is>
          <s:t>P_P</s:t>
        </s:is>
      </s:c>
      <s:c r="E14" s="15" t="inlineStr">
        <s:is>
          <s:t>Repeated 2,384-participant plan names 44 and 48 facilities</s:t>
        </s:is>
      </s:c>
      <s:c r="F14" s="15" t="inlineStr">
        <s:is>
          <s:t>Matched repeated plan text gives 44 facilities in one location and 48 clinics in another.</s:t>
        </s:is>
      </s:c>
      <s:c r="G14" s="15" t="str">
        <s:f>IFERROR(IF(INDEX('Decisions'!$G$2:$G$132,MATCH(C14,'Decisions'!$C$2:$C$132,0))="","",INDEX('Decisions'!$G$2:$G$132,MATCH(C14,'Decisions'!$C$2:$C$132,0))),"")</s:f>
        <s:v>PRIMARY READY</s:v>
      </s:c>
      <s:c r="H14" s="15" t="str">
        <s:f>IFERROR(IF(INDEX('Decisions'!$K$2:$K$132,MATCH(C14,'Decisions'!$C$2:$C$132,0))="","",INDEX('Decisions'!$K$2:$K$132,MATCH(C14,'Decisions'!$C$2:$C$132,0))),"")</s:f>
        <s:v>retain</s:v>
      </s:c>
      <s:c r="I14" s="15" t="str">
        <s:f>IFERROR(IF(INDEX('Decisions'!$L$2:$L$132,MATCH(C14,'Decisions'!$C$2:$C$132,0))="","",INDEX('Decisions'!$L$2:$L$132,MATCH(C14,'Decisions'!$C$2:$C$132,0))),"")</s:f>
        <s:v>plan_material</s:v>
      </s:c>
      <s:c r="J14" s="15" t="str">
        <s:f>IFERROR(IF(INDEX('Decisions'!$Q$2:$Q$132,MATCH(C14,'Decisions'!$C$2:$C$132,0))="","",INDEX('Decisions'!$Q$2:$Q$132,MATCH(C14,'Decisions'!$C$2:$C$132,0))),"")</s:f>
        <s:v>not_applicable</s:v>
      </s:c>
      <s:c r="K14" s="15" t="str">
        <s:f>IFERROR(IF(INDEX('Decisions'!$P$2:$P$132,MATCH(C14,'Decisions'!$C$2:$C$132,0))="","",INDEX('Decisions'!$P$2:$P$132,MATCH(C14,'Decisions'!$C$2:$C$132,0))),"")</s:f>
        <s:v>substantive_inconsistency</s:v>
      </s:c>
      <s:c r="L14" s="15" t="str">
        <s:f>IFERROR(IF(INDEX('Decisions'!$R$2:$R$132,MATCH(C14,'Decisions'!$C$2:$C$132,0))="","",INDEX('Decisions'!$R$2:$R$132,MATCH(C14,'Decisions'!$C$2:$C$132,0))),"")</s:f>
        <s:v>TEST 2025::jama.2025.20765::C004</s:v>
      </s:c>
      <s:c r="M14" s="15" t="str">
        <s:f>IFERROR(IF(INDEX('Decisions'!$H$2:$H$132,MATCH(C14,'Decisions'!$C$2:$C$132,0))="","",INDEX('Decisions'!$H$2:$H$132,MATCH(C14,'Decisions'!$C$2:$C$132,0))),"")</s:f>
        <s:v>plan_descriptive</s:v>
      </s:c>
      <s:c r="N14" s="15" t="str">
        <s:f>IFERROR(IF(INDEX('Decisions'!$E$2:$E$132,MATCH(C14,'Decisions'!$C$2:$C$132,0))="","",INDEX('Decisions'!$E$2:$E$132,MATCH(C14,'Decisions'!$C$2:$C$132,0))),"")</s:f>
        <s:v>R_A</s:v>
      </s:c>
      <s:c r="O14" s="15" t="str">
        <s:f>IFERROR(IF(INDEX('Decisions'!$F$2:$F$132,MATCH(C14,'Decisions'!$C$2:$C$132,0))="","",INDEX('Decisions'!$F$2:$F$132,MATCH(C14,'Decisions'!$C$2:$C$132,0))),"")</s:f>
        <s:v>TEST_REVIEWER</s:v>
      </s:c>
    </s:row>
    <s:row r="15" ht="105" customFormat="1" customHeight="1" s="8">
      <s:c r="A15" s="16" t="n">
        <s:v>2025</s:v>
      </s:c>
      <s:c r="B15" s="16" t="inlineStr">
        <s:is>
          <s:t>jama.2025.20765</s:t>
        </s:is>
      </s:c>
      <s:c r="C15" s="16" t="inlineStr">
        <s:is>
          <s:t>2025::jama.2025.20765::C005</s:t>
        </s:is>
      </s:c>
      <s:c r="D15" s="16" t="inlineStr">
        <s:is>
          <s:t>P_P</s:t>
        </s:is>
      </s:c>
      <s:c r="E15" s="16" t="inlineStr">
        <s:is>
          <s:t>134-message total conflicts with its printed frequency schedule</s:t>
        </s:is>
      </s:c>
      <s:c r="F15" s="16" t="inlineStr">
        <s:is>
          <s:t>A 134-message six-month statement conflicts with the minimum implied by its printed schedule.</s:t>
        </s:is>
      </s:c>
      <s:c r="G15" s="16" t="str">
        <s:f>IFERROR(IF(INDEX('Decisions'!$G$2:$G$132,MATCH(C15,'Decisions'!$C$2:$C$132,0))="","",INDEX('Decisions'!$G$2:$G$132,MATCH(C15,'Decisions'!$C$2:$C$132,0))),"")</s:f>
        <s:v>PRIMARY READY</s:v>
      </s:c>
      <s:c r="H15" s="16" t="str">
        <s:f>IFERROR(IF(INDEX('Decisions'!$K$2:$K$132,MATCH(C15,'Decisions'!$C$2:$C$132,0))="","",INDEX('Decisions'!$K$2:$K$132,MATCH(C15,'Decisions'!$C$2:$C$132,0))),"")</s:f>
        <s:v>retain</s:v>
      </s:c>
      <s:c r="I15" s="16" t="str">
        <s:f>IFERROR(IF(INDEX('Decisions'!$L$2:$L$132,MATCH(C15,'Decisions'!$C$2:$C$132,0))="","",INDEX('Decisions'!$L$2:$L$132,MATCH(C15,'Decisions'!$C$2:$C$132,0))),"")</s:f>
        <s:v>plan_material</s:v>
      </s:c>
      <s:c r="J15" s="16" t="str">
        <s:f>IFERROR(IF(INDEX('Decisions'!$Q$2:$Q$132,MATCH(C15,'Decisions'!$C$2:$C$132,0))="","",INDEX('Decisions'!$Q$2:$Q$132,MATCH(C15,'Decisions'!$C$2:$C$132,0))),"")</s:f>
        <s:v>not_applicable</s:v>
      </s:c>
      <s:c r="K15" s="16" t="str">
        <s:f>IFERROR(IF(INDEX('Decisions'!$P$2:$P$132,MATCH(C15,'Decisions'!$C$2:$C$132,0))="","",INDEX('Decisions'!$P$2:$P$132,MATCH(C15,'Decisions'!$C$2:$C$132,0))),"")</s:f>
        <s:v>substantive_inconsistency</s:v>
      </s:c>
      <s:c r="L15" s="16" t="str">
        <s:f>IFERROR(IF(INDEX('Decisions'!$R$2:$R$132,MATCH(C15,'Decisions'!$C$2:$C$132,0))="","",INDEX('Decisions'!$R$2:$R$132,MATCH(C15,'Decisions'!$C$2:$C$132,0))),"")</s:f>
        <s:v>TEST 2025::jama.2025.20765::C005</s:v>
      </s:c>
      <s:c r="M15" s="16" t="str">
        <s:f>IFERROR(IF(INDEX('Decisions'!$H$2:$H$132,MATCH(C15,'Decisions'!$C$2:$C$132,0))="","",INDEX('Decisions'!$H$2:$H$132,MATCH(C15,'Decisions'!$C$2:$C$132,0))),"")</s:f>
        <s:v>plan_descriptive</s:v>
      </s:c>
      <s:c r="N15" s="16" t="str">
        <s:f>IFERROR(IF(INDEX('Decisions'!$E$2:$E$132,MATCH(C15,'Decisions'!$C$2:$C$132,0))="","",INDEX('Decisions'!$E$2:$E$132,MATCH(C15,'Decisions'!$C$2:$C$132,0))),"")</s:f>
        <s:v>R_A</s:v>
      </s:c>
      <s:c r="O15" s="16" t="str">
        <s:f>IFERROR(IF(INDEX('Decisions'!$F$2:$F$132,MATCH(C15,'Decisions'!$C$2:$C$132,0))="","",INDEX('Decisions'!$F$2:$F$132,MATCH(C15,'Decisions'!$C$2:$C$132,0))),"")</s:f>
        <s:v>TEST_REVIEWER</s:v>
      </s:c>
    </s:row>
    <s:row r="16" ht="105" customFormat="1" customHeight="1" s="8">
      <s:c r="A16" s="15" t="n">
        <s:v>2025</s:v>
      </s:c>
      <s:c r="B16" s="15" t="inlineStr">
        <s:is>
          <s:t>jama.2025.20765</s:t>
        </s:is>
      </s:c>
      <s:c r="C16" s="15" t="inlineStr">
        <s:is>
          <s:t>2025::jama.2025.20765::C006</s:t>
        </s:is>
      </s:c>
      <s:c r="D16" s="15" t="inlineStr">
        <s:is>
          <s:t>P_P</s:t>
        </s:is>
      </s:c>
      <s:c r="E16" s="15" t="inlineStr">
        <s:is>
          <s:t>TAM sampling header conflicts with contemporaneous narrative and equations</s:t>
        </s:is>
      </s:c>
      <s:c r="F16" s="15" t="inlineStr">
        <s:is>
          <s:t>A TAM sampling header says 30%, while contemporaneous phase-specific narrative and equations show 20% Phase 3 and all Phase 4 participants.</s:t>
        </s:is>
      </s:c>
      <s:c r="G16" s="15" t="str">
        <s:f>IFERROR(IF(INDEX('Decisions'!$G$2:$G$132,MATCH(C16,'Decisions'!$C$2:$C$132,0))="","",INDEX('Decisions'!$G$2:$G$132,MATCH(C16,'Decisions'!$C$2:$C$132,0))),"")</s:f>
        <s:v>PRIMARY READY</s:v>
      </s:c>
      <s:c r="H16" s="15" t="str">
        <s:f>IFERROR(IF(INDEX('Decisions'!$K$2:$K$132,MATCH(C16,'Decisions'!$C$2:$C$132,0))="","",INDEX('Decisions'!$K$2:$K$132,MATCH(C16,'Decisions'!$C$2:$C$132,0))),"")</s:f>
        <s:v>retain</s:v>
      </s:c>
      <s:c r="I16" s="15" t="str">
        <s:f>IFERROR(IF(INDEX('Decisions'!$L$2:$L$132,MATCH(C16,'Decisions'!$C$2:$C$132,0))="","",INDEX('Decisions'!$L$2:$L$132,MATCH(C16,'Decisions'!$C$2:$C$132,0))),"")</s:f>
        <s:v>plan_material</s:v>
      </s:c>
      <s:c r="J16" s="15" t="str">
        <s:f>IFERROR(IF(INDEX('Decisions'!$Q$2:$Q$132,MATCH(C16,'Decisions'!$C$2:$C$132,0))="","",INDEX('Decisions'!$Q$2:$Q$132,MATCH(C16,'Decisions'!$C$2:$C$132,0))),"")</s:f>
        <s:v>not_applicable</s:v>
      </s:c>
      <s:c r="K16" s="15" t="str">
        <s:f>IFERROR(IF(INDEX('Decisions'!$P$2:$P$132,MATCH(C16,'Decisions'!$C$2:$C$132,0))="","",INDEX('Decisions'!$P$2:$P$132,MATCH(C16,'Decisions'!$C$2:$C$132,0))),"")</s:f>
        <s:v>substantive_inconsistency</s:v>
      </s:c>
      <s:c r="L16" s="15" t="str">
        <s:f>IFERROR(IF(INDEX('Decisions'!$R$2:$R$132,MATCH(C16,'Decisions'!$C$2:$C$132,0))="","",INDEX('Decisions'!$R$2:$R$132,MATCH(C16,'Decisions'!$C$2:$C$132,0))),"")</s:f>
        <s:v>TEST 2025::jama.2025.20765::C006</s:v>
      </s:c>
      <s:c r="M16" s="15" t="str">
        <s:f>IFERROR(IF(INDEX('Decisions'!$H$2:$H$132,MATCH(C16,'Decisions'!$C$2:$C$132,0))="","",INDEX('Decisions'!$H$2:$H$132,MATCH(C16,'Decisions'!$C$2:$C$132,0))),"")</s:f>
        <s:v>plan_descriptive</s:v>
      </s:c>
      <s:c r="N16" s="15" t="str">
        <s:f>IFERROR(IF(INDEX('Decisions'!$E$2:$E$132,MATCH(C16,'Decisions'!$C$2:$C$132,0))="","",INDEX('Decisions'!$E$2:$E$132,MATCH(C16,'Decisions'!$C$2:$C$132,0))),"")</s:f>
        <s:v>R_A</s:v>
      </s:c>
      <s:c r="O16" s="15" t="str">
        <s:f>IFERROR(IF(INDEX('Decisions'!$F$2:$F$132,MATCH(C16,'Decisions'!$C$2:$C$132,0))="","",INDEX('Decisions'!$F$2:$F$132,MATCH(C16,'Decisions'!$C$2:$C$132,0))),"")</s:f>
        <s:v>TEST_REVIEWER</s:v>
      </s:c>
    </s:row>
    <s:row r="17" ht="105" customFormat="1" customHeight="1" s="8">
      <s:c r="A17" s="16" t="n">
        <s:v>2025</s:v>
      </s:c>
      <s:c r="B17" s="16" t="inlineStr">
        <s:is>
          <s:t>jama.2025.20765</s:t>
        </s:is>
      </s:c>
      <s:c r="C17" s="16" t="inlineStr">
        <s:is>
          <s:t>2025::jama.2025.20765::C007</s:t>
        </s:is>
      </s:c>
      <s:c r="D17" s="16" t="inlineStr">
        <s:is>
          <s:t>P_P</s:t>
        </s:is>
      </s:c>
      <s:c r="E17" s="16" t="inlineStr">
        <s:is>
          <s:t>Later 2,716-participant plan gives 48 clinics versus a 63-site diagram</s:t>
        </s:is>
      </s:c>
      <s:c r="F17" s="16" t="inlineStr">
        <s:is>
          <s:t>A later 2,716-participant plan presents 48 clinics and approximately 50 recruits per clinic, while related text and diagram present 63 sites and approximately 43 per site.</s:t>
        </s:is>
      </s:c>
      <s:c r="G17" s="16" t="str">
        <s:f>IFERROR(IF(INDEX('Decisions'!$G$2:$G$132,MATCH(C17,'Decisions'!$C$2:$C$132,0))="","",INDEX('Decisions'!$G$2:$G$132,MATCH(C17,'Decisions'!$C$2:$C$132,0))),"")</s:f>
        <s:v>PRIMARY READY</s:v>
      </s:c>
      <s:c r="H17" s="16" t="str">
        <s:f>IFERROR(IF(INDEX('Decisions'!$K$2:$K$132,MATCH(C17,'Decisions'!$C$2:$C$132,0))="","",INDEX('Decisions'!$K$2:$K$132,MATCH(C17,'Decisions'!$C$2:$C$132,0))),"")</s:f>
        <s:v>retain</s:v>
      </s:c>
      <s:c r="I17" s="16" t="str">
        <s:f>IFERROR(IF(INDEX('Decisions'!$L$2:$L$132,MATCH(C17,'Decisions'!$C$2:$C$132,0))="","",INDEX('Decisions'!$L$2:$L$132,MATCH(C17,'Decisions'!$C$2:$C$132,0))),"")</s:f>
        <s:v>plan_material</s:v>
      </s:c>
      <s:c r="J17" s="16" t="str">
        <s:f>IFERROR(IF(INDEX('Decisions'!$Q$2:$Q$132,MATCH(C17,'Decisions'!$C$2:$C$132,0))="","",INDEX('Decisions'!$Q$2:$Q$132,MATCH(C17,'Decisions'!$C$2:$C$132,0))),"")</s:f>
        <s:v>not_applicable</s:v>
      </s:c>
      <s:c r="K17" s="16" t="str">
        <s:f>IFERROR(IF(INDEX('Decisions'!$P$2:$P$132,MATCH(C17,'Decisions'!$C$2:$C$132,0))="","",INDEX('Decisions'!$P$2:$P$132,MATCH(C17,'Decisions'!$C$2:$C$132,0))),"")</s:f>
        <s:v>substantive_inconsistency</s:v>
      </s:c>
      <s:c r="L17" s="16" t="str">
        <s:f>IFERROR(IF(INDEX('Decisions'!$R$2:$R$132,MATCH(C17,'Decisions'!$C$2:$C$132,0))="","",INDEX('Decisions'!$R$2:$R$132,MATCH(C17,'Decisions'!$C$2:$C$132,0))),"")</s:f>
        <s:v>TEST 2025::jama.2025.20765::C007</s:v>
      </s:c>
      <s:c r="M17" s="16" t="str">
        <s:f>IFERROR(IF(INDEX('Decisions'!$H$2:$H$132,MATCH(C17,'Decisions'!$C$2:$C$132,0))="","",INDEX('Decisions'!$H$2:$H$132,MATCH(C17,'Decisions'!$C$2:$C$132,0))),"")</s:f>
        <s:v>plan_descriptive</s:v>
      </s:c>
      <s:c r="N17" s="16" t="str">
        <s:f>IFERROR(IF(INDEX('Decisions'!$E$2:$E$132,MATCH(C17,'Decisions'!$C$2:$C$132,0))="","",INDEX('Decisions'!$E$2:$E$132,MATCH(C17,'Decisions'!$C$2:$C$132,0))),"")</s:f>
        <s:v>R_A</s:v>
      </s:c>
      <s:c r="O17" s="16" t="str">
        <s:f>IFERROR(IF(INDEX('Decisions'!$F$2:$F$132,MATCH(C17,'Decisions'!$C$2:$C$132,0))="","",INDEX('Decisions'!$F$2:$F$132,MATCH(C17,'Decisions'!$C$2:$C$132,0))),"")</s:f>
        <s:v>TEST_REVIEWER</s:v>
      </s:c>
    </s:row>
    <s:row r="18" ht="105" customFormat="1" customHeight="1" s="8">
      <s:c r="A18" s="15" t="n">
        <s:v>2025</s:v>
      </s:c>
      <s:c r="B18" s="15" t="inlineStr">
        <s:is>
          <s:t>jama.2025.20765</s:t>
        </s:is>
      </s:c>
      <s:c r="C18" s="15" t="inlineStr">
        <s:is>
          <s:t>2025::jama.2025.20765::C008</s:t>
        </s:is>
      </s:c>
      <s:c r="D18" s="15" t="inlineStr">
        <s:is>
          <s:t>P_P</s:t>
        </s:is>
      </s:c>
      <s:c r="E18" s="15" t="inlineStr">
        <s:is>
          <s:t>Phase-4 design-effect equality does not reproduce from printed inputs</s:t>
        </s:is>
      </s:c>
      <s:c r="F18" s="15" t="inlineStr">
        <s:is>
          <s:t>A Phase-4 display equates 1,036 multiplied by 1.56 to 1,620, although the exact product differs.</s:t>
        </s:is>
      </s:c>
      <s:c r="G18" s="15" t="str">
        <s:f>IFERROR(IF(INDEX('Decisions'!$G$2:$G$132,MATCH(C18,'Decisions'!$C$2:$C$132,0))="","",INDEX('Decisions'!$G$2:$G$132,MATCH(C18,'Decisions'!$C$2:$C$132,0))),"")</s:f>
        <s:v>PRIMARY READY</s:v>
      </s:c>
      <s:c r="H18" s="15" t="str">
        <s:f>IFERROR(IF(INDEX('Decisions'!$K$2:$K$132,MATCH(C18,'Decisions'!$C$2:$C$132,0))="","",INDEX('Decisions'!$K$2:$K$132,MATCH(C18,'Decisions'!$C$2:$C$132,0))),"")</s:f>
        <s:v>retain</s:v>
      </s:c>
      <s:c r="I18" s="15" t="str">
        <s:f>IFERROR(IF(INDEX('Decisions'!$L$2:$L$132,MATCH(C18,'Decisions'!$C$2:$C$132,0))="","",INDEX('Decisions'!$L$2:$L$132,MATCH(C18,'Decisions'!$C$2:$C$132,0))),"")</s:f>
        <s:v>plan_material</s:v>
      </s:c>
      <s:c r="J18" s="15" t="str">
        <s:f>IFERROR(IF(INDEX('Decisions'!$Q$2:$Q$132,MATCH(C18,'Decisions'!$C$2:$C$132,0))="","",INDEX('Decisions'!$Q$2:$Q$132,MATCH(C18,'Decisions'!$C$2:$C$132,0))),"")</s:f>
        <s:v>not_applicable</s:v>
      </s:c>
      <s:c r="K18" s="15" t="str">
        <s:f>IFERROR(IF(INDEX('Decisions'!$P$2:$P$132,MATCH(C18,'Decisions'!$C$2:$C$132,0))="","",INDEX('Decisions'!$P$2:$P$132,MATCH(C18,'Decisions'!$C$2:$C$132,0))),"")</s:f>
        <s:v>substantive_inconsistency</s:v>
      </s:c>
      <s:c r="L18" s="15" t="str">
        <s:f>IFERROR(IF(INDEX('Decisions'!$R$2:$R$132,MATCH(C18,'Decisions'!$C$2:$C$132,0))="","",INDEX('Decisions'!$R$2:$R$132,MATCH(C18,'Decisions'!$C$2:$C$132,0))),"")</s:f>
        <s:v>TEST 2025::jama.2025.20765::C008</s:v>
      </s:c>
      <s:c r="M18" s="15" t="str">
        <s:f>IFERROR(IF(INDEX('Decisions'!$H$2:$H$132,MATCH(C18,'Decisions'!$C$2:$C$132,0))="","",INDEX('Decisions'!$H$2:$H$132,MATCH(C18,'Decisions'!$C$2:$C$132,0))),"")</s:f>
        <s:v>plan_descriptive</s:v>
      </s:c>
      <s:c r="N18" s="15" t="str">
        <s:f>IFERROR(IF(INDEX('Decisions'!$E$2:$E$132,MATCH(C18,'Decisions'!$C$2:$C$132,0))="","",INDEX('Decisions'!$E$2:$E$132,MATCH(C18,'Decisions'!$C$2:$C$132,0))),"")</s:f>
        <s:v>R_A</s:v>
      </s:c>
      <s:c r="O18" s="15" t="str">
        <s:f>IFERROR(IF(INDEX('Decisions'!$F$2:$F$132,MATCH(C18,'Decisions'!$C$2:$C$132,0))="","",INDEX('Decisions'!$F$2:$F$132,MATCH(C18,'Decisions'!$C$2:$C$132,0))),"")</s:f>
        <s:v>TEST_REVIEWER</s:v>
      </s:c>
    </s:row>
    <s:row r="19" ht="105" customFormat="1" customHeight="1" s="8">
      <s:c r="A19" s="16" t="n">
        <s:v>2025</s:v>
      </s:c>
      <s:c r="B19" s="16" t="inlineStr">
        <s:is>
          <s:t>jama.2025.20765</s:t>
        </s:is>
      </s:c>
      <s:c r="C19" s="16" t="inlineStr">
        <s:is>
          <s:t>2025::jama.2025.20765::C009</s:t>
        </s:is>
      </s:c>
      <s:c r="D19" s="16" t="inlineStr">
        <s:is>
          <s:t>P_P</s:t>
        </s:is>
      </s:c>
      <s:c r="E19" s="16" t="inlineStr">
        <s:is>
          <s:t>Phase-4 diagram is labelled Phase 3/Superiority</s:t>
        </s:is>
      </s:c>
      <s:c r="F19" s="16" t="inlineStr">
        <s:is>
          <s:t>A diagram within a Phase-4 noninferiority section is labelled “Phase 3 (Superiority trial).”</s:t>
        </s:is>
      </s:c>
      <s:c r="G19" s="16" t="str">
        <s:f>IFERROR(IF(INDEX('Decisions'!$G$2:$G$132,MATCH(C19,'Decisions'!$C$2:$C$132,0))="","",INDEX('Decisions'!$G$2:$G$132,MATCH(C19,'Decisions'!$C$2:$C$132,0))),"")</s:f>
        <s:v>PRIMARY READY</s:v>
      </s:c>
      <s:c r="H19" s="16" t="str">
        <s:f>IFERROR(IF(INDEX('Decisions'!$K$2:$K$132,MATCH(C19,'Decisions'!$C$2:$C$132,0))="","",INDEX('Decisions'!$K$2:$K$132,MATCH(C19,'Decisions'!$C$2:$C$132,0))),"")</s:f>
        <s:v>retain</s:v>
      </s:c>
      <s:c r="I19" s="16" t="str">
        <s:f>IFERROR(IF(INDEX('Decisions'!$L$2:$L$132,MATCH(C19,'Decisions'!$C$2:$C$132,0))="","",INDEX('Decisions'!$L$2:$L$132,MATCH(C19,'Decisions'!$C$2:$C$132,0))),"")</s:f>
        <s:v>plan_material</s:v>
      </s:c>
      <s:c r="J19" s="16" t="str">
        <s:f>IFERROR(IF(INDEX('Decisions'!$Q$2:$Q$132,MATCH(C19,'Decisions'!$C$2:$C$132,0))="","",INDEX('Decisions'!$Q$2:$Q$132,MATCH(C19,'Decisions'!$C$2:$C$132,0))),"")</s:f>
        <s:v>not_applicable</s:v>
      </s:c>
      <s:c r="K19" s="16" t="str">
        <s:f>IFERROR(IF(INDEX('Decisions'!$P$2:$P$132,MATCH(C19,'Decisions'!$C$2:$C$132,0))="","",INDEX('Decisions'!$P$2:$P$132,MATCH(C19,'Decisions'!$C$2:$C$132,0))),"")</s:f>
        <s:v>substantive_inconsistency</s:v>
      </s:c>
      <s:c r="L19" s="16" t="str">
        <s:f>IFERROR(IF(INDEX('Decisions'!$R$2:$R$132,MATCH(C19,'Decisions'!$C$2:$C$132,0))="","",INDEX('Decisions'!$R$2:$R$132,MATCH(C19,'Decisions'!$C$2:$C$132,0))),"")</s:f>
        <s:v>TEST 2025::jama.2025.20765::C009</s:v>
      </s:c>
      <s:c r="M19" s="16" t="str">
        <s:f>IFERROR(IF(INDEX('Decisions'!$H$2:$H$132,MATCH(C19,'Decisions'!$C$2:$C$132,0))="","",INDEX('Decisions'!$H$2:$H$132,MATCH(C19,'Decisions'!$C$2:$C$132,0))),"")</s:f>
        <s:v>plan_descriptive</s:v>
      </s:c>
      <s:c r="N19" s="16" t="str">
        <s:f>IFERROR(IF(INDEX('Decisions'!$E$2:$E$132,MATCH(C19,'Decisions'!$C$2:$C$132,0))="","",INDEX('Decisions'!$E$2:$E$132,MATCH(C19,'Decisions'!$C$2:$C$132,0))),"")</s:f>
        <s:v>R_A</s:v>
      </s:c>
      <s:c r="O19" s="16" t="str">
        <s:f>IFERROR(IF(INDEX('Decisions'!$F$2:$F$132,MATCH(C19,'Decisions'!$C$2:$C$132,0))="","",INDEX('Decisions'!$F$2:$F$132,MATCH(C19,'Decisions'!$C$2:$C$132,0))),"")</s:f>
        <s:v>TEST_REVIEWER</s:v>
      </s:c>
    </s:row>
    <s:row r="20" ht="105" customFormat="1" customHeight="1" s="8">
      <s:c r="A20" s="15" t="n">
        <s:v>2025</s:v>
      </s:c>
      <s:c r="B20" s="15" t="inlineStr">
        <s:is>
          <s:t>jama.2025.20765</s:t>
        </s:is>
      </s:c>
      <s:c r="C20" s="15" t="inlineStr">
        <s:is>
          <s:t>2025::jama.2025.20765::C010</s:t>
        </s:is>
      </s:c>
      <s:c r="D20" s="15" t="inlineStr">
        <s:is>
          <s:t>P_P</s:t>
        </s:is>
      </s:c>
      <s:c r="E20" s="15" t="inlineStr">
        <s:is>
          <s:t>Phase-3 design-effect display gives undocumented 1,080 effective sample size</s:t>
        </s:is>
      </s:c>
      <s:c r="F20" s="15" t="inlineStr">
        <s:is>
          <s:t>A Phase-3 display reports 704×1.50≈1080 and calls it effective sample size without documenting the cluster-rounding/allocation transition or terminology.</s:t>
        </s:is>
      </s:c>
      <s:c r="G20" s="15" t="str">
        <s:f>IFERROR(IF(INDEX('Decisions'!$G$2:$G$132,MATCH(C20,'Decisions'!$C$2:$C$132,0))="","",INDEX('Decisions'!$G$2:$G$132,MATCH(C20,'Decisions'!$C$2:$C$132,0))),"")</s:f>
        <s:v>PRIMARY READY</s:v>
      </s:c>
      <s:c r="H20" s="15" t="str">
        <s:f>IFERROR(IF(INDEX('Decisions'!$K$2:$K$132,MATCH(C20,'Decisions'!$C$2:$C$132,0))="","",INDEX('Decisions'!$K$2:$K$132,MATCH(C20,'Decisions'!$C$2:$C$132,0))),"")</s:f>
        <s:v>retain</s:v>
      </s:c>
      <s:c r="I20" s="15" t="str">
        <s:f>IFERROR(IF(INDEX('Decisions'!$L$2:$L$132,MATCH(C20,'Decisions'!$C$2:$C$132,0))="","",INDEX('Decisions'!$L$2:$L$132,MATCH(C20,'Decisions'!$C$2:$C$132,0))),"")</s:f>
        <s:v>plan_material</s:v>
      </s:c>
      <s:c r="J20" s="15" t="str">
        <s:f>IFERROR(IF(INDEX('Decisions'!$Q$2:$Q$132,MATCH(C20,'Decisions'!$C$2:$C$132,0))="","",INDEX('Decisions'!$Q$2:$Q$132,MATCH(C20,'Decisions'!$C$2:$C$132,0))),"")</s:f>
        <s:v>not_applicable</s:v>
      </s:c>
      <s:c r="K20" s="15" t="str">
        <s:f>IFERROR(IF(INDEX('Decisions'!$P$2:$P$132,MATCH(C20,'Decisions'!$C$2:$C$132,0))="","",INDEX('Decisions'!$P$2:$P$132,MATCH(C20,'Decisions'!$C$2:$C$132,0))),"")</s:f>
        <s:v>substantive_inconsistency</s:v>
      </s:c>
      <s:c r="L20" s="15" t="str">
        <s:f>IFERROR(IF(INDEX('Decisions'!$R$2:$R$132,MATCH(C20,'Decisions'!$C$2:$C$132,0))="","",INDEX('Decisions'!$R$2:$R$132,MATCH(C20,'Decisions'!$C$2:$C$132,0))),"")</s:f>
        <s:v>TEST 2025::jama.2025.20765::C010</s:v>
      </s:c>
      <s:c r="M20" s="15" t="str">
        <s:f>IFERROR(IF(INDEX('Decisions'!$H$2:$H$132,MATCH(C20,'Decisions'!$C$2:$C$132,0))="","",INDEX('Decisions'!$H$2:$H$132,MATCH(C20,'Decisions'!$C$2:$C$132,0))),"")</s:f>
        <s:v>plan_descriptive</s:v>
      </s:c>
      <s:c r="N20" s="15" t="str">
        <s:f>IFERROR(IF(INDEX('Decisions'!$E$2:$E$132,MATCH(C20,'Decisions'!$C$2:$C$132,0))="","",INDEX('Decisions'!$E$2:$E$132,MATCH(C20,'Decisions'!$C$2:$C$132,0))),"")</s:f>
        <s:v>R_A</s:v>
      </s:c>
      <s:c r="O20" s="15" t="str">
        <s:f>IFERROR(IF(INDEX('Decisions'!$F$2:$F$132,MATCH(C20,'Decisions'!$C$2:$C$132,0))="","",INDEX('Decisions'!$F$2:$F$132,MATCH(C20,'Decisions'!$C$2:$C$132,0))),"")</s:f>
        <s:v>TEST_REVIEWER</s:v>
      </s:c>
    </s:row>
    <s:row r="21" ht="105" customFormat="1" customHeight="1" s="8">
      <s:c r="A21" s="16" t="n">
        <s:v>2025</s:v>
      </s:c>
      <s:c r="B21" s="16" t="inlineStr">
        <s:is>
          <s:t>jama.2025.20765</s:t>
        </s:is>
      </s:c>
      <s:c r="C21" s="16" t="inlineStr">
        <s:is>
          <s:t>2025::jama.2025.20765::C011</s:t>
        </s:is>
      </s:c>
      <s:c r="D21" s="16" t="inlineStr">
        <s:is>
          <s:t>P_P</s:t>
        </s:is>
      </s:c>
      <s:c r="E21" s="16" t="inlineStr">
        <s:is>
          <s:t>MPSS score range conflicts with stated item scale</s:t>
        </s:is>
      </s:c>
      <s:c r="F21" s="16" t="inlineStr">
        <s:is>
          <s:t>The MPSS description names five 5-point domains but gives a summed 5-35 range without explaining the scoring rule.</s:t>
        </s:is>
      </s:c>
      <s:c r="G21" s="16" t="str">
        <s:f>IFERROR(IF(INDEX('Decisions'!$G$2:$G$132,MATCH(C21,'Decisions'!$C$2:$C$132,0))="","",INDEX('Decisions'!$G$2:$G$132,MATCH(C21,'Decisions'!$C$2:$C$132,0))),"")</s:f>
        <s:v>PRIMARY READY</s:v>
      </s:c>
      <s:c r="H21" s="16" t="str">
        <s:f>IFERROR(IF(INDEX('Decisions'!$K$2:$K$132,MATCH(C21,'Decisions'!$C$2:$C$132,0))="","",INDEX('Decisions'!$K$2:$K$132,MATCH(C21,'Decisions'!$C$2:$C$132,0))),"")</s:f>
        <s:v>retain</s:v>
      </s:c>
      <s:c r="I21" s="16" t="str">
        <s:f>IFERROR(IF(INDEX('Decisions'!$L$2:$L$132,MATCH(C21,'Decisions'!$C$2:$C$132,0))="","",INDEX('Decisions'!$L$2:$L$132,MATCH(C21,'Decisions'!$C$2:$C$132,0))),"")</s:f>
        <s:v>plan_material</s:v>
      </s:c>
      <s:c r="J21" s="16" t="str">
        <s:f>IFERROR(IF(INDEX('Decisions'!$Q$2:$Q$132,MATCH(C21,'Decisions'!$C$2:$C$132,0))="","",INDEX('Decisions'!$Q$2:$Q$132,MATCH(C21,'Decisions'!$C$2:$C$132,0))),"")</s:f>
        <s:v>not_applicable</s:v>
      </s:c>
      <s:c r="K21" s="16" t="str">
        <s:f>IFERROR(IF(INDEX('Decisions'!$P$2:$P$132,MATCH(C21,'Decisions'!$C$2:$C$132,0))="","",INDEX('Decisions'!$P$2:$P$132,MATCH(C21,'Decisions'!$C$2:$C$132,0))),"")</s:f>
        <s:v>substantive_inconsistency</s:v>
      </s:c>
      <s:c r="L21" s="16" t="str">
        <s:f>IFERROR(IF(INDEX('Decisions'!$R$2:$R$132,MATCH(C21,'Decisions'!$C$2:$C$132,0))="","",INDEX('Decisions'!$R$2:$R$132,MATCH(C21,'Decisions'!$C$2:$C$132,0))),"")</s:f>
        <s:v>TEST 2025::jama.2025.20765::C011</s:v>
      </s:c>
      <s:c r="M21" s="16" t="str">
        <s:f>IFERROR(IF(INDEX('Decisions'!$H$2:$H$132,MATCH(C21,'Decisions'!$C$2:$C$132,0))="","",INDEX('Decisions'!$H$2:$H$132,MATCH(C21,'Decisions'!$C$2:$C$132,0))),"")</s:f>
        <s:v>plan_descriptive</s:v>
      </s:c>
      <s:c r="N21" s="16" t="str">
        <s:f>IFERROR(IF(INDEX('Decisions'!$E$2:$E$132,MATCH(C21,'Decisions'!$C$2:$C$132,0))="","",INDEX('Decisions'!$E$2:$E$132,MATCH(C21,'Decisions'!$C$2:$C$132,0))),"")</s:f>
        <s:v>R_A</s:v>
      </s:c>
      <s:c r="O21" s="16" t="str">
        <s:f>IFERROR(IF(INDEX('Decisions'!$F$2:$F$132,MATCH(C21,'Decisions'!$C$2:$C$132,0))="","",INDEX('Decisions'!$F$2:$F$132,MATCH(C21,'Decisions'!$C$2:$C$132,0))),"")</s:f>
        <s:v>TEST_REVIEWER</s:v>
      </s:c>
    </s:row>
    <s:row r="22" ht="105" customFormat="1" customHeight="1" s="8">
      <s:c r="A22" s="15" t="n">
        <s:v>2025</s:v>
      </s:c>
      <s:c r="B22" s="15" t="inlineStr">
        <s:is>
          <s:t>jama.2025.20765</s:t>
        </s:is>
      </s:c>
      <s:c r="C22" s="15" t="inlineStr">
        <s:is>
          <s:t>2025::jama.2025.20765::C013</s:t>
        </s:is>
      </s:c>
      <s:c r="D22" s="15" t="inlineStr">
        <s:is>
          <s:t>P_R</s:t>
        </s:is>
      </s:c>
      <s:c r="E22" s="15" t="inlineStr">
        <s:is>
          <s:t>Protocol message dose changes from 178 to 134 without supplied reconciliation</s:t>
        </s:is>
      </s:c>
      <s:c r="F22" s="15" t="inlineStr">
        <s:is>
          <s:t>Protocol and main-article materials give 178 and 134 messages for the six-month mTB-Tobacco participant dose without an explicit crosswalk or supersession statement.</s:t>
        </s:is>
      </s:c>
      <s:c r="G22" s="15" t="str">
        <s:f>IFERROR(IF(INDEX('Decisions'!$G$2:$G$132,MATCH(C22,'Decisions'!$C$2:$C$132,0))="","",INDEX('Decisions'!$G$2:$G$132,MATCH(C22,'Decisions'!$C$2:$C$132,0))),"")</s:f>
        <s:v>PRIMARY READY</s:v>
      </s:c>
      <s:c r="H22" s="15" t="str">
        <s:f>IFERROR(IF(INDEX('Decisions'!$K$2:$K$132,MATCH(C22,'Decisions'!$C$2:$C$132,0))="","",INDEX('Decisions'!$K$2:$K$132,MATCH(C22,'Decisions'!$C$2:$C$132,0))),"")</s:f>
        <s:v>retain</s:v>
      </s:c>
      <s:c r="I22" s="15" t="str">
        <s:f>IFERROR(IF(INDEX('Decisions'!$L$2:$L$132,MATCH(C22,'Decisions'!$C$2:$C$132,0))="","",INDEX('Decisions'!$L$2:$L$132,MATCH(C22,'Decisions'!$C$2:$C$132,0))),"")</s:f>
        <s:v>protocol_report</s:v>
      </s:c>
      <s:c r="J22" s="15" t="str">
        <s:f>IFERROR(IF(INDEX('Decisions'!$Q$2:$Q$132,MATCH(C22,'Decisions'!$C$2:$C$132,0))="","",INDEX('Decisions'!$Q$2:$Q$132,MATCH(C22,'Decisions'!$C$2:$C$132,0))),"")</s:f>
        <s:v/>
      </s:c>
      <s:c r="K22" s="15" t="str">
        <s:f>IFERROR(IF(INDEX('Decisions'!$P$2:$P$132,MATCH(C22,'Decisions'!$C$2:$C$132,0))="","",INDEX('Decisions'!$P$2:$P$132,MATCH(C22,'Decisions'!$C$2:$C$132,0))),"")</s:f>
        <s:v>not_applicable</s:v>
      </s:c>
      <s:c r="L22" s="15" t="str">
        <s:f>IFERROR(IF(INDEX('Decisions'!$R$2:$R$132,MATCH(C22,'Decisions'!$C$2:$C$132,0))="","",INDEX('Decisions'!$R$2:$R$132,MATCH(C22,'Decisions'!$C$2:$C$132,0))),"")</s:f>
        <s:v>TEST 2025::jama.2025.20765::C013</s:v>
      </s:c>
      <s:c r="M22" s="15" t="str">
        <s:f>IFERROR(IF(INDEX('Decisions'!$H$2:$H$132,MATCH(C22,'Decisions'!$C$2:$C$132,0))="","",INDEX('Decisions'!$H$2:$H$132,MATCH(C22,'Decisions'!$C$2:$C$132,0))),"")</s:f>
        <s:v>protocol_descriptive</s:v>
      </s:c>
      <s:c r="N22" s="15" t="str">
        <s:f>IFERROR(IF(INDEX('Decisions'!$E$2:$E$132,MATCH(C22,'Decisions'!$C$2:$C$132,0))="","",INDEX('Decisions'!$E$2:$E$132,MATCH(C22,'Decisions'!$C$2:$C$132,0))),"")</s:f>
        <s:v>R_A</s:v>
      </s:c>
      <s:c r="O22" s="15" t="str">
        <s:f>IFERROR(IF(INDEX('Decisions'!$F$2:$F$132,MATCH(C22,'Decisions'!$C$2:$C$132,0))="","",INDEX('Decisions'!$F$2:$F$132,MATCH(C22,'Decisions'!$C$2:$C$132,0))),"")</s:f>
        <s:v>TEST_REVIEWER</s:v>
      </s:c>
    </s:row>
    <s:row r="23" ht="105" customFormat="1" customHeight="1" s="8">
      <s:c r="A23" s="16" t="n">
        <s:v>2025</s:v>
      </s:c>
      <s:c r="B23" s="16" t="inlineStr">
        <s:is>
          <s:t>jama.2025.24175</s:t>
        </s:is>
      </s:c>
      <s:c r="C23" s="16" t="inlineStr">
        <s:is>
          <s:t>2025::jama.2025.24175::C002</s:t>
        </s:is>
      </s:c>
      <s:c r="D23" s="16" t="inlineStr">
        <s:is>
          <s:t>P_R</s:t>
        </s:is>
      </s:c>
      <s:c r="E23" s="16" t="inlineStr">
        <s:is>
          <s:t>Protocol and report IFN-gamma dose comparison</s:t>
        </s:is>
      </s:c>
      <s:c r="F23" s="16" t="inlineStr">
        <s:is>
          <s:t>Pending Human Adjudication. Retained ID with a direct-source repair: the alleged 20-microgram protocol comparator was not reproduced.</s:t>
        </s:is>
      </s:c>
      <s:c r="G23" s="16" t="str">
        <s:f>IFERROR(IF(INDEX('Decisions'!$G$2:$G$132,MATCH(C23,'Decisions'!$C$2:$C$132,0))="","",INDEX('Decisions'!$G$2:$G$132,MATCH(C23,'Decisions'!$C$2:$C$132,0))),"")</s:f>
        <s:v>PRIMARY READY</s:v>
      </s:c>
      <s:c r="H23" s="16" t="str">
        <s:f>IFERROR(IF(INDEX('Decisions'!$K$2:$K$132,MATCH(C23,'Decisions'!$C$2:$C$132,0))="","",INDEX('Decisions'!$K$2:$K$132,MATCH(C23,'Decisions'!$C$2:$C$132,0))),"")</s:f>
        <s:v>retain</s:v>
      </s:c>
      <s:c r="I23" s="16" t="str">
        <s:f>IFERROR(IF(INDEX('Decisions'!$L$2:$L$132,MATCH(C23,'Decisions'!$C$2:$C$132,0))="","",INDEX('Decisions'!$L$2:$L$132,MATCH(C23,'Decisions'!$C$2:$C$132,0))),"")</s:f>
        <s:v>protocol_report</s:v>
      </s:c>
      <s:c r="J23" s="16" t="str">
        <s:f>IFERROR(IF(INDEX('Decisions'!$Q$2:$Q$132,MATCH(C23,'Decisions'!$C$2:$C$132,0))="","",INDEX('Decisions'!$Q$2:$Q$132,MATCH(C23,'Decisions'!$C$2:$C$132,0))),"")</s:f>
        <s:v/>
      </s:c>
      <s:c r="K23" s="16" t="str">
        <s:f>IFERROR(IF(INDEX('Decisions'!$P$2:$P$132,MATCH(C23,'Decisions'!$C$2:$C$132,0))="","",INDEX('Decisions'!$P$2:$P$132,MATCH(C23,'Decisions'!$C$2:$C$132,0))),"")</s:f>
        <s:v>not_applicable</s:v>
      </s:c>
      <s:c r="L23" s="16" t="str">
        <s:f>IFERROR(IF(INDEX('Decisions'!$R$2:$R$132,MATCH(C23,'Decisions'!$C$2:$C$132,0))="","",INDEX('Decisions'!$R$2:$R$132,MATCH(C23,'Decisions'!$C$2:$C$132,0))),"")</s:f>
        <s:v>TEST 2025::jama.2025.24175::C002</s:v>
      </s:c>
      <s:c r="M23" s="16" t="str">
        <s:f>IFERROR(IF(INDEX('Decisions'!$H$2:$H$132,MATCH(C23,'Decisions'!$C$2:$C$132,0))="","",INDEX('Decisions'!$H$2:$H$132,MATCH(C23,'Decisions'!$C$2:$C$132,0))),"")</s:f>
        <s:v>protocol_descriptive</s:v>
      </s:c>
      <s:c r="N23" s="16" t="str">
        <s:f>IFERROR(IF(INDEX('Decisions'!$E$2:$E$132,MATCH(C23,'Decisions'!$C$2:$C$132,0))="","",INDEX('Decisions'!$E$2:$E$132,MATCH(C23,'Decisions'!$C$2:$C$132,0))),"")</s:f>
        <s:v>R_A</s:v>
      </s:c>
      <s:c r="O23" s="16" t="str">
        <s:f>IFERROR(IF(INDEX('Decisions'!$F$2:$F$132,MATCH(C23,'Decisions'!$C$2:$C$132,0))="","",INDEX('Decisions'!$F$2:$F$132,MATCH(C23,'Decisions'!$C$2:$C$132,0))),"")</s:f>
        <s:v>TEST_REVIEWER</s:v>
      </s:c>
    </s:row>
    <s:row r="24" ht="105" customFormat="1" customHeight="1" s="8">
      <s:c r="A24" s="15" t="n">
        <s:v>2025</s:v>
      </s:c>
      <s:c r="B24" s="15" t="inlineStr">
        <s:is>
          <s:t>jama.2025.24175</s:t>
        </s:is>
      </s:c>
      <s:c r="C24" s="15" t="inlineStr">
        <s:is>
          <s:t>2025::jama.2025.24175::C003</s:t>
        </s:is>
      </s:c>
      <s:c r="D24" s="15" t="inlineStr">
        <s:is>
          <s:t>P_R</s:t>
        </s:is>
      </s:c>
      <s:c r="E24" s="15" t="inlineStr">
        <s:is>
          <s:t>Primary responder cutoff comparison</s:t>
        </s:is>
      </s:c>
      <s:c r="F24" s="15" t="inlineStr">
        <s:is>
          <s:t>Pending Human Adjudication. Retained ID with a direct-source repair: the alleged 1.5-point binary cutoff was not reproduced.</s:t>
        </s:is>
      </s:c>
      <s:c r="G24" s="15" t="str">
        <s:f>IFERROR(IF(INDEX('Decisions'!$G$2:$G$132,MATCH(C24,'Decisions'!$C$2:$C$132,0))="","",INDEX('Decisions'!$G$2:$G$132,MATCH(C24,'Decisions'!$C$2:$C$132,0))),"")</s:f>
        <s:v>PRIMARY READY</s:v>
      </s:c>
      <s:c r="H24" s="15" t="str">
        <s:f>IFERROR(IF(INDEX('Decisions'!$K$2:$K$132,MATCH(C24,'Decisions'!$C$2:$C$132,0))="","",INDEX('Decisions'!$K$2:$K$132,MATCH(C24,'Decisions'!$C$2:$C$132,0))),"")</s:f>
        <s:v>retain</s:v>
      </s:c>
      <s:c r="I24" s="15" t="str">
        <s:f>IFERROR(IF(INDEX('Decisions'!$L$2:$L$132,MATCH(C24,'Decisions'!$C$2:$C$132,0))="","",INDEX('Decisions'!$L$2:$L$132,MATCH(C24,'Decisions'!$C$2:$C$132,0))),"")</s:f>
        <s:v>protocol_report</s:v>
      </s:c>
      <s:c r="J24" s="15" t="str">
        <s:f>IFERROR(IF(INDEX('Decisions'!$Q$2:$Q$132,MATCH(C24,'Decisions'!$C$2:$C$132,0))="","",INDEX('Decisions'!$Q$2:$Q$132,MATCH(C24,'Decisions'!$C$2:$C$132,0))),"")</s:f>
        <s:v/>
      </s:c>
      <s:c r="K24" s="15" t="str">
        <s:f>IFERROR(IF(INDEX('Decisions'!$P$2:$P$132,MATCH(C24,'Decisions'!$C$2:$C$132,0))="","",INDEX('Decisions'!$P$2:$P$132,MATCH(C24,'Decisions'!$C$2:$C$132,0))),"")</s:f>
        <s:v>not_applicable</s:v>
      </s:c>
      <s:c r="L24" s="15" t="str">
        <s:f>IFERROR(IF(INDEX('Decisions'!$R$2:$R$132,MATCH(C24,'Decisions'!$C$2:$C$132,0))="","",INDEX('Decisions'!$R$2:$R$132,MATCH(C24,'Decisions'!$C$2:$C$132,0))),"")</s:f>
        <s:v>TEST 2025::jama.2025.24175::C003</s:v>
      </s:c>
      <s:c r="M24" s="15" t="str">
        <s:f>IFERROR(IF(INDEX('Decisions'!$H$2:$H$132,MATCH(C24,'Decisions'!$C$2:$C$132,0))="","",INDEX('Decisions'!$H$2:$H$132,MATCH(C24,'Decisions'!$C$2:$C$132,0))),"")</s:f>
        <s:v>protocol_descriptive</s:v>
      </s:c>
      <s:c r="N24" s="15" t="str">
        <s:f>IFERROR(IF(INDEX('Decisions'!$E$2:$E$132,MATCH(C24,'Decisions'!$C$2:$C$132,0))="","",INDEX('Decisions'!$E$2:$E$132,MATCH(C24,'Decisions'!$C$2:$C$132,0))),"")</s:f>
        <s:v>R_A</s:v>
      </s:c>
      <s:c r="O24" s="15" t="str">
        <s:f>IFERROR(IF(INDEX('Decisions'!$F$2:$F$132,MATCH(C24,'Decisions'!$C$2:$C$132,0))="","",INDEX('Decisions'!$F$2:$F$132,MATCH(C24,'Decisions'!$C$2:$C$132,0))),"")</s:f>
        <s:v>TEST_REVIEWER</s:v>
      </s:c>
    </s:row>
    <s:row r="25" ht="105" customFormat="1" customHeight="1" s="8">
      <s:c r="A25" s="16" t="n">
        <s:v>2025</s:v>
      </s:c>
      <s:c r="B25" s="16" t="inlineStr">
        <s:is>
          <s:t>jama.2025.24175</s:t>
        </s:is>
      </s:c>
      <s:c r="C25" s="16" t="inlineStr">
        <s:is>
          <s:t>2025::jama.2025.24175::C004</s:t>
        </s:is>
      </s:c>
      <s:c r="D25" s="16" t="inlineStr">
        <s:is>
          <s:t>P_R</s:t>
        </s:is>
      </s:c>
      <s:c r="E25" s="16" t="inlineStr">
        <s:is>
          <s:t>Immunoparalysis entry-classification threshold comparison</s:t>
        </s:is>
      </s:c>
      <s:c r="F25" s="16" t="inlineStr">
        <s:is>
          <s:t>Pending Human Adjudication. Retained ID with a direct-source repair: entry sources agree at 5000, while 8000 belongs to a separately named reversal endpoint.</s:t>
        </s:is>
      </s:c>
      <s:c r="G25" s="16" t="str">
        <s:f>IFERROR(IF(INDEX('Decisions'!$G$2:$G$132,MATCH(C25,'Decisions'!$C$2:$C$132,0))="","",INDEX('Decisions'!$G$2:$G$132,MATCH(C25,'Decisions'!$C$2:$C$132,0))),"")</s:f>
        <s:v>PRIMARY READY</s:v>
      </s:c>
      <s:c r="H25" s="16" t="str">
        <s:f>IFERROR(IF(INDEX('Decisions'!$K$2:$K$132,MATCH(C25,'Decisions'!$C$2:$C$132,0))="","",INDEX('Decisions'!$K$2:$K$132,MATCH(C25,'Decisions'!$C$2:$C$132,0))),"")</s:f>
        <s:v>retain</s:v>
      </s:c>
      <s:c r="I25" s="16" t="str">
        <s:f>IFERROR(IF(INDEX('Decisions'!$L$2:$L$132,MATCH(C25,'Decisions'!$C$2:$C$132,0))="","",INDEX('Decisions'!$L$2:$L$132,MATCH(C25,'Decisions'!$C$2:$C$132,0))),"")</s:f>
        <s:v>protocol_report</s:v>
      </s:c>
      <s:c r="J25" s="16" t="str">
        <s:f>IFERROR(IF(INDEX('Decisions'!$Q$2:$Q$132,MATCH(C25,'Decisions'!$C$2:$C$132,0))="","",INDEX('Decisions'!$Q$2:$Q$132,MATCH(C25,'Decisions'!$C$2:$C$132,0))),"")</s:f>
        <s:v/>
      </s:c>
      <s:c r="K25" s="16" t="str">
        <s:f>IFERROR(IF(INDEX('Decisions'!$P$2:$P$132,MATCH(C25,'Decisions'!$C$2:$C$132,0))="","",INDEX('Decisions'!$P$2:$P$132,MATCH(C25,'Decisions'!$C$2:$C$132,0))),"")</s:f>
        <s:v>not_applicable</s:v>
      </s:c>
      <s:c r="L25" s="16" t="str">
        <s:f>IFERROR(IF(INDEX('Decisions'!$R$2:$R$132,MATCH(C25,'Decisions'!$C$2:$C$132,0))="","",INDEX('Decisions'!$R$2:$R$132,MATCH(C25,'Decisions'!$C$2:$C$132,0))),"")</s:f>
        <s:v>TEST 2025::jama.2025.24175::C004</s:v>
      </s:c>
      <s:c r="M25" s="16" t="str">
        <s:f>IFERROR(IF(INDEX('Decisions'!$H$2:$H$132,MATCH(C25,'Decisions'!$C$2:$C$132,0))="","",INDEX('Decisions'!$H$2:$H$132,MATCH(C25,'Decisions'!$C$2:$C$132,0))),"")</s:f>
        <s:v>protocol_descriptive</s:v>
      </s:c>
      <s:c r="N25" s="16" t="str">
        <s:f>IFERROR(IF(INDEX('Decisions'!$E$2:$E$132,MATCH(C25,'Decisions'!$C$2:$C$132,0))="","",INDEX('Decisions'!$E$2:$E$132,MATCH(C25,'Decisions'!$C$2:$C$132,0))),"")</s:f>
        <s:v>R_A</s:v>
      </s:c>
      <s:c r="O25" s="16" t="str">
        <s:f>IFERROR(IF(INDEX('Decisions'!$F$2:$F$132,MATCH(C25,'Decisions'!$C$2:$C$132,0))="","",INDEX('Decisions'!$F$2:$F$132,MATCH(C25,'Decisions'!$C$2:$C$132,0))),"")</s:f>
        <s:v>TEST_REVIEWER</s:v>
      </s:c>
    </s:row>
    <s:row r="26" ht="105" customFormat="1" customHeight="1" s="8">
      <s:c r="A26" s="15" t="n">
        <s:v>2025</s:v>
      </s:c>
      <s:c r="B26" s="15" t="inlineStr">
        <s:is>
          <s:t>jama.2025.24175</s:t>
        </s:is>
      </s:c>
      <s:c r="C26" s="15" t="inlineStr">
        <s:is>
          <s:t>2025::jama.2025.24175::C005</s:t>
        </s:is>
      </s:c>
      <s:c r="D26" s="15" t="inlineStr">
        <s:is>
          <s:t>P_P</s:t>
        </s:is>
      </s:c>
      <s:c r="E26" s="15" t="inlineStr">
        <s:is>
          <s:t>Protocol sample-size, dropout, and total-target arithmetic</s:t>
        </s:is>
      </s:c>
      <s:c r="F26" s="15" t="inlineStr">
        <s:is>
          <s:t>Pending Human Adjudication. Retained ID with repaired direct inputs: protocol prints 117 per arm, about 15% dropout, and total randomization 280.</s:t>
        </s:is>
      </s:c>
      <s:c r="G26" s="15" t="str">
        <s:f>IFERROR(IF(INDEX('Decisions'!$G$2:$G$132,MATCH(C26,'Decisions'!$C$2:$C$132,0))="","",INDEX('Decisions'!$G$2:$G$132,MATCH(C26,'Decisions'!$C$2:$C$132,0))),"")</s:f>
        <s:v>PRIMARY READY</s:v>
      </s:c>
      <s:c r="H26" s="15" t="str">
        <s:f>IFERROR(IF(INDEX('Decisions'!$K$2:$K$132,MATCH(C26,'Decisions'!$C$2:$C$132,0))="","",INDEX('Decisions'!$K$2:$K$132,MATCH(C26,'Decisions'!$C$2:$C$132,0))),"")</s:f>
        <s:v>retain</s:v>
      </s:c>
      <s:c r="I26" s="15" t="str">
        <s:f>IFERROR(IF(INDEX('Decisions'!$L$2:$L$132,MATCH(C26,'Decisions'!$C$2:$C$132,0))="","",INDEX('Decisions'!$L$2:$L$132,MATCH(C26,'Decisions'!$C$2:$C$132,0))),"")</s:f>
        <s:v>plan_material</s:v>
      </s:c>
      <s:c r="J26" s="15" t="str">
        <s:f>IFERROR(IF(INDEX('Decisions'!$Q$2:$Q$132,MATCH(C26,'Decisions'!$C$2:$C$132,0))="","",INDEX('Decisions'!$Q$2:$Q$132,MATCH(C26,'Decisions'!$C$2:$C$132,0))),"")</s:f>
        <s:v>not_applicable</s:v>
      </s:c>
      <s:c r="K26" s="15" t="str">
        <s:f>IFERROR(IF(INDEX('Decisions'!$P$2:$P$132,MATCH(C26,'Decisions'!$C$2:$C$132,0))="","",INDEX('Decisions'!$P$2:$P$132,MATCH(C26,'Decisions'!$C$2:$C$132,0))),"")</s:f>
        <s:v>substantive_inconsistency</s:v>
      </s:c>
      <s:c r="L26" s="15" t="str">
        <s:f>IFERROR(IF(INDEX('Decisions'!$R$2:$R$132,MATCH(C26,'Decisions'!$C$2:$C$132,0))="","",INDEX('Decisions'!$R$2:$R$132,MATCH(C26,'Decisions'!$C$2:$C$132,0))),"")</s:f>
        <s:v>TEST 2025::jama.2025.24175::C005</s:v>
      </s:c>
      <s:c r="M26" s="15" t="str">
        <s:f>IFERROR(IF(INDEX('Decisions'!$H$2:$H$132,MATCH(C26,'Decisions'!$C$2:$C$132,0))="","",INDEX('Decisions'!$H$2:$H$132,MATCH(C26,'Decisions'!$C$2:$C$132,0))),"")</s:f>
        <s:v>plan_descriptive</s:v>
      </s:c>
      <s:c r="N26" s="15" t="str">
        <s:f>IFERROR(IF(INDEX('Decisions'!$E$2:$E$132,MATCH(C26,'Decisions'!$C$2:$C$132,0))="","",INDEX('Decisions'!$E$2:$E$132,MATCH(C26,'Decisions'!$C$2:$C$132,0))),"")</s:f>
        <s:v>R_A</s:v>
      </s:c>
      <s:c r="O26" s="15" t="str">
        <s:f>IFERROR(IF(INDEX('Decisions'!$F$2:$F$132,MATCH(C26,'Decisions'!$C$2:$C$132,0))="","",INDEX('Decisions'!$F$2:$F$132,MATCH(C26,'Decisions'!$C$2:$C$132,0))),"")</s:f>
        <s:v>TEST_REVIEWER</s:v>
      </s:c>
    </s:row>
    <s:row r="27" ht="105" customFormat="1" customHeight="1" s="8">
      <s:c r="A27" s="16" t="n">
        <s:v>2025</s:v>
      </s:c>
      <s:c r="B27" s="16" t="inlineStr">
        <s:is>
          <s:t>jama.2025.24175</s:t>
        </s:is>
      </s:c>
      <s:c r="C27" s="16" t="inlineStr">
        <s:is>
          <s:t>2025::jama.2025.24175::C006</s:t>
        </s:is>
      </s:c>
      <s:c r="D27" s="16" t="inlineStr">
        <s:is>
          <s:t>P_P</s:t>
        </s:is>
      </s:c>
      <s:c r="E27" s="16" t="inlineStr">
        <s:is>
          <s:t>Historical-trial narrative and flow diagram death counts</s:t>
        </s:is>
      </s:c>
      <s:c r="F27" s="16" t="inlineStr">
        <s:is>
          <s:t>Pending Human Adjudication. The personalized-immunotherapy death count is 14 in the narrative and 11 in the flow figure, conditional on a matched time window.</s:t>
        </s:is>
      </s:c>
      <s:c r="G27" s="16" t="str">
        <s:f>IFERROR(IF(INDEX('Decisions'!$G$2:$G$132,MATCH(C27,'Decisions'!$C$2:$C$132,0))="","",INDEX('Decisions'!$G$2:$G$132,MATCH(C27,'Decisions'!$C$2:$C$132,0))),"")</s:f>
        <s:v>PRIMARY READY</s:v>
      </s:c>
      <s:c r="H27" s="16" t="str">
        <s:f>IFERROR(IF(INDEX('Decisions'!$K$2:$K$132,MATCH(C27,'Decisions'!$C$2:$C$132,0))="","",INDEX('Decisions'!$K$2:$K$132,MATCH(C27,'Decisions'!$C$2:$C$132,0))),"")</s:f>
        <s:v>retain</s:v>
      </s:c>
      <s:c r="I27" s="16" t="str">
        <s:f>IFERROR(IF(INDEX('Decisions'!$L$2:$L$132,MATCH(C27,'Decisions'!$C$2:$C$132,0))="","",INDEX('Decisions'!$L$2:$L$132,MATCH(C27,'Decisions'!$C$2:$C$132,0))),"")</s:f>
        <s:v>plan_material</s:v>
      </s:c>
      <s:c r="J27" s="16" t="str">
        <s:f>IFERROR(IF(INDEX('Decisions'!$Q$2:$Q$132,MATCH(C27,'Decisions'!$C$2:$C$132,0))="","",INDEX('Decisions'!$Q$2:$Q$132,MATCH(C27,'Decisions'!$C$2:$C$132,0))),"")</s:f>
        <s:v>not_applicable</s:v>
      </s:c>
      <s:c r="K27" s="16" t="str">
        <s:f>IFERROR(IF(INDEX('Decisions'!$P$2:$P$132,MATCH(C27,'Decisions'!$C$2:$C$132,0))="","",INDEX('Decisions'!$P$2:$P$132,MATCH(C27,'Decisions'!$C$2:$C$132,0))),"")</s:f>
        <s:v>substantive_inconsistency</s:v>
      </s:c>
      <s:c r="L27" s="16" t="str">
        <s:f>IFERROR(IF(INDEX('Decisions'!$R$2:$R$132,MATCH(C27,'Decisions'!$C$2:$C$132,0))="","",INDEX('Decisions'!$R$2:$R$132,MATCH(C27,'Decisions'!$C$2:$C$132,0))),"")</s:f>
        <s:v>TEST 2025::jama.2025.24175::C006</s:v>
      </s:c>
      <s:c r="M27" s="16" t="str">
        <s:f>IFERROR(IF(INDEX('Decisions'!$H$2:$H$132,MATCH(C27,'Decisions'!$C$2:$C$132,0))="","",INDEX('Decisions'!$H$2:$H$132,MATCH(C27,'Decisions'!$C$2:$C$132,0))),"")</s:f>
        <s:v>plan_descriptive</s:v>
      </s:c>
      <s:c r="N27" s="16" t="str">
        <s:f>IFERROR(IF(INDEX('Decisions'!$E$2:$E$132,MATCH(C27,'Decisions'!$C$2:$C$132,0))="","",INDEX('Decisions'!$E$2:$E$132,MATCH(C27,'Decisions'!$C$2:$C$132,0))),"")</s:f>
        <s:v>R_A</s:v>
      </s:c>
      <s:c r="O27" s="16" t="str">
        <s:f>IFERROR(IF(INDEX('Decisions'!$F$2:$F$132,MATCH(C27,'Decisions'!$C$2:$C$132,0))="","",INDEX('Decisions'!$F$2:$F$132,MATCH(C27,'Decisions'!$C$2:$C$132,0))),"")</s:f>
        <s:v>TEST_REVIEWER</s:v>
      </s:c>
    </s:row>
    <s:row r="28" ht="105" customFormat="1" customHeight="1" s="8">
      <s:c r="A28" s="15" t="n">
        <s:v>2025</s:v>
      </s:c>
      <s:c r="B28" s="15" t="inlineStr">
        <s:is>
          <s:t>jama.2025.24175</s:t>
        </s:is>
      </s:c>
      <s:c r="C28" s="15" t="inlineStr">
        <s:is>
          <s:t>2025::jama.2025.24175::C007</s:t>
        </s:is>
      </s:c>
      <s:c r="D28" s="15" t="inlineStr">
        <s:is>
          <s:t>P_P</s:t>
        </s:is>
      </s:c>
      <s:c r="E28" s="15" t="inlineStr">
        <s:is>
          <s:t>APACHE II Table 2 P value versus displayed t-test inputs</s:t>
        </s:is>
      </s:c>
      <s:c r="F28" s="15" t="inlineStr">
        <s:is>
          <s:t>Pending Human Adjudication. The printed P=.376 is not compatible with conventional two-group calculations from the displayed Student t-test inputs.</s:t>
        </s:is>
      </s:c>
      <s:c r="G28" s="15" t="str">
        <s:f>IFERROR(IF(INDEX('Decisions'!$G$2:$G$132,MATCH(C28,'Decisions'!$C$2:$C$132,0))="","",INDEX('Decisions'!$G$2:$G$132,MATCH(C28,'Decisions'!$C$2:$C$132,0))),"")</s:f>
        <s:v>PRIMARY READY</s:v>
      </s:c>
      <s:c r="H28" s="15" t="str">
        <s:f>IFERROR(IF(INDEX('Decisions'!$K$2:$K$132,MATCH(C28,'Decisions'!$C$2:$C$132,0))="","",INDEX('Decisions'!$K$2:$K$132,MATCH(C28,'Decisions'!$C$2:$C$132,0))),"")</s:f>
        <s:v>retain</s:v>
      </s:c>
      <s:c r="I28" s="15" t="str">
        <s:f>IFERROR(IF(INDEX('Decisions'!$L$2:$L$132,MATCH(C28,'Decisions'!$C$2:$C$132,0))="","",INDEX('Decisions'!$L$2:$L$132,MATCH(C28,'Decisions'!$C$2:$C$132,0))),"")</s:f>
        <s:v>plan_material</s:v>
      </s:c>
      <s:c r="J28" s="15" t="str">
        <s:f>IFERROR(IF(INDEX('Decisions'!$Q$2:$Q$132,MATCH(C28,'Decisions'!$C$2:$C$132,0))="","",INDEX('Decisions'!$Q$2:$Q$132,MATCH(C28,'Decisions'!$C$2:$C$132,0))),"")</s:f>
        <s:v>not_applicable</s:v>
      </s:c>
      <s:c r="K28" s="15" t="str">
        <s:f>IFERROR(IF(INDEX('Decisions'!$P$2:$P$132,MATCH(C28,'Decisions'!$C$2:$C$132,0))="","",INDEX('Decisions'!$P$2:$P$132,MATCH(C28,'Decisions'!$C$2:$C$132,0))),"")</s:f>
        <s:v>substantive_inconsistency</s:v>
      </s:c>
      <s:c r="L28" s="15" t="str">
        <s:f>IFERROR(IF(INDEX('Decisions'!$R$2:$R$132,MATCH(C28,'Decisions'!$C$2:$C$132,0))="","",INDEX('Decisions'!$R$2:$R$132,MATCH(C28,'Decisions'!$C$2:$C$132,0))),"")</s:f>
        <s:v>TEST 2025::jama.2025.24175::C007</s:v>
      </s:c>
      <s:c r="M28" s="15" t="str">
        <s:f>IFERROR(IF(INDEX('Decisions'!$H$2:$H$132,MATCH(C28,'Decisions'!$C$2:$C$132,0))="","",INDEX('Decisions'!$H$2:$H$132,MATCH(C28,'Decisions'!$C$2:$C$132,0))),"")</s:f>
        <s:v>plan_descriptive</s:v>
      </s:c>
      <s:c r="N28" s="15" t="str">
        <s:f>IFERROR(IF(INDEX('Decisions'!$E$2:$E$132,MATCH(C28,'Decisions'!$C$2:$C$132,0))="","",INDEX('Decisions'!$E$2:$E$132,MATCH(C28,'Decisions'!$C$2:$C$132,0))),"")</s:f>
        <s:v>R_A</s:v>
      </s:c>
      <s:c r="O28" s="15" t="str">
        <s:f>IFERROR(IF(INDEX('Decisions'!$F$2:$F$132,MATCH(C28,'Decisions'!$C$2:$C$132,0))="","",INDEX('Decisions'!$F$2:$F$132,MATCH(C28,'Decisions'!$C$2:$C$132,0))),"")</s:f>
        <s:v>TEST_REVIEWER</s:v>
      </s:c>
    </s:row>
    <s:row r="29" ht="105" customFormat="1" customHeight="1" s="8">
      <s:c r="A29" s="16" t="n">
        <s:v>2025</s:v>
      </s:c>
      <s:c r="B29" s="16" t="inlineStr">
        <s:is>
          <s:t>jama.2025.24175</s:t>
        </s:is>
      </s:c>
      <s:c r="C29" s="16" t="inlineStr">
        <s:is>
          <s:t>2025::jama.2025.24175::C008</s:t>
        </s:is>
      </s:c>
      <s:c r="D29" s="16" t="inlineStr">
        <s:is>
          <s:t>P_P</s:t>
        </s:is>
      </s:c>
      <s:c r="E29" s="16" t="inlineStr">
        <s:is>
          <s:t>Figure 1 septic-shock classification children exceed their parent total</s:t>
        </s:is>
      </s:c>
      <s:c r="F29" s="16" t="inlineStr">
        <s:is>
          <s:t>Pending Human Adjudication. Displayed child classifications sum to 178 under a parent total of 177.</s:t>
        </s:is>
      </s:c>
      <s:c r="G29" s="16" t="str">
        <s:f>IFERROR(IF(INDEX('Decisions'!$G$2:$G$132,MATCH(C29,'Decisions'!$C$2:$C$132,0))="","",INDEX('Decisions'!$G$2:$G$132,MATCH(C29,'Decisions'!$C$2:$C$132,0))),"")</s:f>
        <s:v>PRIMARY READY</s:v>
      </s:c>
      <s:c r="H29" s="16" t="str">
        <s:f>IFERROR(IF(INDEX('Decisions'!$K$2:$K$132,MATCH(C29,'Decisions'!$C$2:$C$132,0))="","",INDEX('Decisions'!$K$2:$K$132,MATCH(C29,'Decisions'!$C$2:$C$132,0))),"")</s:f>
        <s:v>retain</s:v>
      </s:c>
      <s:c r="I29" s="16" t="str">
        <s:f>IFERROR(IF(INDEX('Decisions'!$L$2:$L$132,MATCH(C29,'Decisions'!$C$2:$C$132,0))="","",INDEX('Decisions'!$L$2:$L$132,MATCH(C29,'Decisions'!$C$2:$C$132,0))),"")</s:f>
        <s:v>plan_material</s:v>
      </s:c>
      <s:c r="J29" s="16" t="str">
        <s:f>IFERROR(IF(INDEX('Decisions'!$Q$2:$Q$132,MATCH(C29,'Decisions'!$C$2:$C$132,0))="","",INDEX('Decisions'!$Q$2:$Q$132,MATCH(C29,'Decisions'!$C$2:$C$132,0))),"")</s:f>
        <s:v>not_applicable</s:v>
      </s:c>
      <s:c r="K29" s="16" t="str">
        <s:f>IFERROR(IF(INDEX('Decisions'!$P$2:$P$132,MATCH(C29,'Decisions'!$C$2:$C$132,0))="","",INDEX('Decisions'!$P$2:$P$132,MATCH(C29,'Decisions'!$C$2:$C$132,0))),"")</s:f>
        <s:v>substantive_inconsistency</s:v>
      </s:c>
      <s:c r="L29" s="16" t="str">
        <s:f>IFERROR(IF(INDEX('Decisions'!$R$2:$R$132,MATCH(C29,'Decisions'!$C$2:$C$132,0))="","",INDEX('Decisions'!$R$2:$R$132,MATCH(C29,'Decisions'!$C$2:$C$132,0))),"")</s:f>
        <s:v>TEST 2025::jama.2025.24175::C008</s:v>
      </s:c>
      <s:c r="M29" s="16" t="str">
        <s:f>IFERROR(IF(INDEX('Decisions'!$H$2:$H$132,MATCH(C29,'Decisions'!$C$2:$C$132,0))="","",INDEX('Decisions'!$H$2:$H$132,MATCH(C29,'Decisions'!$C$2:$C$132,0))),"")</s:f>
        <s:v>plan_descriptive</s:v>
      </s:c>
      <s:c r="N29" s="16" t="str">
        <s:f>IFERROR(IF(INDEX('Decisions'!$E$2:$E$132,MATCH(C29,'Decisions'!$C$2:$C$132,0))="","",INDEX('Decisions'!$E$2:$E$132,MATCH(C29,'Decisions'!$C$2:$C$132,0))),"")</s:f>
        <s:v>R_A</s:v>
      </s:c>
      <s:c r="O29" s="16" t="str">
        <s:f>IFERROR(IF(INDEX('Decisions'!$F$2:$F$132,MATCH(C29,'Decisions'!$C$2:$C$132,0))="","",INDEX('Decisions'!$F$2:$F$132,MATCH(C29,'Decisions'!$C$2:$C$132,0))),"")</s:f>
        <s:v>TEST_REVIEWER</s:v>
      </s:c>
    </s:row>
    <s:row r="30" ht="105" customFormat="1" customHeight="1" s="8">
      <s:c r="A30" s="15" t="n">
        <s:v>2025</s:v>
      </s:c>
      <s:c r="B30" s="15" t="inlineStr">
        <s:is>
          <s:t>jama.2025.24175</s:t>
        </s:is>
      </s:c>
      <s:c r="C30" s="15" t="inlineStr">
        <s:is>
          <s:t>2025::jama.2025.24175::C009</s:t>
        </s:is>
      </s:c>
      <s:c r="D30" s="15" t="inlineStr">
        <s:is>
          <s:t>P_R</s:t>
        </s:is>
      </s:c>
      <s:c r="E30" s="15" t="inlineStr">
        <s:is>
          <s:t>ImmunoSep study-site totals across report, protocol, and SAP</s:t>
        </s:is>
      </s:c>
      <s:c r="F30" s="15" t="inlineStr">
        <s:is>
          <s:t>Pending Human Adjudication. Retained ID with repaired direct-source values: 24, 31, and 33 sites require milestone definitions.</s:t>
        </s:is>
      </s:c>
      <s:c r="G30" s="15" t="str">
        <s:f>IFERROR(IF(INDEX('Decisions'!$G$2:$G$132,MATCH(C30,'Decisions'!$C$2:$C$132,0))="","",INDEX('Decisions'!$G$2:$G$132,MATCH(C30,'Decisions'!$C$2:$C$132,0))),"")</s:f>
        <s:v>PRIMARY READY</s:v>
      </s:c>
      <s:c r="H30" s="15" t="str">
        <s:f>IFERROR(IF(INDEX('Decisions'!$K$2:$K$132,MATCH(C30,'Decisions'!$C$2:$C$132,0))="","",INDEX('Decisions'!$K$2:$K$132,MATCH(C30,'Decisions'!$C$2:$C$132,0))),"")</s:f>
        <s:v>retain</s:v>
      </s:c>
      <s:c r="I30" s="15" t="str">
        <s:f>IFERROR(IF(INDEX('Decisions'!$L$2:$L$132,MATCH(C30,'Decisions'!$C$2:$C$132,0))="","",INDEX('Decisions'!$L$2:$L$132,MATCH(C30,'Decisions'!$C$2:$C$132,0))),"")</s:f>
        <s:v>protocol_report</s:v>
      </s:c>
      <s:c r="J30" s="15" t="str">
        <s:f>IFERROR(IF(INDEX('Decisions'!$Q$2:$Q$132,MATCH(C30,'Decisions'!$C$2:$C$132,0))="","",INDEX('Decisions'!$Q$2:$Q$132,MATCH(C30,'Decisions'!$C$2:$C$132,0))),"")</s:f>
        <s:v/>
      </s:c>
      <s:c r="K30" s="15" t="str">
        <s:f>IFERROR(IF(INDEX('Decisions'!$P$2:$P$132,MATCH(C30,'Decisions'!$C$2:$C$132,0))="","",INDEX('Decisions'!$P$2:$P$132,MATCH(C30,'Decisions'!$C$2:$C$132,0))),"")</s:f>
        <s:v>not_applicable</s:v>
      </s:c>
      <s:c r="L30" s="15" t="str">
        <s:f>IFERROR(IF(INDEX('Decisions'!$R$2:$R$132,MATCH(C30,'Decisions'!$C$2:$C$132,0))="","",INDEX('Decisions'!$R$2:$R$132,MATCH(C30,'Decisions'!$C$2:$C$132,0))),"")</s:f>
        <s:v>TEST 2025::jama.2025.24175::C009</s:v>
      </s:c>
      <s:c r="M30" s="15" t="str">
        <s:f>IFERROR(IF(INDEX('Decisions'!$H$2:$H$132,MATCH(C30,'Decisions'!$C$2:$C$132,0))="","",INDEX('Decisions'!$H$2:$H$132,MATCH(C30,'Decisions'!$C$2:$C$132,0))),"")</s:f>
        <s:v>protocol_descriptive</s:v>
      </s:c>
      <s:c r="N30" s="15" t="str">
        <s:f>IFERROR(IF(INDEX('Decisions'!$E$2:$E$132,MATCH(C30,'Decisions'!$C$2:$C$132,0))="","",INDEX('Decisions'!$E$2:$E$132,MATCH(C30,'Decisions'!$C$2:$C$132,0))),"")</s:f>
        <s:v>R_A</s:v>
      </s:c>
      <s:c r="O30" s="15" t="str">
        <s:f>IFERROR(IF(INDEX('Decisions'!$F$2:$F$132,MATCH(C30,'Decisions'!$C$2:$C$132,0))="","",INDEX('Decisions'!$F$2:$F$132,MATCH(C30,'Decisions'!$C$2:$C$132,0))),"")</s:f>
        <s:v>TEST_REVIEWER</s:v>
      </s:c>
    </s:row>
    <s:row r="31" ht="105" customFormat="1" customHeight="1" s="8">
      <s:c r="A31" s="16" t="n">
        <s:v>2025</s:v>
      </s:c>
      <s:c r="B31" s="16" t="inlineStr">
        <s:is>
          <s:t>jama.2025.24175</s:t>
        </s:is>
      </s:c>
      <s:c r="C31" s="16" t="inlineStr">
        <s:is>
          <s:t>2025::jama.2025.24175::C010</s:t>
        </s:is>
      </s:c>
      <s:c r="D31" s="16" t="inlineStr">
        <s:is>
          <s:t>P_P</s:t>
        </s:is>
      </s:c>
      <s:c r="E31" s="16" t="inlineStr">
        <s:is>
          <s:t>Figure 2C relative-risk label versus displayed association</s:t>
        </s:is>
      </s:c>
      <s:c r="F31" s="16" t="inlineStr">
        <s:is>
          <s:t>Pending Human Adjudication. Figure 2C labels 2.82 (1.58-5.14) as RR although displayed counts give a crude RR of 1.61 and the same value/CI appears as an HR in Figure 3.</s:t>
        </s:is>
      </s:c>
      <s:c r="G31" s="16" t="str">
        <s:f>IFERROR(IF(INDEX('Decisions'!$G$2:$G$132,MATCH(C31,'Decisions'!$C$2:$C$132,0))="","",INDEX('Decisions'!$G$2:$G$132,MATCH(C31,'Decisions'!$C$2:$C$132,0))),"")</s:f>
        <s:v>PRIMARY READY</s:v>
      </s:c>
      <s:c r="H31" s="16" t="str">
        <s:f>IFERROR(IF(INDEX('Decisions'!$K$2:$K$132,MATCH(C31,'Decisions'!$C$2:$C$132,0))="","",INDEX('Decisions'!$K$2:$K$132,MATCH(C31,'Decisions'!$C$2:$C$132,0))),"")</s:f>
        <s:v>retain</s:v>
      </s:c>
      <s:c r="I31" s="16" t="str">
        <s:f>IFERROR(IF(INDEX('Decisions'!$L$2:$L$132,MATCH(C31,'Decisions'!$C$2:$C$132,0))="","",INDEX('Decisions'!$L$2:$L$132,MATCH(C31,'Decisions'!$C$2:$C$132,0))),"")</s:f>
        <s:v>plan_material</s:v>
      </s:c>
      <s:c r="J31" s="16" t="str">
        <s:f>IFERROR(IF(INDEX('Decisions'!$Q$2:$Q$132,MATCH(C31,'Decisions'!$C$2:$C$132,0))="","",INDEX('Decisions'!$Q$2:$Q$132,MATCH(C31,'Decisions'!$C$2:$C$132,0))),"")</s:f>
        <s:v>not_applicable</s:v>
      </s:c>
      <s:c r="K31" s="16" t="str">
        <s:f>IFERROR(IF(INDEX('Decisions'!$P$2:$P$132,MATCH(C31,'Decisions'!$C$2:$C$132,0))="","",INDEX('Decisions'!$P$2:$P$132,MATCH(C31,'Decisions'!$C$2:$C$132,0))),"")</s:f>
        <s:v>substantive_inconsistency</s:v>
      </s:c>
      <s:c r="L31" s="16" t="str">
        <s:f>IFERROR(IF(INDEX('Decisions'!$R$2:$R$132,MATCH(C31,'Decisions'!$C$2:$C$132,0))="","",INDEX('Decisions'!$R$2:$R$132,MATCH(C31,'Decisions'!$C$2:$C$132,0))),"")</s:f>
        <s:v>TEST 2025::jama.2025.24175::C010</s:v>
      </s:c>
      <s:c r="M31" s="16" t="str">
        <s:f>IFERROR(IF(INDEX('Decisions'!$H$2:$H$132,MATCH(C31,'Decisions'!$C$2:$C$132,0))="","",INDEX('Decisions'!$H$2:$H$132,MATCH(C31,'Decisions'!$C$2:$C$132,0))),"")</s:f>
        <s:v>plan_descriptive</s:v>
      </s:c>
      <s:c r="N31" s="16" t="str">
        <s:f>IFERROR(IF(INDEX('Decisions'!$E$2:$E$132,MATCH(C31,'Decisions'!$C$2:$C$132,0))="","",INDEX('Decisions'!$E$2:$E$132,MATCH(C31,'Decisions'!$C$2:$C$132,0))),"")</s:f>
        <s:v>R_A</s:v>
      </s:c>
      <s:c r="O31" s="16" t="str">
        <s:f>IFERROR(IF(INDEX('Decisions'!$F$2:$F$132,MATCH(C31,'Decisions'!$C$2:$C$132,0))="","",INDEX('Decisions'!$F$2:$F$132,MATCH(C31,'Decisions'!$C$2:$C$132,0))),"")</s:f>
        <s:v>TEST_REVIEWER</s:v>
      </s:c>
    </s:row>
    <s:row r="32" ht="105" customFormat="1" customHeight="1" s="8">
      <s:c r="A32" s="15" t="n">
        <s:v>2025</s:v>
      </s:c>
      <s:c r="B32" s="15" t="inlineStr">
        <s:is>
          <s:t>jama.2025.24175</s:t>
        </s:is>
      </s:c>
      <s:c r="C32" s="15" t="inlineStr">
        <s:is>
          <s:t>2025::jama.2025.24175::C014</s:t>
        </s:is>
      </s:c>
      <s:c r="D32" s="15" t="inlineStr">
        <s:is>
          <s:t>P_P</s:t>
        </s:is>
      </s:c>
      <s:c r="E32" s="15" t="inlineStr">
        <s:is>
          <s:t>Historical mortality-pair registration</s:t>
        </s:is>
      </s:c>
      <s:c r="F32" s="15" t="inlineStr">
        <s:is>
          <s:t>Pending Human Adjudication. Retained ID with direct-source repair: no supplied source prints the registered mortality count/percentage pairs.</s:t>
        </s:is>
      </s:c>
      <s:c r="G32" s="15" t="str">
        <s:f>IFERROR(IF(INDEX('Decisions'!$G$2:$G$132,MATCH(C32,'Decisions'!$C$2:$C$132,0))="","",INDEX('Decisions'!$G$2:$G$132,MATCH(C32,'Decisions'!$C$2:$C$132,0))),"")</s:f>
        <s:v>PRIMARY READY</s:v>
      </s:c>
      <s:c r="H32" s="15" t="str">
        <s:f>IFERROR(IF(INDEX('Decisions'!$K$2:$K$132,MATCH(C32,'Decisions'!$C$2:$C$132,0))="","",INDEX('Decisions'!$K$2:$K$132,MATCH(C32,'Decisions'!$C$2:$C$132,0))),"")</s:f>
        <s:v>retain</s:v>
      </s:c>
      <s:c r="I32" s="15" t="str">
        <s:f>IFERROR(IF(INDEX('Decisions'!$L$2:$L$132,MATCH(C32,'Decisions'!$C$2:$C$132,0))="","",INDEX('Decisions'!$L$2:$L$132,MATCH(C32,'Decisions'!$C$2:$C$132,0))),"")</s:f>
        <s:v>plan_material</s:v>
      </s:c>
      <s:c r="J32" s="15" t="str">
        <s:f>IFERROR(IF(INDEX('Decisions'!$Q$2:$Q$132,MATCH(C32,'Decisions'!$C$2:$C$132,0))="","",INDEX('Decisions'!$Q$2:$Q$132,MATCH(C32,'Decisions'!$C$2:$C$132,0))),"")</s:f>
        <s:v>not_applicable</s:v>
      </s:c>
      <s:c r="K32" s="15" t="str">
        <s:f>IFERROR(IF(INDEX('Decisions'!$P$2:$P$132,MATCH(C32,'Decisions'!$C$2:$C$132,0))="","",INDEX('Decisions'!$P$2:$P$132,MATCH(C32,'Decisions'!$C$2:$C$132,0))),"")</s:f>
        <s:v>substantive_inconsistency</s:v>
      </s:c>
      <s:c r="L32" s="15" t="str">
        <s:f>IFERROR(IF(INDEX('Decisions'!$R$2:$R$132,MATCH(C32,'Decisions'!$C$2:$C$132,0))="","",INDEX('Decisions'!$R$2:$R$132,MATCH(C32,'Decisions'!$C$2:$C$132,0))),"")</s:f>
        <s:v>TEST 2025::jama.2025.24175::C014</s:v>
      </s:c>
      <s:c r="M32" s="15" t="str">
        <s:f>IFERROR(IF(INDEX('Decisions'!$H$2:$H$132,MATCH(C32,'Decisions'!$C$2:$C$132,0))="","",INDEX('Decisions'!$H$2:$H$132,MATCH(C32,'Decisions'!$C$2:$C$132,0))),"")</s:f>
        <s:v>plan_descriptive</s:v>
      </s:c>
      <s:c r="N32" s="15" t="str">
        <s:f>IFERROR(IF(INDEX('Decisions'!$E$2:$E$132,MATCH(C32,'Decisions'!$C$2:$C$132,0))="","",INDEX('Decisions'!$E$2:$E$132,MATCH(C32,'Decisions'!$C$2:$C$132,0))),"")</s:f>
        <s:v>R_A</s:v>
      </s:c>
      <s:c r="O32" s="15" t="str">
        <s:f>IFERROR(IF(INDEX('Decisions'!$F$2:$F$132,MATCH(C32,'Decisions'!$C$2:$C$132,0))="","",INDEX('Decisions'!$F$2:$F$132,MATCH(C32,'Decisions'!$C$2:$C$132,0))),"")</s:f>
        <s:v>TEST_REVIEWER</s:v>
      </s:c>
    </s:row>
    <s:row r="33" ht="105" customFormat="1" customHeight="1" s="8">
      <s:c r="A33" s="16" t="n">
        <s:v>2025</s:v>
      </s:c>
      <s:c r="B33" s="16" t="inlineStr">
        <s:is>
          <s:t>jama.2025.7583</s:t>
        </s:is>
      </s:c>
      <s:c r="C33" s="16" t="inlineStr">
        <s:is>
          <s:t>2025::jama.2025.7583::C001</s:t>
        </s:is>
      </s:c>
      <s:c r="D33" s="16" t="inlineStr">
        <s:is>
          <s:t>P_R</s:t>
        </s:is>
      </s:c>
      <s:c r="E33" s="16" t="inlineStr">
        <s:is>
          <s:t>Primary-endpoint midline-shift boundary differs across matched supplied sources</s:t>
        </s:is>
      </s:c>
      <s:c r="F33" s="16" t="inlineStr">
        <s:is>
          <s:t>Matched supplied sources define the same six-month primary-endpoint imaging component with different inclusion operators: inclusive &gt;=5 mm versus strict &gt;5 mm.</s:t>
        </s:is>
      </s:c>
      <s:c r="G33" s="16" t="str">
        <s:f>IFERROR(IF(INDEX('Decisions'!$G$2:$G$132,MATCH(C33,'Decisions'!$C$2:$C$132,0))="","",INDEX('Decisions'!$G$2:$G$132,MATCH(C33,'Decisions'!$C$2:$C$132,0))),"")</s:f>
        <s:v>PRIMARY READY</s:v>
      </s:c>
      <s:c r="H33" s="16" t="str">
        <s:f>IFERROR(IF(INDEX('Decisions'!$K$2:$K$132,MATCH(C33,'Decisions'!$C$2:$C$132,0))="","",INDEX('Decisions'!$K$2:$K$132,MATCH(C33,'Decisions'!$C$2:$C$132,0))),"")</s:f>
        <s:v>retain</s:v>
      </s:c>
      <s:c r="I33" s="16" t="str">
        <s:f>IFERROR(IF(INDEX('Decisions'!$L$2:$L$132,MATCH(C33,'Decisions'!$C$2:$C$132,0))="","",INDEX('Decisions'!$L$2:$L$132,MATCH(C33,'Decisions'!$C$2:$C$132,0))),"")</s:f>
        <s:v>protocol_report</s:v>
      </s:c>
      <s:c r="J33" s="16" t="str">
        <s:f>IFERROR(IF(INDEX('Decisions'!$Q$2:$Q$132,MATCH(C33,'Decisions'!$C$2:$C$132,0))="","",INDEX('Decisions'!$Q$2:$Q$132,MATCH(C33,'Decisions'!$C$2:$C$132,0))),"")</s:f>
        <s:v/>
      </s:c>
      <s:c r="K33" s="16" t="str">
        <s:f>IFERROR(IF(INDEX('Decisions'!$P$2:$P$132,MATCH(C33,'Decisions'!$C$2:$C$132,0))="","",INDEX('Decisions'!$P$2:$P$132,MATCH(C33,'Decisions'!$C$2:$C$132,0))),"")</s:f>
        <s:v>not_applicable</s:v>
      </s:c>
      <s:c r="L33" s="16" t="str">
        <s:f>IFERROR(IF(INDEX('Decisions'!$R$2:$R$132,MATCH(C33,'Decisions'!$C$2:$C$132,0))="","",INDEX('Decisions'!$R$2:$R$132,MATCH(C33,'Decisions'!$C$2:$C$132,0))),"")</s:f>
        <s:v>TEST 2025::jama.2025.7583::C001</s:v>
      </s:c>
      <s:c r="M33" s="16" t="str">
        <s:f>IFERROR(IF(INDEX('Decisions'!$H$2:$H$132,MATCH(C33,'Decisions'!$C$2:$C$132,0))="","",INDEX('Decisions'!$H$2:$H$132,MATCH(C33,'Decisions'!$C$2:$C$132,0))),"")</s:f>
        <s:v>protocol_descriptive</s:v>
      </s:c>
      <s:c r="N33" s="16" t="str">
        <s:f>IFERROR(IF(INDEX('Decisions'!$E$2:$E$132,MATCH(C33,'Decisions'!$C$2:$C$132,0))="","",INDEX('Decisions'!$E$2:$E$132,MATCH(C33,'Decisions'!$C$2:$C$132,0))),"")</s:f>
        <s:v>R_A</s:v>
      </s:c>
      <s:c r="O33" s="16" t="str">
        <s:f>IFERROR(IF(INDEX('Decisions'!$F$2:$F$132,MATCH(C33,'Decisions'!$C$2:$C$132,0))="","",INDEX('Decisions'!$F$2:$F$132,MATCH(C33,'Decisions'!$C$2:$C$132,0))),"")</s:f>
        <s:v>TEST_REVIEWER</s:v>
      </s:c>
    </s:row>
    <s:row r="34" ht="105" customFormat="1" customHeight="1" s="8">
      <s:c r="A34" s="15" t="n">
        <s:v>2025</s:v>
      </s:c>
      <s:c r="B34" s="15" t="inlineStr">
        <s:is>
          <s:t>jama.2025.7583</s:t>
        </s:is>
      </s:c>
      <s:c r="C34" s="15" t="inlineStr">
        <s:is>
          <s:t>2025::jama.2025.7583::C002</s:t>
        </s:is>
      </s:c>
      <s:c r="D34" s="15" t="inlineStr">
        <s:is>
          <s:t>P_P</s:t>
        </s:is>
      </s:c>
      <s:c r="E34" s="15" t="inlineStr">
        <s:is>
          <s:t>Printed sample-size attrition allowance does not reconcile with the printed target</s:t>
        </s:is>
      </s:c>
      <s:c r="F34" s="15" t="inlineStr">
        <s:is>
          <s:t>The printed 142-per-group requirement, stated 20% loss-to-follow-up allowance, and 171-per-group/342-total target do not reconcile under a true loss-fraction convention.</s:t>
        </s:is>
      </s:c>
      <s:c r="G34" s="15" t="str">
        <s:f>IFERROR(IF(INDEX('Decisions'!$G$2:$G$132,MATCH(C34,'Decisions'!$C$2:$C$132,0))="","",INDEX('Decisions'!$G$2:$G$132,MATCH(C34,'Decisions'!$C$2:$C$132,0))),"")</s:f>
        <s:v>PRIMARY READY</s:v>
      </s:c>
      <s:c r="H34" s="15" t="str">
        <s:f>IFERROR(IF(INDEX('Decisions'!$K$2:$K$132,MATCH(C34,'Decisions'!$C$2:$C$132,0))="","",INDEX('Decisions'!$K$2:$K$132,MATCH(C34,'Decisions'!$C$2:$C$132,0))),"")</s:f>
        <s:v>retain</s:v>
      </s:c>
      <s:c r="I34" s="15" t="str">
        <s:f>IFERROR(IF(INDEX('Decisions'!$L$2:$L$132,MATCH(C34,'Decisions'!$C$2:$C$132,0))="","",INDEX('Decisions'!$L$2:$L$132,MATCH(C34,'Decisions'!$C$2:$C$132,0))),"")</s:f>
        <s:v>plan_material</s:v>
      </s:c>
      <s:c r="J34" s="15" t="str">
        <s:f>IFERROR(IF(INDEX('Decisions'!$Q$2:$Q$132,MATCH(C34,'Decisions'!$C$2:$C$132,0))="","",INDEX('Decisions'!$Q$2:$Q$132,MATCH(C34,'Decisions'!$C$2:$C$132,0))),"")</s:f>
        <s:v>not_applicable</s:v>
      </s:c>
      <s:c r="K34" s="15" t="str">
        <s:f>IFERROR(IF(INDEX('Decisions'!$P$2:$P$132,MATCH(C34,'Decisions'!$C$2:$C$132,0))="","",INDEX('Decisions'!$P$2:$P$132,MATCH(C34,'Decisions'!$C$2:$C$132,0))),"")</s:f>
        <s:v>substantive_inconsistency</s:v>
      </s:c>
      <s:c r="L34" s="15" t="str">
        <s:f>IFERROR(IF(INDEX('Decisions'!$R$2:$R$132,MATCH(C34,'Decisions'!$C$2:$C$132,0))="","",INDEX('Decisions'!$R$2:$R$132,MATCH(C34,'Decisions'!$C$2:$C$132,0))),"")</s:f>
        <s:v>TEST 2025::jama.2025.7583::C002</s:v>
      </s:c>
      <s:c r="M34" s="15" t="str">
        <s:f>IFERROR(IF(INDEX('Decisions'!$H$2:$H$132,MATCH(C34,'Decisions'!$C$2:$C$132,0))="","",INDEX('Decisions'!$H$2:$H$132,MATCH(C34,'Decisions'!$C$2:$C$132,0))),"")</s:f>
        <s:v>plan_descriptive</s:v>
      </s:c>
      <s:c r="N34" s="15" t="str">
        <s:f>IFERROR(IF(INDEX('Decisions'!$E$2:$E$132,MATCH(C34,'Decisions'!$C$2:$C$132,0))="","",INDEX('Decisions'!$E$2:$E$132,MATCH(C34,'Decisions'!$C$2:$C$132,0))),"")</s:f>
        <s:v>R_A</s:v>
      </s:c>
      <s:c r="O34" s="15" t="str">
        <s:f>IFERROR(IF(INDEX('Decisions'!$F$2:$F$132,MATCH(C34,'Decisions'!$C$2:$C$132,0))="","",INDEX('Decisions'!$F$2:$F$132,MATCH(C34,'Decisions'!$C$2:$C$132,0))),"")</s:f>
        <s:v>TEST_REVIEWER</s:v>
      </s:c>
    </s:row>
    <s:row r="35" ht="105" customFormat="1" customHeight="1" s="8">
      <s:c r="A35" s="16" t="n">
        <s:v>2025</s:v>
      </s:c>
      <s:c r="B35" s="16" t="inlineStr">
        <s:is>
          <s:t>jama.2025.7710</s:t>
        </s:is>
      </s:c>
      <s:c r="C35" s="16" t="inlineStr">
        <s:is>
          <s:t>2025::jama.2025.7710::C001</s:t>
        </s:is>
      </s:c>
      <s:c r="D35" s="16" t="inlineStr">
        <s:is>
          <s:t>P_P</s:t>
        </s:is>
      </s:c>
      <s:c r="E35" s="16" t="inlineStr">
        <s:is>
          <s:t>Conflicting economic price-year labels within the protocol</s:t>
        </s:is>
      </s:c>
      <s:c r="F35" s="16" t="inlineStr">
        <s:is>
          <s:t>Two linked protocol descriptions of the economic-analysis framework state different monetary price years.</s:t>
        </s:is>
      </s:c>
      <s:c r="G35" s="16" t="str">
        <s:f>IFERROR(IF(INDEX('Decisions'!$G$2:$G$132,MATCH(C35,'Decisions'!$C$2:$C$132,0))="","",INDEX('Decisions'!$G$2:$G$132,MATCH(C35,'Decisions'!$C$2:$C$132,0))),"")</s:f>
        <s:v>PRIMARY READY</s:v>
      </s:c>
      <s:c r="H35" s="16" t="str">
        <s:f>IFERROR(IF(INDEX('Decisions'!$K$2:$K$132,MATCH(C35,'Decisions'!$C$2:$C$132,0))="","",INDEX('Decisions'!$K$2:$K$132,MATCH(C35,'Decisions'!$C$2:$C$132,0))),"")</s:f>
        <s:v>retain</s:v>
      </s:c>
      <s:c r="I35" s="16" t="str">
        <s:f>IFERROR(IF(INDEX('Decisions'!$L$2:$L$132,MATCH(C35,'Decisions'!$C$2:$C$132,0))="","",INDEX('Decisions'!$L$2:$L$132,MATCH(C35,'Decisions'!$C$2:$C$132,0))),"")</s:f>
        <s:v>plan_material</s:v>
      </s:c>
      <s:c r="J35" s="16" t="str">
        <s:f>IFERROR(IF(INDEX('Decisions'!$Q$2:$Q$132,MATCH(C35,'Decisions'!$C$2:$C$132,0))="","",INDEX('Decisions'!$Q$2:$Q$132,MATCH(C35,'Decisions'!$C$2:$C$132,0))),"")</s:f>
        <s:v>not_applicable</s:v>
      </s:c>
      <s:c r="K35" s="16" t="str">
        <s:f>IFERROR(IF(INDEX('Decisions'!$P$2:$P$132,MATCH(C35,'Decisions'!$C$2:$C$132,0))="","",INDEX('Decisions'!$P$2:$P$132,MATCH(C35,'Decisions'!$C$2:$C$132,0))),"")</s:f>
        <s:v>substantive_inconsistency</s:v>
      </s:c>
      <s:c r="L35" s="16" t="str">
        <s:f>IFERROR(IF(INDEX('Decisions'!$R$2:$R$132,MATCH(C35,'Decisions'!$C$2:$C$132,0))="","",INDEX('Decisions'!$R$2:$R$132,MATCH(C35,'Decisions'!$C$2:$C$132,0))),"")</s:f>
        <s:v>TEST 2025::jama.2025.7710::C001</s:v>
      </s:c>
      <s:c r="M35" s="16" t="str">
        <s:f>IFERROR(IF(INDEX('Decisions'!$H$2:$H$132,MATCH(C35,'Decisions'!$C$2:$C$132,0))="","",INDEX('Decisions'!$H$2:$H$132,MATCH(C35,'Decisions'!$C$2:$C$132,0))),"")</s:f>
        <s:v>plan_descriptive</s:v>
      </s:c>
      <s:c r="N35" s="16" t="str">
        <s:f>IFERROR(IF(INDEX('Decisions'!$E$2:$E$132,MATCH(C35,'Decisions'!$C$2:$C$132,0))="","",INDEX('Decisions'!$E$2:$E$132,MATCH(C35,'Decisions'!$C$2:$C$132,0))),"")</s:f>
        <s:v>R_A</s:v>
      </s:c>
      <s:c r="O35" s="16" t="str">
        <s:f>IFERROR(IF(INDEX('Decisions'!$F$2:$F$132,MATCH(C35,'Decisions'!$C$2:$C$132,0))="","",INDEX('Decisions'!$F$2:$F$132,MATCH(C35,'Decisions'!$C$2:$C$132,0))),"")</s:f>
        <s:v>TEST_REVIEWER</s:v>
      </s:c>
    </s:row>
    <s:row r="36" ht="105" customFormat="1" customHeight="1" s="8">
      <s:c r="A36" s="15" t="n">
        <s:v>2025</s:v>
      </s:c>
      <s:c r="B36" s="15" t="inlineStr">
        <s:is>
          <s:t>jama.2025.7710</s:t>
        </s:is>
      </s:c>
      <s:c r="C36" s="15" t="inlineStr">
        <s:is>
          <s:t>2025::jama.2025.7710::C002</s:t>
        </s:is>
      </s:c>
      <s:c r="D36" s="15" t="inlineStr">
        <s:is>
          <s:t>P_P</s:t>
        </s:is>
      </s:c>
      <s:c r="E36" s="15" t="inlineStr">
        <s:is>
          <s:t>Primary-composite counting rationale does not reconcile with the displayed endpoint list</s:t>
        </s:is>
      </s:c>
      <s:c r="F36" s="15" t="inlineStr">
        <s:is>
          <s:t>The protocol displays ten separate endpoint bullets but explains a total of ten by saying two listed outcomes each contain two individual components.</s:t>
        </s:is>
      </s:c>
      <s:c r="G36" s="15" t="str">
        <s:f>IFERROR(IF(INDEX('Decisions'!$G$2:$G$132,MATCH(C36,'Decisions'!$C$2:$C$132,0))="","",INDEX('Decisions'!$G$2:$G$132,MATCH(C36,'Decisions'!$C$2:$C$132,0))),"")</s:f>
        <s:v>PRIMARY READY</s:v>
      </s:c>
      <s:c r="H36" s="15" t="str">
        <s:f>IFERROR(IF(INDEX('Decisions'!$K$2:$K$132,MATCH(C36,'Decisions'!$C$2:$C$132,0))="","",INDEX('Decisions'!$K$2:$K$132,MATCH(C36,'Decisions'!$C$2:$C$132,0))),"")</s:f>
        <s:v>retain</s:v>
      </s:c>
      <s:c r="I36" s="15" t="str">
        <s:f>IFERROR(IF(INDEX('Decisions'!$L$2:$L$132,MATCH(C36,'Decisions'!$C$2:$C$132,0))="","",INDEX('Decisions'!$L$2:$L$132,MATCH(C36,'Decisions'!$C$2:$C$132,0))),"")</s:f>
        <s:v>plan_material</s:v>
      </s:c>
      <s:c r="J36" s="15" t="str">
        <s:f>IFERROR(IF(INDEX('Decisions'!$Q$2:$Q$132,MATCH(C36,'Decisions'!$C$2:$C$132,0))="","",INDEX('Decisions'!$Q$2:$Q$132,MATCH(C36,'Decisions'!$C$2:$C$132,0))),"")</s:f>
        <s:v>not_applicable</s:v>
      </s:c>
      <s:c r="K36" s="15" t="str">
        <s:f>IFERROR(IF(INDEX('Decisions'!$P$2:$P$132,MATCH(C36,'Decisions'!$C$2:$C$132,0))="","",INDEX('Decisions'!$P$2:$P$132,MATCH(C36,'Decisions'!$C$2:$C$132,0))),"")</s:f>
        <s:v>substantive_inconsistency</s:v>
      </s:c>
      <s:c r="L36" s="15" t="str">
        <s:f>IFERROR(IF(INDEX('Decisions'!$R$2:$R$132,MATCH(C36,'Decisions'!$C$2:$C$132,0))="","",INDEX('Decisions'!$R$2:$R$132,MATCH(C36,'Decisions'!$C$2:$C$132,0))),"")</s:f>
        <s:v>TEST 2025::jama.2025.7710::C002</s:v>
      </s:c>
      <s:c r="M36" s="15" t="str">
        <s:f>IFERROR(IF(INDEX('Decisions'!$H$2:$H$132,MATCH(C36,'Decisions'!$C$2:$C$132,0))="","",INDEX('Decisions'!$H$2:$H$132,MATCH(C36,'Decisions'!$C$2:$C$132,0))),"")</s:f>
        <s:v>plan_descriptive</s:v>
      </s:c>
      <s:c r="N36" s="15" t="str">
        <s:f>IFERROR(IF(INDEX('Decisions'!$E$2:$E$132,MATCH(C36,'Decisions'!$C$2:$C$132,0))="","",INDEX('Decisions'!$E$2:$E$132,MATCH(C36,'Decisions'!$C$2:$C$132,0))),"")</s:f>
        <s:v>R_A</s:v>
      </s:c>
      <s:c r="O36" s="15" t="str">
        <s:f>IFERROR(IF(INDEX('Decisions'!$F$2:$F$132,MATCH(C36,'Decisions'!$C$2:$C$132,0))="","",INDEX('Decisions'!$F$2:$F$132,MATCH(C36,'Decisions'!$C$2:$C$132,0))),"")</s:f>
        <s:v>TEST_REVIEWER</s:v>
      </s:c>
    </s:row>
    <s:row r="37" ht="105" customFormat="1" customHeight="1" s="8">
      <s:c r="A37" s="16" t="n">
        <s:v>2025</s:v>
      </s:c>
      <s:c r="B37" s="16" t="inlineStr">
        <s:is>
          <s:t>jama.2025.7710</s:t>
        </s:is>
      </s:c>
      <s:c r="C37" s="16" t="inlineStr">
        <s:is>
          <s:t>2025::jama.2025.7710::C003</s:t>
        </s:is>
      </s:c>
      <s:c r="D37" s="16" t="inlineStr">
        <s:is>
          <s:t>P_P</s:t>
        </s:is>
      </s:c>
      <s:c r="E37" s="16" t="inlineStr">
        <s:is>
          <s:t>Economic comparator label conflicts with the detailed trial comparison</s:t>
        </s:is>
      </s:c>
      <s:c r="F37" s="16" t="inlineStr">
        <s:is>
          <s:t>A protocol economic-analysis label uses CS vs standard care, while the detailed economic comparison and trial synopsis identify sildenafil citrate (SC) versus placebo/standard care.</s:t>
        </s:is>
      </s:c>
      <s:c r="G37" s="16" t="str">
        <s:f>IFERROR(IF(INDEX('Decisions'!$G$2:$G$132,MATCH(C37,'Decisions'!$C$2:$C$132,0))="","",INDEX('Decisions'!$G$2:$G$132,MATCH(C37,'Decisions'!$C$2:$C$132,0))),"")</s:f>
        <s:v>PRIMARY READY</s:v>
      </s:c>
      <s:c r="H37" s="16" t="str">
        <s:f>IFERROR(IF(INDEX('Decisions'!$K$2:$K$132,MATCH(C37,'Decisions'!$C$2:$C$132,0))="","",INDEX('Decisions'!$K$2:$K$132,MATCH(C37,'Decisions'!$C$2:$C$132,0))),"")</s:f>
        <s:v>retain</s:v>
      </s:c>
      <s:c r="I37" s="16" t="str">
        <s:f>IFERROR(IF(INDEX('Decisions'!$L$2:$L$132,MATCH(C37,'Decisions'!$C$2:$C$132,0))="","",INDEX('Decisions'!$L$2:$L$132,MATCH(C37,'Decisions'!$C$2:$C$132,0))),"")</s:f>
        <s:v>plan_material</s:v>
      </s:c>
      <s:c r="J37" s="16" t="str">
        <s:f>IFERROR(IF(INDEX('Decisions'!$Q$2:$Q$132,MATCH(C37,'Decisions'!$C$2:$C$132,0))="","",INDEX('Decisions'!$Q$2:$Q$132,MATCH(C37,'Decisions'!$C$2:$C$132,0))),"")</s:f>
        <s:v>not_applicable</s:v>
      </s:c>
      <s:c r="K37" s="16" t="str">
        <s:f>IFERROR(IF(INDEX('Decisions'!$P$2:$P$132,MATCH(C37,'Decisions'!$C$2:$C$132,0))="","",INDEX('Decisions'!$P$2:$P$132,MATCH(C37,'Decisions'!$C$2:$C$132,0))),"")</s:f>
        <s:v>substantive_inconsistency</s:v>
      </s:c>
      <s:c r="L37" s="16" t="str">
        <s:f>IFERROR(IF(INDEX('Decisions'!$R$2:$R$132,MATCH(C37,'Decisions'!$C$2:$C$132,0))="","",INDEX('Decisions'!$R$2:$R$132,MATCH(C37,'Decisions'!$C$2:$C$132,0))),"")</s:f>
        <s:v>TEST 2025::jama.2025.7710::C003</s:v>
      </s:c>
      <s:c r="M37" s="16" t="str">
        <s:f>IFERROR(IF(INDEX('Decisions'!$H$2:$H$132,MATCH(C37,'Decisions'!$C$2:$C$132,0))="","",INDEX('Decisions'!$H$2:$H$132,MATCH(C37,'Decisions'!$C$2:$C$132,0))),"")</s:f>
        <s:v>plan_descriptive</s:v>
      </s:c>
      <s:c r="N37" s="16" t="str">
        <s:f>IFERROR(IF(INDEX('Decisions'!$E$2:$E$132,MATCH(C37,'Decisions'!$C$2:$C$132,0))="","",INDEX('Decisions'!$E$2:$E$132,MATCH(C37,'Decisions'!$C$2:$C$132,0))),"")</s:f>
        <s:v>R_A</s:v>
      </s:c>
      <s:c r="O37" s="16" t="str">
        <s:f>IFERROR(IF(INDEX('Decisions'!$F$2:$F$132,MATCH(C37,'Decisions'!$C$2:$C$132,0))="","",INDEX('Decisions'!$F$2:$F$132,MATCH(C37,'Decisions'!$C$2:$C$132,0))),"")</s:f>
        <s:v>TEST_REVIEWER</s:v>
      </s:c>
    </s:row>
    <s:row r="38" ht="105" customFormat="1" customHeight="1" s="8">
      <s:c r="A38" s="15" t="n">
        <s:v>2025</s:v>
      </s:c>
      <s:c r="B38" s="15" t="inlineStr">
        <s:is>
          <s:t>jama.2025.7710</s:t>
        </s:is>
      </s:c>
      <s:c r="C38" s="15" t="inlineStr">
        <s:is>
          <s:t>2025::jama.2025.7710::C004</s:t>
        </s:is>
      </s:c>
      <s:c r="D38" s="15" t="inlineStr">
        <s:is>
          <s:t>P_R</s:t>
        </s:is>
      </s:c>
      <s:c r="E38" s="15" t="inlineStr">
        <s:is>
          <s:t>Reported no-adjustment statement conflicts with the supplied multiplicity plan</s:t>
        </s:is>
      </s:c>
      <s:c r="F38" s="15" t="inlineStr">
        <s:is>
          <s:t>The article reports no adjustment for multiple testing, while the supplied protocol and draft SAP plan Benjamini-Hochberg adjusted P values for the ten component comparisons.</s:t>
        </s:is>
      </s:c>
      <s:c r="G38" s="15" t="str">
        <s:f>IFERROR(IF(INDEX('Decisions'!$G$2:$G$132,MATCH(C38,'Decisions'!$C$2:$C$132,0))="","",INDEX('Decisions'!$G$2:$G$132,MATCH(C38,'Decisions'!$C$2:$C$132,0))),"")</s:f>
        <s:v>PRIMARY READY</s:v>
      </s:c>
      <s:c r="H38" s="15" t="str">
        <s:f>IFERROR(IF(INDEX('Decisions'!$K$2:$K$132,MATCH(C38,'Decisions'!$C$2:$C$132,0))="","",INDEX('Decisions'!$K$2:$K$132,MATCH(C38,'Decisions'!$C$2:$C$132,0))),"")</s:f>
        <s:v>retain</s:v>
      </s:c>
      <s:c r="I38" s="15" t="str">
        <s:f>IFERROR(IF(INDEX('Decisions'!$L$2:$L$132,MATCH(C38,'Decisions'!$C$2:$C$132,0))="","",INDEX('Decisions'!$L$2:$L$132,MATCH(C38,'Decisions'!$C$2:$C$132,0))),"")</s:f>
        <s:v>protocol_report</s:v>
      </s:c>
      <s:c r="J38" s="15" t="str">
        <s:f>IFERROR(IF(INDEX('Decisions'!$Q$2:$Q$132,MATCH(C38,'Decisions'!$C$2:$C$132,0))="","",INDEX('Decisions'!$Q$2:$Q$132,MATCH(C38,'Decisions'!$C$2:$C$132,0))),"")</s:f>
        <s:v/>
      </s:c>
      <s:c r="K38" s="15" t="str">
        <s:f>IFERROR(IF(INDEX('Decisions'!$P$2:$P$132,MATCH(C38,'Decisions'!$C$2:$C$132,0))="","",INDEX('Decisions'!$P$2:$P$132,MATCH(C38,'Decisions'!$C$2:$C$132,0))),"")</s:f>
        <s:v>not_applicable</s:v>
      </s:c>
      <s:c r="L38" s="15" t="str">
        <s:f>IFERROR(IF(INDEX('Decisions'!$R$2:$R$132,MATCH(C38,'Decisions'!$C$2:$C$132,0))="","",INDEX('Decisions'!$R$2:$R$132,MATCH(C38,'Decisions'!$C$2:$C$132,0))),"")</s:f>
        <s:v>TEST 2025::jama.2025.7710::C004</s:v>
      </s:c>
      <s:c r="M38" s="15" t="str">
        <s:f>IFERROR(IF(INDEX('Decisions'!$H$2:$H$132,MATCH(C38,'Decisions'!$C$2:$C$132,0))="","",INDEX('Decisions'!$H$2:$H$132,MATCH(C38,'Decisions'!$C$2:$C$132,0))),"")</s:f>
        <s:v>protocol_descriptive</s:v>
      </s:c>
      <s:c r="N38" s="15" t="str">
        <s:f>IFERROR(IF(INDEX('Decisions'!$E$2:$E$132,MATCH(C38,'Decisions'!$C$2:$C$132,0))="","",INDEX('Decisions'!$E$2:$E$132,MATCH(C38,'Decisions'!$C$2:$C$132,0))),"")</s:f>
        <s:v>R_A</s:v>
      </s:c>
      <s:c r="O38" s="15" t="str">
        <s:f>IFERROR(IF(INDEX('Decisions'!$F$2:$F$132,MATCH(C38,'Decisions'!$C$2:$C$132,0))="","",INDEX('Decisions'!$F$2:$F$132,MATCH(C38,'Decisions'!$C$2:$C$132,0))),"")</s:f>
        <s:v>TEST_REVIEWER</s:v>
      </s:c>
    </s:row>
    <s:row r="39" ht="105" customFormat="1" customHeight="1" s="8">
      <s:c r="A39" s="16" t="n">
        <s:v>2025</s:v>
      </s:c>
      <s:c r="B39" s="16" t="inlineStr">
        <s:is>
          <s:t>jama.2025.9663</s:t>
        </s:is>
      </s:c>
      <s:c r="C39" s="16" t="inlineStr">
        <s:is>
          <s:t>2025::jama.2025.9663::C003</s:t>
        </s:is>
      </s:c>
      <s:c r="D39" s="16" t="inlineStr">
        <s:is>
          <s:t>P_P</s:t>
        </s:is>
      </s:c>
      <s:c r="E39" s="16" t="inlineStr">
        <s:is>
          <s:t>Final SAP contains an unresolved reference after quantitative separation/adherence rules</s:t>
        </s:is>
      </s:c>
      <s:c r="F39" s="16" t="inlineStr">
        <s:is>
          <s:t>The final SAP directs readers to “Section 3.2 and Error! Reference source not found.” for further details after quantitative separation/adherence rules, leaving one stated reference destination unidentifiable.</s:t>
        </s:is>
      </s:c>
      <s:c r="G39" s="16" t="str">
        <s:f>IFERROR(IF(INDEX('Decisions'!$G$2:$G$132,MATCH(C39,'Decisions'!$C$2:$C$132,0))="","",INDEX('Decisions'!$G$2:$G$132,MATCH(C39,'Decisions'!$C$2:$C$132,0))),"")</s:f>
        <s:v>PRIMARY READY</s:v>
      </s:c>
      <s:c r="H39" s="16" t="str">
        <s:f>IFERROR(IF(INDEX('Decisions'!$K$2:$K$132,MATCH(C39,'Decisions'!$C$2:$C$132,0))="","",INDEX('Decisions'!$K$2:$K$132,MATCH(C39,'Decisions'!$C$2:$C$132,0))),"")</s:f>
        <s:v>retain</s:v>
      </s:c>
      <s:c r="I39" s="16" t="str">
        <s:f>IFERROR(IF(INDEX('Decisions'!$L$2:$L$132,MATCH(C39,'Decisions'!$C$2:$C$132,0))="","",INDEX('Decisions'!$L$2:$L$132,MATCH(C39,'Decisions'!$C$2:$C$132,0))),"")</s:f>
        <s:v>plan_material</s:v>
      </s:c>
      <s:c r="J39" s="16" t="str">
        <s:f>IFERROR(IF(INDEX('Decisions'!$Q$2:$Q$132,MATCH(C39,'Decisions'!$C$2:$C$132,0))="","",INDEX('Decisions'!$Q$2:$Q$132,MATCH(C39,'Decisions'!$C$2:$C$132,0))),"")</s:f>
        <s:v>not_applicable</s:v>
      </s:c>
      <s:c r="K39" s="16" t="str">
        <s:f>IFERROR(IF(INDEX('Decisions'!$P$2:$P$132,MATCH(C39,'Decisions'!$C$2:$C$132,0))="","",INDEX('Decisions'!$P$2:$P$132,MATCH(C39,'Decisions'!$C$2:$C$132,0))),"")</s:f>
        <s:v>substantive_inconsistency</s:v>
      </s:c>
      <s:c r="L39" s="16" t="str">
        <s:f>IFERROR(IF(INDEX('Decisions'!$R$2:$R$132,MATCH(C39,'Decisions'!$C$2:$C$132,0))="","",INDEX('Decisions'!$R$2:$R$132,MATCH(C39,'Decisions'!$C$2:$C$132,0))),"")</s:f>
        <s:v>TEST 2025::jama.2025.9663::C003</s:v>
      </s:c>
      <s:c r="M39" s="16" t="str">
        <s:f>IFERROR(IF(INDEX('Decisions'!$H$2:$H$132,MATCH(C39,'Decisions'!$C$2:$C$132,0))="","",INDEX('Decisions'!$H$2:$H$132,MATCH(C39,'Decisions'!$C$2:$C$132,0))),"")</s:f>
        <s:v>plan_descriptive</s:v>
      </s:c>
      <s:c r="N39" s="16" t="str">
        <s:f>IFERROR(IF(INDEX('Decisions'!$E$2:$E$132,MATCH(C39,'Decisions'!$C$2:$C$132,0))="","",INDEX('Decisions'!$E$2:$E$132,MATCH(C39,'Decisions'!$C$2:$C$132,0))),"")</s:f>
        <s:v>R_A</s:v>
      </s:c>
      <s:c r="O39" s="16" t="str">
        <s:f>IFERROR(IF(INDEX('Decisions'!$F$2:$F$132,MATCH(C39,'Decisions'!$C$2:$C$132,0))="","",INDEX('Decisions'!$F$2:$F$132,MATCH(C39,'Decisions'!$C$2:$C$132,0))),"")</s:f>
        <s:v>TEST_REVIEWER</s:v>
      </s:c>
    </s:row>
  </s:sheetData>
  <s:autoFilter ref="A1:O39"/>
  <s:pageMargins left="0.75" right="0.75" top="1" bottom="1" header="0.5" footer="0.5"/>
</s:worksheet>
</file>

<file path=xl/worksheets/sheet23.xml><?xml version="1.0" encoding="utf-8"?>
<s:worksheet xmlns:r="http://schemas.openxmlformats.org/officeDocument/2006/relationships" xmlns:s="http://schemas.openxmlformats.org/spreadsheetml/2006/main">
  <s:sheetPr>
    <s:outlinePr summaryBelow="1" summaryRight="1"/>
    <s:pageSetUpPr/>
  </s:sheetPr>
  <s:dimension ref="A1:AB132"/>
  <s:sheetViews>
    <s:sheetView showGridLines="0" workbookViewId="0">
      <s:pane xSplit="1" ySplit="1" topLeftCell="B2" activePane="bottomRight" state="frozen"/>
      <s:selection activeCell="A1" sqref="A1"/>
    </s:sheetView>
  </s:sheetViews>
  <s:sheetFormatPr baseColWidth="8" defaultRowHeight="15"/>
  <s:cols>
    <s:col width="26" customWidth="1" style="8" min="1" max="1"/>
    <s:col width="26" customWidth="1" style="8" min="2" max="2"/>
    <s:col width="26" customWidth="1" style="8" min="3" max="3"/>
    <s:col width="26" customWidth="1" style="8" min="4" max="4"/>
    <s:col width="26" customWidth="1" style="8" min="5" max="5"/>
    <s:col width="26" customWidth="1" style="8" min="6" max="6"/>
    <s:col width="44" customWidth="1" style="8" min="7" max="7"/>
    <s:col width="26" customWidth="1" style="8" min="8" max="8"/>
    <s:col width="75" customWidth="1" style="8" min="9" max="9"/>
    <s:col width="26" customWidth="1" style="8" min="10" max="10"/>
    <s:col width="26" customWidth="1" style="8" min="11" max="11"/>
    <s:col width="26" customWidth="1" style="8" min="12" max="12"/>
    <s:col width="26" customWidth="1" style="8" min="13" max="13"/>
    <s:col width="80" customWidth="1" style="8" min="14" max="14"/>
    <s:col width="26" customWidth="1" style="8" min="15" max="15"/>
    <s:col width="26" customWidth="1" style="8" min="16" max="16"/>
    <s:col width="26" customWidth="1" style="8" min="17" max="17"/>
    <s:col width="26" customWidth="1" style="8" min="18" max="18"/>
    <s:col width="90" customWidth="1" style="8" min="19" max="19"/>
    <s:col width="26" customWidth="1" style="8" min="20" max="20"/>
    <s:col width="26" customWidth="1" style="8" min="21" max="21"/>
    <s:col width="26" customWidth="1" style="8" min="22" max="22"/>
    <s:col width="65" customWidth="1" style="8" min="23" max="23"/>
    <s:col width="26" customWidth="1" style="8" min="24" max="24"/>
    <s:col width="26" customWidth="1" style="8" min="25" max="25"/>
    <s:col width="26" customWidth="1" style="8" min="26" max="26"/>
    <s:col width="26" customWidth="1" style="8" min="27" max="27"/>
    <s:col width="26" customWidth="1" style="8" min="28" max="28"/>
  </s:cols>
  <s:sheetData>
    <s:row r="1" ht="42" customFormat="1" customHeight="1" s="8">
      <s:c r="A1" s="5" t="inlineStr">
        <s:is>
          <s:t>additionalSensitivityExclude</s:t>
        </s:is>
      </s:c>
      <s:c r="B1" s="5" t="inlineStr">
        <s:is>
          <s:t>ambiguity</s:t>
        </s:is>
      </s:c>
      <s:c r="C1" s="5" t="inlineStr">
        <s:is>
          <s:t>broadPlanInvolved</s:t>
        </s:is>
      </s:c>
      <s:c r="D1" s="5" t="inlineStr">
        <s:is>
          <s:t>category</s:t>
        </s:is>
      </s:c>
      <s:c r="E1" s="5" t="inlineStr">
        <s:is>
          <s:t>currentReportCrossDocument</s:t>
        </s:is>
      </s:c>
      <s:c r="F1" s="5" t="inlineStr">
        <s:is>
          <s:t>id</s:t>
        </s:is>
      </s:c>
      <s:c r="G1" s="5" t="inlineStr">
        <s:is>
          <s:t>key</s:t>
        </s:is>
      </s:c>
      <s:c r="H1" s="5" t="inlineStr">
        <s:is>
          <s:t>legacyRelationship</s:t>
        </s:is>
      </s:c>
      <s:c r="I1" s="5" t="inlineStr">
        <s:is>
          <s:t>locations</s:t>
        </s:is>
      </s:c>
      <s:c r="J1" s="5" t="inlineStr">
        <s:is>
          <s:t>originalCrossDocument</s:t>
        </s:is>
      </s:c>
      <s:c r="K1" s="5" t="inlineStr">
        <s:is>
          <s:t>package</s:t>
        </s:is>
      </s:c>
      <s:c r="L1" s="5" t="inlineStr">
        <s:is>
          <s:t>planMechanism</s:t>
        </s:is>
      </s:c>
      <s:c r="M1" s="5" t="inlineStr">
        <s:is>
          <s:t>primary</s:t>
        </s:is>
      </s:c>
      <s:c r="N1" s="5" t="inlineStr">
        <s:is>
          <s:t>rationale</s:t>
        </s:is>
      </s:c>
      <s:c r="O1" s="5" t="inlineStr">
        <s:is>
          <s:t>reportHref</s:t>
        </s:is>
      </s:c>
      <s:c r="P1" s="5" t="inlineStr">
        <s:is>
          <s:t>reportPath</s:t>
        </s:is>
      </s:c>
      <s:c r="Q1" s="5" t="inlineStr">
        <s:is>
          <s:t>sourceId</s:t>
        </s:is>
      </s:c>
      <s:c r="R1" s="5" t="inlineStr">
        <s:is>
          <s:t>sourceStatus</s:t>
        </s:is>
      </s:c>
      <s:c r="S1" s="5" t="inlineStr">
        <s:is>
          <s:t>statement</s:t>
        </s:is>
      </s:c>
      <s:c r="T1" s="5" t="inlineStr">
        <s:is>
          <s:t>submissionInvolved</s:t>
        </s:is>
      </s:c>
      <s:c r="U1" s="5" t="inlineStr">
        <s:is>
          <s:t>subtype</s:t>
        </s:is>
      </s:c>
      <s:c r="V1" s="5" t="inlineStr">
        <s:is>
          <s:t>suggestedDomain</s:t>
        </s:is>
      </s:c>
      <s:c r="W1" s="5" t="inlineStr">
        <s:is>
          <s:t>title</s:t>
        </s:is>
      </s:c>
      <s:c r="X1" s="5" t="inlineStr">
        <s:is>
          <s:t>year</s:t>
        </s:is>
      </s:c>
      <s:c r="Y1" s="5" t="inlineStr">
        <s:is>
          <s:t>ai_source</s:t>
        </s:is>
      </s:c>
      <s:c r="Z1" s="5" t="inlineStr">
        <s:is>
          <s:t>ai_relationship</s:t>
        </s:is>
      </s:c>
      <s:c r="AA1" s="5" t="inlineStr">
        <s:is>
          <s:t>ai_domain</s:t>
        </s:is>
      </s:c>
      <s:c r="AB1" s="5" t="inlineStr">
        <s:is>
          <s:t>ai_disposition</s:t>
        </s:is>
      </s:c>
    </s:row>
    <s:row r="2" ht="90" customFormat="1" customHeight="1" s="8">
      <s:c r="A2" s="12" t="b">
        <s:v>0</s:v>
      </s:c>
      <s:c r="B2" s="12" t="n"/>
      <s:c r="C2" s="12" t="b">
        <s:v>0</s:v>
      </s:c>
      <s:c r="D2" s="12" t="inlineStr">
        <s:is>
          <s:t>Denominator, proportion, or total inconsistency</s:t>
        </s:is>
      </s:c>
      <s:c r="E2" s="12" t="b">
        <s:v>0</s:v>
      </s:c>
      <s:c r="F2" s="12" t="inlineStr">
        <s:is>
          <s:t>C001</s:t>
        </s:is>
      </s:c>
      <s:c r="G2" s="12" t="inlineStr">
        <s:is>
          <s:t>2025::jama.2024.24764::C001</s:t>
        </s:is>
      </s:c>
      <s:c r="H2" s="12" t="n"/>
      <s:c r="I2" s="12" t="inlineStr">
        <s:is>
          <s:t>jama_atherton_2025_oi_240145_1741627844.85412.pdf — PDF p. 5, Table 1</s:t>
        </s:is>
      </s:c>
      <s:c r="J2" s="12" t="b">
        <s:v>0</s:v>
      </s:c>
      <s:c r="K2" s="12" t="inlineStr">
        <s:is>
          <s:t>jama.2024.24764</s:t>
        </s:is>
      </s:c>
      <s:c r="L2" s="12" t="n"/>
      <s:c r="M2" s="12" t="inlineStr">
        <s:is>
          <s:t>S_W</s:t>
        </s:is>
      </s:c>
      <s:c r="N2" s="12" t="inlineStr">
        <s:is>
          <s:t>Target is within one main article or one non-plan results supplement/workbook; no substantive plan comparison. Reported percentages are 53.5/23.1/21.9 and 54.4/17.1/26.6; comparator denominators are printed smoking totals 405/402 versus group headers 411/410.</s:t>
        </s:is>
      </s:c>
      <s:c r="O2" s="12" t="inlineStr">
        <s:is>
          <s:t>../../2025/jama.2024.24764/.ai_paper_validation/final_report_1_5_3.html</s:t>
        </s:is>
      </s:c>
      <s:c r="P2" s="12" t="inlineStr">
        <s:is>
          <s:t>2025/jama.2024.24764/.ai_paper_validation/final_report_1_5_3.md</s:t>
        </s:is>
      </s:c>
      <s:c r="Q2" s="12" t="inlineStr">
        <s:is>
          <s:t>C001</s:t>
        </s:is>
      </s:c>
      <s:c r="R2" s="12" t="inlineStr">
        <s:is>
          <s:t>Pending Human Adjudication</s:t>
        </s:is>
      </s:c>
      <s:c r="S2" s="12" t="inlineStr">
        <s:is>
          <s:t>The smoking rows print variable-specific totals of 405 and 402, while all six percentages reproduce the group-header denominators 411 and 410 without an explanatory convention.</s:t>
        </s:is>
      </s:c>
      <s:c r="T2" s="12" t="b">
        <s:v>1</s:v>
      </s:c>
      <s:c r="U2" s="12" t="inlineStr">
        <s:is>
          <s:t>Smoking percentages use a different denominator from the printed smoking totals</s:t>
        </s:is>
      </s:c>
      <s:c r="V2" s="12" t="inlineStr">
        <s:is>
          <s:t>statistical_results</s:t>
        </s:is>
      </s:c>
      <s:c r="W2" s="12" t="inlineStr">
        <s:is>
          <s:t>Smoking percentages use a different denominator from the printed smoking totals</s:t>
        </s:is>
      </s:c>
      <s:c r="X2" s="12" t="inlineStr">
        <s:is>
          <s:t>2025</s:t>
        </s:is>
      </s:c>
      <s:c r="Y2" s="12" t="inlineStr">
        <s:is>
          <s:t>meta_report/consistency_reclassification_2026-09-04/reclassified_candidates.json</s:t>
        </s:is>
      </s:c>
      <s:c r="Z2" s="12" t="inlineStr">
        <s:is>
          <s:t>S_W</s:t>
        </s:is>
      </s:c>
      <s:c r="AA2" s="12" t="inlineStr">
        <s:is>
          <s:t>statistical_results</s:t>
        </s:is>
      </s:c>
      <s:c r="AB2" s="12" t="inlineStr">
        <s:is>
          <s:t>retain</s:t>
        </s:is>
      </s:c>
    </s:row>
    <s:row r="3" ht="90" customFormat="1" customHeight="1" s="8">
      <s:c r="A3" s="11" t="b">
        <s:v>0</s:v>
      </s:c>
      <s:c r="B3" s="11" t="n"/>
      <s:c r="C3" s="11" t="b">
        <s:v>0</s:v>
      </s:c>
      <s:c r="D3" s="11" t="inlineStr">
        <s:is>
          <s:t>Denominator, proportion, or total inconsistency</s:t>
        </s:is>
      </s:c>
      <s:c r="E3" s="11" t="b">
        <s:v>0</s:v>
      </s:c>
      <s:c r="F3" s="11" t="inlineStr">
        <s:is>
          <s:t>C002</s:t>
        </s:is>
      </s:c>
      <s:c r="G3" s="11" t="inlineStr">
        <s:is>
          <s:t>2025::jama.2024.24764::C002</s:t>
        </s:is>
      </s:c>
      <s:c r="H3" s="11" t="n"/>
      <s:c r="I3" s="11" t="inlineStr">
        <s:is>
          <s:t>jama_atherton_2025_oi_240145_1741627844.85412.pdf — PDF p. 7, Table 2</s:t>
        </s:is>
      </s:c>
      <s:c r="J3" s="11" t="b">
        <s:v>0</s:v>
      </s:c>
      <s:c r="K3" s="11" t="inlineStr">
        <s:is>
          <s:t>jama.2024.24764</s:t>
        </s:is>
      </s:c>
      <s:c r="L3" s="11" t="n"/>
      <s:c r="M3" s="11" t="inlineStr">
        <s:is>
          <s:t>S_W</s:t>
        </s:is>
      </s:c>
      <s:c r="N3" s="11" t="inlineStr">
        <s:is>
          <s:t>Target is within one main article or one non-plan results supplement/workbook; no substantive plan comparison. Category totals 446 and 429 are compared with participant denominators 411 and 410; percentage totals are 108.5% and 104.6%.</s:t>
        </s:is>
      </s:c>
      <s:c r="O3" s="11" t="inlineStr">
        <s:is>
          <s:t>../../2025/jama.2024.24764/.ai_paper_validation/final_report_1_5_3.html</s:t>
        </s:is>
      </s:c>
      <s:c r="P3" s="11" t="inlineStr">
        <s:is>
          <s:t>2025/jama.2024.24764/.ai_paper_validation/final_report_1_5_3.md</s:t>
        </s:is>
      </s:c>
      <s:c r="Q3" s="11" t="inlineStr">
        <s:is>
          <s:t>C002</s:t>
        </s:is>
      </s:c>
      <s:c r="R3" s="11" t="inlineStr">
        <s:is>
          <s:t>Pending Human Adjudication</s:t>
        </s:is>
      </s:c>
      <s:c r="S3" s="11" t="inlineStr">
        <s:is>
          <s:t>Operating-surgeon category totals exceed the printed participant denominators without a statement that the rows permit multiple responses.</s:t>
        </s:is>
      </s:c>
      <s:c r="T3" s="11" t="b">
        <s:v>1</s:v>
      </s:c>
      <s:c r="U3" s="11" t="inlineStr">
        <s:is>
          <s:t>Operating-surgeon level totals exceed participant denominators without a multi-response qualifier</s:t>
        </s:is>
      </s:c>
      <s:c r="V3" s="11" t="inlineStr">
        <s:is>
          <s:t>statistical_results</s:t>
        </s:is>
      </s:c>
      <s:c r="W3" s="11" t="inlineStr">
        <s:is>
          <s:t>Operating-surgeon level totals exceed participant denominators without a multi-response qualifier</s:t>
        </s:is>
      </s:c>
      <s:c r="X3" s="11" t="inlineStr">
        <s:is>
          <s:t>2025</s:t>
        </s:is>
      </s:c>
      <s:c r="Y3" s="11" t="inlineStr">
        <s:is>
          <s:t>meta_report/consistency_reclassification_2026-09-04/reclassified_candidates.json</s:t>
        </s:is>
      </s:c>
      <s:c r="Z3" s="11" t="inlineStr">
        <s:is>
          <s:t>S_W</s:t>
        </s:is>
      </s:c>
      <s:c r="AA3" s="11" t="inlineStr">
        <s:is>
          <s:t>statistical_results</s:t>
        </s:is>
      </s:c>
      <s:c r="AB3" s="11" t="inlineStr">
        <s:is>
          <s:t>retain</s:t>
        </s:is>
      </s:c>
    </s:row>
    <s:row r="4" ht="90" customFormat="1" customHeight="1" s="8">
      <s:c r="A4" s="12" t="b">
        <s:v>0</s:v>
      </s:c>
      <s:c r="B4" s="12" t="n"/>
      <s:c r="C4" s="12" t="b">
        <s:v>0</s:v>
      </s:c>
      <s:c r="D4" s="12" t="inlineStr">
        <s:is>
          <s:t>Denominator, proportion, or total inconsistency</s:t>
        </s:is>
      </s:c>
      <s:c r="E4" s="12" t="b">
        <s:v>0</s:v>
      </s:c>
      <s:c r="F4" s="12" t="inlineStr">
        <s:is>
          <s:t>C003</s:t>
        </s:is>
      </s:c>
      <s:c r="G4" s="12" t="inlineStr">
        <s:is>
          <s:t>2025::jama.2024.24764::C003</s:t>
        </s:is>
      </s:c>
      <s:c r="H4" s="12" t="n"/>
      <s:c r="I4" s="12" t="inlineStr">
        <s:is>
          <s:t>jama_atherton_2025_oi_240145_1741627844.85412.pdf — PDF p. 7, Table 2 continuation</s:t>
        </s:is>
      </s:c>
      <s:c r="J4" s="12" t="b">
        <s:v>0</s:v>
      </s:c>
      <s:c r="K4" s="12" t="inlineStr">
        <s:is>
          <s:t>jama.2024.24764</s:t>
        </s:is>
      </s:c>
      <s:c r="L4" s="12" t="n"/>
      <s:c r="M4" s="12" t="inlineStr">
        <s:is>
          <s:t>S_W</s:t>
        </s:is>
      </s:c>
      <s:c r="N4" s="12" t="inlineStr">
        <s:is>
          <s:t>Target is within one main article or one non-plan results supplement/workbook; no substantive plan comparison. Totals 445 and 433 are compared with 411 and 410; percentage totals are 108.2% and 105.7%.</s:t>
        </s:is>
      </s:c>
      <s:c r="O4" s="12" t="inlineStr">
        <s:is>
          <s:t>../../2025/jama.2024.24764/.ai_paper_validation/final_report_1_5_3.html</s:t>
        </s:is>
      </s:c>
      <s:c r="P4" s="12" t="inlineStr">
        <s:is>
          <s:t>2025/jama.2024.24764/.ai_paper_validation/final_report_1_5_3.md</s:t>
        </s:is>
      </s:c>
      <s:c r="Q4" s="12" t="inlineStr">
        <s:is>
          <s:t>C003</s:t>
        </s:is>
      </s:c>
      <s:c r="R4" s="12" t="inlineStr">
        <s:is>
          <s:t>Pending Human Adjudication</s:t>
        </s:is>
      </s:c>
      <s:c r="S4" s="12" t="inlineStr">
        <s:is>
          <s:t>Fascia-closing surgeon-level totals exceed participant denominators without a stated multi-response rule.</s:t>
        </s:is>
      </s:c>
      <s:c r="T4" s="12" t="b">
        <s:v>1</s:v>
      </s:c>
      <s:c r="U4" s="12" t="inlineStr">
        <s:is>
          <s:t>Fascia-closing surgeon level totals exceed participant denominators without a multi-response qualifier</s:t>
        </s:is>
      </s:c>
      <s:c r="V4" s="12" t="inlineStr">
        <s:is>
          <s:t>statistical_results</s:t>
        </s:is>
      </s:c>
      <s:c r="W4" s="12" t="inlineStr">
        <s:is>
          <s:t>Fascia-closing surgeon level totals exceed participant denominators without a multi-response qualifier</s:t>
        </s:is>
      </s:c>
      <s:c r="X4" s="12" t="inlineStr">
        <s:is>
          <s:t>2025</s:t>
        </s:is>
      </s:c>
      <s:c r="Y4" s="12" t="inlineStr">
        <s:is>
          <s:t>meta_report/consistency_reclassification_2026-09-04/reclassified_candidates.json</s:t>
        </s:is>
      </s:c>
      <s:c r="Z4" s="12" t="inlineStr">
        <s:is>
          <s:t>S_W</s:t>
        </s:is>
      </s:c>
      <s:c r="AA4" s="12" t="inlineStr">
        <s:is>
          <s:t>statistical_results</s:t>
        </s:is>
      </s:c>
      <s:c r="AB4" s="12" t="inlineStr">
        <s:is>
          <s:t>retain</s:t>
        </s:is>
      </s:c>
    </s:row>
    <s:row r="5" ht="90" customFormat="1" customHeight="1" s="8">
      <s:c r="A5" s="11" t="b">
        <s:v>0</s:v>
      </s:c>
      <s:c r="B5" s="11" t="n"/>
      <s:c r="C5" s="11" t="b">
        <s:v>0</s:v>
      </s:c>
      <s:c r="D5" s="11" t="inlineStr">
        <s:is>
          <s:t>Denominator, proportion, or total inconsistency</s:t>
        </s:is>
      </s:c>
      <s:c r="E5" s="11" t="b">
        <s:v>0</s:v>
      </s:c>
      <s:c r="F5" s="11" t="inlineStr">
        <s:is>
          <s:t>C004</s:t>
        </s:is>
      </s:c>
      <s:c r="G5" s="11" t="inlineStr">
        <s:is>
          <s:t>2025::jama.2024.24764::C004</s:t>
        </s:is>
      </s:c>
      <s:c r="H5" s="11" t="n"/>
      <s:c r="I5" s="11" t="inlineStr">
        <s:is>
          <s:t>jama_atherton_2025_oi_240145_1741627844.85412.pdf — PDF p. 7, Table 2 continuation</s:t>
        </s:is>
      </s:c>
      <s:c r="J5" s="11" t="b">
        <s:v>0</s:v>
      </s:c>
      <s:c r="K5" s="11" t="inlineStr">
        <s:is>
          <s:t>jama.2024.24764</s:t>
        </s:is>
      </s:c>
      <s:c r="L5" s="11" t="n"/>
      <s:c r="M5" s="11" t="inlineStr">
        <s:is>
          <s:t>S_W</s:t>
        </s:is>
      </s:c>
      <s:c r="N5" s="11" t="inlineStr">
        <s:is>
          <s:t>Target is within one main article or one non-plan results supplement/workbook; no substantive plan comparison. Totals 425 and 416 are compared with 411 and 410; percentage totals are 103.5% and 101.5%.</s:t>
        </s:is>
      </s:c>
      <s:c r="O5" s="11" t="inlineStr">
        <s:is>
          <s:t>../../2025/jama.2024.24764/.ai_paper_validation/final_report_1_5_3.html</s:t>
        </s:is>
      </s:c>
      <s:c r="P5" s="11" t="inlineStr">
        <s:is>
          <s:t>2025/jama.2024.24764/.ai_paper_validation/final_report_1_5_3.md</s:t>
        </s:is>
      </s:c>
      <s:c r="Q5" s="11" t="inlineStr">
        <s:is>
          <s:t>C004</s:t>
        </s:is>
      </s:c>
      <s:c r="R5" s="11" t="inlineStr">
        <s:is>
          <s:t>Pending Human Adjudication</s:t>
        </s:is>
      </s:c>
      <s:c r="S5" s="11" t="inlineStr">
        <s:is>
          <s:t>Skin-closing surgeon-level totals exceed participant denominators without a stated multi-response rule.</s:t>
        </s:is>
      </s:c>
      <s:c r="T5" s="11" t="b">
        <s:v>1</s:v>
      </s:c>
      <s:c r="U5" s="11" t="inlineStr">
        <s:is>
          <s:t>Skin-closing surgeon level totals exceed participant denominators without a multi-response qualifier</s:t>
        </s:is>
      </s:c>
      <s:c r="V5" s="11" t="inlineStr">
        <s:is>
          <s:t>statistical_results</s:t>
        </s:is>
      </s:c>
      <s:c r="W5" s="11" t="inlineStr">
        <s:is>
          <s:t>Skin-closing surgeon level totals exceed participant denominators without a multi-response qualifier</s:t>
        </s:is>
      </s:c>
      <s:c r="X5" s="11" t="inlineStr">
        <s:is>
          <s:t>2025</s:t>
        </s:is>
      </s:c>
      <s:c r="Y5" s="11" t="inlineStr">
        <s:is>
          <s:t>meta_report/consistency_reclassification_2026-09-04/reclassified_candidates.json</s:t>
        </s:is>
      </s:c>
      <s:c r="Z5" s="11" t="inlineStr">
        <s:is>
          <s:t>S_W</s:t>
        </s:is>
      </s:c>
      <s:c r="AA5" s="11" t="inlineStr">
        <s:is>
          <s:t>statistical_results</s:t>
        </s:is>
      </s:c>
      <s:c r="AB5" s="11" t="inlineStr">
        <s:is>
          <s:t>retain</s:t>
        </s:is>
      </s:c>
    </s:row>
    <s:row r="6" ht="90" customFormat="1" customHeight="1" s="8">
      <s:c r="A6" s="12" t="b">
        <s:v>0</s:v>
      </s:c>
      <s:c r="B6" s="12" t="inlineStr">
        <s:is>
          <s:t>Figure mortality window is unspecified; count discrepancy may be a time-window difference. All locations are in the main article despite original cross-document category.</s:t>
        </s:is>
      </s:c>
      <s:c r="C6" s="12" t="b">
        <s:v>0</s:v>
      </s:c>
      <s:c r="D6" s="12" t="inlineStr">
        <s:is>
          <s:t>Cross-document numeric inconsistency</s:t>
        </s:is>
      </s:c>
      <s:c r="E6" s="12" t="b">
        <s:v>0</s:v>
      </s:c>
      <s:c r="F6" s="12" t="inlineStr">
        <s:is>
          <s:t>C005</s:t>
        </s:is>
      </s:c>
      <s:c r="G6" s="12" t="inlineStr">
        <s:is>
          <s:t>2025::jama.2024.24764::C005</s:t>
        </s:is>
      </s:c>
      <s:c r="H6" s="12" t="n"/>
      <s:c r="I6" s="12" t="inlineStr">
        <s:is>
          <s:t>jama_atherton_2025_oi_240145_1741627844.85412.pdf — PDF p. 3, Figure 1; PDF p. 6, safety narrative; PDF p. 8, Table 3</s:t>
        </s:is>
      </s:c>
      <s:c r="J6" s="12" t="b">
        <s:v>1</s:v>
      </s:c>
      <s:c r="K6" s="12" t="inlineStr">
        <s:is>
          <s:t>jama.2024.24764</s:t>
        </s:is>
      </s:c>
      <s:c r="L6" s="12" t="n"/>
      <s:c r="M6" s="12" t="inlineStr">
        <s:is>
          <s:t>S_W</s:t>
        </s:is>
      </s:c>
      <s:c r="N6" s="12" t="inlineStr">
        <s:is>
          <s:t>Target is within one main article or one non-plan results supplement/workbook; no substantive plan comparison. Figure 1 total 25 and control count 15 are compared with the explicitly 30-day total 24 and control count 14.</s:t>
        </s:is>
      </s:c>
      <s:c r="O6" s="12" t="inlineStr">
        <s:is>
          <s:t>../../2025/jama.2024.24764/.ai_paper_validation/final_report_1_5_3.html</s:t>
        </s:is>
      </s:c>
      <s:c r="P6" s="12" t="inlineStr">
        <s:is>
          <s:t>2025/jama.2024.24764/.ai_paper_validation/final_report_1_5_3.md</s:t>
        </s:is>
      </s:c>
      <s:c r="Q6" s="12" t="inlineStr">
        <s:is>
          <s:t>C005</s:t>
        </s:is>
      </s:c>
      <s:c r="R6" s="12" t="inlineStr">
        <s:is>
          <s:t>Pending Human Adjudication</s:t>
        </s:is>
      </s:c>
      <s:c r="S6" s="12" t="inlineStr">
        <s:is>
          <s:t>Participant flow reports 25 deaths (10 intervention, 15 control), whereas Table 3 and the safety narrative report 24 deaths within 30 days (10 intervention, 14 control).</s:t>
        </s:is>
      </s:c>
      <s:c r="T6" s="12" t="b">
        <s:v>1</s:v>
      </s:c>
      <s:c r="U6" s="12" t="inlineStr">
        <s:is>
          <s:t>Control-arm mortality differs between participant flow and 30-day safety reporting</s:t>
        </s:is>
      </s:c>
      <s:c r="V6" s="12" t="inlineStr">
        <s:is>
          <s:t>report_internal_inconsistency</s:t>
        </s:is>
      </s:c>
      <s:c r="W6" s="12" t="inlineStr">
        <s:is>
          <s:t>Control-arm mortality differs between participant flow and 30-day safety reporting</s:t>
        </s:is>
      </s:c>
      <s:c r="X6" s="12" t="inlineStr">
        <s:is>
          <s:t>2025</s:t>
        </s:is>
      </s:c>
      <s:c r="Y6" s="12" t="inlineStr">
        <s:is>
          <s:t>meta_report/consistency_reclassification_2026-09-04/reclassified_candidates.json</s:t>
        </s:is>
      </s:c>
      <s:c r="Z6" s="12" t="inlineStr">
        <s:is>
          <s:t>S_W</s:t>
        </s:is>
      </s:c>
      <s:c r="AA6" s="12" t="inlineStr">
        <s:is>
          <s:t>report_internal_inconsistency</s:t>
        </s:is>
      </s:c>
      <s:c r="AB6" s="12" t="inlineStr">
        <s:is>
          <s:t>retain</s:t>
        </s:is>
      </s:c>
    </s:row>
    <s:row r="7" ht="90" customFormat="1" customHeight="1" s="8">
      <s:c r="A7" s="11" t="b">
        <s:v>0</s:v>
      </s:c>
      <s:c r="B7" s="11" t="inlineStr">
        <s:is>
          <s:t>Covariance specifications differ; article silence about sandwich SE does not prove it was absent. Amendment/output unavailable.</s:t>
        </s:is>
      </s:c>
      <s:c r="C7" s="11" t="b">
        <s:v>1</s:v>
      </s:c>
      <s:c r="D7" s="11" t="inlineStr">
        <s:is>
          <s:t>Statistical reporting inconsistency</s:t>
        </s:is>
      </s:c>
      <s:c r="E7" s="11" t="b">
        <s:v>1</s:v>
      </s:c>
      <s:c r="F7" s="11" t="inlineStr">
        <s:is>
          <s:t>C006</s:t>
        </s:is>
      </s:c>
      <s:c r="G7" s="11" t="inlineStr">
        <s:is>
          <s:t>2025::jama.2024.24764::C006</s:t>
        </s:is>
      </s:c>
      <s:c r="H7" s="11" t="n"/>
      <s:c r="I7" s="11" t="inlineStr">
        <s:is>
          <s:t>joi240145supp1_prod_1741627844.87412.pdf — PDF p. 26, SAP; jama_atherton_2025_oi_240145_1741627844.85412.pdf — PDF p. 4, Statistical Analysis</s:t>
        </s:is>
      </s:c>
      <s:c r="J7" s="11" t="b">
        <s:v>0</s:v>
      </s:c>
      <s:c r="K7" s="11" t="inlineStr">
        <s:is>
          <s:t>jama.2024.24764</s:t>
        </s:is>
      </s:c>
      <s:c r="L7" s="11" t="inlineStr">
        <s:is>
          <s:t>analysis_specification</s:t>
        </s:is>
      </s:c>
      <s:c r="M7" s="11" t="inlineStr">
        <s:is>
          <s:t>P_R</s:t>
        </s:is>
      </s:c>
      <s:c r="N7" s="11" t="inlineStr">
        <s:is>
          <s:t>Target compares reported current-study content with supplied protocol/SAP specification. Final-article independent covariance is compared with SAP unstructured covariance and robust sandwich variance estimation.</s:t>
        </s:is>
      </s:c>
      <s:c r="O7" s="11" t="inlineStr">
        <s:is>
          <s:t>../../2025/jama.2024.24764/.ai_paper_validation/final_report_1_5_3.html</s:t>
        </s:is>
      </s:c>
      <s:c r="P7" s="11" t="inlineStr">
        <s:is>
          <s:t>2025/jama.2024.24764/.ai_paper_validation/final_report_1_5_3.md</s:t>
        </s:is>
      </s:c>
      <s:c r="Q7" s="11" t="inlineStr">
        <s:is>
          <s:t>C006</s:t>
        </s:is>
      </s:c>
      <s:c r="R7" s="11" t="inlineStr">
        <s:is>
          <s:t>Pending Human Adjudication</s:t>
        </s:is>
      </s:c>
      <s:c r="S7" s="11" t="inlineStr">
        <s:is>
          <s:t>The SAP specifies unstructured covariance with robust sandwich standard errors for the QoL model family, while the final article specifies independent covariance.</s:t>
        </s:is>
      </s:c>
      <s:c r="T7" s="11" t="b">
        <s:v>0</s:v>
      </s:c>
      <s:c r="U7" s="11" t="inlineStr">
        <s:is>
          <s:t>Longitudinal quality-of-life covariance specification differs between SAP and final article</s:t>
        </s:is>
      </s:c>
      <s:c r="V7" s="11" t="inlineStr">
        <s:is>
          <s:t>protocol_report</s:t>
        </s:is>
      </s:c>
      <s:c r="W7" s="11" t="inlineStr">
        <s:is>
          <s:t>Longitudinal quality-of-life covariance specification differs between SAP and final article</s:t>
        </s:is>
      </s:c>
      <s:c r="X7" s="11" t="inlineStr">
        <s:is>
          <s:t>2025</s:t>
        </s:is>
      </s:c>
      <s:c r="Y7" s="11" t="inlineStr">
        <s:is>
          <s:t>meta_report/consistency_reclassification_2026-09-04/reclassified_candidates.json</s:t>
        </s:is>
      </s:c>
      <s:c r="Z7" s="11" t="inlineStr">
        <s:is>
          <s:t>P_R</s:t>
        </s:is>
      </s:c>
      <s:c r="AA7" s="11" t="inlineStr">
        <s:is>
          <s:t>protocol_report</s:t>
        </s:is>
      </s:c>
      <s:c r="AB7" s="11" t="inlineStr">
        <s:is>
          <s:t>retain</s:t>
        </s:is>
      </s:c>
    </s:row>
    <s:row r="8" ht="90" customFormat="1" customHeight="1" s="8">
      <s:c r="A8" s="12" t="b">
        <s:v>0</s:v>
      </s:c>
      <s:c r="B8" s="12" t="inlineStr">
        <s:is>
          <s:t>UK-only comparison isolates effect measure from C008 population issue; skewness anticipated but planned median difference differs from geometric-mean ratio.</s:t>
        </s:is>
      </s:c>
      <s:c r="C8" s="12" t="b">
        <s:v>1</s:v>
      </s:c>
      <s:c r="D8" s="12" t="inlineStr">
        <s:is>
          <s:t>Measure, label, or scale inconsistency</s:t>
        </s:is>
      </s:c>
      <s:c r="E8" s="12" t="b">
        <s:v>1</s:v>
      </s:c>
      <s:c r="F8" s="12" t="inlineStr">
        <s:is>
          <s:t>C007</s:t>
        </s:is>
      </s:c>
      <s:c r="G8" s="12" t="inlineStr">
        <s:is>
          <s:t>2025::jama.2024.24764::C007</s:t>
        </s:is>
      </s:c>
      <s:c r="H8" s="12" t="n"/>
      <s:c r="I8" s="12" t="inlineStr">
        <s:is>
          <s:t>joi240145supp1_prod_1741627844.87412.pdf — PDF p. 25, SAP; joi240145supp4_prod_1741627844.90412.pdf — PDF p. 39, protocol; jama_atherton_2025_oi_240145_1741627844.85412.pdf — PDF p. 4; PDF p. 8, Table 3</s:t>
        </s:is>
      </s:c>
      <s:c r="J8" s="12" t="b">
        <s:v>0</s:v>
      </s:c>
      <s:c r="K8" s="12" t="inlineStr">
        <s:is>
          <s:t>jama.2024.24764</s:t>
        </s:is>
      </s:c>
      <s:c r="L8" s="12" t="inlineStr">
        <s:is>
          <s:t>analysis_specification</s:t>
        </s:is>
      </s:c>
      <s:c r="M8" s="12" t="inlineStr">
        <s:is>
          <s:t>P_R</s:t>
        </s:is>
      </s:c>
      <s:c r="N8" s="12" t="inlineStr">
        <s:is>
          <s:t>Target compares reported current-study content with supplied protocol/SAP specification. Multiplicative, dimensionless ratios of geometric means are compared with additive differences in days for the same endpoint.</s:t>
        </s:is>
      </s:c>
      <s:c r="O8" s="12" t="inlineStr">
        <s:is>
          <s:t>../../2025/jama.2024.24764/.ai_paper_validation/final_report_1_5_3.html</s:t>
        </s:is>
      </s:c>
      <s:c r="P8" s="12" t="inlineStr">
        <s:is>
          <s:t>2025/jama.2024.24764/.ai_paper_validation/final_report_1_5_3.md</s:t>
        </s:is>
      </s:c>
      <s:c r="Q8" s="12" t="inlineStr">
        <s:is>
          <s:t>C007</s:t>
        </s:is>
      </s:c>
      <s:c r="R8" s="12" t="inlineStr">
        <s:is>
          <s:t>Pending Human Adjudication</s:t>
        </s:is>
      </s:c>
      <s:c r="S8" s="12" t="inlineStr">
        <s:is>
          <s:t>SAP/protocol describe adjusted mean difference, or skewed-data unadjusted median difference, whereas the final article reports log-transformed adjusted ratios of geometric means for length of stay.</s:t>
        </s:is>
      </s:c>
      <s:c r="T8" s="12" t="b">
        <s:v>0</s:v>
      </s:c>
      <s:c r="U8" s="12" t="inlineStr">
        <s:is>
          <s:t>Length-of-stay effect measure and model differ between SAP/protocol and final article</s:t>
        </s:is>
      </s:c>
      <s:c r="V8" s="12" t="inlineStr">
        <s:is>
          <s:t>protocol_report</s:t>
        </s:is>
      </s:c>
      <s:c r="W8" s="12" t="inlineStr">
        <s:is>
          <s:t>Length-of-stay effect measure and model differ between SAP/protocol and final article</s:t>
        </s:is>
      </s:c>
      <s:c r="X8" s="12" t="inlineStr">
        <s:is>
          <s:t>2025</s:t>
        </s:is>
      </s:c>
      <s:c r="Y8" s="12" t="inlineStr">
        <s:is>
          <s:t>meta_report/consistency_reclassification_2026-09-04/reclassified_candidates.json</s:t>
        </s:is>
      </s:c>
      <s:c r="Z8" s="12" t="inlineStr">
        <s:is>
          <s:t>P_R</s:t>
        </s:is>
      </s:c>
      <s:c r="AA8" s="12" t="inlineStr">
        <s:is>
          <s:t>protocol_report</s:t>
        </s:is>
      </s:c>
      <s:c r="AB8" s="12" t="inlineStr">
        <s:is>
          <s:t>retain</s:t>
        </s:is>
      </s:c>
    </s:row>
    <s:row r="9" ht="90" customFormat="1" customHeight="1" s="8">
      <s:c r="A9" s="11" t="b">
        <s:v>0</s:v>
      </s:c>
      <s:c r="B9" s="11" t="inlineStr">
        <s:is>
          <s:t>UK-only result remains reported; all-country result is additional and status is unclear, not proven substitution.</s:t>
        </s:is>
      </s:c>
      <s:c r="C9" s="11" t="b">
        <s:v>1</s:v>
      </s:c>
      <s:c r="D9" s="11" t="inlineStr">
        <s:is>
          <s:t>Analysis-unit or population inconsistency</s:t>
        </s:is>
      </s:c>
      <s:c r="E9" s="11" t="b">
        <s:v>1</s:v>
      </s:c>
      <s:c r="F9" s="11" t="inlineStr">
        <s:is>
          <s:t>C008</s:t>
        </s:is>
      </s:c>
      <s:c r="G9" s="11" t="inlineStr">
        <s:is>
          <s:t>2025::jama.2024.24764::C008</s:t>
        </s:is>
      </s:c>
      <s:c r="H9" s="11" t="n"/>
      <s:c r="I9" s="11" t="inlineStr">
        <s:is>
          <s:t>joi240145supp1_prod_1741627844.87412.pdf — PDF p. 18, SAP endpoint; PDF p. 25, SAP population; joi240145supp4_prod_1741627844.90412.pdf — PDF p. 24, protocol; jama_atherton_2025_oi_240145_1741627844.85412.pdf — PDF p. 1, abstract; PDF p. 8, Table 3</s:t>
        </s:is>
      </s:c>
      <s:c r="J9" s="11" t="b">
        <s:v>0</s:v>
      </s:c>
      <s:c r="K9" s="11" t="inlineStr">
        <s:is>
          <s:t>jama.2024.24764</s:t>
        </s:is>
      </s:c>
      <s:c r="L9" s="11" t="inlineStr">
        <s:is>
          <s:t>population_recruitment_sites</s:t>
        </s:is>
      </s:c>
      <s:c r="M9" s="11" t="inlineStr">
        <s:is>
          <s:t>P_R</s:t>
        </s:is>
      </s:c>
      <s:c r="N9" s="11" t="inlineStr">
        <s:is>
          <s:t>Target compares reported current-study content with supplied protocol/SAP specification. A UK-and-Australia analysis population is compared with the planned UK-only endpoint population.</s:t>
        </s:is>
      </s:c>
      <s:c r="O9" s="11" t="inlineStr">
        <s:is>
          <s:t>../../2025/jama.2024.24764/.ai_paper_validation/final_report_1_5_3.html</s:t>
        </s:is>
      </s:c>
      <s:c r="P9" s="11" t="inlineStr">
        <s:is>
          <s:t>2025/jama.2024.24764/.ai_paper_validation/final_report_1_5_3.md</s:t>
        </s:is>
      </s:c>
      <s:c r="Q9" s="11" t="inlineStr">
        <s:is>
          <s:t>C008</s:t>
        </s:is>
      </s:c>
      <s:c r="R9" s="11" t="inlineStr">
        <s:is>
          <s:t>Pending Human Adjudication</s:t>
        </s:is>
      </s:c>
      <s:c r="S9" s="11" t="inlineStr">
        <s:is>
          <s:t>SAP and protocol specify UK-only length-of-stay reporting, while the final article additionally reports a UK-and-Australia result.</s:t>
        </s:is>
      </s:c>
      <s:c r="T9" s="11" t="b">
        <s:v>0</s:v>
      </s:c>
      <s:c r="U9" s="11" t="inlineStr">
        <s:is>
          <s:t>Australia-inclusive length-of-stay result differs from the stated UK-only analysis population</s:t>
        </s:is>
      </s:c>
      <s:c r="V9" s="11" t="inlineStr">
        <s:is>
          <s:t>protocol_report</s:t>
        </s:is>
      </s:c>
      <s:c r="W9" s="11" t="inlineStr">
        <s:is>
          <s:t>Australia-inclusive length-of-stay result differs from the stated UK-only analysis population</s:t>
        </s:is>
      </s:c>
      <s:c r="X9" s="11" t="inlineStr">
        <s:is>
          <s:t>2025</s:t>
        </s:is>
      </s:c>
      <s:c r="Y9" s="11" t="inlineStr">
        <s:is>
          <s:t>meta_report/consistency_reclassification_2026-09-04/reclassified_candidates.json</s:t>
        </s:is>
      </s:c>
      <s:c r="Z9" s="11" t="inlineStr">
        <s:is>
          <s:t>P_R</s:t>
        </s:is>
      </s:c>
      <s:c r="AA9" s="11" t="inlineStr">
        <s:is>
          <s:t>protocol_report</s:t>
        </s:is>
      </s:c>
      <s:c r="AB9" s="11" t="inlineStr">
        <s:is>
          <s:t>retain</s:t>
        </s:is>
      </s:c>
    </s:row>
    <s:row r="10" ht="90" customFormat="1" customHeight="1" s="8">
      <s:c r="A10" s="12" t="b">
        <s:v>0</s:v>
      </s:c>
      <s:c r="B10" s="12" t="n"/>
      <s:c r="C10" s="12" t="b">
        <s:v>0</s:v>
      </s:c>
      <s:c r="D10" s="12" t="inlineStr">
        <s:is>
          <s:t>Denominator, proportion, or total inconsistency</s:t>
        </s:is>
      </s:c>
      <s:c r="E10" s="12" t="b">
        <s:v>0</s:v>
      </s:c>
      <s:c r="F10" s="12" t="inlineStr">
        <s:is>
          <s:t>C001</s:t>
        </s:is>
      </s:c>
      <s:c r="G10" s="12" t="inlineStr">
        <s:is>
          <s:t>2025::jama.2024.27643::C001</s:t>
        </s:is>
      </s:c>
      <s:c r="H10" s="12" t="n"/>
      <s:c r="I10" s="12" t="inlineStr">
        <s:is>
          <s:t>jama_berry_2025_oi_240158_1742927563.7361.pdf — Table 1 and footnote b, PDF p. 6</s:t>
        </s:is>
      </s:c>
      <s:c r="J10" s="12" t="b">
        <s:v>0</s:v>
      </s:c>
      <s:c r="K10" s="12" t="inlineStr">
        <s:is>
          <s:t>jama.2024.27643</s:t>
        </s:is>
      </s:c>
      <s:c r="L10" s="12" t="n"/>
      <s:c r="M10" s="12" t="inlineStr">
        <s:is>
          <s:t>S_W</s:t>
        </s:is>
      </s:c>
      <s:c r="N10" s="12" t="inlineStr">
        <s:is>
          <s:t>Target is within one main article or one non-plan results supplement/workbook; no substantive plan comparison. The printed group total is 164 and the printed race denominator/category sum is 160, whereas the footnote reports 3 unknown or unreported participants.</s:t>
        </s:is>
      </s:c>
      <s:c r="O10" s="12" t="inlineStr">
        <s:is>
          <s:t>../../2025/jama.2024.27643/.ai_paper_validation/final_report_1_5_3.html</s:t>
        </s:is>
      </s:c>
      <s:c r="P10" s="12" t="inlineStr">
        <s:is>
          <s:t>2025/jama.2024.27643/.ai_paper_validation/final_report_1_5_3.md</s:t>
        </s:is>
      </s:c>
      <s:c r="Q10" s="12" t="inlineStr">
        <s:is>
          <s:t>C001</s:t>
        </s:is>
      </s:c>
      <s:c r="R10" s="12" t="inlineStr">
        <s:is>
          <s:t>Pending Human Adjudication</s:t>
        </s:is>
      </s:c>
      <s:c r="S10" s="12" t="inlineStr">
        <s:is>
          <s:t>The displayed shared-placebo race accounting has a one-participant mismatch.</s:t>
        </s:is>
      </s:c>
      <s:c r="T10" s="12" t="b">
        <s:v>1</s:v>
      </s:c>
      <s:c r="U10" s="12" t="inlineStr">
        <s:is>
          <s:t>Shared-placebo race missingness does not reconcile with the printed denominator</s:t>
        </s:is>
      </s:c>
      <s:c r="V10" s="12" t="inlineStr">
        <s:is>
          <s:t>statistical_results</s:t>
        </s:is>
      </s:c>
      <s:c r="W10" s="12" t="inlineStr">
        <s:is>
          <s:t>Shared-placebo race missingness does not reconcile with the printed denominator</s:t>
        </s:is>
      </s:c>
      <s:c r="X10" s="12" t="inlineStr">
        <s:is>
          <s:t>2025</s:t>
        </s:is>
      </s:c>
      <s:c r="Y10" s="12" t="inlineStr">
        <s:is>
          <s:t>meta_report/consistency_reclassification_2026-09-04/reclassified_candidates.json</s:t>
        </s:is>
      </s:c>
      <s:c r="Z10" s="12" t="inlineStr">
        <s:is>
          <s:t>S_W</s:t>
        </s:is>
      </s:c>
      <s:c r="AA10" s="12" t="inlineStr">
        <s:is>
          <s:t>statistical_results</s:t>
        </s:is>
      </s:c>
      <s:c r="AB10" s="12" t="inlineStr">
        <s:is>
          <s:t>retain</s:t>
        </s:is>
      </s:c>
    </s:row>
    <s:row r="11" ht="90" customFormat="1" customHeight="1" s="8">
      <s:c r="A11" s="11" t="b">
        <s:v>0</s:v>
      </s:c>
      <s:c r="B11" s="11" t="n"/>
      <s:c r="C11" s="11" t="b">
        <s:v>0</s:v>
      </s:c>
      <s:c r="D11" s="11" t="inlineStr">
        <s:is>
          <s:t>Measure, label, or scale inconsistency</s:t>
        </s:is>
      </s:c>
      <s:c r="E11" s="11" t="b">
        <s:v>1</s:v>
      </s:c>
      <s:c r="F11" s="11" t="inlineStr">
        <s:is>
          <s:t>C002</s:t>
        </s:is>
      </s:c>
      <s:c r="G11" s="11" t="inlineStr">
        <s:is>
          <s:t>2025::jama.2024.27643::C002</s:t>
        </s:is>
      </s:c>
      <s:c r="H11" s="11" t="n"/>
      <s:c r="I11" s="11" t="inlineStr">
        <s:is>
          <s:t>jama_berry_2025_oi_240158_1742927563.7361.pdf — Secondary Efficacy Outcomes, PDF p. 4; joi240158supp3_prod_1742927563.7911.pdf — eTable 3A, PDF p. 16</s:t>
        </s:is>
      </s:c>
      <s:c r="J11" s="11" t="b">
        <s:v>0</s:v>
      </s:c>
      <s:c r="K11" s="11" t="inlineStr">
        <s:is>
          <s:t>jama.2024.27643</s:t>
        </s:is>
      </s:c>
      <s:c r="L11" s="11" t="n"/>
      <s:c r="M11" s="11" t="inlineStr">
        <s:is>
          <s:t>S_C</s:t>
        </s:is>
      </s:c>
      <s:c r="N11" s="11" t="inlineStr">
        <s:is>
          <s:t>Target explicitly compares current main article and non-plan results supplement/workbook. A monthly rate is printed in the article; a cumulative 24-week change label is printed for the same values in the cited table.</s:t>
        </s:is>
      </s:c>
      <s:c r="O11" s="11" t="inlineStr">
        <s:is>
          <s:t>../../2025/jama.2024.27643/.ai_paper_validation/final_report_1_5_3.html</s:t>
        </s:is>
      </s:c>
      <s:c r="P11" s="11" t="inlineStr">
        <s:is>
          <s:t>2025/jama.2024.27643/.ai_paper_validation/final_report_1_5_3.md</s:t>
        </s:is>
      </s:c>
      <s:c r="Q11" s="11" t="inlineStr">
        <s:is>
          <s:t>C002</s:t>
        </s:is>
      </s:c>
      <s:c r="R11" s="11" t="inlineStr">
        <s:is>
          <s:t>Pending Human Adjudication</s:t>
        </s:is>
      </s:c>
      <s:c r="S11" s="11" t="inlineStr">
        <s:is>
          <s:t>Identical SVC values are labelled as monthly rates in the article and as 24-week change estimates in eTable 3A.</s:t>
        </s:is>
      </s:c>
      <s:c r="T11" s="11" t="b">
        <s:v>1</s:v>
      </s:c>
      <s:c r="U11" s="11" t="inlineStr">
        <s:is>
          <s:t>SVC values have incompatible monthly-rate and 24-week-change labels</s:t>
        </s:is>
      </s:c>
      <s:c r="V11" s="11" t="inlineStr">
        <s:is>
          <s:t>report_internal_inconsistency</s:t>
        </s:is>
      </s:c>
      <s:c r="W11" s="11" t="inlineStr">
        <s:is>
          <s:t>SVC values have incompatible monthly-rate and 24-week-change labels</s:t>
        </s:is>
      </s:c>
      <s:c r="X11" s="11" t="inlineStr">
        <s:is>
          <s:t>2025</s:t>
        </s:is>
      </s:c>
      <s:c r="Y11" s="11" t="inlineStr">
        <s:is>
          <s:t>meta_report/consistency_reclassification_2026-09-04/reclassified_candidates.json</s:t>
        </s:is>
      </s:c>
      <s:c r="Z11" s="11" t="inlineStr">
        <s:is>
          <s:t>S_C</s:t>
        </s:is>
      </s:c>
      <s:c r="AA11" s="11" t="inlineStr">
        <s:is>
          <s:t>report_internal_inconsistency</s:t>
        </s:is>
      </s:c>
      <s:c r="AB11" s="11" t="inlineStr">
        <s:is>
          <s:t>retain</s:t>
        </s:is>
      </s:c>
    </s:row>
    <s:row r="12" ht="90" customFormat="1" customHeight="1" s="8">
      <s:c r="A12" s="12" t="b">
        <s:v>0</s:v>
      </s:c>
      <s:c r="B12" s="12" t="n"/>
      <s:c r="C12" s="12" t="b">
        <s:v>0</s:v>
      </s:c>
      <s:c r="D12" s="12" t="inlineStr">
        <s:is>
          <s:t>Cross-document numeric inconsistency</s:t>
        </s:is>
      </s:c>
      <s:c r="E12" s="12" t="b">
        <s:v>1</s:v>
      </s:c>
      <s:c r="F12" s="12" t="inlineStr">
        <s:is>
          <s:t>C003</s:t>
        </s:is>
      </s:c>
      <s:c r="G12" s="12" t="inlineStr">
        <s:is>
          <s:t>2025::jama.2024.27643::C003</s:t>
        </s:is>
      </s:c>
      <s:c r="H12" s="12" t="n"/>
      <s:c r="I12" s="12" t="inlineStr">
        <s:is>
          <s:t>jama_berry_2025_oi_240158_1742927563.7361.pdf — Primary Efficacy Outcome, PDF p. 4; joi240158supp3_prod_1742927563.7911.pdf — eTable 2, PDF p. 15</s:t>
        </s:is>
      </s:c>
      <s:c r="J12" s="12" t="b">
        <s:v>1</s:v>
      </s:c>
      <s:c r="K12" s="12" t="inlineStr">
        <s:is>
          <s:t>jama.2024.27643</s:t>
        </s:is>
      </s:c>
      <s:c r="L12" s="12" t="n"/>
      <s:c r="M12" s="12" t="inlineStr">
        <s:is>
          <s:t>S_C</s:t>
        </s:is>
      </s:c>
      <s:c r="N12" s="12" t="inlineStr">
        <s:is>
          <s:t>Target explicitly compares current main article and non-plan results supplement/workbook. Matched Bayesian shared-parameter-model, group, endpoint, and unit labels accompany different three-decimal interval endpoints.</s:t>
        </s:is>
      </s:c>
      <s:c r="O12" s="12" t="inlineStr">
        <s:is>
          <s:t>../../2025/jama.2024.27643/.ai_paper_validation/final_report_1_5_3.html</s:t>
        </s:is>
      </s:c>
      <s:c r="P12" s="12" t="inlineStr">
        <s:is>
          <s:t>2025/jama.2024.27643/.ai_paper_validation/final_report_1_5_3.md</s:t>
        </s:is>
      </s:c>
      <s:c r="Q12" s="12" t="inlineStr">
        <s:is>
          <s:t>C003</s:t>
        </s:is>
      </s:c>
      <s:c r="R12" s="12" t="inlineStr">
        <s:is>
          <s:t>Pending Human Adjudication</s:t>
        </s:is>
      </s:c>
      <s:c r="S12" s="12" t="inlineStr">
        <s:is>
          <s:t>The shared-placebo ALSFRS-R interval endpoints differ between the article and its cited eTable 2.</s:t>
        </s:is>
      </s:c>
      <s:c r="T12" s="12" t="b">
        <s:v>1</s:v>
      </s:c>
      <s:c r="U12" s="12" t="inlineStr">
        <s:is>
          <s:t>Shared-placebo ALSFRS-R credible-interval endpoints differ for the cited primary model</s:t>
        </s:is>
      </s:c>
      <s:c r="V12" s="12" t="inlineStr">
        <s:is>
          <s:t>report_internal_inconsistency</s:t>
        </s:is>
      </s:c>
      <s:c r="W12" s="12" t="inlineStr">
        <s:is>
          <s:t>Shared-placebo ALSFRS-R credible-interval endpoints differ for the cited primary model</s:t>
        </s:is>
      </s:c>
      <s:c r="X12" s="12" t="inlineStr">
        <s:is>
          <s:t>2025</s:t>
        </s:is>
      </s:c>
      <s:c r="Y12" s="12" t="inlineStr">
        <s:is>
          <s:t>meta_report/consistency_reclassification_2026-09-04/reclassified_candidates.json</s:t>
        </s:is>
      </s:c>
      <s:c r="Z12" s="12" t="inlineStr">
        <s:is>
          <s:t>S_C</s:t>
        </s:is>
      </s:c>
      <s:c r="AA12" s="12" t="inlineStr">
        <s:is>
          <s:t>report_internal_inconsistency</s:t>
        </s:is>
      </s:c>
      <s:c r="AB12" s="12" t="inlineStr">
        <s:is>
          <s:t>retain</s:t>
        </s:is>
      </s:c>
    </s:row>
    <s:row r="13" ht="90" customFormat="1" customHeight="1" s="8">
      <s:c r="A13" s="11" t="b">
        <s:v>0</s:v>
      </s:c>
      <s:c r="B13" s="11" t="n"/>
      <s:c r="C13" s="11" t="b">
        <s:v>0</s:v>
      </s:c>
      <s:c r="D13" s="11" t="inlineStr">
        <s:is>
          <s:t>Cross-document numeric inconsistency</s:t>
        </s:is>
      </s:c>
      <s:c r="E13" s="11" t="b">
        <s:v>1</s:v>
      </s:c>
      <s:c r="F13" s="11" t="inlineStr">
        <s:is>
          <s:t>C004</s:t>
        </s:is>
      </s:c>
      <s:c r="G13" s="11" t="inlineStr">
        <s:is>
          <s:t>2025::jama.2024.27643::C004</s:t>
        </s:is>
      </s:c>
      <s:c r="H13" s="11" t="n"/>
      <s:c r="I13" s="11" t="inlineStr">
        <s:is>
          <s:t>jama_berry_2025_oi_240158_1742927563.7361.pdf — Primary Efficacy Outcome, PDF p. 4; joi240158supp3_prod_1742927563.7911.pdf — eTable 2, PDF p. 15</s:t>
        </s:is>
      </s:c>
      <s:c r="J13" s="11" t="b">
        <s:v>1</s:v>
      </s:c>
      <s:c r="K13" s="11" t="inlineStr">
        <s:is>
          <s:t>jama.2024.27643</s:t>
        </s:is>
      </s:c>
      <s:c r="L13" s="11" t="n"/>
      <s:c r="M13" s="11" t="inlineStr">
        <s:is>
          <s:t>S_C</s:t>
        </s:is>
      </s:c>
      <s:c r="N13" s="11" t="inlineStr">
        <s:is>
          <s:t>Target explicitly compares current main article and non-plan results supplement/workbook. The point estimate and named model match, while both printed interval endpoints differ.</s:t>
        </s:is>
      </s:c>
      <s:c r="O13" s="11" t="inlineStr">
        <s:is>
          <s:t>../../2025/jama.2024.27643/.ai_paper_validation/final_report_1_5_3.html</s:t>
        </s:is>
      </s:c>
      <s:c r="P13" s="11" t="inlineStr">
        <s:is>
          <s:t>2025/jama.2024.27643/.ai_paper_validation/final_report_1_5_3.md</s:t>
        </s:is>
      </s:c>
      <s:c r="Q13" s="11" t="inlineStr">
        <s:is>
          <s:t>C004</s:t>
        </s:is>
      </s:c>
      <s:c r="R13" s="11" t="inlineStr">
        <s:is>
          <s:t>Pending Human Adjudication</s:t>
        </s:is>
      </s:c>
      <s:c r="S13" s="11" t="inlineStr">
        <s:is>
          <s:t>The pooled-active ALSFRS-R interval endpoints differ between the article and cited eTable 2.</s:t>
        </s:is>
      </s:c>
      <s:c r="T13" s="11" t="b">
        <s:v>1</s:v>
      </s:c>
      <s:c r="U13" s="11" t="inlineStr">
        <s:is>
          <s:t>Pooled-active ALSFRS-R credible-interval endpoints differ for the cited primary model</s:t>
        </s:is>
      </s:c>
      <s:c r="V13" s="11" t="inlineStr">
        <s:is>
          <s:t>report_internal_inconsistency</s:t>
        </s:is>
      </s:c>
      <s:c r="W13" s="11" t="inlineStr">
        <s:is>
          <s:t>Pooled-active ALSFRS-R credible-interval endpoints differ for the cited primary model</s:t>
        </s:is>
      </s:c>
      <s:c r="X13" s="11" t="inlineStr">
        <s:is>
          <s:t>2025</s:t>
        </s:is>
      </s:c>
      <s:c r="Y13" s="11" t="inlineStr">
        <s:is>
          <s:t>meta_report/consistency_reclassification_2026-09-04/reclassified_candidates.json</s:t>
        </s:is>
      </s:c>
      <s:c r="Z13" s="11" t="inlineStr">
        <s:is>
          <s:t>S_C</s:t>
        </s:is>
      </s:c>
      <s:c r="AA13" s="11" t="inlineStr">
        <s:is>
          <s:t>report_internal_inconsistency</s:t>
        </s:is>
      </s:c>
      <s:c r="AB13" s="11" t="inlineStr">
        <s:is>
          <s:t>retain</s:t>
        </s:is>
      </s:c>
    </s:row>
    <s:row r="14" ht="90" customFormat="1" customHeight="1" s="8">
      <s:c r="A14" s="12" t="b">
        <s:v>0</s:v>
      </s:c>
      <s:c r="B14" s="12" t="n"/>
      <s:c r="C14" s="12" t="b">
        <s:v>0</s:v>
      </s:c>
      <s:c r="D14" s="12" t="inlineStr">
        <s:is>
          <s:t>Cross-document numeric inconsistency</s:t>
        </s:is>
      </s:c>
      <s:c r="E14" s="12" t="b">
        <s:v>1</s:v>
      </s:c>
      <s:c r="F14" s="12" t="inlineStr">
        <s:is>
          <s:t>C005</s:t>
        </s:is>
      </s:c>
      <s:c r="G14" s="12" t="inlineStr">
        <s:is>
          <s:t>2025::jama.2024.27643::C005</s:t>
        </s:is>
      </s:c>
      <s:c r="H14" s="12" t="n"/>
      <s:c r="I14" s="12" t="inlineStr">
        <s:is>
          <s:t>jama_berry_2025_oi_240158_1742927563.7361.pdf — Primary Efficacy Outcome, PDF p. 4; joi240158supp3_prod_1742927563.7911.pdf — eTable 2, PDF p. 15</s:t>
        </s:is>
      </s:c>
      <s:c r="J14" s="12" t="b">
        <s:v>1</s:v>
      </s:c>
      <s:c r="K14" s="12" t="inlineStr">
        <s:is>
          <s:t>jama.2024.27643</s:t>
        </s:is>
      </s:c>
      <s:c r="L14" s="12" t="n"/>
      <s:c r="M14" s="12" t="inlineStr">
        <s:is>
          <s:t>S_C</s:t>
        </s:is>
      </s:c>
      <s:c r="N14" s="12" t="inlineStr">
        <s:is>
          <s:t>Target explicitly compares current main article and non-plan results supplement/workbook. Each matched group has a different three-decimal displayed mortality event rate.</s:t>
        </s:is>
      </s:c>
      <s:c r="O14" s="12" t="inlineStr">
        <s:is>
          <s:t>../../2025/jama.2024.27643/.ai_paper_validation/final_report_1_5_3.html</s:t>
        </s:is>
      </s:c>
      <s:c r="P14" s="12" t="inlineStr">
        <s:is>
          <s:t>2025/jama.2024.27643/.ai_paper_validation/final_report_1_5_3.md</s:t>
        </s:is>
      </s:c>
      <s:c r="Q14" s="12" t="inlineStr">
        <s:is>
          <s:t>C005</s:t>
        </s:is>
      </s:c>
      <s:c r="R14" s="12" t="inlineStr">
        <s:is>
          <s:t>Pending Human Adjudication</s:t>
        </s:is>
      </s:c>
      <s:c r="S14" s="12" t="inlineStr">
        <s:is>
          <s:t>Article and eTable 2 event rates differ for the matched Bayesian shared-parameter-model components.</s:t>
        </s:is>
      </s:c>
      <s:c r="T14" s="12" t="b">
        <s:v>1</s:v>
      </s:c>
      <s:c r="U14" s="12" t="inlineStr">
        <s:is>
          <s:t>Bayesian mortality event rates differ between article text and cited eTable 2</s:t>
        </s:is>
      </s:c>
      <s:c r="V14" s="12" t="inlineStr">
        <s:is>
          <s:t>report_internal_inconsistency</s:t>
        </s:is>
      </s:c>
      <s:c r="W14" s="12" t="inlineStr">
        <s:is>
          <s:t>Bayesian mortality event rates differ between article text and cited eTable 2</s:t>
        </s:is>
      </s:c>
      <s:c r="X14" s="12" t="inlineStr">
        <s:is>
          <s:t>2025</s:t>
        </s:is>
      </s:c>
      <s:c r="Y14" s="12" t="inlineStr">
        <s:is>
          <s:t>meta_report/consistency_reclassification_2026-09-04/reclassified_candidates.json</s:t>
        </s:is>
      </s:c>
      <s:c r="Z14" s="12" t="inlineStr">
        <s:is>
          <s:t>S_C</s:t>
        </s:is>
      </s:c>
      <s:c r="AA14" s="12" t="inlineStr">
        <s:is>
          <s:t>report_internal_inconsistency</s:t>
        </s:is>
      </s:c>
      <s:c r="AB14" s="12" t="inlineStr">
        <s:is>
          <s:t>retain</s:t>
        </s:is>
      </s:c>
    </s:row>
    <s:row r="15" ht="90" customFormat="1" customHeight="1" s="8">
      <s:c r="A15" s="11" t="b">
        <s:v>0</s:v>
      </s:c>
      <s:c r="B15" s="11" t="inlineStr">
        <s:is>
          <s:t>Both article-internal Figure/narrative and article/results-supp interval differences are explicitly targeted.</s:t>
        </s:is>
      </s:c>
      <s:c r="C15" s="11" t="b">
        <s:v>0</s:v>
      </s:c>
      <s:c r="D15" s="11" t="inlineStr">
        <s:is>
          <s:t>Cross-document numeric inconsistency</s:t>
        </s:is>
      </s:c>
      <s:c r="E15" s="11" t="b">
        <s:v>1</s:v>
      </s:c>
      <s:c r="F15" s="11" t="inlineStr">
        <s:is>
          <s:t>C006</s:t>
        </s:is>
      </s:c>
      <s:c r="G15" s="11" t="inlineStr">
        <s:is>
          <s:t>2025::jama.2024.27643::C006</s:t>
        </s:is>
      </s:c>
      <s:c r="H15" s="11" t="n"/>
      <s:c r="I15" s="11" t="inlineStr">
        <s:is>
          <s:t>jama_berry_2025_oi_240158_1742927563.7361.pdf — Figure 3 and Biomarker Analyses, PDF p. 8; joi240158supp3_prod_1742927563.7911.pdf — eTable 3B, PDF p. 17</s:t>
        </s:is>
      </s:c>
      <s:c r="J15" s="11" t="b">
        <s:v>1</s:v>
      </s:c>
      <s:c r="K15" s="11" t="inlineStr">
        <s:is>
          <s:t>jama.2024.27643</s:t>
        </s:is>
      </s:c>
      <s:c r="L15" s="11" t="n"/>
      <s:c r="M15" s="11" t="inlineStr">
        <s:is>
          <s:t>S_C</s:t>
        </s:is>
      </s:c>
      <s:c r="N15" s="11" t="inlineStr">
        <s:is>
          <s:t>Target explicitly compares current main article and non-plan results supplement/workbook. The matched point estimate and P value are repeated with different printed interval endpoints.</s:t>
        </s:is>
      </s:c>
      <s:c r="O15" s="11" t="inlineStr">
        <s:is>
          <s:t>../../2025/jama.2024.27643/.ai_paper_validation/final_report_1_5_3.html</s:t>
        </s:is>
      </s:c>
      <s:c r="P15" s="11" t="inlineStr">
        <s:is>
          <s:t>2025/jama.2024.27643/.ai_paper_validation/final_report_1_5_3.md</s:t>
        </s:is>
      </s:c>
      <s:c r="Q15" s="11" t="inlineStr">
        <s:is>
          <s:t>C006</s:t>
        </s:is>
      </s:c>
      <s:c r="R15" s="11" t="inlineStr">
        <s:is>
          <s:t>Pending Human Adjudication</s:t>
        </s:is>
      </s:c>
      <s:c r="S15" s="11" t="inlineStr">
        <s:is>
          <s:t>The repeated plasma-NfL result has differing printed confidence-interval endpoints across three displays.</s:t>
        </s:is>
      </s:c>
      <s:c r="T15" s="11" t="b">
        <s:v>1</s:v>
      </s:c>
      <s:c r="U15" s="11" t="inlineStr">
        <s:is>
          <s:t>Plasma NfL confidence intervals differ across Figure 3, narrative, and eTable 3B</s:t>
        </s:is>
      </s:c>
      <s:c r="V15" s="11" t="inlineStr">
        <s:is>
          <s:t>report_internal_inconsistency</s:t>
        </s:is>
      </s:c>
      <s:c r="W15" s="11" t="inlineStr">
        <s:is>
          <s:t>Plasma NfL confidence intervals differ across Figure 3, narrative, and eTable 3B</s:t>
        </s:is>
      </s:c>
      <s:c r="X15" s="11" t="inlineStr">
        <s:is>
          <s:t>2025</s:t>
        </s:is>
      </s:c>
      <s:c r="Y15" s="11" t="inlineStr">
        <s:is>
          <s:t>meta_report/consistency_reclassification_2026-09-04/reclassified_candidates.json</s:t>
        </s:is>
      </s:c>
      <s:c r="Z15" s="11" t="inlineStr">
        <s:is>
          <s:t>S_C</s:t>
        </s:is>
      </s:c>
      <s:c r="AA15" s="11" t="inlineStr">
        <s:is>
          <s:t>report_internal_inconsistency</s:t>
        </s:is>
      </s:c>
      <s:c r="AB15" s="11" t="inlineStr">
        <s:is>
          <s:t>retain</s:t>
        </s:is>
      </s:c>
    </s:row>
    <s:row r="16" ht="90" customFormat="1" customHeight="1" s="8">
      <s:c r="A16" s="12" t="b">
        <s:v>0</s:v>
      </s:c>
      <s:c r="B16" s="12" t="n"/>
      <s:c r="C16" s="12" t="b">
        <s:v>0</s:v>
      </s:c>
      <s:c r="D16" s="12" t="inlineStr">
        <s:is>
          <s:t>Cross-document numeric inconsistency</s:t>
        </s:is>
      </s:c>
      <s:c r="E16" s="12" t="b">
        <s:v>1</s:v>
      </s:c>
      <s:c r="F16" s="12" t="inlineStr">
        <s:is>
          <s:t>C007</s:t>
        </s:is>
      </s:c>
      <s:c r="G16" s="12" t="inlineStr">
        <s:is>
          <s:t>2025::jama.2024.27643::C007</s:t>
        </s:is>
      </s:c>
      <s:c r="H16" s="12" t="n"/>
      <s:c r="I16" s="12" t="inlineStr">
        <s:is>
          <s:t>jama_berry_2025_oi_240158_1742927563.7361.pdf — Figure 3 and Biomarker Analyses, PDF p. 8; joi240158supp3_prod_1742927563.7911.pdf — eTable 3B, PDF p. 17</s:t>
        </s:is>
      </s:c>
      <s:c r="J16" s="12" t="b">
        <s:v>1</s:v>
      </s:c>
      <s:c r="K16" s="12" t="inlineStr">
        <s:is>
          <s:t>jama.2024.27643</s:t>
        </s:is>
      </s:c>
      <s:c r="L16" s="12" t="n"/>
      <s:c r="M16" s="12" t="inlineStr">
        <s:is>
          <s:t>S_C</s:t>
        </s:is>
      </s:c>
      <s:c r="N16" s="12" t="inlineStr">
        <s:is>
          <s:t>Target explicitly compares current main article and non-plan results supplement/workbook. The active change and P value agree, but placebo changes differ by 4.0 percentage points, treatment contrasts differ by 3.2 points, and both interval endpoints differ.</s:t>
        </s:is>
      </s:c>
      <s:c r="O16" s="12" t="inlineStr">
        <s:is>
          <s:t>../../2025/jama.2024.27643/.ai_paper_validation/final_report_1_5_3.html</s:t>
        </s:is>
      </s:c>
      <s:c r="P16" s="12" t="inlineStr">
        <s:is>
          <s:t>2025/jama.2024.27643/.ai_paper_validation/final_report_1_5_3.md</s:t>
        </s:is>
      </s:c>
      <s:c r="Q16" s="12" t="inlineStr">
        <s:is>
          <s:t>C007</s:t>
        </s:is>
      </s:c>
      <s:c r="R16" s="12" t="inlineStr">
        <s:is>
          <s:t>Pending Human Adjudication</s:t>
        </s:is>
      </s:c>
      <s:c r="S16" s="12" t="inlineStr">
        <s:is>
          <s:t>Matched article and eTable 3B serum-NfL displays report different placebo changes, contrasts, and interval endpoints.</s:t>
        </s:is>
      </s:c>
      <s:c r="T16" s="12" t="b">
        <s:v>1</s:v>
      </s:c>
      <s:c r="U16" s="12" t="inlineStr">
        <s:is>
          <s:t>Serum NfL regimen-only values and contrast differ across displays</s:t>
        </s:is>
      </s:c>
      <s:c r="V16" s="12" t="inlineStr">
        <s:is>
          <s:t>report_internal_inconsistency</s:t>
        </s:is>
      </s:c>
      <s:c r="W16" s="12" t="inlineStr">
        <s:is>
          <s:t>Serum NfL regimen-only values and contrast differ across displays</s:t>
        </s:is>
      </s:c>
      <s:c r="X16" s="12" t="inlineStr">
        <s:is>
          <s:t>2025</s:t>
        </s:is>
      </s:c>
      <s:c r="Y16" s="12" t="inlineStr">
        <s:is>
          <s:t>meta_report/consistency_reclassification_2026-09-04/reclassified_candidates.json</s:t>
        </s:is>
      </s:c>
      <s:c r="Z16" s="12" t="inlineStr">
        <s:is>
          <s:t>S_C</s:t>
        </s:is>
      </s:c>
      <s:c r="AA16" s="12" t="inlineStr">
        <s:is>
          <s:t>report_internal_inconsistency</s:t>
        </s:is>
      </s:c>
      <s:c r="AB16" s="12" t="inlineStr">
        <s:is>
          <s:t>retain</s:t>
        </s:is>
      </s:c>
    </s:row>
    <s:row r="17" ht="90" customFormat="1" customHeight="1" s="8">
      <s:c r="A17" s="11" t="b">
        <s:v>0</s:v>
      </s:c>
      <s:c r="B17" s="11" t="n"/>
      <s:c r="C17" s="11" t="b">
        <s:v>0</s:v>
      </s:c>
      <s:c r="D17" s="11" t="inlineStr">
        <s:is>
          <s:t>Denominator, proportion, or total inconsistency</s:t>
        </s:is>
      </s:c>
      <s:c r="E17" s="11" t="b">
        <s:v>0</s:v>
      </s:c>
      <s:c r="F17" s="11" t="inlineStr">
        <s:is>
          <s:t>C008</s:t>
        </s:is>
      </s:c>
      <s:c r="G17" s="11" t="inlineStr">
        <s:is>
          <s:t>2025::jama.2024.27643::C008</s:t>
        </s:is>
      </s:c>
      <s:c r="H17" s="11" t="n"/>
      <s:c r="I17" s="11" t="inlineStr">
        <s:is>
          <s:t>jama_berry_2025_oi_240158_1742927563.7361.pdf — Table 2, PDF p. 7; jama_berry_2025_oi_240158_1742927563.7361.pdf — Discussion, PDF p. 9</s:t>
        </s:is>
      </s:c>
      <s:c r="J17" s="11" t="b">
        <s:v>0</s:v>
      </s:c>
      <s:c r="K17" s="11" t="inlineStr">
        <s:is>
          <s:t>jama.2024.27643</s:t>
        </s:is>
      </s:c>
      <s:c r="L17" s="11" t="n"/>
      <s:c r="M17" s="11" t="inlineStr">
        <s:is>
          <s:t>S_W</s:t>
        </s:is>
      </s:c>
      <s:c r="N17" s="11" t="inlineStr">
        <s:is>
          <s:t>Target is within one main article or one non-plan results supplement/workbook; no substantive plan comparison. Table 2's two printed numerators total 14, while the Discussion prints 13.</s:t>
        </s:is>
      </s:c>
      <s:c r="O17" s="11" t="inlineStr">
        <s:is>
          <s:t>../../2025/jama.2024.27643/.ai_paper_validation/final_report_1_5_3.html</s:t>
        </s:is>
      </s:c>
      <s:c r="P17" s="11" t="inlineStr">
        <s:is>
          <s:t>2025/jama.2024.27643/.ai_paper_validation/final_report_1_5_3.md</s:t>
        </s:is>
      </s:c>
      <s:c r="Q17" s="11" t="inlineStr">
        <s:is>
          <s:t>C008</s:t>
        </s:is>
      </s:c>
      <s:c r="R17" s="11" t="inlineStr">
        <s:is>
          <s:t>Pending Human Adjudication</s:t>
        </s:is>
      </s:c>
      <s:c r="S17" s="11" t="inlineStr">
        <s:is>
          <s:t>The Discussion's 13-event total does not match the 14 events obtained from the cited Table 2 group numerators if the endpoint and cutoff are the same.</s:t>
        </s:is>
      </s:c>
      <s:c r="T17" s="11" t="b">
        <s:v>1</s:v>
      </s:c>
      <s:c r="U17" s="11" t="inlineStr">
        <s:is>
          <s:t>Discussion total of 13 events conflicts with the 14 events displayed in Table 2</s:t>
        </s:is>
      </s:c>
      <s:c r="V17" s="11" t="inlineStr">
        <s:is>
          <s:t>statistical_results</s:t>
        </s:is>
      </s:c>
      <s:c r="W17" s="11" t="inlineStr">
        <s:is>
          <s:t>Discussion total of 13 events conflicts with the 14 events displayed in Table 2</s:t>
        </s:is>
      </s:c>
      <s:c r="X17" s="11" t="inlineStr">
        <s:is>
          <s:t>2025</s:t>
        </s:is>
      </s:c>
      <s:c r="Y17" s="11" t="inlineStr">
        <s:is>
          <s:t>meta_report/consistency_reclassification_2026-09-04/reclassified_candidates.json</s:t>
        </s:is>
      </s:c>
      <s:c r="Z17" s="11" t="inlineStr">
        <s:is>
          <s:t>S_W</s:t>
        </s:is>
      </s:c>
      <s:c r="AA17" s="11" t="inlineStr">
        <s:is>
          <s:t>statistical_results</s:t>
        </s:is>
      </s:c>
      <s:c r="AB17" s="11" t="inlineStr">
        <s:is>
          <s:t>retain</s:t>
        </s:is>
      </s:c>
    </s:row>
    <s:row r="18" ht="90" customFormat="1" customHeight="1" s="8">
      <s:c r="A18" s="12" t="b">
        <s:v>0</s:v>
      </s:c>
      <s:c r="B18" s="12" t="n"/>
      <s:c r="C18" s="12" t="b">
        <s:v>0</s:v>
      </s:c>
      <s:c r="D18" s="12" t="inlineStr">
        <s:is>
          <s:t>Numeric or arithmetic inconsistency</s:t>
        </s:is>
      </s:c>
      <s:c r="E18" s="12" t="b">
        <s:v>0</s:v>
      </s:c>
      <s:c r="F18" s="12" t="inlineStr">
        <s:is>
          <s:t>C001</s:t>
        </s:is>
      </s:c>
      <s:c r="G18" s="12" t="inlineStr">
        <s:is>
          <s:t>2025::jama.2025.11178::C001</s:t>
        </s:is>
      </s:c>
      <s:c r="H18" s="12" t="n"/>
      <s:c r="I18" s="12" t="inlineStr">
        <s:is>
          <s:t>main article — PDF p. 5, Figure 1, “4481 Ineligible.”</s:t>
        </s:is>
      </s:c>
      <s:c r="J18" s="12" t="b">
        <s:v>0</s:v>
      </s:c>
      <s:c r="K18" s="12" t="inlineStr">
        <s:is>
          <s:t>jama.2025.11178</s:t>
        </s:is>
      </s:c>
      <s:c r="L18" s="12" t="n"/>
      <s:c r="M18" s="12" t="inlineStr">
        <s:is>
          <s:t>S_W</s:t>
        </s:is>
      </s:c>
      <s:c r="N18" s="12" t="inlineStr">
        <s:is>
          <s:t>Target is within one main article or one non-plan results supplement/workbook; no substantive plan comparison. If the displayed six reasons exhaust the “one or more of” subtotal, their sum must be at least its union: `411+273+189+121+95+34=1123`, 120 below 1243.</s:t>
        </s:is>
      </s:c>
      <s:c r="O18" s="12" t="inlineStr">
        <s:is>
          <s:t>../../2025/jama.2025.11178/.ai_paper_validation/final_report_1_5_1.html</s:t>
        </s:is>
      </s:c>
      <s:c r="P18" s="12" t="inlineStr">
        <s:is>
          <s:t>2025/jama.2025.11178/.ai_paper_validation/final_report_1_5_1.md</s:t>
        </s:is>
      </s:c>
      <s:c r="Q18" s="12" t="inlineStr">
        <s:is>
          <s:t>C001</s:t>
        </s:is>
      </s:c>
      <s:c r="R18" s="12" t="inlineStr">
        <s:is>
          <s:t>Pending Human Adjudication</s:t>
        </s:is>
      </s:c>
      <s:c r="S18" s="12" t="inlineStr">
        <s:is>
          <s:t>Pending Human Adjudication. The printed values identify a candidate consistency issue: Conditional Figure 1 further-ineligibility component subtotal gap.</s:t>
        </s:is>
      </s:c>
      <s:c r="T18" s="12" t="b">
        <s:v>1</s:v>
      </s:c>
      <s:c r="U18" s="12" t="inlineStr">
        <s:is>
          <s:t>Conditional Figure 1 further-ineligibility component subtotal gap</s:t>
        </s:is>
      </s:c>
      <s:c r="V18" s="12" t="inlineStr">
        <s:is>
          <s:t>statistical_results</s:t>
        </s:is>
      </s:c>
      <s:c r="W18" s="12" t="inlineStr">
        <s:is>
          <s:t>Conditional Figure 1 further-ineligibility component subtotal gap</s:t>
        </s:is>
      </s:c>
      <s:c r="X18" s="12" t="inlineStr">
        <s:is>
          <s:t>2025</s:t>
        </s:is>
      </s:c>
      <s:c r="Y18" s="12" t="inlineStr">
        <s:is>
          <s:t>meta_report/consistency_reclassification_2026-09-04/reclassified_candidates.json</s:t>
        </s:is>
      </s:c>
      <s:c r="Z18" s="12" t="inlineStr">
        <s:is>
          <s:t>S_W</s:t>
        </s:is>
      </s:c>
      <s:c r="AA18" s="12" t="inlineStr">
        <s:is>
          <s:t>statistical_results</s:t>
        </s:is>
      </s:c>
      <s:c r="AB18" s="12" t="inlineStr">
        <s:is>
          <s:t>retain</s:t>
        </s:is>
      </s:c>
    </s:row>
    <s:row r="19" ht="90" customFormat="1" customHeight="1" s="8">
      <s:c r="A19" s="11" t="b">
        <s:v>0</s:v>
      </s:c>
      <s:c r="B19" s="11" t="n"/>
      <s:c r="C19" s="11" t="b">
        <s:v>0</s:v>
      </s:c>
      <s:c r="D19" s="11" t="inlineStr">
        <s:is>
          <s:t>Denominator, proportion, or total inconsistency</s:t>
        </s:is>
      </s:c>
      <s:c r="E19" s="11" t="b">
        <s:v>0</s:v>
      </s:c>
      <s:c r="F19" s="11" t="inlineStr">
        <s:is>
          <s:t>C002</s:t>
        </s:is>
      </s:c>
      <s:c r="G19" s="11" t="inlineStr">
        <s:is>
          <s:t>2025::jama.2025.11178::C002</s:t>
        </s:is>
      </s:c>
      <s:c r="H19" s="11" t="n"/>
      <s:c r="I19" s="11" t="inlineStr">
        <s:is>
          <s:t>results supplement — PDF p. 7, eTable 1, Overall column.</s:t>
        </s:is>
      </s:c>
      <s:c r="J19" s="11" t="b">
        <s:v>0</s:v>
      </s:c>
      <s:c r="K19" s="11" t="inlineStr">
        <s:is>
          <s:t>jama.2025.11178</s:t>
        </s:is>
      </s:c>
      <s:c r="L19" s="11" t="n"/>
      <s:c r="M19" s="11" t="inlineStr">
        <s:is>
          <s:t>S_W</s:t>
        </s:is>
      </s:c>
      <s:c r="N19" s="11" t="inlineStr">
        <s:is>
          <s:t>Target is within one main article or one non-plan results supplement/workbook; no substantive plan comparison. Mutually exclusive follow-up patterns should partition the total: `188+283+1568=2039`, not 2036 (difference 3; integer tolerance 0).</s:t>
        </s:is>
      </s:c>
      <s:c r="O19" s="11" t="inlineStr">
        <s:is>
          <s:t>../../2025/jama.2025.11178/.ai_paper_validation/final_report_1_5_1.html</s:t>
        </s:is>
      </s:c>
      <s:c r="P19" s="11" t="inlineStr">
        <s:is>
          <s:t>2025/jama.2025.11178/.ai_paper_validation/final_report_1_5_1.md</s:t>
        </s:is>
      </s:c>
      <s:c r="Q19" s="11" t="inlineStr">
        <s:is>
          <s:t>C002</s:t>
        </s:is>
      </s:c>
      <s:c r="R19" s="11" t="inlineStr">
        <s:is>
          <s:t>Pending Human Adjudication</s:t>
        </s:is>
      </s:c>
      <s:c r="S19" s="11" t="inlineStr">
        <s:is>
          <s:t>Pending Human Adjudication. The printed values identify a candidate consistency issue: Overall eTable 1 follow-up-pattern partition.</s:t>
        </s:is>
      </s:c>
      <s:c r="T19" s="11" t="b">
        <s:v>1</s:v>
      </s:c>
      <s:c r="U19" s="11" t="inlineStr">
        <s:is>
          <s:t>Overall eTable 1 follow-up-pattern partition</s:t>
        </s:is>
      </s:c>
      <s:c r="V19" s="11" t="inlineStr">
        <s:is>
          <s:t>statistical_results</s:t>
        </s:is>
      </s:c>
      <s:c r="W19" s="11" t="inlineStr">
        <s:is>
          <s:t>Overall eTable 1 follow-up-pattern partition</s:t>
        </s:is>
      </s:c>
      <s:c r="X19" s="11" t="inlineStr">
        <s:is>
          <s:t>2025</s:t>
        </s:is>
      </s:c>
      <s:c r="Y19" s="11" t="inlineStr">
        <s:is>
          <s:t>meta_report/consistency_reclassification_2026-09-04/reclassified_candidates.json</s:t>
        </s:is>
      </s:c>
      <s:c r="Z19" s="11" t="inlineStr">
        <s:is>
          <s:t>S_W</s:t>
        </s:is>
      </s:c>
      <s:c r="AA19" s="11" t="inlineStr">
        <s:is>
          <s:t>statistical_results</s:t>
        </s:is>
      </s:c>
      <s:c r="AB19" s="11" t="inlineStr">
        <s:is>
          <s:t>retain</s:t>
        </s:is>
      </s:c>
    </s:row>
    <s:row r="20" ht="90" customFormat="1" customHeight="1" s="8">
      <s:c r="A20" s="12" t="b">
        <s:v>0</s:v>
      </s:c>
      <s:c r="B20" s="12" t="n"/>
      <s:c r="C20" s="12" t="b">
        <s:v>0</s:v>
      </s:c>
      <s:c r="D20" s="12" t="inlineStr">
        <s:is>
          <s:t>Denominator, proportion, or total inconsistency</s:t>
        </s:is>
      </s:c>
      <s:c r="E20" s="12" t="b">
        <s:v>0</s:v>
      </s:c>
      <s:c r="F20" s="12" t="inlineStr">
        <s:is>
          <s:t>C003</s:t>
        </s:is>
      </s:c>
      <s:c r="G20" s="12" t="inlineStr">
        <s:is>
          <s:t>2025::jama.2025.11178::C003</s:t>
        </s:is>
      </s:c>
      <s:c r="H20" s="12" t="n"/>
      <s:c r="I20" s="12" t="inlineStr">
        <s:is>
          <s:t>results supplement — PDF p. 7, eTable 1, painTRAINER column.</s:t>
        </s:is>
      </s:c>
      <s:c r="J20" s="12" t="b">
        <s:v>0</s:v>
      </s:c>
      <s:c r="K20" s="12" t="inlineStr">
        <s:is>
          <s:t>jama.2025.11178</s:t>
        </s:is>
      </s:c>
      <s:c r="L20" s="12" t="n"/>
      <s:c r="M20" s="12" t="inlineStr">
        <s:is>
          <s:t>S_W</s:t>
        </s:is>
      </s:c>
      <s:c r="N20" s="12" t="inlineStr">
        <s:is>
          <s:t>Target is within one main article or one non-plan results supplement/workbook; no substantive plan comparison. `77+103+464=644`, one above 643 (integer tolerance 0).</s:t>
        </s:is>
      </s:c>
      <s:c r="O20" s="12" t="inlineStr">
        <s:is>
          <s:t>../../2025/jama.2025.11178/.ai_paper_validation/final_report_1_5_1.html</s:t>
        </s:is>
      </s:c>
      <s:c r="P20" s="12" t="inlineStr">
        <s:is>
          <s:t>2025/jama.2025.11178/.ai_paper_validation/final_report_1_5_1.md</s:t>
        </s:is>
      </s:c>
      <s:c r="Q20" s="12" t="inlineStr">
        <s:is>
          <s:t>C003</s:t>
        </s:is>
      </s:c>
      <s:c r="R20" s="12" t="inlineStr">
        <s:is>
          <s:t>Pending Human Adjudication</s:t>
        </s:is>
      </s:c>
      <s:c r="S20" s="12" t="inlineStr">
        <s:is>
          <s:t>Pending Human Adjudication. The printed values identify a candidate consistency issue: painTRAINER eTable 1 follow-up-pattern partition.</s:t>
        </s:is>
      </s:c>
      <s:c r="T20" s="12" t="b">
        <s:v>1</s:v>
      </s:c>
      <s:c r="U20" s="12" t="inlineStr">
        <s:is>
          <s:t>painTRAINER eTable 1 follow-up-pattern partition</s:t>
        </s:is>
      </s:c>
      <s:c r="V20" s="12" t="inlineStr">
        <s:is>
          <s:t>statistical_results</s:t>
        </s:is>
      </s:c>
      <s:c r="W20" s="12" t="inlineStr">
        <s:is>
          <s:t>painTRAINER eTable 1 follow-up-pattern partition</s:t>
        </s:is>
      </s:c>
      <s:c r="X20" s="12" t="inlineStr">
        <s:is>
          <s:t>2025</s:t>
        </s:is>
      </s:c>
      <s:c r="Y20" s="12" t="inlineStr">
        <s:is>
          <s:t>meta_report/consistency_reclassification_2026-09-04/reclassified_candidates.json</s:t>
        </s:is>
      </s:c>
      <s:c r="Z20" s="12" t="inlineStr">
        <s:is>
          <s:t>S_W</s:t>
        </s:is>
      </s:c>
      <s:c r="AA20" s="12" t="inlineStr">
        <s:is>
          <s:t>statistical_results</s:t>
        </s:is>
      </s:c>
      <s:c r="AB20" s="12" t="inlineStr">
        <s:is>
          <s:t>retain</s:t>
        </s:is>
      </s:c>
    </s:row>
    <s:row r="21" ht="90" customFormat="1" customHeight="1" s="8">
      <s:c r="A21" s="11" t="b">
        <s:v>0</s:v>
      </s:c>
      <s:c r="B21" s="11" t="n"/>
      <s:c r="C21" s="11" t="b">
        <s:v>0</s:v>
      </s:c>
      <s:c r="D21" s="11" t="inlineStr">
        <s:is>
          <s:t>Denominator, proportion, or total inconsistency</s:t>
        </s:is>
      </s:c>
      <s:c r="E21" s="11" t="b">
        <s:v>0</s:v>
      </s:c>
      <s:c r="F21" s="11" t="inlineStr">
        <s:is>
          <s:t>C004</s:t>
        </s:is>
      </s:c>
      <s:c r="G21" s="11" t="inlineStr">
        <s:is>
          <s:t>2025::jama.2025.11178::C004</s:t>
        </s:is>
      </s:c>
      <s:c r="H21" s="11" t="n"/>
      <s:c r="I21" s="11" t="inlineStr">
        <s:is>
          <s:t>results supplement — PDF p. 7, eTable 1, Health Coach column.</s:t>
        </s:is>
      </s:c>
      <s:c r="J21" s="11" t="b">
        <s:v>0</s:v>
      </s:c>
      <s:c r="K21" s="11" t="inlineStr">
        <s:is>
          <s:t>jama.2025.11178</s:t>
        </s:is>
      </s:c>
      <s:c r="L21" s="11" t="n"/>
      <s:c r="M21" s="11" t="inlineStr">
        <s:is>
          <s:t>S_W</s:t>
        </s:is>
      </s:c>
      <s:c r="N21" s="11" t="inlineStr">
        <s:is>
          <s:t>Target is within one main article or one non-plan results supplement/workbook; no substantive plan comparison. `47+81+564=692`, two above 690 (integer tolerance 0).</s:t>
        </s:is>
      </s:c>
      <s:c r="O21" s="11" t="inlineStr">
        <s:is>
          <s:t>../../2025/jama.2025.11178/.ai_paper_validation/final_report_1_5_1.html</s:t>
        </s:is>
      </s:c>
      <s:c r="P21" s="11" t="inlineStr">
        <s:is>
          <s:t>2025/jama.2025.11178/.ai_paper_validation/final_report_1_5_1.md</s:t>
        </s:is>
      </s:c>
      <s:c r="Q21" s="11" t="inlineStr">
        <s:is>
          <s:t>C004</s:t>
        </s:is>
      </s:c>
      <s:c r="R21" s="11" t="inlineStr">
        <s:is>
          <s:t>Pending Human Adjudication</s:t>
        </s:is>
      </s:c>
      <s:c r="S21" s="11" t="inlineStr">
        <s:is>
          <s:t>Pending Human Adjudication. The printed values identify a candidate consistency issue: Health Coach eTable 1 follow-up-pattern partition.</s:t>
        </s:is>
      </s:c>
      <s:c r="T21" s="11" t="b">
        <s:v>1</s:v>
      </s:c>
      <s:c r="U21" s="11" t="inlineStr">
        <s:is>
          <s:t>Health Coach eTable 1 follow-up-pattern partition</s:t>
        </s:is>
      </s:c>
      <s:c r="V21" s="11" t="inlineStr">
        <s:is>
          <s:t>statistical_results</s:t>
        </s:is>
      </s:c>
      <s:c r="W21" s="11" t="inlineStr">
        <s:is>
          <s:t>Health Coach eTable 1 follow-up-pattern partition</s:t>
        </s:is>
      </s:c>
      <s:c r="X21" s="11" t="inlineStr">
        <s:is>
          <s:t>2025</s:t>
        </s:is>
      </s:c>
      <s:c r="Y21" s="11" t="inlineStr">
        <s:is>
          <s:t>meta_report/consistency_reclassification_2026-09-04/reclassified_candidates.json</s:t>
        </s:is>
      </s:c>
      <s:c r="Z21" s="11" t="inlineStr">
        <s:is>
          <s:t>S_W</s:t>
        </s:is>
      </s:c>
      <s:c r="AA21" s="11" t="inlineStr">
        <s:is>
          <s:t>statistical_results</s:t>
        </s:is>
      </s:c>
      <s:c r="AB21" s="11" t="inlineStr">
        <s:is>
          <s:t>retain</s:t>
        </s:is>
      </s:c>
    </s:row>
    <s:row r="22" ht="90" customFormat="1" customHeight="1" s="8">
      <s:c r="A22" s="12" t="b">
        <s:v>0</s:v>
      </s:c>
      <s:c r="B22" s="12" t="n"/>
      <s:c r="C22" s="12" t="b">
        <s:v>0</s:v>
      </s:c>
      <s:c r="D22" s="12" t="inlineStr">
        <s:is>
          <s:t>Denominator, proportion, or total inconsistency</s:t>
        </s:is>
      </s:c>
      <s:c r="E22" s="12" t="b">
        <s:v>0</s:v>
      </s:c>
      <s:c r="F22" s="12" t="inlineStr">
        <s:is>
          <s:t>C005</s:t>
        </s:is>
      </s:c>
      <s:c r="G22" s="12" t="inlineStr">
        <s:is>
          <s:t>2025::jama.2025.11178::C005</s:t>
        </s:is>
      </s:c>
      <s:c r="H22" s="12" t="n"/>
      <s:c r="I22" s="12" t="inlineStr">
        <s:is>
          <s:t>workbook, worksheet eTable 3, cells A82:E83 and E2:E3.</s:t>
        </s:is>
      </s:c>
      <s:c r="J22" s="12" t="b">
        <s:v>0</s:v>
      </s:c>
      <s:c r="K22" s="12" t="inlineStr">
        <s:is>
          <s:t>jama.2025.11178</s:t>
        </s:is>
      </s:c>
      <s:c r="L22" s="12" t="n"/>
      <s:c r="M22" s="12" t="inlineStr">
        <s:is>
          <s:t>S_W</s:t>
        </s:is>
      </s:c>
      <s:c r="N22" s="12" t="inlineStr">
        <s:is>
          <s:t>Target is within one main article or one non-plan results supplement/workbook; no substantive plan comparison. Missing-excluded denominator is `1566`; `711/1566=45.4%`, not 73.2% (and `711/1568=45.3%`).</s:t>
        </s:is>
      </s:c>
      <s:c r="O22" s="12" t="inlineStr">
        <s:is>
          <s:t>../../2025/jama.2025.11178/.ai_paper_validation/final_report_1_5_1.html</s:t>
        </s:is>
      </s:c>
      <s:c r="P22" s="12" t="inlineStr">
        <s:is>
          <s:t>2025/jama.2025.11178/.ai_paper_validation/final_report_1_5_1.md</s:t>
        </s:is>
      </s:c>
      <s:c r="Q22" s="12" t="inlineStr">
        <s:is>
          <s:t>C005</s:t>
        </s:is>
      </s:c>
      <s:c r="R22" s="12" t="inlineStr">
        <s:is>
          <s:t>Pending Human Adjudication</s:t>
        </s:is>
      </s:c>
      <s:c r="S22" s="12" t="inlineStr">
        <s:is>
          <s:t>Pending Human Adjudication. The printed values identify a candidate consistency issue: Workbook current-depression percentage incompatible with its count.</s:t>
        </s:is>
      </s:c>
      <s:c r="T22" s="12" t="b">
        <s:v>1</s:v>
      </s:c>
      <s:c r="U22" s="12" t="inlineStr">
        <s:is>
          <s:t>Workbook current-depression percentage incompatible with its count</s:t>
        </s:is>
      </s:c>
      <s:c r="V22" s="12" t="inlineStr">
        <s:is>
          <s:t>statistical_results</s:t>
        </s:is>
      </s:c>
      <s:c r="W22" s="12" t="inlineStr">
        <s:is>
          <s:t>Workbook current-depression percentage incompatible with its count</s:t>
        </s:is>
      </s:c>
      <s:c r="X22" s="12" t="inlineStr">
        <s:is>
          <s:t>2025</s:t>
        </s:is>
      </s:c>
      <s:c r="Y22" s="12" t="inlineStr">
        <s:is>
          <s:t>meta_report/consistency_reclassification_2026-09-04/reclassified_candidates.json</s:t>
        </s:is>
      </s:c>
      <s:c r="Z22" s="12" t="inlineStr">
        <s:is>
          <s:t>S_W</s:t>
        </s:is>
      </s:c>
      <s:c r="AA22" s="12" t="inlineStr">
        <s:is>
          <s:t>statistical_results</s:t>
        </s:is>
      </s:c>
      <s:c r="AB22" s="12" t="inlineStr">
        <s:is>
          <s:t>retain</s:t>
        </s:is>
      </s:c>
    </s:row>
    <s:row r="23" ht="90" customFormat="1" customHeight="1" s="8">
      <s:c r="A23" s="11" t="b">
        <s:v>0</s:v>
      </s:c>
      <s:c r="B23" s="11" t="n"/>
      <s:c r="C23" s="11" t="b">
        <s:v>0</s:v>
      </s:c>
      <s:c r="D23" s="11" t="inlineStr">
        <s:is>
          <s:t>Measure, label, or scale inconsistency</s:t>
        </s:is>
      </s:c>
      <s:c r="E23" s="11" t="b">
        <s:v>0</s:v>
      </s:c>
      <s:c r="F23" s="11" t="inlineStr">
        <s:is>
          <s:t>C006</s:t>
        </s:is>
      </s:c>
      <s:c r="G23" s="11" t="inlineStr">
        <s:is>
          <s:t>2025::jama.2025.11178::C006</s:t>
        </s:is>
      </s:c>
      <s:c r="H23" s="11" t="n"/>
      <s:c r="I23" s="11" t="inlineStr">
        <s:is>
          <s:t>workbook, worksheet eTable 3, cells A103:E104.</s:t>
        </s:is>
      </s:c>
      <s:c r="J23" s="11" t="b">
        <s:v>0</s:v>
      </s:c>
      <s:c r="K23" s="11" t="inlineStr">
        <s:is>
          <s:t>jama.2025.11178</s:t>
        </s:is>
      </s:c>
      <s:c r="L23" s="11" t="n"/>
      <s:c r="M23" s="11" t="inlineStr">
        <s:is>
          <s:t>S_W</s:t>
        </s:is>
      </s:c>
      <s:c r="N23" s="11" t="inlineStr">
        <s:is>
          <s:t>Target is within one main article or one non-plan results supplement/workbook; no substantive plan comparison. Entries are count/percentages: `525/(1568-31)=34.2%`; they are not mean/SD values.</s:t>
        </s:is>
      </s:c>
      <s:c r="O23" s="11" t="inlineStr">
        <s:is>
          <s:t>../../2025/jama.2025.11178/.ai_paper_validation/final_report_1_5_1.html</s:t>
        </s:is>
      </s:c>
      <s:c r="P23" s="11" t="inlineStr">
        <s:is>
          <s:t>2025/jama.2025.11178/.ai_paper_validation/final_report_1_5_1.md</s:t>
        </s:is>
      </s:c>
      <s:c r="Q23" s="11" t="inlineStr">
        <s:is>
          <s:t>C006</s:t>
        </s:is>
      </s:c>
      <s:c r="R23" s="11" t="inlineStr">
        <s:is>
          <s:t>Pending Human Adjudication</s:t>
        </s:is>
      </s:c>
      <s:c r="S23" s="11" t="inlineStr">
        <s:is>
          <s:t>Pending Human Adjudication. The printed values identify a candidate consistency issue: Workbook social-role cutoff labeled as mean (SD).</s:t>
        </s:is>
      </s:c>
      <s:c r="T23" s="11" t="b">
        <s:v>1</s:v>
      </s:c>
      <s:c r="U23" s="11" t="inlineStr">
        <s:is>
          <s:t>Workbook social-role cutoff labeled as mean (SD)</s:t>
        </s:is>
      </s:c>
      <s:c r="V23" s="11" t="inlineStr">
        <s:is>
          <s:t>report_internal_inconsistency</s:t>
        </s:is>
      </s:c>
      <s:c r="W23" s="11" t="inlineStr">
        <s:is>
          <s:t>Workbook social-role cutoff labeled as mean (SD)</s:t>
        </s:is>
      </s:c>
      <s:c r="X23" s="11" t="inlineStr">
        <s:is>
          <s:t>2025</s:t>
        </s:is>
      </s:c>
      <s:c r="Y23" s="11" t="inlineStr">
        <s:is>
          <s:t>meta_report/consistency_reclassification_2026-09-04/reclassified_candidates.json</s:t>
        </s:is>
      </s:c>
      <s:c r="Z23" s="11" t="inlineStr">
        <s:is>
          <s:t>S_W</s:t>
        </s:is>
      </s:c>
      <s:c r="AA23" s="11" t="inlineStr">
        <s:is>
          <s:t>report_internal_inconsistency</s:t>
        </s:is>
      </s:c>
      <s:c r="AB23" s="11" t="inlineStr">
        <s:is>
          <s:t>retain</s:t>
        </s:is>
      </s:c>
    </s:row>
    <s:row r="24" ht="90" customFormat="1" customHeight="1" s="8">
      <s:c r="A24" s="12" t="b">
        <s:v>0</s:v>
      </s:c>
      <s:c r="B24" s="12" t="n"/>
      <s:c r="C24" s="12" t="b">
        <s:v>0</s:v>
      </s:c>
      <s:c r="D24" s="12" t="inlineStr">
        <s:is>
          <s:t>Measure, label, or scale inconsistency</s:t>
        </s:is>
      </s:c>
      <s:c r="E24" s="12" t="b">
        <s:v>0</s:v>
      </s:c>
      <s:c r="F24" s="12" t="inlineStr">
        <s:is>
          <s:t>C007</s:t>
        </s:is>
      </s:c>
      <s:c r="G24" s="12" t="inlineStr">
        <s:is>
          <s:t>2025::jama.2025.11178::C007</s:t>
        </s:is>
      </s:c>
      <s:c r="H24" s="12" t="n"/>
      <s:c r="I24" s="12" t="inlineStr">
        <s:is>
          <s:t>workbook, worksheet eTable 3, cells A106:E107.</s:t>
        </s:is>
      </s:c>
      <s:c r="J24" s="12" t="b">
        <s:v>0</s:v>
      </s:c>
      <s:c r="K24" s="12" t="inlineStr">
        <s:is>
          <s:t>jama.2025.11178</s:t>
        </s:is>
      </s:c>
      <s:c r="L24" s="12" t="n"/>
      <s:c r="M24" s="12" t="inlineStr">
        <s:is>
          <s:t>S_W</s:t>
        </s:is>
      </s:c>
      <s:c r="N24" s="12" t="inlineStr">
        <s:is>
          <s:t>Target is within one main article or one non-plan results supplement/workbook; no substantive plan comparison. `1143/(1568-14)=73.6%`; displayed cells are N(%), not mean(SD).</s:t>
        </s:is>
      </s:c>
      <s:c r="O24" s="12" t="inlineStr">
        <s:is>
          <s:t>../../2025/jama.2025.11178/.ai_paper_validation/final_report_1_5_1.html</s:t>
        </s:is>
      </s:c>
      <s:c r="P24" s="12" t="inlineStr">
        <s:is>
          <s:t>2025/jama.2025.11178/.ai_paper_validation/final_report_1_5_1.md</s:t>
        </s:is>
      </s:c>
      <s:c r="Q24" s="12" t="inlineStr">
        <s:is>
          <s:t>C007</s:t>
        </s:is>
      </s:c>
      <s:c r="R24" s="12" t="inlineStr">
        <s:is>
          <s:t>Pending Human Adjudication</s:t>
        </s:is>
      </s:c>
      <s:c r="S24" s="12" t="inlineStr">
        <s:is>
          <s:t>Pending Human Adjudication. The printed values identify a candidate consistency issue: Workbook physical-function cutoff labeled as mean (SD).</s:t>
        </s:is>
      </s:c>
      <s:c r="T24" s="12" t="b">
        <s:v>1</s:v>
      </s:c>
      <s:c r="U24" s="12" t="inlineStr">
        <s:is>
          <s:t>Workbook physical-function cutoff labeled as mean (SD)</s:t>
        </s:is>
      </s:c>
      <s:c r="V24" s="12" t="inlineStr">
        <s:is>
          <s:t>report_internal_inconsistency</s:t>
        </s:is>
      </s:c>
      <s:c r="W24" s="12" t="inlineStr">
        <s:is>
          <s:t>Workbook physical-function cutoff labeled as mean (SD)</s:t>
        </s:is>
      </s:c>
      <s:c r="X24" s="12" t="inlineStr">
        <s:is>
          <s:t>2025</s:t>
        </s:is>
      </s:c>
      <s:c r="Y24" s="12" t="inlineStr">
        <s:is>
          <s:t>meta_report/consistency_reclassification_2026-09-04/reclassified_candidates.json</s:t>
        </s:is>
      </s:c>
      <s:c r="Z24" s="12" t="inlineStr">
        <s:is>
          <s:t>S_W</s:t>
        </s:is>
      </s:c>
      <s:c r="AA24" s="12" t="inlineStr">
        <s:is>
          <s:t>report_internal_inconsistency</s:t>
        </s:is>
      </s:c>
      <s:c r="AB24" s="12" t="inlineStr">
        <s:is>
          <s:t>retain</s:t>
        </s:is>
      </s:c>
    </s:row>
    <s:row r="25" ht="90" customFormat="1" customHeight="1" s="8">
      <s:c r="A25" s="11" t="b">
        <s:v>0</s:v>
      </s:c>
      <s:c r="B25" s="11" t="n"/>
      <s:c r="C25" s="11" t="b">
        <s:v>0</s:v>
      </s:c>
      <s:c r="D25" s="11" t="inlineStr">
        <s:is>
          <s:t>Statistical reporting inconsistency</s:t>
        </s:is>
      </s:c>
      <s:c r="E25" s="11" t="b">
        <s:v>0</s:v>
      </s:c>
      <s:c r="F25" s="11" t="inlineStr">
        <s:is>
          <s:t>C008</s:t>
        </s:is>
      </s:c>
      <s:c r="G25" s="11" t="inlineStr">
        <s:is>
          <s:t>2025::jama.2025.11178::C008</s:t>
        </s:is>
      </s:c>
      <s:c r="H25" s="11" t="n"/>
      <s:c r="I25" s="11" t="inlineStr">
        <s:is>
          <s:t>main article — PDF p. 10, Table 3, pain severity 12 months, painTRAINER vs usual care plus SMD.</s:t>
        </s:is>
      </s:c>
      <s:c r="J25" s="11" t="b">
        <s:v>0</s:v>
      </s:c>
      <s:c r="K25" s="11" t="inlineStr">
        <s:is>
          <s:t>jama.2025.11178</s:t>
        </s:is>
      </s:c>
      <s:c r="L25" s="11" t="n"/>
      <s:c r="M25" s="11" t="inlineStr">
        <s:is>
          <s:t>S_W</s:t>
        </s:is>
      </s:c>
      <s:c r="N25" s="11" t="inlineStr">
        <s:is>
          <s:t>Target is within one main article or one non-plan results supplement/workbook; no substantive plan comparison. Point estimate must lie within its interval; `-0.25 &lt; -0.24`.</s:t>
        </s:is>
      </s:c>
      <s:c r="O25" s="11" t="inlineStr">
        <s:is>
          <s:t>../../2025/jama.2025.11178/.ai_paper_validation/final_report_1_5_1.html</s:t>
        </s:is>
      </s:c>
      <s:c r="P25" s="11" t="inlineStr">
        <s:is>
          <s:t>2025/jama.2025.11178/.ai_paper_validation/final_report_1_5_1.md</s:t>
        </s:is>
      </s:c>
      <s:c r="Q25" s="11" t="inlineStr">
        <s:is>
          <s:t>C008</s:t>
        </s:is>
      </s:c>
      <s:c r="R25" s="11" t="inlineStr">
        <s:is>
          <s:t>Pending Human Adjudication</s:t>
        </s:is>
      </s:c>
      <s:c r="S25" s="11" t="inlineStr">
        <s:is>
          <s:t>Pending Human Adjudication. The printed values identify a candidate consistency issue: Pain-severity 12-month painTRAINER SMD outside printed CI.</s:t>
        </s:is>
      </s:c>
      <s:c r="T25" s="11" t="b">
        <s:v>1</s:v>
      </s:c>
      <s:c r="U25" s="11" t="inlineStr">
        <s:is>
          <s:t>Pain-severity 12-month painTRAINER SMD outside printed CI</s:t>
        </s:is>
      </s:c>
      <s:c r="V25" s="11" t="inlineStr">
        <s:is>
          <s:t>statistical_results</s:t>
        </s:is>
      </s:c>
      <s:c r="W25" s="11" t="inlineStr">
        <s:is>
          <s:t>Pain-severity 12-month painTRAINER SMD outside printed CI</s:t>
        </s:is>
      </s:c>
      <s:c r="X25" s="11" t="inlineStr">
        <s:is>
          <s:t>2025</s:t>
        </s:is>
      </s:c>
      <s:c r="Y25" s="11" t="inlineStr">
        <s:is>
          <s:t>meta_report/consistency_reclassification_2026-09-04/reclassified_candidates.json</s:t>
        </s:is>
      </s:c>
      <s:c r="Z25" s="11" t="inlineStr">
        <s:is>
          <s:t>S_W</s:t>
        </s:is>
      </s:c>
      <s:c r="AA25" s="11" t="inlineStr">
        <s:is>
          <s:t>statistical_results</s:t>
        </s:is>
      </s:c>
      <s:c r="AB25" s="11" t="inlineStr">
        <s:is>
          <s:t>retain</s:t>
        </s:is>
      </s:c>
    </s:row>
    <s:row r="26" ht="90" customFormat="1" customHeight="1" s="8">
      <s:c r="A26" s="12" t="b">
        <s:v>0</s:v>
      </s:c>
      <s:c r="B26" s="12" t="n"/>
      <s:c r="C26" s="12" t="b">
        <s:v>0</s:v>
      </s:c>
      <s:c r="D26" s="12" t="inlineStr">
        <s:is>
          <s:t>Statistical reporting inconsistency</s:t>
        </s:is>
      </s:c>
      <s:c r="E26" s="12" t="b">
        <s:v>0</s:v>
      </s:c>
      <s:c r="F26" s="12" t="inlineStr">
        <s:is>
          <s:t>C009</s:t>
        </s:is>
      </s:c>
      <s:c r="G26" s="12" t="inlineStr">
        <s:is>
          <s:t>2025::jama.2025.11178::C009</s:t>
        </s:is>
      </s:c>
      <s:c r="H26" s="12" t="n"/>
      <s:c r="I26" s="12" t="inlineStr">
        <s:is>
          <s:t>main article — PDF p. 10, Table 3, pain severity 12 months, Health Coach vs usual care plus SMD.</s:t>
        </s:is>
      </s:c>
      <s:c r="J26" s="12" t="b">
        <s:v>0</s:v>
      </s:c>
      <s:c r="K26" s="12" t="inlineStr">
        <s:is>
          <s:t>jama.2025.11178</s:t>
        </s:is>
      </s:c>
      <s:c r="L26" s="12" t="n"/>
      <s:c r="M26" s="12" t="inlineStr">
        <s:is>
          <s:t>S_W</s:t>
        </s:is>
      </s:c>
      <s:c r="N26" s="12" t="inlineStr">
        <s:is>
          <s:t>Target is within one main article or one non-plan results supplement/workbook; no substantive plan comparison. `-0.36 &lt; -0.35`, so estimate is outside CI.</s:t>
        </s:is>
      </s:c>
      <s:c r="O26" s="12" t="inlineStr">
        <s:is>
          <s:t>../../2025/jama.2025.11178/.ai_paper_validation/final_report_1_5_1.html</s:t>
        </s:is>
      </s:c>
      <s:c r="P26" s="12" t="inlineStr">
        <s:is>
          <s:t>2025/jama.2025.11178/.ai_paper_validation/final_report_1_5_1.md</s:t>
        </s:is>
      </s:c>
      <s:c r="Q26" s="12" t="inlineStr">
        <s:is>
          <s:t>C009</s:t>
        </s:is>
      </s:c>
      <s:c r="R26" s="12" t="inlineStr">
        <s:is>
          <s:t>Pending Human Adjudication</s:t>
        </s:is>
      </s:c>
      <s:c r="S26" s="12" t="inlineStr">
        <s:is>
          <s:t>Pending Human Adjudication. The printed values identify a candidate consistency issue: Pain-severity 12-month Health Coach SMD outside printed CI.</s:t>
        </s:is>
      </s:c>
      <s:c r="T26" s="12" t="b">
        <s:v>1</s:v>
      </s:c>
      <s:c r="U26" s="12" t="inlineStr">
        <s:is>
          <s:t>Pain-severity 12-month Health Coach SMD outside printed CI</s:t>
        </s:is>
      </s:c>
      <s:c r="V26" s="12" t="inlineStr">
        <s:is>
          <s:t>statistical_results</s:t>
        </s:is>
      </s:c>
      <s:c r="W26" s="12" t="inlineStr">
        <s:is>
          <s:t>Pain-severity 12-month Health Coach SMD outside printed CI</s:t>
        </s:is>
      </s:c>
      <s:c r="X26" s="12" t="inlineStr">
        <s:is>
          <s:t>2025</s:t>
        </s:is>
      </s:c>
      <s:c r="Y26" s="12" t="inlineStr">
        <s:is>
          <s:t>meta_report/consistency_reclassification_2026-09-04/reclassified_candidates.json</s:t>
        </s:is>
      </s:c>
      <s:c r="Z26" s="12" t="inlineStr">
        <s:is>
          <s:t>S_W</s:t>
        </s:is>
      </s:c>
      <s:c r="AA26" s="12" t="inlineStr">
        <s:is>
          <s:t>statistical_results</s:t>
        </s:is>
      </s:c>
      <s:c r="AB26" s="12" t="inlineStr">
        <s:is>
          <s:t>retain</s:t>
        </s:is>
      </s:c>
    </s:row>
    <s:row r="27" ht="90" customFormat="1" customHeight="1" s="8">
      <s:c r="A27" s="11" t="b">
        <s:v>0</s:v>
      </s:c>
      <s:c r="B27" s="11" t="n"/>
      <s:c r="C27" s="11" t="b">
        <s:v>0</s:v>
      </s:c>
      <s:c r="D27" s="11" t="inlineStr">
        <s:is>
          <s:t>Statistical reporting inconsistency</s:t>
        </s:is>
      </s:c>
      <s:c r="E27" s="11" t="b">
        <s:v>0</s:v>
      </s:c>
      <s:c r="F27" s="11" t="inlineStr">
        <s:is>
          <s:t>C010</s:t>
        </s:is>
      </s:c>
      <s:c r="G27" s="11" t="inlineStr">
        <s:is>
          <s:t>2025::jama.2025.11178::C010</s:t>
        </s:is>
      </s:c>
      <s:c r="H27" s="11" t="n"/>
      <s:c r="I27" s="11" t="inlineStr">
        <s:is>
          <s:t>main article — PDF p. 10, Table 3, pain intensity 12 months, Health Coach vs usual care plus SMD.</s:t>
        </s:is>
      </s:c>
      <s:c r="J27" s="11" t="b">
        <s:v>0</s:v>
      </s:c>
      <s:c r="K27" s="11" t="inlineStr">
        <s:is>
          <s:t>jama.2025.11178</s:t>
        </s:is>
      </s:c>
      <s:c r="L27" s="11" t="n"/>
      <s:c r="M27" s="11" t="inlineStr">
        <s:is>
          <s:t>S_W</s:t>
        </s:is>
      </s:c>
      <s:c r="N27" s="11" t="inlineStr">
        <s:is>
          <s:t>Target is within one main article or one non-plan results supplement/workbook; no substantive plan comparison. `-0.27 &lt; -0.26`, outside CI.</s:t>
        </s:is>
      </s:c>
      <s:c r="O27" s="11" t="inlineStr">
        <s:is>
          <s:t>../../2025/jama.2025.11178/.ai_paper_validation/final_report_1_5_1.html</s:t>
        </s:is>
      </s:c>
      <s:c r="P27" s="11" t="inlineStr">
        <s:is>
          <s:t>2025/jama.2025.11178/.ai_paper_validation/final_report_1_5_1.md</s:t>
        </s:is>
      </s:c>
      <s:c r="Q27" s="11" t="inlineStr">
        <s:is>
          <s:t>C010</s:t>
        </s:is>
      </s:c>
      <s:c r="R27" s="11" t="inlineStr">
        <s:is>
          <s:t>Pending Human Adjudication</s:t>
        </s:is>
      </s:c>
      <s:c r="S27" s="11" t="inlineStr">
        <s:is>
          <s:t>Pending Human Adjudication. The printed values identify a candidate consistency issue: Pain-intensity 12-month Health Coach SMD outside printed CI.</s:t>
        </s:is>
      </s:c>
      <s:c r="T27" s="11" t="b">
        <s:v>1</s:v>
      </s:c>
      <s:c r="U27" s="11" t="inlineStr">
        <s:is>
          <s:t>Pain-intensity 12-month Health Coach SMD outside printed CI</s:t>
        </s:is>
      </s:c>
      <s:c r="V27" s="11" t="inlineStr">
        <s:is>
          <s:t>statistical_results</s:t>
        </s:is>
      </s:c>
      <s:c r="W27" s="11" t="inlineStr">
        <s:is>
          <s:t>Pain-intensity 12-month Health Coach SMD outside printed CI</s:t>
        </s:is>
      </s:c>
      <s:c r="X27" s="11" t="inlineStr">
        <s:is>
          <s:t>2025</s:t>
        </s:is>
      </s:c>
      <s:c r="Y27" s="11" t="inlineStr">
        <s:is>
          <s:t>meta_report/consistency_reclassification_2026-09-04/reclassified_candidates.json</s:t>
        </s:is>
      </s:c>
      <s:c r="Z27" s="11" t="inlineStr">
        <s:is>
          <s:t>S_W</s:t>
        </s:is>
      </s:c>
      <s:c r="AA27" s="11" t="inlineStr">
        <s:is>
          <s:t>statistical_results</s:t>
        </s:is>
      </s:c>
      <s:c r="AB27" s="11" t="inlineStr">
        <s:is>
          <s:t>retain</s:t>
        </s:is>
      </s:c>
    </s:row>
    <s:row r="28" ht="90" customFormat="1" customHeight="1" s="8">
      <s:c r="A28" s="12" t="b">
        <s:v>0</s:v>
      </s:c>
      <s:c r="B28" s="12" t="n"/>
      <s:c r="C28" s="12" t="b">
        <s:v>0</s:v>
      </s:c>
      <s:c r="D28" s="12" t="inlineStr">
        <s:is>
          <s:t>Statistical reporting inconsistency</s:t>
        </s:is>
      </s:c>
      <s:c r="E28" s="12" t="b">
        <s:v>0</s:v>
      </s:c>
      <s:c r="F28" s="12" t="inlineStr">
        <s:is>
          <s:t>C011</s:t>
        </s:is>
      </s:c>
      <s:c r="G28" s="12" t="inlineStr">
        <s:is>
          <s:t>2025::jama.2025.11178::C011</s:t>
        </s:is>
      </s:c>
      <s:c r="H28" s="12" t="n"/>
      <s:c r="I28" s="12" t="inlineStr">
        <s:is>
          <s:t>main article — PDF p. 10, Table 3, interference 12 months, painTRAINER vs usual care plus SMD.</s:t>
        </s:is>
      </s:c>
      <s:c r="J28" s="12" t="b">
        <s:v>0</s:v>
      </s:c>
      <s:c r="K28" s="12" t="inlineStr">
        <s:is>
          <s:t>jama.2025.11178</s:t>
        </s:is>
      </s:c>
      <s:c r="L28" s="12" t="n"/>
      <s:c r="M28" s="12" t="inlineStr">
        <s:is>
          <s:t>S_W</s:t>
        </s:is>
      </s:c>
      <s:c r="N28" s="12" t="inlineStr">
        <s:is>
          <s:t>Target is within one main article or one non-plan results supplement/workbook; no substantive plan comparison. `-0.26 &lt; -0.25`, outside CI.</s:t>
        </s:is>
      </s:c>
      <s:c r="O28" s="12" t="inlineStr">
        <s:is>
          <s:t>../../2025/jama.2025.11178/.ai_paper_validation/final_report_1_5_1.html</s:t>
        </s:is>
      </s:c>
      <s:c r="P28" s="12" t="inlineStr">
        <s:is>
          <s:t>2025/jama.2025.11178/.ai_paper_validation/final_report_1_5_1.md</s:t>
        </s:is>
      </s:c>
      <s:c r="Q28" s="12" t="inlineStr">
        <s:is>
          <s:t>C011</s:t>
        </s:is>
      </s:c>
      <s:c r="R28" s="12" t="inlineStr">
        <s:is>
          <s:t>Pending Human Adjudication</s:t>
        </s:is>
      </s:c>
      <s:c r="S28" s="12" t="inlineStr">
        <s:is>
          <s:t>Pending Human Adjudication. The printed values identify a candidate consistency issue: Pain-interference 12-month painTRAINER SMD outside printed CI.</s:t>
        </s:is>
      </s:c>
      <s:c r="T28" s="12" t="b">
        <s:v>1</s:v>
      </s:c>
      <s:c r="U28" s="12" t="inlineStr">
        <s:is>
          <s:t>Pain-interference 12-month painTRAINER SMD outside printed CI</s:t>
        </s:is>
      </s:c>
      <s:c r="V28" s="12" t="inlineStr">
        <s:is>
          <s:t>statistical_results</s:t>
        </s:is>
      </s:c>
      <s:c r="W28" s="12" t="inlineStr">
        <s:is>
          <s:t>Pain-interference 12-month painTRAINER SMD outside printed CI</s:t>
        </s:is>
      </s:c>
      <s:c r="X28" s="12" t="inlineStr">
        <s:is>
          <s:t>2025</s:t>
        </s:is>
      </s:c>
      <s:c r="Y28" s="12" t="inlineStr">
        <s:is>
          <s:t>meta_report/consistency_reclassification_2026-09-04/reclassified_candidates.json</s:t>
        </s:is>
      </s:c>
      <s:c r="Z28" s="12" t="inlineStr">
        <s:is>
          <s:t>S_W</s:t>
        </s:is>
      </s:c>
      <s:c r="AA28" s="12" t="inlineStr">
        <s:is>
          <s:t>statistical_results</s:t>
        </s:is>
      </s:c>
      <s:c r="AB28" s="12" t="inlineStr">
        <s:is>
          <s:t>retain</s:t>
        </s:is>
      </s:c>
    </s:row>
    <s:row r="29" ht="90" customFormat="1" customHeight="1" s="8">
      <s:c r="A29" s="11" t="b">
        <s:v>0</s:v>
      </s:c>
      <s:c r="B29" s="11" t="n"/>
      <s:c r="C29" s="11" t="b">
        <s:v>0</s:v>
      </s:c>
      <s:c r="D29" s="11" t="inlineStr">
        <s:is>
          <s:t>Statistical reporting inconsistency</s:t>
        </s:is>
      </s:c>
      <s:c r="E29" s="11" t="b">
        <s:v>0</s:v>
      </s:c>
      <s:c r="F29" s="11" t="inlineStr">
        <s:is>
          <s:t>C012</s:t>
        </s:is>
      </s:c>
      <s:c r="G29" s="11" t="inlineStr">
        <s:is>
          <s:t>2025::jama.2025.11178::C012</s:t>
        </s:is>
      </s:c>
      <s:c r="H29" s="11" t="n"/>
      <s:c r="I29" s="11" t="inlineStr">
        <s:is>
          <s:t>main article — PDF p. 10, Table 3, interference 12 months, Health Coach vs usual care plus SMD.</s:t>
        </s:is>
      </s:c>
      <s:c r="J29" s="11" t="b">
        <s:v>0</s:v>
      </s:c>
      <s:c r="K29" s="11" t="inlineStr">
        <s:is>
          <s:t>jama.2025.11178</s:t>
        </s:is>
      </s:c>
      <s:c r="L29" s="11" t="n"/>
      <s:c r="M29" s="11" t="inlineStr">
        <s:is>
          <s:t>S_W</s:t>
        </s:is>
      </s:c>
      <s:c r="N29" s="11" t="inlineStr">
        <s:is>
          <s:t>Target is within one main article or one non-plan results supplement/workbook; no substantive plan comparison. `-0.37 &lt; -0.36`, outside CI.</s:t>
        </s:is>
      </s:c>
      <s:c r="O29" s="11" t="inlineStr">
        <s:is>
          <s:t>../../2025/jama.2025.11178/.ai_paper_validation/final_report_1_5_1.html</s:t>
        </s:is>
      </s:c>
      <s:c r="P29" s="11" t="inlineStr">
        <s:is>
          <s:t>2025/jama.2025.11178/.ai_paper_validation/final_report_1_5_1.md</s:t>
        </s:is>
      </s:c>
      <s:c r="Q29" s="11" t="inlineStr">
        <s:is>
          <s:t>C012</s:t>
        </s:is>
      </s:c>
      <s:c r="R29" s="11" t="inlineStr">
        <s:is>
          <s:t>Pending Human Adjudication</s:t>
        </s:is>
      </s:c>
      <s:c r="S29" s="11" t="inlineStr">
        <s:is>
          <s:t>Pending Human Adjudication. The printed values identify a candidate consistency issue: Pain-interference 12-month Health Coach SMD outside printed CI.</s:t>
        </s:is>
      </s:c>
      <s:c r="T29" s="11" t="b">
        <s:v>1</s:v>
      </s:c>
      <s:c r="U29" s="11" t="inlineStr">
        <s:is>
          <s:t>Pain-interference 12-month Health Coach SMD outside printed CI</s:t>
        </s:is>
      </s:c>
      <s:c r="V29" s="11" t="inlineStr">
        <s:is>
          <s:t>statistical_results</s:t>
        </s:is>
      </s:c>
      <s:c r="W29" s="11" t="inlineStr">
        <s:is>
          <s:t>Pain-interference 12-month Health Coach SMD outside printed CI</s:t>
        </s:is>
      </s:c>
      <s:c r="X29" s="11" t="inlineStr">
        <s:is>
          <s:t>2025</s:t>
        </s:is>
      </s:c>
      <s:c r="Y29" s="11" t="inlineStr">
        <s:is>
          <s:t>meta_report/consistency_reclassification_2026-09-04/reclassified_candidates.json</s:t>
        </s:is>
      </s:c>
      <s:c r="Z29" s="11" t="inlineStr">
        <s:is>
          <s:t>S_W</s:t>
        </s:is>
      </s:c>
      <s:c r="AA29" s="11" t="inlineStr">
        <s:is>
          <s:t>statistical_results</s:t>
        </s:is>
      </s:c>
      <s:c r="AB29" s="11" t="inlineStr">
        <s:is>
          <s:t>retain</s:t>
        </s:is>
      </s:c>
    </s:row>
    <s:row r="30" ht="90" customFormat="1" customHeight="1" s="8">
      <s:c r="A30" s="12" t="b">
        <s:v>0</s:v>
      </s:c>
      <s:c r="B30" s="12" t="n"/>
      <s:c r="C30" s="12" t="b">
        <s:v>0</s:v>
      </s:c>
      <s:c r="D30" s="12" t="inlineStr">
        <s:is>
          <s:t>Statistical reporting inconsistency</s:t>
        </s:is>
      </s:c>
      <s:c r="E30" s="12" t="b">
        <s:v>0</s:v>
      </s:c>
      <s:c r="F30" s="12" t="inlineStr">
        <s:is>
          <s:t>C013</s:t>
        </s:is>
      </s:c>
      <s:c r="G30" s="12" t="inlineStr">
        <s:is>
          <s:t>2025::jama.2025.11178::C013</s:t>
        </s:is>
      </s:c>
      <s:c r="H30" s="12" t="n"/>
      <s:c r="I30" s="12" t="inlineStr">
        <s:is>
          <s:t>main article — PDF p. 10, Table 3, social role, 3 months, painTRAINER vs usual care plus SMD.</s:t>
        </s:is>
      </s:c>
      <s:c r="J30" s="12" t="b">
        <s:v>0</s:v>
      </s:c>
      <s:c r="K30" s="12" t="inlineStr">
        <s:is>
          <s:t>jama.2025.11178</s:t>
        </s:is>
      </s:c>
      <s:c r="L30" s="12" t="n"/>
      <s:c r="M30" s="12" t="inlineStr">
        <s:is>
          <s:t>S_W</s:t>
        </s:is>
      </s:c>
      <s:c r="N30" s="12" t="inlineStr">
        <s:is>
          <s:t>Target is within one main article or one non-plan results supplement/workbook; no substantive plan comparison. Interval endpoints must be low-to-high; `0.23 &gt; 0.11`.</s:t>
        </s:is>
      </s:c>
      <s:c r="O30" s="12" t="inlineStr">
        <s:is>
          <s:t>../../2025/jama.2025.11178/.ai_paper_validation/final_report_1_5_1.html</s:t>
        </s:is>
      </s:c>
      <s:c r="P30" s="12" t="inlineStr">
        <s:is>
          <s:t>2025/jama.2025.11178/.ai_paper_validation/final_report_1_5_1.md</s:t>
        </s:is>
      </s:c>
      <s:c r="Q30" s="12" t="inlineStr">
        <s:is>
          <s:t>C013</s:t>
        </s:is>
      </s:c>
      <s:c r="R30" s="12" t="inlineStr">
        <s:is>
          <s:t>Pending Human Adjudication</s:t>
        </s:is>
      </s:c>
      <s:c r="S30" s="12" t="inlineStr">
        <s:is>
          <s:t>Pending Human Adjudication. The printed values identify a candidate consistency issue: Social-role 3-month painTRAINER SMD endpoints reversed.</s:t>
        </s:is>
      </s:c>
      <s:c r="T30" s="12" t="b">
        <s:v>1</s:v>
      </s:c>
      <s:c r="U30" s="12" t="inlineStr">
        <s:is>
          <s:t>Social-role 3-month painTRAINER SMD endpoints reversed</s:t>
        </s:is>
      </s:c>
      <s:c r="V30" s="12" t="inlineStr">
        <s:is>
          <s:t>statistical_results</s:t>
        </s:is>
      </s:c>
      <s:c r="W30" s="12" t="inlineStr">
        <s:is>
          <s:t>Social-role 3-month painTRAINER SMD endpoints reversed</s:t>
        </s:is>
      </s:c>
      <s:c r="X30" s="12" t="inlineStr">
        <s:is>
          <s:t>2025</s:t>
        </s:is>
      </s:c>
      <s:c r="Y30" s="12" t="inlineStr">
        <s:is>
          <s:t>meta_report/consistency_reclassification_2026-09-04/reclassified_candidates.json</s:t>
        </s:is>
      </s:c>
      <s:c r="Z30" s="12" t="inlineStr">
        <s:is>
          <s:t>S_W</s:t>
        </s:is>
      </s:c>
      <s:c r="AA30" s="12" t="inlineStr">
        <s:is>
          <s:t>statistical_results</s:t>
        </s:is>
      </s:c>
      <s:c r="AB30" s="12" t="inlineStr">
        <s:is>
          <s:t>retain</s:t>
        </s:is>
      </s:c>
    </s:row>
    <s:row r="31" ht="90" customFormat="1" customHeight="1" s="8">
      <s:c r="A31" s="11" t="b">
        <s:v>0</s:v>
      </s:c>
      <s:c r="B31" s="11" t="n"/>
      <s:c r="C31" s="11" t="b">
        <s:v>0</s:v>
      </s:c>
      <s:c r="D31" s="11" t="inlineStr">
        <s:is>
          <s:t>Statistical reporting inconsistency</s:t>
        </s:is>
      </s:c>
      <s:c r="E31" s="11" t="b">
        <s:v>0</s:v>
      </s:c>
      <s:c r="F31" s="11" t="inlineStr">
        <s:is>
          <s:t>C014</s:t>
        </s:is>
      </s:c>
      <s:c r="G31" s="11" t="inlineStr">
        <s:is>
          <s:t>2025::jama.2025.11178::C014</s:t>
        </s:is>
      </s:c>
      <s:c r="H31" s="11" t="n"/>
      <s:c r="I31" s="11" t="inlineStr">
        <s:is>
          <s:t>main article — PDF p. 10, Table 3, social role, 3 months, Health Coach vs usual care plus SMD.</s:t>
        </s:is>
      </s:c>
      <s:c r="J31" s="11" t="b">
        <s:v>0</s:v>
      </s:c>
      <s:c r="K31" s="11" t="inlineStr">
        <s:is>
          <s:t>jama.2025.11178</s:t>
        </s:is>
      </s:c>
      <s:c r="L31" s="11" t="n"/>
      <s:c r="M31" s="11" t="inlineStr">
        <s:is>
          <s:t>S_W</s:t>
        </s:is>
      </s:c>
      <s:c r="N31" s="11" t="inlineStr">
        <s:is>
          <s:t>Target is within one main article or one non-plan results supplement/workbook; no substantive plan comparison. `0.12 &gt; -0.00`; endpoints are reversed.</s:t>
        </s:is>
      </s:c>
      <s:c r="O31" s="11" t="inlineStr">
        <s:is>
          <s:t>../../2025/jama.2025.11178/.ai_paper_validation/final_report_1_5_1.html</s:t>
        </s:is>
      </s:c>
      <s:c r="P31" s="11" t="inlineStr">
        <s:is>
          <s:t>2025/jama.2025.11178/.ai_paper_validation/final_report_1_5_1.md</s:t>
        </s:is>
      </s:c>
      <s:c r="Q31" s="11" t="inlineStr">
        <s:is>
          <s:t>C014</s:t>
        </s:is>
      </s:c>
      <s:c r="R31" s="11" t="inlineStr">
        <s:is>
          <s:t>Pending Human Adjudication</s:t>
        </s:is>
      </s:c>
      <s:c r="S31" s="11" t="inlineStr">
        <s:is>
          <s:t>Pending Human Adjudication. The printed values identify a candidate consistency issue: Social-role 3-month Health Coach SMD endpoints reversed.</s:t>
        </s:is>
      </s:c>
      <s:c r="T31" s="11" t="b">
        <s:v>1</s:v>
      </s:c>
      <s:c r="U31" s="11" t="inlineStr">
        <s:is>
          <s:t>Social-role 3-month Health Coach SMD endpoints reversed</s:t>
        </s:is>
      </s:c>
      <s:c r="V31" s="11" t="inlineStr">
        <s:is>
          <s:t>statistical_results</s:t>
        </s:is>
      </s:c>
      <s:c r="W31" s="11" t="inlineStr">
        <s:is>
          <s:t>Social-role 3-month Health Coach SMD endpoints reversed</s:t>
        </s:is>
      </s:c>
      <s:c r="X31" s="11" t="inlineStr">
        <s:is>
          <s:t>2025</s:t>
        </s:is>
      </s:c>
      <s:c r="Y31" s="11" t="inlineStr">
        <s:is>
          <s:t>meta_report/consistency_reclassification_2026-09-04/reclassified_candidates.json</s:t>
        </s:is>
      </s:c>
      <s:c r="Z31" s="11" t="inlineStr">
        <s:is>
          <s:t>S_W</s:t>
        </s:is>
      </s:c>
      <s:c r="AA31" s="11" t="inlineStr">
        <s:is>
          <s:t>statistical_results</s:t>
        </s:is>
      </s:c>
      <s:c r="AB31" s="11" t="inlineStr">
        <s:is>
          <s:t>retain</s:t>
        </s:is>
      </s:c>
    </s:row>
    <s:row r="32" ht="90" customFormat="1" customHeight="1" s="8">
      <s:c r="A32" s="12" t="b">
        <s:v>0</s:v>
      </s:c>
      <s:c r="B32" s="12" t="n"/>
      <s:c r="C32" s="12" t="b">
        <s:v>0</s:v>
      </s:c>
      <s:c r="D32" s="12" t="inlineStr">
        <s:is>
          <s:t>Statistical reporting inconsistency</s:t>
        </s:is>
      </s:c>
      <s:c r="E32" s="12" t="b">
        <s:v>0</s:v>
      </s:c>
      <s:c r="F32" s="12" t="inlineStr">
        <s:is>
          <s:t>C015</s:t>
        </s:is>
      </s:c>
      <s:c r="G32" s="12" t="inlineStr">
        <s:is>
          <s:t>2025::jama.2025.11178::C015</s:t>
        </s:is>
      </s:c>
      <s:c r="H32" s="12" t="n"/>
      <s:c r="I32" s="12" t="inlineStr">
        <s:is>
          <s:t>main article — PDF p. 10, Table 3, social role, 3 months, Health Coach vs painTRAINER SMD.</s:t>
        </s:is>
      </s:c>
      <s:c r="J32" s="12" t="b">
        <s:v>0</s:v>
      </s:c>
      <s:c r="K32" s="12" t="inlineStr">
        <s:is>
          <s:t>jama.2025.11178</s:t>
        </s:is>
      </s:c>
      <s:c r="L32" s="12" t="n"/>
      <s:c r="M32" s="12" t="inlineStr">
        <s:is>
          <s:t>S_W</s:t>
        </s:is>
      </s:c>
      <s:c r="N32" s="12" t="inlineStr">
        <s:is>
          <s:t>Target is within one main article or one non-plan results supplement/workbook; no substantive plan comparison. `0.29 &gt; 0.19`; endpoints are reversed.</s:t>
        </s:is>
      </s:c>
      <s:c r="O32" s="12" t="inlineStr">
        <s:is>
          <s:t>../../2025/jama.2025.11178/.ai_paper_validation/final_report_1_5_1.html</s:t>
        </s:is>
      </s:c>
      <s:c r="P32" s="12" t="inlineStr">
        <s:is>
          <s:t>2025/jama.2025.11178/.ai_paper_validation/final_report_1_5_1.md</s:t>
        </s:is>
      </s:c>
      <s:c r="Q32" s="12" t="inlineStr">
        <s:is>
          <s:t>C015</s:t>
        </s:is>
      </s:c>
      <s:c r="R32" s="12" t="inlineStr">
        <s:is>
          <s:t>Pending Human Adjudication</s:t>
        </s:is>
      </s:c>
      <s:c r="S32" s="12" t="inlineStr">
        <s:is>
          <s:t>Pending Human Adjudication. The printed values identify a candidate consistency issue: Social-role 3-month Health Coach versus painTRAINER SMD endpoints reversed.</s:t>
        </s:is>
      </s:c>
      <s:c r="T32" s="12" t="b">
        <s:v>1</s:v>
      </s:c>
      <s:c r="U32" s="12" t="inlineStr">
        <s:is>
          <s:t>Social-role 3-month Health Coach versus painTRAINER SMD endpoints reversed</s:t>
        </s:is>
      </s:c>
      <s:c r="V32" s="12" t="inlineStr">
        <s:is>
          <s:t>statistical_results</s:t>
        </s:is>
      </s:c>
      <s:c r="W32" s="12" t="inlineStr">
        <s:is>
          <s:t>Social-role 3-month Health Coach versus painTRAINER SMD endpoints reversed</s:t>
        </s:is>
      </s:c>
      <s:c r="X32" s="12" t="inlineStr">
        <s:is>
          <s:t>2025</s:t>
        </s:is>
      </s:c>
      <s:c r="Y32" s="12" t="inlineStr">
        <s:is>
          <s:t>meta_report/consistency_reclassification_2026-09-04/reclassified_candidates.json</s:t>
        </s:is>
      </s:c>
      <s:c r="Z32" s="12" t="inlineStr">
        <s:is>
          <s:t>S_W</s:t>
        </s:is>
      </s:c>
      <s:c r="AA32" s="12" t="inlineStr">
        <s:is>
          <s:t>statistical_results</s:t>
        </s:is>
      </s:c>
      <s:c r="AB32" s="12" t="inlineStr">
        <s:is>
          <s:t>retain</s:t>
        </s:is>
      </s:c>
    </s:row>
    <s:row r="33" ht="90" customFormat="1" customHeight="1" s="8">
      <s:c r="A33" s="11" t="b">
        <s:v>0</s:v>
      </s:c>
      <s:c r="B33" s="11" t="n"/>
      <s:c r="C33" s="11" t="b">
        <s:v>0</s:v>
      </s:c>
      <s:c r="D33" s="11" t="inlineStr">
        <s:is>
          <s:t>Statistical reporting inconsistency</s:t>
        </s:is>
      </s:c>
      <s:c r="E33" s="11" t="b">
        <s:v>0</s:v>
      </s:c>
      <s:c r="F33" s="11" t="inlineStr">
        <s:is>
          <s:t>C016</s:t>
        </s:is>
      </s:c>
      <s:c r="G33" s="11" t="inlineStr">
        <s:is>
          <s:t>2025::jama.2025.11178::C016</s:t>
        </s:is>
      </s:c>
      <s:c r="H33" s="11" t="n"/>
      <s:c r="I33" s="11" t="inlineStr">
        <s:is>
          <s:t>main article — PDF p. 10, Table 3, social role, 6 months, painTRAINER vs usual care plus SMD.</s:t>
        </s:is>
      </s:c>
      <s:c r="J33" s="11" t="b">
        <s:v>0</s:v>
      </s:c>
      <s:c r="K33" s="11" t="inlineStr">
        <s:is>
          <s:t>jama.2025.11178</s:t>
        </s:is>
      </s:c>
      <s:c r="L33" s="11" t="n"/>
      <s:c r="M33" s="11" t="inlineStr">
        <s:is>
          <s:t>S_W</s:t>
        </s:is>
      </s:c>
      <s:c r="N33" s="11" t="inlineStr">
        <s:is>
          <s:t>Target is within one main article or one non-plan results supplement/workbook; no substantive plan comparison. `0.23 &gt; 0.05`; endpoints are reversed.</s:t>
        </s:is>
      </s:c>
      <s:c r="O33" s="11" t="inlineStr">
        <s:is>
          <s:t>../../2025/jama.2025.11178/.ai_paper_validation/final_report_1_5_1.html</s:t>
        </s:is>
      </s:c>
      <s:c r="P33" s="11" t="inlineStr">
        <s:is>
          <s:t>2025/jama.2025.11178/.ai_paper_validation/final_report_1_5_1.md</s:t>
        </s:is>
      </s:c>
      <s:c r="Q33" s="11" t="inlineStr">
        <s:is>
          <s:t>C016</s:t>
        </s:is>
      </s:c>
      <s:c r="R33" s="11" t="inlineStr">
        <s:is>
          <s:t>Pending Human Adjudication</s:t>
        </s:is>
      </s:c>
      <s:c r="S33" s="11" t="inlineStr">
        <s:is>
          <s:t>Pending Human Adjudication. The printed values identify a candidate consistency issue: Social-role 6-month painTRAINER SMD endpoints reversed.</s:t>
        </s:is>
      </s:c>
      <s:c r="T33" s="11" t="b">
        <s:v>1</s:v>
      </s:c>
      <s:c r="U33" s="11" t="inlineStr">
        <s:is>
          <s:t>Social-role 6-month painTRAINER SMD endpoints reversed</s:t>
        </s:is>
      </s:c>
      <s:c r="V33" s="11" t="inlineStr">
        <s:is>
          <s:t>statistical_results</s:t>
        </s:is>
      </s:c>
      <s:c r="W33" s="11" t="inlineStr">
        <s:is>
          <s:t>Social-role 6-month painTRAINER SMD endpoints reversed</s:t>
        </s:is>
      </s:c>
      <s:c r="X33" s="11" t="inlineStr">
        <s:is>
          <s:t>2025</s:t>
        </s:is>
      </s:c>
      <s:c r="Y33" s="11" t="inlineStr">
        <s:is>
          <s:t>meta_report/consistency_reclassification_2026-09-04/reclassified_candidates.json</s:t>
        </s:is>
      </s:c>
      <s:c r="Z33" s="11" t="inlineStr">
        <s:is>
          <s:t>S_W</s:t>
        </s:is>
      </s:c>
      <s:c r="AA33" s="11" t="inlineStr">
        <s:is>
          <s:t>statistical_results</s:t>
        </s:is>
      </s:c>
      <s:c r="AB33" s="11" t="inlineStr">
        <s:is>
          <s:t>retain</s:t>
        </s:is>
      </s:c>
    </s:row>
    <s:row r="34" ht="90" customFormat="1" customHeight="1" s="8">
      <s:c r="A34" s="12" t="b">
        <s:v>0</s:v>
      </s:c>
      <s:c r="B34" s="12" t="n"/>
      <s:c r="C34" s="12" t="b">
        <s:v>0</s:v>
      </s:c>
      <s:c r="D34" s="12" t="inlineStr">
        <s:is>
          <s:t>Statistical reporting inconsistency</s:t>
        </s:is>
      </s:c>
      <s:c r="E34" s="12" t="b">
        <s:v>0</s:v>
      </s:c>
      <s:c r="F34" s="12" t="inlineStr">
        <s:is>
          <s:t>C017</s:t>
        </s:is>
      </s:c>
      <s:c r="G34" s="12" t="inlineStr">
        <s:is>
          <s:t>2025::jama.2025.11178::C017</s:t>
        </s:is>
      </s:c>
      <s:c r="H34" s="12" t="n"/>
      <s:c r="I34" s="12" t="inlineStr">
        <s:is>
          <s:t>main article — PDF p. 10, Table 3, social role, 6 months, Health Coach vs usual care plus SMD.</s:t>
        </s:is>
      </s:c>
      <s:c r="J34" s="12" t="b">
        <s:v>0</s:v>
      </s:c>
      <s:c r="K34" s="12" t="inlineStr">
        <s:is>
          <s:t>jama.2025.11178</s:t>
        </s:is>
      </s:c>
      <s:c r="L34" s="12" t="n"/>
      <s:c r="M34" s="12" t="inlineStr">
        <s:is>
          <s:t>S_W</s:t>
        </s:is>
      </s:c>
      <s:c r="N34" s="12" t="inlineStr">
        <s:is>
          <s:t>Target is within one main article or one non-plan results supplement/workbook; no substantive plan comparison. `0.11 &gt; -0.06`; endpoints are reversed.</s:t>
        </s:is>
      </s:c>
      <s:c r="O34" s="12" t="inlineStr">
        <s:is>
          <s:t>../../2025/jama.2025.11178/.ai_paper_validation/final_report_1_5_1.html</s:t>
        </s:is>
      </s:c>
      <s:c r="P34" s="12" t="inlineStr">
        <s:is>
          <s:t>2025/jama.2025.11178/.ai_paper_validation/final_report_1_5_1.md</s:t>
        </s:is>
      </s:c>
      <s:c r="Q34" s="12" t="inlineStr">
        <s:is>
          <s:t>C017</s:t>
        </s:is>
      </s:c>
      <s:c r="R34" s="12" t="inlineStr">
        <s:is>
          <s:t>Pending Human Adjudication</s:t>
        </s:is>
      </s:c>
      <s:c r="S34" s="12" t="inlineStr">
        <s:is>
          <s:t>Pending Human Adjudication. The printed values identify a candidate consistency issue: Social-role 6-month Health Coach SMD endpoints reversed.</s:t>
        </s:is>
      </s:c>
      <s:c r="T34" s="12" t="b">
        <s:v>1</s:v>
      </s:c>
      <s:c r="U34" s="12" t="inlineStr">
        <s:is>
          <s:t>Social-role 6-month Health Coach SMD endpoints reversed</s:t>
        </s:is>
      </s:c>
      <s:c r="V34" s="12" t="inlineStr">
        <s:is>
          <s:t>statistical_results</s:t>
        </s:is>
      </s:c>
      <s:c r="W34" s="12" t="inlineStr">
        <s:is>
          <s:t>Social-role 6-month Health Coach SMD endpoints reversed</s:t>
        </s:is>
      </s:c>
      <s:c r="X34" s="12" t="inlineStr">
        <s:is>
          <s:t>2025</s:t>
        </s:is>
      </s:c>
      <s:c r="Y34" s="12" t="inlineStr">
        <s:is>
          <s:t>meta_report/consistency_reclassification_2026-09-04/reclassified_candidates.json</s:t>
        </s:is>
      </s:c>
      <s:c r="Z34" s="12" t="inlineStr">
        <s:is>
          <s:t>S_W</s:t>
        </s:is>
      </s:c>
      <s:c r="AA34" s="12" t="inlineStr">
        <s:is>
          <s:t>statistical_results</s:t>
        </s:is>
      </s:c>
      <s:c r="AB34" s="12" t="inlineStr">
        <s:is>
          <s:t>retain</s:t>
        </s:is>
      </s:c>
    </s:row>
    <s:row r="35" ht="90" customFormat="1" customHeight="1" s="8">
      <s:c r="A35" s="11" t="b">
        <s:v>0</s:v>
      </s:c>
      <s:c r="B35" s="11" t="n"/>
      <s:c r="C35" s="11" t="b">
        <s:v>0</s:v>
      </s:c>
      <s:c r="D35" s="11" t="inlineStr">
        <s:is>
          <s:t>Statistical reporting inconsistency</s:t>
        </s:is>
      </s:c>
      <s:c r="E35" s="11" t="b">
        <s:v>0</s:v>
      </s:c>
      <s:c r="F35" s="11" t="inlineStr">
        <s:is>
          <s:t>C018</s:t>
        </s:is>
      </s:c>
      <s:c r="G35" s="11" t="inlineStr">
        <s:is>
          <s:t>2025::jama.2025.11178::C018</s:t>
        </s:is>
      </s:c>
      <s:c r="H35" s="11" t="n"/>
      <s:c r="I35" s="11" t="inlineStr">
        <s:is>
          <s:t>main article — PDF p. 10, Table 3, social role, 6 months, Health Coach vs painTRAINER SMD.</s:t>
        </s:is>
      </s:c>
      <s:c r="J35" s="11" t="b">
        <s:v>0</s:v>
      </s:c>
      <s:c r="K35" s="11" t="inlineStr">
        <s:is>
          <s:t>jama.2025.11178</s:t>
        </s:is>
      </s:c>
      <s:c r="L35" s="11" t="n"/>
      <s:c r="M35" s="11" t="inlineStr">
        <s:is>
          <s:t>S_W</s:t>
        </s:is>
      </s:c>
      <s:c r="N35" s="11" t="inlineStr">
        <s:is>
          <s:t>Target is within one main article or one non-plan results supplement/workbook; no substantive plan comparison. `0.30 &gt; 0.15`; endpoints are reversed.</s:t>
        </s:is>
      </s:c>
      <s:c r="O35" s="11" t="inlineStr">
        <s:is>
          <s:t>../../2025/jama.2025.11178/.ai_paper_validation/final_report_1_5_1.html</s:t>
        </s:is>
      </s:c>
      <s:c r="P35" s="11" t="inlineStr">
        <s:is>
          <s:t>2025/jama.2025.11178/.ai_paper_validation/final_report_1_5_1.md</s:t>
        </s:is>
      </s:c>
      <s:c r="Q35" s="11" t="inlineStr">
        <s:is>
          <s:t>C018</s:t>
        </s:is>
      </s:c>
      <s:c r="R35" s="11" t="inlineStr">
        <s:is>
          <s:t>Pending Human Adjudication</s:t>
        </s:is>
      </s:c>
      <s:c r="S35" s="11" t="inlineStr">
        <s:is>
          <s:t>Pending Human Adjudication. The printed values identify a candidate consistency issue: Social-role 6-month Health Coach versus painTRAINER SMD endpoints reversed.</s:t>
        </s:is>
      </s:c>
      <s:c r="T35" s="11" t="b">
        <s:v>1</s:v>
      </s:c>
      <s:c r="U35" s="11" t="inlineStr">
        <s:is>
          <s:t>Social-role 6-month Health Coach versus painTRAINER SMD endpoints reversed</s:t>
        </s:is>
      </s:c>
      <s:c r="V35" s="11" t="inlineStr">
        <s:is>
          <s:t>statistical_results</s:t>
        </s:is>
      </s:c>
      <s:c r="W35" s="11" t="inlineStr">
        <s:is>
          <s:t>Social-role 6-month Health Coach versus painTRAINER SMD endpoints reversed</s:t>
        </s:is>
      </s:c>
      <s:c r="X35" s="11" t="inlineStr">
        <s:is>
          <s:t>2025</s:t>
        </s:is>
      </s:c>
      <s:c r="Y35" s="11" t="inlineStr">
        <s:is>
          <s:t>meta_report/consistency_reclassification_2026-09-04/reclassified_candidates.json</s:t>
        </s:is>
      </s:c>
      <s:c r="Z35" s="11" t="inlineStr">
        <s:is>
          <s:t>S_W</s:t>
        </s:is>
      </s:c>
      <s:c r="AA35" s="11" t="inlineStr">
        <s:is>
          <s:t>statistical_results</s:t>
        </s:is>
      </s:c>
      <s:c r="AB35" s="11" t="inlineStr">
        <s:is>
          <s:t>retain</s:t>
        </s:is>
      </s:c>
    </s:row>
    <s:row r="36" ht="90" customFormat="1" customHeight="1" s="8">
      <s:c r="A36" s="12" t="b">
        <s:v>0</s:v>
      </s:c>
      <s:c r="B36" s="12" t="n"/>
      <s:c r="C36" s="12" t="b">
        <s:v>0</s:v>
      </s:c>
      <s:c r="D36" s="12" t="inlineStr">
        <s:is>
          <s:t>Statistical reporting inconsistency</s:t>
        </s:is>
      </s:c>
      <s:c r="E36" s="12" t="b">
        <s:v>0</s:v>
      </s:c>
      <s:c r="F36" s="12" t="inlineStr">
        <s:is>
          <s:t>C019</s:t>
        </s:is>
      </s:c>
      <s:c r="G36" s="12" t="inlineStr">
        <s:is>
          <s:t>2025::jama.2025.11178::C019</s:t>
        </s:is>
      </s:c>
      <s:c r="H36" s="12" t="n"/>
      <s:c r="I36" s="12" t="inlineStr">
        <s:is>
          <s:t>main article — PDF p. 10, Table 3, social role, 12 months, painTRAINER vs usual care plus SMD.</s:t>
        </s:is>
      </s:c>
      <s:c r="J36" s="12" t="b">
        <s:v>0</s:v>
      </s:c>
      <s:c r="K36" s="12" t="inlineStr">
        <s:is>
          <s:t>jama.2025.11178</s:t>
        </s:is>
      </s:c>
      <s:c r="L36" s="12" t="n"/>
      <s:c r="M36" s="12" t="inlineStr">
        <s:is>
          <s:t>S_W</s:t>
        </s:is>
      </s:c>
      <s:c r="N36" s="12" t="inlineStr">
        <s:is>
          <s:t>Target is within one main article or one non-plan results supplement/workbook; no substantive plan comparison. `0.21 &gt; 0.01`; endpoints are reversed.</s:t>
        </s:is>
      </s:c>
      <s:c r="O36" s="12" t="inlineStr">
        <s:is>
          <s:t>../../2025/jama.2025.11178/.ai_paper_validation/final_report_1_5_1.html</s:t>
        </s:is>
      </s:c>
      <s:c r="P36" s="12" t="inlineStr">
        <s:is>
          <s:t>2025/jama.2025.11178/.ai_paper_validation/final_report_1_5_1.md</s:t>
        </s:is>
      </s:c>
      <s:c r="Q36" s="12" t="inlineStr">
        <s:is>
          <s:t>C019</s:t>
        </s:is>
      </s:c>
      <s:c r="R36" s="12" t="inlineStr">
        <s:is>
          <s:t>Pending Human Adjudication</s:t>
        </s:is>
      </s:c>
      <s:c r="S36" s="12" t="inlineStr">
        <s:is>
          <s:t>Pending Human Adjudication. The printed values identify a candidate consistency issue: Social-role 12-month painTRAINER SMD endpoints reversed.</s:t>
        </s:is>
      </s:c>
      <s:c r="T36" s="12" t="b">
        <s:v>1</s:v>
      </s:c>
      <s:c r="U36" s="12" t="inlineStr">
        <s:is>
          <s:t>Social-role 12-month painTRAINER SMD endpoints reversed</s:t>
        </s:is>
      </s:c>
      <s:c r="V36" s="12" t="inlineStr">
        <s:is>
          <s:t>statistical_results</s:t>
        </s:is>
      </s:c>
      <s:c r="W36" s="12" t="inlineStr">
        <s:is>
          <s:t>Social-role 12-month painTRAINER SMD endpoints reversed</s:t>
        </s:is>
      </s:c>
      <s:c r="X36" s="12" t="inlineStr">
        <s:is>
          <s:t>2025</s:t>
        </s:is>
      </s:c>
      <s:c r="Y36" s="12" t="inlineStr">
        <s:is>
          <s:t>meta_report/consistency_reclassification_2026-09-04/reclassified_candidates.json</s:t>
        </s:is>
      </s:c>
      <s:c r="Z36" s="12" t="inlineStr">
        <s:is>
          <s:t>S_W</s:t>
        </s:is>
      </s:c>
      <s:c r="AA36" s="12" t="inlineStr">
        <s:is>
          <s:t>statistical_results</s:t>
        </s:is>
      </s:c>
      <s:c r="AB36" s="12" t="inlineStr">
        <s:is>
          <s:t>retain</s:t>
        </s:is>
      </s:c>
    </s:row>
    <s:row r="37" ht="90" customFormat="1" customHeight="1" s="8">
      <s:c r="A37" s="11" t="b">
        <s:v>0</s:v>
      </s:c>
      <s:c r="B37" s="11" t="n"/>
      <s:c r="C37" s="11" t="b">
        <s:v>0</s:v>
      </s:c>
      <s:c r="D37" s="11" t="inlineStr">
        <s:is>
          <s:t>Statistical reporting inconsistency</s:t>
        </s:is>
      </s:c>
      <s:c r="E37" s="11" t="b">
        <s:v>0</s:v>
      </s:c>
      <s:c r="F37" s="11" t="inlineStr">
        <s:is>
          <s:t>C020</s:t>
        </s:is>
      </s:c>
      <s:c r="G37" s="11" t="inlineStr">
        <s:is>
          <s:t>2025::jama.2025.11178::C020</s:t>
        </s:is>
      </s:c>
      <s:c r="H37" s="11" t="n"/>
      <s:c r="I37" s="11" t="inlineStr">
        <s:is>
          <s:t>main article — PDF p. 10, Table 3, social role, 12 months, Health Coach vs usual care plus SMD.</s:t>
        </s:is>
      </s:c>
      <s:c r="J37" s="11" t="b">
        <s:v>0</s:v>
      </s:c>
      <s:c r="K37" s="11" t="inlineStr">
        <s:is>
          <s:t>jama.2025.11178</s:t>
        </s:is>
      </s:c>
      <s:c r="L37" s="11" t="n"/>
      <s:c r="M37" s="11" t="inlineStr">
        <s:is>
          <s:t>S_W</s:t>
        </s:is>
      </s:c>
      <s:c r="N37" s="11" t="inlineStr">
        <s:is>
          <s:t>Target is within one main article or one non-plan results supplement/workbook; no substantive plan comparison. `0.09 &gt; -0.10`; endpoints are reversed.</s:t>
        </s:is>
      </s:c>
      <s:c r="O37" s="11" t="inlineStr">
        <s:is>
          <s:t>../../2025/jama.2025.11178/.ai_paper_validation/final_report_1_5_1.html</s:t>
        </s:is>
      </s:c>
      <s:c r="P37" s="11" t="inlineStr">
        <s:is>
          <s:t>2025/jama.2025.11178/.ai_paper_validation/final_report_1_5_1.md</s:t>
        </s:is>
      </s:c>
      <s:c r="Q37" s="11" t="inlineStr">
        <s:is>
          <s:t>C020</s:t>
        </s:is>
      </s:c>
      <s:c r="R37" s="11" t="inlineStr">
        <s:is>
          <s:t>Pending Human Adjudication</s:t>
        </s:is>
      </s:c>
      <s:c r="S37" s="11" t="inlineStr">
        <s:is>
          <s:t>Pending Human Adjudication. The printed values identify a candidate consistency issue: Social-role 12-month Health Coach SMD endpoints reversed.</s:t>
        </s:is>
      </s:c>
      <s:c r="T37" s="11" t="b">
        <s:v>1</s:v>
      </s:c>
      <s:c r="U37" s="11" t="inlineStr">
        <s:is>
          <s:t>Social-role 12-month Health Coach SMD endpoints reversed</s:t>
        </s:is>
      </s:c>
      <s:c r="V37" s="11" t="inlineStr">
        <s:is>
          <s:t>statistical_results</s:t>
        </s:is>
      </s:c>
      <s:c r="W37" s="11" t="inlineStr">
        <s:is>
          <s:t>Social-role 12-month Health Coach SMD endpoints reversed</s:t>
        </s:is>
      </s:c>
      <s:c r="X37" s="11" t="inlineStr">
        <s:is>
          <s:t>2025</s:t>
        </s:is>
      </s:c>
      <s:c r="Y37" s="11" t="inlineStr">
        <s:is>
          <s:t>meta_report/consistency_reclassification_2026-09-04/reclassified_candidates.json</s:t>
        </s:is>
      </s:c>
      <s:c r="Z37" s="11" t="inlineStr">
        <s:is>
          <s:t>S_W</s:t>
        </s:is>
      </s:c>
      <s:c r="AA37" s="11" t="inlineStr">
        <s:is>
          <s:t>statistical_results</s:t>
        </s:is>
      </s:c>
      <s:c r="AB37" s="11" t="inlineStr">
        <s:is>
          <s:t>retain</s:t>
        </s:is>
      </s:c>
    </s:row>
    <s:row r="38" ht="90" customFormat="1" customHeight="1" s="8">
      <s:c r="A38" s="12" t="b">
        <s:v>0</s:v>
      </s:c>
      <s:c r="B38" s="12" t="n"/>
      <s:c r="C38" s="12" t="b">
        <s:v>0</s:v>
      </s:c>
      <s:c r="D38" s="12" t="inlineStr">
        <s:is>
          <s:t>Statistical reporting inconsistency</s:t>
        </s:is>
      </s:c>
      <s:c r="E38" s="12" t="b">
        <s:v>0</s:v>
      </s:c>
      <s:c r="F38" s="12" t="inlineStr">
        <s:is>
          <s:t>C021</s:t>
        </s:is>
      </s:c>
      <s:c r="G38" s="12" t="inlineStr">
        <s:is>
          <s:t>2025::jama.2025.11178::C021</s:t>
        </s:is>
      </s:c>
      <s:c r="H38" s="12" t="n"/>
      <s:c r="I38" s="12" t="inlineStr">
        <s:is>
          <s:t>main article — PDF p. 10, Table 3, social role, 12 months, Health Coach vs painTRAINER SMD.</s:t>
        </s:is>
      </s:c>
      <s:c r="J38" s="12" t="b">
        <s:v>0</s:v>
      </s:c>
      <s:c r="K38" s="12" t="inlineStr">
        <s:is>
          <s:t>jama.2025.11178</s:t>
        </s:is>
      </s:c>
      <s:c r="L38" s="12" t="n"/>
      <s:c r="M38" s="12" t="inlineStr">
        <s:is>
          <s:t>S_W</s:t>
        </s:is>
      </s:c>
      <s:c r="N38" s="12" t="inlineStr">
        <s:is>
          <s:t>Target is within one main article or one non-plan results supplement/workbook; no substantive plan comparison. `0.28 &gt; 0.12`; endpoints are reversed.</s:t>
        </s:is>
      </s:c>
      <s:c r="O38" s="12" t="inlineStr">
        <s:is>
          <s:t>../../2025/jama.2025.11178/.ai_paper_validation/final_report_1_5_1.html</s:t>
        </s:is>
      </s:c>
      <s:c r="P38" s="12" t="inlineStr">
        <s:is>
          <s:t>2025/jama.2025.11178/.ai_paper_validation/final_report_1_5_1.md</s:t>
        </s:is>
      </s:c>
      <s:c r="Q38" s="12" t="inlineStr">
        <s:is>
          <s:t>C021</s:t>
        </s:is>
      </s:c>
      <s:c r="R38" s="12" t="inlineStr">
        <s:is>
          <s:t>Pending Human Adjudication</s:t>
        </s:is>
      </s:c>
      <s:c r="S38" s="12" t="inlineStr">
        <s:is>
          <s:t>Pending Human Adjudication. The printed values identify a candidate consistency issue: Social-role 12-month Health Coach versus painTRAINER SMD endpoints reversed.</s:t>
        </s:is>
      </s:c>
      <s:c r="T38" s="12" t="b">
        <s:v>1</s:v>
      </s:c>
      <s:c r="U38" s="12" t="inlineStr">
        <s:is>
          <s:t>Social-role 12-month Health Coach versus painTRAINER SMD endpoints reversed</s:t>
        </s:is>
      </s:c>
      <s:c r="V38" s="12" t="inlineStr">
        <s:is>
          <s:t>statistical_results</s:t>
        </s:is>
      </s:c>
      <s:c r="W38" s="12" t="inlineStr">
        <s:is>
          <s:t>Social-role 12-month Health Coach versus painTRAINER SMD endpoints reversed</s:t>
        </s:is>
      </s:c>
      <s:c r="X38" s="12" t="inlineStr">
        <s:is>
          <s:t>2025</s:t>
        </s:is>
      </s:c>
      <s:c r="Y38" s="12" t="inlineStr">
        <s:is>
          <s:t>meta_report/consistency_reclassification_2026-09-04/reclassified_candidates.json</s:t>
        </s:is>
      </s:c>
      <s:c r="Z38" s="12" t="inlineStr">
        <s:is>
          <s:t>S_W</s:t>
        </s:is>
      </s:c>
      <s:c r="AA38" s="12" t="inlineStr">
        <s:is>
          <s:t>statistical_results</s:t>
        </s:is>
      </s:c>
      <s:c r="AB38" s="12" t="inlineStr">
        <s:is>
          <s:t>retain</s:t>
        </s:is>
      </s:c>
    </s:row>
    <s:row r="39" ht="90" customFormat="1" customHeight="1" s="8">
      <s:c r="A39" s="11" t="b">
        <s:v>0</s:v>
      </s:c>
      <s:c r="B39" s="11" t="n"/>
      <s:c r="C39" s="11" t="b">
        <s:v>0</s:v>
      </s:c>
      <s:c r="D39" s="11" t="inlineStr">
        <s:is>
          <s:t>Statistical reporting inconsistency</s:t>
        </s:is>
      </s:c>
      <s:c r="E39" s="11" t="b">
        <s:v>0</s:v>
      </s:c>
      <s:c r="F39" s="11" t="inlineStr">
        <s:is>
          <s:t>C022</s:t>
        </s:is>
      </s:c>
      <s:c r="G39" s="11" t="inlineStr">
        <s:is>
          <s:t>2025::jama.2025.11178::C022</s:t>
        </s:is>
      </s:c>
      <s:c r="H39" s="11" t="n"/>
      <s:c r="I39" s="11" t="inlineStr">
        <s:is>
          <s:t>main article — PDF p. 10, Table 3, physical function, 3 months, painTRAINER vs usual care plus SMD.</s:t>
        </s:is>
      </s:c>
      <s:c r="J39" s="11" t="b">
        <s:v>0</s:v>
      </s:c>
      <s:c r="K39" s="11" t="inlineStr">
        <s:is>
          <s:t>jama.2025.11178</s:t>
        </s:is>
      </s:c>
      <s:c r="L39" s="11" t="n"/>
      <s:c r="M39" s="11" t="inlineStr">
        <s:is>
          <s:t>S_W</s:t>
        </s:is>
      </s:c>
      <s:c r="N39" s="11" t="inlineStr">
        <s:is>
          <s:t>Target is within one main article or one non-plan results supplement/workbook; no substantive plan comparison. `0.16 &gt; 0.07`; endpoints are reversed.</s:t>
        </s:is>
      </s:c>
      <s:c r="O39" s="11" t="inlineStr">
        <s:is>
          <s:t>../../2025/jama.2025.11178/.ai_paper_validation/final_report_1_5_1.html</s:t>
        </s:is>
      </s:c>
      <s:c r="P39" s="11" t="inlineStr">
        <s:is>
          <s:t>2025/jama.2025.11178/.ai_paper_validation/final_report_1_5_1.md</s:t>
        </s:is>
      </s:c>
      <s:c r="Q39" s="11" t="inlineStr">
        <s:is>
          <s:t>C022</s:t>
        </s:is>
      </s:c>
      <s:c r="R39" s="11" t="inlineStr">
        <s:is>
          <s:t>Pending Human Adjudication</s:t>
        </s:is>
      </s:c>
      <s:c r="S39" s="11" t="inlineStr">
        <s:is>
          <s:t>Pending Human Adjudication. The printed values identify a candidate consistency issue: Physical-function 3-month painTRAINER SMD endpoints reversed.</s:t>
        </s:is>
      </s:c>
      <s:c r="T39" s="11" t="b">
        <s:v>1</s:v>
      </s:c>
      <s:c r="U39" s="11" t="inlineStr">
        <s:is>
          <s:t>Physical-function 3-month painTRAINER SMD endpoints reversed</s:t>
        </s:is>
      </s:c>
      <s:c r="V39" s="11" t="inlineStr">
        <s:is>
          <s:t>statistical_results</s:t>
        </s:is>
      </s:c>
      <s:c r="W39" s="11" t="inlineStr">
        <s:is>
          <s:t>Physical-function 3-month painTRAINER SMD endpoints reversed</s:t>
        </s:is>
      </s:c>
      <s:c r="X39" s="11" t="inlineStr">
        <s:is>
          <s:t>2025</s:t>
        </s:is>
      </s:c>
      <s:c r="Y39" s="11" t="inlineStr">
        <s:is>
          <s:t>meta_report/consistency_reclassification_2026-09-04/reclassified_candidates.json</s:t>
        </s:is>
      </s:c>
      <s:c r="Z39" s="11" t="inlineStr">
        <s:is>
          <s:t>S_W</s:t>
        </s:is>
      </s:c>
      <s:c r="AA39" s="11" t="inlineStr">
        <s:is>
          <s:t>statistical_results</s:t>
        </s:is>
      </s:c>
      <s:c r="AB39" s="11" t="inlineStr">
        <s:is>
          <s:t>retain</s:t>
        </s:is>
      </s:c>
    </s:row>
    <s:row r="40" ht="90" customFormat="1" customHeight="1" s="8">
      <s:c r="A40" s="12" t="b">
        <s:v>0</s:v>
      </s:c>
      <s:c r="B40" s="12" t="n"/>
      <s:c r="C40" s="12" t="b">
        <s:v>0</s:v>
      </s:c>
      <s:c r="D40" s="12" t="inlineStr">
        <s:is>
          <s:t>Statistical reporting inconsistency</s:t>
        </s:is>
      </s:c>
      <s:c r="E40" s="12" t="b">
        <s:v>0</s:v>
      </s:c>
      <s:c r="F40" s="12" t="inlineStr">
        <s:is>
          <s:t>C023</s:t>
        </s:is>
      </s:c>
      <s:c r="G40" s="12" t="inlineStr">
        <s:is>
          <s:t>2025::jama.2025.11178::C023</s:t>
        </s:is>
      </s:c>
      <s:c r="H40" s="12" t="n"/>
      <s:c r="I40" s="12" t="inlineStr">
        <s:is>
          <s:t>main article — PDF p. 10, Table 3, physical function, 3 months, Health Coach vs usual care plus SMD.</s:t>
        </s:is>
      </s:c>
      <s:c r="J40" s="12" t="b">
        <s:v>0</s:v>
      </s:c>
      <s:c r="K40" s="12" t="inlineStr">
        <s:is>
          <s:t>jama.2025.11178</s:t>
        </s:is>
      </s:c>
      <s:c r="L40" s="12" t="n"/>
      <s:c r="M40" s="12" t="inlineStr">
        <s:is>
          <s:t>S_W</s:t>
        </s:is>
      </s:c>
      <s:c r="N40" s="12" t="inlineStr">
        <s:is>
          <s:t>Target is within one main article or one non-plan results supplement/workbook; no substantive plan comparison. `0.05 &gt; -0.04`; endpoints are reversed.</s:t>
        </s:is>
      </s:c>
      <s:c r="O40" s="12" t="inlineStr">
        <s:is>
          <s:t>../../2025/jama.2025.11178/.ai_paper_validation/final_report_1_5_1.html</s:t>
        </s:is>
      </s:c>
      <s:c r="P40" s="12" t="inlineStr">
        <s:is>
          <s:t>2025/jama.2025.11178/.ai_paper_validation/final_report_1_5_1.md</s:t>
        </s:is>
      </s:c>
      <s:c r="Q40" s="12" t="inlineStr">
        <s:is>
          <s:t>C023</s:t>
        </s:is>
      </s:c>
      <s:c r="R40" s="12" t="inlineStr">
        <s:is>
          <s:t>Pending Human Adjudication</s:t>
        </s:is>
      </s:c>
      <s:c r="S40" s="12" t="inlineStr">
        <s:is>
          <s:t>Pending Human Adjudication. The printed values identify a candidate consistency issue: Physical-function 3-month Health Coach SMD endpoints reversed.</s:t>
        </s:is>
      </s:c>
      <s:c r="T40" s="12" t="b">
        <s:v>1</s:v>
      </s:c>
      <s:c r="U40" s="12" t="inlineStr">
        <s:is>
          <s:t>Physical-function 3-month Health Coach SMD endpoints reversed</s:t>
        </s:is>
      </s:c>
      <s:c r="V40" s="12" t="inlineStr">
        <s:is>
          <s:t>statistical_results</s:t>
        </s:is>
      </s:c>
      <s:c r="W40" s="12" t="inlineStr">
        <s:is>
          <s:t>Physical-function 3-month Health Coach SMD endpoints reversed</s:t>
        </s:is>
      </s:c>
      <s:c r="X40" s="12" t="inlineStr">
        <s:is>
          <s:t>2025</s:t>
        </s:is>
      </s:c>
      <s:c r="Y40" s="12" t="inlineStr">
        <s:is>
          <s:t>meta_report/consistency_reclassification_2026-09-04/reclassified_candidates.json</s:t>
        </s:is>
      </s:c>
      <s:c r="Z40" s="12" t="inlineStr">
        <s:is>
          <s:t>S_W</s:t>
        </s:is>
      </s:c>
      <s:c r="AA40" s="12" t="inlineStr">
        <s:is>
          <s:t>statistical_results</s:t>
        </s:is>
      </s:c>
      <s:c r="AB40" s="12" t="inlineStr">
        <s:is>
          <s:t>retain</s:t>
        </s:is>
      </s:c>
    </s:row>
    <s:row r="41" ht="90" customFormat="1" customHeight="1" s="8">
      <s:c r="A41" s="11" t="b">
        <s:v>0</s:v>
      </s:c>
      <s:c r="B41" s="11" t="n"/>
      <s:c r="C41" s="11" t="b">
        <s:v>0</s:v>
      </s:c>
      <s:c r="D41" s="11" t="inlineStr">
        <s:is>
          <s:t>Statistical reporting inconsistency</s:t>
        </s:is>
      </s:c>
      <s:c r="E41" s="11" t="b">
        <s:v>0</s:v>
      </s:c>
      <s:c r="F41" s="11" t="inlineStr">
        <s:is>
          <s:t>C024</s:t>
        </s:is>
      </s:c>
      <s:c r="G41" s="11" t="inlineStr">
        <s:is>
          <s:t>2025::jama.2025.11178::C024</s:t>
        </s:is>
      </s:c>
      <s:c r="H41" s="11" t="n"/>
      <s:c r="I41" s="11" t="inlineStr">
        <s:is>
          <s:t>main article — PDF p. 10, Table 3, physical function, 3 months, Health Coach vs painTRAINER SMD.</s:t>
        </s:is>
      </s:c>
      <s:c r="J41" s="11" t="b">
        <s:v>0</s:v>
      </s:c>
      <s:c r="K41" s="11" t="inlineStr">
        <s:is>
          <s:t>jama.2025.11178</s:t>
        </s:is>
      </s:c>
      <s:c r="L41" s="11" t="n"/>
      <s:c r="M41" s="11" t="inlineStr">
        <s:is>
          <s:t>S_W</s:t>
        </s:is>
      </s:c>
      <s:c r="N41" s="11" t="inlineStr">
        <s:is>
          <s:t>Target is within one main article or one non-plan results supplement/workbook; no substantive plan comparison. `0.22 &gt; 0.15`; endpoints are reversed.</s:t>
        </s:is>
      </s:c>
      <s:c r="O41" s="11" t="inlineStr">
        <s:is>
          <s:t>../../2025/jama.2025.11178/.ai_paper_validation/final_report_1_5_1.html</s:t>
        </s:is>
      </s:c>
      <s:c r="P41" s="11" t="inlineStr">
        <s:is>
          <s:t>2025/jama.2025.11178/.ai_paper_validation/final_report_1_5_1.md</s:t>
        </s:is>
      </s:c>
      <s:c r="Q41" s="11" t="inlineStr">
        <s:is>
          <s:t>C024</s:t>
        </s:is>
      </s:c>
      <s:c r="R41" s="11" t="inlineStr">
        <s:is>
          <s:t>Pending Human Adjudication</s:t>
        </s:is>
      </s:c>
      <s:c r="S41" s="11" t="inlineStr">
        <s:is>
          <s:t>Pending Human Adjudication. The printed values identify a candidate consistency issue: Physical-function 3-month Health Coach versus painTRAINER SMD endpoints reversed.</s:t>
        </s:is>
      </s:c>
      <s:c r="T41" s="11" t="b">
        <s:v>1</s:v>
      </s:c>
      <s:c r="U41" s="11" t="inlineStr">
        <s:is>
          <s:t>Physical-function 3-month Health Coach versus painTRAINER SMD endpoints reversed</s:t>
        </s:is>
      </s:c>
      <s:c r="V41" s="11" t="inlineStr">
        <s:is>
          <s:t>statistical_results</s:t>
        </s:is>
      </s:c>
      <s:c r="W41" s="11" t="inlineStr">
        <s:is>
          <s:t>Physical-function 3-month Health Coach versus painTRAINER SMD endpoints reversed</s:t>
        </s:is>
      </s:c>
      <s:c r="X41" s="11" t="inlineStr">
        <s:is>
          <s:t>2025</s:t>
        </s:is>
      </s:c>
      <s:c r="Y41" s="11" t="inlineStr">
        <s:is>
          <s:t>meta_report/consistency_reclassification_2026-09-04/reclassified_candidates.json</s:t>
        </s:is>
      </s:c>
      <s:c r="Z41" s="11" t="inlineStr">
        <s:is>
          <s:t>S_W</s:t>
        </s:is>
      </s:c>
      <s:c r="AA41" s="11" t="inlineStr">
        <s:is>
          <s:t>statistical_results</s:t>
        </s:is>
      </s:c>
      <s:c r="AB41" s="11" t="inlineStr">
        <s:is>
          <s:t>retain</s:t>
        </s:is>
      </s:c>
    </s:row>
    <s:row r="42" ht="90" customFormat="1" customHeight="1" s="8">
      <s:c r="A42" s="12" t="b">
        <s:v>0</s:v>
      </s:c>
      <s:c r="B42" s="12" t="n"/>
      <s:c r="C42" s="12" t="b">
        <s:v>0</s:v>
      </s:c>
      <s:c r="D42" s="12" t="inlineStr">
        <s:is>
          <s:t>Statistical reporting inconsistency</s:t>
        </s:is>
      </s:c>
      <s:c r="E42" s="12" t="b">
        <s:v>0</s:v>
      </s:c>
      <s:c r="F42" s="12" t="inlineStr">
        <s:is>
          <s:t>C025</s:t>
        </s:is>
      </s:c>
      <s:c r="G42" s="12" t="inlineStr">
        <s:is>
          <s:t>2025::jama.2025.11178::C025</s:t>
        </s:is>
      </s:c>
      <s:c r="H42" s="12" t="n"/>
      <s:c r="I42" s="12" t="inlineStr">
        <s:is>
          <s:t>main article — PDF p. 10, Table 3, physical function, 6 months, painTRAINER vs usual care plus SMD.</s:t>
        </s:is>
      </s:c>
      <s:c r="J42" s="12" t="b">
        <s:v>0</s:v>
      </s:c>
      <s:c r="K42" s="12" t="inlineStr">
        <s:is>
          <s:t>jama.2025.11178</s:t>
        </s:is>
      </s:c>
      <s:c r="L42" s="12" t="n"/>
      <s:c r="M42" s="12" t="inlineStr">
        <s:is>
          <s:t>S_W</s:t>
        </s:is>
      </s:c>
      <s:c r="N42" s="12" t="inlineStr">
        <s:is>
          <s:t>Target is within one main article or one non-plan results supplement/workbook; no substantive plan comparison. `0.09 &gt; -0.06`; sorting endpoints still gives `[-0.06,0.09]`, which excludes 0.15.</s:t>
        </s:is>
      </s:c>
      <s:c r="O42" s="12" t="inlineStr">
        <s:is>
          <s:t>../../2025/jama.2025.11178/.ai_paper_validation/final_report_1_5_1.html</s:t>
        </s:is>
      </s:c>
      <s:c r="P42" s="12" t="inlineStr">
        <s:is>
          <s:t>2025/jama.2025.11178/.ai_paper_validation/final_report_1_5_1.md</s:t>
        </s:is>
      </s:c>
      <s:c r="Q42" s="12" t="inlineStr">
        <s:is>
          <s:t>C025</s:t>
        </s:is>
      </s:c>
      <s:c r="R42" s="12" t="inlineStr">
        <s:is>
          <s:t>Pending Human Adjudication</s:t>
        </s:is>
      </s:c>
      <s:c r="S42" s="12" t="inlineStr">
        <s:is>
          <s:t>Pending Human Adjudication. The printed values identify a candidate consistency issue: Physical-function 6-month painTRAINER SMD endpoints reversed and exclude estimate.</s:t>
        </s:is>
      </s:c>
      <s:c r="T42" s="12" t="b">
        <s:v>1</s:v>
      </s:c>
      <s:c r="U42" s="12" t="inlineStr">
        <s:is>
          <s:t>Physical-function 6-month painTRAINER SMD endpoints reversed and exclude estimate</s:t>
        </s:is>
      </s:c>
      <s:c r="V42" s="12" t="inlineStr">
        <s:is>
          <s:t>statistical_results</s:t>
        </s:is>
      </s:c>
      <s:c r="W42" s="12" t="inlineStr">
        <s:is>
          <s:t>Physical-function 6-month painTRAINER SMD endpoints reversed and exclude estimate</s:t>
        </s:is>
      </s:c>
      <s:c r="X42" s="12" t="inlineStr">
        <s:is>
          <s:t>2025</s:t>
        </s:is>
      </s:c>
      <s:c r="Y42" s="12" t="inlineStr">
        <s:is>
          <s:t>meta_report/consistency_reclassification_2026-09-04/reclassified_candidates.json</s:t>
        </s:is>
      </s:c>
      <s:c r="Z42" s="12" t="inlineStr">
        <s:is>
          <s:t>S_W</s:t>
        </s:is>
      </s:c>
      <s:c r="AA42" s="12" t="inlineStr">
        <s:is>
          <s:t>statistical_results</s:t>
        </s:is>
      </s:c>
      <s:c r="AB42" s="12" t="inlineStr">
        <s:is>
          <s:t>retain</s:t>
        </s:is>
      </s:c>
    </s:row>
    <s:row r="43" ht="90" customFormat="1" customHeight="1" s="8">
      <s:c r="A43" s="11" t="b">
        <s:v>0</s:v>
      </s:c>
      <s:c r="B43" s="11" t="n"/>
      <s:c r="C43" s="11" t="b">
        <s:v>0</s:v>
      </s:c>
      <s:c r="D43" s="11" t="inlineStr">
        <s:is>
          <s:t>Statistical reporting inconsistency</s:t>
        </s:is>
      </s:c>
      <s:c r="E43" s="11" t="b">
        <s:v>0</s:v>
      </s:c>
      <s:c r="F43" s="11" t="inlineStr">
        <s:is>
          <s:t>C026</s:t>
        </s:is>
      </s:c>
      <s:c r="G43" s="11" t="inlineStr">
        <s:is>
          <s:t>2025::jama.2025.11178::C026</s:t>
        </s:is>
      </s:c>
      <s:c r="H43" s="11" t="n"/>
      <s:c r="I43" s="11" t="inlineStr">
        <s:is>
          <s:t>main article — PDF p. 10, Table 3, physical function, 6 months, Health Coach vs usual care plus SMD.</s:t>
        </s:is>
      </s:c>
      <s:c r="J43" s="11" t="b">
        <s:v>0</s:v>
      </s:c>
      <s:c r="K43" s="11" t="inlineStr">
        <s:is>
          <s:t>jama.2025.11178</s:t>
        </s:is>
      </s:c>
      <s:c r="L43" s="11" t="n"/>
      <s:c r="M43" s="11" t="inlineStr">
        <s:is>
          <s:t>S_W</s:t>
        </s:is>
      </s:c>
      <s:c r="N43" s="11" t="inlineStr">
        <s:is>
          <s:t>Target is within one main article or one non-plan results supplement/workbook; no substantive plan comparison. `0.03 &gt; -0.18`; endpoints are reversed.</s:t>
        </s:is>
      </s:c>
      <s:c r="O43" s="11" t="inlineStr">
        <s:is>
          <s:t>../../2025/jama.2025.11178/.ai_paper_validation/final_report_1_5_1.html</s:t>
        </s:is>
      </s:c>
      <s:c r="P43" s="11" t="inlineStr">
        <s:is>
          <s:t>2025/jama.2025.11178/.ai_paper_validation/final_report_1_5_1.md</s:t>
        </s:is>
      </s:c>
      <s:c r="Q43" s="11" t="inlineStr">
        <s:is>
          <s:t>C026</s:t>
        </s:is>
      </s:c>
      <s:c r="R43" s="11" t="inlineStr">
        <s:is>
          <s:t>Pending Human Adjudication</s:t>
        </s:is>
      </s:c>
      <s:c r="S43" s="11" t="inlineStr">
        <s:is>
          <s:t>Pending Human Adjudication. The printed values identify a candidate consistency issue: Physical-function 6-month Health Coach SMD endpoints reversed.</s:t>
        </s:is>
      </s:c>
      <s:c r="T43" s="11" t="b">
        <s:v>1</s:v>
      </s:c>
      <s:c r="U43" s="11" t="inlineStr">
        <s:is>
          <s:t>Physical-function 6-month Health Coach SMD endpoints reversed</s:t>
        </s:is>
      </s:c>
      <s:c r="V43" s="11" t="inlineStr">
        <s:is>
          <s:t>statistical_results</s:t>
        </s:is>
      </s:c>
      <s:c r="W43" s="11" t="inlineStr">
        <s:is>
          <s:t>Physical-function 6-month Health Coach SMD endpoints reversed</s:t>
        </s:is>
      </s:c>
      <s:c r="X43" s="11" t="inlineStr">
        <s:is>
          <s:t>2025</s:t>
        </s:is>
      </s:c>
      <s:c r="Y43" s="11" t="inlineStr">
        <s:is>
          <s:t>meta_report/consistency_reclassification_2026-09-04/reclassified_candidates.json</s:t>
        </s:is>
      </s:c>
      <s:c r="Z43" s="11" t="inlineStr">
        <s:is>
          <s:t>S_W</s:t>
        </s:is>
      </s:c>
      <s:c r="AA43" s="11" t="inlineStr">
        <s:is>
          <s:t>statistical_results</s:t>
        </s:is>
      </s:c>
      <s:c r="AB43" s="11" t="inlineStr">
        <s:is>
          <s:t>retain</s:t>
        </s:is>
      </s:c>
    </s:row>
    <s:row r="44" ht="90" customFormat="1" customHeight="1" s="8">
      <s:c r="A44" s="12" t="b">
        <s:v>0</s:v>
      </s:c>
      <s:c r="B44" s="12" t="n"/>
      <s:c r="C44" s="12" t="b">
        <s:v>0</s:v>
      </s:c>
      <s:c r="D44" s="12" t="inlineStr">
        <s:is>
          <s:t>Statistical reporting inconsistency</s:t>
        </s:is>
      </s:c>
      <s:c r="E44" s="12" t="b">
        <s:v>0</s:v>
      </s:c>
      <s:c r="F44" s="12" t="inlineStr">
        <s:is>
          <s:t>C027</s:t>
        </s:is>
      </s:c>
      <s:c r="G44" s="12" t="inlineStr">
        <s:is>
          <s:t>2025::jama.2025.11178::C027</s:t>
        </s:is>
      </s:c>
      <s:c r="H44" s="12" t="n"/>
      <s:c r="I44" s="12" t="inlineStr">
        <s:is>
          <s:t>main article — PDF p. 10, Table 3, physical function, 6 months, Health Coach vs painTRAINER SMD.</s:t>
        </s:is>
      </s:c>
      <s:c r="J44" s="12" t="b">
        <s:v>0</s:v>
      </s:c>
      <s:c r="K44" s="12" t="inlineStr">
        <s:is>
          <s:t>jama.2025.11178</s:t>
        </s:is>
      </s:c>
      <s:c r="L44" s="12" t="n"/>
      <s:c r="M44" s="12" t="inlineStr">
        <s:is>
          <s:t>S_W</s:t>
        </s:is>
      </s:c>
      <s:c r="N44" s="12" t="inlineStr">
        <s:is>
          <s:t>Target is within one main article or one non-plan results supplement/workbook; no substantive plan comparison. `0.16 &gt; 0.05`; sorted interval `[0.05,0.16]` excludes 0.22.</s:t>
        </s:is>
      </s:c>
      <s:c r="O44" s="12" t="inlineStr">
        <s:is>
          <s:t>../../2025/jama.2025.11178/.ai_paper_validation/final_report_1_5_1.html</s:t>
        </s:is>
      </s:c>
      <s:c r="P44" s="12" t="inlineStr">
        <s:is>
          <s:t>2025/jama.2025.11178/.ai_paper_validation/final_report_1_5_1.md</s:t>
        </s:is>
      </s:c>
      <s:c r="Q44" s="12" t="inlineStr">
        <s:is>
          <s:t>C027</s:t>
        </s:is>
      </s:c>
      <s:c r="R44" s="12" t="inlineStr">
        <s:is>
          <s:t>Pending Human Adjudication</s:t>
        </s:is>
      </s:c>
      <s:c r="S44" s="12" t="inlineStr">
        <s:is>
          <s:t>Pending Human Adjudication. The printed values identify a candidate consistency issue: Physical-function 6-month Health Coach versus painTRAINER SMD endpoints reversed and exclude estimate.</s:t>
        </s:is>
      </s:c>
      <s:c r="T44" s="12" t="b">
        <s:v>1</s:v>
      </s:c>
      <s:c r="U44" s="12" t="inlineStr">
        <s:is>
          <s:t>Physical-function 6-month Health Coach versus painTRAINER SMD endpoints reversed and exclude estimate</s:t>
        </s:is>
      </s:c>
      <s:c r="V44" s="12" t="inlineStr">
        <s:is>
          <s:t>statistical_results</s:t>
        </s:is>
      </s:c>
      <s:c r="W44" s="12" t="inlineStr">
        <s:is>
          <s:t>Physical-function 6-month Health Coach versus painTRAINER SMD endpoints reversed and exclude estimate</s:t>
        </s:is>
      </s:c>
      <s:c r="X44" s="12" t="inlineStr">
        <s:is>
          <s:t>2025</s:t>
        </s:is>
      </s:c>
      <s:c r="Y44" s="12" t="inlineStr">
        <s:is>
          <s:t>meta_report/consistency_reclassification_2026-09-04/reclassified_candidates.json</s:t>
        </s:is>
      </s:c>
      <s:c r="Z44" s="12" t="inlineStr">
        <s:is>
          <s:t>S_W</s:t>
        </s:is>
      </s:c>
      <s:c r="AA44" s="12" t="inlineStr">
        <s:is>
          <s:t>statistical_results</s:t>
        </s:is>
      </s:c>
      <s:c r="AB44" s="12" t="inlineStr">
        <s:is>
          <s:t>retain</s:t>
        </s:is>
      </s:c>
    </s:row>
    <s:row r="45" ht="90" customFormat="1" customHeight="1" s="8">
      <s:c r="A45" s="11" t="b">
        <s:v>0</s:v>
      </s:c>
      <s:c r="B45" s="11" t="n"/>
      <s:c r="C45" s="11" t="b">
        <s:v>0</s:v>
      </s:c>
      <s:c r="D45" s="11" t="inlineStr">
        <s:is>
          <s:t>Statistical reporting inconsistency</s:t>
        </s:is>
      </s:c>
      <s:c r="E45" s="11" t="b">
        <s:v>0</s:v>
      </s:c>
      <s:c r="F45" s="11" t="inlineStr">
        <s:is>
          <s:t>C028</s:t>
        </s:is>
      </s:c>
      <s:c r="G45" s="11" t="inlineStr">
        <s:is>
          <s:t>2025::jama.2025.11178::C028</s:t>
        </s:is>
      </s:c>
      <s:c r="H45" s="11" t="n"/>
      <s:c r="I45" s="11" t="inlineStr">
        <s:is>
          <s:t>main article — PDF p. 10, Table 3, physical function, 12 months, painTRAINER vs usual care plus SMD.</s:t>
        </s:is>
      </s:c>
      <s:c r="J45" s="11" t="b">
        <s:v>0</s:v>
      </s:c>
      <s:c r="K45" s="11" t="inlineStr">
        <s:is>
          <s:t>jama.2025.11178</s:t>
        </s:is>
      </s:c>
      <s:c r="L45" s="11" t="n"/>
      <s:c r="M45" s="11" t="inlineStr">
        <s:is>
          <s:t>S_W</s:t>
        </s:is>
      </s:c>
      <s:c r="N45" s="11" t="inlineStr">
        <s:is>
          <s:t>Target is within one main article or one non-plan results supplement/workbook; no substantive plan comparison. `0.18 &gt; -0.03`; sorted interval `[-0.03,0.18]` excludes 0.20.</s:t>
        </s:is>
      </s:c>
      <s:c r="O45" s="11" t="inlineStr">
        <s:is>
          <s:t>../../2025/jama.2025.11178/.ai_paper_validation/final_report_1_5_1.html</s:t>
        </s:is>
      </s:c>
      <s:c r="P45" s="11" t="inlineStr">
        <s:is>
          <s:t>2025/jama.2025.11178/.ai_paper_validation/final_report_1_5_1.md</s:t>
        </s:is>
      </s:c>
      <s:c r="Q45" s="11" t="inlineStr">
        <s:is>
          <s:t>C028</s:t>
        </s:is>
      </s:c>
      <s:c r="R45" s="11" t="inlineStr">
        <s:is>
          <s:t>Pending Human Adjudication</s:t>
        </s:is>
      </s:c>
      <s:c r="S45" s="11" t="inlineStr">
        <s:is>
          <s:t>Pending Human Adjudication. The printed values identify a candidate consistency issue: Physical-function 12-month painTRAINER SMD endpoints reversed and exclude estimate.</s:t>
        </s:is>
      </s:c>
      <s:c r="T45" s="11" t="b">
        <s:v>1</s:v>
      </s:c>
      <s:c r="U45" s="11" t="inlineStr">
        <s:is>
          <s:t>Physical-function 12-month painTRAINER SMD endpoints reversed and exclude estimate</s:t>
        </s:is>
      </s:c>
      <s:c r="V45" s="11" t="inlineStr">
        <s:is>
          <s:t>statistical_results</s:t>
        </s:is>
      </s:c>
      <s:c r="W45" s="11" t="inlineStr">
        <s:is>
          <s:t>Physical-function 12-month painTRAINER SMD endpoints reversed and exclude estimate</s:t>
        </s:is>
      </s:c>
      <s:c r="X45" s="11" t="inlineStr">
        <s:is>
          <s:t>2025</s:t>
        </s:is>
      </s:c>
      <s:c r="Y45" s="11" t="inlineStr">
        <s:is>
          <s:t>meta_report/consistency_reclassification_2026-09-04/reclassified_candidates.json</s:t>
        </s:is>
      </s:c>
      <s:c r="Z45" s="11" t="inlineStr">
        <s:is>
          <s:t>S_W</s:t>
        </s:is>
      </s:c>
      <s:c r="AA45" s="11" t="inlineStr">
        <s:is>
          <s:t>statistical_results</s:t>
        </s:is>
      </s:c>
      <s:c r="AB45" s="11" t="inlineStr">
        <s:is>
          <s:t>retain</s:t>
        </s:is>
      </s:c>
    </s:row>
    <s:row r="46" ht="90" customFormat="1" customHeight="1" s="8">
      <s:c r="A46" s="12" t="b">
        <s:v>0</s:v>
      </s:c>
      <s:c r="B46" s="12" t="n"/>
      <s:c r="C46" s="12" t="b">
        <s:v>0</s:v>
      </s:c>
      <s:c r="D46" s="12" t="inlineStr">
        <s:is>
          <s:t>Statistical reporting inconsistency</s:t>
        </s:is>
      </s:c>
      <s:c r="E46" s="12" t="b">
        <s:v>0</s:v>
      </s:c>
      <s:c r="F46" s="12" t="inlineStr">
        <s:is>
          <s:t>C029</s:t>
        </s:is>
      </s:c>
      <s:c r="G46" s="12" t="inlineStr">
        <s:is>
          <s:t>2025::jama.2025.11178::C029</s:t>
        </s:is>
      </s:c>
      <s:c r="H46" s="12" t="n"/>
      <s:c r="I46" s="12" t="inlineStr">
        <s:is>
          <s:t>main article — PDF p. 10, Table 3, physical function, 12 months, Health Coach vs usual care plus SMD.</s:t>
        </s:is>
      </s:c>
      <s:c r="J46" s="12" t="b">
        <s:v>0</s:v>
      </s:c>
      <s:c r="K46" s="12" t="inlineStr">
        <s:is>
          <s:t>jama.2025.11178</s:t>
        </s:is>
      </s:c>
      <s:c r="L46" s="12" t="n"/>
      <s:c r="M46" s="12" t="inlineStr">
        <s:is>
          <s:t>S_W</s:t>
        </s:is>
      </s:c>
      <s:c r="N46" s="12" t="inlineStr">
        <s:is>
          <s:t>Target is within one main article or one non-plan results supplement/workbook; no substantive plan comparison. `0.04 &gt; -0.16`; sorted interval `[-0.16,0.04]` excludes 0.07.</s:t>
        </s:is>
      </s:c>
      <s:c r="O46" s="12" t="inlineStr">
        <s:is>
          <s:t>../../2025/jama.2025.11178/.ai_paper_validation/final_report_1_5_1.html</s:t>
        </s:is>
      </s:c>
      <s:c r="P46" s="12" t="inlineStr">
        <s:is>
          <s:t>2025/jama.2025.11178/.ai_paper_validation/final_report_1_5_1.md</s:t>
        </s:is>
      </s:c>
      <s:c r="Q46" s="12" t="inlineStr">
        <s:is>
          <s:t>C029</s:t>
        </s:is>
      </s:c>
      <s:c r="R46" s="12" t="inlineStr">
        <s:is>
          <s:t>Pending Human Adjudication</s:t>
        </s:is>
      </s:c>
      <s:c r="S46" s="12" t="inlineStr">
        <s:is>
          <s:t>Pending Human Adjudication. The printed values identify a candidate consistency issue: Physical-function 12-month Health Coach SMD endpoints reversed and exclude estimate.</s:t>
        </s:is>
      </s:c>
      <s:c r="T46" s="12" t="b">
        <s:v>1</s:v>
      </s:c>
      <s:c r="U46" s="12" t="inlineStr">
        <s:is>
          <s:t>Physical-function 12-month Health Coach SMD endpoints reversed and exclude estimate</s:t>
        </s:is>
      </s:c>
      <s:c r="V46" s="12" t="inlineStr">
        <s:is>
          <s:t>statistical_results</s:t>
        </s:is>
      </s:c>
      <s:c r="W46" s="12" t="inlineStr">
        <s:is>
          <s:t>Physical-function 12-month Health Coach SMD endpoints reversed and exclude estimate</s:t>
        </s:is>
      </s:c>
      <s:c r="X46" s="12" t="inlineStr">
        <s:is>
          <s:t>2025</s:t>
        </s:is>
      </s:c>
      <s:c r="Y46" s="12" t="inlineStr">
        <s:is>
          <s:t>meta_report/consistency_reclassification_2026-09-04/reclassified_candidates.json</s:t>
        </s:is>
      </s:c>
      <s:c r="Z46" s="12" t="inlineStr">
        <s:is>
          <s:t>S_W</s:t>
        </s:is>
      </s:c>
      <s:c r="AA46" s="12" t="inlineStr">
        <s:is>
          <s:t>statistical_results</s:t>
        </s:is>
      </s:c>
      <s:c r="AB46" s="12" t="inlineStr">
        <s:is>
          <s:t>retain</s:t>
        </s:is>
      </s:c>
    </s:row>
    <s:row r="47" ht="90" customFormat="1" customHeight="1" s="8">
      <s:c r="A47" s="11" t="b">
        <s:v>0</s:v>
      </s:c>
      <s:c r="B47" s="11" t="n"/>
      <s:c r="C47" s="11" t="b">
        <s:v>0</s:v>
      </s:c>
      <s:c r="D47" s="11" t="inlineStr">
        <s:is>
          <s:t>Statistical reporting inconsistency</s:t>
        </s:is>
      </s:c>
      <s:c r="E47" s="11" t="b">
        <s:v>0</s:v>
      </s:c>
      <s:c r="F47" s="11" t="inlineStr">
        <s:is>
          <s:t>C030</s:t>
        </s:is>
      </s:c>
      <s:c r="G47" s="11" t="inlineStr">
        <s:is>
          <s:t>2025::jama.2025.11178::C030</s:t>
        </s:is>
      </s:c>
      <s:c r="H47" s="11" t="n"/>
      <s:c r="I47" s="11" t="inlineStr">
        <s:is>
          <s:t>main article — PDF p. 10, Table 3, physical function, 12 months, Health Coach vs painTRAINER SMD.</s:t>
        </s:is>
      </s:c>
      <s:c r="J47" s="11" t="b">
        <s:v>0</s:v>
      </s:c>
      <s:c r="K47" s="11" t="inlineStr">
        <s:is>
          <s:t>jama.2025.11178</s:t>
        </s:is>
      </s:c>
      <s:c r="L47" s="11" t="n"/>
      <s:c r="M47" s="11" t="inlineStr">
        <s:is>
          <s:t>S_W</s:t>
        </s:is>
      </s:c>
      <s:c r="N47" s="11" t="inlineStr">
        <s:is>
          <s:t>Target is within one main article or one non-plan results supplement/workbook; no substantive plan comparison. `0.25 &gt; 0.09`; sorted interval `[0.09,0.25]` excludes 0.27.</s:t>
        </s:is>
      </s:c>
      <s:c r="O47" s="11" t="inlineStr">
        <s:is>
          <s:t>../../2025/jama.2025.11178/.ai_paper_validation/final_report_1_5_1.html</s:t>
        </s:is>
      </s:c>
      <s:c r="P47" s="11" t="inlineStr">
        <s:is>
          <s:t>2025/jama.2025.11178/.ai_paper_validation/final_report_1_5_1.md</s:t>
        </s:is>
      </s:c>
      <s:c r="Q47" s="11" t="inlineStr">
        <s:is>
          <s:t>C030</s:t>
        </s:is>
      </s:c>
      <s:c r="R47" s="11" t="inlineStr">
        <s:is>
          <s:t>Pending Human Adjudication</s:t>
        </s:is>
      </s:c>
      <s:c r="S47" s="11" t="inlineStr">
        <s:is>
          <s:t>Pending Human Adjudication. The printed values identify a candidate consistency issue: Physical-function 12-month Health Coach versus painTRAINER SMD endpoints reversed and exclude estimate.</s:t>
        </s:is>
      </s:c>
      <s:c r="T47" s="11" t="b">
        <s:v>1</s:v>
      </s:c>
      <s:c r="U47" s="11" t="inlineStr">
        <s:is>
          <s:t>Physical-function 12-month Health Coach versus painTRAINER SMD endpoints reversed and exclude estimate</s:t>
        </s:is>
      </s:c>
      <s:c r="V47" s="11" t="inlineStr">
        <s:is>
          <s:t>statistical_results</s:t>
        </s:is>
      </s:c>
      <s:c r="W47" s="11" t="inlineStr">
        <s:is>
          <s:t>Physical-function 12-month Health Coach versus painTRAINER SMD endpoints reversed and exclude estimate</s:t>
        </s:is>
      </s:c>
      <s:c r="X47" s="11" t="inlineStr">
        <s:is>
          <s:t>2025</s:t>
        </s:is>
      </s:c>
      <s:c r="Y47" s="11" t="inlineStr">
        <s:is>
          <s:t>meta_report/consistency_reclassification_2026-09-04/reclassified_candidates.json</s:t>
        </s:is>
      </s:c>
      <s:c r="Z47" s="11" t="inlineStr">
        <s:is>
          <s:t>S_W</s:t>
        </s:is>
      </s:c>
      <s:c r="AA47" s="11" t="inlineStr">
        <s:is>
          <s:t>statistical_results</s:t>
        </s:is>
      </s:c>
      <s:c r="AB47" s="11" t="inlineStr">
        <s:is>
          <s:t>retain</s:t>
        </s:is>
      </s:c>
    </s:row>
    <s:row r="48" ht="90" customFormat="1" customHeight="1" s="8">
      <s:c r="A48" s="12" t="b">
        <s:v>0</s:v>
      </s:c>
      <s:c r="B48" s="12" t="n"/>
      <s:c r="C48" s="12" t="b">
        <s:v>0</s:v>
      </s:c>
      <s:c r="D48" s="12" t="inlineStr">
        <s:is>
          <s:t>Statistical reporting inconsistency</s:t>
        </s:is>
      </s:c>
      <s:c r="E48" s="12" t="b">
        <s:v>0</s:v>
      </s:c>
      <s:c r="F48" s="12" t="inlineStr">
        <s:is>
          <s:t>C031</s:t>
        </s:is>
      </s:c>
      <s:c r="G48" s="12" t="inlineStr">
        <s:is>
          <s:t>2025::jama.2025.11178::C031</s:t>
        </s:is>
      </s:c>
      <s:c r="H48" s="12" t="n"/>
      <s:c r="I48" s="12" t="inlineStr">
        <s:is>
          <s:t>main article — PDF p. 11, Table 3, PGIC-pain, 12 months, painTRAINER vs usual care plus SMD.</s:t>
        </s:is>
      </s:c>
      <s:c r="J48" s="12" t="b">
        <s:v>0</s:v>
      </s:c>
      <s:c r="K48" s="12" t="inlineStr">
        <s:is>
          <s:t>jama.2025.11178</s:t>
        </s:is>
      </s:c>
      <s:c r="L48" s="12" t="n"/>
      <s:c r="M48" s="12" t="inlineStr">
        <s:is>
          <s:t>S_W</s:t>
        </s:is>
      </s:c>
      <s:c r="N48" s="12" t="inlineStr">
        <s:is>
          <s:t>Target is within one main article or one non-plan results supplement/workbook; no substantive plan comparison. `-0.55 &lt; -0.50`, outside CI.</s:t>
        </s:is>
      </s:c>
      <s:c r="O48" s="12" t="inlineStr">
        <s:is>
          <s:t>../../2025/jama.2025.11178/.ai_paper_validation/final_report_1_5_1.html</s:t>
        </s:is>
      </s:c>
      <s:c r="P48" s="12" t="inlineStr">
        <s:is>
          <s:t>2025/jama.2025.11178/.ai_paper_validation/final_report_1_5_1.md</s:t>
        </s:is>
      </s:c>
      <s:c r="Q48" s="12" t="inlineStr">
        <s:is>
          <s:t>C031</s:t>
        </s:is>
      </s:c>
      <s:c r="R48" s="12" t="inlineStr">
        <s:is>
          <s:t>Pending Human Adjudication</s:t>
        </s:is>
      </s:c>
      <s:c r="S48" s="12" t="inlineStr">
        <s:is>
          <s:t>Pending Human Adjudication. The printed values identify a candidate consistency issue: PGIC-pain 12-month painTRAINER SMD outside printed CI.</s:t>
        </s:is>
      </s:c>
      <s:c r="T48" s="12" t="b">
        <s:v>1</s:v>
      </s:c>
      <s:c r="U48" s="12" t="inlineStr">
        <s:is>
          <s:t>PGIC-pain 12-month painTRAINER SMD outside printed CI</s:t>
        </s:is>
      </s:c>
      <s:c r="V48" s="12" t="inlineStr">
        <s:is>
          <s:t>statistical_results</s:t>
        </s:is>
      </s:c>
      <s:c r="W48" s="12" t="inlineStr">
        <s:is>
          <s:t>PGIC-pain 12-month painTRAINER SMD outside printed CI</s:t>
        </s:is>
      </s:c>
      <s:c r="X48" s="12" t="inlineStr">
        <s:is>
          <s:t>2025</s:t>
        </s:is>
      </s:c>
      <s:c r="Y48" s="12" t="inlineStr">
        <s:is>
          <s:t>meta_report/consistency_reclassification_2026-09-04/reclassified_candidates.json</s:t>
        </s:is>
      </s:c>
      <s:c r="Z48" s="12" t="inlineStr">
        <s:is>
          <s:t>S_W</s:t>
        </s:is>
      </s:c>
      <s:c r="AA48" s="12" t="inlineStr">
        <s:is>
          <s:t>statistical_results</s:t>
        </s:is>
      </s:c>
      <s:c r="AB48" s="12" t="inlineStr">
        <s:is>
          <s:t>retain</s:t>
        </s:is>
      </s:c>
    </s:row>
    <s:row r="49" ht="90" customFormat="1" customHeight="1" s="8">
      <s:c r="A49" s="11" t="b">
        <s:v>0</s:v>
      </s:c>
      <s:c r="B49" s="11" t="n"/>
      <s:c r="C49" s="11" t="b">
        <s:v>0</s:v>
      </s:c>
      <s:c r="D49" s="11" t="inlineStr">
        <s:is>
          <s:t>Statistical reporting inconsistency</s:t>
        </s:is>
      </s:c>
      <s:c r="E49" s="11" t="b">
        <s:v>0</s:v>
      </s:c>
      <s:c r="F49" s="11" t="inlineStr">
        <s:is>
          <s:t>C032</s:t>
        </s:is>
      </s:c>
      <s:c r="G49" s="11" t="inlineStr">
        <s:is>
          <s:t>2025::jama.2025.11178::C032</s:t>
        </s:is>
      </s:c>
      <s:c r="H49" s="11" t="n"/>
      <s:c r="I49" s="11" t="inlineStr">
        <s:is>
          <s:t>main article — PDF p. 11, Table 3, PGIC-pain, 12 months, Health Coach vs usual care plus SMD.</s:t>
        </s:is>
      </s:c>
      <s:c r="J49" s="11" t="b">
        <s:v>0</s:v>
      </s:c>
      <s:c r="K49" s="11" t="inlineStr">
        <s:is>
          <s:t>jama.2025.11178</s:t>
        </s:is>
      </s:c>
      <s:c r="L49" s="11" t="n"/>
      <s:c r="M49" s="11" t="inlineStr">
        <s:is>
          <s:t>S_W</s:t>
        </s:is>
      </s:c>
      <s:c r="N49" s="11" t="inlineStr">
        <s:is>
          <s:t>Target is within one main article or one non-plan results supplement/workbook; no substantive plan comparison. `-0.57 &lt; -0.54`, outside CI.</s:t>
        </s:is>
      </s:c>
      <s:c r="O49" s="11" t="inlineStr">
        <s:is>
          <s:t>../../2025/jama.2025.11178/.ai_paper_validation/final_report_1_5_1.html</s:t>
        </s:is>
      </s:c>
      <s:c r="P49" s="11" t="inlineStr">
        <s:is>
          <s:t>2025/jama.2025.11178/.ai_paper_validation/final_report_1_5_1.md</s:t>
        </s:is>
      </s:c>
      <s:c r="Q49" s="11" t="inlineStr">
        <s:is>
          <s:t>C032</s:t>
        </s:is>
      </s:c>
      <s:c r="R49" s="11" t="inlineStr">
        <s:is>
          <s:t>Pending Human Adjudication</s:t>
        </s:is>
      </s:c>
      <s:c r="S49" s="11" t="inlineStr">
        <s:is>
          <s:t>Pending Human Adjudication. The printed values identify a candidate consistency issue: PGIC-pain 12-month Health Coach SMD outside printed CI.</s:t>
        </s:is>
      </s:c>
      <s:c r="T49" s="11" t="b">
        <s:v>1</s:v>
      </s:c>
      <s:c r="U49" s="11" t="inlineStr">
        <s:is>
          <s:t>PGIC-pain 12-month Health Coach SMD outside printed CI</s:t>
        </s:is>
      </s:c>
      <s:c r="V49" s="11" t="inlineStr">
        <s:is>
          <s:t>statistical_results</s:t>
        </s:is>
      </s:c>
      <s:c r="W49" s="11" t="inlineStr">
        <s:is>
          <s:t>PGIC-pain 12-month Health Coach SMD outside printed CI</s:t>
        </s:is>
      </s:c>
      <s:c r="X49" s="11" t="inlineStr">
        <s:is>
          <s:t>2025</s:t>
        </s:is>
      </s:c>
      <s:c r="Y49" s="11" t="inlineStr">
        <s:is>
          <s:t>meta_report/consistency_reclassification_2026-09-04/reclassified_candidates.json</s:t>
        </s:is>
      </s:c>
      <s:c r="Z49" s="11" t="inlineStr">
        <s:is>
          <s:t>S_W</s:t>
        </s:is>
      </s:c>
      <s:c r="AA49" s="11" t="inlineStr">
        <s:is>
          <s:t>statistical_results</s:t>
        </s:is>
      </s:c>
      <s:c r="AB49" s="11" t="inlineStr">
        <s:is>
          <s:t>retain</s:t>
        </s:is>
      </s:c>
    </s:row>
    <s:row r="50" ht="90" customFormat="1" customHeight="1" s="8">
      <s:c r="A50" s="12" t="b">
        <s:v>0</s:v>
      </s:c>
      <s:c r="B50" s="12" t="n"/>
      <s:c r="C50" s="12" t="b">
        <s:v>0</s:v>
      </s:c>
      <s:c r="D50" s="12" t="inlineStr">
        <s:is>
          <s:t>Statistical reporting inconsistency</s:t>
        </s:is>
      </s:c>
      <s:c r="E50" s="12" t="b">
        <s:v>0</s:v>
      </s:c>
      <s:c r="F50" s="12" t="inlineStr">
        <s:is>
          <s:t>C033</s:t>
        </s:is>
      </s:c>
      <s:c r="G50" s="12" t="inlineStr">
        <s:is>
          <s:t>2025::jama.2025.11178::C033</s:t>
        </s:is>
      </s:c>
      <s:c r="H50" s="12" t="n"/>
      <s:c r="I50" s="12" t="inlineStr">
        <s:is>
          <s:t>main article — PDF p. 11, Table 3, PGIC-pain, 12 months, Health Coach vs painTRAINER SMD.</s:t>
        </s:is>
      </s:c>
      <s:c r="J50" s="12" t="b">
        <s:v>0</s:v>
      </s:c>
      <s:c r="K50" s="12" t="inlineStr">
        <s:is>
          <s:t>jama.2025.11178</s:t>
        </s:is>
      </s:c>
      <s:c r="L50" s="12" t="n"/>
      <s:c r="M50" s="12" t="inlineStr">
        <s:is>
          <s:t>S_W</s:t>
        </s:is>
      </s:c>
      <s:c r="N50" s="12" t="inlineStr">
        <s:is>
          <s:t>Target is within one main article or one non-plan results supplement/workbook; no substantive plan comparison. `-0.29 &lt; -0.25`, outside CI.</s:t>
        </s:is>
      </s:c>
      <s:c r="O50" s="12" t="inlineStr">
        <s:is>
          <s:t>../../2025/jama.2025.11178/.ai_paper_validation/final_report_1_5_1.html</s:t>
        </s:is>
      </s:c>
      <s:c r="P50" s="12" t="inlineStr">
        <s:is>
          <s:t>2025/jama.2025.11178/.ai_paper_validation/final_report_1_5_1.md</s:t>
        </s:is>
      </s:c>
      <s:c r="Q50" s="12" t="inlineStr">
        <s:is>
          <s:t>C033</s:t>
        </s:is>
      </s:c>
      <s:c r="R50" s="12" t="inlineStr">
        <s:is>
          <s:t>Pending Human Adjudication</s:t>
        </s:is>
      </s:c>
      <s:c r="S50" s="12" t="inlineStr">
        <s:is>
          <s:t>Pending Human Adjudication. The printed values identify a candidate consistency issue: PGIC-pain 12-month Health Coach versus painTRAINER SMD outside printed CI.</s:t>
        </s:is>
      </s:c>
      <s:c r="T50" s="12" t="b">
        <s:v>1</s:v>
      </s:c>
      <s:c r="U50" s="12" t="inlineStr">
        <s:is>
          <s:t>PGIC-pain 12-month Health Coach versus painTRAINER SMD outside printed CI</s:t>
        </s:is>
      </s:c>
      <s:c r="V50" s="12" t="inlineStr">
        <s:is>
          <s:t>statistical_results</s:t>
        </s:is>
      </s:c>
      <s:c r="W50" s="12" t="inlineStr">
        <s:is>
          <s:t>PGIC-pain 12-month Health Coach versus painTRAINER SMD outside printed CI</s:t>
        </s:is>
      </s:c>
      <s:c r="X50" s="12" t="inlineStr">
        <s:is>
          <s:t>2025</s:t>
        </s:is>
      </s:c>
      <s:c r="Y50" s="12" t="inlineStr">
        <s:is>
          <s:t>meta_report/consistency_reclassification_2026-09-04/reclassified_candidates.json</s:t>
        </s:is>
      </s:c>
      <s:c r="Z50" s="12" t="inlineStr">
        <s:is>
          <s:t>S_W</s:t>
        </s:is>
      </s:c>
      <s:c r="AA50" s="12" t="inlineStr">
        <s:is>
          <s:t>statistical_results</s:t>
        </s:is>
      </s:c>
      <s:c r="AB50" s="12" t="inlineStr">
        <s:is>
          <s:t>retain</s:t>
        </s:is>
      </s:c>
    </s:row>
    <s:row r="51" ht="90" customFormat="1" customHeight="1" s="8">
      <s:c r="A51" s="11" t="b">
        <s:v>0</s:v>
      </s:c>
      <s:c r="B51" s="11" t="inlineStr">
        <s:is>
          <s:t>Source explicitly distinguishes self-report with EHR fallback from EHR-only sex derivation; equality is conditional.</s:t>
        </s:is>
      </s:c>
      <s:c r="C51" s="11" t="b">
        <s:v>0</s:v>
      </s:c>
      <s:c r="D51" s="11" t="inlineStr">
        <s:is>
          <s:t>Cross-document numeric inconsistency</s:t>
        </s:is>
      </s:c>
      <s:c r="E51" s="11" t="b">
        <s:v>1</s:v>
      </s:c>
      <s:c r="F51" s="11" t="inlineStr">
        <s:is>
          <s:t>C034</s:t>
        </s:is>
      </s:c>
      <s:c r="G51" s="11" t="inlineStr">
        <s:is>
          <s:t>2025::jama.2025.11178::C034</s:t>
        </s:is>
      </s:c>
      <s:c r="H51" s="11" t="n"/>
      <s:c r="I51" s="11" t="inlineStr">
        <s:is>
          <s:t>main article — PDF p. 1, Abstract; main article — PDF p. 6, Table 1; workbook, worksheet eTable 3, cells A11:B11.</s:t>
        </s:is>
      </s:c>
      <s:c r="J51" s="11" t="b">
        <s:v>1</s:v>
      </s:c>
      <s:c r="K51" s="11" t="inlineStr">
        <s:is>
          <s:t>jama.2025.11178</s:t>
        </s:is>
      </s:c>
      <s:c r="L51" s="11" t="n"/>
      <s:c r="M51" s="11" t="inlineStr">
        <s:is>
          <s:t>S_C</s:t>
        </s:is>
      </s:c>
      <s:c r="N51" s="11" t="inlineStr">
        <s:is>
          <s: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s:t>
        </s:is>
      </s:c>
      <s:c r="O51" s="11" t="inlineStr">
        <s:is>
          <s:t>../../2025/jama.2025.11178/.ai_paper_validation/final_report_1_5_1.html</s:t>
        </s:is>
      </s:c>
      <s:c r="P51" s="11" t="inlineStr">
        <s:is>
          <s:t>2025/jama.2025.11178/.ai_paper_validation/final_report_1_5_1.md</s:t>
        </s:is>
      </s:c>
      <s:c r="Q51" s="11" t="inlineStr">
        <s:is>
          <s:t>C034</s:t>
        </s:is>
      </s:c>
      <s:c r="R51" s="11" t="inlineStr">
        <s:is>
          <s:t>Pending Human Adjudication</s:t>
        </s:is>
      </s:c>
      <s:c r="S51" s="11" t="inlineStr">
        <s:is>
          <s:t>Pending Human Adjudication. The printed values identify a candidate consistency issue: Female total differs across sources if the printed derivations are intended to match.</s:t>
        </s:is>
      </s:c>
      <s:c r="T51" s="11" t="b">
        <s:v>1</s:v>
      </s:c>
      <s:c r="U51" s="11" t="inlineStr">
        <s:is>
          <s:t>Female total differs across sources if the printed derivations are intended to match</s:t>
        </s:is>
      </s:c>
      <s:c r="V51" s="11" t="inlineStr">
        <s:is>
          <s:t>report_internal_inconsistency</s:t>
        </s:is>
      </s:c>
      <s:c r="W51" s="11" t="inlineStr">
        <s:is>
          <s:t>Female total differs across sources if the printed derivations are intended to match</s:t>
        </s:is>
      </s:c>
      <s:c r="X51" s="11" t="inlineStr">
        <s:is>
          <s:t>2025</s:t>
        </s:is>
      </s:c>
      <s:c r="Y51" s="11" t="inlineStr">
        <s:is>
          <s:t>meta_report/consistency_reclassification_2026-09-04/reclassified_candidates.json</s:t>
        </s:is>
      </s:c>
      <s:c r="Z51" s="11" t="inlineStr">
        <s:is>
          <s:t>S_C</s:t>
        </s:is>
      </s:c>
      <s:c r="AA51" s="11" t="inlineStr">
        <s:is>
          <s:t>report_internal_inconsistency</s:t>
        </s:is>
      </s:c>
      <s:c r="AB51" s="11" t="inlineStr">
        <s:is>
          <s:t>retain</s:t>
        </s:is>
      </s:c>
    </s:row>
    <s:row r="52" ht="90" customFormat="1" customHeight="1" s="8">
      <s:c r="A52" s="12" t="b">
        <s:v>0</s:v>
      </s:c>
      <s:c r="B52" s="12" t="inlineStr">
        <s:is>
          <s:t>Main arithmetic and main/workbook repeated percentage both directly targeted. Distinct from C005, which concerns All Observed subgroup workbook cell, not Overall narrative.</s:t>
        </s:is>
      </s:c>
      <s:c r="C52" s="12" t="b">
        <s:v>0</s:v>
      </s:c>
      <s:c r="D52" s="12" t="inlineStr">
        <s:is>
          <s:t>Cross-document numeric inconsistency</s:t>
        </s:is>
      </s:c>
      <s:c r="E52" s="12" t="b">
        <s:v>1</s:v>
      </s:c>
      <s:c r="F52" s="12" t="inlineStr">
        <s:is>
          <s:t>C035</s:t>
        </s:is>
      </s:c>
      <s:c r="G52" s="12" t="inlineStr">
        <s:is>
          <s:t>2025::jama.2025.11178::C035</s:t>
        </s:is>
      </s:c>
      <s:c r="H52" s="12" t="n"/>
      <s:c r="I52" s="12" t="inlineStr">
        <s:is>
          <s:t>main article — PDF p. 4, Results; main article — PDF p. 6, Table 1; workbook, worksheet eTable 3, cells A82:B82.</s:t>
        </s:is>
      </s:c>
      <s:c r="J52" s="12" t="b">
        <s:v>1</s:v>
      </s:c>
      <s:c r="K52" s="12" t="inlineStr">
        <s:is>
          <s:t>jama.2025.11178</s:t>
        </s:is>
      </s:c>
      <s:c r="L52" s="12" t="n"/>
      <s:c r="M52" s="12" t="inlineStr">
        <s:is>
          <s:t>S_C</s:t>
        </s:is>
      </s:c>
      <s:c r="N52" s="12" t="inlineStr">
        <s:is>
          <s:t>Target explicitly compares current main article and non-plan results supplement/workbook. Same PHQ-8 &gt;=10 baseline definition; `1116/(775+777+777)=1116/2329=47.9176%`, or 47.9% to one decimal, not 47.8%.</s:t>
        </s:is>
      </s:c>
      <s:c r="O52" s="12" t="inlineStr">
        <s:is>
          <s:t>../../2025/jama.2025.11178/.ai_paper_validation/final_report_1_5_1.html</s:t>
        </s:is>
      </s:c>
      <s:c r="P52" s="12" t="inlineStr">
        <s:is>
          <s:t>2025/jama.2025.11178/.ai_paper_validation/final_report_1_5_1.md</s:t>
        </s:is>
      </s:c>
      <s:c r="Q52" s="12" t="inlineStr">
        <s:is>
          <s:t>C035</s:t>
        </s:is>
      </s:c>
      <s:c r="R52" s="12" t="inlineStr">
        <s:is>
          <s:t>Pending Human Adjudication</s:t>
        </s:is>
      </s:c>
      <s:c r="S52" s="12" t="inlineStr">
        <s:is>
          <s:t>Pending Human Adjudication. The printed values identify a candidate consistency issue: Narrative current-depression percentage differs from Table 1/workbook record.</s:t>
        </s:is>
      </s:c>
      <s:c r="T52" s="12" t="b">
        <s:v>1</s:v>
      </s:c>
      <s:c r="U52" s="12" t="inlineStr">
        <s:is>
          <s:t>Narrative current-depression percentage differs from Table 1/workbook record</s:t>
        </s:is>
      </s:c>
      <s:c r="V52" s="12" t="inlineStr">
        <s:is>
          <s:t>report_internal_inconsistency</s:t>
        </s:is>
      </s:c>
      <s:c r="W52" s="12" t="inlineStr">
        <s:is>
          <s:t>Narrative current-depression percentage differs from Table 1/workbook record</s:t>
        </s:is>
      </s:c>
      <s:c r="X52" s="12" t="inlineStr">
        <s:is>
          <s:t>2025</s:t>
        </s:is>
      </s:c>
      <s:c r="Y52" s="12" t="inlineStr">
        <s:is>
          <s:t>meta_report/consistency_reclassification_2026-09-04/reclassified_candidates.json</s:t>
        </s:is>
      </s:c>
      <s:c r="Z52" s="12" t="inlineStr">
        <s:is>
          <s:t>S_C</s:t>
        </s:is>
      </s:c>
      <s:c r="AA52" s="12" t="inlineStr">
        <s:is>
          <s:t>report_internal_inconsistency</s:t>
        </s:is>
      </s:c>
      <s:c r="AB52" s="12" t="inlineStr">
        <s:is>
          <s:t>retain</s:t>
        </s:is>
      </s:c>
    </s:row>
    <s:row r="53" ht="90" customFormat="1" customHeight="1" s="8">
      <s:c r="A53" s="11" t="b">
        <s:v>0</s:v>
      </s:c>
      <s:c r="B53" s="11" t="n"/>
      <s:c r="C53" s="11" t="b">
        <s:v>0</s:v>
      </s:c>
      <s:c r="D53" s="11" t="inlineStr">
        <s:is>
          <s:t>Cross-document numeric inconsistency</s:t>
        </s:is>
      </s:c>
      <s:c r="E53" s="11" t="b">
        <s:v>0</s:v>
      </s:c>
      <s:c r="F53" s="11" t="inlineStr">
        <s:is>
          <s:t>C036</s:t>
        </s:is>
      </s:c>
      <s:c r="G53" s="11" t="inlineStr">
        <s:is>
          <s:t>2025::jama.2025.11178::C036</s:t>
        </s:is>
      </s:c>
      <s:c r="H53" s="11" t="n"/>
      <s:c r="I53" s="11" t="inlineStr">
        <s:is>
          <s:t>main article — PDF p. 7, Secondary Outcomes; main article — PDF p. 10, Table 3.</s:t>
        </s:is>
      </s:c>
      <s:c r="J53" s="11" t="b">
        <s:v>1</s:v>
      </s:c>
      <s:c r="K53" s="11" t="inlineStr">
        <s:is>
          <s:t>jama.2025.11178</s:t>
        </s:is>
      </s:c>
      <s:c r="L53" s="11" t="n"/>
      <s:c r="M53" s="11" t="inlineStr">
        <s:is>
          <s:t>S_W</s:t>
        </s:is>
      </s:c>
      <s:c r="N53" s="11" t="inlineStr">
        <s:is>
          <s:t>Target is within one main article or one non-plan results supplement/workbook; no substantive plan comparison. Same adjusted outcome/time/contrast/effect measure, explicitly cross-referenced; `-0.26 != -0.25`, displayed difference 0.01.</s:t>
        </s:is>
      </s:c>
      <s:c r="O53" s="11" t="inlineStr">
        <s:is>
          <s:t>../../2025/jama.2025.11178/.ai_paper_validation/final_report_1_5_1.html</s:t>
        </s:is>
      </s:c>
      <s:c r="P53" s="11" t="inlineStr">
        <s:is>
          <s:t>2025/jama.2025.11178/.ai_paper_validation/final_report_1_5_1.md</s:t>
        </s:is>
      </s:c>
      <s:c r="Q53" s="11" t="inlineStr">
        <s:is>
          <s:t>C036</s:t>
        </s:is>
      </s:c>
      <s:c r="R53" s="11" t="inlineStr">
        <s:is>
          <s:t>Pending Human Adjudication</s:t>
        </s:is>
      </s:c>
      <s:c r="S53" s="11" t="inlineStr">
        <s:is>
          <s:t>Pending Human Adjudication. The printed values identify a candidate consistency issue: painTRAINER 3-month pain-severity SMD differs between narrative and Table 3.</s:t>
        </s:is>
      </s:c>
      <s:c r="T53" s="11" t="b">
        <s:v>1</s:v>
      </s:c>
      <s:c r="U53" s="11" t="inlineStr">
        <s:is>
          <s:t>painTRAINER 3-month pain-severity SMD differs between narrative and Table 3</s:t>
        </s:is>
      </s:c>
      <s:c r="V53" s="11" t="inlineStr">
        <s:is>
          <s:t>report_internal_inconsistency</s:t>
        </s:is>
      </s:c>
      <s:c r="W53" s="11" t="inlineStr">
        <s:is>
          <s:t>painTRAINER 3-month pain-severity SMD differs between narrative and Table 3</s:t>
        </s:is>
      </s:c>
      <s:c r="X53" s="11" t="inlineStr">
        <s:is>
          <s:t>2025</s:t>
        </s:is>
      </s:c>
      <s:c r="Y53" s="11" t="inlineStr">
        <s:is>
          <s:t>meta_report/consistency_reclassification_2026-09-04/reclassified_candidates.json</s:t>
        </s:is>
      </s:c>
      <s:c r="Z53" s="11" t="inlineStr">
        <s:is>
          <s:t>S_W</s:t>
        </s:is>
      </s:c>
      <s:c r="AA53" s="11" t="inlineStr">
        <s:is>
          <s:t>report_internal_inconsistency</s:t>
        </s:is>
      </s:c>
      <s:c r="AB53" s="11" t="inlineStr">
        <s:is>
          <s:t>retain</s:t>
        </s:is>
      </s:c>
    </s:row>
    <s:row r="54" ht="90" customFormat="1" customHeight="1" s="8">
      <s:c r="A54" s="12" t="b">
        <s:v>0</s:v>
      </s:c>
      <s:c r="B54" s="12" t="n"/>
      <s:c r="C54" s="12" t="b">
        <s:v>0</s:v>
      </s:c>
      <s:c r="D54" s="12" t="inlineStr">
        <s:is>
          <s:t>Cross-document numeric inconsistency</s:t>
        </s:is>
      </s:c>
      <s:c r="E54" s="12" t="b">
        <s:v>0</s:v>
      </s:c>
      <s:c r="F54" s="12" t="inlineStr">
        <s:is>
          <s:t>C037</s:t>
        </s:is>
      </s:c>
      <s:c r="G54" s="12" t="inlineStr">
        <s:is>
          <s:t>2025::jama.2025.11178::C037</s:t>
        </s:is>
      </s:c>
      <s:c r="H54" s="12" t="n"/>
      <s:c r="I54" s="12" t="inlineStr">
        <s:is>
          <s:t>main article — PDF p. 7, Secondary Outcomes; main article — PDF p. 10, Table 3.</s:t>
        </s:is>
      </s:c>
      <s:c r="J54" s="12" t="b">
        <s:v>1</s:v>
      </s:c>
      <s:c r="K54" s="12" t="inlineStr">
        <s:is>
          <s:t>jama.2025.11178</s:t>
        </s:is>
      </s:c>
      <s:c r="L54" s="12" t="n"/>
      <s:c r="M54" s="12" t="inlineStr">
        <s:is>
          <s:t>S_W</s:t>
        </s:is>
      </s:c>
      <s:c r="N54" s="12" t="inlineStr">
        <s:is>
          <s:t>Target is within one main article or one non-plan results supplement/workbook; no substantive plan comparison. Same adjusted outcome/time/contrast/effect measure; `-0.36 != -0.34`, displayed difference 0.02.</s:t>
        </s:is>
      </s:c>
      <s:c r="O54" s="12" t="inlineStr">
        <s:is>
          <s:t>../../2025/jama.2025.11178/.ai_paper_validation/final_report_1_5_1.html</s:t>
        </s:is>
      </s:c>
      <s:c r="P54" s="12" t="inlineStr">
        <s:is>
          <s:t>2025/jama.2025.11178/.ai_paper_validation/final_report_1_5_1.md</s:t>
        </s:is>
      </s:c>
      <s:c r="Q54" s="12" t="inlineStr">
        <s:is>
          <s:t>C037</s:t>
        </s:is>
      </s:c>
      <s:c r="R54" s="12" t="inlineStr">
        <s:is>
          <s:t>Pending Human Adjudication</s:t>
        </s:is>
      </s:c>
      <s:c r="S54" s="12" t="inlineStr">
        <s:is>
          <s:t>Pending Human Adjudication. The printed values identify a candidate consistency issue: Health Coach 3-month pain-severity SMD differs between narrative and Table 3.</s:t>
        </s:is>
      </s:c>
      <s:c r="T54" s="12" t="b">
        <s:v>1</s:v>
      </s:c>
      <s:c r="U54" s="12" t="inlineStr">
        <s:is>
          <s:t>Health Coach 3-month pain-severity SMD differs between narrative and Table 3</s:t>
        </s:is>
      </s:c>
      <s:c r="V54" s="12" t="inlineStr">
        <s:is>
          <s:t>report_internal_inconsistency</s:t>
        </s:is>
      </s:c>
      <s:c r="W54" s="12" t="inlineStr">
        <s:is>
          <s:t>Health Coach 3-month pain-severity SMD differs between narrative and Table 3</s:t>
        </s:is>
      </s:c>
      <s:c r="X54" s="12" t="inlineStr">
        <s:is>
          <s:t>2025</s:t>
        </s:is>
      </s:c>
      <s:c r="Y54" s="12" t="inlineStr">
        <s:is>
          <s:t>meta_report/consistency_reclassification_2026-09-04/reclassified_candidates.json</s:t>
        </s:is>
      </s:c>
      <s:c r="Z54" s="12" t="inlineStr">
        <s:is>
          <s:t>S_W</s:t>
        </s:is>
      </s:c>
      <s:c r="AA54" s="12" t="inlineStr">
        <s:is>
          <s:t>report_internal_inconsistency</s:t>
        </s:is>
      </s:c>
      <s:c r="AB54" s="12" t="inlineStr">
        <s:is>
          <s:t>retain</s:t>
        </s:is>
      </s:c>
    </s:row>
    <s:row r="55" ht="90" customFormat="1" customHeight="1" s="8">
      <s:c r="A55" s="11" t="b">
        <s:v>0</s:v>
      </s:c>
      <s:c r="B55" s="11" t="n"/>
      <s:c r="C55" s="11" t="b">
        <s:v>0</s:v>
      </s:c>
      <s:c r="D55" s="11" t="inlineStr">
        <s:is>
          <s:t>Cross-document numeric inconsistency</s:t>
        </s:is>
      </s:c>
      <s:c r="E55" s="11" t="b">
        <s:v>1</s:v>
      </s:c>
      <s:c r="F55" s="11" t="inlineStr">
        <s:is>
          <s:t>C001</s:t>
        </s:is>
      </s:c>
      <s:c r="G55" s="11" t="inlineStr">
        <s:is>
          <s:t>2025::jama.2025.15185::C001</s:t>
        </s:is>
      </s:c>
      <s:c r="H55" s="11" t="n"/>
      <s:c r="I55" s="11" t="inlineStr">
        <s:is>
          <s:t>DOC-001, main article — PDF p. 4, Table 1; DOC-004, Supplement 3 — PDF p. 10 and PDF p. 11, eTable 1.</s:t>
        </s:is>
      </s:c>
      <s:c r="J55" s="11" t="b">
        <s:v>1</s:v>
      </s:c>
      <s:c r="K55" s="11" t="inlineStr">
        <s:is>
          <s:t>jama.2025.15185</s:t>
        </s:is>
      </s:c>
      <s:c r="L55" s="11" t="n"/>
      <s:c r="M55" s="11" t="inlineStr">
        <s:is>
          <s:t>S_C</s:t>
        </s:is>
      </s:c>
      <s:c r="N55" s="11" t="inlineStr">
        <s:is>
          <s:t>Target explicitly compares current main article and non-plan results supplement/workbook. Main `260/47` versus supplement `263/44` for the same named arm and categories.</s:t>
        </s:is>
      </s:c>
      <s:c r="O55" s="11" t="inlineStr">
        <s:is>
          <s:t>../../2025/jama.2025.15185/.ai_paper_validation/final_report_1_5_1.html</s:t>
        </s:is>
      </s:c>
      <s:c r="P55" s="11" t="inlineStr">
        <s:is>
          <s:t>2025/jama.2025.15185/.ai_paper_validation/final_report_1_5_1.md</s:t>
        </s:is>
      </s:c>
      <s:c r="Q55" s="11" t="inlineStr">
        <s:is>
          <s:t>C001</s:t>
        </s:is>
      </s:c>
      <s:c r="R55" s="11" t="inlineStr">
        <s:is>
          <s:t>Pending Human Adjudication</s:t>
        </s:is>
      </s:c>
      <s:c r="S55" s="11" t="inlineStr">
        <s:is>
          <s:t>The same randomized levodopa arm has different ischemic/hemorrhagic index-stroke counts in two baseline tables. Pending Human Adjudication.</s:t>
        </s:is>
      </s:c>
      <s:c r="T55" s="11" t="b">
        <s:v>1</s:v>
      </s:c>
      <s:c r="U55" s="11" t="inlineStr">
        <s:is>
          <s:t>Baseline index-stroke type counts differ across baseline tables</s:t>
        </s:is>
      </s:c>
      <s:c r="V55" s="11" t="inlineStr">
        <s:is>
          <s:t>report_internal_inconsistency</s:t>
        </s:is>
      </s:c>
      <s:c r="W55" s="11" t="inlineStr">
        <s:is>
          <s:t>Baseline index-stroke type counts differ across baseline tables</s:t>
        </s:is>
      </s:c>
      <s:c r="X55" s="11" t="inlineStr">
        <s:is>
          <s:t>2025</s:t>
        </s:is>
      </s:c>
      <s:c r="Y55" s="11" t="inlineStr">
        <s:is>
          <s:t>meta_report/consistency_reclassification_2026-09-04/reclassified_candidates.json</s:t>
        </s:is>
      </s:c>
      <s:c r="Z55" s="11" t="inlineStr">
        <s:is>
          <s:t>S_C</s:t>
        </s:is>
      </s:c>
      <s:c r="AA55" s="11" t="inlineStr">
        <s:is>
          <s:t>report_internal_inconsistency</s:t>
        </s:is>
      </s:c>
      <s:c r="AB55" s="11" t="inlineStr">
        <s:is>
          <s:t>retain</s:t>
        </s:is>
      </s:c>
    </s:row>
    <s:row r="56" ht="90" customFormat="1" customHeight="1" s="8">
      <s:c r="A56" s="12" t="b">
        <s:v>0</s:v>
      </s:c>
      <s:c r="B56" s="12" t="inlineStr">
        <s:is>
          <s:t>Internal median/IQR label-form issue and explicit matched main/supp summary comparison.</s:t>
        </s:is>
      </s:c>
      <s:c r="C56" s="12" t="b">
        <s:v>0</s:v>
      </s:c>
      <s:c r="D56" s="12" t="inlineStr">
        <s:is>
          <s:t>Measure, label, or scale inconsistency</s:t>
        </s:is>
      </s:c>
      <s:c r="E56" s="12" t="b">
        <s:v>1</s:v>
      </s:c>
      <s:c r="F56" s="12" t="inlineStr">
        <s:is>
          <s:t>C002</s:t>
        </s:is>
      </s:c>
      <s:c r="G56" s="12" t="inlineStr">
        <s:is>
          <s:t>2025::jama.2025.15185::C002</s:t>
        </s:is>
      </s:c>
      <s:c r="H56" s="12" t="n"/>
      <s:c r="I56" s="12" t="inlineStr">
        <s:is>
          <s:t>DOC-001, main article — PDF p. 4, Table 1, and PDF p. 5, Results; DOC-004, Supplement 3 — PDF p. 11, eTable 1.</s:t>
        </s:is>
      </s:c>
      <s:c r="J56" s="12" t="b">
        <s:v>0</s:v>
      </s:c>
      <s:c r="K56" s="12" t="inlineStr">
        <s:is>
          <s:t>jama.2025.15185</s:t>
        </s:is>
      </s:c>
      <s:c r="L56" s="12" t="n"/>
      <s:c r="M56" s="12" t="inlineStr">
        <s:is>
          <s:t>S_C</s:t>
        </s:is>
      </s:c>
      <s:c r="N56" s="12" t="inlineStr">
        <s:is>
          <s:t>Target explicitly compares current main article and non-plan results supplement/workbook. A labelled median/IQR row with two-endpoint main summaries versus one decimal and one parenthesized value in the supplement.</s:t>
        </s:is>
      </s:c>
      <s:c r="O56" s="12" t="inlineStr">
        <s:is>
          <s:t>../../2025/jama.2025.15185/.ai_paper_validation/final_report_1_5_1.html</s:t>
        </s:is>
      </s:c>
      <s:c r="P56" s="12" t="inlineStr">
        <s:is>
          <s:t>2025/jama.2025.15185/.ai_paper_validation/final_report_1_5_1.md</s:t>
        </s:is>
      </s:c>
      <s:c r="Q56" s="12" t="inlineStr">
        <s:is>
          <s:t>C002</s:t>
        </s:is>
      </s:c>
      <s:c r="R56" s="12" t="inlineStr">
        <s:is>
          <s:t>Pending Human Adjudication</s:t>
        </s:is>
      </s:c>
      <s:c r="S56" s="12" t="inlineStr">
        <s:is>
          <s:t>eTable 1 labels its NIHSS row as median [IQR] but prints a decimal-plus-one-parenthesized-value form that does not identify the same summary as the main table. Pending Human Adjudication.</s:t>
        </s:is>
      </s:c>
      <s:c r="T56" s="12" t="b">
        <s:v>1</s:v>
      </s:c>
      <s:c r="U56" s="12" t="inlineStr">
        <s:is>
          <s:t>Baseline NIHSS statistic and label do not reconcile across tables</s:t>
        </s:is>
      </s:c>
      <s:c r="V56" s="12" t="inlineStr">
        <s:is>
          <s:t>report_internal_inconsistency</s:t>
        </s:is>
      </s:c>
      <s:c r="W56" s="12" t="inlineStr">
        <s:is>
          <s:t>Baseline NIHSS statistic and label do not reconcile across tables</s:t>
        </s:is>
      </s:c>
      <s:c r="X56" s="12" t="inlineStr">
        <s:is>
          <s:t>2025</s:t>
        </s:is>
      </s:c>
      <s:c r="Y56" s="12" t="inlineStr">
        <s:is>
          <s:t>meta_report/consistency_reclassification_2026-09-04/reclassified_candidates.json</s:t>
        </s:is>
      </s:c>
      <s:c r="Z56" s="12" t="inlineStr">
        <s:is>
          <s:t>S_C</s:t>
        </s:is>
      </s:c>
      <s:c r="AA56" s="12" t="inlineStr">
        <s:is>
          <s:t>report_internal_inconsistency</s:t>
        </s:is>
      </s:c>
      <s:c r="AB56" s="12" t="inlineStr">
        <s:is>
          <s:t>retain</s:t>
        </s:is>
      </s:c>
    </s:row>
    <s:row r="57" ht="90" customFormat="1" customHeight="1" s="8">
      <s:c r="A57" s="11" t="b">
        <s:v>0</s:v>
      </s:c>
      <s:c r="B57" s="11" t="inlineStr">
        <s:is>
          <s:t>Results-supp unit omitted; day comparison is conditional.</s:t>
        </s:is>
      </s:c>
      <s:c r="C57" s="11" t="b">
        <s:v>0</s:v>
      </s:c>
      <s:c r="D57" s="11" t="inlineStr">
        <s:is>
          <s:t>Cross-document numeric inconsistency</s:t>
        </s:is>
      </s:c>
      <s:c r="E57" s="11" t="b">
        <s:v>1</s:v>
      </s:c>
      <s:c r="F57" s="11" t="inlineStr">
        <s:is>
          <s:t>C003</s:t>
        </s:is>
      </s:c>
      <s:c r="G57" s="11" t="inlineStr">
        <s:is>
          <s:t>2025::jama.2025.15185::C003</s:t>
        </s:is>
      </s:c>
      <s:c r="H57" s="11" t="n"/>
      <s:c r="I57" s="11" t="inlineStr">
        <s:is>
          <s:t>DOC-001, main article — PDF p. 4, Table 1; DOC-004, Supplement 3 — PDF p. 11, eTable 1.</s:t>
        </s:is>
      </s:c>
      <s:c r="J57" s="11" t="b">
        <s:v>1</s:v>
      </s:c>
      <s:c r="K57" s="11" t="inlineStr">
        <s:is>
          <s:t>jama.2025.15185</s:t>
        </s:is>
      </s:c>
      <s:c r="L57" s="11" t="n"/>
      <s:c r="M57" s="11" t="inlineStr">
        <s:is>
          <s:t>S_C</s:t>
        </s:is>
      </s:c>
      <s:c r="N57" s="11" t="inlineStr">
        <s:is>
          <s:t>Target explicitly compares current main article and non-plan results supplement/workbook. Main arm medians `3.0/3.0` versus supplement `8/7` for the same named variable.</s:t>
        </s:is>
      </s:c>
      <s:c r="O57" s="11" t="inlineStr">
        <s:is>
          <s:t>../../2025/jama.2025.15185/.ai_paper_validation/final_report_1_5_1.html</s:t>
        </s:is>
      </s:c>
      <s:c r="P57" s="11" t="inlineStr">
        <s:is>
          <s:t>2025/jama.2025.15185/.ai_paper_validation/final_report_1_5_1.md</s:t>
        </s:is>
      </s:c>
      <s:c r="Q57" s="11" t="inlineStr">
        <s:is>
          <s:t>C003</s:t>
        </s:is>
      </s:c>
      <s:c r="R57" s="11" t="inlineStr">
        <s:is>
          <s:t>Pending Human Adjudication</s:t>
        </s:is>
      </s:c>
      <s:c r="S57" s="11" t="inlineStr">
        <s:is>
          <s:t>Same-named time-to-randomization summaries differ across tables; the supplement omits the unit needed to make the cross-source comparison unconditional. Pending Human Adjudication.</s:t>
        </s:is>
      </s:c>
      <s:c r="T57" s="11" t="b">
        <s:v>1</s:v>
      </s:c>
      <s:c r="U57" s="11" t="inlineStr">
        <s:is>
          <s:t>Time from stroke onset to randomization differs across baseline tables</s:t>
        </s:is>
      </s:c>
      <s:c r="V57" s="11" t="inlineStr">
        <s:is>
          <s:t>report_internal_inconsistency</s:t>
        </s:is>
      </s:c>
      <s:c r="W57" s="11" t="inlineStr">
        <s:is>
          <s:t>Time from stroke onset to randomization differs across baseline tables</s:t>
        </s:is>
      </s:c>
      <s:c r="X57" s="11" t="inlineStr">
        <s:is>
          <s:t>2025</s:t>
        </s:is>
      </s:c>
      <s:c r="Y57" s="11" t="inlineStr">
        <s:is>
          <s:t>meta_report/consistency_reclassification_2026-09-04/reclassified_candidates.json</s:t>
        </s:is>
      </s:c>
      <s:c r="Z57" s="11" t="inlineStr">
        <s:is>
          <s:t>S_C</s:t>
        </s:is>
      </s:c>
      <s:c r="AA57" s="11" t="inlineStr">
        <s:is>
          <s:t>report_internal_inconsistency</s:t>
        </s:is>
      </s:c>
      <s:c r="AB57" s="11" t="inlineStr">
        <s:is>
          <s:t>retain</s:t>
        </s:is>
      </s:c>
    </s:row>
    <s:row r="58" ht="90" customFormat="1" customHeight="1" s="8">
      <s:c r="A58" s="12" t="b">
        <s:v>0</s:v>
      </s:c>
      <s:c r="B58" s="12" t="n"/>
      <s:c r="C58" s="12" t="b">
        <s:v>0</s:v>
      </s:c>
      <s:c r="D58" s="12" t="inlineStr">
        <s:is>
          <s:t>Statistical reporting inconsistency</s:t>
        </s:is>
      </s:c>
      <s:c r="E58" s="12" t="b">
        <s:v>0</s:v>
      </s:c>
      <s:c r="F58" s="12" t="inlineStr">
        <s:is>
          <s:t>C004</s:t>
        </s:is>
      </s:c>
      <s:c r="G58" s="12" t="inlineStr">
        <s:is>
          <s:t>2025::jama.2025.15185::C004</s:t>
        </s:is>
      </s:c>
      <s:c r="H58" s="12" t="n"/>
      <s:c r="I58" s="12" t="inlineStr">
        <s:is>
          <s:t>DOC-004, Supplement 3 — PDF p. 12, eTable 2 narrative; PDF p. 13, Estimand 4 row.</s:t>
        </s:is>
      </s:c>
      <s:c r="J58" s="12" t="b">
        <s:v>0</s:v>
      </s:c>
      <s:c r="K58" s="12" t="inlineStr">
        <s:is>
          <s:t>jama.2025.15185</s:t>
        </s:is>
      </s:c>
      <s:c r="L58" s="12" t="n"/>
      <s:c r="M58" s="12" t="inlineStr">
        <s:is>
          <s:t>S_W</s:t>
        </s:is>
      </s:c>
      <s:c r="N58" s="12" t="inlineStr">
        <s:is>
          <s:t>Target is within one main article or one non-plan results supplement/workbook; no substantive plan comparison. Identical point estimate/lower endpoint with upper endpoint `1.25` versus `1.26`.</s:t>
        </s:is>
      </s:c>
      <s:c r="O58" s="12" t="inlineStr">
        <s:is>
          <s:t>../../2025/jama.2025.15185/.ai_paper_validation/final_report_1_5_1.html</s:t>
        </s:is>
      </s:c>
      <s:c r="P58" s="12" t="inlineStr">
        <s:is>
          <s:t>2025/jama.2025.15185/.ai_paper_validation/final_report_1_5_1.md</s:t>
        </s:is>
      </s:c>
      <s:c r="Q58" s="12" t="inlineStr">
        <s:is>
          <s:t>C004</s:t>
        </s:is>
      </s:c>
      <s:c r="R58" s="12" t="inlineStr">
        <s:is>
          <s:t>Pending Human Adjudication</s:t>
        </s:is>
      </s:c>
      <s:c r="S58" s="12" t="inlineStr">
        <s:is>
          <s:t>Two matched Estimand 4 displays in eTable 2 have different upper 95% CI endpoints. Pending Human Adjudication.</s:t>
        </s:is>
      </s:c>
      <s:c r="T58" s="12" t="b">
        <s:v>1</s:v>
      </s:c>
      <s:c r="U58" s="12" t="inlineStr">
        <s:is>
          <s:t>Estimand 4 confidence-interval upper endpoint differs within eTable 2</s:t>
        </s:is>
      </s:c>
      <s:c r="V58" s="12" t="inlineStr">
        <s:is>
          <s:t>statistical_results</s:t>
        </s:is>
      </s:c>
      <s:c r="W58" s="12" t="inlineStr">
        <s:is>
          <s:t>Estimand 4 confidence-interval upper endpoint differs within eTable 2</s:t>
        </s:is>
      </s:c>
      <s:c r="X58" s="12" t="inlineStr">
        <s:is>
          <s:t>2025</s:t>
        </s:is>
      </s:c>
      <s:c r="Y58" s="12" t="inlineStr">
        <s:is>
          <s:t>meta_report/consistency_reclassification_2026-09-04/reclassified_candidates.json</s:t>
        </s:is>
      </s:c>
      <s:c r="Z58" s="12" t="inlineStr">
        <s:is>
          <s:t>S_W</s:t>
        </s:is>
      </s:c>
      <s:c r="AA58" s="12" t="inlineStr">
        <s:is>
          <s:t>statistical_results</s:t>
        </s:is>
      </s:c>
      <s:c r="AB58" s="12" t="inlineStr">
        <s:is>
          <s:t>retain</s:t>
        </s:is>
      </s:c>
    </s:row>
    <s:row r="59" ht="90" customFormat="1" customHeight="1" s="8">
      <s:c r="A59" s="11" t="b">
        <s:v>0</s:v>
      </s:c>
      <s:c r="B59" s="11" t="n"/>
      <s:c r="C59" s="11" t="b">
        <s:v>0</s:v>
      </s:c>
      <s:c r="D59" s="11" t="inlineStr">
        <s:is>
          <s:t>Cross-document numeric inconsistency</s:t>
        </s:is>
      </s:c>
      <s:c r="E59" s="11" t="b">
        <s:v>1</s:v>
      </s:c>
      <s:c r="F59" s="11" t="inlineStr">
        <s:is>
          <s:t>C005</s:t>
        </s:is>
      </s:c>
      <s:c r="G59" s="11" t="inlineStr">
        <s:is>
          <s:t>2025::jama.2025.15185::C005</s:t>
        </s:is>
      </s:c>
      <s:c r="H59" s="11" t="n"/>
      <s:c r="I59" s="11" t="inlineStr">
        <s:is>
          <s:t>DOC-001, main article — PDF p. 6, Secondary Outcomes; DOC-004, Supplement 3 — PDF p. 15, eTable 4.</s:t>
        </s:is>
      </s:c>
      <s:c r="J59" s="11" t="b">
        <s:v>1</s:v>
      </s:c>
      <s:c r="K59" s="11" t="inlineStr">
        <s:is>
          <s:t>jama.2025.15185</s:t>
        </s:is>
      </s:c>
      <s:c r="L59" s="11" t="n"/>
      <s:c r="M59" s="11" t="inlineStr">
        <s:is>
          <s:t>S_C</s:t>
        </s:is>
      </s:c>
      <s:c r="N59" s="11" t="inlineStr">
        <s:is>
          <s:t>Target explicitly compares current main article and non-plan results supplement/workbook. Main levodopa `66 (14)` versus detailed `64.74 (14.33)`.</s:t>
        </s:is>
      </s:c>
      <s:c r="O59" s="11" t="inlineStr">
        <s:is>
          <s:t>../../2025/jama.2025.15185/.ai_paper_validation/final_report_1_5_1.html</s:t>
        </s:is>
      </s:c>
      <s:c r="P59" s="11" t="inlineStr">
        <s:is>
          <s:t>2025/jama.2025.15185/.ai_paper_validation/final_report_1_5_1.md</s:t>
        </s:is>
      </s:c>
      <s:c r="Q59" s="11" t="inlineStr">
        <s:is>
          <s:t>C005</s:t>
        </s:is>
      </s:c>
      <s:c r="R59" s="11" t="inlineStr">
        <s:is>
          <s:t>Pending Human Adjudication</s:t>
        </s:is>
      </s:c>
      <s:c r="S59" s="11" t="inlineStr">
        <s:is>
          <s:t>The main-text levodopa PROMIS-29 mean does not follow ordinary whole-number rounding of the matched eTable 4 mean. Pending Human Adjudication.</s:t>
        </s:is>
      </s:c>
      <s:c r="T59" s="11" t="b">
        <s:v>1</s:v>
      </s:c>
      <s:c r="U59" s="11" t="inlineStr">
        <s:is>
          <s:t>Levodopa PROMIS-29 descriptive mean differs between main text and eTable 4</s:t>
        </s:is>
      </s:c>
      <s:c r="V59" s="11" t="inlineStr">
        <s:is>
          <s:t>report_internal_inconsistency</s:t>
        </s:is>
      </s:c>
      <s:c r="W59" s="11" t="inlineStr">
        <s:is>
          <s:t>Levodopa PROMIS-29 descriptive mean differs between main text and eTable 4</s:t>
        </s:is>
      </s:c>
      <s:c r="X59" s="11" t="inlineStr">
        <s:is>
          <s:t>2025</s:t>
        </s:is>
      </s:c>
      <s:c r="Y59" s="11" t="inlineStr">
        <s:is>
          <s:t>meta_report/consistency_reclassification_2026-09-04/reclassified_candidates.json</s:t>
        </s:is>
      </s:c>
      <s:c r="Z59" s="11" t="inlineStr">
        <s:is>
          <s:t>S_C</s:t>
        </s:is>
      </s:c>
      <s:c r="AA59" s="11" t="inlineStr">
        <s:is>
          <s:t>report_internal_inconsistency</s:t>
        </s:is>
      </s:c>
      <s:c r="AB59" s="11" t="inlineStr">
        <s:is>
          <s:t>retain</s:t>
        </s:is>
      </s:c>
    </s:row>
    <s:row r="60" ht="90" customFormat="1" customHeight="1" s="8">
      <s:c r="A60" s="12" t="b">
        <s:v>0</s:v>
      </s:c>
      <s:c r="B60" s="12" t="n"/>
      <s:c r="C60" s="12" t="b">
        <s:v>0</s:v>
      </s:c>
      <s:c r="D60" s="12" t="inlineStr">
        <s:is>
          <s:t>Cross-document numeric inconsistency</s:t>
        </s:is>
      </s:c>
      <s:c r="E60" s="12" t="b">
        <s:v>1</s:v>
      </s:c>
      <s:c r="F60" s="12" t="inlineStr">
        <s:is>
          <s:t>C006</s:t>
        </s:is>
      </s:c>
      <s:c r="G60" s="12" t="inlineStr">
        <s:is>
          <s:t>2025::jama.2025.15185::C006</s:t>
        </s:is>
      </s:c>
      <s:c r="H60" s="12" t="n"/>
      <s:c r="I60" s="12" t="inlineStr">
        <s:is>
          <s:t>DOC-001, main article — PDF p. 6, Secondary Outcomes; DOC-004, Supplement 3 — PDF p. 15, eTable 4.</s:t>
        </s:is>
      </s:c>
      <s:c r="J60" s="12" t="b">
        <s:v>1</s:v>
      </s:c>
      <s:c r="K60" s="12" t="inlineStr">
        <s:is>
          <s:t>jama.2025.15185</s:t>
        </s:is>
      </s:c>
      <s:c r="L60" s="12" t="n"/>
      <s:c r="M60" s="12" t="inlineStr">
        <s:is>
          <s:t>S_C</s:t>
        </s:is>
      </s:c>
      <s:c r="N60" s="12" t="inlineStr">
        <s:is>
          <s:t>Target explicitly compares current main article and non-plan results supplement/workbook. Main `28 (6)`/`28 (6)` versus eTable `29.87 (5.74)`/`30.04 (5.73)`.</s:t>
        </s:is>
      </s:c>
      <s:c r="O60" s="12" t="inlineStr">
        <s:is>
          <s:t>../../2025/jama.2025.15185/.ai_paper_validation/final_report_1_5_1.html</s:t>
        </s:is>
      </s:c>
      <s:c r="P60" s="12" t="inlineStr">
        <s:is>
          <s:t>2025/jama.2025.15185/.ai_paper_validation/final_report_1_5_1.md</s:t>
        </s:is>
      </s:c>
      <s:c r="Q60" s="12" t="inlineStr">
        <s:is>
          <s:t>C006</s:t>
        </s:is>
      </s:c>
      <s:c r="R60" s="12" t="inlineStr">
        <s:is>
          <s:t>Pending Human Adjudication</s:t>
        </s:is>
      </s:c>
      <s:c r="S60" s="12" t="inlineStr">
        <s:is>
          <s:t>Both detailed PROMIS-10 means are near 30, whereas the main text prints 28 for both arms. Pending Human Adjudication.</s:t>
        </s:is>
      </s:c>
      <s:c r="T60" s="12" t="b">
        <s:v>1</s:v>
      </s:c>
      <s:c r="U60" s="12" t="inlineStr">
        <s:is>
          <s:t>PROMIS-10 descriptive means differ between main text and eTable 4</s:t>
        </s:is>
      </s:c>
      <s:c r="V60" s="12" t="inlineStr">
        <s:is>
          <s:t>report_internal_inconsistency</s:t>
        </s:is>
      </s:c>
      <s:c r="W60" s="12" t="inlineStr">
        <s:is>
          <s:t>PROMIS-10 descriptive means differ between main text and eTable 4</s:t>
        </s:is>
      </s:c>
      <s:c r="X60" s="12" t="inlineStr">
        <s:is>
          <s:t>2025</s:t>
        </s:is>
      </s:c>
      <s:c r="Y60" s="12" t="inlineStr">
        <s:is>
          <s:t>meta_report/consistency_reclassification_2026-09-04/reclassified_candidates.json</s:t>
        </s:is>
      </s:c>
      <s:c r="Z60" s="12" t="inlineStr">
        <s:is>
          <s:t>S_C</s:t>
        </s:is>
      </s:c>
      <s:c r="AA60" s="12" t="inlineStr">
        <s:is>
          <s:t>report_internal_inconsistency</s:t>
        </s:is>
      </s:c>
      <s:c r="AB60" s="12" t="inlineStr">
        <s:is>
          <s:t>retain</s:t>
        </s:is>
      </s:c>
    </s:row>
    <s:row r="61" ht="90" customFormat="1" customHeight="1" s="8">
      <s:c r="A61" s="11" t="b">
        <s:v>0</s:v>
      </s:c>
      <s:c r="B61" s="11" t="n"/>
      <s:c r="C61" s="11" t="b">
        <s:v>0</s:v>
      </s:c>
      <s:c r="D61" s="11" t="inlineStr">
        <s:is>
          <s:t>Cross-document numeric inconsistency</s:t>
        </s:is>
      </s:c>
      <s:c r="E61" s="11" t="b">
        <s:v>1</s:v>
      </s:c>
      <s:c r="F61" s="11" t="inlineStr">
        <s:is>
          <s:t>C007</s:t>
        </s:is>
      </s:c>
      <s:c r="G61" s="11" t="inlineStr">
        <s:is>
          <s:t>2025::jama.2025.15185::C007</s:t>
        </s:is>
      </s:c>
      <s:c r="H61" s="11" t="n"/>
      <s:c r="I61" s="11" t="inlineStr">
        <s:is>
          <s:t>DOC-001, main article — PDF p. 6, Secondary Outcomes; DOC-004, Supplement 3 — PDF p. 15, eTable 4.</s:t>
        </s:is>
      </s:c>
      <s:c r="J61" s="11" t="b">
        <s:v>1</s:v>
      </s:c>
      <s:c r="K61" s="11" t="inlineStr">
        <s:is>
          <s:t>jama.2025.15185</s:t>
        </s:is>
      </s:c>
      <s:c r="L61" s="11" t="n"/>
      <s:c r="M61" s="11" t="inlineStr">
        <s:is>
          <s:t>S_C</s:t>
        </s:is>
      </s:c>
      <s:c r="N61" s="11" t="inlineStr">
        <s:is>
          <s:t>Target explicitly compares current main article and non-plan results supplement/workbook. Placebo SD `26` versus detailed `25.20`.</s:t>
        </s:is>
      </s:c>
      <s:c r="O61" s="11" t="inlineStr">
        <s:is>
          <s:t>../../2025/jama.2025.15185/.ai_paper_validation/final_report_1_5_1.html</s:t>
        </s:is>
      </s:c>
      <s:c r="P61" s="11" t="inlineStr">
        <s:is>
          <s:t>2025/jama.2025.15185/.ai_paper_validation/final_report_1_5_1.md</s:t>
        </s:is>
      </s:c>
      <s:c r="Q61" s="11" t="inlineStr">
        <s:is>
          <s:t>C007</s:t>
        </s:is>
      </s:c>
      <s:c r="R61" s="11" t="inlineStr">
        <s:is>
          <s:t>Pending Human Adjudication</s:t>
        </s:is>
      </s:c>
      <s:c r="S61" s="11" t="inlineStr">
        <s:is>
          <s:t>The main placebo five-week FMA SD does not follow ordinary whole-number rounding of eTable 4. Pending Human Adjudication.</s:t>
        </s:is>
      </s:c>
      <s:c r="T61" s="11" t="b">
        <s:v>1</s:v>
      </s:c>
      <s:c r="U61" s="11" t="inlineStr">
        <s:is>
          <s:t>Placebo five-week FMA standard deviation differs from eTable 4</s:t>
        </s:is>
      </s:c>
      <s:c r="V61" s="11" t="inlineStr">
        <s:is>
          <s:t>report_internal_inconsistency</s:t>
        </s:is>
      </s:c>
      <s:c r="W61" s="11" t="inlineStr">
        <s:is>
          <s:t>Placebo five-week FMA standard deviation differs from eTable 4</s:t>
        </s:is>
      </s:c>
      <s:c r="X61" s="11" t="inlineStr">
        <s:is>
          <s:t>2025</s:t>
        </s:is>
      </s:c>
      <s:c r="Y61" s="11" t="inlineStr">
        <s:is>
          <s:t>meta_report/consistency_reclassification_2026-09-04/reclassified_candidates.json</s:t>
        </s:is>
      </s:c>
      <s:c r="Z61" s="11" t="inlineStr">
        <s:is>
          <s:t>S_C</s:t>
        </s:is>
      </s:c>
      <s:c r="AA61" s="11" t="inlineStr">
        <s:is>
          <s:t>report_internal_inconsistency</s:t>
        </s:is>
      </s:c>
      <s:c r="AB61" s="11" t="inlineStr">
        <s:is>
          <s:t>retain</s:t>
        </s:is>
      </s:c>
    </s:row>
    <s:row r="62" ht="90" customFormat="1" customHeight="1" s="8">
      <s:c r="A62" s="12" t="b">
        <s:v>0</s:v>
      </s:c>
      <s:c r="B62" s="12" t="n"/>
      <s:c r="C62" s="12" t="b">
        <s:v>0</s:v>
      </s:c>
      <s:c r="D62" s="12" t="inlineStr">
        <s:is>
          <s:t>Cross-document numeric inconsistency</s:t>
        </s:is>
      </s:c>
      <s:c r="E62" s="12" t="b">
        <s:v>1</s:v>
      </s:c>
      <s:c r="F62" s="12" t="inlineStr">
        <s:is>
          <s:t>C008</s:t>
        </s:is>
      </s:c>
      <s:c r="G62" s="12" t="inlineStr">
        <s:is>
          <s:t>2025::jama.2025.15185::C008</s:t>
        </s:is>
      </s:c>
      <s:c r="H62" s="12" t="n"/>
      <s:c r="I62" s="12" t="inlineStr">
        <s:is>
          <s:t>DOC-001, main article — PDF p. 6, Secondary Outcomes; DOC-004, Supplement 3 — PDF p. 15, eTable 4.</s:t>
        </s:is>
      </s:c>
      <s:c r="J62" s="12" t="b">
        <s:v>1</s:v>
      </s:c>
      <s:c r="K62" s="12" t="inlineStr">
        <s:is>
          <s:t>jama.2025.15185</s:t>
        </s:is>
      </s:c>
      <s:c r="L62" s="12" t="n"/>
      <s:c r="M62" s="12" t="inlineStr">
        <s:is>
          <s:t>S_C</s:t>
        </s:is>
      </s:c>
      <s:c r="N62" s="12" t="inlineStr">
        <s:is>
          <s:t>Target explicitly compares current main article and non-plan results supplement/workbook. Same placebo denominator `270` with numerator `52` versus `51`.</s:t>
        </s:is>
      </s:c>
      <s:c r="O62" s="12" t="inlineStr">
        <s:is>
          <s:t>../../2025/jama.2025.15185/.ai_paper_validation/final_report_1_5_1.html</s:t>
        </s:is>
      </s:c>
      <s:c r="P62" s="12" t="inlineStr">
        <s:is>
          <s:t>2025/jama.2025.15185/.ai_paper_validation/final_report_1_5_1.md</s:t>
        </s:is>
      </s:c>
      <s:c r="Q62" s="12" t="inlineStr">
        <s:is>
          <s:t>C008</s:t>
        </s:is>
      </s:c>
      <s:c r="R62" s="12" t="inlineStr">
        <s:is>
          <s:t>Pending Human Adjudication</s:t>
        </s:is>
      </s:c>
      <s:c r="S62" s="12" t="inlineStr">
        <s:is>
          <s:t>The placebo PRAI no-improvement numerator differs by one at the same printed denominator. Pending Human Adjudication.</s:t>
        </s:is>
      </s:c>
      <s:c r="T62" s="12" t="b">
        <s:v>1</s:v>
      </s:c>
      <s:c r="U62" s="12" t="inlineStr">
        <s:is>
          <s:t>Placebo PRAI no-improvement numerator differs between main text and eTable 4</s:t>
        </s:is>
      </s:c>
      <s:c r="V62" s="12" t="inlineStr">
        <s:is>
          <s:t>report_internal_inconsistency</s:t>
        </s:is>
      </s:c>
      <s:c r="W62" s="12" t="inlineStr">
        <s:is>
          <s:t>Placebo PRAI no-improvement numerator differs between main text and eTable 4</s:t>
        </s:is>
      </s:c>
      <s:c r="X62" s="12" t="inlineStr">
        <s:is>
          <s:t>2025</s:t>
        </s:is>
      </s:c>
      <s:c r="Y62" s="12" t="inlineStr">
        <s:is>
          <s:t>meta_report/consistency_reclassification_2026-09-04/reclassified_candidates.json</s:t>
        </s:is>
      </s:c>
      <s:c r="Z62" s="12" t="inlineStr">
        <s:is>
          <s:t>S_C</s:t>
        </s:is>
      </s:c>
      <s:c r="AA62" s="12" t="inlineStr">
        <s:is>
          <s:t>report_internal_inconsistency</s:t>
        </s:is>
      </s:c>
      <s:c r="AB62" s="12" t="inlineStr">
        <s:is>
          <s:t>retain</s:t>
        </s:is>
      </s:c>
    </s:row>
    <s:row r="63" ht="90" customFormat="1" customHeight="1" s="8">
      <s:c r="A63" s="11" t="b">
        <s:v>0</s:v>
      </s:c>
      <s:c r="B63" s="11" t="inlineStr">
        <s:is>
          <s:t>Internal eTable total versus its own arm/category sums is target; main 146 merely corroborates arithmetic.</s:t>
        </s:is>
      </s:c>
      <s:c r="C63" s="11" t="b">
        <s:v>0</s:v>
      </s:c>
      <s:c r="D63" s="11" t="inlineStr">
        <s:is>
          <s:t>Denominator, proportion, or total inconsistency</s:t>
        </s:is>
      </s:c>
      <s:c r="E63" s="11" t="b">
        <s:v>0</s:v>
      </s:c>
      <s:c r="F63" s="11" t="inlineStr">
        <s:is>
          <s:t>C009</s:t>
        </s:is>
      </s:c>
      <s:c r="G63" s="11" t="inlineStr">
        <s:is>
          <s:t>2025::jama.2025.15185::C009</s:t>
        </s:is>
      </s:c>
      <s:c r="H63" s="11" t="n"/>
      <s:c r="I63" s="11" t="inlineStr">
        <s:is>
          <s:t>DOC-001, main article — PDF p. 6, Table 2 and narrative, and PDF p. 7; DOC-004, Supplement 3 — PDF p. 17, eTable 6.</s:t>
        </s:is>
      </s:c>
      <s:c r="J63" s="11" t="b">
        <s:v>0</s:v>
      </s:c>
      <s:c r="K63" s="11" t="inlineStr">
        <s:is>
          <s:t>jama.2025.15185</s:t>
        </s:is>
      </s:c>
      <s:c r="L63" s="11" t="n"/>
      <s:c r="M63" s="11" t="inlineStr">
        <s:is>
          <s:t>S_W</s:t>
        </s:is>
      </s:c>
      <s:c r="N63" s="11" t="inlineStr">
        <s:is>
          <s:t>Target is within one main article or one non-plan results supplement/workbook; no substantive plan comparison. Header `145` versus arms and category sums `146`.</s:t>
        </s:is>
      </s:c>
      <s:c r="O63" s="11" t="inlineStr">
        <s:is>
          <s:t>../../2025/jama.2025.15185/.ai_paper_validation/final_report_1_5_1.html</s:t>
        </s:is>
      </s:c>
      <s:c r="P63" s="11" t="inlineStr">
        <s:is>
          <s:t>2025/jama.2025.15185/.ai_paper_validation/final_report_1_5_1.md</s:t>
        </s:is>
      </s:c>
      <s:c r="Q63" s="11" t="inlineStr">
        <s:is>
          <s:t>C009</s:t>
        </s:is>
      </s:c>
      <s:c r="R63" s="11" t="inlineStr">
        <s:is>
          <s:t>Pending Human Adjudication</s:t>
        </s:is>
      </s:c>
      <s:c r="S63" s="11" t="inlineStr">
        <s:is>
          <s:t>eTable 6 prints an overall adverse-event total of 145 although arm and exhaustive category totals are 146. Pending Human Adjudication.</s:t>
        </s:is>
      </s:c>
      <s:c r="T63" s="11" t="b">
        <s:v>1</s:v>
      </s:c>
      <s:c r="U63" s="11" t="inlineStr">
        <s:is>
          <s:t>eTable 6 overall adverse-event total is one below arms and category sums</s:t>
        </s:is>
      </s:c>
      <s:c r="V63" s="11" t="inlineStr">
        <s:is>
          <s:t>statistical_results</s:t>
        </s:is>
      </s:c>
      <s:c r="W63" s="11" t="inlineStr">
        <s:is>
          <s:t>eTable 6 overall adverse-event total is one below arms and category sums</s:t>
        </s:is>
      </s:c>
      <s:c r="X63" s="11" t="inlineStr">
        <s:is>
          <s:t>2025</s:t>
        </s:is>
      </s:c>
      <s:c r="Y63" s="11" t="inlineStr">
        <s:is>
          <s:t>meta_report/consistency_reclassification_2026-09-04/reclassified_candidates.json</s:t>
        </s:is>
      </s:c>
      <s:c r="Z63" s="11" t="inlineStr">
        <s:is>
          <s:t>S_W</s:t>
        </s:is>
      </s:c>
      <s:c r="AA63" s="11" t="inlineStr">
        <s:is>
          <s:t>statistical_results</s:t>
        </s:is>
      </s:c>
      <s:c r="AB63" s="11" t="inlineStr">
        <s:is>
          <s:t>retain</s:t>
        </s:is>
      </s:c>
    </s:row>
    <s:row r="64" ht="90" customFormat="1" customHeight="1" s="8">
      <s:c r="A64" s="12" t="b">
        <s:v>0</s:v>
      </s:c>
      <s:c r="B64" s="12" t="inlineStr">
        <s:is>
          <s:t>SAP defines FMMA, supporting synonym interpretation. It is a local figure abbreviation switch, not report-versus-SAP discrepancy.</s:t>
        </s:is>
      </s:c>
      <s:c r="C64" s="12" t="b">
        <s:v>0</s:v>
      </s:c>
      <s:c r="D64" s="12" t="inlineStr">
        <s:is>
          <s:t>Measure, label, or scale inconsistency</s:t>
        </s:is>
      </s:c>
      <s:c r="E64" s="12" t="b">
        <s:v>0</s:v>
      </s:c>
      <s:c r="F64" s="12" t="inlineStr">
        <s:is>
          <s:t>C010</s:t>
        </s:is>
      </s:c>
      <s:c r="G64" s="12" t="inlineStr">
        <s:is>
          <s:t>2025::jama.2025.15185::C010</s:t>
        </s:is>
      </s:c>
      <s:c r="H64" s="12" t="n"/>
      <s:c r="I64" s="12" t="inlineStr">
        <s:is>
          <s:t>DOC-004, Supplement 3 — PDF p. 23, eFigure 4; DOC-003, Supplement 2 — PDF p. 2, SAP objective; DOC-001, main article — PDF p. 1, PDF p. 3, and PDF p. 6.</s:t>
        </s:is>
      </s:c>
      <s:c r="J64" s="12" t="b">
        <s:v>0</s:v>
      </s:c>
      <s:c r="K64" s="12" t="inlineStr">
        <s:is>
          <s:t>jama.2025.15185</s:t>
        </s:is>
      </s:c>
      <s:c r="L64" s="12" t="n"/>
      <s:c r="M64" s="12" t="inlineStr">
        <s:is>
          <s:t>S_W</s:t>
        </s:is>
      </s:c>
      <s:c r="N64" s="12" t="inlineStr">
        <s:is>
          <s:t>Target is within one main article or one non-plan results supplement/workbook; no substantive plan comparison. Within the same figure, `FMA` versus `FMMA` for the stated assessment.</s:t>
        </s:is>
      </s:c>
      <s:c r="O64" s="12" t="inlineStr">
        <s:is>
          <s:t>../../2025/jama.2025.15185/.ai_paper_validation/final_report_1_5_1.html</s:t>
        </s:is>
      </s:c>
      <s:c r="P64" s="12" t="inlineStr">
        <s:is>
          <s:t>2025/jama.2025.15185/.ai_paper_validation/final_report_1_5_1.md</s:t>
        </s:is>
      </s:c>
      <s:c r="Q64" s="12" t="inlineStr">
        <s:is>
          <s:t>C010</s:t>
        </s:is>
      </s:c>
      <s:c r="R64" s="12" t="inlineStr">
        <s:is>
          <s:t>Pending Human Adjudication</s:t>
        </s:is>
      </s:c>
      <s:c r="S64" s="12" t="inlineStr">
        <s:is>
          <s:t>eFigure 4 uses FMA in its title/legend and FMMA on its axis without a local qualification. Pending Human Adjudication.</s:t>
        </s:is>
      </s:c>
      <s:c r="T64" s="12" t="b">
        <s:v>1</s:v>
      </s:c>
      <s:c r="U64" s="12" t="inlineStr">
        <s:is>
          <s:t>eFigure 4 switches locally from FMA to FMMA without qualification</s:t>
        </s:is>
      </s:c>
      <s:c r="V64" s="12" t="inlineStr">
        <s:is>
          <s:t>report_internal_inconsistency</s:t>
        </s:is>
      </s:c>
      <s:c r="W64" s="12" t="inlineStr">
        <s:is>
          <s:t>eFigure 4 switches locally from FMA to FMMA without qualification</s:t>
        </s:is>
      </s:c>
      <s:c r="X64" s="12" t="inlineStr">
        <s:is>
          <s:t>2025</s:t>
        </s:is>
      </s:c>
      <s:c r="Y64" s="12" t="inlineStr">
        <s:is>
          <s:t>meta_report/consistency_reclassification_2026-09-04/reclassified_candidates.json</s:t>
        </s:is>
      </s:c>
      <s:c r="Z64" s="12" t="inlineStr">
        <s:is>
          <s:t>S_W</s:t>
        </s:is>
      </s:c>
      <s:c r="AA64" s="12" t="inlineStr">
        <s:is>
          <s:t>report_internal_inconsistency</s:t>
        </s:is>
      </s:c>
      <s:c r="AB64" s="12" t="inlineStr">
        <s:is>
          <s:t>retain</s:t>
        </s:is>
      </s:c>
    </s:row>
    <s:row r="65" ht="90" customFormat="1" customHeight="1" s="8">
      <s:c r="A65" s="11" t="b">
        <s:v>0</s:v>
      </s:c>
      <s:c r="B65" s="11" t="n"/>
      <s:c r="C65" s="11" t="b">
        <s:v>0</s:v>
      </s:c>
      <s:c r="D65" s="11" t="inlineStr">
        <s:is>
          <s:t>Measure, label, or scale inconsistency</s:t>
        </s:is>
      </s:c>
      <s:c r="E65" s="11" t="b">
        <s:v>0</s:v>
      </s:c>
      <s:c r="F65" s="11" t="inlineStr">
        <s:is>
          <s:t>C011</s:t>
        </s:is>
      </s:c>
      <s:c r="G65" s="11" t="inlineStr">
        <s:is>
          <s:t>2025::jama.2025.15185::C011</s:t>
        </s:is>
      </s:c>
      <s:c r="H65" s="11" t="n"/>
      <s:c r="I65" s="11" t="inlineStr">
        <s:is>
          <s:t>DOC-004, Supplement 3 — PDF p. 13, eTable 2 column heading and Estimand 4 row.</s:t>
        </s:is>
      </s:c>
      <s:c r="J65" s="11" t="b">
        <s:v>0</s:v>
      </s:c>
      <s:c r="K65" s="11" t="inlineStr">
        <s:is>
          <s:t>jama.2025.15185</s:t>
        </s:is>
      </s:c>
      <s:c r="L65" s="11" t="n"/>
      <s:c r="M65" s="11" t="inlineStr">
        <s:is>
          <s:t>S_W</s:t>
        </s:is>
      </s:c>
      <s:c r="N65" s="11" t="inlineStr">
        <s:is>
          <s:t>Target is within one main article or one non-plan results supplement/workbook; no substantive plan comparison. A dimensionless win ratio row versus an FMA-point mean-difference heading.</s:t>
        </s:is>
      </s:c>
      <s:c r="O65" s="11" t="inlineStr">
        <s:is>
          <s:t>../../2025/jama.2025.15185/.ai_paper_validation/final_report_1_5_1.html</s:t>
        </s:is>
      </s:c>
      <s:c r="P65" s="11" t="inlineStr">
        <s:is>
          <s:t>2025/jama.2025.15185/.ai_paper_validation/final_report_1_5_1.md</s:t>
        </s:is>
      </s:c>
      <s:c r="Q65" s="11" t="inlineStr">
        <s:is>
          <s:t>C011</s:t>
        </s:is>
      </s:c>
      <s:c r="R65" s="11" t="inlineStr">
        <s:is>
          <s:t>Pending Human Adjudication</s:t>
        </s:is>
      </s:c>
      <s:c r="S65" s="11" t="inlineStr">
        <s:is>
          <s:t>Estimand 4's win ratio is displayed under a column headed as an FMA mean difference. Pending Human Adjudication.</s:t>
        </s:is>
      </s:c>
      <s:c r="T65" s="11" t="b">
        <s:v>1</s:v>
      </s:c>
      <s:c r="U65" s="11" t="inlineStr">
        <s:is>
          <s:t>Estimand 4 win ratio appears under an FMA mean-difference column heading</s:t>
        </s:is>
      </s:c>
      <s:c r="V65" s="11" t="inlineStr">
        <s:is>
          <s:t>report_internal_inconsistency</s:t>
        </s:is>
      </s:c>
      <s:c r="W65" s="11" t="inlineStr">
        <s:is>
          <s:t>Estimand 4 win ratio appears under an FMA mean-difference column heading</s:t>
        </s:is>
      </s:c>
      <s:c r="X65" s="11" t="inlineStr">
        <s:is>
          <s:t>2025</s:t>
        </s:is>
      </s:c>
      <s:c r="Y65" s="11" t="inlineStr">
        <s:is>
          <s:t>meta_report/consistency_reclassification_2026-09-04/reclassified_candidates.json</s:t>
        </s:is>
      </s:c>
      <s:c r="Z65" s="11" t="inlineStr">
        <s:is>
          <s:t>S_W</s:t>
        </s:is>
      </s:c>
      <s:c r="AA65" s="11" t="inlineStr">
        <s:is>
          <s:t>report_internal_inconsistency</s:t>
        </s:is>
      </s:c>
      <s:c r="AB65" s="11" t="inlineStr">
        <s:is>
          <s:t>retain</s:t>
        </s:is>
      </s:c>
    </s:row>
    <s:row r="66" ht="90" customFormat="1" customHeight="1" s="8">
      <s:c r="A66" s="12" t="b">
        <s:v>0</s:v>
      </s:c>
      <s:c r="B66" s="12" t="n"/>
      <s:c r="C66" s="12" t="b">
        <s:v>0</s:v>
      </s:c>
      <s:c r="D66" s="12" t="inlineStr">
        <s:is>
          <s:t>Measure, label, or scale inconsistency</s:t>
        </s:is>
      </s:c>
      <s:c r="E66" s="12" t="b">
        <s:v>0</s:v>
      </s:c>
      <s:c r="F66" s="12" t="inlineStr">
        <s:is>
          <s:t>C012</s:t>
        </s:is>
      </s:c>
      <s:c r="G66" s="12" t="inlineStr">
        <s:is>
          <s:t>2025::jama.2025.15185::C012</s:t>
        </s:is>
      </s:c>
      <s:c r="H66" s="12" t="n"/>
      <s:c r="I66" s="12" t="inlineStr">
        <s:is>
          <s:t>DOC-004, Supplement 3 — PDF p. 12, eTable 2 narrative; PDF p. 13, Estimand 4 row.</s:t>
        </s:is>
      </s:c>
      <s:c r="J66" s="12" t="b">
        <s:v>0</s:v>
      </s:c>
      <s:c r="K66" s="12" t="inlineStr">
        <s:is>
          <s:t>jama.2025.15185</s:t>
        </s:is>
      </s:c>
      <s:c r="L66" s="12" t="n"/>
      <s:c r="M66" s="12" t="inlineStr">
        <s:is>
          <s:t>S_W</s:t>
        </s:is>
      </s:c>
      <s:c r="N66" s="12" t="inlineStr">
        <s:is>
          <s:t>Target is within one main article or one non-plan results supplement/workbook; no substantive plan comparison. `Odds ratio` in prose versus `win ratio` in the matched table row.</s:t>
        </s:is>
      </s:c>
      <s:c r="O66" s="12" t="inlineStr">
        <s:is>
          <s:t>../../2025/jama.2025.15185/.ai_paper_validation/final_report_1_5_1.html</s:t>
        </s:is>
      </s:c>
      <s:c r="P66" s="12" t="inlineStr">
        <s:is>
          <s:t>2025/jama.2025.15185/.ai_paper_validation/final_report_1_5_1.md</s:t>
        </s:is>
      </s:c>
      <s:c r="Q66" s="12" t="inlineStr">
        <s:is>
          <s:t>C012</s:t>
        </s:is>
      </s:c>
      <s:c r="R66" s="12" t="inlineStr">
        <s:is>
          <s:t>Pending Human Adjudication</s:t>
        </s:is>
      </s:c>
      <s:c r="S66" s="12" t="inlineStr">
        <s:is>
          <s:t>Matched Estimand 4 displays label the same 1.06 effect as an odds ratio in prose and a win ratio in the table. Pending Human Adjudication.</s:t>
        </s:is>
      </s:c>
      <s:c r="T66" s="12" t="b">
        <s:v>1</s:v>
      </s:c>
      <s:c r="U66" s="12" t="inlineStr">
        <s:is>
          <s:t>Estimand 4 is called an odds ratio in prose and a win ratio in the table</s:t>
        </s:is>
      </s:c>
      <s:c r="V66" s="12" t="inlineStr">
        <s:is>
          <s:t>report_internal_inconsistency</s:t>
        </s:is>
      </s:c>
      <s:c r="W66" s="12" t="inlineStr">
        <s:is>
          <s:t>Estimand 4 is called an odds ratio in prose and a win ratio in the table</s:t>
        </s:is>
      </s:c>
      <s:c r="X66" s="12" t="inlineStr">
        <s:is>
          <s:t>2025</s:t>
        </s:is>
      </s:c>
      <s:c r="Y66" s="12" t="inlineStr">
        <s:is>
          <s:t>meta_report/consistency_reclassification_2026-09-04/reclassified_candidates.json</s:t>
        </s:is>
      </s:c>
      <s:c r="Z66" s="12" t="inlineStr">
        <s:is>
          <s:t>S_W</s:t>
        </s:is>
      </s:c>
      <s:c r="AA66" s="12" t="inlineStr">
        <s:is>
          <s:t>report_internal_inconsistency</s:t>
        </s:is>
      </s:c>
      <s:c r="AB66" s="12" t="inlineStr">
        <s:is>
          <s:t>retain</s:t>
        </s:is>
      </s:c>
    </s:row>
    <s:row r="67" ht="90" customFormat="1" customHeight="1" s="8">
      <s:c r="A67" s="11" t="b">
        <s:v>0</s:v>
      </s:c>
      <s:c r="B67" s="11" t="n"/>
      <s:c r="C67" s="11" t="b">
        <s:v>0</s:v>
      </s:c>
      <s:c r="D67" s="11" t="inlineStr">
        <s:is>
          <s:t>Cross-document numeric inconsistency</s:t>
        </s:is>
      </s:c>
      <s:c r="E67" s="11" t="b">
        <s:v>0</s:v>
      </s:c>
      <s:c r="F67" s="11" t="inlineStr">
        <s:is>
          <s:t>C001</s:t>
        </s:is>
      </s:c>
      <s:c r="G67" s="11" t="inlineStr">
        <s:is>
          <s:t>2025::jama.2025.15440::C001</s:t>
        </s:is>
      </s:c>
      <s:c r="H67" s="11" t="n"/>
      <s:c r="I67" s="11" t="inlineStr">
        <s:is>
          <s:t>DOC-001: jama_wijesurendra_2025_oi_250068_1760999665.28362.pdf — PDF p. 1 (abstract); PDF p. 5 (results narrative); and PDF p. 7 (Figure 4B).</s:t>
        </s:is>
      </s:c>
      <s:c r="J67" s="11" t="b">
        <s:v>1</s:v>
      </s:c>
      <s:c r="K67" s="11" t="inlineStr">
        <s:is>
          <s:t>jama.2025.15440</s:t>
        </s:is>
      </s:c>
      <s:c r="L67" s="11" t="n"/>
      <s:c r="M67" s="11" t="inlineStr">
        <s:is>
          <s:t>S_W</s:t>
        </s:is>
      </s:c>
      <s:c r="N67" s="11" t="inlineStr">
        <s:is>
          <s:t>Target is within one main article or one non-plan results supplement/workbook; no substantive plan comparison. Abstract CI 0.76-1.53 versus detailed-results/Figure 4B CI 0.77-1.51 for the same displayed counts, follow-up context, and point estimate.</s:t>
        </s:is>
      </s:c>
      <s:c r="O67" s="11" t="inlineStr">
        <s:is>
          <s:t>../../2025/jama.2025.15440/.ai_paper_validation/final_report_1_5_1.html</s:t>
        </s:is>
      </s:c>
      <s:c r="P67" s="11" t="inlineStr">
        <s:is>
          <s:t>2025/jama.2025.15440/.ai_paper_validation/final_report_1_5_1.md</s:t>
        </s:is>
      </s:c>
      <s:c r="Q67" s="11" t="inlineStr">
        <s:is>
          <s:t>C001</s:t>
        </s:is>
      </s:c>
      <s:c r="R67" s="11" t="inlineStr">
        <s:is>
          <s:t>Pending Human Adjudication</s:t>
        </s:is>
      </s:c>
      <s:c r="S67" s="11" t="inlineStr">
        <s:is>
          <s:t>The abstract and detailed results/Figure 4B report the same any-stroke arm counts and rate-ratio point estimate but different 95% confidence-interval endpoints.</s:t>
        </s:is>
      </s:c>
      <s:c r="T67" s="11" t="b">
        <s:v>1</s:v>
      </s:c>
      <s:c r="U67" s="11" t="inlineStr">
        <s:is>
          <s:t>Conflicting confidence intervals for the matched any-stroke rate ratio</s:t>
        </s:is>
      </s:c>
      <s:c r="V67" s="11" t="inlineStr">
        <s:is>
          <s:t>report_internal_inconsistency</s:t>
        </s:is>
      </s:c>
      <s:c r="W67" s="11" t="inlineStr">
        <s:is>
          <s:t>Conflicting confidence intervals for the matched any-stroke rate ratio</s:t>
        </s:is>
      </s:c>
      <s:c r="X67" s="11" t="inlineStr">
        <s:is>
          <s:t>2025</s:t>
        </s:is>
      </s:c>
      <s:c r="Y67" s="11" t="inlineStr">
        <s:is>
          <s:t>meta_report/consistency_reclassification_2026-09-04/reclassified_candidates.json</s:t>
        </s:is>
      </s:c>
      <s:c r="Z67" s="11" t="inlineStr">
        <s:is>
          <s:t>S_W</s:t>
        </s:is>
      </s:c>
      <s:c r="AA67" s="11" t="inlineStr">
        <s:is>
          <s:t>report_internal_inconsistency</s:t>
        </s:is>
      </s:c>
      <s:c r="AB67" s="11" t="inlineStr">
        <s:is>
          <s:t>retain</s:t>
        </s:is>
      </s:c>
    </s:row>
    <s:row r="68" ht="90" customFormat="1" customHeight="1" s="8">
      <s:c r="A68" s="12" t="b">
        <s:v>0</s:v>
      </s:c>
      <s:c r="B68" s="12" t="n"/>
      <s:c r="C68" s="12" t="b">
        <s:v>0</s:v>
      </s:c>
      <s:c r="D68" s="12" t="inlineStr">
        <s:is>
          <s:t>Numeric or arithmetic inconsistency</s:t>
        </s:is>
      </s:c>
      <s:c r="E68" s="12" t="b">
        <s:v>0</s:v>
      </s:c>
      <s:c r="F68" s="12" t="inlineStr">
        <s:is>
          <s:t>C002</s:t>
        </s:is>
      </s:c>
      <s:c r="G68" s="12" t="inlineStr">
        <s:is>
          <s:t>2025::jama.2025.15440::C002</s:t>
        </s:is>
      </s:c>
      <s:c r="H68" s="12" t="n"/>
      <s:c r="I68" s="12" t="inlineStr">
        <s:is>
          <s:t>DOC-001: jama_wijesurendra_2025_oi_250068_1760999665.28362.pdf — PDF p. 7, Figure 4B rows Presumed ischemic stroke, Hemorrhagic stroke, and Any stroke, including its caption/footnote. The matching any-stroke total also appears on PDF p. 5 and PDF p. 1.</s:t>
        </s:is>
      </s:c>
      <s:c r="J68" s="12" t="b">
        <s:v>0</s:v>
      </s:c>
      <s:c r="K68" s="12" t="inlineStr">
        <s:is>
          <s:t>jama.2025.15440</s:t>
        </s:is>
      </s:c>
      <s:c r="L68" s="12" t="n"/>
      <s:c r="M68" s="12" t="inlineStr">
        <s:is>
          <s:t>S_W</s:t>
        </s:is>
      </s:c>
      <s:c r="N68" s="12" t="inlineStr">
        <s:is>
          <s: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s:t>
        </s:is>
      </s:c>
      <s:c r="O68" s="12" t="inlineStr">
        <s:is>
          <s:t>../../2025/jama.2025.15440/.ai_paper_validation/final_report_1_5_1.html</s:t>
        </s:is>
      </s:c>
      <s:c r="P68" s="12" t="inlineStr">
        <s:is>
          <s:t>2025/jama.2025.15440/.ai_paper_validation/final_report_1_5_1.md</s:t>
        </s:is>
      </s:c>
      <s:c r="Q68" s="12" t="inlineStr">
        <s:is>
          <s:t>C002</s:t>
        </s:is>
      </s:c>
      <s:c r="R68" s="12" t="inlineStr">
        <s:is>
          <s:t>Pending Human Adjudication</s:t>
        </s:is>
      </s:c>
      <s:c r="S68" s="12" t="inlineStr">
        <s:is>
          <s:t>Figure 4B prints patch-group presumed ischemic and hemorrhagic stroke counts whose sum exceeds the patch-group Any stroke count, while the usual-care counts reconcile.</s:t>
        </s:is>
      </s:c>
      <s:c r="T68" s="12" t="b">
        <s:v>1</s:v>
      </s:c>
      <s:c r="U68" s="12" t="inlineStr">
        <s:is>
          <s:t>Stroke subtype counts do not partition the displayed any-stroke count in the patch group</s:t>
        </s:is>
      </s:c>
      <s:c r="V68" s="12" t="inlineStr">
        <s:is>
          <s:t>statistical_results</s:t>
        </s:is>
      </s:c>
      <s:c r="W68" s="12" t="inlineStr">
        <s:is>
          <s:t>Stroke subtype counts do not partition the displayed any-stroke count in the patch group</s:t>
        </s:is>
      </s:c>
      <s:c r="X68" s="12" t="inlineStr">
        <s:is>
          <s:t>2025</s:t>
        </s:is>
      </s:c>
      <s:c r="Y68" s="12" t="inlineStr">
        <s:is>
          <s:t>meta_report/consistency_reclassification_2026-09-04/reclassified_candidates.json</s:t>
        </s:is>
      </s:c>
      <s:c r="Z68" s="12" t="inlineStr">
        <s:is>
          <s:t>S_W</s:t>
        </s:is>
      </s:c>
      <s:c r="AA68" s="12" t="inlineStr">
        <s:is>
          <s:t>statistical_results</s:t>
        </s:is>
      </s:c>
      <s:c r="AB68" s="12" t="inlineStr">
        <s:is>
          <s:t>retain</s:t>
        </s:is>
      </s:c>
    </s:row>
    <s:row r="69" ht="90" customFormat="1" customHeight="1" s="8">
      <s:c r="A69" s="11" t="b">
        <s:v>0</s:v>
      </s:c>
      <s:c r="B69" s="11" t="n"/>
      <s:c r="C69" s="11" t="b">
        <s:v>0</s:v>
      </s:c>
      <s:c r="D69" s="11" t="inlineStr">
        <s:is>
          <s:t>Measure, label, or scale inconsistency</s:t>
        </s:is>
      </s:c>
      <s:c r="E69" s="11" t="b">
        <s:v>0</s:v>
      </s:c>
      <s:c r="F69" s="11" t="inlineStr">
        <s:is>
          <s:t>C001</s:t>
        </s:is>
      </s:c>
      <s:c r="G69" s="11" t="inlineStr">
        <s:is>
          <s:t>2025::jama.2025.16450::C001</s:t>
        </s:is>
      </s:c>
      <s:c r="H69" s="11" t="n"/>
      <s:c r="I69" s="11" t="inlineStr">
        <s:is>
          <s:t>DOC-005 results supplement — PDF p. 7 (eTable 4 header and PDA row); results supplement — PDF p. 8 (abbreviations and binary-outcome model text).</s:t>
        </s:is>
      </s:c>
      <s:c r="J69" s="11" t="b">
        <s:v>0</s:v>
      </s:c>
      <s:c r="K69" s="11" t="inlineStr">
        <s:is>
          <s:t>jama.2025.16450</s:t>
        </s:is>
      </s:c>
      <s:c r="L69" s="11" t="n"/>
      <s:c r="M69" s="11" t="inlineStr">
        <s:is>
          <s:t>S_W</s:t>
        </s:is>
      </s:c>
      <s:c r="N69" s="11" t="inlineStr">
        <s:is>
          <s:t>Target is within one main article or one non-plan results supplement/workbook; no substantive plan comparison. The abbreviation says risk difference; the table header, model description, and estimates say or use relative risk.</s:t>
        </s:is>
      </s:c>
      <s:c r="O69" s="11" t="inlineStr">
        <s:is>
          <s:t>../../2025/jama.2025.16450/.ai_paper_validation/final_report_1_5_1.html</s:t>
        </s:is>
      </s:c>
      <s:c r="P69" s="11" t="inlineStr">
        <s:is>
          <s:t>2025/jama.2025.16450/.ai_paper_validation/final_report_1_5_1.md</s:t>
        </s:is>
      </s:c>
      <s:c r="Q69" s="11" t="inlineStr">
        <s:is>
          <s:t>C001</s:t>
        </s:is>
      </s:c>
      <s:c r="R69" s="11" t="inlineStr">
        <s:is>
          <s:t>Pending Human Adjudication</s:t>
        </s:is>
      </s:c>
      <s:c r="S69" s="11" t="inlineStr">
        <s:is>
          <s:t>eTable 4 uses RR for ratio-scale relative-risk estimates but its abbreviation line expands RR as risk difference.</s:t>
        </s:is>
      </s:c>
      <s:c r="T69" s="11" t="b">
        <s:v>1</s:v>
      </s:c>
      <s:c r="U69" s="11" t="inlineStr">
        <s:is>
          <s:t>eTable 4 expands RR as risk difference although the table reports relative risk</s:t>
        </s:is>
      </s:c>
      <s:c r="V69" s="11" t="inlineStr">
        <s:is>
          <s:t>report_internal_inconsistency</s:t>
        </s:is>
      </s:c>
      <s:c r="W69" s="11" t="inlineStr">
        <s:is>
          <s:t>eTable 4 expands RR as risk difference although the table reports relative risk</s:t>
        </s:is>
      </s:c>
      <s:c r="X69" s="11" t="inlineStr">
        <s:is>
          <s:t>2025</s:t>
        </s:is>
      </s:c>
      <s:c r="Y69" s="11" t="inlineStr">
        <s:is>
          <s:t>meta_report/consistency_reclassification_2026-09-04/reclassified_candidates.json</s:t>
        </s:is>
      </s:c>
      <s:c r="Z69" s="11" t="inlineStr">
        <s:is>
          <s:t>S_W</s:t>
        </s:is>
      </s:c>
      <s:c r="AA69" s="11" t="inlineStr">
        <s:is>
          <s:t>report_internal_inconsistency</s:t>
        </s:is>
      </s:c>
      <s:c r="AB69" s="11" t="inlineStr">
        <s:is>
          <s:t>retain</s:t>
        </s:is>
      </s:c>
    </s:row>
    <s:row r="70" ht="90" customFormat="1" customHeight="1" s="8">
      <s:c r="A70" s="12" t="b">
        <s:v>0</s:v>
      </s:c>
      <s:c r="B70" s="12" t="inlineStr">
        <s:is>
          <s:t xml:space="preserve">Final direct-source recheck explicitly does not reproduce registered mismatch; relationship denotes original registration only. </s:t>
        </s:is>
      </s:c>
      <s:c r="C70" s="12" t="b">
        <s:v>1</s:v>
      </s:c>
      <s:c r="D70" s="12" t="inlineStr">
        <s:is>
          <s:t>Analysis-unit or population inconsistency</s:t>
        </s:is>
      </s:c>
      <s:c r="E70" s="12" t="b">
        <s:v>1</s:v>
      </s:c>
      <s:c r="F70" s="12" t="inlineStr">
        <s:is>
          <s:t>C002</s:t>
        </s:is>
      </s:c>
      <s:c r="G70" s="12" t="inlineStr">
        <s:is>
          <s:t>2025::jama.2025.16450::C002</s:t>
        </s:is>
      </s:c>
      <s:c r="H70" s="12" t="n"/>
      <s:c r="I70" s="12" t="inlineStr">
        <s:is>
          <s:t>DOC-002 protocol — PDF p. 4; DOC-003 manual — PDF p. 7; DOC-004 SAP — PDF p. 8 and SAP — PDF p. 15; DOC-001 main article — PDF p. 2.</s:t>
        </s:is>
      </s:c>
      <s:c r="J70" s="12" t="b">
        <s:v>0</s:v>
      </s:c>
      <s:c r="K70" s="12" t="inlineStr">
        <s:is>
          <s:t>jama.2025.16450</s:t>
        </s:is>
      </s:c>
      <s:c r="L70" s="12" t="inlineStr">
        <s:is>
          <s:t>population_recruitment_sites</s:t>
        </s:is>
      </s:c>
      <s:c r="M70" s="12" t="inlineStr">
        <s:is>
          <s:t>P_R</s:t>
        </s:is>
      </s:c>
      <s:c r="N70" s="12" t="inlineStr">
        <s:is>
          <s:t>Target compares reported current-study content with supplied protocol/SAP specification. Earlier ledger transcription `27 6/7` versus direct-page `28 6/7` in DOC-002 and every comparator.</s:t>
        </s:is>
      </s:c>
      <s:c r="O70" s="12" t="inlineStr">
        <s:is>
          <s:t>../../2025/jama.2025.16450/.ai_paper_validation/final_report_1_5_1.html</s:t>
        </s:is>
      </s:c>
      <s:c r="P70" s="12" t="inlineStr">
        <s:is>
          <s:t>2025/jama.2025.16450/.ai_paper_validation/final_report_1_5_1.md</s:t>
        </s:is>
      </s:c>
      <s:c r="Q70" s="12" t="inlineStr">
        <s:is>
          <s:t>C002</s:t>
        </s:is>
      </s:c>
      <s:c r="R70" s="12" t="inlineStr">
        <s:is>
          <s:t>Pending Human Adjudication</s:t>
        </s:is>
      </s:c>
      <s:c r="S70" s="12" t="inlineStr">
        <s:is>
          <s:t>The prior ledger recorded 27 6/7 weeks for DOC-002, but direct-source recheck shows 28 6/7; the original cross-document mismatch is not reproduced.</s:t>
        </s:is>
      </s:c>
      <s:c r="T70" s="12" t="b">
        <s:v>0</s:v>
      </s:c>
      <s:c r="U70" s="12" t="inlineStr">
        <s:is>
          <s:t>Registered eligibility-bound discrepancy is not reproduced on direct-source recheck</s:t>
        </s:is>
      </s:c>
      <s:c r="V70" s="12" t="inlineStr">
        <s:is>
          <s:t>protocol_report</s:t>
        </s:is>
      </s:c>
      <s:c r="W70" s="12" t="inlineStr">
        <s:is>
          <s:t>Registered eligibility-bound discrepancy is not reproduced on direct-source recheck</s:t>
        </s:is>
      </s:c>
      <s:c r="X70" s="12" t="inlineStr">
        <s:is>
          <s:t>2025</s:t>
        </s:is>
      </s:c>
      <s:c r="Y70" s="12" t="inlineStr">
        <s:is>
          <s:t>meta_report/consistency_reclassification_2026-09-04/reclassified_candidates.json</s:t>
        </s:is>
      </s:c>
      <s:c r="Z70" s="12" t="inlineStr">
        <s:is>
          <s:t>P_R</s:t>
        </s:is>
      </s:c>
      <s:c r="AA70" s="12" t="inlineStr">
        <s:is>
          <s:t>protocol_report</s:t>
        </s:is>
      </s:c>
      <s:c r="AB70" s="12" t="inlineStr">
        <s:is>
          <s:t>exclude</s:t>
        </s:is>
      </s:c>
    </s:row>
    <s:row r="71" ht="90" customFormat="1" customHeight="1" s="8">
      <s:c r="A71" s="11" t="b">
        <s:v>0</s:v>
      </s:c>
      <s:c r="B71" s="11" t="inlineStr">
        <s:is>
          <s:t xml:space="preserve">Final direct-source recheck explicitly does not reproduce registered mismatch; relationship denotes original registration only. </s:t>
        </s:is>
      </s:c>
      <s:c r="C71" s="11" t="b">
        <s:v>1</s:v>
      </s:c>
      <s:c r="D71" s="11" t="inlineStr">
        <s:is>
          <s:t>Cross-document numeric inconsistency</s:t>
        </s:is>
      </s:c>
      <s:c r="E71" s="11" t="b">
        <s:v>1</s:v>
      </s:c>
      <s:c r="F71" s="11" t="inlineStr">
        <s:is>
          <s:t>C003</s:t>
        </s:is>
      </s:c>
      <s:c r="G71" s="11" t="inlineStr">
        <s:is>
          <s:t>2025::jama.2025.16450::C003</s:t>
        </s:is>
      </s:c>
      <s:c r="H71" s="11" t="n"/>
      <s:c r="I71" s="11" t="inlineStr">
        <s:is>
          <s:t>DOC-002 protocol — PDF p. 4; DOC-003 manual — PDF p. 7 and manual — PDF p. 12; DOC-004 SAP — PDF p. 8; DOC-001 main article — PDF p. 2; DOC-005 results supplement — PDF p. 4.</s:t>
        </s:is>
      </s:c>
      <s:c r="J71" s="11" t="b">
        <s:v>1</s:v>
      </s:c>
      <s:c r="K71" s="11" t="inlineStr">
        <s:is>
          <s:t>jama.2025.16450</s:t>
        </s:is>
      </s:c>
      <s:c r="L71" s="11" t="inlineStr">
        <s:is>
          <s:t>intervention_delivery</s:t>
        </s:is>
      </s:c>
      <s:c r="M71" s="11" t="inlineStr">
        <s:is>
          <s:t>P_R</s:t>
        </s:is>
      </s:c>
      <s:c r="N71" s="11" t="inlineStr">
        <s:is>
          <s:t>Target compares reported current-study content with supplied protocol/SAP specification. Earlier first-dose transcription `1.25 mL/kg` versus direct-source first-dose `2.5 mL/kg`.</s:t>
        </s:is>
      </s:c>
      <s:c r="O71" s="11" t="inlineStr">
        <s:is>
          <s:t>../../2025/jama.2025.16450/.ai_paper_validation/final_report_1_5_1.html</s:t>
        </s:is>
      </s:c>
      <s:c r="P71" s="11" t="inlineStr">
        <s:is>
          <s:t>2025/jama.2025.16450/.ai_paper_validation/final_report_1_5_1.md</s:t>
        </s:is>
      </s:c>
      <s:c r="Q71" s="11" t="inlineStr">
        <s:is>
          <s:t>C003</s:t>
        </s:is>
      </s:c>
      <s:c r="R71" s="11" t="inlineStr">
        <s:is>
          <s:t>Pending Human Adjudication</s:t>
        </s:is>
      </s:c>
      <s:c r="S71" s="11" t="inlineStr">
        <s:is>
          <s:t>The prior ledger assigned 1.25 mL/kg to the first dose in DOC-002, but direct-source recheck shows 2.5 mL/kg; the original mismatch is not reproduced.</s:t>
        </s:is>
      </s:c>
      <s:c r="T71" s="11" t="b">
        <s:v>0</s:v>
      </s:c>
      <s:c r="U71" s="11" t="inlineStr">
        <s:is>
          <s:t>Registered first-dose discrepancy is not reproduced on direct-source recheck</s:t>
        </s:is>
      </s:c>
      <s:c r="V71" s="11" t="inlineStr">
        <s:is>
          <s:t>protocol_report</s:t>
        </s:is>
      </s:c>
      <s:c r="W71" s="11" t="inlineStr">
        <s:is>
          <s:t>Registered first-dose discrepancy is not reproduced on direct-source recheck</s:t>
        </s:is>
      </s:c>
      <s:c r="X71" s="11" t="inlineStr">
        <s:is>
          <s:t>2025</s:t>
        </s:is>
      </s:c>
      <s:c r="Y71" s="11" t="inlineStr">
        <s:is>
          <s:t>meta_report/consistency_reclassification_2026-09-04/reclassified_candidates.json</s:t>
        </s:is>
      </s:c>
      <s:c r="Z71" s="11" t="inlineStr">
        <s:is>
          <s:t>P_R</s:t>
        </s:is>
      </s:c>
      <s:c r="AA71" s="11" t="inlineStr">
        <s:is>
          <s:t>protocol_report</s:t>
        </s:is>
      </s:c>
      <s:c r="AB71" s="11" t="inlineStr">
        <s:is>
          <s:t>exclude</s:t>
        </s:is>
      </s:c>
    </s:row>
    <s:row r="72" ht="90" customFormat="1" customHeight="1" s="8">
      <s:c r="A72" s="12" t="b">
        <s:v>0</s:v>
      </s:c>
      <s:c r="B72" s="12" t="inlineStr">
        <s:is>
          <s:t>Manual of procedures is a distinct prospective operational document, not final results or protocol/SAP. Versioned definition change possible.</s:t>
        </s:is>
      </s:c>
      <s:c r="C72" s="12" t="b">
        <s:v>1</s:v>
      </s:c>
      <s:c r="D72" s="12" t="inlineStr">
        <s:is>
          <s:t>Measure, label, or scale inconsistency</s:t>
        </s:is>
      </s:c>
      <s:c r="E72" s="12" t="b">
        <s:v>0</s:v>
      </s:c>
      <s:c r="F72" s="12" t="inlineStr">
        <s:is>
          <s:t>C004</s:t>
        </s:is>
      </s:c>
      <s:c r="G72" s="12" t="inlineStr">
        <s:is>
          <s:t>2025::jama.2025.16450::C004</s:t>
        </s:is>
      </s:c>
      <s:c r="H72" s="12" t="inlineStr">
        <s:is>
          <s:t>P_O</s:t>
        </s:is>
      </s:c>
      <s:c r="I72" s="12" t="inlineStr">
        <s:is>
          <s:t>DOC-003 manual — PDF p. 14 and manual — PDF p. 16; DOC-004 SAP — PDF p. 10 and SAP — PDF p. 33.</s:t>
        </s:is>
      </s:c>
      <s:c r="J72" s="12" t="b">
        <s:v>0</s:v>
      </s:c>
      <s:c r="K72" s="12" t="inlineStr">
        <s:is>
          <s:t>jama.2025.16450</s:t>
        </s:is>
      </s:c>
      <s:c r="L72" s="12" t="n"/>
      <s:c r="M72" s="12" t="inlineStr">
        <s:is>
          <s:t>P_P</s:t>
        </s:is>
      </s:c>
      <s:c r="N72" s="12" t="inlineStr">
        <s:is>
          <s:t>Target compares protocol/SAP against a separate prospective operational manual, not a published-results report. Manual threshold `{3,4,5}` versus SAP threshold `{4,5}`.</s:t>
        </s:is>
      </s:c>
      <s:c r="O72" s="12" t="inlineStr">
        <s:is>
          <s:t>../../2025/jama.2025.16450/.ai_paper_validation/final_report_1_5_1.html</s:t>
        </s:is>
      </s:c>
      <s:c r="P72" s="12" t="inlineStr">
        <s:is>
          <s:t>2025/jama.2025.16450/.ai_paper_validation/final_report_1_5_1.md</s:t>
        </s:is>
      </s:c>
      <s:c r="Q72" s="12" t="inlineStr">
        <s:is>
          <s:t>C004</s:t>
        </s:is>
      </s:c>
      <s:c r="R72" s="12" t="inlineStr">
        <s:is>
          <s:t>Pending Human Adjudication</s:t>
        </s:is>
      </s:c>
      <s:c r="S72" s="12" t="inlineStr">
        <s:is>
          <s:t>The manual defines severe NDI using GMFCS levels 3-5, whereas the SAP uses 4-5.</s:t>
        </s:is>
      </s:c>
      <s:c r="T72" s="12" t="b">
        <s:v>0</s:v>
      </s:c>
      <s:c r="U72" s="12" t="inlineStr">
        <s:is>
          <s:t>Severe-NDI GMFCS cutoff differs between the manual and SAP</s:t>
        </s:is>
      </s:c>
      <s:c r="V72" s="12" t="inlineStr">
        <s:is>
          <s:t>plan_material</s:t>
        </s:is>
      </s:c>
      <s:c r="W72" s="12" t="inlineStr">
        <s:is>
          <s:t>Severe-NDI GMFCS cutoff differs between the manual and SAP</s:t>
        </s:is>
      </s:c>
      <s:c r="X72" s="12" t="inlineStr">
        <s:is>
          <s:t>2025</s:t>
        </s:is>
      </s:c>
      <s:c r="Y72" s="12" t="inlineStr">
        <s:is>
          <s:t>meta_report/consistency_reclassification_2026-09-04/reclassified_candidates.json</s:t>
        </s:is>
      </s:c>
      <s:c r="Z72" s="12" t="inlineStr">
        <s:is>
          <s:t>P_P</s:t>
        </s:is>
      </s:c>
      <s:c r="AA72" s="12" t="inlineStr">
        <s:is>
          <s:t>plan_material</s:t>
        </s:is>
      </s:c>
      <s:c r="AB72" s="12" t="inlineStr">
        <s:is>
          <s:t>retain</s:t>
        </s:is>
      </s:c>
    </s:row>
    <s:row r="73" ht="90" customFormat="1" customHeight="1" s="8">
      <s:c r="A73" s="11" t="b">
        <s:v>0</s:v>
      </s:c>
      <s:c r="B73" s="11" t="inlineStr">
        <s:is>
          <s:t xml:space="preserve">Final direct-source recheck explicitly does not reproduce registered mismatch; relationship denotes original registration only. </s:t>
        </s:is>
      </s:c>
      <s:c r="C73" s="11" t="b">
        <s:v>1</s:v>
      </s:c>
      <s:c r="D73" s="11" t="inlineStr">
        <s:is>
          <s:t>Measure, label, or scale inconsistency</s:t>
        </s:is>
      </s:c>
      <s:c r="E73" s="11" t="b">
        <s:v>0</s:v>
      </s:c>
      <s:c r="F73" s="11" t="inlineStr">
        <s:is>
          <s:t>C005</s:t>
        </s:is>
      </s:c>
      <s:c r="G73" s="11" t="inlineStr">
        <s:is>
          <s:t>2025::jama.2025.16450::C005</s:t>
        </s:is>
      </s:c>
      <s:c r="H73" s="11" t="inlineStr">
        <s:is>
          <s:t>P_O</s:t>
        </s:is>
      </s:c>
      <s:c r="I73" s="11" t="inlineStr">
        <s:is>
          <s:t>DOC-003 manual — PDF p. 14 and manual — PDF p. 16; DOC-004 SAP — PDF p. 10, SAP — PDF p. 33, and SAP — PDF p. 34.</s:t>
        </s:is>
      </s:c>
      <s:c r="J73" s="11" t="b">
        <s:v>0</s:v>
      </s:c>
      <s:c r="K73" s="11" t="inlineStr">
        <s:is>
          <s:t>jama.2025.16450</s:t>
        </s:is>
      </s:c>
      <s:c r="L73" s="11" t="n"/>
      <s:c r="M73" s="11" t="inlineStr">
        <s:is>
          <s:t>P_P</s:t>
        </s:is>
      </s:c>
      <s:c r="N73" s="11" t="inlineStr">
        <s:is>
          <s:t>Target compares protocol/SAP against a separate prospective operational manual, not a published-results report. Earlier ledger Bayley-III transcription versus direct-source fourth-edition/BSID-IV wording.</s:t>
        </s:is>
      </s:c>
      <s:c r="O73" s="11" t="inlineStr">
        <s:is>
          <s:t>../../2025/jama.2025.16450/.ai_paper_validation/final_report_1_5_1.html</s:t>
        </s:is>
      </s:c>
      <s:c r="P73" s="11" t="inlineStr">
        <s:is>
          <s:t>2025/jama.2025.16450/.ai_paper_validation/final_report_1_5_1.md</s:t>
        </s:is>
      </s:c>
      <s:c r="Q73" s="11" t="inlineStr">
        <s:is>
          <s:t>C005</s:t>
        </s:is>
      </s:c>
      <s:c r="R73" s="11" t="inlineStr">
        <s:is>
          <s:t>Pending Human Adjudication</s:t>
        </s:is>
      </s:c>
      <s:c r="S73" s="11" t="inlineStr">
        <s:is>
          <s:t>The prior ledger reported Bayley-III versus BSID-IV, but direct-source recheck shows BSID-IV/fourth edition throughout; the original mismatch is not reproduced.</s:t>
        </s:is>
      </s:c>
      <s:c r="T73" s="11" t="b">
        <s:v>0</s:v>
      </s:c>
      <s:c r="U73" s="11" t="inlineStr">
        <s:is>
          <s:t>Registered severe-NDI instrument-edition discrepancy is not reproduced on direct-source recheck</s:t>
        </s:is>
      </s:c>
      <s:c r="V73" s="11" t="inlineStr">
        <s:is>
          <s:t>plan_material</s:t>
        </s:is>
      </s:c>
      <s:c r="W73" s="11" t="inlineStr">
        <s:is>
          <s:t>Registered severe-NDI instrument-edition discrepancy is not reproduced on direct-source recheck</s:t>
        </s:is>
      </s:c>
      <s:c r="X73" s="11" t="inlineStr">
        <s:is>
          <s:t>2025</s:t>
        </s:is>
      </s:c>
      <s:c r="Y73" s="11" t="inlineStr">
        <s:is>
          <s:t>meta_report/consistency_reclassification_2026-09-04/reclassified_candidates.json</s:t>
        </s:is>
      </s:c>
      <s:c r="Z73" s="11" t="inlineStr">
        <s:is>
          <s:t>P_P</s:t>
        </s:is>
      </s:c>
      <s:c r="AA73" s="11" t="inlineStr">
        <s:is>
          <s:t>plan_material</s:t>
        </s:is>
      </s:c>
      <s:c r="AB73" s="11" t="inlineStr">
        <s:is>
          <s:t>exclude</s:t>
        </s:is>
      </s:c>
    </s:row>
    <s:row r="74" ht="90" customFormat="1" customHeight="1" s="8">
      <s:c r="A74" s="12" t="b">
        <s:v>0</s:v>
      </s:c>
      <s:c r="B74" s="12" t="inlineStr">
        <s:is>
          <s:t xml:space="preserve">Final direct-source recheck explicitly does not reproduce registered mismatch; relationship denotes original registration only. </s:t>
        </s:is>
      </s:c>
      <s:c r="C74" s="12" t="b">
        <s:v>1</s:v>
      </s:c>
      <s:c r="D74" s="12" t="inlineStr">
        <s:is>
          <s:t>Statistical reporting inconsistency</s:t>
        </s:is>
      </s:c>
      <s:c r="E74" s="12" t="b">
        <s:v>0</s:v>
      </s:c>
      <s:c r="F74" s="12" t="inlineStr">
        <s:is>
          <s:t>C006</s:t>
        </s:is>
      </s:c>
      <s:c r="G74" s="12" t="inlineStr">
        <s:is>
          <s:t>2025::jama.2025.16450::C006</s:t>
        </s:is>
      </s:c>
      <s:c r="H74" s="12" t="n"/>
      <s:c r="I74" s="12" t="inlineStr">
        <s:is>
          <s:t>DOC-002 protocol — PDF p. 29; DOC-004 SAP — PDF p. 26.</s:t>
        </s:is>
      </s:c>
      <s:c r="J74" s="12" t="b">
        <s:v>0</s:v>
      </s:c>
      <s:c r="K74" s="12" t="inlineStr">
        <s:is>
          <s:t>jama.2025.16450</s:t>
        </s:is>
      </s:c>
      <s:c r="L74" s="12" t="n"/>
      <s:c r="M74" s="12" t="inlineStr">
        <s:is>
          <s:t>P_P</s:t>
        </s:is>
      </s:c>
      <s:c r="N74" s="12" t="inlineStr">
        <s:is>
          <s:t>Target is internal to protocol/SAP definitions, calculations, or plan versions; final results are not the conflicting comparator. Earlier protocol transcription `0.00015` versus direct protocol and SAP `0.000015`.</s:t>
        </s:is>
      </s:c>
      <s:c r="O74" s="12" t="inlineStr">
        <s:is>
          <s:t>../../2025/jama.2025.16450/.ai_paper_validation/final_report_1_5_1.html</s:t>
        </s:is>
      </s:c>
      <s:c r="P74" s="12" t="inlineStr">
        <s:is>
          <s:t>2025/jama.2025.16450/.ai_paper_validation/final_report_1_5_1.md</s:t>
        </s:is>
      </s:c>
      <s:c r="Q74" s="12" t="inlineStr">
        <s:is>
          <s:t>C006</s:t>
        </s:is>
      </s:c>
      <s:c r="R74" s="12" t="inlineStr">
        <s:is>
          <s:t>Pending Human Adjudication</s:t>
        </s:is>
      </s:c>
      <s:c r="S74" s="12" t="inlineStr">
        <s:is>
          <s:t>The prior ledger recorded protocol alpha 0.00015, but both direct pages print 0.000015; the original tenfold mismatch is not reproduced.</s:t>
        </s:is>
      </s:c>
      <s:c r="T74" s="12" t="b">
        <s:v>0</s:v>
      </s:c>
      <s:c r="U74" s="12" t="inlineStr">
        <s:is>
          <s:t>Registered first-interim-alpha discrepancy is not reproduced on direct-source recheck</s:t>
        </s:is>
      </s:c>
      <s:c r="V74" s="12" t="inlineStr">
        <s:is>
          <s:t>plan_material</s:t>
        </s:is>
      </s:c>
      <s:c r="W74" s="12" t="inlineStr">
        <s:is>
          <s:t>Registered first-interim-alpha discrepancy is not reproduced on direct-source recheck</s:t>
        </s:is>
      </s:c>
      <s:c r="X74" s="12" t="inlineStr">
        <s:is>
          <s:t>2025</s:t>
        </s:is>
      </s:c>
      <s:c r="Y74" s="12" t="inlineStr">
        <s:is>
          <s:t>meta_report/consistency_reclassification_2026-09-04/reclassified_candidates.json</s:t>
        </s:is>
      </s:c>
      <s:c r="Z74" s="12" t="inlineStr">
        <s:is>
          <s:t>P_P</s:t>
        </s:is>
      </s:c>
      <s:c r="AA74" s="12" t="inlineStr">
        <s:is>
          <s:t>plan_material</s:t>
        </s:is>
      </s:c>
      <s:c r="AB74" s="12" t="inlineStr">
        <s:is>
          <s:t>exclude</s:t>
        </s:is>
      </s:c>
    </s:row>
    <s:row r="75" ht="90" customFormat="1" customHeight="1" s="8">
      <s:c r="A75" s="11" t="b">
        <s:v>0</s:v>
      </s:c>
      <s:c r="B75" s="11" t="inlineStr">
        <s:is>
          <s:t>Planned versus realized alpha-spending boundaries need not be equal; missing execution output.</s:t>
        </s:is>
      </s:c>
      <s:c r="C75" s="11" t="b">
        <s:v>1</s:v>
      </s:c>
      <s:c r="D75" s="11" t="inlineStr">
        <s:is>
          <s:t>Cross-document numeric inconsistency</s:t>
        </s:is>
      </s:c>
      <s:c r="E75" s="11" t="b">
        <s:v>1</s:v>
      </s:c>
      <s:c r="F75" s="11" t="inlineStr">
        <s:is>
          <s:t>C007</s:t>
        </s:is>
      </s:c>
      <s:c r="G75" s="11" t="inlineStr">
        <s:is>
          <s:t>2025::jama.2025.16450::C007</s:t>
        </s:is>
      </s:c>
      <s:c r="H75" s="11" t="n"/>
      <s:c r="I75" s="11" t="inlineStr">
        <s:is>
          <s:t>DOC-001 main article — PDF p. 3 and main article — PDF p. 7; DOC-002 protocol — PDF p. 29; DOC-004 SAP — PDF p. 26.</s:t>
        </s:is>
      </s:c>
      <s:c r="J75" s="11" t="b">
        <s:v>1</s:v>
      </s:c>
      <s:c r="K75" s="11" t="inlineStr">
        <s:is>
          <s:t>jama.2025.16450</s:t>
        </s:is>
      </s:c>
      <s:c r="L75" s="11" t="inlineStr">
        <s:is>
          <s:t>analysis_specification</s:t>
        </s:is>
      </s:c>
      <s:c r="M75" s="11" t="inlineStr">
        <s:is>
          <s:t>P_R</s:t>
        </s:is>
      </s:c>
      <s:c r="N75" s="11" t="inlineStr">
        <s:is>
          <s:t>Target compares reported current-study content with supplied protocol/SAP specification. Executed article alpha `.049` versus prospective planned final alpha `.0440`.</s:t>
        </s:is>
      </s:c>
      <s:c r="O75" s="11" t="inlineStr">
        <s:is>
          <s:t>../../2025/jama.2025.16450/.ai_paper_validation/final_report_1_5_1.html</s:t>
        </s:is>
      </s:c>
      <s:c r="P75" s="11" t="inlineStr">
        <s:is>
          <s:t>2025/jama.2025.16450/.ai_paper_validation/final_report_1_5_1.md</s:t>
        </s:is>
      </s:c>
      <s:c r="Q75" s="11" t="inlineStr">
        <s:is>
          <s:t>C007</s:t>
        </s:is>
      </s:c>
      <s:c r="R75" s="11" t="inlineStr">
        <s:is>
          <s:t>Pending Human Adjudication</s:t>
        </s:is>
      </s:c>
      <s:c r="S75" s="11" t="inlineStr">
        <s:is>
          <s:t>The article reports primary-analysis alpha .049; the protocol and SAP list planned final alpha .0440.</s:t>
        </s:is>
      </s:c>
      <s:c r="T75" s="11" t="b">
        <s:v>0</s:v>
      </s:c>
      <s:c r="U75" s="11" t="inlineStr">
        <s:is>
          <s:t>Final primary-analysis alpha differs between the article and prospective documents</s:t>
        </s:is>
      </s:c>
      <s:c r="V75" s="11" t="inlineStr">
        <s:is>
          <s:t>protocol_report</s:t>
        </s:is>
      </s:c>
      <s:c r="W75" s="11" t="inlineStr">
        <s:is>
          <s:t>Final primary-analysis alpha differs between the article and prospective documents</s:t>
        </s:is>
      </s:c>
      <s:c r="X75" s="11" t="inlineStr">
        <s:is>
          <s:t>2025</s:t>
        </s:is>
      </s:c>
      <s:c r="Y75" s="11" t="inlineStr">
        <s:is>
          <s:t>meta_report/consistency_reclassification_2026-09-04/reclassified_candidates.json</s:t>
        </s:is>
      </s:c>
      <s:c r="Z75" s="11" t="inlineStr">
        <s:is>
          <s:t>P_R</s:t>
        </s:is>
      </s:c>
      <s:c r="AA75" s="11" t="inlineStr">
        <s:is>
          <s:t>protocol_report</s:t>
        </s:is>
      </s:c>
      <s:c r="AB75" s="11" t="inlineStr">
        <s:is>
          <s:t>retain</s:t>
        </s:is>
      </s:c>
    </s:row>
    <s:row r="76" ht="90" customFormat="1" customHeight="1" s="8">
      <s:c r="A76" s="12" t="b">
        <s:v>0</s:v>
      </s:c>
      <s:c r="B76" s="12" t="inlineStr">
        <s:is>
          <s:t>Planned 15 versus completed 17 centers may reflect activation/milestone differences.</s:t>
        </s:is>
      </s:c>
      <s:c r="C76" s="12" t="b">
        <s:v>1</s:v>
      </s:c>
      <s:c r="D76" s="12" t="inlineStr">
        <s:is>
          <s:t>Cross-document numeric inconsistency</s:t>
        </s:is>
      </s:c>
      <s:c r="E76" s="12" t="b">
        <s:v>1</s:v>
      </s:c>
      <s:c r="F76" s="12" t="inlineStr">
        <s:is>
          <s:t>C008</s:t>
        </s:is>
      </s:c>
      <s:c r="G76" s="12" t="inlineStr">
        <s:is>
          <s:t>2025::jama.2025.16450::C008</s:t>
        </s:is>
      </s:c>
      <s:c r="H76" s="12" t="n"/>
      <s:c r="I76" s="12" t="inlineStr">
        <s:is>
          <s:t>DOC-001 main article — PDF p. 1; DOC-002 protocol — PDF p. 29; DOC-004 SAP — PDF p. 8.</s:t>
        </s:is>
      </s:c>
      <s:c r="J76" s="12" t="b">
        <s:v>1</s:v>
      </s:c>
      <s:c r="K76" s="12" t="inlineStr">
        <s:is>
          <s:t>jama.2025.16450</s:t>
        </s:is>
      </s:c>
      <s:c r="L76" s="12" t="inlineStr">
        <s:is>
          <s:t>population_recruitment_sites</s:t>
        </s:is>
      </s:c>
      <s:c r="M76" s="12" t="inlineStr">
        <s:is>
          <s:t>P_R</s:t>
        </s:is>
      </s:c>
      <s:c r="N76" s="12" t="inlineStr">
        <s:is>
          <s:t>Target compares reported current-study content with supplied protocol/SAP specification. Completed-study count 17 versus planned count 15.</s:t>
        </s:is>
      </s:c>
      <s:c r="O76" s="12" t="inlineStr">
        <s:is>
          <s:t>../../2025/jama.2025.16450/.ai_paper_validation/final_report_1_5_1.html</s:t>
        </s:is>
      </s:c>
      <s:c r="P76" s="12" t="inlineStr">
        <s:is>
          <s:t>2025/jama.2025.16450/.ai_paper_validation/final_report_1_5_1.md</s:t>
        </s:is>
      </s:c>
      <s:c r="Q76" s="12" t="inlineStr">
        <s:is>
          <s:t>C008</s:t>
        </s:is>
      </s:c>
      <s:c r="R76" s="12" t="inlineStr">
        <s:is>
          <s:t>Pending Human Adjudication</s:t>
        </s:is>
      </s:c>
      <s:c r="S76" s="12" t="inlineStr">
        <s:is>
          <s:t>The article states 17 centers; the protocol and SAP state 15 centers in prospective context.</s:t>
        </s:is>
      </s:c>
      <s:c r="T76" s="12" t="b">
        <s:v>0</s:v>
      </s:c>
      <s:c r="U76" s="12" t="inlineStr">
        <s:is>
          <s:t>Trial center count differs between final and prospective documents</s:t>
        </s:is>
      </s:c>
      <s:c r="V76" s="12" t="inlineStr">
        <s:is>
          <s:t>protocol_report</s:t>
        </s:is>
      </s:c>
      <s:c r="W76" s="12" t="inlineStr">
        <s:is>
          <s:t>Trial center count differs between final and prospective documents</s:t>
        </s:is>
      </s:c>
      <s:c r="X76" s="12" t="inlineStr">
        <s:is>
          <s:t>2025</s:t>
        </s:is>
      </s:c>
      <s:c r="Y76" s="12" t="inlineStr">
        <s:is>
          <s:t>meta_report/consistency_reclassification_2026-09-04/reclassified_candidates.json</s:t>
        </s:is>
      </s:c>
      <s:c r="Z76" s="12" t="inlineStr">
        <s:is>
          <s:t>P_R</s:t>
        </s:is>
      </s:c>
      <s:c r="AA76" s="12" t="inlineStr">
        <s:is>
          <s:t>protocol_report</s:t>
        </s:is>
      </s:c>
      <s:c r="AB76" s="12" t="inlineStr">
        <s:is>
          <s:t>retain</s:t>
        </s:is>
      </s:c>
    </s:row>
    <s:row r="77" ht="90" customFormat="1" customHeight="1" s="8">
      <s:c r="A77" s="11" t="b">
        <s:v>0</s:v>
      </s:c>
      <s:c r="B77" s="11" t="n"/>
      <s:c r="C77" s="11" t="b">
        <s:v>0</s:v>
      </s:c>
      <s:c r="D77" s="11" t="inlineStr">
        <s:is>
          <s:t>Measure, label, or scale inconsistency</s:t>
        </s:is>
      </s:c>
      <s:c r="E77" s="11" t="b">
        <s:v>0</s:v>
      </s:c>
      <s:c r="F77" s="11" t="inlineStr">
        <s:is>
          <s:t>C009</s:t>
        </s:is>
      </s:c>
      <s:c r="G77" s="11" t="inlineStr">
        <s:is>
          <s:t>2025::jama.2025.16450::C009</s:t>
        </s:is>
      </s:c>
      <s:c r="H77" s="11" t="n"/>
      <s:c r="I77" s="11" t="inlineStr">
        <s:is>
          <s:t>DOC-001 main article — PDF p. 8 (Table 3 additional open-label surfactant row and footnote g).</s:t>
        </s:is>
      </s:c>
      <s:c r="J77" s="11" t="b">
        <s:v>0</s:v>
      </s:c>
      <s:c r="K77" s="11" t="inlineStr">
        <s:is>
          <s:t>jama.2025.16450</s:t>
        </s:is>
      </s:c>
      <s:c r="L77" s="11" t="n"/>
      <s:c r="M77" s="11" t="inlineStr">
        <s:is>
          <s:t>S_W</s:t>
        </s:is>
      </s:c>
      <s:c r="N77" s="11" t="inlineStr">
        <s:is>
          <s:t>Target is within one main article or one non-plan results supplement/workbook; no substantive plan comparison. RR row label versus common-OR approximation wording.</s:t>
        </s:is>
      </s:c>
      <s:c r="O77" s="11" t="inlineStr">
        <s:is>
          <s:t>../../2025/jama.2025.16450/.ai_paper_validation/final_report_1_5_1.html</s:t>
        </s:is>
      </s:c>
      <s:c r="P77" s="11" t="inlineStr">
        <s:is>
          <s:t>2025/jama.2025.16450/.ai_paper_validation/final_report_1_5_1.md</s:t>
        </s:is>
      </s:c>
      <s:c r="Q77" s="11" t="inlineStr">
        <s:is>
          <s:t>C009</s:t>
        </s:is>
      </s:c>
      <s:c r="R77" s="11" t="inlineStr">
        <s:is>
          <s:t>Pending Human Adjudication</s:t>
        </s:is>
      </s:c>
      <s:c r="S77" s="11" t="inlineStr">
        <s:is>
          <s:t>Table 3 labels an estimate RR while footnote g describes a common-OR approximation after robust-Poisson nonconvergence.</s:t>
        </s:is>
      </s:c>
      <s:c r="T77" s="11" t="b">
        <s:v>1</s:v>
      </s:c>
      <s:c r="U77" s="11" t="inlineStr">
        <s:is>
          <s:t>Table 3 RR label conflicts with a stated common-OR approximation</s:t>
        </s:is>
      </s:c>
      <s:c r="V77" s="11" t="inlineStr">
        <s:is>
          <s:t>report_internal_inconsistency</s:t>
        </s:is>
      </s:c>
      <s:c r="W77" s="11" t="inlineStr">
        <s:is>
          <s:t>Table 3 RR label conflicts with a stated common-OR approximation</s:t>
        </s:is>
      </s:c>
      <s:c r="X77" s="11" t="inlineStr">
        <s:is>
          <s:t>2025</s:t>
        </s:is>
      </s:c>
      <s:c r="Y77" s="11" t="inlineStr">
        <s:is>
          <s:t>meta_report/consistency_reclassification_2026-09-04/reclassified_candidates.json</s:t>
        </s:is>
      </s:c>
      <s:c r="Z77" s="11" t="inlineStr">
        <s:is>
          <s:t>S_W</s:t>
        </s:is>
      </s:c>
      <s:c r="AA77" s="11" t="inlineStr">
        <s:is>
          <s:t>report_internal_inconsistency</s:t>
        </s:is>
      </s:c>
      <s:c r="AB77" s="11" t="inlineStr">
        <s:is>
          <s:t>retain</s:t>
        </s:is>
      </s:c>
    </s:row>
    <s:row r="78" ht="90" customFormat="1" customHeight="1" s="8">
      <s:c r="A78" s="12" t="b">
        <s:v>0</s:v>
      </s:c>
      <s:c r="B78" s="12" t="n"/>
      <s:c r="C78" s="12" t="b">
        <s:v>0</s:v>
      </s:c>
      <s:c r="D78" s="12" t="inlineStr">
        <s:is>
          <s:t>Measure, label, or scale inconsistency</s:t>
        </s:is>
      </s:c>
      <s:c r="E78" s="12" t="b">
        <s:v>0</s:v>
      </s:c>
      <s:c r="F78" s="12" t="inlineStr">
        <s:is>
          <s:t>C010</s:t>
        </s:is>
      </s:c>
      <s:c r="G78" s="12" t="inlineStr">
        <s:is>
          <s:t>2025::jama.2025.16450::C010</s:t>
        </s:is>
      </s:c>
      <s:c r="H78" s="12" t="n"/>
      <s:c r="I78" s="12" t="inlineStr">
        <s:is>
          <s:t>DOC-005 results supplement — PDF p. 5 and results supplement — PDF p. 6 (eTable 3 header and footnote b).</s:t>
        </s:is>
      </s:c>
      <s:c r="J78" s="12" t="b">
        <s:v>0</s:v>
      </s:c>
      <s:c r="K78" s="12" t="inlineStr">
        <s:is>
          <s:t>jama.2025.16450</s:t>
        </s:is>
      </s:c>
      <s:c r="L78" s="12" t="n"/>
      <s:c r="M78" s="12" t="inlineStr">
        <s:is>
          <s:t>S_W</s:t>
        </s:is>
      </s:c>
      <s:c r="N78" s="12" t="inlineStr">
        <s:is>
          <s:t>Target is within one main article or one non-plan results supplement/workbook; no substantive plan comparison. Table-level RR header versus odds-ratio approximation footnote for superscript-b rows.</s:t>
        </s:is>
      </s:c>
      <s:c r="O78" s="12" t="inlineStr">
        <s:is>
          <s:t>../../2025/jama.2025.16450/.ai_paper_validation/final_report_1_5_1.html</s:t>
        </s:is>
      </s:c>
      <s:c r="P78" s="12" t="inlineStr">
        <s:is>
          <s:t>2025/jama.2025.16450/.ai_paper_validation/final_report_1_5_1.md</s:t>
        </s:is>
      </s:c>
      <s:c r="Q78" s="12" t="inlineStr">
        <s:is>
          <s:t>C010</s:t>
        </s:is>
      </s:c>
      <s:c r="R78" s="12" t="inlineStr">
        <s:is>
          <s:t>Pending Human Adjudication</s:t>
        </s:is>
      </s:c>
      <s:c r="S78" s="12" t="inlineStr">
        <s:is>
          <s:t>eTable 3's effect-estimate header says relative risk while footnote b identifies odds-ratio approximations for marked sparse rows.</s:t>
        </s:is>
      </s:c>
      <s:c r="T78" s="12" t="b">
        <s:v>1</s:v>
      </s:c>
      <s:c r="U78" s="12" t="inlineStr">
        <s:is>
          <s:t>eTable 3 relative-risk header conflicts with odds-ratio approximation footnote</s:t>
        </s:is>
      </s:c>
      <s:c r="V78" s="12" t="inlineStr">
        <s:is>
          <s:t>report_internal_inconsistency</s:t>
        </s:is>
      </s:c>
      <s:c r="W78" s="12" t="inlineStr">
        <s:is>
          <s:t>eTable 3 relative-risk header conflicts with odds-ratio approximation footnote</s:t>
        </s:is>
      </s:c>
      <s:c r="X78" s="12" t="inlineStr">
        <s:is>
          <s:t>2025</s:t>
        </s:is>
      </s:c>
      <s:c r="Y78" s="12" t="inlineStr">
        <s:is>
          <s:t>meta_report/consistency_reclassification_2026-09-04/reclassified_candidates.json</s:t>
        </s:is>
      </s:c>
      <s:c r="Z78" s="12" t="inlineStr">
        <s:is>
          <s:t>S_W</s:t>
        </s:is>
      </s:c>
      <s:c r="AA78" s="12" t="inlineStr">
        <s:is>
          <s:t>report_internal_inconsistency</s:t>
        </s:is>
      </s:c>
      <s:c r="AB78" s="12" t="inlineStr">
        <s:is>
          <s:t>retain</s:t>
        </s:is>
      </s:c>
    </s:row>
    <s:row r="79" ht="90" customFormat="1" customHeight="1" s="8">
      <s:c r="A79" s="11" t="b">
        <s:v>0</s:v>
      </s:c>
      <s:c r="B79" s="11" t="inlineStr">
        <s:is>
          <s:t>Supplement explicitly supplies global A1C failure rule. Fifteen diabetes-range participants are NOT fifteen proven changed classifications; component achievement and governing amendment missing.</s:t>
        </s:is>
      </s:c>
      <s:c r="C79" s="11" t="b">
        <s:v>1</s:v>
      </s:c>
      <s:c r="D79" s="11" t="inlineStr">
        <s:is>
          <s:t>Cross-document numeric inconsistency</s:t>
        </s:is>
      </s:c>
      <s:c r="E79" s="11" t="b">
        <s:v>1</s:v>
      </s:c>
      <s:c r="F79" s="11" t="inlineStr">
        <s:is>
          <s:t>C001</s:t>
        </s:is>
      </s:c>
      <s:c r="G79" s="11" t="inlineStr">
        <s:is>
          <s:t>2025::jama.2025.19563::C001</s:t>
        </s:is>
      </s:c>
      <s:c r="H79" s="11" t="n"/>
      <s:c r="I79" s="11" t="inlineStr">
        <s:is>
          <s:t>DOC-002 protocol — PDF p. 15; DOC-001 main article — PDF p. 4; DOC-003 supplement — PDF p. 30 (explicit global-failure clause); DOC-003 supplement — PDF p. 56 (15-participant table).</s:t>
        </s:is>
      </s:c>
      <s:c r="J79" s="11" t="b">
        <s:v>1</s:v>
      </s:c>
      <s:c r="K79" s="11" t="inlineStr">
        <s:is>
          <s:t>jama.2025.19563</s:t>
        </s:is>
      </s:c>
      <s:c r="L79" s="11" t="inlineStr">
        <s:is>
          <s:t>endpoint_definition_window_hierarchy</s:t>
        </s:is>
      </s:c>
      <s:c r="M79" s="11" t="inlineStr">
        <s:is>
          <s:t>P_R</s:t>
        </s:is>
      </s:c>
      <s:c r="N79" s="11" t="inlineStr">
        <s:is>
          <s:t>Target compares reported current-study content with supplied protocol/SAP specification. Protocol rule `A or B or C` versus reported/supplement rule `(A or B or C) and D`, where D means no diabetes-range A1C at the defined visits.</s:t>
        </s:is>
      </s:c>
      <s:c r="O79" s="11" t="inlineStr">
        <s:is>
          <s:t>../../2025/jama.2025.19563/.ai_paper_validation/final_report_1_5_1.html</s:t>
        </s:is>
      </s:c>
      <s:c r="P79" s="11" t="inlineStr">
        <s:is>
          <s:t>2025/jama.2025.19563/.ai_paper_validation/final_report_1_5_1.md</s:t>
        </s:is>
      </s:c>
      <s:c r="Q79" s="11" t="inlineStr">
        <s:is>
          <s:t>C001</s:t>
        </s:is>
      </s:c>
      <s:c r="R79" s="11" t="inlineStr">
        <s:is>
          <s:t>Pending Human Adjudication</s:t>
        </s:is>
      </s:c>
      <s:c r="S79" s="11" t="inlineStr">
        <s:is>
          <s:t>The protocol's success rule is at least one of three components, while the reported/supplement rule adds a diabetes-range A1C failure condition that can override all components.</s:t>
        </s:is>
      </s:c>
      <s:c r="T79" s="11" t="b">
        <s:v>0</s:v>
      </s:c>
      <s:c r="U79" s="11" t="inlineStr">
        <s:is>
          <s:t>Protocol and reported primary endpoint differ on the diabetes-range A1C failure condition</s:t>
        </s:is>
      </s:c>
      <s:c r="V79" s="11" t="inlineStr">
        <s:is>
          <s:t>protocol_report</s:t>
        </s:is>
      </s:c>
      <s:c r="W79" s="11" t="inlineStr">
        <s:is>
          <s:t>Protocol and reported primary endpoint differ on the diabetes-range A1C failure condition</s:t>
        </s:is>
      </s:c>
      <s:c r="X79" s="11" t="inlineStr">
        <s:is>
          <s:t>2025</s:t>
        </s:is>
      </s:c>
      <s:c r="Y79" s="11" t="inlineStr">
        <s:is>
          <s:t>meta_report/consistency_reclassification_2026-09-04/reclassified_candidates.json</s:t>
        </s:is>
      </s:c>
      <s:c r="Z79" s="11" t="inlineStr">
        <s:is>
          <s:t>P_R</s:t>
        </s:is>
      </s:c>
      <s:c r="AA79" s="11" t="inlineStr">
        <s:is>
          <s:t>protocol_report</s:t>
        </s:is>
      </s:c>
      <s:c r="AB79" s="11" t="inlineStr">
        <s:is>
          <s:t>retain</s:t>
        </s:is>
      </s:c>
    </s:row>
    <s:row r="80" ht="90" customFormat="1" customHeight="1" s="8">
      <s:c r="A80" s="12" t="b">
        <s:v>0</s:v>
      </s:c>
      <s:c r="B80" s="12" t="inlineStr">
        <s:is>
          <s:t>Listed methods may be nonexhaustive; Siemens device mentioned but unlisted. Both main/supp availability and supplement-internal method/missingness arithmetic compared.</s:t>
        </s:is>
      </s:c>
      <s:c r="C80" s="12" t="b">
        <s:v>0</s:v>
      </s:c>
      <s:c r="D80" s="12" t="inlineStr">
        <s:is>
          <s:t>Denominator, proportion, or total inconsistency</s:t>
        </s:is>
      </s:c>
      <s:c r="E80" s="12" t="b">
        <s:v>1</s:v>
      </s:c>
      <s:c r="F80" s="12" t="inlineStr">
        <s:is>
          <s:t>C002</s:t>
        </s:is>
      </s:c>
      <s:c r="G80" s="12" t="inlineStr">
        <s:is>
          <s:t>2025::jama.2025.19563::C002</s:t>
        </s:is>
      </s:c>
      <s:c r="H80" s="12" t="n"/>
      <s:c r="I80" s="12" t="inlineStr">
        <s:is>
          <s:t>DOC-003 supplement — PDF p. 8; DOC-001 main article — PDF p. 4; DOC-001 main article — PDF p. 5; DOC-003 supplement — PDF p. 50.</s:t>
        </s:is>
      </s:c>
      <s:c r="J80" s="12" t="b">
        <s:v>0</s:v>
      </s:c>
      <s:c r="K80" s="12" t="inlineStr">
        <s:is>
          <s:t>jama.2025.19563</s:t>
        </s:is>
      </s:c>
      <s:c r="L80" s="12" t="n"/>
      <s:c r="M80" s="12" t="inlineStr">
        <s:is>
          <s:t>S_C</s:t>
        </s:is>
      </s:c>
      <s:c r="N80" s="12" t="inlineStr">
        <s:is>
          <s:t>Target explicitly compares current main article and non-plan results supplement/workbook. The follow-up device-method total versus the independently derived A1C-available/completer total in the same randomized arms and time point.</s:t>
        </s:is>
      </s:c>
      <s:c r="O80" s="12" t="inlineStr">
        <s:is>
          <s:t>../../2025/jama.2025.19563/.ai_paper_validation/final_report_1_5_1.html</s:t>
        </s:is>
      </s:c>
      <s:c r="P80" s="12" t="inlineStr">
        <s:is>
          <s:t>2025/jama.2025.19563/.ai_paper_validation/final_report_1_5_1.md</s:t>
        </s:is>
      </s:c>
      <s:c r="Q80" s="12" t="inlineStr">
        <s:is>
          <s:t>C002</s:t>
        </s:is>
      </s:c>
      <s:c r="R80" s="12" t="inlineStr">
        <s:is>
          <s:t>Pending Human Adjudication</s:t>
        </s:is>
      </s:c>
      <s:c r="S80" s="12" t="inlineStr">
        <s:is>
          <s:t>Listed follow-up A1C device counts total 312, while matched missingness and complete-outcome reporting identify 313 participants with A1C available.</s:t>
        </s:is>
      </s:c>
      <s:c r="T80" s="12" t="b">
        <s:v>1</s:v>
      </s:c>
      <s:c r="U80" s="12" t="inlineStr">
        <s:is>
          <s:t>312 listed 12-month A1C measurements versus 313 participants with A1C available</s:t>
        </s:is>
      </s:c>
      <s:c r="V80" s="12" t="inlineStr">
        <s:is>
          <s:t>statistical_results</s:t>
        </s:is>
      </s:c>
      <s:c r="W80" s="12" t="inlineStr">
        <s:is>
          <s:t>312 listed 12-month A1C measurements versus 313 participants with A1C available</s:t>
        </s:is>
      </s:c>
      <s:c r="X80" s="12" t="inlineStr">
        <s:is>
          <s:t>2025</s:t>
        </s:is>
      </s:c>
      <s:c r="Y80" s="12" t="inlineStr">
        <s:is>
          <s:t>meta_report/consistency_reclassification_2026-09-04/reclassified_candidates.json</s:t>
        </s:is>
      </s:c>
      <s:c r="Z80" s="12" t="inlineStr">
        <s:is>
          <s:t>S_C</s:t>
        </s:is>
      </s:c>
      <s:c r="AA80" s="12" t="inlineStr">
        <s:is>
          <s:t>statistical_results</s:t>
        </s:is>
      </s:c>
      <s:c r="AB80" s="12" t="inlineStr">
        <s:is>
          <s:t>retain</s:t>
        </s:is>
      </s:c>
    </s:row>
    <s:row r="81" ht="90" customFormat="1" customHeight="1" s="8">
      <s:c r="A81" s="11" t="b">
        <s:v>0</s:v>
      </s:c>
      <s:c r="B81" s="11" t="inlineStr">
        <s:is>
          <s:t>BMI versus weight is established by same main figure unit and main Table1; supplementary BMI usage corroborates only.</s:t>
        </s:is>
      </s:c>
      <s:c r="C81" s="11" t="b">
        <s:v>0</s:v>
      </s:c>
      <s:c r="D81" s="11" t="inlineStr">
        <s:is>
          <s:t>Measure, label, or scale inconsistency</s:t>
        </s:is>
      </s:c>
      <s:c r="E81" s="11" t="b">
        <s:v>0</s:v>
      </s:c>
      <s:c r="F81" s="11" t="inlineStr">
        <s:is>
          <s:t>C003</s:t>
        </s:is>
      </s:c>
      <s:c r="G81" s="11" t="inlineStr">
        <s:is>
          <s:t>2025::jama.2025.19563::C003</s:t>
        </s:is>
      </s:c>
      <s:c r="H81" s="11" t="n"/>
      <s:c r="I81" s="11" t="inlineStr">
        <s:is>
          <s:t>DOC-001 main article — PDF p. 8; DOC-001 main article — PDF p. 6; DOC-003 supplement — PDF p. 53.</s:t>
        </s:is>
      </s:c>
      <s:c r="J81" s="11" t="b">
        <s:v>0</s:v>
      </s:c>
      <s:c r="K81" s="11" t="inlineStr">
        <s:is>
          <s:t>jama.2025.19563</s:t>
        </s:is>
      </s:c>
      <s:c r="L81" s="11" t="n"/>
      <s:c r="M81" s="11" t="inlineStr">
        <s:is>
          <s:t>S_W</s:t>
        </s:is>
      </s:c>
      <s:c r="N81" s="11" t="inlineStr">
        <s:is>
          <s:t>Target is within one main article or one non-plan results supplement/workbook; no substantive plan comparison. Figure label/unit versus Table 1 measure label and exact arm-specific baseline values.</s:t>
        </s:is>
      </s:c>
      <s:c r="O81" s="11" t="inlineStr">
        <s:is>
          <s:t>../../2025/jama.2025.19563/.ai_paper_validation/final_report_1_5_1.html</s:t>
        </s:is>
      </s:c>
      <s:c r="P81" s="11" t="inlineStr">
        <s:is>
          <s:t>2025/jama.2025.19563/.ai_paper_validation/final_report_1_5_1.md</s:t>
        </s:is>
      </s:c>
      <s:c r="Q81" s="11" t="inlineStr">
        <s:is>
          <s:t>C003</s:t>
        </s:is>
      </s:c>
      <s:c r="R81" s="11" t="inlineStr">
        <s:is>
          <s:t>Pending Human Adjudication</s:t>
        </s:is>
      </s:c>
      <s:c r="S81" s="11" t="inlineStr">
        <s:is>
          <s:t>Figure 3 calls values in kg/m² “weight,” although the identical values are labelled BMI in Table 1.</s:t>
        </s:is>
      </s:c>
      <s:c r="T81" s="11" t="b">
        <s:v>1</s:v>
      </s:c>
      <s:c r="U81" s="11" t="inlineStr">
        <s:is>
          <s:t>Figure 3 labels BMI values in kg/m² as “weight”</s:t>
        </s:is>
      </s:c>
      <s:c r="V81" s="11" t="inlineStr">
        <s:is>
          <s:t>report_internal_inconsistency</s:t>
        </s:is>
      </s:c>
      <s:c r="W81" s="11" t="inlineStr">
        <s:is>
          <s:t>Figure 3 labels BMI values in kg/m² as “weight”</s:t>
        </s:is>
      </s:c>
      <s:c r="X81" s="11" t="inlineStr">
        <s:is>
          <s:t>2025</s:t>
        </s:is>
      </s:c>
      <s:c r="Y81" s="11" t="inlineStr">
        <s:is>
          <s:t>meta_report/consistency_reclassification_2026-09-04/reclassified_candidates.json</s:t>
        </s:is>
      </s:c>
      <s:c r="Z81" s="11" t="inlineStr">
        <s:is>
          <s:t>S_W</s:t>
        </s:is>
      </s:c>
      <s:c r="AA81" s="11" t="inlineStr">
        <s:is>
          <s:t>report_internal_inconsistency</s:t>
        </s:is>
      </s:c>
      <s:c r="AB81" s="11" t="inlineStr">
        <s:is>
          <s:t>retain</s:t>
        </s:is>
      </s:c>
    </s:row>
    <s:row r="82" ht="90" customFormat="1" customHeight="1" s="8">
      <s:c r="A82" s="12" t="b">
        <s:v>0</s:v>
      </s:c>
      <s:c r="B82" s="12" t="inlineStr">
        <s:is>
          <s:t>Different comparisons within one results supplement; main age P=.01 corroborates possible global note, not another discrepancy.</s:t>
        </s:is>
      </s:c>
      <s:c r="C82" s="12" t="b">
        <s:v>0</s:v>
      </s:c>
      <s:c r="D82" s="12" t="inlineStr">
        <s:is>
          <s:t>Cross-document numeric inconsistency</s:t>
        </s:is>
      </s:c>
      <s:c r="E82" s="12" t="b">
        <s:v>0</s:v>
      </s:c>
      <s:c r="F82" s="12" t="inlineStr">
        <s:is>
          <s:t>C004</s:t>
        </s:is>
      </s:c>
      <s:c r="G82" s="12" t="inlineStr">
        <s:is>
          <s:t>2025::jama.2025.19563::C004</s:t>
        </s:is>
      </s:c>
      <s:c r="H82" s="12" t="n"/>
      <s:c r="I82" s="12" t="inlineStr">
        <s:is>
          <s:t>DOC-003 supplement — PDF p. 39; DOC-003 supplement — PDF p. 43; DOC-003 supplement — PDF p. 45; DOC-003 supplement — PDF p. 47; DOC-001 main article — PDF p. 6.</s:t>
        </s:is>
      </s:c>
      <s:c r="J82" s="12" t="b">
        <s:v>1</s:v>
      </s:c>
      <s:c r="K82" s="12" t="inlineStr">
        <s:is>
          <s:t>jama.2025.19563</s:t>
        </s:is>
      </s:c>
      <s:c r="L82" s="12" t="n"/>
      <s:c r="M82" s="12" t="inlineStr">
        <s:is>
          <s:t>S_W</s:t>
        </s:is>
      </s:c>
      <s:c r="N82" s="12" t="inlineStr">
        <s:is>
          <s: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s:t>
        </s:is>
      </s:c>
      <s:c r="O82" s="12" t="inlineStr">
        <s:is>
          <s:t>../../2025/jama.2025.19563/.ai_paper_validation/final_report_1_5_1.html</s:t>
        </s:is>
      </s:c>
      <s:c r="P82" s="12" t="inlineStr">
        <s:is>
          <s:t>2025/jama.2025.19563/.ai_paper_validation/final_report_1_5_1.md</s:t>
        </s:is>
      </s:c>
      <s:c r="Q82" s="12" t="inlineStr">
        <s:is>
          <s:t>C004</s:t>
        </s:is>
      </s:c>
      <s:c r="R82" s="12" t="inlineStr">
        <s:is>
          <s:t>Pending Human Adjudication</s:t>
        </s:is>
      </s:c>
      <s:c r="S82" s="12" t="inlineStr">
        <s:is>
          <s:t>The same p = 0.014 age statement appears beneath tables with different displayed contrasts without a clear comparator label.</s:t>
        </s:is>
      </s:c>
      <s:c r="T82" s="12" t="b">
        <s:v>1</s:v>
      </s:c>
      <s:c r="U82" s="12" t="inlineStr">
        <s:is>
          <s:t>eTables 5-7 leave the comparator scope of a repeated age P value ambiguous</s:t>
        </s:is>
      </s:c>
      <s:c r="V82" s="12" t="inlineStr">
        <s:is>
          <s:t>report_internal_inconsistency</s:t>
        </s:is>
      </s:c>
      <s:c r="W82" s="12" t="inlineStr">
        <s:is>
          <s:t>eTables 5-7 leave the comparator scope of a repeated age P value ambiguous</s:t>
        </s:is>
      </s:c>
      <s:c r="X82" s="12" t="inlineStr">
        <s:is>
          <s:t>2025</s:t>
        </s:is>
      </s:c>
      <s:c r="Y82" s="12" t="inlineStr">
        <s:is>
          <s:t>meta_report/consistency_reclassification_2026-09-04/reclassified_candidates.json</s:t>
        </s:is>
      </s:c>
      <s:c r="Z82" s="12" t="inlineStr">
        <s:is>
          <s:t>S_W</s:t>
        </s:is>
      </s:c>
      <s:c r="AA82" s="12" t="inlineStr">
        <s:is>
          <s:t>report_internal_inconsistency</s:t>
        </s:is>
      </s:c>
      <s:c r="AB82" s="12" t="inlineStr">
        <s:is>
          <s:t>retain</s:t>
        </s:is>
      </s:c>
    </s:row>
    <s:row r="83" ht="90" customFormat="1" customHeight="1" s="8">
      <s:c r="A83" s="11" t="b">
        <s:v>0</s:v>
      </s:c>
      <s:c r="B83" s="11" t="n"/>
      <s:c r="C83" s="11" t="b">
        <s:v>0</s:v>
      </s:c>
      <s:c r="D83" s="11" t="inlineStr">
        <s:is>
          <s:t>Statistical reporting inconsistency</s:t>
        </s:is>
      </s:c>
      <s:c r="E83" s="11" t="b">
        <s:v>0</s:v>
      </s:c>
      <s:c r="F83" s="11" t="inlineStr">
        <s:is>
          <s:t>C005</s:t>
        </s:is>
      </s:c>
      <s:c r="G83" s="11" t="inlineStr">
        <s:is>
          <s:t>2025::jama.2025.19563::C005</s:t>
        </s:is>
      </s:c>
      <s:c r="H83" s="11" t="n"/>
      <s:c r="I83" s="11" t="inlineStr">
        <s:is>
          <s:t>DOC-003 supplement — PDF p. 46; DOC-003 supplement — PDF p. 47.</s:t>
        </s:is>
      </s:c>
      <s:c r="J83" s="11" t="b">
        <s:v>0</s:v>
      </s:c>
      <s:c r="K83" s="11" t="inlineStr">
        <s:is>
          <s:t>jama.2025.19563</s:t>
        </s:is>
      </s:c>
      <s:c r="L83" s="11" t="n"/>
      <s:c r="M83" s="11" t="inlineStr">
        <s:is>
          <s:t>S_W</s:t>
        </s:is>
      </s:c>
      <s:c r="N83" s="11" t="inlineStr">
        <s:is>
          <s:t>Target is within one main article or one non-plan results supplement/workbook; no substantive plan comparison. The no-significance sentence and its parenthetical inequality versus the same page's stated inequality convention.</s:t>
        </s:is>
      </s:c>
      <s:c r="O83" s="11" t="inlineStr">
        <s:is>
          <s:t>../../2025/jama.2025.19563/.ai_paper_validation/final_report_1_5_1.html</s:t>
        </s:is>
      </s:c>
      <s:c r="P83" s="11" t="inlineStr">
        <s:is>
          <s:t>2025/jama.2025.19563/.ai_paper_validation/final_report_1_5_1.md</s:t>
        </s:is>
      </s:c>
      <s:c r="Q83" s="11" t="inlineStr">
        <s:is>
          <s:t>C005</s:t>
        </s:is>
      </s:c>
      <s:c r="R83" s="11" t="inlineStr">
        <s:is>
          <s:t>Pending Human Adjudication</s:t>
        </s:is>
      </s:c>
      <s:c r="S83" s="11" t="inlineStr">
        <s:is>
          <s:t>eTable 7's no-significance statement is paired with p&lt;0.05, while the same page uses p&gt;0.05 for similarity and p=.014 for a difference.</s:t>
        </s:is>
      </s:c>
      <s:c r="T83" s="11" t="b">
        <s:v>1</s:v>
      </s:c>
      <s:c r="U83" s="11" t="inlineStr">
        <s:is>
          <s:t>eTable 7 pairs “no statistically significant” with p&lt;0.05</s:t>
        </s:is>
      </s:c>
      <s:c r="V83" s="11" t="inlineStr">
        <s:is>
          <s:t>statistical_results</s:t>
        </s:is>
      </s:c>
      <s:c r="W83" s="11" t="inlineStr">
        <s:is>
          <s:t>eTable 7 pairs “no statistically significant” with p&lt;0.05</s:t>
        </s:is>
      </s:c>
      <s:c r="X83" s="11" t="inlineStr">
        <s:is>
          <s:t>2025</s:t>
        </s:is>
      </s:c>
      <s:c r="Y83" s="11" t="inlineStr">
        <s:is>
          <s:t>meta_report/consistency_reclassification_2026-09-04/reclassified_candidates.json</s:t>
        </s:is>
      </s:c>
      <s:c r="Z83" s="11" t="inlineStr">
        <s:is>
          <s:t>S_W</s:t>
        </s:is>
      </s:c>
      <s:c r="AA83" s="11" t="inlineStr">
        <s:is>
          <s:t>statistical_results</s:t>
        </s:is>
      </s:c>
      <s:c r="AB83" s="11" t="inlineStr">
        <s:is>
          <s:t>retain</s:t>
        </s:is>
      </s:c>
    </s:row>
    <s:row r="84" ht="90" customFormat="1" customHeight="1" s="8">
      <s:c r="A84" s="12" t="b">
        <s:v>0</s:v>
      </s:c>
      <s:c r="B84" s="12" t="n"/>
      <s:c r="C84" s="12" t="b">
        <s:v>0</s:v>
      </s:c>
      <s:c r="D84" s="12" t="inlineStr">
        <s:is>
          <s:t>Statistical reporting inconsistency</s:t>
        </s:is>
      </s:c>
      <s:c r="E84" s="12" t="b">
        <s:v>0</s:v>
      </s:c>
      <s:c r="F84" s="12" t="inlineStr">
        <s:is>
          <s:t>C006</s:t>
        </s:is>
      </s:c>
      <s:c r="G84" s="12" t="inlineStr">
        <s:is>
          <s:t>2025::jama.2025.19563::C006</s:t>
        </s:is>
      </s:c>
      <s:c r="H84" s="12" t="n"/>
      <s:c r="I84" s="12" t="inlineStr">
        <s:is>
          <s:t>DOC-003 supplement — PDF p. 29; DOC-003 supplement — PDF p. 52.</s:t>
        </s:is>
      </s:c>
      <s:c r="J84" s="12" t="b">
        <s:v>0</s:v>
      </s:c>
      <s:c r="K84" s="12" t="inlineStr">
        <s:is>
          <s:t>jama.2025.19563</s:t>
        </s:is>
      </s:c>
      <s:c r="L84" s="12" t="n"/>
      <s:c r="M84" s="12" t="inlineStr">
        <s:is>
          <s:t>S_W</s:t>
        </s:is>
      </s:c>
      <s:c r="N84" s="12" t="inlineStr">
        <s:is>
          <s:t>Target is within one main article or one non-plan results supplement/workbook; no substantive plan comparison. The named-test label for the same randomized-arm binary proportion comparison in two supplement locations.</s:t>
        </s:is>
      </s:c>
      <s:c r="O84" s="12" t="inlineStr">
        <s:is>
          <s:t>../../2025/jama.2025.19563/.ai_paper_validation/final_report_1_5_1.html</s:t>
        </s:is>
      </s:c>
      <s:c r="P84" s="12" t="inlineStr">
        <s:is>
          <s:t>2025/jama.2025.19563/.ai_paper_validation/final_report_1_5_1.md</s:t>
        </s:is>
      </s:c>
      <s:c r="Q84" s="12" t="inlineStr">
        <s:is>
          <s:t>C006</s:t>
        </s:is>
      </s:c>
      <s:c r="R84" s="12" t="inlineStr">
        <s:is>
          <s:t>Pending Human Adjudication</s:t>
        </s:is>
      </s:c>
      <s:c r="S84" s="12" t="inlineStr">
        <s:is>
          <s:t>The same binary arm comparison is described as chi-squared in the eTable 10 method text and Wilcoxon rank-sum in eTable 10b.</s:t>
        </s:is>
      </s:c>
      <s:c r="T84" s="12" t="b">
        <s:v>1</s:v>
      </s:c>
      <s:c r="U84" s="12" t="inlineStr">
        <s:is>
          <s:t>eTable 10b labels one comparison as both chi-squared and Wilcoxon rank-sum</s:t>
        </s:is>
      </s:c>
      <s:c r="V84" s="12" t="inlineStr">
        <s:is>
          <s:t>statistical_results</s:t>
        </s:is>
      </s:c>
      <s:c r="W84" s="12" t="inlineStr">
        <s:is>
          <s:t>eTable 10b labels one comparison as both chi-squared and Wilcoxon rank-sum</s:t>
        </s:is>
      </s:c>
      <s:c r="X84" s="12" t="inlineStr">
        <s:is>
          <s:t>2025</s:t>
        </s:is>
      </s:c>
      <s:c r="Y84" s="12" t="inlineStr">
        <s:is>
          <s:t>meta_report/consistency_reclassification_2026-09-04/reclassified_candidates.json</s:t>
        </s:is>
      </s:c>
      <s:c r="Z84" s="12" t="inlineStr">
        <s:is>
          <s:t>S_W</s:t>
        </s:is>
      </s:c>
      <s:c r="AA84" s="12" t="inlineStr">
        <s:is>
          <s:t>statistical_results</s:t>
        </s:is>
      </s:c>
      <s:c r="AB84" s="12" t="inlineStr">
        <s:is>
          <s:t>retain</s:t>
        </s:is>
      </s:c>
    </s:row>
    <s:row r="85" ht="90" customFormat="1" customHeight="1" s="8">
      <s:c r="A85" s="11" t="b">
        <s:v>0</s:v>
      </s:c>
      <s:c r="B85" s="11" t="n"/>
      <s:c r="C85" s="11" t="b">
        <s:v>0</s:v>
      </s:c>
      <s:c r="D85" s="11" t="inlineStr">
        <s:is>
          <s:t>Statistical reporting inconsistency</s:t>
        </s:is>
      </s:c>
      <s:c r="E85" s="11" t="b">
        <s:v>0</s:v>
      </s:c>
      <s:c r="F85" s="11" t="inlineStr">
        <s:is>
          <s:t>C007</s:t>
        </s:is>
      </s:c>
      <s:c r="G85" s="11" t="inlineStr">
        <s:is>
          <s:t>2025::jama.2025.19563::C007</s:t>
        </s:is>
      </s:c>
      <s:c r="H85" s="11" t="n"/>
      <s:c r="I85" s="11" t="inlineStr">
        <s:is>
          <s:t>DOC-003 supplement — PDF p. 30; DOC-003 supplement — PDF p. 59.</s:t>
        </s:is>
      </s:c>
      <s:c r="J85" s="11" t="b">
        <s:v>0</s:v>
      </s:c>
      <s:c r="K85" s="11" t="inlineStr">
        <s:is>
          <s:t>jama.2025.19563</s:t>
        </s:is>
      </s:c>
      <s:c r="L85" s="11" t="n"/>
      <s:c r="M85" s="11" t="inlineStr">
        <s:is>
          <s:t>S_W</s:t>
        </s:is>
      </s:c>
      <s:c r="N85" s="11" t="inlineStr">
        <s:is>
          <s:t>Target is within one main article or one non-plan results supplement/workbook; no substantive plan comparison. The AI-minus-human risk-difference cell versus the direct subtraction of the displayed AI and human marginal percentages.</s:t>
        </s:is>
      </s:c>
      <s:c r="O85" s="11" t="inlineStr">
        <s:is>
          <s:t>../../2025/jama.2025.19563/.ai_paper_validation/final_report_1_5_1.html</s:t>
        </s:is>
      </s:c>
      <s:c r="P85" s="11" t="inlineStr">
        <s:is>
          <s:t>2025/jama.2025.19563/.ai_paper_validation/final_report_1_5_1.md</s:t>
        </s:is>
      </s:c>
      <s:c r="Q85" s="11" t="inlineStr">
        <s:is>
          <s:t>C007</s:t>
        </s:is>
      </s:c>
      <s:c r="R85" s="11" t="inlineStr">
        <s:is>
          <s:t>Pending Human Adjudication</s:t>
        </s:is>
      </s:c>
      <s:c r="S85" s="11" t="inlineStr">
        <s:is>
          <s:t>eTable 16 prints AI 32.2% and human 31.9% but an AI-minus-human risk difference of -1.1 percentage points.</s:t>
        </s:is>
      </s:c>
      <s:c r="T85" s="11" t="b">
        <s:v>1</s:v>
      </s:c>
      <s:c r="U85" s="11" t="inlineStr">
        <s:is>
          <s:t>MICE pooled percentages and printed risk difference have incompatible signs</s:t>
        </s:is>
      </s:c>
      <s:c r="V85" s="11" t="inlineStr">
        <s:is>
          <s:t>statistical_results</s:t>
        </s:is>
      </s:c>
      <s:c r="W85" s="11" t="inlineStr">
        <s:is>
          <s:t>MICE pooled percentages and printed risk difference have incompatible signs</s:t>
        </s:is>
      </s:c>
      <s:c r="X85" s="11" t="inlineStr">
        <s:is>
          <s:t>2025</s:t>
        </s:is>
      </s:c>
      <s:c r="Y85" s="11" t="inlineStr">
        <s:is>
          <s:t>meta_report/consistency_reclassification_2026-09-04/reclassified_candidates.json</s:t>
        </s:is>
      </s:c>
      <s:c r="Z85" s="11" t="inlineStr">
        <s:is>
          <s:t>S_W</s:t>
        </s:is>
      </s:c>
      <s:c r="AA85" s="11" t="inlineStr">
        <s:is>
          <s:t>statistical_results</s:t>
        </s:is>
      </s:c>
      <s:c r="AB85" s="11" t="inlineStr">
        <s:is>
          <s:t>retain</s:t>
        </s:is>
      </s:c>
    </s:row>
    <s:row r="86" ht="90" customFormat="1" customHeight="1" s="8">
      <s:c r="A86" s="12" t="b">
        <s:v>0</s:v>
      </s:c>
      <s:c r="B86" s="12" t="inlineStr">
        <s:is>
          <s:t>SAP log-rank statement supports interpretation; prose test is unnamed, so no demonstrated report-versus-plan method difference. Fixed-time versus survival tests can differ.</s:t>
        </s:is>
      </s:c>
      <s:c r="C86" s="12" t="b">
        <s:v>0</s:v>
      </s:c>
      <s:c r="D86" s="12" t="inlineStr">
        <s:is>
          <s:t>Cross-document numeric inconsistency</s:t>
        </s:is>
      </s:c>
      <s:c r="E86" s="12" t="b">
        <s:v>1</s:v>
      </s:c>
      <s:c r="F86" s="12" t="inlineStr">
        <s:is>
          <s:t>C001</s:t>
        </s:is>
      </s:c>
      <s:c r="G86" s="12" t="inlineStr">
        <s:is>
          <s:t>2025::jama.2025.19843::C001</s:t>
        </s:is>
      </s:c>
      <s:c r="H86" s="12" t="n"/>
      <s:c r="I86" s="12" t="inlineStr">
        <s:is>
          <s:t>DOC-001 — PDF p. 1 (abstract); DOC-001 — PDF p. 3 (statistical methods); DOC-001 — PDF p. 4 (Results and eFigure 2 cross-reference); DOC-003 — PDF p. 7 (planned mortality analysis); and DOC-004 — PDF p. 11 (Supplement 3 eFigure 2).</s:t>
        </s:is>
      </s:c>
      <s:c r="J86" s="12" t="b">
        <s:v>1</s:v>
      </s:c>
      <s:c r="K86" s="12" t="inlineStr">
        <s:is>
          <s:t>jama.2025.19843</s:t>
        </s:is>
      </s:c>
      <s:c r="L86" s="12" t="n"/>
      <s:c r="M86" s="12" t="inlineStr">
        <s:is>
          <s:t>S_C</s:t>
        </s:is>
      </s:c>
      <s:c r="N86" s="12" t="inlineStr">
        <s:is>
          <s: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s:t>
        </s:is>
      </s:c>
      <s:c r="O86" s="12" t="inlineStr">
        <s:is>
          <s:t>../../2025/jama.2025.19843/.ai_paper_validation/final_report_1_5_1.html</s:t>
        </s:is>
      </s:c>
      <s:c r="P86" s="12" t="inlineStr">
        <s:is>
          <s:t>2025/jama.2025.19843/.ai_paper_validation/final_report_1_5_1.md</s:t>
        </s:is>
      </s:c>
      <s:c r="Q86" s="12" t="inlineStr">
        <s:is>
          <s:t>C001</s:t>
        </s:is>
      </s:c>
      <s:c r="R86" s="12" t="inlineStr">
        <s:is>
          <s:t>Pending Human Adjudication</s:t>
        </s:is>
      </s:c>
      <s:c r="S86" s="12" t="inlineStr">
        <s:is>
          <s: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s:t>
        </s:is>
      </s:c>
      <s:c r="T86" s="12" t="b">
        <s:v>1</s:v>
      </s:c>
      <s:c r="U86" s="12" t="inlineStr">
        <s:is>
          <s:t>Conflicting printed P values for matched day-60 mortality result</s:t>
        </s:is>
      </s:c>
      <s:c r="V86" s="12" t="inlineStr">
        <s:is>
          <s:t>report_internal_inconsistency</s:t>
        </s:is>
      </s:c>
      <s:c r="W86" s="12" t="inlineStr">
        <s:is>
          <s:t>Conflicting printed P values for matched day-60 mortality result</s:t>
        </s:is>
      </s:c>
      <s:c r="X86" s="12" t="inlineStr">
        <s:is>
          <s:t>2025</s:t>
        </s:is>
      </s:c>
      <s:c r="Y86" s="12" t="inlineStr">
        <s:is>
          <s:t>meta_report/consistency_reclassification_2026-09-04/reclassified_candidates.json</s:t>
        </s:is>
      </s:c>
      <s:c r="Z86" s="12" t="inlineStr">
        <s:is>
          <s:t>S_C</s:t>
        </s:is>
      </s:c>
      <s:c r="AA86" s="12" t="inlineStr">
        <s:is>
          <s:t>report_internal_inconsistency</s:t>
        </s:is>
      </s:c>
      <s:c r="AB86" s="12" t="inlineStr">
        <s:is>
          <s:t>retain</s:t>
        </s:is>
      </s:c>
    </s:row>
    <s:row r="87" ht="90" customFormat="1" customHeight="1" s="8">
      <s:c r="A87" s="11" t="b">
        <s:v>0</s:v>
      </s:c>
      <s:c r="B87" s="11" t="n"/>
      <s:c r="C87" s="11" t="b">
        <s:v>0</s:v>
      </s:c>
      <s:c r="D87" s="11" t="inlineStr">
        <s:is>
          <s:t>Numeric or arithmetic inconsistency</s:t>
        </s:is>
      </s:c>
      <s:c r="E87" s="11" t="b">
        <s:v>0</s:v>
      </s:c>
      <s:c r="F87" s="11" t="inlineStr">
        <s:is>
          <s:t>C001</s:t>
        </s:is>
      </s:c>
      <s:c r="G87" s="11" t="inlineStr">
        <s:is>
          <s:t>2025::jama.2025.20765::C001</s:t>
        </s:is>
      </s:c>
      <s:c r="H87" s="11" t="n"/>
      <s:c r="I87" s="11" t="inlineStr">
        <s:is>
          <s:t>DOC-001 main article — PDF p. 6, Table 2, continuous abstinence, self-reported only (ITT), adjusted RR.</s:t>
        </s:is>
      </s:c>
      <s:c r="J87" s="11" t="b">
        <s:v>0</s:v>
      </s:c>
      <s:c r="K87" s="11" t="inlineStr">
        <s:is>
          <s:t>jama.2025.20765</s:t>
        </s:is>
      </s:c>
      <s:c r="L87" s="11" t="n"/>
      <s:c r="M87" s="11" t="inlineStr">
        <s:is>
          <s:t>S_W</s:t>
        </s:is>
      </s:c>
      <s:c r="N87" s="11" t="inlineStr">
        <s:is>
          <s:t>Target is within one main article or one non-plan results supplement/workbook; no substantive plan comparison. Printed upper endpoint `42` versus the same-row estimate and companion interval context.</s:t>
        </s:is>
      </s:c>
      <s:c r="O87" s="11" t="inlineStr">
        <s:is>
          <s:t>../../2025/jama.2025.20765/.ai_paper_validation/final_report_1_5_1.html</s:t>
        </s:is>
      </s:c>
      <s:c r="P87" s="11" t="inlineStr">
        <s:is>
          <s:t>2025/jama.2025.20765/.ai_paper_validation/final_report_1_5_1.md</s:t>
        </s:is>
      </s:c>
      <s:c r="Q87" s="11" t="inlineStr">
        <s:is>
          <s:t>C001</s:t>
        </s:is>
      </s:c>
      <s:c r="R87" s="11" t="inlineStr">
        <s:is>
          <s:t>Pending Human Adjudication</s:t>
        </s:is>
      </s:c>
      <s:c r="S87" s="11" t="inlineStr">
        <s:is>
          <s:t>The printed adjusted self-reported abstinence RR interval has upper endpoint 42, an unusual interval field requiring confirmation against the fitted model output.</s:t>
        </s:is>
      </s:c>
      <s:c r="T87" s="11" t="b">
        <s:v>1</s:v>
      </s:c>
      <s:c r="U87" s="11" t="inlineStr">
        <s:is>
          <s:t>Adjusted self-reported abstinence interval endpoint printed as 42</s:t>
        </s:is>
      </s:c>
      <s:c r="V87" s="11" t="inlineStr">
        <s:is>
          <s:t>statistical_results</s:t>
        </s:is>
      </s:c>
      <s:c r="W87" s="11" t="inlineStr">
        <s:is>
          <s:t>Adjusted self-reported abstinence interval endpoint printed as 42</s:t>
        </s:is>
      </s:c>
      <s:c r="X87" s="11" t="inlineStr">
        <s:is>
          <s:t>2025</s:t>
        </s:is>
      </s:c>
      <s:c r="Y87" s="11" t="inlineStr">
        <s:is>
          <s:t>meta_report/consistency_reclassification_2026-09-04/reclassified_candidates.json</s:t>
        </s:is>
      </s:c>
      <s:c r="Z87" s="11" t="inlineStr">
        <s:is>
          <s:t>S_W</s:t>
        </s:is>
      </s:c>
      <s:c r="AA87" s="11" t="inlineStr">
        <s:is>
          <s:t>statistical_results</s:t>
        </s:is>
      </s:c>
      <s:c r="AB87" s="11" t="inlineStr">
        <s:is>
          <s:t>retain</s:t>
        </s:is>
      </s:c>
    </s:row>
    <s:row r="88" ht="90" customFormat="1" customHeight="1" s="8">
      <s:c r="A88" s="12" t="b">
        <s:v>0</s:v>
      </s:c>
      <s:c r="B88" s="12" t="inlineStr">
        <s:is>
          <s:t>All-cause main total corroborates cause-label issue, while explicitly disaggregated TB deaths come from results supplement.</s:t>
        </s:is>
      </s:c>
      <s:c r="C88" s="12" t="b">
        <s:v>0</s:v>
      </s:c>
      <s:c r="D88" s="12" t="inlineStr">
        <s:is>
          <s:t>Cross-document numeric inconsistency</s:t>
        </s:is>
      </s:c>
      <s:c r="E88" s="12" t="b">
        <s:v>1</s:v>
      </s:c>
      <s:c r="F88" s="12" t="inlineStr">
        <s:is>
          <s:t>C002</s:t>
        </s:is>
      </s:c>
      <s:c r="G88" s="12" t="inlineStr">
        <s:is>
          <s:t>2025::jama.2025.20765::C002</s:t>
        </s:is>
      </s:c>
      <s:c r="H88" s="12" t="n"/>
      <s:c r="I88" s="12" t="inlineStr">
        <s:is>
          <s:t>DOC-001 main article — PDF p. 8, Discussion; PDF p. 5 and PDF p. 6, Results/Table 2; DOC-003 Supplement 2 — PDF p. 6, eTable 4.</s:t>
        </s:is>
      </s:c>
      <s:c r="J88" s="12" t="b">
        <s:v>1</s:v>
      </s:c>
      <s:c r="K88" s="12" t="inlineStr">
        <s:is>
          <s:t>jama.2025.20765</s:t>
        </s:is>
      </s:c>
      <s:c r="L88" s="12" t="n"/>
      <s:c r="M88" s="12" t="inlineStr">
        <s:is>
          <s:t>S_C</s:t>
        </s:is>
      </s:c>
      <s:c r="N88" s="12" t="inlineStr">
        <s:is>
          <s:t>Target explicitly compares current main article and non-plan results supplement/workbook. 4.8% labelled TB deaths versus 52/1080 all-cause deaths and 32/1080 TB-cause deaths.</s:t>
        </s:is>
      </s:c>
      <s:c r="O88" s="12" t="inlineStr">
        <s:is>
          <s:t>../../2025/jama.2025.20765/.ai_paper_validation/final_report_1_5_1.html</s:t>
        </s:is>
      </s:c>
      <s:c r="P88" s="12" t="inlineStr">
        <s:is>
          <s:t>2025/jama.2025.20765/.ai_paper_validation/final_report_1_5_1.md</s:t>
        </s:is>
      </s:c>
      <s:c r="Q88" s="12" t="inlineStr">
        <s:is>
          <s:t>C002</s:t>
        </s:is>
      </s:c>
      <s:c r="R88" s="12" t="inlineStr">
        <s:is>
          <s:t>Pending Human Adjudication</s:t>
        </s:is>
      </s:c>
      <s:c r="S88" s="12" t="inlineStr">
        <s:is>
          <s:t>The discussion's 4.8% phrase “died of TB” matches the all-cause death total rather than the supplied TB-cause count.</s:t>
        </s:is>
      </s:c>
      <s:c r="T88" s="12" t="b">
        <s:v>1</s:v>
      </s:c>
      <s:c r="U88" s="12" t="inlineStr">
        <s:is>
          <s:t>Discussion labels the all-cause death percentage as TB deaths</s:t>
        </s:is>
      </s:c>
      <s:c r="V88" s="12" t="inlineStr">
        <s:is>
          <s:t>report_internal_inconsistency</s:t>
        </s:is>
      </s:c>
      <s:c r="W88" s="12" t="inlineStr">
        <s:is>
          <s:t>Discussion labels the all-cause death percentage as TB deaths</s:t>
        </s:is>
      </s:c>
      <s:c r="X88" s="12" t="inlineStr">
        <s:is>
          <s:t>2025</s:t>
        </s:is>
      </s:c>
      <s:c r="Y88" s="12" t="inlineStr">
        <s:is>
          <s:t>meta_report/consistency_reclassification_2026-09-04/reclassified_candidates.json</s:t>
        </s:is>
      </s:c>
      <s:c r="Z88" s="12" t="inlineStr">
        <s:is>
          <s:t>S_C</s:t>
        </s:is>
      </s:c>
      <s:c r="AA88" s="12" t="inlineStr">
        <s:is>
          <s:t>report_internal_inconsistency</s:t>
        </s:is>
      </s:c>
      <s:c r="AB88" s="12" t="inlineStr">
        <s:is>
          <s:t>retain</s:t>
        </s:is>
      </s:c>
    </s:row>
    <s:row r="89" ht="90" customFormat="1" customHeight="1" s="8">
      <s:c r="A89" s="11" t="b">
        <s:v>0</s:v>
      </s:c>
      <s:c r="B89" s="11" t="n"/>
      <s:c r="C89" s="11" t="b">
        <s:v>1</s:v>
      </s:c>
      <s:c r="D89" s="11" t="inlineStr">
        <s:is>
          <s:t>Numeric or arithmetic inconsistency</s:t>
        </s:is>
      </s:c>
      <s:c r="E89" s="11" t="b">
        <s:v>0</s:v>
      </s:c>
      <s:c r="F89" s="11" t="inlineStr">
        <s:is>
          <s:t>C003</s:t>
        </s:is>
      </s:c>
      <s:c r="G89" s="11" t="inlineStr">
        <s:is>
          <s:t>2025::jama.2025.20765::C003</s:t>
        </s:is>
      </s:c>
      <s:c r="H89" s="11" t="n"/>
      <s:c r="I89" s="11" t="inlineStr">
        <s:is>
          <s:t>DOC-002 Supplement 1 — PDF p. 16.</s:t>
        </s:is>
      </s:c>
      <s:c r="J89" s="11" t="b">
        <s:v>0</s:v>
      </s:c>
      <s:c r="K89" s="11" t="inlineStr">
        <s:is>
          <s:t>jama.2025.20765</s:t>
        </s:is>
      </s:c>
      <s:c r="L89" s="11" t="n"/>
      <s:c r="M89" s="11" t="inlineStr">
        <s:is>
          <s:t>P_P</s:t>
        </s:is>
      </s:c>
      <s:c r="N89" s="11" t="inlineStr">
        <s:is>
          <s:t>Target is internal to protocol/SAP definitions, calculations, or plan versions; final results are not the conflicting comparator. Printed total 178 versus the schedule's conservative minimum.</s:t>
        </s:is>
      </s:c>
      <s:c r="O89" s="11" t="inlineStr">
        <s:is>
          <s:t>../../2025/jama.2025.20765/.ai_paper_validation/final_report_1_5_1.html</s:t>
        </s:is>
      </s:c>
      <s:c r="P89" s="11" t="inlineStr">
        <s:is>
          <s:t>2025/jama.2025.20765/.ai_paper_validation/final_report_1_5_1.md</s:t>
        </s:is>
      </s:c>
      <s:c r="Q89" s="11" t="inlineStr">
        <s:is>
          <s:t>C003</s:t>
        </s:is>
      </s:c>
      <s:c r="R89" s="11" t="inlineStr">
        <s:is>
          <s:t>Pending Human Adjudication</s:t>
        </s:is>
      </s:c>
      <s:c r="S89" s="11" t="inlineStr">
        <s:is>
          <s:t>A six-month plan states 178 SMS but its own minimum printed schedule exceeds that total.</s:t>
        </s:is>
      </s:c>
      <s:c r="T89" s="11" t="b">
        <s:v>0</s:v>
      </s:c>
      <s:c r="U89" s="11" t="inlineStr">
        <s:is>
          <s:t>178-message total conflicts with its printed frequency schedule</s:t>
        </s:is>
      </s:c>
      <s:c r="V89" s="11" t="inlineStr">
        <s:is>
          <s:t>plan_material</s:t>
        </s:is>
      </s:c>
      <s:c r="W89" s="11" t="inlineStr">
        <s:is>
          <s:t>178-message total conflicts with its printed frequency schedule</s:t>
        </s:is>
      </s:c>
      <s:c r="X89" s="11" t="inlineStr">
        <s:is>
          <s:t>2025</s:t>
        </s:is>
      </s:c>
      <s:c r="Y89" s="11" t="inlineStr">
        <s:is>
          <s:t>meta_report/consistency_reclassification_2026-09-04/reclassified_candidates.json</s:t>
        </s:is>
      </s:c>
      <s:c r="Z89" s="11" t="inlineStr">
        <s:is>
          <s:t>P_P</s:t>
        </s:is>
      </s:c>
      <s:c r="AA89" s="11" t="inlineStr">
        <s:is>
          <s:t>plan_material</s:t>
        </s:is>
      </s:c>
      <s:c r="AB89" s="11" t="inlineStr">
        <s:is>
          <s:t>retain</s:t>
        </s:is>
      </s:c>
    </s:row>
    <s:row r="90" ht="90" customFormat="1" customHeight="1" s="8">
      <s:c r="A90" s="12" t="b">
        <s:v>0</s:v>
      </s:c>
      <s:c r="B90" s="12" t="n"/>
      <s:c r="C90" s="12" t="b">
        <s:v>1</s:v>
      </s:c>
      <s:c r="D90" s="12" t="inlineStr">
        <s:is>
          <s:t>Cross-document numeric inconsistency</s:t>
        </s:is>
      </s:c>
      <s:c r="E90" s="12" t="b">
        <s:v>0</s:v>
      </s:c>
      <s:c r="F90" s="12" t="inlineStr">
        <s:is>
          <s:t>C004</s:t>
        </s:is>
      </s:c>
      <s:c r="G90" s="12" t="inlineStr">
        <s:is>
          <s:t>2025::jama.2025.20765::C004</s:t>
        </s:is>
      </s:c>
      <s:c r="H90" s="12" t="n"/>
      <s:c r="I90" s="12" t="inlineStr">
        <s:is>
          <s:t>DOC-002 Supplement 1 — PDF p. 10 and PDF p. 26.</s:t>
        </s:is>
      </s:c>
      <s:c r="J90" s="12" t="b">
        <s:v>1</s:v>
      </s:c>
      <s:c r="K90" s="12" t="inlineStr">
        <s:is>
          <s:t>jama.2025.20765</s:t>
        </s:is>
      </s:c>
      <s:c r="L90" s="12" t="n"/>
      <s:c r="M90" s="12" t="inlineStr">
        <s:is>
          <s:t>P_P</s:t>
        </s:is>
      </s:c>
      <s:c r="N90" s="12" t="inlineStr">
        <s:is>
          <s:t>Target is internal to protocol/SAP definitions, calculations, or plan versions; final results are not the conflicting comparator. 44 versus 48 sites for the same printed plan.</s:t>
        </s:is>
      </s:c>
      <s:c r="O90" s="12" t="inlineStr">
        <s:is>
          <s:t>../../2025/jama.2025.20765/.ai_paper_validation/final_report_1_5_1.html</s:t>
        </s:is>
      </s:c>
      <s:c r="P90" s="12" t="inlineStr">
        <s:is>
          <s:t>2025/jama.2025.20765/.ai_paper_validation/final_report_1_5_1.md</s:t>
        </s:is>
      </s:c>
      <s:c r="Q90" s="12" t="inlineStr">
        <s:is>
          <s:t>C004</s:t>
        </s:is>
      </s:c>
      <s:c r="R90" s="12" t="inlineStr">
        <s:is>
          <s:t>Pending Human Adjudication</s:t>
        </s:is>
      </s:c>
      <s:c r="S90" s="12" t="inlineStr">
        <s:is>
          <s:t>Matched repeated plan text gives 44 facilities in one location and 48 clinics in another.</s:t>
        </s:is>
      </s:c>
      <s:c r="T90" s="12" t="b">
        <s:v>0</s:v>
      </s:c>
      <s:c r="U90" s="12" t="inlineStr">
        <s:is>
          <s:t>Repeated 2,384-participant plan names 44 and 48 facilities</s:t>
        </s:is>
      </s:c>
      <s:c r="V90" s="12" t="inlineStr">
        <s:is>
          <s:t>plan_material</s:t>
        </s:is>
      </s:c>
      <s:c r="W90" s="12" t="inlineStr">
        <s:is>
          <s:t>Repeated 2,384-participant plan names 44 and 48 facilities</s:t>
        </s:is>
      </s:c>
      <s:c r="X90" s="12" t="inlineStr">
        <s:is>
          <s:t>2025</s:t>
        </s:is>
      </s:c>
      <s:c r="Y90" s="12" t="inlineStr">
        <s:is>
          <s:t>meta_report/consistency_reclassification_2026-09-04/reclassified_candidates.json</s:t>
        </s:is>
      </s:c>
      <s:c r="Z90" s="12" t="inlineStr">
        <s:is>
          <s:t>P_P</s:t>
        </s:is>
      </s:c>
      <s:c r="AA90" s="12" t="inlineStr">
        <s:is>
          <s:t>plan_material</s:t>
        </s:is>
      </s:c>
      <s:c r="AB90" s="12" t="inlineStr">
        <s:is>
          <s:t>retain</s:t>
        </s:is>
      </s:c>
    </s:row>
    <s:row r="91" ht="90" customFormat="1" customHeight="1" s="8">
      <s:c r="A91" s="11" t="b">
        <s:v>0</s:v>
      </s:c>
      <s:c r="B91" s="11" t="n"/>
      <s:c r="C91" s="11" t="b">
        <s:v>1</s:v>
      </s:c>
      <s:c r="D91" s="11" t="inlineStr">
        <s:is>
          <s:t>Numeric or arithmetic inconsistency</s:t>
        </s:is>
      </s:c>
      <s:c r="E91" s="11" t="b">
        <s:v>0</s:v>
      </s:c>
      <s:c r="F91" s="11" t="inlineStr">
        <s:is>
          <s:t>C005</s:t>
        </s:is>
      </s:c>
      <s:c r="G91" s="11" t="inlineStr">
        <s:is>
          <s:t>2025::jama.2025.20765::C005</s:t>
        </s:is>
      </s:c>
      <s:c r="H91" s="11" t="n"/>
      <s:c r="I91" s="11" t="inlineStr">
        <s:is>
          <s:t>DOC-002 Supplement 1 — PDF p. 53.</s:t>
        </s:is>
      </s:c>
      <s:c r="J91" s="11" t="b">
        <s:v>0</s:v>
      </s:c>
      <s:c r="K91" s="11" t="inlineStr">
        <s:is>
          <s:t>jama.2025.20765</s:t>
        </s:is>
      </s:c>
      <s:c r="L91" s="11" t="n"/>
      <s:c r="M91" s="11" t="inlineStr">
        <s:is>
          <s:t>P_P</s:t>
        </s:is>
      </s:c>
      <s:c r="N91" s="11" t="inlineStr">
        <s:is>
          <s:t>Target is internal to protocol/SAP definitions, calculations, or plan versions; final results are not the conflicting comparator. Printed total 134 versus schedule minimum.</s:t>
        </s:is>
      </s:c>
      <s:c r="O91" s="11" t="inlineStr">
        <s:is>
          <s:t>../../2025/jama.2025.20765/.ai_paper_validation/final_report_1_5_1.html</s:t>
        </s:is>
      </s:c>
      <s:c r="P91" s="11" t="inlineStr">
        <s:is>
          <s:t>2025/jama.2025.20765/.ai_paper_validation/final_report_1_5_1.md</s:t>
        </s:is>
      </s:c>
      <s:c r="Q91" s="11" t="inlineStr">
        <s:is>
          <s:t>C005</s:t>
        </s:is>
      </s:c>
      <s:c r="R91" s="11" t="inlineStr">
        <s:is>
          <s:t>Pending Human Adjudication</s:t>
        </s:is>
      </s:c>
      <s:c r="S91" s="11" t="inlineStr">
        <s:is>
          <s:t>A 134-message six-month statement conflicts with the minimum implied by its printed schedule.</s:t>
        </s:is>
      </s:c>
      <s:c r="T91" s="11" t="b">
        <s:v>0</s:v>
      </s:c>
      <s:c r="U91" s="11" t="inlineStr">
        <s:is>
          <s:t>134-message total conflicts with its printed frequency schedule</s:t>
        </s:is>
      </s:c>
      <s:c r="V91" s="11" t="inlineStr">
        <s:is>
          <s:t>plan_material</s:t>
        </s:is>
      </s:c>
      <s:c r="W91" s="11" t="inlineStr">
        <s:is>
          <s:t>134-message total conflicts with its printed frequency schedule</s:t>
        </s:is>
      </s:c>
      <s:c r="X91" s="11" t="inlineStr">
        <s:is>
          <s:t>2025</s:t>
        </s:is>
      </s:c>
      <s:c r="Y91" s="11" t="inlineStr">
        <s:is>
          <s:t>meta_report/consistency_reclassification_2026-09-04/reclassified_candidates.json</s:t>
        </s:is>
      </s:c>
      <s:c r="Z91" s="11" t="inlineStr">
        <s:is>
          <s:t>P_P</s:t>
        </s:is>
      </s:c>
      <s:c r="AA91" s="11" t="inlineStr">
        <s:is>
          <s:t>plan_material</s:t>
        </s:is>
      </s:c>
      <s:c r="AB91" s="11" t="inlineStr">
        <s:is>
          <s:t>retain</s:t>
        </s:is>
      </s:c>
    </s:row>
    <s:row r="92" ht="90" customFormat="1" customHeight="1" s="8">
      <s:c r="A92" s="12" t="b">
        <s:v>0</s:v>
      </s:c>
      <s:c r="B92" s="12" t="n"/>
      <s:c r="C92" s="12" t="b">
        <s:v>1</s:v>
      </s:c>
      <s:c r="D92" s="12" t="inlineStr">
        <s:is>
          <s:t>Measure, label, or scale inconsistency</s:t>
        </s:is>
      </s:c>
      <s:c r="E92" s="12" t="b">
        <s:v>0</s:v>
      </s:c>
      <s:c r="F92" s="12" t="inlineStr">
        <s:is>
          <s:t>C006</s:t>
        </s:is>
      </s:c>
      <s:c r="G92" s="12" t="inlineStr">
        <s:is>
          <s:t>2025::jama.2025.20765::C006</s:t>
        </s:is>
      </s:c>
      <s:c r="H92" s="12" t="n"/>
      <s:c r="I92" s="12" t="inlineStr">
        <s:is>
          <s:t>DOC-002 Supplement 1 — PDF p. 55.</s:t>
        </s:is>
      </s:c>
      <s:c r="J92" s="12" t="b">
        <s:v>0</s:v>
      </s:c>
      <s:c r="K92" s="12" t="inlineStr">
        <s:is>
          <s:t>jama.2025.20765</s:t>
        </s:is>
      </s:c>
      <s:c r="L92" s="12" t="n"/>
      <s:c r="M92" s="12" t="inlineStr">
        <s:is>
          <s:t>P_P</s:t>
        </s:is>
      </s:c>
      <s:c r="N92" s="12" t="inlineStr">
        <s:is>
          <s:t>Target is internal to protocol/SAP definitions, calculations, or plan versions; final results are not the conflicting comparator. 30% header versus 20%/100% phase-specific calculation.</s:t>
        </s:is>
      </s:c>
      <s:c r="O92" s="12" t="inlineStr">
        <s:is>
          <s:t>../../2025/jama.2025.20765/.ai_paper_validation/final_report_1_5_1.html</s:t>
        </s:is>
      </s:c>
      <s:c r="P92" s="12" t="inlineStr">
        <s:is>
          <s:t>2025/jama.2025.20765/.ai_paper_validation/final_report_1_5_1.md</s:t>
        </s:is>
      </s:c>
      <s:c r="Q92" s="12" t="inlineStr">
        <s:is>
          <s:t>C006</s:t>
        </s:is>
      </s:c>
      <s:c r="R92" s="12" t="inlineStr">
        <s:is>
          <s:t>Pending Human Adjudication</s:t>
        </s:is>
      </s:c>
      <s:c r="S92" s="12" t="inlineStr">
        <s:is>
          <s:t>A TAM sampling header says 30%, while contemporaneous phase-specific narrative and equations show 20% Phase 3 and all Phase 4 participants.</s:t>
        </s:is>
      </s:c>
      <s:c r="T92" s="12" t="b">
        <s:v>0</s:v>
      </s:c>
      <s:c r="U92" s="12" t="inlineStr">
        <s:is>
          <s:t>TAM sampling header conflicts with contemporaneous narrative and equations</s:t>
        </s:is>
      </s:c>
      <s:c r="V92" s="12" t="inlineStr">
        <s:is>
          <s:t>plan_material</s:t>
        </s:is>
      </s:c>
      <s:c r="W92" s="12" t="inlineStr">
        <s:is>
          <s:t>TAM sampling header conflicts with contemporaneous narrative and equations</s:t>
        </s:is>
      </s:c>
      <s:c r="X92" s="12" t="inlineStr">
        <s:is>
          <s:t>2025</s:t>
        </s:is>
      </s:c>
      <s:c r="Y92" s="12" t="inlineStr">
        <s:is>
          <s:t>meta_report/consistency_reclassification_2026-09-04/reclassified_candidates.json</s:t>
        </s:is>
      </s:c>
      <s:c r="Z92" s="12" t="inlineStr">
        <s:is>
          <s:t>P_P</s:t>
        </s:is>
      </s:c>
      <s:c r="AA92" s="12" t="inlineStr">
        <s:is>
          <s:t>plan_material</s:t>
        </s:is>
      </s:c>
      <s:c r="AB92" s="12" t="inlineStr">
        <s:is>
          <s:t>retain</s:t>
        </s:is>
      </s:c>
    </s:row>
    <s:row r="93" ht="90" customFormat="1" customHeight="1" s="8">
      <s:c r="A93" s="11" t="b">
        <s:v>0</s:v>
      </s:c>
      <s:c r="B93" s="11" t="n"/>
      <s:c r="C93" s="11" t="b">
        <s:v>1</s:v>
      </s:c>
      <s:c r="D93" s="11" t="inlineStr">
        <s:is>
          <s:t>Cross-document numeric inconsistency</s:t>
        </s:is>
      </s:c>
      <s:c r="E93" s="11" t="b">
        <s:v>0</s:v>
      </s:c>
      <s:c r="F93" s="11" t="inlineStr">
        <s:is>
          <s:t>C007</s:t>
        </s:is>
      </s:c>
      <s:c r="G93" s="11" t="inlineStr">
        <s:is>
          <s:t>2025::jama.2025.20765::C007</s:t>
        </s:is>
      </s:c>
      <s:c r="H93" s="11" t="n"/>
      <s:c r="I93" s="11" t="inlineStr">
        <s:is>
          <s:t>DOC-002 Supplement 1 — PDF p. 48, PDF p. 51, PDF p. 52, and PDF p. 62.</s:t>
        </s:is>
      </s:c>
      <s:c r="J93" s="11" t="b">
        <s:v>1</s:v>
      </s:c>
      <s:c r="K93" s="11" t="inlineStr">
        <s:is>
          <s:t>jama.2025.20765</s:t>
        </s:is>
      </s:c>
      <s:c r="L93" s="11" t="n"/>
      <s:c r="M93" s="11" t="inlineStr">
        <s:is>
          <s:t>P_P</s:t>
        </s:is>
      </s:c>
      <s:c r="N93" s="11" t="inlineStr">
        <s:is>
          <s:t>Target is internal to protocol/SAP definitions, calculations, or plan versions; final results are not the conflicting comparator. Same plan total with 48/~50 versus 63/~43.</s:t>
        </s:is>
      </s:c>
      <s:c r="O93" s="11" t="inlineStr">
        <s:is>
          <s:t>../../2025/jama.2025.20765/.ai_paper_validation/final_report_1_5_1.html</s:t>
        </s:is>
      </s:c>
      <s:c r="P93" s="11" t="inlineStr">
        <s:is>
          <s:t>2025/jama.2025.20765/.ai_paper_validation/final_report_1_5_1.md</s:t>
        </s:is>
      </s:c>
      <s:c r="Q93" s="11" t="inlineStr">
        <s:is>
          <s:t>C007</s:t>
        </s:is>
      </s:c>
      <s:c r="R93" s="11" t="inlineStr">
        <s:is>
          <s:t>Pending Human Adjudication</s:t>
        </s:is>
      </s:c>
      <s:c r="S93" s="11" t="inlineStr">
        <s:is>
          <s:t>A later 2,716-participant plan presents 48 clinics and approximately 50 recruits per clinic, while related text and diagram present 63 sites and approximately 43 per site.</s:t>
        </s:is>
      </s:c>
      <s:c r="T93" s="11" t="b">
        <s:v>0</s:v>
      </s:c>
      <s:c r="U93" s="11" t="inlineStr">
        <s:is>
          <s:t>Later 2,716-participant plan gives 48 clinics versus a 63-site diagram</s:t>
        </s:is>
      </s:c>
      <s:c r="V93" s="11" t="inlineStr">
        <s:is>
          <s:t>plan_material</s:t>
        </s:is>
      </s:c>
      <s:c r="W93" s="11" t="inlineStr">
        <s:is>
          <s:t>Later 2,716-participant plan gives 48 clinics versus a 63-site diagram</s:t>
        </s:is>
      </s:c>
      <s:c r="X93" s="11" t="inlineStr">
        <s:is>
          <s:t>2025</s:t>
        </s:is>
      </s:c>
      <s:c r="Y93" s="11" t="inlineStr">
        <s:is>
          <s:t>meta_report/consistency_reclassification_2026-09-04/reclassified_candidates.json</s:t>
        </s:is>
      </s:c>
      <s:c r="Z93" s="11" t="inlineStr">
        <s:is>
          <s:t>P_P</s:t>
        </s:is>
      </s:c>
      <s:c r="AA93" s="11" t="inlineStr">
        <s:is>
          <s:t>plan_material</s:t>
        </s:is>
      </s:c>
      <s:c r="AB93" s="11" t="inlineStr">
        <s:is>
          <s:t>retain</s:t>
        </s:is>
      </s:c>
    </s:row>
    <s:row r="94" ht="90" customFormat="1" customHeight="1" s="8">
      <s:c r="A94" s="12" t="b">
        <s:v>0</s:v>
      </s:c>
      <s:c r="B94" s="12" t="n"/>
      <s:c r="C94" s="12" t="b">
        <s:v>1</s:v>
      </s:c>
      <s:c r="D94" s="12" t="inlineStr">
        <s:is>
          <s:t>Numeric or arithmetic inconsistency</s:t>
        </s:is>
      </s:c>
      <s:c r="E94" s="12" t="b">
        <s:v>0</s:v>
      </s:c>
      <s:c r="F94" s="12" t="inlineStr">
        <s:is>
          <s:t>C008</s:t>
        </s:is>
      </s:c>
      <s:c r="G94" s="12" t="inlineStr">
        <s:is>
          <s:t>2025::jama.2025.20765::C008</s:t>
        </s:is>
      </s:c>
      <s:c r="H94" s="12" t="n"/>
      <s:c r="I94" s="12" t="inlineStr">
        <s:is>
          <s:t>DOC-002 Supplement 1 — PDF p. 64.</s:t>
        </s:is>
      </s:c>
      <s:c r="J94" s="12" t="b">
        <s:v>0</s:v>
      </s:c>
      <s:c r="K94" s="12" t="inlineStr">
        <s:is>
          <s:t>jama.2025.20765</s:t>
        </s:is>
      </s:c>
      <s:c r="L94" s="12" t="n"/>
      <s:c r="M94" s="12" t="inlineStr">
        <s:is>
          <s:t>P_P</s:t>
        </s:is>
      </s:c>
      <s:c r="N94" s="12" t="inlineStr">
        <s:is>
          <s:t>Target is internal to protocol/SAP definitions, calculations, or plan versions; final results are not the conflicting comparator. Displayed `1036×1.56=1620` versus exact product and the separate site-target total.</s:t>
        </s:is>
      </s:c>
      <s:c r="O94" s="12" t="inlineStr">
        <s:is>
          <s:t>../../2025/jama.2025.20765/.ai_paper_validation/final_report_1_5_1.html</s:t>
        </s:is>
      </s:c>
      <s:c r="P94" s="12" t="inlineStr">
        <s:is>
          <s:t>2025/jama.2025.20765/.ai_paper_validation/final_report_1_5_1.md</s:t>
        </s:is>
      </s:c>
      <s:c r="Q94" s="12" t="inlineStr">
        <s:is>
          <s:t>C008</s:t>
        </s:is>
      </s:c>
      <s:c r="R94" s="12" t="inlineStr">
        <s:is>
          <s:t>Pending Human Adjudication</s:t>
        </s:is>
      </s:c>
      <s:c r="S94" s="12" t="inlineStr">
        <s:is>
          <s:t>A Phase-4 display equates 1,036 multiplied by 1.56 to 1,620, although the exact product differs.</s:t>
        </s:is>
      </s:c>
      <s:c r="T94" s="12" t="b">
        <s:v>0</s:v>
      </s:c>
      <s:c r="U94" s="12" t="inlineStr">
        <s:is>
          <s:t>Phase-4 design-effect equality does not reproduce from printed inputs</s:t>
        </s:is>
      </s:c>
      <s:c r="V94" s="12" t="inlineStr">
        <s:is>
          <s:t>plan_material</s:t>
        </s:is>
      </s:c>
      <s:c r="W94" s="12" t="inlineStr">
        <s:is>
          <s:t>Phase-4 design-effect equality does not reproduce from printed inputs</s:t>
        </s:is>
      </s:c>
      <s:c r="X94" s="12" t="inlineStr">
        <s:is>
          <s:t>2025</s:t>
        </s:is>
      </s:c>
      <s:c r="Y94" s="12" t="inlineStr">
        <s:is>
          <s:t>meta_report/consistency_reclassification_2026-09-04/reclassified_candidates.json</s:t>
        </s:is>
      </s:c>
      <s:c r="Z94" s="12" t="inlineStr">
        <s:is>
          <s:t>P_P</s:t>
        </s:is>
      </s:c>
      <s:c r="AA94" s="12" t="inlineStr">
        <s:is>
          <s:t>plan_material</s:t>
        </s:is>
      </s:c>
      <s:c r="AB94" s="12" t="inlineStr">
        <s:is>
          <s:t>retain</s:t>
        </s:is>
      </s:c>
    </s:row>
    <s:row r="95" ht="90" customFormat="1" customHeight="1" s="8">
      <s:c r="A95" s="11" t="b">
        <s:v>0</s:v>
      </s:c>
      <s:c r="B95" s="11" t="n"/>
      <s:c r="C95" s="11" t="b">
        <s:v>1</s:v>
      </s:c>
      <s:c r="D95" s="11" t="inlineStr">
        <s:is>
          <s:t>Measure, label, or scale inconsistency</s:t>
        </s:is>
      </s:c>
      <s:c r="E95" s="11" t="b">
        <s:v>0</s:v>
      </s:c>
      <s:c r="F95" s="11" t="inlineStr">
        <s:is>
          <s:t>C009</s:t>
        </s:is>
      </s:c>
      <s:c r="G95" s="11" t="inlineStr">
        <s:is>
          <s:t>2025::jama.2025.20765::C009</s:t>
        </s:is>
      </s:c>
      <s:c r="H95" s="11" t="n"/>
      <s:c r="I95" s="11" t="inlineStr">
        <s:is>
          <s:t>DOC-002 Supplement 1 — PDF p. 64.</s:t>
        </s:is>
      </s:c>
      <s:c r="J95" s="11" t="b">
        <s:v>0</s:v>
      </s:c>
      <s:c r="K95" s="11" t="inlineStr">
        <s:is>
          <s:t>jama.2025.20765</s:t>
        </s:is>
      </s:c>
      <s:c r="L95" s="11" t="n"/>
      <s:c r="M95" s="11" t="inlineStr">
        <s:is>
          <s:t>P_P</s:t>
        </s:is>
      </s:c>
      <s:c r="N95" s="11" t="inlineStr">
        <s:is>
          <s:t>Target is internal to protocol/SAP definitions, calculations, or plan versions; final results are not the conflicting comparator. Phase-3/Superiority label versus local Phase-4/noninferiority plan.</s:t>
        </s:is>
      </s:c>
      <s:c r="O95" s="11" t="inlineStr">
        <s:is>
          <s:t>../../2025/jama.2025.20765/.ai_paper_validation/final_report_1_5_1.html</s:t>
        </s:is>
      </s:c>
      <s:c r="P95" s="11" t="inlineStr">
        <s:is>
          <s:t>2025/jama.2025.20765/.ai_paper_validation/final_report_1_5_1.md</s:t>
        </s:is>
      </s:c>
      <s:c r="Q95" s="11" t="inlineStr">
        <s:is>
          <s:t>C009</s:t>
        </s:is>
      </s:c>
      <s:c r="R95" s="11" t="inlineStr">
        <s:is>
          <s:t>Pending Human Adjudication</s:t>
        </s:is>
      </s:c>
      <s:c r="S95" s="11" t="inlineStr">
        <s:is>
          <s:t>A diagram within a Phase-4 noninferiority section is labelled “Phase 3 (Superiority trial).”</s:t>
        </s:is>
      </s:c>
      <s:c r="T95" s="11" t="b">
        <s:v>0</s:v>
      </s:c>
      <s:c r="U95" s="11" t="inlineStr">
        <s:is>
          <s:t>Phase-4 diagram is labelled Phase 3/Superiority</s:t>
        </s:is>
      </s:c>
      <s:c r="V95" s="11" t="inlineStr">
        <s:is>
          <s:t>plan_material</s:t>
        </s:is>
      </s:c>
      <s:c r="W95" s="11" t="inlineStr">
        <s:is>
          <s:t>Phase-4 diagram is labelled Phase 3/Superiority</s:t>
        </s:is>
      </s:c>
      <s:c r="X95" s="11" t="inlineStr">
        <s:is>
          <s:t>2025</s:t>
        </s:is>
      </s:c>
      <s:c r="Y95" s="11" t="inlineStr">
        <s:is>
          <s:t>meta_report/consistency_reclassification_2026-09-04/reclassified_candidates.json</s:t>
        </s:is>
      </s:c>
      <s:c r="Z95" s="11" t="inlineStr">
        <s:is>
          <s:t>P_P</s:t>
        </s:is>
      </s:c>
      <s:c r="AA95" s="11" t="inlineStr">
        <s:is>
          <s:t>plan_material</s:t>
        </s:is>
      </s:c>
      <s:c r="AB95" s="11" t="inlineStr">
        <s:is>
          <s:t>retain</s:t>
        </s:is>
      </s:c>
    </s:row>
    <s:row r="96" ht="90" customFormat="1" customHeight="1" s="8">
      <s:c r="A96" s="12" t="b">
        <s:v>0</s:v>
      </s:c>
      <s:c r="B96" s="12" t="n"/>
      <s:c r="C96" s="12" t="b">
        <s:v>1</s:v>
      </s:c>
      <s:c r="D96" s="12" t="inlineStr">
        <s:is>
          <s:t>Statistical reporting inconsistency</s:t>
        </s:is>
      </s:c>
      <s:c r="E96" s="12" t="b">
        <s:v>0</s:v>
      </s:c>
      <s:c r="F96" s="12" t="inlineStr">
        <s:is>
          <s:t>C010</s:t>
        </s:is>
      </s:c>
      <s:c r="G96" s="12" t="inlineStr">
        <s:is>
          <s:t>2025::jama.2025.20765::C010</s:t>
        </s:is>
      </s:c>
      <s:c r="H96" s="12" t="n"/>
      <s:c r="I96" s="12" t="inlineStr">
        <s:is>
          <s:t>DOC-002 Supplement 1 — PDF p. 63 and PDF p. 83.</s:t>
        </s:is>
      </s:c>
      <s:c r="J96" s="12" t="b">
        <s:v>0</s:v>
      </s:c>
      <s:c r="K96" s="12" t="inlineStr">
        <s:is>
          <s:t>jama.2025.20765</s:t>
        </s:is>
      </s:c>
      <s:c r="L96" s="12" t="n"/>
      <s:c r="M96" s="12" t="inlineStr">
        <s:is>
          <s:t>P_P</s:t>
        </s:is>
      </s:c>
      <s:c r="N96" s="12" t="inlineStr">
        <s:is>
          <s:t>Target is internal to protocol/SAP definitions, calculations, or plan versions; final results are not the conflicting comparator. `704×1.50≈1080` and “effective sample size” versus exact multiplication and the independent `27×40=1080` cluster allocation.</s:t>
        </s:is>
      </s:c>
      <s:c r="O96" s="12" t="inlineStr">
        <s:is>
          <s:t>../../2025/jama.2025.20765/.ai_paper_validation/final_report_1_5_1.html</s:t>
        </s:is>
      </s:c>
      <s:c r="P96" s="12" t="inlineStr">
        <s:is>
          <s:t>2025/jama.2025.20765/.ai_paper_validation/final_report_1_5_1.md</s:t>
        </s:is>
      </s:c>
      <s:c r="Q96" s="12" t="inlineStr">
        <s:is>
          <s:t>C010</s:t>
        </s:is>
      </s:c>
      <s:c r="R96" s="12" t="inlineStr">
        <s:is>
          <s:t>Pending Human Adjudication</s:t>
        </s:is>
      </s:c>
      <s:c r="S96" s="12" t="inlineStr">
        <s:is>
          <s:t>A Phase-3 display reports 704×1.50≈1080 and calls it effective sample size without documenting the cluster-rounding/allocation transition or terminology.</s:t>
        </s:is>
      </s:c>
      <s:c r="T96" s="12" t="b">
        <s:v>0</s:v>
      </s:c>
      <s:c r="U96" s="12" t="inlineStr">
        <s:is>
          <s:t>Phase-3 design-effect display gives undocumented 1,080 effective sample size</s:t>
        </s:is>
      </s:c>
      <s:c r="V96" s="12" t="inlineStr">
        <s:is>
          <s:t>plan_material</s:t>
        </s:is>
      </s:c>
      <s:c r="W96" s="12" t="inlineStr">
        <s:is>
          <s:t>Phase-3 design-effect display gives undocumented 1,080 effective sample size</s:t>
        </s:is>
      </s:c>
      <s:c r="X96" s="12" t="inlineStr">
        <s:is>
          <s:t>2025</s:t>
        </s:is>
      </s:c>
      <s:c r="Y96" s="12" t="inlineStr">
        <s:is>
          <s:t>meta_report/consistency_reclassification_2026-09-04/reclassified_candidates.json</s:t>
        </s:is>
      </s:c>
      <s:c r="Z96" s="12" t="inlineStr">
        <s:is>
          <s:t>P_P</s:t>
        </s:is>
      </s:c>
      <s:c r="AA96" s="12" t="inlineStr">
        <s:is>
          <s:t>plan_material</s:t>
        </s:is>
      </s:c>
      <s:c r="AB96" s="12" t="inlineStr">
        <s:is>
          <s:t>retain</s:t>
        </s:is>
      </s:c>
    </s:row>
    <s:row r="97" ht="90" customFormat="1" customHeight="1" s="8">
      <s:c r="A97" s="11" t="b">
        <s:v>0</s:v>
      </s:c>
      <s:c r="B97" s="11" t="n"/>
      <s:c r="C97" s="11" t="b">
        <s:v>1</s:v>
      </s:c>
      <s:c r="D97" s="11" t="inlineStr">
        <s:is>
          <s:t>Measure, label, or scale inconsistency</s:t>
        </s:is>
      </s:c>
      <s:c r="E97" s="11" t="b">
        <s:v>0</s:v>
      </s:c>
      <s:c r="F97" s="11" t="inlineStr">
        <s:is>
          <s:t>C011</s:t>
        </s:is>
      </s:c>
      <s:c r="G97" s="11" t="inlineStr">
        <s:is>
          <s:t>2025::jama.2025.20765::C011</s:t>
        </s:is>
      </s:c>
      <s:c r="H97" s="11" t="n"/>
      <s:c r="I97" s="11" t="inlineStr">
        <s:is>
          <s:t>DOC-002 Supplement 1 — PDF p. 85.</s:t>
        </s:is>
      </s:c>
      <s:c r="J97" s="11" t="b">
        <s:v>0</s:v>
      </s:c>
      <s:c r="K97" s="11" t="inlineStr">
        <s:is>
          <s:t>jama.2025.20765</s:t>
        </s:is>
      </s:c>
      <s:c r="L97" s="11" t="n"/>
      <s:c r="M97" s="11" t="inlineStr">
        <s:is>
          <s:t>P_P</s:t>
        </s:is>
      </s:c>
      <s:c r="N97" s="11" t="inlineStr">
        <s:is>
          <s:t>Target is internal to protocol/SAP definitions, calculations, or plan versions; final results are not the conflicting comparator. Printed 5-35 range versus the stated five-domain 5-point description.</s:t>
        </s:is>
      </s:c>
      <s:c r="O97" s="11" t="inlineStr">
        <s:is>
          <s:t>../../2025/jama.2025.20765/.ai_paper_validation/final_report_1_5_1.html</s:t>
        </s:is>
      </s:c>
      <s:c r="P97" s="11" t="inlineStr">
        <s:is>
          <s:t>2025/jama.2025.20765/.ai_paper_validation/final_report_1_5_1.md</s:t>
        </s:is>
      </s:c>
      <s:c r="Q97" s="11" t="inlineStr">
        <s:is>
          <s:t>C011</s:t>
        </s:is>
      </s:c>
      <s:c r="R97" s="11" t="inlineStr">
        <s:is>
          <s:t>Pending Human Adjudication</s:t>
        </s:is>
      </s:c>
      <s:c r="S97" s="11" t="inlineStr">
        <s:is>
          <s:t>The MPSS description names five 5-point domains but gives a summed 5-35 range without explaining the scoring rule.</s:t>
        </s:is>
      </s:c>
      <s:c r="T97" s="11" t="b">
        <s:v>0</s:v>
      </s:c>
      <s:c r="U97" s="11" t="inlineStr">
        <s:is>
          <s:t>MPSS score range conflicts with stated item scale</s:t>
        </s:is>
      </s:c>
      <s:c r="V97" s="11" t="inlineStr">
        <s:is>
          <s:t>plan_material</s:t>
        </s:is>
      </s:c>
      <s:c r="W97" s="11" t="inlineStr">
        <s:is>
          <s:t>MPSS score range conflicts with stated item scale</s:t>
        </s:is>
      </s:c>
      <s:c r="X97" s="11" t="inlineStr">
        <s:is>
          <s:t>2025</s:t>
        </s:is>
      </s:c>
      <s:c r="Y97" s="11" t="inlineStr">
        <s:is>
          <s:t>meta_report/consistency_reclassification_2026-09-04/reclassified_candidates.json</s:t>
        </s:is>
      </s:c>
      <s:c r="Z97" s="11" t="inlineStr">
        <s:is>
          <s:t>P_P</s:t>
        </s:is>
      </s:c>
      <s:c r="AA97" s="11" t="inlineStr">
        <s:is>
          <s:t>plan_material</s:t>
        </s:is>
      </s:c>
      <s:c r="AB97" s="11" t="inlineStr">
        <s:is>
          <s:t>retain</s:t>
        </s:is>
      </s:c>
    </s:row>
    <s:row r="98" ht="90" customFormat="1" customHeight="1" s="8">
      <s:c r="A98" s="12" t="b">
        <s:v>0</s:v>
      </s:c>
      <s:c r="B98" s="12" t="n"/>
      <s:c r="C98" s="12" t="b">
        <s:v>0</s:v>
      </s:c>
      <s:c r="D98" s="12" t="inlineStr">
        <s:is>
          <s:t>Rate-versus-count inconsistency</s:t>
        </s:is>
      </s:c>
      <s:c r="E98" s="12" t="b">
        <s:v>0</s:v>
      </s:c>
      <s:c r="F98" s="12" t="inlineStr">
        <s:is>
          <s:t>C012</s:t>
        </s:is>
      </s:c>
      <s:c r="G98" s="12" t="inlineStr">
        <s:is>
          <s:t>2025::jama.2025.20765::C012</s:t>
        </s:is>
      </s:c>
      <s:c r="H98" s="12" t="n"/>
      <s:c r="I98" s="12" t="inlineStr">
        <s:is>
          <s:t>DOC-003 Supplement 2 — PDF p. 8, eTable 5; PDF p. 9, eTable 6.</s:t>
        </s:is>
      </s:c>
      <s:c r="J98" s="12" t="b">
        <s:v>0</s:v>
      </s:c>
      <s:c r="K98" s="12" t="inlineStr">
        <s:is>
          <s:t>jama.2025.20765</s:t>
        </s:is>
      </s:c>
      <s:c r="L98" s="12" t="n"/>
      <s:c r="M98" s="12" t="inlineStr">
        <s:is>
          <s:t>S_W</s:t>
        </s:is>
      </s:c>
      <s:c r="N98" s="12" t="inlineStr">
        <s:is>
          <s:t>Target is within one main article or one non-plan results supplement/workbook; no substantive plan comparison. 5 deaths (7.5%) versus matched same-site 40-person recruitment/ITT denominator.</s:t>
        </s:is>
      </s:c>
      <s:c r="O98" s="12" t="inlineStr">
        <s:is>
          <s:t>../../2025/jama.2025.20765/.ai_paper_validation/final_report_1_5_1.html</s:t>
        </s:is>
      </s:c>
      <s:c r="P98" s="12" t="inlineStr">
        <s:is>
          <s:t>2025/jama.2025.20765/.ai_paper_validation/final_report_1_5_1.md</s:t>
        </s:is>
      </s:c>
      <s:c r="Q98" s="12" t="inlineStr">
        <s:is>
          <s:t>C012</s:t>
        </s:is>
      </s:c>
      <s:c r="R98" s="12" t="inlineStr">
        <s:is>
          <s:t>Pending Human Adjudication</s:t>
        </s:is>
      </s:c>
      <s:c r="S98" s="12" t="inlineStr">
        <s:is>
          <s:t>Site 2008 is reported as 5 deaths (7.5%) without a denominator compatible with the supplied same-site recruitment/ITT total.</s:t>
        </s:is>
      </s:c>
      <s:c r="T98" s="12" t="b">
        <s:v>1</s:v>
      </s:c>
      <s:c r="U98" s="12" t="inlineStr">
        <s:is>
          <s:t>Site 2008 death count and percentage lack a compatible supplied denominator</s:t>
        </s:is>
      </s:c>
      <s:c r="V98" s="12" t="inlineStr">
        <s:is>
          <s:t>statistical_results</s:t>
        </s:is>
      </s:c>
      <s:c r="W98" s="12" t="inlineStr">
        <s:is>
          <s:t>Site 2008 death count and percentage lack a compatible supplied denominator</s:t>
        </s:is>
      </s:c>
      <s:c r="X98" s="12" t="inlineStr">
        <s:is>
          <s:t>2025</s:t>
        </s:is>
      </s:c>
      <s:c r="Y98" s="12" t="inlineStr">
        <s:is>
          <s:t>meta_report/consistency_reclassification_2026-09-04/reclassified_candidates.json</s:t>
        </s:is>
      </s:c>
      <s:c r="Z98" s="12" t="inlineStr">
        <s:is>
          <s:t>S_W</s:t>
        </s:is>
      </s:c>
      <s:c r="AA98" s="12" t="inlineStr">
        <s:is>
          <s:t>statistical_results</s:t>
        </s:is>
      </s:c>
      <s:c r="AB98" s="12" t="inlineStr">
        <s:is>
          <s:t>retain</s:t>
        </s:is>
      </s:c>
    </s:row>
    <s:row r="99" ht="90" customFormat="1" customHeight="1" s="8">
      <s:c r="A99" s="11" t="b">
        <s:v>0</s:v>
      </s:c>
      <s:c r="B99" s="11" t="inlineStr">
        <s:is>
          <s:t>Explicit old-plan versus later-plan and reported 178/134 message total difference. Distinct from schedule arithmetic C003/C005; chronology unresolved.</s:t>
        </s:is>
      </s:c>
      <s:c r="C99" s="11" t="b">
        <s:v>1</s:v>
      </s:c>
      <s:c r="D99" s="11" t="inlineStr">
        <s:is>
          <s:t>Cross-document numeric inconsistency</s:t>
        </s:is>
      </s:c>
      <s:c r="E99" s="11" t="b">
        <s:v>1</s:v>
      </s:c>
      <s:c r="F99" s="11" t="inlineStr">
        <s:is>
          <s:t>C013</s:t>
        </s:is>
      </s:c>
      <s:c r="G99" s="11" t="inlineStr">
        <s:is>
          <s:t>2025::jama.2025.20765::C013</s:t>
        </s:is>
      </s:c>
      <s:c r="H99" s="11" t="n"/>
      <s:c r="I99" s="11" t="inlineStr">
        <s:is>
          <s:t>DOC-002 Supplement 1 — PDF p. 16, PDF p. 53, PDF p. 80, and PDF p. 101 through PDF p. 109; DOC-001 main article — PDF p. 3.</s:t>
        </s:is>
      </s:c>
      <s:c r="J99" s="11" t="b">
        <s:v>1</s:v>
      </s:c>
      <s:c r="K99" s="11" t="inlineStr">
        <s:is>
          <s:t>jama.2025.20765</s:t>
        </s:is>
      </s:c>
      <s:c r="L99" s="11" t="inlineStr">
        <s:is>
          <s:t>intervention_delivery</s:t>
        </s:is>
      </s:c>
      <s:c r="M99" s="11" t="inlineStr">
        <s:is>
          <s:t>P_R</s:t>
        </s:is>
      </s:c>
      <s:c r="N99" s="11" t="inlineStr">
        <s:is>
          <s:t>Target compares reported current-study content with supplied protocol/SAP specification. 178 versus 134 for matched six-month intervention dose.</s:t>
        </s:is>
      </s:c>
      <s:c r="O99" s="11" t="inlineStr">
        <s:is>
          <s:t>../../2025/jama.2025.20765/.ai_paper_validation/final_report_1_5_1.html</s:t>
        </s:is>
      </s:c>
      <s:c r="P99" s="11" t="inlineStr">
        <s:is>
          <s:t>2025/jama.2025.20765/.ai_paper_validation/final_report_1_5_1.md</s:t>
        </s:is>
      </s:c>
      <s:c r="Q99" s="11" t="inlineStr">
        <s:is>
          <s:t>C013</s:t>
        </s:is>
      </s:c>
      <s:c r="R99" s="11" t="inlineStr">
        <s:is>
          <s:t>Pending Human Adjudication</s:t>
        </s:is>
      </s:c>
      <s:c r="S99" s="11" t="inlineStr">
        <s:is>
          <s:t>Protocol and main-article materials give 178 and 134 messages for the six-month mTB-Tobacco participant dose without an explicit crosswalk or supersession statement.</s:t>
        </s:is>
      </s:c>
      <s:c r="T99" s="11" t="b">
        <s:v>0</s:v>
      </s:c>
      <s:c r="U99" s="11" t="inlineStr">
        <s:is>
          <s:t>Protocol message dose changes from 178 to 134 without supplied reconciliation</s:t>
        </s:is>
      </s:c>
      <s:c r="V99" s="11" t="inlineStr">
        <s:is>
          <s:t>protocol_report</s:t>
        </s:is>
      </s:c>
      <s:c r="W99" s="11" t="inlineStr">
        <s:is>
          <s:t>Protocol message dose changes from 178 to 134 without supplied reconciliation</s:t>
        </s:is>
      </s:c>
      <s:c r="X99" s="11" t="inlineStr">
        <s:is>
          <s:t>2025</s:t>
        </s:is>
      </s:c>
      <s:c r="Y99" s="11" t="inlineStr">
        <s:is>
          <s:t>meta_report/consistency_reclassification_2026-09-04/reclassified_candidates.json</s:t>
        </s:is>
      </s:c>
      <s:c r="Z99" s="11" t="inlineStr">
        <s:is>
          <s:t>P_R</s:t>
        </s:is>
      </s:c>
      <s:c r="AA99" s="11" t="inlineStr">
        <s:is>
          <s:t>protocol_report</s:t>
        </s:is>
      </s:c>
      <s:c r="AB99" s="11" t="inlineStr">
        <s:is>
          <s:t>retain</s:t>
        </s:is>
      </s:c>
    </s:row>
    <s:row r="100" ht="90" customFormat="1" customHeight="1" s="8">
      <s:c r="A100" s="12" t="b">
        <s:v>0</s:v>
      </s:c>
      <s:c r="B100" s="12" t="n"/>
      <s:c r="C100" s="12" t="b">
        <s:v>0</s:v>
      </s:c>
      <s:c r="D100" s="12" t="inlineStr">
        <s:is>
          <s:t>Cross-document numeric inconsistency</s:t>
        </s:is>
      </s:c>
      <s:c r="E100" s="12" t="b">
        <s:v>0</s:v>
      </s:c>
      <s:c r="F100" s="12" t="inlineStr">
        <s:is>
          <s:t>C001</s:t>
        </s:is>
      </s:c>
      <s:c r="G100" s="12" t="inlineStr">
        <s:is>
          <s:t>2025::jama.2025.24175::C001</s:t>
        </s:is>
      </s:c>
      <s:c r="H100" s="12" t="n"/>
      <s:c r="I100" s="12" t="inlineStr">
        <s:is>
          <s:t>DOC-001 Table 2, PDF p. 6; DOC-001 Results narrative, PDF p. 7.</s:t>
        </s:is>
      </s:c>
      <s:c r="J100" s="12" t="b">
        <s:v>1</s:v>
      </s:c>
      <s:c r="K100" s="12" t="inlineStr">
        <s:is>
          <s:t>jama.2025.24175</s:t>
        </s:is>
      </s:c>
      <s:c r="L100" s="12" t="n"/>
      <s:c r="M100" s="12" t="inlineStr">
        <s:is>
          <s:t>S_W</s:t>
        </s:is>
      </s:c>
      <s:c r="N100" s="12" t="inlineStr">
        <s:is>
          <s:t>Target is within one main article or one non-plan results supplement/workbook; no substantive plan comparison. 52/131 versus 51/131, with the same displayed 39.7% and placebo comparator.</s:t>
        </s:is>
      </s:c>
      <s:c r="O100" s="12" t="inlineStr">
        <s:is>
          <s:t>../../2025/jama.2025.24175/.ai_paper_validation/final_report_1_5_1.html</s:t>
        </s:is>
      </s:c>
      <s:c r="P100" s="12" t="inlineStr">
        <s:is>
          <s:t>2025/jama.2025.24175/.ai_paper_validation/final_report_1_5_1.md</s:t>
        </s:is>
      </s:c>
      <s:c r="Q100" s="12" t="inlineStr">
        <s:is>
          <s:t>C001</s:t>
        </s:is>
      </s:c>
      <s:c r="R100" s="12" t="inlineStr">
        <s:is>
          <s:t>Pending Human Adjudication</s:t>
        </s:is>
      </s:c>
      <s:c r="S100" s="12" t="inlineStr">
        <s:is>
          <s:t>Pending Human Adjudication. The matched day-15 responder occurrence prints 52/131 in Table 2 and 51/131 in the narrative.</s:t>
        </s:is>
      </s:c>
      <s:c r="T100" s="12" t="b">
        <s:v>1</s:v>
      </s:c>
      <s:c r="U100" s="12" t="inlineStr">
        <s:is>
          <s:t>Day-15 SOFA responder numerator differs between Table 2 and narrative</s:t>
        </s:is>
      </s:c>
      <s:c r="V100" s="12" t="inlineStr">
        <s:is>
          <s:t>report_internal_inconsistency</s:t>
        </s:is>
      </s:c>
      <s:c r="W100" s="12" t="inlineStr">
        <s:is>
          <s:t>Day-15 SOFA responder numerator differs between Table 2 and narrative</s:t>
        </s:is>
      </s:c>
      <s:c r="X100" s="12" t="inlineStr">
        <s:is>
          <s:t>2025</s:t>
        </s:is>
      </s:c>
      <s:c r="Y100" s="12" t="inlineStr">
        <s:is>
          <s:t>meta_report/consistency_reclassification_2026-09-04/reclassified_candidates.json</s:t>
        </s:is>
      </s:c>
      <s:c r="Z100" s="12" t="inlineStr">
        <s:is>
          <s:t>S_W</s:t>
        </s:is>
      </s:c>
      <s:c r="AA100" s="12" t="inlineStr">
        <s:is>
          <s:t>report_internal_inconsistency</s:t>
        </s:is>
      </s:c>
      <s:c r="AB100" s="12" t="inlineStr">
        <s:is>
          <s:t>retain</s:t>
        </s:is>
      </s:c>
    </s:row>
    <s:row r="101" ht="90" customFormat="1" customHeight="1" s="8">
      <s:c r="A101" s="11" t="b">
        <s:v>0</s:v>
      </s:c>
      <s:c r="B101" s="11" t="inlineStr">
        <s:is>
          <s:t xml:space="preserve">Final direct-source recheck explicitly does not reproduce registered mismatch; relationship denotes original registration only. </s:t>
        </s:is>
      </s:c>
      <s:c r="C101" s="11" t="b">
        <s:v>1</s:v>
      </s:c>
      <s:c r="D101" s="11" t="inlineStr">
        <s:is>
          <s:t>Measure, label, or scale inconsistency</s:t>
        </s:is>
      </s:c>
      <s:c r="E101" s="11" t="b">
        <s:v>1</s:v>
      </s:c>
      <s:c r="F101" s="11" t="inlineStr">
        <s:is>
          <s:t>C002</s:t>
        </s:is>
      </s:c>
      <s:c r="G101" s="11" t="inlineStr">
        <s:is>
          <s:t>2025::jama.2025.24175::C002</s:t>
        </s:is>
      </s:c>
      <s:c r="H101" s="11" t="n"/>
      <s:c r="I101" s="11" t="inlineStr">
        <s:is>
          <s:t>DOC-002 protocol, PDF p. 6; DOC-001 regimen, PDF p. 2.</s:t>
        </s:is>
      </s:c>
      <s:c r="J101" s="11" t="b">
        <s:v>0</s:v>
      </s:c>
      <s:c r="K101" s="11" t="inlineStr">
        <s:is>
          <s:t>jama.2025.24175</s:t>
        </s:is>
      </s:c>
      <s:c r="L101" s="11" t="inlineStr">
        <s:is>
          <s:t>intervention_delivery</s:t>
        </s:is>
      </s:c>
      <s:c r="M101" s="11" t="inlineStr">
        <s:is>
          <s:t>P_R</s:t>
        </s:is>
      </s:c>
      <s:c r="N101" s="11" t="inlineStr">
        <s:is>
          <s:t>Target compares reported current-study content with supplied protocol/SAP specification. Directly printed 100 micrograms versus 100 micrograms, not the prior 100-versus-20 comparison.</s:t>
        </s:is>
      </s:c>
      <s:c r="O101" s="11" t="inlineStr">
        <s:is>
          <s:t>../../2025/jama.2025.24175/.ai_paper_validation/final_report_1_5_1.html</s:t>
        </s:is>
      </s:c>
      <s:c r="P101" s="11" t="inlineStr">
        <s:is>
          <s:t>2025/jama.2025.24175/.ai_paper_validation/final_report_1_5_1.md</s:t>
        </s:is>
      </s:c>
      <s:c r="Q101" s="11" t="inlineStr">
        <s:is>
          <s:t>C002</s:t>
        </s:is>
      </s:c>
      <s:c r="R101" s="11" t="inlineStr">
        <s:is>
          <s:t>Pending Human Adjudication</s:t>
        </s:is>
      </s:c>
      <s:c r="S101" s="11" t="inlineStr">
        <s:is>
          <s:t>Pending Human Adjudication. Retained ID with a direct-source repair: the alleged 20-microgram protocol comparator was not reproduced.</s:t>
        </s:is>
      </s:c>
      <s:c r="T101" s="11" t="b">
        <s:v>0</s:v>
      </s:c>
      <s:c r="U101" s="11" t="inlineStr">
        <s:is>
          <s:t>Protocol and report IFN-gamma dose comparison</s:t>
        </s:is>
      </s:c>
      <s:c r="V101" s="11" t="inlineStr">
        <s:is>
          <s:t>protocol_report</s:t>
        </s:is>
      </s:c>
      <s:c r="W101" s="11" t="inlineStr">
        <s:is>
          <s:t>Protocol and report IFN-gamma dose comparison</s:t>
        </s:is>
      </s:c>
      <s:c r="X101" s="11" t="inlineStr">
        <s:is>
          <s:t>2025</s:t>
        </s:is>
      </s:c>
      <s:c r="Y101" s="11" t="inlineStr">
        <s:is>
          <s:t>meta_report/consistency_reclassification_2026-09-04/reclassified_candidates.json</s:t>
        </s:is>
      </s:c>
      <s:c r="Z101" s="11" t="inlineStr">
        <s:is>
          <s:t>P_R</s:t>
        </s:is>
      </s:c>
      <s:c r="AA101" s="11" t="inlineStr">
        <s:is>
          <s:t>protocol_report</s:t>
        </s:is>
      </s:c>
      <s:c r="AB101" s="11" t="inlineStr">
        <s:is>
          <s:t>exclude</s:t>
        </s:is>
      </s:c>
    </s:row>
    <s:row r="102" ht="90" customFormat="1" customHeight="1" s="8">
      <s:c r="A102" s="12" t="b">
        <s:v>0</s:v>
      </s:c>
      <s:c r="B102" s="12" t="inlineStr">
        <s:is>
          <s:t xml:space="preserve">Final direct-source recheck explicitly does not reproduce registered mismatch; relationship denotes original registration only. </s:t>
        </s:is>
      </s:c>
      <s:c r="C102" s="12" t="b">
        <s:v>1</s:v>
      </s:c>
      <s:c r="D102" s="12" t="inlineStr">
        <s:is>
          <s:t>Measure, label, or scale inconsistency</s:t>
        </s:is>
      </s:c>
      <s:c r="E102" s="12" t="b">
        <s:v>1</s:v>
      </s:c>
      <s:c r="F102" s="12" t="inlineStr">
        <s:is>
          <s:t>C003</s:t>
        </s:is>
      </s:c>
      <s:c r="G102" s="12" t="inlineStr">
        <s:is>
          <s:t>2025::jama.2025.24175::C003</s:t>
        </s:is>
      </s:c>
      <s:c r="H102" s="12" t="n"/>
      <s:c r="I102" s="12" t="inlineStr">
        <s:is>
          <s:t>DOC-002 protocol, PDF p. 7; DOC-001 report, PDF p. 1; DOC-002 SAP, PDF p. 66.</s:t>
        </s:is>
      </s:c>
      <s:c r="J102" s="12" t="b">
        <s:v>0</s:v>
      </s:c>
      <s:c r="K102" s="12" t="inlineStr">
        <s:is>
          <s:t>jama.2025.24175</s:t>
        </s:is>
      </s:c>
      <s:c r="L102" s="12" t="inlineStr">
        <s:is>
          <s:t>endpoint_definition_window_hierarchy</s:t>
        </s:is>
      </s:c>
      <s:c r="M102" s="12" t="inlineStr">
        <s:is>
          <s:t>P_R</s:t>
        </s:is>
      </s:c>
      <s:c r="N102" s="12" t="inlineStr">
        <s:is>
          <s:t>Target compares reported current-study content with supplied protocol/SAP specification. 1.4 versus 1.4 in matched supplied sources, not 1.5 versus 1.4.</s:t>
        </s:is>
      </s:c>
      <s:c r="O102" s="12" t="inlineStr">
        <s:is>
          <s:t>../../2025/jama.2025.24175/.ai_paper_validation/final_report_1_5_1.html</s:t>
        </s:is>
      </s:c>
      <s:c r="P102" s="12" t="inlineStr">
        <s:is>
          <s:t>2025/jama.2025.24175/.ai_paper_validation/final_report_1_5_1.md</s:t>
        </s:is>
      </s:c>
      <s:c r="Q102" s="12" t="inlineStr">
        <s:is>
          <s:t>C003</s:t>
        </s:is>
      </s:c>
      <s:c r="R102" s="12" t="inlineStr">
        <s:is>
          <s:t>Pending Human Adjudication</s:t>
        </s:is>
      </s:c>
      <s:c r="S102" s="12" t="inlineStr">
        <s:is>
          <s:t>Pending Human Adjudication. Retained ID with a direct-source repair: the alleged 1.5-point binary cutoff was not reproduced.</s:t>
        </s:is>
      </s:c>
      <s:c r="T102" s="12" t="b">
        <s:v>0</s:v>
      </s:c>
      <s:c r="U102" s="12" t="inlineStr">
        <s:is>
          <s:t>Primary responder cutoff comparison</s:t>
        </s:is>
      </s:c>
      <s:c r="V102" s="12" t="inlineStr">
        <s:is>
          <s:t>protocol_report</s:t>
        </s:is>
      </s:c>
      <s:c r="W102" s="12" t="inlineStr">
        <s:is>
          <s:t>Primary responder cutoff comparison</s:t>
        </s:is>
      </s:c>
      <s:c r="X102" s="12" t="inlineStr">
        <s:is>
          <s:t>2025</s:t>
        </s:is>
      </s:c>
      <s:c r="Y102" s="12" t="inlineStr">
        <s:is>
          <s:t>meta_report/consistency_reclassification_2026-09-04/reclassified_candidates.json</s:t>
        </s:is>
      </s:c>
      <s:c r="Z102" s="12" t="inlineStr">
        <s:is>
          <s:t>P_R</s:t>
        </s:is>
      </s:c>
      <s:c r="AA102" s="12" t="inlineStr">
        <s:is>
          <s:t>protocol_report</s:t>
        </s:is>
      </s:c>
      <s:c r="AB102" s="12" t="inlineStr">
        <s:is>
          <s:t>exclude</s:t>
        </s:is>
      </s:c>
    </s:row>
    <s:row r="103" ht="90" customFormat="1" customHeight="1" s="8">
      <s:c r="A103" s="11" t="b">
        <s:v>0</s:v>
      </s:c>
      <s:c r="B103" s="11" t="inlineStr">
        <s:is>
          <s:t xml:space="preserve">Final direct-source recheck explicitly does not reproduce registered mismatch; relationship denotes original registration only. </s:t>
        </s:is>
      </s:c>
      <s:c r="C103" s="11" t="b">
        <s:v>1</s:v>
      </s:c>
      <s:c r="D103" s="11" t="inlineStr">
        <s:is>
          <s:t>Measure, label, or scale inconsistency</s:t>
        </s:is>
      </s:c>
      <s:c r="E103" s="11" t="b">
        <s:v>1</s:v>
      </s:c>
      <s:c r="F103" s="11" t="inlineStr">
        <s:is>
          <s:t>C004</s:t>
        </s:is>
      </s:c>
      <s:c r="G103" s="11" t="inlineStr">
        <s:is>
          <s:t>2025::jama.2025.24175::C004</s:t>
        </s:is>
      </s:c>
      <s:c r="H103" s="11" t="n"/>
      <s:c r="I103" s="11" t="inlineStr">
        <s:is>
          <s:t>DOC-002 protocol, PDF p. 9; DOC-003 eMethods, PDF p. 13; DOC-002 SAP reversal definition, PDF p. 69.</s:t>
        </s:is>
      </s:c>
      <s:c r="J103" s="11" t="b">
        <s:v>0</s:v>
      </s:c>
      <s:c r="K103" s="11" t="inlineStr">
        <s:is>
          <s:t>jama.2025.24175</s:t>
        </s:is>
      </s:c>
      <s:c r="L103" s="11" t="inlineStr">
        <s:is>
          <s:t>population_recruitment_sites</s:t>
        </s:is>
      </s:c>
      <s:c r="M103" s="11" t="inlineStr">
        <s:is>
          <s:t>P_R</s:t>
        </s:is>
      </s:c>
      <s:c r="N103" s="11" t="inlineStr">
        <s:is>
          <s:t>Target compares reported current-study content with supplied protocol/SAP specification. Entry threshold 5000 versus separately defined reversal threshold 8000.</s:t>
        </s:is>
      </s:c>
      <s:c r="O103" s="11" t="inlineStr">
        <s:is>
          <s:t>../../2025/jama.2025.24175/.ai_paper_validation/final_report_1_5_1.html</s:t>
        </s:is>
      </s:c>
      <s:c r="P103" s="11" t="inlineStr">
        <s:is>
          <s:t>2025/jama.2025.24175/.ai_paper_validation/final_report_1_5_1.md</s:t>
        </s:is>
      </s:c>
      <s:c r="Q103" s="11" t="inlineStr">
        <s:is>
          <s:t>C004</s:t>
        </s:is>
      </s:c>
      <s:c r="R103" s="11" t="inlineStr">
        <s:is>
          <s:t>Pending Human Adjudication</s:t>
        </s:is>
      </s:c>
      <s:c r="S103" s="11" t="inlineStr">
        <s:is>
          <s:t>Pending Human Adjudication. Retained ID with a direct-source repair: entry sources agree at 5000, while 8000 belongs to a separately named reversal endpoint.</s:t>
        </s:is>
      </s:c>
      <s:c r="T103" s="11" t="b">
        <s:v>0</s:v>
      </s:c>
      <s:c r="U103" s="11" t="inlineStr">
        <s:is>
          <s:t>Immunoparalysis entry-classification threshold comparison</s:t>
        </s:is>
      </s:c>
      <s:c r="V103" s="11" t="inlineStr">
        <s:is>
          <s:t>protocol_report</s:t>
        </s:is>
      </s:c>
      <s:c r="W103" s="11" t="inlineStr">
        <s:is>
          <s:t>Immunoparalysis entry-classification threshold comparison</s:t>
        </s:is>
      </s:c>
      <s:c r="X103" s="11" t="inlineStr">
        <s:is>
          <s:t>2025</s:t>
        </s:is>
      </s:c>
      <s:c r="Y103" s="11" t="inlineStr">
        <s:is>
          <s:t>meta_report/consistency_reclassification_2026-09-04/reclassified_candidates.json</s:t>
        </s:is>
      </s:c>
      <s:c r="Z103" s="11" t="inlineStr">
        <s:is>
          <s:t>P_R</s:t>
        </s:is>
      </s:c>
      <s:c r="AA103" s="11" t="inlineStr">
        <s:is>
          <s:t>protocol_report</s:t>
        </s:is>
      </s:c>
      <s:c r="AB103" s="11" t="inlineStr">
        <s:is>
          <s:t>exclude</s:t>
        </s:is>
      </s:c>
    </s:row>
    <s:row r="104" ht="90" customFormat="1" customHeight="1" s="8">
      <s:c r="A104" s="12" t="b">
        <s:v>0</s:v>
      </s:c>
      <s:c r="B104" s="12" t="inlineStr">
        <s:is>
          <s:t>Original 112 input not reproduced, repaired 117 input leaves only approximate attrition/rounding question. Retained as repaired_residual, not fully negated.</s:t>
        </s:is>
      </s:c>
      <s:c r="C104" s="12" t="b">
        <s:v>1</s:v>
      </s:c>
      <s:c r="D104" s="12" t="inlineStr">
        <s:is>
          <s:t>Denominator, proportion, or total inconsistency</s:t>
        </s:is>
      </s:c>
      <s:c r="E104" s="12" t="b">
        <s:v>0</s:v>
      </s:c>
      <s:c r="F104" s="12" t="inlineStr">
        <s:is>
          <s:t>C005</s:t>
        </s:is>
      </s:c>
      <s:c r="G104" s="12" t="inlineStr">
        <s:is>
          <s:t>2025::jama.2025.24175::C005</s:t>
        </s:is>
      </s:c>
      <s:c r="H104" s="12" t="n"/>
      <s:c r="I104" s="12" t="inlineStr">
        <s:is>
          <s:t>DOC-002 protocol, PDF p. 25 and PDF p. 26.</s:t>
        </s:is>
      </s:c>
      <s:c r="J104" s="12" t="b">
        <s:v>0</s:v>
      </s:c>
      <s:c r="K104" s="12" t="inlineStr">
        <s:is>
          <s:t>jama.2025.24175</s:t>
        </s:is>
      </s:c>
      <s:c r="L104" s="12" t="n"/>
      <s:c r="M104" s="12" t="inlineStr">
        <s:is>
          <s:t>P_P</s:t>
        </s:is>
      </s:c>
      <s:c r="N104" s="12" t="inlineStr">
        <s:is>
          <s:t>Target is internal to protocol/SAP definitions, calculations, or plan versions; final results are not the conflicting comparator. Required analyzable total 234 versus planned randomization 280 under an approximate attrition statement.</s:t>
        </s:is>
      </s:c>
      <s:c r="O104" s="12" t="inlineStr">
        <s:is>
          <s:t>../../2025/jama.2025.24175/.ai_paper_validation/final_report_1_5_1.html</s:t>
        </s:is>
      </s:c>
      <s:c r="P104" s="12" t="inlineStr">
        <s:is>
          <s:t>2025/jama.2025.24175/.ai_paper_validation/final_report_1_5_1.md</s:t>
        </s:is>
      </s:c>
      <s:c r="Q104" s="12" t="inlineStr">
        <s:is>
          <s:t>C005</s:t>
        </s:is>
      </s:c>
      <s:c r="R104" s="12" t="inlineStr">
        <s:is>
          <s:t>Pending Human Adjudication</s:t>
        </s:is>
      </s:c>
      <s:c r="S104" s="12" t="inlineStr">
        <s:is>
          <s:t>Pending Human Adjudication. Retained ID with repaired direct inputs: protocol prints 117 per arm, about 15% dropout, and total randomization 280.</s:t>
        </s:is>
      </s:c>
      <s:c r="T104" s="12" t="b">
        <s:v>0</s:v>
      </s:c>
      <s:c r="U104" s="12" t="inlineStr">
        <s:is>
          <s:t>Protocol sample-size, dropout, and total-target arithmetic</s:t>
        </s:is>
      </s:c>
      <s:c r="V104" s="12" t="inlineStr">
        <s:is>
          <s:t>plan_material</s:t>
        </s:is>
      </s:c>
      <s:c r="W104" s="12" t="inlineStr">
        <s:is>
          <s:t>Protocol sample-size, dropout, and total-target arithmetic</s:t>
        </s:is>
      </s:c>
      <s:c r="X104" s="12" t="inlineStr">
        <s:is>
          <s:t>2025</s:t>
        </s:is>
      </s:c>
      <s:c r="Y104" s="12" t="inlineStr">
        <s:is>
          <s:t>meta_report/consistency_reclassification_2026-09-04/reclassified_candidates.json</s:t>
        </s:is>
      </s:c>
      <s:c r="Z104" s="12" t="inlineStr">
        <s:is>
          <s:t>P_P</s:t>
        </s:is>
      </s:c>
      <s:c r="AA104" s="12" t="inlineStr">
        <s:is>
          <s:t>plan_material</s:t>
        </s:is>
      </s:c>
      <s:c r="AB104" s="12" t="inlineStr">
        <s:is>
          <s:t>retain</s:t>
        </s:is>
      </s:c>
    </s:row>
    <s:row r="105" ht="90" customFormat="1" customHeight="1" s="8">
      <s:c r="A105" s="11" t="b">
        <s:v>0</s:v>
      </s:c>
      <s:c r="B105" s="11" t="inlineStr">
        <s:is>
          <s:t xml:space="preserve"> Historical PROVIDE study results presented in protocol background; not current ImmunoSep observed results. Protocol footer and introduction directly inspected in stored page render.</s:t>
        </s:is>
      </s:c>
      <s:c r="C105" s="11" t="b">
        <s:v>1</s:v>
      </s:c>
      <s:c r="D105" s="11" t="inlineStr">
        <s:is>
          <s:t>Cross-document numeric inconsistency</s:t>
        </s:is>
      </s:c>
      <s:c r="E105" s="11" t="b">
        <s:v>0</s:v>
      </s:c>
      <s:c r="F105" s="11" t="inlineStr">
        <s:is>
          <s:t>C006</s:t>
        </s:is>
      </s:c>
      <s:c r="G105" s="11" t="inlineStr">
        <s:is>
          <s:t>2025::jama.2025.24175::C006</s:t>
        </s:is>
      </s:c>
      <s:c r="H105" s="11" t="inlineStr">
        <s:is>
          <s:t>P_B</s:t>
        </s:is>
      </s:c>
      <s:c r="I105" s="11" t="inlineStr">
        <s:is>
          <s:t>DOC-002 narrative, PDF p. 41; DOC-002 Figure 1, PDF p. 50.</s:t>
        </s:is>
      </s:c>
      <s:c r="J105" s="11" t="b">
        <s:v>1</s:v>
      </s:c>
      <s:c r="K105" s="11" t="inlineStr">
        <s:is>
          <s:t>jama.2025.24175</s:t>
        </s:is>
      </s:c>
      <s:c r="L105" s="11" t="n"/>
      <s:c r="M105" s="11" t="inlineStr">
        <s:is>
          <s:t>P_P</s:t>
        </s:is>
      </s:c>
      <s:c r="N105" s="11" t="inlineStr">
        <s:is>
          <s:t>Target concerns historical/background results inside the protocol, not the current trial plan or submitted main/results supplement. Personalized arm 14 versus 11; placebo count 18 agrees.</s:t>
        </s:is>
      </s:c>
      <s:c r="O105" s="11" t="inlineStr">
        <s:is>
          <s:t>../../2025/jama.2025.24175/.ai_paper_validation/final_report_1_5_1.html</s:t>
        </s:is>
      </s:c>
      <s:c r="P105" s="11" t="inlineStr">
        <s:is>
          <s:t>2025/jama.2025.24175/.ai_paper_validation/final_report_1_5_1.md</s:t>
        </s:is>
      </s:c>
      <s:c r="Q105" s="11" t="inlineStr">
        <s:is>
          <s:t>C006</s:t>
        </s:is>
      </s:c>
      <s:c r="R105" s="11" t="inlineStr">
        <s:is>
          <s:t>Pending Human Adjudication</s:t>
        </s:is>
      </s:c>
      <s:c r="S105" s="11" t="inlineStr">
        <s:is>
          <s:t>Pending Human Adjudication. The personalized-immunotherapy death count is 14 in the narrative and 11 in the flow figure, conditional on a matched time window.</s:t>
        </s:is>
      </s:c>
      <s:c r="T105" s="11" t="b">
        <s:v>0</s:v>
      </s:c>
      <s:c r="U105" s="11" t="inlineStr">
        <s:is>
          <s:t>Historical-trial narrative and flow diagram death counts</s:t>
        </s:is>
      </s:c>
      <s:c r="V105" s="11" t="inlineStr">
        <s:is>
          <s:t>plan_material</s:t>
        </s:is>
      </s:c>
      <s:c r="W105" s="11" t="inlineStr">
        <s:is>
          <s:t>Historical-trial narrative and flow diagram death counts</s:t>
        </s:is>
      </s:c>
      <s:c r="X105" s="11" t="inlineStr">
        <s:is>
          <s:t>2025</s:t>
        </s:is>
      </s:c>
      <s:c r="Y105" s="11" t="inlineStr">
        <s:is>
          <s:t>meta_report/consistency_reclassification_2026-09-04/reclassified_candidates.json</s:t>
        </s:is>
      </s:c>
      <s:c r="Z105" s="11" t="inlineStr">
        <s:is>
          <s:t>P_P</s:t>
        </s:is>
      </s:c>
      <s:c r="AA105" s="11" t="inlineStr">
        <s:is>
          <s:t>plan_material</s:t>
        </s:is>
      </s:c>
      <s:c r="AB105" s="11" t="inlineStr">
        <s:is>
          <s:t>retain</s:t>
        </s:is>
      </s:c>
    </s:row>
    <s:row r="106" ht="90" customFormat="1" customHeight="1" s="8">
      <s:c r="A106" s="12" t="b">
        <s:v>0</s:v>
      </s:c>
      <s:c r="B106" s="12" t="inlineStr">
        <s:is>
          <s:t xml:space="preserve"> Historical PROVIDE study results presented in protocol background; not current ImmunoSep observed results. Protocol footer and introduction directly inspected in stored page render.</s:t>
        </s:is>
      </s:c>
      <s:c r="C106" s="12" t="b">
        <s:v>1</s:v>
      </s:c>
      <s:c r="D106" s="12" t="inlineStr">
        <s:is>
          <s:t>Statistical reporting inconsistency</s:t>
        </s:is>
      </s:c>
      <s:c r="E106" s="12" t="b">
        <s:v>0</s:v>
      </s:c>
      <s:c r="F106" s="12" t="inlineStr">
        <s:is>
          <s:t>C007</s:t>
        </s:is>
      </s:c>
      <s:c r="G106" s="12" t="inlineStr">
        <s:is>
          <s:t>2025::jama.2025.24175::C007</s:t>
        </s:is>
      </s:c>
      <s:c r="H106" s="12" t="inlineStr">
        <s:is>
          <s:t>P_B</s:t>
        </s:is>
      </s:c>
      <s:c r="I106" s="12" t="inlineStr">
        <s:is>
          <s:t>DOC-002 Table 2, PDF p. 48.</s:t>
        </s:is>
      </s:c>
      <s:c r="J106" s="12" t="b">
        <s:v>0</s:v>
      </s:c>
      <s:c r="K106" s="12" t="inlineStr">
        <s:is>
          <s:t>jama.2025.24175</s:t>
        </s:is>
      </s:c>
      <s:c r="L106" s="12" t="n"/>
      <s:c r="M106" s="12" t="inlineStr">
        <s:is>
          <s:t>P_P</s:t>
        </s:is>
      </s:c>
      <s:c r="N106" s="12" t="inlineStr">
        <s:is>
          <s:t>Target concerns historical/background results inside the protocol, not the current trial plan or submitted main/results supplement. Printed P=.376 versus diagnostics from the displayed group summaries and named test.</s:t>
        </s:is>
      </s:c>
      <s:c r="O106" s="12" t="inlineStr">
        <s:is>
          <s:t>../../2025/jama.2025.24175/.ai_paper_validation/final_report_1_5_1.html</s:t>
        </s:is>
      </s:c>
      <s:c r="P106" s="12" t="inlineStr">
        <s:is>
          <s:t>2025/jama.2025.24175/.ai_paper_validation/final_report_1_5_1.md</s:t>
        </s:is>
      </s:c>
      <s:c r="Q106" s="12" t="inlineStr">
        <s:is>
          <s:t>C007</s:t>
        </s:is>
      </s:c>
      <s:c r="R106" s="12" t="inlineStr">
        <s:is>
          <s:t>Pending Human Adjudication</s:t>
        </s:is>
      </s:c>
      <s:c r="S106" s="12" t="inlineStr">
        <s:is>
          <s:t>Pending Human Adjudication. The printed P=.376 is not compatible with conventional two-group calculations from the displayed Student t-test inputs.</s:t>
        </s:is>
      </s:c>
      <s:c r="T106" s="12" t="b">
        <s:v>0</s:v>
      </s:c>
      <s:c r="U106" s="12" t="inlineStr">
        <s:is>
          <s:t>APACHE II Table 2 P value versus displayed t-test inputs</s:t>
        </s:is>
      </s:c>
      <s:c r="V106" s="12" t="inlineStr">
        <s:is>
          <s:t>plan_material</s:t>
        </s:is>
      </s:c>
      <s:c r="W106" s="12" t="inlineStr">
        <s:is>
          <s:t>APACHE II Table 2 P value versus displayed t-test inputs</s:t>
        </s:is>
      </s:c>
      <s:c r="X106" s="12" t="inlineStr">
        <s:is>
          <s:t>2025</s:t>
        </s:is>
      </s:c>
      <s:c r="Y106" s="12" t="inlineStr">
        <s:is>
          <s:t>meta_report/consistency_reclassification_2026-09-04/reclassified_candidates.json</s:t>
        </s:is>
      </s:c>
      <s:c r="Z106" s="12" t="inlineStr">
        <s:is>
          <s:t>P_P</s:t>
        </s:is>
      </s:c>
      <s:c r="AA106" s="12" t="inlineStr">
        <s:is>
          <s:t>plan_material</s:t>
        </s:is>
      </s:c>
      <s:c r="AB106" s="12" t="inlineStr">
        <s:is>
          <s:t>retain</s:t>
        </s:is>
      </s:c>
    </s:row>
    <s:row r="107" ht="90" customFormat="1" customHeight="1" s="8">
      <s:c r="A107" s="11" t="b">
        <s:v>0</s:v>
      </s:c>
      <s:c r="B107" s="11" t="inlineStr">
        <s:is>
          <s:t xml:space="preserve"> Historical PROVIDE study results presented in protocol background; not current ImmunoSep observed results. Protocol footer and introduction directly inspected in stored page render.</s:t>
        </s:is>
      </s:c>
      <s:c r="C107" s="11" t="b">
        <s:v>1</s:v>
      </s:c>
      <s:c r="D107" s="11" t="inlineStr">
        <s:is>
          <s:t>Denominator, proportion, or total inconsistency</s:t>
        </s:is>
      </s:c>
      <s:c r="E107" s="11" t="b">
        <s:v>0</s:v>
      </s:c>
      <s:c r="F107" s="11" t="inlineStr">
        <s:is>
          <s:t>C008</s:t>
        </s:is>
      </s:c>
      <s:c r="G107" s="11" t="inlineStr">
        <s:is>
          <s:t>2025::jama.2025.24175::C008</s:t>
        </s:is>
      </s:c>
      <s:c r="H107" s="11" t="inlineStr">
        <s:is>
          <s:t>P_B</s:t>
        </s:is>
      </s:c>
      <s:c r="I107" s="11" t="inlineStr">
        <s:is>
          <s:t>DOC-002 Figure 1, PDF p. 50.</s:t>
        </s:is>
      </s:c>
      <s:c r="J107" s="11" t="b">
        <s:v>0</s:v>
      </s:c>
      <s:c r="K107" s="11" t="inlineStr">
        <s:is>
          <s:t>jama.2025.24175</s:t>
        </s:is>
      </s:c>
      <s:c r="L107" s="11" t="n"/>
      <s:c r="M107" s="11" t="inlineStr">
        <s:is>
          <s:t>P_P</s:t>
        </s:is>
      </s:c>
      <s:c r="N107" s="11" t="inlineStr">
        <s:is>
          <s:t>Target concerns historical/background results inside the protocol, not the current trial plan or submitted main/results supplement. Parent 177 versus displayed child total 178.</s:t>
        </s:is>
      </s:c>
      <s:c r="O107" s="11" t="inlineStr">
        <s:is>
          <s:t>../../2025/jama.2025.24175/.ai_paper_validation/final_report_1_5_1.html</s:t>
        </s:is>
      </s:c>
      <s:c r="P107" s="11" t="inlineStr">
        <s:is>
          <s:t>2025/jama.2025.24175/.ai_paper_validation/final_report_1_5_1.md</s:t>
        </s:is>
      </s:c>
      <s:c r="Q107" s="11" t="inlineStr">
        <s:is>
          <s:t>C008</s:t>
        </s:is>
      </s:c>
      <s:c r="R107" s="11" t="inlineStr">
        <s:is>
          <s:t>Pending Human Adjudication</s:t>
        </s:is>
      </s:c>
      <s:c r="S107" s="11" t="inlineStr">
        <s:is>
          <s:t>Pending Human Adjudication. Displayed child classifications sum to 178 under a parent total of 177.</s:t>
        </s:is>
      </s:c>
      <s:c r="T107" s="11" t="b">
        <s:v>0</s:v>
      </s:c>
      <s:c r="U107" s="11" t="inlineStr">
        <s:is>
          <s:t>Figure 1 septic-shock classification children exceed their parent total</s:t>
        </s:is>
      </s:c>
      <s:c r="V107" s="11" t="inlineStr">
        <s:is>
          <s:t>plan_material</s:t>
        </s:is>
      </s:c>
      <s:c r="W107" s="11" t="inlineStr">
        <s:is>
          <s:t>Figure 1 septic-shock classification children exceed their parent total</s:t>
        </s:is>
      </s:c>
      <s:c r="X107" s="11" t="inlineStr">
        <s:is>
          <s:t>2025</s:t>
        </s:is>
      </s:c>
      <s:c r="Y107" s="11" t="inlineStr">
        <s:is>
          <s:t>meta_report/consistency_reclassification_2026-09-04/reclassified_candidates.json</s:t>
        </s:is>
      </s:c>
      <s:c r="Z107" s="11" t="inlineStr">
        <s:is>
          <s:t>P_P</s:t>
        </s:is>
      </s:c>
      <s:c r="AA107" s="11" t="inlineStr">
        <s:is>
          <s:t>plan_material</s:t>
        </s:is>
      </s:c>
      <s:c r="AB107" s="11" t="inlineStr">
        <s:is>
          <s:t>retain</s:t>
        </s:is>
      </s:c>
    </s:row>
    <s:row r="108" ht="90" customFormat="1" customHeight="1" s="8">
      <s:c r="A108" s="12" t="b">
        <s:v>0</s:v>
      </s:c>
      <s:c r="B108" s="12" t="inlineStr">
        <s:is>
          <s:t>Original 28 corrected to24, but repaired 24/31/33 mismatch remains. Both plan internal and final-vs-plan contexts; milestone definitions missing.</s:t>
        </s:is>
      </s:c>
      <s:c r="C108" s="12" t="b">
        <s:v>1</s:v>
      </s:c>
      <s:c r="D108" s="12" t="inlineStr">
        <s:is>
          <s:t>Cross-document numeric inconsistency</s:t>
        </s:is>
      </s:c>
      <s:c r="E108" s="12" t="b">
        <s:v>1</s:v>
      </s:c>
      <s:c r="F108" s="12" t="inlineStr">
        <s:is>
          <s:t>C009</s:t>
        </s:is>
      </s:c>
      <s:c r="G108" s="12" t="inlineStr">
        <s:is>
          <s:t>2025::jama.2025.24175::C009</s:t>
        </s:is>
      </s:c>
      <s:c r="H108" s="12" t="n"/>
      <s:c r="I108" s="12" t="inlineStr">
        <s:is>
          <s:t>DOC-001 report, PDF p. 2; DOC-002 protocol, PDF p. 10; DOC-002 SAP, PDF p. 65; PDF p. 67.</s:t>
        </s:is>
      </s:c>
      <s:c r="J108" s="12" t="b">
        <s:v>1</s:v>
      </s:c>
      <s:c r="K108" s="12" t="inlineStr">
        <s:is>
          <s:t>jama.2025.24175</s:t>
        </s:is>
      </s:c>
      <s:c r="L108" s="12" t="inlineStr">
        <s:is>
          <s:t>population_recruitment_sites</s:t>
        </s:is>
      </s:c>
      <s:c r="M108" s="12" t="inlineStr">
        <s:is>
          <s:t>P_R</s:t>
        </s:is>
      </s:c>
      <s:c r="N108" s="12" t="inlineStr">
        <s:is>
          <s:t>Target compares reported current-study content with supplied protocol/SAP specification. Repaired direct values 24, 31, and 33; prior 28 and report p.1 citation were not reproduced.</s:t>
        </s:is>
      </s:c>
      <s:c r="O108" s="12" t="inlineStr">
        <s:is>
          <s:t>../../2025/jama.2025.24175/.ai_paper_validation/final_report_1_5_1.html</s:t>
        </s:is>
      </s:c>
      <s:c r="P108" s="12" t="inlineStr">
        <s:is>
          <s:t>2025/jama.2025.24175/.ai_paper_validation/final_report_1_5_1.md</s:t>
        </s:is>
      </s:c>
      <s:c r="Q108" s="12" t="inlineStr">
        <s:is>
          <s:t>C009</s:t>
        </s:is>
      </s:c>
      <s:c r="R108" s="12" t="inlineStr">
        <s:is>
          <s:t>Pending Human Adjudication</s:t>
        </s:is>
      </s:c>
      <s:c r="S108" s="12" t="inlineStr">
        <s:is>
          <s:t>Pending Human Adjudication. Retained ID with repaired direct-source values: 24, 31, and 33 sites require milestone definitions.</s:t>
        </s:is>
      </s:c>
      <s:c r="T108" s="12" t="b">
        <s:v>0</s:v>
      </s:c>
      <s:c r="U108" s="12" t="inlineStr">
        <s:is>
          <s:t>ImmunoSep study-site totals across report, protocol, and SAP</s:t>
        </s:is>
      </s:c>
      <s:c r="V108" s="12" t="inlineStr">
        <s:is>
          <s:t>protocol_report</s:t>
        </s:is>
      </s:c>
      <s:c r="W108" s="12" t="inlineStr">
        <s:is>
          <s:t>ImmunoSep study-site totals across report, protocol, and SAP</s:t>
        </s:is>
      </s:c>
      <s:c r="X108" s="12" t="inlineStr">
        <s:is>
          <s:t>2025</s:t>
        </s:is>
      </s:c>
      <s:c r="Y108" s="12" t="inlineStr">
        <s:is>
          <s:t>meta_report/consistency_reclassification_2026-09-04/reclassified_candidates.json</s:t>
        </s:is>
      </s:c>
      <s:c r="Z108" s="12" t="inlineStr">
        <s:is>
          <s:t>P_R</s:t>
        </s:is>
      </s:c>
      <s:c r="AA108" s="12" t="inlineStr">
        <s:is>
          <s:t>protocol_report</s:t>
        </s:is>
      </s:c>
      <s:c r="AB108" s="12" t="inlineStr">
        <s:is>
          <s:t>retain</s:t>
        </s:is>
      </s:c>
    </s:row>
    <s:row r="109" ht="90" customFormat="1" customHeight="1" s="8">
      <s:c r="A109" s="11" t="b">
        <s:v>0</s:v>
      </s:c>
      <s:c r="B109" s="11" t="inlineStr">
        <s:is>
          <s:t xml:space="preserve"> Historical PROVIDE study results presented in protocol background; not current ImmunoSep observed results. Protocol footer and introduction directly inspected in stored page render.</s:t>
        </s:is>
      </s:c>
      <s:c r="C109" s="11" t="b">
        <s:v>1</s:v>
      </s:c>
      <s:c r="D109" s="11" t="inlineStr">
        <s:is>
          <s:t>Measure, label, or scale inconsistency</s:t>
        </s:is>
      </s:c>
      <s:c r="E109" s="11" t="b">
        <s:v>0</s:v>
      </s:c>
      <s:c r="F109" s="11" t="inlineStr">
        <s:is>
          <s:t>C010</s:t>
        </s:is>
      </s:c>
      <s:c r="G109" s="11" t="inlineStr">
        <s:is>
          <s:t>2025::jama.2025.24175::C010</s:t>
        </s:is>
      </s:c>
      <s:c r="H109" s="11" t="inlineStr">
        <s:is>
          <s:t>P_B</s:t>
        </s:is>
      </s:c>
      <s:c r="I109" s="11" t="inlineStr">
        <s:is>
          <s:t>DOC-002 Figure 2C, PDF p. 51; DOC-002 Figure 3, PDF p. 52.</s:t>
        </s:is>
      </s:c>
      <s:c r="J109" s="11" t="b">
        <s:v>0</s:v>
      </s:c>
      <s:c r="K109" s="11" t="inlineStr">
        <s:is>
          <s:t>jama.2025.24175</s:t>
        </s:is>
      </s:c>
      <s:c r="L109" s="11" t="n"/>
      <s:c r="M109" s="11" t="inlineStr">
        <s:is>
          <s:t>P_P</s:t>
        </s:is>
      </s:c>
      <s:c r="N109" s="11" t="inlineStr">
        <s:is>
          <s:t>Target concerns historical/background results inside the protocol, not the current trial plan or submitted main/results supplement. RR label/value 2.82 versus crude RR 1.61 and identical nearby HR 2.82.</s:t>
        </s:is>
      </s:c>
      <s:c r="O109" s="11" t="inlineStr">
        <s:is>
          <s:t>../../2025/jama.2025.24175/.ai_paper_validation/final_report_1_5_1.html</s:t>
        </s:is>
      </s:c>
      <s:c r="P109" s="11" t="inlineStr">
        <s:is>
          <s:t>2025/jama.2025.24175/.ai_paper_validation/final_report_1_5_1.md</s:t>
        </s:is>
      </s:c>
      <s:c r="Q109" s="11" t="inlineStr">
        <s:is>
          <s:t>C010</s:t>
        </s:is>
      </s:c>
      <s:c r="R109" s="11" t="inlineStr">
        <s:is>
          <s:t>Pending Human Adjudication</s:t>
        </s:is>
      </s:c>
      <s:c r="S109" s="11" t="inlineStr">
        <s:is>
          <s:t>Pending Human Adjudication. Figure 2C labels 2.82 (1.58-5.14) as RR although displayed counts give a crude RR of 1.61 and the same value/CI appears as an HR in Figure 3.</s:t>
        </s:is>
      </s:c>
      <s:c r="T109" s="11" t="b">
        <s:v>0</s:v>
      </s:c>
      <s:c r="U109" s="11" t="inlineStr">
        <s:is>
          <s:t>Figure 2C relative-risk label versus displayed association</s:t>
        </s:is>
      </s:c>
      <s:c r="V109" s="11" t="inlineStr">
        <s:is>
          <s:t>plan_material</s:t>
        </s:is>
      </s:c>
      <s:c r="W109" s="11" t="inlineStr">
        <s:is>
          <s:t>Figure 2C relative-risk label versus displayed association</s:t>
        </s:is>
      </s:c>
      <s:c r="X109" s="11" t="inlineStr">
        <s:is>
          <s:t>2025</s:t>
        </s:is>
      </s:c>
      <s:c r="Y109" s="11" t="inlineStr">
        <s:is>
          <s:t>meta_report/consistency_reclassification_2026-09-04/reclassified_candidates.json</s:t>
        </s:is>
      </s:c>
      <s:c r="Z109" s="11" t="inlineStr">
        <s:is>
          <s:t>P_P</s:t>
        </s:is>
      </s:c>
      <s:c r="AA109" s="11" t="inlineStr">
        <s:is>
          <s:t>plan_material</s:t>
        </s:is>
      </s:c>
      <s:c r="AB109" s="11" t="inlineStr">
        <s:is>
          <s:t>retain</s:t>
        </s:is>
      </s:c>
    </s:row>
    <s:row r="110" ht="90" customFormat="1" customHeight="1" s="8">
      <s:c r="A110" s="12" t="b">
        <s:v>0</s:v>
      </s:c>
      <s:c r="B110" s="12" t="n"/>
      <s:c r="C110" s="12" t="b">
        <s:v>0</s:v>
      </s:c>
      <s:c r="D110" s="12" t="inlineStr">
        <s:is>
          <s:t>Statistical reporting inconsistency</s:t>
        </s:is>
      </s:c>
      <s:c r="E110" s="12" t="b">
        <s:v>0</s:v>
      </s:c>
      <s:c r="F110" s="12" t="inlineStr">
        <s:is>
          <s:t>C011</s:t>
        </s:is>
      </s:c>
      <s:c r="G110" s="12" t="inlineStr">
        <s:is>
          <s:t>2025::jama.2025.24175::C011</s:t>
        </s:is>
      </s:c>
      <s:c r="H110" s="12" t="n"/>
      <s:c r="I110" s="12" t="inlineStr">
        <s:is>
          <s:t>DOC-003 eTable 10, PDF p. 22.</s:t>
        </s:is>
      </s:c>
      <s:c r="J110" s="12" t="b">
        <s:v>0</s:v>
      </s:c>
      <s:c r="K110" s="12" t="inlineStr">
        <s:is>
          <s:t>jama.2025.24175</s:t>
        </s:is>
      </s:c>
      <s:c r="L110" s="12" t="n"/>
      <s:c r="M110" s="12" t="inlineStr">
        <s:is>
          <s:t>S_W</s:t>
        </s:is>
      </s:c>
      <s:c r="N110" s="12" t="inlineStr">
        <s:is>
          <s:t>Target is within one main article or one non-plan results supplement/workbook; no substantive plan comparison. Printed 1.194 versus count-derived OR about 1.94 and CI log midpoint about 1.94.</s:t>
        </s:is>
      </s:c>
      <s:c r="O110" s="12" t="inlineStr">
        <s:is>
          <s:t>../../2025/jama.2025.24175/.ai_paper_validation/final_report_1_5_1.html</s:t>
        </s:is>
      </s:c>
      <s:c r="P110" s="12" t="inlineStr">
        <s:is>
          <s:t>2025/jama.2025.24175/.ai_paper_validation/final_report_1_5_1.md</s:t>
        </s:is>
      </s:c>
      <s:c r="Q110" s="12" t="inlineStr">
        <s:is>
          <s:t>C011</s:t>
        </s:is>
      </s:c>
      <s:c r="R110" s="12" t="inlineStr">
        <s:is>
          <s:t>Pending Human Adjudication</s:t>
        </s:is>
      </s:c>
      <s:c r="S110" s="12" t="inlineStr">
        <s:is>
          <s:t>Pending Human Adjudication. Printed OR 1.194 does not reconcile with the count-derived crude OR and interval midpoint.</s:t>
        </s:is>
      </s:c>
      <s:c r="T110" s="12" t="b">
        <s:v>1</s:v>
      </s:c>
      <s:c r="U110" s="12" t="inlineStr">
        <s:is>
          <s:t>eTable 10 SII day-15 OR versus counts, CI, and P value</s:t>
        </s:is>
      </s:c>
      <s:c r="V110" s="12" t="inlineStr">
        <s:is>
          <s:t>statistical_results</s:t>
        </s:is>
      </s:c>
      <s:c r="W110" s="12" t="inlineStr">
        <s:is>
          <s:t>eTable 10 SII day-15 OR versus counts, CI, and P value</s:t>
        </s:is>
      </s:c>
      <s:c r="X110" s="12" t="inlineStr">
        <s:is>
          <s:t>2025</s:t>
        </s:is>
      </s:c>
      <s:c r="Y110" s="12" t="inlineStr">
        <s:is>
          <s:t>meta_report/consistency_reclassification_2026-09-04/reclassified_candidates.json</s:t>
        </s:is>
      </s:c>
      <s:c r="Z110" s="12" t="inlineStr">
        <s:is>
          <s:t>S_W</s:t>
        </s:is>
      </s:c>
      <s:c r="AA110" s="12" t="inlineStr">
        <s:is>
          <s:t>statistical_results</s:t>
        </s:is>
      </s:c>
      <s:c r="AB110" s="12" t="inlineStr">
        <s:is>
          <s:t>retain</s:t>
        </s:is>
      </s:c>
    </s:row>
    <s:row r="111" ht="90" customFormat="1" customHeight="1" s="8">
      <s:c r="A111" s="11" t="b">
        <s:v>0</s:v>
      </s:c>
      <s:c r="B111" s="11" t="n"/>
      <s:c r="C111" s="11" t="b">
        <s:v>0</s:v>
      </s:c>
      <s:c r="D111" s="11" t="inlineStr">
        <s:is>
          <s:t>Cross-document numeric inconsistency</s:t>
        </s:is>
      </s:c>
      <s:c r="E111" s="11" t="b">
        <s:v>0</s:v>
      </s:c>
      <s:c r="F111" s="11" t="inlineStr">
        <s:is>
          <s:t>C012</s:t>
        </s:is>
      </s:c>
      <s:c r="G111" s="11" t="inlineStr">
        <s:is>
          <s:t>2025::jama.2025.24175::C012</s:t>
        </s:is>
      </s:c>
      <s:c r="H111" s="11" t="n"/>
      <s:c r="I111" s="11" t="inlineStr">
        <s:is>
          <s:t>DOC-003 eFigure 7B, PDF p. 51; DOC-003 eFigure 8B, PDF p. 52.</s:t>
        </s:is>
      </s:c>
      <s:c r="J111" s="11" t="b">
        <s:v>1</s:v>
      </s:c>
      <s:c r="K111" s="11" t="inlineStr">
        <s:is>
          <s:t>jama.2025.24175</s:t>
        </s:is>
      </s:c>
      <s:c r="L111" s="11" t="n"/>
      <s:c r="M111" s="11" t="inlineStr">
        <s:is>
          <s:t>S_W</s:t>
        </s:is>
      </s:c>
      <s:c r="N111" s="11" t="inlineStr">
        <s:is>
          <s:t>Target is within one main article or one non-plan results supplement/workbook; no substantive plan comparison. Complete six-row primary-endpoint output versus identical six-row 28-day-mortality output.</s:t>
        </s:is>
      </s:c>
      <s:c r="O111" s="11" t="inlineStr">
        <s:is>
          <s:t>../../2025/jama.2025.24175/.ai_paper_validation/final_report_1_5_1.html</s:t>
        </s:is>
      </s:c>
      <s:c r="P111" s="11" t="inlineStr">
        <s:is>
          <s:t>2025/jama.2025.24175/.ai_paper_validation/final_report_1_5_1.md</s:t>
        </s:is>
      </s:c>
      <s:c r="Q111" s="11" t="inlineStr">
        <s:is>
          <s:t>C012</s:t>
        </s:is>
      </s:c>
      <s:c r="R111" s="11" t="inlineStr">
        <s:is>
          <s:t>Pending Human Adjudication</s:t>
        </s:is>
      </s:c>
      <s:c r="S111" s="11" t="inlineStr">
        <s:is>
          <s:t>Pending Human Adjudication. Six OR/CI/P rows repeat exactly under primary-endpoint and 28-day-mortality captions.</s:t>
        </s:is>
      </s:c>
      <s:c r="T111" s="11" t="b">
        <s:v>1</s:v>
      </s:c>
      <s:c r="U111" s="11" t="inlineStr">
        <s:is>
          <s:t>eFigure 8B repeats eFigure 7B interaction results under a different outcome caption</s:t>
        </s:is>
      </s:c>
      <s:c r="V111" s="11" t="inlineStr">
        <s:is>
          <s:t>report_internal_inconsistency</s:t>
        </s:is>
      </s:c>
      <s:c r="W111" s="11" t="inlineStr">
        <s:is>
          <s:t>eFigure 8B repeats eFigure 7B interaction results under a different outcome caption</s:t>
        </s:is>
      </s:c>
      <s:c r="X111" s="11" t="inlineStr">
        <s:is>
          <s:t>2025</s:t>
        </s:is>
      </s:c>
      <s:c r="Y111" s="11" t="inlineStr">
        <s:is>
          <s:t>meta_report/consistency_reclassification_2026-09-04/reclassified_candidates.json</s:t>
        </s:is>
      </s:c>
      <s:c r="Z111" s="11" t="inlineStr">
        <s:is>
          <s:t>S_W</s:t>
        </s:is>
      </s:c>
      <s:c r="AA111" s="11" t="inlineStr">
        <s:is>
          <s:t>report_internal_inconsistency</s:t>
        </s:is>
      </s:c>
      <s:c r="AB111" s="11" t="inlineStr">
        <s:is>
          <s:t>retain</s:t>
        </s:is>
      </s:c>
    </s:row>
    <s:row r="112" ht="90" customFormat="1" customHeight="1" s="8">
      <s:c r="A112" s="12" t="b">
        <s:v>0</s:v>
      </s:c>
      <s:c r="B112" s="12" t="n"/>
      <s:c r="C112" s="12" t="b">
        <s:v>0</s:v>
      </s:c>
      <s:c r="D112" s="12" t="inlineStr">
        <s:is>
          <s:t>Statistical reporting inconsistency</s:t>
        </s:is>
      </s:c>
      <s:c r="E112" s="12" t="b">
        <s:v>0</s:v>
      </s:c>
      <s:c r="F112" s="12" t="inlineStr">
        <s:is>
          <s:t>C013</s:t>
        </s:is>
      </s:c>
      <s:c r="G112" s="12" t="inlineStr">
        <s:is>
          <s:t>2025::jama.2025.24175::C013</s:t>
        </s:is>
      </s:c>
      <s:c r="H112" s="12" t="n"/>
      <s:c r="I112" s="12" t="inlineStr">
        <s:is>
          <s:t>DOC-003 eFigure 9B, PDF p. 53.</s:t>
        </s:is>
      </s:c>
      <s:c r="J112" s="12" t="b">
        <s:v>0</s:v>
      </s:c>
      <s:c r="K112" s="12" t="inlineStr">
        <s:is>
          <s:t>jama.2025.24175</s:t>
        </s:is>
      </s:c>
      <s:c r="L112" s="12" t="n"/>
      <s:c r="M112" s="12" t="inlineStr">
        <s:is>
          <s:t>S_W</s:t>
        </s:is>
      </s:c>
      <s:c r="N112" s="12" t="inlineStr">
        <s:is>
          <s:t>Target is within one main article or one non-plan results supplement/workbook; no substantive plan comparison. Point estimate 0.11 versus interval lower endpoint 0.36.</s:t>
        </s:is>
      </s:c>
      <s:c r="O112" s="12" t="inlineStr">
        <s:is>
          <s:t>../../2025/jama.2025.24175/.ai_paper_validation/final_report_1_5_1.html</s:t>
        </s:is>
      </s:c>
      <s:c r="P112" s="12" t="inlineStr">
        <s:is>
          <s:t>2025/jama.2025.24175/.ai_paper_validation/final_report_1_5_1.md</s:t>
        </s:is>
      </s:c>
      <s:c r="Q112" s="12" t="inlineStr">
        <s:is>
          <s:t>C013</s:t>
        </s:is>
      </s:c>
      <s:c r="R112" s="12" t="inlineStr">
        <s:is>
          <s:t>Pending Human Adjudication</s:t>
        </s:is>
      </s:c>
      <s:c r="S112" s="12" t="inlineStr">
        <s:is>
          <s:t>Pending Human Adjudication. The printed OR 0.11 lies below its printed 95% CI lower endpoint 0.36.</s:t>
        </s:is>
      </s:c>
      <s:c r="T112" s="12" t="b">
        <s:v>1</s:v>
      </s:c>
      <s:c r="U112" s="12" t="inlineStr">
        <s:is>
          <s:t>eFigure 9B APACHE interaction point estimate outside its CI</s:t>
        </s:is>
      </s:c>
      <s:c r="V112" s="12" t="inlineStr">
        <s:is>
          <s:t>statistical_results</s:t>
        </s:is>
      </s:c>
      <s:c r="W112" s="12" t="inlineStr">
        <s:is>
          <s:t>eFigure 9B APACHE interaction point estimate outside its CI</s:t>
        </s:is>
      </s:c>
      <s:c r="X112" s="12" t="inlineStr">
        <s:is>
          <s:t>2025</s:t>
        </s:is>
      </s:c>
      <s:c r="Y112" s="12" t="inlineStr">
        <s:is>
          <s:t>meta_report/consistency_reclassification_2026-09-04/reclassified_candidates.json</s:t>
        </s:is>
      </s:c>
      <s:c r="Z112" s="12" t="inlineStr">
        <s:is>
          <s:t>S_W</s:t>
        </s:is>
      </s:c>
      <s:c r="AA112" s="12" t="inlineStr">
        <s:is>
          <s:t>statistical_results</s:t>
        </s:is>
      </s:c>
      <s:c r="AB112" s="12" t="inlineStr">
        <s:is>
          <s:t>retain</s:t>
        </s:is>
      </s:c>
    </s:row>
    <s:row r="113" ht="90" customFormat="1" customHeight="1" s="8">
      <s:c r="A113" s="11" t="b">
        <s:v>0</s:v>
      </s:c>
      <s:c r="B113" s="11" t="inlineStr">
        <s:is>
          <s: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s:t>
        </s:is>
      </s:c>
      <s:c r="C113" s="11" t="b">
        <s:v>1</s:v>
      </s:c>
      <s:c r="D113" s="11" t="inlineStr">
        <s:is>
          <s:t>Numeric or arithmetic inconsistency</s:t>
        </s:is>
      </s:c>
      <s:c r="E113" s="11" t="b">
        <s:v>0</s:v>
      </s:c>
      <s:c r="F113" s="11" t="inlineStr">
        <s:is>
          <s:t>C014</s:t>
        </s:is>
      </s:c>
      <s:c r="G113" s="11" t="inlineStr">
        <s:is>
          <s:t>2025::jama.2025.24175::C014</s:t>
        </s:is>
      </s:c>
      <s:c r="H113" s="11" t="inlineStr">
        <s:is>
          <s:t>P_B</s:t>
        </s:is>
      </s:c>
      <s:c r="I113" s="11" t="inlineStr">
        <s:is>
          <s:t>DOC-002 actual mortality sentence, PDF p. 41; Discussion, PDF p. 42; Table 2, PDF p. 48; Figure 1, PDF p. 50.</s:t>
        </s:is>
      </s:c>
      <s:c r="J113" s="11" t="b">
        <s:v>0</s:v>
      </s:c>
      <s:c r="K113" s="11" t="inlineStr">
        <s:is>
          <s:t>jama.2025.24175</s:t>
        </s:is>
      </s:c>
      <s:c r="L113" s="11" t="n"/>
      <s:c r="M113" s="11" t="inlineStr">
        <s:is>
          <s:t>P_P</s:t>
        </s:is>
      </s:c>
      <s:c r="N113" s="11" t="inlineStr">
        <s:is>
          <s:t>Target concerns historical/background results inside the protocol, not the current trial plan or submitted main/results supplement. Unsupported assembled alleged pairs versus directly printed coherent p.41 mortality pairs.</s:t>
        </s:is>
      </s:c>
      <s:c r="O113" s="11" t="inlineStr">
        <s:is>
          <s:t>../../2025/jama.2025.24175/.ai_paper_validation/final_report_1_5_1.html</s:t>
        </s:is>
      </s:c>
      <s:c r="P113" s="11" t="inlineStr">
        <s:is>
          <s:t>2025/jama.2025.24175/.ai_paper_validation/final_report_1_5_1.md</s:t>
        </s:is>
      </s:c>
      <s:c r="Q113" s="11" t="inlineStr">
        <s:is>
          <s:t>C014</s:t>
        </s:is>
      </s:c>
      <s:c r="R113" s="11" t="inlineStr">
        <s:is>
          <s:t>Pending Human Adjudication</s:t>
        </s:is>
      </s:c>
      <s:c r="S113" s="11" t="inlineStr">
        <s:is>
          <s:t>Pending Human Adjudication. Retained ID with direct-source repair: no supplied source prints the registered mortality count/percentage pairs.</s:t>
        </s:is>
      </s:c>
      <s:c r="T113" s="11" t="b">
        <s:v>0</s:v>
      </s:c>
      <s:c r="U113" s="11" t="inlineStr">
        <s:is>
          <s:t>Historical mortality-pair registration</s:t>
        </s:is>
      </s:c>
      <s:c r="V113" s="11" t="inlineStr">
        <s:is>
          <s:t>plan_material</s:t>
        </s:is>
      </s:c>
      <s:c r="W113" s="11" t="inlineStr">
        <s:is>
          <s:t>Historical mortality-pair registration</s:t>
        </s:is>
      </s:c>
      <s:c r="X113" s="11" t="inlineStr">
        <s:is>
          <s:t>2025</s:t>
        </s:is>
      </s:c>
      <s:c r="Y113" s="11" t="inlineStr">
        <s:is>
          <s:t>meta_report/consistency_reclassification_2026-09-04/reclassified_candidates.json</s:t>
        </s:is>
      </s:c>
      <s:c r="Z113" s="11" t="inlineStr">
        <s:is>
          <s:t>P_P</s:t>
        </s:is>
      </s:c>
      <s:c r="AA113" s="11" t="inlineStr">
        <s:is>
          <s:t>plan_material</s:t>
        </s:is>
      </s:c>
      <s:c r="AB113" s="11" t="inlineStr">
        <s:is>
          <s:t>exclude</s:t>
        </s:is>
      </s:c>
    </s:row>
    <s:row r="114" ht="90" customFormat="1" customHeight="1" s="8">
      <s:c r="A114" s="12" t="b">
        <s:v>0</s:v>
      </s:c>
      <s:c r="B114" s="12" t="n"/>
      <s:c r="C114" s="12" t="b">
        <s:v>0</s:v>
      </s:c>
      <s:c r="D114" s="12" t="inlineStr">
        <s:is>
          <s:t>Cross-document numeric inconsistency</s:t>
        </s:is>
      </s:c>
      <s:c r="E114" s="12" t="b">
        <s:v>0</s:v>
      </s:c>
      <s:c r="F114" s="12" t="inlineStr">
        <s:is>
          <s:t>C001</s:t>
        </s:is>
      </s:c>
      <s:c r="G114" s="12" t="inlineStr">
        <s:is>
          <s:t>2025::jama.2025.4390::C001</s:t>
        </s:is>
      </s:c>
      <s:c r="H114" s="12" t="n"/>
      <s:c r="I114" s="12" t="inlineStr">
        <s:is>
          <s:t>jama_garrison_2025_oi_250019_1749674951.29054.pdf — Figure 3, PDF p. 9; jama_garrison_2025_oi_250019_1749674951.29054.pdf — Table 2, PDF p. 8; main article abstract, PDF p. 1; primary-outcome narrative, PDF p. 6.</s:t>
        </s:is>
      </s:c>
      <s:c r="J114" s="12" t="b">
        <s:v>1</s:v>
      </s:c>
      <s:c r="K114" s="12" t="inlineStr">
        <s:is>
          <s:t>jama.2025.4390</s:t>
        </s:is>
      </s:c>
      <s:c r="L114" s="12" t="n"/>
      <s:c r="M114" s="12" t="inlineStr">
        <s:is>
          <s:t>S_W</s:t>
        </s:is>
      </s:c>
      <s:c r="N114" s="12" t="inlineStr">
        <s:is>
          <s:t>Target is within one main article or one non-plan results supplement/workbook; no substantive plan comparison. Reported Figure 3 values: 71.0/71.0 under the printed rate header. Matched comparator: Table 2 2.30/2.44 per 100 patient-years, with abstract/narrative rounding to 2.3/2.4.</s:t>
        </s:is>
      </s:c>
      <s:c r="O114" s="12" t="inlineStr">
        <s:is>
          <s:t>../../2025/jama.2025.4390/.ai_paper_validation/final_report_1_5_1.html</s:t>
        </s:is>
      </s:c>
      <s:c r="P114" s="12" t="inlineStr">
        <s:is>
          <s:t>2025/jama.2025.4390/.ai_paper_validation/final_report_1_5_1.md</s:t>
        </s:is>
      </s:c>
      <s:c r="Q114" s="12" t="inlineStr">
        <s:is>
          <s:t>C001</s:t>
        </s:is>
      </s:c>
      <s:c r="R114" s="12" t="inlineStr">
        <s:is>
          <s:t>Pending Human Adjudication</s:t>
        </s:is>
      </s:c>
      <s:c r="S114" s="12" t="inlineStr">
        <s:is>
          <s:t>Figure 3 prints 71.0 for both all-patient treatment arms under columns labeled Rate per 100 patient-years, whereas the matched primary-outcome analysis reports 2.30 and 2.44 per 100 patient-years for the same arm-specific event counts.</s:t>
        </s:is>
      </s:c>
      <s:c r="T114" s="12" t="b">
        <s:v>1</s:v>
      </s:c>
      <s:c r="U114" s="12" t="inlineStr">
        <s:is>
          <s:t>Figure 3 all-patient rate-column conflict with the matched primary-outcome rate</s:t>
        </s:is>
      </s:c>
      <s:c r="V114" s="12" t="inlineStr">
        <s:is>
          <s:t>report_internal_inconsistency</s:t>
        </s:is>
      </s:c>
      <s:c r="W114" s="12" t="inlineStr">
        <s:is>
          <s:t>Figure 3 all-patient rate-column conflict with the matched primary-outcome rate</s:t>
        </s:is>
      </s:c>
      <s:c r="X114" s="12" t="inlineStr">
        <s:is>
          <s:t>2025</s:t>
        </s:is>
      </s:c>
      <s:c r="Y114" s="12" t="inlineStr">
        <s:is>
          <s:t>meta_report/consistency_reclassification_2026-09-04/reclassified_candidates.json</s:t>
        </s:is>
      </s:c>
      <s:c r="Z114" s="12" t="inlineStr">
        <s:is>
          <s:t>S_W</s:t>
        </s:is>
      </s:c>
      <s:c r="AA114" s="12" t="inlineStr">
        <s:is>
          <s:t>report_internal_inconsistency</s:t>
        </s:is>
      </s:c>
      <s:c r="AB114" s="12" t="inlineStr">
        <s:is>
          <s:t>retain</s:t>
        </s:is>
      </s:c>
    </s:row>
    <s:row r="115" ht="90" customFormat="1" customHeight="1" s="8">
      <s:c r="A115" s="11" t="b">
        <s:v>0</s:v>
      </s:c>
      <s:c r="B115" s="11" t="n"/>
      <s:c r="C115" s="11" t="b">
        <s:v>0</s:v>
      </s:c>
      <s:c r="D115" s="11" t="inlineStr">
        <s:is>
          <s:t>Cross-document numeric inconsistency</s:t>
        </s:is>
      </s:c>
      <s:c r="E115" s="11" t="b">
        <s:v>0</s:v>
      </s:c>
      <s:c r="F115" s="11" t="inlineStr">
        <s:is>
          <s:t>C002</s:t>
        </s:is>
      </s:c>
      <s:c r="G115" s="11" t="inlineStr">
        <s:is>
          <s:t>2025::jama.2025.4390::C002</s:t>
        </s:is>
      </s:c>
      <s:c r="H115" s="11" t="n"/>
      <s:c r="I115" s="11" t="inlineStr">
        <s:is>
          <s:t>joi250019supp3_prod_1749674951.30054.pdf — eFigure 4, PDF p. 26; joi250019supp3_prod_1749674951.30054.pdf — eTable 6, PDF p. 42 (table begins on PDF p. 41).</s:t>
        </s:is>
      </s:c>
      <s:c r="J115" s="11" t="b">
        <s:v>1</s:v>
      </s:c>
      <s:c r="K115" s="11" t="inlineStr">
        <s:is>
          <s:t>jama.2025.4390</s:t>
        </s:is>
      </s:c>
      <s:c r="L115" s="11" t="n"/>
      <s:c r="M115" s="11" t="inlineStr">
        <s:is>
          <s:t>S_W</s:t>
        </s:is>
      </s:c>
      <s:c r="N115" s="11" t="inlineStr">
        <s:is>
          <s:t>Target is within one main article or one non-plan results supplement/workbook; no substantive plan comparison. Reported figure triplet: 278/138/8. Matched table triplet: 277/139/8 of 424, with the stated percentages.</s:t>
        </s:is>
      </s:c>
      <s:c r="O115" s="11" t="inlineStr">
        <s:is>
          <s:t>../../2025/jama.2025.4390/.ai_paper_validation/final_report_1_5_1.html</s:t>
        </s:is>
      </s:c>
      <s:c r="P115" s="11" t="inlineStr">
        <s:is>
          <s:t>2025/jama.2025.4390/.ai_paper_validation/final_report_1_5_1.md</s:t>
        </s:is>
      </s:c>
      <s:c r="Q115" s="11" t="inlineStr">
        <s:is>
          <s:t>C002</s:t>
        </s:is>
      </s:c>
      <s:c r="R115" s="11" t="inlineStr">
        <s:is>
          <s:t>Pending Human Adjudication</s:t>
        </s:is>
      </s:c>
      <s:c r="S115" s="11" t="inlineStr">
        <s:is>
          <s:t>eFigure 4 and eTable 6 print different medication-level timing counts for the same six-month bedtime-allocation diuretic total of 424.</s:t>
        </s:is>
      </s:c>
      <s:c r="T115" s="11" t="b">
        <s:v>1</s:v>
      </s:c>
      <s:c r="U115" s="11" t="inlineStr">
        <s:is>
          <s:t>Bedtime-diuretic six-month timing count triplets differ between eFigure 4 and eTable 6</s:t>
        </s:is>
      </s:c>
      <s:c r="V115" s="11" t="inlineStr">
        <s:is>
          <s:t>report_internal_inconsistency</s:t>
        </s:is>
      </s:c>
      <s:c r="W115" s="11" t="inlineStr">
        <s:is>
          <s:t>Bedtime-diuretic six-month timing count triplets differ between eFigure 4 and eTable 6</s:t>
        </s:is>
      </s:c>
      <s:c r="X115" s="11" t="inlineStr">
        <s:is>
          <s:t>2025</s:t>
        </s:is>
      </s:c>
      <s:c r="Y115" s="11" t="inlineStr">
        <s:is>
          <s:t>meta_report/consistency_reclassification_2026-09-04/reclassified_candidates.json</s:t>
        </s:is>
      </s:c>
      <s:c r="Z115" s="11" t="inlineStr">
        <s:is>
          <s:t>S_W</s:t>
        </s:is>
      </s:c>
      <s:c r="AA115" s="11" t="inlineStr">
        <s:is>
          <s:t>report_internal_inconsistency</s:t>
        </s:is>
      </s:c>
      <s:c r="AB115" s="11" t="inlineStr">
        <s:is>
          <s:t>retain</s:t>
        </s:is>
      </s:c>
    </s:row>
    <s:row r="116" ht="90" customFormat="1" customHeight="1" s="8">
      <s:c r="A116" s="12" t="b">
        <s:v>0</s:v>
      </s:c>
      <s:c r="B116" s="12" t="n"/>
      <s:c r="C116" s="12" t="b">
        <s:v>0</s:v>
      </s:c>
      <s:c r="D116" s="12" t="inlineStr">
        <s:is>
          <s:t>Numeric or arithmetic inconsistency</s:t>
        </s:is>
      </s:c>
      <s:c r="E116" s="12" t="b">
        <s:v>0</s:v>
      </s:c>
      <s:c r="F116" s="12" t="inlineStr">
        <s:is>
          <s:t>C003</s:t>
        </s:is>
      </s:c>
      <s:c r="G116" s="12" t="inlineStr">
        <s:is>
          <s:t>2025::jama.2025.4390::C003</s:t>
        </s:is>
      </s:c>
      <s:c r="H116" s="12" t="n"/>
      <s:c r="I116" s="12" t="inlineStr">
        <s:is>
          <s:t>joi250019supp3_prod_1749674951.30054.pdf — eTable 5, PDF p. 37; joi250019supp3_prod_1749674951.30054.pdf — eTable 3, PDF p. 29.</s:t>
        </s:is>
      </s:c>
      <s:c r="J116" s="12" t="b">
        <s:v>0</s:v>
      </s:c>
      <s:c r="K116" s="12" t="inlineStr">
        <s:is>
          <s:t>jama.2025.4390</s:t>
        </s:is>
      </s:c>
      <s:c r="L116" s="12" t="n"/>
      <s:c r="M116" s="12" t="inlineStr">
        <s:is>
          <s:t>S_W</s:t>
        </s:is>
      </s:c>
      <s:c r="N116" s="12" t="inlineStr">
        <s:is>
          <s:t>Target is within one main article or one non-plan results supplement/workbook; no substantive plan comparison. Reported eTable 5 `Other` row: morning 40 (90.9%) and bedtime 53 (93.0%), identical to White/Caucasian. Matched parent-arm comparator: eTable 3 `Other` counts of 5 morning and 9 bedtime.</s:t>
        </s:is>
      </s:c>
      <s:c r="O116" s="12" t="inlineStr">
        <s:is>
          <s:t>../../2025/jama.2025.4390/.ai_paper_validation/final_report_1_5_1.html</s:t>
        </s:is>
      </s:c>
      <s:c r="P116" s="12" t="inlineStr">
        <s:is>
          <s:t>2025/jama.2025.4390/.ai_paper_validation/final_report_1_5_1.md</s:t>
        </s:is>
      </s:c>
      <s:c r="Q116" s="12" t="inlineStr">
        <s:is>
          <s:t>C003</s:t>
        </s:is>
      </s:c>
      <s:c r="R116" s="12" t="inlineStr">
        <s:is>
          <s:t>Pending Human Adjudication</s:t>
        </s:is>
      </s:c>
      <s:c r="S116" s="12" t="inlineStr">
        <s:is>
          <s:t>In eTable 5, the Other ethnicity row repeats the White/Caucasian values for participants unable to be followed through administrative data; those repeated counts exceed the randomized baseline Other counts for each allocation arm in eTable 3.</s:t>
        </s:is>
      </s:c>
      <s:c r="T116" s="12" t="b">
        <s:v>1</s:v>
      </s:c>
      <s:c r="U116" s="12" t="inlineStr">
        <s:is>
          <s:t>eTable 5 Other ethnicity row duplicates White/Caucasian values and exceeds randomized Other totals</s:t>
        </s:is>
      </s:c>
      <s:c r="V116" s="12" t="inlineStr">
        <s:is>
          <s:t>statistical_results</s:t>
        </s:is>
      </s:c>
      <s:c r="W116" s="12" t="inlineStr">
        <s:is>
          <s:t>eTable 5 Other ethnicity row duplicates White/Caucasian values and exceeds randomized Other totals</s:t>
        </s:is>
      </s:c>
      <s:c r="X116" s="12" t="inlineStr">
        <s:is>
          <s:t>2025</s:t>
        </s:is>
      </s:c>
      <s:c r="Y116" s="12" t="inlineStr">
        <s:is>
          <s:t>meta_report/consistency_reclassification_2026-09-04/reclassified_candidates.json</s:t>
        </s:is>
      </s:c>
      <s:c r="Z116" s="12" t="inlineStr">
        <s:is>
          <s:t>S_W</s:t>
        </s:is>
      </s:c>
      <s:c r="AA116" s="12" t="inlineStr">
        <s:is>
          <s:t>statistical_results</s:t>
        </s:is>
      </s:c>
      <s:c r="AB116" s="12" t="inlineStr">
        <s:is>
          <s:t>retain</s:t>
        </s:is>
      </s:c>
    </s:row>
    <s:row r="117" ht="90" customFormat="1" customHeight="1" s="8">
      <s:c r="A117" s="11" t="b">
        <s:v>0</s:v>
      </s:c>
      <s:c r="B117" s="11" t="inlineStr">
        <s:is>
          <s:t>Both protocol-versus-SAP and report-versus-SAP endpoint operator explicitly targeted. No case at exactly5 mm identified.</s:t>
        </s:is>
      </s:c>
      <s:c r="C117" s="11" t="b">
        <s:v>1</s:v>
      </s:c>
      <s:c r="D117" s="11" t="inlineStr">
        <s:is>
          <s:t>Measure, label, or scale inconsistency</s:t>
        </s:is>
      </s:c>
      <s:c r="E117" s="11" t="b">
        <s:v>1</s:v>
      </s:c>
      <s:c r="F117" s="11" t="inlineStr">
        <s:is>
          <s:t>C001</s:t>
        </s:is>
      </s:c>
      <s:c r="G117" s="11" t="inlineStr">
        <s:is>
          <s:t>2025::jama.2025.7583::C001</s:t>
        </s:is>
      </s:c>
      <s:c r="H117" s="11" t="n"/>
      <s:c r="I117" s="11" t="inlineStr">
        <s:is>
          <s:t>Main article — PDF p. 3; protocol — PDF p. 7; protocol — PDF p. 16; results supplement — PDF p. 15; SAP — PDF p. 3.</s:t>
        </s:is>
      </s:c>
      <s:c r="J117" s="11" t="b">
        <s:v>0</s:v>
      </s:c>
      <s:c r="K117" s="11" t="inlineStr">
        <s:is>
          <s:t>jama.2025.7583</s:t>
        </s:is>
      </s:c>
      <s:c r="L117" s="11" t="inlineStr">
        <s:is>
          <s:t>endpoint_definition_window_hierarchy</s:t>
        </s:is>
      </s:c>
      <s:c r="M117" s="11" t="inlineStr">
        <s:is>
          <s:t>P_R</s:t>
        </s:is>
      </s:c>
      <s:c r="N117" s="11" t="inlineStr">
        <s:is>
          <s:t>Target compares reported current-study content with supplied protocol/SAP specification. The inclusive `&gt;=5 mm` wording in the main article, protocol, and results supplement is compared with the SAP’s strict `&gt;5 mm` wording.</s:t>
        </s:is>
      </s:c>
      <s:c r="O117" s="11" t="inlineStr">
        <s:is>
          <s:t>../../2025/jama.2025.7583/.ai_paper_validation/final_report_1_5_1.html</s:t>
        </s:is>
      </s:c>
      <s:c r="P117" s="11" t="inlineStr">
        <s:is>
          <s:t>2025/jama.2025.7583/.ai_paper_validation/final_report_1_5_1.md</s:t>
        </s:is>
      </s:c>
      <s:c r="Q117" s="11" t="inlineStr">
        <s:is>
          <s:t>C001</s:t>
        </s:is>
      </s:c>
      <s:c r="R117" s="11" t="inlineStr">
        <s:is>
          <s:t>Pending Human Adjudication</s:t>
        </s:is>
      </s:c>
      <s:c r="S117" s="11" t="inlineStr">
        <s:is>
          <s:t>Matched supplied sources define the same six-month primary-endpoint imaging component with different inclusion operators: inclusive &gt;=5 mm versus strict &gt;5 mm.</s:t>
        </s:is>
      </s:c>
      <s:c r="T117" s="11" t="b">
        <s:v>0</s:v>
      </s:c>
      <s:c r="U117" s="11" t="inlineStr">
        <s:is>
          <s:t>Primary-endpoint midline-shift boundary differs across matched supplied sources</s:t>
        </s:is>
      </s:c>
      <s:c r="V117" s="11" t="inlineStr">
        <s:is>
          <s:t>protocol_report</s:t>
        </s:is>
      </s:c>
      <s:c r="W117" s="11" t="inlineStr">
        <s:is>
          <s:t>Primary-endpoint midline-shift boundary differs across matched supplied sources</s:t>
        </s:is>
      </s:c>
      <s:c r="X117" s="11" t="inlineStr">
        <s:is>
          <s:t>2025</s:t>
        </s:is>
      </s:c>
      <s:c r="Y117" s="11" t="inlineStr">
        <s:is>
          <s:t>meta_report/consistency_reclassification_2026-09-04/reclassified_candidates.json</s:t>
        </s:is>
      </s:c>
      <s:c r="Z117" s="11" t="inlineStr">
        <s:is>
          <s:t>P_R</s:t>
        </s:is>
      </s:c>
      <s:c r="AA117" s="11" t="inlineStr">
        <s:is>
          <s:t>protocol_report</s:t>
        </s:is>
      </s:c>
      <s:c r="AB117" s="11" t="inlineStr">
        <s:is>
          <s:t>retain</s:t>
        </s:is>
      </s:c>
    </s:row>
    <s:row r="118" ht="90" customFormat="1" customHeight="1" s="8">
      <s:c r="A118" s="12" t="b">
        <s:v>0</s:v>
      </s:c>
      <s:c r="B118" s="12" t="inlineStr">
        <s:is>
          <s:t>Plan and article AGREE at342 and20%; arithmetic incompatibility is within protocol/SAP full input sequence. Article does not print142. Not report-versus-plan.</s:t>
        </s:is>
      </s:c>
      <s:c r="C118" s="12" t="b">
        <s:v>1</s:v>
      </s:c>
      <s:c r="D118" s="12" t="inlineStr">
        <s:is>
          <s:t>Numeric or arithmetic inconsistency</s:t>
        </s:is>
      </s:c>
      <s:c r="E118" s="12" t="b">
        <s:v>0</s:v>
      </s:c>
      <s:c r="F118" s="12" t="inlineStr">
        <s:is>
          <s:t>C002</s:t>
        </s:is>
      </s:c>
      <s:c r="G118" s="12" t="inlineStr">
        <s:is>
          <s:t>2025::jama.2025.7583::C002</s:t>
        </s:is>
      </s:c>
      <s:c r="H118" s="12" t="n"/>
      <s:c r="I118" s="12" t="inlineStr">
        <s:is>
          <s:t>Protocol — PDF p. 50; SAP — PDF p. 4; SAP — PDF p. 5; main article — PDF p. 3.</s:t>
        </s:is>
      </s:c>
      <s:c r="J118" s="12" t="b">
        <s:v>0</s:v>
      </s:c>
      <s:c r="K118" s="12" t="inlineStr">
        <s:is>
          <s:t>jama.2025.7583</s:t>
        </s:is>
      </s:c>
      <s:c r="L118" s="12" t="n"/>
      <s:c r="M118" s="12" t="inlineStr">
        <s:is>
          <s:t>P_P</s:t>
        </s:is>
      </s:c>
      <s:c r="N118" s="12" t="inlineStr">
        <s:is>
          <s:t>Target is internal to protocol/SAP definitions, calculations, or plan versions; final results are not the conflicting comparator. Printed enrollment is 171 per group/342 total. The comparator is the enrollment required to retain 142 per group after a stated 20% loss fraction.</s:t>
        </s:is>
      </s:c>
      <s:c r="O118" s="12" t="inlineStr">
        <s:is>
          <s:t>../../2025/jama.2025.7583/.ai_paper_validation/final_report_1_5_1.html</s:t>
        </s:is>
      </s:c>
      <s:c r="P118" s="12" t="inlineStr">
        <s:is>
          <s:t>2025/jama.2025.7583/.ai_paper_validation/final_report_1_5_1.md</s:t>
        </s:is>
      </s:c>
      <s:c r="Q118" s="12" t="inlineStr">
        <s:is>
          <s:t>C002</s:t>
        </s:is>
      </s:c>
      <s:c r="R118" s="12" t="inlineStr">
        <s:is>
          <s:t>Pending Human Adjudication</s:t>
        </s:is>
      </s:c>
      <s:c r="S118" s="12" t="inlineStr">
        <s:is>
          <s:t>The printed 142-per-group requirement, stated 20% loss-to-follow-up allowance, and 171-per-group/342-total target do not reconcile under a true loss-fraction convention.</s:t>
        </s:is>
      </s:c>
      <s:c r="T118" s="12" t="b">
        <s:v>0</s:v>
      </s:c>
      <s:c r="U118" s="12" t="inlineStr">
        <s:is>
          <s:t>Printed sample-size attrition allowance does not reconcile with the printed target</s:t>
        </s:is>
      </s:c>
      <s:c r="V118" s="12" t="inlineStr">
        <s:is>
          <s:t>plan_material</s:t>
        </s:is>
      </s:c>
      <s:c r="W118" s="12" t="inlineStr">
        <s:is>
          <s:t>Printed sample-size attrition allowance does not reconcile with the printed target</s:t>
        </s:is>
      </s:c>
      <s:c r="X118" s="12" t="inlineStr">
        <s:is>
          <s:t>2025</s:t>
        </s:is>
      </s:c>
      <s:c r="Y118" s="12" t="inlineStr">
        <s:is>
          <s:t>meta_report/consistency_reclassification_2026-09-04/reclassified_candidates.json</s:t>
        </s:is>
      </s:c>
      <s:c r="Z118" s="12" t="inlineStr">
        <s:is>
          <s:t>P_P</s:t>
        </s:is>
      </s:c>
      <s:c r="AA118" s="12" t="inlineStr">
        <s:is>
          <s:t>plan_material</s:t>
        </s:is>
      </s:c>
      <s:c r="AB118" s="12" t="inlineStr">
        <s:is>
          <s:t>retain</s:t>
        </s:is>
      </s:c>
    </s:row>
    <s:row r="119" ht="90" customFormat="1" customHeight="1" s="8">
      <s:c r="A119" s="11" t="b">
        <s:v>0</s:v>
      </s:c>
      <s:c r="B119" s="11" t="n"/>
      <s:c r="C119" s="11" t="b">
        <s:v>0</s:v>
      </s:c>
      <s:c r="D119" s="11" t="inlineStr">
        <s:is>
          <s:t>Denominator, proportion, or total inconsistency</s:t>
        </s:is>
      </s:c>
      <s:c r="E119" s="11" t="b">
        <s:v>0</s:v>
      </s:c>
      <s:c r="F119" s="11" t="inlineStr">
        <s:is>
          <s:t>C003</s:t>
        </s:is>
      </s:c>
      <s:c r="G119" s="11" t="inlineStr">
        <s:is>
          <s:t>2025::jama.2025.7583::C003</s:t>
        </s:is>
      </s:c>
      <s:c r="H119" s="11" t="n"/>
      <s:c r="I119" s="11" t="inlineStr">
        <s:is>
          <s:t>Main article — PDF p. 5, Table 1, Treatment rows.</s:t>
        </s:is>
      </s:c>
      <s:c r="J119" s="11" t="b">
        <s:v>0</s:v>
      </s:c>
      <s:c r="K119" s="11" t="inlineStr">
        <s:is>
          <s:t>jama.2025.7583</s:t>
        </s:is>
      </s:c>
      <s:c r="L119" s="11" t="n"/>
      <s:c r="M119" s="11" t="inlineStr">
        <s:is>
          <s:t>S_W</s:t>
        </s:is>
      </s:c>
      <s:c r="N119" s="11" t="inlineStr">
        <s:is>
          <s:t>Target is within one main article or one non-plan results supplement/workbook; no substantive plan comparison. The two printed numerators, 146 and 18, are compared with their repeated denominator, 163, under the table’s participant-framed `No./total No. (%)` presentation.</s:t>
        </s:is>
      </s:c>
      <s:c r="O119" s="11" t="inlineStr">
        <s:is>
          <s:t>../../2025/jama.2025.7583/.ai_paper_validation/final_report_1_5_1.html</s:t>
        </s:is>
      </s:c>
      <s:c r="P119" s="11" t="inlineStr">
        <s:is>
          <s:t>2025/jama.2025.7583/.ai_paper_validation/final_report_1_5_1.md</s:t>
        </s:is>
      </s:c>
      <s:c r="Q119" s="11" t="inlineStr">
        <s:is>
          <s:t>C003</s:t>
        </s:is>
      </s:c>
      <s:c r="R119" s="11" t="inlineStr">
        <s:is>
          <s:t>Pending Human Adjudication</s:t>
        </s:is>
      </s:c>
      <s:c r="S119" s="11" t="inlineStr">
        <s:is>
          <s:t>In Table 1’s standard-care column, two surgery-type numerators total 164 against their shared printed denominator of 163; clarification is required because the table does not state the participant-versus-procedure overlap rule.</s:t>
        </s:is>
      </s:c>
      <s:c r="T119" s="11" t="b">
        <s:v>1</s:v>
      </s:c>
      <s:c r="U119" s="11" t="inlineStr">
        <s:is>
          <s:t>Standard-care surgery-type counts exceed their shared printed denominator</s:t>
        </s:is>
      </s:c>
      <s:c r="V119" s="11" t="inlineStr">
        <s:is>
          <s:t>statistical_results</s:t>
        </s:is>
      </s:c>
      <s:c r="W119" s="11" t="inlineStr">
        <s:is>
          <s:t>Standard-care surgery-type counts exceed their shared printed denominator</s:t>
        </s:is>
      </s:c>
      <s:c r="X119" s="11" t="inlineStr">
        <s:is>
          <s:t>2025</s:t>
        </s:is>
      </s:c>
      <s:c r="Y119" s="11" t="inlineStr">
        <s:is>
          <s:t>meta_report/consistency_reclassification_2026-09-04/reclassified_candidates.json</s:t>
        </s:is>
      </s:c>
      <s:c r="Z119" s="11" t="inlineStr">
        <s:is>
          <s:t>S_W</s:t>
        </s:is>
      </s:c>
      <s:c r="AA119" s="11" t="inlineStr">
        <s:is>
          <s:t>statistical_results</s:t>
        </s:is>
      </s:c>
      <s:c r="AB119" s="11" t="inlineStr">
        <s:is>
          <s:t>retain</s:t>
        </s:is>
      </s:c>
    </s:row>
    <s:row r="120" ht="90" customFormat="1" customHeight="1" s="8">
      <s:c r="A120" s="12" t="b">
        <s:v>0</s:v>
      </s:c>
      <s:c r="B120" s="12" t="n"/>
      <s:c r="C120" s="12" t="b">
        <s:v>1</s:v>
      </s:c>
      <s:c r="D120" s="12" t="inlineStr">
        <s:is>
          <s:t>Measure, label, or scale inconsistency</s:t>
        </s:is>
      </s:c>
      <s:c r="E120" s="12" t="b">
        <s:v>0</s:v>
      </s:c>
      <s:c r="F120" s="12" t="inlineStr">
        <s:is>
          <s:t>C001</s:t>
        </s:is>
      </s:c>
      <s:c r="G120" s="12" t="inlineStr">
        <s:is>
          <s:t>2025::jama.2025.7710::C001</s:t>
        </s:is>
      </s:c>
      <s:c r="H120" s="12" t="n"/>
      <s:c r="I120" s="12" t="inlineStr">
        <s:is>
          <s:t>joi250034supp1_prod_1750956984.09018.pdf — PDF p. 16, section 7.2.3; joi250034supp1_prod_1750956984.09018.pdf — PDF p. 17, section 8.2.</s:t>
        </s:is>
      </s:c>
      <s:c r="J120" s="12" t="b">
        <s:v>0</s:v>
      </s:c>
      <s:c r="K120" s="12" t="inlineStr">
        <s:is>
          <s:t>jama.2025.7710</s:t>
        </s:is>
      </s:c>
      <s:c r="L120" s="12" t="n"/>
      <s:c r="M120" s="12" t="inlineStr">
        <s:is>
          <s:t>P_P</s:t>
        </s:is>
      </s:c>
      <s:c r="N120" s="12" t="inlineStr">
        <s:is>
          <s:t>Target is internal to protocol/SAP definitions, calculations, or plan versions; final results are not the conflicting comparator. Reported: 2024/25 dollars (p. 16). Comparator: 2023/24 dollars (p. 17).</s:t>
        </s:is>
      </s:c>
      <s:c r="O120" s="12" t="inlineStr">
        <s:is>
          <s:t>../../2025/jama.2025.7710/.ai_paper_validation/final_report_1_5_1.html</s:t>
        </s:is>
      </s:c>
      <s:c r="P120" s="12" t="inlineStr">
        <s:is>
          <s:t>2025/jama.2025.7710/.ai_paper_validation/final_report_1_5_1.md</s:t>
        </s:is>
      </s:c>
      <s:c r="Q120" s="12" t="inlineStr">
        <s:is>
          <s:t>C001</s:t>
        </s:is>
      </s:c>
      <s:c r="R120" s="12" t="inlineStr">
        <s:is>
          <s:t>Pending Human Adjudication</s:t>
        </s:is>
      </s:c>
      <s:c r="S120" s="12" t="inlineStr">
        <s:is>
          <s:t>Two linked protocol descriptions of the economic-analysis framework state different monetary price years.</s:t>
        </s:is>
      </s:c>
      <s:c r="T120" s="12" t="b">
        <s:v>0</s:v>
      </s:c>
      <s:c r="U120" s="12" t="inlineStr">
        <s:is>
          <s:t>Conflicting economic price-year labels within the protocol</s:t>
        </s:is>
      </s:c>
      <s:c r="V120" s="12" t="inlineStr">
        <s:is>
          <s:t>plan_material</s:t>
        </s:is>
      </s:c>
      <s:c r="W120" s="12" t="inlineStr">
        <s:is>
          <s:t>Conflicting economic price-year labels within the protocol</s:t>
        </s:is>
      </s:c>
      <s:c r="X120" s="12" t="inlineStr">
        <s:is>
          <s:t>2025</s:t>
        </s:is>
      </s:c>
      <s:c r="Y120" s="12" t="inlineStr">
        <s:is>
          <s:t>meta_report/consistency_reclassification_2026-09-04/reclassified_candidates.json</s:t>
        </s:is>
      </s:c>
      <s:c r="Z120" s="12" t="inlineStr">
        <s:is>
          <s:t>P_P</s:t>
        </s:is>
      </s:c>
      <s:c r="AA120" s="12" t="inlineStr">
        <s:is>
          <s:t>plan_material</s:t>
        </s:is>
      </s:c>
      <s:c r="AB120" s="12" t="inlineStr">
        <s:is>
          <s:t>retain</s:t>
        </s:is>
      </s:c>
    </s:row>
    <s:row r="121" ht="90" customFormat="1" customHeight="1" s="8">
      <s:c r="A121" s="11" t="b">
        <s:v>0</s:v>
      </s:c>
      <s:c r="B121" s="11" t="n"/>
      <s:c r="C121" s="11" t="b">
        <s:v>1</s:v>
      </s:c>
      <s:c r="D121" s="11" t="inlineStr">
        <s:is>
          <s:t>Measure, label, or scale inconsistency</s:t>
        </s:is>
      </s:c>
      <s:c r="E121" s="11" t="b">
        <s:v>0</s:v>
      </s:c>
      <s:c r="F121" s="11" t="inlineStr">
        <s:is>
          <s:t>C002</s:t>
        </s:is>
      </s:c>
      <s:c r="G121" s="11" t="inlineStr">
        <s:is>
          <s:t>2025::jama.2025.7710::C002</s:t>
        </s:is>
      </s:c>
      <s:c r="H121" s="11" t="n"/>
      <s:c r="I121" s="11" t="inlineStr">
        <s:is>
          <s:t>joi250034supp1_prod_1750956984.09018.pdf — PDF p. 15, section 7.1; joi250034supp1_prod_1750956984.09018.pdf — PDF p. 16, section 7.2.1.</s:t>
        </s:is>
      </s:c>
      <s:c r="J121" s="11" t="b">
        <s:v>0</s:v>
      </s:c>
      <s:c r="K121" s="11" t="inlineStr">
        <s:is>
          <s:t>jama.2025.7710</s:t>
        </s:is>
      </s:c>
      <s:c r="L121" s="11" t="n"/>
      <s:c r="M121" s="11" t="inlineStr">
        <s:is>
          <s:t>P_P</s:t>
        </s:is>
      </s:c>
      <s:c r="N121" s="11" t="inlineStr">
        <s:is>
          <s:t>Target is internal to protocol/SAP definitions, calculations, or plan versions; final results are not the conflicting comparator. Reported list: ten displayed bullets. Comparator rationale: a total of ten attributed to expanding outcomes (i) and (viii).</s:t>
        </s:is>
      </s:c>
      <s:c r="O121" s="11" t="inlineStr">
        <s:is>
          <s:t>../../2025/jama.2025.7710/.ai_paper_validation/final_report_1_5_1.html</s:t>
        </s:is>
      </s:c>
      <s:c r="P121" s="11" t="inlineStr">
        <s:is>
          <s:t>2025/jama.2025.7710/.ai_paper_validation/final_report_1_5_1.md</s:t>
        </s:is>
      </s:c>
      <s:c r="Q121" s="11" t="inlineStr">
        <s:is>
          <s:t>C002</s:t>
        </s:is>
      </s:c>
      <s:c r="R121" s="11" t="inlineStr">
        <s:is>
          <s:t>Pending Human Adjudication</s:t>
        </s:is>
      </s:c>
      <s:c r="S121" s="11" t="inlineStr">
        <s:is>
          <s:t>The protocol displays ten separate endpoint bullets but explains a total of ten by saying two listed outcomes each contain two individual components.</s:t>
        </s:is>
      </s:c>
      <s:c r="T121" s="11" t="b">
        <s:v>0</s:v>
      </s:c>
      <s:c r="U121" s="11" t="inlineStr">
        <s:is>
          <s:t>Primary-composite counting rationale does not reconcile with the displayed endpoint list</s:t>
        </s:is>
      </s:c>
      <s:c r="V121" s="11" t="inlineStr">
        <s:is>
          <s:t>plan_material</s:t>
        </s:is>
      </s:c>
      <s:c r="W121" s="11" t="inlineStr">
        <s:is>
          <s:t>Primary-composite counting rationale does not reconcile with the displayed endpoint list</s:t>
        </s:is>
      </s:c>
      <s:c r="X121" s="11" t="inlineStr">
        <s:is>
          <s:t>2025</s:t>
        </s:is>
      </s:c>
      <s:c r="Y121" s="11" t="inlineStr">
        <s:is>
          <s:t>meta_report/consistency_reclassification_2026-09-04/reclassified_candidates.json</s:t>
        </s:is>
      </s:c>
      <s:c r="Z121" s="11" t="inlineStr">
        <s:is>
          <s:t>P_P</s:t>
        </s:is>
      </s:c>
      <s:c r="AA121" s="11" t="inlineStr">
        <s:is>
          <s:t>plan_material</s:t>
        </s:is>
      </s:c>
      <s:c r="AB121" s="11" t="inlineStr">
        <s:is>
          <s:t>retain</s:t>
        </s:is>
      </s:c>
    </s:row>
    <s:row r="122" ht="90" customFormat="1" customHeight="1" s="8">
      <s:c r="A122" s="12" t="b">
        <s:v>0</s:v>
      </s:c>
      <s:c r="B122" s="12" t="n"/>
      <s:c r="C122" s="12" t="b">
        <s:v>1</s:v>
      </s:c>
      <s:c r="D122" s="12" t="inlineStr">
        <s:is>
          <s:t>Measure, label, or scale inconsistency</s:t>
        </s:is>
      </s:c>
      <s:c r="E122" s="12" t="b">
        <s:v>0</s:v>
      </s:c>
      <s:c r="F122" s="12" t="inlineStr">
        <s:is>
          <s:t>C003</s:t>
        </s:is>
      </s:c>
      <s:c r="G122" s="12" t="inlineStr">
        <s:is>
          <s:t>2025::jama.2025.7710::C003</s:t>
        </s:is>
      </s:c>
      <s:c r="H122" s="12" t="n"/>
      <s:c r="I122" s="12" t="inlineStr">
        <s:is>
          <s:t>joi250034supp1_prod_1750956984.09018.pdf — PDF p. 5, synopsis and schema; joi250034supp1_prod_1750956984.09018.pdf — PDF p. 16, section 7.2.3; joi250034supp1_prod_1750956984.09018.pdf — PDF p. 17, section 8.2.</s:t>
        </s:is>
      </s:c>
      <s:c r="J122" s="12" t="b">
        <s:v>0</s:v>
      </s:c>
      <s:c r="K122" s="12" t="inlineStr">
        <s:is>
          <s:t>jama.2025.7710</s:t>
        </s:is>
      </s:c>
      <s:c r="L122" s="12" t="n"/>
      <s:c r="M122" s="12" t="inlineStr">
        <s:is>
          <s:t>P_P</s:t>
        </s:is>
      </s:c>
      <s:c r="N122" s="12" t="inlineStr">
        <s:is>
          <s:t>Target is internal to protocol/SAP definitions, calculations, or plan versions; final results are not the conflicting comparator. Reported economic label: `CS vs standard care`. Comparator description: `SC` versus placebo/standard care.</s:t>
        </s:is>
      </s:c>
      <s:c r="O122" s="12" t="inlineStr">
        <s:is>
          <s:t>../../2025/jama.2025.7710/.ai_paper_validation/final_report_1_5_1.html</s:t>
        </s:is>
      </s:c>
      <s:c r="P122" s="12" t="inlineStr">
        <s:is>
          <s:t>2025/jama.2025.7710/.ai_paper_validation/final_report_1_5_1.md</s:t>
        </s:is>
      </s:c>
      <s:c r="Q122" s="12" t="inlineStr">
        <s:is>
          <s:t>C003</s:t>
        </s:is>
      </s:c>
      <s:c r="R122" s="12" t="inlineStr">
        <s:is>
          <s:t>Pending Human Adjudication</s:t>
        </s:is>
      </s:c>
      <s:c r="S122" s="12" t="inlineStr">
        <s:is>
          <s:t>A protocol economic-analysis label uses CS vs standard care, while the detailed economic comparison and trial synopsis identify sildenafil citrate (SC) versus placebo/standard care.</s:t>
        </s:is>
      </s:c>
      <s:c r="T122" s="12" t="b">
        <s:v>0</s:v>
      </s:c>
      <s:c r="U122" s="12" t="inlineStr">
        <s:is>
          <s:t>Economic comparator label conflicts with the detailed trial comparison</s:t>
        </s:is>
      </s:c>
      <s:c r="V122" s="12" t="inlineStr">
        <s:is>
          <s:t>plan_material</s:t>
        </s:is>
      </s:c>
      <s:c r="W122" s="12" t="inlineStr">
        <s:is>
          <s:t>Economic comparator label conflicts with the detailed trial comparison</s:t>
        </s:is>
      </s:c>
      <s:c r="X122" s="12" t="inlineStr">
        <s:is>
          <s:t>2025</s:t>
        </s:is>
      </s:c>
      <s:c r="Y122" s="12" t="inlineStr">
        <s:is>
          <s:t>meta_report/consistency_reclassification_2026-09-04/reclassified_candidates.json</s:t>
        </s:is>
      </s:c>
      <s:c r="Z122" s="12" t="inlineStr">
        <s:is>
          <s:t>P_P</s:t>
        </s:is>
      </s:c>
      <s:c r="AA122" s="12" t="inlineStr">
        <s:is>
          <s:t>plan_material</s:t>
        </s:is>
      </s:c>
      <s:c r="AB122" s="12" t="inlineStr">
        <s:is>
          <s:t>retain</s:t>
        </s:is>
      </s:c>
    </s:row>
    <s:row r="123" ht="90" customFormat="1" customHeight="1" s="8">
      <s:c r="A123" s="11" t="b">
        <s:v>0</s:v>
      </s:c>
      <s:c r="B123" s="11" t="inlineStr">
        <s:is>
          <s:t>SAP expressly Draft v1.2; final approved plan/amendment missing. No-adjustment versus planned BH remains candidate governance question.</s:t>
        </s:is>
      </s:c>
      <s:c r="C123" s="11" t="b">
        <s:v>1</s:v>
      </s:c>
      <s:c r="D123" s="11" t="inlineStr">
        <s:is>
          <s:t>Statistical reporting inconsistency</s:t>
        </s:is>
      </s:c>
      <s:c r="E123" s="11" t="b">
        <s:v>1</s:v>
      </s:c>
      <s:c r="F123" s="11" t="inlineStr">
        <s:is>
          <s:t>C004</s:t>
        </s:is>
      </s:c>
      <s:c r="G123" s="11" t="inlineStr">
        <s:is>
          <s:t>2025::jama.2025.7710::C004</s:t>
        </s:is>
      </s:c>
      <s:c r="H123" s="11" t="n"/>
      <s:c r="I123" s="11" t="inlineStr">
        <s:is>
          <s: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s:t>
        </s:is>
      </s:c>
      <s:c r="J123" s="11" t="b">
        <s:v>0</s:v>
      </s:c>
      <s:c r="K123" s="11" t="inlineStr">
        <s:is>
          <s:t>jama.2025.7710</s:t>
        </s:is>
      </s:c>
      <s:c r="L123" s="11" t="inlineStr">
        <s:is>
          <s:t>analysis_specification</s:t>
        </s:is>
      </s:c>
      <s:c r="M123" s="11" t="inlineStr">
        <s:is>
          <s:t>P_R</s:t>
        </s:is>
      </s:c>
      <s:c r="N123" s="11" t="inlineStr">
        <s:is>
          <s:t>Target compares reported current-study content with supplied protocol/SAP specification. Reported multiplicity treatment: no adjustment. Comparator planned treatment: adjusted P values for ten component comparisons.</s:t>
        </s:is>
      </s:c>
      <s:c r="O123" s="11" t="inlineStr">
        <s:is>
          <s:t>../../2025/jama.2025.7710/.ai_paper_validation/final_report_1_5_1.html</s:t>
        </s:is>
      </s:c>
      <s:c r="P123" s="11" t="inlineStr">
        <s:is>
          <s:t>2025/jama.2025.7710/.ai_paper_validation/final_report_1_5_1.md</s:t>
        </s:is>
      </s:c>
      <s:c r="Q123" s="11" t="inlineStr">
        <s:is>
          <s:t>C004</s:t>
        </s:is>
      </s:c>
      <s:c r="R123" s="11" t="inlineStr">
        <s:is>
          <s:t>Pending Human Adjudication</s:t>
        </s:is>
      </s:c>
      <s:c r="S123" s="11" t="inlineStr">
        <s:is>
          <s:t>The article reports no adjustment for multiple testing, while the supplied protocol and draft SAP plan Benjamini-Hochberg adjusted P values for the ten component comparisons.</s:t>
        </s:is>
      </s:c>
      <s:c r="T123" s="11" t="b">
        <s:v>0</s:v>
      </s:c>
      <s:c r="U123" s="11" t="inlineStr">
        <s:is>
          <s:t>Reported no-adjustment statement conflicts with the supplied multiplicity plan</s:t>
        </s:is>
      </s:c>
      <s:c r="V123" s="11" t="inlineStr">
        <s:is>
          <s:t>protocol_report</s:t>
        </s:is>
      </s:c>
      <s:c r="W123" s="11" t="inlineStr">
        <s:is>
          <s:t>Reported no-adjustment statement conflicts with the supplied multiplicity plan</s:t>
        </s:is>
      </s:c>
      <s:c r="X123" s="11" t="inlineStr">
        <s:is>
          <s:t>2025</s:t>
        </s:is>
      </s:c>
      <s:c r="Y123" s="11" t="inlineStr">
        <s:is>
          <s:t>meta_report/consistency_reclassification_2026-09-04/reclassified_candidates.json</s:t>
        </s:is>
      </s:c>
      <s:c r="Z123" s="11" t="inlineStr">
        <s:is>
          <s:t>P_R</s:t>
        </s:is>
      </s:c>
      <s:c r="AA123" s="11" t="inlineStr">
        <s:is>
          <s:t>protocol_report</s:t>
        </s:is>
      </s:c>
      <s:c r="AB123" s="11" t="inlineStr">
        <s:is>
          <s:t>retain</s:t>
        </s:is>
      </s:c>
    </s:row>
    <s:row r="124" ht="90" customFormat="1" customHeight="1" s="8">
      <s:c r="A124" s="12" t="b">
        <s:v>0</s:v>
      </s:c>
      <s:c r="B124" s="12" t="inlineStr">
        <s:is>
          <s:t>Main label versus own two-endpoint displays; supplement is comparable convention, not identically matched discrepancy.</s:t>
        </s:is>
      </s:c>
      <s:c r="C124" s="12" t="b">
        <s:v>0</s:v>
      </s:c>
      <s:c r="D124" s="12" t="inlineStr">
        <s:is>
          <s:t>Measure, label, or scale inconsistency</s:t>
        </s:is>
      </s:c>
      <s:c r="E124" s="12" t="b">
        <s:v>0</s:v>
      </s:c>
      <s:c r="F124" s="12" t="inlineStr">
        <s:is>
          <s:t>C001</s:t>
        </s:is>
      </s:c>
      <s:c r="G124" s="12" t="inlineStr">
        <s:is>
          <s:t>2025::jama.2025.9110::C001</s:t>
        </s:is>
      </s:c>
      <s:c r="H124" s="12" t="n"/>
      <s:c r="I124" s="12" t="inlineStr">
        <s:is>
          <s:t>Main article — PDF p. 7, Table 2, Duration of invasive ventilation, mean (SD), h; main article — PDF p. 1; Results Supplement — PDF p. 18, eTable 10.</s:t>
        </s:is>
      </s:c>
      <s:c r="J124" s="12" t="b">
        <s:v>0</s:v>
      </s:c>
      <s:c r="K124" s="12" t="inlineStr">
        <s:is>
          <s:t>jama.2025.9110</s:t>
        </s:is>
      </s:c>
      <s:c r="L124" s="12" t="n"/>
      <s:c r="M124" s="12" t="inlineStr">
        <s:is>
          <s:t>S_W</s:t>
        </s:is>
      </s:c>
      <s:c r="N124" s="12" t="inlineStr">
        <s:is>
          <s:t>Target is within one main article or one non-plan results supplement/workbook; no substantive plan comparison. The printed `mean (SD)` label is compared with the two-endpoint parenthetical displays and the supplementary median (IQR) presentation convention.</s:t>
        </s:is>
      </s:c>
      <s:c r="O124" s="12" t="inlineStr">
        <s:is>
          <s:t>../../2025/jama.2025.9110/.ai_paper_validation/final_report_1_5_1.html</s:t>
        </s:is>
      </s:c>
      <s:c r="P124" s="12" t="inlineStr">
        <s:is>
          <s:t>2025/jama.2025.9110/.ai_paper_validation/final_report_1_5_1.md</s:t>
        </s:is>
      </s:c>
      <s:c r="Q124" s="12" t="inlineStr">
        <s:is>
          <s:t>C001</s:t>
        </s:is>
      </s:c>
      <s:c r="R124" s="12" t="inlineStr">
        <s:is>
          <s:t>Pending Human Adjudication</s:t>
        </s:is>
      </s:c>
      <s:c r="S124" s="12" t="inlineStr">
        <s:is>
          <s:t>The invasive-ventilation Table 2 row is labeled mean (SD) but each group display contains two endpoints.</s:t>
        </s:is>
      </s:c>
      <s:c r="T124" s="12" t="b">
        <s:v>1</s:v>
      </s:c>
      <s:c r="U124" s="12" t="inlineStr">
        <s:is>
          <s:t>Invasive-ventilation descriptive summary is labeled mean (SD) but displays two endpoints</s:t>
        </s:is>
      </s:c>
      <s:c r="V124" s="12" t="inlineStr">
        <s:is>
          <s:t>report_internal_inconsistency</s:t>
        </s:is>
      </s:c>
      <s:c r="W124" s="12" t="inlineStr">
        <s:is>
          <s:t>Invasive-ventilation descriptive summary is labeled mean (SD) but displays two endpoints</s:t>
        </s:is>
      </s:c>
      <s:c r="X124" s="12" t="inlineStr">
        <s:is>
          <s:t>2025</s:t>
        </s:is>
      </s:c>
      <s:c r="Y124" s="12" t="inlineStr">
        <s:is>
          <s:t>meta_report/consistency_reclassification_2026-09-04/reclassified_candidates.json</s:t>
        </s:is>
      </s:c>
      <s:c r="Z124" s="12" t="inlineStr">
        <s:is>
          <s:t>S_W</s:t>
        </s:is>
      </s:c>
      <s:c r="AA124" s="12" t="inlineStr">
        <s:is>
          <s:t>report_internal_inconsistency</s:t>
        </s:is>
      </s:c>
      <s:c r="AB124" s="12" t="inlineStr">
        <s:is>
          <s:t>retain</s:t>
        </s:is>
      </s:c>
    </s:row>
    <s:row r="125" ht="90" customFormat="1" customHeight="1" s="8">
      <s:c r="A125" s="11" t="b">
        <s:v>0</s:v>
      </s:c>
      <s:c r="B125" s="11" t="n"/>
      <s:c r="C125" s="11" t="b">
        <s:v>0</s:v>
      </s:c>
      <s:c r="D125" s="11" t="inlineStr">
        <s:is>
          <s:t>Measure, label, or scale inconsistency</s:t>
        </s:is>
      </s:c>
      <s:c r="E125" s="11" t="b">
        <s:v>0</s:v>
      </s:c>
      <s:c r="F125" s="11" t="inlineStr">
        <s:is>
          <s:t>C002</s:t>
        </s:is>
      </s:c>
      <s:c r="G125" s="11" t="inlineStr">
        <s:is>
          <s:t>2025::jama.2025.9110::C002</s:t>
        </s:is>
      </s:c>
      <s:c r="H125" s="11" t="n"/>
      <s:c r="I125" s="11" t="inlineStr">
        <s:is>
          <s:t>Results Supplement — PDF p. 18, eTable 10, Alive at day 90 [n (%)], Period 2 usual protein (4 units, n = 530).</s:t>
        </s:is>
      </s:c>
      <s:c r="J125" s="11" t="b">
        <s:v>0</s:v>
      </s:c>
      <s:c r="K125" s="11" t="inlineStr">
        <s:is>
          <s:t>jama.2025.9110</s:t>
        </s:is>
      </s:c>
      <s:c r="L125" s="11" t="n"/>
      <s:c r="M125" s="11" t="inlineStr">
        <s:is>
          <s:t>S_W</s:t>
        </s:is>
      </s:c>
      <s:c r="N125" s="11" t="inlineStr">
        <s:is>
          <s:t>Target is within one main article or one non-plan results supplement/workbook; no substantive plan comparison. `72, 3%` is compared with the row's point-decimal convention and its printed count/denominator.</s:t>
        </s:is>
      </s:c>
      <s:c r="O125" s="11" t="inlineStr">
        <s:is>
          <s:t>../../2025/jama.2025.9110/.ai_paper_validation/final_report_1_5_1.html</s:t>
        </s:is>
      </s:c>
      <s:c r="P125" s="11" t="inlineStr">
        <s:is>
          <s:t>2025/jama.2025.9110/.ai_paper_validation/final_report_1_5_1.md</s:t>
        </s:is>
      </s:c>
      <s:c r="Q125" s="11" t="inlineStr">
        <s:is>
          <s:t>C002</s:t>
        </s:is>
      </s:c>
      <s:c r="R125" s="11" t="inlineStr">
        <s:is>
          <s:t>Pending Human Adjudication</s:t>
        </s:is>
      </s:c>
      <s:c r="S125" s="11" t="inlineStr">
        <s:is>
          <s:t>One eTable 10 day-90 survival percentage uses a comma-and-space where matched cells use a decimal point.</s:t>
        </s:is>
      </s:c>
      <s:c r="T125" s="11" t="b">
        <s:v>1</s:v>
      </s:c>
      <s:c r="U125" s="11" t="inlineStr">
        <s:is>
          <s:t>eTable 10 uses a comma in one one-decimal survival percentage</s:t>
        </s:is>
      </s:c>
      <s:c r="V125" s="11" t="inlineStr">
        <s:is>
          <s:t>report_internal_inconsistency</s:t>
        </s:is>
      </s:c>
      <s:c r="W125" s="11" t="inlineStr">
        <s:is>
          <s:t>eTable 10 uses a comma in one one-decimal survival percentage</s:t>
        </s:is>
      </s:c>
      <s:c r="X125" s="11" t="inlineStr">
        <s:is>
          <s:t>2025</s:t>
        </s:is>
      </s:c>
      <s:c r="Y125" s="11" t="inlineStr">
        <s:is>
          <s:t>meta_report/consistency_reclassification_2026-09-04/reclassified_candidates.json</s:t>
        </s:is>
      </s:c>
      <s:c r="Z125" s="11" t="inlineStr">
        <s:is>
          <s:t>S_W</s:t>
        </s:is>
      </s:c>
      <s:c r="AA125" s="11" t="inlineStr">
        <s:is>
          <s:t>report_internal_inconsistency</s:t>
        </s:is>
      </s:c>
      <s:c r="AB125" s="11" t="inlineStr">
        <s:is>
          <s:t>retain</s:t>
        </s:is>
      </s:c>
    </s:row>
    <s:row r="126" ht="90" customFormat="1" customHeight="1" s="8">
      <s:c r="A126" s="12" t="b">
        <s:v>0</s:v>
      </s:c>
      <s:c r="B126" s="12" t="inlineStr">
        <s:is>
          <s:t>Main label versus own two endpoints and median-difference effect. Final supplementary methods corroborate median estimand.</s:t>
        </s:is>
      </s:c>
      <s:c r="C126" s="12" t="b">
        <s:v>0</s:v>
      </s:c>
      <s:c r="D126" s="12" t="inlineStr">
        <s:is>
          <s:t>Measure, label, or scale inconsistency</s:t>
        </s:is>
      </s:c>
      <s:c r="E126" s="12" t="b">
        <s:v>0</s:v>
      </s:c>
      <s:c r="F126" s="12" t="inlineStr">
        <s:is>
          <s:t>C003</s:t>
        </s:is>
      </s:c>
      <s:c r="G126" s="12" t="inlineStr">
        <s:is>
          <s:t>2025::jama.2025.9110::C003</s:t>
        </s:is>
      </s:c>
      <s:c r="H126" s="12" t="n"/>
      <s:c r="I126" s="12" t="inlineStr">
        <s:is>
          <s:t>Main article — PDF p. 7, Table 2; Results Supplement — PDF p. 5, secondary analyses; Results Supplement — PDF p. 27, eFigure 6.</s:t>
        </s:is>
      </s:c>
      <s:c r="J126" s="12" t="b">
        <s:v>0</s:v>
      </s:c>
      <s:c r="K126" s="12" t="inlineStr">
        <s:is>
          <s:t>jama.2025.9110</s:t>
        </s:is>
      </s:c>
      <s:c r="L126" s="12" t="n"/>
      <s:c r="M126" s="12" t="inlineStr">
        <s:is>
          <s:t>S_W</s:t>
        </s:is>
      </s:c>
      <s:c r="N126" s="12" t="inlineStr">
        <s:is>
          <s:t>Target is within one main article or one non-plan results supplement/workbook; no substantive plan comparison. The Table 2 `mean (SD)` group-summary label is compared with its own median-difference effect label, the final Bayesian method description, and the two-bound group displays.</s:t>
        </s:is>
      </s:c>
      <s:c r="O126" s="12" t="inlineStr">
        <s:is>
          <s:t>../../2025/jama.2025.9110/.ai_paper_validation/final_report_1_5_1.html</s:t>
        </s:is>
      </s:c>
      <s:c r="P126" s="12" t="inlineStr">
        <s:is>
          <s:t>2025/jama.2025.9110/.ai_paper_validation/final_report_1_5_1.md</s:t>
        </s:is>
      </s:c>
      <s:c r="Q126" s="12" t="inlineStr">
        <s:is>
          <s:t>C003</s:t>
        </s:is>
      </s:c>
      <s:c r="R126" s="12" t="inlineStr">
        <s:is>
          <s:t>Pending Human Adjudication</s:t>
        </s:is>
      </s:c>
      <s:c r="S126" s="12" t="inlineStr">
        <s:is>
          <s:t>The Bayesian quantile Table 2 row is labeled mean (SD) despite a median-difference estimand and two-endpoint group displays.</s:t>
        </s:is>
      </s:c>
      <s:c r="T126" s="12" t="b">
        <s:v>1</s:v>
      </s:c>
      <s:c r="U126" s="12" t="inlineStr">
        <s:is>
          <s:t>Bayesian quantile row is labeled mean (SD) despite its associated median estimand and two-endpoint group displays</s:t>
        </s:is>
      </s:c>
      <s:c r="V126" s="12" t="inlineStr">
        <s:is>
          <s:t>report_internal_inconsistency</s:t>
        </s:is>
      </s:c>
      <s:c r="W126" s="12" t="inlineStr">
        <s:is>
          <s:t>Bayesian quantile row is labeled mean (SD) despite its associated median estimand and two-endpoint group displays</s:t>
        </s:is>
      </s:c>
      <s:c r="X126" s="12" t="inlineStr">
        <s:is>
          <s:t>2025</s:t>
        </s:is>
      </s:c>
      <s:c r="Y126" s="12" t="inlineStr">
        <s:is>
          <s:t>meta_report/consistency_reclassification_2026-09-04/reclassified_candidates.json</s:t>
        </s:is>
      </s:c>
      <s:c r="Z126" s="12" t="inlineStr">
        <s:is>
          <s:t>S_W</s:t>
        </s:is>
      </s:c>
      <s:c r="AA126" s="12" t="inlineStr">
        <s:is>
          <s:t>report_internal_inconsistency</s:t>
        </s:is>
      </s:c>
      <s:c r="AB126" s="12" t="inlineStr">
        <s:is>
          <s:t>retain</s:t>
        </s:is>
      </s:c>
    </s:row>
    <s:row r="127" ht="90" customFormat="1" customHeight="1" s="8">
      <s:c r="A127" s="11" t="b">
        <s:v>0</s:v>
      </s:c>
      <s:c r="B127" s="11" t="n"/>
      <s:c r="C127" s="11" t="b">
        <s:v>0</s:v>
      </s:c>
      <s:c r="D127" s="11" t="inlineStr">
        <s:is>
          <s:t>Cross-document numeric inconsistency</s:t>
        </s:is>
      </s:c>
      <s:c r="E127" s="11" t="b">
        <s:v>0</s:v>
      </s:c>
      <s:c r="F127" s="11" t="inlineStr">
        <s:is>
          <s:t>C004</s:t>
        </s:is>
      </s:c>
      <s:c r="G127" s="11" t="inlineStr">
        <s:is>
          <s:t>2025::jama.2025.9110::C004</s:t>
        </s:is>
      </s:c>
      <s:c r="H127" s="11" t="n"/>
      <s:c r="I127" s="11" t="inlineStr">
        <s:is>
          <s:t>Main article Results — PDF p. 5, Biochemical Outcomes; main article Discussion — PDF p. 8.</s:t>
        </s:is>
      </s:c>
      <s:c r="J127" s="11" t="b">
        <s:v>1</s:v>
      </s:c>
      <s:c r="K127" s="11" t="inlineStr">
        <s:is>
          <s:t>jama.2025.9110</s:t>
        </s:is>
      </s:c>
      <s:c r="L127" s="11" t="n"/>
      <s:c r="M127" s="11" t="inlineStr">
        <s:is>
          <s:t>S_W</s:t>
        </s:is>
      </s:c>
      <s:c r="N127" s="11" t="inlineStr">
        <s:is>
          <s:t>Target is within one main article or one non-plan results supplement/workbook; no substantive plan comparison. The Discussion's `mean` label is compared with the Results' matched analyte, day, groups, direction, unit, and `median (IQR)` description.</s:t>
        </s:is>
      </s:c>
      <s:c r="O127" s="11" t="inlineStr">
        <s:is>
          <s:t>../../2025/jama.2025.9110/.ai_paper_validation/final_report_1_5_1.html</s:t>
        </s:is>
      </s:c>
      <s:c r="P127" s="11" t="inlineStr">
        <s:is>
          <s:t>2025/jama.2025.9110/.ai_paper_validation/final_report_1_5_1.md</s:t>
        </s:is>
      </s:c>
      <s:c r="Q127" s="11" t="inlineStr">
        <s:is>
          <s:t>C004</s:t>
        </s:is>
      </s:c>
      <s:c r="R127" s="11" t="inlineStr">
        <s:is>
          <s:t>Pending Human Adjudication</s:t>
        </s:is>
      </s:c>
      <s:c r="S127" s="11" t="inlineStr">
        <s:is>
          <s:t>The Discussion calls the matched day-10 blood-urea summaries means while Results reports medians (IQR).</s:t>
        </s:is>
      </s:c>
      <s:c r="T127" s="11" t="b">
        <s:v>1</s:v>
      </s:c>
      <s:c r="U127" s="11" t="inlineStr">
        <s:is>
          <s:t>Discussion describes the matched day-10 urea summaries as means while Results reports medians (IQR)</s:t>
        </s:is>
      </s:c>
      <s:c r="V127" s="11" t="inlineStr">
        <s:is>
          <s:t>report_internal_inconsistency</s:t>
        </s:is>
      </s:c>
      <s:c r="W127" s="11" t="inlineStr">
        <s:is>
          <s:t>Discussion describes the matched day-10 urea summaries as means while Results reports medians (IQR)</s:t>
        </s:is>
      </s:c>
      <s:c r="X127" s="11" t="inlineStr">
        <s:is>
          <s:t>2025</s:t>
        </s:is>
      </s:c>
      <s:c r="Y127" s="11" t="inlineStr">
        <s:is>
          <s:t>meta_report/consistency_reclassification_2026-09-04/reclassified_candidates.json</s:t>
        </s:is>
      </s:c>
      <s:c r="Z127" s="11" t="inlineStr">
        <s:is>
          <s:t>S_W</s:t>
        </s:is>
      </s:c>
      <s:c r="AA127" s="11" t="inlineStr">
        <s:is>
          <s:t>report_internal_inconsistency</s:t>
        </s:is>
      </s:c>
      <s:c r="AB127" s="11" t="inlineStr">
        <s:is>
          <s:t>retain</s:t>
        </s:is>
      </s:c>
    </s:row>
    <s:row r="128" ht="90" customFormat="1" customHeight="1" s="8">
      <s:c r="A128" s="12" t="b">
        <s:v>0</s:v>
      </s:c>
      <s:c r="B128" s="12" t="n"/>
      <s:c r="C128" s="12" t="b">
        <s:v>0</s:v>
      </s:c>
      <s:c r="D128" s="12" t="inlineStr">
        <s:is>
          <s:t>Measure, label, or scale inconsistency</s:t>
        </s:is>
      </s:c>
      <s:c r="E128" s="12" t="b">
        <s:v>0</s:v>
      </s:c>
      <s:c r="F128" s="12" t="inlineStr">
        <s:is>
          <s:t>C005</s:t>
        </s:is>
      </s:c>
      <s:c r="G128" s="12" t="inlineStr">
        <s:is>
          <s:t>2025::jama.2025.9110::C005</s:t>
        </s:is>
      </s:c>
      <s:c r="H128" s="12" t="n"/>
      <s:c r="I128" s="12" t="inlineStr">
        <s:is>
          <s:t>Results Supplement — PDF p. 18, eTable 10, Tracheostomy in ICU [n (%)].</s:t>
        </s:is>
      </s:c>
      <s:c r="J128" s="12" t="b">
        <s:v>0</s:v>
      </s:c>
      <s:c r="K128" s="12" t="inlineStr">
        <s:is>
          <s:t>jama.2025.9110</s:t>
        </s:is>
      </s:c>
      <s:c r="L128" s="12" t="n"/>
      <s:c r="M128" s="12" t="inlineStr">
        <s:is>
          <s:t>S_W</s:t>
        </s:is>
      </s:c>
      <s:c r="N128" s="12" t="inlineStr">
        <s:is>
          <s:t>Target is within one main article or one non-plan results supplement/workbook; no substantive plan comparison. All eight are percentage displays in one `[n (%)]` row, but the first four omit `%` and the last four include it.</s:t>
        </s:is>
      </s:c>
      <s:c r="O128" s="12" t="inlineStr">
        <s:is>
          <s:t>../../2025/jama.2025.9110/.ai_paper_validation/final_report_1_5_1.html</s:t>
        </s:is>
      </s:c>
      <s:c r="P128" s="12" t="inlineStr">
        <s:is>
          <s:t>2025/jama.2025.9110/.ai_paper_validation/final_report_1_5_1.md</s:t>
        </s:is>
      </s:c>
      <s:c r="Q128" s="12" t="inlineStr">
        <s:is>
          <s:t>C005</s:t>
        </s:is>
      </s:c>
      <s:c r="R128" s="12" t="inlineStr">
        <s:is>
          <s:t>Pending Human Adjudication</s:t>
        </s:is>
      </s:c>
      <s:c r="S128" s="12" t="inlineStr">
        <s:is>
          <s:t>The eTable 10 tracheostomy row changes percent-sign notation halfway across matched period cells.</s:t>
        </s:is>
      </s:c>
      <s:c r="T128" s="12" t="b">
        <s:v>1</s:v>
      </s:c>
      <s:c r="U128" s="12" t="inlineStr">
        <s:is>
          <s:t>eTable 10 tracheostomy row switches percent-sign notation across period cells</s:t>
        </s:is>
      </s:c>
      <s:c r="V128" s="12" t="inlineStr">
        <s:is>
          <s:t>report_internal_inconsistency</s:t>
        </s:is>
      </s:c>
      <s:c r="W128" s="12" t="inlineStr">
        <s:is>
          <s:t>eTable 10 tracheostomy row switches percent-sign notation across period cells</s:t>
        </s:is>
      </s:c>
      <s:c r="X128" s="12" t="inlineStr">
        <s:is>
          <s:t>2025</s:t>
        </s:is>
      </s:c>
      <s:c r="Y128" s="12" t="inlineStr">
        <s:is>
          <s:t>meta_report/consistency_reclassification_2026-09-04/reclassified_candidates.json</s:t>
        </s:is>
      </s:c>
      <s:c r="Z128" s="12" t="inlineStr">
        <s:is>
          <s:t>S_W</s:t>
        </s:is>
      </s:c>
      <s:c r="AA128" s="12" t="inlineStr">
        <s:is>
          <s:t>report_internal_inconsistency</s:t>
        </s:is>
      </s:c>
      <s:c r="AB128" s="12" t="inlineStr">
        <s:is>
          <s:t>retain</s:t>
        </s:is>
      </s:c>
    </s:row>
    <s:row r="129" ht="90" customFormat="1" customHeight="1" s="8">
      <s:c r="A129" s="11" t="b">
        <s:v>0</s:v>
      </s:c>
      <s:c r="B129" s="11" t="n"/>
      <s:c r="C129" s="11" t="b">
        <s:v>0</s:v>
      </s:c>
      <s:c r="D129" s="11" t="inlineStr">
        <s:is>
          <s:t>Measure, label, or scale inconsistency</s:t>
        </s:is>
      </s:c>
      <s:c r="E129" s="11" t="b">
        <s:v>0</s:v>
      </s:c>
      <s:c r="F129" s="11" t="inlineStr">
        <s:is>
          <s:t>C006</s:t>
        </s:is>
      </s:c>
      <s:c r="G129" s="11" t="inlineStr">
        <s:is>
          <s:t>2025::jama.2025.9110::C006</s:t>
        </s:is>
      </s:c>
      <s:c r="H129" s="11" t="n"/>
      <s:c r="I129" s="11" t="inlineStr">
        <s:is>
          <s:t>Results Supplement — PDF p. 18, eTable 10, New kidney replacement therapy commenced during index ICU admission after commencing trial enteral nutrition [n (%)].</s:t>
        </s:is>
      </s:c>
      <s:c r="J129" s="11" t="b">
        <s:v>0</s:v>
      </s:c>
      <s:c r="K129" s="11" t="inlineStr">
        <s:is>
          <s:t>jama.2025.9110</s:t>
        </s:is>
      </s:c>
      <s:c r="L129" s="11" t="n"/>
      <s:c r="M129" s="11" t="inlineStr">
        <s:is>
          <s:t>S_W</s:t>
        </s:is>
      </s:c>
      <s:c r="N129" s="11" t="inlineStr">
        <s:is>
          <s:t>Target is within one main article or one non-plan results supplement/workbook; no substantive plan comparison. All eight are percentage displays within one `[n (%)]` row, but `%` is absent from the first four and present in the final four.</s:t>
        </s:is>
      </s:c>
      <s:c r="O129" s="11" t="inlineStr">
        <s:is>
          <s:t>../../2025/jama.2025.9110/.ai_paper_validation/final_report_1_5_1.html</s:t>
        </s:is>
      </s:c>
      <s:c r="P129" s="11" t="inlineStr">
        <s:is>
          <s:t>2025/jama.2025.9110/.ai_paper_validation/final_report_1_5_1.md</s:t>
        </s:is>
      </s:c>
      <s:c r="Q129" s="11" t="inlineStr">
        <s:is>
          <s:t>C006</s:t>
        </s:is>
      </s:c>
      <s:c r="R129" s="11" t="inlineStr">
        <s:is>
          <s:t>Pending Human Adjudication</s:t>
        </s:is>
      </s:c>
      <s:c r="S129" s="11" t="inlineStr">
        <s:is>
          <s:t>The eTable 10 new-kidney-replacement-therapy row changes percent-sign notation halfway across matched period cells.</s:t>
        </s:is>
      </s:c>
      <s:c r="T129" s="11" t="b">
        <s:v>1</s:v>
      </s:c>
      <s:c r="U129" s="11" t="inlineStr">
        <s:is>
          <s:t>eTable 10 new-KRT row switches percent-sign notation across period cells</s:t>
        </s:is>
      </s:c>
      <s:c r="V129" s="11" t="inlineStr">
        <s:is>
          <s:t>report_internal_inconsistency</s:t>
        </s:is>
      </s:c>
      <s:c r="W129" s="11" t="inlineStr">
        <s:is>
          <s:t>eTable 10 new-KRT row switches percent-sign notation across period cells</s:t>
        </s:is>
      </s:c>
      <s:c r="X129" s="11" t="inlineStr">
        <s:is>
          <s:t>2025</s:t>
        </s:is>
      </s:c>
      <s:c r="Y129" s="11" t="inlineStr">
        <s:is>
          <s:t>meta_report/consistency_reclassification_2026-09-04/reclassified_candidates.json</s:t>
        </s:is>
      </s:c>
      <s:c r="Z129" s="11" t="inlineStr">
        <s:is>
          <s:t>S_W</s:t>
        </s:is>
      </s:c>
      <s:c r="AA129" s="11" t="inlineStr">
        <s:is>
          <s:t>report_internal_inconsistency</s:t>
        </s:is>
      </s:c>
      <s:c r="AB129" s="11" t="inlineStr">
        <s:is>
          <s:t>retain</s:t>
        </s:is>
      </s:c>
    </s:row>
    <s:row r="130" ht="90" customFormat="1" customHeight="1" s="8">
      <s:c r="A130" s="12" t="b">
        <s:v>0</s:v>
      </s:c>
      <s:c r="B130" s="12" t="inlineStr">
        <s:is>
          <s:t>Extraneous mmHg already contradicts own percent sign and respectively construction; eTable provides corroborating correct units. Classified local unit-placement issue.</s:t>
        </s:is>
      </s:c>
      <s:c r="C130" s="12" t="b">
        <s:v>0</s:v>
      </s:c>
      <s:c r="D130" s="12" t="inlineStr">
        <s:is>
          <s:t>Measure, label, or scale inconsistency</s:t>
        </s:is>
      </s:c>
      <s:c r="E130" s="12" t="b">
        <s:v>0</s:v>
      </s:c>
      <s:c r="F130" s="12" t="inlineStr">
        <s:is>
          <s:t>C001</s:t>
        </s:is>
      </s:c>
      <s:c r="G130" s="12" t="inlineStr">
        <s:is>
          <s:t>2025::jama.2025.9663::C001</s:t>
        </s:is>
      </s:c>
      <s:c r="H130" s="12" t="n"/>
      <s:c r="I130" s="12" t="inlineStr">
        <s:is>
          <s:t>DOC-001, jama_martin_2025_oi_250042_1753377747.91025.pdf — PDF p. 6 (printed article p. 403), Oxygen Exposure paragraph; comparator DOC-003, joi250042supp2_prod_1753377747.93025.pdf — PDF p. 21, eTable 5.</s:t>
        </s:is>
      </s:c>
      <s:c r="J130" s="12" t="b">
        <s:v>0</s:v>
      </s:c>
      <s:c r="K130" s="12" t="inlineStr">
        <s:is>
          <s:t>jama.2025.9663</s:t>
        </s:is>
      </s:c>
      <s:c r="L130" s="12" t="n"/>
      <s:c r="M130" s="12" t="inlineStr">
        <s:is>
          <s:t>S_W</s:t>
        </s:is>
      </s:c>
      <s:c r="N130" s="12" t="inlineStr">
        <s:is>
          <s: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s:t>
        </s:is>
      </s:c>
      <s:c r="O130" s="12" t="inlineStr">
        <s:is>
          <s:t>../../2025/jama.2025.9663/.ai_paper_validation/final_report_1_5_1.html</s:t>
        </s:is>
      </s:c>
      <s:c r="P130" s="12" t="inlineStr">
        <s:is>
          <s:t>2025/jama.2025.9663/.ai_paper_validation/final_report_1_5_1.md</s:t>
        </s:is>
      </s:c>
      <s:c r="Q130" s="12" t="inlineStr">
        <s:is>
          <s:t>C001</s:t>
        </s:is>
      </s:c>
      <s:c r="R130" s="12" t="inlineStr">
        <s:is>
          <s:t>Pending Human Adjudication</s:t>
        </s:is>
      </s:c>
      <s:c r="S130" s="12" t="inlineStr">
        <s:is>
          <s:t>The main article places mm Hg immediately after the usual-group SpO2 summary, producing 95.1% (2.4%) mm Hg, although the sentence’s respective pairing and the matched supplement table identify SpO2 as percent and PaO2 as mm Hg.</s:t>
        </s:is>
      </s:c>
      <s:c r="T130" s="12" t="b">
        <s:v>1</s:v>
      </s:c>
      <s:c r="U130" s="12" t="inlineStr">
        <s:is>
          <s:t>Extraneous pressure unit after the usual-group SpO2 summary</s:t>
        </s:is>
      </s:c>
      <s:c r="V130" s="12" t="inlineStr">
        <s:is>
          <s:t>report_internal_inconsistency</s:t>
        </s:is>
      </s:c>
      <s:c r="W130" s="12" t="inlineStr">
        <s:is>
          <s:t>Extraneous pressure unit after the usual-group SpO2 summary</s:t>
        </s:is>
      </s:c>
      <s:c r="X130" s="12" t="inlineStr">
        <s:is>
          <s:t>2025</s:t>
        </s:is>
      </s:c>
      <s:c r="Y130" s="12" t="inlineStr">
        <s:is>
          <s:t>meta_report/consistency_reclassification_2026-09-04/reclassified_candidates.json</s:t>
        </s:is>
      </s:c>
      <s:c r="Z130" s="12" t="inlineStr">
        <s:is>
          <s:t>S_W</s:t>
        </s:is>
      </s:c>
      <s:c r="AA130" s="12" t="inlineStr">
        <s:is>
          <s:t>report_internal_inconsistency</s:t>
        </s:is>
      </s:c>
      <s:c r="AB130" s="12" t="inlineStr">
        <s:is>
          <s:t>retain</s:t>
        </s:is>
      </s:c>
    </s:row>
    <s:row r="131" ht="90" customFormat="1" customHeight="1" s="8">
      <s:c r="A131" s="11" t="b">
        <s:v>0</s:v>
      </s:c>
      <s:c r="B131" s="11" t="n"/>
      <s:c r="C131" s="11" t="b">
        <s:v>0</s:v>
      </s:c>
      <s:c r="D131" s="11" t="inlineStr">
        <s:is>
          <s:t>Measure, label, or scale inconsistency</s:t>
        </s:is>
      </s:c>
      <s:c r="E131" s="11" t="b">
        <s:v>0</s:v>
      </s:c>
      <s:c r="F131" s="11" t="inlineStr">
        <s:is>
          <s:t>C002</s:t>
        </s:is>
      </s:c>
      <s:c r="G131" s="11" t="inlineStr">
        <s:is>
          <s:t>2025::jama.2025.9663::C002</s:t>
        </s:is>
      </s:c>
      <s:c r="H131" s="11" t="n"/>
      <s:c r="I131" s="11" t="inlineStr">
        <s:is>
          <s:t>DOC-003, joi250042supp2_prod_1753377747.93025.pdf — PDF p. 1, contents; actual eTable 1 — PDF p. 15, eTable 2 — PDF p. 17, eTable 3 — PDF p. 18, and eTable 4 — PDF p. 19.</s:t>
        </s:is>
      </s:c>
      <s:c r="J131" s="11" t="b">
        <s:v>0</s:v>
      </s:c>
      <s:c r="K131" s="11" t="inlineStr">
        <s:is>
          <s:t>jama.2025.9663</s:t>
        </s:is>
      </s:c>
      <s:c r="L131" s="11" t="n"/>
      <s:c r="M131" s="11" t="inlineStr">
        <s:is>
          <s:t>S_W</s:t>
        </s:is>
      </s:c>
      <s:c r="N131" s="11" t="inlineStr">
        <s:is>
          <s: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s:t>
        </s:is>
      </s:c>
      <s:c r="O131" s="11" t="inlineStr">
        <s:is>
          <s:t>../../2025/jama.2025.9663/.ai_paper_validation/final_report_1_5_1.html</s:t>
        </s:is>
      </s:c>
      <s:c r="P131" s="11" t="inlineStr">
        <s:is>
          <s:t>2025/jama.2025.9663/.ai_paper_validation/final_report_1_5_1.md</s:t>
        </s:is>
      </s:c>
      <s:c r="Q131" s="11" t="inlineStr">
        <s:is>
          <s:t>C002</s:t>
        </s:is>
      </s:c>
      <s:c r="R131" s="11" t="inlineStr">
        <s:is>
          <s:t>Pending Human Adjudication</s:t>
        </s:is>
      </s:c>
      <s:c r="S131" s="11" t="inlineStr">
        <s:is>
          <s:t>DOC-003’s contents entries for eTables 1-4 do not identify the actual same-numbered tables later printed in that PDF.</s:t>
        </s:is>
      </s:c>
      <s:c r="T131" s="11" t="b">
        <s:v>1</s:v>
      </s:c>
      <s:c r="U131" s="11" t="inlineStr">
        <s:is>
          <s:t>Results-supplement contents page does not identify actual eTables 1-4</s:t>
        </s:is>
      </s:c>
      <s:c r="V131" s="11" t="inlineStr">
        <s:is>
          <s:t>report_internal_inconsistency</s:t>
        </s:is>
      </s:c>
      <s:c r="W131" s="11" t="inlineStr">
        <s:is>
          <s:t>Results-supplement contents page does not identify actual eTables 1-4</s:t>
        </s:is>
      </s:c>
      <s:c r="X131" s="11" t="inlineStr">
        <s:is>
          <s:t>2025</s:t>
        </s:is>
      </s:c>
      <s:c r="Y131" s="11" t="inlineStr">
        <s:is>
          <s:t>meta_report/consistency_reclassification_2026-09-04/reclassified_candidates.json</s:t>
        </s:is>
      </s:c>
      <s:c r="Z131" s="11" t="inlineStr">
        <s:is>
          <s:t>S_W</s:t>
        </s:is>
      </s:c>
      <s:c r="AA131" s="11" t="inlineStr">
        <s:is>
          <s:t>report_internal_inconsistency</s:t>
        </s:is>
      </s:c>
      <s:c r="AB131" s="11" t="inlineStr">
        <s:is>
          <s:t>retain</s:t>
        </s:is>
      </s:c>
    </s:row>
    <s:row r="132" ht="90" customFormat="1" customHeight="1" s="8">
      <s:c r="A132" s="12" t="b">
        <s:v>0</s:v>
      </s:c>
      <s:c r="B132" s="12" t="inlineStr">
        <s:is>
          <s:t>Broken cross-reference in SAP, not substantive mismatch of reported result or numerical rule. May not impede rule interpretation.</s:t>
        </s:is>
      </s:c>
      <s:c r="C132" s="12" t="b">
        <s:v>1</s:v>
      </s:c>
      <s:c r="D132" s="12" t="inlineStr">
        <s:is>
          <s:t>Measure, label, or scale inconsistency</s:t>
        </s:is>
      </s:c>
      <s:c r="E132" s="12" t="b">
        <s:v>0</s:v>
      </s:c>
      <s:c r="F132" s="12" t="inlineStr">
        <s:is>
          <s:t>C003</s:t>
        </s:is>
      </s:c>
      <s:c r="G132" s="12" t="inlineStr">
        <s:is>
          <s:t>2025::jama.2025.9663::C003</s:t>
        </s:is>
      </s:c>
      <s:c r="H132" s="12" t="n"/>
      <s:c r="I132" s="12" t="inlineStr">
        <s:is>
          <s:t>DOC-002, joi250042supp1_prod_1753377747.92525.pdf — PDF p. 118 (SAP p. 8), section 2.5 and Table 1, immediately after the separation/adherence definition.</s:t>
        </s:is>
      </s:c>
      <s:c r="J132" s="12" t="b">
        <s:v>0</s:v>
      </s:c>
      <s:c r="K132" s="12" t="inlineStr">
        <s:is>
          <s:t>jama.2025.9663</s:t>
        </s:is>
      </s:c>
      <s:c r="L132" s="12" t="n"/>
      <s:c r="M132" s="12" t="inlineStr">
        <s:is>
          <s:t>P_P</s:t>
        </s:is>
      </s:c>
      <s:c r="N132" s="12" t="inlineStr">
        <s:is>
          <s: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s:t>
        </s:is>
      </s:c>
      <s:c r="O132" s="12" t="inlineStr">
        <s:is>
          <s:t>../../2025/jama.2025.9663/.ai_paper_validation/final_report_1_5_1.html</s:t>
        </s:is>
      </s:c>
      <s:c r="P132" s="12" t="inlineStr">
        <s:is>
          <s:t>2025/jama.2025.9663/.ai_paper_validation/final_report_1_5_1.md</s:t>
        </s:is>
      </s:c>
      <s:c r="Q132" s="12" t="inlineStr">
        <s:is>
          <s:t>C003</s:t>
        </s:is>
      </s:c>
      <s:c r="R132" s="12" t="inlineStr">
        <s:is>
          <s:t>Pending Human Adjudication</s:t>
        </s:is>
      </s:c>
      <s:c r="S132" s="12" t="inlineStr">
        <s:is>
          <s:t>The final SAP directs readers to “Section 3.2 and Error! Reference source not found.” for further details after quantitative separation/adherence rules, leaving one stated reference destination unidentifiable.</s:t>
        </s:is>
      </s:c>
      <s:c r="T132" s="12" t="b">
        <s:v>0</s:v>
      </s:c>
      <s:c r="U132" s="12" t="inlineStr">
        <s:is>
          <s:t>Final SAP contains an unresolved reference after quantitative separation/adherence rules</s:t>
        </s:is>
      </s:c>
      <s:c r="V132" s="12" t="inlineStr">
        <s:is>
          <s:t>plan_material</s:t>
        </s:is>
      </s:c>
      <s:c r="W132" s="12" t="inlineStr">
        <s:is>
          <s:t>Final SAP contains an unresolved reference after quantitative separation/adherence rules</s:t>
        </s:is>
      </s:c>
      <s:c r="X132" s="12" t="inlineStr">
        <s:is>
          <s:t>2025</s:t>
        </s:is>
      </s:c>
      <s:c r="Y132" s="12" t="inlineStr">
        <s:is>
          <s:t>meta_report/consistency_reclassification_2026-09-04/reclassified_candidates.json</s:t>
        </s:is>
      </s:c>
      <s:c r="Z132" s="12" t="inlineStr">
        <s:is>
          <s:t>P_P</s:t>
        </s:is>
      </s:c>
      <s:c r="AA132" s="12" t="inlineStr">
        <s:is>
          <s:t>plan_material</s:t>
        </s:is>
      </s:c>
      <s:c r="AB132" s="12" t="inlineStr">
        <s:is>
          <s:t>retain</s:t>
        </s:is>
      </s:c>
    </s:row>
  </s:sheetData>
  <s:hyperlinks>
    <s:hyperlink ref="O2" r:id="rId1"/>
    <s:hyperlink ref="O3" r:id="rId2"/>
    <s:hyperlink ref="O4" r:id="rId3"/>
    <s:hyperlink ref="O5" r:id="rId4"/>
    <s:hyperlink ref="O6" r:id="rId5"/>
    <s:hyperlink ref="O7" r:id="rId6"/>
    <s:hyperlink ref="O8" r:id="rId7"/>
    <s:hyperlink ref="O9" r:id="rId8"/>
    <s:hyperlink ref="O10" r:id="rId9"/>
    <s:hyperlink ref="O11" r:id="rId10"/>
    <s:hyperlink ref="O12" r:id="rId11"/>
    <s:hyperlink ref="O13" r:id="rId12"/>
    <s:hyperlink ref="O14" r:id="rId13"/>
    <s:hyperlink ref="O15" r:id="rId14"/>
    <s:hyperlink ref="O16" r:id="rId15"/>
    <s:hyperlink ref="O17" r:id="rId16"/>
    <s:hyperlink ref="O18" r:id="rId17"/>
    <s:hyperlink ref="O19" r:id="rId18"/>
    <s:hyperlink ref="O20" r:id="rId19"/>
    <s:hyperlink ref="O21" r:id="rId20"/>
    <s:hyperlink ref="O22" r:id="rId21"/>
    <s:hyperlink ref="O23" r:id="rId22"/>
    <s:hyperlink ref="O24" r:id="rId23"/>
    <s:hyperlink ref="O25" r:id="rId24"/>
    <s:hyperlink ref="O26" r:id="rId25"/>
    <s:hyperlink ref="O27" r:id="rId26"/>
    <s:hyperlink ref="O28" r:id="rId27"/>
    <s:hyperlink ref="O29" r:id="rId28"/>
    <s:hyperlink ref="O30" r:id="rId29"/>
    <s:hyperlink ref="O31" r:id="rId30"/>
    <s:hyperlink ref="O32" r:id="rId31"/>
    <s:hyperlink ref="O33" r:id="rId32"/>
    <s:hyperlink ref="O34" r:id="rId33"/>
    <s:hyperlink ref="O35" r:id="rId34"/>
    <s:hyperlink ref="O36" r:id="rId35"/>
    <s:hyperlink ref="O37" r:id="rId36"/>
    <s:hyperlink ref="O38" r:id="rId37"/>
    <s:hyperlink ref="O39" r:id="rId38"/>
    <s:hyperlink ref="O40" r:id="rId39"/>
    <s:hyperlink ref="O41" r:id="rId40"/>
    <s:hyperlink ref="O42" r:id="rId41"/>
    <s:hyperlink ref="O43" r:id="rId42"/>
    <s:hyperlink ref="O44" r:id="rId43"/>
    <s:hyperlink ref="O45" r:id="rId44"/>
    <s:hyperlink ref="O46" r:id="rId45"/>
    <s:hyperlink ref="O47" r:id="rId46"/>
    <s:hyperlink ref="O48" r:id="rId47"/>
    <s:hyperlink ref="O49" r:id="rId48"/>
    <s:hyperlink ref="O50" r:id="rId49"/>
    <s:hyperlink ref="O51" r:id="rId50"/>
    <s:hyperlink ref="O52" r:id="rId51"/>
    <s:hyperlink ref="O53" r:id="rId52"/>
    <s:hyperlink ref="O54" r:id="rId53"/>
    <s:hyperlink ref="O55" r:id="rId54"/>
    <s:hyperlink ref="O56" r:id="rId55"/>
    <s:hyperlink ref="O57" r:id="rId56"/>
    <s:hyperlink ref="O58" r:id="rId57"/>
    <s:hyperlink ref="O59" r:id="rId58"/>
    <s:hyperlink ref="O60" r:id="rId59"/>
    <s:hyperlink ref="O61" r:id="rId60"/>
    <s:hyperlink ref="O62" r:id="rId61"/>
    <s:hyperlink ref="O63" r:id="rId62"/>
    <s:hyperlink ref="O64" r:id="rId63"/>
    <s:hyperlink ref="O65" r:id="rId64"/>
    <s:hyperlink ref="O66" r:id="rId65"/>
    <s:hyperlink ref="O67" r:id="rId66"/>
    <s:hyperlink ref="O68" r:id="rId67"/>
    <s:hyperlink ref="O69" r:id="rId68"/>
    <s:hyperlink ref="O70" r:id="rId69"/>
    <s:hyperlink ref="O71" r:id="rId70"/>
    <s:hyperlink ref="O72" r:id="rId71"/>
    <s:hyperlink ref="O73" r:id="rId72"/>
    <s:hyperlink ref="O74" r:id="rId73"/>
    <s:hyperlink ref="O75" r:id="rId74"/>
    <s:hyperlink ref="O76" r:id="rId75"/>
    <s:hyperlink ref="O77" r:id="rId76"/>
    <s:hyperlink ref="O78" r:id="rId77"/>
    <s:hyperlink ref="O79" r:id="rId78"/>
    <s:hyperlink ref="O80" r:id="rId79"/>
    <s:hyperlink ref="O81" r:id="rId80"/>
    <s:hyperlink ref="O82" r:id="rId81"/>
    <s:hyperlink ref="O83" r:id="rId82"/>
    <s:hyperlink ref="O84" r:id="rId83"/>
    <s:hyperlink ref="O85" r:id="rId84"/>
    <s:hyperlink ref="O86" r:id="rId85"/>
    <s:hyperlink ref="O87" r:id="rId86"/>
    <s:hyperlink ref="O88" r:id="rId87"/>
    <s:hyperlink ref="O89" r:id="rId88"/>
    <s:hyperlink ref="O90" r:id="rId89"/>
    <s:hyperlink ref="O91" r:id="rId90"/>
    <s:hyperlink ref="O92" r:id="rId91"/>
    <s:hyperlink ref="O93" r:id="rId92"/>
    <s:hyperlink ref="O94" r:id="rId93"/>
    <s:hyperlink ref="O95" r:id="rId94"/>
    <s:hyperlink ref="O96" r:id="rId95"/>
    <s:hyperlink ref="O97" r:id="rId96"/>
    <s:hyperlink ref="O98" r:id="rId97"/>
    <s:hyperlink ref="O99" r:id="rId98"/>
    <s:hyperlink ref="O100" r:id="rId99"/>
    <s:hyperlink ref="O101" r:id="rId100"/>
    <s:hyperlink ref="O102" r:id="rId101"/>
    <s:hyperlink ref="O103" r:id="rId102"/>
    <s:hyperlink ref="O104" r:id="rId103"/>
    <s:hyperlink ref="O105" r:id="rId104"/>
    <s:hyperlink ref="O106" r:id="rId105"/>
    <s:hyperlink ref="O107" r:id="rId106"/>
    <s:hyperlink ref="O108" r:id="rId107"/>
    <s:hyperlink ref="O109" r:id="rId108"/>
    <s:hyperlink ref="O110" r:id="rId109"/>
    <s:hyperlink ref="O111" r:id="rId110"/>
    <s:hyperlink ref="O112" r:id="rId111"/>
    <s:hyperlink ref="O113" r:id="rId112"/>
    <s:hyperlink ref="O114" r:id="rId113"/>
    <s:hyperlink ref="O115" r:id="rId114"/>
    <s:hyperlink ref="O116" r:id="rId115"/>
    <s:hyperlink ref="O117" r:id="rId116"/>
    <s:hyperlink ref="O118" r:id="rId117"/>
    <s:hyperlink ref="O119" r:id="rId118"/>
    <s:hyperlink ref="O120" r:id="rId119"/>
    <s:hyperlink ref="O121" r:id="rId120"/>
    <s:hyperlink ref="O122" r:id="rId121"/>
    <s:hyperlink ref="O123" r:id="rId122"/>
    <s:hyperlink ref="O124" r:id="rId123"/>
    <s:hyperlink ref="O125" r:id="rId124"/>
    <s:hyperlink ref="O126" r:id="rId125"/>
    <s:hyperlink ref="O127" r:id="rId126"/>
    <s:hyperlink ref="O128" r:id="rId127"/>
    <s:hyperlink ref="O129" r:id="rId128"/>
    <s:hyperlink ref="O130" r:id="rId129"/>
    <s:hyperlink ref="O131" r:id="rId130"/>
    <s:hyperlink ref="O132" r:id="rId131"/>
  </s:hyperlinks>
  <s:pageMargins left="0.7" right="0.7" top="0.75" bottom="0.75" header="0.3" footer="0.3"/>
  <s:tableParts count="1">
    <s:tablePart r:id="rId132"/>
  </s:tableParts>
</s:worksheet>
</file>

<file path=xl/worksheets/sheet24.xml><?xml version="1.0" encoding="utf-8"?>
<s:worksheet xmlns:r="http://schemas.openxmlformats.org/officeDocument/2006/relationships" xmlns:s="http://schemas.openxmlformats.org/spreadsheetml/2006/main">
  <s:sheetPr>
    <s:outlinePr summaryBelow="1" summaryRight="1"/>
    <s:pageSetUpPr/>
  </s:sheetPr>
  <s:dimension ref="A1:D525"/>
  <s:sheetViews>
    <s:sheetView showGridLines="0" workbookViewId="0">
      <s:pane xSplit="1" ySplit="1" topLeftCell="B2" activePane="bottomRight" state="frozen"/>
      <s:selection activeCell="A1" sqref="A1"/>
    </s:sheetView>
  </s:sheetViews>
  <s:sheetFormatPr baseColWidth="8" defaultRowHeight="15"/>
  <s:cols>
    <s:col width="44" customWidth="1" style="8" min="1" max="1"/>
    <s:col width="26" customWidth="1" style="8" min="2" max="2"/>
    <s:col width="26" customWidth="1" style="8" min="3" max="3"/>
    <s:col width="115" customWidth="1" style="8" min="4" max="4"/>
  </s:cols>
  <s:sheetData>
    <s:row r="1" ht="42" customFormat="1" customHeight="1" s="8">
      <s:c r="A1" s="5" t="inlineStr">
        <s:is>
          <s:t>key</s:t>
        </s:is>
      </s:c>
      <s:c r="B1" s="5" t="inlineStr">
        <s:is>
          <s:t>order</s:t>
        </s:is>
      </s:c>
      <s:c r="C1" s="5" t="inlineStr">
        <s:is>
          <s:t>section</s:t>
        </s:is>
      </s:c>
      <s:c r="D1" s="5" t="inlineStr">
        <s:is>
          <s:t>text</s:t>
        </s:is>
      </s:c>
    </s:row>
    <s:row r="2" ht="180" customFormat="1" customHeight="1" s="8">
      <s:c r="A2" s="12" t="inlineStr">
        <s:is>
          <s:t>2025::jama.2024.24764::C001</s:t>
        </s:is>
      </s:c>
      <s:c r="B2" s="12" t="n">
        <s:v>0</s:v>
      </s:c>
      <s:c r="C2" s="12" t="inlineStr">
        <s:is>
          <s:t>Source evidence</s:t>
        </s:is>
      </s:c>
      <s:c r="D2" s="12" t="inlineStr">
        <s:is>
          <s:t>Smoking counts are 220/95/90 and 223/70/109; they sum to printed Total No. values 405 and 402. Group headers are 411 and 410.</s:t>
        </s:is>
      </s:c>
    </s:row>
    <s:row r="3" ht="180" customFormat="1" customHeight="1" s="8">
      <s:c r="A3" s="11" t="inlineStr">
        <s:is>
          <s:t>2025::jama.2024.24764::C001</s:t>
        </s:is>
      </s:c>
      <s:c r="B3" s="11" t="n">
        <s:v>1</s:v>
      </s:c>
      <s:c r="C3" s="11" t="inlineStr">
        <s:is>
          <s:t>Reported-versus-comparator</s:t>
        </s:is>
      </s:c>
      <s:c r="D3" s="11" t="inlineStr">
        <s:is>
          <s:t>Reported percentages are 53.5/23.1/21.9 and 54.4/17.1/26.6; comparator denominators are printed smoking totals 405/402 versus group headers 411/410.</s:t>
        </s:is>
      </s:c>
    </s:row>
    <s:row r="4" ht="180" customFormat="1" customHeight="1" s="8">
      <s:c r="A4" s="12" t="inlineStr">
        <s:is>
          <s:t>2025::jama.2024.24764::C001</s:t>
        </s:is>
      </s:c>
      <s:c r="B4" s="12" t="n">
        <s:v>2</s:v>
      </s:c>
      <s:c r="C4" s="12" t="inlineStr">
        <s:is>
          <s:t>Calculation</s:t>
        </s:is>
      </s:c>
      <s:c r="D4" s="12" t="inlineStr">
        <s:is>
          <s:t>220+95+90=405; 223+70+109=402. 220/411=53.53% and the other five printed percentages likewise reproduce 411/410, not 405/402.</s:t>
        </s:is>
      </s:c>
    </s:row>
    <s:row r="5" ht="180" customFormat="1" customHeight="1" s="8">
      <s:c r="A5" s="11" t="inlineStr">
        <s:is>
          <s:t>2025::jama.2024.24764::C001</s:t>
        </s:is>
      </s:c>
      <s:c r="B5" s="11" t="n">
        <s:v>3</s:v>
      </s:c>
      <s:c r="C5" s="11" t="inlineStr">
        <s:is>
          <s:t>Alternative source-grounded interpretations</s:t>
        </s:is>
      </s:c>
      <s:c r="D5" s="11" t="inlineStr">
        <s:is>
          <s:t>Total No. may denote nonmissing smoking records while percentages intentionally use all randomized participants; the page does not state that convention or identify the six and eight unclassified records.</s:t>
        </s:is>
      </s:c>
    </s:row>
    <s:row r="6" ht="180" customFormat="1" customHeight="1" s="8">
      <s:c r="A6" s="12" t="inlineStr">
        <s:is>
          <s:t>2025::jama.2024.24764::C002</s:t>
        </s:is>
      </s:c>
      <s:c r="B6" s="12" t="n">
        <s:v>0</s:v>
      </s:c>
      <s:c r="C6" s="12" t="inlineStr">
        <s:is>
          <s:t>Source evidence</s:t>
        </s:is>
      </s:c>
      <s:c r="D6" s="12" t="inlineStr">
        <s:is>
          <s:t>Under No. of participants (%), consultant/registrar/senior-house-officer values are 319/123/4 and 318/110/1, with group denominators 411 and 410.</s:t>
        </s:is>
      </s:c>
    </s:row>
    <s:row r="7" ht="180" customFormat="1" customHeight="1" s="8">
      <s:c r="A7" s="11" t="inlineStr">
        <s:is>
          <s:t>2025::jama.2024.24764::C002</s:t>
        </s:is>
      </s:c>
      <s:c r="B7" s="11" t="n">
        <s:v>1</s:v>
      </s:c>
      <s:c r="C7" s="11" t="inlineStr">
        <s:is>
          <s:t>Reported-versus-comparator</s:t>
        </s:is>
      </s:c>
      <s:c r="D7" s="11" t="inlineStr">
        <s:is>
          <s:t>Category totals 446 and 429 are compared with participant denominators 411 and 410; percentage totals are 108.5% and 104.6%.</s:t>
        </s:is>
      </s:c>
    </s:row>
    <s:row r="8" ht="180" customFormat="1" customHeight="1" s="8">
      <s:c r="A8" s="12" t="inlineStr">
        <s:is>
          <s:t>2025::jama.2024.24764::C002</s:t>
        </s:is>
      </s:c>
      <s:c r="B8" s="12" t="n">
        <s:v>2</s:v>
      </s:c>
      <s:c r="C8" s="12" t="inlineStr">
        <s:is>
          <s:t>Calculation</s:t>
        </s:is>
      </s:c>
      <s:c r="D8" s="12" t="inlineStr">
        <s:is>
          <s:t>319+123+4=446 (35 above 411); 318+110+1=429 (19 above 410).</s:t>
        </s:is>
      </s:c>
    </s:row>
    <s:row r="9" ht="180" customFormat="1" customHeight="1" s="8">
      <s:c r="A9" s="11" t="inlineStr">
        <s:is>
          <s:t>2025::jama.2024.24764::C002</s:t>
        </s:is>
      </s:c>
      <s:c r="B9" s="11" t="n">
        <s:v>3</s:v>
      </s:c>
      <s:c r="C9" s="11" t="inlineStr">
        <s:is>
          <s:t>Alternative source-grounded interpretations</s:t>
        </s:is>
      </s:c>
      <s:c r="D9" s="11" t="inlineStr">
        <s:is>
          <s:t>More than one surgeon level may have operated on a participant, making the rows multi-response; no qualifier appears on the page.</s:t>
        </s:is>
      </s:c>
    </s:row>
    <s:row r="10" ht="180" customFormat="1" customHeight="1" s="8">
      <s:c r="A10" s="12" t="inlineStr">
        <s:is>
          <s:t>2025::jama.2024.24764::C003</s:t>
        </s:is>
      </s:c>
      <s:c r="B10" s="12" t="n">
        <s:v>0</s:v>
      </s:c>
      <s:c r="C10" s="12" t="inlineStr">
        <s:is>
          <s:t>Source evidence</s:t>
        </s:is>
      </s:c>
      <s:c r="D10" s="12" t="inlineStr">
        <s:is>
          <s:t>Consultant/registrar/senior-house-officer fascia-closing counts are 201/218/26 and 193/225/15 under group denominators 411 and 410.</s:t>
        </s:is>
      </s:c>
    </s:row>
    <s:row r="11" ht="180" customFormat="1" customHeight="1" s="8">
      <s:c r="A11" s="11" t="inlineStr">
        <s:is>
          <s:t>2025::jama.2024.24764::C003</s:t>
        </s:is>
      </s:c>
      <s:c r="B11" s="11" t="n">
        <s:v>1</s:v>
      </s:c>
      <s:c r="C11" s="11" t="inlineStr">
        <s:is>
          <s:t>Reported-versus-comparator</s:t>
        </s:is>
      </s:c>
      <s:c r="D11" s="11" t="inlineStr">
        <s:is>
          <s:t>Totals 445 and 433 are compared with 411 and 410; percentage totals are 108.2% and 105.7%.</s:t>
        </s:is>
      </s:c>
    </s:row>
    <s:row r="12" ht="180" customFormat="1" customHeight="1" s="8">
      <s:c r="A12" s="12" t="inlineStr">
        <s:is>
          <s:t>2025::jama.2024.24764::C003</s:t>
        </s:is>
      </s:c>
      <s:c r="B12" s="12" t="n">
        <s:v>2</s:v>
      </s:c>
      <s:c r="C12" s="12" t="inlineStr">
        <s:is>
          <s:t>Calculation</s:t>
        </s:is>
      </s:c>
      <s:c r="D12" s="12" t="inlineStr">
        <s:is>
          <s:t>201+218+26=445 (34 above 411); 193+225+15=433 (23 above 410).</s:t>
        </s:is>
      </s:c>
    </s:row>
    <s:row r="13" ht="180" customFormat="1" customHeight="1" s="8">
      <s:c r="A13" s="11" t="inlineStr">
        <s:is>
          <s:t>2025::jama.2024.24764::C003</s:t>
        </s:is>
      </s:c>
      <s:c r="B13" s="11" t="n">
        <s:v>3</s:v>
      </s:c>
      <s:c r="C13" s="11" t="inlineStr">
        <s:is>
          <s:t>Alternative source-grounded interpretations</s:t>
        </s:is>
      </s:c>
      <s:c r="D13" s="11" t="inlineStr">
        <s:is>
          <s:t>Co-closure by more than one surgeon level may make the rows intentionally multi-response; the table gives no response-unit definition.</s:t>
        </s:is>
      </s:c>
    </s:row>
    <s:row r="14" ht="180" customFormat="1" customHeight="1" s="8">
      <s:c r="A14" s="12" t="inlineStr">
        <s:is>
          <s:t>2025::jama.2024.24764::C004</s:t>
        </s:is>
      </s:c>
      <s:c r="B14" s="12" t="n">
        <s:v>0</s:v>
      </s:c>
      <s:c r="C14" s="12" t="inlineStr">
        <s:is>
          <s:t>Source evidence</s:t>
        </s:is>
      </s:c>
      <s:c r="D14" s="12" t="inlineStr">
        <s:is>
          <s:t>Consultant/registrar/senior-house-officer skin-closing counts are 115/214/96 and 102/241/73 under denominators 411 and 410.</s:t>
        </s:is>
      </s:c>
    </s:row>
    <s:row r="15" ht="180" customFormat="1" customHeight="1" s="8">
      <s:c r="A15" s="11" t="inlineStr">
        <s:is>
          <s:t>2025::jama.2024.24764::C004</s:t>
        </s:is>
      </s:c>
      <s:c r="B15" s="11" t="n">
        <s:v>1</s:v>
      </s:c>
      <s:c r="C15" s="11" t="inlineStr">
        <s:is>
          <s:t>Reported-versus-comparator</s:t>
        </s:is>
      </s:c>
      <s:c r="D15" s="11" t="inlineStr">
        <s:is>
          <s:t>Totals 425 and 416 are compared with 411 and 410; percentage totals are 103.5% and 101.5%.</s:t>
        </s:is>
      </s:c>
    </s:row>
    <s:row r="16" ht="180" customFormat="1" customHeight="1" s="8">
      <s:c r="A16" s="12" t="inlineStr">
        <s:is>
          <s:t>2025::jama.2024.24764::C004</s:t>
        </s:is>
      </s:c>
      <s:c r="B16" s="12" t="n">
        <s:v>2</s:v>
      </s:c>
      <s:c r="C16" s="12" t="inlineStr">
        <s:is>
          <s:t>Calculation</s:t>
        </s:is>
      </s:c>
      <s:c r="D16" s="12" t="inlineStr">
        <s:is>
          <s:t>115+214+96=425 (14 above 411); 102+241+73=416 (6 above 410).</s:t>
        </s:is>
      </s:c>
    </s:row>
    <s:row r="17" ht="180" customFormat="1" customHeight="1" s="8">
      <s:c r="A17" s="11" t="inlineStr">
        <s:is>
          <s:t>2025::jama.2024.24764::C004</s:t>
        </s:is>
      </s:c>
      <s:c r="B17" s="11" t="n">
        <s:v>3</s:v>
      </s:c>
      <s:c r="C17" s="11" t="inlineStr">
        <s:is>
          <s:t>Alternative source-grounded interpretations</s:t>
        </s:is>
      </s:c>
      <s:c r="D17" s="11" t="inlineStr">
        <s:is>
          <s:t>The rows may be intended multi-response entries, but the source does not state this.</s:t>
        </s:is>
      </s:c>
    </s:row>
    <s:row r="18" ht="180" customFormat="1" customHeight="1" s="8">
      <s:c r="A18" s="12" t="inlineStr">
        <s:is>
          <s:t>2025::jama.2024.24764::C005</s:t>
        </s:is>
      </s:c>
      <s:c r="B18" s="12" t="n">
        <s:v>0</s:v>
      </s:c>
      <s:c r="C18" s="12" t="inlineStr">
        <s:is>
          <s:t>Source evidence</s:t>
        </s:is>
      </s:c>
      <s:c r="D18" s="12" t="inlineStr">
        <s:is>
          <s:t>Figure 1 reports 10 and 15 deaths. The narrative and Table 3 report mortality within 30 days as 10/411 and 14/410.</s:t>
        </s:is>
      </s:c>
    </s:row>
    <s:row r="19" ht="180" customFormat="1" customHeight="1" s="8">
      <s:c r="A19" s="11" t="inlineStr">
        <s:is>
          <s:t>2025::jama.2024.24764::C005</s:t>
        </s:is>
      </s:c>
      <s:c r="B19" s="11" t="n">
        <s:v>1</s:v>
      </s:c>
      <s:c r="C19" s="11" t="inlineStr">
        <s:is>
          <s:t>Reported-versus-comparator</s:t>
        </s:is>
      </s:c>
      <s:c r="D19" s="11" t="inlineStr">
        <s:is>
          <s:t>Figure 1 total 25 and control count 15 are compared with the explicitly 30-day total 24 and control count 14.</s:t>
        </s:is>
      </s:c>
    </s:row>
    <s:row r="20" ht="180" customFormat="1" customHeight="1" s="8">
      <s:c r="A20" s="12" t="inlineStr">
        <s:is>
          <s:t>2025::jama.2024.24764::C005</s:t>
        </s:is>
      </s:c>
      <s:c r="B20" s="12" t="n">
        <s:v>2</s:v>
      </s:c>
      <s:c r="C20" s="12" t="inlineStr">
        <s:is>
          <s:t>Calculation</s:t>
        </s:is>
      </s:c>
      <s:c r="D20" s="12" t="inlineStr">
        <s:is>
          <s:t>10+15=25; 10+14=24; intervention counts agree and control counts differ by one.</s:t>
        </s:is>
      </s:c>
    </s:row>
    <s:row r="21" ht="180" customFormat="1" customHeight="1" s="8">
      <s:c r="A21" s="11" t="inlineStr">
        <s:is>
          <s:t>2025::jama.2024.24764::C005</s:t>
        </s:is>
      </s:c>
      <s:c r="B21" s="11" t="n">
        <s:v>3</s:v>
      </s:c>
      <s:c r="C21" s="11" t="inlineStr">
        <s:is>
          <s:t>Alternative source-grounded interpretations</s:t>
        </s:is>
      </s:c>
      <s:c r="D21" s="11" t="inlineStr">
        <s:is>
          <s:t>Figure 1 may include one control-arm death outside the 30-day window; Figure 1 does not name its mortality window.</s:t>
        </s:is>
      </s:c>
    </s:row>
    <s:row r="22" ht="180" customFormat="1" customHeight="1" s="8">
      <s:c r="A22" s="12" t="inlineStr">
        <s:is>
          <s:t>2025::jama.2024.24764::C006</s:t>
        </s:is>
      </s:c>
      <s:c r="B22" s="12" t="n">
        <s:v>0</s:v>
      </s:c>
      <s:c r="C22" s="12" t="inlineStr">
        <s:is>
          <s:t>Source evidence</s:t>
        </s:is>
      </s:c>
      <s:c r="D22" s="12" t="inlineStr">
        <s:is>
          <s:t>The SAP prints unstructured covariance and robust sandwich standard errors for SF-12/EQ-5D repeated measures; the final article prints independent covariance for that outcome-model family.</s:t>
        </s:is>
      </s:c>
    </s:row>
    <s:row r="23" ht="180" customFormat="1" customHeight="1" s="8">
      <s:c r="A23" s="11" t="inlineStr">
        <s:is>
          <s:t>2025::jama.2024.24764::C006</s:t>
        </s:is>
      </s:c>
      <s:c r="B23" s="11" t="n">
        <s:v>1</s:v>
      </s:c>
      <s:c r="C23" s="11" t="inlineStr">
        <s:is>
          <s:t>Reported-versus-comparator</s:t>
        </s:is>
      </s:c>
      <s:c r="D23" s="11" t="inlineStr">
        <s:is>
          <s:t>Final-article independent covariance is compared with SAP unstructured covariance and robust sandwich variance estimation.</s:t>
        </s:is>
      </s:c>
    </s:row>
    <s:row r="24" ht="180" customFormat="1" customHeight="1" s="8">
      <s:c r="A24" s="12" t="inlineStr">
        <s:is>
          <s:t>2025::jama.2024.24764::C006</s:t>
        </s:is>
      </s:c>
      <s:c r="B24" s="12" t="n">
        <s:v>2</s:v>
      </s:c>
      <s:c r="C24" s="12" t="inlineStr">
        <s:is>
          <s:t>Calculation</s:t>
        </s:is>
      </s:c>
      <s:c r="D24" s="12" t="inlineStr">
        <s:is>
          <s:t>Not applicable; unstructured and independent are distinct named covariance specifications.</s:t>
        </s:is>
      </s:c>
    </s:row>
    <s:row r="25" ht="180" customFormat="1" customHeight="1" s="8">
      <s:c r="A25" s="11" t="inlineStr">
        <s:is>
          <s:t>2025::jama.2024.24764::C006</s:t>
        </s:is>
      </s:c>
      <s:c r="B25" s="11" t="n">
        <s:v>3</s:v>
      </s:c>
      <s:c r="C25" s="11" t="inlineStr">
        <s:is>
          <s:t>Alternative source-grounded interpretations</s:t>
        </s:is>
      </s:c>
      <s:c r="D25" s="11" t="inlineStr">
        <s:is>
          <s:t>An amendment, diagnostic, convergence consideration, or concise article description may explain the difference; no such record is supplied.</s:t>
        </s:is>
      </s:c>
    </s:row>
    <s:row r="26" ht="180" customFormat="1" customHeight="1" s="8">
      <s:c r="A26" s="12" t="inlineStr">
        <s:is>
          <s:t>2025::jama.2024.24764::C007</s:t>
        </s:is>
      </s:c>
      <s:c r="B26" s="12" t="n">
        <s:v>0</s:v>
      </s:c>
      <s:c r="C26" s="12" t="inlineStr">
        <s:is>
          <s:t>Source evidence</s:t>
        </s:is>
      </s:c>
      <s:c r="D26" s="12" t="inlineStr">
        <s:is>
          <s:t>The final article reports adjusted ratios of geometric means 0.91 and 0.96 after log transformation; SAP/protocol plan additive mean-difference or median-difference reporting.</s:t>
        </s:is>
      </s:c>
    </s:row>
    <s:row r="27" ht="180" customFormat="1" customHeight="1" s="8">
      <s:c r="A27" s="11" t="inlineStr">
        <s:is>
          <s:t>2025::jama.2024.24764::C007</s:t>
        </s:is>
      </s:c>
      <s:c r="B27" s="11" t="n">
        <s:v>1</s:v>
      </s:c>
      <s:c r="C27" s="11" t="inlineStr">
        <s:is>
          <s:t>Reported-versus-comparator</s:t>
        </s:is>
      </s:c>
      <s:c r="D27" s="11" t="inlineStr">
        <s:is>
          <s:t>Multiplicative, dimensionless ratios of geometric means are compared with additive differences in days for the same endpoint.</s:t>
        </s:is>
      </s:c>
    </s:row>
    <s:row r="28" ht="180" customFormat="1" customHeight="1" s="8">
      <s:c r="A28" s="12" t="inlineStr">
        <s:is>
          <s:t>2025::jama.2024.24764::C007</s:t>
        </s:is>
      </s:c>
      <s:c r="B28" s="12" t="n">
        <s:v>2</s:v>
      </s:c>
      <s:c r="C28" s="12" t="inlineStr">
        <s:is>
          <s:t>Calculation</s:t>
        </s:is>
      </s:c>
      <s:c r="D28" s="12" t="inlineStr">
        <s:is>
          <s:t>Not reproducible from aggregate printed data: medians/IQRs cannot reconstruct geometric means, fitted log-scale coefficients, or adjusted ratios.</s:t>
        </s:is>
      </s:c>
    </s:row>
    <s:row r="29" ht="180" customFormat="1" customHeight="1" s="8">
      <s:c r="A29" s="11" t="inlineStr">
        <s:is>
          <s:t>2025::jama.2024.24764::C007</s:t>
        </s:is>
      </s:c>
      <s:c r="B29" s="11" t="n">
        <s:v>3</s:v>
      </s:c>
      <s:c r="C29" s="11" t="inlineStr">
        <s:is>
          <s:t>Alternative source-grounded interpretations</s:t>
        </s:is>
      </s:c>
      <s:c r="D29" s="11" t="inlineStr">
        <s:is>
          <s:t>Nonnormality noted in the article may have motivated the final approach, but the supplied skewness branch specifies a median difference and no amendment or decision rule is supplied.</s:t>
        </s:is>
      </s:c>
    </s:row>
    <s:row r="30" ht="180" customFormat="1" customHeight="1" s="8">
      <s:c r="A30" s="12" t="inlineStr">
        <s:is>
          <s:t>2025::jama.2024.24764::C008</s:t>
        </s:is>
      </s:c>
      <s:c r="B30" s="12" t="n">
        <s:v>0</s:v>
      </s:c>
      <s:c r="C30" s="12" t="inlineStr">
        <s:is>
          <s:t>Source evidence</s:t>
        </s:is>
      </s:c>
      <s:c r="D30" s="12" t="inlineStr">
        <s:is>
          <s:t>SAP/protocol state that LOS is UK-only and exclude Australian-randomized participants. The final article reports UK-only ratio 0.91 (95% CI 0.82-1.02), P=.12 and UK-and-Australia ratio 0.96 (0.88-1.06), P=.21.</s:t>
        </s:is>
      </s:c>
    </s:row>
    <s:row r="31" ht="180" customFormat="1" customHeight="1" s="8">
      <s:c r="A31" s="11" t="inlineStr">
        <s:is>
          <s:t>2025::jama.2024.24764::C008</s:t>
        </s:is>
      </s:c>
      <s:c r="B31" s="11" t="n">
        <s:v>1</s:v>
      </s:c>
      <s:c r="C31" s="11" t="inlineStr">
        <s:is>
          <s:t>Reported-versus-comparator</s:t>
        </s:is>
      </s:c>
      <s:c r="D31" s="11" t="inlineStr">
        <s:is>
          <s:t>A UK-and-Australia analysis population is compared with the planned UK-only endpoint population.</s:t>
        </s:is>
      </s:c>
    </s:row>
    <s:row r="32" ht="180" customFormat="1" customHeight="1" s="8">
      <s:c r="A32" s="12" t="inlineStr">
        <s:is>
          <s:t>2025::jama.2024.24764::C008</s:t>
        </s:is>
      </s:c>
      <s:c r="B32" s="12" t="n">
        <s:v>2</s:v>
      </s:c>
      <s:c r="C32" s="12" t="inlineStr">
        <s:is>
          <s:t>Calculation</s:t>
        </s:is>
      </s:c>
      <s:c r="D32" s="12" t="inlineStr">
        <s:is>
          <s:t>No arithmetic reconstruction is required: UK patients only and UK and Australian patients are different populations.</s:t>
        </s:is>
      </s:c>
    </s:row>
    <s:row r="33" ht="180" customFormat="1" customHeight="1" s="8">
      <s:c r="A33" s="11" t="inlineStr">
        <s:is>
          <s:t>2025::jama.2024.24764::C008</s:t>
        </s:is>
      </s:c>
      <s:c r="B33" s="11" t="n">
        <s:v>3</s:v>
      </s:c>
      <s:c r="C33" s="11" t="inlineStr">
        <s:is>
          <s:t>Alternative source-grounded interpretations</s:t>
        </s:is>
      </s:c>
      <s:c r="D33" s="11" t="inlineStr">
        <s:is>
          <s:t>The all-country result may be an additional intended analysis while the UK-only result remains the designated endpoint; the supplied package does not label its status.</s:t>
        </s:is>
      </s:c>
    </s:row>
    <s:row r="34" ht="180" customFormat="1" customHeight="1" s="8">
      <s:c r="A34" s="12" t="inlineStr">
        <s:is>
          <s:t>2025::jama.2024.27643::C001</s:t>
        </s:is>
      </s:c>
      <s:c r="B34" s="12" t="n">
        <s:v>0</s:v>
      </s:c>
      <s:c r="C34" s="12" t="inlineStr">
        <s:is>
          <s:t>Source evidence</s:t>
        </s:is>
      </s:c>
      <s:c r="D34" s="12" t="inlineStr">
        <s:is>
          <s:t>Shared placebo is n=164; the race rows are Asian 2/160, Black or African American 6/160, White 151/160, and multiple races 1/160. Footnote b says race was unknown or unreported for 3 participants.</s:t>
        </s:is>
      </s:c>
    </s:row>
    <s:row r="35" ht="180" customFormat="1" customHeight="1" s="8">
      <s:c r="A35" s="11" t="inlineStr">
        <s:is>
          <s:t>2025::jama.2024.27643::C001</s:t>
        </s:is>
      </s:c>
      <s:c r="B35" s="11" t="n">
        <s:v>1</s:v>
      </s:c>
      <s:c r="C35" s="11" t="inlineStr">
        <s:is>
          <s:t>Reported-versus-comparator</s:t>
        </s:is>
      </s:c>
      <s:c r="D35" s="11" t="inlineStr">
        <s:is>
          <s:t>The printed group total is 164 and the printed race denominator/category sum is 160, whereas the footnote reports 3 unknown or unreported participants.</s:t>
        </s:is>
      </s:c>
    </s:row>
    <s:row r="36" ht="180" customFormat="1" customHeight="1" s="8">
      <s:c r="A36" s="12" t="inlineStr">
        <s:is>
          <s:t>2025::jama.2024.27643::C001</s:t>
        </s:is>
      </s:c>
      <s:c r="B36" s="12" t="n">
        <s:v>2</s:v>
      </s:c>
      <s:c r="C36" s="12" t="inlineStr">
        <s:is>
          <s:t>Calculation</s:t>
        </s:is>
      </s:c>
      <s:c r="D36" s="12" t="inlineStr">
        <s:is>
          <s:t>2 + 6 + 151 + 1 = 160; 164 - 160 = 4; 4 - 3 = 1.</s:t>
        </s:is>
      </s:c>
    </s:row>
    <s:row r="37" ht="180" customFormat="1" customHeight="1" s="8">
      <s:c r="A37" s="11" t="inlineStr">
        <s:is>
          <s:t>2025::jama.2024.27643::C001</s:t>
        </s:is>
      </s:c>
      <s:c r="B37" s="11" t="n">
        <s:v>3</s:v>
      </s:c>
      <s:c r="C37" s="11" t="inlineStr">
        <s:is>
          <s:t>Alternative source-grounded interpretations</s:t>
        </s:is>
      </s:c>
      <s:c r="D37" s="11" t="inlineStr">
        <s:is>
          <s:t>The denominator may be a complete-case subset excluding one additional status, or a numerator, denominator, or footnote may be printed incorrectly; the table gives no separate subset definition.</s:t>
        </s:is>
      </s:c>
    </s:row>
    <s:row r="38" ht="180" customFormat="1" customHeight="1" s="8">
      <s:c r="A38" s="12" t="inlineStr">
        <s:is>
          <s:t>2025::jama.2024.27643::C002</s:t>
        </s:is>
      </s:c>
      <s:c r="B38" s="12" t="n">
        <s:v>0</s:v>
      </s:c>
      <s:c r="C38" s="12" t="inlineStr">
        <s:is>
          <s:t>Source evidence</s:t>
        </s:is>
      </s:c>
      <s:c r="D38" s="12" t="inlineStr">
        <s:is>
          <s:t>The article calls -9.32, -8.53, and -0.78 PPN per month over 24 weeks. eTable 3A presents the same values under 24-week Change Estimate for SVC (% predicted).</s:t>
        </s:is>
      </s:c>
    </s:row>
    <s:row r="39" ht="180" customFormat="1" customHeight="1" s="8">
      <s:c r="A39" s="11" t="inlineStr">
        <s:is>
          <s:t>2025::jama.2024.27643::C002</s:t>
        </s:is>
      </s:c>
      <s:c r="B39" s="11" t="n">
        <s:v>1</s:v>
      </s:c>
      <s:c r="C39" s="11" t="inlineStr">
        <s:is>
          <s:t>Reported-versus-comparator</s:t>
        </s:is>
      </s:c>
      <s:c r="D39" s="11" t="inlineStr">
        <s:is>
          <s:t>A monthly rate is printed in the article; a cumulative 24-week change label is printed for the same values in the cited table.</s:t>
        </s:is>
      </s:c>
    </s:row>
    <s:row r="40" ht="180" customFormat="1" customHeight="1" s="8">
      <s:c r="A40" s="12" t="inlineStr">
        <s:is>
          <s:t>2025::jama.2024.27643::C002</s:t>
        </s:is>
      </s:c>
      <s:c r="B40" s="12" t="n">
        <s:v>2</s:v>
      </s:c>
      <s:c r="C40" s="12" t="inlineStr">
        <s:is>
          <s:t>Calculation</s:t>
        </s:is>
      </s:c>
      <s:c r="D40" s="12" t="inlineStr">
        <s:is>
          <s:t>The identical numeric triplet is -9.32, -8.53, and -0.78 in both locations; the printed labels describe different scales and the supplied sources give no conversion or estimand definition that reconciles them.</s:t>
        </s:is>
      </s:c>
    </s:row>
    <s:row r="41" ht="180" customFormat="1" customHeight="1" s="8">
      <s:c r="A41" s="11" t="inlineStr">
        <s:is>
          <s:t>2025::jama.2024.27643::C002</s:t>
        </s:is>
      </s:c>
      <s:c r="B41" s="11" t="n">
        <s:v>3</s:v>
      </s:c>
      <s:c r="C41" s="11" t="inlineStr">
        <s:is>
          <s:t>Alternative source-grounded interpretations</s:t>
        </s:is>
      </s:c>
      <s:c r="D41" s="11" t="inlineStr">
        <s:is>
          <s:t>Per month may be an editorial unit label, or the eTable heading may omit a rate convention. The supplied package does not select either interpretation.</s:t>
        </s:is>
      </s:c>
    </s:row>
    <s:row r="42" ht="180" customFormat="1" customHeight="1" s="8">
      <s:c r="A42" s="12" t="inlineStr">
        <s:is>
          <s:t>2025::jama.2024.27643::C003</s:t>
        </s:is>
      </s:c>
      <s:c r="B42" s="12" t="n">
        <s:v>0</s:v>
      </s:c>
      <s:c r="C42" s="12" t="inlineStr">
        <s:is>
          <s:t>Source evidence</s:t>
        </s:is>
      </s:c>
      <s:c r="D42" s="12" t="inlineStr">
        <s:is>
          <s:t>The article gives shared-placebo slope -1.03 with 95% CrI -1.176 to -0.892; eTable 2 gives -1.03 with 95% CrI (-1.181, -0.894).</s:t>
        </s:is>
      </s:c>
    </s:row>
    <s:row r="43" ht="180" customFormat="1" customHeight="1" s="8">
      <s:c r="A43" s="11" t="inlineStr">
        <s:is>
          <s:t>2025::jama.2024.27643::C003</s:t>
        </s:is>
      </s:c>
      <s:c r="B43" s="11" t="n">
        <s:v>1</s:v>
      </s:c>
      <s:c r="C43" s="11" t="inlineStr">
        <s:is>
          <s:t>Reported-versus-comparator</s:t>
        </s:is>
      </s:c>
      <s:c r="D43" s="11" t="inlineStr">
        <s:is>
          <s:t>Matched Bayesian shared-parameter-model, group, endpoint, and unit labels accompany different three-decimal interval endpoints.</s:t>
        </s:is>
      </s:c>
    </s:row>
    <s:row r="44" ht="180" customFormat="1" customHeight="1" s="8">
      <s:c r="A44" s="12" t="inlineStr">
        <s:is>
          <s:t>2025::jama.2024.27643::C003</s:t>
        </s:is>
      </s:c>
      <s:c r="B44" s="12" t="n">
        <s:v>2</s:v>
      </s:c>
      <s:c r="C44" s="12" t="inlineStr">
        <s:is>
          <s:t>Calculation</s:t>
        </s:is>
      </s:c>
      <s:c r="D44" s="12" t="inlineStr">
        <s:is>
          <s:t>Lower endpoints differ by 0.005; upper endpoints differ by 0.002; the point estimate is -1.03 in both locations.</s:t>
        </s:is>
      </s:c>
    </s:row>
    <s:row r="45" ht="180" customFormat="1" customHeight="1" s="8">
      <s:c r="A45" s="11" t="inlineStr">
        <s:is>
          <s:t>2025::jama.2024.27643::C003</s:t>
        </s:is>
      </s:c>
      <s:c r="B45" s="11" t="n">
        <s:v>3</s:v>
      </s:c>
      <s:c r="C45" s="11" t="inlineStr">
        <s:is>
          <s:t>Alternative source-grounded interpretations</s:t>
        </s:is>
      </s:c>
      <s:c r="D45" s="11" t="inlineStr">
        <s:is>
          <s:t>Different posterior runs, data locks, or production versions could exist, but neither source labels one.</s:t>
        </s:is>
      </s:c>
    </s:row>
    <s:row r="46" ht="180" customFormat="1" customHeight="1" s="8">
      <s:c r="A46" s="12" t="inlineStr">
        <s:is>
          <s:t>2025::jama.2024.27643::C004</s:t>
        </s:is>
      </s:c>
      <s:c r="B46" s="12" t="n">
        <s:v>0</s:v>
      </s:c>
      <s:c r="C46" s="12" t="inlineStr">
        <s:is>
          <s:t>Source evidence</s:t>
        </s:is>
      </s:c>
      <s:c r="D46" s="12" t="inlineStr">
        <s:is>
          <s:t>The article gives pooled-active slope -1.00 with 95% CrI -1.153 to -0.858; eTable 2 gives -1.00 with 95% CrI (-1.143, -0.847).</s:t>
        </s:is>
      </s:c>
    </s:row>
    <s:row r="47" ht="180" customFormat="1" customHeight="1" s="8">
      <s:c r="A47" s="11" t="inlineStr">
        <s:is>
          <s:t>2025::jama.2024.27643::C004</s:t>
        </s:is>
      </s:c>
      <s:c r="B47" s="11" t="n">
        <s:v>1</s:v>
      </s:c>
      <s:c r="C47" s="11" t="inlineStr">
        <s:is>
          <s:t>Reported-versus-comparator</s:t>
        </s:is>
      </s:c>
      <s:c r="D47" s="11" t="inlineStr">
        <s:is>
          <s:t>The point estimate and named model match, while both printed interval endpoints differ.</s:t>
        </s:is>
      </s:c>
    </s:row>
    <s:row r="48" ht="180" customFormat="1" customHeight="1" s="8">
      <s:c r="A48" s="12" t="inlineStr">
        <s:is>
          <s:t>2025::jama.2024.27643::C004</s:t>
        </s:is>
      </s:c>
      <s:c r="B48" s="12" t="n">
        <s:v>2</s:v>
      </s:c>
      <s:c r="C48" s="12" t="inlineStr">
        <s:is>
          <s:t>Calculation</s:t>
        </s:is>
      </s:c>
      <s:c r="D48" s="12" t="inlineStr">
        <s:is>
          <s:t>Lower endpoints differ by 0.010; upper endpoints differ by 0.011.</s:t>
        </s:is>
      </s:c>
    </s:row>
    <s:row r="49" ht="180" customFormat="1" customHeight="1" s="8">
      <s:c r="A49" s="11" t="inlineStr">
        <s:is>
          <s:t>2025::jama.2024.27643::C004</s:t>
        </s:is>
      </s:c>
      <s:c r="B49" s="11" t="n">
        <s:v>3</s:v>
      </s:c>
      <s:c r="C49" s="11" t="inlineStr">
        <s:is>
          <s:t>Alternative source-grounded interpretations</s:t>
        </s:is>
      </s:c>
      <s:c r="D49" s="11" t="inlineStr">
        <s:is>
          <s:t>Separate posterior outputs or production versions may exist but are not identified on either supplied page.</s:t>
        </s:is>
      </s:c>
    </s:row>
    <s:row r="50" ht="180" customFormat="1" customHeight="1" s="8">
      <s:c r="A50" s="12" t="inlineStr">
        <s:is>
          <s:t>2025::jama.2024.27643::C005</s:t>
        </s:is>
      </s:c>
      <s:c r="B50" s="12" t="n">
        <s:v>0</s:v>
      </s:c>
      <s:c r="C50" s="12" t="inlineStr">
        <s:is>
          <s:t>Source evidence</s:t>
        </s:is>
      </s:c>
      <s:c r="D50" s="12" t="inlineStr">
        <s:is>
          <s:t>The article gives shared placebo 0.007 and pooled active 0.006 events/month. eTable 2 gives 0.010 and 0.009 events/month for the same named model.</s:t>
        </s:is>
      </s:c>
    </s:row>
    <s:row r="51" ht="180" customFormat="1" customHeight="1" s="8">
      <s:c r="A51" s="11" t="inlineStr">
        <s:is>
          <s:t>2025::jama.2024.27643::C005</s:t>
        </s:is>
      </s:c>
      <s:c r="B51" s="11" t="n">
        <s:v>1</s:v>
      </s:c>
      <s:c r="C51" s="11" t="inlineStr">
        <s:is>
          <s:t>Reported-versus-comparator</s:t>
        </s:is>
      </s:c>
      <s:c r="D51" s="11" t="inlineStr">
        <s:is>
          <s:t>Each matched group has a different three-decimal displayed mortality event rate.</s:t>
        </s:is>
      </s:c>
    </s:row>
    <s:row r="52" ht="180" customFormat="1" customHeight="1" s="8">
      <s:c r="A52" s="12" t="inlineStr">
        <s:is>
          <s:t>2025::jama.2024.27643::C005</s:t>
        </s:is>
      </s:c>
      <s:c r="B52" s="12" t="n">
        <s:v>2</s:v>
      </s:c>
      <s:c r="C52" s="12" t="inlineStr">
        <s:is>
          <s:t>Calculation</s:t>
        </s:is>
      </s:c>
      <s:c r="D52" s="12" t="inlineStr">
        <s:is>
          <s:t>0.010 - 0.007 = 0.003 events/month for shared placebo; 0.009 - 0.006 = 0.003 events/month for pooled active. Values differing by 0.003 cannot be the same value rounded to three decimals.</s:t>
        </s:is>
      </s:c>
    </s:row>
    <s:row r="53" ht="180" customFormat="1" customHeight="1" s="8">
      <s:c r="A53" s="11" t="inlineStr">
        <s:is>
          <s:t>2025::jama.2024.27643::C005</s:t>
        </s:is>
      </s:c>
      <s:c r="B53" s="11" t="n">
        <s:v>3</s:v>
      </s:c>
      <s:c r="C53" s="11" t="inlineStr">
        <s:is>
          <s:t>Alternative source-grounded interpretations</s:t>
        </s:is>
      </s:c>
      <s:c r="D53" s="11" t="inlineStr">
        <s:is>
          <s:t>One display may use an unlabelled event definition, posterior summary, or model run.</s:t>
        </s:is>
      </s:c>
    </s:row>
    <s:row r="54" ht="180" customFormat="1" customHeight="1" s="8">
      <s:c r="A54" s="12" t="inlineStr">
        <s:is>
          <s:t>2025::jama.2024.27643::C006</s:t>
        </s:is>
      </s:c>
      <s:c r="B54" s="12" t="n">
        <s:v>0</s:v>
      </s:c>
      <s:c r="C54" s="12" t="inlineStr">
        <s:is>
          <s:t>Source evidence</s:t>
        </s:is>
      </s:c>
      <s:c r="D54" s="12" t="inlineStr">
        <s:is>
          <s:t>Figure 3 gives -9.5% with CI -17.8% to -0.5%; nearby narrative gives -17.8% to -0.4%; eTable 3B gives -18.0% to 0. All print -9.5% and P=.04.</s:t>
        </s:is>
      </s:c>
    </s:row>
    <s:row r="55" ht="180" customFormat="1" customHeight="1" s="8">
      <s:c r="A55" s="11" t="inlineStr">
        <s:is>
          <s:t>2025::jama.2024.27643::C006</s:t>
        </s:is>
      </s:c>
      <s:c r="B55" s="11" t="n">
        <s:v>1</s:v>
      </s:c>
      <s:c r="C55" s="11" t="inlineStr">
        <s:is>
          <s:t>Reported-versus-comparator</s:t>
        </s:is>
      </s:c>
      <s:c r="D55" s="11" t="inlineStr">
        <s:is>
          <s:t>The matched point estimate and P value are repeated with different printed interval endpoints.</s:t>
        </s:is>
      </s:c>
    </s:row>
    <s:row r="56" ht="180" customFormat="1" customHeight="1" s="8">
      <s:c r="A56" s="12" t="inlineStr">
        <s:is>
          <s:t>2025::jama.2024.27643::C006</s:t>
        </s:is>
      </s:c>
      <s:c r="B56" s="12" t="n">
        <s:v>2</s:v>
      </s:c>
      <s:c r="C56" s="12" t="inlineStr">
        <s:is>
          <s:t>Calculation</s:t>
        </s:is>
      </s:c>
      <s:c r="D56" s="12" t="inlineStr">
        <s:is>
          <s:t>Figure and narrative upper endpoints differ by 0.1 percentage point. eTable 3B prints a distinct endpoint pair, -18.0% to 0; its unrounded upper endpoint and rounding rule are unavailable.</s:t>
        </s:is>
      </s:c>
    </s:row>
    <s:row r="57" ht="180" customFormat="1" customHeight="1" s="8">
      <s:c r="A57" s="11" t="inlineStr">
        <s:is>
          <s:t>2025::jama.2024.27643::C006</s:t>
        </s:is>
      </s:c>
      <s:c r="B57" s="11" t="n">
        <s:v>3</s:v>
      </s:c>
      <s:c r="C57" s="11" t="inlineStr">
        <s:is>
          <s:t>Alternative source-grounded interpretations</s:t>
        </s:is>
      </s:c>
      <s:c r="D57" s="11" t="inlineStr">
        <s:is>
          <s:t>Independent rounding from unprinted higher precision or an unlabelled model/output version may explain the displays.</s:t>
        </s:is>
      </s:c>
    </s:row>
    <s:row r="58" ht="180" customFormat="1" customHeight="1" s="8">
      <s:c r="A58" s="12" t="inlineStr">
        <s:is>
          <s:t>2025::jama.2024.27643::C007</s:t>
        </s:is>
      </s:c>
      <s:c r="B58" s="12" t="n">
        <s:v>0</s:v>
      </s:c>
      <s:c r="C58" s="12" t="inlineStr">
        <s:is>
          <s:t>Source evidence</s:t>
        </s:is>
      </s:c>
      <s:c r="D58" s="12" t="inlineStr">
        <s:is>
          <s:t>Article: placebo +30.8%, active +0.4%, difference -23.2% (95% CI -39.5% to -2.5%; P=.03). eTable: placebo +26.8%, active +0.4%, difference -26.4% (95% CI -50.3% to -2.6%; P=.03).</s:t>
        </s:is>
      </s:c>
    </s:row>
    <s:row r="59" ht="180" customFormat="1" customHeight="1" s="8">
      <s:c r="A59" s="11" t="inlineStr">
        <s:is>
          <s:t>2025::jama.2024.27643::C007</s:t>
        </s:is>
      </s:c>
      <s:c r="B59" s="11" t="n">
        <s:v>1</s:v>
      </s:c>
      <s:c r="C59" s="11" t="inlineStr">
        <s:is>
          <s:t>Reported-versus-comparator</s:t>
        </s:is>
      </s:c>
      <s:c r="D59" s="11" t="inlineStr">
        <s:is>
          <s:t>The active change and P value agree, but placebo changes differ by 4.0 percentage points, treatment contrasts differ by 3.2 points, and both interval endpoints differ.</s:t>
        </s:is>
      </s:c>
    </s:row>
    <s:row r="60" ht="180" customFormat="1" customHeight="1" s="8">
      <s:c r="A60" s="12" t="inlineStr">
        <s:is>
          <s:t>2025::jama.2024.27643::C007</s:t>
        </s:is>
      </s:c>
      <s:c r="B60" s="12" t="n">
        <s:v>2</s:v>
      </s:c>
      <s:c r="C60" s="12" t="inlineStr">
        <s:is>
          <s:t>Calculation</s:t>
        </s:is>
      </s:c>
      <s:c r="D60" s="12" t="inlineStr">
        <s:is>
          <s:t>30.8 - 26.8 = 4.0; |-23.2 - (-26.4)| = 3.2. The article's contrast is compatible with the displayed-value diagnostic [(1.004 / 1.308) - 1] x 100 = -23.24%, so this is not an internal crude-subtraction claim.</s:t>
        </s:is>
      </s:c>
    </s:row>
    <s:row r="61" ht="180" customFormat="1" customHeight="1" s="8">
      <s:c r="A61" s="11" t="inlineStr">
        <s:is>
          <s:t>2025::jama.2024.27643::C007</s:t>
        </s:is>
      </s:c>
      <s:c r="B61" s="11" t="n">
        <s:v>3</s:v>
      </s:c>
      <s:c r="C61" s="11" t="inlineStr">
        <s:is>
          <s:t>Alternative source-grounded interpretations</s:t>
        </s:is>
      </s:c>
      <s:c r="D61" s="11" t="inlineStr">
        <s:is>
          <s:t>An unlabelled ERO model, population, plate rule, data cut, or fitted-contrast definition could differ between displays.</s:t>
        </s:is>
      </s:c>
    </s:row>
    <s:row r="62" ht="180" customFormat="1" customHeight="1" s="8">
      <s:c r="A62" s="12" t="inlineStr">
        <s:is>
          <s:t>2025::jama.2024.27643::C008</s:t>
        </s:is>
      </s:c>
      <s:c r="B62" s="12" t="n">
        <s:v>0</s:v>
      </s:c>
      <s:c r="C62" s="12" t="inlineStr">
        <s:is>
          <s:t>Source evidence</s:t>
        </s:is>
      </s:c>
      <s:c r="D62" s="12" t="inlineStr">
        <s:is>
          <s:t>Table 2 reports 5/120 pooled-active and 9/162 shared-placebo death/PAV events. The Discussion reports 13 RCT-period events in those groups.</s:t>
        </s:is>
      </s:c>
    </s:row>
    <s:row r="63" ht="180" customFormat="1" customHeight="1" s="8">
      <s:c r="A63" s="11" t="inlineStr">
        <s:is>
          <s:t>2025::jama.2024.27643::C008</s:t>
        </s:is>
      </s:c>
      <s:c r="B63" s="11" t="n">
        <s:v>1</s:v>
      </s:c>
      <s:c r="C63" s="11" t="inlineStr">
        <s:is>
          <s:t>Reported-versus-comparator</s:t>
        </s:is>
      </s:c>
      <s:c r="D63" s="11" t="inlineStr">
        <s:is>
          <s:t>Table 2's two printed numerators total 14, while the Discussion prints 13.</s:t>
        </s:is>
      </s:c>
    </s:row>
    <s:row r="64" ht="180" customFormat="1" customHeight="1" s="8">
      <s:c r="A64" s="12" t="inlineStr">
        <s:is>
          <s:t>2025::jama.2024.27643::C008</s:t>
        </s:is>
      </s:c>
      <s:c r="B64" s="12" t="n">
        <s:v>2</s:v>
      </s:c>
      <s:c r="C64" s="12" t="inlineStr">
        <s:is>
          <s:t>Calculation</s:t>
        </s:is>
      </s:c>
      <s:c r="D64" s="12" t="inlineStr">
        <s:is>
          <s:t>5 + 9 = 14, not 13.</s:t>
        </s:is>
      </s:c>
    </s:row>
    <s:row r="65" ht="180" customFormat="1" customHeight="1" s="8">
      <s:c r="A65" s="11" t="inlineStr">
        <s:is>
          <s:t>2025::jama.2024.27643::C008</s:t>
        </s:is>
      </s:c>
      <s:c r="B65" s="11" t="n">
        <s:v>3</s:v>
      </s:c>
      <s:c r="C65" s="11" t="inlineStr">
        <s:is>
          <s:t>Alternative source-grounded interpretations</s:t>
        </s:is>
      </s:c>
      <s:c r="D65" s="11" t="inlineStr">
        <s:is>
          <s:t>The Discussion may use a narrower event definition, a different cutoff, or an unstated exclusion rather than Table 2's death-or-PAV endpoint.</s:t>
        </s:is>
      </s:c>
    </s:row>
    <s:row r="66" ht="180" customFormat="1" customHeight="1" s="8">
      <s:c r="A66" s="12" t="inlineStr">
        <s:is>
          <s:t>2025::jama.2025.11178::C001</s:t>
        </s:is>
      </s:c>
      <s:c r="B66" s="12" t="n">
        <s:v>0</s:v>
      </s:c>
      <s:c r="C66" s="12" t="inlineStr">
        <s:is>
          <s:t>Source evidence</s:t>
        </s:is>
      </s:c>
      <s:c r="D66" s="12" t="inlineStr">
        <s:is>
          <s:t>Further-reason subtotal 1243; listed counts 411, 273, 189, 121, 95, 34.</s:t>
        </s:is>
      </s:c>
    </s:row>
    <s:row r="67" ht="180" customFormat="1" customHeight="1" s="8">
      <s:c r="A67" s="11" t="inlineStr">
        <s:is>
          <s:t>2025::jama.2025.11178::C001</s:t>
        </s:is>
      </s:c>
      <s:c r="B67" s="11" t="n">
        <s:v>1</s:v>
      </s:c>
      <s:c r="C67" s="11" t="inlineStr">
        <s:is>
          <s:t>Reported-versus-comparator</s:t>
        </s:is>
      </s:c>
      <s:c r="D67" s="11" t="inlineStr">
        <s:is>
          <s:t>If the displayed six reasons exhaust the “one or more of” subtotal, their sum must be at least its union: 411+273+189+121+95+34=1123, 120 below 1243.</s:t>
        </s:is>
      </s:c>
    </s:row>
    <s:row r="68" ht="180" customFormat="1" customHeight="1" s="8">
      <s:c r="A68" s="12" t="inlineStr">
        <s:is>
          <s:t>2025::jama.2025.11178::C001</s:t>
        </s:is>
      </s:c>
      <s:c r="B68" s="12" t="n">
        <s:v>2</s:v>
      </s:c>
      <s:c r="C68" s="12" t="inlineStr">
        <s:is>
          <s:t>Calculation</s:t>
        </s:is>
      </s:c>
      <s:c r="D68" s="12" t="inlineStr">
        <s:is>
          <s:t>If the displayed six reasons exhaust the “one or more of” subtotal, their sum must be at least its union: 411+273+189+121+95+34=1123, 120 below 1243.</s:t>
        </s:is>
      </s:c>
    </s:row>
    <s:row r="69" ht="180" customFormat="1" customHeight="1" s="8">
      <s:c r="A69" s="11" t="inlineStr">
        <s:is>
          <s:t>2025::jama.2025.11178::C001</s:t>
        </s:is>
      </s:c>
      <s:c r="B69" s="11" t="n">
        <s:v>3</s:v>
      </s:c>
      <s:c r="C69" s="11" t="inlineStr">
        <s:is>
          <s:t>Alternative source-grounded interpretations</s:t>
        </s:is>
      </s:c>
      <s:c r="D69" s="11" t="inlineStr">
        <s:is>
          <s:t>One or more further reasons may be omitted, or a count/subtotal may be wrong; overlap cannot make a component sum below the union. Human question: Does the figure intend the six reasons to exhaust 1243, and which value should reconcile?</s:t>
        </s:is>
      </s:c>
    </s:row>
    <s:row r="70" ht="180" customFormat="1" customHeight="1" s="8">
      <s:c r="A70" s="12" t="inlineStr">
        <s:is>
          <s:t>2025::jama.2025.11178::C002</s:t>
        </s:is>
      </s:c>
      <s:c r="B70" s="12" t="n">
        <s:v>0</s:v>
      </s:c>
      <s:c r="C70" s="12" t="inlineStr">
        <s:is>
          <s:t>Source evidence</s:t>
        </s:is>
      </s:c>
      <s:c r="D70" s="12" t="inlineStr">
        <s:is>
          <s:t>At least one follow-up 2036; one/two/three observed follow-ups 188/283/1568.</s:t>
        </s:is>
      </s:c>
    </s:row>
    <s:row r="71" ht="180" customFormat="1" customHeight="1" s="8">
      <s:c r="A71" s="11" t="inlineStr">
        <s:is>
          <s:t>2025::jama.2025.11178::C002</s:t>
        </s:is>
      </s:c>
      <s:c r="B71" s="11" t="n">
        <s:v>1</s:v>
      </s:c>
      <s:c r="C71" s="11" t="inlineStr">
        <s:is>
          <s:t>Reported-versus-comparator</s:t>
        </s:is>
      </s:c>
      <s:c r="D71" s="11" t="inlineStr">
        <s:is>
          <s:t>Mutually exclusive follow-up patterns should partition the total: 188+283+1568=2039, not 2036 (difference 3; integer tolerance 0).</s:t>
        </s:is>
      </s:c>
    </s:row>
    <s:row r="72" ht="180" customFormat="1" customHeight="1" s="8">
      <s:c r="A72" s="12" t="inlineStr">
        <s:is>
          <s:t>2025::jama.2025.11178::C002</s:t>
        </s:is>
      </s:c>
      <s:c r="B72" s="12" t="n">
        <s:v>2</s:v>
      </s:c>
      <s:c r="C72" s="12" t="inlineStr">
        <s:is>
          <s:t>Calculation</s:t>
        </s:is>
      </s:c>
      <s:c r="D72" s="12" t="inlineStr">
        <s:is>
          <s:t>Mutually exclusive follow-up patterns should partition the total: 188+283+1568=2039, not 2036 (difference 3; integer tolerance 0).</s:t>
        </s:is>
      </s:c>
    </s:row>
    <s:row r="73" ht="180" customFormat="1" customHeight="1" s="8">
      <s:c r="A73" s="11" t="inlineStr">
        <s:is>
          <s:t>2025::jama.2025.11178::C002</s:t>
        </s:is>
      </s:c>
      <s:c r="B73" s="11" t="n">
        <s:v>3</s:v>
      </s:c>
      <s:c r="C73" s="11" t="inlineStr">
        <s:is>
          <s:t>Alternative source-grounded interpretations</s:t>
        </s:is>
      </s:c>
      <s:c r="D73" s="11" t="inlineStr">
        <s:is>
          <s:t>A pattern row, total, or source-data definition differs; no alternate denominator is printed. Human question: Which printed Overall value defines the intended partition?</s:t>
        </s:is>
      </s:c>
    </s:row>
    <s:row r="74" ht="180" customFormat="1" customHeight="1" s="8">
      <s:c r="A74" s="12" t="inlineStr">
        <s:is>
          <s:t>2025::jama.2025.11178::C003</s:t>
        </s:is>
      </s:c>
      <s:c r="B74" s="12" t="n">
        <s:v>0</s:v>
      </s:c>
      <s:c r="C74" s="12" t="inlineStr">
        <s:is>
          <s:t>Source evidence</s:t>
        </s:is>
      </s:c>
      <s:c r="D74" s="12" t="inlineStr">
        <s:is>
          <s:t>At least one follow-up 643; one/two/three 77/103/464.</s:t>
        </s:is>
      </s:c>
    </s:row>
    <s:row r="75" ht="180" customFormat="1" customHeight="1" s="8">
      <s:c r="A75" s="11" t="inlineStr">
        <s:is>
          <s:t>2025::jama.2025.11178::C003</s:t>
        </s:is>
      </s:c>
      <s:c r="B75" s="11" t="n">
        <s:v>1</s:v>
      </s:c>
      <s:c r="C75" s="11" t="inlineStr">
        <s:is>
          <s:t>Reported-versus-comparator</s:t>
        </s:is>
      </s:c>
      <s:c r="D75" s="11" t="inlineStr">
        <s:is>
          <s:t>77+103+464=644, one above 643 (integer tolerance 0).</s:t>
        </s:is>
      </s:c>
    </s:row>
    <s:row r="76" ht="180" customFormat="1" customHeight="1" s="8">
      <s:c r="A76" s="12" t="inlineStr">
        <s:is>
          <s:t>2025::jama.2025.11178::C003</s:t>
        </s:is>
      </s:c>
      <s:c r="B76" s="12" t="n">
        <s:v>2</s:v>
      </s:c>
      <s:c r="C76" s="12" t="inlineStr">
        <s:is>
          <s:t>Calculation</s:t>
        </s:is>
      </s:c>
      <s:c r="D76" s="12" t="inlineStr">
        <s:is>
          <s:t>77+103+464=644, one above 643 (integer tolerance 0).</s:t>
        </s:is>
      </s:c>
    </s:row>
    <s:row r="77" ht="180" customFormat="1" customHeight="1" s="8">
      <s:c r="A77" s="11" t="inlineStr">
        <s:is>
          <s:t>2025::jama.2025.11178::C003</s:t>
        </s:is>
      </s:c>
      <s:c r="B77" s="11" t="n">
        <s:v>3</s:v>
      </s:c>
      <s:c r="C77" s="11" t="inlineStr">
        <s:is>
          <s:t>Alternative source-grounded interpretations</s:t>
        </s:is>
      </s:c>
      <s:c r="D77" s="11" t="inlineStr">
        <s:is>
          <s:t>One pattern count or arm total may be discrepant; no alternate denominator is printed. Human question: Is 643 or the 644 pattern sum authoritative?</s:t>
        </s:is>
      </s:c>
    </s:row>
    <s:row r="78" ht="180" customFormat="1" customHeight="1" s="8">
      <s:c r="A78" s="12" t="inlineStr">
        <s:is>
          <s:t>2025::jama.2025.11178::C004</s:t>
        </s:is>
      </s:c>
      <s:c r="B78" s="12" t="n">
        <s:v>0</s:v>
      </s:c>
      <s:c r="C78" s="12" t="inlineStr">
        <s:is>
          <s:t>Source evidence</s:t>
        </s:is>
      </s:c>
      <s:c r="D78" s="12" t="inlineStr">
        <s:is>
          <s:t>At least one follow-up 690; one/two/three 47/81/564.</s:t>
        </s:is>
      </s:c>
    </s:row>
    <s:row r="79" ht="180" customFormat="1" customHeight="1" s="8">
      <s:c r="A79" s="11" t="inlineStr">
        <s:is>
          <s:t>2025::jama.2025.11178::C004</s:t>
        </s:is>
      </s:c>
      <s:c r="B79" s="11" t="n">
        <s:v>1</s:v>
      </s:c>
      <s:c r="C79" s="11" t="inlineStr">
        <s:is>
          <s:t>Reported-versus-comparator</s:t>
        </s:is>
      </s:c>
      <s:c r="D79" s="11" t="inlineStr">
        <s:is>
          <s:t>47+81+564=692, two above 690 (integer tolerance 0).</s:t>
        </s:is>
      </s:c>
    </s:row>
    <s:row r="80" ht="180" customFormat="1" customHeight="1" s="8">
      <s:c r="A80" s="12" t="inlineStr">
        <s:is>
          <s:t>2025::jama.2025.11178::C004</s:t>
        </s:is>
      </s:c>
      <s:c r="B80" s="12" t="n">
        <s:v>2</s:v>
      </s:c>
      <s:c r="C80" s="12" t="inlineStr">
        <s:is>
          <s:t>Calculation</s:t>
        </s:is>
      </s:c>
      <s:c r="D80" s="12" t="inlineStr">
        <s:is>
          <s:t>47+81+564=692, two above 690 (integer tolerance 0).</s:t>
        </s:is>
      </s:c>
    </s:row>
    <s:row r="81" ht="180" customFormat="1" customHeight="1" s="8">
      <s:c r="A81" s="11" t="inlineStr">
        <s:is>
          <s:t>2025::jama.2025.11178::C004</s:t>
        </s:is>
      </s:c>
      <s:c r="B81" s="11" t="n">
        <s:v>3</s:v>
      </s:c>
      <s:c r="C81" s="11" t="inlineStr">
        <s:is>
          <s:t>Alternative source-grounded interpretations</s:t>
        </s:is>
      </s:c>
      <s:c r="D81" s="11" t="inlineStr">
        <s:is>
          <s:t>A pattern count or arm total may be discrepant; no alternative denominator is shown. Human question: Is 690 or the 692 pattern sum authoritative?</s:t>
        </s:is>
      </s:c>
    </s:row>
    <s:row r="82" ht="180" customFormat="1" customHeight="1" s="8">
      <s:c r="A82" s="12" t="inlineStr">
        <s:is>
          <s:t>2025::jama.2025.11178::C005</s:t>
        </s:is>
      </s:c>
      <s:c r="B82" s="12" t="n">
        <s:v>0</s:v>
      </s:c>
      <s:c r="C82" s="12" t="inlineStr">
        <s:is>
          <s:t>Source evidence</s:t>
        </s:is>
      </s:c>
      <s:c r="D82" s="12" t="inlineStr">
        <s:is>
          <s:t>All Observed N 1568, missing 2, current depression 711 (73.2).</s:t>
        </s:is>
      </s:c>
    </s:row>
    <s:row r="83" ht="180" customFormat="1" customHeight="1" s="8">
      <s:c r="A83" s="11" t="inlineStr">
        <s:is>
          <s:t>2025::jama.2025.11178::C005</s:t>
        </s:is>
      </s:c>
      <s:c r="B83" s="11" t="n">
        <s:v>1</s:v>
      </s:c>
      <s:c r="C83" s="11" t="inlineStr">
        <s:is>
          <s:t>Reported-versus-comparator</s:t>
        </s:is>
      </s:c>
      <s:c r="D83" s="11" t="inlineStr">
        <s:is>
          <s:t>Missing-excluded denominator is 1566; 711/1566=45.4%, not 73.2% (and 711/1568=45.3%).</s:t>
        </s:is>
      </s:c>
    </s:row>
    <s:row r="84" ht="180" customFormat="1" customHeight="1" s="8">
      <s:c r="A84" s="12" t="inlineStr">
        <s:is>
          <s:t>2025::jama.2025.11178::C005</s:t>
        </s:is>
      </s:c>
      <s:c r="B84" s="12" t="n">
        <s:v>2</s:v>
      </s:c>
      <s:c r="C84" s="12" t="inlineStr">
        <s:is>
          <s:t>Calculation</s:t>
        </s:is>
      </s:c>
      <s:c r="D84" s="12" t="inlineStr">
        <s:is>
          <s:t>Missing-excluded denominator is 1566; 711/1566=45.4%, not 73.2% (and 711/1568=45.3%).</s:t>
        </s:is>
      </s:c>
    </s:row>
    <s:row r="85" ht="180" customFormat="1" customHeight="1" s="8">
      <s:c r="A85" s="11" t="inlineStr">
        <s:is>
          <s:t>2025::jama.2025.11178::C005</s:t>
        </s:is>
      </s:c>
      <s:c r="B85" s="11" t="n">
        <s:v>3</s:v>
      </s:c>
      <s:c r="C85" s="11" t="inlineStr">
        <s:is>
          <s:t>Alternative source-grounded interpretations</s:t>
        </s:is>
      </s:c>
      <s:c r="D85" s="11" t="inlineStr">
        <s:is>
          <s:t>The count may be right with a mistyped percentage, or percentage/denominator may belong elsewhere; 162+243+711=1116 supports the count. Human question: Should E82 be 711 (45.4%), or does a different unprinted denominator apply?</s:t>
        </s:is>
      </s:c>
    </s:row>
    <s:row r="86" ht="180" customFormat="1" customHeight="1" s="8">
      <s:c r="A86" s="12" t="inlineStr">
        <s:is>
          <s:t>2025::jama.2025.11178::C006</s:t>
        </s:is>
      </s:c>
      <s:c r="B86" s="12" t="n">
        <s:v>0</s:v>
      </s:c>
      <s:c r="C86" s="12" t="inlineStr">
        <s:is>
          <s:t>Source evidence</s:t>
        </s:is>
      </s:c>
      <s:c r="D86" s="12" t="inlineStr">
        <s:is>
          <s:t>Label PROMIS Social role functioning &lt;=40, mean (sd); values 818 (35.7)|113 (38.8)|180 (38.7)|525 (34.2).</s:t>
        </s:is>
      </s:c>
    </s:row>
    <s:row r="87" ht="180" customFormat="1" customHeight="1" s="8">
      <s:c r="A87" s="11" t="inlineStr">
        <s:is>
          <s:t>2025::jama.2025.11178::C006</s:t>
        </s:is>
      </s:c>
      <s:c r="B87" s="11" t="n">
        <s:v>1</s:v>
      </s:c>
      <s:c r="C87" s="11" t="inlineStr">
        <s:is>
          <s:t>Reported-versus-comparator</s:t>
        </s:is>
      </s:c>
      <s:c r="D87" s="11" t="inlineStr">
        <s:is>
          <s:t>Entries are count/percentages: 525/(1568-31)=34.2%; they are not mean/SD values.</s:t>
        </s:is>
      </s:c>
    </s:row>
    <s:row r="88" ht="180" customFormat="1" customHeight="1" s="8">
      <s:c r="A88" s="12" t="inlineStr">
        <s:is>
          <s:t>2025::jama.2025.11178::C006</s:t>
        </s:is>
      </s:c>
      <s:c r="B88" s="12" t="n">
        <s:v>2</s:v>
      </s:c>
      <s:c r="C88" s="12" t="inlineStr">
        <s:is>
          <s:t>Calculation</s:t>
        </s:is>
      </s:c>
      <s:c r="D88" s="12" t="inlineStr">
        <s:is>
          <s:t>Entries are count/percentages: 525/(1568-31)=34.2%; they are not mean/SD values.</s:t>
        </s:is>
      </s:c>
    </s:row>
    <s:row r="89" ht="180" customFormat="1" customHeight="1" s="8">
      <s:c r="A89" s="11" t="inlineStr">
        <s:is>
          <s:t>2025::jama.2025.11178::C006</s:t>
        </s:is>
      </s:c>
      <s:c r="B89" s="11" t="n">
        <s:v>3</s:v>
      </s:c>
      <s:c r="C89" s="11" t="inlineStr">
        <s:is>
          <s:t>Alternative source-grounded interpretations</s:t>
        </s:is>
      </s:c>
      <s:c r="D89" s="11" t="inlineStr">
        <s:is>
          <s:t>mean (sd) may be a template carryover; intended label may be N (%). Human question: Should the cutoff row be relabeled N (%)?</s:t>
        </s:is>
      </s:c>
    </s:row>
    <s:row r="90" ht="180" customFormat="1" customHeight="1" s="8">
      <s:c r="A90" s="12" t="inlineStr">
        <s:is>
          <s:t>2025::jama.2025.11178::C007</s:t>
        </s:is>
      </s:c>
      <s:c r="B90" s="12" t="n">
        <s:v>0</s:v>
      </s:c>
      <s:c r="C90" s="12" t="inlineStr">
        <s:is>
          <s:t>Source evidence</s:t>
        </s:is>
      </s:c>
      <s:c r="D90" s="12" t="inlineStr">
        <s:is>
          <s:t>Label PROMIS Physical functioning &lt;=40, mean (sd); values 1709 (74.1)|209 (72.6)|357 (76.8)|1143 (73.6).</s:t>
        </s:is>
      </s:c>
    </s:row>
    <s:row r="91" ht="180" customFormat="1" customHeight="1" s="8">
      <s:c r="A91" s="11" t="inlineStr">
        <s:is>
          <s:t>2025::jama.2025.11178::C007</s:t>
        </s:is>
      </s:c>
      <s:c r="B91" s="11" t="n">
        <s:v>1</s:v>
      </s:c>
      <s:c r="C91" s="11" t="inlineStr">
        <s:is>
          <s:t>Reported-versus-comparator</s:t>
        </s:is>
      </s:c>
      <s:c r="D91" s="11" t="inlineStr">
        <s:is>
          <s:t>1143/(1568-14)=73.6%; displayed cells are N(%), not mean(SD).</s:t>
        </s:is>
      </s:c>
    </s:row>
    <s:row r="92" ht="180" customFormat="1" customHeight="1" s="8">
      <s:c r="A92" s="12" t="inlineStr">
        <s:is>
          <s:t>2025::jama.2025.11178::C007</s:t>
        </s:is>
      </s:c>
      <s:c r="B92" s="12" t="n">
        <s:v>2</s:v>
      </s:c>
      <s:c r="C92" s="12" t="inlineStr">
        <s:is>
          <s:t>Calculation</s:t>
        </s:is>
      </s:c>
      <s:c r="D92" s="12" t="inlineStr">
        <s:is>
          <s:t>1143/(1568-14)=73.6%; displayed cells are N(%), not mean(SD).</s:t>
        </s:is>
      </s:c>
    </s:row>
    <s:row r="93" ht="180" customFormat="1" customHeight="1" s="8">
      <s:c r="A93" s="11" t="inlineStr">
        <s:is>
          <s:t>2025::jama.2025.11178::C007</s:t>
        </s:is>
      </s:c>
      <s:c r="B93" s="11" t="n">
        <s:v>3</s:v>
      </s:c>
      <s:c r="C93" s="11" t="inlineStr">
        <s:is>
          <s:t>Alternative source-grounded interpretations</s:t>
        </s:is>
      </s:c>
      <s:c r="D93" s="11" t="inlineStr">
        <s:is>
          <s:t>Formatting/template carryover may explain the label. Human question: Should the cutoff row be relabeled N (%)?</s:t>
        </s:is>
      </s:c>
    </s:row>
    <s:row r="94" ht="180" customFormat="1" customHeight="1" s="8">
      <s:c r="A94" s="12" t="inlineStr">
        <s:is>
          <s:t>2025::jama.2025.11178::C008</s:t>
        </s:is>
      </s:c>
      <s:c r="B94" s="12" t="n">
        <s:v>0</s:v>
      </s:c>
      <s:c r="C94" s="12" t="inlineStr">
        <s:is>
          <s:t>Source evidence</s:t>
        </s:is>
      </s:c>
      <s:c r="D94" s="12" t="inlineStr">
        <s:is>
          <s:t>-0.25 (-0.24 to 0.01).</s:t>
        </s:is>
      </s:c>
    </s:row>
    <s:row r="95" ht="180" customFormat="1" customHeight="1" s="8">
      <s:c r="A95" s="11" t="inlineStr">
        <s:is>
          <s:t>2025::jama.2025.11178::C008</s:t>
        </s:is>
      </s:c>
      <s:c r="B95" s="11" t="n">
        <s:v>1</s:v>
      </s:c>
      <s:c r="C95" s="11" t="inlineStr">
        <s:is>
          <s:t>Reported-versus-comparator</s:t>
        </s:is>
      </s:c>
      <s:c r="D95" s="11" t="inlineStr">
        <s:is>
          <s:t>Point estimate must lie within its interval; -0.25 &lt; -0.24.</s:t>
        </s:is>
      </s:c>
    </s:row>
    <s:row r="96" ht="180" customFormat="1" customHeight="1" s="8">
      <s:c r="A96" s="12" t="inlineStr">
        <s:is>
          <s:t>2025::jama.2025.11178::C008</s:t>
        </s:is>
      </s:c>
      <s:c r="B96" s="12" t="n">
        <s:v>2</s:v>
      </s:c>
      <s:c r="C96" s="12" t="inlineStr">
        <s:is>
          <s:t>Calculation</s:t>
        </s:is>
      </s:c>
      <s:c r="D96" s="12" t="inlineStr">
        <s:is>
          <s:t>Point estimate must lie within its interval; -0.25 &lt; -0.24.</s:t>
        </s:is>
      </s:c>
    </s:row>
    <s:row r="97" ht="180" customFormat="1" customHeight="1" s="8">
      <s:c r="A97" s="11" t="inlineStr">
        <s:is>
          <s:t>2025::jama.2025.11178::C008</s:t>
        </s:is>
      </s:c>
      <s:c r="B97" s="11" t="n">
        <s:v>3</s:v>
      </s:c>
      <s:c r="C97" s="11" t="inlineStr">
        <s:is>
          <s:t>Alternative source-grounded interpretations</s:t>
        </s:is>
      </s:c>
      <s:c r="D97" s="11" t="inlineStr">
        <s:is>
          <s:t>Estimate or CI endpoint may be transcribed incorrectly. Human question: What estimate and CI does the analysis output support?</s:t>
        </s:is>
      </s:c>
    </s:row>
    <s:row r="98" ht="180" customFormat="1" customHeight="1" s="8">
      <s:c r="A98" s="12" t="inlineStr">
        <s:is>
          <s:t>2025::jama.2025.11178::C009</s:t>
        </s:is>
      </s:c>
      <s:c r="B98" s="12" t="n">
        <s:v>0</s:v>
      </s:c>
      <s:c r="C98" s="12" t="inlineStr">
        <s:is>
          <s:t>Source evidence</s:t>
        </s:is>
      </s:c>
      <s:c r="D98" s="12" t="inlineStr">
        <s:is>
          <s:t>-0.36 (-0.35 to -0.12).</s:t>
        </s:is>
      </s:c>
    </s:row>
    <s:row r="99" ht="180" customFormat="1" customHeight="1" s="8">
      <s:c r="A99" s="11" t="inlineStr">
        <s:is>
          <s:t>2025::jama.2025.11178::C009</s:t>
        </s:is>
      </s:c>
      <s:c r="B99" s="11" t="n">
        <s:v>1</s:v>
      </s:c>
      <s:c r="C99" s="11" t="inlineStr">
        <s:is>
          <s:t>Reported-versus-comparator</s:t>
        </s:is>
      </s:c>
      <s:c r="D99" s="11" t="inlineStr">
        <s:is>
          <s:t>-0.36 &lt; -0.35, so estimate is outside CI.</s:t>
        </s:is>
      </s:c>
    </s:row>
    <s:row r="100" ht="180" customFormat="1" customHeight="1" s="8">
      <s:c r="A100" s="12" t="inlineStr">
        <s:is>
          <s:t>2025::jama.2025.11178::C009</s:t>
        </s:is>
      </s:c>
      <s:c r="B100" s="12" t="n">
        <s:v>2</s:v>
      </s:c>
      <s:c r="C100" s="12" t="inlineStr">
        <s:is>
          <s:t>Calculation</s:t>
        </s:is>
      </s:c>
      <s:c r="D100" s="12" t="inlineStr">
        <s:is>
          <s:t>-0.36 &lt; -0.35, so estimate is outside CI.</s:t>
        </s:is>
      </s:c>
    </s:row>
    <s:row r="101" ht="180" customFormat="1" customHeight="1" s="8">
      <s:c r="A101" s="11" t="inlineStr">
        <s:is>
          <s:t>2025::jama.2025.11178::C009</s:t>
        </s:is>
      </s:c>
      <s:c r="B101" s="11" t="n">
        <s:v>3</s:v>
      </s:c>
      <s:c r="C101" s="11" t="inlineStr">
        <s:is>
          <s:t>Alternative source-grounded interpretations</s:t>
        </s:is>
      </s:c>
      <s:c r="D101" s="11" t="inlineStr">
        <s:is>
          <s:t>Point estimate or CI endpoint may be erroneous. Human question: What matched CI is intended?</s:t>
        </s:is>
      </s:c>
    </s:row>
    <s:row r="102" ht="180" customFormat="1" customHeight="1" s="8">
      <s:c r="A102" s="12" t="inlineStr">
        <s:is>
          <s:t>2025::jama.2025.11178::C010</s:t>
        </s:is>
      </s:c>
      <s:c r="B102" s="12" t="n">
        <s:v>0</s:v>
      </s:c>
      <s:c r="C102" s="12" t="inlineStr">
        <s:is>
          <s:t>Source evidence</s:t>
        </s:is>
      </s:c>
      <s:c r="D102" s="12" t="inlineStr">
        <s:is>
          <s:t>-0.27 (-0.26 to -0.12).</s:t>
        </s:is>
      </s:c>
    </s:row>
    <s:row r="103" ht="180" customFormat="1" customHeight="1" s="8">
      <s:c r="A103" s="11" t="inlineStr">
        <s:is>
          <s:t>2025::jama.2025.11178::C010</s:t>
        </s:is>
      </s:c>
      <s:c r="B103" s="11" t="n">
        <s:v>1</s:v>
      </s:c>
      <s:c r="C103" s="11" t="inlineStr">
        <s:is>
          <s:t>Reported-versus-comparator</s:t>
        </s:is>
      </s:c>
      <s:c r="D103" s="11" t="inlineStr">
        <s:is>
          <s:t>-0.27 &lt; -0.26, outside CI.</s:t>
        </s:is>
      </s:c>
    </s:row>
    <s:row r="104" ht="180" customFormat="1" customHeight="1" s="8">
      <s:c r="A104" s="12" t="inlineStr">
        <s:is>
          <s:t>2025::jama.2025.11178::C010</s:t>
        </s:is>
      </s:c>
      <s:c r="B104" s="12" t="n">
        <s:v>2</s:v>
      </s:c>
      <s:c r="C104" s="12" t="inlineStr">
        <s:is>
          <s:t>Calculation</s:t>
        </s:is>
      </s:c>
      <s:c r="D104" s="12" t="inlineStr">
        <s:is>
          <s:t>-0.27 &lt; -0.26, outside CI.</s:t>
        </s:is>
      </s:c>
    </s:row>
    <s:row r="105" ht="180" customFormat="1" customHeight="1" s="8">
      <s:c r="A105" s="11" t="inlineStr">
        <s:is>
          <s:t>2025::jama.2025.11178::C010</s:t>
        </s:is>
      </s:c>
      <s:c r="B105" s="11" t="n">
        <s:v>3</s:v>
      </s:c>
      <s:c r="C105" s="11" t="inlineStr">
        <s:is>
          <s:t>Alternative source-grounded interpretations</s:t>
        </s:is>
      </s:c>
      <s:c r="D105" s="11" t="inlineStr">
        <s:is>
          <s:t>Estimate or CI endpoint may differ from intended output. Human question: What matched CI is intended?</s:t>
        </s:is>
      </s:c>
    </s:row>
    <s:row r="106" ht="180" customFormat="1" customHeight="1" s="8">
      <s:c r="A106" s="12" t="inlineStr">
        <s:is>
          <s:t>2025::jama.2025.11178::C011</s:t>
        </s:is>
      </s:c>
      <s:c r="B106" s="12" t="n">
        <s:v>0</s:v>
      </s:c>
      <s:c r="C106" s="12" t="inlineStr">
        <s:is>
          <s:t>Source evidence</s:t>
        </s:is>
      </s:c>
      <s:c r="D106" s="12" t="inlineStr">
        <s:is>
          <s:t>-0.26 (-0.25 to 0.01).</s:t>
        </s:is>
      </s:c>
    </s:row>
    <s:row r="107" ht="180" customFormat="1" customHeight="1" s="8">
      <s:c r="A107" s="11" t="inlineStr">
        <s:is>
          <s:t>2025::jama.2025.11178::C011</s:t>
        </s:is>
      </s:c>
      <s:c r="B107" s="11" t="n">
        <s:v>1</s:v>
      </s:c>
      <s:c r="C107" s="11" t="inlineStr">
        <s:is>
          <s:t>Reported-versus-comparator</s:t>
        </s:is>
      </s:c>
      <s:c r="D107" s="11" t="inlineStr">
        <s:is>
          <s:t>-0.26 &lt; -0.25, outside CI.</s:t>
        </s:is>
      </s:c>
    </s:row>
    <s:row r="108" ht="180" customFormat="1" customHeight="1" s="8">
      <s:c r="A108" s="12" t="inlineStr">
        <s:is>
          <s:t>2025::jama.2025.11178::C011</s:t>
        </s:is>
      </s:c>
      <s:c r="B108" s="12" t="n">
        <s:v>2</s:v>
      </s:c>
      <s:c r="C108" s="12" t="inlineStr">
        <s:is>
          <s:t>Calculation</s:t>
        </s:is>
      </s:c>
      <s:c r="D108" s="12" t="inlineStr">
        <s:is>
          <s:t>-0.26 &lt; -0.25, outside CI.</s:t>
        </s:is>
      </s:c>
    </s:row>
    <s:row r="109" ht="180" customFormat="1" customHeight="1" s="8">
      <s:c r="A109" s="11" t="inlineStr">
        <s:is>
          <s:t>2025::jama.2025.11178::C011</s:t>
        </s:is>
      </s:c>
      <s:c r="B109" s="11" t="n">
        <s:v>3</s:v>
      </s:c>
      <s:c r="C109" s="11" t="inlineStr">
        <s:is>
          <s:t>Alternative source-grounded interpretations</s:t>
        </s:is>
      </s:c>
      <s:c r="D109" s="11" t="inlineStr">
        <s:is>
          <s:t>Estimate or endpoint may be incorrect. Human question: What matched CI is intended?</s:t>
        </s:is>
      </s:c>
    </s:row>
    <s:row r="110" ht="180" customFormat="1" customHeight="1" s="8">
      <s:c r="A110" s="12" t="inlineStr">
        <s:is>
          <s:t>2025::jama.2025.11178::C012</s:t>
        </s:is>
      </s:c>
      <s:c r="B110" s="12" t="n">
        <s:v>0</s:v>
      </s:c>
      <s:c r="C110" s="12" t="inlineStr">
        <s:is>
          <s:t>Source evidence</s:t>
        </s:is>
      </s:c>
      <s:c r="D110" s="12" t="inlineStr">
        <s:is>
          <s:t>-0.37 (-0.36 to -0.11).</s:t>
        </s:is>
      </s:c>
    </s:row>
    <s:row r="111" ht="180" customFormat="1" customHeight="1" s="8">
      <s:c r="A111" s="11" t="inlineStr">
        <s:is>
          <s:t>2025::jama.2025.11178::C012</s:t>
        </s:is>
      </s:c>
      <s:c r="B111" s="11" t="n">
        <s:v>1</s:v>
      </s:c>
      <s:c r="C111" s="11" t="inlineStr">
        <s:is>
          <s:t>Reported-versus-comparator</s:t>
        </s:is>
      </s:c>
      <s:c r="D111" s="11" t="inlineStr">
        <s:is>
          <s:t>-0.37 &lt; -0.36, outside CI.</s:t>
        </s:is>
      </s:c>
    </s:row>
    <s:row r="112" ht="180" customFormat="1" customHeight="1" s="8">
      <s:c r="A112" s="12" t="inlineStr">
        <s:is>
          <s:t>2025::jama.2025.11178::C012</s:t>
        </s:is>
      </s:c>
      <s:c r="B112" s="12" t="n">
        <s:v>2</s:v>
      </s:c>
      <s:c r="C112" s="12" t="inlineStr">
        <s:is>
          <s:t>Calculation</s:t>
        </s:is>
      </s:c>
      <s:c r="D112" s="12" t="inlineStr">
        <s:is>
          <s:t>-0.37 &lt; -0.36, outside CI.</s:t>
        </s:is>
      </s:c>
    </s:row>
    <s:row r="113" ht="180" customFormat="1" customHeight="1" s="8">
      <s:c r="A113" s="11" t="inlineStr">
        <s:is>
          <s:t>2025::jama.2025.11178::C012</s:t>
        </s:is>
      </s:c>
      <s:c r="B113" s="11" t="n">
        <s:v>3</s:v>
      </s:c>
      <s:c r="C113" s="11" t="inlineStr">
        <s:is>
          <s:t>Alternative source-grounded interpretations</s:t>
        </s:is>
      </s:c>
      <s:c r="D113" s="11" t="inlineStr">
        <s:is>
          <s:t>Estimate or endpoint may be incorrect. Human question: What matched CI is intended?</s:t>
        </s:is>
      </s:c>
    </s:row>
    <s:row r="114" ht="180" customFormat="1" customHeight="1" s="8">
      <s:c r="A114" s="12" t="inlineStr">
        <s:is>
          <s:t>2025::jama.2025.11178::C013</s:t>
        </s:is>
      </s:c>
      <s:c r="B114" s="12" t="n">
        <s:v>0</s:v>
      </s:c>
      <s:c r="C114" s="12" t="inlineStr">
        <s:is>
          <s:t>Source evidence</s:t>
        </s:is>
      </s:c>
      <s:c r="D114" s="12" t="inlineStr">
        <s:is>
          <s:t>0.12 (0.23 to 0.11).</s:t>
        </s:is>
      </s:c>
    </s:row>
    <s:row r="115" ht="180" customFormat="1" customHeight="1" s="8">
      <s:c r="A115" s="11" t="inlineStr">
        <s:is>
          <s:t>2025::jama.2025.11178::C013</s:t>
        </s:is>
      </s:c>
      <s:c r="B115" s="11" t="n">
        <s:v>1</s:v>
      </s:c>
      <s:c r="C115" s="11" t="inlineStr">
        <s:is>
          <s:t>Reported-versus-comparator</s:t>
        </s:is>
      </s:c>
      <s:c r="D115" s="11" t="inlineStr">
        <s:is>
          <s:t>Interval endpoints must be low-to-high; 0.23 &gt; 0.11.</s:t>
        </s:is>
      </s:c>
    </s:row>
    <s:row r="116" ht="180" customFormat="1" customHeight="1" s="8">
      <s:c r="A116" s="12" t="inlineStr">
        <s:is>
          <s:t>2025::jama.2025.11178::C013</s:t>
        </s:is>
      </s:c>
      <s:c r="B116" s="12" t="n">
        <s:v>2</s:v>
      </s:c>
      <s:c r="C116" s="12" t="inlineStr">
        <s:is>
          <s:t>Calculation</s:t>
        </s:is>
      </s:c>
      <s:c r="D116" s="12" t="inlineStr">
        <s:is>
          <s:t>Interval endpoints must be low-to-high; 0.23 &gt; 0.11.</s:t>
        </s:is>
      </s:c>
    </s:row>
    <s:row r="117" ht="180" customFormat="1" customHeight="1" s="8">
      <s:c r="A117" s="11" t="inlineStr">
        <s:is>
          <s:t>2025::jama.2025.11178::C013</s:t>
        </s:is>
      </s:c>
      <s:c r="B117" s="11" t="n">
        <s:v>3</s:v>
      </s:c>
      <s:c r="C117" s="11" t="inlineStr">
        <s:is>
          <s:t>Alternative source-grounded interpretations</s:t>
        </s:is>
      </s:c>
      <s:c r="D117" s="11" t="inlineStr">
        <s:is>
          <s:t>Signs, endpoint order, or transcription may be wrong. Human question: What ordered CI is intended?</s:t>
        </s:is>
      </s:c>
    </s:row>
    <s:row r="118" ht="180" customFormat="1" customHeight="1" s="8">
      <s:c r="A118" s="12" t="inlineStr">
        <s:is>
          <s:t>2025::jama.2025.11178::C014</s:t>
        </s:is>
      </s:c>
      <s:c r="B118" s="12" t="n">
        <s:v>0</s:v>
      </s:c>
      <s:c r="C118" s="12" t="inlineStr">
        <s:is>
          <s:t>Source evidence</s:t>
        </s:is>
      </s:c>
      <s:c r="D118" s="12" t="inlineStr">
        <s:is>
          <s:t>0.01 (0.12 to -0.00).</s:t>
        </s:is>
      </s:c>
    </s:row>
    <s:row r="119" ht="180" customFormat="1" customHeight="1" s="8">
      <s:c r="A119" s="11" t="inlineStr">
        <s:is>
          <s:t>2025::jama.2025.11178::C014</s:t>
        </s:is>
      </s:c>
      <s:c r="B119" s="11" t="n">
        <s:v>1</s:v>
      </s:c>
      <s:c r="C119" s="11" t="inlineStr">
        <s:is>
          <s:t>Reported-versus-comparator</s:t>
        </s:is>
      </s:c>
      <s:c r="D119" s="11" t="inlineStr">
        <s:is>
          <s:t>0.12 &gt; -0.00; endpoints are reversed.</s:t>
        </s:is>
      </s:c>
    </s:row>
    <s:row r="120" ht="180" customFormat="1" customHeight="1" s="8">
      <s:c r="A120" s="12" t="inlineStr">
        <s:is>
          <s:t>2025::jama.2025.11178::C014</s:t>
        </s:is>
      </s:c>
      <s:c r="B120" s="12" t="n">
        <s:v>2</s:v>
      </s:c>
      <s:c r="C120" s="12" t="inlineStr">
        <s:is>
          <s:t>Calculation</s:t>
        </s:is>
      </s:c>
      <s:c r="D120" s="12" t="inlineStr">
        <s:is>
          <s:t>0.12 &gt; -0.00; endpoints are reversed.</s:t>
        </s:is>
      </s:c>
    </s:row>
    <s:row r="121" ht="180" customFormat="1" customHeight="1" s="8">
      <s:c r="A121" s="11" t="inlineStr">
        <s:is>
          <s:t>2025::jama.2025.11178::C014</s:t>
        </s:is>
      </s:c>
      <s:c r="B121" s="11" t="n">
        <s:v>3</s:v>
      </s:c>
      <s:c r="C121" s="11" t="inlineStr">
        <s:is>
          <s:t>Alternative source-grounded interpretations</s:t>
        </s:is>
      </s:c>
      <s:c r="D121" s="11" t="inlineStr">
        <s:is>
          <s:t>Signs/order may be erroneous. Human question: What ordered CI is intended?</s:t>
        </s:is>
      </s:c>
    </s:row>
    <s:row r="122" ht="180" customFormat="1" customHeight="1" s="8">
      <s:c r="A122" s="12" t="inlineStr">
        <s:is>
          <s:t>2025::jama.2025.11178::C015</s:t>
        </s:is>
      </s:c>
      <s:c r="B122" s="12" t="n">
        <s:v>0</s:v>
      </s:c>
      <s:c r="C122" s="12" t="inlineStr">
        <s:is>
          <s:t>Source evidence</s:t>
        </s:is>
      </s:c>
      <s:c r="D122" s="12" t="inlineStr">
        <s:is>
          <s:t>0.20 (0.29 to 0.19).</s:t>
        </s:is>
      </s:c>
    </s:row>
    <s:row r="123" ht="180" customFormat="1" customHeight="1" s="8">
      <s:c r="A123" s="11" t="inlineStr">
        <s:is>
          <s:t>2025::jama.2025.11178::C015</s:t>
        </s:is>
      </s:c>
      <s:c r="B123" s="11" t="n">
        <s:v>1</s:v>
      </s:c>
      <s:c r="C123" s="11" t="inlineStr">
        <s:is>
          <s:t>Reported-versus-comparator</s:t>
        </s:is>
      </s:c>
      <s:c r="D123" s="11" t="inlineStr">
        <s:is>
          <s:t>0.29 &gt; 0.19; endpoints are reversed.</s:t>
        </s:is>
      </s:c>
    </s:row>
    <s:row r="124" ht="180" customFormat="1" customHeight="1" s="8">
      <s:c r="A124" s="12" t="inlineStr">
        <s:is>
          <s:t>2025::jama.2025.11178::C015</s:t>
        </s:is>
      </s:c>
      <s:c r="B124" s="12" t="n">
        <s:v>2</s:v>
      </s:c>
      <s:c r="C124" s="12" t="inlineStr">
        <s:is>
          <s:t>Calculation</s:t>
        </s:is>
      </s:c>
      <s:c r="D124" s="12" t="inlineStr">
        <s:is>
          <s:t>0.29 &gt; 0.19; endpoints are reversed.</s:t>
        </s:is>
      </s:c>
    </s:row>
    <s:row r="125" ht="180" customFormat="1" customHeight="1" s="8">
      <s:c r="A125" s="11" t="inlineStr">
        <s:is>
          <s:t>2025::jama.2025.11178::C015</s:t>
        </s:is>
      </s:c>
      <s:c r="B125" s="11" t="n">
        <s:v>3</s:v>
      </s:c>
      <s:c r="C125" s="11" t="inlineStr">
        <s:is>
          <s:t>Alternative source-grounded interpretations</s:t>
        </s:is>
      </s:c>
      <s:c r="D125" s="11" t="inlineStr">
        <s:is>
          <s:t>Endpoint order/signs may be incorrect. Human question: What ordered CI is intended?</s:t>
        </s:is>
      </s:c>
    </s:row>
    <s:row r="126" ht="180" customFormat="1" customHeight="1" s="8">
      <s:c r="A126" s="12" t="inlineStr">
        <s:is>
          <s:t>2025::jama.2025.11178::C016</s:t>
        </s:is>
      </s:c>
      <s:c r="B126" s="12" t="n">
        <s:v>0</s:v>
      </s:c>
      <s:c r="C126" s="12" t="inlineStr">
        <s:is>
          <s:t>Source evidence</s:t>
        </s:is>
      </s:c>
      <s:c r="D126" s="12" t="inlineStr">
        <s:is>
          <s:t>0.18 (0.23 to 0.05).</s:t>
        </s:is>
      </s:c>
    </s:row>
    <s:row r="127" ht="180" customFormat="1" customHeight="1" s="8">
      <s:c r="A127" s="11" t="inlineStr">
        <s:is>
          <s:t>2025::jama.2025.11178::C016</s:t>
        </s:is>
      </s:c>
      <s:c r="B127" s="11" t="n">
        <s:v>1</s:v>
      </s:c>
      <s:c r="C127" s="11" t="inlineStr">
        <s:is>
          <s:t>Reported-versus-comparator</s:t>
        </s:is>
      </s:c>
      <s:c r="D127" s="11" t="inlineStr">
        <s:is>
          <s:t>0.23 &gt; 0.05; endpoints are reversed.</s:t>
        </s:is>
      </s:c>
    </s:row>
    <s:row r="128" ht="180" customFormat="1" customHeight="1" s="8">
      <s:c r="A128" s="12" t="inlineStr">
        <s:is>
          <s:t>2025::jama.2025.11178::C016</s:t>
        </s:is>
      </s:c>
      <s:c r="B128" s="12" t="n">
        <s:v>2</s:v>
      </s:c>
      <s:c r="C128" s="12" t="inlineStr">
        <s:is>
          <s:t>Calculation</s:t>
        </s:is>
      </s:c>
      <s:c r="D128" s="12" t="inlineStr">
        <s:is>
          <s:t>0.23 &gt; 0.05; endpoints are reversed.</s:t>
        </s:is>
      </s:c>
    </s:row>
    <s:row r="129" ht="180" customFormat="1" customHeight="1" s="8">
      <s:c r="A129" s="11" t="inlineStr">
        <s:is>
          <s:t>2025::jama.2025.11178::C016</s:t>
        </s:is>
      </s:c>
      <s:c r="B129" s="11" t="n">
        <s:v>3</s:v>
      </s:c>
      <s:c r="C129" s="11" t="inlineStr">
        <s:is>
          <s:t>Alternative source-grounded interpretations</s:t>
        </s:is>
      </s:c>
      <s:c r="D129" s="11" t="inlineStr">
        <s:is>
          <s:t>Endpoint order/signs may be incorrect. Human question: What ordered CI is intended?</s:t>
        </s:is>
      </s:c>
    </s:row>
    <s:row r="130" ht="180" customFormat="1" customHeight="1" s="8">
      <s:c r="A130" s="12" t="inlineStr">
        <s:is>
          <s:t>2025::jama.2025.11178::C017</s:t>
        </s:is>
      </s:c>
      <s:c r="B130" s="12" t="n">
        <s:v>0</s:v>
      </s:c>
      <s:c r="C130" s="12" t="inlineStr">
        <s:is>
          <s:t>Source evidence</s:t>
        </s:is>
      </s:c>
      <s:c r="D130" s="12" t="inlineStr">
        <s:is>
          <s:t>0.06 (0.11 to -0.06).</s:t>
        </s:is>
      </s:c>
    </s:row>
    <s:row r="131" ht="180" customFormat="1" customHeight="1" s="8">
      <s:c r="A131" s="11" t="inlineStr">
        <s:is>
          <s:t>2025::jama.2025.11178::C017</s:t>
        </s:is>
      </s:c>
      <s:c r="B131" s="11" t="n">
        <s:v>1</s:v>
      </s:c>
      <s:c r="C131" s="11" t="inlineStr">
        <s:is>
          <s:t>Reported-versus-comparator</s:t>
        </s:is>
      </s:c>
      <s:c r="D131" s="11" t="inlineStr">
        <s:is>
          <s:t>0.11 &gt; -0.06; endpoints are reversed.</s:t>
        </s:is>
      </s:c>
    </s:row>
    <s:row r="132" ht="180" customFormat="1" customHeight="1" s="8">
      <s:c r="A132" s="12" t="inlineStr">
        <s:is>
          <s:t>2025::jama.2025.11178::C017</s:t>
        </s:is>
      </s:c>
      <s:c r="B132" s="12" t="n">
        <s:v>2</s:v>
      </s:c>
      <s:c r="C132" s="12" t="inlineStr">
        <s:is>
          <s:t>Calculation</s:t>
        </s:is>
      </s:c>
      <s:c r="D132" s="12" t="inlineStr">
        <s:is>
          <s:t>0.11 &gt; -0.06; endpoints are reversed.</s:t>
        </s:is>
      </s:c>
    </s:row>
    <s:row r="133" ht="180" customFormat="1" customHeight="1" s="8">
      <s:c r="A133" s="11" t="inlineStr">
        <s:is>
          <s:t>2025::jama.2025.11178::C017</s:t>
        </s:is>
      </s:c>
      <s:c r="B133" s="11" t="n">
        <s:v>3</s:v>
      </s:c>
      <s:c r="C133" s="11" t="inlineStr">
        <s:is>
          <s:t>Alternative source-grounded interpretations</s:t>
        </s:is>
      </s:c>
      <s:c r="D133" s="11" t="inlineStr">
        <s:is>
          <s:t>Endpoint order/signs may be incorrect. Human question: What ordered CI is intended?</s:t>
        </s:is>
      </s:c>
    </s:row>
    <s:row r="134" ht="180" customFormat="1" customHeight="1" s="8">
      <s:c r="A134" s="12" t="inlineStr">
        <s:is>
          <s:t>2025::jama.2025.11178::C018</s:t>
        </s:is>
      </s:c>
      <s:c r="B134" s="12" t="n">
        <s:v>0</s:v>
      </s:c>
      <s:c r="C134" s="12" t="inlineStr">
        <s:is>
          <s:t>Source evidence</s:t>
        </s:is>
      </s:c>
      <s:c r="D134" s="12" t="inlineStr">
        <s:is>
          <s:t>0.26 (0.30 to 0.15).</s:t>
        </s:is>
      </s:c>
    </s:row>
    <s:row r="135" ht="180" customFormat="1" customHeight="1" s="8">
      <s:c r="A135" s="11" t="inlineStr">
        <s:is>
          <s:t>2025::jama.2025.11178::C018</s:t>
        </s:is>
      </s:c>
      <s:c r="B135" s="11" t="n">
        <s:v>1</s:v>
      </s:c>
      <s:c r="C135" s="11" t="inlineStr">
        <s:is>
          <s:t>Reported-versus-comparator</s:t>
        </s:is>
      </s:c>
      <s:c r="D135" s="11" t="inlineStr">
        <s:is>
          <s:t>0.30 &gt; 0.15; endpoints are reversed.</s:t>
        </s:is>
      </s:c>
    </s:row>
    <s:row r="136" ht="180" customFormat="1" customHeight="1" s="8">
      <s:c r="A136" s="12" t="inlineStr">
        <s:is>
          <s:t>2025::jama.2025.11178::C018</s:t>
        </s:is>
      </s:c>
      <s:c r="B136" s="12" t="n">
        <s:v>2</s:v>
      </s:c>
      <s:c r="C136" s="12" t="inlineStr">
        <s:is>
          <s:t>Calculation</s:t>
        </s:is>
      </s:c>
      <s:c r="D136" s="12" t="inlineStr">
        <s:is>
          <s:t>0.30 &gt; 0.15; endpoints are reversed.</s:t>
        </s:is>
      </s:c>
    </s:row>
    <s:row r="137" ht="180" customFormat="1" customHeight="1" s="8">
      <s:c r="A137" s="11" t="inlineStr">
        <s:is>
          <s:t>2025::jama.2025.11178::C018</s:t>
        </s:is>
      </s:c>
      <s:c r="B137" s="11" t="n">
        <s:v>3</s:v>
      </s:c>
      <s:c r="C137" s="11" t="inlineStr">
        <s:is>
          <s:t>Alternative source-grounded interpretations</s:t>
        </s:is>
      </s:c>
      <s:c r="D137" s="11" t="inlineStr">
        <s:is>
          <s:t>Endpoint order/signs may be incorrect. Human question: What ordered CI is intended?</s:t>
        </s:is>
      </s:c>
    </s:row>
    <s:row r="138" ht="180" customFormat="1" customHeight="1" s="8">
      <s:c r="A138" s="12" t="inlineStr">
        <s:is>
          <s:t>2025::jama.2025.11178::C019</s:t>
        </s:is>
      </s:c>
      <s:c r="B138" s="12" t="n">
        <s:v>0</s:v>
      </s:c>
      <s:c r="C138" s="12" t="inlineStr">
        <s:is>
          <s:t>Source evidence</s:t>
        </s:is>
      </s:c>
      <s:c r="D138" s="12" t="inlineStr">
        <s:is>
          <s:t>0.19 (0.21 to 0.01).</s:t>
        </s:is>
      </s:c>
    </s:row>
    <s:row r="139" ht="180" customFormat="1" customHeight="1" s="8">
      <s:c r="A139" s="11" t="inlineStr">
        <s:is>
          <s:t>2025::jama.2025.11178::C019</s:t>
        </s:is>
      </s:c>
      <s:c r="B139" s="11" t="n">
        <s:v>1</s:v>
      </s:c>
      <s:c r="C139" s="11" t="inlineStr">
        <s:is>
          <s:t>Reported-versus-comparator</s:t>
        </s:is>
      </s:c>
      <s:c r="D139" s="11" t="inlineStr">
        <s:is>
          <s:t>0.21 &gt; 0.01; endpoints are reversed.</s:t>
        </s:is>
      </s:c>
    </s:row>
    <s:row r="140" ht="180" customFormat="1" customHeight="1" s="8">
      <s:c r="A140" s="12" t="inlineStr">
        <s:is>
          <s:t>2025::jama.2025.11178::C019</s:t>
        </s:is>
      </s:c>
      <s:c r="B140" s="12" t="n">
        <s:v>2</s:v>
      </s:c>
      <s:c r="C140" s="12" t="inlineStr">
        <s:is>
          <s:t>Calculation</s:t>
        </s:is>
      </s:c>
      <s:c r="D140" s="12" t="inlineStr">
        <s:is>
          <s:t>0.21 &gt; 0.01; endpoints are reversed.</s:t>
        </s:is>
      </s:c>
    </s:row>
    <s:row r="141" ht="180" customFormat="1" customHeight="1" s="8">
      <s:c r="A141" s="11" t="inlineStr">
        <s:is>
          <s:t>2025::jama.2025.11178::C019</s:t>
        </s:is>
      </s:c>
      <s:c r="B141" s="11" t="n">
        <s:v>3</s:v>
      </s:c>
      <s:c r="C141" s="11" t="inlineStr">
        <s:is>
          <s:t>Alternative source-grounded interpretations</s:t>
        </s:is>
      </s:c>
      <s:c r="D141" s="11" t="inlineStr">
        <s:is>
          <s:t>Endpoint order/signs may be incorrect. Human question: What ordered CI is intended?</s:t>
        </s:is>
      </s:c>
    </s:row>
    <s:row r="142" ht="180" customFormat="1" customHeight="1" s="8">
      <s:c r="A142" s="12" t="inlineStr">
        <s:is>
          <s:t>2025::jama.2025.11178::C020</s:t>
        </s:is>
      </s:c>
      <s:c r="B142" s="12" t="n">
        <s:v>0</s:v>
      </s:c>
      <s:c r="C142" s="12" t="inlineStr">
        <s:is>
          <s:t>Source evidence</s:t>
        </s:is>
      </s:c>
      <s:c r="D142" s="12" t="inlineStr">
        <s:is>
          <s:t>0.07 (0.09 to -0.10).</s:t>
        </s:is>
      </s:c>
    </s:row>
    <s:row r="143" ht="180" customFormat="1" customHeight="1" s="8">
      <s:c r="A143" s="11" t="inlineStr">
        <s:is>
          <s:t>2025::jama.2025.11178::C020</s:t>
        </s:is>
      </s:c>
      <s:c r="B143" s="11" t="n">
        <s:v>1</s:v>
      </s:c>
      <s:c r="C143" s="11" t="inlineStr">
        <s:is>
          <s:t>Reported-versus-comparator</s:t>
        </s:is>
      </s:c>
      <s:c r="D143" s="11" t="inlineStr">
        <s:is>
          <s:t>0.09 &gt; -0.10; endpoints are reversed.</s:t>
        </s:is>
      </s:c>
    </s:row>
    <s:row r="144" ht="180" customFormat="1" customHeight="1" s="8">
      <s:c r="A144" s="12" t="inlineStr">
        <s:is>
          <s:t>2025::jama.2025.11178::C020</s:t>
        </s:is>
      </s:c>
      <s:c r="B144" s="12" t="n">
        <s:v>2</s:v>
      </s:c>
      <s:c r="C144" s="12" t="inlineStr">
        <s:is>
          <s:t>Calculation</s:t>
        </s:is>
      </s:c>
      <s:c r="D144" s="12" t="inlineStr">
        <s:is>
          <s:t>0.09 &gt; -0.10; endpoints are reversed.</s:t>
        </s:is>
      </s:c>
    </s:row>
    <s:row r="145" ht="180" customFormat="1" customHeight="1" s="8">
      <s:c r="A145" s="11" t="inlineStr">
        <s:is>
          <s:t>2025::jama.2025.11178::C020</s:t>
        </s:is>
      </s:c>
      <s:c r="B145" s="11" t="n">
        <s:v>3</s:v>
      </s:c>
      <s:c r="C145" s="11" t="inlineStr">
        <s:is>
          <s:t>Alternative source-grounded interpretations</s:t>
        </s:is>
      </s:c>
      <s:c r="D145" s="11" t="inlineStr">
        <s:is>
          <s:t>Endpoint order/signs may be incorrect. Human question: What ordered CI is intended?</s:t>
        </s:is>
      </s:c>
    </s:row>
    <s:row r="146" ht="180" customFormat="1" customHeight="1" s="8">
      <s:c r="A146" s="12" t="inlineStr">
        <s:is>
          <s:t>2025::jama.2025.11178::C021</s:t>
        </s:is>
      </s:c>
      <s:c r="B146" s="12" t="n">
        <s:v>0</s:v>
      </s:c>
      <s:c r="C146" s="12" t="inlineStr">
        <s:is>
          <s:t>Source evidence</s:t>
        </s:is>
      </s:c>
      <s:c r="D146" s="12" t="inlineStr">
        <s:is>
          <s:t>0.27 (0.28 to 0.12).</s:t>
        </s:is>
      </s:c>
    </s:row>
    <s:row r="147" ht="180" customFormat="1" customHeight="1" s="8">
      <s:c r="A147" s="11" t="inlineStr">
        <s:is>
          <s:t>2025::jama.2025.11178::C021</s:t>
        </s:is>
      </s:c>
      <s:c r="B147" s="11" t="n">
        <s:v>1</s:v>
      </s:c>
      <s:c r="C147" s="11" t="inlineStr">
        <s:is>
          <s:t>Reported-versus-comparator</s:t>
        </s:is>
      </s:c>
      <s:c r="D147" s="11" t="inlineStr">
        <s:is>
          <s:t>0.28 &gt; 0.12; endpoints are reversed.</s:t>
        </s:is>
      </s:c>
    </s:row>
    <s:row r="148" ht="180" customFormat="1" customHeight="1" s="8">
      <s:c r="A148" s="12" t="inlineStr">
        <s:is>
          <s:t>2025::jama.2025.11178::C021</s:t>
        </s:is>
      </s:c>
      <s:c r="B148" s="12" t="n">
        <s:v>2</s:v>
      </s:c>
      <s:c r="C148" s="12" t="inlineStr">
        <s:is>
          <s:t>Calculation</s:t>
        </s:is>
      </s:c>
      <s:c r="D148" s="12" t="inlineStr">
        <s:is>
          <s:t>0.28 &gt; 0.12; endpoints are reversed.</s:t>
        </s:is>
      </s:c>
    </s:row>
    <s:row r="149" ht="180" customFormat="1" customHeight="1" s="8">
      <s:c r="A149" s="11" t="inlineStr">
        <s:is>
          <s:t>2025::jama.2025.11178::C021</s:t>
        </s:is>
      </s:c>
      <s:c r="B149" s="11" t="n">
        <s:v>3</s:v>
      </s:c>
      <s:c r="C149" s="11" t="inlineStr">
        <s:is>
          <s:t>Alternative source-grounded interpretations</s:t>
        </s:is>
      </s:c>
      <s:c r="D149" s="11" t="inlineStr">
        <s:is>
          <s:t>Endpoint order/signs may be incorrect. Human question: What ordered CI is intended?</s:t>
        </s:is>
      </s:c>
    </s:row>
    <s:row r="150" ht="180" customFormat="1" customHeight="1" s="8">
      <s:c r="A150" s="12" t="inlineStr">
        <s:is>
          <s:t>2025::jama.2025.11178::C022</s:t>
        </s:is>
      </s:c>
      <s:c r="B150" s="12" t="n">
        <s:v>0</s:v>
      </s:c>
      <s:c r="C150" s="12" t="inlineStr">
        <s:is>
          <s:t>Source evidence</s:t>
        </s:is>
      </s:c>
      <s:c r="D150" s="12" t="inlineStr">
        <s:is>
          <s:t>0.09 (0.16 to 0.07).</s:t>
        </s:is>
      </s:c>
    </s:row>
    <s:row r="151" ht="180" customFormat="1" customHeight="1" s="8">
      <s:c r="A151" s="11" t="inlineStr">
        <s:is>
          <s:t>2025::jama.2025.11178::C022</s:t>
        </s:is>
      </s:c>
      <s:c r="B151" s="11" t="n">
        <s:v>1</s:v>
      </s:c>
      <s:c r="C151" s="11" t="inlineStr">
        <s:is>
          <s:t>Reported-versus-comparator</s:t>
        </s:is>
      </s:c>
      <s:c r="D151" s="11" t="inlineStr">
        <s:is>
          <s:t>0.16 &gt; 0.07; endpoints are reversed.</s:t>
        </s:is>
      </s:c>
    </s:row>
    <s:row r="152" ht="180" customFormat="1" customHeight="1" s="8">
      <s:c r="A152" s="12" t="inlineStr">
        <s:is>
          <s:t>2025::jama.2025.11178::C022</s:t>
        </s:is>
      </s:c>
      <s:c r="B152" s="12" t="n">
        <s:v>2</s:v>
      </s:c>
      <s:c r="C152" s="12" t="inlineStr">
        <s:is>
          <s:t>Calculation</s:t>
        </s:is>
      </s:c>
      <s:c r="D152" s="12" t="inlineStr">
        <s:is>
          <s:t>0.16 &gt; 0.07; endpoints are reversed.</s:t>
        </s:is>
      </s:c>
    </s:row>
    <s:row r="153" ht="180" customFormat="1" customHeight="1" s="8">
      <s:c r="A153" s="11" t="inlineStr">
        <s:is>
          <s:t>2025::jama.2025.11178::C022</s:t>
        </s:is>
      </s:c>
      <s:c r="B153" s="11" t="n">
        <s:v>3</s:v>
      </s:c>
      <s:c r="C153" s="11" t="inlineStr">
        <s:is>
          <s:t>Alternative source-grounded interpretations</s:t>
        </s:is>
      </s:c>
      <s:c r="D153" s="11" t="inlineStr">
        <s:is>
          <s:t>Endpoint order/signs may be incorrect. Human question: What ordered CI is intended?</s:t>
        </s:is>
      </s:c>
    </s:row>
    <s:row r="154" ht="180" customFormat="1" customHeight="1" s="8">
      <s:c r="A154" s="12" t="inlineStr">
        <s:is>
          <s:t>2025::jama.2025.11178::C023</s:t>
        </s:is>
      </s:c>
      <s:c r="B154" s="12" t="n">
        <s:v>0</s:v>
      </s:c>
      <s:c r="C154" s="12" t="inlineStr">
        <s:is>
          <s:t>Source evidence</s:t>
        </s:is>
      </s:c>
      <s:c r="D154" s="12" t="inlineStr">
        <s:is>
          <s:t>-0.02 (0.05 to -0.04).</s:t>
        </s:is>
      </s:c>
    </s:row>
    <s:row r="155" ht="180" customFormat="1" customHeight="1" s="8">
      <s:c r="A155" s="11" t="inlineStr">
        <s:is>
          <s:t>2025::jama.2025.11178::C023</s:t>
        </s:is>
      </s:c>
      <s:c r="B155" s="11" t="n">
        <s:v>1</s:v>
      </s:c>
      <s:c r="C155" s="11" t="inlineStr">
        <s:is>
          <s:t>Reported-versus-comparator</s:t>
        </s:is>
      </s:c>
      <s:c r="D155" s="11" t="inlineStr">
        <s:is>
          <s:t>0.05 &gt; -0.04; endpoints are reversed.</s:t>
        </s:is>
      </s:c>
    </s:row>
    <s:row r="156" ht="180" customFormat="1" customHeight="1" s="8">
      <s:c r="A156" s="12" t="inlineStr">
        <s:is>
          <s:t>2025::jama.2025.11178::C023</s:t>
        </s:is>
      </s:c>
      <s:c r="B156" s="12" t="n">
        <s:v>2</s:v>
      </s:c>
      <s:c r="C156" s="12" t="inlineStr">
        <s:is>
          <s:t>Calculation</s:t>
        </s:is>
      </s:c>
      <s:c r="D156" s="12" t="inlineStr">
        <s:is>
          <s:t>0.05 &gt; -0.04; endpoints are reversed.</s:t>
        </s:is>
      </s:c>
    </s:row>
    <s:row r="157" ht="180" customFormat="1" customHeight="1" s="8">
      <s:c r="A157" s="11" t="inlineStr">
        <s:is>
          <s:t>2025::jama.2025.11178::C023</s:t>
        </s:is>
      </s:c>
      <s:c r="B157" s="11" t="n">
        <s:v>3</s:v>
      </s:c>
      <s:c r="C157" s="11" t="inlineStr">
        <s:is>
          <s:t>Alternative source-grounded interpretations</s:t>
        </s:is>
      </s:c>
      <s:c r="D157" s="11" t="inlineStr">
        <s:is>
          <s:t>Endpoint order/signs may be incorrect. Human question: What ordered CI is intended?</s:t>
        </s:is>
      </s:c>
    </s:row>
    <s:row r="158" ht="180" customFormat="1" customHeight="1" s="8">
      <s:c r="A158" s="12" t="inlineStr">
        <s:is>
          <s:t>2025::jama.2025.11178::C024</s:t>
        </s:is>
      </s:c>
      <s:c r="B158" s="12" t="n">
        <s:v>0</s:v>
      </s:c>
      <s:c r="C158" s="12" t="inlineStr">
        <s:is>
          <s:t>Source evidence</s:t>
        </s:is>
      </s:c>
      <s:c r="D158" s="12" t="inlineStr">
        <s:is>
          <s:t>0.16 (0.22 to 0.15).</s:t>
        </s:is>
      </s:c>
    </s:row>
    <s:row r="159" ht="180" customFormat="1" customHeight="1" s="8">
      <s:c r="A159" s="11" t="inlineStr">
        <s:is>
          <s:t>2025::jama.2025.11178::C024</s:t>
        </s:is>
      </s:c>
      <s:c r="B159" s="11" t="n">
        <s:v>1</s:v>
      </s:c>
      <s:c r="C159" s="11" t="inlineStr">
        <s:is>
          <s:t>Reported-versus-comparator</s:t>
        </s:is>
      </s:c>
      <s:c r="D159" s="11" t="inlineStr">
        <s:is>
          <s:t>0.22 &gt; 0.15; endpoints are reversed.</s:t>
        </s:is>
      </s:c>
    </s:row>
    <s:row r="160" ht="180" customFormat="1" customHeight="1" s="8">
      <s:c r="A160" s="12" t="inlineStr">
        <s:is>
          <s:t>2025::jama.2025.11178::C024</s:t>
        </s:is>
      </s:c>
      <s:c r="B160" s="12" t="n">
        <s:v>2</s:v>
      </s:c>
      <s:c r="C160" s="12" t="inlineStr">
        <s:is>
          <s:t>Calculation</s:t>
        </s:is>
      </s:c>
      <s:c r="D160" s="12" t="inlineStr">
        <s:is>
          <s:t>0.22 &gt; 0.15; endpoints are reversed.</s:t>
        </s:is>
      </s:c>
    </s:row>
    <s:row r="161" ht="180" customFormat="1" customHeight="1" s="8">
      <s:c r="A161" s="11" t="inlineStr">
        <s:is>
          <s:t>2025::jama.2025.11178::C024</s:t>
        </s:is>
      </s:c>
      <s:c r="B161" s="11" t="n">
        <s:v>3</s:v>
      </s:c>
      <s:c r="C161" s="11" t="inlineStr">
        <s:is>
          <s:t>Alternative source-grounded interpretations</s:t>
        </s:is>
      </s:c>
      <s:c r="D161" s="11" t="inlineStr">
        <s:is>
          <s:t>Endpoint order/signs may be incorrect. Human question: What ordered CI is intended?</s:t>
        </s:is>
      </s:c>
    </s:row>
    <s:row r="162" ht="180" customFormat="1" customHeight="1" s="8">
      <s:c r="A162" s="12" t="inlineStr">
        <s:is>
          <s:t>2025::jama.2025.11178::C025</s:t>
        </s:is>
      </s:c>
      <s:c r="B162" s="12" t="n">
        <s:v>0</s:v>
      </s:c>
      <s:c r="C162" s="12" t="inlineStr">
        <s:is>
          <s:t>Source evidence</s:t>
        </s:is>
      </s:c>
      <s:c r="D162" s="12" t="inlineStr">
        <s:is>
          <s:t>0.15 (0.09 to -0.06).</s:t>
        </s:is>
      </s:c>
    </s:row>
    <s:row r="163" ht="180" customFormat="1" customHeight="1" s="8">
      <s:c r="A163" s="11" t="inlineStr">
        <s:is>
          <s:t>2025::jama.2025.11178::C025</s:t>
        </s:is>
      </s:c>
      <s:c r="B163" s="11" t="n">
        <s:v>1</s:v>
      </s:c>
      <s:c r="C163" s="11" t="inlineStr">
        <s:is>
          <s:t>Reported-versus-comparator</s:t>
        </s:is>
      </s:c>
      <s:c r="D163" s="11" t="inlineStr">
        <s:is>
          <s:t>0.09 &gt; -0.06; sorting endpoints still gives [-0.06,0.09], which excludes 0.15.</s:t>
        </s:is>
      </s:c>
    </s:row>
    <s:row r="164" ht="180" customFormat="1" customHeight="1" s="8">
      <s:c r="A164" s="12" t="inlineStr">
        <s:is>
          <s:t>2025::jama.2025.11178::C025</s:t>
        </s:is>
      </s:c>
      <s:c r="B164" s="12" t="n">
        <s:v>2</s:v>
      </s:c>
      <s:c r="C164" s="12" t="inlineStr">
        <s:is>
          <s:t>Calculation</s:t>
        </s:is>
      </s:c>
      <s:c r="D164" s="12" t="inlineStr">
        <s:is>
          <s:t>0.09 &gt; -0.06; sorting endpoints still gives [-0.06,0.09], which excludes 0.15.</s:t>
        </s:is>
      </s:c>
    </s:row>
    <s:row r="165" ht="180" customFormat="1" customHeight="1" s="8">
      <s:c r="A165" s="11" t="inlineStr">
        <s:is>
          <s:t>2025::jama.2025.11178::C025</s:t>
        </s:is>
      </s:c>
      <s:c r="B165" s="11" t="n">
        <s:v>3</s:v>
      </s:c>
      <s:c r="C165" s="11" t="inlineStr">
        <s:is>
          <s:t>Alternative source-grounded interpretations</s:t>
        </s:is>
      </s:c>
      <s:c r="D165" s="11" t="inlineStr">
        <s:is>
          <s:t>Signs/order or estimate/CI may be incorrect. Human question: What estimate and ordered CI are intended?</s:t>
        </s:is>
      </s:c>
    </s:row>
    <s:row r="166" ht="180" customFormat="1" customHeight="1" s="8">
      <s:c r="A166" s="12" t="inlineStr">
        <s:is>
          <s:t>2025::jama.2025.11178::C026</s:t>
        </s:is>
      </s:c>
      <s:c r="B166" s="12" t="n">
        <s:v>0</s:v>
      </s:c>
      <s:c r="C166" s="12" t="inlineStr">
        <s:is>
          <s:t>Source evidence</s:t>
        </s:is>
      </s:c>
      <s:c r="D166" s="12" t="inlineStr">
        <s:is>
          <s:t>0.02 (0.03 to -0.18).</s:t>
        </s:is>
      </s:c>
    </s:row>
    <s:row r="167" ht="180" customFormat="1" customHeight="1" s="8">
      <s:c r="A167" s="11" t="inlineStr">
        <s:is>
          <s:t>2025::jama.2025.11178::C026</s:t>
        </s:is>
      </s:c>
      <s:c r="B167" s="11" t="n">
        <s:v>1</s:v>
      </s:c>
      <s:c r="C167" s="11" t="inlineStr">
        <s:is>
          <s:t>Reported-versus-comparator</s:t>
        </s:is>
      </s:c>
      <s:c r="D167" s="11" t="inlineStr">
        <s:is>
          <s:t>0.03 &gt; -0.18; endpoints are reversed.</s:t>
        </s:is>
      </s:c>
    </s:row>
    <s:row r="168" ht="180" customFormat="1" customHeight="1" s="8">
      <s:c r="A168" s="12" t="inlineStr">
        <s:is>
          <s:t>2025::jama.2025.11178::C026</s:t>
        </s:is>
      </s:c>
      <s:c r="B168" s="12" t="n">
        <s:v>2</s:v>
      </s:c>
      <s:c r="C168" s="12" t="inlineStr">
        <s:is>
          <s:t>Calculation</s:t>
        </s:is>
      </s:c>
      <s:c r="D168" s="12" t="inlineStr">
        <s:is>
          <s:t>0.03 &gt; -0.18; endpoints are reversed.</s:t>
        </s:is>
      </s:c>
    </s:row>
    <s:row r="169" ht="180" customFormat="1" customHeight="1" s="8">
      <s:c r="A169" s="11" t="inlineStr">
        <s:is>
          <s:t>2025::jama.2025.11178::C026</s:t>
        </s:is>
      </s:c>
      <s:c r="B169" s="11" t="n">
        <s:v>3</s:v>
      </s:c>
      <s:c r="C169" s="11" t="inlineStr">
        <s:is>
          <s:t>Alternative source-grounded interpretations</s:t>
        </s:is>
      </s:c>
      <s:c r="D169" s="11" t="inlineStr">
        <s:is>
          <s:t>Signs/order may be incorrect. Human question: What ordered CI is intended?</s:t>
        </s:is>
      </s:c>
    </s:row>
    <s:row r="170" ht="180" customFormat="1" customHeight="1" s="8">
      <s:c r="A170" s="12" t="inlineStr">
        <s:is>
          <s:t>2025::jama.2025.11178::C027</s:t>
        </s:is>
      </s:c>
      <s:c r="B170" s="12" t="n">
        <s:v>0</s:v>
      </s:c>
      <s:c r="C170" s="12" t="inlineStr">
        <s:is>
          <s:t>Source evidence</s:t>
        </s:is>
      </s:c>
      <s:c r="D170" s="12" t="inlineStr">
        <s:is>
          <s:t>0.22 (0.16 to 0.05).</s:t>
        </s:is>
      </s:c>
    </s:row>
    <s:row r="171" ht="180" customFormat="1" customHeight="1" s="8">
      <s:c r="A171" s="11" t="inlineStr">
        <s:is>
          <s:t>2025::jama.2025.11178::C027</s:t>
        </s:is>
      </s:c>
      <s:c r="B171" s="11" t="n">
        <s:v>1</s:v>
      </s:c>
      <s:c r="C171" s="11" t="inlineStr">
        <s:is>
          <s:t>Reported-versus-comparator</s:t>
        </s:is>
      </s:c>
      <s:c r="D171" s="11" t="inlineStr">
        <s:is>
          <s:t>0.16 &gt; 0.05; sorted interval [0.05,0.16] excludes 0.22.</s:t>
        </s:is>
      </s:c>
    </s:row>
    <s:row r="172" ht="180" customFormat="1" customHeight="1" s="8">
      <s:c r="A172" s="12" t="inlineStr">
        <s:is>
          <s:t>2025::jama.2025.11178::C027</s:t>
        </s:is>
      </s:c>
      <s:c r="B172" s="12" t="n">
        <s:v>2</s:v>
      </s:c>
      <s:c r="C172" s="12" t="inlineStr">
        <s:is>
          <s:t>Calculation</s:t>
        </s:is>
      </s:c>
      <s:c r="D172" s="12" t="inlineStr">
        <s:is>
          <s:t>0.16 &gt; 0.05; sorted interval [0.05,0.16] excludes 0.22.</s:t>
        </s:is>
      </s:c>
    </s:row>
    <s:row r="173" ht="180" customFormat="1" customHeight="1" s="8">
      <s:c r="A173" s="11" t="inlineStr">
        <s:is>
          <s:t>2025::jama.2025.11178::C027</s:t>
        </s:is>
      </s:c>
      <s:c r="B173" s="11" t="n">
        <s:v>3</s:v>
      </s:c>
      <s:c r="C173" s="11" t="inlineStr">
        <s:is>
          <s:t>Alternative source-grounded interpretations</s:t>
        </s:is>
      </s:c>
      <s:c r="D173" s="11" t="inlineStr">
        <s:is>
          <s:t>Endpoint order/signs or estimate/CI may be wrong. Human question: What estimate and ordered CI are intended?</s:t>
        </s:is>
      </s:c>
    </s:row>
    <s:row r="174" ht="180" customFormat="1" customHeight="1" s="8">
      <s:c r="A174" s="12" t="inlineStr">
        <s:is>
          <s:t>2025::jama.2025.11178::C028</s:t>
        </s:is>
      </s:c>
      <s:c r="B174" s="12" t="n">
        <s:v>0</s:v>
      </s:c>
      <s:c r="C174" s="12" t="inlineStr">
        <s:is>
          <s:t>Source evidence</s:t>
        </s:is>
      </s:c>
      <s:c r="D174" s="12" t="inlineStr">
        <s:is>
          <s:t>0.20 (0.18 to -0.03).</s:t>
        </s:is>
      </s:c>
    </s:row>
    <s:row r="175" ht="180" customFormat="1" customHeight="1" s="8">
      <s:c r="A175" s="11" t="inlineStr">
        <s:is>
          <s:t>2025::jama.2025.11178::C028</s:t>
        </s:is>
      </s:c>
      <s:c r="B175" s="11" t="n">
        <s:v>1</s:v>
      </s:c>
      <s:c r="C175" s="11" t="inlineStr">
        <s:is>
          <s:t>Reported-versus-comparator</s:t>
        </s:is>
      </s:c>
      <s:c r="D175" s="11" t="inlineStr">
        <s:is>
          <s:t>0.18 &gt; -0.03; sorted interval [-0.03,0.18] excludes 0.20.</s:t>
        </s:is>
      </s:c>
    </s:row>
    <s:row r="176" ht="180" customFormat="1" customHeight="1" s="8">
      <s:c r="A176" s="12" t="inlineStr">
        <s:is>
          <s:t>2025::jama.2025.11178::C028</s:t>
        </s:is>
      </s:c>
      <s:c r="B176" s="12" t="n">
        <s:v>2</s:v>
      </s:c>
      <s:c r="C176" s="12" t="inlineStr">
        <s:is>
          <s:t>Calculation</s:t>
        </s:is>
      </s:c>
      <s:c r="D176" s="12" t="inlineStr">
        <s:is>
          <s:t>0.18 &gt; -0.03; sorted interval [-0.03,0.18] excludes 0.20.</s:t>
        </s:is>
      </s:c>
    </s:row>
    <s:row r="177" ht="180" customFormat="1" customHeight="1" s="8">
      <s:c r="A177" s="11" t="inlineStr">
        <s:is>
          <s:t>2025::jama.2025.11178::C028</s:t>
        </s:is>
      </s:c>
      <s:c r="B177" s="11" t="n">
        <s:v>3</s:v>
      </s:c>
      <s:c r="C177" s="11" t="inlineStr">
        <s:is>
          <s:t>Alternative source-grounded interpretations</s:t>
        </s:is>
      </s:c>
      <s:c r="D177" s="11" t="inlineStr">
        <s:is>
          <s:t>Endpoint order/signs or estimate/CI may be wrong. Human question: What estimate and ordered CI are intended?</s:t>
        </s:is>
      </s:c>
    </s:row>
    <s:row r="178" ht="180" customFormat="1" customHeight="1" s="8">
      <s:c r="A178" s="12" t="inlineStr">
        <s:is>
          <s:t>2025::jama.2025.11178::C029</s:t>
        </s:is>
      </s:c>
      <s:c r="B178" s="12" t="n">
        <s:v>0</s:v>
      </s:c>
      <s:c r="C178" s="12" t="inlineStr">
        <s:is>
          <s:t>Source evidence</s:t>
        </s:is>
      </s:c>
      <s:c r="D178" s="12" t="inlineStr">
        <s:is>
          <s:t>0.07 (0.04 to -0.16).</s:t>
        </s:is>
      </s:c>
    </s:row>
    <s:row r="179" ht="180" customFormat="1" customHeight="1" s="8">
      <s:c r="A179" s="11" t="inlineStr">
        <s:is>
          <s:t>2025::jama.2025.11178::C029</s:t>
        </s:is>
      </s:c>
      <s:c r="B179" s="11" t="n">
        <s:v>1</s:v>
      </s:c>
      <s:c r="C179" s="11" t="inlineStr">
        <s:is>
          <s:t>Reported-versus-comparator</s:t>
        </s:is>
      </s:c>
      <s:c r="D179" s="11" t="inlineStr">
        <s:is>
          <s:t>0.04 &gt; -0.16; sorted interval [-0.16,0.04] excludes 0.07.</s:t>
        </s:is>
      </s:c>
    </s:row>
    <s:row r="180" ht="180" customFormat="1" customHeight="1" s="8">
      <s:c r="A180" s="12" t="inlineStr">
        <s:is>
          <s:t>2025::jama.2025.11178::C029</s:t>
        </s:is>
      </s:c>
      <s:c r="B180" s="12" t="n">
        <s:v>2</s:v>
      </s:c>
      <s:c r="C180" s="12" t="inlineStr">
        <s:is>
          <s:t>Calculation</s:t>
        </s:is>
      </s:c>
      <s:c r="D180" s="12" t="inlineStr">
        <s:is>
          <s:t>0.04 &gt; -0.16; sorted interval [-0.16,0.04] excludes 0.07.</s:t>
        </s:is>
      </s:c>
    </s:row>
    <s:row r="181" ht="180" customFormat="1" customHeight="1" s="8">
      <s:c r="A181" s="11" t="inlineStr">
        <s:is>
          <s:t>2025::jama.2025.11178::C029</s:t>
        </s:is>
      </s:c>
      <s:c r="B181" s="11" t="n">
        <s:v>3</s:v>
      </s:c>
      <s:c r="C181" s="11" t="inlineStr">
        <s:is>
          <s:t>Alternative source-grounded interpretations</s:t>
        </s:is>
      </s:c>
      <s:c r="D181" s="11" t="inlineStr">
        <s:is>
          <s:t>Endpoint order/signs or estimate/CI may be wrong. Human question: What estimate and ordered CI are intended?</s:t>
        </s:is>
      </s:c>
    </s:row>
    <s:row r="182" ht="180" customFormat="1" customHeight="1" s="8">
      <s:c r="A182" s="12" t="inlineStr">
        <s:is>
          <s:t>2025::jama.2025.11178::C030</s:t>
        </s:is>
      </s:c>
      <s:c r="B182" s="12" t="n">
        <s:v>0</s:v>
      </s:c>
      <s:c r="C182" s="12" t="inlineStr">
        <s:is>
          <s:t>Source evidence</s:t>
        </s:is>
      </s:c>
      <s:c r="D182" s="12" t="inlineStr">
        <s:is>
          <s:t>0.27 (0.25 to 0.09).</s:t>
        </s:is>
      </s:c>
    </s:row>
    <s:row r="183" ht="180" customFormat="1" customHeight="1" s="8">
      <s:c r="A183" s="11" t="inlineStr">
        <s:is>
          <s:t>2025::jama.2025.11178::C030</s:t>
        </s:is>
      </s:c>
      <s:c r="B183" s="11" t="n">
        <s:v>1</s:v>
      </s:c>
      <s:c r="C183" s="11" t="inlineStr">
        <s:is>
          <s:t>Reported-versus-comparator</s:t>
        </s:is>
      </s:c>
      <s:c r="D183" s="11" t="inlineStr">
        <s:is>
          <s:t>0.25 &gt; 0.09; sorted interval [0.09,0.25] excludes 0.27.</s:t>
        </s:is>
      </s:c>
    </s:row>
    <s:row r="184" ht="180" customFormat="1" customHeight="1" s="8">
      <s:c r="A184" s="12" t="inlineStr">
        <s:is>
          <s:t>2025::jama.2025.11178::C030</s:t>
        </s:is>
      </s:c>
      <s:c r="B184" s="12" t="n">
        <s:v>2</s:v>
      </s:c>
      <s:c r="C184" s="12" t="inlineStr">
        <s:is>
          <s:t>Calculation</s:t>
        </s:is>
      </s:c>
      <s:c r="D184" s="12" t="inlineStr">
        <s:is>
          <s:t>0.25 &gt; 0.09; sorted interval [0.09,0.25] excludes 0.27.</s:t>
        </s:is>
      </s:c>
    </s:row>
    <s:row r="185" ht="180" customFormat="1" customHeight="1" s="8">
      <s:c r="A185" s="11" t="inlineStr">
        <s:is>
          <s:t>2025::jama.2025.11178::C030</s:t>
        </s:is>
      </s:c>
      <s:c r="B185" s="11" t="n">
        <s:v>3</s:v>
      </s:c>
      <s:c r="C185" s="11" t="inlineStr">
        <s:is>
          <s:t>Alternative source-grounded interpretations</s:t>
        </s:is>
      </s:c>
      <s:c r="D185" s="11" t="inlineStr">
        <s:is>
          <s:t>Endpoint order/signs or estimate/CI may be wrong. Human question: What estimate and ordered CI are intended?</s:t>
        </s:is>
      </s:c>
    </s:row>
    <s:row r="186" ht="180" customFormat="1" customHeight="1" s="8">
      <s:c r="A186" s="12" t="inlineStr">
        <s:is>
          <s:t>2025::jama.2025.11178::C031</s:t>
        </s:is>
      </s:c>
      <s:c r="B186" s="12" t="n">
        <s:v>0</s:v>
      </s:c>
      <s:c r="C186" s="12" t="inlineStr">
        <s:is>
          <s:t>Source evidence</s:t>
        </s:is>
      </s:c>
      <s:c r="D186" s="12" t="inlineStr">
        <s:is>
          <s:t>-0.55 (-0.50 to 0.05).</s:t>
        </s:is>
      </s:c>
    </s:row>
    <s:row r="187" ht="180" customFormat="1" customHeight="1" s="8">
      <s:c r="A187" s="11" t="inlineStr">
        <s:is>
          <s:t>2025::jama.2025.11178::C031</s:t>
        </s:is>
      </s:c>
      <s:c r="B187" s="11" t="n">
        <s:v>1</s:v>
      </s:c>
      <s:c r="C187" s="11" t="inlineStr">
        <s:is>
          <s:t>Reported-versus-comparator</s:t>
        </s:is>
      </s:c>
      <s:c r="D187" s="11" t="inlineStr">
        <s:is>
          <s:t>-0.55 &lt; -0.50, outside CI.</s:t>
        </s:is>
      </s:c>
    </s:row>
    <s:row r="188" ht="180" customFormat="1" customHeight="1" s="8">
      <s:c r="A188" s="12" t="inlineStr">
        <s:is>
          <s:t>2025::jama.2025.11178::C031</s:t>
        </s:is>
      </s:c>
      <s:c r="B188" s="12" t="n">
        <s:v>2</s:v>
      </s:c>
      <s:c r="C188" s="12" t="inlineStr">
        <s:is>
          <s:t>Calculation</s:t>
        </s:is>
      </s:c>
      <s:c r="D188" s="12" t="inlineStr">
        <s:is>
          <s:t>-0.55 &lt; -0.50, outside CI.</s:t>
        </s:is>
      </s:c>
    </s:row>
    <s:row r="189" ht="180" customFormat="1" customHeight="1" s="8">
      <s:c r="A189" s="11" t="inlineStr">
        <s:is>
          <s:t>2025::jama.2025.11178::C031</s:t>
        </s:is>
      </s:c>
      <s:c r="B189" s="11" t="n">
        <s:v>3</s:v>
      </s:c>
      <s:c r="C189" s="11" t="inlineStr">
        <s:is>
          <s:t>Alternative source-grounded interpretations</s:t>
        </s:is>
      </s:c>
      <s:c r="D189" s="11" t="inlineStr">
        <s:is>
          <s:t>Estimate or endpoint may be incorrect. Human question: What matched CI is intended?</s:t>
        </s:is>
      </s:c>
    </s:row>
    <s:row r="190" ht="180" customFormat="1" customHeight="1" s="8">
      <s:c r="A190" s="12" t="inlineStr">
        <s:is>
          <s:t>2025::jama.2025.11178::C032</s:t>
        </s:is>
      </s:c>
      <s:c r="B190" s="12" t="n">
        <s:v>0</s:v>
      </s:c>
      <s:c r="C190" s="12" t="inlineStr">
        <s:is>
          <s:t>Source evidence</s:t>
        </s:is>
      </s:c>
      <s:c r="D190" s="12" t="inlineStr">
        <s:is>
          <s:t>-0.57 (-0.54 to -0.08).</s:t>
        </s:is>
      </s:c>
    </s:row>
    <s:row r="191" ht="180" customFormat="1" customHeight="1" s="8">
      <s:c r="A191" s="11" t="inlineStr">
        <s:is>
          <s:t>2025::jama.2025.11178::C032</s:t>
        </s:is>
      </s:c>
      <s:c r="B191" s="11" t="n">
        <s:v>1</s:v>
      </s:c>
      <s:c r="C191" s="11" t="inlineStr">
        <s:is>
          <s:t>Reported-versus-comparator</s:t>
        </s:is>
      </s:c>
      <s:c r="D191" s="11" t="inlineStr">
        <s:is>
          <s:t>-0.57 &lt; -0.54, outside CI.</s:t>
        </s:is>
      </s:c>
    </s:row>
    <s:row r="192" ht="180" customFormat="1" customHeight="1" s="8">
      <s:c r="A192" s="12" t="inlineStr">
        <s:is>
          <s:t>2025::jama.2025.11178::C032</s:t>
        </s:is>
      </s:c>
      <s:c r="B192" s="12" t="n">
        <s:v>2</s:v>
      </s:c>
      <s:c r="C192" s="12" t="inlineStr">
        <s:is>
          <s:t>Calculation</s:t>
        </s:is>
      </s:c>
      <s:c r="D192" s="12" t="inlineStr">
        <s:is>
          <s:t>-0.57 &lt; -0.54, outside CI.</s:t>
        </s:is>
      </s:c>
    </s:row>
    <s:row r="193" ht="180" customFormat="1" customHeight="1" s="8">
      <s:c r="A193" s="11" t="inlineStr">
        <s:is>
          <s:t>2025::jama.2025.11178::C032</s:t>
        </s:is>
      </s:c>
      <s:c r="B193" s="11" t="n">
        <s:v>3</s:v>
      </s:c>
      <s:c r="C193" s="11" t="inlineStr">
        <s:is>
          <s:t>Alternative source-grounded interpretations</s:t>
        </s:is>
      </s:c>
      <s:c r="D193" s="11" t="inlineStr">
        <s:is>
          <s:t>Estimate or endpoint may be incorrect. Human question: What matched CI is intended?</s:t>
        </s:is>
      </s:c>
    </s:row>
    <s:row r="194" ht="180" customFormat="1" customHeight="1" s="8">
      <s:c r="A194" s="12" t="inlineStr">
        <s:is>
          <s:t>2025::jama.2025.11178::C033</s:t>
        </s:is>
      </s:c>
      <s:c r="B194" s="12" t="n">
        <s:v>0</s:v>
      </s:c>
      <s:c r="C194" s="12" t="inlineStr">
        <s:is>
          <s:t>Source evidence</s:t>
        </s:is>
      </s:c>
      <s:c r="D194" s="12" t="inlineStr">
        <s:is>
          <s:t>-0.29 (-0.25 to 0.14).</s:t>
        </s:is>
      </s:c>
    </s:row>
    <s:row r="195" ht="180" customFormat="1" customHeight="1" s="8">
      <s:c r="A195" s="11" t="inlineStr">
        <s:is>
          <s:t>2025::jama.2025.11178::C033</s:t>
        </s:is>
      </s:c>
      <s:c r="B195" s="11" t="n">
        <s:v>1</s:v>
      </s:c>
      <s:c r="C195" s="11" t="inlineStr">
        <s:is>
          <s:t>Reported-versus-comparator</s:t>
        </s:is>
      </s:c>
      <s:c r="D195" s="11" t="inlineStr">
        <s:is>
          <s:t>-0.29 &lt; -0.25, outside CI.</s:t>
        </s:is>
      </s:c>
    </s:row>
    <s:row r="196" ht="180" customFormat="1" customHeight="1" s="8">
      <s:c r="A196" s="12" t="inlineStr">
        <s:is>
          <s:t>2025::jama.2025.11178::C033</s:t>
        </s:is>
      </s:c>
      <s:c r="B196" s="12" t="n">
        <s:v>2</s:v>
      </s:c>
      <s:c r="C196" s="12" t="inlineStr">
        <s:is>
          <s:t>Calculation</s:t>
        </s:is>
      </s:c>
      <s:c r="D196" s="12" t="inlineStr">
        <s:is>
          <s:t>-0.29 &lt; -0.25, outside CI.</s:t>
        </s:is>
      </s:c>
    </s:row>
    <s:row r="197" ht="180" customFormat="1" customHeight="1" s="8">
      <s:c r="A197" s="11" t="inlineStr">
        <s:is>
          <s:t>2025::jama.2025.11178::C033</s:t>
        </s:is>
      </s:c>
      <s:c r="B197" s="11" t="n">
        <s:v>3</s:v>
      </s:c>
      <s:c r="C197" s="11" t="inlineStr">
        <s:is>
          <s:t>Alternative source-grounded interpretations</s:t>
        </s:is>
      </s:c>
      <s:c r="D197" s="11" t="inlineStr">
        <s:is>
          <s:t>Estimate or endpoint may be incorrect. Human question: What matched CI is intended?</s:t>
        </s:is>
      </s:c>
    </s:row>
    <s:row r="198" ht="180" customFormat="1" customHeight="1" s="8">
      <s:c r="A198" s="12" t="inlineStr">
        <s:is>
          <s:t>2025::jama.2025.11178::C034</s:t>
        </s:is>
      </s:c>
      <s:c r="B198" s="12" t="n">
        <s:v>0</s:v>
      </s:c>
      <s:c r="C198" s="12" t="inlineStr">
        <s:is>
          <s:t>Source evidence</s:t>
        </s:is>
      </s:c>
      <s:c r="D198" s="12" t="inlineStr">
        <s:is>
          <s:t>Abstract 1712 [74%] women; Table 1 female counts 571/776, 572/778, 569/777; workbook Overall 1713 (73.5).</s:t>
        </s:is>
      </s:c>
    </s:row>
    <s:row r="199" ht="180" customFormat="1" customHeight="1" s="8">
      <s:c r="A199" s="11" t="inlineStr">
        <s:is>
          <s:t>2025::jama.2025.11178::C034</s:t>
        </s:is>
      </s:c>
      <s:c r="B199" s="11" t="n">
        <s:v>1</s:v>
      </s:c>
      <s:c r="C199" s="11" t="inlineStr">
        <s:is>
          <s:t>Reported-versus-comparator</s:t>
        </s:is>
      </s:c>
      <s:c r="D199" s="11" t="inlineStr">
        <s:is>
          <s:t>If Table 1 and the workbook intend the same sex variable for the same N=2331 cohort, their counts should agree: 571+572+569=1712, not workbook 1713. 1712/2331=73.444873...%, which rounds to 73.4% at one decimal; 1713/2331=73.487773...%, which rounds to 73.5%.</s:t>
        </s:is>
      </s:c>
    </s:row>
    <s:row r="200" ht="180" customFormat="1" customHeight="1" s="8">
      <s:c r="A200" s="12" t="inlineStr">
        <s:is>
          <s:t>2025::jama.2025.11178::C034</s:t>
        </s:is>
      </s:c>
      <s:c r="B200" s="12" t="n">
        <s:v>2</s:v>
      </s:c>
      <s:c r="C200" s="12" t="inlineStr">
        <s:is>
          <s:t>Calculation</s:t>
        </s:is>
      </s:c>
      <s:c r="D200" s="12" t="inlineStr">
        <s:is>
          <s:t>If Table 1 and the workbook intend the same sex variable for the same N=2331 cohort, their counts should agree: 571+572+569=1712, not workbook 1713. 1712/2331=73.444873...%, which rounds to 73.4% at one decimal; 1713/2331=73.487773...%, which rounds to 73.5%.</s:t>
        </s:is>
      </s:c>
    </s:row>
    <s:row r="201" ht="180" customFormat="1" customHeight="1" s="8">
      <s:c r="A201" s="11" t="inlineStr">
        <s:is>
          <s:t>2025::jama.2025.11178::C034</s:t>
        </s:is>
      </s:c>
      <s:c r="B201" s="11" t="n">
        <s:v>3</s:v>
      </s:c>
      <s:c r="C201" s="11" t="inlineStr">
        <s:is>
          <s:t>Alternative source-grounded interpretations</s:t>
        </s:is>
      </s:c>
      <s:c r="D201" s="11" t="inlineStr">
        <s:is>
          <s: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s:t>
        </s:is>
      </s:c>
    </s:row>
    <s:row r="202" ht="180" customFormat="1" customHeight="1" s="8">
      <s:c r="A202" s="12" t="inlineStr">
        <s:is>
          <s:t>2025::jama.2025.11178::C035</s:t>
        </s:is>
      </s:c>
      <s:c r="B202" s="12" t="n">
        <s:v>0</s:v>
      </s:c>
      <s:c r="C202" s="12" t="inlineStr">
        <s:is>
          <s:t>Source evidence</s:t>
        </s:is>
      </s:c>
      <s:c r="D202" s="12" t="inlineStr">
        <s:is>
          <s:t>Narrative 47.8%; Table 1 373/775, 373/777, 370/777; workbook 1116 (47.9).</s:t>
        </s:is>
      </s:c>
    </s:row>
    <s:row r="203" ht="180" customFormat="1" customHeight="1" s="8">
      <s:c r="A203" s="11" t="inlineStr">
        <s:is>
          <s:t>2025::jama.2025.11178::C035</s:t>
        </s:is>
      </s:c>
      <s:c r="B203" s="11" t="n">
        <s:v>1</s:v>
      </s:c>
      <s:c r="C203" s="11" t="inlineStr">
        <s:is>
          <s:t>Reported-versus-comparator</s:t>
        </s:is>
      </s:c>
      <s:c r="D203" s="11" t="inlineStr">
        <s:is>
          <s:t>Same PHQ-8 &gt;=10 baseline definition; 1116/(775+777+777)=1116/2329=47.9176%, or 47.9% to one decimal, not 47.8%.</s:t>
        </s:is>
      </s:c>
    </s:row>
    <s:row r="204" ht="180" customFormat="1" customHeight="1" s="8">
      <s:c r="A204" s="12" t="inlineStr">
        <s:is>
          <s:t>2025::jama.2025.11178::C035</s:t>
        </s:is>
      </s:c>
      <s:c r="B204" s="12" t="n">
        <s:v>2</s:v>
      </s:c>
      <s:c r="C204" s="12" t="inlineStr">
        <s:is>
          <s:t>Calculation</s:t>
        </s:is>
      </s:c>
      <s:c r="D204" s="12" t="inlineStr">
        <s:is>
          <s:t>Same PHQ-8 &gt;=10 baseline definition; 1116/(775+777+777)=1116/2329=47.9176%, or 47.9% to one decimal, not 47.8%.</s:t>
        </s:is>
      </s:c>
    </s:row>
    <s:row r="205" ht="180" customFormat="1" customHeight="1" s="8">
      <s:c r="A205" s="11" t="inlineStr">
        <s:is>
          <s:t>2025::jama.2025.11178::C035</s:t>
        </s:is>
      </s:c>
      <s:c r="B205" s="11" t="n">
        <s:v>3</s:v>
      </s:c>
      <s:c r="C205" s="11" t="inlineStr">
        <s:is>
          <s:t>Alternative source-grounded interpretations</s:t>
        </s:is>
      </s:c>
      <s:c r="D205" s="11" t="inlineStr">
        <s:is>
          <s:t>Narrative may use an unprinted denominator or earlier data snapshot. Human question: What numerator/denominator generated the narrative value?</s:t>
        </s:is>
      </s:c>
    </s:row>
    <s:row r="206" ht="180" customFormat="1" customHeight="1" s="8">
      <s:c r="A206" s="12" t="inlineStr">
        <s:is>
          <s:t>2025::jama.2025.11178::C036</s:t>
        </s:is>
      </s:c>
      <s:c r="B206" s="12" t="n">
        <s:v>0</s:v>
      </s:c>
      <s:c r="C206" s="12" t="inlineStr">
        <s:is>
          <s:t>Source evidence</s:t>
        </s:is>
      </s:c>
      <s:c r="D206" s="12" t="inlineStr">
        <s:is>
          <s:t>Narrative SMD -0.26; Table 3 painTRAINER vs usual care plus SMD -0.25 (-0.28 to -0.02).</s:t>
        </s:is>
      </s:c>
    </s:row>
    <s:row r="207" ht="180" customFormat="1" customHeight="1" s="8">
      <s:c r="A207" s="11" t="inlineStr">
        <s:is>
          <s:t>2025::jama.2025.11178::C036</s:t>
        </s:is>
      </s:c>
      <s:c r="B207" s="11" t="n">
        <s:v>1</s:v>
      </s:c>
      <s:c r="C207" s="11" t="inlineStr">
        <s:is>
          <s:t>Reported-versus-comparator</s:t>
        </s:is>
      </s:c>
      <s:c r="D207" s="11" t="inlineStr">
        <s:is>
          <s:t>Same adjusted outcome/time/contrast/effect measure, explicitly cross-referenced; -0.26 != -0.25, displayed difference 0.01.</s:t>
        </s:is>
      </s:c>
    </s:row>
    <s:row r="208" ht="180" customFormat="1" customHeight="1" s="8">
      <s:c r="A208" s="12" t="inlineStr">
        <s:is>
          <s:t>2025::jama.2025.11178::C036</s:t>
        </s:is>
      </s:c>
      <s:c r="B208" s="12" t="n">
        <s:v>2</s:v>
      </s:c>
      <s:c r="C208" s="12" t="inlineStr">
        <s:is>
          <s:t>Calculation</s:t>
        </s:is>
      </s:c>
      <s:c r="D208" s="12" t="inlineStr">
        <s:is>
          <s:t>Same adjusted outcome/time/contrast/effect measure, explicitly cross-referenced; -0.26 != -0.25, displayed difference 0.01.</s:t>
        </s:is>
      </s:c>
    </s:row>
    <s:row r="209" ht="180" customFormat="1" customHeight="1" s="8">
      <s:c r="A209" s="11" t="inlineStr">
        <s:is>
          <s:t>2025::jama.2025.11178::C036</s:t>
        </s:is>
      </s:c>
      <s:c r="B209" s="11" t="n">
        <s:v>3</s:v>
      </s:c>
      <s:c r="C209" s="11" t="inlineStr">
        <s:is>
          <s:t>Alternative source-grounded interpretations</s:t>
        </s:is>
      </s:c>
      <s:c r="D209" s="11" t="inlineStr">
        <s:is>
          <s:t>Differently rounded source outputs are possible but not stated. Human question: Which 3-month SMD is authoritative?</s:t>
        </s:is>
      </s:c>
    </s:row>
    <s:row r="210" ht="180" customFormat="1" customHeight="1" s="8">
      <s:c r="A210" s="12" t="inlineStr">
        <s:is>
          <s:t>2025::jama.2025.11178::C037</s:t>
        </s:is>
      </s:c>
      <s:c r="B210" s="12" t="n">
        <s:v>0</s:v>
      </s:c>
      <s:c r="C210" s="12" t="inlineStr">
        <s:is>
          <s:t>Source evidence</s:t>
        </s:is>
      </s:c>
      <s:c r="D210" s="12" t="inlineStr">
        <s:is>
          <s:t>Narrative SMD -0.36; Table 3 Health Coach vs usual care plus SMD -0.34 (-0.36 to -0.13).</s:t>
        </s:is>
      </s:c>
    </s:row>
    <s:row r="211" ht="180" customFormat="1" customHeight="1" s="8">
      <s:c r="A211" s="11" t="inlineStr">
        <s:is>
          <s:t>2025::jama.2025.11178::C037</s:t>
        </s:is>
      </s:c>
      <s:c r="B211" s="11" t="n">
        <s:v>1</s:v>
      </s:c>
      <s:c r="C211" s="11" t="inlineStr">
        <s:is>
          <s:t>Reported-versus-comparator</s:t>
        </s:is>
      </s:c>
      <s:c r="D211" s="11" t="inlineStr">
        <s:is>
          <s:t>Same adjusted outcome/time/contrast/effect measure; -0.36 != -0.34, displayed difference 0.02.</s:t>
        </s:is>
      </s:c>
    </s:row>
    <s:row r="212" ht="180" customFormat="1" customHeight="1" s="8">
      <s:c r="A212" s="12" t="inlineStr">
        <s:is>
          <s:t>2025::jama.2025.11178::C037</s:t>
        </s:is>
      </s:c>
      <s:c r="B212" s="12" t="n">
        <s:v>2</s:v>
      </s:c>
      <s:c r="C212" s="12" t="inlineStr">
        <s:is>
          <s:t>Calculation</s:t>
        </s:is>
      </s:c>
      <s:c r="D212" s="12" t="inlineStr">
        <s:is>
          <s:t>Same adjusted outcome/time/contrast/effect measure; -0.36 != -0.34, displayed difference 0.02.</s:t>
        </s:is>
      </s:c>
    </s:row>
    <s:row r="213" ht="180" customFormat="1" customHeight="1" s="8">
      <s:c r="A213" s="11" t="inlineStr">
        <s:is>
          <s:t>2025::jama.2025.11178::C037</s:t>
        </s:is>
      </s:c>
      <s:c r="B213" s="11" t="n">
        <s:v>3</s:v>
      </s:c>
      <s:c r="C213" s="11" t="inlineStr">
        <s:is>
          <s:t>Alternative source-grounded interpretations</s:t>
        </s:is>
      </s:c>
      <s:c r="D213" s="11" t="inlineStr">
        <s:is>
          <s:t>Differently rounded source outputs are possible but not stated. Human question: Which 3-month SMD is authoritative?</s:t>
        </s:is>
      </s:c>
    </s:row>
    <s:row r="214" ht="180" customFormat="1" customHeight="1" s="8">
      <s:c r="A214" s="12" t="inlineStr">
        <s:is>
          <s:t>2025::jama.2025.15185::C001</s:t>
        </s:is>
      </s:c>
      <s:c r="B214" s="12" t="n">
        <s:v>0</s:v>
      </s:c>
      <s:c r="C214" s="12" t="inlineStr">
        <s:is>
          <s:t>Source evidence</s:t>
        </s:is>
      </s:c>
      <s:c r="D214" s="12" t="inlineStr">
        <s:is>
          <s:t>Main Table 1 prints levodopa n=307: ischemic 260 (84.7%), hemorrhagic 47 (15.3%). eTable 1 prints levodopa n=307: ischemic 263 (85.7%), hemorrhagic 44 (14.3%); placebo values match.</s:t>
        </s:is>
      </s:c>
    </s:row>
    <s:row r="215" ht="180" customFormat="1" customHeight="1" s="8">
      <s:c r="A215" s="11" t="inlineStr">
        <s:is>
          <s:t>2025::jama.2025.15185::C001</s:t>
        </s:is>
      </s:c>
      <s:c r="B215" s="11" t="n">
        <s:v>1</s:v>
      </s:c>
      <s:c r="C215" s="11" t="inlineStr">
        <s:is>
          <s:t>Reported-versus-comparator</s:t>
        </s:is>
      </s:c>
      <s:c r="D215" s="11" t="inlineStr">
        <s:is>
          <s:t>Main 260/47 versus supplement 263/44 for the same named arm and categories.</s:t>
        </s:is>
      </s:c>
    </s:row>
    <s:row r="216" ht="180" customFormat="1" customHeight="1" s="8">
      <s:c r="A216" s="12" t="inlineStr">
        <s:is>
          <s:t>2025::jama.2025.15185::C001</s:t>
        </s:is>
      </s:c>
      <s:c r="B216" s="12" t="n">
        <s:v>2</s:v>
      </s:c>
      <s:c r="C216" s="12" t="inlineStr">
        <s:is>
          <s:t>Calculation</s:t>
        </s:is>
      </s:c>
      <s:c r="D216" s="12" t="inlineStr">
        <s:is>
          <s:t>260 + 47 = 307; 263 + 44 = 307; the category changes are +3/-3 at an unchanged arm total.</s:t>
        </s:is>
      </s:c>
    </s:row>
    <s:row r="217" ht="180" customFormat="1" customHeight="1" s="8">
      <s:c r="A217" s="11" t="inlineStr">
        <s:is>
          <s:t>2025::jama.2025.15185::C001</s:t>
        </s:is>
      </s:c>
      <s:c r="B217" s="11" t="n">
        <s:v>3</s:v>
      </s:c>
      <s:c r="C217" s="11" t="inlineStr">
        <s:is>
          <s:t>Alternative source-grounded interpretations</s:t>
        </s:is>
      </s:c>
      <s:c r="D217" s="11" t="inlineStr">
        <s:is>
          <s:t>An unstated recoding or data cut could explain the difference; neither table identifies one.</s:t>
        </s:is>
      </s:c>
    </s:row>
    <s:row r="218" ht="180" customFormat="1" customHeight="1" s="8">
      <s:c r="A218" s="12" t="inlineStr">
        <s:is>
          <s:t>2025::jama.2025.15185::C002</s:t>
        </s:is>
      </s:c>
      <s:c r="B218" s="12" t="n">
        <s:v>0</s:v>
      </s:c>
      <s:c r="C218" s="12" t="inlineStr">
        <s:is>
          <s:t>Source evidence</s:t>
        </s:is>
      </s:c>
      <s:c r="D218" s="12" t="inlineStr">
        <s:is>
          <s:t>Main values are median (IQR) 7 (5-11) levodopa, 8 (5-10) placebo, and overall 7 (5-10). eTable 1 labels Median NIHSS at randomization [IQR] yet prints 8.2 (3.9), 8.3 (3.8), and 8.2 (3.9).</s:t>
        </s:is>
      </s:c>
    </s:row>
    <s:row r="219" ht="180" customFormat="1" customHeight="1" s="8">
      <s:c r="A219" s="11" t="inlineStr">
        <s:is>
          <s:t>2025::jama.2025.15185::C002</s:t>
        </s:is>
      </s:c>
      <s:c r="B219" s="11" t="n">
        <s:v>1</s:v>
      </s:c>
      <s:c r="C219" s="11" t="inlineStr">
        <s:is>
          <s:t>Reported-versus-comparator</s:t>
        </s:is>
      </s:c>
      <s:c r="D219" s="11" t="inlineStr">
        <s:is>
          <s:t>A labelled median/IQR row with two-endpoint main summaries versus one decimal and one parenthesized value in the supplement.</s:t>
        </s:is>
      </s:c>
    </s:row>
    <s:row r="220" ht="180" customFormat="1" customHeight="1" s="8">
      <s:c r="A220" s="12" t="inlineStr">
        <s:is>
          <s:t>2025::jama.2025.15185::C002</s:t>
        </s:is>
      </s:c>
      <s:c r="B220" s="12" t="n">
        <s:v>2</s:v>
      </s:c>
      <s:c r="C220" s="12" t="inlineStr">
        <s:is>
          <s:t>Calculation</s:t>
        </s:is>
      </s:c>
      <s:c r="D220" s="12" t="inlineStr">
        <s:is>
          <s:t>Main summaries contain a central value and two IQR endpoints; each supplement summary has one central decimal and one parenthesized number, so mapping requires a missing definition.</s:t>
        </s:is>
      </s:c>
    </s:row>
    <s:row r="221" ht="180" customFormat="1" customHeight="1" s="8">
      <s:c r="A221" s="11" t="inlineStr">
        <s:is>
          <s:t>2025::jama.2025.15185::C002</s:t>
        </s:is>
      </s:c>
      <s:c r="B221" s="11" t="n">
        <s:v>3</s:v>
      </s:c>
      <s:c r="C221" s="11" t="inlineStr">
        <s:is>
          <s:t>Alternative source-grounded interpretations</s:t>
        </s:is>
      </s:c>
      <s:c r="D221" s="11" t="inlineStr">
        <s:is>
          <s:t>The supplement values may be means (SDs) under a stale label, or may use an unstated one-number convention; neither interpretation is stated there.</s:t>
        </s:is>
      </s:c>
    </s:row>
    <s:row r="222" ht="180" customFormat="1" customHeight="1" s="8">
      <s:c r="A222" s="12" t="inlineStr">
        <s:is>
          <s:t>2025::jama.2025.15185::C003</s:t>
        </s:is>
      </s:c>
      <s:c r="B222" s="12" t="n">
        <s:v>0</s:v>
      </s:c>
      <s:c r="C222" s="12" t="inlineStr">
        <s:is>
          <s:t>Source evidence</s:t>
        </s:is>
      </s:c>
      <s:c r="D222" s="12" t="inlineStr">
        <s:is>
          <s:t>Main prints Time from stroke onset to randomization, median (IQR), d: 3.0 (2.0-5.0) for both arms. eTable 1 prints 7 [5,10] overall, 8 [5,10] placebo, and 7 [5-11] levodopa without a visible unit.</s:t>
        </s:is>
      </s:c>
    </s:row>
    <s:row r="223" ht="180" customFormat="1" customHeight="1" s="8">
      <s:c r="A223" s="11" t="inlineStr">
        <s:is>
          <s:t>2025::jama.2025.15185::C003</s:t>
        </s:is>
      </s:c>
      <s:c r="B223" s="11" t="n">
        <s:v>1</s:v>
      </s:c>
      <s:c r="C223" s="11" t="inlineStr">
        <s:is>
          <s:t>Reported-versus-comparator</s:t>
        </s:is>
      </s:c>
      <s:c r="D223" s="11" t="inlineStr">
        <s:is>
          <s:t>Main arm medians 3.0/3.0 versus supplement 8/7 for the same named variable.</s:t>
        </s:is>
      </s:c>
    </s:row>
    <s:row r="224" ht="180" customFormat="1" customHeight="1" s="8">
      <s:c r="A224" s="12" t="inlineStr">
        <s:is>
          <s:t>2025::jama.2025.15185::C003</s:t>
        </s:is>
      </s:c>
      <s:c r="B224" s="12" t="n">
        <s:v>2</s:v>
      </s:c>
      <s:c r="C224" s="12" t="inlineStr">
        <s:is>
          <s:t>Calculation</s:t>
        </s:is>
      </s:c>
      <s:c r="D224" s="12" t="inlineStr">
        <s:is>
          <s:t>If the supplement values are days, levodopa differs by 7-3=4 days and placebo by 8-3=5 days; these are not rounding differences.</s:t>
        </s:is>
      </s:c>
    </s:row>
    <s:row r="225" ht="180" customFormat="1" customHeight="1" s="8">
      <s:c r="A225" s="11" t="inlineStr">
        <s:is>
          <s:t>2025::jama.2025.15185::C003</s:t>
        </s:is>
      </s:c>
      <s:c r="B225" s="11" t="n">
        <s:v>3</s:v>
      </s:c>
      <s:c r="C225" s="11" t="inlineStr">
        <s:is>
          <s:t>Alternative source-grounded interpretations</s:t>
        </s:is>
      </s:c>
      <s:c r="D225" s="11" t="inlineStr">
        <s:is>
          <s:t>A different unstated unit, time origin, derivation, population, or data version may be used.</s:t>
        </s:is>
      </s:c>
    </s:row>
    <s:row r="226" ht="180" customFormat="1" customHeight="1" s="8">
      <s:c r="A226" s="12" t="inlineStr">
        <s:is>
          <s:t>2025::jama.2025.15185::C004</s:t>
        </s:is>
      </s:c>
      <s:c r="B226" s="12" t="n">
        <s:v>0</s:v>
      </s:c>
      <s:c r="C226" s="12" t="inlineStr">
        <s:is>
          <s:t>Source evidence</s:t>
        </s:is>
      </s:c>
      <s:c r="D226" s="12" t="inlineStr">
        <s:is>
          <s:t>Narrative: 1.06 (95% CI, 0.86 to 1.25). Matched full-analysis-set composite row: 1.06 [0.86-1.26].</s:t>
        </s:is>
      </s:c>
    </s:row>
    <s:row r="227" ht="180" customFormat="1" customHeight="1" s="8">
      <s:c r="A227" s="11" t="inlineStr">
        <s:is>
          <s:t>2025::jama.2025.15185::C004</s:t>
        </s:is>
      </s:c>
      <s:c r="B227" s="11" t="n">
        <s:v>1</s:v>
      </s:c>
      <s:c r="C227" s="11" t="inlineStr">
        <s:is>
          <s:t>Reported-versus-comparator</s:t>
        </s:is>
      </s:c>
      <s:c r="D227" s="11" t="inlineStr">
        <s:is>
          <s:t>Identical point estimate/lower endpoint with upper endpoint 1.25 versus 1.26.</s:t>
        </s:is>
      </s:c>
    </s:row>
    <s:row r="228" ht="180" customFormat="1" customHeight="1" s="8">
      <s:c r="A228" s="12" t="inlineStr">
        <s:is>
          <s:t>2025::jama.2025.15185::C004</s:t>
        </s:is>
      </s:c>
      <s:c r="B228" s="12" t="n">
        <s:v>2</s:v>
      </s:c>
      <s:c r="C228" s="12" t="inlineStr">
        <s:is>
          <s:t>Calculation</s:t>
        </s:is>
      </s:c>
      <s:c r="D228" s="12" t="inlineStr">
        <s:is>
          <s:t>1.06=1.06, 0.86=0.86, and 1.26-1.25=0.01.</s:t>
        </s:is>
      </s:c>
    </s:row>
    <s:row r="229" ht="180" customFormat="1" customHeight="1" s="8">
      <s:c r="A229" s="11" t="inlineStr">
        <s:is>
          <s:t>2025::jama.2025.15185::C004</s:t>
        </s:is>
      </s:c>
      <s:c r="B229" s="11" t="n">
        <s:v>3</s:v>
      </s:c>
      <s:c r="C229" s="11" t="inlineStr">
        <s:is>
          <s:t>Alternative source-grounded interpretations</s:t>
        </s:is>
      </s:c>
      <s:c r="D229" s="11" t="inlineStr">
        <s:is>
          <s:t>A rounding-boundary or one-hundredth transcription difference is possible; no unrounded output or separate calculation is supplied.</s:t>
        </s:is>
      </s:c>
    </s:row>
    <s:row r="230" ht="180" customFormat="1" customHeight="1" s="8">
      <s:c r="A230" s="12" t="inlineStr">
        <s:is>
          <s:t>2025::jama.2025.15185::C005</s:t>
        </s:is>
      </s:c>
      <s:c r="B230" s="12" t="n">
        <s:v>0</s:v>
      </s:c>
      <s:c r="C230" s="12" t="inlineStr">
        <s:is>
          <s:t>Source evidence</s:t>
        </s:is>
      </s:c>
      <s:c r="D230" s="12" t="inlineStr">
        <s:is>
          <s:t>Main: levodopa 66 (14), placebo 65 (14). eTable: levodopa 64.74 (14.33), placebo 65.11 (13.79), effect -0.37.</s:t>
        </s:is>
      </s:c>
    </s:row>
    <s:row r="231" ht="180" customFormat="1" customHeight="1" s="8">
      <s:c r="A231" s="11" t="inlineStr">
        <s:is>
          <s:t>2025::jama.2025.15185::C005</s:t>
        </s:is>
      </s:c>
      <s:c r="B231" s="11" t="n">
        <s:v>1</s:v>
      </s:c>
      <s:c r="C231" s="11" t="inlineStr">
        <s:is>
          <s:t>Reported-versus-comparator</s:t>
        </s:is>
      </s:c>
      <s:c r="D231" s="11" t="inlineStr">
        <s:is>
          <s:t>Main levodopa 66 (14) versus detailed 64.74 (14.33).</s:t>
        </s:is>
      </s:c>
    </s:row>
    <s:row r="232" ht="180" customFormat="1" customHeight="1" s="8">
      <s:c r="A232" s="12" t="inlineStr">
        <s:is>
          <s:t>2025::jama.2025.15185::C005</s:t>
        </s:is>
      </s:c>
      <s:c r="B232" s="12" t="n">
        <s:v>2</s:v>
      </s:c>
      <s:c r="C232" s="12" t="inlineStr">
        <s:is>
          <s:t>Calculation</s:t>
        </s:is>
      </s:c>
      <s:c r="D232" s="12" t="inlineStr">
        <s:is>
          <s:t>64.74 rounds to 65, not 66; 64.74-65.11=-0.37, matching the eTable effect.</s:t>
        </s:is>
      </s:c>
    </s:row>
    <s:row r="233" ht="180" customFormat="1" customHeight="1" s="8">
      <s:c r="A233" s="11" t="inlineStr">
        <s:is>
          <s:t>2025::jama.2025.15185::C005</s:t>
        </s:is>
      </s:c>
      <s:c r="B233" s="11" t="n">
        <s:v>3</s:v>
      </s:c>
      <s:c r="C233" s="11" t="inlineStr">
        <s:is>
          <s:t>Alternative source-grounded interpretations</s:t>
        </s:is>
      </s:c>
      <s:c r="D233" s="11" t="inlineStr">
        <s:is>
          <s:t>An unstated scoring transformation, analysis set, or descriptive-versus-model summary could differ.</s:t>
        </s:is>
      </s:c>
    </s:row>
    <s:row r="234" ht="180" customFormat="1" customHeight="1" s="8">
      <s:c r="A234" s="12" t="inlineStr">
        <s:is>
          <s:t>2025::jama.2025.15185::C006</s:t>
        </s:is>
      </s:c>
      <s:c r="B234" s="12" t="n">
        <s:v>0</s:v>
      </s:c>
      <s:c r="C234" s="12" t="inlineStr">
        <s:is>
          <s:t>Source evidence</s:t>
        </s:is>
      </s:c>
      <s:c r="D234" s="12" t="inlineStr">
        <s:is>
          <s:t>Main prints 28 (6) in both arms. eTable prints placebo 29.87 (5.74) and levodopa 30.04 (5.73), with adjusted effect 0.18.</s:t>
        </s:is>
      </s:c>
    </s:row>
    <s:row r="235" ht="180" customFormat="1" customHeight="1" s="8">
      <s:c r="A235" s="11" t="inlineStr">
        <s:is>
          <s:t>2025::jama.2025.15185::C006</s:t>
        </s:is>
      </s:c>
      <s:c r="B235" s="11" t="n">
        <s:v>1</s:v>
      </s:c>
      <s:c r="C235" s="11" t="inlineStr">
        <s:is>
          <s:t>Reported-versus-comparator</s:t>
        </s:is>
      </s:c>
      <s:c r="D235" s="11" t="inlineStr">
        <s:is>
          <s:t>Main 28 (6)/28 (6) versus eTable 29.87 (5.74)/30.04 (5.73).</s:t>
        </s:is>
      </s:c>
    </s:row>
    <s:row r="236" ht="180" customFormat="1" customHeight="1" s="8">
      <s:c r="A236" s="12" t="inlineStr">
        <s:is>
          <s:t>2025::jama.2025.15185::C006</s:t>
        </s:is>
      </s:c>
      <s:c r="B236" s="12" t="n">
        <s:v>2</s:v>
      </s:c>
      <s:c r="C236" s="12" t="inlineStr">
        <s:is>
          <s:t>Calculation</s:t>
        </s:is>
      </s:c>
      <s:c r="D236" s="12" t="inlineStr">
        <s:is>
          <s:t>29.87 and 30.04 each round to 30, not 28; 30.04-29.87=0.17, while the labelled adjusted effect is 0.18.</s:t>
        </s:is>
      </s:c>
    </s:row>
    <s:row r="237" ht="180" customFormat="1" customHeight="1" s="8">
      <s:c r="A237" s="11" t="inlineStr">
        <s:is>
          <s:t>2025::jama.2025.15185::C006</s:t>
        </s:is>
      </s:c>
      <s:c r="B237" s="11" t="n">
        <s:v>3</s:v>
      </s:c>
      <s:c r="C237" s="11" t="inlineStr">
        <s:is>
          <s:t>Alternative source-grounded interpretations</s:t>
        </s:is>
      </s:c>
      <s:c r="D237" s="11" t="inlineStr">
        <s:is>
          <s:t>An unstated PROMIS-10 scoring version or analysis population may differ.</s:t>
        </s:is>
      </s:c>
    </s:row>
    <s:row r="238" ht="180" customFormat="1" customHeight="1" s="8">
      <s:c r="A238" s="12" t="inlineStr">
        <s:is>
          <s:t>2025::jama.2025.15185::C007</s:t>
        </s:is>
      </s:c>
      <s:c r="B238" s="12" t="n">
        <s:v>0</s:v>
      </s:c>
      <s:c r="C238" s="12" t="inlineStr">
        <s:is>
          <s:t>Source evidence</s:t>
        </s:is>
      </s:c>
      <s:c r="D238" s="12" t="inlineStr">
        <s:is>
          <s:t>Main placebo mean (SD) is 56 (26); eTable placebo is 56.27 (25.20). Levodopa 57 (27) aligns with 57.37 (26.70).</s:t>
        </s:is>
      </s:c>
    </s:row>
    <s:row r="239" ht="180" customFormat="1" customHeight="1" s="8">
      <s:c r="A239" s="11" t="inlineStr">
        <s:is>
          <s:t>2025::jama.2025.15185::C007</s:t>
        </s:is>
      </s:c>
      <s:c r="B239" s="11" t="n">
        <s:v>1</s:v>
      </s:c>
      <s:c r="C239" s="11" t="inlineStr">
        <s:is>
          <s:t>Reported-versus-comparator</s:t>
        </s:is>
      </s:c>
      <s:c r="D239" s="11" t="inlineStr">
        <s:is>
          <s:t>Placebo SD 26 versus detailed 25.20.</s:t>
        </s:is>
      </s:c>
    </s:row>
    <s:row r="240" ht="180" customFormat="1" customHeight="1" s="8">
      <s:c r="A240" s="12" t="inlineStr">
        <s:is>
          <s:t>2025::jama.2025.15185::C007</s:t>
        </s:is>
      </s:c>
      <s:c r="B240" s="12" t="n">
        <s:v>2</s:v>
      </s:c>
      <s:c r="C240" s="12" t="inlineStr">
        <s:is>
          <s:t>Calculation</s:t>
        </s:is>
      </s:c>
      <s:c r="D240" s="12" t="inlineStr">
        <s:is>
          <s:t>56.27 rounds to 56; 25.20 rounds to 25, not 26; levodopa 57.37 (26.70) rounds to 57 (27).</s:t>
        </s:is>
      </s:c>
    </s:row>
    <s:row r="241" ht="180" customFormat="1" customHeight="1" s="8">
      <s:c r="A241" s="11" t="inlineStr">
        <s:is>
          <s:t>2025::jama.2025.15185::C007</s:t>
        </s:is>
      </s:c>
      <s:c r="B241" s="11" t="n">
        <s:v>3</s:v>
      </s:c>
      <s:c r="C241" s="11" t="inlineStr">
        <s:is>
          <s:t>Alternative source-grounded interpretations</s:t>
        </s:is>
      </s:c>
      <s:c r="D241" s="11" t="inlineStr">
        <s:is>
          <s:t>An unstated population, imputation summary, or SD convention could differ.</s:t>
        </s:is>
      </s:c>
    </s:row>
    <s:row r="242" ht="180" customFormat="1" customHeight="1" s="8">
      <s:c r="A242" s="12" t="inlineStr">
        <s:is>
          <s:t>2025::jama.2025.15185::C008</s:t>
        </s:is>
      </s:c>
      <s:c r="B242" s="12" t="n">
        <s:v>0</s:v>
      </s:c>
      <s:c r="C242" s="12" t="inlineStr">
        <s:is>
          <s:t>Source evidence</s:t>
        </s:is>
      </s:c>
      <s:c r="D242" s="12" t="inlineStr">
        <s:is>
          <s:t>Main placebo is 52/270 (19%); eTable placebo is 51 (18.89%) (n=270). Levodopa is 51/276 in both.</s:t>
        </s:is>
      </s:c>
    </s:row>
    <s:row r="243" ht="180" customFormat="1" customHeight="1" s="8">
      <s:c r="A243" s="11" t="inlineStr">
        <s:is>
          <s:t>2025::jama.2025.15185::C008</s:t>
        </s:is>
      </s:c>
      <s:c r="B243" s="11" t="n">
        <s:v>1</s:v>
      </s:c>
      <s:c r="C243" s="11" t="inlineStr">
        <s:is>
          <s:t>Reported-versus-comparator</s:t>
        </s:is>
      </s:c>
      <s:c r="D243" s="11" t="inlineStr">
        <s:is>
          <s:t>Same placebo denominator 270 with numerator 52 versus 51.</s:t>
        </s:is>
      </s:c>
    </s:row>
    <s:row r="244" ht="180" customFormat="1" customHeight="1" s="8">
      <s:c r="A244" s="12" t="inlineStr">
        <s:is>
          <s:t>2025::jama.2025.15185::C008</s:t>
        </s:is>
      </s:c>
      <s:c r="B244" s="12" t="n">
        <s:v>2</s:v>
      </s:c>
      <s:c r="C244" s="12" t="inlineStr">
        <s:is>
          <s:t>Calculation</s:t>
        </s:is>
      </s:c>
      <s:c r="D244" s="12" t="inlineStr">
        <s:is>
          <s:t>51/270=18.888...%, matching 18.89%; 52/270=19.259...%, compatible with 19%. The printed numerator differs by one.</s:t>
        </s:is>
      </s:c>
    </s:row>
    <s:row r="245" ht="180" customFormat="1" customHeight="1" s="8">
      <s:c r="A245" s="11" t="inlineStr">
        <s:is>
          <s:t>2025::jama.2025.15185::C008</s:t>
        </s:is>
      </s:c>
      <s:c r="B245" s="11" t="n">
        <s:v>3</s:v>
      </s:c>
      <s:c r="C245" s="11" t="inlineStr">
        <s:is>
          <s:t>Alternative source-grounded interpretations</s:t>
        </s:is>
      </s:c>
      <s:c r="D245" s="11" t="inlineStr">
        <s:is>
          <s:t>Different handling of no improvement and no relevant improvement could affect one record, but no distinct rule is supplied.</s:t>
        </s:is>
      </s:c>
    </s:row>
    <s:row r="246" ht="180" customFormat="1" customHeight="1" s="8">
      <s:c r="A246" s="12" t="inlineStr">
        <s:is>
          <s:t>2025::jama.2025.15185::C009</s:t>
        </s:is>
      </s:c>
      <s:c r="B246" s="12" t="n">
        <s:v>0</s:v>
      </s:c>
      <s:c r="C246" s="12" t="inlineStr">
        <s:is>
          <s:t>Source evidence</s:t>
        </s:is>
      </s:c>
      <s:c r="D246" s="12" t="inlineStr">
        <s:is>
          <s:t>Main reports 146 events: 79 levodopa and 67 placebo. eTable header gives overall n=145, placebo 67, levodopa 79; its intensity, outcome, and relation rows also provide complete classifications.</s:t>
        </s:is>
      </s:c>
    </s:row>
    <s:row r="247" ht="180" customFormat="1" customHeight="1" s="8">
      <s:c r="A247" s="11" t="inlineStr">
        <s:is>
          <s:t>2025::jama.2025.15185::C009</s:t>
        </s:is>
      </s:c>
      <s:c r="B247" s="11" t="n">
        <s:v>1</s:v>
      </s:c>
      <s:c r="C247" s="11" t="inlineStr">
        <s:is>
          <s:t>Reported-versus-comparator</s:t>
        </s:is>
      </s:c>
      <s:c r="D247" s="11" t="inlineStr">
        <s:is>
          <s:t>Header 145 versus arms and category sums 146.</s:t>
        </s:is>
      </s:c>
    </s:row>
    <s:row r="248" ht="180" customFormat="1" customHeight="1" s="8">
      <s:c r="A248" s="12" t="inlineStr">
        <s:is>
          <s:t>2025::jama.2025.15185::C009</s:t>
        </s:is>
      </s:c>
      <s:c r="B248" s="12" t="n">
        <s:v>2</s:v>
      </s:c>
      <s:c r="C248" s="12" t="inlineStr">
        <s:is>
          <s:t>Calculation</s:t>
        </s:is>
      </s:c>
      <s:c r="D248" s="12" t="inlineStr">
        <s:is>
          <s:t>67+79=146; intensity 58+86+2=146; outcome 1+29+116=146; relation 2+66+23+2+39+14=146.</s:t>
        </s:is>
      </s:c>
    </s:row>
    <s:row r="249" ht="180" customFormat="1" customHeight="1" s="8">
      <s:c r="A249" s="11" t="inlineStr">
        <s:is>
          <s:t>2025::jama.2025.15185::C009</s:t>
        </s:is>
      </s:c>
      <s:c r="B249" s="11" t="n">
        <s:v>3</s:v>
      </s:c>
      <s:c r="C249" s="11" t="inlineStr">
        <s:is>
          <s:t>Alternative source-grounded interpretations</s:t>
        </s:is>
      </s:c>
      <s:c r="D249" s="11" t="inlineStr">
        <s:is>
          <s:t>One event might be subject to an unstated exclusion or duplicate-event rule, but no footnote supports a different overall set.</s:t>
        </s:is>
      </s:c>
    </s:row>
    <s:row r="250" ht="180" customFormat="1" customHeight="1" s="8">
      <s:c r="A250" s="12" t="inlineStr">
        <s:is>
          <s:t>2025::jama.2025.15185::C010</s:t>
        </s:is>
      </s:c>
      <s:c r="B250" s="12" t="n">
        <s:v>0</s:v>
      </s:c>
      <s:c r="C250" s="12" t="inlineStr">
        <s:is>
          <s:t>Source evidence</s:t>
        </s:is>
      </s:c>
      <s:c r="D250" s="12" t="inlineStr">
        <s:is>
          <s:t>eFigure 4 title/legend use FMA; its axis reads Adjusted Mean Difference (FMMA points). The SAP defines Fugl-Meyer Motor Assessment as FMMA.</s:t>
        </s:is>
      </s:c>
    </s:row>
    <s:row r="251" ht="180" customFormat="1" customHeight="1" s="8">
      <s:c r="A251" s="11" t="inlineStr">
        <s:is>
          <s:t>2025::jama.2025.15185::C010</s:t>
        </s:is>
      </s:c>
      <s:c r="B251" s="11" t="n">
        <s:v>1</s:v>
      </s:c>
      <s:c r="C251" s="11" t="inlineStr">
        <s:is>
          <s:t>Reported-versus-comparator</s:t>
        </s:is>
      </s:c>
      <s:c r="D251" s="11" t="inlineStr">
        <s:is>
          <s:t>Within the same figure, FMA versus FMMA for the stated assessment.</s:t>
        </s:is>
      </s:c>
    </s:row>
    <s:row r="252" ht="180" customFormat="1" customHeight="1" s="8">
      <s:c r="A252" s="12" t="inlineStr">
        <s:is>
          <s:t>2025::jama.2025.15185::C010</s:t>
        </s:is>
      </s:c>
      <s:c r="B252" s="12" t="n">
        <s:v>2</s:v>
      </s:c>
      <s:c r="C252" s="12" t="inlineStr">
        <s:is>
          <s:t>Calculation</s:t>
        </s:is>
      </s:c>
      <s:c r="D252" s="12" t="inlineStr">
        <s:is>
          <s:t>No numeric calculation applies; the reproduced comparison is the local unqualified abbreviation switch.</s:t>
        </s:is>
      </s:c>
    </s:row>
    <s:row r="253" ht="180" customFormat="1" customHeight="1" s="8">
      <s:c r="A253" s="11" t="inlineStr">
        <s:is>
          <s:t>2025::jama.2025.15185::C010</s:t>
        </s:is>
      </s:c>
      <s:c r="B253" s="11" t="n">
        <s:v>3</s:v>
      </s:c>
      <s:c r="C253" s="11" t="inlineStr">
        <s:is>
          <s:t>Alternative source-grounded interpretations</s:t>
        </s:is>
      </s:c>
      <s:c r="D253" s="11" t="inlineStr">
        <s:is>
          <s:t>The SAP's explicit FMMA definition supports that FMMA may be an intentional synonym for the FMA used in the article; it is not evidence of a numeric error.</s:t>
        </s:is>
      </s:c>
    </s:row>
    <s:row r="254" ht="180" customFormat="1" customHeight="1" s="8">
      <s:c r="A254" s="12" t="inlineStr">
        <s:is>
          <s:t>2025::jama.2025.15185::C011</s:t>
        </s:is>
      </s:c>
      <s:c r="B254" s="12" t="n">
        <s:v>0</s:v>
      </s:c>
      <s:c r="C254" s="12" t="inlineStr">
        <s:is>
          <s:t>Source evidence</s:t>
        </s:is>
      </s:c>
      <s:c r="D254" s="12" t="inlineStr">
        <s:is>
          <s:t>The heading reads Estimated Effect of Levodopa: Mean Difference on FMA, [CI]. Estimand 4 identifies a death-and-3-month-FMA composite summary as win ratio [95% CI] and prints 1.06 [0.86-1.26].</s:t>
        </s:is>
      </s:c>
    </s:row>
    <s:row r="255" ht="180" customFormat="1" customHeight="1" s="8">
      <s:c r="A255" s="11" t="inlineStr">
        <s:is>
          <s:t>2025::jama.2025.15185::C011</s:t>
        </s:is>
      </s:c>
      <s:c r="B255" s="11" t="n">
        <s:v>1</s:v>
      </s:c>
      <s:c r="C255" s="11" t="inlineStr">
        <s:is>
          <s:t>Reported-versus-comparator</s:t>
        </s:is>
      </s:c>
      <s:c r="D255" s="11" t="inlineStr">
        <s:is>
          <s:t>A dimensionless win ratio row versus an FMA-point mean-difference heading.</s:t>
        </s:is>
      </s:c>
    </s:row>
    <s:row r="256" ht="180" customFormat="1" customHeight="1" s="8">
      <s:c r="A256" s="12" t="inlineStr">
        <s:is>
          <s:t>2025::jama.2025.15185::C011</s:t>
        </s:is>
      </s:c>
      <s:c r="B256" s="12" t="n">
        <s:v>2</s:v>
      </s:c>
      <s:c r="C256" s="12" t="inlineStr">
        <s:is>
          <s:t>Calculation</s:t>
        </s:is>
      </s:c>
      <s:c r="D256" s="12" t="inlineStr">
        <s:is>
          <s:t>No arithmetic is required: a win ratio and an FMA-point mean difference are different measures/scales under the supplied labels.</s:t>
        </s:is>
      </s:c>
    </s:row>
    <s:row r="257" ht="180" customFormat="1" customHeight="1" s="8">
      <s:c r="A257" s="11" t="inlineStr">
        <s:is>
          <s:t>2025::jama.2025.15185::C011</s:t>
        </s:is>
      </s:c>
      <s:c r="B257" s="11" t="n">
        <s:v>3</s:v>
      </s:c>
      <s:c r="C257" s="11" t="inlineStr">
        <s:is>
          <s:t>Alternative source-grounded interpretations</s:t>
        </s:is>
      </s:c>
      <s:c r="D257" s="11" t="inlineStr">
        <s:is>
          <s:t>The heading may be intended for all rows except Estimand 4, but no exception or qualifying footnote is shown.</s:t>
        </s:is>
      </s:c>
    </s:row>
    <s:row r="258" ht="180" customFormat="1" customHeight="1" s="8">
      <s:c r="A258" s="12" t="inlineStr">
        <s:is>
          <s:t>2025::jama.2025.15185::C012</s:t>
        </s:is>
      </s:c>
      <s:c r="B258" s="12" t="n">
        <s:v>0</s:v>
      </s:c>
      <s:c r="C258" s="12" t="inlineStr">
        <s:is>
          <s:t>Source evidence</s:t>
        </s:is>
      </s:c>
      <s:c r="D258" s="12" t="inlineStr">
        <s:is>
          <s:t>Narrative calls 1.06 (95% CI, 0.86 to 1.25) an odds ratio; the matched full-analysis-set composite row calls 1.06 [0.86-1.26] a win ratio [95% CI].</s:t>
        </s:is>
      </s:c>
    </s:row>
    <s:row r="259" ht="180" customFormat="1" customHeight="1" s="8">
      <s:c r="A259" s="11" t="inlineStr">
        <s:is>
          <s:t>2025::jama.2025.15185::C012</s:t>
        </s:is>
      </s:c>
      <s:c r="B259" s="11" t="n">
        <s:v>1</s:v>
      </s:c>
      <s:c r="C259" s="11" t="inlineStr">
        <s:is>
          <s:t>Reported-versus-comparator</s:t>
        </s:is>
      </s:c>
      <s:c r="D259" s="11" t="inlineStr">
        <s:is>
          <s:t>Odds ratio in prose versus win ratio in the matched table row.</s:t>
        </s:is>
      </s:c>
    </s:row>
    <s:row r="260" ht="180" customFormat="1" customHeight="1" s="8">
      <s:c r="A260" s="12" t="inlineStr">
        <s:is>
          <s:t>2025::jama.2025.15185::C012</s:t>
        </s:is>
      </s:c>
      <s:c r="B260" s="12" t="n">
        <s:v>2</s:v>
      </s:c>
      <s:c r="C260" s="12" t="inlineStr">
        <s:is>
          <s:t>Calculation</s:t>
        </s:is>
      </s:c>
      <s:c r="D260" s="12" t="inlineStr">
        <s:is>
          <s:t>No arithmetic is required: odds ratio and win ratio are not interchangeable labels under the supplied definitions.</s:t>
        </s:is>
      </s:c>
    </s:row>
    <s:row r="261" ht="180" customFormat="1" customHeight="1" s="8">
      <s:c r="A261" s="11" t="inlineStr">
        <s:is>
          <s:t>2025::jama.2025.15185::C012</s:t>
        </s:is>
      </s:c>
      <s:c r="B261" s="11" t="n">
        <s:v>3</s:v>
      </s:c>
      <s:c r="C261" s="11" t="inlineStr">
        <s:is>
          <s:t>Alternative source-grounded interpretations</s:t>
        </s:is>
      </s:c>
      <s:c r="D261" s="11" t="inlineStr">
        <s:is>
          <s:t>A modelling relationship may exist, but the supplied package does not define the terms as synonyms.</s:t>
        </s:is>
      </s:c>
    </s:row>
    <s:row r="262" ht="180" customFormat="1" customHeight="1" s="8">
      <s:c r="A262" s="12" t="inlineStr">
        <s:is>
          <s:t>2025::jama.2025.15440::C001</s:t>
        </s:is>
      </s:c>
      <s:c r="B262" s="12" t="n">
        <s:v>0</s:v>
      </s:c>
      <s:c r="C262" s="12" t="inlineStr">
        <s:is>
          <s:t>Source evidence</s:t>
        </s:is>
      </s:c>
      <s:c r="D262" s="12" t="inlineStr">
        <s:is>
          <s:t>Page 1 prints patch 69 (2.7%) versus usual care 64 (2.5%), rate ratio 1.08 (95% CI 0.76-1.53). Pages 5 and 7 print the same 69 versus 64 and rate ratio 1.08 but 95% CI 0.77-1.51 for the 2.5-year any-stroke comparison.</s:t>
        </s:is>
      </s:c>
    </s:row>
    <s:row r="263" ht="180" customFormat="1" customHeight="1" s="8">
      <s:c r="A263" s="11" t="inlineStr">
        <s:is>
          <s:t>2025::jama.2025.15440::C001</s:t>
        </s:is>
      </s:c>
      <s:c r="B263" s="11" t="n">
        <s:v>1</s:v>
      </s:c>
      <s:c r="C263" s="11" t="inlineStr">
        <s:is>
          <s:t>Reported-versus-comparator</s:t>
        </s:is>
      </s:c>
      <s:c r="D263" s="11" t="inlineStr">
        <s:is>
          <s:t>Abstract CI 0.76-1.53 versus detailed-results/Figure 4B CI 0.77-1.51 for the same displayed counts, follow-up context, and point estimate.</s:t>
        </s:is>
      </s:c>
    </s:row>
    <s:row r="264" ht="180" customFormat="1" customHeight="1" s="8">
      <s:c r="A264" s="12" t="inlineStr">
        <s:is>
          <s:t>2025::jama.2025.15440::C001</s:t>
        </s:is>
      </s:c>
      <s:c r="B264" s="12" t="n">
        <s:v>2</s:v>
      </s:c>
      <s:c r="C264" s="12" t="inlineStr">
        <s:is>
          <s:t>Calculation</s:t>
        </s:is>
      </s:c>
      <s:c r="D264" s="12" t="inlineStr">
        <s:is>
          <s:t>Lower endpoints differ by 0.77 - 0.76 = 0.01; upper endpoints differ by 1.53 - 1.51 = 0.02. This direct printed-value comparison does not select either interval as correct.</s:t>
        </s:is>
      </s:c>
    </s:row>
    <s:row r="265" ht="180" customFormat="1" customHeight="1" s="8">
      <s:c r="A265" s="11" t="inlineStr">
        <s:is>
          <s:t>2025::jama.2025.15440::C001</s:t>
        </s:is>
      </s:c>
      <s:c r="B265" s="11" t="n">
        <s:v>3</s:v>
      </s:c>
      <s:c r="C265" s="11" t="inlineStr">
        <s:is>
          <s:t>Alternative source-grounded interpretations</s:t>
        </s:is>
      </s:c>
      <s:c r="D265" s="11" t="inlineStr">
        <s:is>
          <s:t>One location may contain a transcription or production-rounding difference; separate interval calculations may have been used but not labeled; or one display may not have received the same update. Event times, O-E, V, unrounded endpoints, and the exact CI procedure are not supplied.</s:t>
        </s:is>
      </s:c>
    </s:row>
    <s:row r="266" ht="180" customFormat="1" customHeight="1" s="8">
      <s:c r="A266" s="12" t="inlineStr">
        <s:is>
          <s:t>2025::jama.2025.15440::C002</s:t>
        </s:is>
      </s:c>
      <s:c r="B266" s="12" t="n">
        <s:v>0</s:v>
      </s:c>
      <s:c r="C266" s="12" t="inlineStr">
        <s:is>
          <s:t>Source evidence</s:t>
        </s:is>
      </s:c>
      <s:c r="D266" s="12" t="inlineStr">
        <s:is>
          <s: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s:t>
        </s:is>
      </s:c>
    </s:row>
    <s:row r="267" ht="180" customFormat="1" customHeight="1" s="8">
      <s:c r="A267" s="11" t="inlineStr">
        <s:is>
          <s:t>2025::jama.2025.15440::C002</s:t>
        </s:is>
      </s:c>
      <s:c r="B267" s="11" t="n">
        <s:v>1</s:v>
      </s:c>
      <s:c r="C267" s="11" t="inlineStr">
        <s:is>
          <s:t>Reported-versus-comparator</s:t>
        </s:is>
      </s:c>
      <s:c r="D267" s="11" t="inlineStr">
        <s:is>
          <s:t>If subtype rows are mutually exclusive participant-level components counted under the same rule, patch subtypes total 72 versus Any stroke 69, while usual-care subtypes total 64 versus Any stroke 64.</s:t>
        </s:is>
      </s:c>
    </s:row>
    <s:row r="268" ht="180" customFormat="1" customHeight="1" s="8">
      <s:c r="A268" s="12" t="inlineStr">
        <s:is>
          <s:t>2025::jama.2025.15440::C002</s:t>
        </s:is>
      </s:c>
      <s:c r="B268" s="12" t="n">
        <s:v>2</s:v>
      </s:c>
      <s:c r="C268" s="12" t="inlineStr">
        <s:is>
          <s:t>Calculation</s:t>
        </s:is>
      </s:c>
      <s:c r="D268" s="12" t="inlineStr">
        <s:is>
          <s: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s:t>
        </s:is>
      </s:c>
    </s:row>
    <s:row r="269" ht="180" customFormat="1" customHeight="1" s="8">
      <s:c r="A269" s="11" t="inlineStr">
        <s:is>
          <s:t>2025::jama.2025.15440::C002</s:t>
        </s:is>
      </s:c>
      <s:c r="B269" s="11" t="n">
        <s:v>3</s:v>
      </s:c>
      <s:c r="C269" s="11" t="inlineStr">
        <s:is>
          <s:t>Alternative source-grounded interpretations</s:t>
        </s:is>
      </s:c>
      <s:c r="D269" s="11" t="inlineStr">
        <s:is>
          <s: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s:t>
        </s:is>
      </s:c>
    </s:row>
    <s:row r="270" ht="180" customFormat="1" customHeight="1" s="8">
      <s:c r="A270" s="12" t="inlineStr">
        <s:is>
          <s:t>2025::jama.2025.16450::C001</s:t>
        </s:is>
      </s:c>
      <s:c r="B270" s="12" t="n">
        <s:v>0</s:v>
      </s:c>
      <s:c r="C270" s="12" t="inlineStr">
        <s:is>
          <s:t>Source evidence</s:t>
        </s:is>
      </s:c>
      <s:c r="D270" s="12" t="inlineStr">
        <s:is>
          <s:t>Page 7 prints Relative Risk (RR) or Mean Difference (MD) and PDA RR: 0.86 (0.75, 0.99); page 8 prints RR = risk difference while stating binary outcomes report relative risks.</s:t>
        </s:is>
      </s:c>
    </s:row>
    <s:row r="271" ht="180" customFormat="1" customHeight="1" s="8">
      <s:c r="A271" s="11" t="inlineStr">
        <s:is>
          <s:t>2025::jama.2025.16450::C001</s:t>
        </s:is>
      </s:c>
      <s:c r="B271" s="11" t="n">
        <s:v>1</s:v>
      </s:c>
      <s:c r="C271" s="11" t="inlineStr">
        <s:is>
          <s:t>Reported-versus-comparator</s:t>
        </s:is>
      </s:c>
      <s:c r="D271" s="11" t="inlineStr">
        <s:is>
          <s:t>The abbreviation says risk difference; the table header, model description, and estimates say or use relative risk.</s:t>
        </s:is>
      </s:c>
    </s:row>
    <s:row r="272" ht="180" customFormat="1" customHeight="1" s="8">
      <s:c r="A272" s="12" t="inlineStr">
        <s:is>
          <s:t>2025::jama.2025.16450::C001</s:t>
        </s:is>
      </s:c>
      <s:c r="B272" s="12" t="n">
        <s:v>2</s:v>
      </s:c>
      <s:c r="C272" s="12" t="inlineStr">
        <s:is>
          <s:t>Calculation</s:t>
        </s:is>
      </s:c>
      <s:c r="D272" s="12" t="inlineStr">
        <s:is>
          <s:t>From displayed PDA counts, (159/319)/(175/308) = 0.8772; 100 x (159/319 - 175/308) = -6.97 percentage points. The adjusted .86 is ratio-scale.</s:t>
        </s:is>
      </s:c>
    </s:row>
    <s:row r="273" ht="180" customFormat="1" customHeight="1" s="8">
      <s:c r="A273" s="11" t="inlineStr">
        <s:is>
          <s:t>2025::jama.2025.16450::C001</s:t>
        </s:is>
      </s:c>
      <s:c r="B273" s="11" t="n">
        <s:v>3</s:v>
      </s:c>
      <s:c r="C273" s="11" t="inlineStr">
        <s:is>
          <s:t>Alternative source-grounded interpretations</s:t>
        </s:is>
      </s:c>
      <s:c r="D273" s="11" t="inlineStr">
        <s:is>
          <s:t>The p. 8 line may be an isolated copyediting or transcription error; the package does not establish cause.</s:t>
        </s:is>
      </s:c>
    </s:row>
    <s:row r="274" ht="180" customFormat="1" customHeight="1" s="8">
      <s:c r="A274" s="12" t="inlineStr">
        <s:is>
          <s:t>2025::jama.2025.16450::C002</s:t>
        </s:is>
      </s:c>
      <s:c r="B274" s="12" t="n">
        <s:v>0</s:v>
      </s:c>
      <s:c r="C274" s="12" t="inlineStr">
        <s:is>
          <s:t>Source evidence</s:t>
        </s:is>
      </s:c>
      <s:c r="D274" s="12" t="inlineStr">
        <s:is>
          <s:t>The protocol directly prints 22 0/7 - 28 6/7 weeks gestation; the compared direct sources also print an upper bound of 28 weeks 6 days.</s:t>
        </s:is>
      </s:c>
    </s:row>
    <s:row r="275" ht="180" customFormat="1" customHeight="1" s="8">
      <s:c r="A275" s="11" t="inlineStr">
        <s:is>
          <s:t>2025::jama.2025.16450::C002</s:t>
        </s:is>
      </s:c>
      <s:c r="B275" s="11" t="n">
        <s:v>1</s:v>
      </s:c>
      <s:c r="C275" s="11" t="inlineStr">
        <s:is>
          <s:t>Reported-versus-comparator</s:t>
        </s:is>
      </s:c>
      <s:c r="D275" s="11" t="inlineStr">
        <s:is>
          <s:t>Earlier ledger transcription 27 6/7 versus direct-page 28 6/7 in DOC-002 and every comparator.</s:t>
        </s:is>
      </s:c>
    </s:row>
    <s:row r="276" ht="180" customFormat="1" customHeight="1" s="8">
      <s:c r="A276" s="12" t="inlineStr">
        <s:is>
          <s:t>2025::jama.2025.16450::C002</s:t>
        </s:is>
      </s:c>
      <s:c r="B276" s="12" t="n">
        <s:v>2</s:v>
      </s:c>
      <s:c r="C276" s="12" t="inlineStr">
        <s:is>
          <s:t>Calculation</s:t>
        </s:is>
      </s:c>
      <s:c r="D276" s="12" t="inlineStr">
        <s:is>
          <s:t>Pairwise upper-bound difference is 0 days, not 7 days.</s:t>
        </s:is>
      </s:c>
    </s:row>
    <s:row r="277" ht="180" customFormat="1" customHeight="1" s="8">
      <s:c r="A277" s="11" t="inlineStr">
        <s:is>
          <s:t>2025::jama.2025.16450::C002</s:t>
        </s:is>
      </s:c>
      <s:c r="B277" s="11" t="n">
        <s:v>3</s:v>
      </s:c>
      <s:c r="C277" s="11" t="inlineStr">
        <s:is>
          <s:t>Alternative source-grounded interpretations</s:t>
        </s:is>
      </s:c>
      <s:c r="D277" s="11" t="inlineStr">
        <s:is>
          <s:t>The earlier extraction may have misread a custom-encoded 8 as 7; the mechanism is inferred, not established.</s:t>
        </s:is>
      </s:c>
    </s:row>
    <s:row r="278" ht="180" customFormat="1" customHeight="1" s="8">
      <s:c r="A278" s="12" t="inlineStr">
        <s:is>
          <s:t>2025::jama.2025.16450::C003</s:t>
        </s:is>
      </s:c>
      <s:c r="B278" s="12" t="n">
        <s:v>0</s:v>
      </s:c>
      <s:c r="C278" s="12" t="inlineStr">
        <s:is>
          <s:t>Source evidence</s:t>
        </s:is>
      </s:c>
      <s:c r="D278" s="12" t="inlineStr">
        <s:is>
          <s:t>All cited pages identify 2.5 mL/kg as dose 1; the manual and results supplement identify 1.25 mL/kg as dose 2.</s:t>
        </s:is>
      </s:c>
    </s:row>
    <s:row r="279" ht="180" customFormat="1" customHeight="1" s="8">
      <s:c r="A279" s="11" t="inlineStr">
        <s:is>
          <s:t>2025::jama.2025.16450::C003</s:t>
        </s:is>
      </s:c>
      <s:c r="B279" s="11" t="n">
        <s:v>1</s:v>
      </s:c>
      <s:c r="C279" s="11" t="inlineStr">
        <s:is>
          <s:t>Reported-versus-comparator</s:t>
        </s:is>
      </s:c>
      <s:c r="D279" s="11" t="inlineStr">
        <s:is>
          <s:t>Earlier first-dose transcription 1.25 mL/kg versus direct-source first-dose 2.5 mL/kg.</s:t>
        </s:is>
      </s:c>
    </s:row>
    <s:row r="280" ht="180" customFormat="1" customHeight="1" s="8">
      <s:c r="A280" s="12" t="inlineStr">
        <s:is>
          <s:t>2025::jama.2025.16450::C003</s:t>
        </s:is>
      </s:c>
      <s:c r="B280" s="12" t="n">
        <s:v>2</s:v>
      </s:c>
      <s:c r="C280" s="12" t="inlineStr">
        <s:is>
          <s:t>Calculation</s:t>
        </s:is>
      </s:c>
      <s:c r="D280" s="12" t="inlineStr">
        <s:is>
          <s:t>2.5 / 2.5 = 1; difference 0 mL/kg for the compared first-dose values.</s:t>
        </s:is>
      </s:c>
    </s:row>
    <s:row r="281" ht="180" customFormat="1" customHeight="1" s="8">
      <s:c r="A281" s="11" t="inlineStr">
        <s:is>
          <s:t>2025::jama.2025.16450::C003</s:t>
        </s:is>
      </s:c>
      <s:c r="B281" s="11" t="n">
        <s:v>3</s:v>
      </s:c>
      <s:c r="C281" s="11" t="inlineStr">
        <s:is>
          <s:t>Alternative source-grounded interpretations</s:t>
        </s:is>
      </s:c>
      <s:c r="D281" s="11" t="inlineStr">
        <s:is>
          <s:t>Earlier extraction may have transferred the second-dose value or misread the first-dose volume; cause is not documented.</s:t>
        </s:is>
      </s:c>
    </s:row>
    <s:row r="282" ht="180" customFormat="1" customHeight="1" s="8">
      <s:c r="A282" s="12" t="inlineStr">
        <s:is>
          <s:t>2025::jama.2025.16450::C004</s:t>
        </s:is>
      </s:c>
      <s:c r="B282" s="12" t="n">
        <s:v>0</s:v>
      </s:c>
      <s:c r="C282" s="12" t="inlineStr">
        <s:is>
          <s:t>Source evidence</s:t>
        </s:is>
      </s:c>
      <s:c r="D282" s="12" t="inlineStr">
        <s:is>
          <s:t>The manual prints 3-5; the SAP prints 4-5/level 4-5 for the severe-NDI component.</s:t>
        </s:is>
      </s:c>
    </s:row>
    <s:row r="283" ht="180" customFormat="1" customHeight="1" s="8">
      <s:c r="A283" s="11" t="inlineStr">
        <s:is>
          <s:t>2025::jama.2025.16450::C004</s:t>
        </s:is>
      </s:c>
      <s:c r="B283" s="11" t="n">
        <s:v>1</s:v>
      </s:c>
      <s:c r="C283" s="11" t="inlineStr">
        <s:is>
          <s:t>Reported-versus-comparator</s:t>
        </s:is>
      </s:c>
      <s:c r="D283" s="11" t="inlineStr">
        <s:is>
          <s:t>Manual threshold {3,4,5} versus SAP threshold {4,5}.</s:t>
        </s:is>
      </s:c>
    </s:row>
    <s:row r="284" ht="180" customFormat="1" customHeight="1" s="8">
      <s:c r="A284" s="12" t="inlineStr">
        <s:is>
          <s:t>2025::jama.2025.16450::C004</s:t>
        </s:is>
      </s:c>
      <s:c r="B284" s="12" t="n">
        <s:v>2</s:v>
      </s:c>
      <s:c r="C284" s="12" t="inlineStr">
        <s:is>
          <s:t>Calculation</s:t>
        </s:is>
      </s:c>
      <s:c r="D284" s="12" t="inlineStr">
        <s:is>
          <s:t>Exact set difference is {3}; the cutoff shifts by one GMFCS level.</s:t>
        </s:is>
      </s:c>
    </s:row>
    <s:row r="285" ht="180" customFormat="1" customHeight="1" s="8">
      <s:c r="A285" s="11" t="inlineStr">
        <s:is>
          <s:t>2025::jama.2025.16450::C004</s:t>
        </s:is>
      </s:c>
      <s:c r="B285" s="11" t="n">
        <s:v>3</s:v>
      </s:c>
      <s:c r="C285" s="11" t="inlineStr">
        <s:is>
          <s:t>Alternative source-grounded interpretations</s:t>
        </s:is>
      </s:c>
      <s:c r="D285" s="11" t="inlineStr">
        <s:is>
          <s:t>A versioned definition change is possible, but no governing amendment or implemented follow-up algorithm is supplied.</s:t>
        </s:is>
      </s:c>
    </s:row>
    <s:row r="286" ht="180" customFormat="1" customHeight="1" s="8">
      <s:c r="A286" s="12" t="inlineStr">
        <s:is>
          <s:t>2025::jama.2025.16450::C005</s:t>
        </s:is>
      </s:c>
      <s:c r="B286" s="12" t="n">
        <s:v>0</s:v>
      </s:c>
      <s:c r="C286" s="12" t="inlineStr">
        <s:is>
          <s:t>Source evidence</s:t>
        </s:is>
      </s:c>
      <s:c r="D286" s="12" t="inlineStr">
        <s:is>
          <s:t>The cited passages print BSID-IV or 4th edition (BSID-IV) with cognitive score &lt;70; none prints Bayley-III.</s:t>
        </s:is>
      </s:c>
    </s:row>
    <s:row r="287" ht="180" customFormat="1" customHeight="1" s="8">
      <s:c r="A287" s="11" t="inlineStr">
        <s:is>
          <s:t>2025::jama.2025.16450::C005</s:t>
        </s:is>
      </s:c>
      <s:c r="B287" s="11" t="n">
        <s:v>1</s:v>
      </s:c>
      <s:c r="C287" s="11" t="inlineStr">
        <s:is>
          <s:t>Reported-versus-comparator</s:t>
        </s:is>
      </s:c>
      <s:c r="D287" s="11" t="inlineStr">
        <s:is>
          <s:t>Earlier ledger Bayley-III transcription versus direct-source fourth-edition/BSID-IV wording.</s:t>
        </s:is>
      </s:c>
    </s:row>
    <s:row r="288" ht="180" customFormat="1" customHeight="1" s="8">
      <s:c r="A288" s="12" t="inlineStr">
        <s:is>
          <s:t>2025::jama.2025.16450::C005</s:t>
        </s:is>
      </s:c>
      <s:c r="B288" s="12" t="n">
        <s:v>2</s:v>
      </s:c>
      <s:c r="C288" s="12" t="inlineStr">
        <s:is>
          <s:t>Calculation</s:t>
        </s:is>
      </s:c>
      <s:c r="D288" s="12" t="inlineStr">
        <s:is>
          <s:t>4th edition and BSID-IV are the same edition; all cited passages retain &lt;70.</s:t>
        </s:is>
      </s:c>
    </s:row>
    <s:row r="289" ht="180" customFormat="1" customHeight="1" s="8">
      <s:c r="A289" s="11" t="inlineStr">
        <s:is>
          <s:t>2025::jama.2025.16450::C005</s:t>
        </s:is>
      </s:c>
      <s:c r="B289" s="11" t="n">
        <s:v>3</s:v>
      </s:c>
      <s:c r="C289" s="11" t="inlineStr">
        <s:is>
          <s:t>Alternative source-grounded interpretations</s:t>
        </s:is>
      </s:c>
      <s:c r="D289" s="11" t="inlineStr">
        <s:is>
          <s:t>The prior extraction may have read IV as III or carried text from another template; cause is not established.</s:t>
        </s:is>
      </s:c>
    </s:row>
    <s:row r="290" ht="180" customFormat="1" customHeight="1" s="8">
      <s:c r="A290" s="12" t="inlineStr">
        <s:is>
          <s:t>2025::jama.2025.16450::C006</s:t>
        </s:is>
      </s:c>
      <s:c r="B290" s="12" t="n">
        <s:v>0</s:v>
      </s:c>
      <s:c r="C290" s="12" t="inlineStr">
        <s:is>
          <s:t>Source evidence</s:t>
        </s:is>
      </s:c>
      <s:c r="D290" s="12" t="inlineStr">
        <s:is>
          <s:t>Both schedules print first-look alpha 0.000015, followed by .0030, .0183, and .0440.</s:t>
        </s:is>
      </s:c>
    </s:row>
    <s:row r="291" ht="180" customFormat="1" customHeight="1" s="8">
      <s:c r="A291" s="11" t="inlineStr">
        <s:is>
          <s:t>2025::jama.2025.16450::C006</s:t>
        </s:is>
      </s:c>
      <s:c r="B291" s="11" t="n">
        <s:v>1</s:v>
      </s:c>
      <s:c r="C291" s="11" t="inlineStr">
        <s:is>
          <s:t>Reported-versus-comparator</s:t>
        </s:is>
      </s:c>
      <s:c r="D291" s="11" t="inlineStr">
        <s:is>
          <s:t>Earlier protocol transcription 0.00015 versus direct protocol and SAP 0.000015.</s:t>
        </s:is>
      </s:c>
    </s:row>
    <s:row r="292" ht="180" customFormat="1" customHeight="1" s="8">
      <s:c r="A292" s="12" t="inlineStr">
        <s:is>
          <s:t>2025::jama.2025.16450::C006</s:t>
        </s:is>
      </s:c>
      <s:c r="B292" s="12" t="n">
        <s:v>2</s:v>
      </s:c>
      <s:c r="C292" s="12" t="inlineStr">
        <s:is>
          <s:t>Calculation</s:t>
        </s:is>
      </s:c>
      <s:c r="D292" s="12" t="inlineStr">
        <s:is>
          <s:t>0.000015 / 0.000015 = 1; difference 0.</s:t>
        </s:is>
      </s:c>
    </s:row>
    <s:row r="293" ht="180" customFormat="1" customHeight="1" s="8">
      <s:c r="A293" s="11" t="inlineStr">
        <s:is>
          <s:t>2025::jama.2025.16450::C006</s:t>
        </s:is>
      </s:c>
      <s:c r="B293" s="11" t="n">
        <s:v>3</s:v>
      </s:c>
      <s:c r="C293" s="11" t="inlineStr">
        <s:is>
          <s:t>Alternative source-grounded interpretations</s:t>
        </s:is>
      </s:c>
      <s:c r="D293" s="11" t="inlineStr">
        <s:is>
          <s:t>The earlier extraction may have dropped one zero in custom-encoded text; cause is inferred only.</s:t>
        </s:is>
      </s:c>
    </s:row>
    <s:row r="294" ht="180" customFormat="1" customHeight="1" s="8">
      <s:c r="A294" s="12" t="inlineStr">
        <s:is>
          <s:t>2025::jama.2025.16450::C007</s:t>
        </s:is>
      </s:c>
      <s:c r="B294" s="12" t="n">
        <s:v>0</s:v>
      </s:c>
      <s:c r="C294" s="12" t="inlineStr">
        <s:is>
          <s:t>Source evidence</s:t>
        </s:is>
      </s:c>
      <s:c r="D294" s="12" t="inlineStr">
        <s:is>
          <s:t>Article text and Table 2 footnote state .049; the prospective schedules state .0440 for the planned final look.</s:t>
        </s:is>
      </s:c>
    </s:row>
    <s:row r="295" ht="180" customFormat="1" customHeight="1" s="8">
      <s:c r="A295" s="11" t="inlineStr">
        <s:is>
          <s:t>2025::jama.2025.16450::C007</s:t>
        </s:is>
      </s:c>
      <s:c r="B295" s="11" t="n">
        <s:v>1</s:v>
      </s:c>
      <s:c r="C295" s="11" t="inlineStr">
        <s:is>
          <s:t>Reported-versus-comparator</s:t>
        </s:is>
      </s:c>
      <s:c r="D295" s="11" t="inlineStr">
        <s:is>
          <s:t>Executed article alpha .049 versus prospective planned final alpha .0440.</s:t>
        </s:is>
      </s:c>
    </s:row>
    <s:row r="296" ht="180" customFormat="1" customHeight="1" s="8">
      <s:c r="A296" s="12" t="inlineStr">
        <s:is>
          <s:t>2025::jama.2025.16450::C007</s:t>
        </s:is>
      </s:c>
      <s:c r="B296" s="12" t="n">
        <s:v>2</s:v>
      </s:c>
      <s:c r="C296" s="12" t="inlineStr">
        <s:is>
          <s:t>Calculation</s:t>
        </s:is>
      </s:c>
      <s:c r="D296" s="12" t="inlineStr">
        <s:is>
          <s:t>.049 - .0440 = .0050; .049/.0440 = 1.1136.</s:t>
        </s:is>
      </s:c>
    </s:row>
    <s:row r="297" ht="180" customFormat="1" customHeight="1" s="8">
      <s:c r="A297" s="11" t="inlineStr">
        <s:is>
          <s:t>2025::jama.2025.16450::C007</s:t>
        </s:is>
      </s:c>
      <s:c r="B297" s="11" t="n">
        <s:v>3</s:v>
      </s:c>
      <s:c r="C297" s="11" t="inlineStr">
        <s:is>
          <s:t>Alternative source-grounded interpretations</s:t>
        </s:is>
      </s:c>
      <s:c r="D297" s="11" t="inlineStr">
        <s:is>
          <s:t>A realized Lan-DeMets boundary, recovery of unspent alpha, different information timing, unperformed looks, or amendment could explain the values. Relevant execution output is absent.</s:t>
        </s:is>
      </s:c>
    </s:row>
    <s:row r="298" ht="180" customFormat="1" customHeight="1" s="8">
      <s:c r="A298" s="12" t="inlineStr">
        <s:is>
          <s:t>2025::jama.2025.16450::C008</s:t>
        </s:is>
      </s:c>
      <s:c r="B298" s="12" t="n">
        <s:v>0</s:v>
      </s:c>
      <s:c r="C298" s="12" t="inlineStr">
        <s:is>
          <s:t>Source evidence</s:t>
        </s:is>
      </s:c>
      <s:c r="D298" s="12" t="inlineStr">
        <s:is>
          <s:t>DOC-001 reports 17 US centers; the prospective documents refer to 15 NRN centers/planned participation.</s:t>
        </s:is>
      </s:c>
    </s:row>
    <s:row r="299" ht="180" customFormat="1" customHeight="1" s="8">
      <s:c r="A299" s="11" t="inlineStr">
        <s:is>
          <s:t>2025::jama.2025.16450::C008</s:t>
        </s:is>
      </s:c>
      <s:c r="B299" s="11" t="n">
        <s:v>1</s:v>
      </s:c>
      <s:c r="C299" s="11" t="inlineStr">
        <s:is>
          <s:t>Reported-versus-comparator</s:t>
        </s:is>
      </s:c>
      <s:c r="D299" s="11" t="inlineStr">
        <s:is>
          <s:t>Completed-study count 17 versus planned count 15.</s:t>
        </s:is>
      </s:c>
    </s:row>
    <s:row r="300" ht="180" customFormat="1" customHeight="1" s="8">
      <s:c r="A300" s="12" t="inlineStr">
        <s:is>
          <s:t>2025::jama.2025.16450::C008</s:t>
        </s:is>
      </s:c>
      <s:c r="B300" s="12" t="n">
        <s:v>2</s:v>
      </s:c>
      <s:c r="C300" s="12" t="inlineStr">
        <s:is>
          <s:t>Calculation</s:t>
        </s:is>
      </s:c>
      <s:c r="D300" s="12" t="inlineStr">
        <s:is>
          <s:t>17 - 15 = 2 centers.</s:t>
        </s:is>
      </s:c>
    </s:row>
    <s:row r="301" ht="180" customFormat="1" customHeight="1" s="8">
      <s:c r="A301" s="11" t="inlineStr">
        <s:is>
          <s:t>2025::jama.2025.16450::C008</s:t>
        </s:is>
      </s:c>
      <s:c r="B301" s="11" t="n">
        <s:v>3</s:v>
      </s:c>
      <s:c r="C301" s="11" t="inlineStr">
        <s:is>
          <s:t>Alternative source-grounded interpretations</s:t>
        </s:is>
      </s:c>
      <s:c r="D301" s="11" t="inlineStr">
        <s:is>
          <s:t>Later site activation or a different center/hospital/pooling definition is plausible; activation/enrollment records are absent.</s:t>
        </s:is>
      </s:c>
    </s:row>
    <s:row r="302" ht="180" customFormat="1" customHeight="1" s="8">
      <s:c r="A302" s="12" t="inlineStr">
        <s:is>
          <s:t>2025::jama.2025.16450::C009</s:t>
        </s:is>
      </s:c>
      <s:c r="B302" s="12" t="n">
        <s:v>0</s:v>
      </s:c>
      <s:c r="C302" s="12" t="inlineStr">
        <s:is>
          <s:t>Source evidence</s:t>
        </s:is>
      </s:c>
      <s:c r="D302" s="12" t="inlineStr">
        <s:is>
          <s:t>The row prints RR: 0.69 (0.33 to 1.46) for 13/312 versus 18/299; footnote g names Mantel-Haenszel methods approximated by the common OR.</s:t>
        </s:is>
      </s:c>
    </s:row>
    <s:row r="303" ht="180" customFormat="1" customHeight="1" s="8">
      <s:c r="A303" s="11" t="inlineStr">
        <s:is>
          <s:t>2025::jama.2025.16450::C009</s:t>
        </s:is>
      </s:c>
      <s:c r="B303" s="11" t="n">
        <s:v>1</s:v>
      </s:c>
      <s:c r="C303" s="11" t="inlineStr">
        <s:is>
          <s:t>Reported-versus-comparator</s:t>
        </s:is>
      </s:c>
      <s:c r="D303" s="11" t="inlineStr">
        <s:is>
          <s:t>RR row label versus common-OR approximation wording.</s:t>
        </s:is>
      </s:c>
    </s:row>
    <s:row r="304" ht="180" customFormat="1" customHeight="1" s="8">
      <s:c r="A304" s="12" t="inlineStr">
        <s:is>
          <s:t>2025::jama.2025.16450::C009</s:t>
        </s:is>
      </s:c>
      <s:c r="B304" s="12" t="n">
        <s:v>2</s:v>
      </s:c>
      <s:c r="C304" s="12" t="inlineStr">
        <s:is>
          <s:t>Calculation</s:t>
        </s:is>
      </s:c>
      <s:c r="D304" s="12" t="inlineStr">
        <s:is>
          <s:t>Crude RR (13/312)/(18/299) = 0.6921; crude OR [13 x 281]/[299 x 18] = 0.6787.</s:t>
        </s:is>
      </s:c>
    </s:row>
    <s:row r="305" ht="180" customFormat="1" customHeight="1" s="8">
      <s:c r="A305" s="11" t="inlineStr">
        <s:is>
          <s:t>2025::jama.2025.16450::C009</s:t>
        </s:is>
      </s:c>
      <s:c r="B305" s="11" t="n">
        <s:v>3</s:v>
      </s:c>
      <s:c r="C305" s="11" t="inlineStr">
        <s:is>
          <s:t>Alternative source-grounded interpretations</s:t>
        </s:is>
      </s:c>
      <s:c r="D305" s="11" t="inlineStr">
        <s:is>
          <s:t>The target estimand may be RR while a common OR was used as a sparse-event approximation. Stratum counts, weights, and model output are unavailable.</s:t>
        </s:is>
      </s:c>
    </s:row>
    <s:row r="306" ht="180" customFormat="1" customHeight="1" s="8">
      <s:c r="A306" s="12" t="inlineStr">
        <s:is>
          <s:t>2025::jama.2025.16450::C010</s:t>
        </s:is>
      </s:c>
      <s:c r="B306" s="12" t="n">
        <s:v>0</s:v>
      </s:c>
      <s:c r="C306" s="12" t="inlineStr">
        <s:is>
          <s:t>Source evidence</s:t>
        </s:is>
      </s:c>
      <s:c r="D306" s="12" t="inlineStr">
        <s:is>
          <s:t>The header says Relative Risk (95% CI) or P-value; footnote b says marked low-prevalence rows use crude unadjusted odds ratios with exact 95% CIs as an approximation. Marked examples include .73, .65, and 2.64.</s:t>
        </s:is>
      </s:c>
    </s:row>
    <s:row r="307" ht="180" customFormat="1" customHeight="1" s="8">
      <s:c r="A307" s="11" t="inlineStr">
        <s:is>
          <s:t>2025::jama.2025.16450::C010</s:t>
        </s:is>
      </s:c>
      <s:c r="B307" s="11" t="n">
        <s:v>1</s:v>
      </s:c>
      <s:c r="C307" s="11" t="inlineStr">
        <s:is>
          <s:t>Reported-versus-comparator</s:t>
        </s:is>
      </s:c>
      <s:c r="D307" s="11" t="inlineStr">
        <s:is>
          <s:t>Table-level RR header versus odds-ratio approximation footnote for superscript-b rows.</s:t>
        </s:is>
      </s:c>
    </s:row>
    <s:row r="308" ht="180" customFormat="1" customHeight="1" s="8">
      <s:c r="A308" s="12" t="inlineStr">
        <s:is>
          <s:t>2025::jama.2025.16450::C010</s:t>
        </s:is>
      </s:c>
      <s:c r="B308" s="12" t="n">
        <s:v>2</s:v>
      </s:c>
      <s:c r="C308" s="12" t="inlineStr">
        <s:is>
          <s:t>Calculation</s:t>
        </s:is>
      </s:c>
      <s:c r="D308" s="12" t="inlineStr">
        <s:is>
          <s:t>(3 x 309)/(319 x 4) = 0.7265; (2 x 310)/(320 x 3) = 0.6458; (8 x 310)/(314 x 3) = 2.6327, close to .73, .65, and 2.64.</s:t>
        </s:is>
      </s:c>
    </s:row>
    <s:row r="309" ht="180" customFormat="1" customHeight="1" s="8">
      <s:c r="A309" s="11" t="inlineStr">
        <s:is>
          <s:t>2025::jama.2025.16450::C010</s:t>
        </s:is>
      </s:c>
      <s:c r="B309" s="11" t="n">
        <s:v>3</s:v>
      </s:c>
      <s:c r="C309" s="11" t="inlineStr">
        <s:is>
          <s:t>Alternative source-grounded interpretations</s:t>
        </s:is>
      </s:c>
      <s:c r="D309" s="11" t="inlineStr">
        <s:is>
          <s:t>The header may name the target measure and the footnote the approximating estimator. Exact CI reproduction needs the specified exact-interval algorithm and row inputs.</s:t>
        </s:is>
      </s:c>
    </s:row>
    <s:row r="310" ht="180" customFormat="1" customHeight="1" s="8">
      <s:c r="A310" s="12" t="inlineStr">
        <s:is>
          <s:t>2025::jama.2025.19563::C001</s:t>
        </s:is>
      </s:c>
      <s:c r="B310" s="12" t="n">
        <s:v>0</s:v>
      </s:c>
      <s:c r="C310" s="12" t="inlineStr">
        <s:is>
          <s:t>Source evidence</s:t>
        </s:is>
      </s:c>
      <s:c r="D310" s="12" t="inlineStr">
        <s:is>
          <s: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s:t>
        </s:is>
      </s:c>
    </s:row>
    <s:row r="311" ht="180" customFormat="1" customHeight="1" s="8">
      <s:c r="A311" s="11" t="inlineStr">
        <s:is>
          <s:t>2025::jama.2025.19563::C001</s:t>
        </s:is>
      </s:c>
      <s:c r="B311" s="11" t="n">
        <s:v>1</s:v>
      </s:c>
      <s:c r="C311" s="11" t="inlineStr">
        <s:is>
          <s:t>Reported-versus-comparator</s:t>
        </s:is>
      </s:c>
      <s:c r="D311" s="11" t="inlineStr">
        <s:is>
          <s:t>Protocol rule A or B or C versus reported/supplement rule (A or B or C) and D, where D means no diabetes-range A1C at the defined visits.</s:t>
        </s:is>
      </s:c>
    </s:row>
    <s:row r="312" ht="180" customFormat="1" customHeight="1" s="8">
      <s:c r="A312" s="12" t="inlineStr">
        <s:is>
          <s:t>2025::jama.2025.19563::C001</s:t>
        </s:is>
      </s:c>
      <s:c r="B312" s="12" t="n">
        <s:v>2</s:v>
      </s:c>
      <s:c r="C312" s="12" t="inlineStr">
        <s:is>
          <s:t>Calculation</s:t>
        </s:is>
      </s:c>
      <s:c r="D312" s="12" t="inlineStr">
        <s:is>
          <s:t>A participant meeting A, B, or C while not meeting D is classified differently. The supplied table identifies 15 D-false instances, but does not show their component achievement; no affected count is calculated.</s:t>
        </s:is>
      </s:c>
    </s:row>
    <s:row r="313" ht="180" customFormat="1" customHeight="1" s="8">
      <s:c r="A313" s="11" t="inlineStr">
        <s:is>
          <s:t>2025::jama.2025.19563::C001</s:t>
        </s:is>
      </s:c>
      <s:c r="B313" s="11" t="n">
        <s:v>3</s:v>
      </s:c>
      <s:c r="C313" s="11" t="inlineStr">
        <s:is>
          <s:t>Alternative source-grounded interpretations</s:t>
        </s:is>
      </s:c>
      <s:c r="D313" s="11" t="inlineStr">
        <s:is>
          <s:t>A dated protocol amendment or final SAP revision, not supplied, may have prospectively adopted the rule. The main-article grammar could be read narrowly, but the supplement's explicit global clause supports the broader reading.</s:t>
        </s:is>
      </s:c>
    </s:row>
    <s:row r="314" ht="180" customFormat="1" customHeight="1" s="8">
      <s:c r="A314" s="12" t="inlineStr">
        <s:is>
          <s:t>2025::jama.2025.19563::C002</s:t>
        </s:is>
      </s:c>
      <s:c r="B314" s="12" t="n">
        <s:v>0</s:v>
      </s:c>
      <s:c r="C314" s="12" t="inlineStr">
        <s:is>
          <s:t>Source evidence</s:t>
        </s:is>
      </s:c>
      <s:c r="D314" s="12" t="inlineStr">
        <s:is>
          <s:t>The method rows list Afinion 282, A1CNow+ 30, and serum 0. The report states 313 complete outcomes; eTable 8c gives 26 and 29 missing A1C observations among 368 and states no missing A1C among completers.</s:t>
        </s:is>
      </s:c>
    </s:row>
    <s:row r="315" ht="180" customFormat="1" customHeight="1" s="8">
      <s:c r="A315" s="11" t="inlineStr">
        <s:is>
          <s:t>2025::jama.2025.19563::C002</s:t>
        </s:is>
      </s:c>
      <s:c r="B315" s="11" t="n">
        <s:v>1</s:v>
      </s:c>
      <s:c r="C315" s="11" t="inlineStr">
        <s:is>
          <s:t>Reported-versus-comparator</s:t>
        </s:is>
      </s:c>
      <s:c r="D315" s="11" t="inlineStr">
        <s:is>
          <s:t>The follow-up device-method total versus the independently derived A1C-available/completer total in the same randomized arms and time point.</s:t>
        </s:is>
      </s:c>
    </s:row>
    <s:row r="316" ht="180" customFormat="1" customHeight="1" s="8">
      <s:c r="A316" s="12" t="inlineStr">
        <s:is>
          <s:t>2025::jama.2025.19563::C002</s:t>
        </s:is>
      </s:c>
      <s:c r="B316" s="12" t="n">
        <s:v>2</s:v>
      </s:c>
      <s:c r="C316" s="12" t="inlineStr">
        <s:is>
          <s:t>Calculation</s:t>
        </s:is>
      </s:c>
      <s:c r="D316" s="12" t="inlineStr">
        <s:is>
          <s:t>282 + 30 + 0 = 312; 368 - (26 + 29) = 313; difference = 1. Baseline rows total 334 + 33 + 1 = 368, supporting but not proving exhaustiveness.</s:t>
        </s:is>
      </s:c>
    </s:row>
    <s:row r="317" ht="180" customFormat="1" customHeight="1" s="8">
      <s:c r="A317" s="11" t="inlineStr">
        <s:is>
          <s:t>2025::jama.2025.19563::C002</s:t>
        </s:is>
      </s:c>
      <s:c r="B317" s="11" t="n">
        <s:v>3</s:v>
      </s:c>
      <s:c r="C317" s="11" t="inlineStr">
        <s:is>
          <s:t>Alternative source-grounded interpretations</s:t>
        </s:is>
      </s:c>
      <s:c r="D317" s="11" t="inlineStr">
        <s:is>
          <s:t>One result may use an unlisted method (the narrative names Siemens DCA Vantage), or the displayed table may omit an observation without changing availability.</s:t>
        </s:is>
      </s:c>
    </s:row>
    <s:row r="318" ht="180" customFormat="1" customHeight="1" s="8">
      <s:c r="A318" s="12" t="inlineStr">
        <s:is>
          <s:t>2025::jama.2025.19563::C003</s:t>
        </s:is>
      </s:c>
      <s:c r="B318" s="12" t="n">
        <s:v>0</s:v>
      </s:c>
      <s:c r="C318" s="12" t="inlineStr">
        <s:is>
          <s:t>Source evidence</s:t>
        </s:is>
      </s:c>
      <s:c r="D318" s="12" t="inlineStr">
        <s:is>
          <s:t>Figure 3 prints AI 32.2 (28.2-35.9) and human 32.5 (29.3-37.7) kg/m² as baseline weight. Table 1 prints the identical triplets in its BMI row.</s:t>
        </s:is>
      </s:c>
    </s:row>
    <s:row r="319" ht="180" customFormat="1" customHeight="1" s="8">
      <s:c r="A319" s="11" t="inlineStr">
        <s:is>
          <s:t>2025::jama.2025.19563::C003</s:t>
        </s:is>
      </s:c>
      <s:c r="B319" s="11" t="n">
        <s:v>1</s:v>
      </s:c>
      <s:c r="C319" s="11" t="inlineStr">
        <s:is>
          <s:t>Reported-versus-comparator</s:t>
        </s:is>
      </s:c>
      <s:c r="D319" s="11" t="inlineStr">
        <s:is>
          <s:t>Figure label/unit versus Table 1 measure label and exact arm-specific baseline values.</s:t>
        </s:is>
      </s:c>
    </s:row>
    <s:row r="320" ht="180" customFormat="1" customHeight="1" s="8">
      <s:c r="A320" s="12" t="inlineStr">
        <s:is>
          <s:t>2025::jama.2025.19563::C003</s:t>
        </s:is>
      </s:c>
      <s:c r="B320" s="12" t="n">
        <s:v>2</s:v>
      </s:c>
      <s:c r="C320" s="12" t="inlineStr">
        <s:is>
          <s:t>Calculation</s:t>
        </s:is>
      </s:c>
      <s:c r="D320" s="12" t="inlineStr">
        <s:is>
          <s:t>All six displayed median/IQR values match exactly. No rounding tolerance or derived calculation is needed.</s:t>
        </s:is>
      </s:c>
    </s:row>
    <s:row r="321" ht="180" customFormat="1" customHeight="1" s="8">
      <s:c r="A321" s="11" t="inlineStr">
        <s:is>
          <s:t>2025::jama.2025.19563::C003</s:t>
        </s:is>
      </s:c>
      <s:c r="B321" s="11" t="n">
        <s:v>3</s:v>
      </s:c>
      <s:c r="C321" s="11" t="inlineStr">
        <s:is>
          <s:t>Alternative source-grounded interpretations</s:t>
        </s:is>
      </s:c>
      <s:c r="D321" s="11" t="inlineStr">
        <s:is>
          <s:t>“Weight” may be shorthand or a carried-over figure label, but no literal weight-in-kilograms summary supports that interpretation.</s:t>
        </s:is>
      </s:c>
    </s:row>
    <s:row r="322" ht="180" customFormat="1" customHeight="1" s="8">
      <s:c r="A322" s="12" t="inlineStr">
        <s:is>
          <s:t>2025::jama.2025.19563::C004</s:t>
        </s:is>
      </s:c>
      <s:c r="B322" s="12" t="n">
        <s:v>0</s:v>
      </s:c>
      <s:c r="C322" s="12" t="inlineStr">
        <s:is>
          <s:t>Source evidence</s:t>
        </s:is>
      </s:c>
      <s:c r="D322" s="12" t="inlineStr">
        <s:is>
          <s:t>eTables 3, 5, 6, and 7 repeat “Age differed between study groups (p = 0.014).” eTables 5-7 display site, baseline-A1C, and completion-status contrasts; eTable 5 separately gives site-age p = 0.017. eTable 3 has an overall randomized-cohort column, not treatment-arm columns.</s:t>
        </s:is>
      </s:c>
    </s:row>
    <s:row r="323" ht="180" customFormat="1" customHeight="1" s="8">
      <s:c r="A323" s="11" t="inlineStr">
        <s:is>
          <s:t>2025::jama.2025.19563::C004</s:t>
        </s:is>
      </s:c>
      <s:c r="B323" s="11" t="n">
        <s:v>1</s:v>
      </s:c>
      <s:c r="C323" s="11" t="inlineStr">
        <s:is>
          <s:t>Reported-versus-comparator</s:t>
        </s:is>
      </s:c>
      <s:c r="D323" s="11" t="inlineStr">
        <s:is>
          <s:t>Repeated P-value text versus the distinct displayed contrasts beneath which it appears. A treatment-arm attribution is supported by the matched main Table 1 P = .01 at coarser precision, but is an inference rather than a direct eTable 3 observation.</s:t>
        </s:is>
      </s:c>
    </s:row>
    <s:row r="324" ht="180" customFormat="1" customHeight="1" s="8">
      <s:c r="A324" s="12" t="inlineStr">
        <s:is>
          <s:t>2025::jama.2025.19563::C004</s:t>
        </s:is>
      </s:c>
      <s:c r="B324" s="12" t="n">
        <s:v>2</s:v>
      </s:c>
      <s:c r="C324" s="12" t="inlineStr">
        <s:is>
          <s:t>Calculation</s:t>
        </s:is>
      </s:c>
      <s:c r="D324" s="12" t="inlineStr">
        <s:is>
          <s:t>p = 0.014 is repeated four times. The site table's separately printed age p = 0.017 demonstrates a distinct table-specific contrast. Summary values cannot reproduce all relevant P values.</s:t>
        </s:is>
      </s:c>
    </s:row>
    <s:row r="325" ht="180" customFormat="1" customHeight="1" s="8">
      <s:c r="A325" s="11" t="inlineStr">
        <s:is>
          <s:t>2025::jama.2025.19563::C004</s:t>
        </s:is>
      </s:c>
      <s:c r="B325" s="11" t="n">
        <s:v>3</s:v>
      </s:c>
      <s:c r="C325" s="11" t="inlineStr">
        <s:is>
          <s:t>Alternative source-grounded interpretations</s:t>
        </s:is>
      </s:c>
      <s:c r="D325" s="11" t="inlineStr">
        <s:is>
          <s:t>The note may intentionally restate a global randomized-arm fact, but placement does not state that scope; copied-footnote history is also possible.</s:t>
        </s:is>
      </s:c>
    </s:row>
    <s:row r="326" ht="180" customFormat="1" customHeight="1" s="8">
      <s:c r="A326" s="12" t="inlineStr">
        <s:is>
          <s:t>2025::jama.2025.19563::C005</s:t>
        </s:is>
      </s:c>
      <s:c r="B326" s="12" t="n">
        <s:v>0</s:v>
      </s:c>
      <s:c r="C326" s="12" t="inlineStr">
        <s:is>
          <s:t>Source evidence</s:t>
        </s:is>
      </s:c>
      <s:c r="D326" s="12" t="inlineStr">
        <s:is>
          <s:t>Footnote 1 says no baseline characteristics were statistically significantly different between groups (p&lt;0.05). Footnote 2 says age differed (p = 0.014) and all other characteristics were similar (p &gt; 0.05).</s:t>
        </s:is>
      </s:c>
    </s:row>
    <s:row r="327" ht="180" customFormat="1" customHeight="1" s="8">
      <s:c r="A327" s="11" t="inlineStr">
        <s:is>
          <s:t>2025::jama.2025.19563::C005</s:t>
        </s:is>
      </s:c>
      <s:c r="B327" s="11" t="n">
        <s:v>1</s:v>
      </s:c>
      <s:c r="C327" s="11" t="inlineStr">
        <s:is>
          <s:t>Reported-versus-comparator</s:t>
        </s:is>
      </s:c>
      <s:c r="D327" s="11" t="inlineStr">
        <s:is>
          <s:t>The no-significance sentence and its parenthetical inequality versus the same page's stated inequality convention.</s:t>
        </s:is>
      </s:c>
    </s:row>
    <s:row r="328" ht="180" customFormat="1" customHeight="1" s="8">
      <s:c r="A328" s="12" t="inlineStr">
        <s:is>
          <s:t>2025::jama.2025.19563::C005</s:t>
        </s:is>
      </s:c>
      <s:c r="B328" s="12" t="n">
        <s:v>2</s:v>
      </s:c>
      <s:c r="C328" s="12" t="inlineStr">
        <s:is>
          <s:t>Calculation</s:t>
        </s:is>
      </s:c>
      <s:c r="D328" s="12" t="inlineStr">
        <s:is>
          <s:t>0.014 &lt; 0.05; the page calls that a difference and uses p &gt; 0.05 for similarity.</s:t>
        </s:is>
      </s:c>
    </s:row>
    <s:row r="329" ht="180" customFormat="1" customHeight="1" s="8">
      <s:c r="A329" s="11" t="inlineStr">
        <s:is>
          <s:t>2025::jama.2025.19563::C005</s:t>
        </s:is>
      </s:c>
      <s:c r="B329" s="11" t="n">
        <s:v>3</s:v>
      </s:c>
      <s:c r="C329" s="11" t="inlineStr">
        <s:is>
          <s:t>Alternative source-grounded interpretations</s:t>
        </s:is>
      </s:c>
      <s:c r="D329" s="11" t="inlineStr">
        <s:is>
          <s:t>The less-than sign or sentence may be a typographical carryover, or an unstated test family/qualifier may be intended.</s:t>
        </s:is>
      </s:c>
    </s:row>
    <s:row r="330" ht="180" customFormat="1" customHeight="1" s="8">
      <s:c r="A330" s="12" t="inlineStr">
        <s:is>
          <s:t>2025::jama.2025.19563::C006</s:t>
        </s:is>
      </s:c>
      <s:c r="B330" s="12" t="n">
        <s:v>0</s:v>
      </s:c>
      <s:c r="C330" s="12" t="inlineStr">
        <s:is>
          <s:t>Source evidence</s:t>
        </s:is>
      </s:c>
      <s:c r="D330" s="12" t="inlineStr">
        <s:is>
          <s:t>The method description specifies chi-squared for the between-group prohibited-medication proportion. eTable 10b prints AI 6/183 (3.3%), human 7/185 (3.8%), P = .793, with a Wilcoxon rank-sum footnote.</s:t>
        </s:is>
      </s:c>
    </s:row>
    <s:row r="331" ht="180" customFormat="1" customHeight="1" s="8">
      <s:c r="A331" s="11" t="inlineStr">
        <s:is>
          <s:t>2025::jama.2025.19563::C006</s:t>
        </s:is>
      </s:c>
      <s:c r="B331" s="11" t="n">
        <s:v>1</s:v>
      </s:c>
      <s:c r="C331" s="11" t="inlineStr">
        <s:is>
          <s:t>Reported-versus-comparator</s:t>
        </s:is>
      </s:c>
      <s:c r="D331" s="11" t="inlineStr">
        <s:is>
          <s:t>The named-test label for the same randomized-arm binary proportion comparison in two supplement locations.</s:t>
        </s:is>
      </s:c>
    </s:row>
    <s:row r="332" ht="180" customFormat="1" customHeight="1" s="8">
      <s:c r="A332" s="12" t="inlineStr">
        <s:is>
          <s:t>2025::jama.2025.19563::C006</s:t>
        </s:is>
      </s:c>
      <s:c r="B332" s="12" t="n">
        <s:v>2</s:v>
      </s:c>
      <s:c r="C332" s="12" t="inlineStr">
        <s:is>
          <s:t>Calculation</s:t>
        </s:is>
      </s:c>
      <s:c r="D332" s="12" t="inlineStr">
        <s:is>
          <s:t>6/183 = 3.28% and 7/185 = 3.78%, consistent with displayed percentages. An ordinary uncorrected two-proportion/Pearson diagnostic is approximately compatible with .793, but cannot identify the generating procedure.</s:t>
        </s:is>
      </s:c>
    </s:row>
    <s:row r="333" ht="180" customFormat="1" customHeight="1" s="8">
      <s:c r="A333" s="11" t="inlineStr">
        <s:is>
          <s:t>2025::jama.2025.19563::C006</s:t>
        </s:is>
      </s:c>
      <s:c r="B333" s="11" t="n">
        <s:v>3</s:v>
      </s:c>
      <s:c r="C333" s="11" t="inlineStr">
        <s:is>
          <s:t>Alternative source-grounded interpretations</s:t>
        </s:is>
      </s:c>
      <s:c r="D333" s="11" t="inlineStr">
        <s:is>
          <s:t>The p. 29 description may be general, the p. 52 footnote may be copied, or a rank-based analysis of a binary indicator may have been used.</s:t>
        </s:is>
      </s:c>
    </s:row>
    <s:row r="334" ht="180" customFormat="1" customHeight="1" s="8">
      <s:c r="A334" s="12" t="inlineStr">
        <s:is>
          <s:t>2025::jama.2025.19563::C007</s:t>
        </s:is>
      </s:c>
      <s:c r="B334" s="12" t="n">
        <s:v>0</s:v>
      </s:c>
      <s:c r="C334" s="12" t="inlineStr">
        <s:is>
          <s:t>Source evidence</s:t>
        </s:is>
      </s:c>
      <s:c r="D334" s="12" t="inlineStr">
        <s:is>
          <s:t>The methods describe 20-set MICE with Rubin's rules. eTable 16 gives MI-pooled percentages 32.2% (AI) and 31.9% (human), a risk difference of -1.1 percentage points, and a one-sided 95% lower bound of -11.5.</s:t>
        </s:is>
      </s:c>
    </s:row>
    <s:row r="335" ht="180" customFormat="1" customHeight="1" s="8">
      <s:c r="A335" s="11" t="inlineStr">
        <s:is>
          <s:t>2025::jama.2025.19563::C007</s:t>
        </s:is>
      </s:c>
      <s:c r="B335" s="11" t="n">
        <s:v>1</s:v>
      </s:c>
      <s:c r="C335" s="11" t="inlineStr">
        <s:is>
          <s:t>Reported-versus-comparator</s:t>
        </s:is>
      </s:c>
      <s:c r="D335" s="11" t="inlineStr">
        <s:is>
          <s:t>The AI-minus-human risk-difference cell versus the direct subtraction of the displayed AI and human marginal percentages.</s:t>
        </s:is>
      </s:c>
    </s:row>
    <s:row r="336" ht="180" customFormat="1" customHeight="1" s="8">
      <s:c r="A336" s="12" t="inlineStr">
        <s:is>
          <s:t>2025::jama.2025.19563::C007</s:t>
        </s:is>
      </s:c>
      <s:c r="B336" s="12" t="n">
        <s:v>2</s:v>
      </s:c>
      <s:c r="C336" s="12" t="inlineStr">
        <s:is>
          <s:t>Calculation</s:t>
        </s:is>
      </s:c>
      <s:c r="D336" s="12" t="inlineStr">
        <s:is>
          <s:t>32.2 - 31.9 = +0.3 percentage points. Values rounding to 32.2% and 31.9% imply an underlying displayed-value difference of approximately +0.2 to +0.4 percentage points, so ordinary one-decimal rounding cannot directly yield -1.1.</s:t>
        </s:is>
      </s:c>
    </s:row>
    <s:row r="337" ht="180" customFormat="1" customHeight="1" s="8">
      <s:c r="A337" s="11" t="inlineStr">
        <s:is>
          <s:t>2025::jama.2025.19563::C007</s:t>
        </s:is>
      </s:c>
      <s:c r="B337" s="11" t="n">
        <s:v>3</s:v>
      </s:c>
      <s:c r="C337" s="11" t="inlineStr">
        <s:is>
          <s:t>Alternative source-grounded interpretations</s:t>
        </s:is>
      </s:c>
      <s:c r="D337" s="11" t="inlineStr">
        <s:is>
          <s:t>The risk difference may be adjusted or standardized under an unstated estimand, separately pooled on a different scale, use a reversed contrast, or reflect a production error. Full model, covariance, and per-imputation output are absent.</s:t>
        </s:is>
      </s:c>
    </s:row>
    <s:row r="338" ht="180" customFormat="1" customHeight="1" s="8">
      <s:c r="A338" s="12" t="inlineStr">
        <s:is>
          <s:t>2025::jama.2025.19843::C001</s:t>
        </s:is>
      </s:c>
      <s:c r="B338" s="12" t="n">
        <s:v>0</s:v>
      </s:c>
      <s:c r="C338" s="12" t="inlineStr">
        <s:is>
          <s:t>Source evidence</s:t>
        </s:is>
      </s:c>
      <s:c r="D338" s="12" t="inlineStr">
        <s:is>
          <s: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s:t>
        </s:is>
      </s:c>
    </s:row>
    <s:row r="339" ht="180" customFormat="1" customHeight="1" s="8">
      <s:c r="A339" s="11" t="inlineStr">
        <s:is>
          <s:t>2025::jama.2025.19843::C001</s:t>
        </s:is>
      </s:c>
      <s:c r="B339" s="11" t="n">
        <s:v>1</s:v>
      </s:c>
      <s:c r="C339" s="11" t="inlineStr">
        <s:is>
          <s:t>Reported-versus-comparator</s:t>
        </s:is>
      </s:c>
      <s:c r="D339" s="11" t="inlineStr">
        <s:is>
          <s:t>Reported prose P value: .78 for the day-60 mortality result in DOC-001. Comparator: .56, expressly labelled Log-rank, for the matched day-60 mortality panel in DOC-004 eFigure 2. The matched counts, endpoint, time point, group labels, and treatment contrast align.</s:t>
        </s:is>
      </s:c>
    </s:row>
    <s:row r="340" ht="180" customFormat="1" customHeight="1" s="8">
      <s:c r="A340" s="12" t="inlineStr">
        <s:is>
          <s:t>2025::jama.2025.19843::C001</s:t>
        </s:is>
      </s:c>
      <s:c r="B340" s="12" t="n">
        <s:v>2</s:v>
      </s:c>
      <s:c r="C340" s="12" t="inlineStr">
        <s:is>
          <s:t>Calculation</s:t>
        </s:is>
      </s:c>
      <s:c r="D340" s="12" t="inlineStr">
        <s:is>
          <s: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s:t>
        </s:is>
      </s:c>
    </s:row>
    <s:row r="341" ht="180" customFormat="1" customHeight="1" s="8">
      <s:c r="A341" s="11" t="inlineStr">
        <s:is>
          <s:t>2025::jama.2025.19843::C001</s:t>
        </s:is>
      </s:c>
      <s:c r="B341" s="11" t="n">
        <s:v>3</s:v>
      </s:c>
      <s:c r="C341" s="11" t="inlineStr">
        <s:is>
          <s:t>Alternative source-grounded interpretations</s:t>
        </s:is>
      </s:c>
      <s:c r="D341" s="11" t="inlineStr">
        <s:is>
          <s: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s:t>
        </s:is>
      </s:c>
    </s:row>
    <s:row r="342" ht="180" customFormat="1" customHeight="1" s="8">
      <s:c r="A342" s="12" t="inlineStr">
        <s:is>
          <s:t>2025::jama.2025.20765::C001</s:t>
        </s:is>
      </s:c>
      <s:c r="B342" s="12" t="n">
        <s:v>0</s:v>
      </s:c>
      <s:c r="C342" s="12" t="inlineStr">
        <s:is>
          <s:t>Source evidence</s:t>
        </s:is>
      </s:c>
      <s:c r="D342" s="12" t="inlineStr">
        <s:is>
          <s:t>Adjusted RR is printed as 2.8 (1.9 to 42); the same row's crude RR is 2.7 (1.8 to 4.1).</s:t>
        </s:is>
      </s:c>
    </s:row>
    <s:row r="343" ht="180" customFormat="1" customHeight="1" s="8">
      <s:c r="A343" s="11" t="inlineStr">
        <s:is>
          <s:t>2025::jama.2025.20765::C001</s:t>
        </s:is>
      </s:c>
      <s:c r="B343" s="11" t="n">
        <s:v>1</s:v>
      </s:c>
      <s:c r="C343" s="11" t="inlineStr">
        <s:is>
          <s:t>Reported-versus-comparator</s:t>
        </s:is>
      </s:c>
      <s:c r="D343" s="11" t="inlineStr">
        <s:is>
          <s:t>Printed upper endpoint 42 versus the same-row estimate and companion interval context.</s:t>
        </s:is>
      </s:c>
    </s:row>
    <s:row r="344" ht="180" customFormat="1" customHeight="1" s="8">
      <s:c r="A344" s="12" t="inlineStr">
        <s:is>
          <s:t>2025::jama.2025.20765::C001</s:t>
        </s:is>
      </s:c>
      <s:c r="B344" s="12" t="n">
        <s:v>2</s:v>
      </s:c>
      <s:c r="C344" s="12" t="inlineStr">
        <s:is>
          <s:t>Calculation</s:t>
        </s:is>
      </s:c>
      <s:c r="D344" s="12" t="inlineStr">
        <s:is>
          <s:t>42/2.8=15.0; 1.9/2.8=0.6786. Ordinary rounding cannot convert 42 to 4.2.</s:t>
        </s:is>
      </s:c>
    </s:row>
    <s:row r="345" ht="180" customFormat="1" customHeight="1" s="8">
      <s:c r="A345" s="11" t="inlineStr">
        <s:is>
          <s:t>2025::jama.2025.20765::C001</s:t>
        </s:is>
      </s:c>
      <s:c r="B345" s="11" t="n">
        <s:v>3</s:v>
      </s:c>
      <s:c r="C345" s="11" t="inlineStr">
        <s:is>
          <s:t>Alternative source-grounded interpretations</s:t>
        </s:is>
      </s:c>
      <s:c r="D345" s="11" t="inlineStr">
        <s:is>
          <s:t>A genuinely wide asymmetric interval remains possible under the stated mixed-effects model; the package lacks coefficient, SE, and model-output details.</s:t>
        </s:is>
      </s:c>
    </s:row>
    <s:row r="346" ht="180" customFormat="1" customHeight="1" s="8">
      <s:c r="A346" s="12" t="inlineStr">
        <s:is>
          <s:t>2025::jama.2025.20765::C002</s:t>
        </s:is>
      </s:c>
      <s:c r="B346" s="12" t="n">
        <s:v>0</s:v>
      </s:c>
      <s:c r="C346" s="12" t="inlineStr">
        <s:is>
          <s:t>Source evidence</s:t>
        </s:is>
      </s:c>
      <s:c r="D346" s="12" t="inlineStr">
        <s:is>
          <s:t>The discussion says 4.8% died of TB; Table 2 gives 25/720 and 27/360 deaths, and eTable 4 classifies 32/52 deaths as TB cause.</s:t>
        </s:is>
      </s:c>
    </s:row>
    <s:row r="347" ht="180" customFormat="1" customHeight="1" s="8">
      <s:c r="A347" s="11" t="inlineStr">
        <s:is>
          <s:t>2025::jama.2025.20765::C002</s:t>
        </s:is>
      </s:c>
      <s:c r="B347" s="11" t="n">
        <s:v>1</s:v>
      </s:c>
      <s:c r="C347" s="11" t="inlineStr">
        <s:is>
          <s:t>Reported-versus-comparator</s:t>
        </s:is>
      </s:c>
      <s:c r="D347" s="11" t="inlineStr">
        <s:is>
          <s:t>4.8% labelled TB deaths versus 52/1080 all-cause deaths and 32/1080 TB-cause deaths.</s:t>
        </s:is>
      </s:c>
    </s:row>
    <s:row r="348" ht="180" customFormat="1" customHeight="1" s="8">
      <s:c r="A348" s="12" t="inlineStr">
        <s:is>
          <s:t>2025::jama.2025.20765::C002</s:t>
        </s:is>
      </s:c>
      <s:c r="B348" s="12" t="n">
        <s:v>2</s:v>
      </s:c>
      <s:c r="C348" s="12" t="inlineStr">
        <s:is>
          <s:t>Calculation</s:t>
        </s:is>
      </s:c>
      <s:c r="D348" s="12" t="inlineStr">
        <s:is>
          <s:t>52/1080×100=4.81% (4.8%); 32/1080×100=2.96% (3.0%).</s:t>
        </s:is>
      </s:c>
    </s:row>
    <s:row r="349" ht="180" customFormat="1" customHeight="1" s="8">
      <s:c r="A349" s="11" t="inlineStr">
        <s:is>
          <s:t>2025::jama.2025.20765::C002</s:t>
        </s:is>
      </s:c>
      <s:c r="B349" s="11" t="n">
        <s:v>3</s:v>
      </s:c>
      <s:c r="C349" s="11" t="inlineStr">
        <s:is>
          <s:t>Alternative source-grounded interpretations</s:t>
        </s:is>
      </s:c>
      <s:c r="D349" s="11" t="inlineStr">
        <s:is>
          <s:t>“Died of TB” could be loose contextual wording; eTable 4 is the explicit cause classification and no alternate TB-death denominator is supplied.</s:t>
        </s:is>
      </s:c>
    </s:row>
    <s:row r="350" ht="180" customFormat="1" customHeight="1" s="8">
      <s:c r="A350" s="12" t="inlineStr">
        <s:is>
          <s:t>2025::jama.2025.20765::C003</s:t>
        </s:is>
      </s:c>
      <s:c r="B350" s="12" t="n">
        <s:v>0</s:v>
      </s:c>
      <s:c r="C350" s="12" t="inlineStr">
        <s:is>
          <s:t>Source evidence</s:t>
        </s:is>
      </s:c>
      <s:c r="D350" s="12" t="inlineStr">
        <s:is>
          <s:t>178 SMS over six months; first two months 4-5/day, next two 2-3/day, final two 1-2/week.</s:t>
        </s:is>
      </s:c>
    </s:row>
    <s:row r="351" ht="180" customFormat="1" customHeight="1" s="8">
      <s:c r="A351" s="11" t="inlineStr">
        <s:is>
          <s:t>2025::jama.2025.20765::C003</s:t>
        </s:is>
      </s:c>
      <s:c r="B351" s="11" t="n">
        <s:v>1</s:v>
      </s:c>
      <s:c r="C351" s="11" t="inlineStr">
        <s:is>
          <s:t>Reported-versus-comparator</s:t>
        </s:is>
      </s:c>
      <s:c r="D351" s="11" t="inlineStr">
        <s:is>
          <s:t>Printed total 178 versus the schedule's conservative minimum.</s:t>
        </s:is>
      </s:c>
    </s:row>
    <s:row r="352" ht="180" customFormat="1" customHeight="1" s="8">
      <s:c r="A352" s="12" t="inlineStr">
        <s:is>
          <s:t>2025::jama.2025.20765::C003</s:t>
        </s:is>
      </s:c>
      <s:c r="B352" s="12" t="n">
        <s:v>2</s:v>
      </s:c>
      <s:c r="C352" s="12" t="inlineStr">
        <s:is>
          <s:t>Calculation</s:t>
        </s:is>
      </s:c>
      <s:c r="D352" s="12" t="inlineStr">
        <s:is>
          <s:t>2×28×4 + 2×28×2 + 8×1=344, 166 above 178; at 30-day months, 368.</s:t>
        </s:is>
      </s:c>
    </s:row>
    <s:row r="353" ht="180" customFormat="1" customHeight="1" s="8">
      <s:c r="A353" s="11" t="inlineStr">
        <s:is>
          <s:t>2025::jama.2025.20765::C003</s:t>
        </s:is>
      </s:c>
      <s:c r="B353" s="11" t="n">
        <s:v>3</s:v>
      </s:c>
      <s:c r="C353" s="11" t="inlineStr">
        <s:is>
          <s:t>Alternative source-grounded interpretations</s:t>
        </s:is>
      </s:c>
      <s:c r="D353" s="11" t="inlineStr">
        <s:is>
          <s:t>“Message” may mean a send, template, or another undefined unit; frequency, duration, or total may be from unlabelled plan states.</s:t>
        </s:is>
      </s:c>
    </s:row>
    <s:row r="354" ht="180" customFormat="1" customHeight="1" s="8">
      <s:c r="A354" s="12" t="inlineStr">
        <s:is>
          <s:t>2025::jama.2025.20765::C004</s:t>
        </s:is>
      </s:c>
      <s:c r="B354" s="12" t="n">
        <s:v>0</s:v>
      </s:c>
      <s:c r="C354" s="12" t="inlineStr">
        <s:is>
          <s:t>Source evidence</s:t>
        </s:is>
      </s:c>
      <s:c r="D354" s="12" t="inlineStr">
        <s:is>
          <s:t>Both locations describe the 2,384-participant plan, approximately 50 recruits, 10% missing primary outcome, 16 pilot participants, and matching Phase-3/4 allocation assumptions, but list 44 and 48 sites.</s:t>
        </s:is>
      </s:c>
    </s:row>
    <s:row r="355" ht="180" customFormat="1" customHeight="1" s="8">
      <s:c r="A355" s="11" t="inlineStr">
        <s:is>
          <s:t>2025::jama.2025.20765::C004</s:t>
        </s:is>
      </s:c>
      <s:c r="B355" s="11" t="n">
        <s:v>1</s:v>
      </s:c>
      <s:c r="C355" s="11" t="inlineStr">
        <s:is>
          <s:t>Reported-versus-comparator</s:t>
        </s:is>
      </s:c>
      <s:c r="D355" s="11" t="inlineStr">
        <s:is>
          <s:t>44 versus 48 sites for the same printed plan.</s:t>
        </s:is>
      </s:c>
    </s:row>
    <s:row r="356" ht="180" customFormat="1" customHeight="1" s="8">
      <s:c r="A356" s="12" t="inlineStr">
        <s:is>
          <s:t>2025::jama.2025.20765::C004</s:t>
        </s:is>
      </s:c>
      <s:c r="B356" s="12" t="n">
        <s:v>2</s:v>
      </s:c>
      <s:c r="C356" s="12" t="inlineStr">
        <s:is>
          <s:t>Calculation</s:t>
        </s:is>
      </s:c>
      <s:c r="D356" s="12" t="inlineStr">
        <s:is>
          <s:t>2384/44=54.18; 2384/48=49.67; the latter aligns with approximately 50.</s:t>
        </s:is>
      </s:c>
    </s:row>
    <s:row r="357" ht="180" customFormat="1" customHeight="1" s="8">
      <s:c r="A357" s="11" t="inlineStr">
        <s:is>
          <s:t>2025::jama.2025.20765::C004</s:t>
        </s:is>
      </s:c>
      <s:c r="B357" s="11" t="n">
        <s:v>3</s:v>
      </s:c>
      <s:c r="C357" s="11" t="inlineStr">
        <s:is>
          <s:t>Alternative source-grounded interpretations</s:t>
        </s:is>
      </s:c>
      <s:c r="D357" s="11" t="inlineStr">
        <s:is>
          <s:t>Facility/clinic definitions or amendment chronology may differ but are not supplied.</s:t>
        </s:is>
      </s:c>
    </s:row>
    <s:row r="358" ht="180" customFormat="1" customHeight="1" s="8">
      <s:c r="A358" s="12" t="inlineStr">
        <s:is>
          <s:t>2025::jama.2025.20765::C005</s:t>
        </s:is>
      </s:c>
      <s:c r="B358" s="12" t="n">
        <s:v>0</s:v>
      </s:c>
      <s:c r="C358" s="12" t="inlineStr">
        <s:is>
          <s:t>Source evidence</s:t>
        </s:is>
      </s:c>
      <s:c r="D358" s="12" t="inlineStr">
        <s:is>
          <s:t>134 SMS over six months; first two months 4-5/day, next two 1-2/day, final two 1/week.</s:t>
        </s:is>
      </s:c>
    </s:row>
    <s:row r="359" ht="180" customFormat="1" customHeight="1" s="8">
      <s:c r="A359" s="11" t="inlineStr">
        <s:is>
          <s:t>2025::jama.2025.20765::C005</s:t>
        </s:is>
      </s:c>
      <s:c r="B359" s="11" t="n">
        <s:v>1</s:v>
      </s:c>
      <s:c r="C359" s="11" t="inlineStr">
        <s:is>
          <s:t>Reported-versus-comparator</s:t>
        </s:is>
      </s:c>
      <s:c r="D359" s="11" t="inlineStr">
        <s:is>
          <s:t>Printed total 134 versus schedule minimum.</s:t>
        </s:is>
      </s:c>
    </s:row>
    <s:row r="360" ht="180" customFormat="1" customHeight="1" s="8">
      <s:c r="A360" s="12" t="inlineStr">
        <s:is>
          <s:t>2025::jama.2025.20765::C005</s:t>
        </s:is>
      </s:c>
      <s:c r="B360" s="12" t="n">
        <s:v>2</s:v>
      </s:c>
      <s:c r="C360" s="12" t="inlineStr">
        <s:is>
          <s:t>Calculation</s:t>
        </s:is>
      </s:c>
      <s:c r="D360" s="12" t="inlineStr">
        <s:is>
          <s:t>2×28×4 + 2×28×1 + 8×1=288, 154 above 134; the 30-day calculation is 308.</s:t>
        </s:is>
      </s:c>
    </s:row>
    <s:row r="361" ht="180" customFormat="1" customHeight="1" s="8">
      <s:c r="A361" s="11" t="inlineStr">
        <s:is>
          <s:t>2025::jama.2025.20765::C005</s:t>
        </s:is>
      </s:c>
      <s:c r="B361" s="11" t="n">
        <s:v>3</s:v>
      </s:c>
      <s:c r="C361" s="11" t="inlineStr">
        <s:is>
          <s:t>Alternative source-grounded interpretations</s:t>
        </s:is>
      </s:c>
      <s:c r="D361" s="11" t="inlineStr">
        <s:is>
          <s:t>Unique-template versus send units or an unlabelled version may explain the text; p. 80 has a different 134-message schedule but does not label p. 53 as a separate plan state.</s:t>
        </s:is>
      </s:c>
    </s:row>
    <s:row r="362" ht="180" customFormat="1" customHeight="1" s="8">
      <s:c r="A362" s="12" t="inlineStr">
        <s:is>
          <s:t>2025::jama.2025.20765::C006</s:t>
        </s:is>
      </s:c>
      <s:c r="B362" s="12" t="n">
        <s:v>0</s:v>
      </s:c>
      <s:c r="C362" s="12" t="inlineStr">
        <s:is>
          <s:t>Source evidence</s:t>
        </s:is>
      </s:c>
      <s:c r="D362" s="12" t="inlineStr">
        <s:is>
          <s:t>Header 30%; narrative 20% in Phase 3 and all in Phase 4; equations 10×40×20%=80, 8×40×20%=64, 11×45=495, and 7×45=315.</s:t>
        </s:is>
      </s:c>
    </s:row>
    <s:row r="363" ht="180" customFormat="1" customHeight="1" s="8">
      <s:c r="A363" s="11" t="inlineStr">
        <s:is>
          <s:t>2025::jama.2025.20765::C006</s:t>
        </s:is>
      </s:c>
      <s:c r="B363" s="11" t="n">
        <s:v>1</s:v>
      </s:c>
      <s:c r="C363" s="11" t="inlineStr">
        <s:is>
          <s:t>Reported-versus-comparator</s:t>
        </s:is>
      </s:c>
      <s:c r="D363" s="11" t="inlineStr">
        <s:is>
          <s:t>30% header versus 20%/100% phase-specific calculation.</s:t>
        </s:is>
      </s:c>
    </s:row>
    <s:row r="364" ht="180" customFormat="1" customHeight="1" s="8">
      <s:c r="A364" s="12" t="inlineStr">
        <s:is>
          <s:t>2025::jama.2025.20765::C006</s:t>
        </s:is>
      </s:c>
      <s:c r="B364" s="12" t="n">
        <s:v>2</s:v>
      </s:c>
      <s:c r="C364" s="12" t="inlineStr">
        <s:is>
          <s:t>Calculation</s:t>
        </s:is>
      </s:c>
      <s:c r="D364" s="12" t="inlineStr">
        <s:is>
          <s:t>80+64=144=20% of 720 Phase-3 A participants; 495+315=810=100% of Phase-4 A participants.</s:t>
        </s:is>
      </s:c>
    </s:row>
    <s:row r="365" ht="180" customFormat="1" customHeight="1" s="8">
      <s:c r="A365" s="11" t="inlineStr">
        <s:is>
          <s:t>2025::jama.2025.20765::C006</s:t>
        </s:is>
      </s:c>
      <s:c r="B365" s="11" t="n">
        <s:v>3</s:v>
      </s:c>
      <s:c r="C365" s="11" t="inlineStr">
        <s:is>
          <s:t>Alternative source-grounded interpretations</s:t>
        </s:is>
      </s:c>
      <s:c r="D365" s="11" t="inlineStr">
        <s:is>
          <s:t>30% could refer to an unstated pooled or earlier target.</s:t>
        </s:is>
      </s:c>
    </s:row>
    <s:row r="366" ht="180" customFormat="1" customHeight="1" s="8">
      <s:c r="A366" s="12" t="inlineStr">
        <s:is>
          <s:t>2025::jama.2025.20765::C007</s:t>
        </s:is>
      </s:c>
      <s:c r="B366" s="12" t="n">
        <s:v>0</s:v>
      </s:c>
      <s:c r="C366" s="12" t="inlineStr">
        <s:is>
          <s:t>Source evidence</s:t>
        </s:is>
      </s:c>
      <s:c r="D366" s="12" t="inlineStr">
        <s:is>
          <s:t>p. 48 and the pp. 51-52 diagram give 2,716 participants, 63 sites (27+36), and approximately 43/site; p. 62 gives 2,716, approximately 50 from 48 clinics.</s:t>
        </s:is>
      </s:c>
    </s:row>
    <s:row r="367" ht="180" customFormat="1" customHeight="1" s="8">
      <s:c r="A367" s="11" t="inlineStr">
        <s:is>
          <s:t>2025::jama.2025.20765::C007</s:t>
        </s:is>
      </s:c>
      <s:c r="B367" s="11" t="n">
        <s:v>1</s:v>
      </s:c>
      <s:c r="C367" s="11" t="inlineStr">
        <s:is>
          <s:t>Reported-versus-comparator</s:t>
        </s:is>
      </s:c>
      <s:c r="D367" s="11" t="inlineStr">
        <s:is>
          <s:t>Same plan total with 48/~50 versus 63/~43.</s:t>
        </s:is>
      </s:c>
    </s:row>
    <s:row r="368" ht="180" customFormat="1" customHeight="1" s="8">
      <s:c r="A368" s="12" t="inlineStr">
        <s:is>
          <s:t>2025::jama.2025.20765::C007</s:t>
        </s:is>
      </s:c>
      <s:c r="B368" s="12" t="n">
        <s:v>2</s:v>
      </s:c>
      <s:c r="C368" s="12" t="inlineStr">
        <s:is>
          <s:t>Calculation</s:t>
        </s:is>
      </s:c>
      <s:c r="D368" s="12" t="inlineStr">
        <s:is>
          <s:t>2716/63=43.11; 2716/48=56.58; site counts differ by 15.</s:t>
        </s:is>
      </s:c>
    </s:row>
    <s:row r="369" ht="180" customFormat="1" customHeight="1" s="8">
      <s:c r="A369" s="11" t="inlineStr">
        <s:is>
          <s:t>2025::jama.2025.20765::C007</s:t>
        </s:is>
      </s:c>
      <s:c r="B369" s="11" t="n">
        <s:v>3</s:v>
      </s:c>
      <s:c r="C369" s="11" t="inlineStr">
        <s:is>
          <s:t>Alternative source-grounded interpretations</s:t>
        </s:is>
      </s:c>
      <s:c r="D369" s="11" t="inlineStr">
        <s:is>
          <s:t>The 48 clinics may be an unstated subset or earlier plan.</s:t>
        </s:is>
      </s:c>
    </s:row>
    <s:row r="370" ht="180" customFormat="1" customHeight="1" s="8">
      <s:c r="A370" s="12" t="inlineStr">
        <s:is>
          <s:t>2025::jama.2025.20765::C008</s:t>
        </s:is>
      </s:c>
      <s:c r="B370" s="12" t="n">
        <s:v>0</s:v>
      </s:c>
      <s:c r="C370" s="12" t="inlineStr">
        <s:is>
          <s:t>Source evidence</s:t>
        </s:is>
      </s:c>
      <s:c r="D370" s="12" t="inlineStr">
        <s:is>
          <s:t>864+(864×0.2)=1036; 1036/36=29; DE=1+0.02(29-1)=1.56; ESS=1036×1.56=1620; diagram 36×45=1620.</s:t>
        </s:is>
      </s:c>
    </s:row>
    <s:row r="371" ht="180" customFormat="1" customHeight="1" s="8">
      <s:c r="A371" s="11" t="inlineStr">
        <s:is>
          <s:t>2025::jama.2025.20765::C008</s:t>
        </s:is>
      </s:c>
      <s:c r="B371" s="11" t="n">
        <s:v>1</s:v>
      </s:c>
      <s:c r="C371" s="11" t="inlineStr">
        <s:is>
          <s:t>Reported-versus-comparator</s:t>
        </s:is>
      </s:c>
      <s:c r="D371" s="11" t="inlineStr">
        <s:is>
          <s:t>Displayed 1036×1.56=1620 versus exact product and the separate site-target total.</s:t>
        </s:is>
      </s:c>
    </s:row>
    <s:row r="372" ht="180" customFormat="1" customHeight="1" s="8">
      <s:c r="A372" s="12" t="inlineStr">
        <s:is>
          <s:t>2025::jama.2025.20765::C008</s:t>
        </s:is>
      </s:c>
      <s:c r="B372" s="12" t="n">
        <s:v>2</s:v>
      </s:c>
      <s:c r="C372" s="12" t="inlineStr">
        <s:is>
          <s:t>Calculation</s:t>
        </s:is>
      </s:c>
      <s:c r="D372" s="12" t="inlineStr">
        <s:is>
          <s:t>864×1.2=1036.8; 1036×1.56=1616.16; 36×45=1620.</s:t>
        </s:is>
      </s:c>
    </s:row>
    <s:row r="373" ht="180" customFormat="1" customHeight="1" s="8">
      <s:c r="A373" s="11" t="inlineStr">
        <s:is>
          <s:t>2025::jama.2025.20765::C008</s:t>
        </s:is>
      </s:c>
      <s:c r="B373" s="11" t="n">
        <s:v>3</s:v>
      </s:c>
      <s:c r="C373" s="11" t="inlineStr">
        <s:is>
          <s:t>Alternative source-grounded interpretations</s:t>
        </s:is>
      </s:c>
      <s:c r="D373" s="11" t="inlineStr">
        <s:is>
          <s:t>A cluster-level ceiling/allocation step can explain 1,620 but is not stated.</s:t>
        </s:is>
      </s:c>
    </s:row>
    <s:row r="374" ht="180" customFormat="1" customHeight="1" s="8">
      <s:c r="A374" s="12" t="inlineStr">
        <s:is>
          <s:t>2025::jama.2025.20765::C009</s:t>
        </s:is>
      </s:c>
      <s:c r="B374" s="12" t="n">
        <s:v>0</s:v>
      </s:c>
      <s:c r="C374" s="12" t="inlineStr">
        <s:is>
          <s:t>Source evidence</s:t>
        </s:is>
      </s:c>
      <s:c r="D374" s="12" t="inlineStr">
        <s:is>
          <s:t>Local text says Phase 4, noninferiority, A vs B, 36 sites, 1,620 participants; diagram says “Total clusters in Phase 3 (Superiority trial) = 36 sites.”</s:t>
        </s:is>
      </s:c>
    </s:row>
    <s:row r="375" ht="180" customFormat="1" customHeight="1" s="8">
      <s:c r="A375" s="11" t="inlineStr">
        <s:is>
          <s:t>2025::jama.2025.20765::C009</s:t>
        </s:is>
      </s:c>
      <s:c r="B375" s="11" t="n">
        <s:v>1</s:v>
      </s:c>
      <s:c r="C375" s="11" t="inlineStr">
        <s:is>
          <s:t>Reported-versus-comparator</s:t>
        </s:is>
      </s:c>
      <s:c r="D375" s="11" t="inlineStr">
        <s:is>
          <s:t>Phase-3/Superiority label versus local Phase-4/noninferiority plan.</s:t>
        </s:is>
      </s:c>
    </s:row>
    <s:row r="376" ht="180" customFormat="1" customHeight="1" s="8">
      <s:c r="A376" s="12" t="inlineStr">
        <s:is>
          <s:t>2025::jama.2025.20765::C009</s:t>
        </s:is>
      </s:c>
      <s:c r="B376" s="12" t="n">
        <s:v>2</s:v>
      </s:c>
      <s:c r="C376" s="12" t="inlineStr">
        <s:is>
          <s:t>Calculation</s:t>
        </s:is>
      </s:c>
      <s:c r="D376" s="12" t="inlineStr">
        <s:is>
          <s:t>18+18=36; 36×45=1620; the separate Phase-3 plan uses 27 sites and 1,080 participants.</s:t>
        </s:is>
      </s:c>
    </s:row>
    <s:row r="377" ht="180" customFormat="1" customHeight="1" s="8">
      <s:c r="A377" s="11" t="inlineStr">
        <s:is>
          <s:t>2025::jama.2025.20765::C009</s:t>
        </s:is>
      </s:c>
      <s:c r="B377" s="11" t="n">
        <s:v>3</s:v>
      </s:c>
      <s:c r="C377" s="11" t="inlineStr">
        <s:is>
          <s:t>Alternative source-grounded interpretations</s:t>
        </s:is>
      </s:c>
      <s:c r="D377" s="11" t="inlineStr">
        <s:is>
          <s:t>A carry-over caption is plausible but not established by the supplied record.</s:t>
        </s:is>
      </s:c>
    </s:row>
    <s:row r="378" ht="180" customFormat="1" customHeight="1" s="8">
      <s:c r="A378" s="12" t="inlineStr">
        <s:is>
          <s:t>2025::jama.2025.20765::C010</s:t>
        </s:is>
      </s:c>
      <s:c r="B378" s="12" t="n">
        <s:v>0</s:v>
      </s:c>
      <s:c r="C378" s="12" t="inlineStr">
        <s:is>
          <s:t>Source evidence</s:t>
        </s:is>
      </s:c>
      <s:c r="D378" s="12" t="inlineStr">
        <s:is>
          <s:t>p. 63 gives N=587+(587×0.2)=704, 27 sites, 704/27=26, DE=1+0.02(26−1)=1.50, and ESS=704×1.50≈1080 (40/site); p. 83 repeats 704, 26, DE 1.50, and 1080/40/site.</s:t>
        </s:is>
      </s:c>
    </s:row>
    <s:row r="379" ht="180" customFormat="1" customHeight="1" s="8">
      <s:c r="A379" s="11" t="inlineStr">
        <s:is>
          <s:t>2025::jama.2025.20765::C010</s:t>
        </s:is>
      </s:c>
      <s:c r="B379" s="11" t="n">
        <s:v>1</s:v>
      </s:c>
      <s:c r="C379" s="11" t="inlineStr">
        <s:is>
          <s:t>Reported-versus-comparator</s:t>
        </s:is>
      </s:c>
      <s:c r="D379" s="11" t="inlineStr">
        <s:is>
          <s:t>704×1.50≈1080 and “effective sample size” versus exact multiplication and the independent 27×40=1080 cluster allocation.</s:t>
        </s:is>
      </s:c>
    </s:row>
    <s:row r="380" ht="180" customFormat="1" customHeight="1" s="8">
      <s:c r="A380" s="12" t="inlineStr">
        <s:is>
          <s:t>2025::jama.2025.20765::C010</s:t>
        </s:is>
      </s:c>
      <s:c r="B380" s="12" t="n">
        <s:v>2</s:v>
      </s:c>
      <s:c r="C380" s="12" t="inlineStr">
        <s:is>
          <s:t>Calculation</s:t>
        </s:is>
      </s:c>
      <s:c r="D380" s="12" t="inlineStr">
        <s:is>
          <s:t>704×1.50=1056; 1080/704=1.5341; 27×40=1080.</s:t>
        </s:is>
      </s:c>
    </s:row>
    <s:row r="381" ht="180" customFormat="1" customHeight="1" s="8">
      <s:c r="A381" s="11" t="inlineStr">
        <s:is>
          <s:t>2025::jama.2025.20765::C010</s:t>
        </s:is>
      </s:c>
      <s:c r="B381" s="11" t="n">
        <s:v>3</s:v>
      </s:c>
      <s:c r="C381" s="11" t="inlineStr">
        <s:is>
          <s:t>Alternative source-grounded interpretations</s:t>
        </s:is>
      </s:c>
      <s:c r="D381" s="11" t="inlineStr">
        <s:is>
          <s:t>The 1,056 design-effect-inflated target may have been rounded upward to 40 per site; that is plausible but unstated, and 1,080 is not asserted impossible.</s:t>
        </s:is>
      </s:c>
    </s:row>
    <s:row r="382" ht="180" customFormat="1" customHeight="1" s="8">
      <s:c r="A382" s="12" t="inlineStr">
        <s:is>
          <s:t>2025::jama.2025.20765::C011</s:t>
        </s:is>
      </s:c>
      <s:c r="B382" s="12" t="n">
        <s:v>0</s:v>
      </s:c>
      <s:c r="C382" s="12" t="inlineStr">
        <s:is>
          <s:t>Source evidence</s:t>
        </s:is>
      </s:c>
      <s:c r="D382" s="12" t="inlineStr">
        <s:is>
          <s:t>MPSS has five domains rated on a 5-point scale and summed 5-35.</s:t>
        </s:is>
      </s:c>
    </s:row>
    <s:row r="383" ht="180" customFormat="1" customHeight="1" s="8">
      <s:c r="A383" s="11" t="inlineStr">
        <s:is>
          <s:t>2025::jama.2025.20765::C011</s:t>
        </s:is>
      </s:c>
      <s:c r="B383" s="11" t="n">
        <s:v>1</s:v>
      </s:c>
      <s:c r="C383" s="11" t="inlineStr">
        <s:is>
          <s:t>Reported-versus-comparator</s:t>
        </s:is>
      </s:c>
      <s:c r="D383" s="11" t="inlineStr">
        <s:is>
          <s:t>Printed 5-35 range versus the stated five-domain 5-point description.</s:t>
        </s:is>
      </s:c>
    </s:row>
    <s:row r="384" ht="180" customFormat="1" customHeight="1" s="8">
      <s:c r="A384" s="12" t="inlineStr">
        <s:is>
          <s:t>2025::jama.2025.20765::C011</s:t>
        </s:is>
      </s:c>
      <s:c r="B384" s="12" t="n">
        <s:v>2</s:v>
      </s:c>
      <s:c r="C384" s="12" t="inlineStr">
        <s:is>
          <s:t>Calculation</s:t>
        </s:is>
      </s:c>
      <s:c r="D384" s="12" t="inlineStr">
        <s:is>
          <s:t>Under ordinary 1-to-5 coding, five items span 5×1=5 to 5×5=25, not 35.</s:t>
        </s:is>
      </s:c>
    </s:row>
    <s:row r="385" ht="180" customFormat="1" customHeight="1" s="8">
      <s:c r="A385" s="11" t="inlineStr">
        <s:is>
          <s:t>2025::jama.2025.20765::C011</s:t>
        </s:is>
      </s:c>
      <s:c r="B385" s="11" t="n">
        <s:v>3</s:v>
      </s:c>
      <s:c r="C385" s="11" t="inlineStr">
        <s:is>
          <s:t>Alternative source-grounded interpretations</s:t>
        </s:is>
      </s:c>
      <s:c r="D385" s="11" t="inlineStr">
        <s:is>
          <s:t>Additional items, non-unit coding, weights, anchors, or transformation could yield 35; none is supplied.</s:t>
        </s:is>
      </s:c>
    </s:row>
    <s:row r="386" ht="180" customFormat="1" customHeight="1" s="8">
      <s:c r="A386" s="12" t="inlineStr">
        <s:is>
          <s:t>2025::jama.2025.20765::C012</s:t>
        </s:is>
      </s:c>
      <s:c r="B386" s="12" t="n">
        <s:v>0</s:v>
      </s:c>
      <s:c r="C386" s="12" t="inlineStr">
        <s:is>
          <s:t>Source evidence</s:t>
        </s:is>
      </s:c>
      <s:c r="D386" s="12" t="inlineStr">
        <s:is>
          <s:t>eTable 5 gives site 2008 recruitment/ITT denominator 40; eTable 6 gives 5 (7.5%) deaths without printing a denominator.</s:t>
        </s:is>
      </s:c>
    </s:row>
    <s:row r="387" ht="180" customFormat="1" customHeight="1" s="8">
      <s:c r="A387" s="11" t="inlineStr">
        <s:is>
          <s:t>2025::jama.2025.20765::C012</s:t>
        </s:is>
      </s:c>
      <s:c r="B387" s="11" t="n">
        <s:v>1</s:v>
      </s:c>
      <s:c r="C387" s="11" t="inlineStr">
        <s:is>
          <s:t>Reported-versus-comparator</s:t>
        </s:is>
      </s:c>
      <s:c r="D387" s="11" t="inlineStr">
        <s:is>
          <s:t>5 deaths (7.5%) versus matched same-site 40-person recruitment/ITT denominator.</s:t>
        </s:is>
      </s:c>
    </s:row>
    <s:row r="388" ht="180" customFormat="1" customHeight="1" s="8">
      <s:c r="A388" s="12" t="inlineStr">
        <s:is>
          <s:t>2025::jama.2025.20765::C012</s:t>
        </s:is>
      </s:c>
      <s:c r="B388" s="12" t="n">
        <s:v>2</s:v>
      </s:c>
      <s:c r="C388" s="12" t="inlineStr">
        <s:is>
          <s:t>Calculation</s:t>
        </s:is>
      </s:c>
      <s:c r="D388" s="12" t="inlineStr">
        <s:is>
          <s:t>If denominator is 40, 5/40×100=12.5%; 5/0.075=66.67, and no 66-67 site population is supplied.</s:t>
        </s:is>
      </s:c>
    </s:row>
    <s:row r="389" ht="180" customFormat="1" customHeight="1" s="8">
      <s:c r="A389" s="11" t="inlineStr">
        <s:is>
          <s:t>2025::jama.2025.20765::C012</s:t>
        </s:is>
      </s:c>
      <s:c r="B389" s="11" t="n">
        <s:v>3</s:v>
      </s:c>
      <s:c r="C389" s="11" t="inlineStr">
        <s:is>
          <s:t>Alternative source-grounded interpretations</s:t>
        </s:is>
      </s:c>
      <s:c r="D389" s="11" t="inlineStr">
        <s:is>
          <s:t>A distinct unprinted death denominator may exist.</s:t>
        </s:is>
      </s:c>
    </s:row>
    <s:row r="390" ht="180" customFormat="1" customHeight="1" s="8">
      <s:c r="A390" s="12" t="inlineStr">
        <s:is>
          <s:t>2025::jama.2025.20765::C013</s:t>
        </s:is>
      </s:c>
      <s:c r="B390" s="12" t="n">
        <s:v>0</s:v>
      </s:c>
      <s:c r="C390" s="12" t="inlineStr">
        <s:is>
          <s:t>Source evidence</s:t>
        </s:is>
      </s:c>
      <s:c r="D390" s="12" t="inlineStr">
        <s:is>
          <s:t>p. 16 says 178 SMS; pp. 53 and 80 say 134 with differing schedules; pp. 101-109 show a 1-134 log; main p. 3 reports 134 unique messages as 100+30+4.</s:t>
        </s:is>
      </s:c>
    </s:row>
    <s:row r="391" ht="180" customFormat="1" customHeight="1" s="8">
      <s:c r="A391" s="11" t="inlineStr">
        <s:is>
          <s:t>2025::jama.2025.20765::C013</s:t>
        </s:is>
      </s:c>
      <s:c r="B391" s="11" t="n">
        <s:v>1</s:v>
      </s:c>
      <s:c r="C391" s="11" t="inlineStr">
        <s:is>
          <s:t>Reported-versus-comparator</s:t>
        </s:is>
      </s:c>
      <s:c r="D391" s="11" t="inlineStr">
        <s:is>
          <s:t>178 versus 134 for matched six-month intervention dose.</s:t>
        </s:is>
      </s:c>
    </s:row>
    <s:row r="392" ht="180" customFormat="1" customHeight="1" s="8">
      <s:c r="A392" s="12" t="inlineStr">
        <s:is>
          <s:t>2025::jama.2025.20765::C013</s:t>
        </s:is>
      </s:c>
      <s:c r="B392" s="12" t="n">
        <s:v>2</s:v>
      </s:c>
      <s:c r="C392" s="12" t="inlineStr">
        <s:is>
          <s:t>Calculation</s:t>
        </s:is>
      </s:c>
      <s:c r="D392" s="12" t="inlineStr">
        <s:is>
          <s:t>178−134=44; 100+30+4=134; the log begins at 1 and ends at 134.</s:t>
        </s:is>
      </s:c>
    </s:row>
    <s:row r="393" ht="180" customFormat="1" customHeight="1" s="8">
      <s:c r="A393" s="11" t="inlineStr">
        <s:is>
          <s:t>2025::jama.2025.20765::C013</s:t>
        </s:is>
      </s:c>
      <s:c r="B393" s="11" t="n">
        <s:v>3</s:v>
      </s:c>
      <s:c r="C393" s="11" t="inlineStr">
        <s:is>
          <s:t>Alternative source-grounded interpretations</s:t>
        </s:is>
      </s:c>
      <s:c r="D393" s="11" t="inlineStr">
        <s:is>
          <s:t>A formal amendment is plausible, but supplied material does not explicitly link the 178-message passage to the later 134-message regimen or establish what participants received.</s:t>
        </s:is>
      </s:c>
    </s:row>
    <s:row r="394" ht="180" customFormat="1" customHeight="1" s="8">
      <s:c r="A394" s="12" t="inlineStr">
        <s:is>
          <s:t>2025::jama.2025.24175::C001</s:t>
        </s:is>
      </s:c>
      <s:c r="B394" s="12" t="n">
        <s:v>0</s:v>
      </s:c>
      <s:c r="C394" s="12" t="inlineStr">
        <s:is>
          <s:t>Source evidence</s:t>
        </s:is>
      </s:c>
      <s:c r="D394" s="12" t="inlineStr">
        <s:is>
          <s:t>Table 2 prints precision immunotherapy 52/131 (39.7%) versus placebo 34/145 (23.4%); the narrative prints 51 of 131 (39.7%) versus 34 of 145 (23.4%) for the same endpoint.</s:t>
        </s:is>
      </s:c>
    </s:row>
    <s:row r="395" ht="180" customFormat="1" customHeight="1" s="8">
      <s:c r="A395" s="11" t="inlineStr">
        <s:is>
          <s:t>2025::jama.2025.24175::C001</s:t>
        </s:is>
      </s:c>
      <s:c r="B395" s="11" t="n">
        <s:v>1</s:v>
      </s:c>
      <s:c r="C395" s="11" t="inlineStr">
        <s:is>
          <s:t>Reported-versus-comparator</s:t>
        </s:is>
      </s:c>
      <s:c r="D395" s="11" t="inlineStr">
        <s:is>
          <s:t>52/131 versus 51/131, with the same displayed 39.7% and placebo comparator.</s:t>
        </s:is>
      </s:c>
    </s:row>
    <s:row r="396" ht="180" customFormat="1" customHeight="1" s="8">
      <s:c r="A396" s="12" t="inlineStr">
        <s:is>
          <s:t>2025::jama.2025.24175::C001</s:t>
        </s:is>
      </s:c>
      <s:c r="B396" s="12" t="n">
        <s:v>2</s:v>
      </s:c>
      <s:c r="C396" s="12" t="inlineStr">
        <s:is>
          <s:t>Calculation</s:t>
        </s:is>
      </s:c>
      <s:c r="D396" s="12" t="inlineStr">
        <s:is>
          <s:t>52/131 = 39.6947% (39.7% rounded); 51/131 = 38.9313% (38.9% rounded). Table-2 counts yield crude OR (52x111)/(79x34) = 2.15.</s:t>
        </s:is>
      </s:c>
    </s:row>
    <s:row r="397" ht="180" customFormat="1" customHeight="1" s="8">
      <s:c r="A397" s="11" t="inlineStr">
        <s:is>
          <s:t>2025::jama.2025.24175::C001</s:t>
        </s:is>
      </s:c>
      <s:c r="B397" s="11" t="n">
        <s:v>3</s:v>
      </s:c>
      <s:c r="C397" s="11" t="inlineStr">
        <s:is>
          <s:t>Alternative source-grounded interpretations</s:t>
        </s:is>
      </s:c>
      <s:c r="D397" s="11" t="inlineStr">
        <s:is>
          <s:t>A table or narrative transcription error is possible; an undocumented analysis-set distinction is possible but both locations print denominator 131.</s:t>
        </s:is>
      </s:c>
    </s:row>
    <s:row r="398" ht="180" customFormat="1" customHeight="1" s="8">
      <s:c r="A398" s="12" t="inlineStr">
        <s:is>
          <s:t>2025::jama.2025.24175::C002</s:t>
        </s:is>
      </s:c>
      <s:c r="B398" s="12" t="n">
        <s:v>0</s:v>
      </s:c>
      <s:c r="C398" s="12" t="inlineStr">
        <s:is>
          <s:t>Source evidence</s:t>
        </s:is>
      </s:c>
      <s:c r="D398" s="12" t="inlineStr">
        <s:is>
          <s:t>Direct protocol rendering prints sc rhIFNgamma 100 micrograms once every other day; the report prints 100 micrograms every 48 hours for 15 days.</s:t>
        </s:is>
      </s:c>
    </s:row>
    <s:row r="399" ht="180" customFormat="1" customHeight="1" s="8">
      <s:c r="A399" s="11" t="inlineStr">
        <s:is>
          <s:t>2025::jama.2025.24175::C002</s:t>
        </s:is>
      </s:c>
      <s:c r="B399" s="11" t="n">
        <s:v>1</s:v>
      </s:c>
      <s:c r="C399" s="11" t="inlineStr">
        <s:is>
          <s:t>Reported-versus-comparator</s:t>
        </s:is>
      </s:c>
      <s:c r="D399" s="11" t="inlineStr">
        <s:is>
          <s:t>Directly printed 100 micrograms versus 100 micrograms, not the prior 100-versus-20 comparison.</s:t>
        </s:is>
      </s:c>
    </s:row>
    <s:row r="400" ht="180" customFormat="1" customHeight="1" s="8">
      <s:c r="A400" s="12" t="inlineStr">
        <s:is>
          <s:t>2025::jama.2025.24175::C002</s:t>
        </s:is>
      </s:c>
      <s:c r="B400" s="12" t="n">
        <s:v>2</s:v>
      </s:c>
      <s:c r="C400" s="12" t="inlineStr">
        <s:is>
          <s:t>Calculation</s:t>
        </s:is>
      </s:c>
      <s:c r="D400" s="12" t="inlineStr">
        <s:is>
          <s:t>100/100 = 1.</s:t>
        </s:is>
      </s:c>
    </s:row>
    <s:row r="401" ht="180" customFormat="1" customHeight="1" s="8">
      <s:c r="A401" s="11" t="inlineStr">
        <s:is>
          <s:t>2025::jama.2025.24175::C002</s:t>
        </s:is>
      </s:c>
      <s:c r="B401" s="11" t="n">
        <s:v>3</s:v>
      </s:c>
      <s:c r="C401" s="11" t="inlineStr">
        <s:is>
          <s:t>Alternative source-grounded interpretations</s:t>
        </s:is>
      </s:c>
      <s:c r="D401" s="11" t="inlineStr">
        <s:is>
          <s:t>The 20-microgram locator transcription may reflect font encoding; an unsupplied approved protocol version remains unavailable.</s:t>
        </s:is>
      </s:c>
    </s:row>
    <s:row r="402" ht="180" customFormat="1" customHeight="1" s="8">
      <s:c r="A402" s="12" t="inlineStr">
        <s:is>
          <s:t>2025::jama.2025.24175::C003</s:t>
        </s:is>
      </s:c>
      <s:c r="B402" s="12" t="n">
        <s:v>0</s:v>
      </s:c>
      <s:c r="C402" s="12" t="inlineStr">
        <s:is>
          <s:t>Source evidence</s:t>
        </s:is>
      </s:c>
      <s:c r="D402" s="12" t="inlineStr">
        <s:is>
          <s:t>Direct protocol, report, and SAP occurrences print a 1.4-point responder cutoff; SAP defines &gt;1.4 as achievement.</s:t>
        </s:is>
      </s:c>
    </s:row>
    <s:row r="403" ht="180" customFormat="1" customHeight="1" s="8">
      <s:c r="A403" s="11" t="inlineStr">
        <s:is>
          <s:t>2025::jama.2025.24175::C003</s:t>
        </s:is>
      </s:c>
      <s:c r="B403" s="11" t="n">
        <s:v>1</s:v>
      </s:c>
      <s:c r="C403" s="11" t="inlineStr">
        <s:is>
          <s:t>Reported-versus-comparator</s:t>
        </s:is>
      </s:c>
      <s:c r="D403" s="11" t="inlineStr">
        <s:is>
          <s:t>1.4 versus 1.4 in matched supplied sources, not 1.5 versus 1.4.</s:t>
        </s:is>
      </s:c>
    </s:row>
    <s:row r="404" ht="180" customFormat="1" customHeight="1" s="8">
      <s:c r="A404" s="12" t="inlineStr">
        <s:is>
          <s:t>2025::jama.2025.24175::C003</s:t>
        </s:is>
      </s:c>
      <s:c r="B404" s="12" t="n">
        <s:v>2</s:v>
      </s:c>
      <s:c r="C404" s="12" t="inlineStr">
        <s:is>
          <s:t>Calculation</s:t>
        </s:is>
      </s:c>
      <s:c r="D404" s="12" t="inlineStr">
        <s:is>
          <s:t>1.4 - 1.4 = 0.</s:t>
        </s:is>
      </s:c>
    </s:row>
    <s:row r="405" ht="180" customFormat="1" customHeight="1" s="8">
      <s:c r="A405" s="11" t="inlineStr">
        <s:is>
          <s:t>2025::jama.2025.24175::C003</s:t>
        </s:is>
      </s:c>
      <s:c r="B405" s="11" t="n">
        <s:v>3</s:v>
      </s:c>
      <s:c r="C405" s="11" t="inlineStr">
        <s:is>
          <s:t>Alternative source-grounded interpretations</s:t>
        </s:is>
      </s:c>
      <s:c r="D405" s="11" t="inlineStr">
        <s:is>
          <s:t>The 1.5 value may be derivative-text recognition error; an unsupplied protocol version may differ.</s:t>
        </s:is>
      </s:c>
    </s:row>
    <s:row r="406" ht="180" customFormat="1" customHeight="1" s="8">
      <s:c r="A406" s="12" t="inlineStr">
        <s:is>
          <s:t>2025::jama.2025.24175::C004</s:t>
        </s:is>
      </s:c>
      <s:c r="B406" s="12" t="n">
        <s:v>0</s:v>
      </s:c>
      <s:c r="C406" s="12" t="inlineStr">
        <s:is>
          <s:t>Source evidence</s:t>
        </s:is>
      </s:c>
      <s:c r="D406" s="12" t="inlineStr">
        <s:is>
          <s:t>Entry classification is ferritin at or below 4420 ng/mL plus HLA-DR below 5000 molecules/monocyte. SAP p. 69 prints restoration above 8000 for day-15 reversal.</s:t>
        </s:is>
      </s:c>
    </s:row>
    <s:row r="407" ht="180" customFormat="1" customHeight="1" s="8">
      <s:c r="A407" s="11" t="inlineStr">
        <s:is>
          <s:t>2025::jama.2025.24175::C004</s:t>
        </s:is>
      </s:c>
      <s:c r="B407" s="11" t="n">
        <s:v>1</s:v>
      </s:c>
      <s:c r="C407" s="11" t="inlineStr">
        <s:is>
          <s:t>Reported-versus-comparator</s:t>
        </s:is>
      </s:c>
      <s:c r="D407" s="11" t="inlineStr">
        <s:is>
          <s:t>Entry threshold 5000 versus separately defined reversal threshold 8000.</s:t>
        </s:is>
      </s:c>
    </s:row>
    <s:row r="408" ht="180" customFormat="1" customHeight="1" s="8">
      <s:c r="A408" s="12" t="inlineStr">
        <s:is>
          <s:t>2025::jama.2025.24175::C004</s:t>
        </s:is>
      </s:c>
      <s:c r="B408" s="12" t="n">
        <s:v>2</s:v>
      </s:c>
      <s:c r="C408" s="12" t="inlineStr">
        <s:is>
          <s:t>Calculation</s:t>
        </s:is>
      </s:c>
      <s:c r="D408" s="12" t="inlineStr">
        <s:is>
          <s:t>Matched entry sources agree at 5000; no 8000-versus-5000 entry comparison is present.</s:t>
        </s:is>
      </s:c>
    </s:row>
    <s:row r="409" ht="180" customFormat="1" customHeight="1" s="8">
      <s:c r="A409" s="11" t="inlineStr">
        <s:is>
          <s:t>2025::jama.2025.24175::C004</s:t>
        </s:is>
      </s:c>
      <s:c r="B409" s="11" t="n">
        <s:v>3</s:v>
      </s:c>
      <s:c r="C409" s="11" t="inlineStr">
        <s:is>
          <s:t>Alternative source-grounded interpretations</s:t>
        </s:is>
      </s:c>
      <s:c r="D409" s="11" t="inlineStr">
        <s:is>
          <s:t>The prior record may have transferred the reversal value into entry classification; an unsupplied entry definition is unavailable.</s:t>
        </s:is>
      </s:c>
    </s:row>
    <s:row r="410" ht="180" customFormat="1" customHeight="1" s="8">
      <s:c r="A410" s="12" t="inlineStr">
        <s:is>
          <s:t>2025::jama.2025.24175::C005</s:t>
        </s:is>
      </s:c>
      <s:c r="B410" s="12" t="n">
        <s:v>0</s:v>
      </s:c>
      <s:c r="C410" s="12" t="inlineStr">
        <s:is>
          <s:t>Source evidence</s:t>
        </s:is>
      </s:c>
      <s:c r="D410" s="12" t="inlineStr">
        <s:is>
          <s:t>The source does not print the prior 112-per-arm premise; it prints 117 patients per arm, about 15% dropout, and N=280.</s:t>
        </s:is>
      </s:c>
    </s:row>
    <s:row r="411" ht="180" customFormat="1" customHeight="1" s="8">
      <s:c r="A411" s="11" t="inlineStr">
        <s:is>
          <s:t>2025::jama.2025.24175::C005</s:t>
        </s:is>
      </s:c>
      <s:c r="B411" s="11" t="n">
        <s:v>1</s:v>
      </s:c>
      <s:c r="C411" s="11" t="inlineStr">
        <s:is>
          <s:t>Reported-versus-comparator</s:t>
        </s:is>
      </s:c>
      <s:c r="D411" s="11" t="inlineStr">
        <s:is>
          <s:t>Required analyzable total 234 versus planned randomization 280 under an approximate attrition statement.</s:t>
        </s:is>
      </s:c>
    </s:row>
    <s:row r="412" ht="180" customFormat="1" customHeight="1" s="8">
      <s:c r="A412" s="12" t="inlineStr">
        <s:is>
          <s:t>2025::jama.2025.24175::C005</s:t>
        </s:is>
      </s:c>
      <s:c r="B412" s="12" t="n">
        <s:v>2</s:v>
      </s:c>
      <s:c r="C412" s="12" t="inlineStr">
        <s:is>
          <s:t>Calculation</s:t>
        </s:is>
      </s:c>
      <s:c r="D412" s="12" t="inlineStr">
        <s:is>
          <s:t>2x117 = 234; 234/(1-.15) = 275.29 (conventionally at least 276); 1-234/280 = 16.43%.</s:t>
        </s:is>
      </s:c>
    </s:row>
    <s:row r="413" ht="180" customFormat="1" customHeight="1" s="8">
      <s:c r="A413" s="11" t="inlineStr">
        <s:is>
          <s:t>2025::jama.2025.24175::C005</s:t>
        </s:is>
      </s:c>
      <s:c r="B413" s="11" t="n">
        <s:v>3</s:v>
      </s:c>
      <s:c r="C413" s="11" t="inlineStr">
        <s:is>
          <s:t>Alternative source-grounded interpretations</s:t>
        </s:is>
      </s:c>
      <s:c r="D413" s="11" t="inlineStr">
        <s:is>
          <s:t>Conservative rounding to 280, approximately 16.4% attrition, or unstated block/operational inflation could explain the residual.</s:t>
        </s:is>
      </s:c>
    </s:row>
    <s:row r="414" ht="180" customFormat="1" customHeight="1" s="8">
      <s:c r="A414" s="12" t="inlineStr">
        <s:is>
          <s:t>2025::jama.2025.24175::C006</s:t>
        </s:is>
      </s:c>
      <s:c r="B414" s="12" t="n">
        <s:v>0</s:v>
      </s:c>
      <s:c r="C414" s="12" t="inlineStr">
        <s:is>
          <s:t>Source evidence</s:t>
        </s:is>
      </s:c>
      <s:c r="D414" s="12" t="inlineStr">
        <s:is>
          <s:t>Narrative reports 18/21 (85.7%) placebo and 14/15 (93.3%) personalized-immunotherapy deaths at 28 days; Figure 1 reports early termination because of death n=18 and n=11.</s:t>
        </s:is>
      </s:c>
    </s:row>
    <s:row r="415" ht="180" customFormat="1" customHeight="1" s="8">
      <s:c r="A415" s="11" t="inlineStr">
        <s:is>
          <s:t>2025::jama.2025.24175::C006</s:t>
        </s:is>
      </s:c>
      <s:c r="B415" s="11" t="n">
        <s:v>1</s:v>
      </s:c>
      <s:c r="C415" s="11" t="inlineStr">
        <s:is>
          <s:t>Reported-versus-comparator</s:t>
        </s:is>
      </s:c>
      <s:c r="D415" s="11" t="inlineStr">
        <s:is>
          <s:t>Personalized arm 14 versus 11; placebo count 18 agrees.</s:t>
        </s:is>
      </s:c>
    </s:row>
    <s:row r="416" ht="180" customFormat="1" customHeight="1" s="8">
      <s:c r="A416" s="12" t="inlineStr">
        <s:is>
          <s:t>2025::jama.2025.24175::C006</s:t>
        </s:is>
      </s:c>
      <s:c r="B416" s="12" t="n">
        <s:v>2</s:v>
      </s:c>
      <s:c r="C416" s="12" t="inlineStr">
        <s:is>
          <s:t>Calculation</s:t>
        </s:is>
      </s:c>
      <s:c r="D416" s="12" t="inlineStr">
        <s:is>
          <s:t>14/15 = 93.3%; 11/15 = 73.3%; difference = 3 people.</s:t>
        </s:is>
      </s:c>
    </s:row>
    <s:row r="417" ht="180" customFormat="1" customHeight="1" s="8">
      <s:c r="A417" s="11" t="inlineStr">
        <s:is>
          <s:t>2025::jama.2025.24175::C006</s:t>
        </s:is>
      </s:c>
      <s:c r="B417" s="11" t="n">
        <s:v>3</s:v>
      </s:c>
      <s:c r="C417" s="11" t="inlineStr">
        <s:is>
          <s:t>Alternative source-grounded interpretations</s:t>
        </s:is>
      </s:c>
      <s:c r="D417" s="11" t="inlineStr">
        <s:is>
          <s:t>Figure 1 may represent a shorter intervention-termination window; its time window is not stated.</s:t>
        </s:is>
      </s:c>
    </s:row>
    <s:row r="418" ht="180" customFormat="1" customHeight="1" s="8">
      <s:c r="A418" s="12" t="inlineStr">
        <s:is>
          <s:t>2025::jama.2025.24175::C007</s:t>
        </s:is>
      </s:c>
      <s:c r="B418" s="12" t="n">
        <s:v>0</s:v>
      </s:c>
      <s:c r="C418" s="12" t="inlineStr">
        <s:is>
          <s:t>Source evidence</s:t>
        </s:is>
      </s:c>
      <s:c r="D418" s="12" t="inlineStr">
        <s:is>
          <s:t>Placebo n=21, 18.2 +/- 8.7; personalized immunotherapy n=15, 30.5 +/- 9.4; P=.376; footnote identifies Student t test.</s:t>
        </s:is>
      </s:c>
    </s:row>
    <s:row r="419" ht="180" customFormat="1" customHeight="1" s="8">
      <s:c r="A419" s="11" t="inlineStr">
        <s:is>
          <s:t>2025::jama.2025.24175::C007</s:t>
        </s:is>
      </s:c>
      <s:c r="B419" s="11" t="n">
        <s:v>1</s:v>
      </s:c>
      <s:c r="C419" s="11" t="inlineStr">
        <s:is>
          <s:t>Reported-versus-comparator</s:t>
        </s:is>
      </s:c>
      <s:c r="D419" s="11" t="inlineStr">
        <s:is>
          <s:t>Printed P=.376 versus diagnostics from the displayed group summaries and named test.</s:t>
        </s:is>
      </s:c>
    </s:row>
    <s:row r="420" ht="180" customFormat="1" customHeight="1" s="8">
      <s:c r="A420" s="12" t="inlineStr">
        <s:is>
          <s:t>2025::jama.2025.24175::C007</s:t>
        </s:is>
      </s:c>
      <s:c r="B420" s="12" t="n">
        <s:v>2</s:v>
      </s:c>
      <s:c r="C420" s="12" t="inlineStr">
        <s:is>
          <s:t>Calculation</s:t>
        </s:is>
      </s:c>
      <s:c r="D420" s="12" t="inlineStr">
        <s:is>
          <s:t>Pooled SD about 9.00, SE about 3.04, t about 4.05 (34 df; two-sided P about .0003); Welch t about 3.99 (about 29 df; P about .0004).</s:t>
        </s:is>
      </s:c>
    </s:row>
    <s:row r="421" ht="180" customFormat="1" customHeight="1" s="8">
      <s:c r="A421" s="11" t="inlineStr">
        <s:is>
          <s:t>2025::jama.2025.24175::C007</s:t>
        </s:is>
      </s:c>
      <s:c r="B421" s="11" t="n">
        <s:v>3</s:v>
      </s:c>
      <s:c r="C421" s="11" t="inlineStr">
        <s:is>
          <s:t>Alternative source-grounded interpretations</s:t>
        </s:is>
      </s:c>
      <s:c r="D421" s="11" t="inlineStr">
        <s:is>
          <s:t>P may be transposed, an input may be inaccurate, or an unreported transformed/different dataset analysis may have been used.</s:t>
        </s:is>
      </s:c>
    </s:row>
    <s:row r="422" ht="180" customFormat="1" customHeight="1" s="8">
      <s:c r="A422" s="12" t="inlineStr">
        <s:is>
          <s:t>2025::jama.2025.24175::C008</s:t>
        </s:is>
      </s:c>
      <s:c r="B422" s="12" t="n">
        <s:v>0</s:v>
      </s:c>
      <s:c r="C422" s="12" t="inlineStr">
        <s:is>
          <s:t>Source evidence</s:t>
        </s:is>
      </s:c>
      <s:c r="D422" s="12" t="inlineStr">
        <s:is>
          <s:t>Parent septic shock =177; children MALS 44 (24.8%), immunoparalysis 2 (1.1%), intermediate 132 (74.0%).</s:t>
        </s:is>
      </s:c>
    </s:row>
    <s:row r="423" ht="180" customFormat="1" customHeight="1" s="8">
      <s:c r="A423" s="11" t="inlineStr">
        <s:is>
          <s:t>2025::jama.2025.24175::C008</s:t>
        </s:is>
      </s:c>
      <s:c r="B423" s="11" t="n">
        <s:v>1</s:v>
      </s:c>
      <s:c r="C423" s="11" t="inlineStr">
        <s:is>
          <s:t>Reported-versus-comparator</s:t>
        </s:is>
      </s:c>
      <s:c r="D423" s="11" t="inlineStr">
        <s:is>
          <s:t>Parent 177 versus displayed child total 178.</s:t>
        </s:is>
      </s:c>
    </s:row>
    <s:row r="424" ht="180" customFormat="1" customHeight="1" s="8">
      <s:c r="A424" s="12" t="inlineStr">
        <s:is>
          <s:t>2025::jama.2025.24175::C008</s:t>
        </s:is>
      </s:c>
      <s:c r="B424" s="12" t="n">
        <s:v>2</s:v>
      </s:c>
      <s:c r="C424" s="12" t="inlineStr">
        <s:is>
          <s:t>Calculation</s:t>
        </s:is>
      </s:c>
      <s:c r="D424" s="12" t="inlineStr">
        <s:is>
          <s:t>44+2+132 = 178; percentages total 99.9% from rounding, but integer children exceed parent by one.</s:t>
        </s:is>
      </s:c>
    </s:row>
    <s:row r="425" ht="180" customFormat="1" customHeight="1" s="8">
      <s:c r="A425" s="11" t="inlineStr">
        <s:is>
          <s:t>2025::jama.2025.24175::C008</s:t>
        </s:is>
      </s:c>
      <s:c r="B425" s="11" t="n">
        <s:v>3</s:v>
      </s:c>
      <s:c r="C425" s="11" t="inlineStr">
        <s:is>
          <s:t>Alternative source-grounded interpretations</s:t>
        </s:is>
      </s:c>
      <s:c r="D425" s="11" t="inlineStr">
        <s:is>
          <s:t>One count or parent total may be typographic, or an unstated overlap/unclassified case may exist.</s:t>
        </s:is>
      </s:c>
    </s:row>
    <s:row r="426" ht="180" customFormat="1" customHeight="1" s="8">
      <s:c r="A426" s="12" t="inlineStr">
        <s:is>
          <s:t>2025::jama.2025.24175::C009</s:t>
        </s:is>
      </s:c>
      <s:c r="B426" s="12" t="n">
        <s:v>0</s:v>
      </s:c>
      <s:c r="C426" s="12" t="inlineStr">
        <s:is>
          <s:t>Source evidence</s:t>
        </s:is>
      </s:c>
      <s:c r="D426" s="12" t="inlineStr">
        <s:is>
          <s:t>Protocol and SAP design print 24 sites, SAP model text says 31 participated, and the report prints 33 sites.</s:t>
        </s:is>
      </s:c>
    </s:row>
    <s:row r="427" ht="180" customFormat="1" customHeight="1" s="8">
      <s:c r="A427" s="11" t="inlineStr">
        <s:is>
          <s:t>2025::jama.2025.24175::C009</s:t>
        </s:is>
      </s:c>
      <s:c r="B427" s="11" t="n">
        <s:v>1</s:v>
      </s:c>
      <s:c r="C427" s="11" t="inlineStr">
        <s:is>
          <s:t>Reported-versus-comparator</s:t>
        </s:is>
      </s:c>
      <s:c r="D427" s="11" t="inlineStr">
        <s:is>
          <s:t>Repaired direct values 24, 31, and 33; prior 28 and report p.1 citation were not reproduced.</s:t>
        </s:is>
      </s:c>
    </s:row>
    <s:row r="428" ht="180" customFormat="1" customHeight="1" s="8">
      <s:c r="A428" s="12" t="inlineStr">
        <s:is>
          <s:t>2025::jama.2025.24175::C009</s:t>
        </s:is>
      </s:c>
      <s:c r="B428" s="12" t="n">
        <s:v>2</s:v>
      </s:c>
      <s:c r="C428" s="12" t="inlineStr">
        <s:is>
          <s:t>Calculation</s:t>
        </s:is>
      </s:c>
      <s:c r="D428" s="12" t="inlineStr">
        <s:is>
          <s:t>The three integers cannot be reconciled by rounding; protocol and SAP design share 24.</s:t>
        </s:is>
      </s:c>
    </s:row>
    <s:row r="429" ht="180" customFormat="1" customHeight="1" s="8">
      <s:c r="A429" s="11" t="inlineStr">
        <s:is>
          <s:t>2025::jama.2025.24175::C009</s:t>
        </s:is>
      </s:c>
      <s:c r="B429" s="11" t="n">
        <s:v>3</s:v>
      </s:c>
      <s:c r="C429" s="11" t="inlineStr">
        <s:is>
          <s:t>Alternative source-grounded interpretations</s:t>
        </s:is>
      </s:c>
      <s:c r="D429" s="11" t="inlineStr">
        <s:is>
          <s:t>They may describe different operational milestones, but chronology and definitions are absent.</s:t>
        </s:is>
      </s:c>
    </s:row>
    <s:row r="430" ht="180" customFormat="1" customHeight="1" s="8">
      <s:c r="A430" s="12" t="inlineStr">
        <s:is>
          <s:t>2025::jama.2025.24175::C010</s:t>
        </s:is>
      </s:c>
      <s:c r="B430" s="12" t="n">
        <s:v>0</s:v>
      </s:c>
      <s:c r="C430" s="12" t="inlineStr">
        <s:is>
          <s:t>Source evidence</s:t>
        </s:is>
      </s:c>
      <s:c r="D430" s="12" t="inlineStr">
        <s:is>
          <s:t>Figure 2C shows 69/103 deaths versus 37/89 and labels RR_death 2.82 (1.58-5.14), P&lt;.0001; Figure 3 prints HR 2.82 (1.58-5.14).</s:t>
        </s:is>
      </s:c>
    </s:row>
    <s:row r="431" ht="180" customFormat="1" customHeight="1" s="8">
      <s:c r="A431" s="11" t="inlineStr">
        <s:is>
          <s:t>2025::jama.2025.24175::C010</s:t>
        </s:is>
      </s:c>
      <s:c r="B431" s="11" t="n">
        <s:v>1</s:v>
      </s:c>
      <s:c r="C431" s="11" t="inlineStr">
        <s:is>
          <s:t>Reported-versus-comparator</s:t>
        </s:is>
      </s:c>
      <s:c r="D431" s="11" t="inlineStr">
        <s:is>
          <s:t>RR label/value 2.82 versus crude RR 1.61 and identical nearby HR 2.82.</s:t>
        </s:is>
      </s:c>
    </s:row>
    <s:row r="432" ht="180" customFormat="1" customHeight="1" s="8">
      <s:c r="A432" s="12" t="inlineStr">
        <s:is>
          <s:t>2025::jama.2025.24175::C010</s:t>
        </s:is>
      </s:c>
      <s:c r="B432" s="12" t="n">
        <s:v>2</s:v>
      </s:c>
      <s:c r="C432" s="12" t="inlineStr">
        <s:is>
          <s:t>Calculation</s:t>
        </s:is>
      </s:c>
      <s:c r="D432" s="12" t="inlineStr">
        <s:is>
          <s:t>(69/103)/(37/89) = 1.61; (69x52)/(34x37) = 2.85, compatible with 2.82.</s:t>
        </s:is>
      </s:c>
    </s:row>
    <s:row r="433" ht="180" customFormat="1" customHeight="1" s="8">
      <s:c r="A433" s="11" t="inlineStr">
        <s:is>
          <s:t>2025::jama.2025.24175::C010</s:t>
        </s:is>
      </s:c>
      <s:c r="B433" s="11" t="n">
        <s:v>3</s:v>
      </s:c>
      <s:c r="C433" s="11" t="inlineStr">
        <s:is>
          <s:t>Alternative source-grounded interpretations</s:t>
        </s:is>
      </s:c>
      <s:c r="D433" s="11" t="inlineStr">
        <s:is>
          <s:t>The value may be HR, OR, another model output, or paired with count rows from a different analysis; source does not resolve it. P&lt;.0001 is threshold notation and not this card's basis.</s:t>
        </s:is>
      </s:c>
    </s:row>
    <s:row r="434" ht="180" customFormat="1" customHeight="1" s="8">
      <s:c r="A434" s="12" t="inlineStr">
        <s:is>
          <s:t>2025::jama.2025.24175::C011</s:t>
        </s:is>
      </s:c>
      <s:c r="B434" s="12" t="n">
        <s:v>0</s:v>
      </s:c>
      <s:c r="C434" s="12" t="inlineStr">
        <s:is>
          <s:t>Source evidence</s:t>
        </s:is>
      </s:c>
      <s:c r="D434" s="12" t="inlineStr">
        <s:is>
          <s:t>SII day-15 row prints 40/106 versus 29/122, OR 1.194 (1.09-3.45), P=.030.</s:t>
        </s:is>
      </s:c>
    </s:row>
    <s:row r="435" ht="180" customFormat="1" customHeight="1" s="8">
      <s:c r="A435" s="11" t="inlineStr">
        <s:is>
          <s:t>2025::jama.2025.24175::C011</s:t>
        </s:is>
      </s:c>
      <s:c r="B435" s="11" t="n">
        <s:v>1</s:v>
      </s:c>
      <s:c r="C435" s="11" t="inlineStr">
        <s:is>
          <s:t>Reported-versus-comparator</s:t>
        </s:is>
      </s:c>
      <s:c r="D435" s="11" t="inlineStr">
        <s:is>
          <s:t>Printed 1.194 versus count-derived OR about 1.94 and CI log midpoint about 1.94.</s:t>
        </s:is>
      </s:c>
    </s:row>
    <s:row r="436" ht="180" customFormat="1" customHeight="1" s="8">
      <s:c r="A436" s="12" t="inlineStr">
        <s:is>
          <s:t>2025::jama.2025.24175::C011</s:t>
        </s:is>
      </s:c>
      <s:c r="B436" s="12" t="n">
        <s:v>2</s:v>
      </s:c>
      <s:c r="C436" s="12" t="inlineStr">
        <s:is>
          <s:t>Calculation</s:t>
        </s:is>
      </s:c>
      <s:c r="D436" s="12" t="inlineStr">
        <s:is>
          <s:t>(40x93)/(66x29) = 1.94; sqrt(1.09x3.45) about 1.94.</s:t>
        </s:is>
      </s:c>
    </s:row>
    <s:row r="437" ht="180" customFormat="1" customHeight="1" s="8">
      <s:c r="A437" s="11" t="inlineStr">
        <s:is>
          <s:t>2025::jama.2025.24175::C011</s:t>
        </s:is>
      </s:c>
      <s:c r="B437" s="11" t="n">
        <s:v>3</s:v>
      </s:c>
      <s:c r="C437" s="11" t="inlineStr">
        <s:is>
          <s:t>Alternative source-grounded interpretations</s:t>
        </s:is>
      </s:c>
      <s:c r="D437" s="11" t="inlineStr">
        <s:is>
          <s:t>Decimal/transcription error or a differently defined analysis pairing may explain the row.</s:t>
        </s:is>
      </s:c>
    </s:row>
    <s:row r="438" ht="180" customFormat="1" customHeight="1" s="8">
      <s:c r="A438" s="12" t="inlineStr">
        <s:is>
          <s:t>2025::jama.2025.24175::C012</s:t>
        </s:is>
      </s:c>
      <s:c r="B438" s="12" t="n">
        <s:v>0</s:v>
      </s:c>
      <s:c r="C438" s="12" t="inlineStr">
        <s:is>
          <s:t>Source evidence</s:t>
        </s:is>
      </s:c>
      <s:c r="D438" s="12" t="inlineStr">
        <s:is>
          <s:t>eFigure 7B prints APACHE 0.47 and interaction 1.85; CCI 0.22 and interaction 5.79; SOFA 0.56 and interaction 3.08, with their CIs/P values. eFigure 8B repeats all six rows exactly under a 28-day mortality caption; A panels have different event/total data.</s:t>
        </s:is>
      </s:c>
    </s:row>
    <s:row r="439" ht="180" customFormat="1" customHeight="1" s="8">
      <s:c r="A439" s="11" t="inlineStr">
        <s:is>
          <s:t>2025::jama.2025.24175::C012</s:t>
        </s:is>
      </s:c>
      <s:c r="B439" s="11" t="n">
        <s:v>1</s:v>
      </s:c>
      <s:c r="C439" s="11" t="inlineStr">
        <s:is>
          <s:t>Reported-versus-comparator</s:t>
        </s:is>
      </s:c>
      <s:c r="D439" s="11" t="inlineStr">
        <s:is>
          <s:t>Complete six-row primary-endpoint output versus identical six-row 28-day-mortality output.</s:t>
        </s:is>
      </s:c>
    </s:row>
    <s:row r="440" ht="180" customFormat="1" customHeight="1" s="8">
      <s:c r="A440" s="12" t="inlineStr">
        <s:is>
          <s:t>2025::jama.2025.24175::C012</s:t>
        </s:is>
      </s:c>
      <s:c r="B440" s="12" t="n">
        <s:v>2</s:v>
      </s:c>
      <s:c r="C440" s="12" t="inlineStr">
        <s:is>
          <s:t>Calculation</s:t>
        </s:is>
      </s:c>
      <s:c r="D440" s="12" t="inlineStr">
        <s:is>
          <s:t>Six point estimates, intervals, and P values are identical across the two panels.</s:t>
        </s:is>
      </s:c>
    </s:row>
    <s:row r="441" ht="180" customFormat="1" customHeight="1" s="8">
      <s:c r="A441" s="11" t="inlineStr">
        <s:is>
          <s:t>2025::jama.2025.24175::C012</s:t>
        </s:is>
      </s:c>
      <s:c r="B441" s="11" t="n">
        <s:v>3</s:v>
      </s:c>
      <s:c r="C441" s="11" t="inlineStr">
        <s:is>
          <s:t>Alternative source-grounded interpretations</s:t>
        </s:is>
      </s:c>
      <s:c r="D441" s="11" t="inlineStr">
        <s:is>
          <s:t>A copied panel or incorrect caption is possible; source-production files are unavailable and no specific mechanism is established.</s:t>
        </s:is>
      </s:c>
    </s:row>
    <s:row r="442" ht="180" customFormat="1" customHeight="1" s="8">
      <s:c r="A442" s="12" t="inlineStr">
        <s:is>
          <s:t>2025::jama.2025.24175::C013</s:t>
        </s:is>
      </s:c>
      <s:c r="B442" s="12" t="n">
        <s:v>0</s:v>
      </s:c>
      <s:c r="C442" s="12" t="inlineStr">
        <s:is>
          <s:t>Source evidence</s:t>
        </s:is>
      </s:c>
      <s:c r="D442" s="12" t="inlineStr">
        <s:is>
          <s:t>APACHE II &gt;=25 interaction row prints OR 0.11, 95% CI 0.36-3.42, P=.86.</s:t>
        </s:is>
      </s:c>
    </s:row>
    <s:row r="443" ht="180" customFormat="1" customHeight="1" s="8">
      <s:c r="A443" s="11" t="inlineStr">
        <s:is>
          <s:t>2025::jama.2025.24175::C013</s:t>
        </s:is>
      </s:c>
      <s:c r="B443" s="11" t="n">
        <s:v>1</s:v>
      </s:c>
      <s:c r="C443" s="11" t="inlineStr">
        <s:is>
          <s:t>Reported-versus-comparator</s:t>
        </s:is>
      </s:c>
      <s:c r="D443" s="11" t="inlineStr">
        <s:is>
          <s:t>Point estimate 0.11 versus interval lower endpoint 0.36.</s:t>
        </s:is>
      </s:c>
    </s:row>
    <s:row r="444" ht="180" customFormat="1" customHeight="1" s="8">
      <s:c r="A444" s="12" t="inlineStr">
        <s:is>
          <s:t>2025::jama.2025.24175::C013</s:t>
        </s:is>
      </s:c>
      <s:c r="B444" s="12" t="n">
        <s:v>2</s:v>
      </s:c>
      <s:c r="C444" s="12" t="inlineStr">
        <s:is>
          <s:t>Calculation</s:t>
        </s:is>
      </s:c>
      <s:c r="D444" s="12" t="inlineStr">
        <s:is>
          <s:t>0.11 &lt; 0.36; rounding cannot span the difference.</s:t>
        </s:is>
      </s:c>
    </s:row>
    <s:row r="445" ht="180" customFormat="1" customHeight="1" s="8">
      <s:c r="A445" s="11" t="inlineStr">
        <s:is>
          <s:t>2025::jama.2025.24175::C013</s:t>
        </s:is>
      </s:c>
      <s:c r="B445" s="11" t="n">
        <s:v>3</s:v>
      </s:c>
      <s:c r="C445" s="11" t="inlineStr">
        <s:is>
          <s:t>Alternative source-grounded interpretations</s:t>
        </s:is>
      </s:c>
      <s:c r="D445" s="11" t="inlineStr">
        <s:is>
          <s:t>A point estimate, endpoint, or row alignment may be wrong; source does not identify which component.</s:t>
        </s:is>
      </s:c>
    </s:row>
    <s:row r="446" ht="180" customFormat="1" customHeight="1" s="8">
      <s:c r="A446" s="12" t="inlineStr">
        <s:is>
          <s:t>2025::jama.2025.24175::C014</s:t>
        </s:is>
      </s:c>
      <s:c r="B446" s="12" t="n">
        <s:v>0</s:v>
      </s:c>
      <s:c r="C446" s="12" t="inlineStr">
        <s:is>
          <s:t>Source evidence</s:t>
        </s:is>
      </s:c>
      <s:c r="D446" s="12" t="inlineStr">
        <s:is>
          <s:t>Actual p.41 pairs are 18/21 (85.7%) and 14/15 (93.3%) and reconcile. The alleged p.42 pairs are absent; p.48 values 10 (47.6%) and 12 (80.0%) are unrelated rows.</s:t>
        </s:is>
      </s:c>
    </s:row>
    <s:row r="447" ht="180" customFormat="1" customHeight="1" s="8">
      <s:c r="A447" s="11" t="inlineStr">
        <s:is>
          <s:t>2025::jama.2025.24175::C014</s:t>
        </s:is>
      </s:c>
      <s:c r="B447" s="11" t="n">
        <s:v>1</s:v>
      </s:c>
      <s:c r="C447" s="11" t="inlineStr">
        <s:is>
          <s:t>Reported-versus-comparator</s:t>
        </s:is>
      </s:c>
      <s:c r="D447" s="11" t="inlineStr">
        <s:is>
          <s:t>Unsupported assembled alleged pairs versus directly printed coherent p.41 mortality pairs.</s:t>
        </s:is>
      </s:c>
    </s:row>
    <s:row r="448" ht="180" customFormat="1" customHeight="1" s="8">
      <s:c r="A448" s="12" t="inlineStr">
        <s:is>
          <s:t>2025::jama.2025.24175::C014</s:t>
        </s:is>
      </s:c>
      <s:c r="B448" s="12" t="n">
        <s:v>2</s:v>
      </s:c>
      <s:c r="C448" s="12" t="inlineStr">
        <s:is>
          <s:t>Calculation</s:t>
        </s:is>
      </s:c>
      <s:c r="D448" s="12" t="inlineStr">
        <s:is>
          <s:t>18/21 = 85.7%; 14/15 = 93.3%.</s:t>
        </s:is>
      </s:c>
    </s:row>
    <s:row r="449" ht="180" customFormat="1" customHeight="1" s="8">
      <s:c r="A449" s="11" t="inlineStr">
        <s:is>
          <s:t>2025::jama.2025.24175::C014</s:t>
        </s:is>
      </s:c>
      <s:c r="B449" s="11" t="n">
        <s:v>3</s:v>
      </s:c>
      <s:c r="C449" s="11" t="inlineStr">
        <s:is>
          <s:t>Alternative source-grounded interpretations</s:t>
        </s:is>
      </s:c>
      <s:c r="D449" s="11" t="inlineStr">
        <s:is>
          <s:t>The prior record may have combined a Figure 1 count with unrelated Table 2 values and a shifted page citation; an outside source is unavailable.</s:t>
        </s:is>
      </s:c>
    </s:row>
    <s:row r="450" ht="180" customFormat="1" customHeight="1" s="8">
      <s:c r="A450" s="12" t="inlineStr">
        <s:is>
          <s:t>2025::jama.2025.4390::C001</s:t>
        </s:is>
      </s:c>
      <s:c r="B450" s="12" t="n">
        <s:v>0</s:v>
      </s:c>
      <s:c r="C450" s="12" t="inlineStr">
        <s:is>
          <s:t>Source evidence</s:t>
        </s:is>
      </s:c>
      <s:c r="D450" s="12" t="inlineStr">
        <s:is>
          <s: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s:t>
        </s:is>
      </s:c>
    </s:row>
    <s:row r="451" ht="180" customFormat="1" customHeight="1" s="8">
      <s:c r="A451" s="11" t="inlineStr">
        <s:is>
          <s:t>2025::jama.2025.4390::C001</s:t>
        </s:is>
      </s:c>
      <s:c r="B451" s="11" t="n">
        <s:v>1</s:v>
      </s:c>
      <s:c r="C451" s="11" t="inlineStr">
        <s:is>
          <s:t>Reported-versus-comparator</s:t>
        </s:is>
      </s:c>
      <s:c r="D451" s="11" t="inlineStr">
        <s:is>
          <s:t>Reported Figure 3 values: 71.0/71.0 under the printed rate header. Matched comparator: Table 2 2.30/2.44 per 100 patient-years, with abstract/narrative rounding to 2.3/2.4.</s:t>
        </s:is>
      </s:c>
    </s:row>
    <s:row r="452" ht="180" customFormat="1" customHeight="1" s="8">
      <s:c r="A452" s="12" t="inlineStr">
        <s:is>
          <s:t>2025::jama.2025.4390::C001</s:t>
        </s:is>
      </s:c>
      <s:c r="B452" s="12" t="n">
        <s:v>2</s:v>
      </s:c>
      <s:c r="C452" s="12" t="inlineStr">
        <s:is>
          <s:t>Calculation</s:t>
        </s:is>
      </s:c>
      <s:c r="D452" s="12" t="inlineStr">
        <s:is>
          <s: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s:t>
        </s:is>
      </s:c>
    </s:row>
    <s:row r="453" ht="180" customFormat="1" customHeight="1" s="8">
      <s:c r="A453" s="11" t="inlineStr">
        <s:is>
          <s:t>2025::jama.2025.4390::C001</s:t>
        </s:is>
      </s:c>
      <s:c r="B453" s="11" t="n">
        <s:v>3</s:v>
      </s:c>
      <s:c r="C453" s="11" t="inlineStr">
        <s:is>
          <s:t>Alternative source-grounded interpretations</s:t>
        </s:is>
      </s:c>
      <s:c r="D453" s="11" t="inlineStr">
        <s:is>
          <s:t>The values may represent an unlabeled exposure quantity, the Figure 3 column header may be mislabeled, a figure value may have entered production incorrectly, or the figure may use an unreported denominator. The supplied package does not identify which display is authoritative.</s:t>
        </s:is>
      </s:c>
    </s:row>
    <s:row r="454" ht="180" customFormat="1" customHeight="1" s="8">
      <s:c r="A454" s="12" t="inlineStr">
        <s:is>
          <s:t>2025::jama.2025.4390::C002</s:t>
        </s:is>
      </s:c>
      <s:c r="B454" s="12" t="n">
        <s:v>0</s:v>
      </s:c>
      <s:c r="C454" s="12" t="inlineStr">
        <s:is>
          <s:t>Source evidence</s:t>
        </s:is>
      </s:c>
      <s:c r="D454" s="12" t="inlineStr">
        <s:is>
          <s:t>eFigure 4 identifies PM as the bedtime group and prints diuretic counts 278 as allocated, 138 off allocation, and 8 twice or more daily. eTable 6 reports the same bedtime diuretic total of 424 as 277/424 (65.3%) as allocated, 139/424 (32.8%) off allocation, and 8/424 (1.9%) twice or more daily.</s:t>
        </s:is>
      </s:c>
    </s:row>
    <s:row r="455" ht="180" customFormat="1" customHeight="1" s="8">
      <s:c r="A455" s="11" t="inlineStr">
        <s:is>
          <s:t>2025::jama.2025.4390::C002</s:t>
        </s:is>
      </s:c>
      <s:c r="B455" s="11" t="n">
        <s:v>1</s:v>
      </s:c>
      <s:c r="C455" s="11" t="inlineStr">
        <s:is>
          <s:t>Reported-versus-comparator</s:t>
        </s:is>
      </s:c>
      <s:c r="D455" s="11" t="inlineStr">
        <s:is>
          <s:t>Reported figure triplet: 278/138/8. Matched table triplet: 277/139/8 of 424, with the stated percentages.</s:t>
        </s:is>
      </s:c>
    </s:row>
    <s:row r="456" ht="180" customFormat="1" customHeight="1" s="8">
      <s:c r="A456" s="12" t="inlineStr">
        <s:is>
          <s:t>2025::jama.2025.4390::C002</s:t>
        </s:is>
      </s:c>
      <s:c r="B456" s="12" t="n">
        <s:v>2</s:v>
      </s:c>
      <s:c r="C456" s="12" t="inlineStr">
        <s:is>
          <s:t>Calculation</s:t>
        </s:is>
      </s:c>
      <s:c r="D456" s="12" t="inlineStr">
        <s:is>
          <s: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s:t>
        </s:is>
      </s:c>
    </s:row>
    <s:row r="457" ht="180" customFormat="1" customHeight="1" s="8">
      <s:c r="A457" s="11" t="inlineStr">
        <s:is>
          <s:t>2025::jama.2025.4390::C002</s:t>
        </s:is>
      </s:c>
      <s:c r="B457" s="11" t="n">
        <s:v>3</s:v>
      </s:c>
      <s:c r="C457" s="11" t="inlineStr">
        <s:is>
          <s:t>Alternative source-grounded interpretations</s:t>
        </s:is>
      </s:c>
      <s:c r="D457" s="11" t="inlineStr">
        <s:is>
          <s:t>One medication may have been recoded between as-allocated and off-allocation, the displays may use undisclosed data cuts, or one figure/table value may have changed during production. Both triplets are compatible with the shared total; the source does not select an intended triplet.</s:t>
        </s:is>
      </s:c>
    </s:row>
    <s:row r="458" ht="180" customFormat="1" customHeight="1" s="8">
      <s:c r="A458" s="12" t="inlineStr">
        <s:is>
          <s:t>2025::jama.2025.4390::C003</s:t>
        </s:is>
      </s:c>
      <s:c r="B458" s="12" t="n">
        <s:v>0</s:v>
      </s:c>
      <s:c r="C458" s="12" t="inlineStr">
        <s:is>
          <s:t>Source evidence</s:t>
        </s:is>
      </s:c>
      <s:c r="D458" s="12" t="inlineStr">
        <s:is>
          <s: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s:t>
        </s:is>
      </s:c>
    </s:row>
    <s:row r="459" ht="180" customFormat="1" customHeight="1" s="8">
      <s:c r="A459" s="11" t="inlineStr">
        <s:is>
          <s:t>2025::jama.2025.4390::C003</s:t>
        </s:is>
      </s:c>
      <s:c r="B459" s="11" t="n">
        <s:v>1</s:v>
      </s:c>
      <s:c r="C459" s="11" t="inlineStr">
        <s:is>
          <s:t>Reported-versus-comparator</s:t>
        </s:is>
      </s:c>
      <s:c r="D459" s="11" t="inlineStr">
        <s:is>
          <s:t>Reported eTable 5 Other row: morning 40 (90.9%) and bedtime 53 (93.0%), identical to White/Caucasian. Matched parent-arm comparator: eTable 3 Other counts of 5 morning and 9 bedtime.</s:t>
        </s:is>
      </s:c>
    </s:row>
    <s:row r="460" ht="180" customFormat="1" customHeight="1" s="8">
      <s:c r="A460" s="12" t="inlineStr">
        <s:is>
          <s:t>2025::jama.2025.4390::C003</s:t>
        </s:is>
      </s:c>
      <s:c r="B460" s="12" t="n">
        <s:v>2</s:v>
      </s:c>
      <s:c r="C460" s="12" t="inlineStr">
        <s:is>
          <s:t>Calculation</s:t>
        </s:is>
      </s:c>
      <s:c r="D460" s="12" t="inlineStr">
        <s:is>
          <s: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s:t>
        </s:is>
      </s:c>
    </s:row>
    <s:row r="461" ht="180" customFormat="1" customHeight="1" s="8">
      <s:c r="A461" s="11" t="inlineStr">
        <s:is>
          <s:t>2025::jama.2025.4390::C003</s:t>
        </s:is>
      </s:c>
      <s:c r="B461" s="11" t="n">
        <s:v>3</s:v>
      </s:c>
      <s:c r="C461" s="11" t="inlineStr">
        <s:is>
          <s:t>Alternative source-grounded interpretations</s:t>
        </s:is>
      </s:c>
      <s:c r="D461" s="11" t="inlineStr">
        <s:is>
          <s: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s:t>
        </s:is>
      </s:c>
    </s:row>
    <s:row r="462" ht="180" customFormat="1" customHeight="1" s="8">
      <s:c r="A462" s="12" t="inlineStr">
        <s:is>
          <s:t>2025::jama.2025.7583::C001</s:t>
        </s:is>
      </s:c>
      <s:c r="B462" s="12" t="n">
        <s:v>0</s:v>
      </s:c>
      <s:c r="C462" s="12" t="inlineStr">
        <s:is>
          <s:t>Source evidence</s:t>
        </s:is>
      </s:c>
      <s:c r="D462" s="12" t="inlineStr">
        <s:is>
          <s:t>The main article prints “5 mm or greater”; protocol pp. 7 and 16 and the results supplement print &gt;=5 mm; the SAP prints &gt;5 mm. Each occurrence is the same six-month homolateral-CSDH primary-endpoint imaging component, alongside the same symptomatic-CSDH alternative.</s:t>
        </s:is>
      </s:c>
    </s:row>
    <s:row r="463" ht="180" customFormat="1" customHeight="1" s="8">
      <s:c r="A463" s="11" t="inlineStr">
        <s:is>
          <s:t>2025::jama.2025.7583::C001</s:t>
        </s:is>
      </s:c>
      <s:c r="B463" s="11" t="n">
        <s:v>1</s:v>
      </s:c>
      <s:c r="C463" s="11" t="inlineStr">
        <s:is>
          <s:t>Reported-versus-comparator</s:t>
        </s:is>
      </s:c>
      <s:c r="D463" s="11" t="inlineStr">
        <s:is>
          <s:t>The inclusive &gt;=5 mm wording in the main article, protocol, and results supplement is compared with the SAP’s strict &gt;5 mm wording.</s:t>
        </s:is>
      </s:c>
    </s:row>
    <s:row r="464" ht="180" customFormat="1" customHeight="1" s="8">
      <s:c r="A464" s="12" t="inlineStr">
        <s:is>
          <s:t>2025::jama.2025.7583::C001</s:t>
        </s:is>
      </s:c>
      <s:c r="B464" s="12" t="n">
        <s:v>2</s:v>
      </s:c>
      <s:c r="C464" s="12" t="inlineStr">
        <s:is>
          <s:t>Calculation</s:t>
        </s:is>
      </s:c>
      <s:c r="D464" s="12" t="inlineStr">
        <s:is>
          <s:t>For shift x, x &gt;= 5 includes x = 5; x &gt; 5 excludes x = 5. The set difference is the boundary value alone. Rounding cannot reconcile the two operators.</s:t>
        </s:is>
      </s:c>
    </s:row>
    <s:row r="465" ht="180" customFormat="1" customHeight="1" s="8">
      <s:c r="A465" s="11" t="inlineStr">
        <s:is>
          <s:t>2025::jama.2025.7583::C001</s:t>
        </s:is>
      </s:c>
      <s:c r="B465" s="11" t="n">
        <s:v>3</s:v>
      </s:c>
      <s:c r="C465" s="11" t="inlineStr">
        <s:is>
          <s:t>Alternative source-grounded interpretations</s:t>
        </s:is>
      </s:c>
      <s:c r="D465" s="11" t="inlineStr">
        <s:is>
          <s: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s:t>
        </s:is>
      </s:c>
    </s:row>
    <s:row r="466" ht="180" customFormat="1" customHeight="1" s="8">
      <s:c r="A466" s="12" t="inlineStr">
        <s:is>
          <s:t>2025::jama.2025.7583::C002</s:t>
        </s:is>
      </s:c>
      <s:c r="B466" s="12" t="n">
        <s:v>0</s:v>
      </s:c>
      <s:c r="C466" s="12" t="inlineStr">
        <s:is>
          <s:t>Source evidence</s:t>
        </s:is>
      </s:c>
      <s:c r="D466" s="12" t="inlineStr">
        <s:is>
          <s:t>Protocol and SAP print 142 required participants per group, a 20% loss-to-follow-up assumption, and 342 total participants (171 per group); the main article repeats the 20% allowance and total 342. The protocol and SAP state that 142 per group accounts for the planned sequential tests.</s:t>
        </s:is>
      </s:c>
    </s:row>
    <s:row r="467" ht="180" customFormat="1" customHeight="1" s="8">
      <s:c r="A467" s="11" t="inlineStr">
        <s:is>
          <s:t>2025::jama.2025.7583::C002</s:t>
        </s:is>
      </s:c>
      <s:c r="B467" s="11" t="n">
        <s:v>1</s:v>
      </s:c>
      <s:c r="C467" s="11" t="inlineStr">
        <s:is>
          <s:t>Reported-versus-comparator</s:t>
        </s:is>
      </s:c>
      <s:c r="D467" s="11" t="inlineStr">
        <s:is>
          <s:t>Printed enrollment is 171 per group/342 total. The comparator is the enrollment required to retain 142 per group after a stated 20% loss fraction.</s:t>
        </s:is>
      </s:c>
    </s:row>
    <s:row r="468" ht="180" customFormat="1" customHeight="1" s="8">
      <s:c r="A468" s="12" t="inlineStr">
        <s:is>
          <s:t>2025::jama.2025.7583::C002</s:t>
        </s:is>
      </s:c>
      <s:c r="B468" s="12" t="n">
        <s:v>2</s:v>
      </s:c>
      <s:c r="C468" s="12" t="inlineStr">
        <s:is>
          <s:t>Calculation</s:t>
        </s:is>
      </s:c>
      <s:c r="D468" s="12" t="inlineStr">
        <s:is>
          <s: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s:t>
        </s:is>
      </s:c>
    </s:row>
    <s:row r="469" ht="180" customFormat="1" customHeight="1" s="8">
      <s:c r="A469" s="11" t="inlineStr">
        <s:is>
          <s:t>2025::jama.2025.7583::C002</s:t>
        </s:is>
      </s:c>
      <s:c r="B469" s="11" t="n">
        <s:v>3</s:v>
      </s:c>
      <s:c r="C469" s="11" t="inlineStr">
        <s:is>
          <s:t>Alternative source-grounded interpretations</s:t>
        </s:is>
      </s:c>
      <s:c r="D469" s="11" t="inlineStr">
        <s:is>
          <s: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s:t>
        </s:is>
      </s:c>
    </s:row>
    <s:row r="470" ht="180" customFormat="1" customHeight="1" s="8">
      <s:c r="A470" s="12" t="inlineStr">
        <s:is>
          <s:t>2025::jama.2025.7583::C003</s:t>
        </s:is>
      </s:c>
      <s:c r="B470" s="12" t="n">
        <s:v>0</s:v>
      </s:c>
      <s:c r="C470" s="12" t="inlineStr">
        <s:is>
          <s:t>Source evidence</s:t>
        </s:is>
      </s:c>
      <s:c r="D470" s="12" t="inlineStr">
        <s:is>
          <s:t>The standard-care column prints 146/163 (89.6%) for trepanation burr-hole craniostomy and 18/163 (11.0%) for trephine craniostomy. The header defines entries as No./total No. (%); footnote e describes procedures performed either with a cranial drill or a skull trephine cylindrical saw.</s:t>
        </s:is>
      </s:c>
    </s:row>
    <s:row r="471" ht="180" customFormat="1" customHeight="1" s="8">
      <s:c r="A471" s="11" t="inlineStr">
        <s:is>
          <s:t>2025::jama.2025.7583::C003</s:t>
        </s:is>
      </s:c>
      <s:c r="B471" s="11" t="n">
        <s:v>1</s:v>
      </s:c>
      <s:c r="C471" s="11" t="inlineStr">
        <s:is>
          <s:t>Reported-versus-comparator</s:t>
        </s:is>
      </s:c>
      <s:c r="D471" s="11" t="inlineStr">
        <s:is>
          <s:t>The two printed numerators, 146 and 18, are compared with their repeated denominator, 163, under the table’s participant-framed No./total No. (%) presentation.</s:t>
        </s:is>
      </s:c>
    </s:row>
    <s:row r="472" ht="180" customFormat="1" customHeight="1" s="8">
      <s:c r="A472" s="12" t="inlineStr">
        <s:is>
          <s:t>2025::jama.2025.7583::C003</s:t>
        </s:is>
      </s:c>
      <s:c r="B472" s="12" t="n">
        <s:v>2</s:v>
      </s:c>
      <s:c r="C472" s="12" t="inlineStr">
        <s:is>
          <s:t>Calculation</s:t>
        </s:is>
      </s:c>
      <s:c r="D472" s="12" t="inlineStr">
        <s:is>
          <s:t>146 + 18 = 164, one above 163. 146 / 163 * 100 = 89.570...% rounds to 89.6%, and 18 / 163 * 100 = 11.042...% rounds to 11.0%; the printed percentages sum to 100.6%. Rounding cannot remove the one-membership integer excess.</s:t>
        </s:is>
      </s:c>
    </s:row>
    <s:row r="473" ht="180" customFormat="1" customHeight="1" s="8">
      <s:c r="A473" s="11" t="inlineStr">
        <s:is>
          <s:t>2025::jama.2025.7583::C003</s:t>
        </s:is>
      </s:c>
      <s:c r="B473" s="11" t="n">
        <s:v>3</s:v>
      </s:c>
      <s:c r="C473" s="11" t="inlineStr">
        <s:is>
          <s:t>Alternative source-grounded interpretations</s:t>
        </s:is>
      </s:c>
      <s:c r="D473" s="11" t="inlineStr">
        <s:is>
          <s:t>A participant with bilateral surgery could have received different techniques and been counted in both rows, allowing 164 row memberships among 163 participants. Alternatively, a printed numerator or denominator may need correction. The package does not establish either explanation.</s:t>
        </s:is>
      </s:c>
    </s:row>
    <s:row r="474" ht="180" customFormat="1" customHeight="1" s="8">
      <s:c r="A474" s="12" t="inlineStr">
        <s:is>
          <s:t>2025::jama.2025.7710::C001</s:t>
        </s:is>
      </s:c>
      <s:c r="B474" s="12" t="n">
        <s:v>0</s:v>
      </s:c>
      <s:c r="C474" s="12" t="inlineStr">
        <s:is>
          <s:t>Source evidence</s:t>
        </s:is>
      </s:c>
      <s:c r="D474" s="12" t="inlineStr">
        <s:is>
          <s: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s:t>
        </s:is>
      </s:c>
    </s:row>
    <s:row r="475" ht="180" customFormat="1" customHeight="1" s="8">
      <s:c r="A475" s="11" t="inlineStr">
        <s:is>
          <s:t>2025::jama.2025.7710::C001</s:t>
        </s:is>
      </s:c>
      <s:c r="B475" s="11" t="n">
        <s:v>1</s:v>
      </s:c>
      <s:c r="C475" s="11" t="inlineStr">
        <s:is>
          <s:t>Reported-versus-comparator</s:t>
        </s:is>
      </s:c>
      <s:c r="D475" s="11" t="inlineStr">
        <s:is>
          <s:t>Reported: 2024/25 dollars (p. 16). Comparator: 2023/24 dollars (p. 17).</s:t>
        </s:is>
      </s:c>
    </s:row>
    <s:row r="476" ht="180" customFormat="1" customHeight="1" s="8">
      <s:c r="A476" s="12" t="inlineStr">
        <s:is>
          <s:t>2025::jama.2025.7710::C001</s:t>
        </s:is>
      </s:c>
      <s:c r="B476" s="12" t="n">
        <s:v>2</s:v>
      </s:c>
      <s:c r="C476" s="12" t="inlineStr">
        <s:is>
          <s:t>Calculation</s:t>
        </s:is>
      </s:c>
      <s:c r="D476" s="12" t="inlineStr">
        <s:is>
          <s:t>2024/25 is not equal to 2023/24; no rounding or transformation is involved.</s:t>
        </s:is>
      </s:c>
    </s:row>
    <s:row r="477" ht="180" customFormat="1" customHeight="1" s="8">
      <s:c r="A477" s="11" t="inlineStr">
        <s:is>
          <s:t>2025::jama.2025.7710::C001</s:t>
        </s:is>
      </s:c>
      <s:c r="B477" s="11" t="n">
        <s:v>3</s:v>
      </s:c>
      <s:c r="C477" s="11" t="inlineStr">
        <s:is>
          <s:t>Alternative source-grounded interpretations</s:t>
        </s:is>
      </s:c>
      <s:c r="D477" s="11" t="inlineStr">
        <s:is>
          <s:t>One section may retain wording from an intended price-year update, or the sections may have meant different explicitly converted analyses. The supplied protocol neither identifies a superseded section nor distinguishes separate price-year conventions.</s:t>
        </s:is>
      </s:c>
    </s:row>
    <s:row r="478" ht="180" customFormat="1" customHeight="1" s="8">
      <s:c r="A478" s="12" t="inlineStr">
        <s:is>
          <s:t>2025::jama.2025.7710::C002</s:t>
        </s:is>
      </s:c>
      <s:c r="B478" s="12" t="n">
        <s:v>0</s:v>
      </s:c>
      <s:c r="C478" s="12" t="inlineStr">
        <s:is>
          <s:t>Source evidence</s:t>
        </s:is>
      </s:c>
      <s:c r="D478" s="12" t="inlineStr">
        <s:is>
          <s: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s:t>
        </s:is>
      </s:c>
    </s:row>
    <s:row r="479" ht="180" customFormat="1" customHeight="1" s="8">
      <s:c r="A479" s="11" t="inlineStr">
        <s:is>
          <s:t>2025::jama.2025.7710::C002</s:t>
        </s:is>
      </s:c>
      <s:c r="B479" s="11" t="n">
        <s:v>1</s:v>
      </s:c>
      <s:c r="C479" s="11" t="inlineStr">
        <s:is>
          <s:t>Reported-versus-comparator</s:t>
        </s:is>
      </s:c>
      <s:c r="D479" s="11" t="inlineStr">
        <s:is>
          <s:t>Reported list: ten displayed bullets. Comparator rationale: a total of ten attributed to expanding outcomes (i) and (viii).</s:t>
        </s:is>
      </s:c>
    </s:row>
    <s:row r="480" ht="180" customFormat="1" customHeight="1" s="8">
      <s:c r="A480" s="12" t="inlineStr">
        <s:is>
          <s:t>2025::jama.2025.7710::C002</s:t>
        </s:is>
      </s:c>
      <s:c r="B480" s="12" t="n">
        <s:v>2</s:v>
      </s:c>
      <s:c r="C480" s="12" t="inlineStr">
        <s:is>
          <s:t>Calculation</s:t>
        </s:is>
      </s:c>
      <s:c r="D480" s="12" t="inlineStr">
        <s:is>
          <s:t>Displayed count = 10. Under the conditional reading that two already displayed items are each expanded from one to two components, 10 + 1 + 1 = 12. An 8 + 1 + 1 = 10 reconciliation would require an authoritative eight-group starting list, which is not displayed at the cited locations.</s:t>
        </s:is>
      </s:c>
    </s:row>
    <s:row r="481" ht="180" customFormat="1" customHeight="1" s="8">
      <s:c r="A481" s="11" t="inlineStr">
        <s:is>
          <s:t>2025::jama.2025.7710::C002</s:t>
        </s:is>
      </s:c>
      <s:c r="B481" s="11" t="n">
        <s:v>3</s:v>
      </s:c>
      <s:c r="C481" s="11" t="inlineStr">
        <s:is>
          <s:t>Alternative source-grounded interpretations</s:t>
        </s:is>
      </s:c>
      <s:c r="D481" s="11" t="inlineStr">
        <s:is>
          <s:t>The 7.1.1 heading and Special Care/Intensive Care wording could reflect an older or unstated eight-group structure. That structure is not the displayed ten-bullet list, and the supplied materials do not provide a definitive numbered taxonomy.</s:t>
        </s:is>
      </s:c>
    </s:row>
    <s:row r="482" ht="180" customFormat="1" customHeight="1" s="8">
      <s:c r="A482" s="12" t="inlineStr">
        <s:is>
          <s:t>2025::jama.2025.7710::C003</s:t>
        </s:is>
      </s:c>
      <s:c r="B482" s="12" t="n">
        <s:v>0</s:v>
      </s:c>
      <s:c r="C482" s="12" t="inlineStr">
        <s:is>
          <s:t>Source evidence</s:t>
        </s:is>
      </s:c>
      <s:c r="D482" s="12" t="inlineStr">
        <s:is>
          <s: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s:t>
        </s:is>
      </s:c>
    </s:row>
    <s:row r="483" ht="180" customFormat="1" customHeight="1" s="8">
      <s:c r="A483" s="11" t="inlineStr">
        <s:is>
          <s:t>2025::jama.2025.7710::C003</s:t>
        </s:is>
      </s:c>
      <s:c r="B483" s="11" t="n">
        <s:v>1</s:v>
      </s:c>
      <s:c r="C483" s="11" t="inlineStr">
        <s:is>
          <s:t>Reported-versus-comparator</s:t>
        </s:is>
      </s:c>
      <s:c r="D483" s="11" t="inlineStr">
        <s:is>
          <s:t>Reported economic label: CS vs standard care. Comparator description: SC versus placebo/standard care.</s:t>
        </s:is>
      </s:c>
    </s:row>
    <s:row r="484" ht="180" customFormat="1" customHeight="1" s="8">
      <s:c r="A484" s="12" t="inlineStr">
        <s:is>
          <s:t>2025::jama.2025.7710::C003</s:t>
        </s:is>
      </s:c>
      <s:c r="B484" s="12" t="n">
        <s:v>2</s:v>
      </s:c>
      <s:c r="C484" s="12" t="inlineStr">
        <s:is>
          <s:t>Calculation</s:t>
        </s:is>
      </s:c>
      <s:c r="D484" s="12" t="inlineStr">
        <s:is>
          <s:t>Supplied mappings are SC = sildenafil citrate, CS = caesarean section, and control = matching placebo. Thus CS does not denote the same supplied intervention label as SC.</s:t>
        </s:is>
      </s:c>
    </s:row>
    <s:row r="485" ht="180" customFormat="1" customHeight="1" s="8">
      <s:c r="A485" s="11" t="inlineStr">
        <s:is>
          <s:t>2025::jama.2025.7710::C003</s:t>
        </s:is>
      </s:c>
      <s:c r="B485" s="11" t="n">
        <s:v>3</s:v>
      </s:c>
      <s:c r="C485" s="11" t="inlineStr">
        <s:is>
          <s:t>Alternative source-grounded interpretations</s:t>
        </s:is>
      </s:c>
      <s:c r="D485" s="11" t="inlineStr">
        <s:is>
          <s:t>CS may be a transposition of SC, a locally intended abbreviation not defined at the cited location, or an insufficiently explained comparison. No completed economic analysis is supplied.</s:t>
        </s:is>
      </s:c>
    </s:row>
    <s:row r="486" ht="180" customFormat="1" customHeight="1" s="8">
      <s:c r="A486" s="12" t="inlineStr">
        <s:is>
          <s:t>2025::jama.2025.7710::C004</s:t>
        </s:is>
      </s:c>
      <s:c r="B486" s="12" t="n">
        <s:v>0</s:v>
      </s:c>
      <s:c r="C486" s="12" t="inlineStr">
        <s:is>
          <s:t>Source evidence</s:t>
        </s:is>
      </s:c>
      <s:c r="D486" s="12" t="inlineStr">
        <s:is>
          <s: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s:t>
        </s:is>
      </s:c>
    </s:row>
    <s:row r="487" ht="180" customFormat="1" customHeight="1" s="8">
      <s:c r="A487" s="11" t="inlineStr">
        <s:is>
          <s:t>2025::jama.2025.7710::C004</s:t>
        </s:is>
      </s:c>
      <s:c r="B487" s="11" t="n">
        <s:v>1</s:v>
      </s:c>
      <s:c r="C487" s="11" t="inlineStr">
        <s:is>
          <s:t>Reported-versus-comparator</s:t>
        </s:is>
      </s:c>
      <s:c r="D487" s="11" t="inlineStr">
        <s:is>
          <s:t>Reported multiplicity treatment: no adjustment. Comparator planned treatment: adjusted P values for ten component comparisons.</s:t>
        </s:is>
      </s:c>
    </s:row>
    <s:row r="488" ht="180" customFormat="1" customHeight="1" s="8">
      <s:c r="A488" s="12" t="inlineStr">
        <s:is>
          <s:t>2025::jama.2025.7710::C004</s:t>
        </s:is>
      </s:c>
      <s:c r="B488" s="12" t="n">
        <s:v>2</s:v>
      </s:c>
      <s:c r="C488" s="12" t="inlineStr">
        <s:is>
          <s:t>Calculation</s:t>
        </s:is>
      </s:c>
      <s:c r="D488" s="12" t="inlineStr">
        <s:is>
          <s: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s:t>
        </s:is>
      </s:c>
    </s:row>
    <s:row r="489" ht="180" customFormat="1" customHeight="1" s="8">
      <s:c r="A489" s="11" t="inlineStr">
        <s:is>
          <s:t>2025::jama.2025.7710::C004</s:t>
        </s:is>
      </s:c>
      <s:c r="B489" s="11" t="n">
        <s:v>3</s:v>
      </s:c>
      <s:c r="C489" s="11" t="inlineStr">
        <s:is>
          <s:t>Alternative source-grounded interpretations</s:t>
        </s:is>
      </s:c>
      <s:c r="D489" s="11" t="inlineStr">
        <s:is>
          <s: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s:t>
        </s:is>
      </s:c>
    </s:row>
    <s:row r="490" ht="180" customFormat="1" customHeight="1" s="8">
      <s:c r="A490" s="12" t="inlineStr">
        <s:is>
          <s:t>2025::jama.2025.9110::C001</s:t>
        </s:is>
      </s:c>
      <s:c r="B490" s="12" t="n">
        <s:v>0</s:v>
      </s:c>
      <s:c r="C490" s="12" t="inlineStr">
        <s:is>
          <s:t>Source evidence</s:t>
        </s:is>
      </s:c>
      <s:c r="D490" s="12" t="inlineStr">
        <s:is>
          <s:t>Table 2 prints augmented protein 84.0 (35.0 to 178.9) and usual protein 78.0 (33.2 to 161.0), while the row label says mean (SD). It separately prints Mean difference, 6.8 (−3.0 to 16.5) hours. eTable 10 describes comparable central-value/two-bound summaries as median (IQR).</s:t>
        </s:is>
      </s:c>
    </s:row>
    <s:row r="491" ht="180" customFormat="1" customHeight="1" s="8">
      <s:c r="A491" s="11" t="inlineStr">
        <s:is>
          <s:t>2025::jama.2025.9110::C001</s:t>
        </s:is>
      </s:c>
      <s:c r="B491" s="11" t="n">
        <s:v>1</s:v>
      </s:c>
      <s:c r="C491" s="11" t="inlineStr">
        <s:is>
          <s:t>Reported-versus-comparator</s:t>
        </s:is>
      </s:c>
      <s:c r="D491" s="11" t="inlineStr">
        <s:is>
          <s:t>The printed mean (SD) label is compared with the two-endpoint parenthetical displays and the supplementary median (IQR) presentation convention.</s:t>
        </s:is>
      </s:c>
    </s:row>
    <s:row r="492" ht="180" customFormat="1" customHeight="1" s="8">
      <s:c r="A492" s="12" t="inlineStr">
        <s:is>
          <s:t>2025::jama.2025.9110::C001</s:t>
        </s:is>
      </s:c>
      <s:c r="B492" s="12" t="n">
        <s:v>2</s:v>
      </s:c>
      <s:c r="C492" s="12" t="inlineStr">
        <s:is>
          <s:t>Calculation</s:t>
        </s:is>
      </s:c>
      <s:c r="D492" s="12" t="inlineStr">
        <s:is>
          <s:t>35.0 &lt; 178.9 and 33.2 &lt; 161.0; each parenthesis has two ordered endpoints, not one SD. No rounding rule applies.</s:t>
        </s:is>
      </s:c>
    </s:row>
    <s:row r="493" ht="180" customFormat="1" customHeight="1" s="8">
      <s:c r="A493" s="11" t="inlineStr">
        <s:is>
          <s:t>2025::jama.2025.9110::C001</s:t>
        </s:is>
      </s:c>
      <s:c r="B493" s="11" t="n">
        <s:v>3</s:v>
      </s:c>
      <s:c r="C493" s="11" t="inlineStr">
        <s:is>
          <s:t>Alternative source-grounded interpretations</s:t>
        </s:is>
      </s:c>
      <s:c r="D493" s="11" t="inlineStr">
        <s:is>
          <s:t>to or an endpoint may be a production error in an intended mean/SD display; alternatively the label may be wrong and the values may be a median-plus-interval summary. The supplied package does not define the endpoints.</s:t>
        </s:is>
      </s:c>
    </s:row>
    <s:row r="494" ht="180" customFormat="1" customHeight="1" s="8">
      <s:c r="A494" s="12" t="inlineStr">
        <s:is>
          <s:t>2025::jama.2025.9110::C002</s:t>
        </s:is>
      </s:c>
      <s:c r="B494" s="12" t="n">
        <s:v>0</s:v>
      </s:c>
      <s:c r="C494" s="12" t="inlineStr">
        <s:is>
          <s:t>Source evidence</s:t>
        </s:is>
      </s:c>
      <s:c r="D494" s="12" t="inlineStr">
        <s:is>
          <s:t>The cell prints 383 (72, 3%); neighboring matched cells include 323 (67.3%), 258 (77.0%), 229 (76.8%), and 408 (74.0%).</s:t>
        </s:is>
      </s:c>
    </s:row>
    <s:row r="495" ht="180" customFormat="1" customHeight="1" s="8">
      <s:c r="A495" s="11" t="inlineStr">
        <s:is>
          <s:t>2025::jama.2025.9110::C002</s:t>
        </s:is>
      </s:c>
      <s:c r="B495" s="11" t="n">
        <s:v>1</s:v>
      </s:c>
      <s:c r="C495" s="11" t="inlineStr">
        <s:is>
          <s:t>Reported-versus-comparator</s:t>
        </s:is>
      </s:c>
      <s:c r="D495" s="11" t="inlineStr">
        <s:is>
          <s:t>72, 3% is compared with the row's point-decimal convention and its printed count/denominator.</s:t>
        </s:is>
      </s:c>
    </s:row>
    <s:row r="496" ht="180" customFormat="1" customHeight="1" s="8">
      <s:c r="A496" s="12" t="inlineStr">
        <s:is>
          <s:t>2025::jama.2025.9110::C002</s:t>
        </s:is>
      </s:c>
      <s:c r="B496" s="12" t="n">
        <s:v>2</s:v>
      </s:c>
      <s:c r="C496" s="12" t="inlineStr">
        <s:is>
          <s:t>Calculation</s:t>
        </s:is>
      </s:c>
      <s:c r="D496" s="12" t="inlineStr">
        <s:is>
          <s:t>383 / 530 × 100 = 72.2641509…%, which rounds to 72.3% at one decimal (rounding interval 72.25% to &lt;72.35%). The question is punctuation, not a numerator/denominator mismatch.</s:t>
        </s:is>
      </s:c>
    </s:row>
    <s:row r="497" ht="180" customFormat="1" customHeight="1" s="8">
      <s:c r="A497" s="11" t="inlineStr">
        <s:is>
          <s:t>2025::jama.2025.9110::C002</s:t>
        </s:is>
      </s:c>
      <s:c r="B497" s="11" t="n">
        <s:v>3</s:v>
      </s:c>
      <s:c r="C497" s="11" t="inlineStr">
        <s:is>
          <s:t>Alternative source-grounded interpretations</s:t>
        </s:is>
      </s:c>
      <s:c r="D497" s="11" t="inlineStr">
        <s:is>
          <s:t>A comma can be a decimal separator in some locales and preserve the intended numeric value, but its isolated use in this point-decimal table remains a rendering inconsistency.</s:t>
        </s:is>
      </s:c>
    </s:row>
    <s:row r="498" ht="180" customFormat="1" customHeight="1" s="8">
      <s:c r="A498" s="12" t="inlineStr">
        <s:is>
          <s:t>2025::jama.2025.9110::C003</s:t>
        </s:is>
      </s:c>
      <s:c r="B498" s="12" t="n">
        <s:v>0</s:v>
      </s:c>
      <s:c r="C498" s="12" t="inlineStr">
        <s:is>
          <s:t>Source evidence</s:t>
        </s:is>
      </s:c>
      <s:c r="D498" s="12" t="inlineStr">
        <s:is>
          <s:t>The row prints 62.0 (0 to 77) versus 64.0 (0 to 77) under mean (SD) and reports Median difference, −1.50 (−3.86 to 0.90). The supplement defines the Bayesian quantile coefficient as a difference in medians and repeats the median difference with a 95% credible interval.</s:t>
        </s:is>
      </s:c>
    </s:row>
    <s:row r="499" ht="180" customFormat="1" customHeight="1" s="8">
      <s:c r="A499" s="11" t="inlineStr">
        <s:is>
          <s:t>2025::jama.2025.9110::C003</s:t>
        </s:is>
      </s:c>
      <s:c r="B499" s="11" t="n">
        <s:v>1</s:v>
      </s:c>
      <s:c r="C499" s="11" t="inlineStr">
        <s:is>
          <s:t>Reported-versus-comparator</s:t>
        </s:is>
      </s:c>
      <s:c r="D499" s="11" t="inlineStr">
        <s:is>
          <s:t>The Table 2 mean (SD) group-summary label is compared with its own median-difference effect label, the final Bayesian method description, and the two-bound group displays.</s:t>
        </s:is>
      </s:c>
    </s:row>
    <s:row r="500" ht="180" customFormat="1" customHeight="1" s="8">
      <s:c r="A500" s="12" t="inlineStr">
        <s:is>
          <s:t>2025::jama.2025.9110::C003</s:t>
        </s:is>
      </s:c>
      <s:c r="B500" s="12" t="n">
        <s:v>2</s:v>
      </s:c>
      <s:c r="C500" s="12" t="inlineStr">
        <s:is>
          <s:t>Calculation</s:t>
        </s:is>
      </s:c>
      <s:c r="D500" s="12" t="inlineStr">
        <s:is>
          <s:t>0 &lt; 77 in each group parenthesis, so each contains two bounds rather than one SD. The printed estimand is Median difference; no supplied text explains an intentional separate mean/SD convention.</s:t>
        </s:is>
      </s:c>
    </s:row>
    <s:row r="501" ht="180" customFormat="1" customHeight="1" s="8">
      <s:c r="A501" s="11" t="inlineStr">
        <s:is>
          <s:t>2025::jama.2025.9110::C003</s:t>
        </s:is>
      </s:c>
      <s:c r="B501" s="11" t="n">
        <s:v>3</s:v>
      </s:c>
      <s:c r="C501" s="11" t="inlineStr">
        <s:is>
          <s:t>Alternative source-grounded interpretations</s:t>
        </s:is>
      </s:c>
      <s:c r="D501" s="11" t="inlineStr">
        <s:is>
          <s:t>The label may have carried over from the preceding linear-model row. Separately calculated means/SDs might have been intended alongside a median estimand, but the source neither defines that convention nor explains the two endpoints.</s:t>
        </s:is>
      </s:c>
    </s:row>
    <s:row r="502" ht="180" customFormat="1" customHeight="1" s="8">
      <s:c r="A502" s="12" t="inlineStr">
        <s:is>
          <s:t>2025::jama.2025.9110::C004</s:t>
        </s:is>
      </s:c>
      <s:c r="B502" s="12" t="n">
        <s:v>0</s:v>
      </s:c>
      <s:c r="C502" s="12" t="inlineStr">
        <s:is>
          <s:t>Source evidence</s:t>
        </s:is>
      </s:c>
      <s:c r="D502" s="12" t="inlineStr">
        <s:is>
          <s:t>Results calls day-10 blood-urea values median (IQR): augmented protein 13.0 (8.2–18.8) versus usual protein 10.6 (7.1–15.4) mmol/L. Discussion says that mean urea concentrations at day 10 were higher in the augmented protein group.</s:t>
        </s:is>
      </s:c>
    </s:row>
    <s:row r="503" ht="180" customFormat="1" customHeight="1" s="8">
      <s:c r="A503" s="11" t="inlineStr">
        <s:is>
          <s:t>2025::jama.2025.9110::C004</s:t>
        </s:is>
      </s:c>
      <s:c r="B503" s="11" t="n">
        <s:v>1</s:v>
      </s:c>
      <s:c r="C503" s="11" t="inlineStr">
        <s:is>
          <s:t>Reported-versus-comparator</s:t>
        </s:is>
      </s:c>
      <s:c r="D503" s="11" t="inlineStr">
        <s:is>
          <s:t>The Discussion's mean label is compared with the Results' matched analyte, day, groups, direction, unit, and median (IQR) description.</s:t>
        </s:is>
      </s:c>
    </s:row>
    <s:row r="504" ht="180" customFormat="1" customHeight="1" s="8">
      <s:c r="A504" s="12" t="inlineStr">
        <s:is>
          <s:t>2025::jama.2025.9110::C004</s:t>
        </s:is>
      </s:c>
      <s:c r="B504" s="12" t="n">
        <s:v>2</s:v>
      </s:c>
      <s:c r="C504" s="12" t="inlineStr">
        <s:is>
          <s:t>Calculation</s:t>
        </s:is>
      </s:c>
      <s:c r="D504" s="12" t="inlineStr">
        <s:is>
          <s:t>No calculation is appropriate: mean and median are distinct summary-statistic labels, and no matched day-10 mean values are supplied.</s:t>
        </s:is>
      </s:c>
    </s:row>
    <s:row r="505" ht="180" customFormat="1" customHeight="1" s="8">
      <s:c r="A505" s="11" t="inlineStr">
        <s:is>
          <s:t>2025::jama.2025.9110::C004</s:t>
        </s:is>
      </s:c>
      <s:c r="B505" s="11" t="n">
        <s:v>3</s:v>
      </s:c>
      <s:c r="C505" s="11" t="inlineStr">
        <s:is>
          <s:t>Alternative source-grounded interpretations</s:t>
        </s:is>
      </s:c>
      <s:c r="D505" s="11" t="inlineStr">
        <s:is>
          <s:t>Mean may be nontechnical prose, a copy-editing substitution, or a reference to unprinted group means. The supplied package does not report a distinct matched mean analysis.</s:t>
        </s:is>
      </s:c>
    </s:row>
    <s:row r="506" ht="180" customFormat="1" customHeight="1" s="8">
      <s:c r="A506" s="12" t="inlineStr">
        <s:is>
          <s:t>2025::jama.2025.9110::C005</s:t>
        </s:is>
      </s:c>
      <s:c r="B506" s="12" t="n">
        <s:v>0</s:v>
      </s:c>
      <s:c r="C506" s="12" t="inlineStr">
        <s:is>
          <s:t>Source evidence</s:t>
        </s:is>
      </s:c>
      <s:c r="D506" s="12" t="inlineStr">
        <s:is>
          <s:t>The first four cells print 27 (5.6), 36 (10.7), 29 (9.7), and 24 (4.5) without %; the last four print 35 (6.4%), 38 (10.3%), 43 (12.2%), and 23 (4.8%) with %.</s:t>
        </s:is>
      </s:c>
    </s:row>
    <s:row r="507" ht="180" customFormat="1" customHeight="1" s="8">
      <s:c r="A507" s="11" t="inlineStr">
        <s:is>
          <s:t>2025::jama.2025.9110::C005</s:t>
        </s:is>
      </s:c>
      <s:c r="B507" s="11" t="n">
        <s:v>1</s:v>
      </s:c>
      <s:c r="C507" s="11" t="inlineStr">
        <s:is>
          <s:t>Reported-versus-comparator</s:t>
        </s:is>
      </s:c>
      <s:c r="D507" s="11" t="inlineStr">
        <s:is>
          <s:t>All eight are percentage displays in one [n (%)] row, but the first four omit % and the last four include it.</s:t>
        </s:is>
      </s:c>
    </s:row>
    <s:row r="508" ht="180" customFormat="1" customHeight="1" s="8">
      <s:c r="A508" s="12" t="inlineStr">
        <s:is>
          <s:t>2025::jama.2025.9110::C005</s:t>
        </s:is>
      </s:c>
      <s:c r="B508" s="12" t="n">
        <s:v>2</s:v>
      </s:c>
      <s:c r="C508" s="12" t="inlineStr">
        <s:is>
          <s:t>Calculation</s:t>
        </s:is>
      </s:c>
      <s:c r="D508" s="12" t="inlineStr">
        <s:is>
          <s:t>27/480×100=5.625%→5.6%; 36/335×100=10.746…%→10.7%; 29/298×100=9.732…%→9.7%; 24/530×100=4.528…%→4.5%. These reconcile at one decimal (0.05 percentage-point rounding tolerance); the issue is notation, not arithmetic.</s:t>
        </s:is>
      </s:c>
    </s:row>
    <s:row r="509" ht="180" customFormat="1" customHeight="1" s="8">
      <s:c r="A509" s="11" t="inlineStr">
        <s:is>
          <s:t>2025::jama.2025.9110::C005</s:t>
        </s:is>
      </s:c>
      <s:c r="B509" s="11" t="n">
        <s:v>3</s:v>
      </s:c>
      <s:c r="C509" s="11" t="inlineStr">
        <s:is>
          <s:t>Alternative source-grounded interpretations</s:t>
        </s:is>
      </s:c>
      <s:c r="D509" s="11" t="inlineStr">
        <s:is>
          <s:t>The [n (%)] header makes the unsigned entries understandable, but it does not explain the within-row switch to explicit signs. Intended typography is not stated.</s:t>
        </s:is>
      </s:c>
    </s:row>
    <s:row r="510" ht="180" customFormat="1" customHeight="1" s="8">
      <s:c r="A510" s="12" t="inlineStr">
        <s:is>
          <s:t>2025::jama.2025.9110::C006</s:t>
        </s:is>
      </s:c>
      <s:c r="B510" s="12" t="n">
        <s:v>0</s:v>
      </s:c>
      <s:c r="C510" s="12" t="inlineStr">
        <s:is>
          <s:t>Source evidence</s:t>
        </s:is>
      </s:c>
      <s:c r="D510" s="12" t="inlineStr">
        <s:is>
          <s:t>The first four cells print 33 (6.9), 26 (7.8), 22 (7.4), and 35 (6.6) without %; the last four print 38 (6.9%), 33 (9.0%), 29 (8.2%), and 33 (6.8%) with %.</s:t>
        </s:is>
      </s:c>
    </s:row>
    <s:row r="511" ht="180" customFormat="1" customHeight="1" s="8">
      <s:c r="A511" s="11" t="inlineStr">
        <s:is>
          <s:t>2025::jama.2025.9110::C006</s:t>
        </s:is>
      </s:c>
      <s:c r="B511" s="11" t="n">
        <s:v>1</s:v>
      </s:c>
      <s:c r="C511" s="11" t="inlineStr">
        <s:is>
          <s:t>Reported-versus-comparator</s:t>
        </s:is>
      </s:c>
      <s:c r="D511" s="11" t="inlineStr">
        <s:is>
          <s:t>All eight are percentage displays within one [n (%)] row, but % is absent from the first four and present in the final four.</s:t>
        </s:is>
      </s:c>
    </s:row>
    <s:row r="512" ht="180" customFormat="1" customHeight="1" s="8">
      <s:c r="A512" s="12" t="inlineStr">
        <s:is>
          <s:t>2025::jama.2025.9110::C006</s:t>
        </s:is>
      </s:c>
      <s:c r="B512" s="12" t="n">
        <s:v>2</s:v>
      </s:c>
      <s:c r="C512" s="12" t="inlineStr">
        <s:is>
          <s:t>Calculation</s:t>
        </s:is>
      </s:c>
      <s:c r="D512" s="12" t="inlineStr">
        <s:is>
          <s:t>33/480×100=6.875%→6.9%; 26/335×100=7.761…%→7.8%; 22/298×100=7.383…%→7.4%; 35/530×100=6.604…%→6.6%. All reconcile at one decimal (0.05 percentage-point rounding tolerance); the issue is notation, not a rate/count discrepancy.</s:t>
        </s:is>
      </s:c>
    </s:row>
    <s:row r="513" ht="180" customFormat="1" customHeight="1" s="8">
      <s:c r="A513" s="11" t="inlineStr">
        <s:is>
          <s:t>2025::jama.2025.9110::C006</s:t>
        </s:is>
      </s:c>
      <s:c r="B513" s="11" t="n">
        <s:v>3</s:v>
      </s:c>
      <s:c r="C513" s="11" t="inlineStr">
        <s:is>
          <s:t>Alternative source-grounded interpretations</s:t>
        </s:is>
      </s:c>
      <s:c r="D513" s="11" t="inlineStr">
        <s:is>
          <s:t>The row header makes unsigned values interpretable as percentages, but the source gives no reason why only the final four cells carry % or which convention was intended.</s:t>
        </s:is>
      </s:c>
    </s:row>
    <s:row r="514" ht="180" customFormat="1" customHeight="1" s="8">
      <s:c r="A514" s="12" t="inlineStr">
        <s:is>
          <s:t>2025::jama.2025.9663::C001</s:t>
        </s:is>
      </s:c>
      <s:c r="B514" s="12" t="n">
        <s:v>0</s:v>
      </s:c>
      <s:c r="C514" s="12" t="inlineStr">
        <s:is>
          <s:t>Source evidence</s:t>
        </s:is>
      </s:c>
      <s:c r="D514" s="12" t="inlineStr">
        <s:is>
          <s: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s:t>
        </s:is>
      </s:c>
    </s:row>
    <s:row r="515" ht="180" customFormat="1" customHeight="1" s="8">
      <s:c r="A515" s="11" t="inlineStr">
        <s:is>
          <s:t>2025::jama.2025.9663::C001</s:t>
        </s:is>
      </s:c>
      <s:c r="B515" s="11" t="n">
        <s:v>1</s:v>
      </s:c>
      <s:c r="C515" s="11" t="inlineStr">
        <s:is>
          <s:t>Reported-versus-comparator</s:t>
        </s:is>
      </s:c>
      <s:c r="D515" s="11" t="inlineStr">
        <s:is>
          <s:t>The reported DOC-001 usual-group first value has both a percent sign and a trailing pressure unit. The comparator labels the 95.1 (2.4) value as SpO2 on a percent scale and the 79.5 (17.9) value as PaO2 in mm Hg.</s:t>
        </s:is>
      </s:c>
    </s:row>
    <s:row r="516" ht="180" customFormat="1" customHeight="1" s="8">
      <s:c r="A516" s="12" t="inlineStr">
        <s:is>
          <s:t>2025::jama.2025.9663::C001</s:t>
        </s:is>
      </s:c>
      <s:c r="B516" s="12" t="n">
        <s:v>2</s:v>
      </s:c>
      <s:c r="C516" s="12" t="inlineStr">
        <s:is>
          <s:t>Calculation</s:t>
        </s:is>
      </s:c>
      <s:c r="D516" s="12" t="inlineStr">
        <s:is>
          <s:t>No arithmetic; logical unit pairing reproduced.</s:t>
        </s:is>
      </s:c>
    </s:row>
    <s:row r="517" ht="180" customFormat="1" customHeight="1" s="8">
      <s:c r="A517" s="11" t="inlineStr">
        <s:is>
          <s:t>2025::jama.2025.9663::C001</s:t>
        </s:is>
      </s:c>
      <s:c r="B517" s="11" t="n">
        <s:v>3</s:v>
      </s:c>
      <s:c r="C517" s="11" t="inlineStr">
        <s:is>
          <s:t>Alternative source-grounded interpretations</s:t>
        </s:is>
      </s:c>
      <s:c r="D517" s="11" t="inlineStr">
        <s:is>
          <s: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s:t>
        </s:is>
      </s:c>
    </s:row>
    <s:row r="518" ht="180" customFormat="1" customHeight="1" s="8">
      <s:c r="A518" s="12" t="inlineStr">
        <s:is>
          <s:t>2025::jama.2025.9663::C002</s:t>
        </s:is>
      </s:c>
      <s:c r="B518" s="12" t="n">
        <s:v>0</s:v>
      </s:c>
      <s:c r="C518" s="12" t="inlineStr">
        <s:is>
          <s:t>Source evidence</s:t>
        </s:is>
      </s:c>
      <s:c r="D518" s="12" t="inlineStr">
        <s:is>
          <s: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s:t>
        </s:is>
      </s:c>
    </s:row>
    <s:row r="519" ht="180" customFormat="1" customHeight="1" s="8">
      <s:c r="A519" s="11" t="inlineStr">
        <s:is>
          <s:t>2025::jama.2025.9663::C002</s:t>
        </s:is>
      </s:c>
      <s:c r="B519" s="11" t="n">
        <s:v>1</s:v>
      </s:c>
      <s:c r="C519" s="11" t="inlineStr">
        <s:is>
          <s:t>Reported-versus-comparator</s:t>
        </s:is>
      </s:c>
      <s:c r="D519" s="11" t="inlineStr">
        <s:is>
          <s:t>For same-numbered eTables 1, 2, 3, and 4, the contents-page title differs from the actual heading. The contents eTable 3 topic matches actual eTable 1, and the contents eTable 4 topic approximates actual eTable 2, while the first two contents topics do not identify their actual tables.</s:t>
        </s:is>
      </s:c>
    </s:row>
    <s:row r="520" ht="180" customFormat="1" customHeight="1" s="8">
      <s:c r="A520" s="12" t="inlineStr">
        <s:is>
          <s:t>2025::jama.2025.9663::C002</s:t>
        </s:is>
      </s:c>
      <s:c r="B520" s="12" t="n">
        <s:v>2</s:v>
      </s:c>
      <s:c r="C520" s="12" t="inlineStr">
        <s:is>
          <s:t>Calculation</s:t>
        </s:is>
      </s:c>
      <s:c r="D520" s="12" t="inlineStr">
        <s:is>
          <s:t>No arithmetic; four same-number identity comparisons reproduced.</s:t>
        </s:is>
      </s:c>
    </s:row>
    <s:row r="521" ht="180" customFormat="1" customHeight="1" s="8">
      <s:c r="A521" s="11" t="inlineStr">
        <s:is>
          <s:t>2025::jama.2025.9663::C002</s:t>
        </s:is>
      </s:c>
      <s:c r="B521" s="11" t="n">
        <s:v>3</s:v>
      </s:c>
      <s:c r="C521" s="11" t="inlineStr">
        <s:is>
          <s:t>Alternative source-grounded interpretations</s:t>
        </s:is>
      </s:c>
      <s:c r="D521" s="11" t="inlineStr">
        <s:is>
          <s:t>The contents titles may be retained from another document, shifted, or incompletely updated. These are possible explanations only; the supplied package does not establish the production history or intended replacement wording.</s:t>
        </s:is>
      </s:c>
    </s:row>
    <s:row r="522" ht="180" customFormat="1" customHeight="1" s="8">
      <s:c r="A522" s="12" t="inlineStr">
        <s:is>
          <s:t>2025::jama.2025.9663::C003</s:t>
        </s:is>
      </s:c>
      <s:c r="B522" s="12" t="n">
        <s:v>0</s:v>
      </s:c>
      <s:c r="C522" s="12" t="inlineStr">
        <s:is>
          <s:t>Source evidence</s:t>
        </s:is>
      </s:c>
      <s:c r="D522" s="12" t="inlineStr">
        <s:is>
          <s: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s:t>
        </s:is>
      </s:c>
    </s:row>
    <s:row r="523" ht="180" customFormat="1" customHeight="1" s="8">
      <s:c r="A523" s="11" t="inlineStr">
        <s:is>
          <s:t>2025::jama.2025.9663::C003</s:t>
        </s:is>
      </s:c>
      <s:c r="B523" s="11" t="n">
        <s:v>1</s:v>
      </s:c>
      <s:c r="C523" s="11" t="inlineStr">
        <s:is>
          <s:t>Reported-versus-comparator</s:t>
        </s:is>
      </s:c>
      <s:c r="D523" s="11" t="inlineStr">
        <s:is>
          <s:t>One stated destination, Section 3.2, is identifiable; the second is literal unresolved-reference text and names no section, appendix, table, or other location. Section 3.2.2 is separately identifiable as a caveat but is not printed as the missing second destination.</s:t>
        </s:is>
      </s:c>
    </s:row>
    <s:row r="524" ht="180" customFormat="1" customHeight="1" s="8">
      <s:c r="A524" s="12" t="inlineStr">
        <s:is>
          <s:t>2025::jama.2025.9663::C003</s:t>
        </s:is>
      </s:c>
      <s:c r="B524" s="12" t="n">
        <s:v>2</s:v>
      </s:c>
      <s:c r="C524" s="12" t="inlineStr">
        <s:is>
          <s:t>Calculation</s:t>
        </s:is>
      </s:c>
      <s:c r="D524" s="12" t="inlineStr">
        <s:is>
          <s:t>No arithmetic; one of two stated reference destinations is identifiable and the other is not.</s:t>
        </s:is>
      </s:c>
    </s:row>
    <s:row r="525" ht="180" customFormat="1" customHeight="1" s="8">
      <s:c r="A525" s="11" t="inlineStr">
        <s:is>
          <s:t>2025::jama.2025.9663::C003</s:t>
        </s:is>
      </s:c>
      <s:c r="B525" s="11" t="n">
        <s:v>3</s:v>
      </s:c>
      <s:c r="C525" s="11" t="inlineStr">
        <s:is>
          <s:t>Alternative source-grounded interpretations</s:t>
        </s:is>
      </s:c>
      <s:c r="D525" s="11" t="inlineStr">
        <s:is>
          <s:t>Sections 3.2 and 3.2.2 may already supply sufficient detail to apply the rules. The wording nevertheless promises a second source of further details. The intended target, its content, and an unrefreshed cross-reference mechanism are not established by the supplied package.</s:t>
        </s:is>
      </s:c>
    </s:row>
  </s:sheetData>
  <s:pageMargins left="0.7" right="0.7" top="0.75" bottom="0.75" header="0.3" footer="0.3"/>
  <s:tableParts count="1">
    <s:tablePart r:id="rId1"/>
  </s:tableParts>
</s:worksheet>
</file>

<file path=xl/worksheets/sheet25.xml><?xml version="1.0" encoding="utf-8"?>
<s:worksheet xmlns:r="http://schemas.openxmlformats.org/officeDocument/2006/relationships" xmlns:s="http://schemas.openxmlformats.org/spreadsheetml/2006/main">
  <s:sheetPr>
    <s:outlinePr summaryBelow="1" summaryRight="1"/>
    <s:pageSetUpPr/>
  </s:sheetPr>
  <s:dimension ref="A1:E337"/>
  <s:sheetViews>
    <s:sheetView showGridLines="0" workbookViewId="0">
      <s:pane xSplit="1" ySplit="1" topLeftCell="B2" activePane="bottomRight" state="frozen"/>
      <s:selection activeCell="A1" sqref="A1"/>
    </s:sheetView>
  </s:sheetViews>
  <s:sheetFormatPr baseColWidth="8" defaultRowHeight="15"/>
  <s:cols>
    <s:col width="44" customWidth="1" style="8" min="1" max="1"/>
    <s:col width="26" customWidth="1" style="8" min="2" max="2"/>
    <s:col width="26" customWidth="1" style="8" min="3" max="3"/>
    <s:col width="26" customWidth="1" style="8" min="4" max="4"/>
    <s:col width="90" customWidth="1" style="8" min="5" max="5"/>
  </s:cols>
  <s:sheetData>
    <s:row r="1" ht="42" customFormat="1" customHeight="1" s="8">
      <s:c r="A1" s="5" t="inlineStr">
        <s:is>
          <s:t>key</s:t>
        </s:is>
      </s:c>
      <s:c r="B1" s="5" t="inlineStr">
        <s:is>
          <s:t>kind</s:t>
        </s:is>
      </s:c>
      <s:c r="C1" s="5" t="inlineStr">
        <s:is>
          <s:t>order</s:t>
        </s:is>
      </s:c>
      <s:c r="D1" s="5" t="inlineStr">
        <s:is>
          <s:t>label</s:t>
        </s:is>
      </s:c>
      <s:c r="E1" s="5" t="inlineStr">
        <s:is>
          <s:t>href</s:t>
        </s:is>
      </s:c>
    </s:row>
    <s:row r="2" ht="90" customFormat="1" customHeight="1" s="8">
      <s:c r="A2" s="12" t="inlineStr">
        <s:is>
          <s:t>2025::jama.2024.24764::C001</s:t>
        </s:is>
      </s:c>
      <s:c r="B2" s="12" t="inlineStr">
        <s:is>
          <s:t>sourceLinks</s:t>
        </s:is>
      </s:c>
      <s:c r="C2" s="12" t="n">
        <s:v>0</s:v>
      </s:c>
      <s:c r="D2" s="12" t="inlineStr">
        <s:is>
          <s:t>jama_atherton_2025_oi_240145_1741627844.85412.pdf — PDF p. 5, Table 1</s:t>
        </s:is>
      </s:c>
      <s:c r="E2" s="12" t="inlineStr">
        <s:is>
          <s:t>../../2025/jama.2024.24764/jama_atherton_2025_oi_240145_1741627844.85412.pdf#page=5</s:t>
        </s:is>
      </s:c>
    </s:row>
    <s:row r="3" ht="90" customFormat="1" customHeight="1" s="8">
      <s:c r="A3" s="11" t="inlineStr">
        <s:is>
          <s:t>2025::jama.2024.24764::C002</s:t>
        </s:is>
      </s:c>
      <s:c r="B3" s="11" t="inlineStr">
        <s:is>
          <s:t>sourceLinks</s:t>
        </s:is>
      </s:c>
      <s:c r="C3" s="11" t="n">
        <s:v>0</s:v>
      </s:c>
      <s:c r="D3" s="11" t="inlineStr">
        <s:is>
          <s:t>jama_atherton_2025_oi_240145_1741627844.85412.pdf — PDF p. 7, Table 2</s:t>
        </s:is>
      </s:c>
      <s:c r="E3" s="11" t="inlineStr">
        <s:is>
          <s:t>../../2025/jama.2024.24764/jama_atherton_2025_oi_240145_1741627844.85412.pdf#page=7</s:t>
        </s:is>
      </s:c>
    </s:row>
    <s:row r="4" ht="90" customFormat="1" customHeight="1" s="8">
      <s:c r="A4" s="12" t="inlineStr">
        <s:is>
          <s:t>2025::jama.2024.24764::C003</s:t>
        </s:is>
      </s:c>
      <s:c r="B4" s="12" t="inlineStr">
        <s:is>
          <s:t>sourceLinks</s:t>
        </s:is>
      </s:c>
      <s:c r="C4" s="12" t="n">
        <s:v>0</s:v>
      </s:c>
      <s:c r="D4" s="12" t="inlineStr">
        <s:is>
          <s:t>jama_atherton_2025_oi_240145_1741627844.85412.pdf — PDF p. 7, Table 2 continuation</s:t>
        </s:is>
      </s:c>
      <s:c r="E4" s="12" t="inlineStr">
        <s:is>
          <s:t>../../2025/jama.2024.24764/jama_atherton_2025_oi_240145_1741627844.85412.pdf#page=7</s:t>
        </s:is>
      </s:c>
    </s:row>
    <s:row r="5" ht="90" customFormat="1" customHeight="1" s="8">
      <s:c r="A5" s="11" t="inlineStr">
        <s:is>
          <s:t>2025::jama.2024.24764::C004</s:t>
        </s:is>
      </s:c>
      <s:c r="B5" s="11" t="inlineStr">
        <s:is>
          <s:t>sourceLinks</s:t>
        </s:is>
      </s:c>
      <s:c r="C5" s="11" t="n">
        <s:v>0</s:v>
      </s:c>
      <s:c r="D5" s="11" t="inlineStr">
        <s:is>
          <s:t>jama_atherton_2025_oi_240145_1741627844.85412.pdf — PDF p. 7, Table 2 continuation</s:t>
        </s:is>
      </s:c>
      <s:c r="E5" s="11" t="inlineStr">
        <s:is>
          <s:t>../../2025/jama.2024.24764/jama_atherton_2025_oi_240145_1741627844.85412.pdf#page=7</s:t>
        </s:is>
      </s:c>
    </s:row>
    <s:row r="6" ht="90" customFormat="1" customHeight="1" s="8">
      <s:c r="A6" s="12" t="inlineStr">
        <s:is>
          <s:t>2025::jama.2024.24764::C005</s:t>
        </s:is>
      </s:c>
      <s:c r="B6" s="12" t="inlineStr">
        <s:is>
          <s:t>sourceLinks</s:t>
        </s:is>
      </s:c>
      <s:c r="C6" s="12" t="n">
        <s:v>0</s:v>
      </s:c>
      <s:c r="D6" s="12" t="inlineStr">
        <s:is>
          <s:t>jama_atherton_2025_oi_240145_1741627844.85412.pdf — PDF p. 3, Figure 1</s:t>
        </s:is>
      </s:c>
      <s:c r="E6" s="12" t="inlineStr">
        <s:is>
          <s:t>../../2025/jama.2024.24764/jama_atherton_2025_oi_240145_1741627844.85412.pdf#page=3</s:t>
        </s:is>
      </s:c>
    </s:row>
    <s:row r="7" ht="90" customFormat="1" customHeight="1" s="8">
      <s:c r="A7" s="11" t="inlineStr">
        <s:is>
          <s:t>2025::jama.2024.24764::C005</s:t>
        </s:is>
      </s:c>
      <s:c r="B7" s="11" t="inlineStr">
        <s:is>
          <s:t>sourceLinks</s:t>
        </s:is>
      </s:c>
      <s:c r="C7" s="11" t="n">
        <s:v>1</s:v>
      </s:c>
      <s:c r="D7" s="11" t="inlineStr">
        <s:is>
          <s:t>PDF p. 6, safety narrative</s:t>
        </s:is>
      </s:c>
      <s:c r="E7" s="11" t="inlineStr">
        <s:is>
          <s:t>../../2025/jama.2024.24764/jama_atherton_2025_oi_240145_1741627844.85412.pdf#page=6</s:t>
        </s:is>
      </s:c>
    </s:row>
    <s:row r="8" ht="90" customFormat="1" customHeight="1" s="8">
      <s:c r="A8" s="12" t="inlineStr">
        <s:is>
          <s:t>2025::jama.2024.24764::C005</s:t>
        </s:is>
      </s:c>
      <s:c r="B8" s="12" t="inlineStr">
        <s:is>
          <s:t>sourceLinks</s:t>
        </s:is>
      </s:c>
      <s:c r="C8" s="12" t="n">
        <s:v>2</s:v>
      </s:c>
      <s:c r="D8" s="12" t="inlineStr">
        <s:is>
          <s:t>PDF p. 8, Table 3</s:t>
        </s:is>
      </s:c>
      <s:c r="E8" s="12" t="inlineStr">
        <s:is>
          <s:t>../../2025/jama.2024.24764/jama_atherton_2025_oi_240145_1741627844.85412.pdf#page=8</s:t>
        </s:is>
      </s:c>
    </s:row>
    <s:row r="9" ht="90" customFormat="1" customHeight="1" s="8">
      <s:c r="A9" s="11" t="inlineStr">
        <s:is>
          <s:t>2025::jama.2024.24764::C005</s:t>
        </s:is>
      </s:c>
      <s:c r="B9" s="11" t="inlineStr">
        <s:is>
          <s:t>evidencePaths</s:t>
        </s:is>
      </s:c>
      <s:c r="C9" s="11" t="n">
        <s:v>0</s:v>
      </s:c>
      <s:c r="D9" s="11" t="inlineStr">
        <s:is>
          <s:t>2025/jama.2024.24764/.ai_paper_validation/review_1_5_3/verification/evidence_recheck.md</s:t>
        </s:is>
      </s:c>
      <s:c r="E9" s="11" t="inlineStr">
        <s:is>
          <s:t>../../2025/jama.2024.24764/.ai_paper_validation/review_1_5_3/verification/evidence_recheck.md</s:t>
        </s:is>
      </s:c>
    </s:row>
    <s:row r="10" ht="90" customFormat="1" customHeight="1" s="8">
      <s:c r="A10" s="12" t="inlineStr">
        <s:is>
          <s:t>2025::jama.2024.24764::C006</s:t>
        </s:is>
      </s:c>
      <s:c r="B10" s="12" t="inlineStr">
        <s:is>
          <s:t>sourceLinks</s:t>
        </s:is>
      </s:c>
      <s:c r="C10" s="12" t="n">
        <s:v>0</s:v>
      </s:c>
      <s:c r="D10" s="12" t="inlineStr">
        <s:is>
          <s:t>joi240145supp1_prod_1741627844.87412.pdf — PDF p. 26, SAP</s:t>
        </s:is>
      </s:c>
      <s:c r="E10" s="12" t="inlineStr">
        <s:is>
          <s:t>../../2025/jama.2024.24764/joi240145supp1_prod_1741627844.87412.pdf#page=26</s:t>
        </s:is>
      </s:c>
    </s:row>
    <s:row r="11" ht="90" customFormat="1" customHeight="1" s="8">
      <s:c r="A11" s="11" t="inlineStr">
        <s:is>
          <s:t>2025::jama.2024.24764::C006</s:t>
        </s:is>
      </s:c>
      <s:c r="B11" s="11" t="inlineStr">
        <s:is>
          <s:t>sourceLinks</s:t>
        </s:is>
      </s:c>
      <s:c r="C11" s="11" t="n">
        <s:v>1</s:v>
      </s:c>
      <s:c r="D11" s="11" t="inlineStr">
        <s:is>
          <s:t>jama_atherton_2025_oi_240145_1741627844.85412.pdf — PDF p. 4, Statistical Analysis</s:t>
        </s:is>
      </s:c>
      <s:c r="E11" s="11" t="inlineStr">
        <s:is>
          <s:t>../../2025/jama.2024.24764/jama_atherton_2025_oi_240145_1741627844.85412.pdf#page=4</s:t>
        </s:is>
      </s:c>
    </s:row>
    <s:row r="12" ht="90" customFormat="1" customHeight="1" s="8">
      <s:c r="A12" s="12" t="inlineStr">
        <s:is>
          <s:t>2025::jama.2024.24764::C006</s:t>
        </s:is>
      </s:c>
      <s:c r="B12" s="12" t="inlineStr">
        <s:is>
          <s:t>evidencePaths</s:t>
        </s:is>
      </s:c>
      <s:c r="C12" s="12" t="n">
        <s:v>0</s:v>
      </s:c>
      <s:c r="D12" s="12" t="inlineStr">
        <s:is>
          <s:t>2025/jama.2024.24764/.ai_paper_validation/review_1_5_3/verification/evidence_recheck.md</s:t>
        </s:is>
      </s:c>
      <s:c r="E12" s="12" t="inlineStr">
        <s:is>
          <s:t>../../2025/jama.2024.24764/.ai_paper_validation/review_1_5_3/verification/evidence_recheck.md</s:t>
        </s:is>
      </s:c>
    </s:row>
    <s:row r="13" ht="90" customFormat="1" customHeight="1" s="8">
      <s:c r="A13" s="11" t="inlineStr">
        <s:is>
          <s:t>2025::jama.2024.24764::C007</s:t>
        </s:is>
      </s:c>
      <s:c r="B13" s="11" t="inlineStr">
        <s:is>
          <s:t>sourceLinks</s:t>
        </s:is>
      </s:c>
      <s:c r="C13" s="11" t="n">
        <s:v>0</s:v>
      </s:c>
      <s:c r="D13" s="11" t="inlineStr">
        <s:is>
          <s:t>joi240145supp1_prod_1741627844.87412.pdf — PDF p. 25, SAP</s:t>
        </s:is>
      </s:c>
      <s:c r="E13" s="11" t="inlineStr">
        <s:is>
          <s:t>../../2025/jama.2024.24764/joi240145supp1_prod_1741627844.87412.pdf#page=25</s:t>
        </s:is>
      </s:c>
    </s:row>
    <s:row r="14" ht="90" customFormat="1" customHeight="1" s="8">
      <s:c r="A14" s="12" t="inlineStr">
        <s:is>
          <s:t>2025::jama.2024.24764::C007</s:t>
        </s:is>
      </s:c>
      <s:c r="B14" s="12" t="inlineStr">
        <s:is>
          <s:t>sourceLinks</s:t>
        </s:is>
      </s:c>
      <s:c r="C14" s="12" t="n">
        <s:v>1</s:v>
      </s:c>
      <s:c r="D14" s="12" t="inlineStr">
        <s:is>
          <s:t>joi240145supp4_prod_1741627844.90412.pdf — PDF p. 39, protocol</s:t>
        </s:is>
      </s:c>
      <s:c r="E14" s="12" t="inlineStr">
        <s:is>
          <s:t>../../2025/jama.2024.24764/joi240145supp4_prod_1741627844.90412.pdf#page=39</s:t>
        </s:is>
      </s:c>
    </s:row>
    <s:row r="15" ht="90" customFormat="1" customHeight="1" s="8">
      <s:c r="A15" s="11" t="inlineStr">
        <s:is>
          <s:t>2025::jama.2024.24764::C007</s:t>
        </s:is>
      </s:c>
      <s:c r="B15" s="11" t="inlineStr">
        <s:is>
          <s:t>sourceLinks</s:t>
        </s:is>
      </s:c>
      <s:c r="C15" s="11" t="n">
        <s:v>2</s:v>
      </s:c>
      <s:c r="D15" s="11" t="inlineStr">
        <s:is>
          <s:t>jama_atherton_2025_oi_240145_1741627844.85412.pdf — PDF p. 4</s:t>
        </s:is>
      </s:c>
      <s:c r="E15" s="11" t="inlineStr">
        <s:is>
          <s:t>../../2025/jama.2024.24764/jama_atherton_2025_oi_240145_1741627844.85412.pdf#page=4</s:t>
        </s:is>
      </s:c>
    </s:row>
    <s:row r="16" ht="90" customFormat="1" customHeight="1" s="8">
      <s:c r="A16" s="12" t="inlineStr">
        <s:is>
          <s:t>2025::jama.2024.24764::C007</s:t>
        </s:is>
      </s:c>
      <s:c r="B16" s="12" t="inlineStr">
        <s:is>
          <s:t>sourceLinks</s:t>
        </s:is>
      </s:c>
      <s:c r="C16" s="12" t="n">
        <s:v>3</s:v>
      </s:c>
      <s:c r="D16" s="12" t="inlineStr">
        <s:is>
          <s:t>PDF p. 8, Table 3</s:t>
        </s:is>
      </s:c>
      <s:c r="E16" s="12" t="inlineStr">
        <s:is>
          <s:t>../../2025/jama.2024.24764/jama_atherton_2025_oi_240145_1741627844.85412.pdf#page=8</s:t>
        </s:is>
      </s:c>
    </s:row>
    <s:row r="17" ht="90" customFormat="1" customHeight="1" s="8">
      <s:c r="A17" s="11" t="inlineStr">
        <s:is>
          <s:t>2025::jama.2024.24764::C007</s:t>
        </s:is>
      </s:c>
      <s:c r="B17" s="11" t="inlineStr">
        <s:is>
          <s:t>evidencePaths</s:t>
        </s:is>
      </s:c>
      <s:c r="C17" s="11" t="n">
        <s:v>0</s:v>
      </s:c>
      <s:c r="D17" s="11" t="inlineStr">
        <s:is>
          <s:t>2025/jama.2024.24764/.ai_paper_validation/review_1_5_3/verification/evidence_recheck.md</s:t>
        </s:is>
      </s:c>
      <s:c r="E17" s="11" t="inlineStr">
        <s:is>
          <s:t>../../2025/jama.2024.24764/.ai_paper_validation/review_1_5_3/verification/evidence_recheck.md</s:t>
        </s:is>
      </s:c>
    </s:row>
    <s:row r="18" ht="90" customFormat="1" customHeight="1" s="8">
      <s:c r="A18" s="12" t="inlineStr">
        <s:is>
          <s:t>2025::jama.2024.24764::C008</s:t>
        </s:is>
      </s:c>
      <s:c r="B18" s="12" t="inlineStr">
        <s:is>
          <s:t>sourceLinks</s:t>
        </s:is>
      </s:c>
      <s:c r="C18" s="12" t="n">
        <s:v>0</s:v>
      </s:c>
      <s:c r="D18" s="12" t="inlineStr">
        <s:is>
          <s:t>joi240145supp1_prod_1741627844.87412.pdf — PDF p. 18, SAP endpoint</s:t>
        </s:is>
      </s:c>
      <s:c r="E18" s="12" t="inlineStr">
        <s:is>
          <s:t>../../2025/jama.2024.24764/joi240145supp1_prod_1741627844.87412.pdf#page=18</s:t>
        </s:is>
      </s:c>
    </s:row>
    <s:row r="19" ht="90" customFormat="1" customHeight="1" s="8">
      <s:c r="A19" s="11" t="inlineStr">
        <s:is>
          <s:t>2025::jama.2024.24764::C008</s:t>
        </s:is>
      </s:c>
      <s:c r="B19" s="11" t="inlineStr">
        <s:is>
          <s:t>sourceLinks</s:t>
        </s:is>
      </s:c>
      <s:c r="C19" s="11" t="n">
        <s:v>1</s:v>
      </s:c>
      <s:c r="D19" s="11" t="inlineStr">
        <s:is>
          <s:t>PDF p. 25, SAP population</s:t>
        </s:is>
      </s:c>
      <s:c r="E19" s="11" t="inlineStr">
        <s:is>
          <s:t>../../2025/jama.2024.24764/joi240145supp1_prod_1741627844.87412.pdf#page=25</s:t>
        </s:is>
      </s:c>
    </s:row>
    <s:row r="20" ht="90" customFormat="1" customHeight="1" s="8">
      <s:c r="A20" s="12" t="inlineStr">
        <s:is>
          <s:t>2025::jama.2024.24764::C008</s:t>
        </s:is>
      </s:c>
      <s:c r="B20" s="12" t="inlineStr">
        <s:is>
          <s:t>sourceLinks</s:t>
        </s:is>
      </s:c>
      <s:c r="C20" s="12" t="n">
        <s:v>2</s:v>
      </s:c>
      <s:c r="D20" s="12" t="inlineStr">
        <s:is>
          <s:t>joi240145supp4_prod_1741627844.90412.pdf — PDF p. 24, protocol</s:t>
        </s:is>
      </s:c>
      <s:c r="E20" s="12" t="inlineStr">
        <s:is>
          <s:t>../../2025/jama.2024.24764/joi240145supp4_prod_1741627844.90412.pdf#page=24</s:t>
        </s:is>
      </s:c>
    </s:row>
    <s:row r="21" ht="90" customFormat="1" customHeight="1" s="8">
      <s:c r="A21" s="11" t="inlineStr">
        <s:is>
          <s:t>2025::jama.2024.24764::C008</s:t>
        </s:is>
      </s:c>
      <s:c r="B21" s="11" t="inlineStr">
        <s:is>
          <s:t>sourceLinks</s:t>
        </s:is>
      </s:c>
      <s:c r="C21" s="11" t="n">
        <s:v>3</s:v>
      </s:c>
      <s:c r="D21" s="11" t="inlineStr">
        <s:is>
          <s:t>jama_atherton_2025_oi_240145_1741627844.85412.pdf — PDF p. 1, abstract</s:t>
        </s:is>
      </s:c>
      <s:c r="E21" s="11" t="inlineStr">
        <s:is>
          <s:t>../../2025/jama.2024.24764/jama_atherton_2025_oi_240145_1741627844.85412.pdf#page=1</s:t>
        </s:is>
      </s:c>
    </s:row>
    <s:row r="22" ht="90" customFormat="1" customHeight="1" s="8">
      <s:c r="A22" s="12" t="inlineStr">
        <s:is>
          <s:t>2025::jama.2024.24764::C008</s:t>
        </s:is>
      </s:c>
      <s:c r="B22" s="12" t="inlineStr">
        <s:is>
          <s:t>sourceLinks</s:t>
        </s:is>
      </s:c>
      <s:c r="C22" s="12" t="n">
        <s:v>4</s:v>
      </s:c>
      <s:c r="D22" s="12" t="inlineStr">
        <s:is>
          <s:t>PDF p. 8, Table 3</s:t>
        </s:is>
      </s:c>
      <s:c r="E22" s="12" t="inlineStr">
        <s:is>
          <s:t>../../2025/jama.2024.24764/jama_atherton_2025_oi_240145_1741627844.85412.pdf#page=8</s:t>
        </s:is>
      </s:c>
    </s:row>
    <s:row r="23" ht="90" customFormat="1" customHeight="1" s="8">
      <s:c r="A23" s="11" t="inlineStr">
        <s:is>
          <s:t>2025::jama.2024.24764::C008</s:t>
        </s:is>
      </s:c>
      <s:c r="B23" s="11" t="inlineStr">
        <s:is>
          <s:t>evidencePaths</s:t>
        </s:is>
      </s:c>
      <s:c r="C23" s="11" t="n">
        <s:v>0</s:v>
      </s:c>
      <s:c r="D23" s="11" t="inlineStr">
        <s:is>
          <s:t>2025/jama.2024.24764/.ai_paper_validation/review_1_5_3/verification/evidence_recheck.md</s:t>
        </s:is>
      </s:c>
      <s:c r="E23" s="11" t="inlineStr">
        <s:is>
          <s:t>../../2025/jama.2024.24764/.ai_paper_validation/review_1_5_3/verification/evidence_recheck.md</s:t>
        </s:is>
      </s:c>
    </s:row>
    <s:row r="24" ht="90" customFormat="1" customHeight="1" s="8">
      <s:c r="A24" s="12" t="inlineStr">
        <s:is>
          <s:t>2025::jama.2024.27643::C001</s:t>
        </s:is>
      </s:c>
      <s:c r="B24" s="12" t="inlineStr">
        <s:is>
          <s:t>sourceLinks</s:t>
        </s:is>
      </s:c>
      <s:c r="C24" s="12" t="n">
        <s:v>0</s:v>
      </s:c>
      <s:c r="D24" s="12" t="inlineStr">
        <s:is>
          <s:t>jama_berry_2025_oi_240158_1742927563.7361.pdf — Table 1 and footnote b, PDF p. 6</s:t>
        </s:is>
      </s:c>
      <s:c r="E24" s="12" t="inlineStr">
        <s:is>
          <s:t>../../2025/jama.2024.27643/jama_berry_2025_oi_240158_1742927563.7361.pdf#page=6</s:t>
        </s:is>
      </s:c>
    </s:row>
    <s:row r="25" ht="90" customFormat="1" customHeight="1" s="8">
      <s:c r="A25" s="11" t="inlineStr">
        <s:is>
          <s:t>2025::jama.2024.27643::C002</s:t>
        </s:is>
      </s:c>
      <s:c r="B25" s="11" t="inlineStr">
        <s:is>
          <s:t>sourceLinks</s:t>
        </s:is>
      </s:c>
      <s:c r="C25" s="11" t="n">
        <s:v>0</s:v>
      </s:c>
      <s:c r="D25" s="11" t="inlineStr">
        <s:is>
          <s:t>jama_berry_2025_oi_240158_1742927563.7361.pdf — Secondary Efficacy Outcomes, PDF p. 4</s:t>
        </s:is>
      </s:c>
      <s:c r="E25" s="11" t="inlineStr">
        <s:is>
          <s:t>../../2025/jama.2024.27643/jama_berry_2025_oi_240158_1742927563.7361.pdf#page=4</s:t>
        </s:is>
      </s:c>
    </s:row>
    <s:row r="26" ht="90" customFormat="1" customHeight="1" s="8">
      <s:c r="A26" s="12" t="inlineStr">
        <s:is>
          <s:t>2025::jama.2024.27643::C002</s:t>
        </s:is>
      </s:c>
      <s:c r="B26" s="12" t="inlineStr">
        <s:is>
          <s:t>sourceLinks</s:t>
        </s:is>
      </s:c>
      <s:c r="C26" s="12" t="n">
        <s:v>1</s:v>
      </s:c>
      <s:c r="D26" s="12" t="inlineStr">
        <s:is>
          <s:t>joi240158supp3_prod_1742927563.7911.pdf — eTable 3A, PDF p. 16</s:t>
        </s:is>
      </s:c>
      <s:c r="E26" s="12" t="inlineStr">
        <s:is>
          <s:t>../../2025/jama.2024.27643/joi240158supp3_prod_1742927563.7911.pdf#page=16</s:t>
        </s:is>
      </s:c>
    </s:row>
    <s:row r="27" ht="90" customFormat="1" customHeight="1" s="8">
      <s:c r="A27" s="11" t="inlineStr">
        <s:is>
          <s:t>2025::jama.2024.27643::C003</s:t>
        </s:is>
      </s:c>
      <s:c r="B27" s="11" t="inlineStr">
        <s:is>
          <s:t>sourceLinks</s:t>
        </s:is>
      </s:c>
      <s:c r="C27" s="11" t="n">
        <s:v>0</s:v>
      </s:c>
      <s:c r="D27" s="11" t="inlineStr">
        <s:is>
          <s:t>jama_berry_2025_oi_240158_1742927563.7361.pdf — Primary Efficacy Outcome, PDF p. 4</s:t>
        </s:is>
      </s:c>
      <s:c r="E27" s="11" t="inlineStr">
        <s:is>
          <s:t>../../2025/jama.2024.27643/jama_berry_2025_oi_240158_1742927563.7361.pdf#page=4</s:t>
        </s:is>
      </s:c>
    </s:row>
    <s:row r="28" ht="90" customFormat="1" customHeight="1" s="8">
      <s:c r="A28" s="12" t="inlineStr">
        <s:is>
          <s:t>2025::jama.2024.27643::C003</s:t>
        </s:is>
      </s:c>
      <s:c r="B28" s="12" t="inlineStr">
        <s:is>
          <s:t>sourceLinks</s:t>
        </s:is>
      </s:c>
      <s:c r="C28" s="12" t="n">
        <s:v>1</s:v>
      </s:c>
      <s:c r="D28" s="12" t="inlineStr">
        <s:is>
          <s:t>joi240158supp3_prod_1742927563.7911.pdf — eTable 2, PDF p. 15</s:t>
        </s:is>
      </s:c>
      <s:c r="E28" s="12" t="inlineStr">
        <s:is>
          <s:t>../../2025/jama.2024.27643/joi240158supp3_prod_1742927563.7911.pdf#page=15</s:t>
        </s:is>
      </s:c>
    </s:row>
    <s:row r="29" ht="90" customFormat="1" customHeight="1" s="8">
      <s:c r="A29" s="11" t="inlineStr">
        <s:is>
          <s:t>2025::jama.2024.27643::C004</s:t>
        </s:is>
      </s:c>
      <s:c r="B29" s="11" t="inlineStr">
        <s:is>
          <s:t>sourceLinks</s:t>
        </s:is>
      </s:c>
      <s:c r="C29" s="11" t="n">
        <s:v>0</s:v>
      </s:c>
      <s:c r="D29" s="11" t="inlineStr">
        <s:is>
          <s:t>jama_berry_2025_oi_240158_1742927563.7361.pdf — Primary Efficacy Outcome, PDF p. 4</s:t>
        </s:is>
      </s:c>
      <s:c r="E29" s="11" t="inlineStr">
        <s:is>
          <s:t>../../2025/jama.2024.27643/jama_berry_2025_oi_240158_1742927563.7361.pdf#page=4</s:t>
        </s:is>
      </s:c>
    </s:row>
    <s:row r="30" ht="90" customFormat="1" customHeight="1" s="8">
      <s:c r="A30" s="12" t="inlineStr">
        <s:is>
          <s:t>2025::jama.2024.27643::C004</s:t>
        </s:is>
      </s:c>
      <s:c r="B30" s="12" t="inlineStr">
        <s:is>
          <s:t>sourceLinks</s:t>
        </s:is>
      </s:c>
      <s:c r="C30" s="12" t="n">
        <s:v>1</s:v>
      </s:c>
      <s:c r="D30" s="12" t="inlineStr">
        <s:is>
          <s:t>joi240158supp3_prod_1742927563.7911.pdf — eTable 2, PDF p. 15</s:t>
        </s:is>
      </s:c>
      <s:c r="E30" s="12" t="inlineStr">
        <s:is>
          <s:t>../../2025/jama.2024.27643/joi240158supp3_prod_1742927563.7911.pdf#page=15</s:t>
        </s:is>
      </s:c>
    </s:row>
    <s:row r="31" ht="90" customFormat="1" customHeight="1" s="8">
      <s:c r="A31" s="11" t="inlineStr">
        <s:is>
          <s:t>2025::jama.2024.27643::C005</s:t>
        </s:is>
      </s:c>
      <s:c r="B31" s="11" t="inlineStr">
        <s:is>
          <s:t>sourceLinks</s:t>
        </s:is>
      </s:c>
      <s:c r="C31" s="11" t="n">
        <s:v>0</s:v>
      </s:c>
      <s:c r="D31" s="11" t="inlineStr">
        <s:is>
          <s:t>jama_berry_2025_oi_240158_1742927563.7361.pdf — Primary Efficacy Outcome, PDF p. 4</s:t>
        </s:is>
      </s:c>
      <s:c r="E31" s="11" t="inlineStr">
        <s:is>
          <s:t>../../2025/jama.2024.27643/jama_berry_2025_oi_240158_1742927563.7361.pdf#page=4</s:t>
        </s:is>
      </s:c>
    </s:row>
    <s:row r="32" ht="90" customFormat="1" customHeight="1" s="8">
      <s:c r="A32" s="12" t="inlineStr">
        <s:is>
          <s:t>2025::jama.2024.27643::C005</s:t>
        </s:is>
      </s:c>
      <s:c r="B32" s="12" t="inlineStr">
        <s:is>
          <s:t>sourceLinks</s:t>
        </s:is>
      </s:c>
      <s:c r="C32" s="12" t="n">
        <s:v>1</s:v>
      </s:c>
      <s:c r="D32" s="12" t="inlineStr">
        <s:is>
          <s:t>joi240158supp3_prod_1742927563.7911.pdf — eTable 2, PDF p. 15</s:t>
        </s:is>
      </s:c>
      <s:c r="E32" s="12" t="inlineStr">
        <s:is>
          <s:t>../../2025/jama.2024.27643/joi240158supp3_prod_1742927563.7911.pdf#page=15</s:t>
        </s:is>
      </s:c>
    </s:row>
    <s:row r="33" ht="90" customFormat="1" customHeight="1" s="8">
      <s:c r="A33" s="11" t="inlineStr">
        <s:is>
          <s:t>2025::jama.2024.27643::C006</s:t>
        </s:is>
      </s:c>
      <s:c r="B33" s="11" t="inlineStr">
        <s:is>
          <s:t>sourceLinks</s:t>
        </s:is>
      </s:c>
      <s:c r="C33" s="11" t="n">
        <s:v>0</s:v>
      </s:c>
      <s:c r="D33" s="11" t="inlineStr">
        <s:is>
          <s:t>jama_berry_2025_oi_240158_1742927563.7361.pdf — Figure 3 and Biomarker Analyses, PDF p. 8</s:t>
        </s:is>
      </s:c>
      <s:c r="E33" s="11" t="inlineStr">
        <s:is>
          <s:t>../../2025/jama.2024.27643/jama_berry_2025_oi_240158_1742927563.7361.pdf#page=8</s:t>
        </s:is>
      </s:c>
    </s:row>
    <s:row r="34" ht="90" customFormat="1" customHeight="1" s="8">
      <s:c r="A34" s="12" t="inlineStr">
        <s:is>
          <s:t>2025::jama.2024.27643::C006</s:t>
        </s:is>
      </s:c>
      <s:c r="B34" s="12" t="inlineStr">
        <s:is>
          <s:t>sourceLinks</s:t>
        </s:is>
      </s:c>
      <s:c r="C34" s="12" t="n">
        <s:v>1</s:v>
      </s:c>
      <s:c r="D34" s="12" t="inlineStr">
        <s:is>
          <s:t>joi240158supp3_prod_1742927563.7911.pdf — eTable 3B, PDF p. 17</s:t>
        </s:is>
      </s:c>
      <s:c r="E34" s="12" t="inlineStr">
        <s:is>
          <s:t>../../2025/jama.2024.27643/joi240158supp3_prod_1742927563.7911.pdf#page=17</s:t>
        </s:is>
      </s:c>
    </s:row>
    <s:row r="35" ht="90" customFormat="1" customHeight="1" s="8">
      <s:c r="A35" s="11" t="inlineStr">
        <s:is>
          <s:t>2025::jama.2024.27643::C007</s:t>
        </s:is>
      </s:c>
      <s:c r="B35" s="11" t="inlineStr">
        <s:is>
          <s:t>sourceLinks</s:t>
        </s:is>
      </s:c>
      <s:c r="C35" s="11" t="n">
        <s:v>0</s:v>
      </s:c>
      <s:c r="D35" s="11" t="inlineStr">
        <s:is>
          <s:t>jama_berry_2025_oi_240158_1742927563.7361.pdf — Figure 3 and Biomarker Analyses, PDF p. 8</s:t>
        </s:is>
      </s:c>
      <s:c r="E35" s="11" t="inlineStr">
        <s:is>
          <s:t>../../2025/jama.2024.27643/jama_berry_2025_oi_240158_1742927563.7361.pdf#page=8</s:t>
        </s:is>
      </s:c>
    </s:row>
    <s:row r="36" ht="90" customFormat="1" customHeight="1" s="8">
      <s:c r="A36" s="12" t="inlineStr">
        <s:is>
          <s:t>2025::jama.2024.27643::C007</s:t>
        </s:is>
      </s:c>
      <s:c r="B36" s="12" t="inlineStr">
        <s:is>
          <s:t>sourceLinks</s:t>
        </s:is>
      </s:c>
      <s:c r="C36" s="12" t="n">
        <s:v>1</s:v>
      </s:c>
      <s:c r="D36" s="12" t="inlineStr">
        <s:is>
          <s:t>joi240158supp3_prod_1742927563.7911.pdf — eTable 3B, PDF p. 17</s:t>
        </s:is>
      </s:c>
      <s:c r="E36" s="12" t="inlineStr">
        <s:is>
          <s:t>../../2025/jama.2024.27643/joi240158supp3_prod_1742927563.7911.pdf#page=17</s:t>
        </s:is>
      </s:c>
    </s:row>
    <s:row r="37" ht="90" customFormat="1" customHeight="1" s="8">
      <s:c r="A37" s="11" t="inlineStr">
        <s:is>
          <s:t>2025::jama.2024.27643::C008</s:t>
        </s:is>
      </s:c>
      <s:c r="B37" s="11" t="inlineStr">
        <s:is>
          <s:t>sourceLinks</s:t>
        </s:is>
      </s:c>
      <s:c r="C37" s="11" t="n">
        <s:v>0</s:v>
      </s:c>
      <s:c r="D37" s="11" t="inlineStr">
        <s:is>
          <s:t>jama_berry_2025_oi_240158_1742927563.7361.pdf — Table 2, PDF p. 7</s:t>
        </s:is>
      </s:c>
      <s:c r="E37" s="11" t="inlineStr">
        <s:is>
          <s:t>../../2025/jama.2024.27643/jama_berry_2025_oi_240158_1742927563.7361.pdf#page=7</s:t>
        </s:is>
      </s:c>
    </s:row>
    <s:row r="38" ht="90" customFormat="1" customHeight="1" s="8">
      <s:c r="A38" s="12" t="inlineStr">
        <s:is>
          <s:t>2025::jama.2024.27643::C008</s:t>
        </s:is>
      </s:c>
      <s:c r="B38" s="12" t="inlineStr">
        <s:is>
          <s:t>sourceLinks</s:t>
        </s:is>
      </s:c>
      <s:c r="C38" s="12" t="n">
        <s:v>1</s:v>
      </s:c>
      <s:c r="D38" s="12" t="inlineStr">
        <s:is>
          <s:t>jama_berry_2025_oi_240158_1742927563.7361.pdf — Discussion, PDF p. 9</s:t>
        </s:is>
      </s:c>
      <s:c r="E38" s="12" t="inlineStr">
        <s:is>
          <s:t>../../2025/jama.2024.27643/jama_berry_2025_oi_240158_1742927563.7361.pdf#page=9</s:t>
        </s:is>
      </s:c>
    </s:row>
    <s:row r="39" ht="90" customFormat="1" customHeight="1" s="8">
      <s:c r="A39" s="11" t="inlineStr">
        <s:is>
          <s:t>2025::jama.2025.11178::C001</s:t>
        </s:is>
      </s:c>
      <s:c r="B39" s="11" t="inlineStr">
        <s:is>
          <s:t>sourceLinks</s:t>
        </s:is>
      </s:c>
      <s:c r="C39" s="11" t="n">
        <s:v>0</s:v>
      </s:c>
      <s:c r="D39" s="11" t="inlineStr">
        <s:is>
          <s:t>main article — PDF p. 5</s:t>
        </s:is>
      </s:c>
      <s:c r="E39" s="11" t="inlineStr">
        <s:is>
          <s:t>../../2025/jama.2025.11178/jama_debar_2025_oi_250046_1755300121.13587.pdf#page=5</s:t>
        </s:is>
      </s:c>
    </s:row>
    <s:row r="40" ht="90" customFormat="1" customHeight="1" s="8">
      <s:c r="A40" s="12" t="inlineStr">
        <s:is>
          <s:t>2025::jama.2025.11178::C002</s:t>
        </s:is>
      </s:c>
      <s:c r="B40" s="12" t="inlineStr">
        <s:is>
          <s:t>sourceLinks</s:t>
        </s:is>
      </s:c>
      <s:c r="C40" s="12" t="n">
        <s:v>0</s:v>
      </s:c>
      <s:c r="D40" s="12" t="inlineStr">
        <s:is>
          <s:t>results supplement — PDF p. 7</s:t>
        </s:is>
      </s:c>
      <s:c r="E40" s="12" t="inlineStr">
        <s:is>
          <s:t>../../2025/jama.2025.11178/joi250046supp4_prod_1755300121.15587.pdf#page=7</s:t>
        </s:is>
      </s:c>
    </s:row>
    <s:row r="41" ht="90" customFormat="1" customHeight="1" s="8">
      <s:c r="A41" s="11" t="inlineStr">
        <s:is>
          <s:t>2025::jama.2025.11178::C003</s:t>
        </s:is>
      </s:c>
      <s:c r="B41" s="11" t="inlineStr">
        <s:is>
          <s:t>sourceLinks</s:t>
        </s:is>
      </s:c>
      <s:c r="C41" s="11" t="n">
        <s:v>0</s:v>
      </s:c>
      <s:c r="D41" s="11" t="inlineStr">
        <s:is>
          <s:t>results supplement — PDF p. 7</s:t>
        </s:is>
      </s:c>
      <s:c r="E41" s="11" t="inlineStr">
        <s:is>
          <s:t>../../2025/jama.2025.11178/joi250046supp4_prod_1755300121.15587.pdf#page=7</s:t>
        </s:is>
      </s:c>
    </s:row>
    <s:row r="42" ht="90" customFormat="1" customHeight="1" s="8">
      <s:c r="A42" s="12" t="inlineStr">
        <s:is>
          <s:t>2025::jama.2025.11178::C004</s:t>
        </s:is>
      </s:c>
      <s:c r="B42" s="12" t="inlineStr">
        <s:is>
          <s:t>sourceLinks</s:t>
        </s:is>
      </s:c>
      <s:c r="C42" s="12" t="n">
        <s:v>0</s:v>
      </s:c>
      <s:c r="D42" s="12" t="inlineStr">
        <s:is>
          <s:t>results supplement — PDF p. 7</s:t>
        </s:is>
      </s:c>
      <s:c r="E42" s="12" t="inlineStr">
        <s:is>
          <s:t>../../2025/jama.2025.11178/joi250046supp4_prod_1755300121.15587.pdf#page=7</s:t>
        </s:is>
      </s:c>
    </s:row>
    <s:row r="43" ht="90" customFormat="1" customHeight="1" s="8">
      <s:c r="A43" s="11" t="inlineStr">
        <s:is>
          <s:t>2025::jama.2025.11178::C005</s:t>
        </s:is>
      </s:c>
      <s:c r="B43" s="11" t="inlineStr">
        <s:is>
          <s:t>sourceLinks</s:t>
        </s:is>
      </s:c>
      <s:c r="C43" s="11" t="n">
        <s:v>0</s:v>
      </s:c>
      <s:c r="D43" s="11" t="inlineStr">
        <s:is>
          <s:t>workbook</s:t>
        </s:is>
      </s:c>
      <s:c r="E43" s="11" t="inlineStr">
        <s:is>
          <s:t>../../2025/jama.2025.11178/joi250046supp5_prod_1755300121.16087.xlsx</s:t>
        </s:is>
      </s:c>
    </s:row>
    <s:row r="44" ht="90" customFormat="1" customHeight="1" s="8">
      <s:c r="A44" s="12" t="inlineStr">
        <s:is>
          <s:t>2025::jama.2025.11178::C006</s:t>
        </s:is>
      </s:c>
      <s:c r="B44" s="12" t="inlineStr">
        <s:is>
          <s:t>sourceLinks</s:t>
        </s:is>
      </s:c>
      <s:c r="C44" s="12" t="n">
        <s:v>0</s:v>
      </s:c>
      <s:c r="D44" s="12" t="inlineStr">
        <s:is>
          <s:t>workbook</s:t>
        </s:is>
      </s:c>
      <s:c r="E44" s="12" t="inlineStr">
        <s:is>
          <s:t>../../2025/jama.2025.11178/joi250046supp5_prod_1755300121.16087.xlsx</s:t>
        </s:is>
      </s:c>
    </s:row>
    <s:row r="45" ht="90" customFormat="1" customHeight="1" s="8">
      <s:c r="A45" s="11" t="inlineStr">
        <s:is>
          <s:t>2025::jama.2025.11178::C007</s:t>
        </s:is>
      </s:c>
      <s:c r="B45" s="11" t="inlineStr">
        <s:is>
          <s:t>sourceLinks</s:t>
        </s:is>
      </s:c>
      <s:c r="C45" s="11" t="n">
        <s:v>0</s:v>
      </s:c>
      <s:c r="D45" s="11" t="inlineStr">
        <s:is>
          <s:t>workbook</s:t>
        </s:is>
      </s:c>
      <s:c r="E45" s="11" t="inlineStr">
        <s:is>
          <s:t>../../2025/jama.2025.11178/joi250046supp5_prod_1755300121.16087.xlsx</s:t>
        </s:is>
      </s:c>
    </s:row>
    <s:row r="46" ht="90" customFormat="1" customHeight="1" s="8">
      <s:c r="A46" s="12" t="inlineStr">
        <s:is>
          <s:t>2025::jama.2025.11178::C008</s:t>
        </s:is>
      </s:c>
      <s:c r="B46" s="12" t="inlineStr">
        <s:is>
          <s:t>sourceLinks</s:t>
        </s:is>
      </s:c>
      <s:c r="C46" s="12" t="n">
        <s:v>0</s:v>
      </s:c>
      <s:c r="D46" s="12" t="inlineStr">
        <s:is>
          <s:t>main article — PDF p. 10</s:t>
        </s:is>
      </s:c>
      <s:c r="E46" s="12" t="inlineStr">
        <s:is>
          <s:t>../../2025/jama.2025.11178/jama_debar_2025_oi_250046_1755300121.13587.pdf#page=10</s:t>
        </s:is>
      </s:c>
    </s:row>
    <s:row r="47" ht="90" customFormat="1" customHeight="1" s="8">
      <s:c r="A47" s="11" t="inlineStr">
        <s:is>
          <s:t>2025::jama.2025.11178::C009</s:t>
        </s:is>
      </s:c>
      <s:c r="B47" s="11" t="inlineStr">
        <s:is>
          <s:t>sourceLinks</s:t>
        </s:is>
      </s:c>
      <s:c r="C47" s="11" t="n">
        <s:v>0</s:v>
      </s:c>
      <s:c r="D47" s="11" t="inlineStr">
        <s:is>
          <s:t>main article — PDF p. 10</s:t>
        </s:is>
      </s:c>
      <s:c r="E47" s="11" t="inlineStr">
        <s:is>
          <s:t>../../2025/jama.2025.11178/jama_debar_2025_oi_250046_1755300121.13587.pdf#page=10</s:t>
        </s:is>
      </s:c>
    </s:row>
    <s:row r="48" ht="90" customFormat="1" customHeight="1" s="8">
      <s:c r="A48" s="12" t="inlineStr">
        <s:is>
          <s:t>2025::jama.2025.11178::C010</s:t>
        </s:is>
      </s:c>
      <s:c r="B48" s="12" t="inlineStr">
        <s:is>
          <s:t>sourceLinks</s:t>
        </s:is>
      </s:c>
      <s:c r="C48" s="12" t="n">
        <s:v>0</s:v>
      </s:c>
      <s:c r="D48" s="12" t="inlineStr">
        <s:is>
          <s:t>main article — PDF p. 10</s:t>
        </s:is>
      </s:c>
      <s:c r="E48" s="12" t="inlineStr">
        <s:is>
          <s:t>../../2025/jama.2025.11178/jama_debar_2025_oi_250046_1755300121.13587.pdf#page=10</s:t>
        </s:is>
      </s:c>
    </s:row>
    <s:row r="49" ht="90" customFormat="1" customHeight="1" s="8">
      <s:c r="A49" s="11" t="inlineStr">
        <s:is>
          <s:t>2025::jama.2025.11178::C011</s:t>
        </s:is>
      </s:c>
      <s:c r="B49" s="11" t="inlineStr">
        <s:is>
          <s:t>sourceLinks</s:t>
        </s:is>
      </s:c>
      <s:c r="C49" s="11" t="n">
        <s:v>0</s:v>
      </s:c>
      <s:c r="D49" s="11" t="inlineStr">
        <s:is>
          <s:t>main article — PDF p. 10</s:t>
        </s:is>
      </s:c>
      <s:c r="E49" s="11" t="inlineStr">
        <s:is>
          <s:t>../../2025/jama.2025.11178/jama_debar_2025_oi_250046_1755300121.13587.pdf#page=10</s:t>
        </s:is>
      </s:c>
    </s:row>
    <s:row r="50" ht="90" customFormat="1" customHeight="1" s="8">
      <s:c r="A50" s="12" t="inlineStr">
        <s:is>
          <s:t>2025::jama.2025.11178::C012</s:t>
        </s:is>
      </s:c>
      <s:c r="B50" s="12" t="inlineStr">
        <s:is>
          <s:t>sourceLinks</s:t>
        </s:is>
      </s:c>
      <s:c r="C50" s="12" t="n">
        <s:v>0</s:v>
      </s:c>
      <s:c r="D50" s="12" t="inlineStr">
        <s:is>
          <s:t>main article — PDF p. 10</s:t>
        </s:is>
      </s:c>
      <s:c r="E50" s="12" t="inlineStr">
        <s:is>
          <s:t>../../2025/jama.2025.11178/jama_debar_2025_oi_250046_1755300121.13587.pdf#page=10</s:t>
        </s:is>
      </s:c>
    </s:row>
    <s:row r="51" ht="90" customFormat="1" customHeight="1" s="8">
      <s:c r="A51" s="11" t="inlineStr">
        <s:is>
          <s:t>2025::jama.2025.11178::C013</s:t>
        </s:is>
      </s:c>
      <s:c r="B51" s="11" t="inlineStr">
        <s:is>
          <s:t>sourceLinks</s:t>
        </s:is>
      </s:c>
      <s:c r="C51" s="11" t="n">
        <s:v>0</s:v>
      </s:c>
      <s:c r="D51" s="11" t="inlineStr">
        <s:is>
          <s:t>main article — PDF p. 10</s:t>
        </s:is>
      </s:c>
      <s:c r="E51" s="11" t="inlineStr">
        <s:is>
          <s:t>../../2025/jama.2025.11178/jama_debar_2025_oi_250046_1755300121.13587.pdf#page=10</s:t>
        </s:is>
      </s:c>
    </s:row>
    <s:row r="52" ht="90" customFormat="1" customHeight="1" s="8">
      <s:c r="A52" s="12" t="inlineStr">
        <s:is>
          <s:t>2025::jama.2025.11178::C014</s:t>
        </s:is>
      </s:c>
      <s:c r="B52" s="12" t="inlineStr">
        <s:is>
          <s:t>sourceLinks</s:t>
        </s:is>
      </s:c>
      <s:c r="C52" s="12" t="n">
        <s:v>0</s:v>
      </s:c>
      <s:c r="D52" s="12" t="inlineStr">
        <s:is>
          <s:t>main article — PDF p. 10</s:t>
        </s:is>
      </s:c>
      <s:c r="E52" s="12" t="inlineStr">
        <s:is>
          <s:t>../../2025/jama.2025.11178/jama_debar_2025_oi_250046_1755300121.13587.pdf#page=10</s:t>
        </s:is>
      </s:c>
    </s:row>
    <s:row r="53" ht="90" customFormat="1" customHeight="1" s="8">
      <s:c r="A53" s="11" t="inlineStr">
        <s:is>
          <s:t>2025::jama.2025.11178::C015</s:t>
        </s:is>
      </s:c>
      <s:c r="B53" s="11" t="inlineStr">
        <s:is>
          <s:t>sourceLinks</s:t>
        </s:is>
      </s:c>
      <s:c r="C53" s="11" t="n">
        <s:v>0</s:v>
      </s:c>
      <s:c r="D53" s="11" t="inlineStr">
        <s:is>
          <s:t>main article — PDF p. 10</s:t>
        </s:is>
      </s:c>
      <s:c r="E53" s="11" t="inlineStr">
        <s:is>
          <s:t>../../2025/jama.2025.11178/jama_debar_2025_oi_250046_1755300121.13587.pdf#page=10</s:t>
        </s:is>
      </s:c>
    </s:row>
    <s:row r="54" ht="90" customFormat="1" customHeight="1" s="8">
      <s:c r="A54" s="12" t="inlineStr">
        <s:is>
          <s:t>2025::jama.2025.11178::C016</s:t>
        </s:is>
      </s:c>
      <s:c r="B54" s="12" t="inlineStr">
        <s:is>
          <s:t>sourceLinks</s:t>
        </s:is>
      </s:c>
      <s:c r="C54" s="12" t="n">
        <s:v>0</s:v>
      </s:c>
      <s:c r="D54" s="12" t="inlineStr">
        <s:is>
          <s:t>main article — PDF p. 10</s:t>
        </s:is>
      </s:c>
      <s:c r="E54" s="12" t="inlineStr">
        <s:is>
          <s:t>../../2025/jama.2025.11178/jama_debar_2025_oi_250046_1755300121.13587.pdf#page=10</s:t>
        </s:is>
      </s:c>
    </s:row>
    <s:row r="55" ht="90" customFormat="1" customHeight="1" s="8">
      <s:c r="A55" s="11" t="inlineStr">
        <s:is>
          <s:t>2025::jama.2025.11178::C017</s:t>
        </s:is>
      </s:c>
      <s:c r="B55" s="11" t="inlineStr">
        <s:is>
          <s:t>sourceLinks</s:t>
        </s:is>
      </s:c>
      <s:c r="C55" s="11" t="n">
        <s:v>0</s:v>
      </s:c>
      <s:c r="D55" s="11" t="inlineStr">
        <s:is>
          <s:t>main article — PDF p. 10</s:t>
        </s:is>
      </s:c>
      <s:c r="E55" s="11" t="inlineStr">
        <s:is>
          <s:t>../../2025/jama.2025.11178/jama_debar_2025_oi_250046_1755300121.13587.pdf#page=10</s:t>
        </s:is>
      </s:c>
    </s:row>
    <s:row r="56" ht="90" customFormat="1" customHeight="1" s="8">
      <s:c r="A56" s="12" t="inlineStr">
        <s:is>
          <s:t>2025::jama.2025.11178::C018</s:t>
        </s:is>
      </s:c>
      <s:c r="B56" s="12" t="inlineStr">
        <s:is>
          <s:t>sourceLinks</s:t>
        </s:is>
      </s:c>
      <s:c r="C56" s="12" t="n">
        <s:v>0</s:v>
      </s:c>
      <s:c r="D56" s="12" t="inlineStr">
        <s:is>
          <s:t>main article — PDF p. 10</s:t>
        </s:is>
      </s:c>
      <s:c r="E56" s="12" t="inlineStr">
        <s:is>
          <s:t>../../2025/jama.2025.11178/jama_debar_2025_oi_250046_1755300121.13587.pdf#page=10</s:t>
        </s:is>
      </s:c>
    </s:row>
    <s:row r="57" ht="90" customFormat="1" customHeight="1" s="8">
      <s:c r="A57" s="11" t="inlineStr">
        <s:is>
          <s:t>2025::jama.2025.11178::C019</s:t>
        </s:is>
      </s:c>
      <s:c r="B57" s="11" t="inlineStr">
        <s:is>
          <s:t>sourceLinks</s:t>
        </s:is>
      </s:c>
      <s:c r="C57" s="11" t="n">
        <s:v>0</s:v>
      </s:c>
      <s:c r="D57" s="11" t="inlineStr">
        <s:is>
          <s:t>main article — PDF p. 10</s:t>
        </s:is>
      </s:c>
      <s:c r="E57" s="11" t="inlineStr">
        <s:is>
          <s:t>../../2025/jama.2025.11178/jama_debar_2025_oi_250046_1755300121.13587.pdf#page=10</s:t>
        </s:is>
      </s:c>
    </s:row>
    <s:row r="58" ht="90" customFormat="1" customHeight="1" s="8">
      <s:c r="A58" s="12" t="inlineStr">
        <s:is>
          <s:t>2025::jama.2025.11178::C020</s:t>
        </s:is>
      </s:c>
      <s:c r="B58" s="12" t="inlineStr">
        <s:is>
          <s:t>sourceLinks</s:t>
        </s:is>
      </s:c>
      <s:c r="C58" s="12" t="n">
        <s:v>0</s:v>
      </s:c>
      <s:c r="D58" s="12" t="inlineStr">
        <s:is>
          <s:t>main article — PDF p. 10</s:t>
        </s:is>
      </s:c>
      <s:c r="E58" s="12" t="inlineStr">
        <s:is>
          <s:t>../../2025/jama.2025.11178/jama_debar_2025_oi_250046_1755300121.13587.pdf#page=10</s:t>
        </s:is>
      </s:c>
    </s:row>
    <s:row r="59" ht="90" customFormat="1" customHeight="1" s="8">
      <s:c r="A59" s="11" t="inlineStr">
        <s:is>
          <s:t>2025::jama.2025.11178::C021</s:t>
        </s:is>
      </s:c>
      <s:c r="B59" s="11" t="inlineStr">
        <s:is>
          <s:t>sourceLinks</s:t>
        </s:is>
      </s:c>
      <s:c r="C59" s="11" t="n">
        <s:v>0</s:v>
      </s:c>
      <s:c r="D59" s="11" t="inlineStr">
        <s:is>
          <s:t>main article — PDF p. 10</s:t>
        </s:is>
      </s:c>
      <s:c r="E59" s="11" t="inlineStr">
        <s:is>
          <s:t>../../2025/jama.2025.11178/jama_debar_2025_oi_250046_1755300121.13587.pdf#page=10</s:t>
        </s:is>
      </s:c>
    </s:row>
    <s:row r="60" ht="90" customFormat="1" customHeight="1" s="8">
      <s:c r="A60" s="12" t="inlineStr">
        <s:is>
          <s:t>2025::jama.2025.11178::C022</s:t>
        </s:is>
      </s:c>
      <s:c r="B60" s="12" t="inlineStr">
        <s:is>
          <s:t>sourceLinks</s:t>
        </s:is>
      </s:c>
      <s:c r="C60" s="12" t="n">
        <s:v>0</s:v>
      </s:c>
      <s:c r="D60" s="12" t="inlineStr">
        <s:is>
          <s:t>main article — PDF p. 10</s:t>
        </s:is>
      </s:c>
      <s:c r="E60" s="12" t="inlineStr">
        <s:is>
          <s:t>../../2025/jama.2025.11178/jama_debar_2025_oi_250046_1755300121.13587.pdf#page=10</s:t>
        </s:is>
      </s:c>
    </s:row>
    <s:row r="61" ht="90" customFormat="1" customHeight="1" s="8">
      <s:c r="A61" s="11" t="inlineStr">
        <s:is>
          <s:t>2025::jama.2025.11178::C023</s:t>
        </s:is>
      </s:c>
      <s:c r="B61" s="11" t="inlineStr">
        <s:is>
          <s:t>sourceLinks</s:t>
        </s:is>
      </s:c>
      <s:c r="C61" s="11" t="n">
        <s:v>0</s:v>
      </s:c>
      <s:c r="D61" s="11" t="inlineStr">
        <s:is>
          <s:t>main article — PDF p. 10</s:t>
        </s:is>
      </s:c>
      <s:c r="E61" s="11" t="inlineStr">
        <s:is>
          <s:t>../../2025/jama.2025.11178/jama_debar_2025_oi_250046_1755300121.13587.pdf#page=10</s:t>
        </s:is>
      </s:c>
    </s:row>
    <s:row r="62" ht="90" customFormat="1" customHeight="1" s="8">
      <s:c r="A62" s="12" t="inlineStr">
        <s:is>
          <s:t>2025::jama.2025.11178::C024</s:t>
        </s:is>
      </s:c>
      <s:c r="B62" s="12" t="inlineStr">
        <s:is>
          <s:t>sourceLinks</s:t>
        </s:is>
      </s:c>
      <s:c r="C62" s="12" t="n">
        <s:v>0</s:v>
      </s:c>
      <s:c r="D62" s="12" t="inlineStr">
        <s:is>
          <s:t>main article — PDF p. 10</s:t>
        </s:is>
      </s:c>
      <s:c r="E62" s="12" t="inlineStr">
        <s:is>
          <s:t>../../2025/jama.2025.11178/jama_debar_2025_oi_250046_1755300121.13587.pdf#page=10</s:t>
        </s:is>
      </s:c>
    </s:row>
    <s:row r="63" ht="90" customFormat="1" customHeight="1" s="8">
      <s:c r="A63" s="11" t="inlineStr">
        <s:is>
          <s:t>2025::jama.2025.11178::C025</s:t>
        </s:is>
      </s:c>
      <s:c r="B63" s="11" t="inlineStr">
        <s:is>
          <s:t>sourceLinks</s:t>
        </s:is>
      </s:c>
      <s:c r="C63" s="11" t="n">
        <s:v>0</s:v>
      </s:c>
      <s:c r="D63" s="11" t="inlineStr">
        <s:is>
          <s:t>main article — PDF p. 10</s:t>
        </s:is>
      </s:c>
      <s:c r="E63" s="11" t="inlineStr">
        <s:is>
          <s:t>../../2025/jama.2025.11178/jama_debar_2025_oi_250046_1755300121.13587.pdf#page=10</s:t>
        </s:is>
      </s:c>
    </s:row>
    <s:row r="64" ht="90" customFormat="1" customHeight="1" s="8">
      <s:c r="A64" s="12" t="inlineStr">
        <s:is>
          <s:t>2025::jama.2025.11178::C026</s:t>
        </s:is>
      </s:c>
      <s:c r="B64" s="12" t="inlineStr">
        <s:is>
          <s:t>sourceLinks</s:t>
        </s:is>
      </s:c>
      <s:c r="C64" s="12" t="n">
        <s:v>0</s:v>
      </s:c>
      <s:c r="D64" s="12" t="inlineStr">
        <s:is>
          <s:t>main article — PDF p. 10</s:t>
        </s:is>
      </s:c>
      <s:c r="E64" s="12" t="inlineStr">
        <s:is>
          <s:t>../../2025/jama.2025.11178/jama_debar_2025_oi_250046_1755300121.13587.pdf#page=10</s:t>
        </s:is>
      </s:c>
    </s:row>
    <s:row r="65" ht="90" customFormat="1" customHeight="1" s="8">
      <s:c r="A65" s="11" t="inlineStr">
        <s:is>
          <s:t>2025::jama.2025.11178::C027</s:t>
        </s:is>
      </s:c>
      <s:c r="B65" s="11" t="inlineStr">
        <s:is>
          <s:t>sourceLinks</s:t>
        </s:is>
      </s:c>
      <s:c r="C65" s="11" t="n">
        <s:v>0</s:v>
      </s:c>
      <s:c r="D65" s="11" t="inlineStr">
        <s:is>
          <s:t>main article — PDF p. 10</s:t>
        </s:is>
      </s:c>
      <s:c r="E65" s="11" t="inlineStr">
        <s:is>
          <s:t>../../2025/jama.2025.11178/jama_debar_2025_oi_250046_1755300121.13587.pdf#page=10</s:t>
        </s:is>
      </s:c>
    </s:row>
    <s:row r="66" ht="90" customFormat="1" customHeight="1" s="8">
      <s:c r="A66" s="12" t="inlineStr">
        <s:is>
          <s:t>2025::jama.2025.11178::C028</s:t>
        </s:is>
      </s:c>
      <s:c r="B66" s="12" t="inlineStr">
        <s:is>
          <s:t>sourceLinks</s:t>
        </s:is>
      </s:c>
      <s:c r="C66" s="12" t="n">
        <s:v>0</s:v>
      </s:c>
      <s:c r="D66" s="12" t="inlineStr">
        <s:is>
          <s:t>main article — PDF p. 10</s:t>
        </s:is>
      </s:c>
      <s:c r="E66" s="12" t="inlineStr">
        <s:is>
          <s:t>../../2025/jama.2025.11178/jama_debar_2025_oi_250046_1755300121.13587.pdf#page=10</s:t>
        </s:is>
      </s:c>
    </s:row>
    <s:row r="67" ht="90" customFormat="1" customHeight="1" s="8">
      <s:c r="A67" s="11" t="inlineStr">
        <s:is>
          <s:t>2025::jama.2025.11178::C029</s:t>
        </s:is>
      </s:c>
      <s:c r="B67" s="11" t="inlineStr">
        <s:is>
          <s:t>sourceLinks</s:t>
        </s:is>
      </s:c>
      <s:c r="C67" s="11" t="n">
        <s:v>0</s:v>
      </s:c>
      <s:c r="D67" s="11" t="inlineStr">
        <s:is>
          <s:t>main article — PDF p. 10</s:t>
        </s:is>
      </s:c>
      <s:c r="E67" s="11" t="inlineStr">
        <s:is>
          <s:t>../../2025/jama.2025.11178/jama_debar_2025_oi_250046_1755300121.13587.pdf#page=10</s:t>
        </s:is>
      </s:c>
    </s:row>
    <s:row r="68" ht="90" customFormat="1" customHeight="1" s="8">
      <s:c r="A68" s="12" t="inlineStr">
        <s:is>
          <s:t>2025::jama.2025.11178::C030</s:t>
        </s:is>
      </s:c>
      <s:c r="B68" s="12" t="inlineStr">
        <s:is>
          <s:t>sourceLinks</s:t>
        </s:is>
      </s:c>
      <s:c r="C68" s="12" t="n">
        <s:v>0</s:v>
      </s:c>
      <s:c r="D68" s="12" t="inlineStr">
        <s:is>
          <s:t>main article — PDF p. 10</s:t>
        </s:is>
      </s:c>
      <s:c r="E68" s="12" t="inlineStr">
        <s:is>
          <s:t>../../2025/jama.2025.11178/jama_debar_2025_oi_250046_1755300121.13587.pdf#page=10</s:t>
        </s:is>
      </s:c>
    </s:row>
    <s:row r="69" ht="90" customFormat="1" customHeight="1" s="8">
      <s:c r="A69" s="11" t="inlineStr">
        <s:is>
          <s:t>2025::jama.2025.11178::C031</s:t>
        </s:is>
      </s:c>
      <s:c r="B69" s="11" t="inlineStr">
        <s:is>
          <s:t>sourceLinks</s:t>
        </s:is>
      </s:c>
      <s:c r="C69" s="11" t="n">
        <s:v>0</s:v>
      </s:c>
      <s:c r="D69" s="11" t="inlineStr">
        <s:is>
          <s:t>main article — PDF p. 11</s:t>
        </s:is>
      </s:c>
      <s:c r="E69" s="11" t="inlineStr">
        <s:is>
          <s:t>../../2025/jama.2025.11178/jama_debar_2025_oi_250046_1755300121.13587.pdf#page=11</s:t>
        </s:is>
      </s:c>
    </s:row>
    <s:row r="70" ht="90" customFormat="1" customHeight="1" s="8">
      <s:c r="A70" s="12" t="inlineStr">
        <s:is>
          <s:t>2025::jama.2025.11178::C032</s:t>
        </s:is>
      </s:c>
      <s:c r="B70" s="12" t="inlineStr">
        <s:is>
          <s:t>sourceLinks</s:t>
        </s:is>
      </s:c>
      <s:c r="C70" s="12" t="n">
        <s:v>0</s:v>
      </s:c>
      <s:c r="D70" s="12" t="inlineStr">
        <s:is>
          <s:t>main article — PDF p. 11</s:t>
        </s:is>
      </s:c>
      <s:c r="E70" s="12" t="inlineStr">
        <s:is>
          <s:t>../../2025/jama.2025.11178/jama_debar_2025_oi_250046_1755300121.13587.pdf#page=11</s:t>
        </s:is>
      </s:c>
    </s:row>
    <s:row r="71" ht="90" customFormat="1" customHeight="1" s="8">
      <s:c r="A71" s="11" t="inlineStr">
        <s:is>
          <s:t>2025::jama.2025.11178::C033</s:t>
        </s:is>
      </s:c>
      <s:c r="B71" s="11" t="inlineStr">
        <s:is>
          <s:t>sourceLinks</s:t>
        </s:is>
      </s:c>
      <s:c r="C71" s="11" t="n">
        <s:v>0</s:v>
      </s:c>
      <s:c r="D71" s="11" t="inlineStr">
        <s:is>
          <s:t>main article — PDF p. 11</s:t>
        </s:is>
      </s:c>
      <s:c r="E71" s="11" t="inlineStr">
        <s:is>
          <s:t>../../2025/jama.2025.11178/jama_debar_2025_oi_250046_1755300121.13587.pdf#page=11</s:t>
        </s:is>
      </s:c>
    </s:row>
    <s:row r="72" ht="90" customFormat="1" customHeight="1" s="8">
      <s:c r="A72" s="12" t="inlineStr">
        <s:is>
          <s:t>2025::jama.2025.11178::C034</s:t>
        </s:is>
      </s:c>
      <s:c r="B72" s="12" t="inlineStr">
        <s:is>
          <s:t>sourceLinks</s:t>
        </s:is>
      </s:c>
      <s:c r="C72" s="12" t="n">
        <s:v>0</s:v>
      </s:c>
      <s:c r="D72" s="12" t="inlineStr">
        <s:is>
          <s:t>main article — PDF p. 1</s:t>
        </s:is>
      </s:c>
      <s:c r="E72" s="12" t="inlineStr">
        <s:is>
          <s:t>../../2025/jama.2025.11178/jama_debar_2025_oi_250046_1755300121.13587.pdf#page=1</s:t>
        </s:is>
      </s:c>
    </s:row>
    <s:row r="73" ht="90" customFormat="1" customHeight="1" s="8">
      <s:c r="A73" s="11" t="inlineStr">
        <s:is>
          <s:t>2025::jama.2025.11178::C034</s:t>
        </s:is>
      </s:c>
      <s:c r="B73" s="11" t="inlineStr">
        <s:is>
          <s:t>sourceLinks</s:t>
        </s:is>
      </s:c>
      <s:c r="C73" s="11" t="n">
        <s:v>1</s:v>
      </s:c>
      <s:c r="D73" s="11" t="inlineStr">
        <s:is>
          <s:t>main article — PDF p. 6</s:t>
        </s:is>
      </s:c>
      <s:c r="E73" s="11" t="inlineStr">
        <s:is>
          <s:t>../../2025/jama.2025.11178/jama_debar_2025_oi_250046_1755300121.13587.pdf#page=6</s:t>
        </s:is>
      </s:c>
    </s:row>
    <s:row r="74" ht="90" customFormat="1" customHeight="1" s="8">
      <s:c r="A74" s="12" t="inlineStr">
        <s:is>
          <s:t>2025::jama.2025.11178::C034</s:t>
        </s:is>
      </s:c>
      <s:c r="B74" s="12" t="inlineStr">
        <s:is>
          <s:t>sourceLinks</s:t>
        </s:is>
      </s:c>
      <s:c r="C74" s="12" t="n">
        <s:v>2</s:v>
      </s:c>
      <s:c r="D74" s="12" t="inlineStr">
        <s:is>
          <s:t>workbook</s:t>
        </s:is>
      </s:c>
      <s:c r="E74" s="12" t="inlineStr">
        <s:is>
          <s:t>../../2025/jama.2025.11178/joi250046supp5_prod_1755300121.16087.xlsx</s:t>
        </s:is>
      </s:c>
    </s:row>
    <s:row r="75" ht="90" customFormat="1" customHeight="1" s="8">
      <s:c r="A75" s="11" t="inlineStr">
        <s:is>
          <s:t>2025::jama.2025.11178::C034</s:t>
        </s:is>
      </s:c>
      <s:c r="B75" s="11" t="inlineStr">
        <s:is>
          <s:t>evidencePaths</s:t>
        </s:is>
      </s:c>
      <s:c r="C75" s="11" t="n">
        <s:v>0</s:v>
      </s:c>
      <s:c r="D75" s="11" t="inlineStr">
        <s:is>
          <s:t>2025/jama.2025.11178/.ai_paper_validation/review_1_5_1/verification/evidence_recheck.md</s:t>
        </s:is>
      </s:c>
      <s:c r="E75" s="11" t="inlineStr">
        <s:is>
          <s:t>../../2025/jama.2025.11178/.ai_paper_validation/review_1_5_1/verification/evidence_recheck.md</s:t>
        </s:is>
      </s:c>
    </s:row>
    <s:row r="76" ht="90" customFormat="1" customHeight="1" s="8">
      <s:c r="A76" s="12" t="inlineStr">
        <s:is>
          <s:t>2025::jama.2025.11178::C035</s:t>
        </s:is>
      </s:c>
      <s:c r="B76" s="12" t="inlineStr">
        <s:is>
          <s:t>sourceLinks</s:t>
        </s:is>
      </s:c>
      <s:c r="C76" s="12" t="n">
        <s:v>0</s:v>
      </s:c>
      <s:c r="D76" s="12" t="inlineStr">
        <s:is>
          <s:t>main article — PDF p. 4</s:t>
        </s:is>
      </s:c>
      <s:c r="E76" s="12" t="inlineStr">
        <s:is>
          <s:t>../../2025/jama.2025.11178/jama_debar_2025_oi_250046_1755300121.13587.pdf#page=4</s:t>
        </s:is>
      </s:c>
    </s:row>
    <s:row r="77" ht="90" customFormat="1" customHeight="1" s="8">
      <s:c r="A77" s="11" t="inlineStr">
        <s:is>
          <s:t>2025::jama.2025.11178::C035</s:t>
        </s:is>
      </s:c>
      <s:c r="B77" s="11" t="inlineStr">
        <s:is>
          <s:t>sourceLinks</s:t>
        </s:is>
      </s:c>
      <s:c r="C77" s="11" t="n">
        <s:v>1</s:v>
      </s:c>
      <s:c r="D77" s="11" t="inlineStr">
        <s:is>
          <s:t>main article — PDF p. 6</s:t>
        </s:is>
      </s:c>
      <s:c r="E77" s="11" t="inlineStr">
        <s:is>
          <s:t>../../2025/jama.2025.11178/jama_debar_2025_oi_250046_1755300121.13587.pdf#page=6</s:t>
        </s:is>
      </s:c>
    </s:row>
    <s:row r="78" ht="90" customFormat="1" customHeight="1" s="8">
      <s:c r="A78" s="12" t="inlineStr">
        <s:is>
          <s:t>2025::jama.2025.11178::C035</s:t>
        </s:is>
      </s:c>
      <s:c r="B78" s="12" t="inlineStr">
        <s:is>
          <s:t>sourceLinks</s:t>
        </s:is>
      </s:c>
      <s:c r="C78" s="12" t="n">
        <s:v>2</s:v>
      </s:c>
      <s:c r="D78" s="12" t="inlineStr">
        <s:is>
          <s:t>workbook</s:t>
        </s:is>
      </s:c>
      <s:c r="E78" s="12" t="inlineStr">
        <s:is>
          <s:t>../../2025/jama.2025.11178/joi250046supp5_prod_1755300121.16087.xlsx</s:t>
        </s:is>
      </s:c>
    </s:row>
    <s:row r="79" ht="90" customFormat="1" customHeight="1" s="8">
      <s:c r="A79" s="11" t="inlineStr">
        <s:is>
          <s:t>2025::jama.2025.11178::C035</s:t>
        </s:is>
      </s:c>
      <s:c r="B79" s="11" t="inlineStr">
        <s:is>
          <s:t>evidencePaths</s:t>
        </s:is>
      </s:c>
      <s:c r="C79" s="11" t="n">
        <s:v>0</s:v>
      </s:c>
      <s:c r="D79" s="11" t="inlineStr">
        <s:is>
          <s:t>2025/jama.2025.11178/.ai_paper_validation/review_1_5_1/verification/evidence_recheck.md</s:t>
        </s:is>
      </s:c>
      <s:c r="E79" s="11" t="inlineStr">
        <s:is>
          <s:t>../../2025/jama.2025.11178/.ai_paper_validation/review_1_5_1/verification/evidence_recheck.md</s:t>
        </s:is>
      </s:c>
    </s:row>
    <s:row r="80" ht="90" customFormat="1" customHeight="1" s="8">
      <s:c r="A80" s="12" t="inlineStr">
        <s:is>
          <s:t>2025::jama.2025.11178::C036</s:t>
        </s:is>
      </s:c>
      <s:c r="B80" s="12" t="inlineStr">
        <s:is>
          <s:t>sourceLinks</s:t>
        </s:is>
      </s:c>
      <s:c r="C80" s="12" t="n">
        <s:v>0</s:v>
      </s:c>
      <s:c r="D80" s="12" t="inlineStr">
        <s:is>
          <s:t>main article — PDF p. 7</s:t>
        </s:is>
      </s:c>
      <s:c r="E80" s="12" t="inlineStr">
        <s:is>
          <s:t>../../2025/jama.2025.11178/jama_debar_2025_oi_250046_1755300121.13587.pdf#page=7</s:t>
        </s:is>
      </s:c>
    </s:row>
    <s:row r="81" ht="90" customFormat="1" customHeight="1" s="8">
      <s:c r="A81" s="11" t="inlineStr">
        <s:is>
          <s:t>2025::jama.2025.11178::C036</s:t>
        </s:is>
      </s:c>
      <s:c r="B81" s="11" t="inlineStr">
        <s:is>
          <s:t>sourceLinks</s:t>
        </s:is>
      </s:c>
      <s:c r="C81" s="11" t="n">
        <s:v>1</s:v>
      </s:c>
      <s:c r="D81" s="11" t="inlineStr">
        <s:is>
          <s:t>main article — PDF p. 10</s:t>
        </s:is>
      </s:c>
      <s:c r="E81" s="11" t="inlineStr">
        <s:is>
          <s:t>../../2025/jama.2025.11178/jama_debar_2025_oi_250046_1755300121.13587.pdf#page=10</s:t>
        </s:is>
      </s:c>
    </s:row>
    <s:row r="82" ht="90" customFormat="1" customHeight="1" s="8">
      <s:c r="A82" s="12" t="inlineStr">
        <s:is>
          <s:t>2025::jama.2025.11178::C037</s:t>
        </s:is>
      </s:c>
      <s:c r="B82" s="12" t="inlineStr">
        <s:is>
          <s:t>sourceLinks</s:t>
        </s:is>
      </s:c>
      <s:c r="C82" s="12" t="n">
        <s:v>0</s:v>
      </s:c>
      <s:c r="D82" s="12" t="inlineStr">
        <s:is>
          <s:t>main article — PDF p. 7</s:t>
        </s:is>
      </s:c>
      <s:c r="E82" s="12" t="inlineStr">
        <s:is>
          <s:t>../../2025/jama.2025.11178/jama_debar_2025_oi_250046_1755300121.13587.pdf#page=7</s:t>
        </s:is>
      </s:c>
    </s:row>
    <s:row r="83" ht="90" customFormat="1" customHeight="1" s="8">
      <s:c r="A83" s="11" t="inlineStr">
        <s:is>
          <s:t>2025::jama.2025.11178::C037</s:t>
        </s:is>
      </s:c>
      <s:c r="B83" s="11" t="inlineStr">
        <s:is>
          <s:t>sourceLinks</s:t>
        </s:is>
      </s:c>
      <s:c r="C83" s="11" t="n">
        <s:v>1</s:v>
      </s:c>
      <s:c r="D83" s="11" t="inlineStr">
        <s:is>
          <s:t>main article — PDF p. 10</s:t>
        </s:is>
      </s:c>
      <s:c r="E83" s="11" t="inlineStr">
        <s:is>
          <s:t>../../2025/jama.2025.11178/jama_debar_2025_oi_250046_1755300121.13587.pdf#page=10</s:t>
        </s:is>
      </s:c>
    </s:row>
    <s:row r="84" ht="90" customFormat="1" customHeight="1" s="8">
      <s:c r="A84" s="12" t="inlineStr">
        <s:is>
          <s:t>2025::jama.2025.15185::C001</s:t>
        </s:is>
      </s:c>
      <s:c r="B84" s="12" t="inlineStr">
        <s:is>
          <s:t>sourceLinks</s:t>
        </s:is>
      </s:c>
      <s:c r="C84" s="12" t="n">
        <s:v>0</s:v>
      </s:c>
      <s:c r="D84" s="12" t="inlineStr">
        <s:is>
          <s:t>main article — PDF p. 4</s:t>
        </s:is>
      </s:c>
      <s:c r="E84" s="12" t="inlineStr">
        <s:is>
          <s:t>../../2025/jama.2025.15185/jama_engelter_2025_oi_250066_1761597796.45511.pdf#page=4</s:t>
        </s:is>
      </s:c>
    </s:row>
    <s:row r="85" ht="90" customFormat="1" customHeight="1" s="8">
      <s:c r="A85" s="11" t="inlineStr">
        <s:is>
          <s:t>2025::jama.2025.15185::C001</s:t>
        </s:is>
      </s:c>
      <s:c r="B85" s="11" t="inlineStr">
        <s:is>
          <s:t>sourceLinks</s:t>
        </s:is>
      </s:c>
      <s:c r="C85" s="11" t="n">
        <s:v>1</s:v>
      </s:c>
      <s:c r="D85" s="11" t="inlineStr">
        <s:is>
          <s:t>Supplement 3 — PDF p. 10</s:t>
        </s:is>
      </s:c>
      <s:c r="E85" s="11" t="inlineStr">
        <s:is>
          <s:t>../../2025/jama.2025.15185/joi250066supp3_prod_1761597796.4701.pdf#page=10</s:t>
        </s:is>
      </s:c>
    </s:row>
    <s:row r="86" ht="90" customFormat="1" customHeight="1" s="8">
      <s:c r="A86" s="12" t="inlineStr">
        <s:is>
          <s:t>2025::jama.2025.15185::C001</s:t>
        </s:is>
      </s:c>
      <s:c r="B86" s="12" t="inlineStr">
        <s:is>
          <s:t>sourceLinks</s:t>
        </s:is>
      </s:c>
      <s:c r="C86" s="12" t="n">
        <s:v>2</s:v>
      </s:c>
      <s:c r="D86" s="12" t="inlineStr">
        <s:is>
          <s:t>PDF p. 11</s:t>
        </s:is>
      </s:c>
      <s:c r="E86" s="12" t="inlineStr">
        <s:is>
          <s:t>../../2025/jama.2025.15185/joi250066supp3_prod_1761597796.4701.pdf#page=11</s:t>
        </s:is>
      </s:c>
    </s:row>
    <s:row r="87" ht="90" customFormat="1" customHeight="1" s="8">
      <s:c r="A87" s="11" t="inlineStr">
        <s:is>
          <s:t>2025::jama.2025.15185::C002</s:t>
        </s:is>
      </s:c>
      <s:c r="B87" s="11" t="inlineStr">
        <s:is>
          <s:t>sourceLinks</s:t>
        </s:is>
      </s:c>
      <s:c r="C87" s="11" t="n">
        <s:v>0</s:v>
      </s:c>
      <s:c r="D87" s="11" t="inlineStr">
        <s:is>
          <s:t>main article — PDF p. 4</s:t>
        </s:is>
      </s:c>
      <s:c r="E87" s="11" t="inlineStr">
        <s:is>
          <s:t>../../2025/jama.2025.15185/jama_engelter_2025_oi_250066_1761597796.45511.pdf#page=4</s:t>
        </s:is>
      </s:c>
    </s:row>
    <s:row r="88" ht="90" customFormat="1" customHeight="1" s="8">
      <s:c r="A88" s="12" t="inlineStr">
        <s:is>
          <s:t>2025::jama.2025.15185::C002</s:t>
        </s:is>
      </s:c>
      <s:c r="B88" s="12" t="inlineStr">
        <s:is>
          <s:t>sourceLinks</s:t>
        </s:is>
      </s:c>
      <s:c r="C88" s="12" t="n">
        <s:v>1</s:v>
      </s:c>
      <s:c r="D88" s="12" t="inlineStr">
        <s:is>
          <s:t>PDF p. 5</s:t>
        </s:is>
      </s:c>
      <s:c r="E88" s="12" t="inlineStr">
        <s:is>
          <s:t>../../2025/jama.2025.15185/jama_engelter_2025_oi_250066_1761597796.45511.pdf#page=5</s:t>
        </s:is>
      </s:c>
    </s:row>
    <s:row r="89" ht="90" customFormat="1" customHeight="1" s="8">
      <s:c r="A89" s="11" t="inlineStr">
        <s:is>
          <s:t>2025::jama.2025.15185::C002</s:t>
        </s:is>
      </s:c>
      <s:c r="B89" s="11" t="inlineStr">
        <s:is>
          <s:t>sourceLinks</s:t>
        </s:is>
      </s:c>
      <s:c r="C89" s="11" t="n">
        <s:v>2</s:v>
      </s:c>
      <s:c r="D89" s="11" t="inlineStr">
        <s:is>
          <s:t>Supplement 3 — PDF p. 11</s:t>
        </s:is>
      </s:c>
      <s:c r="E89" s="11" t="inlineStr">
        <s:is>
          <s:t>../../2025/jama.2025.15185/joi250066supp3_prod_1761597796.4701.pdf#page=11</s:t>
        </s:is>
      </s:c>
    </s:row>
    <s:row r="90" ht="90" customFormat="1" customHeight="1" s="8">
      <s:c r="A90" s="12" t="inlineStr">
        <s:is>
          <s:t>2025::jama.2025.15185::C003</s:t>
        </s:is>
      </s:c>
      <s:c r="B90" s="12" t="inlineStr">
        <s:is>
          <s:t>sourceLinks</s:t>
        </s:is>
      </s:c>
      <s:c r="C90" s="12" t="n">
        <s:v>0</s:v>
      </s:c>
      <s:c r="D90" s="12" t="inlineStr">
        <s:is>
          <s:t>main article — PDF p. 4</s:t>
        </s:is>
      </s:c>
      <s:c r="E90" s="12" t="inlineStr">
        <s:is>
          <s:t>../../2025/jama.2025.15185/jama_engelter_2025_oi_250066_1761597796.45511.pdf#page=4</s:t>
        </s:is>
      </s:c>
    </s:row>
    <s:row r="91" ht="90" customFormat="1" customHeight="1" s="8">
      <s:c r="A91" s="11" t="inlineStr">
        <s:is>
          <s:t>2025::jama.2025.15185::C003</s:t>
        </s:is>
      </s:c>
      <s:c r="B91" s="11" t="inlineStr">
        <s:is>
          <s:t>sourceLinks</s:t>
        </s:is>
      </s:c>
      <s:c r="C91" s="11" t="n">
        <s:v>1</s:v>
      </s:c>
      <s:c r="D91" s="11" t="inlineStr">
        <s:is>
          <s:t>Supplement 3 — PDF p. 11</s:t>
        </s:is>
      </s:c>
      <s:c r="E91" s="11" t="inlineStr">
        <s:is>
          <s:t>../../2025/jama.2025.15185/joi250066supp3_prod_1761597796.4701.pdf#page=11</s:t>
        </s:is>
      </s:c>
    </s:row>
    <s:row r="92" ht="90" customFormat="1" customHeight="1" s="8">
      <s:c r="A92" s="12" t="inlineStr">
        <s:is>
          <s:t>2025::jama.2025.15185::C004</s:t>
        </s:is>
      </s:c>
      <s:c r="B92" s="12" t="inlineStr">
        <s:is>
          <s:t>sourceLinks</s:t>
        </s:is>
      </s:c>
      <s:c r="C92" s="12" t="n">
        <s:v>0</s:v>
      </s:c>
      <s:c r="D92" s="12" t="inlineStr">
        <s:is>
          <s:t>Supplement 3 — PDF p. 12</s:t>
        </s:is>
      </s:c>
      <s:c r="E92" s="12" t="inlineStr">
        <s:is>
          <s:t>../../2025/jama.2025.15185/joi250066supp3_prod_1761597796.4701.pdf#page=12</s:t>
        </s:is>
      </s:c>
    </s:row>
    <s:row r="93" ht="90" customFormat="1" customHeight="1" s="8">
      <s:c r="A93" s="11" t="inlineStr">
        <s:is>
          <s:t>2025::jama.2025.15185::C004</s:t>
        </s:is>
      </s:c>
      <s:c r="B93" s="11" t="inlineStr">
        <s:is>
          <s:t>sourceLinks</s:t>
        </s:is>
      </s:c>
      <s:c r="C93" s="11" t="n">
        <s:v>1</s:v>
      </s:c>
      <s:c r="D93" s="11" t="inlineStr">
        <s:is>
          <s:t>PDF p. 13</s:t>
        </s:is>
      </s:c>
      <s:c r="E93" s="11" t="inlineStr">
        <s:is>
          <s:t>../../2025/jama.2025.15185/joi250066supp3_prod_1761597796.4701.pdf#page=13</s:t>
        </s:is>
      </s:c>
    </s:row>
    <s:row r="94" ht="90" customFormat="1" customHeight="1" s="8">
      <s:c r="A94" s="12" t="inlineStr">
        <s:is>
          <s:t>2025::jama.2025.15185::C005</s:t>
        </s:is>
      </s:c>
      <s:c r="B94" s="12" t="inlineStr">
        <s:is>
          <s:t>sourceLinks</s:t>
        </s:is>
      </s:c>
      <s:c r="C94" s="12" t="n">
        <s:v>0</s:v>
      </s:c>
      <s:c r="D94" s="12" t="inlineStr">
        <s:is>
          <s:t>main article — PDF p. 6</s:t>
        </s:is>
      </s:c>
      <s:c r="E94" s="12" t="inlineStr">
        <s:is>
          <s:t>../../2025/jama.2025.15185/jama_engelter_2025_oi_250066_1761597796.45511.pdf#page=6</s:t>
        </s:is>
      </s:c>
    </s:row>
    <s:row r="95" ht="90" customFormat="1" customHeight="1" s="8">
      <s:c r="A95" s="11" t="inlineStr">
        <s:is>
          <s:t>2025::jama.2025.15185::C005</s:t>
        </s:is>
      </s:c>
      <s:c r="B95" s="11" t="inlineStr">
        <s:is>
          <s:t>sourceLinks</s:t>
        </s:is>
      </s:c>
      <s:c r="C95" s="11" t="n">
        <s:v>1</s:v>
      </s:c>
      <s:c r="D95" s="11" t="inlineStr">
        <s:is>
          <s:t>Supplement 3 — PDF p. 15</s:t>
        </s:is>
      </s:c>
      <s:c r="E95" s="11" t="inlineStr">
        <s:is>
          <s:t>../../2025/jama.2025.15185/joi250066supp3_prod_1761597796.4701.pdf#page=15</s:t>
        </s:is>
      </s:c>
    </s:row>
    <s:row r="96" ht="90" customFormat="1" customHeight="1" s="8">
      <s:c r="A96" s="12" t="inlineStr">
        <s:is>
          <s:t>2025::jama.2025.15185::C006</s:t>
        </s:is>
      </s:c>
      <s:c r="B96" s="12" t="inlineStr">
        <s:is>
          <s:t>sourceLinks</s:t>
        </s:is>
      </s:c>
      <s:c r="C96" s="12" t="n">
        <s:v>0</s:v>
      </s:c>
      <s:c r="D96" s="12" t="inlineStr">
        <s:is>
          <s:t>main article — PDF p. 6</s:t>
        </s:is>
      </s:c>
      <s:c r="E96" s="12" t="inlineStr">
        <s:is>
          <s:t>../../2025/jama.2025.15185/jama_engelter_2025_oi_250066_1761597796.45511.pdf#page=6</s:t>
        </s:is>
      </s:c>
    </s:row>
    <s:row r="97" ht="90" customFormat="1" customHeight="1" s="8">
      <s:c r="A97" s="11" t="inlineStr">
        <s:is>
          <s:t>2025::jama.2025.15185::C006</s:t>
        </s:is>
      </s:c>
      <s:c r="B97" s="11" t="inlineStr">
        <s:is>
          <s:t>sourceLinks</s:t>
        </s:is>
      </s:c>
      <s:c r="C97" s="11" t="n">
        <s:v>1</s:v>
      </s:c>
      <s:c r="D97" s="11" t="inlineStr">
        <s:is>
          <s:t>Supplement 3 — PDF p. 15</s:t>
        </s:is>
      </s:c>
      <s:c r="E97" s="11" t="inlineStr">
        <s:is>
          <s:t>../../2025/jama.2025.15185/joi250066supp3_prod_1761597796.4701.pdf#page=15</s:t>
        </s:is>
      </s:c>
    </s:row>
    <s:row r="98" ht="90" customFormat="1" customHeight="1" s="8">
      <s:c r="A98" s="12" t="inlineStr">
        <s:is>
          <s:t>2025::jama.2025.15185::C007</s:t>
        </s:is>
      </s:c>
      <s:c r="B98" s="12" t="inlineStr">
        <s:is>
          <s:t>sourceLinks</s:t>
        </s:is>
      </s:c>
      <s:c r="C98" s="12" t="n">
        <s:v>0</s:v>
      </s:c>
      <s:c r="D98" s="12" t="inlineStr">
        <s:is>
          <s:t>main article — PDF p. 6</s:t>
        </s:is>
      </s:c>
      <s:c r="E98" s="12" t="inlineStr">
        <s:is>
          <s:t>../../2025/jama.2025.15185/jama_engelter_2025_oi_250066_1761597796.45511.pdf#page=6</s:t>
        </s:is>
      </s:c>
    </s:row>
    <s:row r="99" ht="90" customFormat="1" customHeight="1" s="8">
      <s:c r="A99" s="11" t="inlineStr">
        <s:is>
          <s:t>2025::jama.2025.15185::C007</s:t>
        </s:is>
      </s:c>
      <s:c r="B99" s="11" t="inlineStr">
        <s:is>
          <s:t>sourceLinks</s:t>
        </s:is>
      </s:c>
      <s:c r="C99" s="11" t="n">
        <s:v>1</s:v>
      </s:c>
      <s:c r="D99" s="11" t="inlineStr">
        <s:is>
          <s:t>Supplement 3 — PDF p. 15</s:t>
        </s:is>
      </s:c>
      <s:c r="E99" s="11" t="inlineStr">
        <s:is>
          <s:t>../../2025/jama.2025.15185/joi250066supp3_prod_1761597796.4701.pdf#page=15</s:t>
        </s:is>
      </s:c>
    </s:row>
    <s:row r="100" ht="90" customFormat="1" customHeight="1" s="8">
      <s:c r="A100" s="12" t="inlineStr">
        <s:is>
          <s:t>2025::jama.2025.15185::C008</s:t>
        </s:is>
      </s:c>
      <s:c r="B100" s="12" t="inlineStr">
        <s:is>
          <s:t>sourceLinks</s:t>
        </s:is>
      </s:c>
      <s:c r="C100" s="12" t="n">
        <s:v>0</s:v>
      </s:c>
      <s:c r="D100" s="12" t="inlineStr">
        <s:is>
          <s:t>main article — PDF p. 6</s:t>
        </s:is>
      </s:c>
      <s:c r="E100" s="12" t="inlineStr">
        <s:is>
          <s:t>../../2025/jama.2025.15185/jama_engelter_2025_oi_250066_1761597796.45511.pdf#page=6</s:t>
        </s:is>
      </s:c>
    </s:row>
    <s:row r="101" ht="90" customFormat="1" customHeight="1" s="8">
      <s:c r="A101" s="11" t="inlineStr">
        <s:is>
          <s:t>2025::jama.2025.15185::C008</s:t>
        </s:is>
      </s:c>
      <s:c r="B101" s="11" t="inlineStr">
        <s:is>
          <s:t>sourceLinks</s:t>
        </s:is>
      </s:c>
      <s:c r="C101" s="11" t="n">
        <s:v>1</s:v>
      </s:c>
      <s:c r="D101" s="11" t="inlineStr">
        <s:is>
          <s:t>Supplement 3 — PDF p. 15</s:t>
        </s:is>
      </s:c>
      <s:c r="E101" s="11" t="inlineStr">
        <s:is>
          <s:t>../../2025/jama.2025.15185/joi250066supp3_prod_1761597796.4701.pdf#page=15</s:t>
        </s:is>
      </s:c>
    </s:row>
    <s:row r="102" ht="90" customFormat="1" customHeight="1" s="8">
      <s:c r="A102" s="12" t="inlineStr">
        <s:is>
          <s:t>2025::jama.2025.15185::C009</s:t>
        </s:is>
      </s:c>
      <s:c r="B102" s="12" t="inlineStr">
        <s:is>
          <s:t>sourceLinks</s:t>
        </s:is>
      </s:c>
      <s:c r="C102" s="12" t="n">
        <s:v>0</s:v>
      </s:c>
      <s:c r="D102" s="12" t="inlineStr">
        <s:is>
          <s:t>main article — PDF p. 6</s:t>
        </s:is>
      </s:c>
      <s:c r="E102" s="12" t="inlineStr">
        <s:is>
          <s:t>../../2025/jama.2025.15185/jama_engelter_2025_oi_250066_1761597796.45511.pdf#page=6</s:t>
        </s:is>
      </s:c>
    </s:row>
    <s:row r="103" ht="90" customFormat="1" customHeight="1" s="8">
      <s:c r="A103" s="11" t="inlineStr">
        <s:is>
          <s:t>2025::jama.2025.15185::C009</s:t>
        </s:is>
      </s:c>
      <s:c r="B103" s="11" t="inlineStr">
        <s:is>
          <s:t>sourceLinks</s:t>
        </s:is>
      </s:c>
      <s:c r="C103" s="11" t="n">
        <s:v>1</s:v>
      </s:c>
      <s:c r="D103" s="11" t="inlineStr">
        <s:is>
          <s:t>PDF p. 7</s:t>
        </s:is>
      </s:c>
      <s:c r="E103" s="11" t="inlineStr">
        <s:is>
          <s:t>../../2025/jama.2025.15185/jama_engelter_2025_oi_250066_1761597796.45511.pdf#page=7</s:t>
        </s:is>
      </s:c>
    </s:row>
    <s:row r="104" ht="90" customFormat="1" customHeight="1" s="8">
      <s:c r="A104" s="12" t="inlineStr">
        <s:is>
          <s:t>2025::jama.2025.15185::C009</s:t>
        </s:is>
      </s:c>
      <s:c r="B104" s="12" t="inlineStr">
        <s:is>
          <s:t>sourceLinks</s:t>
        </s:is>
      </s:c>
      <s:c r="C104" s="12" t="n">
        <s:v>2</s:v>
      </s:c>
      <s:c r="D104" s="12" t="inlineStr">
        <s:is>
          <s:t>Supplement 3 — PDF p. 17</s:t>
        </s:is>
      </s:c>
      <s:c r="E104" s="12" t="inlineStr">
        <s:is>
          <s:t>../../2025/jama.2025.15185/joi250066supp3_prod_1761597796.4701.pdf#page=17</s:t>
        </s:is>
      </s:c>
    </s:row>
    <s:row r="105" ht="90" customFormat="1" customHeight="1" s="8">
      <s:c r="A105" s="11" t="inlineStr">
        <s:is>
          <s:t>2025::jama.2025.15185::C009</s:t>
        </s:is>
      </s:c>
      <s:c r="B105" s="11" t="inlineStr">
        <s:is>
          <s:t>evidencePaths</s:t>
        </s:is>
      </s:c>
      <s:c r="C105" s="11" t="n">
        <s:v>0</s:v>
      </s:c>
      <s:c r="D105" s="11" t="inlineStr">
        <s:is>
          <s:t>2025/jama.2025.15185/.ai_paper_validation/review_1_5_1/verification/evidence_recheck.md</s:t>
        </s:is>
      </s:c>
      <s:c r="E105" s="11" t="inlineStr">
        <s:is>
          <s:t>../../2025/jama.2025.15185/.ai_paper_validation/review_1_5_1/verification/evidence_recheck.md</s:t>
        </s:is>
      </s:c>
    </s:row>
    <s:row r="106" ht="90" customFormat="1" customHeight="1" s="8">
      <s:c r="A106" s="12" t="inlineStr">
        <s:is>
          <s:t>2025::jama.2025.15185::C010</s:t>
        </s:is>
      </s:c>
      <s:c r="B106" s="12" t="inlineStr">
        <s:is>
          <s:t>sourceLinks</s:t>
        </s:is>
      </s:c>
      <s:c r="C106" s="12" t="n">
        <s:v>0</s:v>
      </s:c>
      <s:c r="D106" s="12" t="inlineStr">
        <s:is>
          <s:t>Supplement 3 — PDF p. 23</s:t>
        </s:is>
      </s:c>
      <s:c r="E106" s="12" t="inlineStr">
        <s:is>
          <s:t>../../2025/jama.2025.15185/joi250066supp3_prod_1761597796.4701.pdf#page=23</s:t>
        </s:is>
      </s:c>
    </s:row>
    <s:row r="107" ht="90" customFormat="1" customHeight="1" s="8">
      <s:c r="A107" s="11" t="inlineStr">
        <s:is>
          <s:t>2025::jama.2025.15185::C010</s:t>
        </s:is>
      </s:c>
      <s:c r="B107" s="11" t="inlineStr">
        <s:is>
          <s:t>sourceLinks</s:t>
        </s:is>
      </s:c>
      <s:c r="C107" s="11" t="n">
        <s:v>1</s:v>
      </s:c>
      <s:c r="D107" s="11" t="inlineStr">
        <s:is>
          <s:t>Supplement 2 — PDF p. 2</s:t>
        </s:is>
      </s:c>
      <s:c r="E107" s="11" t="inlineStr">
        <s:is>
          <s:t>../../2025/jama.2025.15185/joi250066supp2_prod_1761597796.4701.pdf#page=2</s:t>
        </s:is>
      </s:c>
    </s:row>
    <s:row r="108" ht="90" customFormat="1" customHeight="1" s="8">
      <s:c r="A108" s="12" t="inlineStr">
        <s:is>
          <s:t>2025::jama.2025.15185::C010</s:t>
        </s:is>
      </s:c>
      <s:c r="B108" s="12" t="inlineStr">
        <s:is>
          <s:t>sourceLinks</s:t>
        </s:is>
      </s:c>
      <s:c r="C108" s="12" t="n">
        <s:v>2</s:v>
      </s:c>
      <s:c r="D108" s="12" t="inlineStr">
        <s:is>
          <s:t>main article — PDF p. 1</s:t>
        </s:is>
      </s:c>
      <s:c r="E108" s="12" t="inlineStr">
        <s:is>
          <s:t>../../2025/jama.2025.15185/jama_engelter_2025_oi_250066_1761597796.45511.pdf#page=1</s:t>
        </s:is>
      </s:c>
    </s:row>
    <s:row r="109" ht="90" customFormat="1" customHeight="1" s="8">
      <s:c r="A109" s="11" t="inlineStr">
        <s:is>
          <s:t>2025::jama.2025.15185::C010</s:t>
        </s:is>
      </s:c>
      <s:c r="B109" s="11" t="inlineStr">
        <s:is>
          <s:t>sourceLinks</s:t>
        </s:is>
      </s:c>
      <s:c r="C109" s="11" t="n">
        <s:v>3</s:v>
      </s:c>
      <s:c r="D109" s="11" t="inlineStr">
        <s:is>
          <s:t>PDF p. 3</s:t>
        </s:is>
      </s:c>
      <s:c r="E109" s="11" t="inlineStr">
        <s:is>
          <s:t>../../2025/jama.2025.15185/jama_engelter_2025_oi_250066_1761597796.45511.pdf#page=3</s:t>
        </s:is>
      </s:c>
    </s:row>
    <s:row r="110" ht="90" customFormat="1" customHeight="1" s="8">
      <s:c r="A110" s="12" t="inlineStr">
        <s:is>
          <s:t>2025::jama.2025.15185::C010</s:t>
        </s:is>
      </s:c>
      <s:c r="B110" s="12" t="inlineStr">
        <s:is>
          <s:t>sourceLinks</s:t>
        </s:is>
      </s:c>
      <s:c r="C110" s="12" t="n">
        <s:v>4</s:v>
      </s:c>
      <s:c r="D110" s="12" t="inlineStr">
        <s:is>
          <s:t>PDF p. 6</s:t>
        </s:is>
      </s:c>
      <s:c r="E110" s="12" t="inlineStr">
        <s:is>
          <s:t>../../2025/jama.2025.15185/jama_engelter_2025_oi_250066_1761597796.45511.pdf#page=6</s:t>
        </s:is>
      </s:c>
    </s:row>
    <s:row r="111" ht="90" customFormat="1" customHeight="1" s="8">
      <s:c r="A111" s="11" t="inlineStr">
        <s:is>
          <s:t>2025::jama.2025.15185::C010</s:t>
        </s:is>
      </s:c>
      <s:c r="B111" s="11" t="inlineStr">
        <s:is>
          <s:t>evidencePaths</s:t>
        </s:is>
      </s:c>
      <s:c r="C111" s="11" t="n">
        <s:v>0</s:v>
      </s:c>
      <s:c r="D111" s="11" t="inlineStr">
        <s:is>
          <s:t>2025/jama.2025.15185/.ai_paper_validation/review_1_5_1/verification/evidence_recheck.md</s:t>
        </s:is>
      </s:c>
      <s:c r="E111" s="11" t="inlineStr">
        <s:is>
          <s:t>../../2025/jama.2025.15185/.ai_paper_validation/review_1_5_1/verification/evidence_recheck.md</s:t>
        </s:is>
      </s:c>
    </s:row>
    <s:row r="112" ht="90" customFormat="1" customHeight="1" s="8">
      <s:c r="A112" s="12" t="inlineStr">
        <s:is>
          <s:t>2025::jama.2025.15185::C011</s:t>
        </s:is>
      </s:c>
      <s:c r="B112" s="12" t="inlineStr">
        <s:is>
          <s:t>sourceLinks</s:t>
        </s:is>
      </s:c>
      <s:c r="C112" s="12" t="n">
        <s:v>0</s:v>
      </s:c>
      <s:c r="D112" s="12" t="inlineStr">
        <s:is>
          <s:t>Supplement 3 — PDF p. 13</s:t>
        </s:is>
      </s:c>
      <s:c r="E112" s="12" t="inlineStr">
        <s:is>
          <s:t>../../2025/jama.2025.15185/joi250066supp3_prod_1761597796.4701.pdf#page=13</s:t>
        </s:is>
      </s:c>
    </s:row>
    <s:row r="113" ht="90" customFormat="1" customHeight="1" s="8">
      <s:c r="A113" s="11" t="inlineStr">
        <s:is>
          <s:t>2025::jama.2025.15185::C012</s:t>
        </s:is>
      </s:c>
      <s:c r="B113" s="11" t="inlineStr">
        <s:is>
          <s:t>sourceLinks</s:t>
        </s:is>
      </s:c>
      <s:c r="C113" s="11" t="n">
        <s:v>0</s:v>
      </s:c>
      <s:c r="D113" s="11" t="inlineStr">
        <s:is>
          <s:t>Supplement 3 — PDF p. 12</s:t>
        </s:is>
      </s:c>
      <s:c r="E113" s="11" t="inlineStr">
        <s:is>
          <s:t>../../2025/jama.2025.15185/joi250066supp3_prod_1761597796.4701.pdf#page=12</s:t>
        </s:is>
      </s:c>
    </s:row>
    <s:row r="114" ht="90" customFormat="1" customHeight="1" s="8">
      <s:c r="A114" s="12" t="inlineStr">
        <s:is>
          <s:t>2025::jama.2025.15185::C012</s:t>
        </s:is>
      </s:c>
      <s:c r="B114" s="12" t="inlineStr">
        <s:is>
          <s:t>sourceLinks</s:t>
        </s:is>
      </s:c>
      <s:c r="C114" s="12" t="n">
        <s:v>1</s:v>
      </s:c>
      <s:c r="D114" s="12" t="inlineStr">
        <s:is>
          <s:t>PDF p. 13</s:t>
        </s:is>
      </s:c>
      <s:c r="E114" s="12" t="inlineStr">
        <s:is>
          <s:t>../../2025/jama.2025.15185/joi250066supp3_prod_1761597796.4701.pdf#page=13</s:t>
        </s:is>
      </s:c>
    </s:row>
    <s:row r="115" ht="90" customFormat="1" customHeight="1" s="8">
      <s:c r="A115" s="11" t="inlineStr">
        <s:is>
          <s:t>2025::jama.2025.15440::C001</s:t>
        </s:is>
      </s:c>
      <s:c r="B115" s="11" t="inlineStr">
        <s:is>
          <s:t>sourceLinks</s:t>
        </s:is>
      </s:c>
      <s:c r="C115" s="11" t="n">
        <s:v>0</s:v>
      </s:c>
      <s:c r="D115" s="11" t="inlineStr">
        <s:is>
          <s:t>jama_wijesurendra_2025_oi_250068_1760999665.28362.pdf — PDF p. 1</s:t>
        </s:is>
      </s:c>
      <s:c r="E115" s="11" t="inlineStr">
        <s:is>
          <s:t>../../2025/jama.2025.15440/jama_wijesurendra_2025_oi_250068_1760999665.28362.pdf#page=1</s:t>
        </s:is>
      </s:c>
    </s:row>
    <s:row r="116" ht="90" customFormat="1" customHeight="1" s="8">
      <s:c r="A116" s="12" t="inlineStr">
        <s:is>
          <s:t>2025::jama.2025.15440::C001</s:t>
        </s:is>
      </s:c>
      <s:c r="B116" s="12" t="inlineStr">
        <s:is>
          <s:t>sourceLinks</s:t>
        </s:is>
      </s:c>
      <s:c r="C116" s="12" t="n">
        <s:v>1</s:v>
      </s:c>
      <s:c r="D116" s="12" t="inlineStr">
        <s:is>
          <s:t>PDF p. 5</s:t>
        </s:is>
      </s:c>
      <s:c r="E116" s="12" t="inlineStr">
        <s:is>
          <s:t>../../2025/jama.2025.15440/jama_wijesurendra_2025_oi_250068_1760999665.28362.pdf#page=5</s:t>
        </s:is>
      </s:c>
    </s:row>
    <s:row r="117" ht="90" customFormat="1" customHeight="1" s="8">
      <s:c r="A117" s="11" t="inlineStr">
        <s:is>
          <s:t>2025::jama.2025.15440::C001</s:t>
        </s:is>
      </s:c>
      <s:c r="B117" s="11" t="inlineStr">
        <s:is>
          <s:t>sourceLinks</s:t>
        </s:is>
      </s:c>
      <s:c r="C117" s="11" t="n">
        <s:v>2</s:v>
      </s:c>
      <s:c r="D117" s="11" t="inlineStr">
        <s:is>
          <s:t>PDF p. 7</s:t>
        </s:is>
      </s:c>
      <s:c r="E117" s="11" t="inlineStr">
        <s:is>
          <s:t>../../2025/jama.2025.15440/jama_wijesurendra_2025_oi_250068_1760999665.28362.pdf#page=7</s:t>
        </s:is>
      </s:c>
    </s:row>
    <s:row r="118" ht="90" customFormat="1" customHeight="1" s="8">
      <s:c r="A118" s="12" t="inlineStr">
        <s:is>
          <s:t>2025::jama.2025.15440::C002</s:t>
        </s:is>
      </s:c>
      <s:c r="B118" s="12" t="inlineStr">
        <s:is>
          <s:t>sourceLinks</s:t>
        </s:is>
      </s:c>
      <s:c r="C118" s="12" t="n">
        <s:v>0</s:v>
      </s:c>
      <s:c r="D118" s="12" t="inlineStr">
        <s:is>
          <s:t>jama_wijesurendra_2025_oi_250068_1760999665.28362.pdf — PDF p. 7</s:t>
        </s:is>
      </s:c>
      <s:c r="E118" s="12" t="inlineStr">
        <s:is>
          <s:t>../../2025/jama.2025.15440/jama_wijesurendra_2025_oi_250068_1760999665.28362.pdf#page=7</s:t>
        </s:is>
      </s:c>
    </s:row>
    <s:row r="119" ht="90" customFormat="1" customHeight="1" s="8">
      <s:c r="A119" s="11" t="inlineStr">
        <s:is>
          <s:t>2025::jama.2025.15440::C002</s:t>
        </s:is>
      </s:c>
      <s:c r="B119" s="11" t="inlineStr">
        <s:is>
          <s:t>sourceLinks</s:t>
        </s:is>
      </s:c>
      <s:c r="C119" s="11" t="n">
        <s:v>1</s:v>
      </s:c>
      <s:c r="D119" s="11" t="inlineStr">
        <s:is>
          <s:t>PDF p. 5</s:t>
        </s:is>
      </s:c>
      <s:c r="E119" s="11" t="inlineStr">
        <s:is>
          <s:t>../../2025/jama.2025.15440/jama_wijesurendra_2025_oi_250068_1760999665.28362.pdf#page=5</s:t>
        </s:is>
      </s:c>
    </s:row>
    <s:row r="120" ht="90" customFormat="1" customHeight="1" s="8">
      <s:c r="A120" s="12" t="inlineStr">
        <s:is>
          <s:t>2025::jama.2025.15440::C002</s:t>
        </s:is>
      </s:c>
      <s:c r="B120" s="12" t="inlineStr">
        <s:is>
          <s:t>sourceLinks</s:t>
        </s:is>
      </s:c>
      <s:c r="C120" s="12" t="n">
        <s:v>2</s:v>
      </s:c>
      <s:c r="D120" s="12" t="inlineStr">
        <s:is>
          <s:t>PDF p. 1</s:t>
        </s:is>
      </s:c>
      <s:c r="E120" s="12" t="inlineStr">
        <s:is>
          <s:t>../../2025/jama.2025.15440/jama_wijesurendra_2025_oi_250068_1760999665.28362.pdf#page=1</s:t>
        </s:is>
      </s:c>
    </s:row>
    <s:row r="121" ht="90" customFormat="1" customHeight="1" s="8">
      <s:c r="A121" s="11" t="inlineStr">
        <s:is>
          <s:t>2025::jama.2025.16450::C001</s:t>
        </s:is>
      </s:c>
      <s:c r="B121" s="11" t="inlineStr">
        <s:is>
          <s:t>sourceLinks</s:t>
        </s:is>
      </s:c>
      <s:c r="C121" s="11" t="n">
        <s:v>0</s:v>
      </s:c>
      <s:c r="D121" s="11" t="inlineStr">
        <s:is>
          <s:t>results supplement — PDF p. 7</s:t>
        </s:is>
      </s:c>
      <s:c r="E121" s="11" t="inlineStr">
        <s:is>
          <s:t>../../2025/jama.2025.16450/joi250072supp4_prod_1761000786.6988.pdf#page=7</s:t>
        </s:is>
      </s:c>
    </s:row>
    <s:row r="122" ht="90" customFormat="1" customHeight="1" s="8">
      <s:c r="A122" s="12" t="inlineStr">
        <s:is>
          <s:t>2025::jama.2025.16450::C001</s:t>
        </s:is>
      </s:c>
      <s:c r="B122" s="12" t="inlineStr">
        <s:is>
          <s:t>sourceLinks</s:t>
        </s:is>
      </s:c>
      <s:c r="C122" s="12" t="n">
        <s:v>1</s:v>
      </s:c>
      <s:c r="D122" s="12" t="inlineStr">
        <s:is>
          <s:t>results supplement — PDF p. 8</s:t>
        </s:is>
      </s:c>
      <s:c r="E122" s="12" t="inlineStr">
        <s:is>
          <s:t>../../2025/jama.2025.16450/joi250072supp4_prod_1761000786.6988.pdf#page=8</s:t>
        </s:is>
      </s:c>
    </s:row>
    <s:row r="123" ht="90" customFormat="1" customHeight="1" s="8">
      <s:c r="A123" s="11" t="inlineStr">
        <s:is>
          <s:t>2025::jama.2025.16450::C001</s:t>
        </s:is>
      </s:c>
      <s:c r="B123" s="11" t="inlineStr">
        <s:is>
          <s:t>evidencePaths</s:t>
        </s:is>
      </s:c>
      <s:c r="C123" s="11" t="n">
        <s:v>0</s:v>
      </s:c>
      <s:c r="D123" s="11" t="inlineStr">
        <s:is>
          <s:t>2025/jama.2025.16450/.ai_paper_validation/review_1_5_1/verification/evidence_recheck.md</s:t>
        </s:is>
      </s:c>
      <s:c r="E123" s="11" t="inlineStr">
        <s:is>
          <s:t>../../2025/jama.2025.16450/.ai_paper_validation/review_1_5_1/verification/evidence_recheck.md</s:t>
        </s:is>
      </s:c>
    </s:row>
    <s:row r="124" ht="90" customFormat="1" customHeight="1" s="8">
      <s:c r="A124" s="12" t="inlineStr">
        <s:is>
          <s:t>2025::jama.2025.16450::C002</s:t>
        </s:is>
      </s:c>
      <s:c r="B124" s="12" t="inlineStr">
        <s:is>
          <s:t>sourceLinks</s:t>
        </s:is>
      </s:c>
      <s:c r="C124" s="12" t="n">
        <s:v>0</s:v>
      </s:c>
      <s:c r="D124" s="12" t="inlineStr">
        <s:is>
          <s:t>protocol — PDF p. 4</s:t>
        </s:is>
      </s:c>
      <s:c r="E124" s="12" t="inlineStr">
        <s:is>
          <s:t>../../2025/jama.2025.16450/joi250072supp1_prod_1761000786.68881.pdf#page=4</s:t>
        </s:is>
      </s:c>
    </s:row>
    <s:row r="125" ht="90" customFormat="1" customHeight="1" s="8">
      <s:c r="A125" s="11" t="inlineStr">
        <s:is>
          <s:t>2025::jama.2025.16450::C002</s:t>
        </s:is>
      </s:c>
      <s:c r="B125" s="11" t="inlineStr">
        <s:is>
          <s:t>sourceLinks</s:t>
        </s:is>
      </s:c>
      <s:c r="C125" s="11" t="n">
        <s:v>1</s:v>
      </s:c>
      <s:c r="D125" s="11" t="inlineStr">
        <s:is>
          <s:t>manual — PDF p. 7</s:t>
        </s:is>
      </s:c>
      <s:c r="E125" s="11" t="inlineStr">
        <s:is>
          <s:t>../../2025/jama.2025.16450/joi250072supp2_prod_1761000786.6938.pdf#page=7</s:t>
        </s:is>
      </s:c>
    </s:row>
    <s:row r="126" ht="90" customFormat="1" customHeight="1" s="8">
      <s:c r="A126" s="12" t="inlineStr">
        <s:is>
          <s:t>2025::jama.2025.16450::C002</s:t>
        </s:is>
      </s:c>
      <s:c r="B126" s="12" t="inlineStr">
        <s:is>
          <s:t>sourceLinks</s:t>
        </s:is>
      </s:c>
      <s:c r="C126" s="12" t="n">
        <s:v>2</s:v>
      </s:c>
      <s:c r="D126" s="12" t="inlineStr">
        <s:is>
          <s:t>SAP — PDF p. 8</s:t>
        </s:is>
      </s:c>
      <s:c r="E126" s="12" t="inlineStr">
        <s:is>
          <s:t>../../2025/jama.2025.16450/joi250072supp3_prod_1761000786.6988.pdf#page=8</s:t>
        </s:is>
      </s:c>
    </s:row>
    <s:row r="127" ht="90" customFormat="1" customHeight="1" s="8">
      <s:c r="A127" s="11" t="inlineStr">
        <s:is>
          <s:t>2025::jama.2025.16450::C002</s:t>
        </s:is>
      </s:c>
      <s:c r="B127" s="11" t="inlineStr">
        <s:is>
          <s:t>sourceLinks</s:t>
        </s:is>
      </s:c>
      <s:c r="C127" s="11" t="n">
        <s:v>3</s:v>
      </s:c>
      <s:c r="D127" s="11" t="inlineStr">
        <s:is>
          <s:t>SAP — PDF p. 15</s:t>
        </s:is>
      </s:c>
      <s:c r="E127" s="11" t="inlineStr">
        <s:is>
          <s:t>../../2025/jama.2025.16450/joi250072supp3_prod_1761000786.6988.pdf#page=15</s:t>
        </s:is>
      </s:c>
    </s:row>
    <s:row r="128" ht="90" customFormat="1" customHeight="1" s="8">
      <s:c r="A128" s="12" t="inlineStr">
        <s:is>
          <s:t>2025::jama.2025.16450::C002</s:t>
        </s:is>
      </s:c>
      <s:c r="B128" s="12" t="inlineStr">
        <s:is>
          <s:t>sourceLinks</s:t>
        </s:is>
      </s:c>
      <s:c r="C128" s="12" t="n">
        <s:v>4</s:v>
      </s:c>
      <s:c r="D128" s="12" t="inlineStr">
        <s:is>
          <s:t>main article — PDF p. 2</s:t>
        </s:is>
      </s:c>
      <s:c r="E128" s="12" t="inlineStr">
        <s:is>
          <s:t>../../2025/jama.2025.16450/jama_ambalavanan_2025_oi_250072_1761000786.6838.pdf#page=2</s:t>
        </s:is>
      </s:c>
    </s:row>
    <s:row r="129" ht="90" customFormat="1" customHeight="1" s="8">
      <s:c r="A129" s="11" t="inlineStr">
        <s:is>
          <s:t>2025::jama.2025.16450::C002</s:t>
        </s:is>
      </s:c>
      <s:c r="B129" s="11" t="inlineStr">
        <s:is>
          <s:t>evidencePaths</s:t>
        </s:is>
      </s:c>
      <s:c r="C129" s="11" t="n">
        <s:v>0</s:v>
      </s:c>
      <s:c r="D129" s="11" t="inlineStr">
        <s:is>
          <s:t>2025/jama.2025.16450/.ai_paper_validation/review_1_5_1/verification/evidence_recheck.md</s:t>
        </s:is>
      </s:c>
      <s:c r="E129" s="11" t="inlineStr">
        <s:is>
          <s:t>../../2025/jama.2025.16450/.ai_paper_validation/review_1_5_1/verification/evidence_recheck.md</s:t>
        </s:is>
      </s:c>
    </s:row>
    <s:row r="130" ht="90" customFormat="1" customHeight="1" s="8">
      <s:c r="A130" s="12" t="inlineStr">
        <s:is>
          <s:t>2025::jama.2025.16450::C003</s:t>
        </s:is>
      </s:c>
      <s:c r="B130" s="12" t="inlineStr">
        <s:is>
          <s:t>sourceLinks</s:t>
        </s:is>
      </s:c>
      <s:c r="C130" s="12" t="n">
        <s:v>0</s:v>
      </s:c>
      <s:c r="D130" s="12" t="inlineStr">
        <s:is>
          <s:t>protocol — PDF p. 4</s:t>
        </s:is>
      </s:c>
      <s:c r="E130" s="12" t="inlineStr">
        <s:is>
          <s:t>../../2025/jama.2025.16450/joi250072supp1_prod_1761000786.68881.pdf#page=4</s:t>
        </s:is>
      </s:c>
    </s:row>
    <s:row r="131" ht="90" customFormat="1" customHeight="1" s="8">
      <s:c r="A131" s="11" t="inlineStr">
        <s:is>
          <s:t>2025::jama.2025.16450::C003</s:t>
        </s:is>
      </s:c>
      <s:c r="B131" s="11" t="inlineStr">
        <s:is>
          <s:t>sourceLinks</s:t>
        </s:is>
      </s:c>
      <s:c r="C131" s="11" t="n">
        <s:v>1</s:v>
      </s:c>
      <s:c r="D131" s="11" t="inlineStr">
        <s:is>
          <s:t>manual — PDF p. 7</s:t>
        </s:is>
      </s:c>
      <s:c r="E131" s="11" t="inlineStr">
        <s:is>
          <s:t>../../2025/jama.2025.16450/joi250072supp2_prod_1761000786.6938.pdf#page=7</s:t>
        </s:is>
      </s:c>
    </s:row>
    <s:row r="132" ht="90" customFormat="1" customHeight="1" s="8">
      <s:c r="A132" s="12" t="inlineStr">
        <s:is>
          <s:t>2025::jama.2025.16450::C003</s:t>
        </s:is>
      </s:c>
      <s:c r="B132" s="12" t="inlineStr">
        <s:is>
          <s:t>sourceLinks</s:t>
        </s:is>
      </s:c>
      <s:c r="C132" s="12" t="n">
        <s:v>2</s:v>
      </s:c>
      <s:c r="D132" s="12" t="inlineStr">
        <s:is>
          <s:t>manual — PDF p. 12</s:t>
        </s:is>
      </s:c>
      <s:c r="E132" s="12" t="inlineStr">
        <s:is>
          <s:t>../../2025/jama.2025.16450/joi250072supp2_prod_1761000786.6938.pdf#page=12</s:t>
        </s:is>
      </s:c>
    </s:row>
    <s:row r="133" ht="90" customFormat="1" customHeight="1" s="8">
      <s:c r="A133" s="11" t="inlineStr">
        <s:is>
          <s:t>2025::jama.2025.16450::C003</s:t>
        </s:is>
      </s:c>
      <s:c r="B133" s="11" t="inlineStr">
        <s:is>
          <s:t>sourceLinks</s:t>
        </s:is>
      </s:c>
      <s:c r="C133" s="11" t="n">
        <s:v>3</s:v>
      </s:c>
      <s:c r="D133" s="11" t="inlineStr">
        <s:is>
          <s:t>SAP — PDF p. 8</s:t>
        </s:is>
      </s:c>
      <s:c r="E133" s="11" t="inlineStr">
        <s:is>
          <s:t>../../2025/jama.2025.16450/joi250072supp3_prod_1761000786.6988.pdf#page=8</s:t>
        </s:is>
      </s:c>
    </s:row>
    <s:row r="134" ht="90" customFormat="1" customHeight="1" s="8">
      <s:c r="A134" s="12" t="inlineStr">
        <s:is>
          <s:t>2025::jama.2025.16450::C003</s:t>
        </s:is>
      </s:c>
      <s:c r="B134" s="12" t="inlineStr">
        <s:is>
          <s:t>sourceLinks</s:t>
        </s:is>
      </s:c>
      <s:c r="C134" s="12" t="n">
        <s:v>4</s:v>
      </s:c>
      <s:c r="D134" s="12" t="inlineStr">
        <s:is>
          <s:t>main article — PDF p. 2</s:t>
        </s:is>
      </s:c>
      <s:c r="E134" s="12" t="inlineStr">
        <s:is>
          <s:t>../../2025/jama.2025.16450/jama_ambalavanan_2025_oi_250072_1761000786.6838.pdf#page=2</s:t>
        </s:is>
      </s:c>
    </s:row>
    <s:row r="135" ht="90" customFormat="1" customHeight="1" s="8">
      <s:c r="A135" s="11" t="inlineStr">
        <s:is>
          <s:t>2025::jama.2025.16450::C003</s:t>
        </s:is>
      </s:c>
      <s:c r="B135" s="11" t="inlineStr">
        <s:is>
          <s:t>sourceLinks</s:t>
        </s:is>
      </s:c>
      <s:c r="C135" s="11" t="n">
        <s:v>5</s:v>
      </s:c>
      <s:c r="D135" s="11" t="inlineStr">
        <s:is>
          <s:t>results supplement — PDF p. 4</s:t>
        </s:is>
      </s:c>
      <s:c r="E135" s="11" t="inlineStr">
        <s:is>
          <s:t>../../2025/jama.2025.16450/joi250072supp4_prod_1761000786.6988.pdf#page=4</s:t>
        </s:is>
      </s:c>
    </s:row>
    <s:row r="136" ht="90" customFormat="1" customHeight="1" s="8">
      <s:c r="A136" s="12" t="inlineStr">
        <s:is>
          <s:t>2025::jama.2025.16450::C003</s:t>
        </s:is>
      </s:c>
      <s:c r="B136" s="12" t="inlineStr">
        <s:is>
          <s:t>evidencePaths</s:t>
        </s:is>
      </s:c>
      <s:c r="C136" s="12" t="n">
        <s:v>0</s:v>
      </s:c>
      <s:c r="D136" s="12" t="inlineStr">
        <s:is>
          <s:t>2025/jama.2025.16450/.ai_paper_validation/review_1_5_1/verification/evidence_recheck.md</s:t>
        </s:is>
      </s:c>
      <s:c r="E136" s="12" t="inlineStr">
        <s:is>
          <s:t>../../2025/jama.2025.16450/.ai_paper_validation/review_1_5_1/verification/evidence_recheck.md</s:t>
        </s:is>
      </s:c>
    </s:row>
    <s:row r="137" ht="90" customFormat="1" customHeight="1" s="8">
      <s:c r="A137" s="11" t="inlineStr">
        <s:is>
          <s:t>2025::jama.2025.16450::C004</s:t>
        </s:is>
      </s:c>
      <s:c r="B137" s="11" t="inlineStr">
        <s:is>
          <s:t>sourceLinks</s:t>
        </s:is>
      </s:c>
      <s:c r="C137" s="11" t="n">
        <s:v>0</s:v>
      </s:c>
      <s:c r="D137" s="11" t="inlineStr">
        <s:is>
          <s:t>manual — PDF p. 14</s:t>
        </s:is>
      </s:c>
      <s:c r="E137" s="11" t="inlineStr">
        <s:is>
          <s:t>../../2025/jama.2025.16450/joi250072supp2_prod_1761000786.6938.pdf#page=14</s:t>
        </s:is>
      </s:c>
    </s:row>
    <s:row r="138" ht="90" customFormat="1" customHeight="1" s="8">
      <s:c r="A138" s="12" t="inlineStr">
        <s:is>
          <s:t>2025::jama.2025.16450::C004</s:t>
        </s:is>
      </s:c>
      <s:c r="B138" s="12" t="inlineStr">
        <s:is>
          <s:t>sourceLinks</s:t>
        </s:is>
      </s:c>
      <s:c r="C138" s="12" t="n">
        <s:v>1</s:v>
      </s:c>
      <s:c r="D138" s="12" t="inlineStr">
        <s:is>
          <s:t>manual — PDF p. 16</s:t>
        </s:is>
      </s:c>
      <s:c r="E138" s="12" t="inlineStr">
        <s:is>
          <s:t>../../2025/jama.2025.16450/joi250072supp2_prod_1761000786.6938.pdf#page=16</s:t>
        </s:is>
      </s:c>
    </s:row>
    <s:row r="139" ht="90" customFormat="1" customHeight="1" s="8">
      <s:c r="A139" s="11" t="inlineStr">
        <s:is>
          <s:t>2025::jama.2025.16450::C004</s:t>
        </s:is>
      </s:c>
      <s:c r="B139" s="11" t="inlineStr">
        <s:is>
          <s:t>sourceLinks</s:t>
        </s:is>
      </s:c>
      <s:c r="C139" s="11" t="n">
        <s:v>2</s:v>
      </s:c>
      <s:c r="D139" s="11" t="inlineStr">
        <s:is>
          <s:t>SAP — PDF p. 10</s:t>
        </s:is>
      </s:c>
      <s:c r="E139" s="11" t="inlineStr">
        <s:is>
          <s:t>../../2025/jama.2025.16450/joi250072supp3_prod_1761000786.6988.pdf#page=10</s:t>
        </s:is>
      </s:c>
    </s:row>
    <s:row r="140" ht="90" customFormat="1" customHeight="1" s="8">
      <s:c r="A140" s="12" t="inlineStr">
        <s:is>
          <s:t>2025::jama.2025.16450::C004</s:t>
        </s:is>
      </s:c>
      <s:c r="B140" s="12" t="inlineStr">
        <s:is>
          <s:t>sourceLinks</s:t>
        </s:is>
      </s:c>
      <s:c r="C140" s="12" t="n">
        <s:v>3</s:v>
      </s:c>
      <s:c r="D140" s="12" t="inlineStr">
        <s:is>
          <s:t>SAP — PDF p. 33</s:t>
        </s:is>
      </s:c>
      <s:c r="E140" s="12" t="inlineStr">
        <s:is>
          <s:t>../../2025/jama.2025.16450/joi250072supp3_prod_1761000786.6988.pdf#page=33</s:t>
        </s:is>
      </s:c>
    </s:row>
    <s:row r="141" ht="90" customFormat="1" customHeight="1" s="8">
      <s:c r="A141" s="11" t="inlineStr">
        <s:is>
          <s:t>2025::jama.2025.16450::C004</s:t>
        </s:is>
      </s:c>
      <s:c r="B141" s="11" t="inlineStr">
        <s:is>
          <s:t>evidencePaths</s:t>
        </s:is>
      </s:c>
      <s:c r="C141" s="11" t="n">
        <s:v>0</s:v>
      </s:c>
      <s:c r="D141" s="11" t="inlineStr">
        <s:is>
          <s:t>2025/jama.2025.16450/.ai_paper_validation/review_1_5_1/verification/evidence_recheck.md</s:t>
        </s:is>
      </s:c>
      <s:c r="E141" s="11" t="inlineStr">
        <s:is>
          <s:t>../../2025/jama.2025.16450/.ai_paper_validation/review_1_5_1/verification/evidence_recheck.md</s:t>
        </s:is>
      </s:c>
    </s:row>
    <s:row r="142" ht="90" customFormat="1" customHeight="1" s="8">
      <s:c r="A142" s="12" t="inlineStr">
        <s:is>
          <s:t>2025::jama.2025.16450::C005</s:t>
        </s:is>
      </s:c>
      <s:c r="B142" s="12" t="inlineStr">
        <s:is>
          <s:t>sourceLinks</s:t>
        </s:is>
      </s:c>
      <s:c r="C142" s="12" t="n">
        <s:v>0</s:v>
      </s:c>
      <s:c r="D142" s="12" t="inlineStr">
        <s:is>
          <s:t>manual — PDF p. 14</s:t>
        </s:is>
      </s:c>
      <s:c r="E142" s="12" t="inlineStr">
        <s:is>
          <s:t>../../2025/jama.2025.16450/joi250072supp2_prod_1761000786.6938.pdf#page=14</s:t>
        </s:is>
      </s:c>
    </s:row>
    <s:row r="143" ht="90" customFormat="1" customHeight="1" s="8">
      <s:c r="A143" s="11" t="inlineStr">
        <s:is>
          <s:t>2025::jama.2025.16450::C005</s:t>
        </s:is>
      </s:c>
      <s:c r="B143" s="11" t="inlineStr">
        <s:is>
          <s:t>sourceLinks</s:t>
        </s:is>
      </s:c>
      <s:c r="C143" s="11" t="n">
        <s:v>1</s:v>
      </s:c>
      <s:c r="D143" s="11" t="inlineStr">
        <s:is>
          <s:t>manual — PDF p. 16</s:t>
        </s:is>
      </s:c>
      <s:c r="E143" s="11" t="inlineStr">
        <s:is>
          <s:t>../../2025/jama.2025.16450/joi250072supp2_prod_1761000786.6938.pdf#page=16</s:t>
        </s:is>
      </s:c>
    </s:row>
    <s:row r="144" ht="90" customFormat="1" customHeight="1" s="8">
      <s:c r="A144" s="12" t="inlineStr">
        <s:is>
          <s:t>2025::jama.2025.16450::C005</s:t>
        </s:is>
      </s:c>
      <s:c r="B144" s="12" t="inlineStr">
        <s:is>
          <s:t>sourceLinks</s:t>
        </s:is>
      </s:c>
      <s:c r="C144" s="12" t="n">
        <s:v>2</s:v>
      </s:c>
      <s:c r="D144" s="12" t="inlineStr">
        <s:is>
          <s:t>SAP — PDF p. 10</s:t>
        </s:is>
      </s:c>
      <s:c r="E144" s="12" t="inlineStr">
        <s:is>
          <s:t>../../2025/jama.2025.16450/joi250072supp3_prod_1761000786.6988.pdf#page=10</s:t>
        </s:is>
      </s:c>
    </s:row>
    <s:row r="145" ht="90" customFormat="1" customHeight="1" s="8">
      <s:c r="A145" s="11" t="inlineStr">
        <s:is>
          <s:t>2025::jama.2025.16450::C005</s:t>
        </s:is>
      </s:c>
      <s:c r="B145" s="11" t="inlineStr">
        <s:is>
          <s:t>sourceLinks</s:t>
        </s:is>
      </s:c>
      <s:c r="C145" s="11" t="n">
        <s:v>3</s:v>
      </s:c>
      <s:c r="D145" s="11" t="inlineStr">
        <s:is>
          <s:t>SAP — PDF p. 33</s:t>
        </s:is>
      </s:c>
      <s:c r="E145" s="11" t="inlineStr">
        <s:is>
          <s:t>../../2025/jama.2025.16450/joi250072supp3_prod_1761000786.6988.pdf#page=33</s:t>
        </s:is>
      </s:c>
    </s:row>
    <s:row r="146" ht="90" customFormat="1" customHeight="1" s="8">
      <s:c r="A146" s="12" t="inlineStr">
        <s:is>
          <s:t>2025::jama.2025.16450::C005</s:t>
        </s:is>
      </s:c>
      <s:c r="B146" s="12" t="inlineStr">
        <s:is>
          <s:t>sourceLinks</s:t>
        </s:is>
      </s:c>
      <s:c r="C146" s="12" t="n">
        <s:v>4</s:v>
      </s:c>
      <s:c r="D146" s="12" t="inlineStr">
        <s:is>
          <s:t>SAP — PDF p. 34</s:t>
        </s:is>
      </s:c>
      <s:c r="E146" s="12" t="inlineStr">
        <s:is>
          <s:t>../../2025/jama.2025.16450/joi250072supp3_prod_1761000786.6988.pdf#page=34</s:t>
        </s:is>
      </s:c>
    </s:row>
    <s:row r="147" ht="90" customFormat="1" customHeight="1" s="8">
      <s:c r="A147" s="11" t="inlineStr">
        <s:is>
          <s:t>2025::jama.2025.16450::C005</s:t>
        </s:is>
      </s:c>
      <s:c r="B147" s="11" t="inlineStr">
        <s:is>
          <s:t>evidencePaths</s:t>
        </s:is>
      </s:c>
      <s:c r="C147" s="11" t="n">
        <s:v>0</s:v>
      </s:c>
      <s:c r="D147" s="11" t="inlineStr">
        <s:is>
          <s:t>2025/jama.2025.16450/.ai_paper_validation/review_1_5_1/verification/evidence_recheck.md</s:t>
        </s:is>
      </s:c>
      <s:c r="E147" s="11" t="inlineStr">
        <s:is>
          <s:t>../../2025/jama.2025.16450/.ai_paper_validation/review_1_5_1/verification/evidence_recheck.md</s:t>
        </s:is>
      </s:c>
    </s:row>
    <s:row r="148" ht="90" customFormat="1" customHeight="1" s="8">
      <s:c r="A148" s="12" t="inlineStr">
        <s:is>
          <s:t>2025::jama.2025.16450::C006</s:t>
        </s:is>
      </s:c>
      <s:c r="B148" s="12" t="inlineStr">
        <s:is>
          <s:t>sourceLinks</s:t>
        </s:is>
      </s:c>
      <s:c r="C148" s="12" t="n">
        <s:v>0</s:v>
      </s:c>
      <s:c r="D148" s="12" t="inlineStr">
        <s:is>
          <s:t>protocol — PDF p. 29</s:t>
        </s:is>
      </s:c>
      <s:c r="E148" s="12" t="inlineStr">
        <s:is>
          <s:t>../../2025/jama.2025.16450/joi250072supp1_prod_1761000786.68881.pdf#page=29</s:t>
        </s:is>
      </s:c>
    </s:row>
    <s:row r="149" ht="90" customFormat="1" customHeight="1" s="8">
      <s:c r="A149" s="11" t="inlineStr">
        <s:is>
          <s:t>2025::jama.2025.16450::C006</s:t>
        </s:is>
      </s:c>
      <s:c r="B149" s="11" t="inlineStr">
        <s:is>
          <s:t>sourceLinks</s:t>
        </s:is>
      </s:c>
      <s:c r="C149" s="11" t="n">
        <s:v>1</s:v>
      </s:c>
      <s:c r="D149" s="11" t="inlineStr">
        <s:is>
          <s:t>SAP — PDF p. 26</s:t>
        </s:is>
      </s:c>
      <s:c r="E149" s="11" t="inlineStr">
        <s:is>
          <s:t>../../2025/jama.2025.16450/joi250072supp3_prod_1761000786.6988.pdf#page=26</s:t>
        </s:is>
      </s:c>
    </s:row>
    <s:row r="150" ht="90" customFormat="1" customHeight="1" s="8">
      <s:c r="A150" s="12" t="inlineStr">
        <s:is>
          <s:t>2025::jama.2025.16450::C006</s:t>
        </s:is>
      </s:c>
      <s:c r="B150" s="12" t="inlineStr">
        <s:is>
          <s:t>evidencePaths</s:t>
        </s:is>
      </s:c>
      <s:c r="C150" s="12" t="n">
        <s:v>0</s:v>
      </s:c>
      <s:c r="D150" s="12" t="inlineStr">
        <s:is>
          <s:t>2025/jama.2025.16450/.ai_paper_validation/review_1_5_1/verification/evidence_recheck.md</s:t>
        </s:is>
      </s:c>
      <s:c r="E150" s="12" t="inlineStr">
        <s:is>
          <s:t>../../2025/jama.2025.16450/.ai_paper_validation/review_1_5_1/verification/evidence_recheck.md</s:t>
        </s:is>
      </s:c>
    </s:row>
    <s:row r="151" ht="90" customFormat="1" customHeight="1" s="8">
      <s:c r="A151" s="11" t="inlineStr">
        <s:is>
          <s:t>2025::jama.2025.16450::C007</s:t>
        </s:is>
      </s:c>
      <s:c r="B151" s="11" t="inlineStr">
        <s:is>
          <s:t>sourceLinks</s:t>
        </s:is>
      </s:c>
      <s:c r="C151" s="11" t="n">
        <s:v>0</s:v>
      </s:c>
      <s:c r="D151" s="11" t="inlineStr">
        <s:is>
          <s:t>main article — PDF p. 3</s:t>
        </s:is>
      </s:c>
      <s:c r="E151" s="11" t="inlineStr">
        <s:is>
          <s:t>../../2025/jama.2025.16450/jama_ambalavanan_2025_oi_250072_1761000786.6838.pdf#page=3</s:t>
        </s:is>
      </s:c>
    </s:row>
    <s:row r="152" ht="90" customFormat="1" customHeight="1" s="8">
      <s:c r="A152" s="12" t="inlineStr">
        <s:is>
          <s:t>2025::jama.2025.16450::C007</s:t>
        </s:is>
      </s:c>
      <s:c r="B152" s="12" t="inlineStr">
        <s:is>
          <s:t>sourceLinks</s:t>
        </s:is>
      </s:c>
      <s:c r="C152" s="12" t="n">
        <s:v>1</s:v>
      </s:c>
      <s:c r="D152" s="12" t="inlineStr">
        <s:is>
          <s:t>main article — PDF p. 7</s:t>
        </s:is>
      </s:c>
      <s:c r="E152" s="12" t="inlineStr">
        <s:is>
          <s:t>../../2025/jama.2025.16450/jama_ambalavanan_2025_oi_250072_1761000786.6838.pdf#page=7</s:t>
        </s:is>
      </s:c>
    </s:row>
    <s:row r="153" ht="90" customFormat="1" customHeight="1" s="8">
      <s:c r="A153" s="11" t="inlineStr">
        <s:is>
          <s:t>2025::jama.2025.16450::C007</s:t>
        </s:is>
      </s:c>
      <s:c r="B153" s="11" t="inlineStr">
        <s:is>
          <s:t>sourceLinks</s:t>
        </s:is>
      </s:c>
      <s:c r="C153" s="11" t="n">
        <s:v>2</s:v>
      </s:c>
      <s:c r="D153" s="11" t="inlineStr">
        <s:is>
          <s:t>protocol — PDF p. 29</s:t>
        </s:is>
      </s:c>
      <s:c r="E153" s="11" t="inlineStr">
        <s:is>
          <s:t>../../2025/jama.2025.16450/joi250072supp1_prod_1761000786.68881.pdf#page=29</s:t>
        </s:is>
      </s:c>
    </s:row>
    <s:row r="154" ht="90" customFormat="1" customHeight="1" s="8">
      <s:c r="A154" s="12" t="inlineStr">
        <s:is>
          <s:t>2025::jama.2025.16450::C007</s:t>
        </s:is>
      </s:c>
      <s:c r="B154" s="12" t="inlineStr">
        <s:is>
          <s:t>sourceLinks</s:t>
        </s:is>
      </s:c>
      <s:c r="C154" s="12" t="n">
        <s:v>3</s:v>
      </s:c>
      <s:c r="D154" s="12" t="inlineStr">
        <s:is>
          <s:t>SAP — PDF p. 26</s:t>
        </s:is>
      </s:c>
      <s:c r="E154" s="12" t="inlineStr">
        <s:is>
          <s:t>../../2025/jama.2025.16450/joi250072supp3_prod_1761000786.6988.pdf#page=26</s:t>
        </s:is>
      </s:c>
    </s:row>
    <s:row r="155" ht="90" customFormat="1" customHeight="1" s="8">
      <s:c r="A155" s="11" t="inlineStr">
        <s:is>
          <s:t>2025::jama.2025.16450::C007</s:t>
        </s:is>
      </s:c>
      <s:c r="B155" s="11" t="inlineStr">
        <s:is>
          <s:t>evidencePaths</s:t>
        </s:is>
      </s:c>
      <s:c r="C155" s="11" t="n">
        <s:v>0</s:v>
      </s:c>
      <s:c r="D155" s="11" t="inlineStr">
        <s:is>
          <s:t>2025/jama.2025.16450/.ai_paper_validation/review_1_5_1/verification/evidence_recheck.md</s:t>
        </s:is>
      </s:c>
      <s:c r="E155" s="11" t="inlineStr">
        <s:is>
          <s:t>../../2025/jama.2025.16450/.ai_paper_validation/review_1_5_1/verification/evidence_recheck.md</s:t>
        </s:is>
      </s:c>
    </s:row>
    <s:row r="156" ht="90" customFormat="1" customHeight="1" s="8">
      <s:c r="A156" s="12" t="inlineStr">
        <s:is>
          <s:t>2025::jama.2025.16450::C008</s:t>
        </s:is>
      </s:c>
      <s:c r="B156" s="12" t="inlineStr">
        <s:is>
          <s:t>sourceLinks</s:t>
        </s:is>
      </s:c>
      <s:c r="C156" s="12" t="n">
        <s:v>0</s:v>
      </s:c>
      <s:c r="D156" s="12" t="inlineStr">
        <s:is>
          <s:t>main article — PDF p. 1</s:t>
        </s:is>
      </s:c>
      <s:c r="E156" s="12" t="inlineStr">
        <s:is>
          <s:t>../../2025/jama.2025.16450/jama_ambalavanan_2025_oi_250072_1761000786.6838.pdf#page=1</s:t>
        </s:is>
      </s:c>
    </s:row>
    <s:row r="157" ht="90" customFormat="1" customHeight="1" s="8">
      <s:c r="A157" s="11" t="inlineStr">
        <s:is>
          <s:t>2025::jama.2025.16450::C008</s:t>
        </s:is>
      </s:c>
      <s:c r="B157" s="11" t="inlineStr">
        <s:is>
          <s:t>sourceLinks</s:t>
        </s:is>
      </s:c>
      <s:c r="C157" s="11" t="n">
        <s:v>1</s:v>
      </s:c>
      <s:c r="D157" s="11" t="inlineStr">
        <s:is>
          <s:t>protocol — PDF p. 29</s:t>
        </s:is>
      </s:c>
      <s:c r="E157" s="11" t="inlineStr">
        <s:is>
          <s:t>../../2025/jama.2025.16450/joi250072supp1_prod_1761000786.68881.pdf#page=29</s:t>
        </s:is>
      </s:c>
    </s:row>
    <s:row r="158" ht="90" customFormat="1" customHeight="1" s="8">
      <s:c r="A158" s="12" t="inlineStr">
        <s:is>
          <s:t>2025::jama.2025.16450::C008</s:t>
        </s:is>
      </s:c>
      <s:c r="B158" s="12" t="inlineStr">
        <s:is>
          <s:t>sourceLinks</s:t>
        </s:is>
      </s:c>
      <s:c r="C158" s="12" t="n">
        <s:v>2</s:v>
      </s:c>
      <s:c r="D158" s="12" t="inlineStr">
        <s:is>
          <s:t>SAP — PDF p. 8</s:t>
        </s:is>
      </s:c>
      <s:c r="E158" s="12" t="inlineStr">
        <s:is>
          <s:t>../../2025/jama.2025.16450/joi250072supp3_prod_1761000786.6988.pdf#page=8</s:t>
        </s:is>
      </s:c>
    </s:row>
    <s:row r="159" ht="90" customFormat="1" customHeight="1" s="8">
      <s:c r="A159" s="11" t="inlineStr">
        <s:is>
          <s:t>2025::jama.2025.16450::C008</s:t>
        </s:is>
      </s:c>
      <s:c r="B159" s="11" t="inlineStr">
        <s:is>
          <s:t>evidencePaths</s:t>
        </s:is>
      </s:c>
      <s:c r="C159" s="11" t="n">
        <s:v>0</s:v>
      </s:c>
      <s:c r="D159" s="11" t="inlineStr">
        <s:is>
          <s:t>2025/jama.2025.16450/.ai_paper_validation/review_1_5_1/verification/evidence_recheck.md</s:t>
        </s:is>
      </s:c>
      <s:c r="E159" s="11" t="inlineStr">
        <s:is>
          <s:t>../../2025/jama.2025.16450/.ai_paper_validation/review_1_5_1/verification/evidence_recheck.md</s:t>
        </s:is>
      </s:c>
    </s:row>
    <s:row r="160" ht="90" customFormat="1" customHeight="1" s="8">
      <s:c r="A160" s="12" t="inlineStr">
        <s:is>
          <s:t>2025::jama.2025.16450::C009</s:t>
        </s:is>
      </s:c>
      <s:c r="B160" s="12" t="inlineStr">
        <s:is>
          <s:t>sourceLinks</s:t>
        </s:is>
      </s:c>
      <s:c r="C160" s="12" t="n">
        <s:v>0</s:v>
      </s:c>
      <s:c r="D160" s="12" t="inlineStr">
        <s:is>
          <s:t>main article — PDF p. 8</s:t>
        </s:is>
      </s:c>
      <s:c r="E160" s="12" t="inlineStr">
        <s:is>
          <s:t>../../2025/jama.2025.16450/jama_ambalavanan_2025_oi_250072_1761000786.6838.pdf#page=8</s:t>
        </s:is>
      </s:c>
    </s:row>
    <s:row r="161" ht="90" customFormat="1" customHeight="1" s="8">
      <s:c r="A161" s="11" t="inlineStr">
        <s:is>
          <s:t>2025::jama.2025.16450::C009</s:t>
        </s:is>
      </s:c>
      <s:c r="B161" s="11" t="inlineStr">
        <s:is>
          <s:t>evidencePaths</s:t>
        </s:is>
      </s:c>
      <s:c r="C161" s="11" t="n">
        <s:v>0</s:v>
      </s:c>
      <s:c r="D161" s="11" t="inlineStr">
        <s:is>
          <s:t>2025/jama.2025.16450/.ai_paper_validation/review_1_5_1/verification/evidence_recheck.md</s:t>
        </s:is>
      </s:c>
      <s:c r="E161" s="11" t="inlineStr">
        <s:is>
          <s:t>../../2025/jama.2025.16450/.ai_paper_validation/review_1_5_1/verification/evidence_recheck.md</s:t>
        </s:is>
      </s:c>
    </s:row>
    <s:row r="162" ht="90" customFormat="1" customHeight="1" s="8">
      <s:c r="A162" s="12" t="inlineStr">
        <s:is>
          <s:t>2025::jama.2025.16450::C010</s:t>
        </s:is>
      </s:c>
      <s:c r="B162" s="12" t="inlineStr">
        <s:is>
          <s:t>sourceLinks</s:t>
        </s:is>
      </s:c>
      <s:c r="C162" s="12" t="n">
        <s:v>0</s:v>
      </s:c>
      <s:c r="D162" s="12" t="inlineStr">
        <s:is>
          <s:t>results supplement — PDF p. 5</s:t>
        </s:is>
      </s:c>
      <s:c r="E162" s="12" t="inlineStr">
        <s:is>
          <s:t>../../2025/jama.2025.16450/joi250072supp4_prod_1761000786.6988.pdf#page=5</s:t>
        </s:is>
      </s:c>
    </s:row>
    <s:row r="163" ht="90" customFormat="1" customHeight="1" s="8">
      <s:c r="A163" s="11" t="inlineStr">
        <s:is>
          <s:t>2025::jama.2025.16450::C010</s:t>
        </s:is>
      </s:c>
      <s:c r="B163" s="11" t="inlineStr">
        <s:is>
          <s:t>sourceLinks</s:t>
        </s:is>
      </s:c>
      <s:c r="C163" s="11" t="n">
        <s:v>1</s:v>
      </s:c>
      <s:c r="D163" s="11" t="inlineStr">
        <s:is>
          <s:t>results supplement — PDF p. 6</s:t>
        </s:is>
      </s:c>
      <s:c r="E163" s="11" t="inlineStr">
        <s:is>
          <s:t>../../2025/jama.2025.16450/joi250072supp4_prod_1761000786.6988.pdf#page=6</s:t>
        </s:is>
      </s:c>
    </s:row>
    <s:row r="164" ht="90" customFormat="1" customHeight="1" s="8">
      <s:c r="A164" s="12" t="inlineStr">
        <s:is>
          <s:t>2025::jama.2025.16450::C010</s:t>
        </s:is>
      </s:c>
      <s:c r="B164" s="12" t="inlineStr">
        <s:is>
          <s:t>evidencePaths</s:t>
        </s:is>
      </s:c>
      <s:c r="C164" s="12" t="n">
        <s:v>0</s:v>
      </s:c>
      <s:c r="D164" s="12" t="inlineStr">
        <s:is>
          <s:t>2025/jama.2025.16450/.ai_paper_validation/review_1_5_1/verification/evidence_recheck.md</s:t>
        </s:is>
      </s:c>
      <s:c r="E164" s="12" t="inlineStr">
        <s:is>
          <s:t>../../2025/jama.2025.16450/.ai_paper_validation/review_1_5_1/verification/evidence_recheck.md</s:t>
        </s:is>
      </s:c>
    </s:row>
    <s:row r="165" ht="90" customFormat="1" customHeight="1" s="8">
      <s:c r="A165" s="11" t="inlineStr">
        <s:is>
          <s:t>2025::jama.2025.19563::C001</s:t>
        </s:is>
      </s:c>
      <s:c r="B165" s="11" t="inlineStr">
        <s:is>
          <s:t>sourceLinks</s:t>
        </s:is>
      </s:c>
      <s:c r="C165" s="11" t="n">
        <s:v>0</s:v>
      </s:c>
      <s:c r="D165" s="11" t="inlineStr">
        <s:is>
          <s:t>DOC-002 protocol — PDF p. 15</s:t>
        </s:is>
      </s:c>
      <s:c r="E165" s="11" t="inlineStr">
        <s:is>
          <s:t>../../2025/jama.2025.19563/joi250084supp1_prod_1765403089.61351.pdf#page=15</s:t>
        </s:is>
      </s:c>
    </s:row>
    <s:row r="166" ht="90" customFormat="1" customHeight="1" s="8">
      <s:c r="A166" s="12" t="inlineStr">
        <s:is>
          <s:t>2025::jama.2025.19563::C001</s:t>
        </s:is>
      </s:c>
      <s:c r="B166" s="12" t="inlineStr">
        <s:is>
          <s:t>sourceLinks</s:t>
        </s:is>
      </s:c>
      <s:c r="C166" s="12" t="n">
        <s:v>1</s:v>
      </s:c>
      <s:c r="D166" s="12" t="inlineStr">
        <s:is>
          <s:t>DOC-001 main article — PDF p. 4</s:t>
        </s:is>
      </s:c>
      <s:c r="E166" s="12" t="inlineStr">
        <s:is>
          <s:t>../../2025/jama.2025.19563/jama_mathioudakis_2025_oi_250084_1765403089.60451.pdf#page=4</s:t>
        </s:is>
      </s:c>
    </s:row>
    <s:row r="167" ht="90" customFormat="1" customHeight="1" s="8">
      <s:c r="A167" s="11" t="inlineStr">
        <s:is>
          <s:t>2025::jama.2025.19563::C001</s:t>
        </s:is>
      </s:c>
      <s:c r="B167" s="11" t="inlineStr">
        <s:is>
          <s:t>sourceLinks</s:t>
        </s:is>
      </s:c>
      <s:c r="C167" s="11" t="n">
        <s:v>2</s:v>
      </s:c>
      <s:c r="D167" s="11" t="inlineStr">
        <s:is>
          <s:t>DOC-003 supplement — PDF p. 30</s:t>
        </s:is>
      </s:c>
      <s:c r="E167" s="11" t="inlineStr">
        <s:is>
          <s:t>../../2025/jama.2025.19563/joi250084supp2_prod_1765403089.61751.pdf#page=30</s:t>
        </s:is>
      </s:c>
    </s:row>
    <s:row r="168" ht="90" customFormat="1" customHeight="1" s="8">
      <s:c r="A168" s="12" t="inlineStr">
        <s:is>
          <s:t>2025::jama.2025.19563::C001</s:t>
        </s:is>
      </s:c>
      <s:c r="B168" s="12" t="inlineStr">
        <s:is>
          <s:t>sourceLinks</s:t>
        </s:is>
      </s:c>
      <s:c r="C168" s="12" t="n">
        <s:v>3</s:v>
      </s:c>
      <s:c r="D168" s="12" t="inlineStr">
        <s:is>
          <s:t>DOC-003 supplement — PDF p. 56</s:t>
        </s:is>
      </s:c>
      <s:c r="E168" s="12" t="inlineStr">
        <s:is>
          <s:t>../../2025/jama.2025.19563/joi250084supp2_prod_1765403089.61751.pdf#page=56</s:t>
        </s:is>
      </s:c>
    </s:row>
    <s:row r="169" ht="90" customFormat="1" customHeight="1" s="8">
      <s:c r="A169" s="11" t="inlineStr">
        <s:is>
          <s:t>2025::jama.2025.19563::C001</s:t>
        </s:is>
      </s:c>
      <s:c r="B169" s="11" t="inlineStr">
        <s:is>
          <s:t>evidencePaths</s:t>
        </s:is>
      </s:c>
      <s:c r="C169" s="11" t="n">
        <s:v>0</s:v>
      </s:c>
      <s:c r="D169" s="11" t="inlineStr">
        <s:is>
          <s:t>2025/jama.2025.19563/.ai_paper_validation/review_1_5_1/verification/evidence_recheck.md</s:t>
        </s:is>
      </s:c>
      <s:c r="E169" s="11" t="inlineStr">
        <s:is>
          <s:t>../../2025/jama.2025.19563/.ai_paper_validation/review_1_5_1/verification/evidence_recheck.md</s:t>
        </s:is>
      </s:c>
    </s:row>
    <s:row r="170" ht="90" customFormat="1" customHeight="1" s="8">
      <s:c r="A170" s="12" t="inlineStr">
        <s:is>
          <s:t>2025::jama.2025.19563::C002</s:t>
        </s:is>
      </s:c>
      <s:c r="B170" s="12" t="inlineStr">
        <s:is>
          <s:t>sourceLinks</s:t>
        </s:is>
      </s:c>
      <s:c r="C170" s="12" t="n">
        <s:v>0</s:v>
      </s:c>
      <s:c r="D170" s="12" t="inlineStr">
        <s:is>
          <s:t>DOC-003 supplement — PDF p. 8</s:t>
        </s:is>
      </s:c>
      <s:c r="E170" s="12" t="inlineStr">
        <s:is>
          <s:t>../../2025/jama.2025.19563/joi250084supp2_prod_1765403089.61751.pdf#page=8</s:t>
        </s:is>
      </s:c>
    </s:row>
    <s:row r="171" ht="90" customFormat="1" customHeight="1" s="8">
      <s:c r="A171" s="11" t="inlineStr">
        <s:is>
          <s:t>2025::jama.2025.19563::C002</s:t>
        </s:is>
      </s:c>
      <s:c r="B171" s="11" t="inlineStr">
        <s:is>
          <s:t>sourceLinks</s:t>
        </s:is>
      </s:c>
      <s:c r="C171" s="11" t="n">
        <s:v>1</s:v>
      </s:c>
      <s:c r="D171" s="11" t="inlineStr">
        <s:is>
          <s:t>DOC-001 main article — PDF p. 4</s:t>
        </s:is>
      </s:c>
      <s:c r="E171" s="11" t="inlineStr">
        <s:is>
          <s:t>../../2025/jama.2025.19563/jama_mathioudakis_2025_oi_250084_1765403089.60451.pdf#page=4</s:t>
        </s:is>
      </s:c>
    </s:row>
    <s:row r="172" ht="90" customFormat="1" customHeight="1" s="8">
      <s:c r="A172" s="12" t="inlineStr">
        <s:is>
          <s:t>2025::jama.2025.19563::C002</s:t>
        </s:is>
      </s:c>
      <s:c r="B172" s="12" t="inlineStr">
        <s:is>
          <s:t>sourceLinks</s:t>
        </s:is>
      </s:c>
      <s:c r="C172" s="12" t="n">
        <s:v>2</s:v>
      </s:c>
      <s:c r="D172" s="12" t="inlineStr">
        <s:is>
          <s:t>DOC-001 main article — PDF p. 5</s:t>
        </s:is>
      </s:c>
      <s:c r="E172" s="12" t="inlineStr">
        <s:is>
          <s:t>../../2025/jama.2025.19563/jama_mathioudakis_2025_oi_250084_1765403089.60451.pdf#page=5</s:t>
        </s:is>
      </s:c>
    </s:row>
    <s:row r="173" ht="90" customFormat="1" customHeight="1" s="8">
      <s:c r="A173" s="11" t="inlineStr">
        <s:is>
          <s:t>2025::jama.2025.19563::C002</s:t>
        </s:is>
      </s:c>
      <s:c r="B173" s="11" t="inlineStr">
        <s:is>
          <s:t>sourceLinks</s:t>
        </s:is>
      </s:c>
      <s:c r="C173" s="11" t="n">
        <s:v>3</s:v>
      </s:c>
      <s:c r="D173" s="11" t="inlineStr">
        <s:is>
          <s:t>DOC-003 supplement — PDF p. 50</s:t>
        </s:is>
      </s:c>
      <s:c r="E173" s="11" t="inlineStr">
        <s:is>
          <s:t>../../2025/jama.2025.19563/joi250084supp2_prod_1765403089.61751.pdf#page=50</s:t>
        </s:is>
      </s:c>
    </s:row>
    <s:row r="174" ht="90" customFormat="1" customHeight="1" s="8">
      <s:c r="A174" s="12" t="inlineStr">
        <s:is>
          <s:t>2025::jama.2025.19563::C002</s:t>
        </s:is>
      </s:c>
      <s:c r="B174" s="12" t="inlineStr">
        <s:is>
          <s:t>evidencePaths</s:t>
        </s:is>
      </s:c>
      <s:c r="C174" s="12" t="n">
        <s:v>0</s:v>
      </s:c>
      <s:c r="D174" s="12" t="inlineStr">
        <s:is>
          <s:t>2025/jama.2025.19563/.ai_paper_validation/review_1_5_1/verification/evidence_recheck.md</s:t>
        </s:is>
      </s:c>
      <s:c r="E174" s="12" t="inlineStr">
        <s:is>
          <s:t>../../2025/jama.2025.19563/.ai_paper_validation/review_1_5_1/verification/evidence_recheck.md</s:t>
        </s:is>
      </s:c>
    </s:row>
    <s:row r="175" ht="90" customFormat="1" customHeight="1" s="8">
      <s:c r="A175" s="11" t="inlineStr">
        <s:is>
          <s:t>2025::jama.2025.19563::C003</s:t>
        </s:is>
      </s:c>
      <s:c r="B175" s="11" t="inlineStr">
        <s:is>
          <s:t>sourceLinks</s:t>
        </s:is>
      </s:c>
      <s:c r="C175" s="11" t="n">
        <s:v>0</s:v>
      </s:c>
      <s:c r="D175" s="11" t="inlineStr">
        <s:is>
          <s:t>DOC-001 main article — PDF p. 8</s:t>
        </s:is>
      </s:c>
      <s:c r="E175" s="11" t="inlineStr">
        <s:is>
          <s:t>../../2025/jama.2025.19563/jama_mathioudakis_2025_oi_250084_1765403089.60451.pdf#page=8</s:t>
        </s:is>
      </s:c>
    </s:row>
    <s:row r="176" ht="90" customFormat="1" customHeight="1" s="8">
      <s:c r="A176" s="12" t="inlineStr">
        <s:is>
          <s:t>2025::jama.2025.19563::C003</s:t>
        </s:is>
      </s:c>
      <s:c r="B176" s="12" t="inlineStr">
        <s:is>
          <s:t>sourceLinks</s:t>
        </s:is>
      </s:c>
      <s:c r="C176" s="12" t="n">
        <s:v>1</s:v>
      </s:c>
      <s:c r="D176" s="12" t="inlineStr">
        <s:is>
          <s:t>DOC-001 main article — PDF p. 6</s:t>
        </s:is>
      </s:c>
      <s:c r="E176" s="12" t="inlineStr">
        <s:is>
          <s:t>../../2025/jama.2025.19563/jama_mathioudakis_2025_oi_250084_1765403089.60451.pdf#page=6</s:t>
        </s:is>
      </s:c>
    </s:row>
    <s:row r="177" ht="90" customFormat="1" customHeight="1" s="8">
      <s:c r="A177" s="11" t="inlineStr">
        <s:is>
          <s:t>2025::jama.2025.19563::C003</s:t>
        </s:is>
      </s:c>
      <s:c r="B177" s="11" t="inlineStr">
        <s:is>
          <s:t>sourceLinks</s:t>
        </s:is>
      </s:c>
      <s:c r="C177" s="11" t="n">
        <s:v>2</s:v>
      </s:c>
      <s:c r="D177" s="11" t="inlineStr">
        <s:is>
          <s:t>DOC-003 supplement — PDF p. 53</s:t>
        </s:is>
      </s:c>
      <s:c r="E177" s="11" t="inlineStr">
        <s:is>
          <s:t>../../2025/jama.2025.19563/joi250084supp2_prod_1765403089.61751.pdf#page=53</s:t>
        </s:is>
      </s:c>
    </s:row>
    <s:row r="178" ht="90" customFormat="1" customHeight="1" s="8">
      <s:c r="A178" s="12" t="inlineStr">
        <s:is>
          <s:t>2025::jama.2025.19563::C004</s:t>
        </s:is>
      </s:c>
      <s:c r="B178" s="12" t="inlineStr">
        <s:is>
          <s:t>sourceLinks</s:t>
        </s:is>
      </s:c>
      <s:c r="C178" s="12" t="n">
        <s:v>0</s:v>
      </s:c>
      <s:c r="D178" s="12" t="inlineStr">
        <s:is>
          <s:t>DOC-003 supplement — PDF p. 39</s:t>
        </s:is>
      </s:c>
      <s:c r="E178" s="12" t="inlineStr">
        <s:is>
          <s:t>../../2025/jama.2025.19563/joi250084supp2_prod_1765403089.61751.pdf#page=39</s:t>
        </s:is>
      </s:c>
    </s:row>
    <s:row r="179" ht="90" customFormat="1" customHeight="1" s="8">
      <s:c r="A179" s="11" t="inlineStr">
        <s:is>
          <s:t>2025::jama.2025.19563::C004</s:t>
        </s:is>
      </s:c>
      <s:c r="B179" s="11" t="inlineStr">
        <s:is>
          <s:t>sourceLinks</s:t>
        </s:is>
      </s:c>
      <s:c r="C179" s="11" t="n">
        <s:v>1</s:v>
      </s:c>
      <s:c r="D179" s="11" t="inlineStr">
        <s:is>
          <s:t>DOC-003 supplement — PDF p. 43</s:t>
        </s:is>
      </s:c>
      <s:c r="E179" s="11" t="inlineStr">
        <s:is>
          <s:t>../../2025/jama.2025.19563/joi250084supp2_prod_1765403089.61751.pdf#page=43</s:t>
        </s:is>
      </s:c>
    </s:row>
    <s:row r="180" ht="90" customFormat="1" customHeight="1" s="8">
      <s:c r="A180" s="12" t="inlineStr">
        <s:is>
          <s:t>2025::jama.2025.19563::C004</s:t>
        </s:is>
      </s:c>
      <s:c r="B180" s="12" t="inlineStr">
        <s:is>
          <s:t>sourceLinks</s:t>
        </s:is>
      </s:c>
      <s:c r="C180" s="12" t="n">
        <s:v>2</s:v>
      </s:c>
      <s:c r="D180" s="12" t="inlineStr">
        <s:is>
          <s:t>DOC-003 supplement — PDF p. 45</s:t>
        </s:is>
      </s:c>
      <s:c r="E180" s="12" t="inlineStr">
        <s:is>
          <s:t>../../2025/jama.2025.19563/joi250084supp2_prod_1765403089.61751.pdf#page=45</s:t>
        </s:is>
      </s:c>
    </s:row>
    <s:row r="181" ht="90" customFormat="1" customHeight="1" s="8">
      <s:c r="A181" s="11" t="inlineStr">
        <s:is>
          <s:t>2025::jama.2025.19563::C004</s:t>
        </s:is>
      </s:c>
      <s:c r="B181" s="11" t="inlineStr">
        <s:is>
          <s:t>sourceLinks</s:t>
        </s:is>
      </s:c>
      <s:c r="C181" s="11" t="n">
        <s:v>3</s:v>
      </s:c>
      <s:c r="D181" s="11" t="inlineStr">
        <s:is>
          <s:t>DOC-003 supplement — PDF p. 47</s:t>
        </s:is>
      </s:c>
      <s:c r="E181" s="11" t="inlineStr">
        <s:is>
          <s:t>../../2025/jama.2025.19563/joi250084supp2_prod_1765403089.61751.pdf#page=47</s:t>
        </s:is>
      </s:c>
    </s:row>
    <s:row r="182" ht="90" customFormat="1" customHeight="1" s="8">
      <s:c r="A182" s="12" t="inlineStr">
        <s:is>
          <s:t>2025::jama.2025.19563::C004</s:t>
        </s:is>
      </s:c>
      <s:c r="B182" s="12" t="inlineStr">
        <s:is>
          <s:t>sourceLinks</s:t>
        </s:is>
      </s:c>
      <s:c r="C182" s="12" t="n">
        <s:v>4</s:v>
      </s:c>
      <s:c r="D182" s="12" t="inlineStr">
        <s:is>
          <s:t>DOC-001 main article — PDF p. 6</s:t>
        </s:is>
      </s:c>
      <s:c r="E182" s="12" t="inlineStr">
        <s:is>
          <s:t>../../2025/jama.2025.19563/jama_mathioudakis_2025_oi_250084_1765403089.60451.pdf#page=6</s:t>
        </s:is>
      </s:c>
    </s:row>
    <s:row r="183" ht="90" customFormat="1" customHeight="1" s="8">
      <s:c r="A183" s="11" t="inlineStr">
        <s:is>
          <s:t>2025::jama.2025.19563::C004</s:t>
        </s:is>
      </s:c>
      <s:c r="B183" s="11" t="inlineStr">
        <s:is>
          <s:t>evidencePaths</s:t>
        </s:is>
      </s:c>
      <s:c r="C183" s="11" t="n">
        <s:v>0</s:v>
      </s:c>
      <s:c r="D183" s="11" t="inlineStr">
        <s:is>
          <s:t>2025/jama.2025.19563/.ai_paper_validation/review_1_5_1/verification/evidence_recheck.md</s:t>
        </s:is>
      </s:c>
      <s:c r="E183" s="11" t="inlineStr">
        <s:is>
          <s:t>../../2025/jama.2025.19563/.ai_paper_validation/review_1_5_1/verification/evidence_recheck.md</s:t>
        </s:is>
      </s:c>
    </s:row>
    <s:row r="184" ht="90" customFormat="1" customHeight="1" s="8">
      <s:c r="A184" s="12" t="inlineStr">
        <s:is>
          <s:t>2025::jama.2025.19563::C005</s:t>
        </s:is>
      </s:c>
      <s:c r="B184" s="12" t="inlineStr">
        <s:is>
          <s:t>sourceLinks</s:t>
        </s:is>
      </s:c>
      <s:c r="C184" s="12" t="n">
        <s:v>0</s:v>
      </s:c>
      <s:c r="D184" s="12" t="inlineStr">
        <s:is>
          <s:t>DOC-003 supplement — PDF p. 46</s:t>
        </s:is>
      </s:c>
      <s:c r="E184" s="12" t="inlineStr">
        <s:is>
          <s:t>../../2025/jama.2025.19563/joi250084supp2_prod_1765403089.61751.pdf#page=46</s:t>
        </s:is>
      </s:c>
    </s:row>
    <s:row r="185" ht="90" customFormat="1" customHeight="1" s="8">
      <s:c r="A185" s="11" t="inlineStr">
        <s:is>
          <s:t>2025::jama.2025.19563::C005</s:t>
        </s:is>
      </s:c>
      <s:c r="B185" s="11" t="inlineStr">
        <s:is>
          <s:t>sourceLinks</s:t>
        </s:is>
      </s:c>
      <s:c r="C185" s="11" t="n">
        <s:v>1</s:v>
      </s:c>
      <s:c r="D185" s="11" t="inlineStr">
        <s:is>
          <s:t>DOC-003 supplement — PDF p. 47</s:t>
        </s:is>
      </s:c>
      <s:c r="E185" s="11" t="inlineStr">
        <s:is>
          <s:t>../../2025/jama.2025.19563/joi250084supp2_prod_1765403089.61751.pdf#page=47</s:t>
        </s:is>
      </s:c>
    </s:row>
    <s:row r="186" ht="90" customFormat="1" customHeight="1" s="8">
      <s:c r="A186" s="12" t="inlineStr">
        <s:is>
          <s:t>2025::jama.2025.19563::C006</s:t>
        </s:is>
      </s:c>
      <s:c r="B186" s="12" t="inlineStr">
        <s:is>
          <s:t>sourceLinks</s:t>
        </s:is>
      </s:c>
      <s:c r="C186" s="12" t="n">
        <s:v>0</s:v>
      </s:c>
      <s:c r="D186" s="12" t="inlineStr">
        <s:is>
          <s:t>DOC-003 supplement — PDF p. 29</s:t>
        </s:is>
      </s:c>
      <s:c r="E186" s="12" t="inlineStr">
        <s:is>
          <s:t>../../2025/jama.2025.19563/joi250084supp2_prod_1765403089.61751.pdf#page=29</s:t>
        </s:is>
      </s:c>
    </s:row>
    <s:row r="187" ht="90" customFormat="1" customHeight="1" s="8">
      <s:c r="A187" s="11" t="inlineStr">
        <s:is>
          <s:t>2025::jama.2025.19563::C006</s:t>
        </s:is>
      </s:c>
      <s:c r="B187" s="11" t="inlineStr">
        <s:is>
          <s:t>sourceLinks</s:t>
        </s:is>
      </s:c>
      <s:c r="C187" s="11" t="n">
        <s:v>1</s:v>
      </s:c>
      <s:c r="D187" s="11" t="inlineStr">
        <s:is>
          <s:t>DOC-003 supplement — PDF p. 52</s:t>
        </s:is>
      </s:c>
      <s:c r="E187" s="11" t="inlineStr">
        <s:is>
          <s:t>../../2025/jama.2025.19563/joi250084supp2_prod_1765403089.61751.pdf#page=52</s:t>
        </s:is>
      </s:c>
    </s:row>
    <s:row r="188" ht="90" customFormat="1" customHeight="1" s="8">
      <s:c r="A188" s="12" t="inlineStr">
        <s:is>
          <s:t>2025::jama.2025.19563::C007</s:t>
        </s:is>
      </s:c>
      <s:c r="B188" s="12" t="inlineStr">
        <s:is>
          <s:t>sourceLinks</s:t>
        </s:is>
      </s:c>
      <s:c r="C188" s="12" t="n">
        <s:v>0</s:v>
      </s:c>
      <s:c r="D188" s="12" t="inlineStr">
        <s:is>
          <s:t>DOC-003 supplement — PDF p. 30</s:t>
        </s:is>
      </s:c>
      <s:c r="E188" s="12" t="inlineStr">
        <s:is>
          <s:t>../../2025/jama.2025.19563/joi250084supp2_prod_1765403089.61751.pdf#page=30</s:t>
        </s:is>
      </s:c>
    </s:row>
    <s:row r="189" ht="90" customFormat="1" customHeight="1" s="8">
      <s:c r="A189" s="11" t="inlineStr">
        <s:is>
          <s:t>2025::jama.2025.19563::C007</s:t>
        </s:is>
      </s:c>
      <s:c r="B189" s="11" t="inlineStr">
        <s:is>
          <s:t>sourceLinks</s:t>
        </s:is>
      </s:c>
      <s:c r="C189" s="11" t="n">
        <s:v>1</s:v>
      </s:c>
      <s:c r="D189" s="11" t="inlineStr">
        <s:is>
          <s:t>DOC-003 supplement — PDF p. 59</s:t>
        </s:is>
      </s:c>
      <s:c r="E189" s="11" t="inlineStr">
        <s:is>
          <s:t>../../2025/jama.2025.19563/joi250084supp2_prod_1765403089.61751.pdf#page=59</s:t>
        </s:is>
      </s:c>
    </s:row>
    <s:row r="190" ht="90" customFormat="1" customHeight="1" s="8">
      <s:c r="A190" s="12" t="inlineStr">
        <s:is>
          <s:t>2025::jama.2025.19843::C001</s:t>
        </s:is>
      </s:c>
      <s:c r="B190" s="12" t="inlineStr">
        <s:is>
          <s:t>sourceLinks</s:t>
        </s:is>
      </s:c>
      <s:c r="C190" s="12" t="n">
        <s:v>0</s:v>
      </s:c>
      <s:c r="D190" s="12" t="inlineStr">
        <s:is>
          <s:t>DOC-001 — PDF p. 1</s:t>
        </s:is>
      </s:c>
      <s:c r="E190" s="12" t="inlineStr">
        <s:is>
          <s:t>../../2025/jama.2025.19843/jama_combes_2025_oi_250087_1766516490.94011.pdf#page=1</s:t>
        </s:is>
      </s:c>
    </s:row>
    <s:row r="191" ht="90" customFormat="1" customHeight="1" s="8">
      <s:c r="A191" s="11" t="inlineStr">
        <s:is>
          <s:t>2025::jama.2025.19843::C001</s:t>
        </s:is>
      </s:c>
      <s:c r="B191" s="11" t="inlineStr">
        <s:is>
          <s:t>sourceLinks</s:t>
        </s:is>
      </s:c>
      <s:c r="C191" s="11" t="n">
        <s:v>1</s:v>
      </s:c>
      <s:c r="D191" s="11" t="inlineStr">
        <s:is>
          <s:t>DOC-001 — PDF p. 3</s:t>
        </s:is>
      </s:c>
      <s:c r="E191" s="11" t="inlineStr">
        <s:is>
          <s:t>../../2025/jama.2025.19843/jama_combes_2025_oi_250087_1766516490.94011.pdf#page=3</s:t>
        </s:is>
      </s:c>
    </s:row>
    <s:row r="192" ht="90" customFormat="1" customHeight="1" s="8">
      <s:c r="A192" s="12" t="inlineStr">
        <s:is>
          <s:t>2025::jama.2025.19843::C001</s:t>
        </s:is>
      </s:c>
      <s:c r="B192" s="12" t="inlineStr">
        <s:is>
          <s:t>sourceLinks</s:t>
        </s:is>
      </s:c>
      <s:c r="C192" s="12" t="n">
        <s:v>2</s:v>
      </s:c>
      <s:c r="D192" s="12" t="inlineStr">
        <s:is>
          <s:t>DOC-001 — PDF p. 4</s:t>
        </s:is>
      </s:c>
      <s:c r="E192" s="12" t="inlineStr">
        <s:is>
          <s:t>../../2025/jama.2025.19843/jama_combes_2025_oi_250087_1766516490.94011.pdf#page=4</s:t>
        </s:is>
      </s:c>
    </s:row>
    <s:row r="193" ht="90" customFormat="1" customHeight="1" s="8">
      <s:c r="A193" s="11" t="inlineStr">
        <s:is>
          <s:t>2025::jama.2025.19843::C001</s:t>
        </s:is>
      </s:c>
      <s:c r="B193" s="11" t="inlineStr">
        <s:is>
          <s:t>sourceLinks</s:t>
        </s:is>
      </s:c>
      <s:c r="C193" s="11" t="n">
        <s:v>3</s:v>
      </s:c>
      <s:c r="D193" s="11" t="inlineStr">
        <s:is>
          <s:t>DOC-003 — PDF p. 7</s:t>
        </s:is>
      </s:c>
      <s:c r="E193" s="11" t="inlineStr">
        <s:is>
          <s:t>../../2025/jama.2025.19843/joi250087supp2_prod_1766516490.96511.pdf#page=7</s:t>
        </s:is>
      </s:c>
    </s:row>
    <s:row r="194" ht="90" customFormat="1" customHeight="1" s="8">
      <s:c r="A194" s="12" t="inlineStr">
        <s:is>
          <s:t>2025::jama.2025.19843::C001</s:t>
        </s:is>
      </s:c>
      <s:c r="B194" s="12" t="inlineStr">
        <s:is>
          <s:t>sourceLinks</s:t>
        </s:is>
      </s:c>
      <s:c r="C194" s="12" t="n">
        <s:v>4</s:v>
      </s:c>
      <s:c r="D194" s="12" t="inlineStr">
        <s:is>
          <s:t>DOC-004 — PDF p. 11</s:t>
        </s:is>
      </s:c>
      <s:c r="E194" s="12" t="inlineStr">
        <s:is>
          <s:t>../../2025/jama.2025.19843/joi250087supp3_prod_1766516490.97011.pdf#page=11</s:t>
        </s:is>
      </s:c>
    </s:row>
    <s:row r="195" ht="90" customFormat="1" customHeight="1" s="8">
      <s:c r="A195" s="11" t="inlineStr">
        <s:is>
          <s:t>2025::jama.2025.19843::C001</s:t>
        </s:is>
      </s:c>
      <s:c r="B195" s="11" t="inlineStr">
        <s:is>
          <s:t>evidencePaths</s:t>
        </s:is>
      </s:c>
      <s:c r="C195" s="11" t="n">
        <s:v>0</s:v>
      </s:c>
      <s:c r="D195" s="11" t="inlineStr">
        <s:is>
          <s:t>2025/jama.2025.19843/.ai_paper_validation/review_1_5_1/verification/evidence_recheck.md</s:t>
        </s:is>
      </s:c>
      <s:c r="E195" s="11" t="inlineStr">
        <s:is>
          <s:t>../../2025/jama.2025.19843/.ai_paper_validation/review_1_5_1/verification/evidence_recheck.md</s:t>
        </s:is>
      </s:c>
    </s:row>
    <s:row r="196" ht="90" customFormat="1" customHeight="1" s="8">
      <s:c r="A196" s="12" t="inlineStr">
        <s:is>
          <s:t>2025::jama.2025.20765::C001</s:t>
        </s:is>
      </s:c>
      <s:c r="B196" s="12" t="inlineStr">
        <s:is>
          <s:t>sourceLinks</s:t>
        </s:is>
      </s:c>
      <s:c r="C196" s="12" t="n">
        <s:v>0</s:v>
      </s:c>
      <s:c r="D196" s="12" t="inlineStr">
        <s:is>
          <s:t>main article — PDF p. 6</s:t>
        </s:is>
      </s:c>
      <s:c r="E196" s="12" t="inlineStr">
        <s:is>
          <s:t>../../2025/jama.2025.20765/jama_zahid_2025_oi_250093_1768590553.08463.pdf#page=6</s:t>
        </s:is>
      </s:c>
    </s:row>
    <s:row r="197" ht="90" customFormat="1" customHeight="1" s="8">
      <s:c r="A197" s="11" t="inlineStr">
        <s:is>
          <s:t>2025::jama.2025.20765::C002</s:t>
        </s:is>
      </s:c>
      <s:c r="B197" s="11" t="inlineStr">
        <s:is>
          <s:t>sourceLinks</s:t>
        </s:is>
      </s:c>
      <s:c r="C197" s="11" t="n">
        <s:v>0</s:v>
      </s:c>
      <s:c r="D197" s="11" t="inlineStr">
        <s:is>
          <s:t>main article — PDF p. 8</s:t>
        </s:is>
      </s:c>
      <s:c r="E197" s="11" t="inlineStr">
        <s:is>
          <s:t>../../2025/jama.2025.20765/jama_zahid_2025_oi_250093_1768590553.08463.pdf#page=8</s:t>
        </s:is>
      </s:c>
    </s:row>
    <s:row r="198" ht="90" customFormat="1" customHeight="1" s="8">
      <s:c r="A198" s="12" t="inlineStr">
        <s:is>
          <s:t>2025::jama.2025.20765::C002</s:t>
        </s:is>
      </s:c>
      <s:c r="B198" s="12" t="inlineStr">
        <s:is>
          <s:t>sourceLinks</s:t>
        </s:is>
      </s:c>
      <s:c r="C198" s="12" t="n">
        <s:v>1</s:v>
      </s:c>
      <s:c r="D198" s="12" t="inlineStr">
        <s:is>
          <s:t>PDF p. 5</s:t>
        </s:is>
      </s:c>
      <s:c r="E198" s="12" t="inlineStr">
        <s:is>
          <s:t>../../2025/jama.2025.20765/jama_zahid_2025_oi_250093_1768590553.08463.pdf#page=5</s:t>
        </s:is>
      </s:c>
    </s:row>
    <s:row r="199" ht="90" customFormat="1" customHeight="1" s="8">
      <s:c r="A199" s="11" t="inlineStr">
        <s:is>
          <s:t>2025::jama.2025.20765::C002</s:t>
        </s:is>
      </s:c>
      <s:c r="B199" s="11" t="inlineStr">
        <s:is>
          <s:t>sourceLinks</s:t>
        </s:is>
      </s:c>
      <s:c r="C199" s="11" t="n">
        <s:v>2</s:v>
      </s:c>
      <s:c r="D199" s="11" t="inlineStr">
        <s:is>
          <s:t>PDF p. 6</s:t>
        </s:is>
      </s:c>
      <s:c r="E199" s="11" t="inlineStr">
        <s:is>
          <s:t>../../2025/jama.2025.20765/jama_zahid_2025_oi_250093_1768590553.08463.pdf#page=6</s:t>
        </s:is>
      </s:c>
    </s:row>
    <s:row r="200" ht="90" customFormat="1" customHeight="1" s="8">
      <s:c r="A200" s="12" t="inlineStr">
        <s:is>
          <s:t>2025::jama.2025.20765::C002</s:t>
        </s:is>
      </s:c>
      <s:c r="B200" s="12" t="inlineStr">
        <s:is>
          <s:t>sourceLinks</s:t>
        </s:is>
      </s:c>
      <s:c r="C200" s="12" t="n">
        <s:v>3</s:v>
      </s:c>
      <s:c r="D200" s="12" t="inlineStr">
        <s:is>
          <s:t>Supplement 2 — PDF p. 6</s:t>
        </s:is>
      </s:c>
      <s:c r="E200" s="12" t="inlineStr">
        <s:is>
          <s:t>../../2025/jama.2025.20765/joi250093supp2_prod_1768590553.09463.pdf#page=6</s:t>
        </s:is>
      </s:c>
    </s:row>
    <s:row r="201" ht="90" customFormat="1" customHeight="1" s="8">
      <s:c r="A201" s="11" t="inlineStr">
        <s:is>
          <s:t>2025::jama.2025.20765::C003</s:t>
        </s:is>
      </s:c>
      <s:c r="B201" s="11" t="inlineStr">
        <s:is>
          <s:t>sourceLinks</s:t>
        </s:is>
      </s:c>
      <s:c r="C201" s="11" t="n">
        <s:v>0</s:v>
      </s:c>
      <s:c r="D201" s="11" t="inlineStr">
        <s:is>
          <s:t>Supplement 1 — PDF p. 16</s:t>
        </s:is>
      </s:c>
      <s:c r="E201" s="11" t="inlineStr">
        <s:is>
          <s:t>../../2025/jama.2025.20765/joi250093supp1_prod_1768590553.08963.pdf#page=16</s:t>
        </s:is>
      </s:c>
    </s:row>
    <s:row r="202" ht="90" customFormat="1" customHeight="1" s="8">
      <s:c r="A202" s="12" t="inlineStr">
        <s:is>
          <s:t>2025::jama.2025.20765::C004</s:t>
        </s:is>
      </s:c>
      <s:c r="B202" s="12" t="inlineStr">
        <s:is>
          <s:t>sourceLinks</s:t>
        </s:is>
      </s:c>
      <s:c r="C202" s="12" t="n">
        <s:v>0</s:v>
      </s:c>
      <s:c r="D202" s="12" t="inlineStr">
        <s:is>
          <s:t>Supplement 1 — PDF p. 10</s:t>
        </s:is>
      </s:c>
      <s:c r="E202" s="12" t="inlineStr">
        <s:is>
          <s:t>../../2025/jama.2025.20765/joi250093supp1_prod_1768590553.08963.pdf#page=10</s:t>
        </s:is>
      </s:c>
    </s:row>
    <s:row r="203" ht="90" customFormat="1" customHeight="1" s="8">
      <s:c r="A203" s="11" t="inlineStr">
        <s:is>
          <s:t>2025::jama.2025.20765::C004</s:t>
        </s:is>
      </s:c>
      <s:c r="B203" s="11" t="inlineStr">
        <s:is>
          <s:t>sourceLinks</s:t>
        </s:is>
      </s:c>
      <s:c r="C203" s="11" t="n">
        <s:v>1</s:v>
      </s:c>
      <s:c r="D203" s="11" t="inlineStr">
        <s:is>
          <s:t>PDF p. 26</s:t>
        </s:is>
      </s:c>
      <s:c r="E203" s="11" t="inlineStr">
        <s:is>
          <s:t>../../2025/jama.2025.20765/joi250093supp1_prod_1768590553.08963.pdf#page=26</s:t>
        </s:is>
      </s:c>
    </s:row>
    <s:row r="204" ht="90" customFormat="1" customHeight="1" s="8">
      <s:c r="A204" s="12" t="inlineStr">
        <s:is>
          <s:t>2025::jama.2025.20765::C005</s:t>
        </s:is>
      </s:c>
      <s:c r="B204" s="12" t="inlineStr">
        <s:is>
          <s:t>sourceLinks</s:t>
        </s:is>
      </s:c>
      <s:c r="C204" s="12" t="n">
        <s:v>0</s:v>
      </s:c>
      <s:c r="D204" s="12" t="inlineStr">
        <s:is>
          <s:t>Supplement 1 — PDF p. 53</s:t>
        </s:is>
      </s:c>
      <s:c r="E204" s="12" t="inlineStr">
        <s:is>
          <s:t>../../2025/jama.2025.20765/joi250093supp1_prod_1768590553.08963.pdf#page=53</s:t>
        </s:is>
      </s:c>
    </s:row>
    <s:row r="205" ht="90" customFormat="1" customHeight="1" s="8">
      <s:c r="A205" s="11" t="inlineStr">
        <s:is>
          <s:t>2025::jama.2025.20765::C006</s:t>
        </s:is>
      </s:c>
      <s:c r="B205" s="11" t="inlineStr">
        <s:is>
          <s:t>sourceLinks</s:t>
        </s:is>
      </s:c>
      <s:c r="C205" s="11" t="n">
        <s:v>0</s:v>
      </s:c>
      <s:c r="D205" s="11" t="inlineStr">
        <s:is>
          <s:t>Supplement 1 — PDF p. 55</s:t>
        </s:is>
      </s:c>
      <s:c r="E205" s="11" t="inlineStr">
        <s:is>
          <s:t>../../2025/jama.2025.20765/joi250093supp1_prod_1768590553.08963.pdf#page=55</s:t>
        </s:is>
      </s:c>
    </s:row>
    <s:row r="206" ht="90" customFormat="1" customHeight="1" s="8">
      <s:c r="A206" s="12" t="inlineStr">
        <s:is>
          <s:t>2025::jama.2025.20765::C006</s:t>
        </s:is>
      </s:c>
      <s:c r="B206" s="12" t="inlineStr">
        <s:is>
          <s:t>evidencePaths</s:t>
        </s:is>
      </s:c>
      <s:c r="C206" s="12" t="n">
        <s:v>0</s:v>
      </s:c>
      <s:c r="D206" s="12" t="inlineStr">
        <s:is>
          <s:t>2025/jama.2025.20765/.ai_paper_validation/review_1_5_1/verification/evidence_recheck.md</s:t>
        </s:is>
      </s:c>
      <s:c r="E206" s="12" t="inlineStr">
        <s:is>
          <s:t>../../2025/jama.2025.20765/.ai_paper_validation/review_1_5_1/verification/evidence_recheck.md</s:t>
        </s:is>
      </s:c>
    </s:row>
    <s:row r="207" ht="90" customFormat="1" customHeight="1" s="8">
      <s:c r="A207" s="11" t="inlineStr">
        <s:is>
          <s:t>2025::jama.2025.20765::C007</s:t>
        </s:is>
      </s:c>
      <s:c r="B207" s="11" t="inlineStr">
        <s:is>
          <s:t>sourceLinks</s:t>
        </s:is>
      </s:c>
      <s:c r="C207" s="11" t="n">
        <s:v>0</s:v>
      </s:c>
      <s:c r="D207" s="11" t="inlineStr">
        <s:is>
          <s:t>Supplement 1 — PDF p. 48</s:t>
        </s:is>
      </s:c>
      <s:c r="E207" s="11" t="inlineStr">
        <s:is>
          <s:t>../../2025/jama.2025.20765/joi250093supp1_prod_1768590553.08963.pdf#page=48</s:t>
        </s:is>
      </s:c>
    </s:row>
    <s:row r="208" ht="90" customFormat="1" customHeight="1" s="8">
      <s:c r="A208" s="12" t="inlineStr">
        <s:is>
          <s:t>2025::jama.2025.20765::C007</s:t>
        </s:is>
      </s:c>
      <s:c r="B208" s="12" t="inlineStr">
        <s:is>
          <s:t>sourceLinks</s:t>
        </s:is>
      </s:c>
      <s:c r="C208" s="12" t="n">
        <s:v>1</s:v>
      </s:c>
      <s:c r="D208" s="12" t="inlineStr">
        <s:is>
          <s:t>PDF p. 51</s:t>
        </s:is>
      </s:c>
      <s:c r="E208" s="12" t="inlineStr">
        <s:is>
          <s:t>../../2025/jama.2025.20765/joi250093supp1_prod_1768590553.08963.pdf#page=51</s:t>
        </s:is>
      </s:c>
    </s:row>
    <s:row r="209" ht="90" customFormat="1" customHeight="1" s="8">
      <s:c r="A209" s="11" t="inlineStr">
        <s:is>
          <s:t>2025::jama.2025.20765::C007</s:t>
        </s:is>
      </s:c>
      <s:c r="B209" s="11" t="inlineStr">
        <s:is>
          <s:t>sourceLinks</s:t>
        </s:is>
      </s:c>
      <s:c r="C209" s="11" t="n">
        <s:v>2</s:v>
      </s:c>
      <s:c r="D209" s="11" t="inlineStr">
        <s:is>
          <s:t>PDF p. 52</s:t>
        </s:is>
      </s:c>
      <s:c r="E209" s="11" t="inlineStr">
        <s:is>
          <s:t>../../2025/jama.2025.20765/joi250093supp1_prod_1768590553.08963.pdf#page=52</s:t>
        </s:is>
      </s:c>
    </s:row>
    <s:row r="210" ht="90" customFormat="1" customHeight="1" s="8">
      <s:c r="A210" s="12" t="inlineStr">
        <s:is>
          <s:t>2025::jama.2025.20765::C007</s:t>
        </s:is>
      </s:c>
      <s:c r="B210" s="12" t="inlineStr">
        <s:is>
          <s:t>sourceLinks</s:t>
        </s:is>
      </s:c>
      <s:c r="C210" s="12" t="n">
        <s:v>3</s:v>
      </s:c>
      <s:c r="D210" s="12" t="inlineStr">
        <s:is>
          <s:t>PDF p. 62</s:t>
        </s:is>
      </s:c>
      <s:c r="E210" s="12" t="inlineStr">
        <s:is>
          <s:t>../../2025/jama.2025.20765/joi250093supp1_prod_1768590553.08963.pdf#page=62</s:t>
        </s:is>
      </s:c>
    </s:row>
    <s:row r="211" ht="90" customFormat="1" customHeight="1" s="8">
      <s:c r="A211" s="11" t="inlineStr">
        <s:is>
          <s:t>2025::jama.2025.20765::C008</s:t>
        </s:is>
      </s:c>
      <s:c r="B211" s="11" t="inlineStr">
        <s:is>
          <s:t>sourceLinks</s:t>
        </s:is>
      </s:c>
      <s:c r="C211" s="11" t="n">
        <s:v>0</s:v>
      </s:c>
      <s:c r="D211" s="11" t="inlineStr">
        <s:is>
          <s:t>Supplement 1 — PDF p. 64</s:t>
        </s:is>
      </s:c>
      <s:c r="E211" s="11" t="inlineStr">
        <s:is>
          <s:t>../../2025/jama.2025.20765/joi250093supp1_prod_1768590553.08963.pdf#page=64</s:t>
        </s:is>
      </s:c>
    </s:row>
    <s:row r="212" ht="90" customFormat="1" customHeight="1" s="8">
      <s:c r="A212" s="12" t="inlineStr">
        <s:is>
          <s:t>2025::jama.2025.20765::C009</s:t>
        </s:is>
      </s:c>
      <s:c r="B212" s="12" t="inlineStr">
        <s:is>
          <s:t>sourceLinks</s:t>
        </s:is>
      </s:c>
      <s:c r="C212" s="12" t="n">
        <s:v>0</s:v>
      </s:c>
      <s:c r="D212" s="12" t="inlineStr">
        <s:is>
          <s:t>Supplement 1 — PDF p. 64</s:t>
        </s:is>
      </s:c>
      <s:c r="E212" s="12" t="inlineStr">
        <s:is>
          <s:t>../../2025/jama.2025.20765/joi250093supp1_prod_1768590553.08963.pdf#page=64</s:t>
        </s:is>
      </s:c>
    </s:row>
    <s:row r="213" ht="90" customFormat="1" customHeight="1" s="8">
      <s:c r="A213" s="11" t="inlineStr">
        <s:is>
          <s:t>2025::jama.2025.20765::C010</s:t>
        </s:is>
      </s:c>
      <s:c r="B213" s="11" t="inlineStr">
        <s:is>
          <s:t>sourceLinks</s:t>
        </s:is>
      </s:c>
      <s:c r="C213" s="11" t="n">
        <s:v>0</s:v>
      </s:c>
      <s:c r="D213" s="11" t="inlineStr">
        <s:is>
          <s:t>Supplement 1 — PDF p. 63</s:t>
        </s:is>
      </s:c>
      <s:c r="E213" s="11" t="inlineStr">
        <s:is>
          <s:t>../../2025/jama.2025.20765/joi250093supp1_prod_1768590553.08963.pdf#page=63</s:t>
        </s:is>
      </s:c>
    </s:row>
    <s:row r="214" ht="90" customFormat="1" customHeight="1" s="8">
      <s:c r="A214" s="12" t="inlineStr">
        <s:is>
          <s:t>2025::jama.2025.20765::C010</s:t>
        </s:is>
      </s:c>
      <s:c r="B214" s="12" t="inlineStr">
        <s:is>
          <s:t>sourceLinks</s:t>
        </s:is>
      </s:c>
      <s:c r="C214" s="12" t="n">
        <s:v>1</s:v>
      </s:c>
      <s:c r="D214" s="12" t="inlineStr">
        <s:is>
          <s:t>PDF p. 83</s:t>
        </s:is>
      </s:c>
      <s:c r="E214" s="12" t="inlineStr">
        <s:is>
          <s:t>../../2025/jama.2025.20765/joi250093supp1_prod_1768590553.08963.pdf#page=83</s:t>
        </s:is>
      </s:c>
    </s:row>
    <s:row r="215" ht="90" customFormat="1" customHeight="1" s="8">
      <s:c r="A215" s="11" t="inlineStr">
        <s:is>
          <s:t>2025::jama.2025.20765::C011</s:t>
        </s:is>
      </s:c>
      <s:c r="B215" s="11" t="inlineStr">
        <s:is>
          <s:t>sourceLinks</s:t>
        </s:is>
      </s:c>
      <s:c r="C215" s="11" t="n">
        <s:v>0</s:v>
      </s:c>
      <s:c r="D215" s="11" t="inlineStr">
        <s:is>
          <s:t>Supplement 1 — PDF p. 85</s:t>
        </s:is>
      </s:c>
      <s:c r="E215" s="11" t="inlineStr">
        <s:is>
          <s:t>../../2025/jama.2025.20765/joi250093supp1_prod_1768590553.08963.pdf#page=85</s:t>
        </s:is>
      </s:c>
    </s:row>
    <s:row r="216" ht="90" customFormat="1" customHeight="1" s="8">
      <s:c r="A216" s="12" t="inlineStr">
        <s:is>
          <s:t>2025::jama.2025.20765::C012</s:t>
        </s:is>
      </s:c>
      <s:c r="B216" s="12" t="inlineStr">
        <s:is>
          <s:t>sourceLinks</s:t>
        </s:is>
      </s:c>
      <s:c r="C216" s="12" t="n">
        <s:v>0</s:v>
      </s:c>
      <s:c r="D216" s="12" t="inlineStr">
        <s:is>
          <s:t>Supplement 2 — PDF p. 8</s:t>
        </s:is>
      </s:c>
      <s:c r="E216" s="12" t="inlineStr">
        <s:is>
          <s:t>../../2025/jama.2025.20765/joi250093supp2_prod_1768590553.09463.pdf#page=8</s:t>
        </s:is>
      </s:c>
    </s:row>
    <s:row r="217" ht="90" customFormat="1" customHeight="1" s="8">
      <s:c r="A217" s="11" t="inlineStr">
        <s:is>
          <s:t>2025::jama.2025.20765::C012</s:t>
        </s:is>
      </s:c>
      <s:c r="B217" s="11" t="inlineStr">
        <s:is>
          <s:t>sourceLinks</s:t>
        </s:is>
      </s:c>
      <s:c r="C217" s="11" t="n">
        <s:v>1</s:v>
      </s:c>
      <s:c r="D217" s="11" t="inlineStr">
        <s:is>
          <s:t>PDF p. 9</s:t>
        </s:is>
      </s:c>
      <s:c r="E217" s="11" t="inlineStr">
        <s:is>
          <s:t>../../2025/jama.2025.20765/joi250093supp2_prod_1768590553.09463.pdf#page=9</s:t>
        </s:is>
      </s:c>
    </s:row>
    <s:row r="218" ht="90" customFormat="1" customHeight="1" s="8">
      <s:c r="A218" s="12" t="inlineStr">
        <s:is>
          <s:t>2025::jama.2025.20765::C013</s:t>
        </s:is>
      </s:c>
      <s:c r="B218" s="12" t="inlineStr">
        <s:is>
          <s:t>sourceLinks</s:t>
        </s:is>
      </s:c>
      <s:c r="C218" s="12" t="n">
        <s:v>0</s:v>
      </s:c>
      <s:c r="D218" s="12" t="inlineStr">
        <s:is>
          <s:t>Supplement 1 — PDF p. 16</s:t>
        </s:is>
      </s:c>
      <s:c r="E218" s="12" t="inlineStr">
        <s:is>
          <s:t>../../2025/jama.2025.20765/joi250093supp1_prod_1768590553.08963.pdf#page=16</s:t>
        </s:is>
      </s:c>
    </s:row>
    <s:row r="219" ht="90" customFormat="1" customHeight="1" s="8">
      <s:c r="A219" s="11" t="inlineStr">
        <s:is>
          <s:t>2025::jama.2025.20765::C013</s:t>
        </s:is>
      </s:c>
      <s:c r="B219" s="11" t="inlineStr">
        <s:is>
          <s:t>sourceLinks</s:t>
        </s:is>
      </s:c>
      <s:c r="C219" s="11" t="n">
        <s:v>1</s:v>
      </s:c>
      <s:c r="D219" s="11" t="inlineStr">
        <s:is>
          <s:t>PDF p. 53</s:t>
        </s:is>
      </s:c>
      <s:c r="E219" s="11" t="inlineStr">
        <s:is>
          <s:t>../../2025/jama.2025.20765/joi250093supp1_prod_1768590553.08963.pdf#page=53</s:t>
        </s:is>
      </s:c>
    </s:row>
    <s:row r="220" ht="90" customFormat="1" customHeight="1" s="8">
      <s:c r="A220" s="12" t="inlineStr">
        <s:is>
          <s:t>2025::jama.2025.20765::C013</s:t>
        </s:is>
      </s:c>
      <s:c r="B220" s="12" t="inlineStr">
        <s:is>
          <s:t>sourceLinks</s:t>
        </s:is>
      </s:c>
      <s:c r="C220" s="12" t="n">
        <s:v>2</s:v>
      </s:c>
      <s:c r="D220" s="12" t="inlineStr">
        <s:is>
          <s:t>PDF p. 80</s:t>
        </s:is>
      </s:c>
      <s:c r="E220" s="12" t="inlineStr">
        <s:is>
          <s:t>../../2025/jama.2025.20765/joi250093supp1_prod_1768590553.08963.pdf#page=80</s:t>
        </s:is>
      </s:c>
    </s:row>
    <s:row r="221" ht="90" customFormat="1" customHeight="1" s="8">
      <s:c r="A221" s="11" t="inlineStr">
        <s:is>
          <s:t>2025::jama.2025.20765::C013</s:t>
        </s:is>
      </s:c>
      <s:c r="B221" s="11" t="inlineStr">
        <s:is>
          <s:t>sourceLinks</s:t>
        </s:is>
      </s:c>
      <s:c r="C221" s="11" t="n">
        <s:v>3</s:v>
      </s:c>
      <s:c r="D221" s="11" t="inlineStr">
        <s:is>
          <s:t>PDF p. 101</s:t>
        </s:is>
      </s:c>
      <s:c r="E221" s="11" t="inlineStr">
        <s:is>
          <s:t>../../2025/jama.2025.20765/joi250093supp1_prod_1768590553.08963.pdf#page=101</s:t>
        </s:is>
      </s:c>
    </s:row>
    <s:row r="222" ht="90" customFormat="1" customHeight="1" s="8">
      <s:c r="A222" s="12" t="inlineStr">
        <s:is>
          <s:t>2025::jama.2025.20765::C013</s:t>
        </s:is>
      </s:c>
      <s:c r="B222" s="12" t="inlineStr">
        <s:is>
          <s:t>sourceLinks</s:t>
        </s:is>
      </s:c>
      <s:c r="C222" s="12" t="n">
        <s:v>4</s:v>
      </s:c>
      <s:c r="D222" s="12" t="inlineStr">
        <s:is>
          <s:t>PDF p. 109</s:t>
        </s:is>
      </s:c>
      <s:c r="E222" s="12" t="inlineStr">
        <s:is>
          <s:t>../../2025/jama.2025.20765/joi250093supp1_prod_1768590553.08963.pdf#page=109</s:t>
        </s:is>
      </s:c>
    </s:row>
    <s:row r="223" ht="90" customFormat="1" customHeight="1" s="8">
      <s:c r="A223" s="11" t="inlineStr">
        <s:is>
          <s:t>2025::jama.2025.20765::C013</s:t>
        </s:is>
      </s:c>
      <s:c r="B223" s="11" t="inlineStr">
        <s:is>
          <s:t>sourceLinks</s:t>
        </s:is>
      </s:c>
      <s:c r="C223" s="11" t="n">
        <s:v>5</s:v>
      </s:c>
      <s:c r="D223" s="11" t="inlineStr">
        <s:is>
          <s:t>main article — PDF p. 3</s:t>
        </s:is>
      </s:c>
      <s:c r="E223" s="11" t="inlineStr">
        <s:is>
          <s:t>../../2025/jama.2025.20765/jama_zahid_2025_oi_250093_1768590553.08463.pdf#page=3</s:t>
        </s:is>
      </s:c>
    </s:row>
    <s:row r="224" ht="90" customFormat="1" customHeight="1" s="8">
      <s:c r="A224" s="12" t="inlineStr">
        <s:is>
          <s:t>2025::jama.2025.20765::C013</s:t>
        </s:is>
      </s:c>
      <s:c r="B224" s="12" t="inlineStr">
        <s:is>
          <s:t>evidencePaths</s:t>
        </s:is>
      </s:c>
      <s:c r="C224" s="12" t="n">
        <s:v>0</s:v>
      </s:c>
      <s:c r="D224" s="12" t="inlineStr">
        <s:is>
          <s:t>2025/jama.2025.20765/.ai_paper_validation/review_1_5_1/verification/evidence_recheck.md</s:t>
        </s:is>
      </s:c>
      <s:c r="E224" s="12" t="inlineStr">
        <s:is>
          <s:t>../../2025/jama.2025.20765/.ai_paper_validation/review_1_5_1/verification/evidence_recheck.md</s:t>
        </s:is>
      </s:c>
    </s:row>
    <s:row r="225" ht="90" customFormat="1" customHeight="1" s="8">
      <s:c r="A225" s="11" t="inlineStr">
        <s:is>
          <s:t>2025::jama.2025.24175::C001</s:t>
        </s:is>
      </s:c>
      <s:c r="B225" s="11" t="inlineStr">
        <s:is>
          <s:t>sourceLinks</s:t>
        </s:is>
      </s:c>
      <s:c r="C225" s="11" t="n">
        <s:v>0</s:v>
      </s:c>
      <s:c r="D225" s="11" t="inlineStr">
        <s:is>
          <s:t>DOC-001 Table 2, PDF p. 6</s:t>
        </s:is>
      </s:c>
      <s:c r="E225" s="11" t="inlineStr">
        <s:is>
          <s:t>../../2025/jama.2025.24175/jama_giamarellosbourboulis_2025_oi_250116_1771885794.23757.pdf#page=6</s:t>
        </s:is>
      </s:c>
    </s:row>
    <s:row r="226" ht="90" customFormat="1" customHeight="1" s="8">
      <s:c r="A226" s="12" t="inlineStr">
        <s:is>
          <s:t>2025::jama.2025.24175::C001</s:t>
        </s:is>
      </s:c>
      <s:c r="B226" s="12" t="inlineStr">
        <s:is>
          <s:t>sourceLinks</s:t>
        </s:is>
      </s:c>
      <s:c r="C226" s="12" t="n">
        <s:v>1</s:v>
      </s:c>
      <s:c r="D226" s="12" t="inlineStr">
        <s:is>
          <s:t>DOC-001 Results narrative, PDF p. 7</s:t>
        </s:is>
      </s:c>
      <s:c r="E226" s="12" t="inlineStr">
        <s:is>
          <s:t>../../2025/jama.2025.24175/jama_giamarellosbourboulis_2025_oi_250116_1771885794.23757.pdf#page=7</s:t>
        </s:is>
      </s:c>
    </s:row>
    <s:row r="227" ht="90" customFormat="1" customHeight="1" s="8">
      <s:c r="A227" s="11" t="inlineStr">
        <s:is>
          <s:t>2025::jama.2025.24175::C001</s:t>
        </s:is>
      </s:c>
      <s:c r="B227" s="11" t="inlineStr">
        <s:is>
          <s:t>evidencePaths</s:t>
        </s:is>
      </s:c>
      <s:c r="C227" s="11" t="n">
        <s:v>0</s:v>
      </s:c>
      <s:c r="D227" s="11" t="inlineStr">
        <s:is>
          <s:t>2025/jama.2025.24175/.ai_paper_validation/review_1_5_1/verification/evidence_recheck.md</s:t>
        </s:is>
      </s:c>
      <s:c r="E227" s="11" t="inlineStr">
        <s:is>
          <s:t>../../2025/jama.2025.24175/.ai_paper_validation/review_1_5_1/verification/evidence_recheck.md</s:t>
        </s:is>
      </s:c>
    </s:row>
    <s:row r="228" ht="90" customFormat="1" customHeight="1" s="8">
      <s:c r="A228" s="12" t="inlineStr">
        <s:is>
          <s:t>2025::jama.2025.24175::C002</s:t>
        </s:is>
      </s:c>
      <s:c r="B228" s="12" t="inlineStr">
        <s:is>
          <s:t>sourceLinks</s:t>
        </s:is>
      </s:c>
      <s:c r="C228" s="12" t="n">
        <s:v>0</s:v>
      </s:c>
      <s:c r="D228" s="12" t="inlineStr">
        <s:is>
          <s:t>DOC-002 protocol, PDF p. 6</s:t>
        </s:is>
      </s:c>
      <s:c r="E228" s="12" t="inlineStr">
        <s:is>
          <s:t>../../2025/jama.2025.24175/joi250116supp1_prod_1771885794.26255.pdf#page=6</s:t>
        </s:is>
      </s:c>
    </s:row>
    <s:row r="229" ht="90" customFormat="1" customHeight="1" s="8">
      <s:c r="A229" s="11" t="inlineStr">
        <s:is>
          <s:t>2025::jama.2025.24175::C002</s:t>
        </s:is>
      </s:c>
      <s:c r="B229" s="11" t="inlineStr">
        <s:is>
          <s:t>sourceLinks</s:t>
        </s:is>
      </s:c>
      <s:c r="C229" s="11" t="n">
        <s:v>1</s:v>
      </s:c>
      <s:c r="D229" s="11" t="inlineStr">
        <s:is>
          <s:t>DOC-001 regimen, PDF p. 2</s:t>
        </s:is>
      </s:c>
      <s:c r="E229" s="11" t="inlineStr">
        <s:is>
          <s:t>../../2025/jama.2025.24175/jama_giamarellosbourboulis_2025_oi_250116_1771885794.23757.pdf#page=2</s:t>
        </s:is>
      </s:c>
    </s:row>
    <s:row r="230" ht="90" customFormat="1" customHeight="1" s="8">
      <s:c r="A230" s="12" t="inlineStr">
        <s:is>
          <s:t>2025::jama.2025.24175::C002</s:t>
        </s:is>
      </s:c>
      <s:c r="B230" s="12" t="inlineStr">
        <s:is>
          <s:t>evidencePaths</s:t>
        </s:is>
      </s:c>
      <s:c r="C230" s="12" t="n">
        <s:v>0</s:v>
      </s:c>
      <s:c r="D230" s="12" t="inlineStr">
        <s:is>
          <s:t>2025/jama.2025.24175/.ai_paper_validation/review_1_5_1/verification/evidence_recheck.md</s:t>
        </s:is>
      </s:c>
      <s:c r="E230" s="12" t="inlineStr">
        <s:is>
          <s:t>../../2025/jama.2025.24175/.ai_paper_validation/review_1_5_1/verification/evidence_recheck.md</s:t>
        </s:is>
      </s:c>
    </s:row>
    <s:row r="231" ht="90" customFormat="1" customHeight="1" s="8">
      <s:c r="A231" s="11" t="inlineStr">
        <s:is>
          <s:t>2025::jama.2025.24175::C003</s:t>
        </s:is>
      </s:c>
      <s:c r="B231" s="11" t="inlineStr">
        <s:is>
          <s:t>sourceLinks</s:t>
        </s:is>
      </s:c>
      <s:c r="C231" s="11" t="n">
        <s:v>0</s:v>
      </s:c>
      <s:c r="D231" s="11" t="inlineStr">
        <s:is>
          <s:t>DOC-002 protocol, PDF p. 7</s:t>
        </s:is>
      </s:c>
      <s:c r="E231" s="11" t="inlineStr">
        <s:is>
          <s:t>../../2025/jama.2025.24175/joi250116supp1_prod_1771885794.26255.pdf#page=7</s:t>
        </s:is>
      </s:c>
    </s:row>
    <s:row r="232" ht="90" customFormat="1" customHeight="1" s="8">
      <s:c r="A232" s="12" t="inlineStr">
        <s:is>
          <s:t>2025::jama.2025.24175::C003</s:t>
        </s:is>
      </s:c>
      <s:c r="B232" s="12" t="inlineStr">
        <s:is>
          <s:t>sourceLinks</s:t>
        </s:is>
      </s:c>
      <s:c r="C232" s="12" t="n">
        <s:v>1</s:v>
      </s:c>
      <s:c r="D232" s="12" t="inlineStr">
        <s:is>
          <s:t>DOC-001 report, PDF p. 1</s:t>
        </s:is>
      </s:c>
      <s:c r="E232" s="12" t="inlineStr">
        <s:is>
          <s:t>../../2025/jama.2025.24175/jama_giamarellosbourboulis_2025_oi_250116_1771885794.23757.pdf#page=1</s:t>
        </s:is>
      </s:c>
    </s:row>
    <s:row r="233" ht="90" customFormat="1" customHeight="1" s="8">
      <s:c r="A233" s="11" t="inlineStr">
        <s:is>
          <s:t>2025::jama.2025.24175::C003</s:t>
        </s:is>
      </s:c>
      <s:c r="B233" s="11" t="inlineStr">
        <s:is>
          <s:t>sourceLinks</s:t>
        </s:is>
      </s:c>
      <s:c r="C233" s="11" t="n">
        <s:v>2</s:v>
      </s:c>
      <s:c r="D233" s="11" t="inlineStr">
        <s:is>
          <s:t>DOC-002 SAP, PDF p. 66</s:t>
        </s:is>
      </s:c>
      <s:c r="E233" s="11" t="inlineStr">
        <s:is>
          <s:t>../../2025/jama.2025.24175/joi250116supp1_prod_1771885794.26255.pdf#page=66</s:t>
        </s:is>
      </s:c>
    </s:row>
    <s:row r="234" ht="90" customFormat="1" customHeight="1" s="8">
      <s:c r="A234" s="12" t="inlineStr">
        <s:is>
          <s:t>2025::jama.2025.24175::C003</s:t>
        </s:is>
      </s:c>
      <s:c r="B234" s="12" t="inlineStr">
        <s:is>
          <s:t>evidencePaths</s:t>
        </s:is>
      </s:c>
      <s:c r="C234" s="12" t="n">
        <s:v>0</s:v>
      </s:c>
      <s:c r="D234" s="12" t="inlineStr">
        <s:is>
          <s:t>2025/jama.2025.24175/.ai_paper_validation/review_1_5_1/verification/evidence_recheck.md</s:t>
        </s:is>
      </s:c>
      <s:c r="E234" s="12" t="inlineStr">
        <s:is>
          <s:t>../../2025/jama.2025.24175/.ai_paper_validation/review_1_5_1/verification/evidence_recheck.md</s:t>
        </s:is>
      </s:c>
    </s:row>
    <s:row r="235" ht="90" customFormat="1" customHeight="1" s="8">
      <s:c r="A235" s="11" t="inlineStr">
        <s:is>
          <s:t>2025::jama.2025.24175::C004</s:t>
        </s:is>
      </s:c>
      <s:c r="B235" s="11" t="inlineStr">
        <s:is>
          <s:t>sourceLinks</s:t>
        </s:is>
      </s:c>
      <s:c r="C235" s="11" t="n">
        <s:v>0</s:v>
      </s:c>
      <s:c r="D235" s="11" t="inlineStr">
        <s:is>
          <s:t>DOC-002 protocol, PDF p. 9</s:t>
        </s:is>
      </s:c>
      <s:c r="E235" s="11" t="inlineStr">
        <s:is>
          <s:t>../../2025/jama.2025.24175/joi250116supp1_prod_1771885794.26255.pdf#page=9</s:t>
        </s:is>
      </s:c>
    </s:row>
    <s:row r="236" ht="90" customFormat="1" customHeight="1" s="8">
      <s:c r="A236" s="12" t="inlineStr">
        <s:is>
          <s:t>2025::jama.2025.24175::C004</s:t>
        </s:is>
      </s:c>
      <s:c r="B236" s="12" t="inlineStr">
        <s:is>
          <s:t>sourceLinks</s:t>
        </s:is>
      </s:c>
      <s:c r="C236" s="12" t="n">
        <s:v>1</s:v>
      </s:c>
      <s:c r="D236" s="12" t="inlineStr">
        <s:is>
          <s:t>DOC-003 eMethods, PDF p. 13</s:t>
        </s:is>
      </s:c>
      <s:c r="E236" s="12" t="inlineStr">
        <s:is>
          <s:t>../../2025/jama.2025.24175/joi250116supp2_prod_1771885794.27755.pdf#page=13</s:t>
        </s:is>
      </s:c>
    </s:row>
    <s:row r="237" ht="90" customFormat="1" customHeight="1" s="8">
      <s:c r="A237" s="11" t="inlineStr">
        <s:is>
          <s:t>2025::jama.2025.24175::C004</s:t>
        </s:is>
      </s:c>
      <s:c r="B237" s="11" t="inlineStr">
        <s:is>
          <s:t>sourceLinks</s:t>
        </s:is>
      </s:c>
      <s:c r="C237" s="11" t="n">
        <s:v>2</s:v>
      </s:c>
      <s:c r="D237" s="11" t="inlineStr">
        <s:is>
          <s:t>DOC-002 SAP reversal definition, PDF p. 69</s:t>
        </s:is>
      </s:c>
      <s:c r="E237" s="11" t="inlineStr">
        <s:is>
          <s:t>../../2025/jama.2025.24175/joi250116supp1_prod_1771885794.26255.pdf#page=69</s:t>
        </s:is>
      </s:c>
    </s:row>
    <s:row r="238" ht="90" customFormat="1" customHeight="1" s="8">
      <s:c r="A238" s="12" t="inlineStr">
        <s:is>
          <s:t>2025::jama.2025.24175::C004</s:t>
        </s:is>
      </s:c>
      <s:c r="B238" s="12" t="inlineStr">
        <s:is>
          <s:t>evidencePaths</s:t>
        </s:is>
      </s:c>
      <s:c r="C238" s="12" t="n">
        <s:v>0</s:v>
      </s:c>
      <s:c r="D238" s="12" t="inlineStr">
        <s:is>
          <s:t>2025/jama.2025.24175/.ai_paper_validation/review_1_5_1/verification/evidence_recheck.md</s:t>
        </s:is>
      </s:c>
      <s:c r="E238" s="12" t="inlineStr">
        <s:is>
          <s:t>../../2025/jama.2025.24175/.ai_paper_validation/review_1_5_1/verification/evidence_recheck.md</s:t>
        </s:is>
      </s:c>
    </s:row>
    <s:row r="239" ht="90" customFormat="1" customHeight="1" s="8">
      <s:c r="A239" s="11" t="inlineStr">
        <s:is>
          <s:t>2025::jama.2025.24175::C005</s:t>
        </s:is>
      </s:c>
      <s:c r="B239" s="11" t="inlineStr">
        <s:is>
          <s:t>sourceLinks</s:t>
        </s:is>
      </s:c>
      <s:c r="C239" s="11" t="n">
        <s:v>0</s:v>
      </s:c>
      <s:c r="D239" s="11" t="inlineStr">
        <s:is>
          <s:t>DOC-002 protocol, PDF p. 25</s:t>
        </s:is>
      </s:c>
      <s:c r="E239" s="11" t="inlineStr">
        <s:is>
          <s:t>../../2025/jama.2025.24175/joi250116supp1_prod_1771885794.26255.pdf#page=25</s:t>
        </s:is>
      </s:c>
    </s:row>
    <s:row r="240" ht="90" customFormat="1" customHeight="1" s="8">
      <s:c r="A240" s="12" t="inlineStr">
        <s:is>
          <s:t>2025::jama.2025.24175::C005</s:t>
        </s:is>
      </s:c>
      <s:c r="B240" s="12" t="inlineStr">
        <s:is>
          <s:t>sourceLinks</s:t>
        </s:is>
      </s:c>
      <s:c r="C240" s="12" t="n">
        <s:v>1</s:v>
      </s:c>
      <s:c r="D240" s="12" t="inlineStr">
        <s:is>
          <s:t>PDF p. 26</s:t>
        </s:is>
      </s:c>
      <s:c r="E240" s="12" t="inlineStr">
        <s:is>
          <s:t>../../2025/jama.2025.24175/joi250116supp1_prod_1771885794.26255.pdf#page=26</s:t>
        </s:is>
      </s:c>
    </s:row>
    <s:row r="241" ht="90" customFormat="1" customHeight="1" s="8">
      <s:c r="A241" s="11" t="inlineStr">
        <s:is>
          <s:t>2025::jama.2025.24175::C005</s:t>
        </s:is>
      </s:c>
      <s:c r="B241" s="11" t="inlineStr">
        <s:is>
          <s:t>evidencePaths</s:t>
        </s:is>
      </s:c>
      <s:c r="C241" s="11" t="n">
        <s:v>0</s:v>
      </s:c>
      <s:c r="D241" s="11" t="inlineStr">
        <s:is>
          <s:t>2025/jama.2025.24175/.ai_paper_validation/review_1_5_1/verification/evidence_recheck.md</s:t>
        </s:is>
      </s:c>
      <s:c r="E241" s="11" t="inlineStr">
        <s:is>
          <s:t>../../2025/jama.2025.24175/.ai_paper_validation/review_1_5_1/verification/evidence_recheck.md</s:t>
        </s:is>
      </s:c>
    </s:row>
    <s:row r="242" ht="90" customFormat="1" customHeight="1" s="8">
      <s:c r="A242" s="12" t="inlineStr">
        <s:is>
          <s:t>2025::jama.2025.24175::C006</s:t>
        </s:is>
      </s:c>
      <s:c r="B242" s="12" t="inlineStr">
        <s:is>
          <s:t>sourceLinks</s:t>
        </s:is>
      </s:c>
      <s:c r="C242" s="12" t="n">
        <s:v>0</s:v>
      </s:c>
      <s:c r="D242" s="12" t="inlineStr">
        <s:is>
          <s:t>DOC-002 narrative, PDF p. 41</s:t>
        </s:is>
      </s:c>
      <s:c r="E242" s="12" t="inlineStr">
        <s:is>
          <s:t>../../2025/jama.2025.24175/joi250116supp1_prod_1771885794.26255.pdf#page=41</s:t>
        </s:is>
      </s:c>
    </s:row>
    <s:row r="243" ht="90" customFormat="1" customHeight="1" s="8">
      <s:c r="A243" s="11" t="inlineStr">
        <s:is>
          <s:t>2025::jama.2025.24175::C006</s:t>
        </s:is>
      </s:c>
      <s:c r="B243" s="11" t="inlineStr">
        <s:is>
          <s:t>sourceLinks</s:t>
        </s:is>
      </s:c>
      <s:c r="C243" s="11" t="n">
        <s:v>1</s:v>
      </s:c>
      <s:c r="D243" s="11" t="inlineStr">
        <s:is>
          <s:t>DOC-002 Figure 1, PDF p. 50</s:t>
        </s:is>
      </s:c>
      <s:c r="E243" s="11" t="inlineStr">
        <s:is>
          <s:t>../../2025/jama.2025.24175/joi250116supp1_prod_1771885794.26255.pdf#page=50</s:t>
        </s:is>
      </s:c>
    </s:row>
    <s:row r="244" ht="90" customFormat="1" customHeight="1" s="8">
      <s:c r="A244" s="12" t="inlineStr">
        <s:is>
          <s:t>2025::jama.2025.24175::C006</s:t>
        </s:is>
      </s:c>
      <s:c r="B244" s="12" t="inlineStr">
        <s:is>
          <s:t>evidencePaths</s:t>
        </s:is>
      </s:c>
      <s:c r="C244" s="12" t="n">
        <s:v>0</s:v>
      </s:c>
      <s:c r="D244" s="12" t="inlineStr">
        <s:is>
          <s:t>2025/jama.2025.24175/.ai_paper_validation/review_1_5_1/verification/evidence_recheck.md</s:t>
        </s:is>
      </s:c>
      <s:c r="E244" s="12" t="inlineStr">
        <s:is>
          <s:t>../../2025/jama.2025.24175/.ai_paper_validation/review_1_5_1/verification/evidence_recheck.md</s:t>
        </s:is>
      </s:c>
    </s:row>
    <s:row r="245" ht="90" customFormat="1" customHeight="1" s="8">
      <s:c r="A245" s="11" t="inlineStr">
        <s:is>
          <s:t>2025::jama.2025.24175::C006</s:t>
        </s:is>
      </s:c>
      <s:c r="B245" s="11" t="inlineStr">
        <s:is>
          <s:t>evidencePaths</s:t>
        </s:is>
      </s:c>
      <s:c r="C245" s="11" t="n">
        <s:v>1</s:v>
      </s:c>
      <s:c r="D245" s="11" t="inlineStr">
        <s:is>
          <s:t>2025/jama.2025.24175/.ai_paper_validation/review_1_5_1/extraction/support_quantitative_evidence.md</s:t>
        </s:is>
      </s:c>
      <s:c r="E245" s="11" t="inlineStr">
        <s:is>
          <s:t>../../2025/jama.2025.24175/.ai_paper_validation/review_1_5_1/extraction/support_quantitative_evidence.md</s:t>
        </s:is>
      </s:c>
    </s:row>
    <s:row r="246" ht="90" customFormat="1" customHeight="1" s="8">
      <s:c r="A246" s="12" t="inlineStr">
        <s:is>
          <s:t>2025::jama.2025.24175::C006</s:t>
        </s:is>
      </s:c>
      <s:c r="B246" s="12" t="inlineStr">
        <s:is>
          <s:t>evidencePaths</s:t>
        </s:is>
      </s:c>
      <s:c r="C246" s="12" t="n">
        <s:v>2</s:v>
      </s:c>
      <s:c r="D246" s="12" t="inlineStr">
        <s:is>
          <s:t>2025/jama.2025.24175/.ai_paper_validation/review_1_5_1/parts/mapping/doc002_pp033_064.md</s:t>
        </s:is>
      </s:c>
      <s:c r="E246" s="12" t="inlineStr">
        <s:is>
          <s:t>../../2025/jama.2025.24175/.ai_paper_validation/review_1_5_1/parts/mapping/doc002_pp033_064.md</s:t>
        </s:is>
      </s:c>
    </s:row>
    <s:row r="247" ht="90" customFormat="1" customHeight="1" s="8">
      <s:c r="A247" s="11" t="inlineStr">
        <s:is>
          <s:t>2025::jama.2025.24175::C006</s:t>
        </s:is>
      </s:c>
      <s:c r="B247" s="11" t="inlineStr">
        <s:is>
          <s:t>evidencePaths</s:t>
        </s:is>
      </s:c>
      <s:c r="C247" s="11" t="n">
        <s:v>3</s:v>
      </s:c>
      <s:c r="D247" s="11" t="inlineStr">
        <s:is>
          <s:t>2025/jama.2025.24175/.ai_paper_validation/review_1_5_1/preprocessing/DOC-002/pp033_064/low-36.png</s:t>
        </s:is>
      </s:c>
      <s:c r="E247" s="11" t="inlineStr">
        <s:is>
          <s:t>../../2025/jama.2025.24175/.ai_paper_validation/review_1_5_1/preprocessing/DOC-002/pp033_064/low-36.png</s:t>
        </s:is>
      </s:c>
    </s:row>
    <s:row r="248" ht="90" customFormat="1" customHeight="1" s="8">
      <s:c r="A248" s="12" t="inlineStr">
        <s:is>
          <s:t>2025::jama.2025.24175::C007</s:t>
        </s:is>
      </s:c>
      <s:c r="B248" s="12" t="inlineStr">
        <s:is>
          <s:t>sourceLinks</s:t>
        </s:is>
      </s:c>
      <s:c r="C248" s="12" t="n">
        <s:v>0</s:v>
      </s:c>
      <s:c r="D248" s="12" t="inlineStr">
        <s:is>
          <s:t>DOC-002 Table 2, PDF p. 48</s:t>
        </s:is>
      </s:c>
      <s:c r="E248" s="12" t="inlineStr">
        <s:is>
          <s:t>../../2025/jama.2025.24175/joi250116supp1_prod_1771885794.26255.pdf#page=48</s:t>
        </s:is>
      </s:c>
    </s:row>
    <s:row r="249" ht="90" customFormat="1" customHeight="1" s="8">
      <s:c r="A249" s="11" t="inlineStr">
        <s:is>
          <s:t>2025::jama.2025.24175::C007</s:t>
        </s:is>
      </s:c>
      <s:c r="B249" s="11" t="inlineStr">
        <s:is>
          <s:t>evidencePaths</s:t>
        </s:is>
      </s:c>
      <s:c r="C249" s="11" t="n">
        <s:v>0</s:v>
      </s:c>
      <s:c r="D249" s="11" t="inlineStr">
        <s:is>
          <s:t>2025/jama.2025.24175/.ai_paper_validation/review_1_5_1/verification/evidence_recheck.md</s:t>
        </s:is>
      </s:c>
      <s:c r="E249" s="11" t="inlineStr">
        <s:is>
          <s:t>../../2025/jama.2025.24175/.ai_paper_validation/review_1_5_1/verification/evidence_recheck.md</s:t>
        </s:is>
      </s:c>
    </s:row>
    <s:row r="250" ht="90" customFormat="1" customHeight="1" s="8">
      <s:c r="A250" s="12" t="inlineStr">
        <s:is>
          <s:t>2025::jama.2025.24175::C007</s:t>
        </s:is>
      </s:c>
      <s:c r="B250" s="12" t="inlineStr">
        <s:is>
          <s:t>evidencePaths</s:t>
        </s:is>
      </s:c>
      <s:c r="C250" s="12" t="n">
        <s:v>1</s:v>
      </s:c>
      <s:c r="D250" s="12" t="inlineStr">
        <s:is>
          <s:t>2025/jama.2025.24175/.ai_paper_validation/review_1_5_1/extraction/support_quantitative_evidence.md</s:t>
        </s:is>
      </s:c>
      <s:c r="E250" s="12" t="inlineStr">
        <s:is>
          <s:t>../../2025/jama.2025.24175/.ai_paper_validation/review_1_5_1/extraction/support_quantitative_evidence.md</s:t>
        </s:is>
      </s:c>
    </s:row>
    <s:row r="251" ht="90" customFormat="1" customHeight="1" s="8">
      <s:c r="A251" s="11" t="inlineStr">
        <s:is>
          <s:t>2025::jama.2025.24175::C007</s:t>
        </s:is>
      </s:c>
      <s:c r="B251" s="11" t="inlineStr">
        <s:is>
          <s:t>evidencePaths</s:t>
        </s:is>
      </s:c>
      <s:c r="C251" s="11" t="n">
        <s:v>2</s:v>
      </s:c>
      <s:c r="D251" s="11" t="inlineStr">
        <s:is>
          <s:t>2025/jama.2025.24175/.ai_paper_validation/review_1_5_1/parts/mapping/doc002_pp033_064.md</s:t>
        </s:is>
      </s:c>
      <s:c r="E251" s="11" t="inlineStr">
        <s:is>
          <s:t>../../2025/jama.2025.24175/.ai_paper_validation/review_1_5_1/parts/mapping/doc002_pp033_064.md</s:t>
        </s:is>
      </s:c>
    </s:row>
    <s:row r="252" ht="90" customFormat="1" customHeight="1" s="8">
      <s:c r="A252" s="12" t="inlineStr">
        <s:is>
          <s:t>2025::jama.2025.24175::C007</s:t>
        </s:is>
      </s:c>
      <s:c r="B252" s="12" t="inlineStr">
        <s:is>
          <s:t>evidencePaths</s:t>
        </s:is>
      </s:c>
      <s:c r="C252" s="12" t="n">
        <s:v>3</s:v>
      </s:c>
      <s:c r="D252" s="12" t="inlineStr">
        <s:is>
          <s:t>2025/jama.2025.24175/.ai_paper_validation/review_1_5_1/preprocessing/DOC-002/pp033_064/low-36.png</s:t>
        </s:is>
      </s:c>
      <s:c r="E252" s="12" t="inlineStr">
        <s:is>
          <s:t>../../2025/jama.2025.24175/.ai_paper_validation/review_1_5_1/preprocessing/DOC-002/pp033_064/low-36.png</s:t>
        </s:is>
      </s:c>
    </s:row>
    <s:row r="253" ht="90" customFormat="1" customHeight="1" s="8">
      <s:c r="A253" s="11" t="inlineStr">
        <s:is>
          <s:t>2025::jama.2025.24175::C008</s:t>
        </s:is>
      </s:c>
      <s:c r="B253" s="11" t="inlineStr">
        <s:is>
          <s:t>sourceLinks</s:t>
        </s:is>
      </s:c>
      <s:c r="C253" s="11" t="n">
        <s:v>0</s:v>
      </s:c>
      <s:c r="D253" s="11" t="inlineStr">
        <s:is>
          <s:t>DOC-002 Figure 1, PDF p. 50</s:t>
        </s:is>
      </s:c>
      <s:c r="E253" s="11" t="inlineStr">
        <s:is>
          <s:t>../../2025/jama.2025.24175/joi250116supp1_prod_1771885794.26255.pdf#page=50</s:t>
        </s:is>
      </s:c>
    </s:row>
    <s:row r="254" ht="90" customFormat="1" customHeight="1" s="8">
      <s:c r="A254" s="12" t="inlineStr">
        <s:is>
          <s:t>2025::jama.2025.24175::C008</s:t>
        </s:is>
      </s:c>
      <s:c r="B254" s="12" t="inlineStr">
        <s:is>
          <s:t>evidencePaths</s:t>
        </s:is>
      </s:c>
      <s:c r="C254" s="12" t="n">
        <s:v>0</s:v>
      </s:c>
      <s:c r="D254" s="12" t="inlineStr">
        <s:is>
          <s:t>2025/jama.2025.24175/.ai_paper_validation/review_1_5_1/verification/evidence_recheck.md</s:t>
        </s:is>
      </s:c>
      <s:c r="E254" s="12" t="inlineStr">
        <s:is>
          <s:t>../../2025/jama.2025.24175/.ai_paper_validation/review_1_5_1/verification/evidence_recheck.md</s:t>
        </s:is>
      </s:c>
    </s:row>
    <s:row r="255" ht="90" customFormat="1" customHeight="1" s="8">
      <s:c r="A255" s="11" t="inlineStr">
        <s:is>
          <s:t>2025::jama.2025.24175::C008</s:t>
        </s:is>
      </s:c>
      <s:c r="B255" s="11" t="inlineStr">
        <s:is>
          <s:t>evidencePaths</s:t>
        </s:is>
      </s:c>
      <s:c r="C255" s="11" t="n">
        <s:v>1</s:v>
      </s:c>
      <s:c r="D255" s="11" t="inlineStr">
        <s:is>
          <s:t>2025/jama.2025.24175/.ai_paper_validation/review_1_5_1/extraction/support_quantitative_evidence.md</s:t>
        </s:is>
      </s:c>
      <s:c r="E255" s="11" t="inlineStr">
        <s:is>
          <s:t>../../2025/jama.2025.24175/.ai_paper_validation/review_1_5_1/extraction/support_quantitative_evidence.md</s:t>
        </s:is>
      </s:c>
    </s:row>
    <s:row r="256" ht="90" customFormat="1" customHeight="1" s="8">
      <s:c r="A256" s="12" t="inlineStr">
        <s:is>
          <s:t>2025::jama.2025.24175::C008</s:t>
        </s:is>
      </s:c>
      <s:c r="B256" s="12" t="inlineStr">
        <s:is>
          <s:t>evidencePaths</s:t>
        </s:is>
      </s:c>
      <s:c r="C256" s="12" t="n">
        <s:v>2</s:v>
      </s:c>
      <s:c r="D256" s="12" t="inlineStr">
        <s:is>
          <s:t>2025/jama.2025.24175/.ai_paper_validation/review_1_5_1/parts/mapping/doc002_pp033_064.md</s:t>
        </s:is>
      </s:c>
      <s:c r="E256" s="12" t="inlineStr">
        <s:is>
          <s:t>../../2025/jama.2025.24175/.ai_paper_validation/review_1_5_1/parts/mapping/doc002_pp033_064.md</s:t>
        </s:is>
      </s:c>
    </s:row>
    <s:row r="257" ht="90" customFormat="1" customHeight="1" s="8">
      <s:c r="A257" s="11" t="inlineStr">
        <s:is>
          <s:t>2025::jama.2025.24175::C008</s:t>
        </s:is>
      </s:c>
      <s:c r="B257" s="11" t="inlineStr">
        <s:is>
          <s:t>evidencePaths</s:t>
        </s:is>
      </s:c>
      <s:c r="C257" s="11" t="n">
        <s:v>3</s:v>
      </s:c>
      <s:c r="D257" s="11" t="inlineStr">
        <s:is>
          <s:t>2025/jama.2025.24175/.ai_paper_validation/review_1_5_1/preprocessing/DOC-002/pp033_064/low-36.png</s:t>
        </s:is>
      </s:c>
      <s:c r="E257" s="11" t="inlineStr">
        <s:is>
          <s:t>../../2025/jama.2025.24175/.ai_paper_validation/review_1_5_1/preprocessing/DOC-002/pp033_064/low-36.png</s:t>
        </s:is>
      </s:c>
    </s:row>
    <s:row r="258" ht="90" customFormat="1" customHeight="1" s="8">
      <s:c r="A258" s="12" t="inlineStr">
        <s:is>
          <s:t>2025::jama.2025.24175::C009</s:t>
        </s:is>
      </s:c>
      <s:c r="B258" s="12" t="inlineStr">
        <s:is>
          <s:t>sourceLinks</s:t>
        </s:is>
      </s:c>
      <s:c r="C258" s="12" t="n">
        <s:v>0</s:v>
      </s:c>
      <s:c r="D258" s="12" t="inlineStr">
        <s:is>
          <s:t>DOC-001 report, PDF p. 2</s:t>
        </s:is>
      </s:c>
      <s:c r="E258" s="12" t="inlineStr">
        <s:is>
          <s:t>../../2025/jama.2025.24175/jama_giamarellosbourboulis_2025_oi_250116_1771885794.23757.pdf#page=2</s:t>
        </s:is>
      </s:c>
    </s:row>
    <s:row r="259" ht="90" customFormat="1" customHeight="1" s="8">
      <s:c r="A259" s="11" t="inlineStr">
        <s:is>
          <s:t>2025::jama.2025.24175::C009</s:t>
        </s:is>
      </s:c>
      <s:c r="B259" s="11" t="inlineStr">
        <s:is>
          <s:t>sourceLinks</s:t>
        </s:is>
      </s:c>
      <s:c r="C259" s="11" t="n">
        <s:v>1</s:v>
      </s:c>
      <s:c r="D259" s="11" t="inlineStr">
        <s:is>
          <s:t>DOC-002 protocol, PDF p. 10</s:t>
        </s:is>
      </s:c>
      <s:c r="E259" s="11" t="inlineStr">
        <s:is>
          <s:t>../../2025/jama.2025.24175/joi250116supp1_prod_1771885794.26255.pdf#page=10</s:t>
        </s:is>
      </s:c>
    </s:row>
    <s:row r="260" ht="90" customFormat="1" customHeight="1" s="8">
      <s:c r="A260" s="12" t="inlineStr">
        <s:is>
          <s:t>2025::jama.2025.24175::C009</s:t>
        </s:is>
      </s:c>
      <s:c r="B260" s="12" t="inlineStr">
        <s:is>
          <s:t>sourceLinks</s:t>
        </s:is>
      </s:c>
      <s:c r="C260" s="12" t="n">
        <s:v>2</s:v>
      </s:c>
      <s:c r="D260" s="12" t="inlineStr">
        <s:is>
          <s:t>DOC-002 SAP, PDF p. 65</s:t>
        </s:is>
      </s:c>
      <s:c r="E260" s="12" t="inlineStr">
        <s:is>
          <s:t>../../2025/jama.2025.24175/joi250116supp1_prod_1771885794.26255.pdf#page=65</s:t>
        </s:is>
      </s:c>
    </s:row>
    <s:row r="261" ht="90" customFormat="1" customHeight="1" s="8">
      <s:c r="A261" s="11" t="inlineStr">
        <s:is>
          <s:t>2025::jama.2025.24175::C009</s:t>
        </s:is>
      </s:c>
      <s:c r="B261" s="11" t="inlineStr">
        <s:is>
          <s:t>sourceLinks</s:t>
        </s:is>
      </s:c>
      <s:c r="C261" s="11" t="n">
        <s:v>3</s:v>
      </s:c>
      <s:c r="D261" s="11" t="inlineStr">
        <s:is>
          <s:t>PDF p. 67</s:t>
        </s:is>
      </s:c>
      <s:c r="E261" s="11" t="inlineStr">
        <s:is>
          <s:t>../../2025/jama.2025.24175/joi250116supp1_prod_1771885794.26255.pdf#page=67</s:t>
        </s:is>
      </s:c>
    </s:row>
    <s:row r="262" ht="90" customFormat="1" customHeight="1" s="8">
      <s:c r="A262" s="12" t="inlineStr">
        <s:is>
          <s:t>2025::jama.2025.24175::C009</s:t>
        </s:is>
      </s:c>
      <s:c r="B262" s="12" t="inlineStr">
        <s:is>
          <s:t>evidencePaths</s:t>
        </s:is>
      </s:c>
      <s:c r="C262" s="12" t="n">
        <s:v>0</s:v>
      </s:c>
      <s:c r="D262" s="12" t="inlineStr">
        <s:is>
          <s:t>2025/jama.2025.24175/.ai_paper_validation/review_1_5_1/verification/evidence_recheck.md</s:t>
        </s:is>
      </s:c>
      <s:c r="E262" s="12" t="inlineStr">
        <s:is>
          <s:t>../../2025/jama.2025.24175/.ai_paper_validation/review_1_5_1/verification/evidence_recheck.md</s:t>
        </s:is>
      </s:c>
    </s:row>
    <s:row r="263" ht="90" customFormat="1" customHeight="1" s="8">
      <s:c r="A263" s="11" t="inlineStr">
        <s:is>
          <s:t>2025::jama.2025.24175::C010</s:t>
        </s:is>
      </s:c>
      <s:c r="B263" s="11" t="inlineStr">
        <s:is>
          <s:t>sourceLinks</s:t>
        </s:is>
      </s:c>
      <s:c r="C263" s="11" t="n">
        <s:v>0</s:v>
      </s:c>
      <s:c r="D263" s="11" t="inlineStr">
        <s:is>
          <s:t>DOC-002 Figure 2C, PDF p. 51</s:t>
        </s:is>
      </s:c>
      <s:c r="E263" s="11" t="inlineStr">
        <s:is>
          <s:t>../../2025/jama.2025.24175/joi250116supp1_prod_1771885794.26255.pdf#page=51</s:t>
        </s:is>
      </s:c>
    </s:row>
    <s:row r="264" ht="90" customFormat="1" customHeight="1" s="8">
      <s:c r="A264" s="12" t="inlineStr">
        <s:is>
          <s:t>2025::jama.2025.24175::C010</s:t>
        </s:is>
      </s:c>
      <s:c r="B264" s="12" t="inlineStr">
        <s:is>
          <s:t>sourceLinks</s:t>
        </s:is>
      </s:c>
      <s:c r="C264" s="12" t="n">
        <s:v>1</s:v>
      </s:c>
      <s:c r="D264" s="12" t="inlineStr">
        <s:is>
          <s:t>DOC-002 Figure 3, PDF p. 52</s:t>
        </s:is>
      </s:c>
      <s:c r="E264" s="12" t="inlineStr">
        <s:is>
          <s:t>../../2025/jama.2025.24175/joi250116supp1_prod_1771885794.26255.pdf#page=52</s:t>
        </s:is>
      </s:c>
    </s:row>
    <s:row r="265" ht="90" customFormat="1" customHeight="1" s="8">
      <s:c r="A265" s="11" t="inlineStr">
        <s:is>
          <s:t>2025::jama.2025.24175::C010</s:t>
        </s:is>
      </s:c>
      <s:c r="B265" s="11" t="inlineStr">
        <s:is>
          <s:t>evidencePaths</s:t>
        </s:is>
      </s:c>
      <s:c r="C265" s="11" t="n">
        <s:v>0</s:v>
      </s:c>
      <s:c r="D265" s="11" t="inlineStr">
        <s:is>
          <s:t>2025/jama.2025.24175/.ai_paper_validation/review_1_5_1/verification/evidence_recheck.md</s:t>
        </s:is>
      </s:c>
      <s:c r="E265" s="11" t="inlineStr">
        <s:is>
          <s:t>../../2025/jama.2025.24175/.ai_paper_validation/review_1_5_1/verification/evidence_recheck.md</s:t>
        </s:is>
      </s:c>
    </s:row>
    <s:row r="266" ht="90" customFormat="1" customHeight="1" s="8">
      <s:c r="A266" s="12" t="inlineStr">
        <s:is>
          <s:t>2025::jama.2025.24175::C010</s:t>
        </s:is>
      </s:c>
      <s:c r="B266" s="12" t="inlineStr">
        <s:is>
          <s:t>evidencePaths</s:t>
        </s:is>
      </s:c>
      <s:c r="C266" s="12" t="n">
        <s:v>1</s:v>
      </s:c>
      <s:c r="D266" s="12" t="inlineStr">
        <s:is>
          <s:t>2025/jama.2025.24175/.ai_paper_validation/review_1_5_1/extraction/support_quantitative_evidence.md</s:t>
        </s:is>
      </s:c>
      <s:c r="E266" s="12" t="inlineStr">
        <s:is>
          <s:t>../../2025/jama.2025.24175/.ai_paper_validation/review_1_5_1/extraction/support_quantitative_evidence.md</s:t>
        </s:is>
      </s:c>
    </s:row>
    <s:row r="267" ht="90" customFormat="1" customHeight="1" s="8">
      <s:c r="A267" s="11" t="inlineStr">
        <s:is>
          <s:t>2025::jama.2025.24175::C010</s:t>
        </s:is>
      </s:c>
      <s:c r="B267" s="11" t="inlineStr">
        <s:is>
          <s:t>evidencePaths</s:t>
        </s:is>
      </s:c>
      <s:c r="C267" s="11" t="n">
        <s:v>2</s:v>
      </s:c>
      <s:c r="D267" s="11" t="inlineStr">
        <s:is>
          <s:t>2025/jama.2025.24175/.ai_paper_validation/review_1_5_1/parts/mapping/doc002_pp033_064.md</s:t>
        </s:is>
      </s:c>
      <s:c r="E267" s="11" t="inlineStr">
        <s:is>
          <s:t>../../2025/jama.2025.24175/.ai_paper_validation/review_1_5_1/parts/mapping/doc002_pp033_064.md</s:t>
        </s:is>
      </s:c>
    </s:row>
    <s:row r="268" ht="90" customFormat="1" customHeight="1" s="8">
      <s:c r="A268" s="12" t="inlineStr">
        <s:is>
          <s:t>2025::jama.2025.24175::C010</s:t>
        </s:is>
      </s:c>
      <s:c r="B268" s="12" t="inlineStr">
        <s:is>
          <s:t>evidencePaths</s:t>
        </s:is>
      </s:c>
      <s:c r="C268" s="12" t="n">
        <s:v>3</s:v>
      </s:c>
      <s:c r="D268" s="12" t="inlineStr">
        <s:is>
          <s:t>2025/jama.2025.24175/.ai_paper_validation/review_1_5_1/preprocessing/DOC-002/pp033_064/low-36.png</s:t>
        </s:is>
      </s:c>
      <s:c r="E268" s="12" t="inlineStr">
        <s:is>
          <s:t>../../2025/jama.2025.24175/.ai_paper_validation/review_1_5_1/preprocessing/DOC-002/pp033_064/low-36.png</s:t>
        </s:is>
      </s:c>
    </s:row>
    <s:row r="269" ht="90" customFormat="1" customHeight="1" s="8">
      <s:c r="A269" s="11" t="inlineStr">
        <s:is>
          <s:t>2025::jama.2025.24175::C011</s:t>
        </s:is>
      </s:c>
      <s:c r="B269" s="11" t="inlineStr">
        <s:is>
          <s:t>sourceLinks</s:t>
        </s:is>
      </s:c>
      <s:c r="C269" s="11" t="n">
        <s:v>0</s:v>
      </s:c>
      <s:c r="D269" s="11" t="inlineStr">
        <s:is>
          <s:t>DOC-003 eTable 10, PDF p. 22</s:t>
        </s:is>
      </s:c>
      <s:c r="E269" s="11" t="inlineStr">
        <s:is>
          <s:t>../../2025/jama.2025.24175/joi250116supp2_prod_1771885794.27755.pdf#page=22</s:t>
        </s:is>
      </s:c>
    </s:row>
    <s:row r="270" ht="90" customFormat="1" customHeight="1" s="8">
      <s:c r="A270" s="12" t="inlineStr">
        <s:is>
          <s:t>2025::jama.2025.24175::C011</s:t>
        </s:is>
      </s:c>
      <s:c r="B270" s="12" t="inlineStr">
        <s:is>
          <s:t>evidencePaths</s:t>
        </s:is>
      </s:c>
      <s:c r="C270" s="12" t="n">
        <s:v>0</s:v>
      </s:c>
      <s:c r="D270" s="12" t="inlineStr">
        <s:is>
          <s:t>2025/jama.2025.24175/.ai_paper_validation/review_1_5_1/verification/evidence_recheck.md</s:t>
        </s:is>
      </s:c>
      <s:c r="E270" s="12" t="inlineStr">
        <s:is>
          <s:t>../../2025/jama.2025.24175/.ai_paper_validation/review_1_5_1/verification/evidence_recheck.md</s:t>
        </s:is>
      </s:c>
    </s:row>
    <s:row r="271" ht="90" customFormat="1" customHeight="1" s="8">
      <s:c r="A271" s="11" t="inlineStr">
        <s:is>
          <s:t>2025::jama.2025.24175::C012</s:t>
        </s:is>
      </s:c>
      <s:c r="B271" s="11" t="inlineStr">
        <s:is>
          <s:t>sourceLinks</s:t>
        </s:is>
      </s:c>
      <s:c r="C271" s="11" t="n">
        <s:v>0</s:v>
      </s:c>
      <s:c r="D271" s="11" t="inlineStr">
        <s:is>
          <s:t>DOC-003 eFigure 7B, PDF p. 51</s:t>
        </s:is>
      </s:c>
      <s:c r="E271" s="11" t="inlineStr">
        <s:is>
          <s:t>../../2025/jama.2025.24175/joi250116supp2_prod_1771885794.27755.pdf#page=51</s:t>
        </s:is>
      </s:c>
    </s:row>
    <s:row r="272" ht="90" customFormat="1" customHeight="1" s="8">
      <s:c r="A272" s="12" t="inlineStr">
        <s:is>
          <s:t>2025::jama.2025.24175::C012</s:t>
        </s:is>
      </s:c>
      <s:c r="B272" s="12" t="inlineStr">
        <s:is>
          <s:t>sourceLinks</s:t>
        </s:is>
      </s:c>
      <s:c r="C272" s="12" t="n">
        <s:v>1</s:v>
      </s:c>
      <s:c r="D272" s="12" t="inlineStr">
        <s:is>
          <s:t>DOC-003 eFigure 8B, PDF p. 52</s:t>
        </s:is>
      </s:c>
      <s:c r="E272" s="12" t="inlineStr">
        <s:is>
          <s:t>../../2025/jama.2025.24175/joi250116supp2_prod_1771885794.27755.pdf#page=52</s:t>
        </s:is>
      </s:c>
    </s:row>
    <s:row r="273" ht="90" customFormat="1" customHeight="1" s="8">
      <s:c r="A273" s="11" t="inlineStr">
        <s:is>
          <s:t>2025::jama.2025.24175::C012</s:t>
        </s:is>
      </s:c>
      <s:c r="B273" s="11" t="inlineStr">
        <s:is>
          <s:t>evidencePaths</s:t>
        </s:is>
      </s:c>
      <s:c r="C273" s="11" t="n">
        <s:v>0</s:v>
      </s:c>
      <s:c r="D273" s="11" t="inlineStr">
        <s:is>
          <s:t>2025/jama.2025.24175/.ai_paper_validation/review_1_5_1/verification/evidence_recheck.md</s:t>
        </s:is>
      </s:c>
      <s:c r="E273" s="11" t="inlineStr">
        <s:is>
          <s:t>../../2025/jama.2025.24175/.ai_paper_validation/review_1_5_1/verification/evidence_recheck.md</s:t>
        </s:is>
      </s:c>
    </s:row>
    <s:row r="274" ht="90" customFormat="1" customHeight="1" s="8">
      <s:c r="A274" s="12" t="inlineStr">
        <s:is>
          <s:t>2025::jama.2025.24175::C013</s:t>
        </s:is>
      </s:c>
      <s:c r="B274" s="12" t="inlineStr">
        <s:is>
          <s:t>sourceLinks</s:t>
        </s:is>
      </s:c>
      <s:c r="C274" s="12" t="n">
        <s:v>0</s:v>
      </s:c>
      <s:c r="D274" s="12" t="inlineStr">
        <s:is>
          <s:t>DOC-003 eFigure 9B, PDF p. 53</s:t>
        </s:is>
      </s:c>
      <s:c r="E274" s="12" t="inlineStr">
        <s:is>
          <s:t>../../2025/jama.2025.24175/joi250116supp2_prod_1771885794.27755.pdf#page=53</s:t>
        </s:is>
      </s:c>
    </s:row>
    <s:row r="275" ht="90" customFormat="1" customHeight="1" s="8">
      <s:c r="A275" s="11" t="inlineStr">
        <s:is>
          <s:t>2025::jama.2025.24175::C013</s:t>
        </s:is>
      </s:c>
      <s:c r="B275" s="11" t="inlineStr">
        <s:is>
          <s:t>evidencePaths</s:t>
        </s:is>
      </s:c>
      <s:c r="C275" s="11" t="n">
        <s:v>0</s:v>
      </s:c>
      <s:c r="D275" s="11" t="inlineStr">
        <s:is>
          <s:t>2025/jama.2025.24175/.ai_paper_validation/review_1_5_1/verification/evidence_recheck.md</s:t>
        </s:is>
      </s:c>
      <s:c r="E275" s="11" t="inlineStr">
        <s:is>
          <s:t>../../2025/jama.2025.24175/.ai_paper_validation/review_1_5_1/verification/evidence_recheck.md</s:t>
        </s:is>
      </s:c>
    </s:row>
    <s:row r="276" ht="90" customFormat="1" customHeight="1" s="8">
      <s:c r="A276" s="12" t="inlineStr">
        <s:is>
          <s:t>2025::jama.2025.24175::C014</s:t>
        </s:is>
      </s:c>
      <s:c r="B276" s="12" t="inlineStr">
        <s:is>
          <s:t>sourceLinks</s:t>
        </s:is>
      </s:c>
      <s:c r="C276" s="12" t="n">
        <s:v>0</s:v>
      </s:c>
      <s:c r="D276" s="12" t="inlineStr">
        <s:is>
          <s:t>DOC-002 actual mortality sentence, PDF p. 41</s:t>
        </s:is>
      </s:c>
      <s:c r="E276" s="12" t="inlineStr">
        <s:is>
          <s:t>../../2025/jama.2025.24175/joi250116supp1_prod_1771885794.26255.pdf#page=41</s:t>
        </s:is>
      </s:c>
    </s:row>
    <s:row r="277" ht="90" customFormat="1" customHeight="1" s="8">
      <s:c r="A277" s="11" t="inlineStr">
        <s:is>
          <s:t>2025::jama.2025.24175::C014</s:t>
        </s:is>
      </s:c>
      <s:c r="B277" s="11" t="inlineStr">
        <s:is>
          <s:t>sourceLinks</s:t>
        </s:is>
      </s:c>
      <s:c r="C277" s="11" t="n">
        <s:v>1</s:v>
      </s:c>
      <s:c r="D277" s="11" t="inlineStr">
        <s:is>
          <s:t>Discussion, PDF p. 42</s:t>
        </s:is>
      </s:c>
      <s:c r="E277" s="11" t="inlineStr">
        <s:is>
          <s:t>../../2025/jama.2025.24175/joi250116supp1_prod_1771885794.26255.pdf#page=42</s:t>
        </s:is>
      </s:c>
    </s:row>
    <s:row r="278" ht="90" customFormat="1" customHeight="1" s="8">
      <s:c r="A278" s="12" t="inlineStr">
        <s:is>
          <s:t>2025::jama.2025.24175::C014</s:t>
        </s:is>
      </s:c>
      <s:c r="B278" s="12" t="inlineStr">
        <s:is>
          <s:t>sourceLinks</s:t>
        </s:is>
      </s:c>
      <s:c r="C278" s="12" t="n">
        <s:v>2</s:v>
      </s:c>
      <s:c r="D278" s="12" t="inlineStr">
        <s:is>
          <s:t>Table 2, PDF p. 48</s:t>
        </s:is>
      </s:c>
      <s:c r="E278" s="12" t="inlineStr">
        <s:is>
          <s:t>../../2025/jama.2025.24175/joi250116supp1_prod_1771885794.26255.pdf#page=48</s:t>
        </s:is>
      </s:c>
    </s:row>
    <s:row r="279" ht="90" customFormat="1" customHeight="1" s="8">
      <s:c r="A279" s="11" t="inlineStr">
        <s:is>
          <s:t>2025::jama.2025.24175::C014</s:t>
        </s:is>
      </s:c>
      <s:c r="B279" s="11" t="inlineStr">
        <s:is>
          <s:t>sourceLinks</s:t>
        </s:is>
      </s:c>
      <s:c r="C279" s="11" t="n">
        <s:v>3</s:v>
      </s:c>
      <s:c r="D279" s="11" t="inlineStr">
        <s:is>
          <s:t>Figure 1, PDF p. 50</s:t>
        </s:is>
      </s:c>
      <s:c r="E279" s="11" t="inlineStr">
        <s:is>
          <s:t>../../2025/jama.2025.24175/joi250116supp1_prod_1771885794.26255.pdf#page=50</s:t>
        </s:is>
      </s:c>
    </s:row>
    <s:row r="280" ht="90" customFormat="1" customHeight="1" s="8">
      <s:c r="A280" s="12" t="inlineStr">
        <s:is>
          <s:t>2025::jama.2025.24175::C014</s:t>
        </s:is>
      </s:c>
      <s:c r="B280" s="12" t="inlineStr">
        <s:is>
          <s:t>evidencePaths</s:t>
        </s:is>
      </s:c>
      <s:c r="C280" s="12" t="n">
        <s:v>0</s:v>
      </s:c>
      <s:c r="D280" s="12" t="inlineStr">
        <s:is>
          <s:t>2025/jama.2025.24175/.ai_paper_validation/review_1_5_1/verification/evidence_recheck.md</s:t>
        </s:is>
      </s:c>
      <s:c r="E280" s="12" t="inlineStr">
        <s:is>
          <s:t>../../2025/jama.2025.24175/.ai_paper_validation/review_1_5_1/verification/evidence_recheck.md</s:t>
        </s:is>
      </s:c>
    </s:row>
    <s:row r="281" ht="90" customFormat="1" customHeight="1" s="8">
      <s:c r="A281" s="11" t="inlineStr">
        <s:is>
          <s:t>2025::jama.2025.24175::C014</s:t>
        </s:is>
      </s:c>
      <s:c r="B281" s="11" t="inlineStr">
        <s:is>
          <s:t>evidencePaths</s:t>
        </s:is>
      </s:c>
      <s:c r="C281" s="11" t="n">
        <s:v>1</s:v>
      </s:c>
      <s:c r="D281" s="11" t="inlineStr">
        <s:is>
          <s:t>2025/jama.2025.24175/.ai_paper_validation/review_1_5_1/extraction/support_quantitative_evidence.md</s:t>
        </s:is>
      </s:c>
      <s:c r="E281" s="11" t="inlineStr">
        <s:is>
          <s:t>../../2025/jama.2025.24175/.ai_paper_validation/review_1_5_1/extraction/support_quantitative_evidence.md</s:t>
        </s:is>
      </s:c>
    </s:row>
    <s:row r="282" ht="90" customFormat="1" customHeight="1" s="8">
      <s:c r="A282" s="12" t="inlineStr">
        <s:is>
          <s:t>2025::jama.2025.24175::C014</s:t>
        </s:is>
      </s:c>
      <s:c r="B282" s="12" t="inlineStr">
        <s:is>
          <s:t>evidencePaths</s:t>
        </s:is>
      </s:c>
      <s:c r="C282" s="12" t="n">
        <s:v>2</s:v>
      </s:c>
      <s:c r="D282" s="12" t="inlineStr">
        <s:is>
          <s:t>2025/jama.2025.24175/.ai_paper_validation/review_1_5_1/parts/mapping/doc002_pp033_064.md</s:t>
        </s:is>
      </s:c>
      <s:c r="E282" s="12" t="inlineStr">
        <s:is>
          <s:t>../../2025/jama.2025.24175/.ai_paper_validation/review_1_5_1/parts/mapping/doc002_pp033_064.md</s:t>
        </s:is>
      </s:c>
    </s:row>
    <s:row r="283" ht="90" customFormat="1" customHeight="1" s="8">
      <s:c r="A283" s="11" t="inlineStr">
        <s:is>
          <s:t>2025::jama.2025.24175::C014</s:t>
        </s:is>
      </s:c>
      <s:c r="B283" s="11" t="inlineStr">
        <s:is>
          <s:t>evidencePaths</s:t>
        </s:is>
      </s:c>
      <s:c r="C283" s="11" t="n">
        <s:v>3</s:v>
      </s:c>
      <s:c r="D283" s="11" t="inlineStr">
        <s:is>
          <s:t>2025/jama.2025.24175/.ai_paper_validation/review_1_5_1/preprocessing/DOC-002/pp033_064/low-36.png</s:t>
        </s:is>
      </s:c>
      <s:c r="E283" s="11" t="inlineStr">
        <s:is>
          <s:t>../../2025/jama.2025.24175/.ai_paper_validation/review_1_5_1/preprocessing/DOC-002/pp033_064/low-36.png</s:t>
        </s:is>
      </s:c>
    </s:row>
    <s:row r="284" ht="90" customFormat="1" customHeight="1" s="8">
      <s:c r="A284" s="12" t="inlineStr">
        <s:is>
          <s:t>2025::jama.2025.4390::C001</s:t>
        </s:is>
      </s:c>
      <s:c r="B284" s="12" t="inlineStr">
        <s:is>
          <s:t>sourceLinks</s:t>
        </s:is>
      </s:c>
      <s:c r="C284" s="12" t="n">
        <s:v>0</s:v>
      </s:c>
      <s:c r="D284" s="12" t="inlineStr">
        <s:is>
          <s:t>jama_garrison_2025_oi_250019_1749674951.29054.pdf — Figure 3, PDF p. 9</s:t>
        </s:is>
      </s:c>
      <s:c r="E284" s="12" t="inlineStr">
        <s:is>
          <s:t>../../2025/jama.2025.4390/jama_garrison_2025_oi_250019_1749674951.29054.pdf#page=9</s:t>
        </s:is>
      </s:c>
    </s:row>
    <s:row r="285" ht="90" customFormat="1" customHeight="1" s="8">
      <s:c r="A285" s="11" t="inlineStr">
        <s:is>
          <s:t>2025::jama.2025.4390::C001</s:t>
        </s:is>
      </s:c>
      <s:c r="B285" s="11" t="inlineStr">
        <s:is>
          <s:t>sourceLinks</s:t>
        </s:is>
      </s:c>
      <s:c r="C285" s="11" t="n">
        <s:v>1</s:v>
      </s:c>
      <s:c r="D285" s="11" t="inlineStr">
        <s:is>
          <s:t>jama_garrison_2025_oi_250019_1749674951.29054.pdf — Table 2, PDF p. 8</s:t>
        </s:is>
      </s:c>
      <s:c r="E285" s="11" t="inlineStr">
        <s:is>
          <s:t>../../2025/jama.2025.4390/jama_garrison_2025_oi_250019_1749674951.29054.pdf#page=8</s:t>
        </s:is>
      </s:c>
    </s:row>
    <s:row r="286" ht="90" customFormat="1" customHeight="1" s="8">
      <s:c r="A286" s="12" t="inlineStr">
        <s:is>
          <s:t>2025::jama.2025.4390::C001</s:t>
        </s:is>
      </s:c>
      <s:c r="B286" s="12" t="inlineStr">
        <s:is>
          <s:t>sourceLinks</s:t>
        </s:is>
      </s:c>
      <s:c r="C286" s="12" t="n">
        <s:v>2</s:v>
      </s:c>
      <s:c r="D286" s="12" t="inlineStr">
        <s:is>
          <s:t>main article abstract, PDF p. 1</s:t>
        </s:is>
      </s:c>
      <s:c r="E286" s="12" t="inlineStr">
        <s:is>
          <s:t>../../2025/jama.2025.4390/jama_garrison_2025_oi_250019_1749674951.29054.pdf#page=1</s:t>
        </s:is>
      </s:c>
    </s:row>
    <s:row r="287" ht="90" customFormat="1" customHeight="1" s="8">
      <s:c r="A287" s="11" t="inlineStr">
        <s:is>
          <s:t>2025::jama.2025.4390::C001</s:t>
        </s:is>
      </s:c>
      <s:c r="B287" s="11" t="inlineStr">
        <s:is>
          <s:t>sourceLinks</s:t>
        </s:is>
      </s:c>
      <s:c r="C287" s="11" t="n">
        <s:v>3</s:v>
      </s:c>
      <s:c r="D287" s="11" t="inlineStr">
        <s:is>
          <s:t>primary-outcome narrative, PDF p. 6</s:t>
        </s:is>
      </s:c>
      <s:c r="E287" s="11" t="inlineStr">
        <s:is>
          <s:t>../../2025/jama.2025.4390/jama_garrison_2025_oi_250019_1749674951.29054.pdf#page=6</s:t>
        </s:is>
      </s:c>
    </s:row>
    <s:row r="288" ht="90" customFormat="1" customHeight="1" s="8">
      <s:c r="A288" s="12" t="inlineStr">
        <s:is>
          <s:t>2025::jama.2025.4390::C002</s:t>
        </s:is>
      </s:c>
      <s:c r="B288" s="12" t="inlineStr">
        <s:is>
          <s:t>sourceLinks</s:t>
        </s:is>
      </s:c>
      <s:c r="C288" s="12" t="n">
        <s:v>0</s:v>
      </s:c>
      <s:c r="D288" s="12" t="inlineStr">
        <s:is>
          <s:t>joi250019supp3_prod_1749674951.30054.pdf — eFigure 4, PDF p. 26</s:t>
        </s:is>
      </s:c>
      <s:c r="E288" s="12" t="inlineStr">
        <s:is>
          <s:t>../../2025/jama.2025.4390/joi250019supp3_prod_1749674951.30054.pdf#page=26</s:t>
        </s:is>
      </s:c>
    </s:row>
    <s:row r="289" ht="90" customFormat="1" customHeight="1" s="8">
      <s:c r="A289" s="11" t="inlineStr">
        <s:is>
          <s:t>2025::jama.2025.4390::C002</s:t>
        </s:is>
      </s:c>
      <s:c r="B289" s="11" t="inlineStr">
        <s:is>
          <s:t>sourceLinks</s:t>
        </s:is>
      </s:c>
      <s:c r="C289" s="11" t="n">
        <s:v>1</s:v>
      </s:c>
      <s:c r="D289" s="11" t="inlineStr">
        <s:is>
          <s:t>joi250019supp3_prod_1749674951.30054.pdf — eTable 6, PDF p. 42</s:t>
        </s:is>
      </s:c>
      <s:c r="E289" s="11" t="inlineStr">
        <s:is>
          <s:t>../../2025/jama.2025.4390/joi250019supp3_prod_1749674951.30054.pdf#page=42</s:t>
        </s:is>
      </s:c>
    </s:row>
    <s:row r="290" ht="90" customFormat="1" customHeight="1" s="8">
      <s:c r="A290" s="12" t="inlineStr">
        <s:is>
          <s:t>2025::jama.2025.4390::C002</s:t>
        </s:is>
      </s:c>
      <s:c r="B290" s="12" t="inlineStr">
        <s:is>
          <s:t>sourceLinks</s:t>
        </s:is>
      </s:c>
      <s:c r="C290" s="12" t="n">
        <s:v>2</s:v>
      </s:c>
      <s:c r="D290" s="12" t="inlineStr">
        <s:is>
          <s:t>PDF p. 41</s:t>
        </s:is>
      </s:c>
      <s:c r="E290" s="12" t="inlineStr">
        <s:is>
          <s:t>../../2025/jama.2025.4390/joi250019supp3_prod_1749674951.30054.pdf#page=41</s:t>
        </s:is>
      </s:c>
    </s:row>
    <s:row r="291" ht="90" customFormat="1" customHeight="1" s="8">
      <s:c r="A291" s="11" t="inlineStr">
        <s:is>
          <s:t>2025::jama.2025.4390::C003</s:t>
        </s:is>
      </s:c>
      <s:c r="B291" s="11" t="inlineStr">
        <s:is>
          <s:t>sourceLinks</s:t>
        </s:is>
      </s:c>
      <s:c r="C291" s="11" t="n">
        <s:v>0</s:v>
      </s:c>
      <s:c r="D291" s="11" t="inlineStr">
        <s:is>
          <s:t>joi250019supp3_prod_1749674951.30054.pdf — eTable 5, PDF p. 37</s:t>
        </s:is>
      </s:c>
      <s:c r="E291" s="11" t="inlineStr">
        <s:is>
          <s:t>../../2025/jama.2025.4390/joi250019supp3_prod_1749674951.30054.pdf#page=37</s:t>
        </s:is>
      </s:c>
    </s:row>
    <s:row r="292" ht="90" customFormat="1" customHeight="1" s="8">
      <s:c r="A292" s="12" t="inlineStr">
        <s:is>
          <s:t>2025::jama.2025.4390::C003</s:t>
        </s:is>
      </s:c>
      <s:c r="B292" s="12" t="inlineStr">
        <s:is>
          <s:t>sourceLinks</s:t>
        </s:is>
      </s:c>
      <s:c r="C292" s="12" t="n">
        <s:v>1</s:v>
      </s:c>
      <s:c r="D292" s="12" t="inlineStr">
        <s:is>
          <s:t>joi250019supp3_prod_1749674951.30054.pdf — eTable 3, PDF p. 29</s:t>
        </s:is>
      </s:c>
      <s:c r="E292" s="12" t="inlineStr">
        <s:is>
          <s:t>../../2025/jama.2025.4390/joi250019supp3_prod_1749674951.30054.pdf#page=29</s:t>
        </s:is>
      </s:c>
    </s:row>
    <s:row r="293" ht="90" customFormat="1" customHeight="1" s="8">
      <s:c r="A293" s="11" t="inlineStr">
        <s:is>
          <s:t>2025::jama.2025.7583::C001</s:t>
        </s:is>
      </s:c>
      <s:c r="B293" s="11" t="inlineStr">
        <s:is>
          <s:t>sourceLinks</s:t>
        </s:is>
      </s:c>
      <s:c r="C293" s="11" t="n">
        <s:v>0</s:v>
      </s:c>
      <s:c r="D293" s="11" t="inlineStr">
        <s:is>
          <s:t>Main article — PDF p. 3</s:t>
        </s:is>
      </s:c>
      <s:c r="E293" s="11" t="inlineStr">
        <s:is>
          <s:t>../../2025/jama.2025.7583/jama_shotar_2025_oi_250033_1750956987.75881.pdf#page=3</s:t>
        </s:is>
      </s:c>
    </s:row>
    <s:row r="294" ht="90" customFormat="1" customHeight="1" s="8">
      <s:c r="A294" s="12" t="inlineStr">
        <s:is>
          <s:t>2025::jama.2025.7583::C001</s:t>
        </s:is>
      </s:c>
      <s:c r="B294" s="12" t="inlineStr">
        <s:is>
          <s:t>sourceLinks</s:t>
        </s:is>
      </s:c>
      <s:c r="C294" s="12" t="n">
        <s:v>1</s:v>
      </s:c>
      <s:c r="D294" s="12" t="inlineStr">
        <s:is>
          <s:t>protocol — PDF p. 7</s:t>
        </s:is>
      </s:c>
      <s:c r="E294" s="12" t="inlineStr">
        <s:is>
          <s:t>../../2025/jama.2025.7583/joi250033supp1_prod_1750956987.76581.pdf#page=7</s:t>
        </s:is>
      </s:c>
    </s:row>
    <s:row r="295" ht="90" customFormat="1" customHeight="1" s="8">
      <s:c r="A295" s="11" t="inlineStr">
        <s:is>
          <s:t>2025::jama.2025.7583::C001</s:t>
        </s:is>
      </s:c>
      <s:c r="B295" s="11" t="inlineStr">
        <s:is>
          <s:t>sourceLinks</s:t>
        </s:is>
      </s:c>
      <s:c r="C295" s="11" t="n">
        <s:v>2</s:v>
      </s:c>
      <s:c r="D295" s="11" t="inlineStr">
        <s:is>
          <s:t>protocol — PDF p. 16</s:t>
        </s:is>
      </s:c>
      <s:c r="E295" s="11" t="inlineStr">
        <s:is>
          <s:t>../../2025/jama.2025.7583/joi250033supp1_prod_1750956987.76581.pdf#page=16</s:t>
        </s:is>
      </s:c>
    </s:row>
    <s:row r="296" ht="90" customFormat="1" customHeight="1" s="8">
      <s:c r="A296" s="12" t="inlineStr">
        <s:is>
          <s:t>2025::jama.2025.7583::C001</s:t>
        </s:is>
      </s:c>
      <s:c r="B296" s="12" t="inlineStr">
        <s:is>
          <s:t>sourceLinks</s:t>
        </s:is>
      </s:c>
      <s:c r="C296" s="12" t="n">
        <s:v>3</s:v>
      </s:c>
      <s:c r="D296" s="12" t="inlineStr">
        <s:is>
          <s:t>results supplement — PDF p. 15</s:t>
        </s:is>
      </s:c>
      <s:c r="E296" s="12" t="inlineStr">
        <s:is>
          <s:t>../../2025/jama.2025.7583/joi250033supp4_prod_1750956987.77981.pdf#page=15</s:t>
        </s:is>
      </s:c>
    </s:row>
    <s:row r="297" ht="90" customFormat="1" customHeight="1" s="8">
      <s:c r="A297" s="11" t="inlineStr">
        <s:is>
          <s:t>2025::jama.2025.7583::C001</s:t>
        </s:is>
      </s:c>
      <s:c r="B297" s="11" t="inlineStr">
        <s:is>
          <s:t>sourceLinks</s:t>
        </s:is>
      </s:c>
      <s:c r="C297" s="11" t="n">
        <s:v>4</s:v>
      </s:c>
      <s:c r="D297" s="11" t="inlineStr">
        <s:is>
          <s:t>SAP — PDF p. 3</s:t>
        </s:is>
      </s:c>
      <s:c r="E297" s="11" t="inlineStr">
        <s:is>
          <s:t>../../2025/jama.2025.7583/joi250033supp5_prod_1750956987.78281.pdf#page=3</s:t>
        </s:is>
      </s:c>
    </s:row>
    <s:row r="298" ht="90" customFormat="1" customHeight="1" s="8">
      <s:c r="A298" s="12" t="inlineStr">
        <s:is>
          <s:t>2025::jama.2025.7583::C001</s:t>
        </s:is>
      </s:c>
      <s:c r="B298" s="12" t="inlineStr">
        <s:is>
          <s:t>evidencePaths</s:t>
        </s:is>
      </s:c>
      <s:c r="C298" s="12" t="n">
        <s:v>0</s:v>
      </s:c>
      <s:c r="D298" s="12" t="inlineStr">
        <s:is>
          <s:t>2025/jama.2025.7583/.ai_paper_validation/review_1_5_1/verification/evidence_recheck.md</s:t>
        </s:is>
      </s:c>
      <s:c r="E298" s="12" t="inlineStr">
        <s:is>
          <s:t>../../2025/jama.2025.7583/.ai_paper_validation/review_1_5_1/verification/evidence_recheck.md</s:t>
        </s:is>
      </s:c>
    </s:row>
    <s:row r="299" ht="90" customFormat="1" customHeight="1" s="8">
      <s:c r="A299" s="11" t="inlineStr">
        <s:is>
          <s:t>2025::jama.2025.7583::C002</s:t>
        </s:is>
      </s:c>
      <s:c r="B299" s="11" t="inlineStr">
        <s:is>
          <s:t>sourceLinks</s:t>
        </s:is>
      </s:c>
      <s:c r="C299" s="11" t="n">
        <s:v>0</s:v>
      </s:c>
      <s:c r="D299" s="11" t="inlineStr">
        <s:is>
          <s:t>Protocol — PDF p. 50</s:t>
        </s:is>
      </s:c>
      <s:c r="E299" s="11" t="inlineStr">
        <s:is>
          <s:t>../../2025/jama.2025.7583/joi250033supp1_prod_1750956987.76581.pdf#page=50</s:t>
        </s:is>
      </s:c>
    </s:row>
    <s:row r="300" ht="90" customFormat="1" customHeight="1" s="8">
      <s:c r="A300" s="12" t="inlineStr">
        <s:is>
          <s:t>2025::jama.2025.7583::C002</s:t>
        </s:is>
      </s:c>
      <s:c r="B300" s="12" t="inlineStr">
        <s:is>
          <s:t>sourceLinks</s:t>
        </s:is>
      </s:c>
      <s:c r="C300" s="12" t="n">
        <s:v>1</s:v>
      </s:c>
      <s:c r="D300" s="12" t="inlineStr">
        <s:is>
          <s:t>SAP — PDF p. 4</s:t>
        </s:is>
      </s:c>
      <s:c r="E300" s="12" t="inlineStr">
        <s:is>
          <s:t>../../2025/jama.2025.7583/joi250033supp5_prod_1750956987.78281.pdf#page=4</s:t>
        </s:is>
      </s:c>
    </s:row>
    <s:row r="301" ht="90" customFormat="1" customHeight="1" s="8">
      <s:c r="A301" s="11" t="inlineStr">
        <s:is>
          <s:t>2025::jama.2025.7583::C002</s:t>
        </s:is>
      </s:c>
      <s:c r="B301" s="11" t="inlineStr">
        <s:is>
          <s:t>sourceLinks</s:t>
        </s:is>
      </s:c>
      <s:c r="C301" s="11" t="n">
        <s:v>2</s:v>
      </s:c>
      <s:c r="D301" s="11" t="inlineStr">
        <s:is>
          <s:t>SAP — PDF p. 5</s:t>
        </s:is>
      </s:c>
      <s:c r="E301" s="11" t="inlineStr">
        <s:is>
          <s:t>../../2025/jama.2025.7583/joi250033supp5_prod_1750956987.78281.pdf#page=5</s:t>
        </s:is>
      </s:c>
    </s:row>
    <s:row r="302" ht="90" customFormat="1" customHeight="1" s="8">
      <s:c r="A302" s="12" t="inlineStr">
        <s:is>
          <s:t>2025::jama.2025.7583::C002</s:t>
        </s:is>
      </s:c>
      <s:c r="B302" s="12" t="inlineStr">
        <s:is>
          <s:t>sourceLinks</s:t>
        </s:is>
      </s:c>
      <s:c r="C302" s="12" t="n">
        <s:v>3</s:v>
      </s:c>
      <s:c r="D302" s="12" t="inlineStr">
        <s:is>
          <s:t>main article — PDF p. 3</s:t>
        </s:is>
      </s:c>
      <s:c r="E302" s="12" t="inlineStr">
        <s:is>
          <s:t>../../2025/jama.2025.7583/jama_shotar_2025_oi_250033_1750956987.75881.pdf#page=3</s:t>
        </s:is>
      </s:c>
    </s:row>
    <s:row r="303" ht="90" customFormat="1" customHeight="1" s="8">
      <s:c r="A303" s="11" t="inlineStr">
        <s:is>
          <s:t>2025::jama.2025.7583::C002</s:t>
        </s:is>
      </s:c>
      <s:c r="B303" s="11" t="inlineStr">
        <s:is>
          <s:t>evidencePaths</s:t>
        </s:is>
      </s:c>
      <s:c r="C303" s="11" t="n">
        <s:v>0</s:v>
      </s:c>
      <s:c r="D303" s="11" t="inlineStr">
        <s:is>
          <s:t>2025/jama.2025.7583/.ai_paper_validation/review_1_5_1/verification/evidence_recheck.md</s:t>
        </s:is>
      </s:c>
      <s:c r="E303" s="11" t="inlineStr">
        <s:is>
          <s:t>../../2025/jama.2025.7583/.ai_paper_validation/review_1_5_1/verification/evidence_recheck.md</s:t>
        </s:is>
      </s:c>
    </s:row>
    <s:row r="304" ht="90" customFormat="1" customHeight="1" s="8">
      <s:c r="A304" s="12" t="inlineStr">
        <s:is>
          <s:t>2025::jama.2025.7583::C003</s:t>
        </s:is>
      </s:c>
      <s:c r="B304" s="12" t="inlineStr">
        <s:is>
          <s:t>sourceLinks</s:t>
        </s:is>
      </s:c>
      <s:c r="C304" s="12" t="n">
        <s:v>0</s:v>
      </s:c>
      <s:c r="D304" s="12" t="inlineStr">
        <s:is>
          <s:t>Main article — PDF p. 5</s:t>
        </s:is>
      </s:c>
      <s:c r="E304" s="12" t="inlineStr">
        <s:is>
          <s:t>../../2025/jama.2025.7583/jama_shotar_2025_oi_250033_1750956987.75881.pdf#page=5</s:t>
        </s:is>
      </s:c>
    </s:row>
    <s:row r="305" ht="90" customFormat="1" customHeight="1" s="8">
      <s:c r="A305" s="11" t="inlineStr">
        <s:is>
          <s:t>2025::jama.2025.7583::C003</s:t>
        </s:is>
      </s:c>
      <s:c r="B305" s="11" t="inlineStr">
        <s:is>
          <s:t>evidencePaths</s:t>
        </s:is>
      </s:c>
      <s:c r="C305" s="11" t="n">
        <s:v>0</s:v>
      </s:c>
      <s:c r="D305" s="11" t="inlineStr">
        <s:is>
          <s:t>2025/jama.2025.7583/.ai_paper_validation/review_1_5_1/verification/evidence_recheck.md</s:t>
        </s:is>
      </s:c>
      <s:c r="E305" s="11" t="inlineStr">
        <s:is>
          <s:t>../../2025/jama.2025.7583/.ai_paper_validation/review_1_5_1/verification/evidence_recheck.md</s:t>
        </s:is>
      </s:c>
    </s:row>
    <s:row r="306" ht="90" customFormat="1" customHeight="1" s="8">
      <s:c r="A306" s="12" t="inlineStr">
        <s:is>
          <s:t>2025::jama.2025.7710::C001</s:t>
        </s:is>
      </s:c>
      <s:c r="B306" s="12" t="inlineStr">
        <s:is>
          <s:t>sourceLinks</s:t>
        </s:is>
      </s:c>
      <s:c r="C306" s="12" t="n">
        <s:v>0</s:v>
      </s:c>
      <s:c r="D306" s="12" t="inlineStr">
        <s:is>
          <s:t>joi250034supp1_prod_1750956984.09018.pdf — PDF p. 16, section 7.2.3</s:t>
        </s:is>
      </s:c>
      <s:c r="E306" s="12" t="inlineStr">
        <s:is>
          <s:t>../../2025/jama.2025.7710/joi250034supp1_prod_1750956984.09018.pdf#page=16</s:t>
        </s:is>
      </s:c>
    </s:row>
    <s:row r="307" ht="90" customFormat="1" customHeight="1" s="8">
      <s:c r="A307" s="11" t="inlineStr">
        <s:is>
          <s:t>2025::jama.2025.7710::C001</s:t>
        </s:is>
      </s:c>
      <s:c r="B307" s="11" t="inlineStr">
        <s:is>
          <s:t>sourceLinks</s:t>
        </s:is>
      </s:c>
      <s:c r="C307" s="11" t="n">
        <s:v>1</s:v>
      </s:c>
      <s:c r="D307" s="11" t="inlineStr">
        <s:is>
          <s:t>joi250034supp1_prod_1750956984.09018.pdf — PDF p. 17, section 8.2</s:t>
        </s:is>
      </s:c>
      <s:c r="E307" s="11" t="inlineStr">
        <s:is>
          <s:t>../../2025/jama.2025.7710/joi250034supp1_prod_1750956984.09018.pdf#page=17</s:t>
        </s:is>
      </s:c>
    </s:row>
    <s:row r="308" ht="90" customFormat="1" customHeight="1" s="8">
      <s:c r="A308" s="12" t="inlineStr">
        <s:is>
          <s:t>2025::jama.2025.7710::C002</s:t>
        </s:is>
      </s:c>
      <s:c r="B308" s="12" t="inlineStr">
        <s:is>
          <s:t>sourceLinks</s:t>
        </s:is>
      </s:c>
      <s:c r="C308" s="12" t="n">
        <s:v>0</s:v>
      </s:c>
      <s:c r="D308" s="12" t="inlineStr">
        <s:is>
          <s:t>joi250034supp1_prod_1750956984.09018.pdf — PDF p. 15, section 7.1</s:t>
        </s:is>
      </s:c>
      <s:c r="E308" s="12" t="inlineStr">
        <s:is>
          <s:t>../../2025/jama.2025.7710/joi250034supp1_prod_1750956984.09018.pdf#page=15</s:t>
        </s:is>
      </s:c>
    </s:row>
    <s:row r="309" ht="90" customFormat="1" customHeight="1" s="8">
      <s:c r="A309" s="11" t="inlineStr">
        <s:is>
          <s:t>2025::jama.2025.7710::C002</s:t>
        </s:is>
      </s:c>
      <s:c r="B309" s="11" t="inlineStr">
        <s:is>
          <s:t>sourceLinks</s:t>
        </s:is>
      </s:c>
      <s:c r="C309" s="11" t="n">
        <s:v>1</s:v>
      </s:c>
      <s:c r="D309" s="11" t="inlineStr">
        <s:is>
          <s:t>joi250034supp1_prod_1750956984.09018.pdf — PDF p. 16, section 7.2.1</s:t>
        </s:is>
      </s:c>
      <s:c r="E309" s="11" t="inlineStr">
        <s:is>
          <s:t>../../2025/jama.2025.7710/joi250034supp1_prod_1750956984.09018.pdf#page=16</s:t>
        </s:is>
      </s:c>
    </s:row>
    <s:row r="310" ht="90" customFormat="1" customHeight="1" s="8">
      <s:c r="A310" s="12" t="inlineStr">
        <s:is>
          <s:t>2025::jama.2025.7710::C003</s:t>
        </s:is>
      </s:c>
      <s:c r="B310" s="12" t="inlineStr">
        <s:is>
          <s:t>sourceLinks</s:t>
        </s:is>
      </s:c>
      <s:c r="C310" s="12" t="n">
        <s:v>0</s:v>
      </s:c>
      <s:c r="D310" s="12" t="inlineStr">
        <s:is>
          <s:t>joi250034supp1_prod_1750956984.09018.pdf — PDF p. 5, synopsis and schema</s:t>
        </s:is>
      </s:c>
      <s:c r="E310" s="12" t="inlineStr">
        <s:is>
          <s:t>../../2025/jama.2025.7710/joi250034supp1_prod_1750956984.09018.pdf#page=5</s:t>
        </s:is>
      </s:c>
    </s:row>
    <s:row r="311" ht="90" customFormat="1" customHeight="1" s="8">
      <s:c r="A311" s="11" t="inlineStr">
        <s:is>
          <s:t>2025::jama.2025.7710::C003</s:t>
        </s:is>
      </s:c>
      <s:c r="B311" s="11" t="inlineStr">
        <s:is>
          <s:t>sourceLinks</s:t>
        </s:is>
      </s:c>
      <s:c r="C311" s="11" t="n">
        <s:v>1</s:v>
      </s:c>
      <s:c r="D311" s="11" t="inlineStr">
        <s:is>
          <s:t>joi250034supp1_prod_1750956984.09018.pdf — PDF p. 16, section 7.2.3</s:t>
        </s:is>
      </s:c>
      <s:c r="E311" s="11" t="inlineStr">
        <s:is>
          <s:t>../../2025/jama.2025.7710/joi250034supp1_prod_1750956984.09018.pdf#page=16</s:t>
        </s:is>
      </s:c>
    </s:row>
    <s:row r="312" ht="90" customFormat="1" customHeight="1" s="8">
      <s:c r="A312" s="12" t="inlineStr">
        <s:is>
          <s:t>2025::jama.2025.7710::C003</s:t>
        </s:is>
      </s:c>
      <s:c r="B312" s="12" t="inlineStr">
        <s:is>
          <s:t>sourceLinks</s:t>
        </s:is>
      </s:c>
      <s:c r="C312" s="12" t="n">
        <s:v>2</s:v>
      </s:c>
      <s:c r="D312" s="12" t="inlineStr">
        <s:is>
          <s:t>joi250034supp1_prod_1750956984.09018.pdf — PDF p. 17, section 8.2</s:t>
        </s:is>
      </s:c>
      <s:c r="E312" s="12" t="inlineStr">
        <s:is>
          <s:t>../../2025/jama.2025.7710/joi250034supp1_prod_1750956984.09018.pdf#page=17</s:t>
        </s:is>
      </s:c>
    </s:row>
    <s:row r="313" ht="90" customFormat="1" customHeight="1" s="8">
      <s:c r="A313" s="11" t="inlineStr">
        <s:is>
          <s:t>2025::jama.2025.7710::C004</s:t>
        </s:is>
      </s:c>
      <s:c r="B313" s="11" t="inlineStr">
        <s:is>
          <s:t>sourceLinks</s:t>
        </s:is>
      </s:c>
      <s:c r="C313" s="11" t="n">
        <s:v>0</s:v>
      </s:c>
      <s:c r="D313" s="11" t="inlineStr">
        <s:is>
          <s:t>jama_kumar_2025_oi_250034_1750956984.08518.pdf — PDF p. 4, Statistical Analysis</s:t>
        </s:is>
      </s:c>
      <s:c r="E313" s="11" t="inlineStr">
        <s:is>
          <s:t>../../2025/jama.2025.7710/jama_kumar_2025_oi_250034_1750956984.08518.pdf#page=4</s:t>
        </s:is>
      </s:c>
    </s:row>
    <s:row r="314" ht="90" customFormat="1" customHeight="1" s="8">
      <s:c r="A314" s="12" t="inlineStr">
        <s:is>
          <s:t>2025::jama.2025.7710::C004</s:t>
        </s:is>
      </s:c>
      <s:c r="B314" s="12" t="inlineStr">
        <s:is>
          <s:t>sourceLinks</s:t>
        </s:is>
      </s:c>
      <s:c r="C314" s="12" t="n">
        <s:v>1</s:v>
      </s:c>
      <s:c r="D314" s="12" t="inlineStr">
        <s:is>
          <s:t>jama_kumar_2025_oi_250034_1750956984.08518.pdf — PDF p. 7, Table 3</s:t>
        </s:is>
      </s:c>
      <s:c r="E314" s="12" t="inlineStr">
        <s:is>
          <s:t>../../2025/jama.2025.7710/jama_kumar_2025_oi_250034_1750956984.08518.pdf#page=7</s:t>
        </s:is>
      </s:c>
    </s:row>
    <s:row r="315" ht="90" customFormat="1" customHeight="1" s="8">
      <s:c r="A315" s="11" t="inlineStr">
        <s:is>
          <s:t>2025::jama.2025.7710::C004</s:t>
        </s:is>
      </s:c>
      <s:c r="B315" s="11" t="inlineStr">
        <s:is>
          <s:t>sourceLinks</s:t>
        </s:is>
      </s:c>
      <s:c r="C315" s="11" t="n">
        <s:v>2</s:v>
      </s:c>
      <s:c r="D315" s="11" t="inlineStr">
        <s:is>
          <s:t>joi250034supp1_prod_1750956984.09018.pdf — PDF p. 20, section 13.2</s:t>
        </s:is>
      </s:c>
      <s:c r="E315" s="11" t="inlineStr">
        <s:is>
          <s:t>../../2025/jama.2025.7710/joi250034supp1_prod_1750956984.09018.pdf#page=20</s:t>
        </s:is>
      </s:c>
    </s:row>
    <s:row r="316" ht="90" customFormat="1" customHeight="1" s="8">
      <s:c r="A316" s="12" t="inlineStr">
        <s:is>
          <s:t>2025::jama.2025.7710::C004</s:t>
        </s:is>
      </s:c>
      <s:c r="B316" s="12" t="inlineStr">
        <s:is>
          <s:t>sourceLinks</s:t>
        </s:is>
      </s:c>
      <s:c r="C316" s="12" t="n">
        <s:v>3</s:v>
      </s:c>
      <s:c r="D316" s="12" t="inlineStr">
        <s:is>
          <s:t>joi250034supp2_prod_1750956984.11521.pdf — PDF p. 12, section 3.2</s:t>
        </s:is>
      </s:c>
      <s:c r="E316" s="12" t="inlineStr">
        <s:is>
          <s:t>../../2025/jama.2025.7710/joi250034supp2_prod_1750956984.11521.pdf#page=12</s:t>
        </s:is>
      </s:c>
    </s:row>
    <s:row r="317" ht="90" customFormat="1" customHeight="1" s="8">
      <s:c r="A317" s="11" t="inlineStr">
        <s:is>
          <s:t>2025::jama.2025.7710::C004</s:t>
        </s:is>
      </s:c>
      <s:c r="B317" s="11" t="inlineStr">
        <s:is>
          <s:t>sourceLinks</s:t>
        </s:is>
      </s:c>
      <s:c r="C317" s="11" t="n">
        <s:v>4</s:v>
      </s:c>
      <s:c r="D317" s="11" t="inlineStr">
        <s:is>
          <s:t>joi250034supp2_prod_1750956984.11521.pdf — PDF p. 25, proposed Table 11</s:t>
        </s:is>
      </s:c>
      <s:c r="E317" s="11" t="inlineStr">
        <s:is>
          <s:t>../../2025/jama.2025.7710/joi250034supp2_prod_1750956984.11521.pdf#page=25</s:t>
        </s:is>
      </s:c>
    </s:row>
    <s:row r="318" ht="90" customFormat="1" customHeight="1" s="8">
      <s:c r="A318" s="12" t="inlineStr">
        <s:is>
          <s:t>2025::jama.2025.7710::C004</s:t>
        </s:is>
      </s:c>
      <s:c r="B318" s="12" t="inlineStr">
        <s:is>
          <s:t>evidencePaths</s:t>
        </s:is>
      </s:c>
      <s:c r="C318" s="12" t="n">
        <s:v>0</s:v>
      </s:c>
      <s:c r="D318" s="12" t="inlineStr">
        <s:is>
          <s:t>2025/jama.2025.7710/.ai_paper_validation/review_1_5_1/verification/evidence_recheck.md</s:t>
        </s:is>
      </s:c>
      <s:c r="E318" s="12" t="inlineStr">
        <s:is>
          <s:t>../../2025/jama.2025.7710/.ai_paper_validation/review_1_5_1/verification/evidence_recheck.md</s:t>
        </s:is>
      </s:c>
    </s:row>
    <s:row r="319" ht="90" customFormat="1" customHeight="1" s="8">
      <s:c r="A319" s="11" t="inlineStr">
        <s:is>
          <s:t>2025::jama.2025.9110::C001</s:t>
        </s:is>
      </s:c>
      <s:c r="B319" s="11" t="inlineStr">
        <s:is>
          <s:t>sourceLinks</s:t>
        </s:is>
      </s:c>
      <s:c r="C319" s="11" t="n">
        <s:v>0</s:v>
      </s:c>
      <s:c r="D319" s="11" t="inlineStr">
        <s:is>
          <s:t>Main article — PDF p. 7</s:t>
        </s:is>
      </s:c>
      <s:c r="E319" s="11" t="inlineStr">
        <s:is>
          <s:t>../../2025/jama.2025.9110/jama_summers_2025_oi_250040_1753124024.36498.pdf#page=7</s:t>
        </s:is>
      </s:c>
    </s:row>
    <s:row r="320" ht="90" customFormat="1" customHeight="1" s="8">
      <s:c r="A320" s="12" t="inlineStr">
        <s:is>
          <s:t>2025::jama.2025.9110::C001</s:t>
        </s:is>
      </s:c>
      <s:c r="B320" s="12" t="inlineStr">
        <s:is>
          <s:t>sourceLinks</s:t>
        </s:is>
      </s:c>
      <s:c r="C320" s="12" t="n">
        <s:v>1</s:v>
      </s:c>
      <s:c r="D320" s="12" t="inlineStr">
        <s:is>
          <s:t>main article — PDF p. 1</s:t>
        </s:is>
      </s:c>
      <s:c r="E320" s="12" t="inlineStr">
        <s:is>
          <s:t>../../2025/jama.2025.9110/jama_summers_2025_oi_250040_1753124024.36498.pdf#page=1</s:t>
        </s:is>
      </s:c>
    </s:row>
    <s:row r="321" ht="90" customFormat="1" customHeight="1" s="8">
      <s:c r="A321" s="11" t="inlineStr">
        <s:is>
          <s:t>2025::jama.2025.9110::C001</s:t>
        </s:is>
      </s:c>
      <s:c r="B321" s="11" t="inlineStr">
        <s:is>
          <s:t>sourceLinks</s:t>
        </s:is>
      </s:c>
      <s:c r="C321" s="11" t="n">
        <s:v>2</s:v>
      </s:c>
      <s:c r="D321" s="11" t="inlineStr">
        <s:is>
          <s:t>Results Supplement — PDF p. 18</s:t>
        </s:is>
      </s:c>
      <s:c r="E321" s="11" t="inlineStr">
        <s:is>
          <s:t>../../2025/jama.2025.9110/joi250040supp3_prod_1753124024.38098.pdf#page=18</s:t>
        </s:is>
      </s:c>
    </s:row>
    <s:row r="322" ht="90" customFormat="1" customHeight="1" s="8">
      <s:c r="A322" s="12" t="inlineStr">
        <s:is>
          <s:t>2025::jama.2025.9110::C002</s:t>
        </s:is>
      </s:c>
      <s:c r="B322" s="12" t="inlineStr">
        <s:is>
          <s:t>sourceLinks</s:t>
        </s:is>
      </s:c>
      <s:c r="C322" s="12" t="n">
        <s:v>0</s:v>
      </s:c>
      <s:c r="D322" s="12" t="inlineStr">
        <s:is>
          <s:t>Results Supplement — PDF p. 18</s:t>
        </s:is>
      </s:c>
      <s:c r="E322" s="12" t="inlineStr">
        <s:is>
          <s:t>../../2025/jama.2025.9110/joi250040supp3_prod_1753124024.38098.pdf#page=18</s:t>
        </s:is>
      </s:c>
    </s:row>
    <s:row r="323" ht="90" customFormat="1" customHeight="1" s="8">
      <s:c r="A323" s="11" t="inlineStr">
        <s:is>
          <s:t>2025::jama.2025.9110::C003</s:t>
        </s:is>
      </s:c>
      <s:c r="B323" s="11" t="inlineStr">
        <s:is>
          <s:t>sourceLinks</s:t>
        </s:is>
      </s:c>
      <s:c r="C323" s="11" t="n">
        <s:v>0</s:v>
      </s:c>
      <s:c r="D323" s="11" t="inlineStr">
        <s:is>
          <s:t>Main article — PDF p. 7</s:t>
        </s:is>
      </s:c>
      <s:c r="E323" s="11" t="inlineStr">
        <s:is>
          <s:t>../../2025/jama.2025.9110/jama_summers_2025_oi_250040_1753124024.36498.pdf#page=7</s:t>
        </s:is>
      </s:c>
    </s:row>
    <s:row r="324" ht="90" customFormat="1" customHeight="1" s="8">
      <s:c r="A324" s="12" t="inlineStr">
        <s:is>
          <s:t>2025::jama.2025.9110::C003</s:t>
        </s:is>
      </s:c>
      <s:c r="B324" s="12" t="inlineStr">
        <s:is>
          <s:t>sourceLinks</s:t>
        </s:is>
      </s:c>
      <s:c r="C324" s="12" t="n">
        <s:v>1</s:v>
      </s:c>
      <s:c r="D324" s="12" t="inlineStr">
        <s:is>
          <s:t>Results Supplement — PDF p. 5</s:t>
        </s:is>
      </s:c>
      <s:c r="E324" s="12" t="inlineStr">
        <s:is>
          <s:t>../../2025/jama.2025.9110/joi250040supp3_prod_1753124024.38098.pdf#page=5</s:t>
        </s:is>
      </s:c>
    </s:row>
    <s:row r="325" ht="90" customFormat="1" customHeight="1" s="8">
      <s:c r="A325" s="11" t="inlineStr">
        <s:is>
          <s:t>2025::jama.2025.9110::C003</s:t>
        </s:is>
      </s:c>
      <s:c r="B325" s="11" t="inlineStr">
        <s:is>
          <s:t>sourceLinks</s:t>
        </s:is>
      </s:c>
      <s:c r="C325" s="11" t="n">
        <s:v>2</s:v>
      </s:c>
      <s:c r="D325" s="11" t="inlineStr">
        <s:is>
          <s:t>Results Supplement — PDF p. 27</s:t>
        </s:is>
      </s:c>
      <s:c r="E325" s="11" t="inlineStr">
        <s:is>
          <s:t>../../2025/jama.2025.9110/joi250040supp3_prod_1753124024.38098.pdf#page=27</s:t>
        </s:is>
      </s:c>
    </s:row>
    <s:row r="326" ht="90" customFormat="1" customHeight="1" s="8">
      <s:c r="A326" s="12" t="inlineStr">
        <s:is>
          <s:t>2025::jama.2025.9110::C004</s:t>
        </s:is>
      </s:c>
      <s:c r="B326" s="12" t="inlineStr">
        <s:is>
          <s:t>sourceLinks</s:t>
        </s:is>
      </s:c>
      <s:c r="C326" s="12" t="n">
        <s:v>0</s:v>
      </s:c>
      <s:c r="D326" s="12" t="inlineStr">
        <s:is>
          <s:t>Main article Results — PDF p. 5</s:t>
        </s:is>
      </s:c>
      <s:c r="E326" s="12" t="inlineStr">
        <s:is>
          <s:t>../../2025/jama.2025.9110/jama_summers_2025_oi_250040_1753124024.36498.pdf#page=5</s:t>
        </s:is>
      </s:c>
    </s:row>
    <s:row r="327" ht="90" customFormat="1" customHeight="1" s="8">
      <s:c r="A327" s="11" t="inlineStr">
        <s:is>
          <s:t>2025::jama.2025.9110::C004</s:t>
        </s:is>
      </s:c>
      <s:c r="B327" s="11" t="inlineStr">
        <s:is>
          <s:t>sourceLinks</s:t>
        </s:is>
      </s:c>
      <s:c r="C327" s="11" t="n">
        <s:v>1</s:v>
      </s:c>
      <s:c r="D327" s="11" t="inlineStr">
        <s:is>
          <s:t>main article Discussion — PDF p. 8</s:t>
        </s:is>
      </s:c>
      <s:c r="E327" s="11" t="inlineStr">
        <s:is>
          <s:t>../../2025/jama.2025.9110/jama_summers_2025_oi_250040_1753124024.36498.pdf#page=8</s:t>
        </s:is>
      </s:c>
    </s:row>
    <s:row r="328" ht="90" customFormat="1" customHeight="1" s="8">
      <s:c r="A328" s="12" t="inlineStr">
        <s:is>
          <s:t>2025::jama.2025.9110::C005</s:t>
        </s:is>
      </s:c>
      <s:c r="B328" s="12" t="inlineStr">
        <s:is>
          <s:t>sourceLinks</s:t>
        </s:is>
      </s:c>
      <s:c r="C328" s="12" t="n">
        <s:v>0</s:v>
      </s:c>
      <s:c r="D328" s="12" t="inlineStr">
        <s:is>
          <s:t>Results Supplement — PDF p. 18</s:t>
        </s:is>
      </s:c>
      <s:c r="E328" s="12" t="inlineStr">
        <s:is>
          <s:t>../../2025/jama.2025.9110/joi250040supp3_prod_1753124024.38098.pdf#page=18</s:t>
        </s:is>
      </s:c>
    </s:row>
    <s:row r="329" ht="90" customFormat="1" customHeight="1" s="8">
      <s:c r="A329" s="11" t="inlineStr">
        <s:is>
          <s:t>2025::jama.2025.9110::C006</s:t>
        </s:is>
      </s:c>
      <s:c r="B329" s="11" t="inlineStr">
        <s:is>
          <s:t>sourceLinks</s:t>
        </s:is>
      </s:c>
      <s:c r="C329" s="11" t="n">
        <s:v>0</s:v>
      </s:c>
      <s:c r="D329" s="11" t="inlineStr">
        <s:is>
          <s:t>Results Supplement — PDF p. 18</s:t>
        </s:is>
      </s:c>
      <s:c r="E329" s="11" t="inlineStr">
        <s:is>
          <s:t>../../2025/jama.2025.9110/joi250040supp3_prod_1753124024.38098.pdf#page=18</s:t>
        </s:is>
      </s:c>
    </s:row>
    <s:row r="330" ht="90" customFormat="1" customHeight="1" s="8">
      <s:c r="A330" s="12" t="inlineStr">
        <s:is>
          <s:t>2025::jama.2025.9663::C001</s:t>
        </s:is>
      </s:c>
      <s:c r="B330" s="12" t="inlineStr">
        <s:is>
          <s:t>sourceLinks</s:t>
        </s:is>
      </s:c>
      <s:c r="C330" s="12" t="n">
        <s:v>0</s:v>
      </s:c>
      <s:c r="D330" s="12" t="inlineStr">
        <s:is>
          <s:t>jama_martin_2025_oi_250042_1753377747.91025.pdf — PDF p. 6 (printed article p. 403), Oxygen Exposure paragraph</s:t>
        </s:is>
      </s:c>
      <s:c r="E330" s="12" t="inlineStr">
        <s:is>
          <s:t>../../2025/jama.2025.9663/jama_martin_2025_oi_250042_1753377747.91025.pdf#page=6</s:t>
        </s:is>
      </s:c>
    </s:row>
    <s:row r="331" ht="90" customFormat="1" customHeight="1" s="8">
      <s:c r="A331" s="11" t="inlineStr">
        <s:is>
          <s:t>2025::jama.2025.9663::C001</s:t>
        </s:is>
      </s:c>
      <s:c r="B331" s="11" t="inlineStr">
        <s:is>
          <s:t>sourceLinks</s:t>
        </s:is>
      </s:c>
      <s:c r="C331" s="11" t="n">
        <s:v>1</s:v>
      </s:c>
      <s:c r="D331" s="11" t="inlineStr">
        <s:is>
          <s:t>joi250042supp2_prod_1753377747.93025.pdf — PDF p. 21, eTable 5</s:t>
        </s:is>
      </s:c>
      <s:c r="E331" s="11" t="inlineStr">
        <s:is>
          <s:t>../../2025/jama.2025.9663/joi250042supp2_prod_1753377747.93025.pdf#page=21</s:t>
        </s:is>
      </s:c>
    </s:row>
    <s:row r="332" ht="90" customFormat="1" customHeight="1" s="8">
      <s:c r="A332" s="12" t="inlineStr">
        <s:is>
          <s:t>2025::jama.2025.9663::C002</s:t>
        </s:is>
      </s:c>
      <s:c r="B332" s="12" t="inlineStr">
        <s:is>
          <s:t>sourceLinks</s:t>
        </s:is>
      </s:c>
      <s:c r="C332" s="12" t="n">
        <s:v>0</s:v>
      </s:c>
      <s:c r="D332" s="12" t="inlineStr">
        <s:is>
          <s:t>joi250042supp2_prod_1753377747.93025.pdf — PDF p. 1, contents</s:t>
        </s:is>
      </s:c>
      <s:c r="E332" s="12" t="inlineStr">
        <s:is>
          <s:t>../../2025/jama.2025.9663/joi250042supp2_prod_1753377747.93025.pdf#page=1</s:t>
        </s:is>
      </s:c>
    </s:row>
    <s:row r="333" ht="90" customFormat="1" customHeight="1" s="8">
      <s:c r="A333" s="11" t="inlineStr">
        <s:is>
          <s:t>2025::jama.2025.9663::C002</s:t>
        </s:is>
      </s:c>
      <s:c r="B333" s="11" t="inlineStr">
        <s:is>
          <s:t>sourceLinks</s:t>
        </s:is>
      </s:c>
      <s:c r="C333" s="11" t="n">
        <s:v>1</s:v>
      </s:c>
      <s:c r="D333" s="11" t="inlineStr">
        <s:is>
          <s:t>eTable 1 — PDF p. 15</s:t>
        </s:is>
      </s:c>
      <s:c r="E333" s="11" t="inlineStr">
        <s:is>
          <s:t>../../2025/jama.2025.9663/joi250042supp2_prod_1753377747.93025.pdf#page=15</s:t>
        </s:is>
      </s:c>
    </s:row>
    <s:row r="334" ht="90" customFormat="1" customHeight="1" s="8">
      <s:c r="A334" s="12" t="inlineStr">
        <s:is>
          <s:t>2025::jama.2025.9663::C002</s:t>
        </s:is>
      </s:c>
      <s:c r="B334" s="12" t="inlineStr">
        <s:is>
          <s:t>sourceLinks</s:t>
        </s:is>
      </s:c>
      <s:c r="C334" s="12" t="n">
        <s:v>2</s:v>
      </s:c>
      <s:c r="D334" s="12" t="inlineStr">
        <s:is>
          <s:t>eTable 2 — PDF p. 17</s:t>
        </s:is>
      </s:c>
      <s:c r="E334" s="12" t="inlineStr">
        <s:is>
          <s:t>../../2025/jama.2025.9663/joi250042supp2_prod_1753377747.93025.pdf#page=17</s:t>
        </s:is>
      </s:c>
    </s:row>
    <s:row r="335" ht="90" customFormat="1" customHeight="1" s="8">
      <s:c r="A335" s="11" t="inlineStr">
        <s:is>
          <s:t>2025::jama.2025.9663::C002</s:t>
        </s:is>
      </s:c>
      <s:c r="B335" s="11" t="inlineStr">
        <s:is>
          <s:t>sourceLinks</s:t>
        </s:is>
      </s:c>
      <s:c r="C335" s="11" t="n">
        <s:v>3</s:v>
      </s:c>
      <s:c r="D335" s="11" t="inlineStr">
        <s:is>
          <s:t>eTable 3 — PDF p. 18</s:t>
        </s:is>
      </s:c>
      <s:c r="E335" s="11" t="inlineStr">
        <s:is>
          <s:t>../../2025/jama.2025.9663/joi250042supp2_prod_1753377747.93025.pdf#page=18</s:t>
        </s:is>
      </s:c>
    </s:row>
    <s:row r="336" ht="90" customFormat="1" customHeight="1" s="8">
      <s:c r="A336" s="12" t="inlineStr">
        <s:is>
          <s:t>2025::jama.2025.9663::C002</s:t>
        </s:is>
      </s:c>
      <s:c r="B336" s="12" t="inlineStr">
        <s:is>
          <s:t>sourceLinks</s:t>
        </s:is>
      </s:c>
      <s:c r="C336" s="12" t="n">
        <s:v>4</s:v>
      </s:c>
      <s:c r="D336" s="12" t="inlineStr">
        <s:is>
          <s:t>eTable 4 — PDF p. 19</s:t>
        </s:is>
      </s:c>
      <s:c r="E336" s="12" t="inlineStr">
        <s:is>
          <s:t>../../2025/jama.2025.9663/joi250042supp2_prod_1753377747.93025.pdf#page=19</s:t>
        </s:is>
      </s:c>
    </s:row>
    <s:row r="337" ht="90" customFormat="1" customHeight="1" s="8">
      <s:c r="A337" s="11" t="inlineStr">
        <s:is>
          <s:t>2025::jama.2025.9663::C003</s:t>
        </s:is>
      </s:c>
      <s:c r="B337" s="11" t="inlineStr">
        <s:is>
          <s:t>sourceLinks</s:t>
        </s:is>
      </s:c>
      <s:c r="C337" s="11" t="n">
        <s:v>0</s:v>
      </s:c>
      <s:c r="D337" s="11" t="inlineStr">
        <s:is>
          <s:t>joi250042supp1_prod_1753377747.92525.pdf — PDF p. 118 (SAP p. 8), section 2.5 and Table 1</s:t>
        </s:is>
      </s:c>
      <s:c r="E337" s="11" t="inlineStr">
        <s:is>
          <s:t>../../2025/jama.2025.9663/joi250042supp1_prod_1753377747.92525.pdf#page=118</s:t>
        </s:is>
      </s:c>
    </s:row>
  </s:sheetData>
  <s:hyperlinks>
    <s:hyperlink ref="D2" r:id="rId1"/>
    <s:hyperlink ref="E2" r:id="rId2"/>
    <s:hyperlink ref="D3" r:id="rId3"/>
    <s:hyperlink ref="E3" r:id="rId4"/>
    <s:hyperlink ref="D4" r:id="rId5"/>
    <s:hyperlink ref="E4" r:id="rId6"/>
    <s:hyperlink ref="D5" r:id="rId7"/>
    <s:hyperlink ref="E5" r:id="rId8"/>
    <s:hyperlink ref="D6" r:id="rId9"/>
    <s:hyperlink ref="E6" r:id="rId10"/>
    <s:hyperlink ref="D7" r:id="rId11"/>
    <s:hyperlink ref="E7" r:id="rId12"/>
    <s:hyperlink ref="D8" r:id="rId13"/>
    <s:hyperlink ref="E8" r:id="rId14"/>
    <s:hyperlink ref="D9" r:id="rId15"/>
    <s:hyperlink ref="E9" r:id="rId16"/>
    <s:hyperlink ref="D10" r:id="rId17"/>
    <s:hyperlink ref="E10" r:id="rId18"/>
    <s:hyperlink ref="D11" r:id="rId19"/>
    <s:hyperlink ref="E11" r:id="rId20"/>
    <s:hyperlink ref="D12" r:id="rId21"/>
    <s:hyperlink ref="E12" r:id="rId22"/>
    <s:hyperlink ref="D13" r:id="rId23"/>
    <s:hyperlink ref="E13" r:id="rId24"/>
    <s:hyperlink ref="D14" r:id="rId25"/>
    <s:hyperlink ref="E14" r:id="rId26"/>
    <s:hyperlink ref="D15" r:id="rId27"/>
    <s:hyperlink ref="E15" r:id="rId28"/>
    <s:hyperlink ref="D16" r:id="rId29"/>
    <s:hyperlink ref="E16" r:id="rId30"/>
    <s:hyperlink ref="D17" r:id="rId31"/>
    <s:hyperlink ref="E17" r:id="rId32"/>
    <s:hyperlink ref="D18" r:id="rId33"/>
    <s:hyperlink ref="E18" r:id="rId34"/>
    <s:hyperlink ref="D19" r:id="rId35"/>
    <s:hyperlink ref="E19" r:id="rId36"/>
    <s:hyperlink ref="D20" r:id="rId37"/>
    <s:hyperlink ref="E20" r:id="rId38"/>
    <s:hyperlink ref="D21" r:id="rId39"/>
    <s:hyperlink ref="E21" r:id="rId40"/>
    <s:hyperlink ref="D22" r:id="rId41"/>
    <s:hyperlink ref="E22" r:id="rId42"/>
    <s:hyperlink ref="D23" r:id="rId43"/>
    <s:hyperlink ref="E23" r:id="rId44"/>
    <s:hyperlink ref="D24" r:id="rId45"/>
    <s:hyperlink ref="E24" r:id="rId46"/>
    <s:hyperlink ref="D25" r:id="rId47"/>
    <s:hyperlink ref="E25" r:id="rId48"/>
    <s:hyperlink ref="D26" r:id="rId49"/>
    <s:hyperlink ref="E26" r:id="rId50"/>
    <s:hyperlink ref="D27" r:id="rId51"/>
    <s:hyperlink ref="E27" r:id="rId52"/>
    <s:hyperlink ref="D28" r:id="rId53"/>
    <s:hyperlink ref="E28" r:id="rId54"/>
    <s:hyperlink ref="D29" r:id="rId55"/>
    <s:hyperlink ref="E29" r:id="rId56"/>
    <s:hyperlink ref="D30" r:id="rId57"/>
    <s:hyperlink ref="E30" r:id="rId58"/>
    <s:hyperlink ref="D31" r:id="rId59"/>
    <s:hyperlink ref="E31" r:id="rId60"/>
    <s:hyperlink ref="D32" r:id="rId61"/>
    <s:hyperlink ref="E32" r:id="rId62"/>
    <s:hyperlink ref="D33" r:id="rId63"/>
    <s:hyperlink ref="E33" r:id="rId64"/>
    <s:hyperlink ref="D34" r:id="rId65"/>
    <s:hyperlink ref="E34" r:id="rId66"/>
    <s:hyperlink ref="D35" r:id="rId67"/>
    <s:hyperlink ref="E35" r:id="rId68"/>
    <s:hyperlink ref="D36" r:id="rId69"/>
    <s:hyperlink ref="E36" r:id="rId70"/>
    <s:hyperlink ref="D37" r:id="rId71"/>
    <s:hyperlink ref="E37" r:id="rId72"/>
    <s:hyperlink ref="D38" r:id="rId73"/>
    <s:hyperlink ref="E38" r:id="rId74"/>
    <s:hyperlink ref="D39" r:id="rId75"/>
    <s:hyperlink ref="E39" r:id="rId76"/>
    <s:hyperlink ref="D40" r:id="rId77"/>
    <s:hyperlink ref="E40" r:id="rId78"/>
    <s:hyperlink ref="D41" r:id="rId79"/>
    <s:hyperlink ref="E41" r:id="rId80"/>
    <s:hyperlink ref="D42" r:id="rId81"/>
    <s:hyperlink ref="E42" r:id="rId82"/>
    <s:hyperlink ref="D43" r:id="rId83"/>
    <s:hyperlink ref="E43" r:id="rId84"/>
    <s:hyperlink ref="D44" r:id="rId85"/>
    <s:hyperlink ref="E44" r:id="rId86"/>
    <s:hyperlink ref="D45" r:id="rId87"/>
    <s:hyperlink ref="E45" r:id="rId88"/>
    <s:hyperlink ref="D46" r:id="rId89"/>
    <s:hyperlink ref="E46" r:id="rId90"/>
    <s:hyperlink ref="D47" r:id="rId91"/>
    <s:hyperlink ref="E47" r:id="rId92"/>
    <s:hyperlink ref="D48" r:id="rId93"/>
    <s:hyperlink ref="E48" r:id="rId94"/>
    <s:hyperlink ref="D49" r:id="rId95"/>
    <s:hyperlink ref="E49" r:id="rId96"/>
    <s:hyperlink ref="D50" r:id="rId97"/>
    <s:hyperlink ref="E50" r:id="rId98"/>
    <s:hyperlink ref="D51" r:id="rId99"/>
    <s:hyperlink ref="E51" r:id="rId100"/>
    <s:hyperlink ref="D52" r:id="rId101"/>
    <s:hyperlink ref="E52" r:id="rId102"/>
    <s:hyperlink ref="D53" r:id="rId103"/>
    <s:hyperlink ref="E53" r:id="rId104"/>
    <s:hyperlink ref="D54" r:id="rId105"/>
    <s:hyperlink ref="E54" r:id="rId106"/>
    <s:hyperlink ref="D55" r:id="rId107"/>
    <s:hyperlink ref="E55" r:id="rId108"/>
    <s:hyperlink ref="D56" r:id="rId109"/>
    <s:hyperlink ref="E56" r:id="rId110"/>
    <s:hyperlink ref="D57" r:id="rId111"/>
    <s:hyperlink ref="E57" r:id="rId112"/>
    <s:hyperlink ref="D58" r:id="rId113"/>
    <s:hyperlink ref="E58" r:id="rId114"/>
    <s:hyperlink ref="D59" r:id="rId115"/>
    <s:hyperlink ref="E59" r:id="rId116"/>
    <s:hyperlink ref="D60" r:id="rId117"/>
    <s:hyperlink ref="E60" r:id="rId118"/>
    <s:hyperlink ref="D61" r:id="rId119"/>
    <s:hyperlink ref="E61" r:id="rId120"/>
    <s:hyperlink ref="D62" r:id="rId121"/>
    <s:hyperlink ref="E62" r:id="rId122"/>
    <s:hyperlink ref="D63" r:id="rId123"/>
    <s:hyperlink ref="E63" r:id="rId124"/>
    <s:hyperlink ref="D64" r:id="rId125"/>
    <s:hyperlink ref="E64" r:id="rId126"/>
    <s:hyperlink ref="D65" r:id="rId127"/>
    <s:hyperlink ref="E65" r:id="rId128"/>
    <s:hyperlink ref="D66" r:id="rId129"/>
    <s:hyperlink ref="E66" r:id="rId130"/>
    <s:hyperlink ref="D67" r:id="rId131"/>
    <s:hyperlink ref="E67" r:id="rId132"/>
    <s:hyperlink ref="D68" r:id="rId133"/>
    <s:hyperlink ref="E68" r:id="rId134"/>
    <s:hyperlink ref="D69" r:id="rId135"/>
    <s:hyperlink ref="E69" r:id="rId136"/>
    <s:hyperlink ref="D70" r:id="rId137"/>
    <s:hyperlink ref="E70" r:id="rId138"/>
    <s:hyperlink ref="D71" r:id="rId139"/>
    <s:hyperlink ref="E71" r:id="rId140"/>
    <s:hyperlink ref="D72" r:id="rId141"/>
    <s:hyperlink ref="E72" r:id="rId142"/>
    <s:hyperlink ref="D73" r:id="rId143"/>
    <s:hyperlink ref="E73" r:id="rId144"/>
    <s:hyperlink ref="D74" r:id="rId145"/>
    <s:hyperlink ref="E74" r:id="rId146"/>
    <s:hyperlink ref="D75" r:id="rId147"/>
    <s:hyperlink ref="E75" r:id="rId148"/>
    <s:hyperlink ref="D76" r:id="rId149"/>
    <s:hyperlink ref="E76" r:id="rId150"/>
    <s:hyperlink ref="D77" r:id="rId151"/>
    <s:hyperlink ref="E77" r:id="rId152"/>
    <s:hyperlink ref="D78" r:id="rId153"/>
    <s:hyperlink ref="E78" r:id="rId154"/>
    <s:hyperlink ref="D79" r:id="rId155"/>
    <s:hyperlink ref="E79" r:id="rId156"/>
    <s:hyperlink ref="D80" r:id="rId157"/>
    <s:hyperlink ref="E80" r:id="rId158"/>
    <s:hyperlink ref="D81" r:id="rId159"/>
    <s:hyperlink ref="E81" r:id="rId160"/>
    <s:hyperlink ref="D82" r:id="rId161"/>
    <s:hyperlink ref="E82" r:id="rId162"/>
    <s:hyperlink ref="D83" r:id="rId163"/>
    <s:hyperlink ref="E83" r:id="rId164"/>
    <s:hyperlink ref="D84" r:id="rId165"/>
    <s:hyperlink ref="E84" r:id="rId166"/>
    <s:hyperlink ref="D85" r:id="rId167"/>
    <s:hyperlink ref="E85" r:id="rId168"/>
    <s:hyperlink ref="D86" r:id="rId169"/>
    <s:hyperlink ref="E86" r:id="rId170"/>
    <s:hyperlink ref="D87" r:id="rId171"/>
    <s:hyperlink ref="E87" r:id="rId172"/>
    <s:hyperlink ref="D88" r:id="rId173"/>
    <s:hyperlink ref="E88" r:id="rId174"/>
    <s:hyperlink ref="D89" r:id="rId175"/>
    <s:hyperlink ref="E89" r:id="rId176"/>
    <s:hyperlink ref="D90" r:id="rId177"/>
    <s:hyperlink ref="E90" r:id="rId178"/>
    <s:hyperlink ref="D91" r:id="rId179"/>
    <s:hyperlink ref="E91" r:id="rId180"/>
    <s:hyperlink ref="D92" r:id="rId181"/>
    <s:hyperlink ref="E92" r:id="rId182"/>
    <s:hyperlink ref="D93" r:id="rId183"/>
    <s:hyperlink ref="E93" r:id="rId184"/>
    <s:hyperlink ref="D94" r:id="rId185"/>
    <s:hyperlink ref="E94" r:id="rId186"/>
    <s:hyperlink ref="D95" r:id="rId187"/>
    <s:hyperlink ref="E95" r:id="rId188"/>
    <s:hyperlink ref="D96" r:id="rId189"/>
    <s:hyperlink ref="E96" r:id="rId190"/>
    <s:hyperlink ref="D97" r:id="rId191"/>
    <s:hyperlink ref="E97" r:id="rId192"/>
    <s:hyperlink ref="D98" r:id="rId193"/>
    <s:hyperlink ref="E98" r:id="rId194"/>
    <s:hyperlink ref="D99" r:id="rId195"/>
    <s:hyperlink ref="E99" r:id="rId196"/>
    <s:hyperlink ref="D100" r:id="rId197"/>
    <s:hyperlink ref="E100" r:id="rId198"/>
    <s:hyperlink ref="D101" r:id="rId199"/>
    <s:hyperlink ref="E101" r:id="rId200"/>
    <s:hyperlink ref="D102" r:id="rId201"/>
    <s:hyperlink ref="E102" r:id="rId202"/>
    <s:hyperlink ref="D103" r:id="rId203"/>
    <s:hyperlink ref="E103" r:id="rId204"/>
    <s:hyperlink ref="D104" r:id="rId205"/>
    <s:hyperlink ref="E104" r:id="rId206"/>
    <s:hyperlink ref="D105" r:id="rId207"/>
    <s:hyperlink ref="E105" r:id="rId208"/>
    <s:hyperlink ref="D106" r:id="rId209"/>
    <s:hyperlink ref="E106" r:id="rId210"/>
    <s:hyperlink ref="D107" r:id="rId211"/>
    <s:hyperlink ref="E107" r:id="rId212"/>
    <s:hyperlink ref="D108" r:id="rId213"/>
    <s:hyperlink ref="E108" r:id="rId214"/>
    <s:hyperlink ref="D109" r:id="rId215"/>
    <s:hyperlink ref="E109" r:id="rId216"/>
    <s:hyperlink ref="D110" r:id="rId217"/>
    <s:hyperlink ref="E110" r:id="rId218"/>
    <s:hyperlink ref="D111" r:id="rId219"/>
    <s:hyperlink ref="E111" r:id="rId220"/>
    <s:hyperlink ref="D112" r:id="rId221"/>
    <s:hyperlink ref="E112" r:id="rId222"/>
    <s:hyperlink ref="D113" r:id="rId223"/>
    <s:hyperlink ref="E113" r:id="rId224"/>
    <s:hyperlink ref="D114" r:id="rId225"/>
    <s:hyperlink ref="E114" r:id="rId226"/>
    <s:hyperlink ref="D115" r:id="rId227"/>
    <s:hyperlink ref="E115" r:id="rId228"/>
    <s:hyperlink ref="D116" r:id="rId229"/>
    <s:hyperlink ref="E116" r:id="rId230"/>
    <s:hyperlink ref="D117" r:id="rId231"/>
    <s:hyperlink ref="E117" r:id="rId232"/>
    <s:hyperlink ref="D118" r:id="rId233"/>
    <s:hyperlink ref="E118" r:id="rId234"/>
    <s:hyperlink ref="D119" r:id="rId235"/>
    <s:hyperlink ref="E119" r:id="rId236"/>
    <s:hyperlink ref="D120" r:id="rId237"/>
    <s:hyperlink ref="E120" r:id="rId238"/>
    <s:hyperlink ref="D121" r:id="rId239"/>
    <s:hyperlink ref="E121" r:id="rId240"/>
    <s:hyperlink ref="D122" r:id="rId241"/>
    <s:hyperlink ref="E122" r:id="rId242"/>
    <s:hyperlink ref="D123" r:id="rId243"/>
    <s:hyperlink ref="E123" r:id="rId244"/>
    <s:hyperlink ref="D124" r:id="rId245"/>
    <s:hyperlink ref="E124" r:id="rId246"/>
    <s:hyperlink ref="D125" r:id="rId247"/>
    <s:hyperlink ref="E125" r:id="rId248"/>
    <s:hyperlink ref="D126" r:id="rId249"/>
    <s:hyperlink ref="E126" r:id="rId250"/>
    <s:hyperlink ref="D127" r:id="rId251"/>
    <s:hyperlink ref="E127" r:id="rId252"/>
    <s:hyperlink ref="D128" r:id="rId253"/>
    <s:hyperlink ref="E128" r:id="rId254"/>
    <s:hyperlink ref="D129" r:id="rId255"/>
    <s:hyperlink ref="E129" r:id="rId256"/>
    <s:hyperlink ref="D130" r:id="rId257"/>
    <s:hyperlink ref="E130" r:id="rId258"/>
    <s:hyperlink ref="D131" r:id="rId259"/>
    <s:hyperlink ref="E131" r:id="rId260"/>
    <s:hyperlink ref="D132" r:id="rId261"/>
    <s:hyperlink ref="E132" r:id="rId262"/>
    <s:hyperlink ref="D133" r:id="rId263"/>
    <s:hyperlink ref="E133" r:id="rId264"/>
    <s:hyperlink ref="D134" r:id="rId265"/>
    <s:hyperlink ref="E134" r:id="rId266"/>
    <s:hyperlink ref="D135" r:id="rId267"/>
    <s:hyperlink ref="E135" r:id="rId268"/>
    <s:hyperlink ref="D136" r:id="rId269"/>
    <s:hyperlink ref="E136" r:id="rId270"/>
    <s:hyperlink ref="D137" r:id="rId271"/>
    <s:hyperlink ref="E137" r:id="rId272"/>
    <s:hyperlink ref="D138" r:id="rId273"/>
    <s:hyperlink ref="E138" r:id="rId274"/>
    <s:hyperlink ref="D139" r:id="rId275"/>
    <s:hyperlink ref="E139" r:id="rId276"/>
    <s:hyperlink ref="D140" r:id="rId277"/>
    <s:hyperlink ref="E140" r:id="rId278"/>
    <s:hyperlink ref="D141" r:id="rId279"/>
    <s:hyperlink ref="E141" r:id="rId280"/>
    <s:hyperlink ref="D142" r:id="rId281"/>
    <s:hyperlink ref="E142" r:id="rId282"/>
    <s:hyperlink ref="D143" r:id="rId283"/>
    <s:hyperlink ref="E143" r:id="rId284"/>
    <s:hyperlink ref="D144" r:id="rId285"/>
    <s:hyperlink ref="E144" r:id="rId286"/>
    <s:hyperlink ref="D145" r:id="rId287"/>
    <s:hyperlink ref="E145" r:id="rId288"/>
    <s:hyperlink ref="D146" r:id="rId289"/>
    <s:hyperlink ref="E146" r:id="rId290"/>
    <s:hyperlink ref="D147" r:id="rId291"/>
    <s:hyperlink ref="E147" r:id="rId292"/>
    <s:hyperlink ref="D148" r:id="rId293"/>
    <s:hyperlink ref="E148" r:id="rId294"/>
    <s:hyperlink ref="D149" r:id="rId295"/>
    <s:hyperlink ref="E149" r:id="rId296"/>
    <s:hyperlink ref="D150" r:id="rId297"/>
    <s:hyperlink ref="E150" r:id="rId298"/>
    <s:hyperlink ref="D151" r:id="rId299"/>
    <s:hyperlink ref="E151" r:id="rId300"/>
    <s:hyperlink ref="D152" r:id="rId301"/>
    <s:hyperlink ref="E152" r:id="rId302"/>
    <s:hyperlink ref="D153" r:id="rId303"/>
    <s:hyperlink ref="E153" r:id="rId304"/>
    <s:hyperlink ref="D154" r:id="rId305"/>
    <s:hyperlink ref="E154" r:id="rId306"/>
    <s:hyperlink ref="D155" r:id="rId307"/>
    <s:hyperlink ref="E155" r:id="rId308"/>
    <s:hyperlink ref="D156" r:id="rId309"/>
    <s:hyperlink ref="E156" r:id="rId310"/>
    <s:hyperlink ref="D157" r:id="rId311"/>
    <s:hyperlink ref="E157" r:id="rId312"/>
    <s:hyperlink ref="D158" r:id="rId313"/>
    <s:hyperlink ref="E158" r:id="rId314"/>
    <s:hyperlink ref="D159" r:id="rId315"/>
    <s:hyperlink ref="E159" r:id="rId316"/>
    <s:hyperlink ref="D160" r:id="rId317"/>
    <s:hyperlink ref="E160" r:id="rId318"/>
    <s:hyperlink ref="D161" r:id="rId319"/>
    <s:hyperlink ref="E161" r:id="rId320"/>
    <s:hyperlink ref="D162" r:id="rId321"/>
    <s:hyperlink ref="E162" r:id="rId322"/>
    <s:hyperlink ref="D163" r:id="rId323"/>
    <s:hyperlink ref="E163" r:id="rId324"/>
    <s:hyperlink ref="D164" r:id="rId325"/>
    <s:hyperlink ref="E164" r:id="rId326"/>
    <s:hyperlink ref="D165" r:id="rId327"/>
    <s:hyperlink ref="E165" r:id="rId328"/>
    <s:hyperlink ref="D166" r:id="rId329"/>
    <s:hyperlink ref="E166" r:id="rId330"/>
    <s:hyperlink ref="D167" r:id="rId331"/>
    <s:hyperlink ref="E167" r:id="rId332"/>
    <s:hyperlink ref="D168" r:id="rId333"/>
    <s:hyperlink ref="E168" r:id="rId334"/>
    <s:hyperlink ref="D169" r:id="rId335"/>
    <s:hyperlink ref="E169" r:id="rId336"/>
    <s:hyperlink ref="D170" r:id="rId337"/>
    <s:hyperlink ref="E170" r:id="rId338"/>
    <s:hyperlink ref="D171" r:id="rId339"/>
    <s:hyperlink ref="E171" r:id="rId340"/>
    <s:hyperlink ref="D172" r:id="rId341"/>
    <s:hyperlink ref="E172" r:id="rId342"/>
    <s:hyperlink ref="D173" r:id="rId343"/>
    <s:hyperlink ref="E173" r:id="rId344"/>
    <s:hyperlink ref="D174" r:id="rId345"/>
    <s:hyperlink ref="E174" r:id="rId346"/>
    <s:hyperlink ref="D175" r:id="rId347"/>
    <s:hyperlink ref="E175" r:id="rId348"/>
    <s:hyperlink ref="D176" r:id="rId349"/>
    <s:hyperlink ref="E176" r:id="rId350"/>
    <s:hyperlink ref="D177" r:id="rId351"/>
    <s:hyperlink ref="E177" r:id="rId352"/>
    <s:hyperlink ref="D178" r:id="rId353"/>
    <s:hyperlink ref="E178" r:id="rId354"/>
    <s:hyperlink ref="D179" r:id="rId355"/>
    <s:hyperlink ref="E179" r:id="rId356"/>
    <s:hyperlink ref="D180" r:id="rId357"/>
    <s:hyperlink ref="E180" r:id="rId358"/>
    <s:hyperlink ref="D181" r:id="rId359"/>
    <s:hyperlink ref="E181" r:id="rId360"/>
    <s:hyperlink ref="D182" r:id="rId361"/>
    <s:hyperlink ref="E182" r:id="rId362"/>
    <s:hyperlink ref="D183" r:id="rId363"/>
    <s:hyperlink ref="E183" r:id="rId364"/>
    <s:hyperlink ref="D184" r:id="rId365"/>
    <s:hyperlink ref="E184" r:id="rId366"/>
    <s:hyperlink ref="D185" r:id="rId367"/>
    <s:hyperlink ref="E185" r:id="rId368"/>
    <s:hyperlink ref="D186" r:id="rId369"/>
    <s:hyperlink ref="E186" r:id="rId370"/>
    <s:hyperlink ref="D187" r:id="rId371"/>
    <s:hyperlink ref="E187" r:id="rId372"/>
    <s:hyperlink ref="D188" r:id="rId373"/>
    <s:hyperlink ref="E188" r:id="rId374"/>
    <s:hyperlink ref="D189" r:id="rId375"/>
    <s:hyperlink ref="E189" r:id="rId376"/>
    <s:hyperlink ref="D190" r:id="rId377"/>
    <s:hyperlink ref="E190" r:id="rId378"/>
    <s:hyperlink ref="D191" r:id="rId379"/>
    <s:hyperlink ref="E191" r:id="rId380"/>
    <s:hyperlink ref="D192" r:id="rId381"/>
    <s:hyperlink ref="E192" r:id="rId382"/>
    <s:hyperlink ref="D193" r:id="rId383"/>
    <s:hyperlink ref="E193" r:id="rId384"/>
    <s:hyperlink ref="D194" r:id="rId385"/>
    <s:hyperlink ref="E194" r:id="rId386"/>
    <s:hyperlink ref="D195" r:id="rId387"/>
    <s:hyperlink ref="E195" r:id="rId388"/>
    <s:hyperlink ref="D196" r:id="rId389"/>
    <s:hyperlink ref="E196" r:id="rId390"/>
    <s:hyperlink ref="D197" r:id="rId391"/>
    <s:hyperlink ref="E197" r:id="rId392"/>
    <s:hyperlink ref="D198" r:id="rId393"/>
    <s:hyperlink ref="E198" r:id="rId394"/>
    <s:hyperlink ref="D199" r:id="rId395"/>
    <s:hyperlink ref="E199" r:id="rId396"/>
    <s:hyperlink ref="D200" r:id="rId397"/>
    <s:hyperlink ref="E200" r:id="rId398"/>
    <s:hyperlink ref="D201" r:id="rId399"/>
    <s:hyperlink ref="E201" r:id="rId400"/>
    <s:hyperlink ref="D202" r:id="rId401"/>
    <s:hyperlink ref="E202" r:id="rId402"/>
    <s:hyperlink ref="D203" r:id="rId403"/>
    <s:hyperlink ref="E203" r:id="rId404"/>
    <s:hyperlink ref="D204" r:id="rId405"/>
    <s:hyperlink ref="E204" r:id="rId406"/>
    <s:hyperlink ref="D205" r:id="rId407"/>
    <s:hyperlink ref="E205" r:id="rId408"/>
    <s:hyperlink ref="D206" r:id="rId409"/>
    <s:hyperlink ref="E206" r:id="rId410"/>
    <s:hyperlink ref="D207" r:id="rId411"/>
    <s:hyperlink ref="E207" r:id="rId412"/>
    <s:hyperlink ref="D208" r:id="rId413"/>
    <s:hyperlink ref="E208" r:id="rId414"/>
    <s:hyperlink ref="D209" r:id="rId415"/>
    <s:hyperlink ref="E209" r:id="rId416"/>
    <s:hyperlink ref="D210" r:id="rId417"/>
    <s:hyperlink ref="E210" r:id="rId418"/>
    <s:hyperlink ref="D211" r:id="rId419"/>
    <s:hyperlink ref="E211" r:id="rId420"/>
    <s:hyperlink ref="D212" r:id="rId421"/>
    <s:hyperlink ref="E212" r:id="rId422"/>
    <s:hyperlink ref="D213" r:id="rId423"/>
    <s:hyperlink ref="E213" r:id="rId424"/>
    <s:hyperlink ref="D214" r:id="rId425"/>
    <s:hyperlink ref="E214" r:id="rId426"/>
    <s:hyperlink ref="D215" r:id="rId427"/>
    <s:hyperlink ref="E215" r:id="rId428"/>
    <s:hyperlink ref="D216" r:id="rId429"/>
    <s:hyperlink ref="E216" r:id="rId430"/>
    <s:hyperlink ref="D217" r:id="rId431"/>
    <s:hyperlink ref="E217" r:id="rId432"/>
    <s:hyperlink ref="D218" r:id="rId433"/>
    <s:hyperlink ref="E218" r:id="rId434"/>
    <s:hyperlink ref="D219" r:id="rId435"/>
    <s:hyperlink ref="E219" r:id="rId436"/>
    <s:hyperlink ref="D220" r:id="rId437"/>
    <s:hyperlink ref="E220" r:id="rId438"/>
    <s:hyperlink ref="D221" r:id="rId439"/>
    <s:hyperlink ref="E221" r:id="rId440"/>
    <s:hyperlink ref="D222" r:id="rId441"/>
    <s:hyperlink ref="E222" r:id="rId442"/>
    <s:hyperlink ref="D223" r:id="rId443"/>
    <s:hyperlink ref="E223" r:id="rId444"/>
    <s:hyperlink ref="D224" r:id="rId445"/>
    <s:hyperlink ref="E224" r:id="rId446"/>
    <s:hyperlink ref="D225" r:id="rId447"/>
    <s:hyperlink ref="E225" r:id="rId448"/>
    <s:hyperlink ref="D226" r:id="rId449"/>
    <s:hyperlink ref="E226" r:id="rId450"/>
    <s:hyperlink ref="D227" r:id="rId451"/>
    <s:hyperlink ref="E227" r:id="rId452"/>
    <s:hyperlink ref="D228" r:id="rId453"/>
    <s:hyperlink ref="E228" r:id="rId454"/>
    <s:hyperlink ref="D229" r:id="rId455"/>
    <s:hyperlink ref="E229" r:id="rId456"/>
    <s:hyperlink ref="D230" r:id="rId457"/>
    <s:hyperlink ref="E230" r:id="rId458"/>
    <s:hyperlink ref="D231" r:id="rId459"/>
    <s:hyperlink ref="E231" r:id="rId460"/>
    <s:hyperlink ref="D232" r:id="rId461"/>
    <s:hyperlink ref="E232" r:id="rId462"/>
    <s:hyperlink ref="D233" r:id="rId463"/>
    <s:hyperlink ref="E233" r:id="rId464"/>
    <s:hyperlink ref="D234" r:id="rId465"/>
    <s:hyperlink ref="E234" r:id="rId466"/>
    <s:hyperlink ref="D235" r:id="rId467"/>
    <s:hyperlink ref="E235" r:id="rId468"/>
    <s:hyperlink ref="D236" r:id="rId469"/>
    <s:hyperlink ref="E236" r:id="rId470"/>
    <s:hyperlink ref="D237" r:id="rId471"/>
    <s:hyperlink ref="E237" r:id="rId472"/>
    <s:hyperlink ref="D238" r:id="rId473"/>
    <s:hyperlink ref="E238" r:id="rId474"/>
    <s:hyperlink ref="D239" r:id="rId475"/>
    <s:hyperlink ref="E239" r:id="rId476"/>
    <s:hyperlink ref="D240" r:id="rId477"/>
    <s:hyperlink ref="E240" r:id="rId478"/>
    <s:hyperlink ref="D241" r:id="rId479"/>
    <s:hyperlink ref="E241" r:id="rId480"/>
    <s:hyperlink ref="D242" r:id="rId481"/>
    <s:hyperlink ref="E242" r:id="rId482"/>
    <s:hyperlink ref="D243" r:id="rId483"/>
    <s:hyperlink ref="E243" r:id="rId484"/>
    <s:hyperlink ref="D244" r:id="rId485"/>
    <s:hyperlink ref="E244" r:id="rId486"/>
    <s:hyperlink ref="D245" r:id="rId487"/>
    <s:hyperlink ref="E245" r:id="rId488"/>
    <s:hyperlink ref="D246" r:id="rId489"/>
    <s:hyperlink ref="E246" r:id="rId490"/>
    <s:hyperlink ref="D247" r:id="rId491"/>
    <s:hyperlink ref="E247" r:id="rId492"/>
    <s:hyperlink ref="D248" r:id="rId493"/>
    <s:hyperlink ref="E248" r:id="rId494"/>
    <s:hyperlink ref="D249" r:id="rId495"/>
    <s:hyperlink ref="E249" r:id="rId496"/>
    <s:hyperlink ref="D250" r:id="rId497"/>
    <s:hyperlink ref="E250" r:id="rId498"/>
    <s:hyperlink ref="D251" r:id="rId499"/>
    <s:hyperlink ref="E251" r:id="rId500"/>
    <s:hyperlink ref="D252" r:id="rId501"/>
    <s:hyperlink ref="E252" r:id="rId502"/>
    <s:hyperlink ref="D253" r:id="rId503"/>
    <s:hyperlink ref="E253" r:id="rId504"/>
    <s:hyperlink ref="D254" r:id="rId505"/>
    <s:hyperlink ref="E254" r:id="rId506"/>
    <s:hyperlink ref="D255" r:id="rId507"/>
    <s:hyperlink ref="E255" r:id="rId508"/>
    <s:hyperlink ref="D256" r:id="rId509"/>
    <s:hyperlink ref="E256" r:id="rId510"/>
    <s:hyperlink ref="D257" r:id="rId511"/>
    <s:hyperlink ref="E257" r:id="rId512"/>
    <s:hyperlink ref="D258" r:id="rId513"/>
    <s:hyperlink ref="E258" r:id="rId514"/>
    <s:hyperlink ref="D259" r:id="rId515"/>
    <s:hyperlink ref="E259" r:id="rId516"/>
    <s:hyperlink ref="D260" r:id="rId517"/>
    <s:hyperlink ref="E260" r:id="rId518"/>
    <s:hyperlink ref="D261" r:id="rId519"/>
    <s:hyperlink ref="E261" r:id="rId520"/>
    <s:hyperlink ref="D262" r:id="rId521"/>
    <s:hyperlink ref="E262" r:id="rId522"/>
    <s:hyperlink ref="D263" r:id="rId523"/>
    <s:hyperlink ref="E263" r:id="rId524"/>
    <s:hyperlink ref="D264" r:id="rId525"/>
    <s:hyperlink ref="E264" r:id="rId526"/>
    <s:hyperlink ref="D265" r:id="rId527"/>
    <s:hyperlink ref="E265" r:id="rId528"/>
    <s:hyperlink ref="D266" r:id="rId529"/>
    <s:hyperlink ref="E266" r:id="rId530"/>
    <s:hyperlink ref="D267" r:id="rId531"/>
    <s:hyperlink ref="E267" r:id="rId532"/>
    <s:hyperlink ref="D268" r:id="rId533"/>
    <s:hyperlink ref="E268" r:id="rId534"/>
    <s:hyperlink ref="D269" r:id="rId535"/>
    <s:hyperlink ref="E269" r:id="rId536"/>
    <s:hyperlink ref="D270" r:id="rId537"/>
    <s:hyperlink ref="E270" r:id="rId538"/>
    <s:hyperlink ref="D271" r:id="rId539"/>
    <s:hyperlink ref="E271" r:id="rId540"/>
    <s:hyperlink ref="D272" r:id="rId541"/>
    <s:hyperlink ref="E272" r:id="rId542"/>
    <s:hyperlink ref="D273" r:id="rId543"/>
    <s:hyperlink ref="E273" r:id="rId544"/>
    <s:hyperlink ref="D274" r:id="rId545"/>
    <s:hyperlink ref="E274" r:id="rId546"/>
    <s:hyperlink ref="D275" r:id="rId547"/>
    <s:hyperlink ref="E275" r:id="rId548"/>
    <s:hyperlink ref="D276" r:id="rId549"/>
    <s:hyperlink ref="E276" r:id="rId550"/>
    <s:hyperlink ref="D277" r:id="rId551"/>
    <s:hyperlink ref="E277" r:id="rId552"/>
    <s:hyperlink ref="D278" r:id="rId553"/>
    <s:hyperlink ref="E278" r:id="rId554"/>
    <s:hyperlink ref="D279" r:id="rId555"/>
    <s:hyperlink ref="E279" r:id="rId556"/>
    <s:hyperlink ref="D280" r:id="rId557"/>
    <s:hyperlink ref="E280" r:id="rId558"/>
    <s:hyperlink ref="D281" r:id="rId559"/>
    <s:hyperlink ref="E281" r:id="rId560"/>
    <s:hyperlink ref="D282" r:id="rId561"/>
    <s:hyperlink ref="E282" r:id="rId562"/>
    <s:hyperlink ref="D283" r:id="rId563"/>
    <s:hyperlink ref="E283" r:id="rId564"/>
    <s:hyperlink ref="D284" r:id="rId565"/>
    <s:hyperlink ref="E284" r:id="rId566"/>
    <s:hyperlink ref="D285" r:id="rId567"/>
    <s:hyperlink ref="E285" r:id="rId568"/>
    <s:hyperlink ref="D286" r:id="rId569"/>
    <s:hyperlink ref="E286" r:id="rId570"/>
    <s:hyperlink ref="D287" r:id="rId571"/>
    <s:hyperlink ref="E287" r:id="rId572"/>
    <s:hyperlink ref="D288" r:id="rId573"/>
    <s:hyperlink ref="E288" r:id="rId574"/>
    <s:hyperlink ref="D289" r:id="rId575"/>
    <s:hyperlink ref="E289" r:id="rId576"/>
    <s:hyperlink ref="D290" r:id="rId577"/>
    <s:hyperlink ref="E290" r:id="rId578"/>
    <s:hyperlink ref="D291" r:id="rId579"/>
    <s:hyperlink ref="E291" r:id="rId580"/>
    <s:hyperlink ref="D292" r:id="rId581"/>
    <s:hyperlink ref="E292" r:id="rId582"/>
    <s:hyperlink ref="D293" r:id="rId583"/>
    <s:hyperlink ref="E293" r:id="rId584"/>
    <s:hyperlink ref="D294" r:id="rId585"/>
    <s:hyperlink ref="E294" r:id="rId586"/>
    <s:hyperlink ref="D295" r:id="rId587"/>
    <s:hyperlink ref="E295" r:id="rId588"/>
    <s:hyperlink ref="D296" r:id="rId589"/>
    <s:hyperlink ref="E296" r:id="rId590"/>
    <s:hyperlink ref="D297" r:id="rId591"/>
    <s:hyperlink ref="E297" r:id="rId592"/>
    <s:hyperlink ref="D298" r:id="rId593"/>
    <s:hyperlink ref="E298" r:id="rId594"/>
    <s:hyperlink ref="D299" r:id="rId595"/>
    <s:hyperlink ref="E299" r:id="rId596"/>
    <s:hyperlink ref="D300" r:id="rId597"/>
    <s:hyperlink ref="E300" r:id="rId598"/>
    <s:hyperlink ref="D301" r:id="rId599"/>
    <s:hyperlink ref="E301" r:id="rId600"/>
    <s:hyperlink ref="D302" r:id="rId601"/>
    <s:hyperlink ref="E302" r:id="rId602"/>
    <s:hyperlink ref="D303" r:id="rId603"/>
    <s:hyperlink ref="E303" r:id="rId604"/>
    <s:hyperlink ref="D304" r:id="rId605"/>
    <s:hyperlink ref="E304" r:id="rId606"/>
    <s:hyperlink ref="D305" r:id="rId607"/>
    <s:hyperlink ref="E305" r:id="rId608"/>
    <s:hyperlink ref="D306" r:id="rId609"/>
    <s:hyperlink ref="E306" r:id="rId610"/>
    <s:hyperlink ref="D307" r:id="rId611"/>
    <s:hyperlink ref="E307" r:id="rId612"/>
    <s:hyperlink ref="D308" r:id="rId613"/>
    <s:hyperlink ref="E308" r:id="rId614"/>
    <s:hyperlink ref="D309" r:id="rId615"/>
    <s:hyperlink ref="E309" r:id="rId616"/>
    <s:hyperlink ref="D310" r:id="rId617"/>
    <s:hyperlink ref="E310" r:id="rId618"/>
    <s:hyperlink ref="D311" r:id="rId619"/>
    <s:hyperlink ref="E311" r:id="rId620"/>
    <s:hyperlink ref="D312" r:id="rId621"/>
    <s:hyperlink ref="E312" r:id="rId622"/>
    <s:hyperlink ref="D313" r:id="rId623"/>
    <s:hyperlink ref="E313" r:id="rId624"/>
    <s:hyperlink ref="D314" r:id="rId625"/>
    <s:hyperlink ref="E314" r:id="rId626"/>
    <s:hyperlink ref="D315" r:id="rId627"/>
    <s:hyperlink ref="E315" r:id="rId628"/>
    <s:hyperlink ref="D316" r:id="rId629"/>
    <s:hyperlink ref="E316" r:id="rId630"/>
    <s:hyperlink ref="D317" r:id="rId631"/>
    <s:hyperlink ref="E317" r:id="rId632"/>
    <s:hyperlink ref="D318" r:id="rId633"/>
    <s:hyperlink ref="E318" r:id="rId634"/>
    <s:hyperlink ref="D319" r:id="rId635"/>
    <s:hyperlink ref="E319" r:id="rId636"/>
    <s:hyperlink ref="D320" r:id="rId637"/>
    <s:hyperlink ref="E320" r:id="rId638"/>
    <s:hyperlink ref="D321" r:id="rId639"/>
    <s:hyperlink ref="E321" r:id="rId640"/>
    <s:hyperlink ref="D322" r:id="rId641"/>
    <s:hyperlink ref="E322" r:id="rId642"/>
    <s:hyperlink ref="D323" r:id="rId643"/>
    <s:hyperlink ref="E323" r:id="rId644"/>
    <s:hyperlink ref="D324" r:id="rId645"/>
    <s:hyperlink ref="E324" r:id="rId646"/>
    <s:hyperlink ref="D325" r:id="rId647"/>
    <s:hyperlink ref="E325" r:id="rId648"/>
    <s:hyperlink ref="D326" r:id="rId649"/>
    <s:hyperlink ref="E326" r:id="rId650"/>
    <s:hyperlink ref="D327" r:id="rId651"/>
    <s:hyperlink ref="E327" r:id="rId652"/>
    <s:hyperlink ref="D328" r:id="rId653"/>
    <s:hyperlink ref="E328" r:id="rId654"/>
    <s:hyperlink ref="D329" r:id="rId655"/>
    <s:hyperlink ref="E329" r:id="rId656"/>
    <s:hyperlink ref="D330" r:id="rId657"/>
    <s:hyperlink ref="E330" r:id="rId658"/>
    <s:hyperlink ref="D331" r:id="rId659"/>
    <s:hyperlink ref="E331" r:id="rId660"/>
    <s:hyperlink ref="D332" r:id="rId661"/>
    <s:hyperlink ref="E332" r:id="rId662"/>
    <s:hyperlink ref="D333" r:id="rId663"/>
    <s:hyperlink ref="E333" r:id="rId664"/>
    <s:hyperlink ref="D334" r:id="rId665"/>
    <s:hyperlink ref="E334" r:id="rId666"/>
    <s:hyperlink ref="D335" r:id="rId667"/>
    <s:hyperlink ref="E335" r:id="rId668"/>
    <s:hyperlink ref="D336" r:id="rId669"/>
    <s:hyperlink ref="E336" r:id="rId670"/>
    <s:hyperlink ref="D337" r:id="rId671"/>
    <s:hyperlink ref="E337" r:id="rId672"/>
  </s:hyperlinks>
  <s:pageMargins left="0.7" right="0.7" top="0.75" bottom="0.75" header="0.3" footer="0.3"/>
</s:worksheet>
</file>

<file path=xl/worksheets/sheet26.xml><?xml version="1.0" encoding="utf-8"?>
<s:worksheet xmlns:s="http://schemas.openxmlformats.org/spreadsheetml/2006/main">
  <s:sheetPr>
    <s:outlinePr summaryBelow="1" summaryRight="1"/>
    <s:pageSetUpPr/>
  </s:sheetPr>
  <s:dimension ref="A1:D146"/>
  <s:sheetViews>
    <s:sheetView showGridLines="0" workbookViewId="0">
      <s:pane xSplit="1" ySplit="1" topLeftCell="B2" activePane="bottomRight" state="frozen"/>
      <s:selection activeCell="A1" sqref="A1"/>
    </s:sheetView>
  </s:sheetViews>
  <s:sheetFormatPr baseColWidth="8" defaultRowHeight="15"/>
  <s:cols>
    <s:col width="44" customWidth="1" style="8" min="1" max="1"/>
    <s:col width="26" customWidth="1" style="8" min="2" max="2"/>
    <s:col width="26" customWidth="1" style="8" min="3" max="3"/>
    <s:col width="26" customWidth="1" style="8" min="4" max="4"/>
  </s:cols>
  <s:sheetData>
    <s:row r="1" ht="42" customFormat="1" customHeight="1" s="8">
      <s:c r="A1" s="5" t="inlineStr">
        <s:is>
          <s:t>key</s:t>
        </s:is>
      </s:c>
      <s:c r="B1" s="5" t="inlineStr">
        <s:is>
          <s:t>kind</s:t>
        </s:is>
      </s:c>
      <s:c r="C1" s="5" t="inlineStr">
        <s:is>
          <s:t>order</s:t>
        </s:is>
      </s:c>
      <s:c r="D1" s="5" t="inlineStr">
        <s:is>
          <s:t>relationship</s:t>
        </s:is>
      </s:c>
    </s:row>
    <s:row r="2" ht="90" customFormat="1" customHeight="1" s="8">
      <s:c r="A2" s="12" t="inlineStr">
        <s:is>
          <s:t>2025::jama.2024.24764::C001</s:t>
        </s:is>
      </s:c>
      <s:c r="B2" s="12" t="inlineStr">
        <s:is>
          <s:t>relations</s:t>
        </s:is>
      </s:c>
      <s:c r="C2" s="12" t="n">
        <s:v>0</s:v>
      </s:c>
      <s:c r="D2" s="12" t="inlineStr">
        <s:is>
          <s:t>S_W</s:t>
        </s:is>
      </s:c>
    </s:row>
    <s:row r="3" ht="90" customFormat="1" customHeight="1" s="8">
      <s:c r="A3" s="11" t="inlineStr">
        <s:is>
          <s:t>2025::jama.2024.24764::C002</s:t>
        </s:is>
      </s:c>
      <s:c r="B3" s="11" t="inlineStr">
        <s:is>
          <s:t>relations</s:t>
        </s:is>
      </s:c>
      <s:c r="C3" s="11" t="n">
        <s:v>0</s:v>
      </s:c>
      <s:c r="D3" s="11" t="inlineStr">
        <s:is>
          <s:t>S_W</s:t>
        </s:is>
      </s:c>
    </s:row>
    <s:row r="4" ht="90" customFormat="1" customHeight="1" s="8">
      <s:c r="A4" s="12" t="inlineStr">
        <s:is>
          <s:t>2025::jama.2024.24764::C003</s:t>
        </s:is>
      </s:c>
      <s:c r="B4" s="12" t="inlineStr">
        <s:is>
          <s:t>relations</s:t>
        </s:is>
      </s:c>
      <s:c r="C4" s="12" t="n">
        <s:v>0</s:v>
      </s:c>
      <s:c r="D4" s="12" t="inlineStr">
        <s:is>
          <s:t>S_W</s:t>
        </s:is>
      </s:c>
    </s:row>
    <s:row r="5" ht="90" customFormat="1" customHeight="1" s="8">
      <s:c r="A5" s="11" t="inlineStr">
        <s:is>
          <s:t>2025::jama.2024.24764::C004</s:t>
        </s:is>
      </s:c>
      <s:c r="B5" s="11" t="inlineStr">
        <s:is>
          <s:t>relations</s:t>
        </s:is>
      </s:c>
      <s:c r="C5" s="11" t="n">
        <s:v>0</s:v>
      </s:c>
      <s:c r="D5" s="11" t="inlineStr">
        <s:is>
          <s:t>S_W</s:t>
        </s:is>
      </s:c>
    </s:row>
    <s:row r="6" ht="90" customFormat="1" customHeight="1" s="8">
      <s:c r="A6" s="12" t="inlineStr">
        <s:is>
          <s:t>2025::jama.2024.24764::C005</s:t>
        </s:is>
      </s:c>
      <s:c r="B6" s="12" t="inlineStr">
        <s:is>
          <s:t>relations</s:t>
        </s:is>
      </s:c>
      <s:c r="C6" s="12" t="n">
        <s:v>0</s:v>
      </s:c>
      <s:c r="D6" s="12" t="inlineStr">
        <s:is>
          <s:t>S_W</s:t>
        </s:is>
      </s:c>
    </s:row>
    <s:row r="7" ht="90" customFormat="1" customHeight="1" s="8">
      <s:c r="A7" s="11" t="inlineStr">
        <s:is>
          <s:t>2025::jama.2024.24764::C006</s:t>
        </s:is>
      </s:c>
      <s:c r="B7" s="11" t="inlineStr">
        <s:is>
          <s:t>relations</s:t>
        </s:is>
      </s:c>
      <s:c r="C7" s="11" t="n">
        <s:v>0</s:v>
      </s:c>
      <s:c r="D7" s="11" t="inlineStr">
        <s:is>
          <s:t>P_R</s:t>
        </s:is>
      </s:c>
    </s:row>
    <s:row r="8" ht="90" customFormat="1" customHeight="1" s="8">
      <s:c r="A8" s="12" t="inlineStr">
        <s:is>
          <s:t>2025::jama.2024.24764::C007</s:t>
        </s:is>
      </s:c>
      <s:c r="B8" s="12" t="inlineStr">
        <s:is>
          <s:t>relations</s:t>
        </s:is>
      </s:c>
      <s:c r="C8" s="12" t="n">
        <s:v>0</s:v>
      </s:c>
      <s:c r="D8" s="12" t="inlineStr">
        <s:is>
          <s:t>P_R</s:t>
        </s:is>
      </s:c>
    </s:row>
    <s:row r="9" ht="90" customFormat="1" customHeight="1" s="8">
      <s:c r="A9" s="11" t="inlineStr">
        <s:is>
          <s:t>2025::jama.2024.24764::C008</s:t>
        </s:is>
      </s:c>
      <s:c r="B9" s="11" t="inlineStr">
        <s:is>
          <s:t>relations</s:t>
        </s:is>
      </s:c>
      <s:c r="C9" s="11" t="n">
        <s:v>0</s:v>
      </s:c>
      <s:c r="D9" s="11" t="inlineStr">
        <s:is>
          <s:t>P_R</s:t>
        </s:is>
      </s:c>
    </s:row>
    <s:row r="10" ht="90" customFormat="1" customHeight="1" s="8">
      <s:c r="A10" s="12" t="inlineStr">
        <s:is>
          <s:t>2025::jama.2024.27643::C001</s:t>
        </s:is>
      </s:c>
      <s:c r="B10" s="12" t="inlineStr">
        <s:is>
          <s:t>relations</s:t>
        </s:is>
      </s:c>
      <s:c r="C10" s="12" t="n">
        <s:v>0</s:v>
      </s:c>
      <s:c r="D10" s="12" t="inlineStr">
        <s:is>
          <s:t>S_W</s:t>
        </s:is>
      </s:c>
    </s:row>
    <s:row r="11" ht="90" customFormat="1" customHeight="1" s="8">
      <s:c r="A11" s="11" t="inlineStr">
        <s:is>
          <s:t>2025::jama.2024.27643::C002</s:t>
        </s:is>
      </s:c>
      <s:c r="B11" s="11" t="inlineStr">
        <s:is>
          <s:t>relations</s:t>
        </s:is>
      </s:c>
      <s:c r="C11" s="11" t="n">
        <s:v>0</s:v>
      </s:c>
      <s:c r="D11" s="11" t="inlineStr">
        <s:is>
          <s:t>S_C</s:t>
        </s:is>
      </s:c>
    </s:row>
    <s:row r="12" ht="90" customFormat="1" customHeight="1" s="8">
      <s:c r="A12" s="12" t="inlineStr">
        <s:is>
          <s:t>2025::jama.2024.27643::C003</s:t>
        </s:is>
      </s:c>
      <s:c r="B12" s="12" t="inlineStr">
        <s:is>
          <s:t>relations</s:t>
        </s:is>
      </s:c>
      <s:c r="C12" s="12" t="n">
        <s:v>0</s:v>
      </s:c>
      <s:c r="D12" s="12" t="inlineStr">
        <s:is>
          <s:t>S_C</s:t>
        </s:is>
      </s:c>
    </s:row>
    <s:row r="13" ht="90" customFormat="1" customHeight="1" s="8">
      <s:c r="A13" s="11" t="inlineStr">
        <s:is>
          <s:t>2025::jama.2024.27643::C004</s:t>
        </s:is>
      </s:c>
      <s:c r="B13" s="11" t="inlineStr">
        <s:is>
          <s:t>relations</s:t>
        </s:is>
      </s:c>
      <s:c r="C13" s="11" t="n">
        <s:v>0</s:v>
      </s:c>
      <s:c r="D13" s="11" t="inlineStr">
        <s:is>
          <s:t>S_C</s:t>
        </s:is>
      </s:c>
    </s:row>
    <s:row r="14" ht="90" customFormat="1" customHeight="1" s="8">
      <s:c r="A14" s="12" t="inlineStr">
        <s:is>
          <s:t>2025::jama.2024.27643::C005</s:t>
        </s:is>
      </s:c>
      <s:c r="B14" s="12" t="inlineStr">
        <s:is>
          <s:t>relations</s:t>
        </s:is>
      </s:c>
      <s:c r="C14" s="12" t="n">
        <s:v>0</s:v>
      </s:c>
      <s:c r="D14" s="12" t="inlineStr">
        <s:is>
          <s:t>S_C</s:t>
        </s:is>
      </s:c>
    </s:row>
    <s:row r="15" ht="90" customFormat="1" customHeight="1" s="8">
      <s:c r="A15" s="11" t="inlineStr">
        <s:is>
          <s:t>2025::jama.2024.27643::C006</s:t>
        </s:is>
      </s:c>
      <s:c r="B15" s="11" t="inlineStr">
        <s:is>
          <s:t>relations</s:t>
        </s:is>
      </s:c>
      <s:c r="C15" s="11" t="n">
        <s:v>0</s:v>
      </s:c>
      <s:c r="D15" s="11" t="inlineStr">
        <s:is>
          <s:t>S_C</s:t>
        </s:is>
      </s:c>
    </s:row>
    <s:row r="16" ht="90" customFormat="1" customHeight="1" s="8">
      <s:c r="A16" s="12" t="inlineStr">
        <s:is>
          <s:t>2025::jama.2024.27643::C006</s:t>
        </s:is>
      </s:c>
      <s:c r="B16" s="12" t="inlineStr">
        <s:is>
          <s:t>relations</s:t>
        </s:is>
      </s:c>
      <s:c r="C16" s="12" t="n">
        <s:v>1</s:v>
      </s:c>
      <s:c r="D16" s="12" t="inlineStr">
        <s:is>
          <s:t>S_W</s:t>
        </s:is>
      </s:c>
    </s:row>
    <s:row r="17" ht="90" customFormat="1" customHeight="1" s="8">
      <s:c r="A17" s="11" t="inlineStr">
        <s:is>
          <s:t>2025::jama.2024.27643::C007</s:t>
        </s:is>
      </s:c>
      <s:c r="B17" s="11" t="inlineStr">
        <s:is>
          <s:t>relations</s:t>
        </s:is>
      </s:c>
      <s:c r="C17" s="11" t="n">
        <s:v>0</s:v>
      </s:c>
      <s:c r="D17" s="11" t="inlineStr">
        <s:is>
          <s:t>S_C</s:t>
        </s:is>
      </s:c>
    </s:row>
    <s:row r="18" ht="90" customFormat="1" customHeight="1" s="8">
      <s:c r="A18" s="12" t="inlineStr">
        <s:is>
          <s:t>2025::jama.2024.27643::C008</s:t>
        </s:is>
      </s:c>
      <s:c r="B18" s="12" t="inlineStr">
        <s:is>
          <s:t>relations</s:t>
        </s:is>
      </s:c>
      <s:c r="C18" s="12" t="n">
        <s:v>0</s:v>
      </s:c>
      <s:c r="D18" s="12" t="inlineStr">
        <s:is>
          <s:t>S_W</s:t>
        </s:is>
      </s:c>
    </s:row>
    <s:row r="19" ht="90" customFormat="1" customHeight="1" s="8">
      <s:c r="A19" s="11" t="inlineStr">
        <s:is>
          <s:t>2025::jama.2025.11178::C001</s:t>
        </s:is>
      </s:c>
      <s:c r="B19" s="11" t="inlineStr">
        <s:is>
          <s:t>relations</s:t>
        </s:is>
      </s:c>
      <s:c r="C19" s="11" t="n">
        <s:v>0</s:v>
      </s:c>
      <s:c r="D19" s="11" t="inlineStr">
        <s:is>
          <s:t>S_W</s:t>
        </s:is>
      </s:c>
    </s:row>
    <s:row r="20" ht="90" customFormat="1" customHeight="1" s="8">
      <s:c r="A20" s="12" t="inlineStr">
        <s:is>
          <s:t>2025::jama.2025.11178::C002</s:t>
        </s:is>
      </s:c>
      <s:c r="B20" s="12" t="inlineStr">
        <s:is>
          <s:t>relations</s:t>
        </s:is>
      </s:c>
      <s:c r="C20" s="12" t="n">
        <s:v>0</s:v>
      </s:c>
      <s:c r="D20" s="12" t="inlineStr">
        <s:is>
          <s:t>S_W</s:t>
        </s:is>
      </s:c>
    </s:row>
    <s:row r="21" ht="90" customFormat="1" customHeight="1" s="8">
      <s:c r="A21" s="11" t="inlineStr">
        <s:is>
          <s:t>2025::jama.2025.11178::C003</s:t>
        </s:is>
      </s:c>
      <s:c r="B21" s="11" t="inlineStr">
        <s:is>
          <s:t>relations</s:t>
        </s:is>
      </s:c>
      <s:c r="C21" s="11" t="n">
        <s:v>0</s:v>
      </s:c>
      <s:c r="D21" s="11" t="inlineStr">
        <s:is>
          <s:t>S_W</s:t>
        </s:is>
      </s:c>
    </s:row>
    <s:row r="22" ht="90" customFormat="1" customHeight="1" s="8">
      <s:c r="A22" s="12" t="inlineStr">
        <s:is>
          <s:t>2025::jama.2025.11178::C004</s:t>
        </s:is>
      </s:c>
      <s:c r="B22" s="12" t="inlineStr">
        <s:is>
          <s:t>relations</s:t>
        </s:is>
      </s:c>
      <s:c r="C22" s="12" t="n">
        <s:v>0</s:v>
      </s:c>
      <s:c r="D22" s="12" t="inlineStr">
        <s:is>
          <s:t>S_W</s:t>
        </s:is>
      </s:c>
    </s:row>
    <s:row r="23" ht="90" customFormat="1" customHeight="1" s="8">
      <s:c r="A23" s="11" t="inlineStr">
        <s:is>
          <s:t>2025::jama.2025.11178::C005</s:t>
        </s:is>
      </s:c>
      <s:c r="B23" s="11" t="inlineStr">
        <s:is>
          <s:t>relations</s:t>
        </s:is>
      </s:c>
      <s:c r="C23" s="11" t="n">
        <s:v>0</s:v>
      </s:c>
      <s:c r="D23" s="11" t="inlineStr">
        <s:is>
          <s:t>S_W</s:t>
        </s:is>
      </s:c>
    </s:row>
    <s:row r="24" ht="90" customFormat="1" customHeight="1" s="8">
      <s:c r="A24" s="12" t="inlineStr">
        <s:is>
          <s:t>2025::jama.2025.11178::C006</s:t>
        </s:is>
      </s:c>
      <s:c r="B24" s="12" t="inlineStr">
        <s:is>
          <s:t>relations</s:t>
        </s:is>
      </s:c>
      <s:c r="C24" s="12" t="n">
        <s:v>0</s:v>
      </s:c>
      <s:c r="D24" s="12" t="inlineStr">
        <s:is>
          <s:t>S_W</s:t>
        </s:is>
      </s:c>
    </s:row>
    <s:row r="25" ht="90" customFormat="1" customHeight="1" s="8">
      <s:c r="A25" s="11" t="inlineStr">
        <s:is>
          <s:t>2025::jama.2025.11178::C007</s:t>
        </s:is>
      </s:c>
      <s:c r="B25" s="11" t="inlineStr">
        <s:is>
          <s:t>relations</s:t>
        </s:is>
      </s:c>
      <s:c r="C25" s="11" t="n">
        <s:v>0</s:v>
      </s:c>
      <s:c r="D25" s="11" t="inlineStr">
        <s:is>
          <s:t>S_W</s:t>
        </s:is>
      </s:c>
    </s:row>
    <s:row r="26" ht="90" customFormat="1" customHeight="1" s="8">
      <s:c r="A26" s="12" t="inlineStr">
        <s:is>
          <s:t>2025::jama.2025.11178::C008</s:t>
        </s:is>
      </s:c>
      <s:c r="B26" s="12" t="inlineStr">
        <s:is>
          <s:t>relations</s:t>
        </s:is>
      </s:c>
      <s:c r="C26" s="12" t="n">
        <s:v>0</s:v>
      </s:c>
      <s:c r="D26" s="12" t="inlineStr">
        <s:is>
          <s:t>S_W</s:t>
        </s:is>
      </s:c>
    </s:row>
    <s:row r="27" ht="90" customFormat="1" customHeight="1" s="8">
      <s:c r="A27" s="11" t="inlineStr">
        <s:is>
          <s:t>2025::jama.2025.11178::C009</s:t>
        </s:is>
      </s:c>
      <s:c r="B27" s="11" t="inlineStr">
        <s:is>
          <s:t>relations</s:t>
        </s:is>
      </s:c>
      <s:c r="C27" s="11" t="n">
        <s:v>0</s:v>
      </s:c>
      <s:c r="D27" s="11" t="inlineStr">
        <s:is>
          <s:t>S_W</s:t>
        </s:is>
      </s:c>
    </s:row>
    <s:row r="28" ht="90" customFormat="1" customHeight="1" s="8">
      <s:c r="A28" s="12" t="inlineStr">
        <s:is>
          <s:t>2025::jama.2025.11178::C010</s:t>
        </s:is>
      </s:c>
      <s:c r="B28" s="12" t="inlineStr">
        <s:is>
          <s:t>relations</s:t>
        </s:is>
      </s:c>
      <s:c r="C28" s="12" t="n">
        <s:v>0</s:v>
      </s:c>
      <s:c r="D28" s="12" t="inlineStr">
        <s:is>
          <s:t>S_W</s:t>
        </s:is>
      </s:c>
    </s:row>
    <s:row r="29" ht="90" customFormat="1" customHeight="1" s="8">
      <s:c r="A29" s="11" t="inlineStr">
        <s:is>
          <s:t>2025::jama.2025.11178::C011</s:t>
        </s:is>
      </s:c>
      <s:c r="B29" s="11" t="inlineStr">
        <s:is>
          <s:t>relations</s:t>
        </s:is>
      </s:c>
      <s:c r="C29" s="11" t="n">
        <s:v>0</s:v>
      </s:c>
      <s:c r="D29" s="11" t="inlineStr">
        <s:is>
          <s:t>S_W</s:t>
        </s:is>
      </s:c>
    </s:row>
    <s:row r="30" ht="90" customFormat="1" customHeight="1" s="8">
      <s:c r="A30" s="12" t="inlineStr">
        <s:is>
          <s:t>2025::jama.2025.11178::C012</s:t>
        </s:is>
      </s:c>
      <s:c r="B30" s="12" t="inlineStr">
        <s:is>
          <s:t>relations</s:t>
        </s:is>
      </s:c>
      <s:c r="C30" s="12" t="n">
        <s:v>0</s:v>
      </s:c>
      <s:c r="D30" s="12" t="inlineStr">
        <s:is>
          <s:t>S_W</s:t>
        </s:is>
      </s:c>
    </s:row>
    <s:row r="31" ht="90" customFormat="1" customHeight="1" s="8">
      <s:c r="A31" s="11" t="inlineStr">
        <s:is>
          <s:t>2025::jama.2025.11178::C013</s:t>
        </s:is>
      </s:c>
      <s:c r="B31" s="11" t="inlineStr">
        <s:is>
          <s:t>relations</s:t>
        </s:is>
      </s:c>
      <s:c r="C31" s="11" t="n">
        <s:v>0</s:v>
      </s:c>
      <s:c r="D31" s="11" t="inlineStr">
        <s:is>
          <s:t>S_W</s:t>
        </s:is>
      </s:c>
    </s:row>
    <s:row r="32" ht="90" customFormat="1" customHeight="1" s="8">
      <s:c r="A32" s="12" t="inlineStr">
        <s:is>
          <s:t>2025::jama.2025.11178::C014</s:t>
        </s:is>
      </s:c>
      <s:c r="B32" s="12" t="inlineStr">
        <s:is>
          <s:t>relations</s:t>
        </s:is>
      </s:c>
      <s:c r="C32" s="12" t="n">
        <s:v>0</s:v>
      </s:c>
      <s:c r="D32" s="12" t="inlineStr">
        <s:is>
          <s:t>S_W</s:t>
        </s:is>
      </s:c>
    </s:row>
    <s:row r="33" ht="90" customFormat="1" customHeight="1" s="8">
      <s:c r="A33" s="11" t="inlineStr">
        <s:is>
          <s:t>2025::jama.2025.11178::C015</s:t>
        </s:is>
      </s:c>
      <s:c r="B33" s="11" t="inlineStr">
        <s:is>
          <s:t>relations</s:t>
        </s:is>
      </s:c>
      <s:c r="C33" s="11" t="n">
        <s:v>0</s:v>
      </s:c>
      <s:c r="D33" s="11" t="inlineStr">
        <s:is>
          <s:t>S_W</s:t>
        </s:is>
      </s:c>
    </s:row>
    <s:row r="34" ht="90" customFormat="1" customHeight="1" s="8">
      <s:c r="A34" s="12" t="inlineStr">
        <s:is>
          <s:t>2025::jama.2025.11178::C016</s:t>
        </s:is>
      </s:c>
      <s:c r="B34" s="12" t="inlineStr">
        <s:is>
          <s:t>relations</s:t>
        </s:is>
      </s:c>
      <s:c r="C34" s="12" t="n">
        <s:v>0</s:v>
      </s:c>
      <s:c r="D34" s="12" t="inlineStr">
        <s:is>
          <s:t>S_W</s:t>
        </s:is>
      </s:c>
    </s:row>
    <s:row r="35" ht="90" customFormat="1" customHeight="1" s="8">
      <s:c r="A35" s="11" t="inlineStr">
        <s:is>
          <s:t>2025::jama.2025.11178::C017</s:t>
        </s:is>
      </s:c>
      <s:c r="B35" s="11" t="inlineStr">
        <s:is>
          <s:t>relations</s:t>
        </s:is>
      </s:c>
      <s:c r="C35" s="11" t="n">
        <s:v>0</s:v>
      </s:c>
      <s:c r="D35" s="11" t="inlineStr">
        <s:is>
          <s:t>S_W</s:t>
        </s:is>
      </s:c>
    </s:row>
    <s:row r="36" ht="90" customFormat="1" customHeight="1" s="8">
      <s:c r="A36" s="12" t="inlineStr">
        <s:is>
          <s:t>2025::jama.2025.11178::C018</s:t>
        </s:is>
      </s:c>
      <s:c r="B36" s="12" t="inlineStr">
        <s:is>
          <s:t>relations</s:t>
        </s:is>
      </s:c>
      <s:c r="C36" s="12" t="n">
        <s:v>0</s:v>
      </s:c>
      <s:c r="D36" s="12" t="inlineStr">
        <s:is>
          <s:t>S_W</s:t>
        </s:is>
      </s:c>
    </s:row>
    <s:row r="37" ht="90" customFormat="1" customHeight="1" s="8">
      <s:c r="A37" s="11" t="inlineStr">
        <s:is>
          <s:t>2025::jama.2025.11178::C019</s:t>
        </s:is>
      </s:c>
      <s:c r="B37" s="11" t="inlineStr">
        <s:is>
          <s:t>relations</s:t>
        </s:is>
      </s:c>
      <s:c r="C37" s="11" t="n">
        <s:v>0</s:v>
      </s:c>
      <s:c r="D37" s="11" t="inlineStr">
        <s:is>
          <s:t>S_W</s:t>
        </s:is>
      </s:c>
    </s:row>
    <s:row r="38" ht="90" customFormat="1" customHeight="1" s="8">
      <s:c r="A38" s="12" t="inlineStr">
        <s:is>
          <s:t>2025::jama.2025.11178::C020</s:t>
        </s:is>
      </s:c>
      <s:c r="B38" s="12" t="inlineStr">
        <s:is>
          <s:t>relations</s:t>
        </s:is>
      </s:c>
      <s:c r="C38" s="12" t="n">
        <s:v>0</s:v>
      </s:c>
      <s:c r="D38" s="12" t="inlineStr">
        <s:is>
          <s:t>S_W</s:t>
        </s:is>
      </s:c>
    </s:row>
    <s:row r="39" ht="90" customFormat="1" customHeight="1" s="8">
      <s:c r="A39" s="11" t="inlineStr">
        <s:is>
          <s:t>2025::jama.2025.11178::C021</s:t>
        </s:is>
      </s:c>
      <s:c r="B39" s="11" t="inlineStr">
        <s:is>
          <s:t>relations</s:t>
        </s:is>
      </s:c>
      <s:c r="C39" s="11" t="n">
        <s:v>0</s:v>
      </s:c>
      <s:c r="D39" s="11" t="inlineStr">
        <s:is>
          <s:t>S_W</s:t>
        </s:is>
      </s:c>
    </s:row>
    <s:row r="40" ht="90" customFormat="1" customHeight="1" s="8">
      <s:c r="A40" s="12" t="inlineStr">
        <s:is>
          <s:t>2025::jama.2025.11178::C022</s:t>
        </s:is>
      </s:c>
      <s:c r="B40" s="12" t="inlineStr">
        <s:is>
          <s:t>relations</s:t>
        </s:is>
      </s:c>
      <s:c r="C40" s="12" t="n">
        <s:v>0</s:v>
      </s:c>
      <s:c r="D40" s="12" t="inlineStr">
        <s:is>
          <s:t>S_W</s:t>
        </s:is>
      </s:c>
    </s:row>
    <s:row r="41" ht="90" customFormat="1" customHeight="1" s="8">
      <s:c r="A41" s="11" t="inlineStr">
        <s:is>
          <s:t>2025::jama.2025.11178::C023</s:t>
        </s:is>
      </s:c>
      <s:c r="B41" s="11" t="inlineStr">
        <s:is>
          <s:t>relations</s:t>
        </s:is>
      </s:c>
      <s:c r="C41" s="11" t="n">
        <s:v>0</s:v>
      </s:c>
      <s:c r="D41" s="11" t="inlineStr">
        <s:is>
          <s:t>S_W</s:t>
        </s:is>
      </s:c>
    </s:row>
    <s:row r="42" ht="90" customFormat="1" customHeight="1" s="8">
      <s:c r="A42" s="12" t="inlineStr">
        <s:is>
          <s:t>2025::jama.2025.11178::C024</s:t>
        </s:is>
      </s:c>
      <s:c r="B42" s="12" t="inlineStr">
        <s:is>
          <s:t>relations</s:t>
        </s:is>
      </s:c>
      <s:c r="C42" s="12" t="n">
        <s:v>0</s:v>
      </s:c>
      <s:c r="D42" s="12" t="inlineStr">
        <s:is>
          <s:t>S_W</s:t>
        </s:is>
      </s:c>
    </s:row>
    <s:row r="43" ht="90" customFormat="1" customHeight="1" s="8">
      <s:c r="A43" s="11" t="inlineStr">
        <s:is>
          <s:t>2025::jama.2025.11178::C025</s:t>
        </s:is>
      </s:c>
      <s:c r="B43" s="11" t="inlineStr">
        <s:is>
          <s:t>relations</s:t>
        </s:is>
      </s:c>
      <s:c r="C43" s="11" t="n">
        <s:v>0</s:v>
      </s:c>
      <s:c r="D43" s="11" t="inlineStr">
        <s:is>
          <s:t>S_W</s:t>
        </s:is>
      </s:c>
    </s:row>
    <s:row r="44" ht="90" customFormat="1" customHeight="1" s="8">
      <s:c r="A44" s="12" t="inlineStr">
        <s:is>
          <s:t>2025::jama.2025.11178::C026</s:t>
        </s:is>
      </s:c>
      <s:c r="B44" s="12" t="inlineStr">
        <s:is>
          <s:t>relations</s:t>
        </s:is>
      </s:c>
      <s:c r="C44" s="12" t="n">
        <s:v>0</s:v>
      </s:c>
      <s:c r="D44" s="12" t="inlineStr">
        <s:is>
          <s:t>S_W</s:t>
        </s:is>
      </s:c>
    </s:row>
    <s:row r="45" ht="90" customFormat="1" customHeight="1" s="8">
      <s:c r="A45" s="11" t="inlineStr">
        <s:is>
          <s:t>2025::jama.2025.11178::C027</s:t>
        </s:is>
      </s:c>
      <s:c r="B45" s="11" t="inlineStr">
        <s:is>
          <s:t>relations</s:t>
        </s:is>
      </s:c>
      <s:c r="C45" s="11" t="n">
        <s:v>0</s:v>
      </s:c>
      <s:c r="D45" s="11" t="inlineStr">
        <s:is>
          <s:t>S_W</s:t>
        </s:is>
      </s:c>
    </s:row>
    <s:row r="46" ht="90" customFormat="1" customHeight="1" s="8">
      <s:c r="A46" s="12" t="inlineStr">
        <s:is>
          <s:t>2025::jama.2025.11178::C028</s:t>
        </s:is>
      </s:c>
      <s:c r="B46" s="12" t="inlineStr">
        <s:is>
          <s:t>relations</s:t>
        </s:is>
      </s:c>
      <s:c r="C46" s="12" t="n">
        <s:v>0</s:v>
      </s:c>
      <s:c r="D46" s="12" t="inlineStr">
        <s:is>
          <s:t>S_W</s:t>
        </s:is>
      </s:c>
    </s:row>
    <s:row r="47" ht="90" customFormat="1" customHeight="1" s="8">
      <s:c r="A47" s="11" t="inlineStr">
        <s:is>
          <s:t>2025::jama.2025.11178::C029</s:t>
        </s:is>
      </s:c>
      <s:c r="B47" s="11" t="inlineStr">
        <s:is>
          <s:t>relations</s:t>
        </s:is>
      </s:c>
      <s:c r="C47" s="11" t="n">
        <s:v>0</s:v>
      </s:c>
      <s:c r="D47" s="11" t="inlineStr">
        <s:is>
          <s:t>S_W</s:t>
        </s:is>
      </s:c>
    </s:row>
    <s:row r="48" ht="90" customFormat="1" customHeight="1" s="8">
      <s:c r="A48" s="12" t="inlineStr">
        <s:is>
          <s:t>2025::jama.2025.11178::C030</s:t>
        </s:is>
      </s:c>
      <s:c r="B48" s="12" t="inlineStr">
        <s:is>
          <s:t>relations</s:t>
        </s:is>
      </s:c>
      <s:c r="C48" s="12" t="n">
        <s:v>0</s:v>
      </s:c>
      <s:c r="D48" s="12" t="inlineStr">
        <s:is>
          <s:t>S_W</s:t>
        </s:is>
      </s:c>
    </s:row>
    <s:row r="49" ht="90" customFormat="1" customHeight="1" s="8">
      <s:c r="A49" s="11" t="inlineStr">
        <s:is>
          <s:t>2025::jama.2025.11178::C031</s:t>
        </s:is>
      </s:c>
      <s:c r="B49" s="11" t="inlineStr">
        <s:is>
          <s:t>relations</s:t>
        </s:is>
      </s:c>
      <s:c r="C49" s="11" t="n">
        <s:v>0</s:v>
      </s:c>
      <s:c r="D49" s="11" t="inlineStr">
        <s:is>
          <s:t>S_W</s:t>
        </s:is>
      </s:c>
    </s:row>
    <s:row r="50" ht="90" customFormat="1" customHeight="1" s="8">
      <s:c r="A50" s="12" t="inlineStr">
        <s:is>
          <s:t>2025::jama.2025.11178::C032</s:t>
        </s:is>
      </s:c>
      <s:c r="B50" s="12" t="inlineStr">
        <s:is>
          <s:t>relations</s:t>
        </s:is>
      </s:c>
      <s:c r="C50" s="12" t="n">
        <s:v>0</s:v>
      </s:c>
      <s:c r="D50" s="12" t="inlineStr">
        <s:is>
          <s:t>S_W</s:t>
        </s:is>
      </s:c>
    </s:row>
    <s:row r="51" ht="90" customFormat="1" customHeight="1" s="8">
      <s:c r="A51" s="11" t="inlineStr">
        <s:is>
          <s:t>2025::jama.2025.11178::C033</s:t>
        </s:is>
      </s:c>
      <s:c r="B51" s="11" t="inlineStr">
        <s:is>
          <s:t>relations</s:t>
        </s:is>
      </s:c>
      <s:c r="C51" s="11" t="n">
        <s:v>0</s:v>
      </s:c>
      <s:c r="D51" s="11" t="inlineStr">
        <s:is>
          <s:t>S_W</s:t>
        </s:is>
      </s:c>
    </s:row>
    <s:row r="52" ht="90" customFormat="1" customHeight="1" s="8">
      <s:c r="A52" s="12" t="inlineStr">
        <s:is>
          <s:t>2025::jama.2025.11178::C034</s:t>
        </s:is>
      </s:c>
      <s:c r="B52" s="12" t="inlineStr">
        <s:is>
          <s:t>relations</s:t>
        </s:is>
      </s:c>
      <s:c r="C52" s="12" t="n">
        <s:v>0</s:v>
      </s:c>
      <s:c r="D52" s="12" t="inlineStr">
        <s:is>
          <s:t>S_C</s:t>
        </s:is>
      </s:c>
    </s:row>
    <s:row r="53" ht="90" customFormat="1" customHeight="1" s="8">
      <s:c r="A53" s="11" t="inlineStr">
        <s:is>
          <s:t>2025::jama.2025.11178::C035</s:t>
        </s:is>
      </s:c>
      <s:c r="B53" s="11" t="inlineStr">
        <s:is>
          <s:t>relations</s:t>
        </s:is>
      </s:c>
      <s:c r="C53" s="11" t="n">
        <s:v>0</s:v>
      </s:c>
      <s:c r="D53" s="11" t="inlineStr">
        <s:is>
          <s:t>S_C</s:t>
        </s:is>
      </s:c>
    </s:row>
    <s:row r="54" ht="90" customFormat="1" customHeight="1" s="8">
      <s:c r="A54" s="12" t="inlineStr">
        <s:is>
          <s:t>2025::jama.2025.11178::C035</s:t>
        </s:is>
      </s:c>
      <s:c r="B54" s="12" t="inlineStr">
        <s:is>
          <s:t>relations</s:t>
        </s:is>
      </s:c>
      <s:c r="C54" s="12" t="n">
        <s:v>1</s:v>
      </s:c>
      <s:c r="D54" s="12" t="inlineStr">
        <s:is>
          <s:t>S_W</s:t>
        </s:is>
      </s:c>
    </s:row>
    <s:row r="55" ht="90" customFormat="1" customHeight="1" s="8">
      <s:c r="A55" s="11" t="inlineStr">
        <s:is>
          <s:t>2025::jama.2025.11178::C036</s:t>
        </s:is>
      </s:c>
      <s:c r="B55" s="11" t="inlineStr">
        <s:is>
          <s:t>relations</s:t>
        </s:is>
      </s:c>
      <s:c r="C55" s="11" t="n">
        <s:v>0</s:v>
      </s:c>
      <s:c r="D55" s="11" t="inlineStr">
        <s:is>
          <s:t>S_W</s:t>
        </s:is>
      </s:c>
    </s:row>
    <s:row r="56" ht="90" customFormat="1" customHeight="1" s="8">
      <s:c r="A56" s="12" t="inlineStr">
        <s:is>
          <s:t>2025::jama.2025.11178::C037</s:t>
        </s:is>
      </s:c>
      <s:c r="B56" s="12" t="inlineStr">
        <s:is>
          <s:t>relations</s:t>
        </s:is>
      </s:c>
      <s:c r="C56" s="12" t="n">
        <s:v>0</s:v>
      </s:c>
      <s:c r="D56" s="12" t="inlineStr">
        <s:is>
          <s:t>S_W</s:t>
        </s:is>
      </s:c>
    </s:row>
    <s:row r="57" ht="90" customFormat="1" customHeight="1" s="8">
      <s:c r="A57" s="11" t="inlineStr">
        <s:is>
          <s:t>2025::jama.2025.15185::C001</s:t>
        </s:is>
      </s:c>
      <s:c r="B57" s="11" t="inlineStr">
        <s:is>
          <s:t>relations</s:t>
        </s:is>
      </s:c>
      <s:c r="C57" s="11" t="n">
        <s:v>0</s:v>
      </s:c>
      <s:c r="D57" s="11" t="inlineStr">
        <s:is>
          <s:t>S_C</s:t>
        </s:is>
      </s:c>
    </s:row>
    <s:row r="58" ht="90" customFormat="1" customHeight="1" s="8">
      <s:c r="A58" s="12" t="inlineStr">
        <s:is>
          <s:t>2025::jama.2025.15185::C002</s:t>
        </s:is>
      </s:c>
      <s:c r="B58" s="12" t="inlineStr">
        <s:is>
          <s:t>relations</s:t>
        </s:is>
      </s:c>
      <s:c r="C58" s="12" t="n">
        <s:v>0</s:v>
      </s:c>
      <s:c r="D58" s="12" t="inlineStr">
        <s:is>
          <s:t>S_C</s:t>
        </s:is>
      </s:c>
    </s:row>
    <s:row r="59" ht="90" customFormat="1" customHeight="1" s="8">
      <s:c r="A59" s="11" t="inlineStr">
        <s:is>
          <s:t>2025::jama.2025.15185::C002</s:t>
        </s:is>
      </s:c>
      <s:c r="B59" s="11" t="inlineStr">
        <s:is>
          <s:t>relations</s:t>
        </s:is>
      </s:c>
      <s:c r="C59" s="11" t="n">
        <s:v>1</s:v>
      </s:c>
      <s:c r="D59" s="11" t="inlineStr">
        <s:is>
          <s:t>S_W</s:t>
        </s:is>
      </s:c>
    </s:row>
    <s:row r="60" ht="90" customFormat="1" customHeight="1" s="8">
      <s:c r="A60" s="12" t="inlineStr">
        <s:is>
          <s:t>2025::jama.2025.15185::C003</s:t>
        </s:is>
      </s:c>
      <s:c r="B60" s="12" t="inlineStr">
        <s:is>
          <s:t>relations</s:t>
        </s:is>
      </s:c>
      <s:c r="C60" s="12" t="n">
        <s:v>0</s:v>
      </s:c>
      <s:c r="D60" s="12" t="inlineStr">
        <s:is>
          <s:t>S_C</s:t>
        </s:is>
      </s:c>
    </s:row>
    <s:row r="61" ht="90" customFormat="1" customHeight="1" s="8">
      <s:c r="A61" s="11" t="inlineStr">
        <s:is>
          <s:t>2025::jama.2025.15185::C004</s:t>
        </s:is>
      </s:c>
      <s:c r="B61" s="11" t="inlineStr">
        <s:is>
          <s:t>relations</s:t>
        </s:is>
      </s:c>
      <s:c r="C61" s="11" t="n">
        <s:v>0</s:v>
      </s:c>
      <s:c r="D61" s="11" t="inlineStr">
        <s:is>
          <s:t>S_W</s:t>
        </s:is>
      </s:c>
    </s:row>
    <s:row r="62" ht="90" customFormat="1" customHeight="1" s="8">
      <s:c r="A62" s="12" t="inlineStr">
        <s:is>
          <s:t>2025::jama.2025.15185::C005</s:t>
        </s:is>
      </s:c>
      <s:c r="B62" s="12" t="inlineStr">
        <s:is>
          <s:t>relations</s:t>
        </s:is>
      </s:c>
      <s:c r="C62" s="12" t="n">
        <s:v>0</s:v>
      </s:c>
      <s:c r="D62" s="12" t="inlineStr">
        <s:is>
          <s:t>S_C</s:t>
        </s:is>
      </s:c>
    </s:row>
    <s:row r="63" ht="90" customFormat="1" customHeight="1" s="8">
      <s:c r="A63" s="11" t="inlineStr">
        <s:is>
          <s:t>2025::jama.2025.15185::C006</s:t>
        </s:is>
      </s:c>
      <s:c r="B63" s="11" t="inlineStr">
        <s:is>
          <s:t>relations</s:t>
        </s:is>
      </s:c>
      <s:c r="C63" s="11" t="n">
        <s:v>0</s:v>
      </s:c>
      <s:c r="D63" s="11" t="inlineStr">
        <s:is>
          <s:t>S_C</s:t>
        </s:is>
      </s:c>
    </s:row>
    <s:row r="64" ht="90" customFormat="1" customHeight="1" s="8">
      <s:c r="A64" s="12" t="inlineStr">
        <s:is>
          <s:t>2025::jama.2025.15185::C007</s:t>
        </s:is>
      </s:c>
      <s:c r="B64" s="12" t="inlineStr">
        <s:is>
          <s:t>relations</s:t>
        </s:is>
      </s:c>
      <s:c r="C64" s="12" t="n">
        <s:v>0</s:v>
      </s:c>
      <s:c r="D64" s="12" t="inlineStr">
        <s:is>
          <s:t>S_C</s:t>
        </s:is>
      </s:c>
    </s:row>
    <s:row r="65" ht="90" customFormat="1" customHeight="1" s="8">
      <s:c r="A65" s="11" t="inlineStr">
        <s:is>
          <s:t>2025::jama.2025.15185::C008</s:t>
        </s:is>
      </s:c>
      <s:c r="B65" s="11" t="inlineStr">
        <s:is>
          <s:t>relations</s:t>
        </s:is>
      </s:c>
      <s:c r="C65" s="11" t="n">
        <s:v>0</s:v>
      </s:c>
      <s:c r="D65" s="11" t="inlineStr">
        <s:is>
          <s:t>S_C</s:t>
        </s:is>
      </s:c>
    </s:row>
    <s:row r="66" ht="90" customFormat="1" customHeight="1" s="8">
      <s:c r="A66" s="12" t="inlineStr">
        <s:is>
          <s:t>2025::jama.2025.15185::C009</s:t>
        </s:is>
      </s:c>
      <s:c r="B66" s="12" t="inlineStr">
        <s:is>
          <s:t>relations</s:t>
        </s:is>
      </s:c>
      <s:c r="C66" s="12" t="n">
        <s:v>0</s:v>
      </s:c>
      <s:c r="D66" s="12" t="inlineStr">
        <s:is>
          <s:t>S_W</s:t>
        </s:is>
      </s:c>
    </s:row>
    <s:row r="67" ht="90" customFormat="1" customHeight="1" s="8">
      <s:c r="A67" s="11" t="inlineStr">
        <s:is>
          <s:t>2025::jama.2025.15185::C010</s:t>
        </s:is>
      </s:c>
      <s:c r="B67" s="11" t="inlineStr">
        <s:is>
          <s:t>relations</s:t>
        </s:is>
      </s:c>
      <s:c r="C67" s="11" t="n">
        <s:v>0</s:v>
      </s:c>
      <s:c r="D67" s="11" t="inlineStr">
        <s:is>
          <s:t>S_W</s:t>
        </s:is>
      </s:c>
    </s:row>
    <s:row r="68" ht="90" customFormat="1" customHeight="1" s="8">
      <s:c r="A68" s="12" t="inlineStr">
        <s:is>
          <s:t>2025::jama.2025.15185::C011</s:t>
        </s:is>
      </s:c>
      <s:c r="B68" s="12" t="inlineStr">
        <s:is>
          <s:t>relations</s:t>
        </s:is>
      </s:c>
      <s:c r="C68" s="12" t="n">
        <s:v>0</s:v>
      </s:c>
      <s:c r="D68" s="12" t="inlineStr">
        <s:is>
          <s:t>S_W</s:t>
        </s:is>
      </s:c>
    </s:row>
    <s:row r="69" ht="90" customFormat="1" customHeight="1" s="8">
      <s:c r="A69" s="11" t="inlineStr">
        <s:is>
          <s:t>2025::jama.2025.15185::C012</s:t>
        </s:is>
      </s:c>
      <s:c r="B69" s="11" t="inlineStr">
        <s:is>
          <s:t>relations</s:t>
        </s:is>
      </s:c>
      <s:c r="C69" s="11" t="n">
        <s:v>0</s:v>
      </s:c>
      <s:c r="D69" s="11" t="inlineStr">
        <s:is>
          <s:t>S_W</s:t>
        </s:is>
      </s:c>
    </s:row>
    <s:row r="70" ht="90" customFormat="1" customHeight="1" s="8">
      <s:c r="A70" s="12" t="inlineStr">
        <s:is>
          <s:t>2025::jama.2025.15440::C001</s:t>
        </s:is>
      </s:c>
      <s:c r="B70" s="12" t="inlineStr">
        <s:is>
          <s:t>relations</s:t>
        </s:is>
      </s:c>
      <s:c r="C70" s="12" t="n">
        <s:v>0</s:v>
      </s:c>
      <s:c r="D70" s="12" t="inlineStr">
        <s:is>
          <s:t>S_W</s:t>
        </s:is>
      </s:c>
    </s:row>
    <s:row r="71" ht="90" customFormat="1" customHeight="1" s="8">
      <s:c r="A71" s="11" t="inlineStr">
        <s:is>
          <s:t>2025::jama.2025.15440::C002</s:t>
        </s:is>
      </s:c>
      <s:c r="B71" s="11" t="inlineStr">
        <s:is>
          <s:t>relations</s:t>
        </s:is>
      </s:c>
      <s:c r="C71" s="11" t="n">
        <s:v>0</s:v>
      </s:c>
      <s:c r="D71" s="11" t="inlineStr">
        <s:is>
          <s:t>S_W</s:t>
        </s:is>
      </s:c>
    </s:row>
    <s:row r="72" ht="90" customFormat="1" customHeight="1" s="8">
      <s:c r="A72" s="12" t="inlineStr">
        <s:is>
          <s:t>2025::jama.2025.16450::C001</s:t>
        </s:is>
      </s:c>
      <s:c r="B72" s="12" t="inlineStr">
        <s:is>
          <s:t>relations</s:t>
        </s:is>
      </s:c>
      <s:c r="C72" s="12" t="n">
        <s:v>0</s:v>
      </s:c>
      <s:c r="D72" s="12" t="inlineStr">
        <s:is>
          <s:t>S_W</s:t>
        </s:is>
      </s:c>
    </s:row>
    <s:row r="73" ht="90" customFormat="1" customHeight="1" s="8">
      <s:c r="A73" s="11" t="inlineStr">
        <s:is>
          <s:t>2025::jama.2025.16450::C002</s:t>
        </s:is>
      </s:c>
      <s:c r="B73" s="11" t="inlineStr">
        <s:is>
          <s:t>relations</s:t>
        </s:is>
      </s:c>
      <s:c r="C73" s="11" t="n">
        <s:v>0</s:v>
      </s:c>
      <s:c r="D73" s="11" t="inlineStr">
        <s:is>
          <s:t>P_R</s:t>
        </s:is>
      </s:c>
    </s:row>
    <s:row r="74" ht="90" customFormat="1" customHeight="1" s="8">
      <s:c r="A74" s="12" t="inlineStr">
        <s:is>
          <s:t>2025::jama.2025.16450::C003</s:t>
        </s:is>
      </s:c>
      <s:c r="B74" s="12" t="inlineStr">
        <s:is>
          <s:t>relations</s:t>
        </s:is>
      </s:c>
      <s:c r="C74" s="12" t="n">
        <s:v>0</s:v>
      </s:c>
      <s:c r="D74" s="12" t="inlineStr">
        <s:is>
          <s:t>P_R</s:t>
        </s:is>
      </s:c>
    </s:row>
    <s:row r="75" ht="90" customFormat="1" customHeight="1" s="8">
      <s:c r="A75" s="11" t="inlineStr">
        <s:is>
          <s:t>2025::jama.2025.16450::C004</s:t>
        </s:is>
      </s:c>
      <s:c r="B75" s="11" t="inlineStr">
        <s:is>
          <s:t>relations</s:t>
        </s:is>
      </s:c>
      <s:c r="C75" s="11" t="n">
        <s:v>0</s:v>
      </s:c>
      <s:c r="D75" s="11" t="inlineStr">
        <s:is>
          <s:t>P_P</s:t>
        </s:is>
      </s:c>
    </s:row>
    <s:row r="76" ht="90" customFormat="1" customHeight="1" s="8">
      <s:c r="A76" s="12" t="inlineStr">
        <s:is>
          <s:t>2025::jama.2025.16450::C004</s:t>
        </s:is>
      </s:c>
      <s:c r="B76" s="12" t="inlineStr">
        <s:is>
          <s:t>legacyRelations</s:t>
        </s:is>
      </s:c>
      <s:c r="C76" s="12" t="n">
        <s:v>0</s:v>
      </s:c>
      <s:c r="D76" s="12" t="inlineStr">
        <s:is>
          <s:t>P_O</s:t>
        </s:is>
      </s:c>
    </s:row>
    <s:row r="77" ht="90" customFormat="1" customHeight="1" s="8">
      <s:c r="A77" s="11" t="inlineStr">
        <s:is>
          <s:t>2025::jama.2025.16450::C005</s:t>
        </s:is>
      </s:c>
      <s:c r="B77" s="11" t="inlineStr">
        <s:is>
          <s:t>relations</s:t>
        </s:is>
      </s:c>
      <s:c r="C77" s="11" t="n">
        <s:v>0</s:v>
      </s:c>
      <s:c r="D77" s="11" t="inlineStr">
        <s:is>
          <s:t>P_P</s:t>
        </s:is>
      </s:c>
    </s:row>
    <s:row r="78" ht="90" customFormat="1" customHeight="1" s="8">
      <s:c r="A78" s="12" t="inlineStr">
        <s:is>
          <s:t>2025::jama.2025.16450::C005</s:t>
        </s:is>
      </s:c>
      <s:c r="B78" s="12" t="inlineStr">
        <s:is>
          <s:t>legacyRelations</s:t>
        </s:is>
      </s:c>
      <s:c r="C78" s="12" t="n">
        <s:v>0</s:v>
      </s:c>
      <s:c r="D78" s="12" t="inlineStr">
        <s:is>
          <s:t>P_O</s:t>
        </s:is>
      </s:c>
    </s:row>
    <s:row r="79" ht="90" customFormat="1" customHeight="1" s="8">
      <s:c r="A79" s="11" t="inlineStr">
        <s:is>
          <s:t>2025::jama.2025.16450::C006</s:t>
        </s:is>
      </s:c>
      <s:c r="B79" s="11" t="inlineStr">
        <s:is>
          <s:t>relations</s:t>
        </s:is>
      </s:c>
      <s:c r="C79" s="11" t="n">
        <s:v>0</s:v>
      </s:c>
      <s:c r="D79" s="11" t="inlineStr">
        <s:is>
          <s:t>P_P</s:t>
        </s:is>
      </s:c>
    </s:row>
    <s:row r="80" ht="90" customFormat="1" customHeight="1" s="8">
      <s:c r="A80" s="12" t="inlineStr">
        <s:is>
          <s:t>2025::jama.2025.16450::C007</s:t>
        </s:is>
      </s:c>
      <s:c r="B80" s="12" t="inlineStr">
        <s:is>
          <s:t>relations</s:t>
        </s:is>
      </s:c>
      <s:c r="C80" s="12" t="n">
        <s:v>0</s:v>
      </s:c>
      <s:c r="D80" s="12" t="inlineStr">
        <s:is>
          <s:t>P_R</s:t>
        </s:is>
      </s:c>
    </s:row>
    <s:row r="81" ht="90" customFormat="1" customHeight="1" s="8">
      <s:c r="A81" s="11" t="inlineStr">
        <s:is>
          <s:t>2025::jama.2025.16450::C008</s:t>
        </s:is>
      </s:c>
      <s:c r="B81" s="11" t="inlineStr">
        <s:is>
          <s:t>relations</s:t>
        </s:is>
      </s:c>
      <s:c r="C81" s="11" t="n">
        <s:v>0</s:v>
      </s:c>
      <s:c r="D81" s="11" t="inlineStr">
        <s:is>
          <s:t>P_R</s:t>
        </s:is>
      </s:c>
    </s:row>
    <s:row r="82" ht="90" customFormat="1" customHeight="1" s="8">
      <s:c r="A82" s="12" t="inlineStr">
        <s:is>
          <s:t>2025::jama.2025.16450::C009</s:t>
        </s:is>
      </s:c>
      <s:c r="B82" s="12" t="inlineStr">
        <s:is>
          <s:t>relations</s:t>
        </s:is>
      </s:c>
      <s:c r="C82" s="12" t="n">
        <s:v>0</s:v>
      </s:c>
      <s:c r="D82" s="12" t="inlineStr">
        <s:is>
          <s:t>S_W</s:t>
        </s:is>
      </s:c>
    </s:row>
    <s:row r="83" ht="90" customFormat="1" customHeight="1" s="8">
      <s:c r="A83" s="11" t="inlineStr">
        <s:is>
          <s:t>2025::jama.2025.16450::C010</s:t>
        </s:is>
      </s:c>
      <s:c r="B83" s="11" t="inlineStr">
        <s:is>
          <s:t>relations</s:t>
        </s:is>
      </s:c>
      <s:c r="C83" s="11" t="n">
        <s:v>0</s:v>
      </s:c>
      <s:c r="D83" s="11" t="inlineStr">
        <s:is>
          <s:t>S_W</s:t>
        </s:is>
      </s:c>
    </s:row>
    <s:row r="84" ht="90" customFormat="1" customHeight="1" s="8">
      <s:c r="A84" s="12" t="inlineStr">
        <s:is>
          <s:t>2025::jama.2025.19563::C001</s:t>
        </s:is>
      </s:c>
      <s:c r="B84" s="12" t="inlineStr">
        <s:is>
          <s:t>relations</s:t>
        </s:is>
      </s:c>
      <s:c r="C84" s="12" t="n">
        <s:v>0</s:v>
      </s:c>
      <s:c r="D84" s="12" t="inlineStr">
        <s:is>
          <s:t>P_R</s:t>
        </s:is>
      </s:c>
    </s:row>
    <s:row r="85" ht="90" customFormat="1" customHeight="1" s="8">
      <s:c r="A85" s="11" t="inlineStr">
        <s:is>
          <s:t>2025::jama.2025.19563::C002</s:t>
        </s:is>
      </s:c>
      <s:c r="B85" s="11" t="inlineStr">
        <s:is>
          <s:t>relations</s:t>
        </s:is>
      </s:c>
      <s:c r="C85" s="11" t="n">
        <s:v>0</s:v>
      </s:c>
      <s:c r="D85" s="11" t="inlineStr">
        <s:is>
          <s:t>S_C</s:t>
        </s:is>
      </s:c>
    </s:row>
    <s:row r="86" ht="90" customFormat="1" customHeight="1" s="8">
      <s:c r="A86" s="12" t="inlineStr">
        <s:is>
          <s:t>2025::jama.2025.19563::C002</s:t>
        </s:is>
      </s:c>
      <s:c r="B86" s="12" t="inlineStr">
        <s:is>
          <s:t>relations</s:t>
        </s:is>
      </s:c>
      <s:c r="C86" s="12" t="n">
        <s:v>1</s:v>
      </s:c>
      <s:c r="D86" s="12" t="inlineStr">
        <s:is>
          <s:t>S_W</s:t>
        </s:is>
      </s:c>
    </s:row>
    <s:row r="87" ht="90" customFormat="1" customHeight="1" s="8">
      <s:c r="A87" s="11" t="inlineStr">
        <s:is>
          <s:t>2025::jama.2025.19563::C003</s:t>
        </s:is>
      </s:c>
      <s:c r="B87" s="11" t="inlineStr">
        <s:is>
          <s:t>relations</s:t>
        </s:is>
      </s:c>
      <s:c r="C87" s="11" t="n">
        <s:v>0</s:v>
      </s:c>
      <s:c r="D87" s="11" t="inlineStr">
        <s:is>
          <s:t>S_W</s:t>
        </s:is>
      </s:c>
    </s:row>
    <s:row r="88" ht="90" customFormat="1" customHeight="1" s="8">
      <s:c r="A88" s="12" t="inlineStr">
        <s:is>
          <s:t>2025::jama.2025.19563::C004</s:t>
        </s:is>
      </s:c>
      <s:c r="B88" s="12" t="inlineStr">
        <s:is>
          <s:t>relations</s:t>
        </s:is>
      </s:c>
      <s:c r="C88" s="12" t="n">
        <s:v>0</s:v>
      </s:c>
      <s:c r="D88" s="12" t="inlineStr">
        <s:is>
          <s:t>S_W</s:t>
        </s:is>
      </s:c>
    </s:row>
    <s:row r="89" ht="90" customFormat="1" customHeight="1" s="8">
      <s:c r="A89" s="11" t="inlineStr">
        <s:is>
          <s:t>2025::jama.2025.19563::C005</s:t>
        </s:is>
      </s:c>
      <s:c r="B89" s="11" t="inlineStr">
        <s:is>
          <s:t>relations</s:t>
        </s:is>
      </s:c>
      <s:c r="C89" s="11" t="n">
        <s:v>0</s:v>
      </s:c>
      <s:c r="D89" s="11" t="inlineStr">
        <s:is>
          <s:t>S_W</s:t>
        </s:is>
      </s:c>
    </s:row>
    <s:row r="90" ht="90" customFormat="1" customHeight="1" s="8">
      <s:c r="A90" s="12" t="inlineStr">
        <s:is>
          <s:t>2025::jama.2025.19563::C006</s:t>
        </s:is>
      </s:c>
      <s:c r="B90" s="12" t="inlineStr">
        <s:is>
          <s:t>relations</s:t>
        </s:is>
      </s:c>
      <s:c r="C90" s="12" t="n">
        <s:v>0</s:v>
      </s:c>
      <s:c r="D90" s="12" t="inlineStr">
        <s:is>
          <s:t>S_W</s:t>
        </s:is>
      </s:c>
    </s:row>
    <s:row r="91" ht="90" customFormat="1" customHeight="1" s="8">
      <s:c r="A91" s="11" t="inlineStr">
        <s:is>
          <s:t>2025::jama.2025.19563::C007</s:t>
        </s:is>
      </s:c>
      <s:c r="B91" s="11" t="inlineStr">
        <s:is>
          <s:t>relations</s:t>
        </s:is>
      </s:c>
      <s:c r="C91" s="11" t="n">
        <s:v>0</s:v>
      </s:c>
      <s:c r="D91" s="11" t="inlineStr">
        <s:is>
          <s:t>S_W</s:t>
        </s:is>
      </s:c>
    </s:row>
    <s:row r="92" ht="90" customFormat="1" customHeight="1" s="8">
      <s:c r="A92" s="12" t="inlineStr">
        <s:is>
          <s:t>2025::jama.2025.19843::C001</s:t>
        </s:is>
      </s:c>
      <s:c r="B92" s="12" t="inlineStr">
        <s:is>
          <s:t>relations</s:t>
        </s:is>
      </s:c>
      <s:c r="C92" s="12" t="n">
        <s:v>0</s:v>
      </s:c>
      <s:c r="D92" s="12" t="inlineStr">
        <s:is>
          <s:t>S_C</s:t>
        </s:is>
      </s:c>
    </s:row>
    <s:row r="93" ht="90" customFormat="1" customHeight="1" s="8">
      <s:c r="A93" s="11" t="inlineStr">
        <s:is>
          <s:t>2025::jama.2025.20765::C001</s:t>
        </s:is>
      </s:c>
      <s:c r="B93" s="11" t="inlineStr">
        <s:is>
          <s:t>relations</s:t>
        </s:is>
      </s:c>
      <s:c r="C93" s="11" t="n">
        <s:v>0</s:v>
      </s:c>
      <s:c r="D93" s="11" t="inlineStr">
        <s:is>
          <s:t>S_W</s:t>
        </s:is>
      </s:c>
    </s:row>
    <s:row r="94" ht="90" customFormat="1" customHeight="1" s="8">
      <s:c r="A94" s="12" t="inlineStr">
        <s:is>
          <s:t>2025::jama.2025.20765::C002</s:t>
        </s:is>
      </s:c>
      <s:c r="B94" s="12" t="inlineStr">
        <s:is>
          <s:t>relations</s:t>
        </s:is>
      </s:c>
      <s:c r="C94" s="12" t="n">
        <s:v>0</s:v>
      </s:c>
      <s:c r="D94" s="12" t="inlineStr">
        <s:is>
          <s:t>S_C</s:t>
        </s:is>
      </s:c>
    </s:row>
    <s:row r="95" ht="90" customFormat="1" customHeight="1" s="8">
      <s:c r="A95" s="11" t="inlineStr">
        <s:is>
          <s:t>2025::jama.2025.20765::C003</s:t>
        </s:is>
      </s:c>
      <s:c r="B95" s="11" t="inlineStr">
        <s:is>
          <s:t>relations</s:t>
        </s:is>
      </s:c>
      <s:c r="C95" s="11" t="n">
        <s:v>0</s:v>
      </s:c>
      <s:c r="D95" s="11" t="inlineStr">
        <s:is>
          <s:t>P_P</s:t>
        </s:is>
      </s:c>
    </s:row>
    <s:row r="96" ht="90" customFormat="1" customHeight="1" s="8">
      <s:c r="A96" s="12" t="inlineStr">
        <s:is>
          <s:t>2025::jama.2025.20765::C004</s:t>
        </s:is>
      </s:c>
      <s:c r="B96" s="12" t="inlineStr">
        <s:is>
          <s:t>relations</s:t>
        </s:is>
      </s:c>
      <s:c r="C96" s="12" t="n">
        <s:v>0</s:v>
      </s:c>
      <s:c r="D96" s="12" t="inlineStr">
        <s:is>
          <s:t>P_P</s:t>
        </s:is>
      </s:c>
    </s:row>
    <s:row r="97" ht="90" customFormat="1" customHeight="1" s="8">
      <s:c r="A97" s="11" t="inlineStr">
        <s:is>
          <s:t>2025::jama.2025.20765::C005</s:t>
        </s:is>
      </s:c>
      <s:c r="B97" s="11" t="inlineStr">
        <s:is>
          <s:t>relations</s:t>
        </s:is>
      </s:c>
      <s:c r="C97" s="11" t="n">
        <s:v>0</s:v>
      </s:c>
      <s:c r="D97" s="11" t="inlineStr">
        <s:is>
          <s:t>P_P</s:t>
        </s:is>
      </s:c>
    </s:row>
    <s:row r="98" ht="90" customFormat="1" customHeight="1" s="8">
      <s:c r="A98" s="12" t="inlineStr">
        <s:is>
          <s:t>2025::jama.2025.20765::C006</s:t>
        </s:is>
      </s:c>
      <s:c r="B98" s="12" t="inlineStr">
        <s:is>
          <s:t>relations</s:t>
        </s:is>
      </s:c>
      <s:c r="C98" s="12" t="n">
        <s:v>0</s:v>
      </s:c>
      <s:c r="D98" s="12" t="inlineStr">
        <s:is>
          <s:t>P_P</s:t>
        </s:is>
      </s:c>
    </s:row>
    <s:row r="99" ht="90" customFormat="1" customHeight="1" s="8">
      <s:c r="A99" s="11" t="inlineStr">
        <s:is>
          <s:t>2025::jama.2025.20765::C007</s:t>
        </s:is>
      </s:c>
      <s:c r="B99" s="11" t="inlineStr">
        <s:is>
          <s:t>relations</s:t>
        </s:is>
      </s:c>
      <s:c r="C99" s="11" t="n">
        <s:v>0</s:v>
      </s:c>
      <s:c r="D99" s="11" t="inlineStr">
        <s:is>
          <s:t>P_P</s:t>
        </s:is>
      </s:c>
    </s:row>
    <s:row r="100" ht="90" customFormat="1" customHeight="1" s="8">
      <s:c r="A100" s="12" t="inlineStr">
        <s:is>
          <s:t>2025::jama.2025.20765::C008</s:t>
        </s:is>
      </s:c>
      <s:c r="B100" s="12" t="inlineStr">
        <s:is>
          <s:t>relations</s:t>
        </s:is>
      </s:c>
      <s:c r="C100" s="12" t="n">
        <s:v>0</s:v>
      </s:c>
      <s:c r="D100" s="12" t="inlineStr">
        <s:is>
          <s:t>P_P</s:t>
        </s:is>
      </s:c>
    </s:row>
    <s:row r="101" ht="90" customFormat="1" customHeight="1" s="8">
      <s:c r="A101" s="11" t="inlineStr">
        <s:is>
          <s:t>2025::jama.2025.20765::C009</s:t>
        </s:is>
      </s:c>
      <s:c r="B101" s="11" t="inlineStr">
        <s:is>
          <s:t>relations</s:t>
        </s:is>
      </s:c>
      <s:c r="C101" s="11" t="n">
        <s:v>0</s:v>
      </s:c>
      <s:c r="D101" s="11" t="inlineStr">
        <s:is>
          <s:t>P_P</s:t>
        </s:is>
      </s:c>
    </s:row>
    <s:row r="102" ht="90" customFormat="1" customHeight="1" s="8">
      <s:c r="A102" s="12" t="inlineStr">
        <s:is>
          <s:t>2025::jama.2025.20765::C010</s:t>
        </s:is>
      </s:c>
      <s:c r="B102" s="12" t="inlineStr">
        <s:is>
          <s:t>relations</s:t>
        </s:is>
      </s:c>
      <s:c r="C102" s="12" t="n">
        <s:v>0</s:v>
      </s:c>
      <s:c r="D102" s="12" t="inlineStr">
        <s:is>
          <s:t>P_P</s:t>
        </s:is>
      </s:c>
    </s:row>
    <s:row r="103" ht="90" customFormat="1" customHeight="1" s="8">
      <s:c r="A103" s="11" t="inlineStr">
        <s:is>
          <s:t>2025::jama.2025.20765::C011</s:t>
        </s:is>
      </s:c>
      <s:c r="B103" s="11" t="inlineStr">
        <s:is>
          <s:t>relations</s:t>
        </s:is>
      </s:c>
      <s:c r="C103" s="11" t="n">
        <s:v>0</s:v>
      </s:c>
      <s:c r="D103" s="11" t="inlineStr">
        <s:is>
          <s:t>P_P</s:t>
        </s:is>
      </s:c>
    </s:row>
    <s:row r="104" ht="90" customFormat="1" customHeight="1" s="8">
      <s:c r="A104" s="12" t="inlineStr">
        <s:is>
          <s:t>2025::jama.2025.20765::C012</s:t>
        </s:is>
      </s:c>
      <s:c r="B104" s="12" t="inlineStr">
        <s:is>
          <s:t>relations</s:t>
        </s:is>
      </s:c>
      <s:c r="C104" s="12" t="n">
        <s:v>0</s:v>
      </s:c>
      <s:c r="D104" s="12" t="inlineStr">
        <s:is>
          <s:t>S_W</s:t>
        </s:is>
      </s:c>
    </s:row>
    <s:row r="105" ht="90" customFormat="1" customHeight="1" s="8">
      <s:c r="A105" s="11" t="inlineStr">
        <s:is>
          <s:t>2025::jama.2025.20765::C013</s:t>
        </s:is>
      </s:c>
      <s:c r="B105" s="11" t="inlineStr">
        <s:is>
          <s:t>relations</s:t>
        </s:is>
      </s:c>
      <s:c r="C105" s="11" t="n">
        <s:v>0</s:v>
      </s:c>
      <s:c r="D105" s="11" t="inlineStr">
        <s:is>
          <s:t>P_R</s:t>
        </s:is>
      </s:c>
    </s:row>
    <s:row r="106" ht="90" customFormat="1" customHeight="1" s="8">
      <s:c r="A106" s="12" t="inlineStr">
        <s:is>
          <s:t>2025::jama.2025.20765::C013</s:t>
        </s:is>
      </s:c>
      <s:c r="B106" s="12" t="inlineStr">
        <s:is>
          <s:t>relations</s:t>
        </s:is>
      </s:c>
      <s:c r="C106" s="12" t="n">
        <s:v>1</s:v>
      </s:c>
      <s:c r="D106" s="12" t="inlineStr">
        <s:is>
          <s:t>P_P</s:t>
        </s:is>
      </s:c>
    </s:row>
    <s:row r="107" ht="90" customFormat="1" customHeight="1" s="8">
      <s:c r="A107" s="11" t="inlineStr">
        <s:is>
          <s:t>2025::jama.2025.24175::C001</s:t>
        </s:is>
      </s:c>
      <s:c r="B107" s="11" t="inlineStr">
        <s:is>
          <s:t>relations</s:t>
        </s:is>
      </s:c>
      <s:c r="C107" s="11" t="n">
        <s:v>0</s:v>
      </s:c>
      <s:c r="D107" s="11" t="inlineStr">
        <s:is>
          <s:t>S_W</s:t>
        </s:is>
      </s:c>
    </s:row>
    <s:row r="108" ht="90" customFormat="1" customHeight="1" s="8">
      <s:c r="A108" s="12" t="inlineStr">
        <s:is>
          <s:t>2025::jama.2025.24175::C002</s:t>
        </s:is>
      </s:c>
      <s:c r="B108" s="12" t="inlineStr">
        <s:is>
          <s:t>relations</s:t>
        </s:is>
      </s:c>
      <s:c r="C108" s="12" t="n">
        <s:v>0</s:v>
      </s:c>
      <s:c r="D108" s="12" t="inlineStr">
        <s:is>
          <s:t>P_R</s:t>
        </s:is>
      </s:c>
    </s:row>
    <s:row r="109" ht="90" customFormat="1" customHeight="1" s="8">
      <s:c r="A109" s="11" t="inlineStr">
        <s:is>
          <s:t>2025::jama.2025.24175::C003</s:t>
        </s:is>
      </s:c>
      <s:c r="B109" s="11" t="inlineStr">
        <s:is>
          <s:t>relations</s:t>
        </s:is>
      </s:c>
      <s:c r="C109" s="11" t="n">
        <s:v>0</s:v>
      </s:c>
      <s:c r="D109" s="11" t="inlineStr">
        <s:is>
          <s:t>P_R</s:t>
        </s:is>
      </s:c>
    </s:row>
    <s:row r="110" ht="90" customFormat="1" customHeight="1" s="8">
      <s:c r="A110" s="12" t="inlineStr">
        <s:is>
          <s:t>2025::jama.2025.24175::C004</s:t>
        </s:is>
      </s:c>
      <s:c r="B110" s="12" t="inlineStr">
        <s:is>
          <s:t>relations</s:t>
        </s:is>
      </s:c>
      <s:c r="C110" s="12" t="n">
        <s:v>0</s:v>
      </s:c>
      <s:c r="D110" s="12" t="inlineStr">
        <s:is>
          <s:t>P_R</s:t>
        </s:is>
      </s:c>
    </s:row>
    <s:row r="111" ht="90" customFormat="1" customHeight="1" s="8">
      <s:c r="A111" s="11" t="inlineStr">
        <s:is>
          <s:t>2025::jama.2025.24175::C005</s:t>
        </s:is>
      </s:c>
      <s:c r="B111" s="11" t="inlineStr">
        <s:is>
          <s:t>relations</s:t>
        </s:is>
      </s:c>
      <s:c r="C111" s="11" t="n">
        <s:v>0</s:v>
      </s:c>
      <s:c r="D111" s="11" t="inlineStr">
        <s:is>
          <s:t>P_P</s:t>
        </s:is>
      </s:c>
    </s:row>
    <s:row r="112" ht="90" customFormat="1" customHeight="1" s="8">
      <s:c r="A112" s="12" t="inlineStr">
        <s:is>
          <s:t>2025::jama.2025.24175::C006</s:t>
        </s:is>
      </s:c>
      <s:c r="B112" s="12" t="inlineStr">
        <s:is>
          <s:t>relations</s:t>
        </s:is>
      </s:c>
      <s:c r="C112" s="12" t="n">
        <s:v>0</s:v>
      </s:c>
      <s:c r="D112" s="12" t="inlineStr">
        <s:is>
          <s:t>P_P</s:t>
        </s:is>
      </s:c>
    </s:row>
    <s:row r="113" ht="90" customFormat="1" customHeight="1" s="8">
      <s:c r="A113" s="11" t="inlineStr">
        <s:is>
          <s:t>2025::jama.2025.24175::C006</s:t>
        </s:is>
      </s:c>
      <s:c r="B113" s="11" t="inlineStr">
        <s:is>
          <s:t>legacyRelations</s:t>
        </s:is>
      </s:c>
      <s:c r="C113" s="11" t="n">
        <s:v>0</s:v>
      </s:c>
      <s:c r="D113" s="11" t="inlineStr">
        <s:is>
          <s:t>P_B</s:t>
        </s:is>
      </s:c>
    </s:row>
    <s:row r="114" ht="90" customFormat="1" customHeight="1" s="8">
      <s:c r="A114" s="12" t="inlineStr">
        <s:is>
          <s:t>2025::jama.2025.24175::C007</s:t>
        </s:is>
      </s:c>
      <s:c r="B114" s="12" t="inlineStr">
        <s:is>
          <s:t>relations</s:t>
        </s:is>
      </s:c>
      <s:c r="C114" s="12" t="n">
        <s:v>0</s:v>
      </s:c>
      <s:c r="D114" s="12" t="inlineStr">
        <s:is>
          <s:t>P_P</s:t>
        </s:is>
      </s:c>
    </s:row>
    <s:row r="115" ht="90" customFormat="1" customHeight="1" s="8">
      <s:c r="A115" s="11" t="inlineStr">
        <s:is>
          <s:t>2025::jama.2025.24175::C007</s:t>
        </s:is>
      </s:c>
      <s:c r="B115" s="11" t="inlineStr">
        <s:is>
          <s:t>legacyRelations</s:t>
        </s:is>
      </s:c>
      <s:c r="C115" s="11" t="n">
        <s:v>0</s:v>
      </s:c>
      <s:c r="D115" s="11" t="inlineStr">
        <s:is>
          <s:t>P_B</s:t>
        </s:is>
      </s:c>
    </s:row>
    <s:row r="116" ht="90" customFormat="1" customHeight="1" s="8">
      <s:c r="A116" s="12" t="inlineStr">
        <s:is>
          <s:t>2025::jama.2025.24175::C008</s:t>
        </s:is>
      </s:c>
      <s:c r="B116" s="12" t="inlineStr">
        <s:is>
          <s:t>relations</s:t>
        </s:is>
      </s:c>
      <s:c r="C116" s="12" t="n">
        <s:v>0</s:v>
      </s:c>
      <s:c r="D116" s="12" t="inlineStr">
        <s:is>
          <s:t>P_P</s:t>
        </s:is>
      </s:c>
    </s:row>
    <s:row r="117" ht="90" customFormat="1" customHeight="1" s="8">
      <s:c r="A117" s="11" t="inlineStr">
        <s:is>
          <s:t>2025::jama.2025.24175::C008</s:t>
        </s:is>
      </s:c>
      <s:c r="B117" s="11" t="inlineStr">
        <s:is>
          <s:t>legacyRelations</s:t>
        </s:is>
      </s:c>
      <s:c r="C117" s="11" t="n">
        <s:v>0</s:v>
      </s:c>
      <s:c r="D117" s="11" t="inlineStr">
        <s:is>
          <s:t>P_B</s:t>
        </s:is>
      </s:c>
    </s:row>
    <s:row r="118" ht="90" customFormat="1" customHeight="1" s="8">
      <s:c r="A118" s="12" t="inlineStr">
        <s:is>
          <s:t>2025::jama.2025.24175::C009</s:t>
        </s:is>
      </s:c>
      <s:c r="B118" s="12" t="inlineStr">
        <s:is>
          <s:t>relations</s:t>
        </s:is>
      </s:c>
      <s:c r="C118" s="12" t="n">
        <s:v>0</s:v>
      </s:c>
      <s:c r="D118" s="12" t="inlineStr">
        <s:is>
          <s:t>P_R</s:t>
        </s:is>
      </s:c>
    </s:row>
    <s:row r="119" ht="90" customFormat="1" customHeight="1" s="8">
      <s:c r="A119" s="11" t="inlineStr">
        <s:is>
          <s:t>2025::jama.2025.24175::C009</s:t>
        </s:is>
      </s:c>
      <s:c r="B119" s="11" t="inlineStr">
        <s:is>
          <s:t>relations</s:t>
        </s:is>
      </s:c>
      <s:c r="C119" s="11" t="n">
        <s:v>1</s:v>
      </s:c>
      <s:c r="D119" s="11" t="inlineStr">
        <s:is>
          <s:t>P_P</s:t>
        </s:is>
      </s:c>
    </s:row>
    <s:row r="120" ht="90" customFormat="1" customHeight="1" s="8">
      <s:c r="A120" s="12" t="inlineStr">
        <s:is>
          <s:t>2025::jama.2025.24175::C010</s:t>
        </s:is>
      </s:c>
      <s:c r="B120" s="12" t="inlineStr">
        <s:is>
          <s:t>relations</s:t>
        </s:is>
      </s:c>
      <s:c r="C120" s="12" t="n">
        <s:v>0</s:v>
      </s:c>
      <s:c r="D120" s="12" t="inlineStr">
        <s:is>
          <s:t>P_P</s:t>
        </s:is>
      </s:c>
    </s:row>
    <s:row r="121" ht="90" customFormat="1" customHeight="1" s="8">
      <s:c r="A121" s="11" t="inlineStr">
        <s:is>
          <s:t>2025::jama.2025.24175::C010</s:t>
        </s:is>
      </s:c>
      <s:c r="B121" s="11" t="inlineStr">
        <s:is>
          <s:t>legacyRelations</s:t>
        </s:is>
      </s:c>
      <s:c r="C121" s="11" t="n">
        <s:v>0</s:v>
      </s:c>
      <s:c r="D121" s="11" t="inlineStr">
        <s:is>
          <s:t>P_B</s:t>
        </s:is>
      </s:c>
    </s:row>
    <s:row r="122" ht="90" customFormat="1" customHeight="1" s="8">
      <s:c r="A122" s="12" t="inlineStr">
        <s:is>
          <s:t>2025::jama.2025.24175::C011</s:t>
        </s:is>
      </s:c>
      <s:c r="B122" s="12" t="inlineStr">
        <s:is>
          <s:t>relations</s:t>
        </s:is>
      </s:c>
      <s:c r="C122" s="12" t="n">
        <s:v>0</s:v>
      </s:c>
      <s:c r="D122" s="12" t="inlineStr">
        <s:is>
          <s:t>S_W</s:t>
        </s:is>
      </s:c>
    </s:row>
    <s:row r="123" ht="90" customFormat="1" customHeight="1" s="8">
      <s:c r="A123" s="11" t="inlineStr">
        <s:is>
          <s:t>2025::jama.2025.24175::C012</s:t>
        </s:is>
      </s:c>
      <s:c r="B123" s="11" t="inlineStr">
        <s:is>
          <s:t>relations</s:t>
        </s:is>
      </s:c>
      <s:c r="C123" s="11" t="n">
        <s:v>0</s:v>
      </s:c>
      <s:c r="D123" s="11" t="inlineStr">
        <s:is>
          <s:t>S_W</s:t>
        </s:is>
      </s:c>
    </s:row>
    <s:row r="124" ht="90" customFormat="1" customHeight="1" s="8">
      <s:c r="A124" s="12" t="inlineStr">
        <s:is>
          <s:t>2025::jama.2025.24175::C013</s:t>
        </s:is>
      </s:c>
      <s:c r="B124" s="12" t="inlineStr">
        <s:is>
          <s:t>relations</s:t>
        </s:is>
      </s:c>
      <s:c r="C124" s="12" t="n">
        <s:v>0</s:v>
      </s:c>
      <s:c r="D124" s="12" t="inlineStr">
        <s:is>
          <s:t>S_W</s:t>
        </s:is>
      </s:c>
    </s:row>
    <s:row r="125" ht="90" customFormat="1" customHeight="1" s="8">
      <s:c r="A125" s="11" t="inlineStr">
        <s:is>
          <s:t>2025::jama.2025.24175::C014</s:t>
        </s:is>
      </s:c>
      <s:c r="B125" s="11" t="inlineStr">
        <s:is>
          <s:t>relations</s:t>
        </s:is>
      </s:c>
      <s:c r="C125" s="11" t="n">
        <s:v>0</s:v>
      </s:c>
      <s:c r="D125" s="11" t="inlineStr">
        <s:is>
          <s:t>P_P</s:t>
        </s:is>
      </s:c>
    </s:row>
    <s:row r="126" ht="90" customFormat="1" customHeight="1" s="8">
      <s:c r="A126" s="12" t="inlineStr">
        <s:is>
          <s:t>2025::jama.2025.24175::C014</s:t>
        </s:is>
      </s:c>
      <s:c r="B126" s="12" t="inlineStr">
        <s:is>
          <s:t>legacyRelations</s:t>
        </s:is>
      </s:c>
      <s:c r="C126" s="12" t="n">
        <s:v>0</s:v>
      </s:c>
      <s:c r="D126" s="12" t="inlineStr">
        <s:is>
          <s:t>P_B</s:t>
        </s:is>
      </s:c>
    </s:row>
    <s:row r="127" ht="90" customFormat="1" customHeight="1" s="8">
      <s:c r="A127" s="11" t="inlineStr">
        <s:is>
          <s:t>2025::jama.2025.4390::C001</s:t>
        </s:is>
      </s:c>
      <s:c r="B127" s="11" t="inlineStr">
        <s:is>
          <s:t>relations</s:t>
        </s:is>
      </s:c>
      <s:c r="C127" s="11" t="n">
        <s:v>0</s:v>
      </s:c>
      <s:c r="D127" s="11" t="inlineStr">
        <s:is>
          <s:t>S_W</s:t>
        </s:is>
      </s:c>
    </s:row>
    <s:row r="128" ht="90" customFormat="1" customHeight="1" s="8">
      <s:c r="A128" s="12" t="inlineStr">
        <s:is>
          <s:t>2025::jama.2025.4390::C002</s:t>
        </s:is>
      </s:c>
      <s:c r="B128" s="12" t="inlineStr">
        <s:is>
          <s:t>relations</s:t>
        </s:is>
      </s:c>
      <s:c r="C128" s="12" t="n">
        <s:v>0</s:v>
      </s:c>
      <s:c r="D128" s="12" t="inlineStr">
        <s:is>
          <s:t>S_W</s:t>
        </s:is>
      </s:c>
    </s:row>
    <s:row r="129" ht="90" customFormat="1" customHeight="1" s="8">
      <s:c r="A129" s="11" t="inlineStr">
        <s:is>
          <s:t>2025::jama.2025.4390::C003</s:t>
        </s:is>
      </s:c>
      <s:c r="B129" s="11" t="inlineStr">
        <s:is>
          <s:t>relations</s:t>
        </s:is>
      </s:c>
      <s:c r="C129" s="11" t="n">
        <s:v>0</s:v>
      </s:c>
      <s:c r="D129" s="11" t="inlineStr">
        <s:is>
          <s:t>S_W</s:t>
        </s:is>
      </s:c>
    </s:row>
    <s:row r="130" ht="90" customFormat="1" customHeight="1" s="8">
      <s:c r="A130" s="12" t="inlineStr">
        <s:is>
          <s:t>2025::jama.2025.7583::C001</s:t>
        </s:is>
      </s:c>
      <s:c r="B130" s="12" t="inlineStr">
        <s:is>
          <s:t>relations</s:t>
        </s:is>
      </s:c>
      <s:c r="C130" s="12" t="n">
        <s:v>0</s:v>
      </s:c>
      <s:c r="D130" s="12" t="inlineStr">
        <s:is>
          <s:t>P_R</s:t>
        </s:is>
      </s:c>
    </s:row>
    <s:row r="131" ht="90" customFormat="1" customHeight="1" s="8">
      <s:c r="A131" s="11" t="inlineStr">
        <s:is>
          <s:t>2025::jama.2025.7583::C001</s:t>
        </s:is>
      </s:c>
      <s:c r="B131" s="11" t="inlineStr">
        <s:is>
          <s:t>relations</s:t>
        </s:is>
      </s:c>
      <s:c r="C131" s="11" t="n">
        <s:v>1</s:v>
      </s:c>
      <s:c r="D131" s="11" t="inlineStr">
        <s:is>
          <s:t>P_P</s:t>
        </s:is>
      </s:c>
    </s:row>
    <s:row r="132" ht="90" customFormat="1" customHeight="1" s="8">
      <s:c r="A132" s="12" t="inlineStr">
        <s:is>
          <s:t>2025::jama.2025.7583::C002</s:t>
        </s:is>
      </s:c>
      <s:c r="B132" s="12" t="inlineStr">
        <s:is>
          <s:t>relations</s:t>
        </s:is>
      </s:c>
      <s:c r="C132" s="12" t="n">
        <s:v>0</s:v>
      </s:c>
      <s:c r="D132" s="12" t="inlineStr">
        <s:is>
          <s:t>P_P</s:t>
        </s:is>
      </s:c>
    </s:row>
    <s:row r="133" ht="90" customFormat="1" customHeight="1" s="8">
      <s:c r="A133" s="11" t="inlineStr">
        <s:is>
          <s:t>2025::jama.2025.7583::C003</s:t>
        </s:is>
      </s:c>
      <s:c r="B133" s="11" t="inlineStr">
        <s:is>
          <s:t>relations</s:t>
        </s:is>
      </s:c>
      <s:c r="C133" s="11" t="n">
        <s:v>0</s:v>
      </s:c>
      <s:c r="D133" s="11" t="inlineStr">
        <s:is>
          <s:t>S_W</s:t>
        </s:is>
      </s:c>
    </s:row>
    <s:row r="134" ht="90" customFormat="1" customHeight="1" s="8">
      <s:c r="A134" s="12" t="inlineStr">
        <s:is>
          <s:t>2025::jama.2025.7710::C001</s:t>
        </s:is>
      </s:c>
      <s:c r="B134" s="12" t="inlineStr">
        <s:is>
          <s:t>relations</s:t>
        </s:is>
      </s:c>
      <s:c r="C134" s="12" t="n">
        <s:v>0</s:v>
      </s:c>
      <s:c r="D134" s="12" t="inlineStr">
        <s:is>
          <s:t>P_P</s:t>
        </s:is>
      </s:c>
    </s:row>
    <s:row r="135" ht="90" customFormat="1" customHeight="1" s="8">
      <s:c r="A135" s="11" t="inlineStr">
        <s:is>
          <s:t>2025::jama.2025.7710::C002</s:t>
        </s:is>
      </s:c>
      <s:c r="B135" s="11" t="inlineStr">
        <s:is>
          <s:t>relations</s:t>
        </s:is>
      </s:c>
      <s:c r="C135" s="11" t="n">
        <s:v>0</s:v>
      </s:c>
      <s:c r="D135" s="11" t="inlineStr">
        <s:is>
          <s:t>P_P</s:t>
        </s:is>
      </s:c>
    </s:row>
    <s:row r="136" ht="90" customFormat="1" customHeight="1" s="8">
      <s:c r="A136" s="12" t="inlineStr">
        <s:is>
          <s:t>2025::jama.2025.7710::C003</s:t>
        </s:is>
      </s:c>
      <s:c r="B136" s="12" t="inlineStr">
        <s:is>
          <s:t>relations</s:t>
        </s:is>
      </s:c>
      <s:c r="C136" s="12" t="n">
        <s:v>0</s:v>
      </s:c>
      <s:c r="D136" s="12" t="inlineStr">
        <s:is>
          <s:t>P_P</s:t>
        </s:is>
      </s:c>
    </s:row>
    <s:row r="137" ht="90" customFormat="1" customHeight="1" s="8">
      <s:c r="A137" s="11" t="inlineStr">
        <s:is>
          <s:t>2025::jama.2025.7710::C004</s:t>
        </s:is>
      </s:c>
      <s:c r="B137" s="11" t="inlineStr">
        <s:is>
          <s:t>relations</s:t>
        </s:is>
      </s:c>
      <s:c r="C137" s="11" t="n">
        <s:v>0</s:v>
      </s:c>
      <s:c r="D137" s="11" t="inlineStr">
        <s:is>
          <s:t>P_R</s:t>
        </s:is>
      </s:c>
    </s:row>
    <s:row r="138" ht="90" customFormat="1" customHeight="1" s="8">
      <s:c r="A138" s="12" t="inlineStr">
        <s:is>
          <s:t>2025::jama.2025.9110::C001</s:t>
        </s:is>
      </s:c>
      <s:c r="B138" s="12" t="inlineStr">
        <s:is>
          <s:t>relations</s:t>
        </s:is>
      </s:c>
      <s:c r="C138" s="12" t="n">
        <s:v>0</s:v>
      </s:c>
      <s:c r="D138" s="12" t="inlineStr">
        <s:is>
          <s:t>S_W</s:t>
        </s:is>
      </s:c>
    </s:row>
    <s:row r="139" ht="90" customFormat="1" customHeight="1" s="8">
      <s:c r="A139" s="11" t="inlineStr">
        <s:is>
          <s:t>2025::jama.2025.9110::C002</s:t>
        </s:is>
      </s:c>
      <s:c r="B139" s="11" t="inlineStr">
        <s:is>
          <s:t>relations</s:t>
        </s:is>
      </s:c>
      <s:c r="C139" s="11" t="n">
        <s:v>0</s:v>
      </s:c>
      <s:c r="D139" s="11" t="inlineStr">
        <s:is>
          <s:t>S_W</s:t>
        </s:is>
      </s:c>
    </s:row>
    <s:row r="140" ht="90" customFormat="1" customHeight="1" s="8">
      <s:c r="A140" s="12" t="inlineStr">
        <s:is>
          <s:t>2025::jama.2025.9110::C003</s:t>
        </s:is>
      </s:c>
      <s:c r="B140" s="12" t="inlineStr">
        <s:is>
          <s:t>relations</s:t>
        </s:is>
      </s:c>
      <s:c r="C140" s="12" t="n">
        <s:v>0</s:v>
      </s:c>
      <s:c r="D140" s="12" t="inlineStr">
        <s:is>
          <s:t>S_W</s:t>
        </s:is>
      </s:c>
    </s:row>
    <s:row r="141" ht="90" customFormat="1" customHeight="1" s="8">
      <s:c r="A141" s="11" t="inlineStr">
        <s:is>
          <s:t>2025::jama.2025.9110::C004</s:t>
        </s:is>
      </s:c>
      <s:c r="B141" s="11" t="inlineStr">
        <s:is>
          <s:t>relations</s:t>
        </s:is>
      </s:c>
      <s:c r="C141" s="11" t="n">
        <s:v>0</s:v>
      </s:c>
      <s:c r="D141" s="11" t="inlineStr">
        <s:is>
          <s:t>S_W</s:t>
        </s:is>
      </s:c>
    </s:row>
    <s:row r="142" ht="90" customFormat="1" customHeight="1" s="8">
      <s:c r="A142" s="12" t="inlineStr">
        <s:is>
          <s:t>2025::jama.2025.9110::C005</s:t>
        </s:is>
      </s:c>
      <s:c r="B142" s="12" t="inlineStr">
        <s:is>
          <s:t>relations</s:t>
        </s:is>
      </s:c>
      <s:c r="C142" s="12" t="n">
        <s:v>0</s:v>
      </s:c>
      <s:c r="D142" s="12" t="inlineStr">
        <s:is>
          <s:t>S_W</s:t>
        </s:is>
      </s:c>
    </s:row>
    <s:row r="143" ht="90" customFormat="1" customHeight="1" s="8">
      <s:c r="A143" s="11" t="inlineStr">
        <s:is>
          <s:t>2025::jama.2025.9110::C006</s:t>
        </s:is>
      </s:c>
      <s:c r="B143" s="11" t="inlineStr">
        <s:is>
          <s:t>relations</s:t>
        </s:is>
      </s:c>
      <s:c r="C143" s="11" t="n">
        <s:v>0</s:v>
      </s:c>
      <s:c r="D143" s="11" t="inlineStr">
        <s:is>
          <s:t>S_W</s:t>
        </s:is>
      </s:c>
    </s:row>
    <s:row r="144" ht="90" customFormat="1" customHeight="1" s="8">
      <s:c r="A144" s="12" t="inlineStr">
        <s:is>
          <s:t>2025::jama.2025.9663::C001</s:t>
        </s:is>
      </s:c>
      <s:c r="B144" s="12" t="inlineStr">
        <s:is>
          <s:t>relations</s:t>
        </s:is>
      </s:c>
      <s:c r="C144" s="12" t="n">
        <s:v>0</s:v>
      </s:c>
      <s:c r="D144" s="12" t="inlineStr">
        <s:is>
          <s:t>S_W</s:t>
        </s:is>
      </s:c>
    </s:row>
    <s:row r="145" ht="90" customFormat="1" customHeight="1" s="8">
      <s:c r="A145" s="11" t="inlineStr">
        <s:is>
          <s:t>2025::jama.2025.9663::C002</s:t>
        </s:is>
      </s:c>
      <s:c r="B145" s="11" t="inlineStr">
        <s:is>
          <s:t>relations</s:t>
        </s:is>
      </s:c>
      <s:c r="C145" s="11" t="n">
        <s:v>0</s:v>
      </s:c>
      <s:c r="D145" s="11" t="inlineStr">
        <s:is>
          <s:t>S_W</s:t>
        </s:is>
      </s:c>
    </s:row>
    <s:row r="146" ht="90" customFormat="1" customHeight="1" s="8">
      <s:c r="A146" s="12" t="inlineStr">
        <s:is>
          <s:t>2025::jama.2025.9663::C003</s:t>
        </s:is>
      </s:c>
      <s:c r="B146" s="12" t="inlineStr">
        <s:is>
          <s:t>relations</s:t>
        </s:is>
      </s:c>
      <s:c r="C146" s="12" t="n">
        <s:v>0</s:v>
      </s:c>
      <s:c r="D146" s="12" t="inlineStr">
        <s:is>
          <s:t>P_P</s:t>
        </s:is>
      </s:c>
    </s:row>
  </s:sheetData>
  <s:pageMargins left="0.7" right="0.7" top="0.75" bottom="0.75" header="0.3" footer="0.3"/>
</s:worksheet>
</file>

<file path=xl/worksheets/sheet27.xml><?xml version="1.0" encoding="utf-8"?>
<s:worksheet xmlns:s="http://schemas.openxmlformats.org/spreadsheetml/2006/main">
  <s:sheetPr>
    <s:outlinePr summaryBelow="1" summaryRight="1"/>
    <s:pageSetUpPr/>
  </s:sheetPr>
  <s:dimension ref="A1:E56"/>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34" customWidth="1" style="8" min="1" max="1"/>
    <s:col width="29" customWidth="1" style="8" min="2" max="2"/>
    <s:col width="40" customWidth="1" style="8" min="3" max="3"/>
    <s:col width="96" customWidth="1" style="8" min="4" max="4"/>
    <s:col width="29" customWidth="1" style="8" min="5" max="5"/>
  </s:cols>
  <s:sheetData>
    <s:row r="1" ht="42" customFormat="1" customHeight="1" s="8">
      <s:c r="A1" s="14" t="inlineStr">
        <s:is>
          <s:t>Field name</s:t>
        </s:is>
      </s:c>
      <s:c r="B1" s="14" t="inlineStr">
        <s:is>
          <s:t>Option / value</s:t>
        </s:is>
      </s:c>
      <s:c r="C1" s="14" t="inlineStr">
        <s:is>
          <s:t>Requirement / scope</s:t>
        </s:is>
      </s:c>
      <s:c r="D1" s="14" t="inlineStr">
        <s:is>
          <s:t>Explanation and example</s:t>
        </s:is>
      </s:c>
      <s:c r="E1" s="14" t="inlineStr">
        <s:is>
          <s:t>Internal key</s:t>
        </s:is>
      </s:c>
    </s:row>
    <s:row r="2" ht="96" customFormat="1" customHeight="1" s="8">
      <s:c r="A2" s="15" t="inlineStr">
        <s:is>
          <s:t>Working method</s:t>
        </s:is>
      </s:c>
      <s:c r="B2" s="15" t="inlineStr">
        <s:is>
          <s:t>GUIDE</s:t>
        </s:is>
      </s:c>
      <s:c r="C2" s="15" t="inlineStr">
        <s:is>
          <s:t>Independent primary review</s:t>
        </s:is>
      </s:c>
      <s:c r="D2" s="15" t="inlineStr">
        <s:is>
          <s:t>Blank = no answer; indeterminate/unknown = uncertain; not_applicable = inactive. Clear obsolete answers after changing domain or disposition.</s:t>
        </s:is>
      </s:c>
      <s:c r="E2" s="15" t="n"/>
    </s:row>
    <s:row r="3" ht="96" customFormat="1" customHeight="1" s="8">
      <s:c r="A3" s="16" t="inlineStr">
        <s:is>
          <s:t>Required judgments</s:t>
        </s:is>
      </s:c>
      <s:c r="B3" s="16" t="inlineStr">
        <s:is>
          <s:t>GUIDE</s:t>
        </s:is>
      </s:c>
      <s:c r="C3" s="16" t="inlineStr">
        <s:is>
          <s:t>Retain only</s:t>
        </s:is>
      </s:c>
      <s:c r="D3" s="16" t="inlineStr">
        <s:is>
          <s:t>statistical_results: issue + substantiveness; report_internal_inconsistency or plan_material: internalStatus. protocol_report: no extra required judgment; interpretation is optional.</s:t>
        </s:is>
      </s:c>
      <s:c r="E3" s="16" t="n"/>
    </s:row>
    <s:row r="4" ht="96" customFormat="1" customHeight="1" s="8">
      <s:c r="A4" s="15" t="inlineStr">
        <s:is>
          <s:t>How to read this Codebook</s:t>
        </s:is>
      </s:c>
      <s:c r="B4" s="15" t="n"/>
      <s:c r="C4" s="15" t="n"/>
      <s:c r="D4" s="15" t="n"/>
      <s:c r="E4" s="15" t="n"/>
    </s:row>
    <s:row r="5" ht="96" customFormat="1" customHeight="1" s="8">
      <s:c r="A5" s="16" t="inlineStr">
        <s:is>
          <s:t>1  |  Common decisions and optional notes</s:t>
        </s:is>
      </s:c>
      <s:c r="B5" s="16" t="n"/>
      <s:c r="C5" s="16" t="n"/>
      <s:c r="D5" s="16" t="n"/>
      <s:c r="E5" s="16" t="n"/>
    </s:row>
    <s:row r="6" ht="96" customFormat="1" customHeight="1" s="8">
      <s:c r="A6" s="15" t="inlineStr">
        <s:is>
          <s:t>Disposition</s:t>
        </s:is>
      </s:c>
      <s:c r="B6" s="15" t="inlineStr">
        <s:is>
          <s:t>FIELD</s:t>
        </s:is>
      </s:c>
      <s:c r="C6" s="15" t="inlineStr">
        <s:is>
          <s:t>Required; all domains</s:t>
        </s:is>
      </s:c>
      <s:c r="D6" s="15" t="inlineStr">
        <s:is>
          <s:t>Keep, exclude, or defer as unresolved. Blank means untouched, not discuss. No AI disposition is preselected.</s:t>
        </s:is>
      </s:c>
      <s:c r="E6" s="15" t="inlineStr">
        <s:is>
          <s:t>disposition</s:t>
        </s:is>
      </s:c>
    </s:row>
    <s:row r="7" ht="96" customFormat="1" customHeight="1" s="8">
      <s:c r="A7" s="16" t="n"/>
      <s:c r="B7" s="16" t="inlineStr">
        <s:is>
          <s:t>retain</s:t>
        </s:is>
      </s:c>
      <s:c r="C7" s="16" t="inlineStr">
        <s:is>
          <s:t>Option</s:t>
        </s:is>
      </s:c>
      <s:c r="D7" s="16" t="inlineStr">
        <s:is>
          <s:t>Retain candidate. After human review, keep this finding in the applicable review results; retaining a protocol discrepancy does not automatically confirm an issue.</s:t>
        </s:is>
      </s:c>
      <s:c r="E7" s="16" t="n"/>
    </s:row>
    <s:row r="8" ht="96" customFormat="1" customHeight="1" s="8">
      <s:c r="A8" s="15" t="n"/>
      <s:c r="B8" s="15" t="inlineStr">
        <s:is>
          <s:t>exclude</s:t>
        </s:is>
      </s:c>
      <s:c r="C8" s="15" t="inlineStr">
        <s:is>
          <s:t>Option</s:t>
        </s:is>
      </s:c>
      <s:c r="D8" s="15" t="inlineStr">
        <s:is>
          <s:t>Do not retain. The candidate has been assessed and should not remain as a finding, for example because the apparent mismatch has a satisfactory explanation.</s:t>
        </s:is>
      </s:c>
      <s:c r="E8" s="15" t="n"/>
    </s:row>
    <s:row r="9" ht="96" customFormat="1" customHeight="1" s="8">
      <s:c r="A9" s="16" t="n"/>
      <s:c r="B9" s="16" t="inlineStr">
        <s:is>
          <s:t>discuss</s:t>
        </s:is>
      </s:c>
      <s:c r="C9" s="16" t="inlineStr">
        <s:is>
          <s:t>Option</s:t>
        </s:is>
      </s:c>
      <s:c r="D9" s="16" t="inlineStr">
        <s:is>
          <s:t>Needs discussion. The reviewer has considered the candidate but cannot settle the disposition without further discussion. This is a decision to defer, not an untouched blank.</s:t>
        </s:is>
      </s:c>
      <s:c r="E9" s="16" t="n"/>
    </s:row>
    <s:row r="10" ht="96" customFormat="1" customHeight="1" s="8">
      <s:c r="A10" s="15" t="inlineStr">
        <s:is>
          <s:t>Review domain</s:t>
        </s:is>
      </s:c>
      <s:c r="B10" s="15" t="inlineStr">
        <s:is>
          <s:t>FIELD</s:t>
        </s:is>
      </s:c>
      <s:c r="C10" s="15" t="inlineStr">
        <s:is>
          <s:t>Required; all domains</s:t>
        </s:is>
      </s:c>
      <s:c r="D10" s="15" t="inlineStr">
        <s:is>
          <s:t>Choose the assessment branch first. It controls automatic not_applicable defaults and which judgments are required. All four choices are available; the frozen document relationship code does not change.</s:t>
        </s:is>
      </s:c>
      <s:c r="E10" s="15" t="inlineStr">
        <s:is>
          <s:t>domain</s:t>
        </s:is>
      </s:c>
    </s:row>
    <s:row r="11" ht="96" customFormat="1" customHeight="1" s="8">
      <s:c r="A11" s="16" t="n"/>
      <s:c r="B11" s="16" t="inlineStr">
        <s:is>
          <s:t>statistical_results</s:t>
        </s:is>
      </s:c>
      <s:c r="C11" s="16" t="inlineStr">
        <s:is>
          <s:t>Option</s:t>
        </s:is>
      </s:c>
      <s:c r="D11" s="16" t="inlineStr">
        <s:is>
          <s:t>Statistical results (S_C / S_W). Assess reported numbers, estimates, intervals, denominators or statistical claims in the current report materials.</s:t>
        </s:is>
      </s:c>
      <s:c r="E11" s="16" t="n"/>
    </s:row>
    <s:row r="12" ht="96" customFormat="1" customHeight="1" s="8">
      <s:c r="A12" s="15" t="n"/>
      <s:c r="B12" s="15" t="inlineStr">
        <s:is>
          <s:t>report_internal_inconsistency</s:t>
        </s:is>
      </s:c>
      <s:c r="C12" s="15" t="inlineStr">
        <s:is>
          <s:t>Option</s:t>
        </s:is>
      </s:c>
      <s:c r="D12" s="15" t="inlineStr">
        <s:is>
          <s: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s:t>
        </s:is>
      </s:c>
      <s:c r="E12" s="15" t="n"/>
    </s:row>
    <s:row r="13" ht="96" customFormat="1" customHeight="1" s="8">
      <s:c r="A13" s="16" t="n"/>
      <s:c r="B13" s="16" t="inlineStr">
        <s:is>
          <s:t>protocol_report</s:t>
        </s:is>
      </s:c>
      <s:c r="C13" s="16" t="inlineStr">
        <s:is>
          <s:t>Option</s:t>
        </s:is>
      </s:c>
      <s:c r="D13" s="16" t="inlineStr">
        <s:is>
          <s:t>Protocol-report (P_R). Assess whether planned and reported conduct or analyses meaningfully differ, using the compared materials. No search for acknowledgment or reasons for changes is required.</s:t>
        </s:is>
      </s:c>
      <s:c r="E13" s="16" t="n"/>
    </s:row>
    <s:row r="14" ht="96" customFormat="1" customHeight="1" s="8">
      <s:c r="A14" s="15" t="n"/>
      <s:c r="B14" s="15" t="inlineStr">
        <s:is>
          <s:t>plan_material</s:t>
        </s:is>
      </s:c>
      <s:c r="C14" s="15" t="inlineStr">
        <s:is>
          <s:t>Option</s:t>
        </s:is>
      </s:c>
      <s:c r="D14" s="15" t="inlineStr">
        <s:is>
          <s:t>Plan material (P_P). Assess an inconsistency involving planning materials themselves rather than a planned-versus-reported result. The original relationship code remains unchanged.</s:t>
        </s:is>
      </s:c>
      <s:c r="E14" s="15" t="n"/>
    </s:row>
    <s:row r="15" ht="96" customFormat="1" customHeight="1" s="8">
      <s:c r="A15" s="16" t="inlineStr">
        <s:is>
          <s:t>Complete</s:t>
        </s:is>
      </s:c>
      <s:c r="B15" s="16" t="inlineStr">
        <s:is>
          <s:t>FIELD</s:t>
        </s:is>
      </s:c>
      <s:c r="C15" s="16" t="inlineStr">
        <s:is>
          <s:t>Independent primary review</s:t>
        </s:is>
      </s:c>
      <s:c r="D15" s="16" t="inlineStr">
        <s:is>
          <s:t>Use no while drafting; primary_done only after manual review. Reset F=no before changing a completed row, review again, then mark primary_done.</s:t>
        </s:is>
      </s:c>
      <s:c r="E15" s="16" t="inlineStr">
        <s:is>
          <s:t>reviewComplete</s:t>
        </s:is>
      </s:c>
    </s:row>
    <s:row r="16" ht="96" customFormat="1" customHeight="1" s="8">
      <s:c r="A16" s="15" t="n"/>
      <s:c r="B16" s="15" t="inlineStr">
        <s:is>
          <s:t>no</s:t>
        </s:is>
      </s:c>
      <s:c r="C16" s="15" t="inlineStr">
        <s:is>
          <s:t>Option</s:t>
        </s:is>
      </s:c>
      <s:c r="D16" s="15" t="inlineStr">
        <s:is>
          <s:t>Draft. Manual review is not yet confirmed complete; AI suggestions or partial entries do not count as completion.</s:t>
        </s:is>
      </s:c>
      <s:c r="E16" s="15" t="n"/>
    </s:row>
    <s:row r="17" ht="96" customFormat="1" customHeight="1" s="8">
      <s:c r="A17" s="16" t="inlineStr">
        <s:is>
          <s:t>Validation hint</s:t>
        </s:is>
      </s:c>
      <s:c r="B17" s="16" t="inlineStr">
        <s:is>
          <s:t>FIELD</s:t>
        </s:is>
      </s:c>
      <s:c r="C17" s="16" t="inlineStr">
        <s:is>
          <s:t>Calculated</s:t>
        </s:is>
      </s:c>
      <s:c r="D17" s="16" t="inlineStr">
        <s:is>
          <s:t>PRIMARY READY means this independent primary assessment passes entry checks. Discuss remains unresolved. Checks does not establish scientific accuracy or prevent edits to source/formula cells.</s:t>
        </s:is>
      </s:c>
      <s:c r="E17" s="16" t="inlineStr">
        <s:is>
          <s:t>readiness</s:t>
        </s:is>
      </s:c>
    </s:row>
    <s:row r="18" ht="96" customFormat="1" customHeight="1" s="8">
      <s:c r="A18" s="15" t="inlineStr">
        <s:is>
          <s:t>Notes (optional)</s:t>
        </s:is>
      </s:c>
      <s:c r="B18" s="15" t="inlineStr">
        <s:is>
          <s:t>FIELD</s:t>
        </s:is>
      </s:c>
      <s:c r="C18" s="15" t="inlineStr">
        <s:is>
          <s:t>Optional</s:t>
        </s:is>
      </s:c>
      <s:c r="D18" s="15" t="inlineStr">
        <s:is>
          <s:t>Optional English context. Clearing removes the text; no inheritance and no control words.</s:t>
        </s:is>
      </s:c>
      <s:c r="E18" s="15" t="inlineStr">
        <s:is>
          <s:t>notes</s:t>
        </s:is>
      </s:c>
    </s:row>
    <s:row r="19" ht="96" customFormat="1" customHeight="1" s="8">
      <s:c r="A19" s="16" t="inlineStr">
        <s:is>
          <s:t>2  |  Statistical results: two required judgments</s:t>
        </s:is>
      </s:c>
      <s:c r="B19" s="16" t="n"/>
      <s:c r="C19" s="16" t="n"/>
      <s:c r="D19" s="16" t="n"/>
      <s:c r="E19" s="16" t="n"/>
    </s:row>
    <s:row r="20" ht="96" customFormat="1" customHeight="1" s="8">
      <s:c r="A20" s="15" t="inlineStr">
        <s:is>
          <s:t>Statistcal_or_numerical issue</s:t>
        </s:is>
      </s:c>
      <s:c r="B20" s="15" t="inlineStr">
        <s:is>
          <s:t>FIELD</s:t>
        </s:is>
      </s:c>
      <s:c r="C20" s="15" t="inlineStr">
        <s:is>
          <s:t>Required; retained statistical_results</s:t>
        </s:is>
      </s:c>
      <s:c r="D20" s="15" t="inlineStr">
        <s:is>
          <s:t>Does a statistical or numerical reporting issue exist? Example: a reported percentage conflicts with its stated numerator and denominator after checking definitions. Certainty is separate from importance.</s:t>
        </s:is>
      </s:c>
      <s:c r="E20" s="15" t="inlineStr">
        <s:is>
          <s:t>statisticalIssueStatus</s:t>
        </s:is>
      </s:c>
    </s:row>
    <s:row r="21" ht="96" customFormat="1" customHeight="1" s="8">
      <s:c r="A21" s="16" t="n"/>
      <s:c r="B21" s="16" t="inlineStr">
        <s:is>
          <s:t>confirmed_issue</s:t>
        </s:is>
      </s:c>
      <s:c r="C21" s="16" t="inlineStr">
        <s:is>
          <s:t>Option</s:t>
        </s:is>
      </s:c>
      <s:c r="D21" s="16" t="inlineStr">
        <s:is>
          <s:t>Confirmed statistical or numerical reporting issue. The available evidence establishes a reporting issue or contradiction, even if the correct replacement value is not known.</s:t>
        </s:is>
      </s:c>
      <s:c r="E21" s="16" t="n"/>
    </s:row>
    <s:row r="22" ht="96" customFormat="1" customHeight="1" s="8">
      <s:c r="A22" s="15" t="n"/>
      <s:c r="B22" s="15" t="inlineStr">
        <s:is>
          <s:t>probable_issue</s:t>
        </s:is>
      </s:c>
      <s:c r="C22" s="15" t="inlineStr">
        <s:is>
          <s:t>Option</s:t>
        </s:is>
      </s:c>
      <s:c r="D22" s="15" t="inlineStr">
        <s:is>
          <s:t>Probable statistical or numerical reporting issue. The evidence favors a reporting issue, but an unresolved limitation or plausible alternative prevents confirmation.</s:t>
        </s:is>
      </s:c>
      <s:c r="E22" s="15" t="n"/>
    </s:row>
    <s:row r="23" ht="96" customFormat="1" customHeight="1" s="8">
      <s:c r="A23" s="16" t="n"/>
      <s:c r="B23" s="16" t="inlineStr">
        <s:is>
          <s:t>not_issue</s:t>
        </s:is>
      </s:c>
      <s:c r="C23" s="16" t="inlineStr">
        <s:is>
          <s:t>Option</s:t>
        </s:is>
      </s:c>
      <s:c r="D23" s="16" t="inlineStr">
        <s:is>
          <s:t>Not a statistical or numerical issue. The apparent discrepancy is consistent with a valid calculation, definition, analysis method or reporting context.</s:t>
        </s:is>
      </s:c>
      <s:c r="E23" s="16" t="n"/>
    </s:row>
    <s:row r="24" ht="96" customFormat="1" customHeight="1" s="8">
      <s:c r="A24" s="15" t="n"/>
      <s:c r="B24" s="15" t="inlineStr">
        <s:is>
          <s:t>indeterminate</s:t>
        </s:is>
      </s:c>
      <s:c r="C24" s="15" t="inlineStr">
        <s:is>
          <s:t>Option</s:t>
        </s:is>
      </s:c>
      <s:c r="D24" s="15" t="inlineStr">
        <s:is>
          <s:t>Indeterminate. The available evidence does not support deciding whether a statistical or numerical reporting issue exists; neither confirmation nor dismissal is justified.</s:t>
        </s:is>
      </s:c>
      <s:c r="E24" s="15" t="n"/>
    </s:row>
    <s:row r="25" ht="96" customFormat="1" customHeight="1" s="8">
      <s:c r="A25" s="16" t="n"/>
      <s:c r="B25" s="16" t="inlineStr">
        <s:is>
          <s:t>not_applicable</s:t>
        </s:is>
      </s:c>
      <s:c r="C25" s="16" t="inlineStr">
        <s:is>
          <s:t>Option</s:t>
        </s:is>
      </s:c>
      <s:c r="D25" s="16" t="inlineStr">
        <s:is>
          <s:t>Automatic default outside this field's review domain or for a non-retained candidate. It is not an issue verdict, missing evidence, or an unanswered applicable question. Do not choose it for an applicable field.</s:t>
        </s:is>
      </s:c>
      <s:c r="E25" s="16" t="n"/>
    </s:row>
    <s:row r="26" ht="96" customFormat="1" customHeight="1" s="8">
      <s:c r="A26" s="15" t="inlineStr">
        <s:is>
          <s:t>Substantiveness</s:t>
        </s:is>
      </s:c>
      <s:c r="B26" s="15" t="inlineStr">
        <s:is>
          <s:t>FIELD</s:t>
        </s:is>
      </s:c>
      <s:c r="C26" s="15" t="inlineStr">
        <s:is>
          <s:t>Required; retained statistical_results</s:t>
        </s:is>
      </s:c>
      <s:c r="D26" s="15" t="inlineStr">
        <s:is>
          <s:t>Could the issue meaningfully affect interpretation or data use? A harmless spacing typo is minor_presentation; an ambiguous extractable effect estimate may be substantive. An issue can be confirmed yet minor.</s:t>
        </s:is>
      </s:c>
      <s:c r="E26" s="15" t="inlineStr">
        <s:is>
          <s:t>substantiveStatus</s:t>
        </s:is>
      </s:c>
    </s:row>
    <s:row r="27" ht="96" customFormat="1" customHeight="1" s="8">
      <s:c r="A27" s="16" t="n"/>
      <s:c r="B27" s="16" t="inlineStr">
        <s:is>
          <s:t>substantive</s:t>
        </s:is>
      </s:c>
      <s:c r="C27" s="16" t="inlineStr">
        <s:is>
          <s:t>Option</s:t>
        </s:is>
      </s:c>
      <s:c r="D27" s="16" t="inlineStr">
        <s:is>
          <s:t>Substantive. The issue could meaningfully change interpretation, data extraction or downstream analysis, rather than only the presentation of the result.</s:t>
        </s:is>
      </s:c>
      <s:c r="E27" s="16" t="n"/>
    </s:row>
    <s:row r="28" ht="96" customFormat="1" customHeight="1" s="8">
      <s:c r="A28" s="15" t="n"/>
      <s:c r="B28" s="15" t="inlineStr">
        <s:is>
          <s:t>minor_presentation</s:t>
        </s:is>
      </s:c>
      <s:c r="C28" s="15" t="inlineStr">
        <s:is>
          <s:t>Option</s:t>
        </s:is>
      </s:c>
      <s:c r="D28" s="15" t="inlineStr">
        <s:is>
          <s:t>Minor or presentation only. The intended result remains clear and the issue is a small formatting, labeling or typographic problem without a meaningful change in interpretation.</s:t>
        </s:is>
      </s:c>
      <s:c r="E28" s="15" t="n"/>
    </s:row>
    <s:row r="29" ht="96" customFormat="1" customHeight="1" s="8">
      <s:c r="A29" s="16" t="n"/>
      <s:c r="B29" s="16" t="inlineStr">
        <s:is>
          <s:t>indeterminate</s:t>
        </s:is>
      </s:c>
      <s:c r="C29" s="16" t="inlineStr">
        <s:is>
          <s:t>Option</s:t>
        </s:is>
      </s:c>
      <s:c r="D29" s="16" t="inlineStr">
        <s:is>
          <s:t>Indeterminate. There is not enough information to decide whether the issue is substantive or limited to presentation.</s:t>
        </s:is>
      </s:c>
      <s:c r="E29" s="16" t="n"/>
    </s:row>
    <s:row r="30" ht="96" customFormat="1" customHeight="1" s="8">
      <s:c r="A30" s="15" t="n"/>
      <s:c r="B30" s="15" t="inlineStr">
        <s:is>
          <s:t>not_applicable</s:t>
        </s:is>
      </s:c>
      <s:c r="C30" s="15" t="inlineStr">
        <s:is>
          <s:t>Option</s:t>
        </s:is>
      </s:c>
      <s:c r="D30" s="15" t="inlineStr">
        <s:is>
          <s:t>Automatic default outside this field's review domain or for a non-retained candidate. It is not an issue verdict, missing evidence, or an unanswered applicable question. Do not choose it for an applicable field.</s:t>
        </s:is>
      </s:c>
      <s:c r="E30" s="15" t="n"/>
    </s:row>
    <s:row r="31" ht="96" customFormat="1" customHeight="1" s="8">
      <s:c r="A31" s="16" t="inlineStr">
        <s:is>
          <s:t>Downstream impact</s:t>
        </s:is>
      </s:c>
      <s:c r="B31" s="16" t="inlineStr">
        <s:is>
          <s:t>FIELD</s:t>
        </s:is>
      </s:c>
      <s:c r="C31" s="16" t="inlineStr">
        <s:is>
          <s:t>Optional; retained statistical_results</s:t>
        </s:is>
      </s:c>
      <s:c r="D31" s="16" t="inlineStr">
        <s:is>
          <s:t>Add only useful information about later extraction or analysis. direct means the affected value itself may be extracted, not that harm has occurred. Blank is allowed and means not assessed; it is not unlikely or not_applicable. This field does not determine temporal eligibility.</s:t>
        </s:is>
      </s:c>
      <s:c r="E31" s="16" t="inlineStr">
        <s:is>
          <s:t>downstreamImpact</s:t>
        </s:is>
      </s:c>
    </s:row>
    <s:row r="32" ht="96" customFormat="1" customHeight="1" s="8">
      <s:c r="A32" s="15" t="n"/>
      <s:c r="B32" s="15" t="inlineStr">
        <s:is>
          <s:t>direct</s:t>
        </s:is>
      </s:c>
      <s:c r="C32" s="15" t="inlineStr">
        <s:is>
          <s:t>Option</s:t>
        </s:is>
      </s:c>
      <s:c r="D32" s="15" t="inlineStr">
        <s:is>
          <s:t>Direct extraction or analysis impact. The affected value or definition is itself an input to data extraction or subsequent analysis; this describes potential impact, not proven downstream harm.</s:t>
        </s:is>
      </s:c>
      <s:c r="E32" s="15" t="n"/>
    </s:row>
    <s:row r="33" ht="96" customFormat="1" customHeight="1" s="8">
      <s:c r="A33" s="16" t="n"/>
      <s:c r="B33" s="16" t="inlineStr">
        <s:is>
          <s:t>possible</s:t>
        </s:is>
      </s:c>
      <s:c r="C33" s="16" t="inlineStr">
        <s:is>
          <s:t>Option</s:t>
        </s:is>
      </s:c>
      <s:c r="D33" s="16" t="inlineStr">
        <s:is>
          <s:t>Possible downstream impact. A plausible route to affecting later interpretation, extraction or analysis exists, but the connection is indirect or uncertain.</s:t>
        </s:is>
      </s:c>
      <s:c r="E33" s="16" t="n"/>
    </s:row>
    <s:row r="34" ht="96" customFormat="1" customHeight="1" s="8">
      <s:c r="A34" s="15" t="n"/>
      <s:c r="B34" s="15" t="inlineStr">
        <s:is>
          <s:t>unlikely</s:t>
        </s:is>
      </s:c>
      <s:c r="C34" s="15" t="inlineStr">
        <s:is>
          <s:t>Option</s:t>
        </s:is>
      </s:c>
      <s:c r="D34" s="15" t="inlineStr">
        <s:is>
          <s:t>Unlikely downstream impact. The issue is unlikely to change extracted information or later analysis because the relevant result remains clear and usable.</s:t>
        </s:is>
      </s:c>
      <s:c r="E34" s="15" t="n"/>
    </s:row>
    <s:row r="35" ht="96" customFormat="1" customHeight="1" s="8">
      <s:c r="A35" s="16" t="n"/>
      <s:c r="B35" s="16" t="inlineStr">
        <s:is>
          <s:t>unknown</s:t>
        </s:is>
      </s:c>
      <s:c r="C35" s="16" t="inlineStr">
        <s:is>
          <s:t>Option</s:t>
        </s:is>
      </s:c>
      <s:c r="D35" s="16" t="inlineStr">
        <s:is>
          <s:t>Unable to assess. The materials do not establish enough about the affected information or its likely use to judge downstream impact.</s:t>
        </s:is>
      </s:c>
      <s:c r="E35" s="16" t="n"/>
    </s:row>
    <s:row r="36" ht="96" customFormat="1" customHeight="1" s="8">
      <s:c r="A36" s="15" t="n"/>
      <s:c r="B36" s="15" t="inlineStr">
        <s:is>
          <s:t>not_applicable</s:t>
        </s:is>
      </s:c>
      <s:c r="C36" s="15" t="inlineStr">
        <s:is>
          <s:t>Option</s:t>
        </s:is>
      </s:c>
      <s:c r="D36" s="15" t="inlineStr">
        <s:is>
          <s:t>Automatic default outside this field's review domain or for a non-retained candidate. It is not an issue verdict, missing evidence, or an unanswered applicable question. Do not choose it for an applicable field.</s:t>
        </s:is>
      </s:c>
      <s:c r="E36" s="15" t="n"/>
    </s:row>
    <s:row r="37" ht="96" customFormat="1" customHeight="1" s="8">
      <s:c r="A37" s="16" t="inlineStr">
        <s:is>
          <s:t>3  |  Report internal or planning-material inconsistency</s:t>
        </s:is>
      </s:c>
      <s:c r="B37" s="16" t="n"/>
      <s:c r="C37" s="16" t="n"/>
      <s:c r="D37" s="16" t="n"/>
      <s:c r="E37" s="16" t="n"/>
    </s:row>
    <s:row r="38" ht="96" customFormat="1" customHeight="1" s="8">
      <s:c r="A38" s="15" t="inlineStr">
        <s:is>
          <s:t>Report-internal or planning-material inconsistency</s:t>
        </s:is>
      </s:c>
      <s:c r="B38" s="15" t="inlineStr">
        <s:is>
          <s:t>FIELD</s:t>
        </s:is>
      </s:c>
      <s:c r="C38" s="15" t="inlineStr">
        <s:is>
          <s:t>Required; retained report_internal_inconsistency or plan_material</s:t>
        </s:is>
      </s:c>
      <s:c r="D38" s="15" t="inlineStr">
        <s:is>
          <s: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s:t>
        </s:is>
      </s:c>
      <s:c r="E38" s="15" t="inlineStr">
        <s:is>
          <s:t>internalStatus</s:t>
        </s:is>
      </s:c>
    </s:row>
    <s:row r="39" ht="96" customFormat="1" customHeight="1" s="8">
      <s:c r="A39" s="16" t="n"/>
      <s:c r="B39" s="16" t="inlineStr">
        <s:is>
          <s:t>substantive_inconsistency</s:t>
        </s:is>
      </s:c>
      <s:c r="C39" s="16" t="inlineStr">
        <s:is>
          <s:t>Option</s:t>
        </s:is>
      </s:c>
      <s:c r="D39" s="16" t="inlineStr">
        <s:is>
          <s:t>Substantive inconsistency. Conflicting statements, values, labels, or descriptions in the compared report or planning materials could materially change how the study, population, procedures or results are understood.</s:t>
        </s:is>
      </s:c>
      <s:c r="E39" s="16" t="n"/>
    </s:row>
    <s:row r="40" ht="96" customFormat="1" customHeight="1" s="8">
      <s:c r="A40" s="15" t="n"/>
      <s:c r="B40" s="15" t="inlineStr">
        <s:is>
          <s:t>minor_presentation</s:t>
        </s:is>
      </s:c>
      <s:c r="C40" s="15" t="inlineStr">
        <s:is>
          <s:t>Option</s:t>
        </s:is>
      </s:c>
      <s:c r="D40" s="15" t="inlineStr">
        <s:is>
          <s:t>Minor presentation inconsistency. A real discrepancy exists, but it mainly affects presentation, including minor wording or labeling problems, and the intended meaning remains clear. Example: an imprecise label whose intended meaning is clear from context.</s:t>
        </s:is>
      </s:c>
      <s:c r="E40" s="15" t="n"/>
    </s:row>
    <s:row r="41" ht="96" customFormat="1" customHeight="1" s="8">
      <s:c r="A41" s="16" t="n"/>
      <s:c r="B41" s="16" t="inlineStr">
        <s:is>
          <s:t>non_inconsistency</s:t>
        </s:is>
      </s:c>
      <s:c r="C41" s="16" t="inlineStr">
        <s:is>
          <s:t>Option</s:t>
        </s:is>
      </s:c>
      <s:c r="D41" s="16" t="inlineStr">
        <s:is>
          <s:t>Not an inconsistency. The statements are compatible once their definitions, populations, time points or other context are taken into account. This includes different wording with the same substantive meaning. Example: participants and study participants refer to the same group.</s:t>
        </s:is>
      </s:c>
      <s:c r="E41" s="16" t="n"/>
    </s:row>
    <s:row r="42" ht="96" customFormat="1" customHeight="1" s="8">
      <s:c r="A42" s="15" t="n"/>
      <s:c r="B42" s="15" t="inlineStr">
        <s:is>
          <s:t>indeterminate</s:t>
        </s:is>
      </s:c>
      <s:c r="C42" s="15" t="inlineStr">
        <s:is>
          <s:t>Option</s:t>
        </s:is>
      </s:c>
      <s:c r="D42" s="15" t="inlineStr">
        <s:is>
          <s:t>Indeterminate. The available material is insufficient to establish whether the statements conflict or how important any conflict is.</s:t>
        </s:is>
      </s:c>
      <s:c r="E42" s="15" t="n"/>
    </s:row>
    <s:row r="43" ht="96" customFormat="1" customHeight="1" s="8">
      <s:c r="A43" s="16" t="n"/>
      <s:c r="B43" s="16" t="inlineStr">
        <s:is>
          <s:t>not_applicable</s:t>
        </s:is>
      </s:c>
      <s:c r="C43" s="16" t="inlineStr">
        <s:is>
          <s:t>Option</s:t>
        </s:is>
      </s:c>
      <s:c r="D43" s="16" t="inlineStr">
        <s:is>
          <s:t>Automatic default outside this field's review domain or for a non-retained candidate. It is not an issue verdict, missing evidence, or an unanswered applicable question. Do not choose it for an applicable field.</s:t>
        </s:is>
      </s:c>
      <s:c r="E43" s="16" t="n"/>
    </s:row>
    <s:row r="44" ht="96" customFormat="1" customHeight="1" s="8">
      <s:c r="A44" s="15" t="inlineStr">
        <s:is>
          <s:t>4  |  Protocol versus report: optional description only</s:t>
        </s:is>
      </s:c>
      <s:c r="B44" s="15" t="n"/>
      <s:c r="C44" s="15" t="n"/>
      <s:c r="D44" s="15" t="n"/>
      <s:c r="E44" s="15" t="n"/>
    </s:row>
    <s:row r="45" ht="96" customFormat="1" customHeight="1" s="8">
      <s:c r="A45" s="16" t="inlineStr">
        <s:is>
          <s:t>Protocol interpretation</s:t>
        </s:is>
      </s:c>
      <s:c r="B45" s="16" t="inlineStr">
        <s:is>
          <s:t>FIELD</s:t>
        </s:is>
      </s:c>
      <s:c r="C45" s="16" t="inlineStr">
        <s:is>
          <s:t>Optional; retained protocol_report</s:t>
        </s:is>
      </s:c>
      <s:c r="D45" s="16" t="inlineStr">
        <s:is>
          <s: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s:t>
        </s:is>
      </s:c>
      <s:c r="E45" s="16" t="inlineStr">
        <s:is>
          <s:t>protocolInterpretation</s:t>
        </s:is>
      </s:c>
    </s:row>
    <s:row r="46" ht="96" customFormat="1" customHeight="1" s="8">
      <s:c r="A46" s="15" t="n"/>
      <s:c r="B46" s="15" t="inlineStr">
        <s:is>
          <s:t>substantive_difference</s:t>
        </s:is>
      </s:c>
      <s:c r="C46" s="15" t="inlineStr">
        <s:is>
          <s:t>Option</s:t>
        </s:is>
      </s:c>
      <s:c r="D46" s="15" t="inlineStr">
        <s:is>
          <s: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s:t>
        </s:is>
      </s:c>
      <s:c r="E46" s="15" t="n"/>
    </s:row>
    <s:row r="47" ht="96" customFormat="1" customHeight="1" s="8">
      <s:c r="A47" s="16" t="n"/>
      <s:c r="B47" s="16" t="inlineStr">
        <s:is>
          <s:t>minor_presentation</s:t>
        </s:is>
      </s:c>
      <s:c r="C47" s="16" t="inlineStr">
        <s:is>
          <s:t>Option</s:t>
        </s:is>
      </s:c>
      <s:c r="D47" s="16" t="inlineStr">
        <s:is>
          <s:t>Minor presentation difference. A minor wording, labeling or presentation problem exists, but the intended planned and reported meaning or conduct remains clear. Example: an imprecise outcome label clarified by the same definition in both documents.</s:t>
        </s:is>
      </s:c>
      <s:c r="E47" s="16" t="n"/>
    </s:row>
    <s:row r="48" ht="96" customFormat="1" customHeight="1" s="8">
      <s:c r="A48" s="15" t="n"/>
      <s:c r="B48" s="15" t="inlineStr">
        <s:is>
          <s:t>version_timing</s:t>
        </s:is>
      </s:c>
      <s:c r="C48" s="15" t="inlineStr">
        <s:is>
          <s:t>Option</s:t>
        </s:is>
      </s:c>
      <s:c r="D48" s="15" t="inlineStr">
        <s:is>
          <s:t>Version or timing ambiguity. The difference may reflect which protocol version or date is being compared; the sequence cannot be resolved from the available material.</s:t>
        </s:is>
      </s:c>
      <s:c r="E48" s="15" t="n"/>
    </s:row>
    <s:row r="49" ht="96" customFormat="1" customHeight="1" s="8">
      <s:c r="A49" s="16" t="n"/>
      <s:c r="B49" s="16" t="inlineStr">
        <s:is>
          <s:t>non_inconsistency</s:t>
        </s:is>
      </s:c>
      <s:c r="C49" s="16" t="inlineStr">
        <s:is>
          <s:t>Option</s:t>
        </s:is>
      </s:c>
      <s:c r="D49" s="16" t="inlineStr">
        <s:is>
          <s: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s:t>
        </s:is>
      </s:c>
      <s:c r="E49" s="16" t="n"/>
    </s:row>
    <s:row r="50" ht="96" customFormat="1" customHeight="1" s="8">
      <s:c r="A50" s="15" t="n"/>
      <s:c r="B50" s="15" t="inlineStr">
        <s:is>
          <s:t>indeterminate</s:t>
        </s:is>
      </s:c>
      <s:c r="C50" s="15" t="inlineStr">
        <s:is>
          <s:t>Option</s:t>
        </s:is>
      </s:c>
      <s:c r="D50" s="15" t="inlineStr">
        <s:is>
          <s:t>Indeterminate. The available evidence cannot support a more specific interpretation of the planned-versus-reported difference.</s:t>
        </s:is>
      </s:c>
      <s:c r="E50" s="15" t="n"/>
    </s:row>
    <s:row r="51" ht="96" customFormat="1" customHeight="1" s="8">
      <s:c r="A51" s="16" t="n"/>
      <s:c r="B51" s="16" t="inlineStr">
        <s:is>
          <s:t>not_applicable</s:t>
        </s:is>
      </s:c>
      <s:c r="C51" s="16" t="inlineStr">
        <s:is>
          <s:t>Option</s:t>
        </s:is>
      </s:c>
      <s:c r="D51" s="16" t="inlineStr">
        <s:is>
          <s:t>Automatic default outside this field's review domain or for a non-retained candidate. It is not an issue verdict, missing evidence, or an unanswered applicable question. Do not choose it for an applicable field.</s:t>
        </s:is>
      </s:c>
      <s:c r="E51" s="16" t="n"/>
    </s:row>
    <s:row r="52" ht="96" customFormat="1" customHeight="1" s="8">
      <s:c r="A52" s="15" t="inlineStr">
        <s:is>
          <s:t>5  |  Candidate context</s:t>
        </s:is>
      </s:c>
      <s:c r="B52" s="15" t="n"/>
      <s:c r="C52" s="15" t="n"/>
      <s:c r="D52" s="15" t="n"/>
      <s:c r="E52" s="15" t="n"/>
    </s:row>
    <s:row r="53" ht="96" customFormat="1" customHeight="1" s="8">
      <s:c r="A53" s="16" t="inlineStr">
        <s:is>
          <s:t>Candidate key</s:t>
        </s:is>
      </s:c>
      <s:c r="B53" s="16" t="inlineStr">
        <s:is>
          <s:t>FIELD</s:t>
        </s:is>
      </s:c>
      <s:c r="C53" s="16" t="inlineStr">
        <s:is>
          <s:t>Reference</s:t>
        </s:is>
      </s:c>
      <s:c r="D53" s="16" t="inlineStr">
        <s:is>
          <s:t>Unique candidate identity used for matching, even after complete rows are reordered. Never edit this value.</s:t>
        </s:is>
      </s:c>
      <s:c r="E53" s="16" t="inlineStr">
        <s:is>
          <s:t>key</s:t>
        </s:is>
      </s:c>
    </s:row>
    <s:row r="54" ht="96" customFormat="1" customHeight="1" s="8">
      <s:c r="A54" s="15" t="inlineStr">
        <s:is>
          <s:t>Candidate title</s:t>
        </s:is>
      </s:c>
      <s:c r="B54" s="15" t="inlineStr">
        <s:is>
          <s:t>FIELD</s:t>
        </s:is>
      </s:c>
      <s:c r="C54" s="15" t="inlineStr">
        <s:is>
          <s:t>Reference</s:t>
        </s:is>
      </s:c>
      <s:c r="D54" s="15" t="inlineStr">
        <s:is>
          <s:t>Short candidate title. A candidate is an AI flag for human assessment, not a confirmed issue.</s:t>
        </s:is>
      </s:c>
      <s:c r="E54" s="15" t="inlineStr">
        <s:is>
          <s:t>title</s:t>
        </s:is>
      </s:c>
    </s:row>
    <s:row r="55" ht="96" customFormat="1" customHeight="1" s="8">
      <s:c r="A55" s="16" t="inlineStr">
        <s:is>
          <s:t>Source location</s:t>
        </s:is>
      </s:c>
      <s:c r="B55" s="16" t="inlineStr">
        <s:is>
          <s:t>FIELD</s:t>
        </s:is>
      </s:c>
      <s:c r="C55" s="16" t="inlineStr">
        <s:is>
          <s:t>Source reference</s:t>
        </s:is>
      </s:c>
      <s:c r="D55" s="16" t="inlineStr">
        <s:is>
          <s:t>Where to inspect the claim. Use Candidates, Evidence and Links for embedded context and original documents.</s:t>
        </s:is>
      </s:c>
      <s:c r="E55" s="16" t="inlineStr">
        <s:is>
          <s:t>locations</s:t>
        </s:is>
      </s:c>
    </s:row>
    <s:row r="56" ht="96" customFormat="1" customHeight="1" s="8">
      <s:c r="A56" s="15" t="inlineStr">
        <s:is>
          <s:t>Complete</s:t>
        </s:is>
      </s:c>
      <s:c r="B56" s="15" t="inlineStr">
        <s:is>
          <s:t>primary_done</s:t>
        </s:is>
      </s:c>
      <s:c r="C56" s="15" t="inlineStr">
        <s:is>
          <s:t>Independent primary review</s:t>
        </s:is>
      </s:c>
      <s:c r="D56" s="15" t="inlineStr">
        <s:is>
          <s:t>Use no while drafting; primary_done only after manual review. Reset F=no before changing a completed row, review again, then mark primary_done.</s:t>
        </s:is>
      </s:c>
      <s:c r="E56" s="15" t="inlineStr">
        <s:is>
          <s:t>reviewComplete</s:t>
        </s:is>
      </s:c>
    </s:row>
  </s:sheetData>
  <s:autoFilter ref="A1:E56"/>
  <s:pageMargins left="0.75" right="0.75" top="1" bottom="1" header="0.5" footer="0.5"/>
</s:worksheet>
</file>

<file path=xl/worksheets/sheet28.xml><?xml version="1.0" encoding="utf-8"?>
<s:worksheet xmlns:s="http://schemas.openxmlformats.org/spreadsheetml/2006/main">
  <s:sheetPr>
    <s:outlinePr summaryBelow="1" summaryRight="1"/>
    <s:pageSetUpPr/>
  </s:sheetPr>
  <s:dimension ref="A1:D6"/>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36" customWidth="1" style="8" min="1" max="1"/>
    <s:col width="25" customWidth="1" style="8" min="2" max="2"/>
    <s:col width="25" customWidth="1" style="8" min="3" max="3"/>
    <s:col width="28" customWidth="1" style="8" min="4" max="4"/>
  </s:cols>
  <s:sheetData>
    <s:row r="1" ht="42" customFormat="1" customHeight="1" s="8">
      <s:c r="A1" s="14" t="inlineStr">
        <s:is>
          <s:t>Domain (retain only)</s:t>
        </s:is>
      </s:c>
      <s:c r="B1" s="14" t="inlineStr">
        <s:is>
          <s:t>Required</s:t>
        </s:is>
      </s:c>
      <s:c r="C1" s="14" t="inlineStr">
        <s:is>
          <s:t>Optional</s:t>
        </s:is>
      </s:c>
      <s:c r="D1" s="14" t="inlineStr">
        <s:is>
          <s:t>Inactive default</s:t>
        </s:is>
      </s:c>
    </s:row>
    <s:row r="2" ht="50" customFormat="1" customHeight="1" s="8">
      <s:c r="A2" s="15" t="inlineStr">
        <s:is>
          <s:t>statistical_results</s:t>
        </s:is>
      </s:c>
      <s:c r="B2" s="15" t="inlineStr">
        <s:is>
          <s:t>H and I</s:t>
        </s:is>
      </s:c>
      <s:c r="C2" s="15" t="inlineStr">
        <s:is>
          <s:t>J</s:t>
        </s:is>
      </s:c>
      <s:c r="D2" s="15" t="inlineStr">
        <s:is>
          <s:t>not_applicable</s:t>
        </s:is>
      </s:c>
    </s:row>
    <s:row r="3" ht="50" customFormat="1" customHeight="1" s="8">
      <s:c r="A3" s="16" t="inlineStr">
        <s:is>
          <s:t>report_internal_inconsistency</s:t>
        </s:is>
      </s:c>
      <s:c r="B3" s="16" t="inlineStr">
        <s:is>
          <s:t>K</s:t>
        </s:is>
      </s:c>
      <s:c r="C3" s="16" t="inlineStr">
        <s:is>
          <s:t>None</s:t>
        </s:is>
      </s:c>
      <s:c r="D3" s="16" t="inlineStr">
        <s:is>
          <s:t>not_applicable</s:t>
        </s:is>
      </s:c>
    </s:row>
    <s:row r="4" ht="50" customFormat="1" customHeight="1" s="8">
      <s:c r="A4" s="15" t="inlineStr">
        <s:is>
          <s:t>plan_material</s:t>
        </s:is>
      </s:c>
      <s:c r="B4" s="15" t="inlineStr">
        <s:is>
          <s:t>K</s:t>
        </s:is>
      </s:c>
      <s:c r="C4" s="15" t="inlineStr">
        <s:is>
          <s:t>None</s:t>
        </s:is>
      </s:c>
      <s:c r="D4" s="15" t="inlineStr">
        <s:is>
          <s:t>not_applicable</s:t>
        </s:is>
      </s:c>
    </s:row>
    <s:row r="5" ht="50" customFormat="1" customHeight="1" s="8">
      <s:c r="A5" s="16" t="inlineStr">
        <s:is>
          <s:t>protocol_report</s:t>
        </s:is>
      </s:c>
      <s:c r="B5" s="16" t="inlineStr">
        <s:is>
          <s:t>None</s:t>
        </s:is>
      </s:c>
      <s:c r="C5" s="16" t="inlineStr">
        <s:is>
          <s:t>L</s:t>
        </s:is>
      </s:c>
      <s:c r="D5" s="16" t="inlineStr">
        <s:is>
          <s:t>not_applicable</s:t>
        </s:is>
      </s:c>
    </s:row>
    <s:row r="6" ht="50" customFormat="1" customHeight="1" s="8">
      <s:c r="A6" s="15" t="inlineStr">
        <s:is>
          <s:t>exclude / discuss</s:t>
        </s:is>
      </s:c>
      <s:c r="B6" s="15" t="inlineStr">
        <s:is>
          <s:t>D and E only</s:t>
        </s:is>
      </s:c>
      <s:c r="C6" s="15" t="inlineStr">
        <s:is>
          <s:t>R notes</s:t>
        </s:is>
      </s:c>
      <s:c r="D6" s="15" t="inlineStr">
        <s:is>
          <s:t>H-L: not_applicable</s:t>
        </s:is>
      </s:c>
    </s:row>
  </s:sheetData>
  <s:pageMargins left="0.75" right="0.75" top="1" bottom="1" header="0.5" footer="0.5"/>
</s:worksheet>
</file>

<file path=xl/worksheets/sheet29.xml><?xml version="1.0" encoding="utf-8"?>
<s:worksheet xmlns:s="http://schemas.openxmlformats.org/spreadsheetml/2006/main">
  <s:sheetPr>
    <s:outlinePr summaryBelow="1" summaryRight="1"/>
    <s:pageSetUpPr/>
  </s:sheetPr>
  <s:dimension ref="A1:B23"/>
  <s:sheetViews>
    <s:sheetView showGridLines="0" workbookViewId="0">
      <s:pane xSplit="1" ySplit="1" topLeftCell="B2" activePane="bottomRight" state="frozen"/>
      <s:selection pane="topRight" activeCell="A1" sqref="A1"/>
      <s:selection pane="bottomLeft" activeCell="A1" sqref="A1"/>
      <s:selection pane="bottomRight" activeCell="A1" sqref="A1"/>
    </s:sheetView>
  </s:sheetViews>
  <s:sheetFormatPr baseColWidth="8" defaultRowHeight="15"/>
  <s:cols>
    <s:col width="47" customWidth="1" style="8" min="1" max="1"/>
    <s:col width="113" customWidth="1" style="8" min="2" max="2"/>
  </s:cols>
  <s:sheetData>
    <s:row r="1" ht="42" customFormat="1" customHeight="1" s="8">
      <s:c r="A1" s="14" t="inlineStr">
        <s:is>
          <s:t>field</s:t>
        </s:is>
      </s:c>
      <s:c r="B1" s="14" t="inlineStr">
        <s:is>
          <s:t>value</s:t>
        </s:is>
      </s:c>
    </s:row>
    <s:row r="2" ht="75" customFormat="1" customHeight="1" s="8">
      <s:c r="A2" s="15" t="inlineStr">
        <s:is>
          <s:t>version</s:t>
        </s:is>
      </s:c>
      <s:c r="B2" s="15" t="inlineStr">
        <s:is>
          <s:t>v.2.3.1</s:t>
        </s:is>
      </s:c>
    </s:row>
    <s:row r="3" ht="75" customFormat="1" customHeight="1" s="8">
      <s:c r="A3" s="16" t="inlineStr">
        <s:is>
          <s:t>schema</s:t>
        </s:is>
      </s:c>
      <s:c r="B3" s="16" t="inlineStr">
        <s:is>
          <s:t>xlsx-adjudication-independent-primary-10</s:t>
        </s:is>
      </s:c>
    </s:row>
    <s:row r="4" ht="75" customFormat="1" customHeight="1" s="8">
      <s:c r="A4" s="15" t="inlineStr">
        <s:is>
          <s:t>year</s:t>
        </s:is>
      </s:c>
      <s:c r="B4" s="15" t="n">
        <s:v>2025</s:v>
      </s:c>
    </s:row>
    <s:row r="5" ht="75" customFormat="1" customHeight="1" s="8">
      <s:c r="A5" s="16" t="inlineStr">
        <s:is>
          <s:t>reviewerRole</s:t>
        </s:is>
      </s:c>
      <s:c r="B5" s="16" t="inlineStr">
        <s:is>
          <s:t>R_A</s:t>
        </s:is>
      </s:c>
    </s:row>
    <s:row r="6" ht="75" customFormat="1" customHeight="1" s="8">
      <s:c r="A6" s="15" t="inlineStr">
        <s:is>
          <s:t>workflow</s:t>
        </s:is>
      </s:c>
      <s:c r="B6" s="15" t="inlineStr">
        <s:is>
          <s:t>One independent primary review; all review operations and calculations are internal Excel features.</s:t>
        </s:is>
      </s:c>
    </s:row>
    <s:row r="7" ht="75" customFormat="1" customHeight="1" s="8">
      <s:c r="A7" s="16" t="inlineStr">
        <s:is>
          <s:t>provenance</s:t>
        </s:is>
      </s:c>
      <s:c r="B7" s="16" t="inlineStr">
        <s:is>
          <s:t>Annual v.2.1.5.3 cohort and frozen catalog. Sources, relationships, order and AI suggestions preserved. No human answers imported.</s:t>
        </s:is>
      </s:c>
    </s:row>
    <s:row r="8" ht="75" customFormat="1" customHeight="1" s="8">
      <s:c r="A8" s="15" t="inlineStr">
        <s:is>
          <s:t>protection</s:t>
        </s:is>
      </s:c>
      <s:c r="B8" s="15" t="inlineStr">
        <s:is>
          <s:t>Protected ranges: NONE. Every cell and default style explicitly unlocked, formulas visible; no sheet or workbook lock or password. Rule_defaults is an editable reference.</s:t>
        </s:is>
      </s:c>
    </s:row>
    <s:row r="9" ht="75" customFormat="1" customHeight="1" s="8">
      <s:c r="A9" s="16" t="inlineStr">
        <s:is>
          <s:t>columns A-C</s:t>
        </s:is>
      </s:c>
      <s:c r="B9" s="16" t="inlineStr">
        <s:is>
          <s:t>Candidate key, title, location: baseline contents unchanged.</s:t>
        </s:is>
      </s:c>
    </s:row>
    <s:row r="10" ht="75" customFormat="1" customHeight="1" s="8">
      <s:c r="A10" s="15" t="inlineStr">
        <s:is>
          <s:t>columns D-G</s:t>
        </s:is>
      </s:c>
      <s:c r="B10" s="15" t="inlineStr">
        <s:is>
          <s:t>Disposition; editable AI-suggested domain; completion no/primary_done; calculated validation hint.</s:t>
        </s:is>
      </s:c>
    </s:row>
    <s:row r="11" ht="75" customFormat="1" customHeight="1" s="8">
      <s:c r="A11" s="16" t="inlineStr">
        <s:is>
          <s:t>columns H-L</s:t>
        </s:is>
      </s:c>
      <s:c r="B11" s="16" t="inlineStr">
        <s:is>
          <s:t>Statistical issue; substantiveness; optional downstream impact; internal/plan inconsistency; optional protocol interpretation.</s:t>
        </s:is>
      </s:c>
    </s:row>
    <s:row r="12" ht="75" customFormat="1" customHeight="1" s="8">
      <s:c r="A12" s="15" t="inlineStr">
        <s:is>
          <s:t>columns M-Q / R</s:t>
        </s:is>
      </s:c>
      <s:c r="B12" s="15" t="inlineStr">
        <s:is>
          <s:t>M-Q empty hidden spacers; R optional English notes.</s:t>
        </s:is>
      </s:c>
    </s:row>
    <s:row r="13" ht="75" customFormat="1" customHeight="1" s="8">
      <s:c r="A13" s="16" t="inlineStr">
        <s:is>
          <s:t>paper count gate</s:t>
        </s:is>
      </s:c>
      <s:c r="B13" s="16" t="inlineStr">
        <s:is>
          <s:t>v.2.3.1 adaptation: all rows primary-ready AND no discuss before outcome counts; independent completion and unresolved totals are separate.</s:t>
        </s:is>
      </s:c>
    </s:row>
    <s:row r="14" ht="75" customFormat="1" customHeight="1" s="8">
      <s:c r="A14" s="15" t="inlineStr">
        <s:is>
          <s:t>outcomes</s:t>
        </s:is>
      </s:c>
      <s:c r="B14" s="15" t="inlineStr">
        <s:is>
          <s:t>P_R/P_P precede temporal rules. Only retained S_C/S_W substantive confirmed/probable statistical issues are primary_temporal; retained substantive report-internal inconsistency is secondary_temporal.</s:t>
        </s:is>
      </s:c>
    </s:row>
    <s:row r="15" ht="75" customFormat="1" customHeight="1" s="8">
      <s:c r="A15" s="16" t="inlineStr">
        <s:is>
          <s:t>source hyperlinks</s:t>
        </s:is>
      </s:c>
      <s:c r="B15" s="16" t="inlineStr">
        <s:is>
          <s:t>Frozen href cell text is unchanged. Clickable hyperlink targets are rebased from repository source paths to this output directory. Embedded source tables require no refresh.</s:t>
        </s:is>
      </s:c>
    </s:row>
    <s:row r="16" ht="75" customFormat="1" customHeight="1" s="8">
      <s:c r="A16" s="15" t="inlineStr">
        <s:is>
          <s:t>calculation</s:t>
        </s:is>
      </s:c>
      <s:c r="B16" s="15" t="inlineStr">
        <s:is>
          <s:t>Automatic; full recalculation on open. No external formula references, scripts, macros or runtime dependencies.</s:t>
        </s:is>
      </s:c>
    </s:row>
    <s:row r="17" ht="75" customFormat="1" customHeight="1" s="8">
      <s:c r="A17" s="16" t="inlineStr">
        <s:is>
          <s:t>source sha256: human_adjudication_v_2_1_5_3_2025.xlsx</s:t>
        </s:is>
      </s:c>
      <s:c r="B17" s="16" t="inlineStr">
        <s:is>
          <s:t>f4f089b3ff59d0be0d16a441c199e1215ada712024eef5a9194842a00b0b2fa0</s:t>
        </s:is>
      </s:c>
    </s:row>
    <s:row r="18" ht="75" customFormat="1" customHeight="1" s="8">
      <s:c r="A18" s="15" t="inlineStr">
        <s:is>
          <s:t>source sha256: source_catalog_v_2_1_5_3.xlsx</s:t>
        </s:is>
      </s:c>
      <s:c r="B18" s="15" t="inlineStr">
        <s:is>
          <s:t>d663598f70f1a06f19baa64c6bcf999762fd67f44d47479de248f2ded18adbc5</s:t>
        </s:is>
      </s:c>
    </s:row>
    <s:row r="19" ht="75" customFormat="1" customHeight="1" s="8">
      <s:c r="A19" s="16" t="inlineStr">
        <s:is>
          <s:t>source sha256: USAGE.md</s:t>
        </s:is>
      </s:c>
      <s:c r="B19" s="16" t="inlineStr">
        <s:is>
          <s:t>596712ad9dca62b511c1b05ea522604aa009c8d99a9c1e899e963da342454552</s:t>
        </s:is>
      </s:c>
    </s:row>
    <s:row r="20" ht="75" customFormat="1" customHeight="1" s="8">
      <s:c r="A20" s="15" t="inlineStr">
        <s:is>
          <s:t>source sha256: DESIGN.md</s:t>
        </s:is>
      </s:c>
      <s:c r="B20" s="15" t="inlineStr">
        <s:is>
          <s:t>663f0b1b2bf966bbea2428cf567732a0fa76bb29603c73947a710887ce1ab871</s:t>
        </s:is>
      </s:c>
    </s:row>
    <s:row r="21" ht="75" customFormat="1" customHeight="1" s="8">
      <s:c r="A21" s="16" t="inlineStr">
        <s:is>
          <s:t>source sha256: VALIDATION.md</s:t>
        </s:is>
      </s:c>
      <s:c r="B21" s="16" t="inlineStr">
        <s:is>
          <s:t>9140a611103ba0f90a9bdd20f7c2b85d43ada738a9d3ec92a01d1dae006c9cbe</s:t>
        </s:is>
      </s:c>
    </s:row>
    <s:row r="22" ht="75" customFormat="1" customHeight="1" s="8">
      <s:c r="A22" s="15" t="inlineStr">
        <s:is>
          <s:t>source sha256: build.mjs</s:t>
        </s:is>
      </s:c>
      <s:c r="B22" s="15" t="inlineStr">
        <s:is>
          <s:t>dc18bbc9e9d90365ac1bbd42465f6654a593cc742f6c4629125e99572a6ff3d8</s:t>
        </s:is>
      </s:c>
    </s:row>
    <s:row r="23" ht="75" customFormat="1" customHeight="1" s="8">
      <s:c r="A23" s="16" t="inlineStr">
        <s:is>
          <s:t>source sha256: codebook.json</s:t>
        </s:is>
      </s:c>
      <s:c r="B23" s="16" t="inlineStr">
        <s:is>
          <s:t>ac8b19fb1bbf9b55a1ad86644f07d1b33ad2f9ca30c073c25493b733b837a7d5</s:t>
        </s:is>
      </s:c>
    </s:row>
  </s:sheetData>
  <s:pageMargins left="0.75" right="0.75" top="1" bottom="1" header="0.5" footer="0.5"/>
</s: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2026-09-19T05:16:39Z</dcterms:modified>
</cp:coreProperties>
</file>