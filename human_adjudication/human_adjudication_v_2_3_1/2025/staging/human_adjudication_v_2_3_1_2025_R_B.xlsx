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v.2.3.1 | 2025 | 15 papers | 131 candidates | Independent primary review | R_B</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n"/>
    </row>
    <row r="3" ht="42" customFormat="1" customHeight="1" s="8">
      <c r="A3" s="16" t="inlineStr">
        <is>
          <t>reviewerName (optional)</t>
        </is>
      </c>
      <c r="B3" s="17" t="n"/>
    </row>
    <row r="4" ht="42" customFormat="1" customHeight="1" s="8">
      <c r="A4" s="15" t="inlineStr">
        <is>
          <t>reviewerRole</t>
        </is>
      </c>
      <c r="B4" s="15" t="inlineStr">
        <is>
          <t>R_B</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n"/>
      <c r="E7" s="7" t="inlineStr">
        <is>
          <t>protocol_report</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2025::jama.2025.11178::C002</t>
        </is>
      </c>
      <c r="B3" s="11" t="inlineStr">
        <is>
          <t>Overall eTable 1 follow-up-pattern partition</t>
        </is>
      </c>
      <c r="C3" s="11" t="inlineStr">
        <is>
          <t>results supplement — PDF p. 7, eTable 1, Overall column.</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2025::jama.2025.11178::C003</t>
        </is>
      </c>
      <c r="B4" s="12" t="inlineStr">
        <is>
          <t>painTRAINER eTable 1 follow-up-pattern partition</t>
        </is>
      </c>
      <c r="C4" s="12" t="inlineStr">
        <is>
          <t>results supplement — PDF p. 7, eTable 1, painTRAINER column.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2025::jama.2025.11178::C004</t>
        </is>
      </c>
      <c r="B5" s="11" t="inlineStr">
        <is>
          <t>Health Coach eTable 1 follow-up-pattern partition</t>
        </is>
      </c>
      <c r="C5" s="11" t="inlineStr">
        <is>
          <t>results supplement — PDF p. 7, eTable 1, Health Coach column.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2025::jama.2025.11178::C006</t>
        </is>
      </c>
      <c r="B7" s="11" t="inlineStr">
        <is>
          <t>Workbook social-role cutoff labeled as mean (SD)</t>
        </is>
      </c>
      <c r="C7" s="11" t="inlineStr">
        <is>
          <t>workbook, worksheet eTable 3, cells A103:E104.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2025::jama.2025.11178::C007</t>
        </is>
      </c>
      <c r="B8" s="12" t="inlineStr">
        <is>
          <t>Workbook physical-function cutoff labeled as mean (SD)</t>
        </is>
      </c>
      <c r="C8" s="12" t="inlineStr">
        <is>
          <t>workbook, worksheet eTable 3, cells A106:E107.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n"/>
      <c r="E11" s="7" t="inlineStr">
        <is>
          <t>statistical_results</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n"/>
      <c r="E15" s="7" t="inlineStr">
        <is>
          <t>statistical_results</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n"/>
      <c r="E16" s="7" t="inlineStr">
        <is>
          <t>statistical_results</t>
        </is>
      </c>
      <c r="F16" s="7" t="inlineStr">
        <is>
          <t>no</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f>IF(AND(OR(D16="retain",D16=""),E16="statistical_results"),"","not_applicable")</f>
        <v/>
      </c>
      <c r="I16" s="7">
        <f>IF(AND(OR(D16="retain",D16=""),E16="statistical_results"),"","not_applicable")</f>
        <v/>
      </c>
      <c r="J16" s="13">
        <f>IF(AND(OR(D16="retain",D16=""),E16="statistical_results"),"","not_applicable")</f>
        <v/>
      </c>
      <c r="K16" s="7">
        <f>IF(AND(OR(D16="retain",D16=""),OR(E16="report_internal_inconsistency",E16="plan_material")),"","not_applicable")</f>
        <v/>
      </c>
      <c r="L16" s="13">
        <f>IF(AND(OR(D16="retain",D16=""),E16="protocol_report"),"","not_applicable")</f>
        <v/>
      </c>
      <c r="M16" s="19" t="n"/>
      <c r="N16" s="19" t="n"/>
      <c r="O16" s="19" t="n"/>
      <c r="P16" s="19" t="n"/>
      <c r="Q16" s="19" t="n"/>
      <c r="R16" s="13" t="n"/>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n"/>
      <c r="E17" s="7" t="inlineStr">
        <is>
          <t>statistical_results</t>
        </is>
      </c>
      <c r="F17" s="7" t="inlineStr">
        <is>
          <t>no</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f>IF(AND(OR(D17="retain",D17=""),E17="statistical_results"),"","not_applicable")</f>
        <v/>
      </c>
      <c r="I17" s="7">
        <f>IF(AND(OR(D17="retain",D17=""),E17="statistical_results"),"","not_applicable")</f>
        <v/>
      </c>
      <c r="J17" s="13">
        <f>IF(AND(OR(D17="retain",D17=""),E17="statistical_results"),"","not_applicable")</f>
        <v/>
      </c>
      <c r="K17" s="7">
        <f>IF(AND(OR(D17="retain",D17=""),OR(E17="report_internal_inconsistency",E17="plan_material")),"","not_applicable")</f>
        <v/>
      </c>
      <c r="L17" s="13">
        <f>IF(AND(OR(D17="retain",D17=""),E17="protocol_report"),"","not_applicable")</f>
        <v/>
      </c>
      <c r="M17" s="19" t="n"/>
      <c r="N17" s="19" t="n"/>
      <c r="O17" s="19" t="n"/>
      <c r="P17" s="19" t="n"/>
      <c r="Q17" s="19" t="n"/>
      <c r="R17" s="13" t="n"/>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n"/>
      <c r="E18" s="7" t="inlineStr">
        <is>
          <t>statistical_results</t>
        </is>
      </c>
      <c r="F18" s="7" t="inlineStr">
        <is>
          <t>no</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f>IF(AND(OR(D18="retain",D18=""),E18="statistical_results"),"","not_applicable")</f>
        <v/>
      </c>
      <c r="I18" s="7">
        <f>IF(AND(OR(D18="retain",D18=""),E18="statistical_results"),"","not_applicable")</f>
        <v/>
      </c>
      <c r="J18" s="13">
        <f>IF(AND(OR(D18="retain",D18=""),E18="statistical_results"),"","not_applicable")</f>
        <v/>
      </c>
      <c r="K18" s="7">
        <f>IF(AND(OR(D18="retain",D18=""),OR(E18="report_internal_inconsistency",E18="plan_material")),"","not_applicable")</f>
        <v/>
      </c>
      <c r="L18" s="13">
        <f>IF(AND(OR(D18="retain",D18=""),E18="protocol_report"),"","not_applicable")</f>
        <v/>
      </c>
      <c r="M18" s="19" t="n"/>
      <c r="N18" s="19" t="n"/>
      <c r="O18" s="19" t="n"/>
      <c r="P18" s="19" t="n"/>
      <c r="Q18" s="19" t="n"/>
      <c r="R18" s="13" t="n"/>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n"/>
      <c r="E19" s="7" t="inlineStr">
        <is>
          <t>statistical_results</t>
        </is>
      </c>
      <c r="F19" s="7" t="inlineStr">
        <is>
          <t>no</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f>IF(AND(OR(D19="retain",D19=""),E19="statistical_results"),"","not_applicable")</f>
        <v/>
      </c>
      <c r="I19" s="7">
        <f>IF(AND(OR(D19="retain",D19=""),E19="statistical_results"),"","not_applicable")</f>
        <v/>
      </c>
      <c r="J19" s="13">
        <f>IF(AND(OR(D19="retain",D19=""),E19="statistical_results"),"","not_applicable")</f>
        <v/>
      </c>
      <c r="K19" s="7">
        <f>IF(AND(OR(D19="retain",D19=""),OR(E19="report_internal_inconsistency",E19="plan_material")),"","not_applicable")</f>
        <v/>
      </c>
      <c r="L19" s="13">
        <f>IF(AND(OR(D19="retain",D19=""),E19="protocol_report"),"","not_applicable")</f>
        <v/>
      </c>
      <c r="M19" s="19" t="n"/>
      <c r="N19" s="19" t="n"/>
      <c r="O19" s="19" t="n"/>
      <c r="P19" s="19" t="n"/>
      <c r="Q19" s="19" t="n"/>
      <c r="R19" s="13" t="n"/>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n"/>
      <c r="E20" s="7" t="inlineStr">
        <is>
          <t>statistical_results</t>
        </is>
      </c>
      <c r="F20" s="7" t="inlineStr">
        <is>
          <t>no</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f>IF(AND(OR(D20="retain",D20=""),E20="statistical_results"),"","not_applicable")</f>
        <v/>
      </c>
      <c r="I20" s="7">
        <f>IF(AND(OR(D20="retain",D20=""),E20="statistical_results"),"","not_applicable")</f>
        <v/>
      </c>
      <c r="J20" s="13">
        <f>IF(AND(OR(D20="retain",D20=""),E20="statistical_results"),"","not_applicable")</f>
        <v/>
      </c>
      <c r="K20" s="7">
        <f>IF(AND(OR(D20="retain",D20=""),OR(E20="report_internal_inconsistency",E20="plan_material")),"","not_applicable")</f>
        <v/>
      </c>
      <c r="L20" s="13">
        <f>IF(AND(OR(D20="retain",D20=""),E20="protocol_report"),"","not_applicable")</f>
        <v/>
      </c>
      <c r="M20" s="19" t="n"/>
      <c r="N20" s="19" t="n"/>
      <c r="O20" s="19" t="n"/>
      <c r="P20" s="19" t="n"/>
      <c r="Q20" s="19" t="n"/>
      <c r="R20" s="13" t="n"/>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n"/>
      <c r="E21" s="7" t="inlineStr">
        <is>
          <t>statistical_results</t>
        </is>
      </c>
      <c r="F21" s="7" t="inlineStr">
        <is>
          <t>no</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f>IF(AND(OR(D21="retain",D21=""),E21="statistical_results"),"","not_applicable")</f>
        <v/>
      </c>
      <c r="I21" s="7">
        <f>IF(AND(OR(D21="retain",D21=""),E21="statistical_results"),"","not_applicable")</f>
        <v/>
      </c>
      <c r="J21" s="13">
        <f>IF(AND(OR(D21="retain",D21=""),E21="statistical_results"),"","not_applicable")</f>
        <v/>
      </c>
      <c r="K21" s="7">
        <f>IF(AND(OR(D21="retain",D21=""),OR(E21="report_internal_inconsistency",E21="plan_material")),"","not_applicable")</f>
        <v/>
      </c>
      <c r="L21" s="13">
        <f>IF(AND(OR(D21="retain",D21=""),E21="protocol_report"),"","not_applicable")</f>
        <v/>
      </c>
      <c r="M21" s="19" t="n"/>
      <c r="N21" s="19" t="n"/>
      <c r="O21" s="19" t="n"/>
      <c r="P21" s="19" t="n"/>
      <c r="Q21" s="19" t="n"/>
      <c r="R21" s="13" t="n"/>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n"/>
      <c r="E22" s="7" t="inlineStr">
        <is>
          <t>statistical_results</t>
        </is>
      </c>
      <c r="F22" s="7" t="inlineStr">
        <is>
          <t>no</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f>IF(AND(OR(D22="retain",D22=""),E22="statistical_results"),"","not_applicable")</f>
        <v/>
      </c>
      <c r="I22" s="7">
        <f>IF(AND(OR(D22="retain",D22=""),E22="statistical_results"),"","not_applicable")</f>
        <v/>
      </c>
      <c r="J22" s="13">
        <f>IF(AND(OR(D22="retain",D22=""),E22="statistical_results"),"","not_applicable")</f>
        <v/>
      </c>
      <c r="K22" s="7">
        <f>IF(AND(OR(D22="retain",D22=""),OR(E22="report_internal_inconsistency",E22="plan_material")),"","not_applicable")</f>
        <v/>
      </c>
      <c r="L22" s="13">
        <f>IF(AND(OR(D22="retain",D22=""),E22="protocol_report"),"","not_applicable")</f>
        <v/>
      </c>
      <c r="M22" s="19" t="n"/>
      <c r="N22" s="19" t="n"/>
      <c r="O22" s="19" t="n"/>
      <c r="P22" s="19" t="n"/>
      <c r="Q22" s="19" t="n"/>
      <c r="R22" s="13" t="n"/>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n"/>
      <c r="E23" s="7" t="inlineStr">
        <is>
          <t>statistical_results</t>
        </is>
      </c>
      <c r="F23" s="7" t="inlineStr">
        <is>
          <t>no</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f>IF(AND(OR(D23="retain",D23=""),E23="statistical_results"),"","not_applicable")</f>
        <v/>
      </c>
      <c r="I23" s="7">
        <f>IF(AND(OR(D23="retain",D23=""),E23="statistical_results"),"","not_applicable")</f>
        <v/>
      </c>
      <c r="J23" s="13">
        <f>IF(AND(OR(D23="retain",D23=""),E23="statistical_results"),"","not_applicable")</f>
        <v/>
      </c>
      <c r="K23" s="7">
        <f>IF(AND(OR(D23="retain",D23=""),OR(E23="report_internal_inconsistency",E23="plan_material")),"","not_applicable")</f>
        <v/>
      </c>
      <c r="L23" s="13">
        <f>IF(AND(OR(D23="retain",D23=""),E23="protocol_report"),"","not_applicable")</f>
        <v/>
      </c>
      <c r="M23" s="19" t="n"/>
      <c r="N23" s="19" t="n"/>
      <c r="O23" s="19" t="n"/>
      <c r="P23" s="19" t="n"/>
      <c r="Q23" s="19" t="n"/>
      <c r="R23" s="13" t="n"/>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n"/>
      <c r="E24" s="7" t="inlineStr">
        <is>
          <t>statistical_results</t>
        </is>
      </c>
      <c r="F24" s="7" t="inlineStr">
        <is>
          <t>no</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f>IF(AND(OR(D24="retain",D24=""),E24="statistical_results"),"","not_applicable")</f>
        <v/>
      </c>
      <c r="I24" s="7">
        <f>IF(AND(OR(D24="retain",D24=""),E24="statistical_results"),"","not_applicable")</f>
        <v/>
      </c>
      <c r="J24" s="13">
        <f>IF(AND(OR(D24="retain",D24=""),E24="statistical_results"),"","not_applicable")</f>
        <v/>
      </c>
      <c r="K24" s="7">
        <f>IF(AND(OR(D24="retain",D24=""),OR(E24="report_internal_inconsistency",E24="plan_material")),"","not_applicable")</f>
        <v/>
      </c>
      <c r="L24" s="13">
        <f>IF(AND(OR(D24="retain",D24=""),E24="protocol_report"),"","not_applicable")</f>
        <v/>
      </c>
      <c r="M24" s="19" t="n"/>
      <c r="N24" s="19" t="n"/>
      <c r="O24" s="19" t="n"/>
      <c r="P24" s="19" t="n"/>
      <c r="Q24" s="19" t="n"/>
      <c r="R24" s="13" t="n"/>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n"/>
      <c r="E25" s="7" t="inlineStr">
        <is>
          <t>statistical_results</t>
        </is>
      </c>
      <c r="F25" s="7" t="inlineStr">
        <is>
          <t>no</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f>IF(AND(OR(D25="retain",D25=""),E25="statistical_results"),"","not_applicable")</f>
        <v/>
      </c>
      <c r="I25" s="7">
        <f>IF(AND(OR(D25="retain",D25=""),E25="statistical_results"),"","not_applicable")</f>
        <v/>
      </c>
      <c r="J25" s="13">
        <f>IF(AND(OR(D25="retain",D25=""),E25="statistical_results"),"","not_applicable")</f>
        <v/>
      </c>
      <c r="K25" s="7">
        <f>IF(AND(OR(D25="retain",D25=""),OR(E25="report_internal_inconsistency",E25="plan_material")),"","not_applicable")</f>
        <v/>
      </c>
      <c r="L25" s="13">
        <f>IF(AND(OR(D25="retain",D25=""),E25="protocol_report"),"","not_applicable")</f>
        <v/>
      </c>
      <c r="M25" s="19" t="n"/>
      <c r="N25" s="19" t="n"/>
      <c r="O25" s="19" t="n"/>
      <c r="P25" s="19" t="n"/>
      <c r="Q25" s="19" t="n"/>
      <c r="R25" s="13" t="n"/>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n"/>
      <c r="E26" s="7" t="inlineStr">
        <is>
          <t>statistical_results</t>
        </is>
      </c>
      <c r="F26" s="7" t="inlineStr">
        <is>
          <t>no</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f>IF(AND(OR(D26="retain",D26=""),E26="statistical_results"),"","not_applicable")</f>
        <v/>
      </c>
      <c r="I26" s="7">
        <f>IF(AND(OR(D26="retain",D26=""),E26="statistical_results"),"","not_applicable")</f>
        <v/>
      </c>
      <c r="J26" s="13">
        <f>IF(AND(OR(D26="retain",D26=""),E26="statistical_results"),"","not_applicable")</f>
        <v/>
      </c>
      <c r="K26" s="7">
        <f>IF(AND(OR(D26="retain",D26=""),OR(E26="report_internal_inconsistency",E26="plan_material")),"","not_applicable")</f>
        <v/>
      </c>
      <c r="L26" s="13">
        <f>IF(AND(OR(D26="retain",D26=""),E26="protocol_report"),"","not_applicable")</f>
        <v/>
      </c>
      <c r="M26" s="19" t="n"/>
      <c r="N26" s="19" t="n"/>
      <c r="O26" s="19" t="n"/>
      <c r="P26" s="19" t="n"/>
      <c r="Q26" s="19" t="n"/>
      <c r="R26" s="13" t="n"/>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n"/>
      <c r="E27" s="7" t="inlineStr">
        <is>
          <t>statistical_results</t>
        </is>
      </c>
      <c r="F27" s="7" t="inlineStr">
        <is>
          <t>no</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f>IF(AND(OR(D27="retain",D27=""),E27="statistical_results"),"","not_applicable")</f>
        <v/>
      </c>
      <c r="I27" s="7">
        <f>IF(AND(OR(D27="retain",D27=""),E27="statistical_results"),"","not_applicable")</f>
        <v/>
      </c>
      <c r="J27" s="13">
        <f>IF(AND(OR(D27="retain",D27=""),E27="statistical_results"),"","not_applicable")</f>
        <v/>
      </c>
      <c r="K27" s="7">
        <f>IF(AND(OR(D27="retain",D27=""),OR(E27="report_internal_inconsistency",E27="plan_material")),"","not_applicable")</f>
        <v/>
      </c>
      <c r="L27" s="13">
        <f>IF(AND(OR(D27="retain",D27=""),E27="protocol_report"),"","not_applicable")</f>
        <v/>
      </c>
      <c r="M27" s="19" t="n"/>
      <c r="N27" s="19" t="n"/>
      <c r="O27" s="19" t="n"/>
      <c r="P27" s="19" t="n"/>
      <c r="Q27" s="19" t="n"/>
      <c r="R27" s="13" t="n"/>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n"/>
      <c r="E28" s="7" t="inlineStr">
        <is>
          <t>statistical_results</t>
        </is>
      </c>
      <c r="F28" s="7" t="inlineStr">
        <is>
          <t>no</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f>IF(AND(OR(D28="retain",D28=""),E28="statistical_results"),"","not_applicable")</f>
        <v/>
      </c>
      <c r="I28" s="7">
        <f>IF(AND(OR(D28="retain",D28=""),E28="statistical_results"),"","not_applicable")</f>
        <v/>
      </c>
      <c r="J28" s="13">
        <f>IF(AND(OR(D28="retain",D28=""),E28="statistical_results"),"","not_applicable")</f>
        <v/>
      </c>
      <c r="K28" s="7">
        <f>IF(AND(OR(D28="retain",D28=""),OR(E28="report_internal_inconsistency",E28="plan_material")),"","not_applicable")</f>
        <v/>
      </c>
      <c r="L28" s="13">
        <f>IF(AND(OR(D28="retain",D28=""),E28="protocol_report"),"","not_applicable")</f>
        <v/>
      </c>
      <c r="M28" s="19" t="n"/>
      <c r="N28" s="19" t="n"/>
      <c r="O28" s="19" t="n"/>
      <c r="P28" s="19" t="n"/>
      <c r="Q28" s="19" t="n"/>
      <c r="R28" s="13" t="n"/>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n"/>
      <c r="E29" s="7" t="inlineStr">
        <is>
          <t>statistical_results</t>
        </is>
      </c>
      <c r="F29" s="7" t="inlineStr">
        <is>
          <t>no</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f>IF(AND(OR(D29="retain",D29=""),E29="statistical_results"),"","not_applicable")</f>
        <v/>
      </c>
      <c r="I29" s="7">
        <f>IF(AND(OR(D29="retain",D29=""),E29="statistical_results"),"","not_applicable")</f>
        <v/>
      </c>
      <c r="J29" s="13">
        <f>IF(AND(OR(D29="retain",D29=""),E29="statistical_results"),"","not_applicable")</f>
        <v/>
      </c>
      <c r="K29" s="7">
        <f>IF(AND(OR(D29="retain",D29=""),OR(E29="report_internal_inconsistency",E29="plan_material")),"","not_applicable")</f>
        <v/>
      </c>
      <c r="L29" s="13">
        <f>IF(AND(OR(D29="retain",D29=""),E29="protocol_report"),"","not_applicable")</f>
        <v/>
      </c>
      <c r="M29" s="19" t="n"/>
      <c r="N29" s="19" t="n"/>
      <c r="O29" s="19" t="n"/>
      <c r="P29" s="19" t="n"/>
      <c r="Q29" s="19" t="n"/>
      <c r="R29" s="13" t="n"/>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n"/>
      <c r="E30" s="7" t="inlineStr">
        <is>
          <t>statistical_results</t>
        </is>
      </c>
      <c r="F30" s="7" t="inlineStr">
        <is>
          <t>no</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f>IF(AND(OR(D30="retain",D30=""),E30="statistical_results"),"","not_applicable")</f>
        <v/>
      </c>
      <c r="I30" s="7">
        <f>IF(AND(OR(D30="retain",D30=""),E30="statistical_results"),"","not_applicable")</f>
        <v/>
      </c>
      <c r="J30" s="13">
        <f>IF(AND(OR(D30="retain",D30=""),E30="statistical_results"),"","not_applicable")</f>
        <v/>
      </c>
      <c r="K30" s="7">
        <f>IF(AND(OR(D30="retain",D30=""),OR(E30="report_internal_inconsistency",E30="plan_material")),"","not_applicable")</f>
        <v/>
      </c>
      <c r="L30" s="13">
        <f>IF(AND(OR(D30="retain",D30=""),E30="protocol_report"),"","not_applicable")</f>
        <v/>
      </c>
      <c r="M30" s="19" t="n"/>
      <c r="N30" s="19" t="n"/>
      <c r="O30" s="19" t="n"/>
      <c r="P30" s="19" t="n"/>
      <c r="Q30" s="19" t="n"/>
      <c r="R30" s="13" t="n"/>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n"/>
      <c r="E31" s="7" t="inlineStr">
        <is>
          <t>statistical_results</t>
        </is>
      </c>
      <c r="F31" s="7" t="inlineStr">
        <is>
          <t>no</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f>IF(AND(OR(D31="retain",D31=""),E31="statistical_results"),"","not_applicable")</f>
        <v/>
      </c>
      <c r="I31" s="7">
        <f>IF(AND(OR(D31="retain",D31=""),E31="statistical_results"),"","not_applicable")</f>
        <v/>
      </c>
      <c r="J31" s="13">
        <f>IF(AND(OR(D31="retain",D31=""),E31="statistical_results"),"","not_applicable")</f>
        <v/>
      </c>
      <c r="K31" s="7">
        <f>IF(AND(OR(D31="retain",D31=""),OR(E31="report_internal_inconsistency",E31="plan_material")),"","not_applicable")</f>
        <v/>
      </c>
      <c r="L31" s="13">
        <f>IF(AND(OR(D31="retain",D31=""),E31="protocol_report"),"","not_applicable")</f>
        <v/>
      </c>
      <c r="M31" s="19" t="n"/>
      <c r="N31" s="19" t="n"/>
      <c r="O31" s="19" t="n"/>
      <c r="P31" s="19" t="n"/>
      <c r="Q31" s="19" t="n"/>
      <c r="R31" s="13" t="n"/>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n"/>
      <c r="E32" s="7" t="inlineStr">
        <is>
          <t>statistical_results</t>
        </is>
      </c>
      <c r="F32" s="7" t="inlineStr">
        <is>
          <t>no</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f>IF(AND(OR(D32="retain",D32=""),E32="statistical_results"),"","not_applicable")</f>
        <v/>
      </c>
      <c r="I32" s="7">
        <f>IF(AND(OR(D32="retain",D32=""),E32="statistical_results"),"","not_applicable")</f>
        <v/>
      </c>
      <c r="J32" s="13">
        <f>IF(AND(OR(D32="retain",D32=""),E32="statistical_results"),"","not_applicable")</f>
        <v/>
      </c>
      <c r="K32" s="7">
        <f>IF(AND(OR(D32="retain",D32=""),OR(E32="report_internal_inconsistency",E32="plan_material")),"","not_applicable")</f>
        <v/>
      </c>
      <c r="L32" s="13">
        <f>IF(AND(OR(D32="retain",D32=""),E32="protocol_report"),"","not_applicable")</f>
        <v/>
      </c>
      <c r="M32" s="19" t="n"/>
      <c r="N32" s="19" t="n"/>
      <c r="O32" s="19" t="n"/>
      <c r="P32" s="19" t="n"/>
      <c r="Q32" s="19" t="n"/>
      <c r="R32" s="13" t="n"/>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n"/>
      <c r="E33" s="7" t="inlineStr">
        <is>
          <t>statistical_results</t>
        </is>
      </c>
      <c r="F33" s="7" t="inlineStr">
        <is>
          <t>no</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f>IF(AND(OR(D33="retain",D33=""),E33="statistical_results"),"","not_applicable")</f>
        <v/>
      </c>
      <c r="I33" s="7">
        <f>IF(AND(OR(D33="retain",D33=""),E33="statistical_results"),"","not_applicable")</f>
        <v/>
      </c>
      <c r="J33" s="13">
        <f>IF(AND(OR(D33="retain",D33=""),E33="statistical_results"),"","not_applicable")</f>
        <v/>
      </c>
      <c r="K33" s="7">
        <f>IF(AND(OR(D33="retain",D33=""),OR(E33="report_internal_inconsistency",E33="plan_material")),"","not_applicable")</f>
        <v/>
      </c>
      <c r="L33" s="13">
        <f>IF(AND(OR(D33="retain",D33=""),E33="protocol_report"),"","not_applicable")</f>
        <v/>
      </c>
      <c r="M33" s="19" t="n"/>
      <c r="N33" s="19" t="n"/>
      <c r="O33" s="19" t="n"/>
      <c r="P33" s="19" t="n"/>
      <c r="Q33" s="19" t="n"/>
      <c r="R33" s="13" t="n"/>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n"/>
      <c r="E34" s="7" t="inlineStr">
        <is>
          <t>statistical_results</t>
        </is>
      </c>
      <c r="F34" s="7" t="inlineStr">
        <is>
          <t>no</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f>IF(AND(OR(D34="retain",D34=""),E34="statistical_results"),"","not_applicable")</f>
        <v/>
      </c>
      <c r="I34" s="7">
        <f>IF(AND(OR(D34="retain",D34=""),E34="statistical_results"),"","not_applicable")</f>
        <v/>
      </c>
      <c r="J34" s="13">
        <f>IF(AND(OR(D34="retain",D34=""),E34="statistical_results"),"","not_applicable")</f>
        <v/>
      </c>
      <c r="K34" s="7">
        <f>IF(AND(OR(D34="retain",D34=""),OR(E34="report_internal_inconsistency",E34="plan_material")),"","not_applicable")</f>
        <v/>
      </c>
      <c r="L34" s="13">
        <f>IF(AND(OR(D34="retain",D34=""),E34="protocol_report"),"","not_applicable")</f>
        <v/>
      </c>
      <c r="M34" s="19" t="n"/>
      <c r="N34" s="19" t="n"/>
      <c r="O34" s="19" t="n"/>
      <c r="P34" s="19" t="n"/>
      <c r="Q34" s="19" t="n"/>
      <c r="R34" s="13" t="n"/>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n"/>
      <c r="E35" s="7" t="inlineStr">
        <is>
          <t>report_internal_inconsistency</t>
        </is>
      </c>
      <c r="F35" s="7" t="inlineStr">
        <is>
          <t>no</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f>IF(AND(OR(D35="retain",D35=""),OR(E35="report_internal_inconsistency",E35="plan_material")),"","not_applicable")</f>
        <v/>
      </c>
      <c r="L35" s="13">
        <f>IF(AND(OR(D35="retain",D35=""),E35="protocol_report"),"","not_applicable")</f>
        <v/>
      </c>
      <c r="M35" s="19" t="n"/>
      <c r="N35" s="19" t="n"/>
      <c r="O35" s="19" t="n"/>
      <c r="P35" s="19" t="n"/>
      <c r="Q35" s="19" t="n"/>
      <c r="R35" s="13" t="n"/>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n"/>
      <c r="E36" s="7" t="inlineStr">
        <is>
          <t>report_internal_inconsistency</t>
        </is>
      </c>
      <c r="F36" s="7" t="inlineStr">
        <is>
          <t>no</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f>IF(AND(OR(D36="retain",D36=""),OR(E36="report_internal_inconsistency",E36="plan_material")),"","not_applicable")</f>
        <v/>
      </c>
      <c r="L36" s="13">
        <f>IF(AND(OR(D36="retain",D36=""),E36="protocol_report"),"","not_applicable")</f>
        <v/>
      </c>
      <c r="M36" s="19" t="n"/>
      <c r="N36" s="19" t="n"/>
      <c r="O36" s="19" t="n"/>
      <c r="P36" s="19" t="n"/>
      <c r="Q36" s="19" t="n"/>
      <c r="R36" s="13" t="n"/>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n"/>
      <c r="E37" s="7" t="inlineStr">
        <is>
          <t>report_internal_inconsistency</t>
        </is>
      </c>
      <c r="F37" s="7" t="inlineStr">
        <is>
          <t>no</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f>IF(AND(OR(D37="retain",D37=""),OR(E37="report_internal_inconsistency",E37="plan_material")),"","not_applicable")</f>
        <v/>
      </c>
      <c r="L37" s="13">
        <f>IF(AND(OR(D37="retain",D37=""),E37="protocol_report"),"","not_applicable")</f>
        <v/>
      </c>
      <c r="M37" s="19" t="n"/>
      <c r="N37" s="19" t="n"/>
      <c r="O37" s="19" t="n"/>
      <c r="P37" s="19" t="n"/>
      <c r="Q37" s="19" t="n"/>
      <c r="R37" s="13" t="n"/>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n"/>
      <c r="E38" s="7" t="inlineStr">
        <is>
          <t>report_internal_inconsistency</t>
        </is>
      </c>
      <c r="F38" s="7" t="inlineStr">
        <is>
          <t>no</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f>IF(AND(OR(D38="retain",D38=""),OR(E38="report_internal_inconsistency",E38="plan_material")),"","not_applicable")</f>
        <v/>
      </c>
      <c r="L38" s="13">
        <f>IF(AND(OR(D38="retain",D38=""),E38="protocol_report"),"","not_applicable")</f>
        <v/>
      </c>
      <c r="M38" s="19" t="n"/>
      <c r="N38" s="19" t="n"/>
      <c r="O38" s="19" t="n"/>
      <c r="P38" s="19" t="n"/>
      <c r="Q38" s="19" t="n"/>
      <c r="R38" s="13" t="n"/>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n"/>
      <c r="E9" s="7" t="inlineStr">
        <is>
          <t>report_internal_inconsistency</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n"/>
      <c r="E12" s="7" t="inlineStr">
        <is>
          <t>report_internal_inconsistency</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n"/>
      <c r="E10" s="7" t="inlineStr">
        <is>
          <t>report_internal_inconsistency</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n"/>
      <c r="E7" s="7" t="inlineStr">
        <is>
          <t>statistical_results</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n"/>
      <c r="E8" s="7" t="inlineStr">
        <is>
          <t>statistical_results</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2025::jama.2025.20765::C003</t>
        </is>
      </c>
      <c r="B4" s="12" t="inlineStr">
        <is>
          <t>178-message total conflicts with its printed frequency schedule</t>
        </is>
      </c>
      <c r="C4" s="12" t="inlineStr">
        <is>
          <t>DOC-002 Supplement 1 — PDF p. 16.</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2025::jama.2025.20765::C004</t>
        </is>
      </c>
      <c r="B5" s="11" t="inlineStr">
        <is>
          <t>Repeated 2,384-participant plan names 44 and 48 facilities</t>
        </is>
      </c>
      <c r="C5" s="11" t="inlineStr">
        <is>
          <t>DOC-002 Supplement 1 — PDF p. 10 and PDF p. 26.</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2025::jama.2025.20765::C005</t>
        </is>
      </c>
      <c r="B6" s="12" t="inlineStr">
        <is>
          <t>134-message total conflicts with its printed frequency schedule</t>
        </is>
      </c>
      <c r="C6" s="12" t="inlineStr">
        <is>
          <t>DOC-002 Supplement 1 — PDF p. 53.</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2025::jama.2025.20765::C006</t>
        </is>
      </c>
      <c r="B7" s="11" t="inlineStr">
        <is>
          <t>TAM sampling header conflicts with contemporaneous narrative and equations</t>
        </is>
      </c>
      <c r="C7" s="11" t="inlineStr">
        <is>
          <t>DOC-002 Supplement 1 — PDF p. 55.</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2025::jama.2025.20765::C008</t>
        </is>
      </c>
      <c r="B9" s="11" t="inlineStr">
        <is>
          <t>Phase-4 design-effect equality does not reproduce from printed inputs</t>
        </is>
      </c>
      <c r="C9" s="11" t="inlineStr">
        <is>
          <t>DOC-002 Supplement 1 — PDF p. 64.</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2025::jama.2025.20765::C009</t>
        </is>
      </c>
      <c r="B10" s="12" t="inlineStr">
        <is>
          <t>Phase-4 diagram is labelled Phase 3/Superiority</t>
        </is>
      </c>
      <c r="C10" s="12" t="inlineStr">
        <is>
          <t>DOC-002 Supplement 1 — PDF p. 64.</t>
        </is>
      </c>
      <c r="D10" s="7" t="n"/>
      <c r="E10" s="7" t="inlineStr">
        <is>
          <t>plan_material</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2025::jama.2025.20765::C011</t>
        </is>
      </c>
      <c r="B12" s="12" t="inlineStr">
        <is>
          <t>MPSS score range conflicts with stated item scale</t>
        </is>
      </c>
      <c r="C12" s="12" t="inlineStr">
        <is>
          <t>DOC-002 Supplement 1 — PDF p. 85.</t>
        </is>
      </c>
      <c r="D12" s="7" t="n"/>
      <c r="E12" s="7" t="inlineStr">
        <is>
          <t>plan_material</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n"/>
      <c r="E14" s="7" t="inlineStr">
        <is>
          <t>protocol_report</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2025::jama.2025.24175::C002</t>
        </is>
      </c>
      <c r="B3" s="11" t="inlineStr">
        <is>
          <t>Protocol and report IFN-gamma dose comparison</t>
        </is>
      </c>
      <c r="C3" s="11" t="inlineStr">
        <is>
          <t>DOC-002 protocol, PDF p. 6; DOC-001 regimen,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2025::jama.2025.24175::C003</t>
        </is>
      </c>
      <c r="B4" s="12" t="inlineStr">
        <is>
          <t>Primary responder cutoff comparison</t>
        </is>
      </c>
      <c r="C4" s="12" t="inlineStr">
        <is>
          <t>DOC-002 protocol, PDF p. 7; DOC-001 report, PDF p. 1; DOC-002 SAP, PDF p. 66.</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2025::jama.2025.24175::C005</t>
        </is>
      </c>
      <c r="B6" s="12" t="inlineStr">
        <is>
          <t>Protocol sample-size, dropout, and total-target arithmetic</t>
        </is>
      </c>
      <c r="C6" s="12" t="inlineStr">
        <is>
          <t>DOC-002 protocol, PDF p. 25 and PDF p. 26.</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2025::jama.2025.24175::C007</t>
        </is>
      </c>
      <c r="B8" s="12" t="inlineStr">
        <is>
          <t>APACHE II Table 2 P value versus displayed t-test inputs</t>
        </is>
      </c>
      <c r="C8" s="12" t="inlineStr">
        <is>
          <t>DOC-002 Table 2, PDF p. 48.</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2025::jama.2025.24175::C008</t>
        </is>
      </c>
      <c r="B9" s="11" t="inlineStr">
        <is>
          <t>Figure 1 septic-shock classification children exceed their parent total</t>
        </is>
      </c>
      <c r="C9" s="11" t="inlineStr">
        <is>
          <t>DOC-002 Figure 1, PDF p. 50.</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n"/>
      <c r="E10" s="7" t="inlineStr">
        <is>
          <t>protocol_report</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2025::jama.2025.24175::C011</t>
        </is>
      </c>
      <c r="B12" s="12" t="inlineStr">
        <is>
          <t>eTable 10 SII day-15 OR versus counts, CI, and P value</t>
        </is>
      </c>
      <c r="C12" s="12" t="inlineStr">
        <is>
          <t>DOC-003 eTable 10, PDF p. 22.</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2025::jama.2025.24175::C013</t>
        </is>
      </c>
      <c r="B14" s="12" t="inlineStr">
        <is>
          <t>eFigure 9B APACHE interaction point estimate outside its CI</t>
        </is>
      </c>
      <c r="C14" s="12" t="inlineStr">
        <is>
          <t>DOC-003 eFigure 9B, PDF p. 53.</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n"/>
      <c r="E15" s="7" t="inlineStr">
        <is>
          <t>plan_material</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n"/>
      <c r="E2" s="7" t="inlineStr">
        <is>
          <t>plan_material</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R_B</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2026-09-19T05:09:55Z</dcterms:created>
  <dcterms:modified xsi:type="dcterms:W3CDTF">2026-09-19T05:09:56Z</dcterms:modified>
</cp:coreProperties>
</file>