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19.10517" sheetId="5" state="visible" r:id="rId5"/>
    <sheet name="Decisions" sheetId="6" state="visible" r:id="rId6"/>
    <sheet name="Paper_counts" sheetId="7" state="visible" r:id="rId7"/>
    <sheet name="Protocol_plan_table" sheetId="8" state="visible" r:id="rId8"/>
    <sheet name="Candidates" sheetId="9" state="visible" r:id="rId9"/>
    <sheet name="Evidence" sheetId="10" state="visible" r:id="rId10"/>
    <sheet name="Links" sheetId="11" state="visible" r:id="rId11"/>
    <sheet name="Relations" sheetId="12" state="visible" r:id="rId12"/>
    <sheet name="Codebook" sheetId="13" state="visible" r:id="rId13"/>
    <sheet name="Rule_defaults" sheetId="14" state="visible" r:id="rId14"/>
    <sheet name="Manifest" sheetId="15" state="visible" r:id="rId15"/>
  </sheets>
  <definedNames>
    <definedName name="_xlnm._FilterDatabase" localSheetId="4" hidden="1">'C_jama.2019.10517'!$A$1:$R$4</definedName>
    <definedName name="_xlnm._FilterDatabase" localSheetId="5" hidden="1">'Decisions'!$A$1:$U$63</definedName>
    <definedName name="_xlnm._FilterDatabase" localSheetId="7" hidden="1">'Protocol_plan_table'!$A$1:$O$15</definedName>
    <definedName name="_xlnm._FilterDatabase" localSheetId="8" hidden="1">'Candidates'!$A$1:$AB$63</definedName>
    <definedName name="_xlnm._FilterDatabase" localSheetId="9" hidden="1">'Evidence'!$A$1:$D$225</definedName>
    <definedName name="_xlnm._FilterDatabase" localSheetId="10" hidden="1">'Links'!$A$1:$E$275</definedName>
    <definedName name="_xlnm._FilterDatabase" localSheetId="11" hidden="1">'Relations'!$A$1:$D$69</definedName>
  </definedNames>
  <calcPr calcId="124519" calcMode="auto" fullCalcOnLoad="1" forceFullCalc="1"/>
</workbook>
</file>

<file path=xl/styles.xml><?xml version="1.0" encoding="utf-8"?>
<styleSheet xmlns="http://schemas.openxmlformats.org/spreadsheetml/2006/main">
  <numFmts count="0"/>
  <fonts count="7">
    <font>
      <name val="Carlito"/>
      <sz val="11"/>
    </font>
    <font>
      <name val="Calibri"/>
      <color rgb="FF173F57"/>
      <sz val="11"/>
    </font>
    <font>
      <name val="Calibri"/>
      <b val="1"/>
      <color rgb="FFFFFFFF"/>
      <sz val="11"/>
    </font>
    <font>
      <name val="Calibri"/>
      <b val="1"/>
      <color rgb="00173F57"/>
      <sz val="11"/>
    </font>
    <font>
      <name val="Calibri"/>
      <b val="1"/>
      <color rgb="00FFFFFF"/>
      <sz val="11"/>
    </font>
    <font>
      <name val="Calibri"/>
      <color rgb="00173F57"/>
      <sz val="11"/>
    </font>
    <font>
      <name val="Calibri"/>
      <color rgb="000563C1"/>
      <sz val="11"/>
      <u val="single"/>
    </font>
  </fonts>
  <fills count="11">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
      <patternFill patternType="solid">
        <fgColor rgb="00FCE4D6"/>
      </patternFill>
    </fill>
  </fills>
  <borders count="1">
    <border/>
  </borders>
  <cellStyleXfs count="1">
    <xf numFmtId="0" fontId="0" fillId="0" borderId="0" applyProtection="1">
      <protection locked="0" hidden="0"/>
    </xf>
  </cellStyleXfs>
  <cellXfs count="26">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5" fillId="7" borderId="0" applyAlignment="1" applyProtection="1" pivotButton="0" quotePrefix="0" xfId="0">
      <alignment vertical="center" wrapText="1"/>
      <protection locked="0" hidden="0"/>
    </xf>
    <xf numFmtId="0" fontId="5" fillId="0" borderId="0" applyAlignment="1" applyProtection="1" pivotButton="0" quotePrefix="0" xfId="0">
      <alignment vertical="center" wrapText="1"/>
      <protection locked="0" hidden="0"/>
    </xf>
    <xf numFmtId="0" fontId="5" fillId="8" borderId="0" applyAlignment="1" applyProtection="1" pivotButton="0" quotePrefix="0" xfId="0">
      <alignment vertical="center" wrapText="1"/>
      <protection locked="0" hidden="0"/>
    </xf>
    <xf numFmtId="0" fontId="5" fillId="10" borderId="0" applyAlignment="1" applyProtection="1" pivotButton="0" quotePrefix="0" xfId="0">
      <alignment vertical="center" wrapText="1"/>
      <protection locked="0" hidden="0"/>
    </xf>
    <xf numFmtId="0" fontId="6" fillId="0" borderId="0" applyAlignment="1" applyProtection="1" pivotButton="0" quotePrefix="0" xfId="0">
      <alignment vertical="center" wrapText="1"/>
      <protection locked="0" hidden="0"/>
    </xf>
    <xf numFmtId="0" fontId="6" fillId="3" borderId="0" applyAlignment="1" applyProtection="1" pivotButton="0" quotePrefix="0" xfId="0">
      <alignment vertical="center" wrapText="1"/>
      <protection locked="0" hidden="0"/>
    </xf>
    <xf numFmtId="0" fontId="2" fillId="0"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6" fillId="7" borderId="0" applyAlignment="1" applyProtection="1" pivotButton="0" quotePrefix="0" xfId="0">
      <alignment vertical="center" wrapText="1"/>
      <protection locked="0" hidden="0"/>
    </xf>
  </cellXfs>
  <cellStyles count="1">
    <cellStyle name="Normal" xfId="0"/>
  </cellStyles>
  <dxfs count="74">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
      <font>
        <color rgb="00375623"/>
      </font>
      <fill>
        <patternFill patternType="solid">
          <fgColor rgb="00E2F0D9"/>
        </patternFill>
      </fill>
    </dxf>
    <dxf>
      <fill>
        <patternFill patternType="solid">
          <fgColor rgb="00FCE4D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Review instructions</author>
  </authors>
  <commentList>
    <comment ref="B2" authorId="0" shapeId="0">
      <text>
        <t>Required identity. Whitespace-only or padded input is invalid.</t>
      </text>
    </comment>
  </commentList>
</comments>
</file>

<file path=xl/comments/comment2.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9.xml.rels><Relationships xmlns="http://schemas.openxmlformats.org/package/2006/relationships"><Relationship Type="http://schemas.openxmlformats.org/officeDocument/2006/relationships/hyperlink" Target="../../../../2019/jama.2019.10517/.ai_paper_validation/final_report_1_5_1.html" TargetMode="External" Id="rId1" /></Relationships>
</file>

<file path=xl/worksheets/_rels/sheet11.xml.rels><Relationships xmlns="http://schemas.openxmlformats.org/package/2006/relationships"><Relationship Type="http://schemas.openxmlformats.org/officeDocument/2006/relationships/hyperlink" Target="../../../../2019/jama.2019.10517/jama_flint_2019_oi_190079.pdf#page=9" TargetMode="External" Id="rId1" /><Relationship Type="http://schemas.openxmlformats.org/officeDocument/2006/relationships/hyperlink" Target="../../../../2019/jama.2019.10517/.ai_paper_validation/review_1_5_1/source_inventory.md" TargetMode="External" Id="rId2"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1" customWidth="1" style="14" min="1" max="1"/>
    <col width="112" customWidth="1" style="14" min="2" max="2"/>
  </cols>
  <sheetData>
    <row r="1" ht="44" customFormat="1" customHeight="1" s="14">
      <c r="A1" s="15" t="inlineStr">
        <is>
          <t>Step</t>
        </is>
      </c>
      <c r="B1" s="15" t="inlineStr">
        <is>
          <t>Instructions</t>
        </is>
      </c>
    </row>
    <row r="2" ht="42" customFormat="1" customHeight="1" s="14">
      <c r="A2" s="16" t="inlineStr">
        <is>
          <t>Release</t>
        </is>
      </c>
      <c r="B2" s="16" t="inlineStr">
        <is>
          <t>TEST ONLY - synthetic answers; never deliver as a review template</t>
        </is>
      </c>
    </row>
    <row r="3" ht="82" customFormat="1" customHeight="1" s="14">
      <c r="A3" s="17" t="inlineStr">
        <is>
          <t>Coordinator</t>
        </is>
      </c>
      <c r="B3" s="17" t="inlineStr">
        <is>
          <t>Assign two different people to the two role files. Distribute only the corresponding file to each person. The role label is not a person ID. This standalone workbook cannot verify the identity assigned to the other file.</t>
        </is>
      </c>
    </row>
    <row r="4" ht="82" customFormat="1" customHeight="1" s="14">
      <c r="A4" s="16" t="inlineStr">
        <is>
          <t>1. Save a working copy</t>
        </is>
      </c>
      <c r="B4" s="16" t="inlineStr">
        <is>
          <t>Use Excel Save As before entering answers. Keep ordinary Excel backups. Setup B2: enter your own reviewer ID or name (required, no leading/trailing whitespace). B3: optional full name. B4/B5 identify this role and year.</t>
        </is>
      </c>
    </row>
    <row r="5" ht="82" customFormat="1" customHeight="1" s="14">
      <c r="A5" s="17" t="inlineStr">
        <is>
          <t>2. Read candidate and evidence</t>
        </is>
      </c>
      <c r="B5" s="17" t="inlineStr">
        <is>
          <t>Start with Papers. Open a C_ paper sheet; click its key for Evidence, or the Candidates rationale if no Evidence rows exist. Filter Candidates, Evidence and Links by key; source links open original files. Structured evidence is embedded. Source PDFs require the repository folders to remain accessible.</t>
        </is>
      </c>
    </row>
    <row r="6" ht="82" customFormat="1" customHeight="1" s="14">
      <c r="A6" s="16" t="inlineStr">
        <is>
          <t>3. Enter your assessment</t>
        </is>
      </c>
      <c r="B6" s="16" t="inlineStr">
        <is>
          <t>Choose D (retain / exclude / discuss), confirm or edit the AI-suggested E domain, answer applicable H-L and add optional English notes in R. Yellow = common/required; blue = optional; gray = inactive. M-Q are empty hidden spacers. Read Codebook for meanings.</t>
        </is>
      </c>
    </row>
    <row r="7" ht="82" customFormat="1" customHeight="1" s="14">
      <c r="A7" s="17" t="inlineStr">
        <is>
          <t>4. Finish a row</t>
        </is>
      </c>
      <c r="B7" s="17" t="inlineStr">
        <is>
          <t>After manual review, set F=primary_done. G must show PRIMARY READY. Use F=no while drafting. Dropdowns help entry; G also checks pasted values. The complete flag alone never makes invalid fields ready.</t>
        </is>
      </c>
    </row>
    <row r="8" ht="82" customFormat="1" customHeight="1" s="14">
      <c r="A8" s="16" t="inlineStr">
        <is>
          <t>5. Inspect progress</t>
        </is>
      </c>
      <c r="B8" s="16" t="inlineStr">
        <is>
          <t>Checks shows total, ready, unfinished and discuss/unresolved rows. Open Decisions and filter readiness for remaining work, then return to the matching C_ sheet. All calculations run in Excel; no refresh, terminal, scripts or export commands.</t>
        </is>
      </c>
    </row>
    <row r="9" ht="82" customFormat="1" customHeight="1" s="14">
      <c r="A9" s="17" t="inlineStr">
        <is>
          <t>6. Save and deliver</t>
        </is>
      </c>
      <c r="B9" s="17" t="inlineStr">
        <is>
          <t>When Checks says PRIMARY READY, save the completed workbook and deliver this file. Built-in Decisions, Paper_counts and Protocol_plan_table update in Excel. Keep your backups; do not regenerate or overwrite completed review files.</t>
        </is>
      </c>
    </row>
    <row r="10" ht="82" customFormat="1" customHeight="1" s="14">
      <c r="A10" s="16" t="inlineStr">
        <is>
          <t>Changing completed answers</t>
        </is>
      </c>
      <c r="B10" s="16" t="inlineStr">
        <is>
          <t>Manually reset F to no BEFORE editing an already completed row. Review the revised row again, then set primary_done. Excel formulas cannot automatically erase an entered completion flag.</t>
        </is>
      </c>
    </row>
    <row r="11" ht="82" customFormat="1" customHeight="1" s="14">
      <c r="A11" s="17" t="inlineStr">
        <is>
          <t>Defaults / changing branches</t>
        </is>
      </c>
      <c r="B11" s="17" t="inlineStr">
        <is>
          <t>Untouched H-L formulas show blank for potentially applicable fields while D is blank or retain, and not_applicable otherwise. Choosing a value overwrites its formula. Changing D/E never clears a literal answer: clear inactive entries or use not_applicable, then answer newly required fields. A blank is blank.</t>
        </is>
      </c>
    </row>
    <row r="12" ht="82" customFormat="1" customHeight="1" s="14">
      <c r="A12" s="16" t="inlineStr">
        <is>
          <t>Required and optional</t>
        </is>
      </c>
      <c r="B12" s="16" t="inlineStr">
        <is>
          <t>Retained statistical_results: H and I required; J optional. Retained report_internal_inconsistency or plan_material: K required. Retained protocol_report: L optional, no extra required judgment. Exclude/discuss: all H-L inactive. Active optional fields may be blank, but may not contain not_applicable.</t>
        </is>
      </c>
    </row>
    <row r="13" ht="82" customFormat="1" customHeight="1" s="14">
      <c r="A13" s="17" t="inlineStr">
        <is>
          <t>Discuss remains unresolved</t>
        </is>
      </c>
      <c r="B13" s="17" t="inlineStr">
        <is>
          <t>Discuss is a completed independent response when the fields are valid and F=primary_done. Its outcome stays blank. Checks highlights the unresolved total. No shared discussion or resolution is required to deliver your independent review.</t>
        </is>
      </c>
    </row>
    <row r="14" ht="82" customFormat="1" customHeight="1" s="14">
      <c r="A14" s="16" t="inlineStr">
        <is>
          <t>Meaning of paper counts</t>
        </is>
      </c>
      <c r="B14" s="16" t="inlineStr">
        <is>
          <t>Paper outcome counts appear only when every candidate in the paper is primary-ready AND no candidate is discuss. Entry completion and unresolved count are shown separately. Blank counts are not zero. Retained P_R/P_P results are descriptive and never temporal comparisons.</t>
        </is>
      </c>
    </row>
    <row r="15" ht="82" customFormat="1" customHeight="1" s="14">
      <c r="A15" s="17" t="inlineStr">
        <is>
          <t>Editable cells and recovery</t>
        </is>
      </c>
      <c r="B15" s="17" t="inlineStr">
        <is>
          <t>All cells are editable; no passwords or unlock steps. Protected ranges: none. Use Setup B2/B3 and C_ D/E/F/H-L/R for review. Preserve keys, source data and formulas. If damaged, Undo or recover your own saved copy. These checks do not validate scientific accuracy.</t>
        </is>
      </c>
    </row>
    <row r="16" ht="82" customFormat="1" customHeight="1" s="14">
      <c r="A16" s="16" t="inlineStr">
        <is>
          <t>Navigation and sorting</t>
        </is>
      </c>
      <c r="B16" s="16" t="inlineStr">
        <is>
          <t>Use Papers links to open review sheets and candidate-key links to read evidence. When sorting, select the entire A:R candidate range including hidden M-Q; never sort one column alone. Results look up candidate keys and follow whole-row reordering.</t>
        </is>
      </c>
    </row>
    <row r="17" ht="82" customFormat="1" customHeight="1" s="14">
      <c r="A17" s="17" t="inlineStr">
        <is>
          <t>Source access</t>
        </is>
      </c>
      <c r="B17" s="17" t="inlineStr">
        <is>
          <t>Original href text is preserved in Candidates and Links; clickable targets are adjusted for this file location. Embedded source and evidence text remains available if original documents are not distributed.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7" customWidth="1" style="14" min="1" max="1"/>
    <col width="90" customWidth="1" style="14" min="2" max="2"/>
  </cols>
  <sheetData>
    <row r="1" ht="44" customFormat="1" customHeight="1" s="14">
      <c r="A1" s="15" t="inlineStr">
        <is>
          <t>Field</t>
        </is>
      </c>
      <c r="B1" s="15" t="inlineStr">
        <is>
          <t>Value</t>
        </is>
      </c>
    </row>
    <row r="2" ht="45" customFormat="1" customHeight="1" s="14">
      <c r="A2" s="16" t="inlineStr">
        <is>
          <t>Reviewer ID or name (required)</t>
        </is>
      </c>
      <c r="B2" s="18" t="inlineStr">
        <is>
          <t>TEST_ONLY_REVIEWER</t>
        </is>
      </c>
    </row>
    <row r="3" ht="45" customFormat="1" customHeight="1" s="14">
      <c r="A3" s="17" t="inlineStr">
        <is>
          <t>Reviewer name (optional)</t>
        </is>
      </c>
      <c r="B3" s="18" t="inlineStr">
        <is>
          <t>Synthetic calculation fixture</t>
        </is>
      </c>
    </row>
    <row r="4" ht="45" customFormat="1" customHeight="1" s="14">
      <c r="A4" s="16" t="inlineStr">
        <is>
          <t>Reviewer role</t>
        </is>
      </c>
      <c r="B4" s="16" t="inlineStr">
        <is>
          <t>R_A</t>
        </is>
      </c>
    </row>
    <row r="5" ht="45" customFormat="1" customHeight="1" s="14">
      <c r="A5" s="17" t="inlineStr">
        <is>
          <t>Year</t>
        </is>
      </c>
      <c r="B5" s="17" t="n">
        <v>2019</v>
      </c>
    </row>
    <row r="6" ht="45" customFormat="1" customHeight="1" s="14">
      <c r="A6" s="16" t="inlineStr">
        <is>
          <t>Schema</t>
        </is>
      </c>
      <c r="B6" s="16" t="inlineStr">
        <is>
          <t>xlsx-adjudication-independent-primary-2.3.1</t>
        </is>
      </c>
    </row>
    <row r="7" ht="45" customFormat="1" customHeight="1" s="14">
      <c r="A7" s="17" t="inlineStr">
        <is>
          <t>Identity guidance</t>
        </is>
      </c>
      <c r="B7" s="17" t="inlineStr">
        <is>
          <t>Enter your own ID or name in B2. Do not enter the role label as your identity. B3 is optional.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14" min="1" max="1"/>
    <col width="108" customWidth="1" style="14" min="2" max="2"/>
  </cols>
  <sheetData>
    <row r="1" ht="44" customFormat="1" customHeight="1" s="14">
      <c r="A1" s="15" t="inlineStr">
        <is>
          <t>Check</t>
        </is>
      </c>
      <c r="B1" s="15" t="inlineStr">
        <is>
          <t>Result</t>
        </is>
      </c>
    </row>
    <row r="2" ht="53" customFormat="1" customHeight="1" s="14">
      <c r="A2" s="16" t="inlineStr">
        <is>
          <t>Reviewer role</t>
        </is>
      </c>
      <c r="B2" s="16">
        <f>Setup!$B$2</f>
        <v/>
      </c>
    </row>
    <row r="3" ht="53" customFormat="1" customHeight="1" s="14">
      <c r="A3" s="17" t="inlineStr">
        <is>
          <t>Total candidates</t>
        </is>
      </c>
      <c r="B3" s="17" t="n">
        <v>1</v>
      </c>
    </row>
    <row r="4" ht="53" customFormat="1" customHeight="1" s="14">
      <c r="A4" s="16" t="inlineStr">
        <is>
          <t>Primary ready</t>
        </is>
      </c>
      <c r="B4" s="16">
        <f>COUNTIF(Decisions!$G$2:$G$2,"PRIMARY READY")</f>
        <v/>
      </c>
    </row>
    <row r="5" ht="53" customFormat="1" customHeight="1" s="14">
      <c r="A5" s="17" t="inlineStr">
        <is>
          <t>Unfinished</t>
        </is>
      </c>
      <c r="B5" s="17">
        <f>B3-B4</f>
        <v/>
      </c>
    </row>
    <row r="6" ht="53" customFormat="1" customHeight="1" s="14">
      <c r="A6" s="16" t="inlineStr">
        <is>
          <t>Discuss / unresolved</t>
        </is>
      </c>
      <c r="B6" s="19">
        <f>COUNTIF(Decisions!$K$2:$K$2,"discuss")</f>
        <v/>
      </c>
    </row>
    <row r="7" ht="53" customFormat="1" customHeight="1" s="14">
      <c r="A7" s="17" t="inlineStr">
        <is>
          <t>Workflow status</t>
        </is>
      </c>
      <c r="B7" s="17">
        <f>IF(B4=B3,"PRIMARY READY","ACTION NEEDED")</f>
        <v/>
      </c>
    </row>
    <row r="8" ht="53" customFormat="1" customHeight="1" s="14">
      <c r="A8" s="16" t="inlineStr">
        <is>
          <t>Ready discuss rows</t>
        </is>
      </c>
      <c r="B8" s="16">
        <f>COUNTIFS(Decisions!$K$2:$K$2,"discuss",Decisions!$G$2:$G$2,"PRIMARY READY")</f>
        <v/>
      </c>
    </row>
    <row r="9" ht="53" customFormat="1" customHeight="1" s="14">
      <c r="A9" s="17" t="inlineStr">
        <is>
          <t>Papers with counts</t>
        </is>
      </c>
      <c r="B9" s="17">
        <f>COUNTIF(Paper_counts!$H$2:$H$2,"yes")</f>
        <v/>
      </c>
    </row>
    <row r="10" ht="76" customFormat="1" customHeight="1" s="14">
      <c r="A10" s="16" t="inlineStr">
        <is>
          <t>Next action</t>
        </is>
      </c>
      <c r="B10" s="16">
        <f>IF(B7="PRIMARY READY",IF(B6&gt;0,"Save and deliver this independent review. Discuss rows remain unresolved; affected paper counts are blank.","Save and deliver this independent review with its built-in results."),"Filter Decisions by readiness, return to the C_ sheet, correct entries and manually confirm F.")</f>
        <v/>
      </c>
    </row>
    <row r="11" ht="53" customFormat="1" customHeight="1" s="14">
      <c r="A11" s="17" t="inlineStr">
        <is>
          <t>Scope</t>
        </is>
      </c>
      <c r="B11" s="17" t="inlineStr">
        <is>
          <t>Entry checks and independent completion only. Discuss is not a confirmed absence of error. Review the evidence; preserve ordinary Excel backups.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showGridLines="0" workbookViewId="0">
      <pane xSplit="1" ySplit="1" topLeftCell="B2" activePane="bottomRight" state="frozen"/>
      <selection activeCell="A1" sqref="A1"/>
    </sheetView>
  </sheetViews>
  <sheetFormatPr baseColWidth="8" defaultRowHeight="15"/>
  <cols>
    <col width="32" customWidth="1" style="14" min="1" max="1"/>
    <col width="34" customWidth="1" style="14" min="2" max="2"/>
    <col width="18" customWidth="1" style="14" min="3" max="3"/>
  </cols>
  <sheetData>
    <row r="1" ht="42" customFormat="1" customHeight="1" s="14">
      <c r="A1" s="5" t="inlineStr">
        <is>
          <t>Paper</t>
        </is>
      </c>
      <c r="B1" s="5" t="inlineStr">
        <is>
          <t>Review worksheet</t>
        </is>
      </c>
      <c r="C1" s="5" t="inlineStr">
        <is>
          <t>Candidates</t>
        </is>
      </c>
    </row>
    <row r="2" ht="36" customFormat="1" customHeight="1" s="14">
      <c r="A2" s="11" t="inlineStr">
        <is>
          <t>jama.2019.10517</t>
        </is>
      </c>
      <c r="B2" s="20" t="inlineStr">
        <is>
          <t>C_jama.2019.10517</t>
        </is>
      </c>
      <c r="C2" s="11" t="n">
        <v>1</v>
      </c>
    </row>
    <row r="3" ht="36" customFormat="1" customHeight="1" s="14"/>
    <row r="4" ht="36" customFormat="1" customHeight="1" s="14"/>
    <row r="5" ht="36" customFormat="1" customHeight="1" s="14"/>
    <row r="6" ht="36" customFormat="1" customHeight="1" s="14"/>
    <row r="7" ht="36" customFormat="1" customHeight="1" s="14"/>
    <row r="8" ht="36" customFormat="1" customHeight="1" s="14"/>
    <row r="9" ht="36" customFormat="1" customHeight="1" s="14"/>
    <row r="10" ht="36" customFormat="1" customHeight="1" s="14"/>
    <row r="11" ht="36" customFormat="1" customHeight="1" s="14"/>
  </sheetData>
  <hyperlinks>
    <hyperlink ref="B2" location="'C_jama.2019.10517'!A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2"/>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Format="1"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Format="1" customHeight="1" s="14">
      <c r="A2" s="21" t="inlineStr">
        <is>
          <t>2019::jama.2019.10517::C001</t>
        </is>
      </c>
      <c r="B2" s="12" t="inlineStr">
        <is>
          <t>Table 5 absolute difference does not reproduce from the displayed counts</t>
        </is>
      </c>
      <c r="C2" s="12" t="inlineStr">
        <is>
          <t>jama_flint_2019_oi_190079.pdf — PDF p. 9, Table 5, total-cholesterol and LDL rows.</t>
        </is>
      </c>
      <c r="D2" s="23" t="inlineStr">
        <is>
          <t>retain</t>
        </is>
      </c>
      <c r="E2" s="23" t="inlineStr">
        <is>
          <t>statistical_results</t>
        </is>
      </c>
      <c r="F2" s="23" t="inlineStr">
        <is>
          <t>primary_done</t>
        </is>
      </c>
      <c r="G2" s="12">
        <f>IFERROR(IF(OR(NOT(EXACT(Setup!$B$4,"R_A")),Setup!$B$5&lt;&gt;2019),"CHECK SETUP",IF(OR(LEN(TRIM(CLEAN(SUBSTITUTE(Setup!$B$2,CHAR(160)," "))))=0,Setup!$B$2&lt;&gt;TRIM(CLEAN(SUBSTITUTE(Setup!$B$2,CHAR(160)," ")))),"CHECK REVIEWER ID",IF(OR(A2="",COUNTIF($A$2:$A$2,A2)&lt;&gt;1,COUNTIFS(Candidates!$G$2:$G$2,A2,Candidates!$K$2:$K$2,"jama.2019.10517")&lt;&gt;1),"CHECK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t="inlineStr">
        <is>
          <t>confirmed_issue</t>
        </is>
      </c>
      <c r="I2" s="23" t="inlineStr">
        <is>
          <t>substantive</t>
        </is>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inlineStr">
        <is>
          <t>TEST note for 2019::jama.2019.10517::C001</t>
        </is>
      </c>
    </row>
    <row r="3" ht="176" customFormat="1" customHeight="1" s="14"/>
    <row r="4" ht="134" customFormat="1" customHeight="1" s="14"/>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fRule type="expression" priority="14" dxfId="72">
      <formula>$G2="PRIMARY READY"</formula>
    </cfRule>
  </conditionalFormatting>
  <conditionalFormatting sqref="D2:D4">
    <cfRule type="expression" priority="15" dxfId="73">
      <formula>$D2="discuss"</formula>
    </cfRule>
  </conditionalFormatting>
  <dataValidations count="8">
    <dataValidation sqref="D2:D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4"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2"/>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18" customWidth="1" style="14" min="5" max="5"/>
    <col width="26" customWidth="1" style="14" min="6" max="6"/>
    <col width="31" customWidth="1" style="14" min="7" max="7"/>
    <col width="27" customWidth="1" style="14" min="8" max="8"/>
    <col width="20" customWidth="1" style="14" min="9" max="9"/>
    <col width="40" customWidth="1" style="14" min="10" max="10"/>
    <col width="18" customWidth="1" style="14" min="11" max="11"/>
    <col width="40" customWidth="1" style="14" min="12" max="12"/>
    <col width="26" customWidth="1" style="14" min="13" max="13"/>
    <col width="24" customWidth="1" style="14" min="14" max="14"/>
    <col width="24" customWidth="1" style="14" min="15" max="15"/>
    <col width="30" customWidth="1" style="14" min="16" max="16"/>
    <col width="28" customWidth="1" style="14" min="17" max="17"/>
    <col width="60" customWidth="1" style="14" min="18" max="18"/>
    <col width="27" customWidth="1" style="14" min="19" max="19"/>
    <col width="20" customWidth="1" style="14" min="20" max="20"/>
    <col width="18" customWidth="1" style="14" min="21" max="21"/>
  </cols>
  <sheetData>
    <row r="1" ht="44" customFormat="1" customHeight="1" s="14">
      <c r="A1" s="15" t="inlineStr">
        <is>
          <t>year</t>
        </is>
      </c>
      <c r="B1" s="15" t="inlineStr">
        <is>
          <t>paper</t>
        </is>
      </c>
      <c r="C1" s="15" t="inlineStr">
        <is>
          <t>key</t>
        </is>
      </c>
      <c r="D1" s="15" t="inlineStr">
        <is>
          <t>relationship</t>
        </is>
      </c>
      <c r="E1" s="15" t="inlineStr">
        <is>
          <t>reviewerRole</t>
        </is>
      </c>
      <c r="F1" s="15" t="inlineStr">
        <is>
          <t>reviewerId</t>
        </is>
      </c>
      <c r="G1" s="15" t="inlineStr">
        <is>
          <t>readiness</t>
        </is>
      </c>
      <c r="H1" s="15" t="inlineStr">
        <is>
          <t>outcome</t>
        </is>
      </c>
      <c r="I1" s="15" t="inlineStr">
        <is>
          <t>aiDisposition</t>
        </is>
      </c>
      <c r="J1" s="15" t="inlineStr">
        <is>
          <t>aiDomain</t>
        </is>
      </c>
      <c r="K1" s="15" t="inlineStr">
        <is>
          <t>disposition</t>
        </is>
      </c>
      <c r="L1" s="15" t="inlineStr">
        <is>
          <t>domain</t>
        </is>
      </c>
      <c r="M1" s="15" t="inlineStr">
        <is>
          <t>statisticalIssueStatus</t>
        </is>
      </c>
      <c r="N1" s="15" t="inlineStr">
        <is>
          <t>substantiveStatus</t>
        </is>
      </c>
      <c r="O1" s="15" t="inlineStr">
        <is>
          <t>downstreamImpact</t>
        </is>
      </c>
      <c r="P1" s="15" t="inlineStr">
        <is>
          <t>internalStatus</t>
        </is>
      </c>
      <c r="Q1" s="15" t="inlineStr">
        <is>
          <t>protocolInterpretation</t>
        </is>
      </c>
      <c r="R1" s="15" t="inlineStr">
        <is>
          <t>notes</t>
        </is>
      </c>
      <c r="S1" s="15" t="inlineStr">
        <is>
          <t>reviewerName</t>
        </is>
      </c>
      <c r="T1" s="15" t="inlineStr">
        <is>
          <t>complete</t>
        </is>
      </c>
      <c r="U1" s="15" t="inlineStr">
        <is>
          <t>unresolved</t>
        </is>
      </c>
    </row>
    <row r="2" ht="80" customFormat="1" customHeight="1" s="14">
      <c r="A2" s="16" t="n">
        <v>2019</v>
      </c>
      <c r="B2" s="16" t="inlineStr">
        <is>
          <t>jama.2019.10517</t>
        </is>
      </c>
      <c r="C2" s="25" t="inlineStr">
        <is>
          <t>2019::jama.2019.10517::C001</t>
        </is>
      </c>
      <c r="D2" s="16" t="inlineStr">
        <is>
          <t>S_W</t>
        </is>
      </c>
      <c r="E2" s="16">
        <f>Setup!$B$2</f>
        <v/>
      </c>
      <c r="F2" s="16">
        <f>IF(Setup!$B$2="","",Setup!$B$2)</f>
        <v/>
      </c>
      <c r="G2" s="16">
        <f>IFERROR(IF(COUNTIF('C_jama.2019.10517'!$A$2:$A$2,C2)&lt;&gt;1,"CHECK KEY",INDEX('C_jama.2019.10517'!$G$2:$G$2,MATCH(C2,'C_jama.2019.10517'!$A$2:$A$2,0))),"CHECK KEY")</f>
        <v/>
      </c>
      <c r="H2" s="16">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6" t="inlineStr">
        <is>
          <t>retain</t>
        </is>
      </c>
      <c r="J2" s="16" t="inlineStr">
        <is>
          <t>statistical_results</t>
        </is>
      </c>
      <c r="K2" s="16">
        <f>IFERROR(IF(INDEX('C_jama.2019.10517'!$D$2:$D$2,MATCH(C2,'C_jama.2019.10517'!$A$2:$A$2,0))="","",INDEX('C_jama.2019.10517'!$D$2:$D$2,MATCH(C2,'C_jama.2019.10517'!$A$2:$A$2,0))),"")</f>
        <v/>
      </c>
      <c r="L2" s="16">
        <f>IFERROR(IF(INDEX('C_jama.2019.10517'!$E$2:$E$2,MATCH(C2,'C_jama.2019.10517'!$A$2:$A$2,0))="","",INDEX('C_jama.2019.10517'!$E$2:$E$2,MATCH(C2,'C_jama.2019.10517'!$A$2:$A$2,0))),"")</f>
        <v/>
      </c>
      <c r="M2" s="16">
        <f>IFERROR(IF(AND(K2="retain",L2="statistical_results"),IF(INDEX('C_jama.2019.10517'!$H$2:$H$2,MATCH(C2,'C_jama.2019.10517'!$A$2:$A$2,0))="","",INDEX('C_jama.2019.10517'!$H$2:$H$2,MATCH(C2,'C_jama.2019.10517'!$A$2:$A$2,0))),"not_applicable"),"")</f>
        <v/>
      </c>
      <c r="N2" s="16">
        <f>IFERROR(IF(AND(K2="retain",L2="statistical_results"),IF(INDEX('C_jama.2019.10517'!$I$2:$I$2,MATCH(C2,'C_jama.2019.10517'!$A$2:$A$2,0))="","",INDEX('C_jama.2019.10517'!$I$2:$I$2,MATCH(C2,'C_jama.2019.10517'!$A$2:$A$2,0))),"not_applicable"),"")</f>
        <v/>
      </c>
      <c r="O2" s="16">
        <f>IFERROR(IF(AND(K2="retain",L2="statistical_results"),IF(INDEX('C_jama.2019.10517'!$J$2:$J$2,MATCH(C2,'C_jama.2019.10517'!$A$2:$A$2,0))="","",INDEX('C_jama.2019.10517'!$J$2:$J$2,MATCH(C2,'C_jama.2019.10517'!$A$2:$A$2,0))),"not_applicable"),"")</f>
        <v/>
      </c>
      <c r="P2" s="16">
        <f>IFERROR(IF(AND(K2="retain",OR(L2="report_internal_inconsistency",L2="plan_material")),IF(INDEX('C_jama.2019.10517'!$K$2:$K$2,MATCH(C2,'C_jama.2019.10517'!$A$2:$A$2,0))="","",INDEX('C_jama.2019.10517'!$K$2:$K$2,MATCH(C2,'C_jama.2019.10517'!$A$2:$A$2,0))),"not_applicable"),"")</f>
        <v/>
      </c>
      <c r="Q2" s="16">
        <f>IFERROR(IF(AND(K2="retain",L2="protocol_report"),IF(INDEX('C_jama.2019.10517'!$L$2:$L$2,MATCH(C2,'C_jama.2019.10517'!$A$2:$A$2,0))="","",INDEX('C_jama.2019.10517'!$L$2:$L$2,MATCH(C2,'C_jama.2019.10517'!$A$2:$A$2,0))),"not_applicable"),"")</f>
        <v/>
      </c>
      <c r="R2" s="16">
        <f>IFERROR(IF(INDEX('C_jama.2019.10517'!$R$2:$R$2,MATCH(C2,'C_jama.2019.10517'!$A$2:$A$2,0))="","",INDEX('C_jama.2019.10517'!$R$2:$R$2,MATCH(C2,'C_jama.2019.10517'!$A$2:$A$2,0))),"")</f>
        <v/>
      </c>
      <c r="S2" s="16">
        <f>IF(Setup!$B$3="","",Setup!$B$3)</f>
        <v/>
      </c>
      <c r="T2" s="16">
        <f>IFERROR(IF(INDEX('C_jama.2019.10517'!$F$2:$F$2,MATCH(C2,'C_jama.2019.10517'!$A$2:$A$2,0))="","",INDEX('C_jama.2019.10517'!$F$2:$F$2,MATCH(C2,'C_jama.2019.10517'!$A$2:$A$2,0))),"")</f>
        <v/>
      </c>
      <c r="U2" s="16">
        <f>IF(K2="discuss","yes","no")</f>
        <v/>
      </c>
    </row>
    <row r="3" ht="80" customFormat="1" customHeight="1" s="14"/>
    <row r="4" ht="80" customFormat="1" customHeight="1" s="14"/>
    <row r="5" ht="80" customFormat="1" customHeight="1" s="14"/>
    <row r="6" ht="80" customFormat="1" customHeight="1" s="14"/>
    <row r="7" ht="80" customFormat="1" customHeight="1" s="14"/>
    <row r="8" ht="80" customFormat="1" customHeight="1" s="14"/>
    <row r="9" ht="80" customFormat="1" customHeight="1" s="14"/>
    <row r="10" ht="80" customFormat="1" customHeight="1" s="14"/>
    <row r="11" ht="80" customFormat="1" customHeight="1" s="14"/>
    <row r="12" ht="80" customFormat="1" customHeight="1" s="14"/>
    <row r="13" ht="80" customFormat="1" customHeight="1" s="14"/>
    <row r="14" ht="80" customFormat="1" customHeight="1" s="14"/>
    <row r="15" ht="80" customFormat="1" customHeight="1" s="14"/>
    <row r="16" ht="80" customFormat="1" customHeight="1" s="14"/>
    <row r="17" ht="80" customFormat="1" customHeight="1" s="14"/>
    <row r="18" ht="80" customFormat="1" customHeight="1" s="14"/>
    <row r="19" ht="80" customFormat="1" customHeight="1" s="14"/>
    <row r="20" ht="80" customFormat="1" customHeight="1" s="14"/>
    <row r="21" ht="80" customFormat="1" customHeight="1" s="14"/>
    <row r="22" ht="80" customFormat="1" customHeight="1" s="14"/>
    <row r="23" ht="80" customFormat="1" customHeight="1" s="14"/>
    <row r="24" ht="80" customFormat="1" customHeight="1" s="14"/>
    <row r="25" ht="80" customFormat="1" customHeight="1" s="14"/>
    <row r="26" ht="80" customFormat="1" customHeight="1" s="14"/>
    <row r="27" ht="80" customFormat="1" customHeight="1" s="14"/>
    <row r="28" ht="80" customFormat="1" customHeight="1" s="14"/>
    <row r="29" ht="80" customFormat="1" customHeight="1" s="14"/>
    <row r="30" ht="80" customFormat="1" customHeight="1" s="14"/>
    <row r="31" ht="80" customFormat="1" customHeight="1" s="14"/>
    <row r="32" ht="80" customFormat="1" customHeight="1" s="14"/>
    <row r="33" ht="80" customFormat="1" customHeight="1" s="14"/>
    <row r="34" ht="80" customFormat="1" customHeight="1" s="14"/>
    <row r="35" ht="80" customFormat="1" customHeight="1" s="14"/>
    <row r="36" ht="80" customFormat="1" customHeight="1" s="14"/>
    <row r="37" ht="80" customFormat="1" customHeight="1" s="14"/>
    <row r="38" ht="80" customFormat="1" customHeight="1" s="14"/>
    <row r="39" ht="80" customFormat="1" customHeight="1" s="14"/>
    <row r="40" ht="80" customFormat="1" customHeight="1" s="14"/>
    <row r="41" ht="80" customFormat="1" customHeight="1" s="14"/>
    <row r="42" ht="80" customFormat="1" customHeight="1" s="14"/>
    <row r="43" ht="80" customFormat="1" customHeight="1" s="14"/>
    <row r="44" ht="80" customFormat="1" customHeight="1" s="14"/>
    <row r="45" ht="80" customFormat="1" customHeight="1" s="14"/>
    <row r="46" ht="80" customFormat="1" customHeight="1" s="14"/>
    <row r="47" ht="80" customFormat="1" customHeight="1" s="14"/>
    <row r="48" ht="80" customFormat="1" customHeight="1" s="14"/>
    <row r="49" ht="80" customFormat="1" customHeight="1" s="14"/>
    <row r="50" ht="80" customFormat="1" customHeight="1" s="14"/>
    <row r="51" ht="80" customFormat="1" customHeight="1" s="14"/>
    <row r="52" ht="80" customFormat="1" customHeight="1" s="14"/>
    <row r="53" ht="80" customFormat="1" customHeight="1" s="14"/>
    <row r="54" ht="80" customFormat="1" customHeight="1" s="14"/>
    <row r="55" ht="80" customFormat="1" customHeight="1" s="14"/>
    <row r="56" ht="80" customFormat="1" customHeight="1" s="14"/>
    <row r="57" ht="80" customFormat="1" customHeight="1" s="14"/>
    <row r="58" ht="80" customFormat="1" customHeight="1" s="14"/>
    <row r="59" ht="80" customFormat="1" customHeight="1" s="14"/>
    <row r="60" ht="80" customFormat="1" customHeight="1" s="14"/>
    <row r="61" ht="80" customFormat="1" customHeight="1" s="14"/>
    <row r="62" ht="80" customFormat="1" customHeight="1" s="14"/>
    <row r="63" ht="80" customFormat="1" customHeight="1" s="14"/>
  </sheetData>
  <autoFilter ref="A1:U63"/>
  <hyperlinks>
    <hyperlink ref="C2" location="'C_jama.2019.10517'!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9" customWidth="1" style="14" min="2" max="2"/>
    <col width="18" customWidth="1" style="14" min="3" max="3"/>
    <col width="22" customWidth="1" style="14" min="4" max="4"/>
    <col width="20" customWidth="1" style="14" min="5" max="5"/>
    <col width="25" customWidth="1" style="14" min="6" max="6"/>
    <col width="24" customWidth="1" style="14" min="7" max="7"/>
    <col width="24" customWidth="1" style="14" min="8" max="8"/>
    <col width="25" customWidth="1" style="14" min="9" max="9"/>
    <col width="26" customWidth="1" style="14" min="10" max="10"/>
    <col width="28" customWidth="1" style="14" min="11" max="11"/>
    <col width="26" customWidth="1" style="14" min="12" max="12"/>
    <col width="23" customWidth="1" style="14" min="13" max="13"/>
  </cols>
  <sheetData>
    <row r="1" ht="44" customFormat="1" customHeight="1" s="14">
      <c r="A1" s="15" t="inlineStr">
        <is>
          <t>year</t>
        </is>
      </c>
      <c r="B1" s="15" t="inlineStr">
        <is>
          <t>paper</t>
        </is>
      </c>
      <c r="C1" s="15" t="inlineStr">
        <is>
          <t>candidates</t>
        </is>
      </c>
      <c r="D1" s="15" t="inlineStr">
        <is>
          <t>primary_ready</t>
        </is>
      </c>
      <c r="E1" s="15" t="inlineStr">
        <is>
          <t>unfinished</t>
        </is>
      </c>
      <c r="F1" s="15" t="inlineStr">
        <is>
          <t>discuss_unresolved</t>
        </is>
      </c>
      <c r="G1" s="15" t="inlineStr">
        <is>
          <t>review_complete</t>
        </is>
      </c>
      <c r="H1" s="15" t="inlineStr">
        <is>
          <t>counts_available</t>
        </is>
      </c>
      <c r="I1" s="15" t="inlineStr">
        <is>
          <t>primary_temporal</t>
        </is>
      </c>
      <c r="J1" s="15" t="inlineStr">
        <is>
          <t>secondary_temporal</t>
        </is>
      </c>
      <c r="K1" s="15" t="inlineStr">
        <is>
          <t>protocol_descriptive</t>
        </is>
      </c>
      <c r="L1" s="15" t="inlineStr">
        <is>
          <t>plan_descriptive</t>
        </is>
      </c>
      <c r="M1" s="15" t="inlineStr">
        <is>
          <t>not_eligible</t>
        </is>
      </c>
    </row>
    <row r="2" ht="54" customFormat="1" customHeight="1" s="14">
      <c r="A2" s="16" t="n">
        <v>2019</v>
      </c>
      <c r="B2" s="16" t="inlineStr">
        <is>
          <t>jama.2019.10517</t>
        </is>
      </c>
      <c r="C2" s="16" t="n">
        <v>1</v>
      </c>
      <c r="D2" s="16">
        <f>COUNTIFS(Decisions!$B$2:$B$2,B2,Decisions!$G$2:$G$2,"PRIMARY READY")</f>
        <v/>
      </c>
      <c r="E2" s="16">
        <f>C2-D2</f>
        <v/>
      </c>
      <c r="F2" s="16">
        <f>COUNTIFS(Decisions!$B$2:$B$2,B2,Decisions!$K$2:$K$2,"discuss")</f>
        <v/>
      </c>
      <c r="G2" s="16">
        <f>IF(D2=C2,"yes","no")</f>
        <v/>
      </c>
      <c r="H2" s="16">
        <f>IF(AND(G2="yes",F2=0),"yes","no")</f>
        <v/>
      </c>
      <c r="I2" s="16">
        <f>IF(H2&lt;&gt;"yes","",COUNTIFS(Decisions!$B$2:$B$2,B2,Decisions!$H$2:$H$2,"primary_temporal"))</f>
        <v/>
      </c>
      <c r="J2" s="16">
        <f>IF(H2&lt;&gt;"yes","",COUNTIFS(Decisions!$B$2:$B$2,B2,Decisions!$H$2:$H$2,"secondary_temporal"))</f>
        <v/>
      </c>
      <c r="K2" s="16">
        <f>IF(H2&lt;&gt;"yes","",COUNTIFS(Decisions!$B$2:$B$2,B2,Decisions!$H$2:$H$2,"protocol_descriptive"))</f>
        <v/>
      </c>
      <c r="L2" s="16">
        <f>IF(H2&lt;&gt;"yes","",COUNTIFS(Decisions!$B$2:$B$2,B2,Decisions!$H$2:$H$2,"plan_descriptive"))</f>
        <v/>
      </c>
      <c r="M2" s="16">
        <f>IF(H2&lt;&gt;"yes","",COUNTIFS(Decisions!$B$2:$B$2,B2,Decisions!$H$2:$H$2,"not_eligible"))</f>
        <v/>
      </c>
    </row>
    <row r="3" ht="54" customFormat="1" customHeight="1" s="14"/>
    <row r="4" ht="54" customFormat="1" customHeight="1" s="14"/>
    <row r="5" ht="54" customFormat="1" customHeight="1" s="14"/>
    <row r="6" ht="54" customFormat="1" customHeight="1" s="14"/>
    <row r="7" ht="54" customFormat="1" customHeight="1" s="14"/>
    <row r="8" ht="54" customFormat="1" customHeight="1" s="14"/>
    <row r="9" ht="54" customFormat="1" customHeight="1" s="14"/>
    <row r="10" ht="54" customFormat="1" customHeight="1" s="14"/>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60" customWidth="1" style="14" min="5" max="5"/>
    <col width="90" customWidth="1" style="14" min="6" max="6"/>
    <col width="31" customWidth="1" style="14" min="7" max="7"/>
    <col width="20" customWidth="1" style="14" min="8" max="8"/>
    <col width="40" customWidth="1" style="14" min="9" max="9"/>
    <col width="29" customWidth="1" style="14" min="10" max="10"/>
    <col width="30" customWidth="1" style="14" min="11" max="11"/>
    <col width="60" customWidth="1" style="14" min="12" max="12"/>
    <col width="28" customWidth="1" style="14" min="13" max="13"/>
    <col width="18" customWidth="1" style="14" min="14" max="14"/>
    <col width="26" customWidth="1" style="14" min="15" max="15"/>
  </cols>
  <sheetData>
    <row r="1" ht="44" customFormat="1" customHeight="1" s="14">
      <c r="A1" s="15" t="inlineStr">
        <is>
          <t>year</t>
        </is>
      </c>
      <c r="B1" s="15" t="inlineStr">
        <is>
          <t>paper</t>
        </is>
      </c>
      <c r="C1" s="15" t="inlineStr">
        <is>
          <t>key</t>
        </is>
      </c>
      <c r="D1" s="15" t="inlineStr">
        <is>
          <t>relationship</t>
        </is>
      </c>
      <c r="E1" s="15" t="inlineStr">
        <is>
          <t>title</t>
        </is>
      </c>
      <c r="F1" s="15" t="inlineStr">
        <is>
          <t>statement</t>
        </is>
      </c>
      <c r="G1" s="15" t="inlineStr">
        <is>
          <t>readiness</t>
        </is>
      </c>
      <c r="H1" s="15" t="inlineStr">
        <is>
          <t>disposition</t>
        </is>
      </c>
      <c r="I1" s="15" t="inlineStr">
        <is>
          <t>domain</t>
        </is>
      </c>
      <c r="J1" s="15" t="inlineStr">
        <is>
          <t>interpretation</t>
        </is>
      </c>
      <c r="K1" s="15" t="inlineStr">
        <is>
          <t>internalStatus</t>
        </is>
      </c>
      <c r="L1" s="15" t="inlineStr">
        <is>
          <t>notes</t>
        </is>
      </c>
      <c r="M1" s="15" t="inlineStr">
        <is>
          <t>outcome</t>
        </is>
      </c>
      <c r="N1" s="15" t="inlineStr">
        <is>
          <t>reviewerRole</t>
        </is>
      </c>
      <c r="O1" s="15" t="inlineStr">
        <is>
          <t>reviewerId</t>
        </is>
      </c>
    </row>
    <row r="2" ht="100" customFormat="1" customHeight="1" s="14"/>
    <row r="3" ht="100" customFormat="1" customHeight="1" s="14"/>
    <row r="4" ht="100" customFormat="1" customHeight="1" s="14"/>
    <row r="5" ht="100" customFormat="1" customHeight="1" s="14"/>
    <row r="6" ht="100" customFormat="1" customHeight="1" s="14"/>
    <row r="7" ht="100" customFormat="1" customHeight="1" s="14"/>
    <row r="8" ht="100" customFormat="1" customHeight="1" s="14"/>
    <row r="9" ht="100" customFormat="1" customHeight="1" s="14"/>
    <row r="10" ht="100" customFormat="1" customHeight="1" s="14"/>
    <row r="11" ht="100" customFormat="1" customHeight="1" s="14"/>
    <row r="12" ht="100" customFormat="1" customHeight="1" s="14"/>
    <row r="13" ht="100" customFormat="1" customHeight="1" s="14"/>
    <row r="14" ht="100" customFormat="1" customHeight="1" s="14"/>
    <row r="15" ht="100" customFormat="1" customHeight="1" s="14"/>
  </sheetData>
  <autoFilter ref="A1:O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B2"/>
  <sheetViews>
    <sheetView showGridLines="0" workbookViewId="0">
      <pane xSplit="1" ySplit="1" topLeftCell="B2" activePane="bottomRight" state="frozen"/>
      <selection activeCell="A1" sqref="A1"/>
    </sheetView>
  </sheetViews>
  <sheetFormatPr baseColWidth="8" defaultRowHeight="15"/>
  <cols>
    <col width="26" customWidth="1" style="14" min="1" max="1"/>
    <col width="26" customWidth="1" style="14" min="2" max="2"/>
    <col width="26" customWidth="1" style="14" min="3" max="3"/>
    <col width="26" customWidth="1" style="14" min="4" max="4"/>
    <col width="26" customWidth="1" style="14" min="5" max="5"/>
    <col width="26" customWidth="1" style="14" min="6" max="6"/>
    <col width="44" customWidth="1" style="14" min="7" max="7"/>
    <col width="26" customWidth="1" style="14" min="8" max="8"/>
    <col width="75" customWidth="1" style="14" min="9" max="9"/>
    <col width="26" customWidth="1" style="14" min="10" max="10"/>
    <col width="26" customWidth="1" style="14" min="11" max="11"/>
    <col width="26" customWidth="1" style="14" min="12" max="12"/>
    <col width="26" customWidth="1" style="14" min="13" max="13"/>
    <col width="80" customWidth="1" style="14" min="14" max="14"/>
    <col width="26" customWidth="1" style="14" min="15" max="15"/>
    <col width="26" customWidth="1" style="14" min="16" max="16"/>
    <col width="26" customWidth="1" style="14" min="17" max="17"/>
    <col width="26" customWidth="1" style="14" min="18" max="18"/>
    <col width="90" customWidth="1" style="14" min="19" max="19"/>
    <col width="26" customWidth="1" style="14" min="20" max="20"/>
    <col width="26" customWidth="1" style="14" min="21" max="21"/>
    <col width="26" customWidth="1" style="14" min="22" max="22"/>
    <col width="65" customWidth="1" style="14" min="23" max="23"/>
    <col width="26" customWidth="1" style="14" min="24" max="24"/>
    <col width="26" customWidth="1" style="14" min="25" max="25"/>
    <col width="26" customWidth="1" style="14" min="26" max="26"/>
    <col width="26" customWidth="1" style="14" min="27" max="27"/>
    <col width="26" customWidth="1" style="14" min="28" max="28"/>
  </cols>
  <sheetData>
    <row r="1" ht="42" customFormat="1" customHeight="1" s="14">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Format="1" customHeight="1" s="14">
      <c r="A2" s="11" t="b">
        <v>0</v>
      </c>
      <c r="B2" s="11" t="inlineStr">
        <is>
          <t>Truncation, unprinted denominators, or a distinct estimator could explain the small difference.</t>
        </is>
      </c>
      <c r="C2" s="11" t="b">
        <v>0</v>
      </c>
      <c r="D2" s="11" t="inlineStr">
        <is>
          <t>Numeric or arithmetic inconsistency</t>
        </is>
      </c>
      <c r="E2" s="11" t="b">
        <v>0</v>
      </c>
      <c r="F2" s="11" t="inlineStr">
        <is>
          <t>C001</t>
        </is>
      </c>
      <c r="G2" s="20" t="inlineStr">
        <is>
          <t>2019::jama.2019.10517::C001</t>
        </is>
      </c>
      <c r="H2" s="11" t="n"/>
      <c r="I2" s="11" t="inlineStr">
        <is>
          <t>jama_flint_2019_oi_190079.pdf — PDF p. 9, Table 5, total-cholesterol and LDL rows.</t>
        </is>
      </c>
      <c r="J2" s="11" t="b">
        <v>0</v>
      </c>
      <c r="K2" s="11" t="inlineStr">
        <is>
          <t>jama.2019.10517</t>
        </is>
      </c>
      <c r="L2" s="11" t="n"/>
      <c r="M2" s="11" t="inlineStr">
        <is>
          <t>S_W</t>
        </is>
      </c>
      <c r="N2" s="11" t="inlineStr">
        <is>
          <t>Within main Table 5, 9/64 versus 6/62 yields 4.4 percentage points by ordinary one-decimal rounding, while two rows show 4.3. No plan comparator is involved.</t>
        </is>
      </c>
      <c r="O2" s="20" t="inlineStr">
        <is>
          <t>../../2019/jama.2019.10517/.ai_paper_validation/final_report_1_5_1.html</t>
        </is>
      </c>
      <c r="P2" s="11" t="inlineStr">
        <is>
          <t>2019/jama.2019.10517/.ai_paper_validation/final_report_1_5_1.md</t>
        </is>
      </c>
      <c r="Q2" s="11" t="inlineStr">
        <is>
          <t>C001</t>
        </is>
      </c>
      <c r="R2" s="11" t="inlineStr">
        <is>
          <t>Pending Human Adjudication</t>
        </is>
      </c>
      <c r="S2" s="11" t="inlineStr">
        <is>
          <t>Table 5 prints an absolute unadjusted difference of 4.3% for two rows whose displayed counts and percentages yield approximately 4.4 percentage points under the ordinary raw-proportion calculation and nearest one-decimal rounding. Pending Human Adjudication.</t>
        </is>
      </c>
      <c r="T2" s="11" t="b">
        <v>1</v>
      </c>
      <c r="U2" s="11" t="inlineStr">
        <is>
          <t>effect_arithmetic</t>
        </is>
      </c>
      <c r="V2" s="11" t="inlineStr">
        <is>
          <t>statistical_results</t>
        </is>
      </c>
      <c r="W2" s="11" t="inlineStr">
        <is>
          <t>Table 5 absolute difference does not reproduce from the displayed counts</t>
        </is>
      </c>
      <c r="X2" s="11" t="inlineStr">
        <is>
          <t>2019</t>
        </is>
      </c>
      <c r="Y2" s="11" t="inlineStr">
        <is>
          <t>meta_report/consistency_reclassification_2026-09-04/reclassified_candidates.json</t>
        </is>
      </c>
      <c r="Z2" s="11" t="inlineStr">
        <is>
          <t>S_W</t>
        </is>
      </c>
      <c r="AA2" s="11" t="inlineStr">
        <is>
          <t>statistical_results</t>
        </is>
      </c>
      <c r="AB2" s="11" t="inlineStr">
        <is>
          <t>retain</t>
        </is>
      </c>
    </row>
    <row r="3" ht="90" customFormat="1" customHeight="1" s="14"/>
    <row r="4" ht="90" customFormat="1" customHeight="1" s="14"/>
    <row r="5" ht="90" customFormat="1" customHeight="1" s="14"/>
    <row r="6" ht="90" customFormat="1" customHeight="1" s="14"/>
    <row r="7" ht="90" customFormat="1" customHeight="1" s="14"/>
    <row r="8" ht="90" customFormat="1" customHeight="1" s="14"/>
    <row r="9" ht="90" customFormat="1" customHeight="1" s="14"/>
    <row r="10" ht="90" customFormat="1" customHeight="1" s="14"/>
    <row r="11" ht="90" customFormat="1" customHeight="1" s="14"/>
    <row r="12" ht="90" customFormat="1" customHeight="1" s="14"/>
    <row r="13" ht="90" customFormat="1" customHeight="1" s="14"/>
    <row r="14" ht="90" customFormat="1" customHeight="1" s="14"/>
    <row r="15" ht="90" customFormat="1" customHeight="1" s="14"/>
    <row r="16" ht="90" customFormat="1" customHeight="1" s="14"/>
    <row r="17" ht="90" customFormat="1" customHeight="1" s="14"/>
    <row r="18" ht="90" customFormat="1" customHeight="1" s="14"/>
    <row r="19" ht="90" customFormat="1" customHeight="1" s="14"/>
    <row r="20" ht="90" customFormat="1" customHeight="1" s="14"/>
    <row r="21" ht="90" customFormat="1" customHeight="1" s="14"/>
    <row r="22" ht="90" customFormat="1" customHeight="1" s="14"/>
    <row r="23" ht="90" customFormat="1" customHeight="1" s="14"/>
    <row r="24" ht="90" customFormat="1" customHeight="1" s="14"/>
    <row r="25" ht="90" customFormat="1" customHeight="1" s="14"/>
    <row r="26" ht="90" customFormat="1" customHeight="1" s="14"/>
    <row r="27" ht="90" customFormat="1" customHeight="1" s="14"/>
    <row r="28" ht="90" customFormat="1" customHeight="1" s="14"/>
    <row r="29" ht="90" customFormat="1" customHeight="1" s="14"/>
    <row r="30" ht="90" customFormat="1" customHeight="1" s="14"/>
    <row r="31" ht="90" customFormat="1" customHeight="1" s="14"/>
    <row r="32" ht="90" customFormat="1" customHeight="1" s="14"/>
    <row r="33" ht="90" customFormat="1" customHeight="1" s="14"/>
    <row r="34" ht="90" customFormat="1" customHeight="1" s="14"/>
    <row r="35" ht="90" customFormat="1" customHeight="1" s="14"/>
    <row r="36" ht="90" customFormat="1" customHeight="1" s="14"/>
    <row r="37" ht="90" customFormat="1" customHeight="1" s="14"/>
    <row r="38" ht="90" customFormat="1" customHeight="1" s="14"/>
    <row r="39" ht="90" customFormat="1" customHeight="1" s="14"/>
    <row r="40" ht="90" customFormat="1" customHeight="1" s="14"/>
    <row r="41" ht="90" customFormat="1" customHeight="1" s="14"/>
    <row r="42" ht="90" customFormat="1" customHeight="1" s="14"/>
    <row r="43" ht="90" customFormat="1" customHeight="1" s="14"/>
    <row r="44" ht="90" customFormat="1" customHeight="1" s="14"/>
    <row r="45" ht="90" customFormat="1" customHeight="1" s="14"/>
    <row r="46" ht="90" customFormat="1" customHeight="1" s="14"/>
    <row r="47" ht="90" customFormat="1" customHeight="1" s="14"/>
    <row r="48" ht="90" customFormat="1" customHeight="1" s="14"/>
    <row r="49" ht="90" customFormat="1" customHeight="1" s="14"/>
    <row r="50" ht="90" customFormat="1" customHeight="1" s="14"/>
    <row r="51" ht="90" customFormat="1" customHeight="1" s="14"/>
    <row r="52" ht="90" customFormat="1" customHeight="1" s="14"/>
    <row r="53" ht="90" customFormat="1" customHeight="1" s="14"/>
    <row r="54" ht="90" customFormat="1" customHeight="1" s="14"/>
    <row r="55" ht="90" customFormat="1" customHeight="1" s="14"/>
    <row r="56" ht="90" customFormat="1" customHeight="1" s="14"/>
    <row r="57" ht="90" customFormat="1" customHeight="1" s="14"/>
    <row r="58" ht="90" customFormat="1" customHeight="1" s="14"/>
    <row r="59" ht="90" customFormat="1" customHeight="1" s="14"/>
    <row r="60" ht="90" customFormat="1" customHeight="1" s="14"/>
    <row r="61" ht="90" customFormat="1" customHeight="1" s="14"/>
    <row r="62" ht="90" customFormat="1" customHeight="1" s="14"/>
    <row r="63" ht="90" customFormat="1" customHeight="1" s="14"/>
    <row r="64" ht="90" customFormat="1" customHeight="1" s="14"/>
    <row r="65" ht="90" customFormat="1" customHeight="1" s="14"/>
    <row r="66" ht="90" customFormat="1" customHeight="1" s="14"/>
    <row r="67" ht="90" customFormat="1" customHeight="1" s="14"/>
    <row r="68" ht="90" customFormat="1" customHeight="1" s="14"/>
    <row r="69" ht="90" customFormat="1" customHeight="1" s="14"/>
    <row r="70" ht="90" customFormat="1" customHeight="1" s="14"/>
    <row r="71" ht="90" customFormat="1" customHeight="1" s="14"/>
    <row r="72" ht="90" customFormat="1" customHeight="1" s="14"/>
  </sheetData>
  <autoFilter ref="A1:AB63"/>
  <hyperlinks>
    <hyperlink ref="G2" location="'Evidence'!A2"/>
    <hyperlink xmlns:r="http://schemas.openxmlformats.org/officeDocument/2006/relationships" ref="O2" r:id="rId1"/>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5"/>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115" customWidth="1" style="14" min="4" max="4"/>
  </cols>
  <sheetData>
    <row r="1" ht="42" customFormat="1" customHeight="1" s="14">
      <c r="A1" s="5" t="inlineStr">
        <is>
          <t>key</t>
        </is>
      </c>
      <c r="B1" s="5" t="inlineStr">
        <is>
          <t>order</t>
        </is>
      </c>
      <c r="C1" s="5" t="inlineStr">
        <is>
          <t>section</t>
        </is>
      </c>
      <c r="D1" s="5" t="inlineStr">
        <is>
          <t>text</t>
        </is>
      </c>
    </row>
    <row r="2" ht="180" customFormat="1" customHeight="1" s="14">
      <c r="A2" s="12" t="inlineStr">
        <is>
          <t>2019::jama.2019.10517::C001</t>
        </is>
      </c>
      <c r="B2" s="12" t="n">
        <v>0</v>
      </c>
      <c r="C2" s="12" t="inlineStr">
        <is>
          <t>Source evidence</t>
        </is>
      </c>
      <c r="D2" s="12" t="inlineStr">
        <is>
          <t>Each cited row prints 9/64 (14.1%) for sertraline plus olanzapine and 6/62 (9.7%) for sertraline plus placebo. Each prints 4.3 (-8 to 17.2) in the “Absolute Unadjusted Difference Between Groups, % (95% CI)” column.</t>
        </is>
      </c>
    </row>
    <row r="3" ht="180" customFormat="1" customHeight="1" s="14">
      <c r="A3" s="11" t="inlineStr">
        <is>
          <t>2019::jama.2019.10517::C001</t>
        </is>
      </c>
      <c r="B3" s="11" t="n">
        <v>1</v>
      </c>
      <c r="C3" s="11" t="inlineStr">
        <is>
          <t>Reported-versus-comparator</t>
        </is>
      </c>
      <c r="D3" s="11" t="inlineStr">
        <is>
          <t>Reported point value: 4.3%. Comparator: the first displayed raw proportion minus the second, (9/64 − 6/62) × 100, and independently 14.1 − 9.7 percentage points.</t>
        </is>
      </c>
    </row>
    <row r="4" ht="180" customFormat="1" customHeight="1" s="14">
      <c r="A4" s="12" t="inlineStr">
        <is>
          <t>2019::jama.2019.10517::C001</t>
        </is>
      </c>
      <c r="B4" s="12" t="n">
        <v>2</v>
      </c>
      <c r="C4" s="12" t="inlineStr">
        <is>
          <t>Calculation</t>
        </is>
      </c>
      <c r="D4" s="1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5" ht="180" customFormat="1" customHeight="1" s="14">
      <c r="A5" s="11" t="inlineStr">
        <is>
          <t>2019::jama.2019.10517::C001</t>
        </is>
      </c>
      <c r="B5" s="11" t="n">
        <v>3</v>
      </c>
      <c r="C5" s="11" t="inlineStr">
        <is>
          <t>Alternative source-grounded interpretations</t>
        </is>
      </c>
      <c r="D5" s="11"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6" ht="180" customFormat="1" customHeight="1" s="14"/>
    <row r="7" ht="180" customFormat="1" customHeight="1" s="14"/>
    <row r="8" ht="180" customFormat="1" customHeight="1" s="14"/>
    <row r="9" ht="180" customFormat="1" customHeight="1" s="14"/>
    <row r="10" ht="180" customFormat="1" customHeight="1" s="14"/>
    <row r="11" ht="180" customFormat="1" customHeight="1" s="14"/>
    <row r="12" ht="180" customFormat="1" customHeight="1" s="14"/>
    <row r="13" ht="180" customFormat="1" customHeight="1" s="14"/>
    <row r="14" ht="180" customFormat="1" customHeight="1" s="14"/>
    <row r="15" ht="180" customFormat="1" customHeight="1" s="14"/>
    <row r="16" ht="180" customFormat="1" customHeight="1" s="14"/>
    <row r="17" ht="180" customFormat="1" customHeight="1" s="14"/>
    <row r="18" ht="180" customFormat="1" customHeight="1" s="14"/>
    <row r="19" ht="180" customFormat="1" customHeight="1" s="14"/>
    <row r="20" ht="180" customFormat="1" customHeight="1" s="14"/>
    <row r="21" ht="180" customFormat="1" customHeight="1" s="14"/>
    <row r="22" ht="180" customFormat="1" customHeight="1" s="14"/>
    <row r="23" ht="180" customFormat="1" customHeight="1" s="14"/>
    <row r="24" ht="180" customFormat="1" customHeight="1" s="14"/>
    <row r="25" ht="180" customFormat="1" customHeight="1" s="14"/>
    <row r="26" ht="180" customFormat="1" customHeight="1" s="14"/>
    <row r="27" ht="180" customFormat="1" customHeight="1" s="14"/>
    <row r="28" ht="180" customFormat="1" customHeight="1" s="14"/>
    <row r="29" ht="180" customFormat="1" customHeight="1" s="14"/>
    <row r="30" ht="180" customFormat="1" customHeight="1" s="14"/>
    <row r="31" ht="180" customFormat="1" customHeight="1" s="14"/>
    <row r="32" ht="180" customFormat="1" customHeight="1" s="14"/>
    <row r="33" ht="180" customFormat="1" customHeight="1" s="14"/>
    <row r="34" ht="180" customFormat="1" customHeight="1" s="14"/>
    <row r="35" ht="180" customFormat="1" customHeight="1" s="14"/>
    <row r="36" ht="180" customFormat="1" customHeight="1" s="14"/>
    <row r="37" ht="180" customFormat="1" customHeight="1" s="14"/>
    <row r="38" ht="180" customFormat="1" customHeight="1" s="14"/>
    <row r="39" ht="180" customFormat="1" customHeight="1" s="14"/>
    <row r="40" ht="180" customFormat="1" customHeight="1" s="14"/>
    <row r="41" ht="180" customFormat="1" customHeight="1" s="14"/>
    <row r="42" ht="180" customFormat="1" customHeight="1" s="14"/>
    <row r="43" ht="180" customFormat="1" customHeight="1" s="14"/>
    <row r="44" ht="180" customFormat="1" customHeight="1" s="14"/>
    <row r="45" ht="180" customFormat="1" customHeight="1" s="14"/>
    <row r="46" ht="180" customFormat="1" customHeight="1" s="14"/>
    <row r="47" ht="180" customFormat="1" customHeight="1" s="14"/>
    <row r="48" ht="180" customFormat="1" customHeight="1" s="14"/>
    <row r="49" ht="180" customFormat="1" customHeight="1" s="14"/>
    <row r="50" ht="180" customFormat="1" customHeight="1" s="14"/>
    <row r="51" ht="180" customFormat="1" customHeight="1" s="14"/>
    <row r="52" ht="180" customFormat="1" customHeight="1" s="14"/>
    <row r="53" ht="180" customFormat="1" customHeight="1" s="14"/>
    <row r="54" ht="180" customFormat="1" customHeight="1" s="14"/>
    <row r="55" ht="180" customFormat="1" customHeight="1" s="14"/>
    <row r="56" ht="180" customFormat="1" customHeight="1" s="14"/>
    <row r="57" ht="180" customFormat="1" customHeight="1" s="14"/>
    <row r="58" ht="180" customFormat="1" customHeight="1" s="14"/>
    <row r="59" ht="180" customFormat="1" customHeight="1" s="14"/>
    <row r="60" ht="180" customFormat="1" customHeight="1" s="14"/>
    <row r="61" ht="180" customFormat="1" customHeight="1" s="14"/>
    <row r="62" ht="180" customFormat="1" customHeight="1" s="14"/>
    <row r="63" ht="180" customFormat="1" customHeight="1" s="14"/>
    <row r="64" ht="180" customFormat="1" customHeight="1" s="14"/>
    <row r="65" ht="180" customFormat="1" customHeight="1" s="14"/>
    <row r="66" ht="180" customFormat="1" customHeight="1" s="14"/>
    <row r="67" ht="180" customFormat="1" customHeight="1" s="14"/>
    <row r="68" ht="180" customFormat="1" customHeight="1" s="14"/>
    <row r="69" ht="180" customFormat="1" customHeight="1" s="14"/>
    <row r="70" ht="180" customFormat="1" customHeight="1" s="14"/>
    <row r="71" ht="180" customFormat="1" customHeight="1" s="14"/>
    <row r="72" ht="180" customFormat="1" customHeight="1" s="14"/>
    <row r="73" ht="180" customFormat="1" customHeight="1" s="14"/>
    <row r="74" ht="180" customFormat="1" customHeight="1" s="14"/>
    <row r="75" ht="180" customFormat="1" customHeight="1" s="14"/>
    <row r="76" ht="180" customFormat="1" customHeight="1" s="14"/>
    <row r="77" ht="180" customFormat="1" customHeight="1" s="14"/>
    <row r="78" ht="180" customFormat="1" customHeight="1" s="14"/>
    <row r="79" ht="180" customFormat="1" customHeight="1" s="14"/>
    <row r="80" ht="180" customFormat="1" customHeight="1" s="14"/>
    <row r="81" ht="180" customFormat="1" customHeight="1" s="14"/>
    <row r="82" ht="180" customFormat="1" customHeight="1" s="14"/>
    <row r="83" ht="180" customFormat="1" customHeight="1" s="14"/>
    <row r="84" ht="180" customFormat="1" customHeight="1" s="14"/>
    <row r="85" ht="180" customFormat="1" customHeight="1" s="14"/>
    <row r="86" ht="180" customFormat="1" customHeight="1" s="14"/>
    <row r="87" ht="180" customFormat="1" customHeight="1" s="14"/>
    <row r="88" ht="180" customFormat="1" customHeight="1" s="14"/>
    <row r="89" ht="180" customFormat="1" customHeight="1" s="14"/>
    <row r="90" ht="180" customFormat="1" customHeight="1" s="14"/>
    <row r="91" ht="180" customFormat="1" customHeight="1" s="14"/>
    <row r="92" ht="180" customFormat="1" customHeight="1" s="14"/>
    <row r="93" ht="180" customFormat="1" customHeight="1" s="14"/>
    <row r="94" ht="180" customFormat="1" customHeight="1" s="14"/>
    <row r="95" ht="180" customFormat="1" customHeight="1" s="14"/>
    <row r="96" ht="180" customFormat="1" customHeight="1" s="14"/>
    <row r="97" ht="180" customFormat="1" customHeight="1" s="14"/>
    <row r="98" ht="180" customFormat="1" customHeight="1" s="14"/>
    <row r="99" ht="180" customFormat="1" customHeight="1" s="14"/>
    <row r="100" ht="180" customFormat="1" customHeight="1" s="14"/>
    <row r="101" ht="180" customFormat="1" customHeight="1" s="14"/>
    <row r="102" ht="180" customFormat="1" customHeight="1" s="14"/>
    <row r="103" ht="180" customFormat="1" customHeight="1" s="14"/>
    <row r="104" ht="180" customFormat="1" customHeight="1" s="14"/>
    <row r="105" ht="180" customFormat="1" customHeight="1" s="14"/>
    <row r="106" ht="180" customFormat="1" customHeight="1" s="14"/>
    <row r="107" ht="180" customFormat="1" customHeight="1" s="14"/>
    <row r="108" ht="180" customFormat="1" customHeight="1" s="14"/>
    <row r="109" ht="180" customFormat="1" customHeight="1" s="14"/>
    <row r="110" ht="180" customFormat="1" customHeight="1" s="14"/>
    <row r="111" ht="180" customFormat="1" customHeight="1" s="14"/>
    <row r="112" ht="180" customFormat="1" customHeight="1" s="14"/>
    <row r="113" ht="180" customFormat="1" customHeight="1" s="14"/>
    <row r="114" ht="180" customFormat="1" customHeight="1" s="14"/>
    <row r="115" ht="180" customFormat="1" customHeight="1" s="14"/>
    <row r="116" ht="180" customFormat="1" customHeight="1" s="14"/>
    <row r="117" ht="180" customFormat="1" customHeight="1" s="14"/>
    <row r="118" ht="180" customFormat="1" customHeight="1" s="14"/>
    <row r="119" ht="180" customFormat="1" customHeight="1" s="14"/>
    <row r="120" ht="180" customFormat="1" customHeight="1" s="14"/>
    <row r="121" ht="180" customFormat="1" customHeight="1" s="14"/>
    <row r="122" ht="180" customFormat="1" customHeight="1" s="14"/>
    <row r="123" ht="180" customFormat="1" customHeight="1" s="14"/>
    <row r="124" ht="180" customFormat="1" customHeight="1" s="14"/>
    <row r="125" ht="180" customFormat="1" customHeight="1" s="14"/>
    <row r="126" ht="180" customFormat="1" customHeight="1" s="14"/>
    <row r="127" ht="180" customFormat="1" customHeight="1" s="14"/>
    <row r="128" ht="180" customFormat="1" customHeight="1" s="14"/>
    <row r="129" ht="180" customFormat="1" customHeight="1" s="14"/>
    <row r="130" ht="180" customFormat="1" customHeight="1" s="14"/>
    <row r="131" ht="180" customFormat="1" customHeight="1" s="14"/>
    <row r="132" ht="180" customFormat="1" customHeight="1" s="14"/>
    <row r="133" ht="180" customFormat="1" customHeight="1" s="14"/>
    <row r="134" ht="180" customFormat="1" customHeight="1" s="14"/>
    <row r="135" ht="180" customFormat="1" customHeight="1" s="14"/>
    <row r="136" ht="180" customFormat="1" customHeight="1" s="14"/>
    <row r="137" ht="180" customFormat="1" customHeight="1" s="14"/>
    <row r="138" ht="180" customFormat="1" customHeight="1" s="14"/>
    <row r="139" ht="180" customFormat="1" customHeight="1" s="14"/>
    <row r="140" ht="180" customFormat="1" customHeight="1" s="14"/>
    <row r="141" ht="180" customFormat="1" customHeight="1" s="14"/>
    <row r="142" ht="180" customFormat="1" customHeight="1" s="14"/>
    <row r="143" ht="180" customFormat="1" customHeight="1" s="14"/>
    <row r="144" ht="180" customFormat="1" customHeight="1" s="14"/>
    <row r="145" ht="180" customFormat="1" customHeight="1" s="14"/>
    <row r="146" ht="180" customFormat="1" customHeight="1" s="14"/>
    <row r="147" ht="180" customFormat="1" customHeight="1" s="14"/>
    <row r="148" ht="180" customFormat="1" customHeight="1" s="14"/>
    <row r="149" ht="180" customFormat="1" customHeight="1" s="14"/>
    <row r="150" ht="180" customFormat="1" customHeight="1" s="14"/>
    <row r="151" ht="180" customFormat="1" customHeight="1" s="14"/>
    <row r="152" ht="180" customFormat="1" customHeight="1" s="14"/>
    <row r="153" ht="180" customFormat="1" customHeight="1" s="14"/>
    <row r="154" ht="180" customFormat="1" customHeight="1" s="14"/>
    <row r="155" ht="180" customFormat="1" customHeight="1" s="14"/>
    <row r="156" ht="180" customFormat="1" customHeight="1" s="14"/>
    <row r="157" ht="180" customFormat="1" customHeight="1" s="14"/>
    <row r="158" ht="180" customFormat="1" customHeight="1" s="14"/>
    <row r="159" ht="180" customFormat="1" customHeight="1" s="14"/>
    <row r="160" ht="180" customFormat="1" customHeight="1" s="14"/>
    <row r="161" ht="180" customFormat="1" customHeight="1" s="14"/>
    <row r="162" ht="180" customFormat="1" customHeight="1" s="14"/>
    <row r="163" ht="180" customFormat="1" customHeight="1" s="14"/>
    <row r="164" ht="180" customFormat="1" customHeight="1" s="14"/>
    <row r="165" ht="180" customFormat="1" customHeight="1" s="14"/>
    <row r="166" ht="180" customFormat="1" customHeight="1" s="14"/>
    <row r="167" ht="180" customFormat="1" customHeight="1" s="14"/>
    <row r="168" ht="180" customFormat="1" customHeight="1" s="14"/>
    <row r="169" ht="180" customFormat="1" customHeight="1" s="14"/>
    <row r="170" ht="180" customFormat="1" customHeight="1" s="14"/>
    <row r="171" ht="180" customFormat="1" customHeight="1" s="14"/>
    <row r="172" ht="180" customFormat="1" customHeight="1" s="14"/>
    <row r="173" ht="180" customFormat="1" customHeight="1" s="14"/>
    <row r="174" ht="180" customFormat="1" customHeight="1" s="14"/>
    <row r="175" ht="180" customFormat="1" customHeight="1" s="14"/>
    <row r="176" ht="180" customFormat="1" customHeight="1" s="14"/>
    <row r="177" ht="180" customFormat="1" customHeight="1" s="14"/>
    <row r="178" ht="180" customFormat="1" customHeight="1" s="14"/>
    <row r="179" ht="180" customFormat="1" customHeight="1" s="14"/>
    <row r="180" ht="180" customFormat="1" customHeight="1" s="14"/>
    <row r="181" ht="180" customFormat="1" customHeight="1" s="14"/>
    <row r="182" ht="180" customFormat="1" customHeight="1" s="14"/>
    <row r="183" ht="180" customFormat="1" customHeight="1" s="14"/>
    <row r="184" ht="180" customFormat="1" customHeight="1" s="14"/>
    <row r="185" ht="180" customFormat="1" customHeight="1" s="14"/>
    <row r="186" ht="180" customFormat="1" customHeight="1" s="14"/>
    <row r="187" ht="180" customFormat="1" customHeight="1" s="14"/>
    <row r="188" ht="180" customFormat="1" customHeight="1" s="14"/>
    <row r="189" ht="180" customFormat="1" customHeight="1" s="14"/>
    <row r="190" ht="180" customFormat="1" customHeight="1" s="14"/>
    <row r="191" ht="180" customFormat="1" customHeight="1" s="14"/>
    <row r="192" ht="180" customFormat="1" customHeight="1" s="14"/>
    <row r="193" ht="180" customFormat="1" customHeight="1" s="14"/>
    <row r="194" ht="180" customFormat="1" customHeight="1" s="14"/>
    <row r="195" ht="180" customFormat="1" customHeight="1" s="14"/>
    <row r="196" ht="180" customFormat="1" customHeight="1" s="14"/>
    <row r="197" ht="180" customFormat="1" customHeight="1" s="14"/>
    <row r="198" ht="180" customFormat="1" customHeight="1" s="14"/>
    <row r="199" ht="180" customFormat="1" customHeight="1" s="14"/>
    <row r="200" ht="180" customFormat="1" customHeight="1" s="14"/>
    <row r="201" ht="180" customFormat="1" customHeight="1" s="14"/>
    <row r="202" ht="180" customFormat="1" customHeight="1" s="14"/>
    <row r="203" ht="180" customFormat="1" customHeight="1" s="14"/>
    <row r="204" ht="180" customFormat="1" customHeight="1" s="14"/>
    <row r="205" ht="180" customFormat="1" customHeight="1" s="14"/>
    <row r="206" ht="180" customFormat="1" customHeight="1" s="14"/>
    <row r="207" ht="180" customFormat="1" customHeight="1" s="14"/>
    <row r="208" ht="180" customFormat="1" customHeight="1" s="14"/>
    <row r="209" ht="180" customFormat="1" customHeight="1" s="14"/>
    <row r="210" ht="180" customFormat="1" customHeight="1" s="14"/>
    <row r="211" ht="180" customFormat="1" customHeight="1" s="14"/>
    <row r="212" ht="180" customFormat="1" customHeight="1" s="14"/>
    <row r="213" ht="180" customFormat="1" customHeight="1" s="14"/>
    <row r="214" ht="180" customFormat="1" customHeight="1" s="14"/>
    <row r="215" ht="180" customFormat="1" customHeight="1" s="14"/>
    <row r="216" ht="180" customFormat="1" customHeight="1" s="14"/>
    <row r="217" ht="180" customFormat="1" customHeight="1" s="14"/>
    <row r="218" ht="180" customFormat="1" customHeight="1" s="14"/>
    <row r="219" ht="180" customFormat="1" customHeight="1" s="14"/>
    <row r="220" ht="180" customFormat="1" customHeight="1" s="14"/>
    <row r="221" ht="180" customFormat="1" customHeight="1" s="14"/>
    <row r="222" ht="180" customFormat="1" customHeight="1" s="14"/>
    <row r="223" ht="180" customFormat="1" customHeight="1" s="14"/>
    <row r="224" ht="180" customFormat="1" customHeight="1" s="14"/>
    <row r="225" ht="180" customFormat="1" customHeight="1" s="14"/>
    <row r="226" ht="180" customFormat="1" customHeight="1" s="14"/>
    <row r="227" ht="180" customFormat="1" customHeight="1" s="14"/>
    <row r="228" ht="180" customFormat="1" customHeight="1" s="14"/>
    <row r="229" ht="180" customFormat="1" customHeight="1" s="14"/>
    <row r="230" ht="180" customFormat="1" customHeight="1" s="14"/>
    <row r="231" ht="180" customFormat="1" customHeight="1" s="14"/>
    <row r="232" ht="180" customFormat="1" customHeight="1" s="14"/>
    <row r="233" ht="180" customFormat="1" customHeight="1" s="14"/>
    <row r="234" ht="180" customFormat="1" customHeight="1" s="14"/>
    <row r="235" ht="180" customFormat="1" customHeight="1" s="14"/>
    <row r="236" ht="180" customFormat="1" customHeight="1" s="14"/>
    <row r="237" ht="180" customFormat="1" customHeight="1" s="14"/>
    <row r="238" ht="180" customFormat="1" customHeight="1" s="14"/>
    <row r="239" ht="180" customFormat="1" customHeight="1" s="14"/>
    <row r="240" ht="180" customFormat="1" customHeight="1" s="14"/>
    <row r="241" ht="180" customFormat="1" customHeight="1" s="14"/>
    <row r="242" ht="180" customFormat="1" customHeight="1" s="14"/>
    <row r="243" ht="180" customFormat="1" customHeight="1" s="14"/>
    <row r="244" ht="180" customFormat="1" customHeight="1" s="14"/>
    <row r="245" ht="180" customFormat="1" customHeight="1" s="14"/>
    <row r="246" ht="180" customFormat="1" customHeight="1" s="14"/>
    <row r="247" ht="180" customFormat="1" customHeight="1" s="14"/>
    <row r="248" ht="180" customFormat="1" customHeight="1" s="14"/>
    <row r="249" ht="180" customFormat="1" customHeight="1" s="14"/>
    <row r="250" ht="180" customFormat="1" customHeight="1" s="14"/>
    <row r="251" ht="180" customFormat="1" customHeight="1" s="14"/>
    <row r="252" ht="180" customFormat="1" customHeight="1" s="14"/>
    <row r="253" ht="180" customFormat="1" customHeight="1" s="14"/>
    <row r="254" ht="180" customFormat="1" customHeight="1" s="14"/>
    <row r="255" ht="180" customFormat="1" customHeight="1" s="14"/>
    <row r="256" ht="180" customFormat="1" customHeight="1" s="14"/>
    <row r="257" ht="180" customFormat="1" customHeight="1" s="14"/>
    <row r="258" ht="180" customFormat="1" customHeight="1" s="14"/>
    <row r="259" ht="180" customFormat="1" customHeight="1" s="14"/>
    <row r="260" ht="180" customFormat="1" customHeight="1" s="14"/>
    <row r="261" ht="180" customFormat="1" customHeight="1" s="14"/>
  </sheetData>
  <autoFilter ref="A1:D225"/>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3"/>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 width="90" customWidth="1" style="14" min="5" max="5"/>
  </cols>
  <sheetData>
    <row r="1" ht="42" customFormat="1" customHeight="1" s="14">
      <c r="A1" s="5" t="inlineStr">
        <is>
          <t>key</t>
        </is>
      </c>
      <c r="B1" s="5" t="inlineStr">
        <is>
          <t>kind</t>
        </is>
      </c>
      <c r="C1" s="5" t="inlineStr">
        <is>
          <t>order</t>
        </is>
      </c>
      <c r="D1" s="5" t="inlineStr">
        <is>
          <t>label</t>
        </is>
      </c>
      <c r="E1" s="5" t="inlineStr">
        <is>
          <t>href</t>
        </is>
      </c>
    </row>
    <row r="2" ht="90" customFormat="1" customHeight="1" s="14">
      <c r="A2" s="11" t="inlineStr">
        <is>
          <t>2019::jama.2019.10517::C001</t>
        </is>
      </c>
      <c r="B2" s="11" t="inlineStr">
        <is>
          <t>sourceLinks</t>
        </is>
      </c>
      <c r="C2" s="11" t="n">
        <v>0</v>
      </c>
      <c r="D2" s="11" t="inlineStr">
        <is>
          <t>jama_flint_2019_oi_190079.pdf — PDF p. 9</t>
        </is>
      </c>
      <c r="E2" s="20" t="inlineStr">
        <is>
          <t>../../2019/jama.2019.10517/jama_flint_2019_oi_190079.pdf#page=9</t>
        </is>
      </c>
    </row>
    <row r="3" ht="90" customFormat="1" customHeight="1" s="14">
      <c r="A3" s="12" t="inlineStr">
        <is>
          <t>2019::jama.2019.10517::C001</t>
        </is>
      </c>
      <c r="B3" s="12" t="inlineStr">
        <is>
          <t>evidencePaths</t>
        </is>
      </c>
      <c r="C3" s="12" t="n">
        <v>0</v>
      </c>
      <c r="D3" s="12" t="inlineStr">
        <is>
          <t>2019/jama.2019.10517/.ai_paper_validation/review_1_5_1/source_inventory.md</t>
        </is>
      </c>
      <c r="E3" s="21" t="inlineStr">
        <is>
          <t>../../2019/jama.2019.10517/.ai_paper_validation/review_1_5_1/source_inventory.md</t>
        </is>
      </c>
    </row>
    <row r="4" ht="90" customFormat="1" customHeight="1" s="14"/>
    <row r="5" ht="90" customFormat="1" customHeight="1" s="14"/>
    <row r="6" ht="90" customFormat="1" customHeight="1" s="14"/>
    <row r="7" ht="90" customFormat="1" customHeight="1" s="14"/>
    <row r="8" ht="90" customFormat="1" customHeight="1" s="14"/>
    <row r="9" ht="90" customFormat="1" customHeight="1" s="14"/>
    <row r="10" ht="90" customFormat="1" customHeight="1" s="14"/>
    <row r="11" ht="90" customFormat="1" customHeight="1" s="14"/>
    <row r="12" ht="90" customFormat="1" customHeight="1" s="14"/>
    <row r="13" ht="90" customFormat="1" customHeight="1" s="14"/>
    <row r="14" ht="90" customFormat="1" customHeight="1" s="14"/>
    <row r="15" ht="90" customFormat="1" customHeight="1" s="14"/>
    <row r="16" ht="90" customFormat="1" customHeight="1" s="14"/>
    <row r="17" ht="90" customFormat="1" customHeight="1" s="14"/>
    <row r="18" ht="90" customFormat="1" customHeight="1" s="14"/>
    <row r="19" ht="90" customFormat="1" customHeight="1" s="14"/>
    <row r="20" ht="90" customFormat="1" customHeight="1" s="14"/>
    <row r="21" ht="90" customFormat="1" customHeight="1" s="14"/>
    <row r="22" ht="90" customFormat="1" customHeight="1" s="14"/>
    <row r="23" ht="90" customFormat="1" customHeight="1" s="14"/>
    <row r="24" ht="90" customFormat="1" customHeight="1" s="14"/>
    <row r="25" ht="90" customFormat="1" customHeight="1" s="14"/>
    <row r="26" ht="90" customFormat="1" customHeight="1" s="14"/>
    <row r="27" ht="90" customFormat="1" customHeight="1" s="14"/>
    <row r="28" ht="90" customFormat="1" customHeight="1" s="14"/>
    <row r="29" ht="90" customFormat="1" customHeight="1" s="14"/>
    <row r="30" ht="90" customFormat="1" customHeight="1" s="14"/>
    <row r="31" ht="90" customFormat="1" customHeight="1" s="14"/>
    <row r="32" ht="90" customFormat="1" customHeight="1" s="14"/>
    <row r="33" ht="90" customFormat="1" customHeight="1" s="14"/>
    <row r="34" ht="90" customFormat="1" customHeight="1" s="14"/>
    <row r="35" ht="90" customFormat="1" customHeight="1" s="14"/>
    <row r="36" ht="90" customFormat="1" customHeight="1" s="14"/>
    <row r="37" ht="90" customFormat="1" customHeight="1" s="14"/>
    <row r="38" ht="90" customFormat="1" customHeight="1" s="14"/>
    <row r="39" ht="90" customFormat="1" customHeight="1" s="14"/>
    <row r="40" ht="90" customFormat="1" customHeight="1" s="14"/>
    <row r="41" ht="90" customFormat="1" customHeight="1" s="14"/>
    <row r="42" ht="90" customFormat="1" customHeight="1" s="14"/>
    <row r="43" ht="90" customFormat="1" customHeight="1" s="14"/>
    <row r="44" ht="90" customFormat="1" customHeight="1" s="14"/>
    <row r="45" ht="90" customFormat="1" customHeight="1" s="14"/>
    <row r="46" ht="90" customFormat="1" customHeight="1" s="14"/>
    <row r="47" ht="90" customFormat="1" customHeight="1" s="14"/>
    <row r="48" ht="90" customFormat="1" customHeight="1" s="14"/>
    <row r="49" ht="90" customFormat="1" customHeight="1" s="14"/>
    <row r="50" ht="90" customFormat="1" customHeight="1" s="14"/>
    <row r="51" ht="90" customFormat="1" customHeight="1" s="14"/>
    <row r="52" ht="90" customFormat="1" customHeight="1" s="14"/>
    <row r="53" ht="90" customFormat="1" customHeight="1" s="14"/>
    <row r="54" ht="90" customFormat="1" customHeight="1" s="14"/>
    <row r="55" ht="90" customFormat="1" customHeight="1" s="14"/>
    <row r="56" ht="90" customFormat="1" customHeight="1" s="14"/>
    <row r="57" ht="90" customFormat="1" customHeight="1" s="14"/>
    <row r="58" ht="90" customFormat="1" customHeight="1" s="14"/>
    <row r="59" ht="90" customFormat="1" customHeight="1" s="14"/>
    <row r="60" ht="90" customFormat="1" customHeight="1" s="14"/>
    <row r="61" ht="90" customFormat="1" customHeight="1" s="14"/>
    <row r="62" ht="90" customFormat="1" customHeight="1" s="14"/>
    <row r="63" ht="90" customFormat="1" customHeight="1" s="14"/>
    <row r="64" ht="90" customFormat="1" customHeight="1" s="14"/>
    <row r="65" ht="90" customFormat="1" customHeight="1" s="14"/>
    <row r="66" ht="90" customFormat="1" customHeight="1" s="14"/>
    <row r="67" ht="90" customFormat="1" customHeight="1" s="14"/>
    <row r="68" ht="90" customFormat="1" customHeight="1" s="14"/>
    <row r="69" ht="90" customFormat="1" customHeight="1" s="14"/>
    <row r="70" ht="90" customFormat="1" customHeight="1" s="14"/>
    <row r="71" ht="90" customFormat="1" customHeight="1" s="14"/>
    <row r="72" ht="90" customFormat="1" customHeight="1" s="14"/>
    <row r="73" ht="90" customFormat="1" customHeight="1" s="14"/>
    <row r="74" ht="90" customFormat="1" customHeight="1" s="14"/>
    <row r="75" ht="90" customFormat="1" customHeight="1" s="14"/>
    <row r="76" ht="90" customFormat="1" customHeight="1" s="14"/>
    <row r="77" ht="90" customFormat="1" customHeight="1" s="14"/>
    <row r="78" ht="90" customFormat="1" customHeight="1" s="14"/>
    <row r="79" ht="90" customFormat="1" customHeight="1" s="14"/>
    <row r="80" ht="90" customFormat="1" customHeight="1" s="14"/>
    <row r="81" ht="90" customFormat="1" customHeight="1" s="14"/>
    <row r="82" ht="90" customFormat="1" customHeight="1" s="14"/>
    <row r="83" ht="90" customFormat="1" customHeight="1" s="14"/>
    <row r="84" ht="90" customFormat="1" customHeight="1" s="14"/>
    <row r="85" ht="90" customFormat="1" customHeight="1" s="14"/>
    <row r="86" ht="90" customFormat="1" customHeight="1" s="14"/>
    <row r="87" ht="90" customFormat="1" customHeight="1" s="14"/>
    <row r="88" ht="90" customFormat="1" customHeight="1" s="14"/>
    <row r="89" ht="90" customFormat="1" customHeight="1" s="14"/>
    <row r="90" ht="90" customFormat="1" customHeight="1" s="14"/>
    <row r="91" ht="90" customFormat="1" customHeight="1" s="14"/>
    <row r="92" ht="90" customFormat="1" customHeight="1" s="14"/>
    <row r="93" ht="90" customFormat="1" customHeight="1" s="14"/>
    <row r="94" ht="90" customFormat="1" customHeight="1" s="14"/>
    <row r="95" ht="90" customFormat="1" customHeight="1" s="14"/>
    <row r="96" ht="90" customFormat="1" customHeight="1" s="14"/>
    <row r="97" ht="90" customFormat="1" customHeight="1" s="14"/>
    <row r="98" ht="90" customFormat="1" customHeight="1" s="14"/>
    <row r="99" ht="90" customFormat="1" customHeight="1" s="14"/>
    <row r="100" ht="90" customFormat="1" customHeight="1" s="14"/>
    <row r="101" ht="90" customFormat="1" customHeight="1" s="14"/>
    <row r="102" ht="90" customFormat="1" customHeight="1" s="14"/>
    <row r="103" ht="90" customFormat="1" customHeight="1" s="14"/>
    <row r="104" ht="90" customFormat="1" customHeight="1" s="14"/>
    <row r="105" ht="90" customFormat="1" customHeight="1" s="14"/>
    <row r="106" ht="90" customFormat="1" customHeight="1" s="14"/>
    <row r="107" ht="90" customFormat="1" customHeight="1" s="14"/>
    <row r="108" ht="90" customFormat="1" customHeight="1" s="14"/>
    <row r="109" ht="90" customFormat="1" customHeight="1" s="14"/>
    <row r="110" ht="90" customFormat="1" customHeight="1" s="14"/>
    <row r="111" ht="90" customFormat="1" customHeight="1" s="14"/>
    <row r="112" ht="90" customFormat="1" customHeight="1" s="14"/>
    <row r="113" ht="90" customFormat="1" customHeight="1" s="14"/>
    <row r="114" ht="90" customFormat="1" customHeight="1" s="14"/>
    <row r="115" ht="90" customFormat="1" customHeight="1" s="14"/>
    <row r="116" ht="90" customFormat="1" customHeight="1" s="14"/>
    <row r="117" ht="90" customFormat="1" customHeight="1" s="14"/>
    <row r="118" ht="90" customFormat="1" customHeight="1" s="14"/>
    <row r="119" ht="90" customFormat="1" customHeight="1" s="14"/>
    <row r="120" ht="90" customFormat="1" customHeight="1" s="14"/>
    <row r="121" ht="90" customFormat="1" customHeight="1" s="14"/>
    <row r="122" ht="90" customFormat="1" customHeight="1" s="14"/>
    <row r="123" ht="90" customFormat="1" customHeight="1" s="14"/>
    <row r="124" ht="90" customFormat="1" customHeight="1" s="14"/>
    <row r="125" ht="90" customFormat="1" customHeight="1" s="14"/>
    <row r="126" ht="90" customFormat="1" customHeight="1" s="14"/>
    <row r="127" ht="90" customFormat="1" customHeight="1" s="14"/>
    <row r="128" ht="90" customFormat="1" customHeight="1" s="14"/>
    <row r="129" ht="90" customFormat="1" customHeight="1" s="14"/>
    <row r="130" ht="90" customFormat="1" customHeight="1" s="14"/>
    <row r="131" ht="90" customFormat="1" customHeight="1" s="14"/>
    <row r="132" ht="90" customFormat="1" customHeight="1" s="14"/>
    <row r="133" ht="90" customFormat="1" customHeight="1" s="14"/>
    <row r="134" ht="90" customFormat="1" customHeight="1" s="14"/>
    <row r="135" ht="90" customFormat="1" customHeight="1" s="14"/>
    <row r="136" ht="90" customFormat="1" customHeight="1" s="14"/>
    <row r="137" ht="90" customFormat="1" customHeight="1" s="14"/>
    <row r="138" ht="90" customFormat="1" customHeight="1" s="14"/>
    <row r="139" ht="90" customFormat="1" customHeight="1" s="14"/>
    <row r="140" ht="90" customFormat="1" customHeight="1" s="14"/>
    <row r="141" ht="90" customFormat="1" customHeight="1" s="14"/>
    <row r="142" ht="90" customFormat="1" customHeight="1" s="14"/>
    <row r="143" ht="90" customFormat="1" customHeight="1" s="14"/>
    <row r="144" ht="90" customFormat="1" customHeight="1" s="14"/>
    <row r="145" ht="90" customFormat="1" customHeight="1" s="14"/>
    <row r="146" ht="90" customFormat="1" customHeight="1" s="14"/>
    <row r="147" ht="90" customFormat="1" customHeight="1" s="14"/>
    <row r="148" ht="90" customFormat="1" customHeight="1" s="14"/>
    <row r="149" ht="90" customFormat="1" customHeight="1" s="14"/>
    <row r="150" ht="90" customFormat="1" customHeight="1" s="14"/>
    <row r="151" ht="90" customFormat="1" customHeight="1" s="14"/>
    <row r="152" ht="90" customFormat="1" customHeight="1" s="14"/>
    <row r="153" ht="90" customFormat="1" customHeight="1" s="14"/>
    <row r="154" ht="90" customFormat="1" customHeight="1" s="14"/>
    <row r="155" ht="90" customFormat="1" customHeight="1" s="14"/>
    <row r="156" ht="90" customFormat="1" customHeight="1" s="14"/>
    <row r="157" ht="90" customFormat="1" customHeight="1" s="14"/>
    <row r="158" ht="90" customFormat="1" customHeight="1" s="14"/>
    <row r="159" ht="90" customFormat="1" customHeight="1" s="14"/>
    <row r="160" ht="90" customFormat="1" customHeight="1" s="14"/>
    <row r="161" ht="90" customFormat="1" customHeight="1" s="14"/>
    <row r="162" ht="90" customFormat="1" customHeight="1" s="14"/>
    <row r="163" ht="90" customFormat="1" customHeight="1" s="14"/>
    <row r="164" ht="90" customFormat="1" customHeight="1" s="14"/>
    <row r="165" ht="90" customFormat="1" customHeight="1" s="14"/>
    <row r="166" ht="90" customFormat="1" customHeight="1" s="14"/>
    <row r="167" ht="90" customFormat="1" customHeight="1" s="14"/>
    <row r="168" ht="90" customFormat="1" customHeight="1" s="14"/>
    <row r="169" ht="90" customFormat="1" customHeight="1" s="14"/>
    <row r="170" ht="90" customFormat="1" customHeight="1" s="14"/>
    <row r="171" ht="90" customFormat="1" customHeight="1" s="14"/>
    <row r="172" ht="90" customFormat="1" customHeight="1" s="14"/>
    <row r="173" ht="90" customFormat="1" customHeight="1" s="14"/>
    <row r="174" ht="90" customFormat="1" customHeight="1" s="14"/>
    <row r="175" ht="90" customFormat="1" customHeight="1" s="14"/>
    <row r="176" ht="90" customFormat="1" customHeight="1" s="14"/>
    <row r="177" ht="90" customFormat="1" customHeight="1" s="14"/>
    <row r="178" ht="90" customFormat="1" customHeight="1" s="14"/>
    <row r="179" ht="90" customFormat="1" customHeight="1" s="14"/>
    <row r="180" ht="90" customFormat="1" customHeight="1" s="14"/>
    <row r="181" ht="90" customFormat="1" customHeight="1" s="14"/>
    <row r="182" ht="90" customFormat="1" customHeight="1" s="14"/>
    <row r="183" ht="90" customFormat="1" customHeight="1" s="14"/>
    <row r="184" ht="90" customFormat="1" customHeight="1" s="14"/>
    <row r="185" ht="90" customFormat="1" customHeight="1" s="14"/>
    <row r="186" ht="90" customFormat="1" customHeight="1" s="14"/>
    <row r="187" ht="90" customFormat="1" customHeight="1" s="14"/>
    <row r="188" ht="90" customFormat="1" customHeight="1" s="14"/>
    <row r="189" ht="90" customFormat="1" customHeight="1" s="14"/>
    <row r="190" ht="90" customFormat="1" customHeight="1" s="14"/>
    <row r="191" ht="90" customFormat="1" customHeight="1" s="14"/>
    <row r="192" ht="90" customFormat="1" customHeight="1" s="14"/>
    <row r="193" ht="90" customFormat="1" customHeight="1" s="14"/>
    <row r="194" ht="90" customFormat="1" customHeight="1" s="14"/>
    <row r="195" ht="90" customFormat="1" customHeight="1" s="14"/>
    <row r="196" ht="90" customFormat="1" customHeight="1" s="14"/>
    <row r="197" ht="90" customFormat="1" customHeight="1" s="14"/>
    <row r="198" ht="90" customFormat="1" customHeight="1" s="14"/>
    <row r="199" ht="90" customFormat="1" customHeight="1" s="14"/>
    <row r="200" ht="90" customFormat="1" customHeight="1" s="14"/>
    <row r="201" ht="90" customFormat="1" customHeight="1" s="14"/>
    <row r="202" ht="90" customFormat="1" customHeight="1" s="14"/>
    <row r="203" ht="90" customFormat="1" customHeight="1" s="14"/>
    <row r="204" ht="90" customFormat="1" customHeight="1" s="14"/>
    <row r="205" ht="90" customFormat="1" customHeight="1" s="14"/>
    <row r="206" ht="90" customFormat="1" customHeight="1" s="14"/>
    <row r="207" ht="90" customFormat="1" customHeight="1" s="14"/>
    <row r="208" ht="90" customFormat="1" customHeight="1" s="14"/>
    <row r="209" ht="90" customFormat="1" customHeight="1" s="14"/>
    <row r="210" ht="90" customFormat="1" customHeight="1" s="14"/>
    <row r="211" ht="90" customFormat="1" customHeight="1" s="14"/>
    <row r="212" ht="90" customFormat="1" customHeight="1" s="14"/>
    <row r="213" ht="90" customFormat="1" customHeight="1" s="14"/>
    <row r="214" ht="90" customFormat="1" customHeight="1" s="14"/>
    <row r="215" ht="90" customFormat="1" customHeight="1" s="14"/>
    <row r="216" ht="90" customFormat="1" customHeight="1" s="14"/>
    <row r="217" ht="90" customFormat="1" customHeight="1" s="14"/>
    <row r="218" ht="90" customFormat="1" customHeight="1" s="14"/>
    <row r="219" ht="90" customFormat="1" customHeight="1" s="14"/>
    <row r="220" ht="90" customFormat="1" customHeight="1" s="14"/>
    <row r="221" ht="90" customFormat="1" customHeight="1" s="14"/>
    <row r="222" ht="90" customFormat="1" customHeight="1" s="14"/>
    <row r="223" ht="90" customFormat="1" customHeight="1" s="14"/>
    <row r="224" ht="90" customFormat="1" customHeight="1" s="14"/>
    <row r="225" ht="90" customFormat="1" customHeight="1" s="14"/>
    <row r="226" ht="90" customFormat="1" customHeight="1" s="14"/>
    <row r="227" ht="90" customFormat="1" customHeight="1" s="14"/>
    <row r="228" ht="90" customFormat="1" customHeight="1" s="14"/>
    <row r="229" ht="90" customFormat="1" customHeight="1" s="14"/>
    <row r="230" ht="90" customFormat="1" customHeight="1" s="14"/>
    <row r="231" ht="90" customFormat="1" customHeight="1" s="14"/>
    <row r="232" ht="90" customFormat="1" customHeight="1" s="14"/>
    <row r="233" ht="90" customFormat="1" customHeight="1" s="14"/>
    <row r="234" ht="90" customFormat="1" customHeight="1" s="14"/>
    <row r="235" ht="90" customFormat="1" customHeight="1" s="14"/>
    <row r="236" ht="90" customFormat="1" customHeight="1" s="14"/>
    <row r="237" ht="90" customFormat="1" customHeight="1" s="14"/>
    <row r="238" ht="90" customFormat="1" customHeight="1" s="14"/>
    <row r="239" ht="90" customFormat="1" customHeight="1" s="14"/>
    <row r="240" ht="90" customFormat="1" customHeight="1" s="14"/>
    <row r="241" ht="90" customFormat="1" customHeight="1" s="14"/>
    <row r="242" ht="90" customFormat="1" customHeight="1" s="14"/>
    <row r="243" ht="90" customFormat="1" customHeight="1" s="14"/>
    <row r="244" ht="90" customFormat="1" customHeight="1" s="14"/>
    <row r="245" ht="90" customFormat="1" customHeight="1" s="14"/>
    <row r="246" ht="90" customFormat="1" customHeight="1" s="14"/>
    <row r="247" ht="90" customFormat="1" customHeight="1" s="14"/>
    <row r="248" ht="90" customFormat="1" customHeight="1" s="14"/>
    <row r="249" ht="90" customFormat="1" customHeight="1" s="14"/>
    <row r="250" ht="90" customFormat="1" customHeight="1" s="14"/>
    <row r="251" ht="90" customFormat="1" customHeight="1" s="14"/>
    <row r="252" ht="90" customFormat="1" customHeight="1" s="14"/>
    <row r="253" ht="90" customFormat="1" customHeight="1" s="14"/>
    <row r="254" ht="90" customFormat="1" customHeight="1" s="14"/>
    <row r="255" ht="90" customFormat="1" customHeight="1" s="14"/>
    <row r="256" ht="90" customFormat="1" customHeight="1" s="14"/>
    <row r="257" ht="90" customFormat="1" customHeight="1" s="14"/>
    <row r="258" ht="90" customFormat="1" customHeight="1" s="14"/>
    <row r="259" ht="90" customFormat="1" customHeight="1" s="14"/>
    <row r="260" ht="90" customFormat="1" customHeight="1" s="14"/>
    <row r="261" ht="90" customFormat="1" customHeight="1" s="14"/>
    <row r="262" ht="90" customFormat="1" customHeight="1" s="14"/>
    <row r="263" ht="90" customFormat="1" customHeight="1" s="14"/>
    <row r="264" ht="90" customFormat="1" customHeight="1" s="14"/>
    <row r="265" ht="90" customFormat="1" customHeight="1" s="14"/>
    <row r="266" ht="90" customFormat="1" customHeight="1" s="14"/>
    <row r="267" ht="90" customFormat="1" customHeight="1" s="14"/>
    <row r="268" ht="90" customFormat="1" customHeight="1" s="14"/>
    <row r="269" ht="90" customFormat="1" customHeight="1" s="14"/>
    <row r="270" ht="90" customFormat="1" customHeight="1" s="14"/>
    <row r="271" ht="90" customFormat="1" customHeight="1" s="14"/>
    <row r="272" ht="90" customFormat="1" customHeight="1" s="14"/>
    <row r="273" ht="90" customFormat="1" customHeight="1" s="14"/>
    <row r="274" ht="90" customFormat="1" customHeight="1" s="14"/>
    <row r="275" ht="90" customFormat="1" customHeight="1" s="14"/>
    <row r="276" ht="90" customFormat="1" customHeight="1" s="14"/>
    <row r="277" ht="90" customFormat="1" customHeight="1" s="14"/>
    <row r="278" ht="90" customFormat="1" customHeight="1" s="14"/>
    <row r="279" ht="90" customFormat="1" customHeight="1" s="14"/>
    <row r="280" ht="90" customFormat="1" customHeight="1" s="14"/>
    <row r="281" ht="90" customFormat="1" customHeight="1" s="14"/>
    <row r="282" ht="90" customFormat="1" customHeight="1" s="14"/>
    <row r="283" ht="90" customFormat="1" customHeight="1" s="14"/>
    <row r="284" ht="90" customFormat="1" customHeight="1" s="14"/>
    <row r="285" ht="90" customFormat="1" customHeight="1" s="14"/>
    <row r="286" ht="90" customFormat="1" customHeight="1" s="14"/>
    <row r="287" ht="90" customFormat="1" customHeight="1" s="14"/>
    <row r="288" ht="90" customFormat="1" customHeight="1" s="14"/>
    <row r="289" ht="90" customFormat="1" customHeight="1" s="14"/>
    <row r="290" ht="90" customFormat="1" customHeight="1" s="14"/>
    <row r="291" ht="90" customFormat="1" customHeight="1" s="14"/>
    <row r="292" ht="90" customFormat="1" customHeight="1" s="14"/>
    <row r="293" ht="90" customFormat="1" customHeight="1" s="14"/>
    <row r="294" ht="90" customFormat="1" customHeight="1" s="14"/>
    <row r="295" ht="90" customFormat="1" customHeight="1" s="14"/>
    <row r="296" ht="90" customFormat="1" customHeight="1" s="14"/>
    <row r="297" ht="90" customFormat="1" customHeight="1" s="14"/>
    <row r="298" ht="90" customFormat="1" customHeight="1" s="14"/>
    <row r="299" ht="90" customFormat="1" customHeight="1" s="14"/>
    <row r="300" ht="90" customFormat="1" customHeight="1" s="14"/>
    <row r="301" ht="90" customFormat="1" customHeight="1" s="14"/>
    <row r="302" ht="90" customFormat="1" customHeight="1" s="14"/>
    <row r="303" ht="90" customFormat="1" customHeight="1" s="14"/>
    <row r="304" ht="90" customFormat="1" customHeight="1" s="14"/>
    <row r="305" ht="90" customFormat="1" customHeight="1" s="14"/>
    <row r="306" ht="90" customFormat="1" customHeight="1" s="14"/>
    <row r="307" ht="90" customFormat="1" customHeight="1" s="14"/>
    <row r="308" ht="90" customFormat="1" customHeight="1" s="14"/>
    <row r="309" ht="90" customFormat="1" customHeight="1" s="14"/>
    <row r="310" ht="90" customFormat="1" customHeight="1" s="14"/>
    <row r="311" ht="90" customFormat="1" customHeight="1" s="14"/>
    <row r="312" ht="90" customFormat="1" customHeight="1" s="14"/>
  </sheetData>
  <autoFilter ref="A1:E275"/>
  <hyperlinks>
    <hyperlink xmlns:r="http://schemas.openxmlformats.org/officeDocument/2006/relationships" ref="E2" r:id="rId1"/>
    <hyperlink xmlns:r="http://schemas.openxmlformats.org/officeDocument/2006/relationships" ref="E3" r:id="rId2"/>
  </hyperlink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D2"/>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s>
  <sheetData>
    <row r="1" ht="42" customFormat="1" customHeight="1" s="14">
      <c r="A1" s="5" t="inlineStr">
        <is>
          <t>key</t>
        </is>
      </c>
      <c r="B1" s="5" t="inlineStr">
        <is>
          <t>kind</t>
        </is>
      </c>
      <c r="C1" s="5" t="inlineStr">
        <is>
          <t>order</t>
        </is>
      </c>
      <c r="D1" s="5" t="inlineStr">
        <is>
          <t>relationship</t>
        </is>
      </c>
    </row>
    <row r="2" ht="90" customFormat="1" customHeight="1" s="14">
      <c r="A2" s="12" t="inlineStr">
        <is>
          <t>2019::jama.2019.10517::C001</t>
        </is>
      </c>
      <c r="B2" s="12" t="inlineStr">
        <is>
          <t>relations</t>
        </is>
      </c>
      <c r="C2" s="12" t="n">
        <v>0</v>
      </c>
      <c r="D2" s="12" t="inlineStr">
        <is>
          <t>S_W</t>
        </is>
      </c>
    </row>
    <row r="3" ht="90" customFormat="1" customHeight="1" s="14"/>
    <row r="4" ht="90" customFormat="1" customHeight="1" s="14"/>
    <row r="5" ht="90" customFormat="1" customHeight="1" s="14"/>
    <row r="6" ht="90" customFormat="1" customHeight="1" s="14"/>
    <row r="7" ht="90" customFormat="1" customHeight="1" s="14"/>
    <row r="8" ht="90" customFormat="1" customHeight="1" s="14"/>
    <row r="9" ht="90" customFormat="1" customHeight="1" s="14"/>
    <row r="10" ht="90" customFormat="1" customHeight="1" s="14"/>
    <row r="11" ht="90" customFormat="1" customHeight="1" s="14"/>
    <row r="12" ht="90" customFormat="1" customHeight="1" s="14"/>
    <row r="13" ht="90" customFormat="1" customHeight="1" s="14"/>
    <row r="14" ht="90" customFormat="1" customHeight="1" s="14"/>
    <row r="15" ht="90" customFormat="1" customHeight="1" s="14"/>
    <row r="16" ht="90" customFormat="1" customHeight="1" s="14"/>
    <row r="17" ht="90" customFormat="1" customHeight="1" s="14"/>
    <row r="18" ht="90" customFormat="1" customHeight="1" s="14"/>
    <row r="19" ht="90" customFormat="1" customHeight="1" s="14"/>
    <row r="20" ht="90" customFormat="1" customHeight="1" s="14"/>
    <row r="21" ht="90" customFormat="1" customHeight="1" s="14"/>
    <row r="22" ht="90" customFormat="1" customHeight="1" s="14"/>
    <row r="23" ht="90" customFormat="1" customHeight="1" s="14"/>
    <row r="24" ht="90" customFormat="1" customHeight="1" s="14"/>
    <row r="25" ht="90" customFormat="1" customHeight="1" s="14"/>
    <row r="26" ht="90" customFormat="1" customHeight="1" s="14"/>
    <row r="27" ht="90" customFormat="1" customHeight="1" s="14"/>
    <row r="28" ht="90" customFormat="1" customHeight="1" s="14"/>
    <row r="29" ht="90" customFormat="1" customHeight="1" s="14"/>
    <row r="30" ht="90" customFormat="1" customHeight="1" s="14"/>
    <row r="31" ht="90" customFormat="1" customHeight="1" s="14"/>
    <row r="32" ht="90" customFormat="1" customHeight="1" s="14"/>
    <row r="33" ht="90" customFormat="1" customHeight="1" s="14"/>
    <row r="34" ht="90" customFormat="1" customHeight="1" s="14"/>
    <row r="35" ht="90" customFormat="1" customHeight="1" s="14"/>
    <row r="36" ht="90" customFormat="1" customHeight="1" s="14"/>
    <row r="37" ht="90" customFormat="1" customHeight="1" s="14"/>
    <row r="38" ht="90" customFormat="1" customHeight="1" s="14"/>
    <row r="39" ht="90" customFormat="1" customHeight="1" s="14"/>
    <row r="40" ht="90" customFormat="1" customHeight="1" s="14"/>
    <row r="41" ht="90" customFormat="1" customHeight="1" s="14"/>
    <row r="42" ht="90" customFormat="1" customHeight="1" s="14"/>
    <row r="43" ht="90" customFormat="1" customHeight="1" s="14"/>
    <row r="44" ht="90" customFormat="1" customHeight="1" s="14"/>
    <row r="45" ht="90" customFormat="1" customHeight="1" s="14"/>
    <row r="46" ht="90" customFormat="1" customHeight="1" s="14"/>
    <row r="47" ht="90" customFormat="1" customHeight="1" s="14"/>
    <row r="48" ht="90" customFormat="1" customHeight="1" s="14"/>
    <row r="49" ht="90" customFormat="1" customHeight="1" s="14"/>
    <row r="50" ht="90" customFormat="1" customHeight="1" s="14"/>
    <row r="51" ht="90" customFormat="1" customHeight="1" s="14"/>
    <row r="52" ht="90" customFormat="1" customHeight="1" s="14"/>
    <row r="53" ht="90" customFormat="1" customHeight="1" s="14"/>
    <row r="54" ht="90" customFormat="1" customHeight="1" s="14"/>
    <row r="55" ht="90" customFormat="1" customHeight="1" s="14"/>
    <row r="56" ht="90" customFormat="1" customHeight="1" s="14"/>
    <row r="57" ht="90" customFormat="1" customHeight="1" s="14"/>
    <row r="58" ht="90" customFormat="1" customHeight="1" s="14"/>
    <row r="59" ht="90" customFormat="1" customHeight="1" s="14"/>
    <row r="60" ht="90" customFormat="1" customHeight="1" s="14"/>
    <row r="61" ht="90" customFormat="1" customHeight="1" s="14"/>
    <row r="62" ht="90" customFormat="1" customHeight="1" s="14"/>
    <row r="63" ht="90" customFormat="1" customHeight="1" s="14"/>
    <row r="64" ht="90" customFormat="1" customHeight="1" s="14"/>
    <row r="65" ht="90" customFormat="1" customHeight="1" s="14"/>
    <row r="66" ht="90" customFormat="1" customHeight="1" s="14"/>
    <row r="67" ht="90" customFormat="1" customHeight="1" s="14"/>
    <row r="68" ht="90" customFormat="1" customHeight="1" s="14"/>
    <row r="69" ht="90" customFormat="1" customHeight="1" s="14"/>
    <row r="70" ht="90" customFormat="1" customHeight="1" s="14"/>
    <row r="71" ht="90" customFormat="1" customHeight="1" s="14"/>
    <row r="72" ht="90" customFormat="1" customHeight="1" s="14"/>
    <row r="73" ht="90" customFormat="1" customHeight="1" s="14"/>
    <row r="74" ht="90" customFormat="1" customHeight="1" s="14"/>
    <row r="75" ht="90" customFormat="1" customHeight="1" s="14"/>
    <row r="76" ht="90" customFormat="1" customHeight="1" s="14"/>
    <row r="77" ht="90" customFormat="1" customHeight="1" s="14"/>
    <row r="78" ht="90" customFormat="1" customHeight="1" s="14"/>
    <row r="79" ht="90" customFormat="1" customHeight="1" s="14"/>
  </sheetData>
  <autoFilter ref="A1:D69"/>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E6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29" customWidth="1" style="14" min="2" max="2"/>
    <col width="43" customWidth="1" style="14" min="3" max="3"/>
    <col width="99" customWidth="1" style="14" min="4" max="4"/>
    <col width="28" customWidth="1" style="14" min="5" max="5"/>
  </cols>
  <sheetData>
    <row r="1" ht="44"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13" customFormat="1" customHeight="1" s="14">
      <c r="A2" s="16" t="inlineStr">
        <is>
          <t>Working method</t>
        </is>
      </c>
      <c r="B2" s="16" t="inlineStr">
        <is>
          <t>GUIDE</t>
        </is>
      </c>
      <c r="C2" s="16" t="inlineStr">
        <is>
          <t>Independent primary review</t>
        </is>
      </c>
      <c r="D2" s="16" t="inlineStr">
        <is>
          <t>No inherited blanks or control words. Keep the existing answers; edit directly. Blank = no answer; indeterminate/unknown = uncertain; not_applicable = inactive. Clear obsolete answers after changing a branch.</t>
        </is>
      </c>
      <c r="E2" s="16" t="n"/>
    </row>
    <row r="3" ht="113"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13" customFormat="1" customHeight="1" s="14">
      <c r="A4" s="16" t="inlineStr">
        <is>
          <t>How to read this Codebook</t>
        </is>
      </c>
      <c r="B4" s="16" t="n"/>
      <c r="C4" s="16" t="n"/>
      <c r="D4" s="16" t="n"/>
      <c r="E4" s="16" t="n"/>
    </row>
    <row r="5" ht="113" customFormat="1" customHeight="1" s="14">
      <c r="A5" s="17" t="inlineStr">
        <is>
          <t>1  |  Common decisions and optional notes</t>
        </is>
      </c>
      <c r="B5" s="17" t="n"/>
      <c r="C5" s="17" t="n"/>
      <c r="D5" s="17" t="n"/>
      <c r="E5" s="17" t="n"/>
    </row>
    <row r="6" ht="113"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 Enter your own independent assessment.</t>
        </is>
      </c>
      <c r="E6" s="16" t="inlineStr">
        <is>
          <t>disposition</t>
        </is>
      </c>
    </row>
    <row r="7" ht="113"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13"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13"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13"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13"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13"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13"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13"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13" customFormat="1" customHeight="1" s="14">
      <c r="A15" s="17" t="inlineStr">
        <is>
          <t>Complete</t>
        </is>
      </c>
      <c r="B15" s="17" t="inlineStr">
        <is>
          <t>FIELD</t>
        </is>
      </c>
      <c r="C15" s="17" t="inlineStr">
        <is>
          <t>Independent primary review</t>
        </is>
      </c>
      <c r="D15" s="17" t="inlineStr">
        <is>
          <t>Use no while drafting, then primary_done after manual review. Before changing a completed row, reset F to no, review again, then mark primary_done. Formulas cannot erase a completion flag.</t>
        </is>
      </c>
      <c r="E15" s="17" t="inlineStr">
        <is>
          <t>reviewComplete</t>
        </is>
      </c>
    </row>
    <row r="16" ht="113" customFormat="1" customHeight="1" s="14">
      <c r="A16" s="16" t="n"/>
      <c r="B16" s="16" t="inlineStr">
        <is>
          <t>no</t>
        </is>
      </c>
      <c r="C16" s="16" t="inlineStr">
        <is>
          <t>Option</t>
        </is>
      </c>
      <c r="D16" s="16" t="inlineStr">
        <is>
          <t>Draft. Independent primary review is not yet confirmed complete; AI suggestions and partially filled fields do not count as completed human review.</t>
        </is>
      </c>
      <c r="E16" s="16" t="n"/>
    </row>
    <row r="17" ht="113" customFormat="1" customHeight="1" s="14">
      <c r="A17" s="17" t="inlineStr">
        <is>
          <t>Validation hint</t>
        </is>
      </c>
      <c r="B17" s="17" t="inlineStr">
        <is>
          <t>FIELD</t>
        </is>
      </c>
      <c r="C17" s="17" t="inlineStr">
        <is>
          <t>Calculated</t>
        </is>
      </c>
      <c r="D17" s="17" t="inlineStr">
        <is>
          <t>Calculated entry checks for this reviewer only. PRIMARY READY requires valid identity, key, fields and primary_done. Discuss can be ready and remains unresolved. Checks do not establish scientific accuracy.</t>
        </is>
      </c>
      <c r="E17" s="17" t="inlineStr">
        <is>
          <t>readiness</t>
        </is>
      </c>
    </row>
    <row r="18" ht="113"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13" customFormat="1" customHeight="1" s="14">
      <c r="A19" s="17" t="inlineStr">
        <is>
          <t>2  |  Statistical results: two required judgments</t>
        </is>
      </c>
      <c r="B19" s="17" t="n"/>
      <c r="C19" s="17" t="n"/>
      <c r="D19" s="17" t="n"/>
      <c r="E19" s="17" t="n"/>
    </row>
    <row r="20" ht="113" customFormat="1" customHeight="1" s="14">
      <c r="A20" s="16" t="inlineStr">
        <is>
          <t>Statistcal_or_numerical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13"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13"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13"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13"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13"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13"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13"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13"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13"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13"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13"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13"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13"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13"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13"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13"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13" customFormat="1" customHeight="1" s="14">
      <c r="A37" s="17" t="inlineStr">
        <is>
          <t>3  |  Report internal or planning-material inconsistency</t>
        </is>
      </c>
      <c r="B37" s="17" t="n"/>
      <c r="C37" s="17" t="n"/>
      <c r="D37" s="17" t="n"/>
      <c r="E37" s="17" t="n"/>
    </row>
    <row r="38" ht="113"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13"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13"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13"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13"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13"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13" customFormat="1" customHeight="1" s="14">
      <c r="A44" s="16" t="inlineStr">
        <is>
          <t>4  |  Protocol versus report: optional description only</t>
        </is>
      </c>
      <c r="B44" s="16" t="n"/>
      <c r="C44" s="16" t="n"/>
      <c r="D44" s="16" t="n"/>
      <c r="E44" s="16" t="n"/>
    </row>
    <row r="45" ht="113"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13"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13"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13"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13"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13"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13"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13" customFormat="1" customHeight="1" s="14">
      <c r="A52" s="16" t="inlineStr">
        <is>
          <t>5  |  Candidate context</t>
        </is>
      </c>
      <c r="B52" s="16" t="n"/>
      <c r="C52" s="16" t="n"/>
      <c r="D52" s="16" t="n"/>
      <c r="E52" s="16" t="n"/>
    </row>
    <row r="53" ht="113"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13"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13" customFormat="1" customHeight="1" s="14">
      <c r="A55" s="17" t="inlineStr">
        <is>
          <t>Source location</t>
        </is>
      </c>
      <c r="B55" s="17" t="inlineStr">
        <is>
          <t>FIELD</t>
        </is>
      </c>
      <c r="C55" s="17" t="inlineStr">
        <is>
          <t>Source reference</t>
        </is>
      </c>
      <c r="D55" s="17" t="inlineStr">
        <is>
          <t>Where to check the source claim. Use candidate-key links, Candidates, Evidence and Links for context and original documents.</t>
        </is>
      </c>
      <c r="E55" s="17" t="inlineStr">
        <is>
          <t>locations</t>
        </is>
      </c>
    </row>
    <row r="56" ht="113" customFormat="1" customHeight="1" s="14">
      <c r="A56" s="16" t="inlineStr">
        <is>
          <t>Complete</t>
        </is>
      </c>
      <c r="B56" s="16" t="inlineStr">
        <is>
          <t>primary_done</t>
        </is>
      </c>
      <c r="C56" s="16" t="inlineStr">
        <is>
          <t>Independent primary review</t>
        </is>
      </c>
      <c r="D56" s="16" t="inlineStr">
        <is>
          <t>Human reviewed; independent primary assessment complete. Scientific uncertainty can remain as discuss.</t>
        </is>
      </c>
      <c r="E56" s="16" t="inlineStr">
        <is>
          <t>reviewComplete</t>
        </is>
      </c>
    </row>
    <row r="57" ht="113" customFormat="1" customHeight="1" s="14">
      <c r="A57" s="17" t="inlineStr">
        <is>
          <t>Suggested review domain</t>
        </is>
      </c>
      <c r="B57" s="17" t="inlineStr">
        <is>
          <t>GUIDE</t>
        </is>
      </c>
      <c r="C57" s="17" t="inlineStr">
        <is>
          <t>Column E</t>
        </is>
      </c>
      <c r="D57" s="17" t="inlineStr">
        <is>
          <t>The initial domain is the unchanged baseline AI suggestion; confirm or edit it. D remains blank. AI suggestions are not human judgments.</t>
        </is>
      </c>
      <c r="E57" s="17" t="n"/>
    </row>
    <row r="58" ht="113" customFormat="1" customHeight="1" s="14">
      <c r="A58" s="16" t="inlineStr">
        <is>
          <t>Untouched defaults</t>
        </is>
      </c>
      <c r="B58" s="16" t="inlineStr">
        <is>
          <t>GUIDE</t>
        </is>
      </c>
      <c r="C58" s="16" t="inlineStr">
        <is>
          <t>H-L</t>
        </is>
      </c>
      <c r="D58" s="16" t="inlineStr">
        <is>
          <t>An untouched formula displays blank for a potentially applicable field while D is blank or retain; otherwise not_applicable. Choosing a judgment replaces that formula. Literal answers never clear automatically; clear stale inactive answers.</t>
        </is>
      </c>
      <c r="E58" s="16" t="n"/>
    </row>
    <row r="59" ht="113" customFormat="1" customHeight="1" s="14">
      <c r="A59" s="17" t="inlineStr">
        <is>
          <t>Discuss and counts</t>
        </is>
      </c>
      <c r="B59" s="17" t="inlineStr">
        <is>
          <t>GUIDE</t>
        </is>
      </c>
      <c r="C59" s="17" t="inlineStr">
        <is>
          <t>Results</t>
        </is>
      </c>
      <c r="D59" s="17" t="inlineStr">
        <is>
          <t>A valid discuss row can be PRIMARY READY but its outcome stays blank. Paper outcome counts stay blank until every candidate is primary-ready and none is discuss. Completion does not mean uncertainty is resolved.</t>
        </is>
      </c>
      <c r="E59" s="17" t="n"/>
    </row>
    <row r="60" ht="113" customFormat="1" customHeight="1" s="14">
      <c r="A60" s="16" t="inlineStr">
        <is>
          <t>Result eligibility</t>
        </is>
      </c>
      <c r="B60" s="16" t="inlineStr">
        <is>
          <t>GUIDE</t>
        </is>
      </c>
      <c r="C60" s="16" t="inlineStr">
        <is>
          <t>Results</t>
        </is>
      </c>
      <c r="D60" s="16" t="inlineStr">
        <is>
          <t>Ready retained P_R/P_P records are protocol_descriptive/plan_descriptive before domain rules. S_C/S_W confirmed/probable substantive statistical issues are primary_temporal; substantive report-internal inconsistency is secondary_temporal. Other ready non-discuss records are not_eligible. This code is not proof of no error.</t>
        </is>
      </c>
      <c r="E60" s="16" t="n"/>
    </row>
    <row r="61" ht="113" customFormat="1" customHeight="1" s="14">
      <c r="A61" s="17" t="inlineStr">
        <is>
          <t>Protection</t>
        </is>
      </c>
      <c r="B61" s="17" t="inlineStr">
        <is>
          <t>GUIDE</t>
        </is>
      </c>
      <c r="C61" s="17" t="inlineStr">
        <is>
          <t>All cells</t>
        </is>
      </c>
      <c r="D61" s="17" t="inlineStr">
        <is>
          <t>Protected ranges: none. Every style and cell, including unused cells, is explicitly unlocked. Preserve reference and calculation cells; undo accidental edits or use backups.</t>
        </is>
      </c>
      <c r="E61" s="17"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2" customWidth="1" style="14" min="1" max="1"/>
    <col width="29" customWidth="1" style="14" min="2" max="2"/>
    <col width="27" customWidth="1" style="14" min="3" max="3"/>
    <col width="33" customWidth="1" style="14" min="4" max="4"/>
    <col width="28" customWidth="1" style="14" min="5" max="5"/>
  </cols>
  <sheetData>
    <row r="1" ht="44" customFormat="1" customHeight="1" s="14">
      <c r="A1" s="15" t="inlineStr">
        <is>
          <t>Retained domain</t>
        </is>
      </c>
      <c r="B1" s="15" t="inlineStr">
        <is>
          <t>Required</t>
        </is>
      </c>
      <c r="C1" s="15" t="inlineStr">
        <is>
          <t>Optional</t>
        </is>
      </c>
      <c r="D1" s="15" t="inlineStr">
        <is>
          <t>Inactive</t>
        </is>
      </c>
      <c r="E1" s="15" t="inlineStr">
        <is>
          <t>Inactive effective value</t>
        </is>
      </c>
    </row>
    <row r="2" ht="54" customFormat="1" customHeight="1" s="14">
      <c r="A2" s="16" t="inlineStr">
        <is>
          <t>statistical_results</t>
        </is>
      </c>
      <c r="B2" s="16" t="inlineStr">
        <is>
          <t>H, I</t>
        </is>
      </c>
      <c r="C2" s="16" t="inlineStr">
        <is>
          <t>J</t>
        </is>
      </c>
      <c r="D2" s="16" t="inlineStr">
        <is>
          <t>K, L</t>
        </is>
      </c>
      <c r="E2" s="16" t="inlineStr">
        <is>
          <t>not_applicable</t>
        </is>
      </c>
    </row>
    <row r="3" ht="54" customFormat="1" customHeight="1" s="14">
      <c r="A3" s="17" t="inlineStr">
        <is>
          <t>report_internal_inconsistency</t>
        </is>
      </c>
      <c r="B3" s="17" t="inlineStr">
        <is>
          <t>K</t>
        </is>
      </c>
      <c r="C3" s="17" t="inlineStr">
        <is>
          <t>None</t>
        </is>
      </c>
      <c r="D3" s="17" t="inlineStr">
        <is>
          <t>H, I, J, L</t>
        </is>
      </c>
      <c r="E3" s="17" t="inlineStr">
        <is>
          <t>not_applicable</t>
        </is>
      </c>
    </row>
    <row r="4" ht="54" customFormat="1" customHeight="1" s="14">
      <c r="A4" s="16" t="inlineStr">
        <is>
          <t>plan_material</t>
        </is>
      </c>
      <c r="B4" s="16" t="inlineStr">
        <is>
          <t>K</t>
        </is>
      </c>
      <c r="C4" s="16" t="inlineStr">
        <is>
          <t>None</t>
        </is>
      </c>
      <c r="D4" s="16" t="inlineStr">
        <is>
          <t>H, I, J, L</t>
        </is>
      </c>
      <c r="E4" s="16" t="inlineStr">
        <is>
          <t>not_applicable</t>
        </is>
      </c>
    </row>
    <row r="5" ht="54" customFormat="1" customHeight="1" s="14">
      <c r="A5" s="17" t="inlineStr">
        <is>
          <t>protocol_report</t>
        </is>
      </c>
      <c r="B5" s="17" t="inlineStr">
        <is>
          <t>None</t>
        </is>
      </c>
      <c r="C5" s="17" t="inlineStr">
        <is>
          <t>L</t>
        </is>
      </c>
      <c r="D5" s="17" t="inlineStr">
        <is>
          <t>H, I, J, K</t>
        </is>
      </c>
      <c r="E5" s="17" t="inlineStr">
        <is>
          <t>not_applicable</t>
        </is>
      </c>
    </row>
    <row r="6" ht="54" customFormat="1" customHeight="1" s="14">
      <c r="A6" s="16" t="inlineStr">
        <is>
          <t>exclude / discuss</t>
        </is>
      </c>
      <c r="B6" s="16" t="inlineStr">
        <is>
          <t>D and valid E</t>
        </is>
      </c>
      <c r="C6" s="16" t="inlineStr">
        <is>
          <t>R notes</t>
        </is>
      </c>
      <c r="D6" s="16" t="inlineStr">
        <is>
          <t>H, I, J, K, L</t>
        </is>
      </c>
      <c r="E6" s="16" t="inlineStr">
        <is>
          <t>not_applicable</t>
        </is>
      </c>
    </row>
    <row r="7" ht="54" customFormat="1" customHeight="1" s="14">
      <c r="A7" s="17" t="inlineStr">
        <is>
          <t>Reference only</t>
        </is>
      </c>
      <c r="B7" s="17" t="inlineStr">
        <is>
          <t>Protected ranges: none</t>
        </is>
      </c>
      <c r="C7" s="17" t="inlineStr">
        <is>
          <t>All inputs remain editable</t>
        </is>
      </c>
      <c r="D7" s="17" t="inlineStr">
        <is>
          <t>WORKFLOW.md sections 5-6</t>
        </is>
      </c>
      <c r="E7" s="17" t="inlineStr">
        <is>
          <t>not_applicable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14" min="1" max="1"/>
    <col width="116" customWidth="1" style="14" min="2" max="2"/>
  </cols>
  <sheetData>
    <row r="1" ht="44" customFormat="1" customHeight="1" s="14">
      <c r="A1" s="15" t="inlineStr">
        <is>
          <t>field</t>
        </is>
      </c>
      <c r="B1" s="15" t="inlineStr">
        <is>
          <t>value</t>
        </is>
      </c>
    </row>
    <row r="2" ht="69" customFormat="1" customHeight="1" s="14">
      <c r="A2" s="16" t="inlineStr">
        <is>
          <t>version</t>
        </is>
      </c>
      <c r="B2" s="16" t="inlineStr">
        <is>
          <t>v.2.3.1</t>
        </is>
      </c>
    </row>
    <row r="3" ht="69" customFormat="1" customHeight="1" s="14">
      <c r="A3" s="17" t="inlineStr">
        <is>
          <t>schema</t>
        </is>
      </c>
      <c r="B3" s="17" t="inlineStr">
        <is>
          <t>xlsx-adjudication-independent-primary-2.3.1</t>
        </is>
      </c>
    </row>
    <row r="4" ht="69" customFormat="1" customHeight="1" s="14">
      <c r="A4" s="16" t="inlineStr">
        <is>
          <t>year</t>
        </is>
      </c>
      <c r="B4" s="16" t="n">
        <v>2019</v>
      </c>
    </row>
    <row r="5" ht="69" customFormat="1" customHeight="1" s="14">
      <c r="A5" s="17" t="inlineStr">
        <is>
          <t>reviewer_role</t>
        </is>
      </c>
      <c r="B5" s="17" t="inlineStr">
        <is>
          <t>R_A</t>
        </is>
      </c>
    </row>
    <row r="6" ht="69" customFormat="1" customHeight="1" s="14">
      <c r="A6" s="16" t="inlineStr">
        <is>
          <t>cohort</t>
        </is>
      </c>
      <c r="B6" s="16" t="inlineStr">
        <is>
          <t>User-authorized subset of the annual v.2.1.5.3 baseline: 9 papers / 62 candidates.</t>
        </is>
      </c>
    </row>
    <row r="7" ht="69" customFormat="1" customHeight="1" s="14">
      <c r="A7" s="17" t="inlineStr">
        <is>
          <t>source_baseline</t>
        </is>
      </c>
      <c r="B7" s="17" t="inlineStr">
        <is>
          <t>Frozen v.2.1.5.3 annual workbook and catalog, recovered from archived_not_touch.zip. All seven source hashes match supplied inventory.</t>
        </is>
      </c>
    </row>
    <row r="8" ht="69" customFormat="1" customHeight="1" s="14">
      <c r="A8" s="16" t="inlineStr">
        <is>
          <t>source_sheets</t>
        </is>
      </c>
      <c r="B8" s="16" t="inlineStr">
        <is>
          <t>Included Candidates, Evidence, Links and Relations rows preserved exactly, in baseline order. Clickable source targets added separately.</t>
        </is>
      </c>
    </row>
    <row r="9" ht="69" customFormat="1" customHeight="1" s="14">
      <c r="A9" s="17" t="inlineStr">
        <is>
          <t>protected_ranges</t>
        </is>
      </c>
      <c r="B9" s="17" t="inlineStr">
        <is>
          <t>None. All cell styles, cells and unused cells explicitly unlocked; no sheet or workbook protection, passwords or hidden formulas.</t>
        </is>
      </c>
    </row>
    <row r="10" ht="69" customFormat="1" customHeight="1" s="14">
      <c r="A10" s="16" t="inlineStr">
        <is>
          <t>C_columns</t>
        </is>
      </c>
      <c r="B10" s="16" t="inlineStr">
        <is>
          <t>A=key; B=title; C=source location; D=disposition; E=editable AI-suggested domain; F=manual completion; G=readiness; H=issue; I=substantiveness; J=optional impact; K=inconsistency; L=optional protocol interpretation; M-Q=empty hidden spacers; R=optional English notes.</t>
        </is>
      </c>
    </row>
    <row r="11" ht="69" customFormat="1" customHeight="1" s="14">
      <c r="A11" s="17" t="inlineStr">
        <is>
          <t>Setup_cells</t>
        </is>
      </c>
      <c r="B11" s="17" t="inlineStr">
        <is>
          <t>B2=required reviewer ID or name; B3=optional reviewer name; B4=this role; B5=2019; B6=schema.</t>
        </is>
      </c>
    </row>
    <row r="12" ht="69" customFormat="1" customHeight="1" s="14">
      <c r="A12" s="16" t="inlineStr">
        <is>
          <t>Decisions_columns</t>
        </is>
      </c>
      <c r="B12" s="16" t="inlineStr">
        <is>
          <t>A-D=year/paper/key/relationship; E-F=role/ID; G=readiness; H=outcome; I-J=baseline AI suggestions; K-R=effective disposition/domain/H-L/notes; S=name; T=completion; U=unresolved flag.</t>
        </is>
      </c>
    </row>
    <row r="13" ht="69" customFormat="1" customHeight="1" s="14">
      <c r="A13" s="17" t="inlineStr">
        <is>
          <t>Paper_counts_columns</t>
        </is>
      </c>
      <c r="B13" s="17" t="inlineStr">
        <is>
          <t>A-C=year/paper/total; D=ready; E=unfinished; F=discuss; G=entry complete; H=counts available; I-M=primary/secondary temporal, protocol/plan descriptive, not eligible.</t>
        </is>
      </c>
    </row>
    <row r="14" ht="69" customFormat="1" customHeight="1" s="14">
      <c r="A14" s="16" t="inlineStr">
        <is>
          <t>Protocol_plan_table_columns</t>
        </is>
      </c>
      <c r="B14" s="16" t="inlineStr">
        <is>
          <t>A-F=source year/paper/key/relationship/title/statement; G=readiness; H=disposition; I=domain; J=interpretation; K=internalStatus; L=notes; M=outcome; N-O=role/ID.</t>
        </is>
      </c>
    </row>
    <row r="15" ht="69" customFormat="1" customHeight="1" s="14">
      <c r="A15" s="17" t="inlineStr">
        <is>
          <t>counts_gate_adaptation</t>
        </is>
      </c>
      <c r="B15" s="17" t="inlineStr">
        <is>
          <t>v.2.3.1: all paper rows primary-ready AND no discuss before outcome counts appear. Independent completion may include discuss.</t>
        </is>
      </c>
    </row>
    <row r="16" ht="69" customFormat="1" customHeight="1" s="14">
      <c r="A16" s="16" t="inlineStr">
        <is>
          <t>default_behavior</t>
        </is>
      </c>
      <c r="B16" s="16" t="inlineStr">
        <is>
          <t>Original H-L formulas preserved. Selecting an answer replaces the formula. Inactive effective values normalize to not_applicable; stale inactive inputs block readiness first.</t>
        </is>
      </c>
    </row>
    <row r="17" ht="69" customFormat="1" customHeight="1" s="14">
      <c r="A17" s="17" t="inlineStr">
        <is>
          <t>outcome_precedence</t>
        </is>
      </c>
      <c r="B17" s="17" t="inlineStr">
        <is>
          <t>Ready retained P_R/P_P descriptive before S_C/S_W domain eligibility. Discuss and unfinished outcomes blank. Other ready records not_eligible, including indeterminate judgments; not_eligible is not proof of no issue.</t>
        </is>
      </c>
    </row>
    <row r="18" ht="69" customFormat="1" customHeight="1" s="14">
      <c r="A18" s="16" t="inlineStr">
        <is>
          <t>navigation</t>
        </is>
      </c>
      <c r="B18" s="16" t="inlineStr">
        <is>
          <t>Papers to review sheets; review keys to embedded Evidence. Source targets rebased for this output directory.</t>
        </is>
      </c>
    </row>
    <row r="19" ht="69" customFormat="1" customHeight="1" s="14">
      <c r="A19" s="17" t="inlineStr">
        <is>
          <t>source_evidence_gap</t>
        </is>
      </c>
      <c r="B19" s="17" t="inlineStr">
        <is>
          <t>The six jama.2019.14901 candidates have no separate Evidence rows in the frozen baseline. Their keys open embedded Candidates rationale/ambiguity; clickable reportHref opens the original report. Source blanks are preserved.</t>
        </is>
      </c>
    </row>
    <row r="20" ht="69" customFormat="1" customHeight="1" s="14">
      <c r="A20" s="16" t="inlineStr">
        <is>
          <t>runtime</t>
        </is>
      </c>
      <c r="B20" s="16" t="inlineStr">
        <is>
          <t>Excel formulas, dropdowns and conditional formatting only. Automatic full recalculation on opening. No external workbook links or runtime automation.</t>
        </is>
      </c>
    </row>
    <row r="21" ht="69" customFormat="1" customHeight="1" s="14">
      <c r="A21" s="17" t="inlineStr">
        <is>
          <t>validation_limit</t>
        </is>
      </c>
      <c r="B21" s="17" t="inlineStr">
        <is>
          <t>Construction checks are recorded in VALIDATION.md. Desktop Excel calculation, rendering and reviewer smoke test pending; openpyxl does not calculate formulas.</t>
        </is>
      </c>
    </row>
    <row r="22" ht="48" customFormat="1" customHeight="1" s="14">
      <c r="A22" s="17" t="inlineStr">
        <is>
          <t>sha256 human_adjudication_v_2_1_5_3_2019.xlsx</t>
        </is>
      </c>
      <c r="B22" s="17" t="inlineStr">
        <is>
          <t>3ab2a07c0ed40e8a3cbd8b21bef33702a45084877b3f1027039c376074b58b2d</t>
        </is>
      </c>
    </row>
    <row r="23" ht="48" customFormat="1" customHeight="1" s="14">
      <c r="A23" s="17" t="inlineStr">
        <is>
          <t>sha256 resources/source_catalog_v_2_1_5_3.xlsx</t>
        </is>
      </c>
      <c r="B23" s="17" t="inlineStr">
        <is>
          <t>d663598f70f1a06f19baa64c6bcf999762fd67f44d47479de248f2ded18adbc5</t>
        </is>
      </c>
    </row>
    <row r="24" ht="48" customFormat="1" customHeight="1" s="14">
      <c r="A24" s="17" t="inlineStr">
        <is>
          <t>sha256 USAGE.md</t>
        </is>
      </c>
      <c r="B24" s="17" t="inlineStr">
        <is>
          <t>596712ad9dca62b511c1b05ea522604aa009c8d99a9c1e899e963da342454552</t>
        </is>
      </c>
    </row>
    <row r="25" ht="48" customFormat="1" customHeight="1" s="14">
      <c r="A25" s="17" t="inlineStr">
        <is>
          <t>sha256 DESIGN.md</t>
        </is>
      </c>
      <c r="B25" s="17" t="inlineStr">
        <is>
          <t>663f0b1b2bf966bbea2428cf567732a0fa76bb29603c73947a710887ce1ab871</t>
        </is>
      </c>
    </row>
    <row r="26" ht="48" customFormat="1" customHeight="1" s="14">
      <c r="A26" s="17" t="inlineStr">
        <is>
          <t>sha256 VALIDATION.md</t>
        </is>
      </c>
      <c r="B26" s="17" t="inlineStr">
        <is>
          <t>9140a611103ba0f90a9bdd20f7c2b85d43ada738a9d3ec92a01d1dae006c9cbe</t>
        </is>
      </c>
    </row>
    <row r="27" ht="48" customFormat="1" customHeight="1" s="14">
      <c r="A27" s="17" t="inlineStr">
        <is>
          <t>sha256 maintenance/build.mjs</t>
        </is>
      </c>
      <c r="B27" s="17" t="inlineStr">
        <is>
          <t>dc18bbc9e9d90365ac1bbd42465f6654a593cc742f6c4629125e99572a6ff3d8</t>
        </is>
      </c>
    </row>
    <row r="28" ht="48" customFormat="1" customHeight="1" s="14">
      <c r="A28" s="17" t="inlineStr">
        <is>
          <t>sha256 maintenance/codebook.json</t>
        </is>
      </c>
      <c r="B28" s="17"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Human adjudication construction</dc:creator>
  <dc:title>2019 independent primary review R_A v.2.3.1</dc:title>
  <dc:description>xlsx-adjudication-independent-primary-2.3.1</dc:description>
  <dc:subject>Blank independent primary assessment template</dc:subject>
  <dcterms:created xsi:type="dcterms:W3CDTF">2026-10-10T17:56:12Z</dcterms:created>
  <dcterms:modified xsi:type="dcterms:W3CDTF">2026-10-10T17:57:29Z</dcterms:modified>
</cp:coreProperties>
</file>