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9.10517" sheetId="4" state="visible" r:id="rId4"/>
    <sheet name="C_jama.2019.12618" sheetId="5" state="visible" r:id="rId5"/>
    <sheet name="C_jama.2019.14231" sheetId="6" state="visible" r:id="rId6"/>
    <sheet name="C_jama.2019.14630" sheetId="7" state="visible" r:id="rId7"/>
    <sheet name="C_jama.2019.14901" sheetId="8" state="visible" r:id="rId8"/>
    <sheet name="C_jama.2019.17380" sheetId="9" state="visible" r:id="rId9"/>
    <sheet name="C_jama.2019.2210" sheetId="10" state="visible" r:id="rId10"/>
    <sheet name="C_jama.2019.4755" sheetId="11" state="visible" r:id="rId11"/>
    <sheet name="C_jama.2019.7505" sheetId="12" state="visible" r:id="rId12"/>
    <sheet name="Codebook" sheetId="13" state="visible" r:id="rId13"/>
  </sheets>
  <definedNames>
    <definedName name="_xlnm._FilterDatabase" localSheetId="3" hidden="1">'C_jama.2019.10517'!$A$1:$R$4</definedName>
    <definedName name="_xlnm._FilterDatabase" localSheetId="4" hidden="1">'C_jama.2019.12618'!$A$1:$R$9</definedName>
    <definedName name="_xlnm._FilterDatabase" localSheetId="5" hidden="1">'C_jama.2019.14231'!$A$1:$R$12</definedName>
    <definedName name="_xlnm._FilterDatabase" localSheetId="6" hidden="1">'C_jama.2019.14630'!$A$1:$R$10</definedName>
    <definedName name="_xlnm._FilterDatabase" localSheetId="7" hidden="1">'C_jama.2019.14901'!$A$1:$R$7</definedName>
    <definedName name="_xlnm._FilterDatabase" localSheetId="8" hidden="1">'C_jama.2019.17380'!$A$1:$R$8</definedName>
    <definedName name="_xlnm._FilterDatabase" localSheetId="9" hidden="1">'C_jama.2019.2210'!$A$1:$R$10</definedName>
    <definedName name="_xlnm._FilterDatabase" localSheetId="10" hidden="1">'C_jama.2019.4755'!$A$1:$R$6</definedName>
    <definedName name="_xlnm._FilterDatabase" localSheetId="11" hidden="1">'C_jama.2019.7505'!$A$1:$R$5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b val="1"/>
      <color rgb="00173F57"/>
      <sz val="11"/>
    </font>
    <font>
      <name val="Calibri"/>
      <b val="1"/>
      <color rgb="00FFFFFF"/>
      <sz val="11"/>
    </font>
    <font>
      <name val="Calibri"/>
      <color rgb="00173F57"/>
      <sz val="11"/>
    </font>
    <font>
      <name val="Calibri"/>
      <color rgb="000563C1"/>
      <sz val="11"/>
      <u val="single"/>
    </font>
  </fonts>
  <fills count="11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  <fill>
      <patternFill patternType="solid">
        <fgColor rgb="00FCE4D6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6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5" fillId="7" borderId="0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8" borderId="0" applyAlignment="1" applyProtection="1" pivotButton="0" quotePrefix="0" xfId="0">
      <alignment vertical="center" wrapText="1"/>
      <protection locked="0" hidden="0"/>
    </xf>
    <xf numFmtId="0" fontId="5" fillId="10" borderId="0" applyAlignment="1" applyProtection="1" pivotButton="0" quotePrefix="0" xfId="0">
      <alignment vertical="center" wrapText="1"/>
      <protection locked="0" hidden="0"/>
    </xf>
    <xf numFmtId="0" fontId="6" fillId="0" borderId="0" applyAlignment="1" applyProtection="1" pivotButton="0" quotePrefix="0" xfId="0">
      <alignment vertical="center" wrapText="1"/>
      <protection locked="0" hidden="0"/>
    </xf>
    <xf numFmtId="0" fontId="6" fillId="3" borderId="0" applyAlignment="1" applyProtection="1" pivotButton="0" quotePrefix="0" xfId="0">
      <alignment vertical="center" wrapText="1"/>
      <protection locked="0" hidden="0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6" fillId="7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4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  <dxf>
      <font>
        <color rgb="00375623"/>
      </font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Review instructions</author>
  </authors>
  <commentList>
    <comment ref="B2" authorId="0" shapeId="0">
      <text>
        <t>Required identity. Whitespace-only or padded input is invalid.</t>
      </text>
    </comment>
  </commentList>
</comments>
</file>

<file path=xl/comments/comment2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</commentList>
</comments>
</file>

<file path=xl/comments/comment3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  <comment ref="E5" authorId="0" shapeId="0">
      <text>
        <t>Baseline AI-suggested domain. Confirm or edit; this is not a human decision.</t>
      </text>
    </comment>
    <comment ref="E6" authorId="0" shapeId="0">
      <text>
        <t>Baseline AI-suggested domain. Confirm or edit; this is not a human decision.</t>
      </text>
    </comment>
    <comment ref="E7" authorId="0" shapeId="0">
      <text>
        <t>Baseline AI-suggested domain. Confirm or edit; this is not a human decision.</t>
      </text>
    </comment>
    <comment ref="E8" authorId="0" shapeId="0">
      <text>
        <t>Baseline AI-suggested domain. Confirm or edit; this is not a human decision.</t>
      </text>
    </comment>
    <comment ref="E9" authorId="0" shapeId="0">
      <text>
        <t>Baseline AI-suggested domain. Confirm or edit; this is not a human decision.</t>
      </text>
    </comment>
  </commentList>
</comments>
</file>

<file path=xl/comments/comment4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  <comment ref="E5" authorId="0" shapeId="0">
      <text>
        <t>Baseline AI-suggested domain. Confirm or edit; this is not a human decision.</t>
      </text>
    </comment>
    <comment ref="E6" authorId="0" shapeId="0">
      <text>
        <t>Baseline AI-suggested domain. Confirm or edit; this is not a human decision.</t>
      </text>
    </comment>
    <comment ref="E7" authorId="0" shapeId="0">
      <text>
        <t>Baseline AI-suggested domain. Confirm or edit; this is not a human decision.</t>
      </text>
    </comment>
    <comment ref="E8" authorId="0" shapeId="0">
      <text>
        <t>Baseline AI-suggested domain. Confirm or edit; this is not a human decision.</t>
      </text>
    </comment>
    <comment ref="E9" authorId="0" shapeId="0">
      <text>
        <t>Baseline AI-suggested domain. Confirm or edit; this is not a human decision.</t>
      </text>
    </comment>
    <comment ref="E10" authorId="0" shapeId="0">
      <text>
        <t>Baseline AI-suggested domain. Confirm or edit; this is not a human decision.</t>
      </text>
    </comment>
    <comment ref="E11" authorId="0" shapeId="0">
      <text>
        <t>Baseline AI-suggested domain. Confirm or edit; this is not a human decision.</t>
      </text>
    </comment>
    <comment ref="E12" authorId="0" shapeId="0">
      <text>
        <t>Baseline AI-suggested domain. Confirm or edit; this is not a human decision.</t>
      </text>
    </comment>
  </commentList>
</comments>
</file>

<file path=xl/comments/comment5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  <comment ref="E5" authorId="0" shapeId="0">
      <text>
        <t>Baseline AI-suggested domain. Confirm or edit; this is not a human decision.</t>
      </text>
    </comment>
    <comment ref="E6" authorId="0" shapeId="0">
      <text>
        <t>Baseline AI-suggested domain. Confirm or edit; this is not a human decision.</t>
      </text>
    </comment>
    <comment ref="E7" authorId="0" shapeId="0">
      <text>
        <t>Baseline AI-suggested domain. Confirm or edit; this is not a human decision.</t>
      </text>
    </comment>
    <comment ref="E8" authorId="0" shapeId="0">
      <text>
        <t>Baseline AI-suggested domain. Confirm or edit; this is not a human decision.</t>
      </text>
    </comment>
    <comment ref="E9" authorId="0" shapeId="0">
      <text>
        <t>Baseline AI-suggested domain. Confirm or edit; this is not a human decision.</t>
      </text>
    </comment>
    <comment ref="E10" authorId="0" shapeId="0">
      <text>
        <t>Baseline AI-suggested domain. Confirm or edit; this is not a human decision.</t>
      </text>
    </comment>
  </commentList>
</comments>
</file>

<file path=xl/comments/comment6.xml><?xml version="1.0" encoding="utf-8"?>
<comments xmlns="http://schemas.openxmlformats.org/spreadsheetml/2006/main">
  <authors>
    <author>Source navigation</author>
    <author>Review instructions</author>
  </authors>
  <commentList>
    <comment ref="A2" authorId="0" shapeId="0">
      <text>
        <t>The baseline has no separate Evidence rows for this candidate. This link opens its embedded Candidates statement and rationale. Consult Links for original documents.</t>
      </text>
    </comment>
    <comment ref="E2" authorId="1" shapeId="0">
      <text>
        <t>Baseline AI-suggested domain. Confirm or edit; this is not a human decision.</t>
      </text>
    </comment>
    <comment ref="A3" authorId="0" shapeId="0">
      <text>
        <t>The baseline has no separate Evidence rows for this candidate. This link opens its embedded Candidates statement and rationale. Consult Links for original documents.</t>
      </text>
    </comment>
    <comment ref="E3" authorId="1" shapeId="0">
      <text>
        <t>Baseline AI-suggested domain. Confirm or edit; this is not a human decision.</t>
      </text>
    </comment>
    <comment ref="A4" authorId="0" shapeId="0">
      <text>
        <t>The baseline has no separate Evidence rows for this candidate. This link opens its embedded Candidates statement and rationale. Consult Links for original documents.</t>
      </text>
    </comment>
    <comment ref="E4" authorId="1" shapeId="0">
      <text>
        <t>Baseline AI-suggested domain. Confirm or edit; this is not a human decision.</t>
      </text>
    </comment>
    <comment ref="A5" authorId="0" shapeId="0">
      <text>
        <t>The baseline has no separate Evidence rows for this candidate. This link opens its embedded Candidates statement and rationale. Consult Links for original documents.</t>
      </text>
    </comment>
    <comment ref="E5" authorId="1" shapeId="0">
      <text>
        <t>Baseline AI-suggested domain. Confirm or edit; this is not a human decision.</t>
      </text>
    </comment>
    <comment ref="A6" authorId="0" shapeId="0">
      <text>
        <t>The baseline has no separate Evidence rows for this candidate. This link opens its embedded Candidates statement and rationale. Consult Links for original documents.</t>
      </text>
    </comment>
    <comment ref="E6" authorId="1" shapeId="0">
      <text>
        <t>Baseline AI-suggested domain. Confirm or edit; this is not a human decision.</t>
      </text>
    </comment>
    <comment ref="A7" authorId="0" shapeId="0">
      <text>
        <t>The baseline has no separate Evidence rows for this candidate. This link opens its embedded Candidates statement and rationale. Consult Links for original documents.</t>
      </text>
    </comment>
    <comment ref="E7" authorId="1" shapeId="0">
      <text>
        <t>Baseline AI-suggested domain. Confirm or edit; this is not a human decision.</t>
      </text>
    </comment>
  </commentList>
</comments>
</file>

<file path=xl/comments/comment7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  <comment ref="E5" authorId="0" shapeId="0">
      <text>
        <t>Baseline AI-suggested domain. Confirm or edit; this is not a human decision.</t>
      </text>
    </comment>
    <comment ref="E6" authorId="0" shapeId="0">
      <text>
        <t>Baseline AI-suggested domain. Confirm or edit; this is not a human decision.</t>
      </text>
    </comment>
    <comment ref="E7" authorId="0" shapeId="0">
      <text>
        <t>Baseline AI-suggested domain. Confirm or edit; this is not a human decision.</t>
      </text>
    </comment>
    <comment ref="E8" authorId="0" shapeId="0">
      <text>
        <t>Baseline AI-suggested domain. Confirm or edit; this is not a human decision.</t>
      </text>
    </comment>
  </commentList>
</comments>
</file>

<file path=xl/comments/comment8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  <comment ref="E5" authorId="0" shapeId="0">
      <text>
        <t>Baseline AI-suggested domain. Confirm or edit; this is not a human decision.</t>
      </text>
    </comment>
    <comment ref="E6" authorId="0" shapeId="0">
      <text>
        <t>Baseline AI-suggested domain. Confirm or edit; this is not a human decision.</t>
      </text>
    </comment>
    <comment ref="E7" authorId="0" shapeId="0">
      <text>
        <t>Baseline AI-suggested domain. Confirm or edit; this is not a human decision.</t>
      </text>
    </comment>
    <comment ref="E8" authorId="0" shapeId="0">
      <text>
        <t>Baseline AI-suggested domain. Confirm or edit; this is not a human decision.</t>
      </text>
    </comment>
    <comment ref="E9" authorId="0" shapeId="0">
      <text>
        <t>Baseline AI-suggested domain. Confirm or edit; this is not a human decision.</t>
      </text>
    </comment>
    <comment ref="E10" authorId="0" shapeId="0">
      <text>
        <t>Baseline AI-suggested domain. Confirm or edit; this is not a human decision.</t>
      </text>
    </comment>
  </commentList>
</comments>
</file>

<file path=xl/comments/comment9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  <comment ref="E5" authorId="0" shapeId="0">
      <text>
        <t>Baseline AI-suggested domain. Confirm or edit; this is not a human decision.</t>
      </text>
    </comment>
    <comment ref="E6" authorId="0" shapeId="0">
      <text>
        <t>Baseline AI-suggested domain. Confirm or edit; this is not a human decision.</t>
      </text>
    </comment>
  </commentList>
</comments>
</file>

<file path=xl/comments/comment10.xml><?xml version="1.0" encoding="utf-8"?>
<comments xmlns="http://schemas.openxmlformats.org/spreadsheetml/2006/main">
  <authors>
    <author>Review instructions</author>
  </authors>
  <commentList>
    <comment ref="E2" authorId="0" shapeId="0">
      <text>
        <t>Baseline AI-suggested domain. Confirm or edit; this is not a human decision.</t>
      </text>
    </comment>
    <comment ref="E3" authorId="0" shapeId="0">
      <text>
        <t>Baseline AI-suggested domain. Confirm or edit; this is not a human decision.</t>
      </text>
    </comment>
    <comment ref="E4" authorId="0" shapeId="0">
      <text>
        <t>Baseline AI-suggested domain. Confirm or edit; this is not a human decision.</t>
      </text>
    </comment>
    <comment ref="E5" authorId="0" shapeId="0">
      <text>
        <t>Baseline AI-suggested domain. Confirm or edit; this is not a human decision.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style="14" min="1" max="1"/>
    <col width="90" customWidth="1" style="14" min="2" max="2"/>
  </cols>
  <sheetData>
    <row r="1" ht="44" customFormat="1" customHeight="1" s="14">
      <c r="A1" s="15" t="inlineStr">
        <is>
          <t>Field</t>
        </is>
      </c>
      <c r="B1" s="15" t="inlineStr">
        <is>
          <t>Value</t>
        </is>
      </c>
    </row>
    <row r="2" ht="45" customFormat="1" customHeight="1" s="14">
      <c r="A2" s="16" t="inlineStr">
        <is>
          <t>Reviewer ID or name (required)</t>
        </is>
      </c>
      <c r="B2" s="18" t="n"/>
    </row>
    <row r="3" ht="45" customFormat="1" customHeight="1" s="14">
      <c r="A3" s="17" t="inlineStr">
        <is>
          <t>Reviewer name (optional)</t>
        </is>
      </c>
      <c r="B3" s="18" t="n"/>
    </row>
    <row r="4" ht="45" customFormat="1" customHeight="1" s="14">
      <c r="A4" s="16" t="inlineStr">
        <is>
          <t>Reviewer role</t>
        </is>
      </c>
      <c r="B4" s="16" t="inlineStr">
        <is>
          <t>R_A</t>
        </is>
      </c>
    </row>
    <row r="5" ht="45" customFormat="1" customHeight="1" s="14">
      <c r="A5" s="17" t="inlineStr">
        <is>
          <t>Year</t>
        </is>
      </c>
      <c r="B5" s="17" t="n">
        <v>2019</v>
      </c>
    </row>
    <row r="6" ht="45" customFormat="1" customHeight="1" s="14">
      <c r="A6" s="16" t="inlineStr">
        <is>
          <t>Schema</t>
        </is>
      </c>
      <c r="B6" s="16" t="inlineStr">
        <is>
          <t>xlsx-adjudication-independent-primary-2.3.1</t>
        </is>
      </c>
    </row>
    <row r="7" ht="45" customFormat="1" customHeight="1" s="14">
      <c r="A7" s="17" t="inlineStr">
        <is>
          <t>Identity guidance</t>
        </is>
      </c>
      <c r="B7" s="17" t="inlineStr">
        <is>
          <t>Enter your own ID or name in B2. Do not enter the role label as your identity. B3 is optional.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style="14" min="1" max="1"/>
    <col width="108" customWidth="1" style="14" min="2" max="2"/>
  </cols>
  <sheetData>
    <row r="1" ht="44" customFormat="1" customHeight="1" s="14">
      <c r="A1" s="15" t="inlineStr">
        <is>
          <t>Check</t>
        </is>
      </c>
      <c r="B1" s="15" t="inlineStr">
        <is>
          <t>Result</t>
        </is>
      </c>
    </row>
    <row r="2" ht="53" customFormat="1" customHeight="1" s="14">
      <c r="A2" s="16" t="inlineStr">
        <is>
          <t>Reviewer role</t>
        </is>
      </c>
      <c r="B2" s="16">
        <f>Setup!$B$4</f>
        <v/>
      </c>
    </row>
    <row r="3" ht="53" customFormat="1" customHeight="1" s="14">
      <c r="A3" s="17" t="inlineStr">
        <is>
          <t>Total candidates</t>
        </is>
      </c>
      <c r="B3" s="17" t="n">
        <v>62</v>
      </c>
    </row>
    <row r="4" ht="53" customFormat="1" customHeight="1" s="14">
      <c r="A4" s="16" t="inlineStr">
        <is>
          <t>Primary ready</t>
        </is>
      </c>
      <c r="B4" s="16">
        <f>COUNTIF('C_jama.2019.10517'!$G$2:$G$4,"PRIMARY READY")+COUNTIF('C_jama.2019.12618'!$G$2:$G$9,"PRIMARY READY")+COUNTIF('C_jama.2019.14231'!$G$2:$G$12,"PRIMARY READY")+COUNTIF('C_jama.2019.14630'!$G$2:$G$10,"PRIMARY READY")+COUNTIF('C_jama.2019.14901'!$G$2:$G$7,"PRIMARY READY")+COUNTIF('C_jama.2019.17380'!$G$2:$G$8,"PRIMARY READY")+COUNTIF('C_jama.2019.2210'!$G$2:$G$10,"PRIMARY READY")+COUNTIF('C_jama.2019.4755'!$G$2:$G$6,"PRIMARY READY")+COUNTIF('C_jama.2019.7505'!$G$2:$G$5,"PRIMARY READY")</f>
        <v/>
      </c>
    </row>
    <row r="5" ht="53" customFormat="1" customHeight="1" s="14">
      <c r="A5" s="17" t="inlineStr">
        <is>
          <t>Unfinished</t>
        </is>
      </c>
      <c r="B5" s="17">
        <f>B3-B4</f>
        <v/>
      </c>
    </row>
    <row r="6" ht="53" customFormat="1" customHeight="1" s="14">
      <c r="A6" s="16" t="inlineStr">
        <is>
          <t>Discuss / unresolved</t>
        </is>
      </c>
      <c r="B6" s="19">
        <f>COUNTIF('C_jama.2019.10517'!$D$2:$D$4,"discuss")+COUNTIF('C_jama.2019.12618'!$D$2:$D$9,"discuss")+COUNTIF('C_jama.2019.14231'!$D$2:$D$12,"discuss")+COUNTIF('C_jama.2019.14630'!$D$2:$D$10,"discuss")+COUNTIF('C_jama.2019.14901'!$D$2:$D$7,"discuss")+COUNTIF('C_jama.2019.17380'!$D$2:$D$8,"discuss")+COUNTIF('C_jama.2019.2210'!$D$2:$D$10,"discuss")+COUNTIF('C_jama.2019.4755'!$D$2:$D$6,"discuss")+COUNTIF('C_jama.2019.7505'!$D$2:$D$5,"discuss")</f>
        <v/>
      </c>
    </row>
    <row r="7" ht="53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3" customFormat="1" customHeight="1" s="14">
      <c r="A8" s="16" t="inlineStr">
        <is>
          <t>Ready discuss rows</t>
        </is>
      </c>
      <c r="B8" s="16">
        <f>COUNTIFS('C_jama.2019.10517'!$G$2:$G$4,"PRIMARY READY",'C_jama.2019.10517'!$D$2:$D$4,"discuss")+COUNTIFS('C_jama.2019.12618'!$G$2:$G$9,"PRIMARY READY",'C_jama.2019.12618'!$D$2:$D$9,"discuss")+COUNTIFS('C_jama.2019.14231'!$G$2:$G$12,"PRIMARY READY",'C_jama.2019.14231'!$D$2:$D$12,"discuss")+COUNTIFS('C_jama.2019.14630'!$G$2:$G$10,"PRIMARY READY",'C_jama.2019.14630'!$D$2:$D$10,"discuss")+COUNTIFS('C_jama.2019.14901'!$G$2:$G$7,"PRIMARY READY",'C_jama.2019.14901'!$D$2:$D$7,"discuss")+COUNTIFS('C_jama.2019.17380'!$G$2:$G$8,"PRIMARY READY",'C_jama.2019.17380'!$D$2:$D$8,"discuss")+COUNTIFS('C_jama.2019.2210'!$G$2:$G$10,"PRIMARY READY",'C_jama.2019.2210'!$D$2:$D$10,"discuss")+COUNTIFS('C_jama.2019.4755'!$G$2:$G$6,"PRIMARY READY",'C_jama.2019.4755'!$D$2:$D$6,"discuss")+COUNTIFS('C_jama.2019.7505'!$G$2:$G$5,"PRIMARY READY",'C_jama.2019.7505'!$D$2:$D$5,"discuss")</f>
        <v/>
      </c>
    </row>
    <row r="9" ht="53" customFormat="1" customHeight="1" s="14">
      <c r="A9" s="16" t="inlineStr">
        <is>
          <t>Next action</t>
        </is>
      </c>
      <c r="B9" s="16">
        <f>IF(B7="PRIMARY READY",IF(B6&gt;0,"Save and deliver this independent review. Discuss rows remain unresolved.","Save and deliver this independent review."),"Inspect G on each C_ sheet, correct entries and manually confirm F.")</f>
        <v/>
      </c>
    </row>
    <row r="10" ht="76" customFormat="1" customHeight="1" s="14">
      <c r="A10" s="17" t="inlineStr">
        <is>
          <t>Scope</t>
        </is>
      </c>
      <c r="B10" s="17" t="inlineStr">
        <is>
          <t>Entry checks and independent completion only. Discuss is not a confirmed absence of error. Review the evidence; preserve ordinary Excel backups.</t>
        </is>
      </c>
    </row>
    <row r="11" ht="53" customFormat="1" customHeight="1" s="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2" customWidth="1" style="14" min="1" max="1"/>
    <col width="34" customWidth="1" style="14" min="2" max="2"/>
    <col width="18" customWidth="1" style="14" min="3" max="3"/>
  </cols>
  <sheetData>
    <row r="1" ht="42" customFormat="1" customHeight="1" s="14">
      <c r="A1" s="5" t="inlineStr">
        <is>
          <t>Paper</t>
        </is>
      </c>
      <c r="B1" s="5" t="inlineStr">
        <is>
          <t>Review worksheet</t>
        </is>
      </c>
      <c r="C1" s="5" t="inlineStr">
        <is>
          <t>Candidates</t>
        </is>
      </c>
    </row>
    <row r="2" ht="36" customFormat="1" customHeight="1" s="14">
      <c r="A2" s="11" t="inlineStr">
        <is>
          <t>jama.2019.10517</t>
        </is>
      </c>
      <c r="B2" s="20" t="inlineStr">
        <is>
          <t>C_jama.2019.10517</t>
        </is>
      </c>
      <c r="C2" s="11" t="n">
        <v>3</v>
      </c>
    </row>
    <row r="3" ht="36" customFormat="1" customHeight="1" s="14">
      <c r="A3" s="12" t="inlineStr">
        <is>
          <t>jama.2019.12618</t>
        </is>
      </c>
      <c r="B3" s="21" t="inlineStr">
        <is>
          <t>C_jama.2019.12618</t>
        </is>
      </c>
      <c r="C3" s="12" t="n">
        <v>8</v>
      </c>
    </row>
    <row r="4" ht="36" customFormat="1" customHeight="1" s="14">
      <c r="A4" s="11" t="inlineStr">
        <is>
          <t>jama.2019.14231</t>
        </is>
      </c>
      <c r="B4" s="20" t="inlineStr">
        <is>
          <t>C_jama.2019.14231</t>
        </is>
      </c>
      <c r="C4" s="11" t="n">
        <v>11</v>
      </c>
    </row>
    <row r="5" ht="36" customFormat="1" customHeight="1" s="14">
      <c r="A5" s="12" t="inlineStr">
        <is>
          <t>jama.2019.14630</t>
        </is>
      </c>
      <c r="B5" s="21" t="inlineStr">
        <is>
          <t>C_jama.2019.14630</t>
        </is>
      </c>
      <c r="C5" s="12" t="n">
        <v>9</v>
      </c>
    </row>
    <row r="6" ht="36" customFormat="1" customHeight="1" s="14">
      <c r="A6" s="11" t="inlineStr">
        <is>
          <t>jama.2019.14901</t>
        </is>
      </c>
      <c r="B6" s="20" t="inlineStr">
        <is>
          <t>C_jama.2019.14901</t>
        </is>
      </c>
      <c r="C6" s="11" t="n">
        <v>6</v>
      </c>
    </row>
    <row r="7" ht="36" customFormat="1" customHeight="1" s="14">
      <c r="A7" s="12" t="inlineStr">
        <is>
          <t>jama.2019.17380</t>
        </is>
      </c>
      <c r="B7" s="21" t="inlineStr">
        <is>
          <t>C_jama.2019.17380</t>
        </is>
      </c>
      <c r="C7" s="12" t="n">
        <v>7</v>
      </c>
    </row>
    <row r="8" ht="36" customFormat="1" customHeight="1" s="14">
      <c r="A8" s="11" t="inlineStr">
        <is>
          <t>jama.2019.2210</t>
        </is>
      </c>
      <c r="B8" s="20" t="inlineStr">
        <is>
          <t>C_jama.2019.2210</t>
        </is>
      </c>
      <c r="C8" s="11" t="n">
        <v>9</v>
      </c>
    </row>
    <row r="9" ht="36" customFormat="1" customHeight="1" s="14">
      <c r="A9" s="12" t="inlineStr">
        <is>
          <t>jama.2019.4755</t>
        </is>
      </c>
      <c r="B9" s="21" t="inlineStr">
        <is>
          <t>C_jama.2019.4755</t>
        </is>
      </c>
      <c r="C9" s="12" t="n">
        <v>5</v>
      </c>
    </row>
    <row r="10" ht="36" customFormat="1" customHeight="1" s="14">
      <c r="A10" s="11" t="inlineStr">
        <is>
          <t>jama.2019.7505</t>
        </is>
      </c>
      <c r="B10" s="20" t="inlineStr">
        <is>
          <t>C_jama.2019.7505</t>
        </is>
      </c>
      <c r="C10" s="11" t="n">
        <v>4</v>
      </c>
    </row>
    <row r="11" ht="36" customFormat="1" customHeight="1" s="14"/>
  </sheetData>
  <hyperlinks>
    <hyperlink ref="B2" location="'C_jama.2019.10517'!A1"/>
    <hyperlink ref="B3" location="'C_jama.2019.12618'!A1"/>
    <hyperlink ref="B4" location="'C_jama.2019.14231'!A1"/>
    <hyperlink ref="B5" location="'C_jama.2019.14630'!A1"/>
    <hyperlink ref="B6" location="'C_jama.2019.14901'!A1"/>
    <hyperlink ref="B7" location="'C_jama.2019.17380'!A1"/>
    <hyperlink ref="B8" location="'C_jama.2019.2210'!A1"/>
    <hyperlink ref="B9" location="'C_jama.2019.4755'!A1"/>
    <hyperlink ref="B10" location="'C_jama.2019.7505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92" customFormat="1" customHeight="1" s="14">
      <c r="A2" s="12" t="inlineStr">
        <is>
          <t>2019::jama.2019.10517::C001</t>
        </is>
      </c>
      <c r="B2" s="12" t="inlineStr">
        <is>
          <t>Table 5 absolute difference does not reproduce from the displayed counts</t>
        </is>
      </c>
      <c r="C2" s="12" t="inlineStr">
        <is>
          <t>jama_flint_2019_oi_190079.pdf — PDF p. 9, Table 5, total-cholesterol and LDL rows.</t>
        </is>
      </c>
      <c r="D2" s="23" t="n"/>
      <c r="E2" s="23" t="inlineStr">
        <is>
          <t>statistical_results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ID",IF(OR(A2="",COUNTIF($A$2:$A$4,A2)&lt;&gt;1,LEFT(A2,LEN("2019::jama.2019.10517::"))&lt;&gt;"2019::jama.2019.10517::"),"CHECK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176" customFormat="1" customHeight="1" s="14">
      <c r="A3" s="11" t="inlineStr">
        <is>
          <t>2019::jama.2019.10517::C002</t>
        </is>
      </c>
      <c r="B3" s="11" t="inlineStr">
        <is>
          <t>HbA1c interaction is labelled with a concentration unit while matched displays use percent</t>
        </is>
      </c>
      <c r="C3" s="11" t="inlineStr">
        <is>
          <t>jama_flint_2019_oi_190079.pdf — PDF p. 1, abstract Results; jama_flint_2019_oi_190079.pdf — PDF p. 7, Secondary Outcomes; jama_flint_2019_oi_190079.pdf — PDF p. 8, Table 4; and joi190079supp2_prod.pdf — PDF p. 9, eFigure 8.</t>
        </is>
      </c>
      <c r="D3" s="23" t="n"/>
      <c r="E3" s="23" t="inlineStr">
        <is>
          <t>report_internal_inconsistency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ID",IF(OR(A3="",COUNTIF($A$2:$A$4,A3)&lt;&gt;1,LEFT(A3,LEN("2019::jama.2019.10517::"))&lt;&gt;"2019::jama.2019.10517::"),"CHECK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134" customFormat="1" customHeight="1" s="14">
      <c r="A4" s="12" t="inlineStr">
        <is>
          <t>2019::jama.2019.10517::C003</t>
        </is>
      </c>
      <c r="B4" s="12" t="inlineStr">
        <is>
          <t>Protocol recruitment target conflicts between 82 and 98 participants per site</t>
        </is>
      </c>
      <c r="C4" s="12" t="inlineStr">
        <is>
          <t>joi190079supp1_prod.pdf — PDF p. 7, Figure 1 and Section 3.9.1; joi190079supp1_prod.pdf — PDF p. 17, Table 4; and joi190079supp1_prod.pdf — PDF p. 21, Section 4.2.1.</t>
        </is>
      </c>
      <c r="D4" s="23" t="n"/>
      <c r="E4" s="23" t="inlineStr">
        <is>
          <t>plan_material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ID",IF(OR(A4="",COUNTIF($A$2:$A$4,A4)&lt;&gt;1,LEFT(A4,LEN("2019::jama.2019.10517::"))&lt;&gt;"2019::jama.2019.10517::"),"CHECK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</sheetData>
  <autoFilter ref="A1:R4"/>
  <conditionalFormatting sqref="H2:H4">
    <cfRule type="expression" priority="8" dxfId="70">
      <formula>NOT(AND(OR($D2="retain",$D2=""),$E2="statistical_results"))</formula>
    </cfRule>
  </conditionalFormatting>
  <conditionalFormatting sqref="I2:I4">
    <cfRule type="expression" priority="9" dxfId="70">
      <formula>NOT(AND(OR($D2="retain",$D2=""),$E2="statistical_results"))</formula>
    </cfRule>
  </conditionalFormatting>
  <conditionalFormatting sqref="J2:J4">
    <cfRule type="expression" priority="10" dxfId="70">
      <formula>NOT(AND(OR($D2="retain",$D2=""),$E2="statistical_results"))</formula>
    </cfRule>
  </conditionalFormatting>
  <conditionalFormatting sqref="K2:K4">
    <cfRule type="expression" priority="11" dxfId="70">
      <formula>NOT(AND(OR($D2="retain",$D2=""),OR($E2="report_internal_inconsistency",$E2="plan_material")))</formula>
    </cfRule>
  </conditionalFormatting>
  <conditionalFormatting sqref="L2:L4">
    <cfRule type="expression" priority="12" dxfId="70">
      <formula>NOT(AND(OR($D2="retain",$D2=""),$E2="protocol_report"))</formula>
    </cfRule>
  </conditionalFormatting>
  <conditionalFormatting sqref="G2:G4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4">
    <cfRule type="expression" priority="15" dxfId="73">
      <formula>$D2="discuss"</formula>
    </cfRule>
  </conditionalFormatting>
  <dataValidations count="8">
    <dataValidation sqref="D2:D4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4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4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4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4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4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4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4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92" customFormat="1" customHeight="1" s="14">
      <c r="A2" s="12" t="inlineStr">
        <is>
          <t>2019::jama.2019.12618::C001</t>
        </is>
      </c>
      <c r="B2" s="12" t="inlineStr">
        <is>
          <t>protocol timeline end date</t>
        </is>
      </c>
      <c r="C2" s="12" t="inlineStr">
        <is>
          <t>joi190092supp2_prod.pdf — PDF p. 11, Table 1.</t>
        </is>
      </c>
      <c r="D2" s="23" t="n"/>
      <c r="E2" s="23" t="inlineStr">
        <is>
          <t>plan_material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ID",IF(OR(A2="",COUNTIF($A$2:$A$9,A2)&lt;&gt;1,LEFT(A2,LEN("2019::jama.2019.12618::"))&lt;&gt;"2019::jama.2019.12618::"),"CHECK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120" customFormat="1" customHeight="1" s="14">
      <c r="A3" s="11" t="inlineStr">
        <is>
          <t>2019::jama.2019.12618::C002</t>
        </is>
      </c>
      <c r="B3" s="11" t="inlineStr">
        <is>
          <t>eligible failure total vs switching denominators</t>
        </is>
      </c>
      <c r="C3" s="11" t="inlineStr">
        <is>
          <t>jama_rathinam_2019_oi_190092.pdf — PDF p. 7; jama_rathinam_2019_oi_190092.pdf — PDF p. 6, Table 2; jama_rathinam_2019_oi_190092.pdf — PDF p. 3, Figure 1.</t>
        </is>
      </c>
      <c r="D3" s="23" t="n"/>
      <c r="E3" s="23" t="inlineStr">
        <is>
          <t>statistical_results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ID",IF(OR(A3="",COUNTIF($A$2:$A$9,A3)&lt;&gt;1,LEFT(A3,LEN("2019::jama.2019.12618::"))&lt;&gt;"2019::jama.2019.12618::"),"CHECK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134" customFormat="1" customHeight="1" s="14">
      <c r="A4" s="12" t="inlineStr">
        <is>
          <t>2019::jama.2019.12618::C003</t>
        </is>
      </c>
      <c r="B4" s="12" t="inlineStr">
        <is>
          <t>allocation block sizes</t>
        </is>
      </c>
      <c r="C4" s="12" t="inlineStr">
        <is>
          <t>jama_rathinam_2019_oi_190092.pdf — PDF p. 2; joi190092supp2_prod.pdf — PDF p. 13; joi190092supp3_prod.pdf — PDF p. 9; joi190092supp3_prod.pdf — PDF pp. 49–50 and p. 50.</t>
        </is>
      </c>
      <c r="D4" s="23" t="n"/>
      <c r="E4" s="23" t="inlineStr">
        <is>
          <t>protocol_report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ID",IF(OR(A4="",COUNTIF($A$2:$A$9,A4)&lt;&gt;1,LEFT(A4,LEN("2019::jama.2019.12618::"))&lt;&gt;"2019::jama.2019.12618::"),"CHECK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134" customFormat="1" customHeight="1" s="14">
      <c r="A5" s="11" t="inlineStr">
        <is>
          <t>2019::jama.2019.12618::C004</t>
        </is>
      </c>
      <c r="B5" s="11" t="inlineStr">
        <is>
          <t>six-month success injection-after-90-days criterion</t>
        </is>
      </c>
      <c r="C5" s="11" t="inlineStr">
        <is>
          <t>jama_rathinam_2019_oi_190092.pdf — PDF p. 3; jama_rathinam_2019_oi_190092.pdf — PDF p. 6; joi190092supp2_prod.pdf — PDF p. 80, §2.5.1; joi190092supp3_prod.pdf — PDF p. 70.</t>
        </is>
      </c>
      <c r="D5" s="23" t="n"/>
      <c r="E5" s="23" t="inlineStr">
        <is>
          <t>protocol_report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ID",IF(OR(A5="",COUNTIF($A$2:$A$9,A5)&lt;&gt;1,LEFT(A5,LEN("2019::jama.2019.12618::"))&lt;&gt;"2019::jama.2019.12618::"),"CHECK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  <row r="6" ht="92" customFormat="1" customHeight="1" s="14">
      <c r="A6" s="12" t="inlineStr">
        <is>
          <t>2019::jama.2019.12618::C005</t>
        </is>
      </c>
      <c r="B6" s="12" t="inlineStr">
        <is>
          <t>missed-dose Welch P=.87 compatibility</t>
        </is>
      </c>
      <c r="C6" s="12" t="inlineStr">
        <is>
          <t>jama_rathinam_2019_oi_190092.pdf — PDF p. 4; jama_rathinam_2019_oi_190092.pdf — PDF p. 6, Table 2.</t>
        </is>
      </c>
      <c r="D6" s="23" t="n"/>
      <c r="E6" s="23" t="inlineStr">
        <is>
          <t>statistical_results</t>
        </is>
      </c>
      <c r="F6" s="23" t="inlineStr">
        <is>
          <t>no</t>
        </is>
      </c>
      <c r="G6" s="12">
        <f>IFERROR(IF(OR(NOT(EXACT(Setup!$B$4,"R_A")),Setup!$B$5&lt;&gt;2019),"CHECK SETUP",IF(OR(LEN(TRIM(CLEAN(SUBSTITUTE(Setup!$B$2,CHAR(160)," "))))=0,Setup!$B$2&lt;&gt;TRIM(CLEAN(SUBSTITUTE(Setup!$B$2,CHAR(160)," ")))),"CHECK REVIEWER ID",IF(OR(A6="",COUNTIF($A$2:$A$9,A6)&lt;&gt;1,LEFT(A6,LEN("2019::jama.2019.12618::"))&lt;&gt;"2019::jama.2019.12618::"),"CHECK KEY",IF(NOT(OR(EXACT(F6,"no"),EXACT(F6,"primary_done"),EXACT(F6,""))),"CHECK COMPLETE FLAG",IF(OR(D6="",E6=""),"MISSING D / E",IF(OR(NOT(OR(EXACT(D6,"retain"),EXACT(D6,"exclude"),EXACT(D6,"discuss"))),NOT(OR(EXACT(E6,"statistical_results"),EXACT(E6,"report_internal_inconsistency"),EXACT(E6,"plan_material"),EXACT(E6,"protocol_report")))),"INVALID D / E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AND(AND(D6="retain",E6="statistical_results"),OR(H6="",EXACT(H6,"not_applicable"))),AND(AND(D6="retain",E6="statistical_results"),OR(I6="",EXACT(I6,"not_applicable"))),AND(AND(D6="retain",OR(E6="report_internal_inconsistency",E6="plan_material")),OR(K6="",EXACT(K6,"not_applicable")))),"MISSING REQUIRED JUDGMENT",IF(OR(AND(AND(D6="retain",E6="statistical_results"),H6&lt;&gt;"",NOT(OR(EXACT(H6,"confirmed_issue"),EXACT(H6,"probable_issue"),EXACT(H6,"not_issue"),EXACT(H6,"indeterminate")))),AND(AND(D6="retain",E6="statistical_results"),I6&lt;&gt;""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K6&lt;&gt;""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INVALID ACTIVE JUDGMENT",IF(F6&lt;&gt;"primary_done","PRIMARY DRAFT","PRIMARY READY")))))))))),"CHECK INPUT ERROR")</f>
        <v/>
      </c>
      <c r="H6" s="23">
        <f>IF(AND(OR(D6="retain",D6=""),E6="statistical_results"),"","not_applicable")</f>
        <v/>
      </c>
      <c r="I6" s="23">
        <f>IF(AND(OR(D6="retain",D6=""),E6="statistical_results"),"","not_applicable")</f>
        <v/>
      </c>
      <c r="J6" s="24">
        <f>IF(AND(OR(D6="retain",D6=""),E6="statistical_results"),"","not_applicable")</f>
        <v/>
      </c>
      <c r="K6" s="23">
        <f>IF(AND(OR(D6="retain",D6=""),OR(E6="report_internal_inconsistency",E6="plan_material")),"","not_applicable")</f>
        <v/>
      </c>
      <c r="L6" s="24">
        <f>IF(AND(OR(D6="retain",D6=""),E6="protocol_report"),"","not_applicable")</f>
        <v/>
      </c>
      <c r="M6" s="11" t="n"/>
      <c r="N6" s="11" t="n"/>
      <c r="O6" s="11" t="n"/>
      <c r="P6" s="11" t="n"/>
      <c r="Q6" s="11" t="n"/>
      <c r="R6" s="24" t="n"/>
    </row>
    <row r="7" ht="148" customFormat="1" customHeight="1" s="14">
      <c r="A7" s="11" t="inlineStr">
        <is>
          <t>2019::jama.2019.12618::C006</t>
        </is>
      </c>
      <c r="B7" s="11" t="inlineStr">
        <is>
          <t>main Table 3 MMF n=109 header vs supplement N=108/percentages</t>
        </is>
      </c>
      <c r="C7" s="11" t="inlineStr">
        <is>
          <t>jama_rathinam_2019_oi_190092.pdf — PDF p. 8, Table 3; joi190092supp1_prod.pdf — PDF p. 10, eTable 4; joi190092supp1_prod.pdf — PDF p. 11, eTable 5; joi190092supp1_prod.pdf — PDF p. 12, eTable 6.</t>
        </is>
      </c>
      <c r="D7" s="23" t="n"/>
      <c r="E7" s="23" t="inlineStr">
        <is>
          <t>report_internal_inconsistency</t>
        </is>
      </c>
      <c r="F7" s="23" t="inlineStr">
        <is>
          <t>no</t>
        </is>
      </c>
      <c r="G7" s="11">
        <f>IFERROR(IF(OR(NOT(EXACT(Setup!$B$4,"R_A")),Setup!$B$5&lt;&gt;2019),"CHECK SETUP",IF(OR(LEN(TRIM(CLEAN(SUBSTITUTE(Setup!$B$2,CHAR(160)," "))))=0,Setup!$B$2&lt;&gt;TRIM(CLEAN(SUBSTITUTE(Setup!$B$2,CHAR(160)," ")))),"CHECK REVIEWER ID",IF(OR(A7="",COUNTIF($A$2:$A$9,A7)&lt;&gt;1,LEFT(A7,LEN("2019::jama.2019.12618::"))&lt;&gt;"2019::jama.2019.12618::"),"CHECK KEY",IF(NOT(OR(EXACT(F7,"no"),EXACT(F7,"primary_done"),EXACT(F7,""))),"CHECK COMPLETE FLAG",IF(OR(D7="",E7=""),"MISSING D / E",IF(OR(NOT(OR(EXACT(D7,"retain"),EXACT(D7,"exclude"),EXACT(D7,"discuss"))),NOT(OR(EXACT(E7,"statistical_results"),EXACT(E7,"report_internal_inconsistency"),EXACT(E7,"plan_material"),EXACT(E7,"protocol_report")))),"INVALID D / E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AND(AND(D7="retain",E7="statistical_results"),OR(H7="",EXACT(H7,"not_applicable"))),AND(AND(D7="retain",E7="statistical_results"),OR(I7="",EXACT(I7,"not_applicable"))),AND(AND(D7="retain",OR(E7="report_internal_inconsistency",E7="plan_material")),OR(K7="",EXACT(K7,"not_applicable")))),"MISSING REQUIRED JUDGMENT",IF(OR(AND(AND(D7="retain",E7="statistical_results"),H7&lt;&gt;"",NOT(OR(EXACT(H7,"confirmed_issue"),EXACT(H7,"probable_issue"),EXACT(H7,"not_issue"),EXACT(H7,"indeterminate")))),AND(AND(D7="retain",E7="statistical_results"),I7&lt;&gt;""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K7&lt;&gt;""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INVALID ACTIVE JUDGMENT",IF(F7&lt;&gt;"primary_done","PRIMARY DRAFT","PRIMARY READY")))))))))),"CHECK INPUT ERROR")</f>
        <v/>
      </c>
      <c r="H7" s="23">
        <f>IF(AND(OR(D7="retain",D7=""),E7="statistical_results"),"","not_applicable")</f>
        <v/>
      </c>
      <c r="I7" s="23">
        <f>IF(AND(OR(D7="retain",D7=""),E7="statistical_results"),"","not_applicable")</f>
        <v/>
      </c>
      <c r="J7" s="24">
        <f>IF(AND(OR(D7="retain",D7=""),E7="statistical_results"),"","not_applicable")</f>
        <v/>
      </c>
      <c r="K7" s="23">
        <f>IF(AND(OR(D7="retain",D7=""),OR(E7="report_internal_inconsistency",E7="plan_material")),"","not_applicable")</f>
        <v/>
      </c>
      <c r="L7" s="24">
        <f>IF(AND(OR(D7="retain",D7=""),E7="protocol_report"),"","not_applicable")</f>
        <v/>
      </c>
      <c r="M7" s="11" t="n"/>
      <c r="N7" s="11" t="n"/>
      <c r="O7" s="11" t="n"/>
      <c r="P7" s="11" t="n"/>
      <c r="Q7" s="11" t="n"/>
      <c r="R7" s="24" t="n"/>
    </row>
    <row r="8" ht="92" customFormat="1" customHeight="1" s="14">
      <c r="A8" s="12" t="inlineStr">
        <is>
          <t>2019::jama.2019.12618::C007</t>
        </is>
      </c>
      <c r="B8" s="12" t="inlineStr">
        <is>
          <t>eTable 9 MMF serious diarrhea 1 (3.4) vs N=20</t>
        </is>
      </c>
      <c r="C8" s="12" t="inlineStr">
        <is>
          <t>joi190092supp1_prod.pdf — PDF p. 15, eTable 9, MMF N=20, Serious Systemic diarrhea row.</t>
        </is>
      </c>
      <c r="D8" s="23" t="n"/>
      <c r="E8" s="23" t="inlineStr">
        <is>
          <t>statistical_results</t>
        </is>
      </c>
      <c r="F8" s="23" t="inlineStr">
        <is>
          <t>no</t>
        </is>
      </c>
      <c r="G8" s="12">
        <f>IFERROR(IF(OR(NOT(EXACT(Setup!$B$4,"R_A")),Setup!$B$5&lt;&gt;2019),"CHECK SETUP",IF(OR(LEN(TRIM(CLEAN(SUBSTITUTE(Setup!$B$2,CHAR(160)," "))))=0,Setup!$B$2&lt;&gt;TRIM(CLEAN(SUBSTITUTE(Setup!$B$2,CHAR(160)," ")))),"CHECK REVIEWER ID",IF(OR(A8="",COUNTIF($A$2:$A$9,A8)&lt;&gt;1,LEFT(A8,LEN("2019::jama.2019.12618::"))&lt;&gt;"2019::jama.2019.12618::"),"CHECK KEY",IF(NOT(OR(EXACT(F8,"no"),EXACT(F8,"primary_done"),EXACT(F8,""))),"CHECK COMPLETE FLAG",IF(OR(D8="",E8=""),"MISSING D / E",IF(OR(NOT(OR(EXACT(D8,"retain"),EXACT(D8,"exclude"),EXACT(D8,"discuss"))),NOT(OR(EXACT(E8,"statistical_results"),EXACT(E8,"report_internal_inconsistency"),EXACT(E8,"plan_material"),EXACT(E8,"protocol_report")))),"INVALID D / E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AND(AND(D8="retain",E8="statistical_results"),OR(H8="",EXACT(H8,"not_applicable"))),AND(AND(D8="retain",E8="statistical_results"),OR(I8="",EXACT(I8,"not_applicable"))),AND(AND(D8="retain",OR(E8="report_internal_inconsistency",E8="plan_material")),OR(K8="",EXACT(K8,"not_applicable")))),"MISSING REQUIRED JUDGMENT",IF(OR(AND(AND(D8="retain",E8="statistical_results"),H8&lt;&gt;"",NOT(OR(EXACT(H8,"confirmed_issue"),EXACT(H8,"probable_issue"),EXACT(H8,"not_issue"),EXACT(H8,"indeterminate")))),AND(AND(D8="retain",E8="statistical_results"),I8&lt;&gt;""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K8&lt;&gt;""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INVALID ACTIVE JUDGMENT",IF(F8&lt;&gt;"primary_done","PRIMARY DRAFT","PRIMARY READY")))))))))),"CHECK INPUT ERROR")</f>
        <v/>
      </c>
      <c r="H8" s="23">
        <f>IF(AND(OR(D8="retain",D8=""),E8="statistical_results"),"","not_applicable")</f>
        <v/>
      </c>
      <c r="I8" s="23">
        <f>IF(AND(OR(D8="retain",D8=""),E8="statistical_results"),"","not_applicable")</f>
        <v/>
      </c>
      <c r="J8" s="24">
        <f>IF(AND(OR(D8="retain",D8=""),E8="statistical_results"),"","not_applicable")</f>
        <v/>
      </c>
      <c r="K8" s="23">
        <f>IF(AND(OR(D8="retain",D8=""),OR(E8="report_internal_inconsistency",E8="plan_material")),"","not_applicable")</f>
        <v/>
      </c>
      <c r="L8" s="24">
        <f>IF(AND(OR(D8="retain",D8=""),E8="protocol_report"),"","not_applicable")</f>
        <v/>
      </c>
      <c r="M8" s="11" t="n"/>
      <c r="N8" s="11" t="n"/>
      <c r="O8" s="11" t="n"/>
      <c r="P8" s="11" t="n"/>
      <c r="Q8" s="11" t="n"/>
      <c r="R8" s="24" t="n"/>
    </row>
    <row r="9" ht="120" customFormat="1" customHeight="1" s="14">
      <c r="A9" s="11" t="inlineStr">
        <is>
          <t>2019::jama.2019.12618::C008</t>
        </is>
      </c>
      <c r="B9" s="11" t="inlineStr">
        <is>
          <t>eTable 8 serious-ocular hypertension label vs eTable 1 surgery-required definition</t>
        </is>
      </c>
      <c r="C9" s="11" t="inlineStr">
        <is>
          <t>joi190092supp1_prod.pdf — PDF p. 5, eTable 1; joi190092supp1_prod.pdf — PDF p. 14, eTable 8; joi190092supp1_prod.pdf — PDF p. 15, eTable 9.</t>
        </is>
      </c>
      <c r="D9" s="23" t="n"/>
      <c r="E9" s="23" t="inlineStr">
        <is>
          <t>report_internal_inconsistency</t>
        </is>
      </c>
      <c r="F9" s="23" t="inlineStr">
        <is>
          <t>no</t>
        </is>
      </c>
      <c r="G9" s="11">
        <f>IFERROR(IF(OR(NOT(EXACT(Setup!$B$4,"R_A")),Setup!$B$5&lt;&gt;2019),"CHECK SETUP",IF(OR(LEN(TRIM(CLEAN(SUBSTITUTE(Setup!$B$2,CHAR(160)," "))))=0,Setup!$B$2&lt;&gt;TRIM(CLEAN(SUBSTITUTE(Setup!$B$2,CHAR(160)," ")))),"CHECK REVIEWER ID",IF(OR(A9="",COUNTIF($A$2:$A$9,A9)&lt;&gt;1,LEFT(A9,LEN("2019::jama.2019.12618::"))&lt;&gt;"2019::jama.2019.12618::"),"CHECK KEY",IF(NOT(OR(EXACT(F9,"no"),EXACT(F9,"primary_done"),EXACT(F9,""))),"CHECK COMPLETE FLAG",IF(OR(D9="",E9=""),"MISSING D / E",IF(OR(NOT(OR(EXACT(D9,"retain"),EXACT(D9,"exclude"),EXACT(D9,"discuss"))),NOT(OR(EXACT(E9,"statistical_results"),EXACT(E9,"report_internal_inconsistency"),EXACT(E9,"plan_material"),EXACT(E9,"protocol_report")))),"INVALID D / E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AND(AND(D9="retain",E9="statistical_results"),OR(H9="",EXACT(H9,"not_applicable"))),AND(AND(D9="retain",E9="statistical_results"),OR(I9="",EXACT(I9,"not_applicable"))),AND(AND(D9="retain",OR(E9="report_internal_inconsistency",E9="plan_material")),OR(K9="",EXACT(K9,"not_applicable")))),"MISSING REQUIRED JUDGMENT",IF(OR(AND(AND(D9="retain",E9="statistical_results"),H9&lt;&gt;"",NOT(OR(EXACT(H9,"confirmed_issue"),EXACT(H9,"probable_issue"),EXACT(H9,"not_issue"),EXACT(H9,"indeterminate")))),AND(AND(D9="retain",E9="statistical_results"),I9&lt;&gt;""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K9&lt;&gt;""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INVALID ACTIVE JUDGMENT",IF(F9&lt;&gt;"primary_done","PRIMARY DRAFT","PRIMARY READY")))))))))),"CHECK INPUT ERROR")</f>
        <v/>
      </c>
      <c r="H9" s="23">
        <f>IF(AND(OR(D9="retain",D9=""),E9="statistical_results"),"","not_applicable")</f>
        <v/>
      </c>
      <c r="I9" s="23">
        <f>IF(AND(OR(D9="retain",D9=""),E9="statistical_results"),"","not_applicable")</f>
        <v/>
      </c>
      <c r="J9" s="24">
        <f>IF(AND(OR(D9="retain",D9=""),E9="statistical_results"),"","not_applicable")</f>
        <v/>
      </c>
      <c r="K9" s="23">
        <f>IF(AND(OR(D9="retain",D9=""),OR(E9="report_internal_inconsistency",E9="plan_material")),"","not_applicable")</f>
        <v/>
      </c>
      <c r="L9" s="24">
        <f>IF(AND(OR(D9="retain",D9=""),E9="protocol_report"),"","not_applicable")</f>
        <v/>
      </c>
      <c r="M9" s="11" t="n"/>
      <c r="N9" s="11" t="n"/>
      <c r="O9" s="11" t="n"/>
      <c r="P9" s="11" t="n"/>
      <c r="Q9" s="11" t="n"/>
      <c r="R9" s="24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9">
    <cfRule type="expression" priority="15" dxfId="73">
      <formula>$D2="discuss"</formula>
    </cfRule>
  </conditionalFormatting>
  <dataValidations count="8">
    <dataValidation sqref="D2:D9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9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9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9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9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9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9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9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92" customFormat="1" customHeight="1" s="14">
      <c r="A2" s="12" t="inlineStr">
        <is>
          <t>2019::jama.2019.14231::C001</t>
        </is>
      </c>
      <c r="B2" s="12" t="inlineStr">
        <is>
          <t>Protocol matching direction conflicts with the final matched cohort</t>
        </is>
      </c>
      <c r="C2" s="12" t="inlineStr">
        <is>
          <t>Main article — PDF p. 1, PDF p. 3, PDF p. 4; protocol — PDF p. 3.</t>
        </is>
      </c>
      <c r="D2" s="23" t="n"/>
      <c r="E2" s="23" t="inlineStr">
        <is>
          <t>protocol_report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ID",IF(OR(A2="",COUNTIF($A$2:$A$12,A2)&lt;&gt;1,LEFT(A2,LEN("2019::jama.2019.14231::"))&lt;&gt;"2019::jama.2019.14231::"),"CHECK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92" customFormat="1" customHeight="1" s="14">
      <c r="A3" s="11" t="inlineStr">
        <is>
          <t>2019::jama.2019.14231::C002</t>
        </is>
      </c>
      <c r="B3" s="11" t="inlineStr">
        <is>
          <t>Heart-failure ARD does not reconcile with displayed 8-year incidences</t>
        </is>
      </c>
      <c r="C3" s="11" t="inlineStr">
        <is>
          <t>Main article — PDF p. 4, PDF p. 7; Supplement 1 — PDF p. 7.</t>
        </is>
      </c>
      <c r="D3" s="23" t="n"/>
      <c r="E3" s="23" t="inlineStr">
        <is>
          <t>statistical_results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ID",IF(OR(A3="",COUNTIF($A$2:$A$12,A3)&lt;&gt;1,LEFT(A3,LEN("2019::jama.2019.14231::"))&lt;&gt;"2019::jama.2019.14231::"),"CHECK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92" customFormat="1" customHeight="1" s="14">
      <c r="A4" s="12" t="inlineStr">
        <is>
          <t>2019::jama.2019.14231::C003</t>
        </is>
      </c>
      <c r="B4" s="12" t="inlineStr">
        <is>
          <t>Coronary-disease ARD does not reconcile with displayed 8-year incidences</t>
        </is>
      </c>
      <c r="C4" s="12" t="inlineStr">
        <is>
          <t>Main article — PDF p. 4, PDF p. 7; Supplement 1 — PDF p. 7.</t>
        </is>
      </c>
      <c r="D4" s="23" t="n"/>
      <c r="E4" s="23" t="inlineStr">
        <is>
          <t>statistical_results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ID",IF(OR(A4="",COUNTIF($A$2:$A$12,A4)&lt;&gt;1,LEFT(A4,LEN("2019::jama.2019.14231::"))&lt;&gt;"2019::jama.2019.14231::"),"CHECK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92" customFormat="1" customHeight="1" s="14">
      <c r="A5" s="11" t="inlineStr">
        <is>
          <t>2019::jama.2019.14231::C004</t>
        </is>
      </c>
      <c r="B5" s="11" t="inlineStr">
        <is>
          <t>Cerebrovascular-disease ARD does not reconcile with displayed 8-year incidences</t>
        </is>
      </c>
      <c r="C5" s="11" t="inlineStr">
        <is>
          <t>Main article — PDF p. 4, PDF p. 7; Supplement 1 — PDF p. 7.</t>
        </is>
      </c>
      <c r="D5" s="23" t="n"/>
      <c r="E5" s="23" t="inlineStr">
        <is>
          <t>statistical_results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ID",IF(OR(A5="",COUNTIF($A$2:$A$12,A5)&lt;&gt;1,LEFT(A5,LEN("2019::jama.2019.14231::"))&lt;&gt;"2019::jama.2019.14231::"),"CHECK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  <row r="6" ht="92" customFormat="1" customHeight="1" s="14">
      <c r="A6" s="12" t="inlineStr">
        <is>
          <t>2019::jama.2019.14231::C005</t>
        </is>
      </c>
      <c r="B6" s="12" t="inlineStr">
        <is>
          <t>Nephropathy ARD does not reconcile with displayed 8-year incidences</t>
        </is>
      </c>
      <c r="C6" s="12" t="inlineStr">
        <is>
          <t>Main article — PDF p. 4, PDF p. 7; Supplement 1 — PDF p. 7.</t>
        </is>
      </c>
      <c r="D6" s="23" t="n"/>
      <c r="E6" s="23" t="inlineStr">
        <is>
          <t>statistical_results</t>
        </is>
      </c>
      <c r="F6" s="23" t="inlineStr">
        <is>
          <t>no</t>
        </is>
      </c>
      <c r="G6" s="12">
        <f>IFERROR(IF(OR(NOT(EXACT(Setup!$B$4,"R_A")),Setup!$B$5&lt;&gt;2019),"CHECK SETUP",IF(OR(LEN(TRIM(CLEAN(SUBSTITUTE(Setup!$B$2,CHAR(160)," "))))=0,Setup!$B$2&lt;&gt;TRIM(CLEAN(SUBSTITUTE(Setup!$B$2,CHAR(160)," ")))),"CHECK REVIEWER ID",IF(OR(A6="",COUNTIF($A$2:$A$12,A6)&lt;&gt;1,LEFT(A6,LEN("2019::jama.2019.14231::"))&lt;&gt;"2019::jama.2019.14231::"),"CHECK KEY",IF(NOT(OR(EXACT(F6,"no"),EXACT(F6,"primary_done"),EXACT(F6,""))),"CHECK COMPLETE FLAG",IF(OR(D6="",E6=""),"MISSING D / E",IF(OR(NOT(OR(EXACT(D6,"retain"),EXACT(D6,"exclude"),EXACT(D6,"discuss"))),NOT(OR(EXACT(E6,"statistical_results"),EXACT(E6,"report_internal_inconsistency"),EXACT(E6,"plan_material"),EXACT(E6,"protocol_report")))),"INVALID D / E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AND(AND(D6="retain",E6="statistical_results"),OR(H6="",EXACT(H6,"not_applicable"))),AND(AND(D6="retain",E6="statistical_results"),OR(I6="",EXACT(I6,"not_applicable"))),AND(AND(D6="retain",OR(E6="report_internal_inconsistency",E6="plan_material")),OR(K6="",EXACT(K6,"not_applicable")))),"MISSING REQUIRED JUDGMENT",IF(OR(AND(AND(D6="retain",E6="statistical_results"),H6&lt;&gt;"",NOT(OR(EXACT(H6,"confirmed_issue"),EXACT(H6,"probable_issue"),EXACT(H6,"not_issue"),EXACT(H6,"indeterminate")))),AND(AND(D6="retain",E6="statistical_results"),I6&lt;&gt;""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K6&lt;&gt;""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INVALID ACTIVE JUDGMENT",IF(F6&lt;&gt;"primary_done","PRIMARY DRAFT","PRIMARY READY")))))))))),"CHECK INPUT ERROR")</f>
        <v/>
      </c>
      <c r="H6" s="23">
        <f>IF(AND(OR(D6="retain",D6=""),E6="statistical_results"),"","not_applicable")</f>
        <v/>
      </c>
      <c r="I6" s="23">
        <f>IF(AND(OR(D6="retain",D6=""),E6="statistical_results"),"","not_applicable")</f>
        <v/>
      </c>
      <c r="J6" s="24">
        <f>IF(AND(OR(D6="retain",D6=""),E6="statistical_results"),"","not_applicable")</f>
        <v/>
      </c>
      <c r="K6" s="23">
        <f>IF(AND(OR(D6="retain",D6=""),OR(E6="report_internal_inconsistency",E6="plan_material")),"","not_applicable")</f>
        <v/>
      </c>
      <c r="L6" s="24">
        <f>IF(AND(OR(D6="retain",D6=""),E6="protocol_report"),"","not_applicable")</f>
        <v/>
      </c>
      <c r="M6" s="11" t="n"/>
      <c r="N6" s="11" t="n"/>
      <c r="O6" s="11" t="n"/>
      <c r="P6" s="11" t="n"/>
      <c r="Q6" s="11" t="n"/>
      <c r="R6" s="24" t="n"/>
    </row>
    <row r="7" ht="92" customFormat="1" customHeight="1" s="14">
      <c r="A7" s="11" t="inlineStr">
        <is>
          <t>2019::jama.2019.14231::C006</t>
        </is>
      </c>
      <c r="B7" s="11" t="inlineStr">
        <is>
          <t>Atrial-fibrillation ARD does not reconcile with displayed 8-year incidences</t>
        </is>
      </c>
      <c r="C7" s="11" t="inlineStr">
        <is>
          <t>Main article — PDF p. 4, PDF p. 7; Supplement 1 — PDF p. 7.</t>
        </is>
      </c>
      <c r="D7" s="23" t="n"/>
      <c r="E7" s="23" t="inlineStr">
        <is>
          <t>statistical_results</t>
        </is>
      </c>
      <c r="F7" s="23" t="inlineStr">
        <is>
          <t>no</t>
        </is>
      </c>
      <c r="G7" s="11">
        <f>IFERROR(IF(OR(NOT(EXACT(Setup!$B$4,"R_A")),Setup!$B$5&lt;&gt;2019),"CHECK SETUP",IF(OR(LEN(TRIM(CLEAN(SUBSTITUTE(Setup!$B$2,CHAR(160)," "))))=0,Setup!$B$2&lt;&gt;TRIM(CLEAN(SUBSTITUTE(Setup!$B$2,CHAR(160)," ")))),"CHECK REVIEWER ID",IF(OR(A7="",COUNTIF($A$2:$A$12,A7)&lt;&gt;1,LEFT(A7,LEN("2019::jama.2019.14231::"))&lt;&gt;"2019::jama.2019.14231::"),"CHECK KEY",IF(NOT(OR(EXACT(F7,"no"),EXACT(F7,"primary_done"),EXACT(F7,""))),"CHECK COMPLETE FLAG",IF(OR(D7="",E7=""),"MISSING D / E",IF(OR(NOT(OR(EXACT(D7,"retain"),EXACT(D7,"exclude"),EXACT(D7,"discuss"))),NOT(OR(EXACT(E7,"statistical_results"),EXACT(E7,"report_internal_inconsistency"),EXACT(E7,"plan_material"),EXACT(E7,"protocol_report")))),"INVALID D / E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AND(AND(D7="retain",E7="statistical_results"),OR(H7="",EXACT(H7,"not_applicable"))),AND(AND(D7="retain",E7="statistical_results"),OR(I7="",EXACT(I7,"not_applicable"))),AND(AND(D7="retain",OR(E7="report_internal_inconsistency",E7="plan_material")),OR(K7="",EXACT(K7,"not_applicable")))),"MISSING REQUIRED JUDGMENT",IF(OR(AND(AND(D7="retain",E7="statistical_results"),H7&lt;&gt;"",NOT(OR(EXACT(H7,"confirmed_issue"),EXACT(H7,"probable_issue"),EXACT(H7,"not_issue"),EXACT(H7,"indeterminate")))),AND(AND(D7="retain",E7="statistical_results"),I7&lt;&gt;""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K7&lt;&gt;""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INVALID ACTIVE JUDGMENT",IF(F7&lt;&gt;"primary_done","PRIMARY DRAFT","PRIMARY READY")))))))))),"CHECK INPUT ERROR")</f>
        <v/>
      </c>
      <c r="H7" s="23">
        <f>IF(AND(OR(D7="retain",D7=""),E7="statistical_results"),"","not_applicable")</f>
        <v/>
      </c>
      <c r="I7" s="23">
        <f>IF(AND(OR(D7="retain",D7=""),E7="statistical_results"),"","not_applicable")</f>
        <v/>
      </c>
      <c r="J7" s="24">
        <f>IF(AND(OR(D7="retain",D7=""),E7="statistical_results"),"","not_applicable")</f>
        <v/>
      </c>
      <c r="K7" s="23">
        <f>IF(AND(OR(D7="retain",D7=""),OR(E7="report_internal_inconsistency",E7="plan_material")),"","not_applicable")</f>
        <v/>
      </c>
      <c r="L7" s="24">
        <f>IF(AND(OR(D7="retain",D7=""),E7="protocol_report"),"","not_applicable")</f>
        <v/>
      </c>
      <c r="M7" s="11" t="n"/>
      <c r="N7" s="11" t="n"/>
      <c r="O7" s="11" t="n"/>
      <c r="P7" s="11" t="n"/>
      <c r="Q7" s="11" t="n"/>
      <c r="R7" s="24" t="n"/>
    </row>
    <row r="8" ht="92" customFormat="1" customHeight="1" s="14">
      <c r="A8" s="12" t="inlineStr">
        <is>
          <t>2019::jama.2019.14231::C007</t>
        </is>
      </c>
      <c r="B8" s="12" t="inlineStr">
        <is>
          <t>Supplement tables use different nonsurgical medication denominators at baseline</t>
        </is>
      </c>
      <c r="C8" s="12" t="inlineStr">
        <is>
          <t>Supplement 1 — PDF p. 5, PDF p. 14.</t>
        </is>
      </c>
      <c r="D8" s="23" t="n"/>
      <c r="E8" s="23" t="inlineStr">
        <is>
          <t>statistical_results</t>
        </is>
      </c>
      <c r="F8" s="23" t="inlineStr">
        <is>
          <t>no</t>
        </is>
      </c>
      <c r="G8" s="12">
        <f>IFERROR(IF(OR(NOT(EXACT(Setup!$B$4,"R_A")),Setup!$B$5&lt;&gt;2019),"CHECK SETUP",IF(OR(LEN(TRIM(CLEAN(SUBSTITUTE(Setup!$B$2,CHAR(160)," "))))=0,Setup!$B$2&lt;&gt;TRIM(CLEAN(SUBSTITUTE(Setup!$B$2,CHAR(160)," ")))),"CHECK REVIEWER ID",IF(OR(A8="",COUNTIF($A$2:$A$12,A8)&lt;&gt;1,LEFT(A8,LEN("2019::jama.2019.14231::"))&lt;&gt;"2019::jama.2019.14231::"),"CHECK KEY",IF(NOT(OR(EXACT(F8,"no"),EXACT(F8,"primary_done"),EXACT(F8,""))),"CHECK COMPLETE FLAG",IF(OR(D8="",E8=""),"MISSING D / E",IF(OR(NOT(OR(EXACT(D8,"retain"),EXACT(D8,"exclude"),EXACT(D8,"discuss"))),NOT(OR(EXACT(E8,"statistical_results"),EXACT(E8,"report_internal_inconsistency"),EXACT(E8,"plan_material"),EXACT(E8,"protocol_report")))),"INVALID D / E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AND(AND(D8="retain",E8="statistical_results"),OR(H8="",EXACT(H8,"not_applicable"))),AND(AND(D8="retain",E8="statistical_results"),OR(I8="",EXACT(I8,"not_applicable"))),AND(AND(D8="retain",OR(E8="report_internal_inconsistency",E8="plan_material")),OR(K8="",EXACT(K8,"not_applicable")))),"MISSING REQUIRED JUDGMENT",IF(OR(AND(AND(D8="retain",E8="statistical_results"),H8&lt;&gt;"",NOT(OR(EXACT(H8,"confirmed_issue"),EXACT(H8,"probable_issue"),EXACT(H8,"not_issue"),EXACT(H8,"indeterminate")))),AND(AND(D8="retain",E8="statistical_results"),I8&lt;&gt;""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K8&lt;&gt;""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INVALID ACTIVE JUDGMENT",IF(F8&lt;&gt;"primary_done","PRIMARY DRAFT","PRIMARY READY")))))))))),"CHECK INPUT ERROR")</f>
        <v/>
      </c>
      <c r="H8" s="23">
        <f>IF(AND(OR(D8="retain",D8=""),E8="statistical_results"),"","not_applicable")</f>
        <v/>
      </c>
      <c r="I8" s="23">
        <f>IF(AND(OR(D8="retain",D8=""),E8="statistical_results"),"","not_applicable")</f>
        <v/>
      </c>
      <c r="J8" s="24">
        <f>IF(AND(OR(D8="retain",D8=""),E8="statistical_results"),"","not_applicable")</f>
        <v/>
      </c>
      <c r="K8" s="23">
        <f>IF(AND(OR(D8="retain",D8=""),OR(E8="report_internal_inconsistency",E8="plan_material")),"","not_applicable")</f>
        <v/>
      </c>
      <c r="L8" s="24">
        <f>IF(AND(OR(D8="retain",D8=""),E8="protocol_report"),"","not_applicable")</f>
        <v/>
      </c>
      <c r="M8" s="11" t="n"/>
      <c r="N8" s="11" t="n"/>
      <c r="O8" s="11" t="n"/>
      <c r="P8" s="11" t="n"/>
      <c r="Q8" s="11" t="n"/>
      <c r="R8" s="24" t="n"/>
    </row>
    <row r="9" ht="92" customFormat="1" customHeight="1" s="14">
      <c r="A9" s="11" t="inlineStr">
        <is>
          <t>2019::jama.2019.14231::C008</t>
        </is>
      </c>
      <c r="B9" s="11" t="inlineStr">
        <is>
          <t>Medication comparison is labeled as two different named tests</t>
        </is>
      </c>
      <c r="C9" s="11" t="inlineStr">
        <is>
          <t>Main article — PDF p. 4, PDF p. 10; Supplement 1 — PDF p. 12.</t>
        </is>
      </c>
      <c r="D9" s="23" t="n"/>
      <c r="E9" s="23" t="inlineStr">
        <is>
          <t>report_internal_inconsistency</t>
        </is>
      </c>
      <c r="F9" s="23" t="inlineStr">
        <is>
          <t>no</t>
        </is>
      </c>
      <c r="G9" s="11">
        <f>IFERROR(IF(OR(NOT(EXACT(Setup!$B$4,"R_A")),Setup!$B$5&lt;&gt;2019),"CHECK SETUP",IF(OR(LEN(TRIM(CLEAN(SUBSTITUTE(Setup!$B$2,CHAR(160)," "))))=0,Setup!$B$2&lt;&gt;TRIM(CLEAN(SUBSTITUTE(Setup!$B$2,CHAR(160)," ")))),"CHECK REVIEWER ID",IF(OR(A9="",COUNTIF($A$2:$A$12,A9)&lt;&gt;1,LEFT(A9,LEN("2019::jama.2019.14231::"))&lt;&gt;"2019::jama.2019.14231::"),"CHECK KEY",IF(NOT(OR(EXACT(F9,"no"),EXACT(F9,"primary_done"),EXACT(F9,""))),"CHECK COMPLETE FLAG",IF(OR(D9="",E9=""),"MISSING D / E",IF(OR(NOT(OR(EXACT(D9,"retain"),EXACT(D9,"exclude"),EXACT(D9,"discuss"))),NOT(OR(EXACT(E9,"statistical_results"),EXACT(E9,"report_internal_inconsistency"),EXACT(E9,"plan_material"),EXACT(E9,"protocol_report")))),"INVALID D / E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AND(AND(D9="retain",E9="statistical_results"),OR(H9="",EXACT(H9,"not_applicable"))),AND(AND(D9="retain",E9="statistical_results"),OR(I9="",EXACT(I9,"not_applicable"))),AND(AND(D9="retain",OR(E9="report_internal_inconsistency",E9="plan_material")),OR(K9="",EXACT(K9,"not_applicable")))),"MISSING REQUIRED JUDGMENT",IF(OR(AND(AND(D9="retain",E9="statistical_results"),H9&lt;&gt;"",NOT(OR(EXACT(H9,"confirmed_issue"),EXACT(H9,"probable_issue"),EXACT(H9,"not_issue"),EXACT(H9,"indeterminate")))),AND(AND(D9="retain",E9="statistical_results"),I9&lt;&gt;""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K9&lt;&gt;""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INVALID ACTIVE JUDGMENT",IF(F9&lt;&gt;"primary_done","PRIMARY DRAFT","PRIMARY READY")))))))))),"CHECK INPUT ERROR")</f>
        <v/>
      </c>
      <c r="H9" s="23">
        <f>IF(AND(OR(D9="retain",D9=""),E9="statistical_results"),"","not_applicable")</f>
        <v/>
      </c>
      <c r="I9" s="23">
        <f>IF(AND(OR(D9="retain",D9=""),E9="statistical_results"),"","not_applicable")</f>
        <v/>
      </c>
      <c r="J9" s="24">
        <f>IF(AND(OR(D9="retain",D9=""),E9="statistical_results"),"","not_applicable")</f>
        <v/>
      </c>
      <c r="K9" s="23">
        <f>IF(AND(OR(D9="retain",D9=""),OR(E9="report_internal_inconsistency",E9="plan_material")),"","not_applicable")</f>
        <v/>
      </c>
      <c r="L9" s="24">
        <f>IF(AND(OR(D9="retain",D9=""),E9="protocol_report"),"","not_applicable")</f>
        <v/>
      </c>
      <c r="M9" s="11" t="n"/>
      <c r="N9" s="11" t="n"/>
      <c r="O9" s="11" t="n"/>
      <c r="P9" s="11" t="n"/>
      <c r="Q9" s="11" t="n"/>
      <c r="R9" s="24" t="n"/>
    </row>
    <row r="10" ht="92" customFormat="1" customHeight="1" s="14">
      <c r="A10" s="12" t="inlineStr">
        <is>
          <t>2019::jama.2019.14231::C009</t>
        </is>
      </c>
      <c r="B10" s="12" t="inlineStr">
        <is>
          <t>Time-varying-HR narrative cites eTable 4 while the displayed table is eTable 7</t>
        </is>
      </c>
      <c r="C10" s="12" t="inlineStr">
        <is>
          <t>Supplement 1 — PDF p. 6, PDF p. 10, PDF p. 19.</t>
        </is>
      </c>
      <c r="D10" s="23" t="n"/>
      <c r="E10" s="23" t="inlineStr">
        <is>
          <t>report_internal_inconsistency</t>
        </is>
      </c>
      <c r="F10" s="23" t="inlineStr">
        <is>
          <t>no</t>
        </is>
      </c>
      <c r="G10" s="12">
        <f>IFERROR(IF(OR(NOT(EXACT(Setup!$B$4,"R_A")),Setup!$B$5&lt;&gt;2019),"CHECK SETUP",IF(OR(LEN(TRIM(CLEAN(SUBSTITUTE(Setup!$B$2,CHAR(160)," "))))=0,Setup!$B$2&lt;&gt;TRIM(CLEAN(SUBSTITUTE(Setup!$B$2,CHAR(160)," ")))),"CHECK REVIEWER ID",IF(OR(A10="",COUNTIF($A$2:$A$12,A10)&lt;&gt;1,LEFT(A10,LEN("2019::jama.2019.14231::"))&lt;&gt;"2019::jama.2019.14231::"),"CHECK KEY",IF(NOT(OR(EXACT(F10,"no"),EXACT(F10,"primary_done"),EXACT(F10,""))),"CHECK COMPLETE FLAG",IF(OR(D10="",E10=""),"MISSING D / E",IF(OR(NOT(OR(EXACT(D10,"retain"),EXACT(D10,"exclude"),EXACT(D10,"discuss"))),NOT(OR(EXACT(E10,"statistical_results"),EXACT(E10,"report_internal_inconsistency"),EXACT(E10,"plan_material"),EXACT(E10,"protocol_report")))),"INVALID D / E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AND(AND(D10="retain",E10="statistical_results"),OR(H10="",EXACT(H10,"not_applicable"))),AND(AND(D10="retain",E10="statistical_results"),OR(I10="",EXACT(I10,"not_applicable"))),AND(AND(D10="retain",OR(E10="report_internal_inconsistency",E10="plan_material")),OR(K10="",EXACT(K10,"not_applicable")))),"MISSING REQUIRED JUDGMENT",IF(OR(AND(AND(D10="retain",E10="statistical_results"),H10&lt;&gt;"",NOT(OR(EXACT(H10,"confirmed_issue"),EXACT(H10,"probable_issue"),EXACT(H10,"not_issue"),EXACT(H10,"indeterminate")))),AND(AND(D10="retain",E10="statistical_results"),I10&lt;&gt;""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K10&lt;&gt;""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INVALID ACTIVE JUDGMENT",IF(F10&lt;&gt;"primary_done","PRIMARY DRAFT","PRIMARY READY")))))))))),"CHECK INPUT ERROR")</f>
        <v/>
      </c>
      <c r="H10" s="23">
        <f>IF(AND(OR(D10="retain",D10=""),E10="statistical_results"),"","not_applicable")</f>
        <v/>
      </c>
      <c r="I10" s="23">
        <f>IF(AND(OR(D10="retain",D10=""),E10="statistical_results"),"","not_applicable")</f>
        <v/>
      </c>
      <c r="J10" s="24">
        <f>IF(AND(OR(D10="retain",D10=""),E10="statistical_results"),"","not_applicable")</f>
        <v/>
      </c>
      <c r="K10" s="23">
        <f>IF(AND(OR(D10="retain",D10=""),OR(E10="report_internal_inconsistency",E10="plan_material")),"","not_applicable")</f>
        <v/>
      </c>
      <c r="L10" s="24">
        <f>IF(AND(OR(D10="retain",D10=""),E10="protocol_report"),"","not_applicable")</f>
        <v/>
      </c>
      <c r="M10" s="11" t="n"/>
      <c r="N10" s="11" t="n"/>
      <c r="O10" s="11" t="n"/>
      <c r="P10" s="11" t="n"/>
      <c r="Q10" s="11" t="n"/>
      <c r="R10" s="24" t="n"/>
    </row>
    <row r="11" ht="92" customFormat="1" customHeight="1" s="14">
      <c r="A11" s="11" t="inlineStr">
        <is>
          <t>2019::jama.2019.14231::C010</t>
        </is>
      </c>
      <c r="B11" s="11" t="inlineStr">
        <is>
          <t>Biguanide count and percentage do not reconcile in eTable 3</t>
        </is>
      </c>
      <c r="C11" s="11" t="inlineStr">
        <is>
          <t>Supplement 1 — PDF p. 5.</t>
        </is>
      </c>
      <c r="D11" s="23" t="n"/>
      <c r="E11" s="23" t="inlineStr">
        <is>
          <t>statistical_results</t>
        </is>
      </c>
      <c r="F11" s="23" t="inlineStr">
        <is>
          <t>no</t>
        </is>
      </c>
      <c r="G11" s="11">
        <f>IFERROR(IF(OR(NOT(EXACT(Setup!$B$4,"R_A")),Setup!$B$5&lt;&gt;2019),"CHECK SETUP",IF(OR(LEN(TRIM(CLEAN(SUBSTITUTE(Setup!$B$2,CHAR(160)," "))))=0,Setup!$B$2&lt;&gt;TRIM(CLEAN(SUBSTITUTE(Setup!$B$2,CHAR(160)," ")))),"CHECK REVIEWER ID",IF(OR(A11="",COUNTIF($A$2:$A$12,A11)&lt;&gt;1,LEFT(A11,LEN("2019::jama.2019.14231::"))&lt;&gt;"2019::jama.2019.14231::"),"CHECK KEY",IF(NOT(OR(EXACT(F11,"no"),EXACT(F11,"primary_done"),EXACT(F11,""))),"CHECK COMPLETE FLAG",IF(OR(D11="",E11=""),"MISSING D / E",IF(OR(NOT(OR(EXACT(D11,"retain"),EXACT(D11,"exclude"),EXACT(D11,"discuss"))),NOT(OR(EXACT(E11,"statistical_results"),EXACT(E11,"report_internal_inconsistency"),EXACT(E11,"plan_material"),EXACT(E11,"protocol_report")))),"INVALID D / E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AND(AND(D11="retain",E11="statistical_results"),OR(H11="",EXACT(H11,"not_applicable"))),AND(AND(D11="retain",E11="statistical_results"),OR(I11="",EXACT(I11,"not_applicable"))),AND(AND(D11="retain",OR(E11="report_internal_inconsistency",E11="plan_material")),OR(K11="",EXACT(K11,"not_applicable")))),"MISSING REQUIRED JUDGMENT",IF(OR(AND(AND(D11="retain",E11="statistical_results"),H11&lt;&gt;"",NOT(OR(EXACT(H11,"confirmed_issue"),EXACT(H11,"probable_issue"),EXACT(H11,"not_issue"),EXACT(H11,"indeterminate")))),AND(AND(D11="retain",E11="statistical_results"),I11&lt;&gt;""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K11&lt;&gt;""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INVALID ACTIVE JUDGMENT",IF(F11&lt;&gt;"primary_done","PRIMARY DRAFT","PRIMARY READY")))))))))),"CHECK INPUT ERROR")</f>
        <v/>
      </c>
      <c r="H11" s="23">
        <f>IF(AND(OR(D11="retain",D11=""),E11="statistical_results"),"","not_applicable")</f>
        <v/>
      </c>
      <c r="I11" s="23">
        <f>IF(AND(OR(D11="retain",D11=""),E11="statistical_results"),"","not_applicable")</f>
        <v/>
      </c>
      <c r="J11" s="24">
        <f>IF(AND(OR(D11="retain",D11=""),E11="statistical_results"),"","not_applicable")</f>
        <v/>
      </c>
      <c r="K11" s="23">
        <f>IF(AND(OR(D11="retain",D11=""),OR(E11="report_internal_inconsistency",E11="plan_material")),"","not_applicable")</f>
        <v/>
      </c>
      <c r="L11" s="24">
        <f>IF(AND(OR(D11="retain",D11=""),E11="protocol_report"),"","not_applicable")</f>
        <v/>
      </c>
      <c r="M11" s="11" t="n"/>
      <c r="N11" s="11" t="n"/>
      <c r="O11" s="11" t="n"/>
      <c r="P11" s="11" t="n"/>
      <c r="Q11" s="11" t="n"/>
      <c r="R11" s="24" t="n"/>
    </row>
    <row r="12" ht="92" customFormat="1" customHeight="1" s="14">
      <c r="A12" s="12" t="inlineStr">
        <is>
          <t>2019::jama.2019.14231::C011</t>
        </is>
      </c>
      <c r="B12" s="12" t="inlineStr">
        <is>
          <t>Standardized-difference footnote says absolute value while columns contain negative values</t>
        </is>
      </c>
      <c r="C12" s="12" t="inlineStr">
        <is>
          <t>Main article — PDF p. 5, PDF p. 6.</t>
        </is>
      </c>
      <c r="D12" s="23" t="n"/>
      <c r="E12" s="23" t="inlineStr">
        <is>
          <t>report_internal_inconsistency</t>
        </is>
      </c>
      <c r="F12" s="23" t="inlineStr">
        <is>
          <t>no</t>
        </is>
      </c>
      <c r="G12" s="12">
        <f>IFERROR(IF(OR(NOT(EXACT(Setup!$B$4,"R_A")),Setup!$B$5&lt;&gt;2019),"CHECK SETUP",IF(OR(LEN(TRIM(CLEAN(SUBSTITUTE(Setup!$B$2,CHAR(160)," "))))=0,Setup!$B$2&lt;&gt;TRIM(CLEAN(SUBSTITUTE(Setup!$B$2,CHAR(160)," ")))),"CHECK REVIEWER ID",IF(OR(A12="",COUNTIF($A$2:$A$12,A12)&lt;&gt;1,LEFT(A12,LEN("2019::jama.2019.14231::"))&lt;&gt;"2019::jama.2019.14231::"),"CHECK KEY",IF(NOT(OR(EXACT(F12,"no"),EXACT(F12,"primary_done"),EXACT(F12,""))),"CHECK COMPLETE FLAG",IF(OR(D12="",E12=""),"MISSING D / E",IF(OR(NOT(OR(EXACT(D12,"retain"),EXACT(D12,"exclude"),EXACT(D12,"discuss"))),NOT(OR(EXACT(E12,"statistical_results"),EXACT(E12,"report_internal_inconsistency"),EXACT(E12,"plan_material"),EXACT(E12,"protocol_report")))),"INVALID D / E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AND(AND(D12="retain",E12="statistical_results"),OR(H12="",EXACT(H12,"not_applicable"))),AND(AND(D12="retain",E12="statistical_results"),OR(I12="",EXACT(I12,"not_applicable"))),AND(AND(D12="retain",OR(E12="report_internal_inconsistency",E12="plan_material")),OR(K12="",EXACT(K12,"not_applicable")))),"MISSING REQUIRED JUDGMENT",IF(OR(AND(AND(D12="retain",E12="statistical_results"),H12&lt;&gt;"",NOT(OR(EXACT(H12,"confirmed_issue"),EXACT(H12,"probable_issue"),EXACT(H12,"not_issue"),EXACT(H12,"indeterminate")))),AND(AND(D12="retain",E12="statistical_results"),I12&lt;&gt;""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K12&lt;&gt;""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INVALID ACTIVE JUDGMENT",IF(F12&lt;&gt;"primary_done","PRIMARY DRAFT","PRIMARY READY")))))))))),"CHECK INPUT ERROR")</f>
        <v/>
      </c>
      <c r="H12" s="23">
        <f>IF(AND(OR(D12="retain",D12=""),E12="statistical_results"),"","not_applicable")</f>
        <v/>
      </c>
      <c r="I12" s="23">
        <f>IF(AND(OR(D12="retain",D12=""),E12="statistical_results"),"","not_applicable")</f>
        <v/>
      </c>
      <c r="J12" s="24">
        <f>IF(AND(OR(D12="retain",D12=""),E12="statistical_results"),"","not_applicable")</f>
        <v/>
      </c>
      <c r="K12" s="23">
        <f>IF(AND(OR(D12="retain",D12=""),OR(E12="report_internal_inconsistency",E12="plan_material")),"","not_applicable")</f>
        <v/>
      </c>
      <c r="L12" s="24">
        <f>IF(AND(OR(D12="retain",D12=""),E12="protocol_report"),"","not_applicable")</f>
        <v/>
      </c>
      <c r="M12" s="11" t="n"/>
      <c r="N12" s="11" t="n"/>
      <c r="O12" s="11" t="n"/>
      <c r="P12" s="11" t="n"/>
      <c r="Q12" s="11" t="n"/>
      <c r="R12" s="24" t="n"/>
    </row>
  </sheetData>
  <autoFilter ref="A1:R12"/>
  <conditionalFormatting sqref="H2:H12">
    <cfRule type="expression" priority="8" dxfId="70">
      <formula>NOT(AND(OR($D2="retain",$D2=""),$E2="statistical_results"))</formula>
    </cfRule>
  </conditionalFormatting>
  <conditionalFormatting sqref="I2:I12">
    <cfRule type="expression" priority="9" dxfId="70">
      <formula>NOT(AND(OR($D2="retain",$D2=""),$E2="statistical_results"))</formula>
    </cfRule>
  </conditionalFormatting>
  <conditionalFormatting sqref="J2:J12">
    <cfRule type="expression" priority="10" dxfId="70">
      <formula>NOT(AND(OR($D2="retain",$D2=""),$E2="statistical_results"))</formula>
    </cfRule>
  </conditionalFormatting>
  <conditionalFormatting sqref="K2:K12">
    <cfRule type="expression" priority="11" dxfId="70">
      <formula>NOT(AND(OR($D2="retain",$D2=""),OR($E2="report_internal_inconsistency",$E2="plan_material")))</formula>
    </cfRule>
  </conditionalFormatting>
  <conditionalFormatting sqref="L2:L12">
    <cfRule type="expression" priority="12" dxfId="70">
      <formula>NOT(AND(OR($D2="retain",$D2=""),$E2="protocol_report"))</formula>
    </cfRule>
  </conditionalFormatting>
  <conditionalFormatting sqref="G2:G12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12">
    <cfRule type="expression" priority="15" dxfId="73">
      <formula>$D2="discuss"</formula>
    </cfRule>
  </conditionalFormatting>
  <dataValidations count="8">
    <dataValidation sqref="D2:D12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12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12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12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12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12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12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12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106" customFormat="1" customHeight="1" s="14">
      <c r="A2" s="12" t="inlineStr">
        <is>
          <t>2019::jama.2019.14630::C001</t>
        </is>
      </c>
      <c r="B2" s="12" t="inlineStr">
        <is>
          <t>eTable 2 assigns the N=3,311 column a second intervention-group label</t>
        </is>
      </c>
      <c r="C2" s="12" t="inlineStr">
        <is>
          <t>Supplement 3 eTable 2 opening header — PDF p. 3; Supplement 3 eTable 2 continuation — PDF p. 5; main article Table 2 — PDF p. 5.</t>
        </is>
      </c>
      <c r="D2" s="23" t="n"/>
      <c r="E2" s="23" t="inlineStr">
        <is>
          <t>report_internal_inconsistency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ID",IF(OR(A2="",COUNTIF($A$2:$A$10,A2)&lt;&gt;1,LEFT(A2,LEN("2019::jama.2019.14630::"))&lt;&gt;"2019::jama.2019.14630::"),"CHECK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92" customFormat="1" customHeight="1" s="14">
      <c r="A3" s="11" t="inlineStr">
        <is>
          <t>2019::jama.2019.14630::C002</t>
        </is>
      </c>
      <c r="B3" s="11" t="inlineStr">
        <is>
          <t>eTable 2 red-wine median lies above its printed upper quartile</t>
        </is>
      </c>
      <c r="C3" s="11" t="inlineStr">
        <is>
          <t>Supplement 3 eTable 2 red-wine row and footnote — PDF p. 7.</t>
        </is>
      </c>
      <c r="D3" s="23" t="n"/>
      <c r="E3" s="23" t="inlineStr">
        <is>
          <t>statistical_results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ID",IF(OR(A3="",COUNTIF($A$2:$A$10,A3)&lt;&gt;1,LEFT(A3,LEN("2019::jama.2019.14630::"))&lt;&gt;"2019::jama.2019.14630::"),"CHECK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92" customFormat="1" customHeight="1" s="14">
      <c r="A4" s="12" t="inlineStr">
        <is>
          <t>2019::jama.2019.14630::C003</t>
        </is>
      </c>
      <c r="B4" s="12" t="inlineStr">
        <is>
          <t>all-randomized red-wine baseline summaries differ between eTables 2 and 7</t>
        </is>
      </c>
      <c r="C4" s="12" t="inlineStr">
        <is>
          <t>Supplement 3 eTable 2 — PDF p. 7; Supplement 3 eTable 7 — PDF p. 19.</t>
        </is>
      </c>
      <c r="D4" s="23" t="n"/>
      <c r="E4" s="23" t="inlineStr">
        <is>
          <t>report_internal_inconsistency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ID",IF(OR(A4="",COUNTIF($A$2:$A$10,A4)&lt;&gt;1,LEFT(A4,LEN("2019::jama.2019.14630::"))&lt;&gt;"2019::jama.2019.14630::"),"CHECK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92" customFormat="1" customHeight="1" s="14">
      <c r="A5" s="11" t="inlineStr">
        <is>
          <t>2019::jama.2019.14630::C004</t>
        </is>
      </c>
      <c r="B5" s="11" t="inlineStr">
        <is>
          <t>PDQS baseline mean differs between the principal and baseline-value-carried-forward tables</t>
        </is>
      </c>
      <c r="C5" s="11" t="inlineStr">
        <is>
          <t>main article Table 2 — PDF p. 5; Supplement 3 eTable 6 — PDF p. 16.</t>
        </is>
      </c>
      <c r="D5" s="23" t="n"/>
      <c r="E5" s="23" t="inlineStr">
        <is>
          <t>report_internal_inconsistency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ID",IF(OR(A5="",COUNTIF($A$2:$A$10,A5)&lt;&gt;1,LEFT(A5,LEN("2019::jama.2019.14630::"))&lt;&gt;"2019::jama.2019.14630::"),"CHECK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  <row r="6" ht="106" customFormat="1" customHeight="1" s="14">
      <c r="A6" s="12" t="inlineStr">
        <is>
          <t>2019::jama.2019.14630::C005</t>
        </is>
      </c>
      <c r="B6" s="12" t="inlineStr">
        <is>
          <t>intervention baseline energy SD differs between Table 3 and eTable 8</t>
        </is>
      </c>
      <c r="C6" s="12" t="inlineStr">
        <is>
          <t>main article Statistical Analysis — PDF p. 4; main article Table 3 — PDF p. 7; Supplement 3 eTable 8 — PDF p. 21.</t>
        </is>
      </c>
      <c r="D6" s="23" t="n"/>
      <c r="E6" s="23" t="inlineStr">
        <is>
          <t>report_internal_inconsistency</t>
        </is>
      </c>
      <c r="F6" s="23" t="inlineStr">
        <is>
          <t>no</t>
        </is>
      </c>
      <c r="G6" s="12">
        <f>IFERROR(IF(OR(NOT(EXACT(Setup!$B$4,"R_A")),Setup!$B$5&lt;&gt;2019),"CHECK SETUP",IF(OR(LEN(TRIM(CLEAN(SUBSTITUTE(Setup!$B$2,CHAR(160)," "))))=0,Setup!$B$2&lt;&gt;TRIM(CLEAN(SUBSTITUTE(Setup!$B$2,CHAR(160)," ")))),"CHECK REVIEWER ID",IF(OR(A6="",COUNTIF($A$2:$A$10,A6)&lt;&gt;1,LEFT(A6,LEN("2019::jama.2019.14630::"))&lt;&gt;"2019::jama.2019.14630::"),"CHECK KEY",IF(NOT(OR(EXACT(F6,"no"),EXACT(F6,"primary_done"),EXACT(F6,""))),"CHECK COMPLETE FLAG",IF(OR(D6="",E6=""),"MISSING D / E",IF(OR(NOT(OR(EXACT(D6,"retain"),EXACT(D6,"exclude"),EXACT(D6,"discuss"))),NOT(OR(EXACT(E6,"statistical_results"),EXACT(E6,"report_internal_inconsistency"),EXACT(E6,"plan_material"),EXACT(E6,"protocol_report")))),"INVALID D / E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AND(AND(D6="retain",E6="statistical_results"),OR(H6="",EXACT(H6,"not_applicable"))),AND(AND(D6="retain",E6="statistical_results"),OR(I6="",EXACT(I6,"not_applicable"))),AND(AND(D6="retain",OR(E6="report_internal_inconsistency",E6="plan_material")),OR(K6="",EXACT(K6,"not_applicable")))),"MISSING REQUIRED JUDGMENT",IF(OR(AND(AND(D6="retain",E6="statistical_results"),H6&lt;&gt;"",NOT(OR(EXACT(H6,"confirmed_issue"),EXACT(H6,"probable_issue"),EXACT(H6,"not_issue"),EXACT(H6,"indeterminate")))),AND(AND(D6="retain",E6="statistical_results"),I6&lt;&gt;""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K6&lt;&gt;""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INVALID ACTIVE JUDGMENT",IF(F6&lt;&gt;"primary_done","PRIMARY DRAFT","PRIMARY READY")))))))))),"CHECK INPUT ERROR")</f>
        <v/>
      </c>
      <c r="H6" s="23">
        <f>IF(AND(OR(D6="retain",D6=""),E6="statistical_results"),"","not_applicable")</f>
        <v/>
      </c>
      <c r="I6" s="23">
        <f>IF(AND(OR(D6="retain",D6=""),E6="statistical_results"),"","not_applicable")</f>
        <v/>
      </c>
      <c r="J6" s="24">
        <f>IF(AND(OR(D6="retain",D6=""),E6="statistical_results"),"","not_applicable")</f>
        <v/>
      </c>
      <c r="K6" s="23">
        <f>IF(AND(OR(D6="retain",D6=""),OR(E6="report_internal_inconsistency",E6="plan_material")),"","not_applicable")</f>
        <v/>
      </c>
      <c r="L6" s="24">
        <f>IF(AND(OR(D6="retain",D6=""),E6="protocol_report"),"","not_applicable")</f>
        <v/>
      </c>
      <c r="M6" s="11" t="n"/>
      <c r="N6" s="11" t="n"/>
      <c r="O6" s="11" t="n"/>
      <c r="P6" s="11" t="n"/>
      <c r="Q6" s="11" t="n"/>
      <c r="R6" s="24" t="n"/>
    </row>
    <row r="7" ht="92" customFormat="1" customHeight="1" s="14">
      <c r="A7" s="11" t="inlineStr">
        <is>
          <t>2019::jama.2019.14630::C006</t>
        </is>
      </c>
      <c r="B7" s="11" t="inlineStr">
        <is>
          <t>baseline body-weight summaries differ between Table 1 and eTable 9</t>
        </is>
      </c>
      <c r="C7" s="11" t="inlineStr">
        <is>
          <t>main article Table 1 — PDF p. 4; Supplement 3 eTable 9 — PDF p. 23.</t>
        </is>
      </c>
      <c r="D7" s="23" t="n"/>
      <c r="E7" s="23" t="inlineStr">
        <is>
          <t>report_internal_inconsistency</t>
        </is>
      </c>
      <c r="F7" s="23" t="inlineStr">
        <is>
          <t>no</t>
        </is>
      </c>
      <c r="G7" s="11">
        <f>IFERROR(IF(OR(NOT(EXACT(Setup!$B$4,"R_A")),Setup!$B$5&lt;&gt;2019),"CHECK SETUP",IF(OR(LEN(TRIM(CLEAN(SUBSTITUTE(Setup!$B$2,CHAR(160)," "))))=0,Setup!$B$2&lt;&gt;TRIM(CLEAN(SUBSTITUTE(Setup!$B$2,CHAR(160)," ")))),"CHECK REVIEWER ID",IF(OR(A7="",COUNTIF($A$2:$A$10,A7)&lt;&gt;1,LEFT(A7,LEN("2019::jama.2019.14630::"))&lt;&gt;"2019::jama.2019.14630::"),"CHECK KEY",IF(NOT(OR(EXACT(F7,"no"),EXACT(F7,"primary_done"),EXACT(F7,""))),"CHECK COMPLETE FLAG",IF(OR(D7="",E7=""),"MISSING D / E",IF(OR(NOT(OR(EXACT(D7,"retain"),EXACT(D7,"exclude"),EXACT(D7,"discuss"))),NOT(OR(EXACT(E7,"statistical_results"),EXACT(E7,"report_internal_inconsistency"),EXACT(E7,"plan_material"),EXACT(E7,"protocol_report")))),"INVALID D / E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AND(AND(D7="retain",E7="statistical_results"),OR(H7="",EXACT(H7,"not_applicable"))),AND(AND(D7="retain",E7="statistical_results"),OR(I7="",EXACT(I7,"not_applicable"))),AND(AND(D7="retain",OR(E7="report_internal_inconsistency",E7="plan_material")),OR(K7="",EXACT(K7,"not_applicable")))),"MISSING REQUIRED JUDGMENT",IF(OR(AND(AND(D7="retain",E7="statistical_results"),H7&lt;&gt;"",NOT(OR(EXACT(H7,"confirmed_issue"),EXACT(H7,"probable_issue"),EXACT(H7,"not_issue"),EXACT(H7,"indeterminate")))),AND(AND(D7="retain",E7="statistical_results"),I7&lt;&gt;""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K7&lt;&gt;""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INVALID ACTIVE JUDGMENT",IF(F7&lt;&gt;"primary_done","PRIMARY DRAFT","PRIMARY READY")))))))))),"CHECK INPUT ERROR")</f>
        <v/>
      </c>
      <c r="H7" s="23">
        <f>IF(AND(OR(D7="retain",D7=""),E7="statistical_results"),"","not_applicable")</f>
        <v/>
      </c>
      <c r="I7" s="23">
        <f>IF(AND(OR(D7="retain",D7=""),E7="statistical_results"),"","not_applicable")</f>
        <v/>
      </c>
      <c r="J7" s="24">
        <f>IF(AND(OR(D7="retain",D7=""),E7="statistical_results"),"","not_applicable")</f>
        <v/>
      </c>
      <c r="K7" s="23">
        <f>IF(AND(OR(D7="retain",D7=""),OR(E7="report_internal_inconsistency",E7="plan_material")),"","not_applicable")</f>
        <v/>
      </c>
      <c r="L7" s="24">
        <f>IF(AND(OR(D7="retain",D7=""),E7="protocol_report"),"","not_applicable")</f>
        <v/>
      </c>
      <c r="M7" s="11" t="n"/>
      <c r="N7" s="11" t="n"/>
      <c r="O7" s="11" t="n"/>
      <c r="P7" s="11" t="n"/>
      <c r="Q7" s="11" t="n"/>
      <c r="R7" s="24" t="n"/>
    </row>
    <row r="8" ht="92" customFormat="1" customHeight="1" s="14">
      <c r="A8" s="12" t="inlineStr">
        <is>
          <t>2019::jama.2019.14630::C007</t>
        </is>
      </c>
      <c r="B8" s="12" t="inlineStr">
        <is>
          <t>baseline BMI means differ between Table 1 and eTable 9</t>
        </is>
      </c>
      <c r="C8" s="12" t="inlineStr">
        <is>
          <t>main article Table 1 — PDF p. 4; Supplement 3 eTable 9 — PDF p. 23.</t>
        </is>
      </c>
      <c r="D8" s="23" t="n"/>
      <c r="E8" s="23" t="inlineStr">
        <is>
          <t>report_internal_inconsistency</t>
        </is>
      </c>
      <c r="F8" s="23" t="inlineStr">
        <is>
          <t>no</t>
        </is>
      </c>
      <c r="G8" s="12">
        <f>IFERROR(IF(OR(NOT(EXACT(Setup!$B$4,"R_A")),Setup!$B$5&lt;&gt;2019),"CHECK SETUP",IF(OR(LEN(TRIM(CLEAN(SUBSTITUTE(Setup!$B$2,CHAR(160)," "))))=0,Setup!$B$2&lt;&gt;TRIM(CLEAN(SUBSTITUTE(Setup!$B$2,CHAR(160)," ")))),"CHECK REVIEWER ID",IF(OR(A8="",COUNTIF($A$2:$A$10,A8)&lt;&gt;1,LEFT(A8,LEN("2019::jama.2019.14630::"))&lt;&gt;"2019::jama.2019.14630::"),"CHECK KEY",IF(NOT(OR(EXACT(F8,"no"),EXACT(F8,"primary_done"),EXACT(F8,""))),"CHECK COMPLETE FLAG",IF(OR(D8="",E8=""),"MISSING D / E",IF(OR(NOT(OR(EXACT(D8,"retain"),EXACT(D8,"exclude"),EXACT(D8,"discuss"))),NOT(OR(EXACT(E8,"statistical_results"),EXACT(E8,"report_internal_inconsistency"),EXACT(E8,"plan_material"),EXACT(E8,"protocol_report")))),"INVALID D / E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AND(AND(D8="retain",E8="statistical_results"),OR(H8="",EXACT(H8,"not_applicable"))),AND(AND(D8="retain",E8="statistical_results"),OR(I8="",EXACT(I8,"not_applicable"))),AND(AND(D8="retain",OR(E8="report_internal_inconsistency",E8="plan_material")),OR(K8="",EXACT(K8,"not_applicable")))),"MISSING REQUIRED JUDGMENT",IF(OR(AND(AND(D8="retain",E8="statistical_results"),H8&lt;&gt;"",NOT(OR(EXACT(H8,"confirmed_issue"),EXACT(H8,"probable_issue"),EXACT(H8,"not_issue"),EXACT(H8,"indeterminate")))),AND(AND(D8="retain",E8="statistical_results"),I8&lt;&gt;""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K8&lt;&gt;""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INVALID ACTIVE JUDGMENT",IF(F8&lt;&gt;"primary_done","PRIMARY DRAFT","PRIMARY READY")))))))))),"CHECK INPUT ERROR")</f>
        <v/>
      </c>
      <c r="H8" s="23">
        <f>IF(AND(OR(D8="retain",D8=""),E8="statistical_results"),"","not_applicable")</f>
        <v/>
      </c>
      <c r="I8" s="23">
        <f>IF(AND(OR(D8="retain",D8=""),E8="statistical_results"),"","not_applicable")</f>
        <v/>
      </c>
      <c r="J8" s="24">
        <f>IF(AND(OR(D8="retain",D8=""),E8="statistical_results"),"","not_applicable")</f>
        <v/>
      </c>
      <c r="K8" s="23">
        <f>IF(AND(OR(D8="retain",D8=""),OR(E8="report_internal_inconsistency",E8="plan_material")),"","not_applicable")</f>
        <v/>
      </c>
      <c r="L8" s="24">
        <f>IF(AND(OR(D8="retain",D8=""),E8="protocol_report"),"","not_applicable")</f>
        <v/>
      </c>
      <c r="M8" s="11" t="n"/>
      <c r="N8" s="11" t="n"/>
      <c r="O8" s="11" t="n"/>
      <c r="P8" s="11" t="n"/>
      <c r="Q8" s="11" t="n"/>
      <c r="R8" s="24" t="n"/>
    </row>
    <row r="9" ht="92" customFormat="1" customHeight="1" s="14">
      <c r="A9" s="11" t="inlineStr">
        <is>
          <t>2019::jama.2019.14630::C008</t>
        </is>
      </c>
      <c r="B9" s="11" t="inlineStr">
        <is>
          <t>Figure 4 threshold labels do not preserve the Methods boundary operators</t>
        </is>
      </c>
      <c r="C9" s="11" t="inlineStr">
        <is>
          <t>main article Outcomes — PDF p. 4; main article Figure 4 — PDF p. 10.</t>
        </is>
      </c>
      <c r="D9" s="23" t="n"/>
      <c r="E9" s="23" t="inlineStr">
        <is>
          <t>report_internal_inconsistency</t>
        </is>
      </c>
      <c r="F9" s="23" t="inlineStr">
        <is>
          <t>no</t>
        </is>
      </c>
      <c r="G9" s="11">
        <f>IFERROR(IF(OR(NOT(EXACT(Setup!$B$4,"R_A")),Setup!$B$5&lt;&gt;2019),"CHECK SETUP",IF(OR(LEN(TRIM(CLEAN(SUBSTITUTE(Setup!$B$2,CHAR(160)," "))))=0,Setup!$B$2&lt;&gt;TRIM(CLEAN(SUBSTITUTE(Setup!$B$2,CHAR(160)," ")))),"CHECK REVIEWER ID",IF(OR(A9="",COUNTIF($A$2:$A$10,A9)&lt;&gt;1,LEFT(A9,LEN("2019::jama.2019.14630::"))&lt;&gt;"2019::jama.2019.14630::"),"CHECK KEY",IF(NOT(OR(EXACT(F9,"no"),EXACT(F9,"primary_done"),EXACT(F9,""))),"CHECK COMPLETE FLAG",IF(OR(D9="",E9=""),"MISSING D / E",IF(OR(NOT(OR(EXACT(D9,"retain"),EXACT(D9,"exclude"),EXACT(D9,"discuss"))),NOT(OR(EXACT(E9,"statistical_results"),EXACT(E9,"report_internal_inconsistency"),EXACT(E9,"plan_material"),EXACT(E9,"protocol_report")))),"INVALID D / E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AND(AND(D9="retain",E9="statistical_results"),OR(H9="",EXACT(H9,"not_applicable"))),AND(AND(D9="retain",E9="statistical_results"),OR(I9="",EXACT(I9,"not_applicable"))),AND(AND(D9="retain",OR(E9="report_internal_inconsistency",E9="plan_material")),OR(K9="",EXACT(K9,"not_applicable")))),"MISSING REQUIRED JUDGMENT",IF(OR(AND(AND(D9="retain",E9="statistical_results"),H9&lt;&gt;"",NOT(OR(EXACT(H9,"confirmed_issue"),EXACT(H9,"probable_issue"),EXACT(H9,"not_issue"),EXACT(H9,"indeterminate")))),AND(AND(D9="retain",E9="statistical_results"),I9&lt;&gt;""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K9&lt;&gt;""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INVALID ACTIVE JUDGMENT",IF(F9&lt;&gt;"primary_done","PRIMARY DRAFT","PRIMARY READY")))))))))),"CHECK INPUT ERROR")</f>
        <v/>
      </c>
      <c r="H9" s="23">
        <f>IF(AND(OR(D9="retain",D9=""),E9="statistical_results"),"","not_applicable")</f>
        <v/>
      </c>
      <c r="I9" s="23">
        <f>IF(AND(OR(D9="retain",D9=""),E9="statistical_results"),"","not_applicable")</f>
        <v/>
      </c>
      <c r="J9" s="24">
        <f>IF(AND(OR(D9="retain",D9=""),E9="statistical_results"),"","not_applicable")</f>
        <v/>
      </c>
      <c r="K9" s="23">
        <f>IF(AND(OR(D9="retain",D9=""),OR(E9="report_internal_inconsistency",E9="plan_material")),"","not_applicable")</f>
        <v/>
      </c>
      <c r="L9" s="24">
        <f>IF(AND(OR(D9="retain",D9=""),E9="protocol_report"),"","not_applicable")</f>
        <v/>
      </c>
      <c r="M9" s="11" t="n"/>
      <c r="N9" s="11" t="n"/>
      <c r="O9" s="11" t="n"/>
      <c r="P9" s="11" t="n"/>
      <c r="Q9" s="11" t="n"/>
      <c r="R9" s="24" t="n"/>
    </row>
    <row r="10" ht="148" customFormat="1" customHeight="1" s="14">
      <c r="A10" s="12" t="inlineStr">
        <is>
          <t>2019::jama.2019.14630::C009</t>
        </is>
      </c>
      <c r="B10" s="12" t="inlineStr">
        <is>
          <t>eTable 4 total-olive-oil baseline row conflicts with the table’s median/IQR convention</t>
        </is>
      </c>
      <c r="C10" s="12" t="inlineStr">
        <is>
          <t>Supplement 3 eTable 4 row — PDF p. 10; Supplement 3 eTable 4 footnote — PDF p. 11; Supplement 3 eTable 2 comparator — PDF p. 3; Supplement 3 eTable 7 comparator — PDF p. 17.</t>
        </is>
      </c>
      <c r="D10" s="23" t="n"/>
      <c r="E10" s="23" t="inlineStr">
        <is>
          <t>report_internal_inconsistency</t>
        </is>
      </c>
      <c r="F10" s="23" t="inlineStr">
        <is>
          <t>no</t>
        </is>
      </c>
      <c r="G10" s="12">
        <f>IFERROR(IF(OR(NOT(EXACT(Setup!$B$4,"R_A")),Setup!$B$5&lt;&gt;2019),"CHECK SETUP",IF(OR(LEN(TRIM(CLEAN(SUBSTITUTE(Setup!$B$2,CHAR(160)," "))))=0,Setup!$B$2&lt;&gt;TRIM(CLEAN(SUBSTITUTE(Setup!$B$2,CHAR(160)," ")))),"CHECK REVIEWER ID",IF(OR(A10="",COUNTIF($A$2:$A$10,A10)&lt;&gt;1,LEFT(A10,LEN("2019::jama.2019.14630::"))&lt;&gt;"2019::jama.2019.14630::"),"CHECK KEY",IF(NOT(OR(EXACT(F10,"no"),EXACT(F10,"primary_done"),EXACT(F10,""))),"CHECK COMPLETE FLAG",IF(OR(D10="",E10=""),"MISSING D / E",IF(OR(NOT(OR(EXACT(D10,"retain"),EXACT(D10,"exclude"),EXACT(D10,"discuss"))),NOT(OR(EXACT(E10,"statistical_results"),EXACT(E10,"report_internal_inconsistency"),EXACT(E10,"plan_material"),EXACT(E10,"protocol_report")))),"INVALID D / E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AND(AND(D10="retain",E10="statistical_results"),OR(H10="",EXACT(H10,"not_applicable"))),AND(AND(D10="retain",E10="statistical_results"),OR(I10="",EXACT(I10,"not_applicable"))),AND(AND(D10="retain",OR(E10="report_internal_inconsistency",E10="plan_material")),OR(K10="",EXACT(K10,"not_applicable")))),"MISSING REQUIRED JUDGMENT",IF(OR(AND(AND(D10="retain",E10="statistical_results"),H10&lt;&gt;"",NOT(OR(EXACT(H10,"confirmed_issue"),EXACT(H10,"probable_issue"),EXACT(H10,"not_issue"),EXACT(H10,"indeterminate")))),AND(AND(D10="retain",E10="statistical_results"),I10&lt;&gt;""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K10&lt;&gt;""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INVALID ACTIVE JUDGMENT",IF(F10&lt;&gt;"primary_done","PRIMARY DRAFT","PRIMARY READY")))))))))),"CHECK INPUT ERROR")</f>
        <v/>
      </c>
      <c r="H10" s="23">
        <f>IF(AND(OR(D10="retain",D10=""),E10="statistical_results"),"","not_applicable")</f>
        <v/>
      </c>
      <c r="I10" s="23">
        <f>IF(AND(OR(D10="retain",D10=""),E10="statistical_results"),"","not_applicable")</f>
        <v/>
      </c>
      <c r="J10" s="24">
        <f>IF(AND(OR(D10="retain",D10=""),E10="statistical_results"),"","not_applicable")</f>
        <v/>
      </c>
      <c r="K10" s="23">
        <f>IF(AND(OR(D10="retain",D10=""),OR(E10="report_internal_inconsistency",E10="plan_material")),"","not_applicable")</f>
        <v/>
      </c>
      <c r="L10" s="24">
        <f>IF(AND(OR(D10="retain",D10=""),E10="protocol_report"),"","not_applicable")</f>
        <v/>
      </c>
      <c r="M10" s="11" t="n"/>
      <c r="N10" s="11" t="n"/>
      <c r="O10" s="11" t="n"/>
      <c r="P10" s="11" t="n"/>
      <c r="Q10" s="11" t="n"/>
      <c r="R10" s="24" t="n"/>
    </row>
  </sheetData>
  <autoFilter ref="A1:R10"/>
  <conditionalFormatting sqref="H2:H10">
    <cfRule type="expression" priority="8" dxfId="70">
      <formula>NOT(AND(OR($D2="retain",$D2=""),$E2="statistical_results"))</formula>
    </cfRule>
  </conditionalFormatting>
  <conditionalFormatting sqref="I2:I10">
    <cfRule type="expression" priority="9" dxfId="70">
      <formula>NOT(AND(OR($D2="retain",$D2=""),$E2="statistical_results"))</formula>
    </cfRule>
  </conditionalFormatting>
  <conditionalFormatting sqref="J2:J10">
    <cfRule type="expression" priority="10" dxfId="70">
      <formula>NOT(AND(OR($D2="retain",$D2=""),$E2="statistical_results"))</formula>
    </cfRule>
  </conditionalFormatting>
  <conditionalFormatting sqref="K2:K10">
    <cfRule type="expression" priority="11" dxfId="70">
      <formula>NOT(AND(OR($D2="retain",$D2=""),OR($E2="report_internal_inconsistency",$E2="plan_material")))</formula>
    </cfRule>
  </conditionalFormatting>
  <conditionalFormatting sqref="L2:L10">
    <cfRule type="expression" priority="12" dxfId="70">
      <formula>NOT(AND(OR($D2="retain",$D2=""),$E2="protocol_report"))</formula>
    </cfRule>
  </conditionalFormatting>
  <conditionalFormatting sqref="G2:G10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10">
    <cfRule type="expression" priority="15" dxfId="73">
      <formula>$D2="discuss"</formula>
    </cfRule>
  </conditionalFormatting>
  <dataValidations count="8">
    <dataValidation sqref="D2:D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10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92" customFormat="1" customHeight="1" s="14">
      <c r="A2" s="12" t="inlineStr">
        <is>
          <t>2019::jama.2019.14901::C001</t>
        </is>
      </c>
      <c r="B2" s="12" t="inlineStr">
        <is>
          <t>Day-7 respiratory-failure absolute difference differs across matched article locations</t>
        </is>
      </c>
      <c r="C2" s="12" t="n"/>
      <c r="D2" s="23" t="n"/>
      <c r="E2" s="23" t="inlineStr">
        <is>
          <t>statistical_results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ID",IF(OR(A2="",COUNTIF($A$2:$A$7,A2)&lt;&gt;1,LEFT(A2,LEN("2019::jama.2019.14901::"))&lt;&gt;"2019::jama.2019.14901::"),"CHECK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92" customFormat="1" customHeight="1" s="14">
      <c r="A3" s="11" t="inlineStr">
        <is>
          <t>2019::jama.2019.14901::C002</t>
        </is>
      </c>
      <c r="B3" s="11" t="inlineStr">
        <is>
          <t>Reintubation respiratory-acidosis cutoff differs between article and protocol</t>
        </is>
      </c>
      <c r="C3" s="11" t="n"/>
      <c r="D3" s="23" t="n"/>
      <c r="E3" s="23" t="inlineStr">
        <is>
          <t>protocol_report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ID",IF(OR(A3="",COUNTIF($A$2:$A$7,A3)&lt;&gt;1,LEFT(A3,LEN("2019::jama.2019.14901::"))&lt;&gt;"2019::jama.2019.14901::"),"CHECK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92" customFormat="1" customHeight="1" s="14">
      <c r="A4" s="12" t="inlineStr">
        <is>
          <t>2019::jama.2019.14901::C003</t>
        </is>
      </c>
      <c r="B4" s="12" t="inlineStr">
        <is>
          <t>Hypercapnic ineffective-cough percentages conflict with printed fractions</t>
        </is>
      </c>
      <c r="C4" s="12" t="n"/>
      <c r="D4" s="23" t="n"/>
      <c r="E4" s="23" t="inlineStr">
        <is>
          <t>statistical_results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ID",IF(OR(A4="",COUNTIF($A$2:$A$7,A4)&lt;&gt;1,LEFT(A4,LEN("2019::jama.2019.14901::"))&lt;&gt;"2019::jama.2019.14901::"),"CHECK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92" customFormat="1" customHeight="1" s="14">
      <c r="A5" s="11" t="inlineStr">
        <is>
          <t>2019::jama.2019.14901::C004</t>
        </is>
      </c>
      <c r="B5" s="11" t="inlineStr">
        <is>
          <t>Hypercapnic abundant-secretion percentages conflict with printed fractions</t>
        </is>
      </c>
      <c r="C5" s="11" t="n"/>
      <c r="D5" s="23" t="n"/>
      <c r="E5" s="23" t="inlineStr">
        <is>
          <t>statistical_results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ID",IF(OR(A5="",COUNTIF($A$2:$A$7,A5)&lt;&gt;1,LEFT(A5,LEN("2019::jama.2019.14901::"))&lt;&gt;"2019::jama.2019.14901::"),"CHECK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  <row r="6" ht="92" customFormat="1" customHeight="1" s="14">
      <c r="A6" s="12" t="inlineStr">
        <is>
          <t>2019::jama.2019.14901::C005</t>
        </is>
      </c>
      <c r="B6" s="12" t="inlineStr">
        <is>
          <t>Matched nonhypercapnic day-7 reintubation P values differ across article and supplement</t>
        </is>
      </c>
      <c r="C6" s="12" t="n"/>
      <c r="D6" s="23" t="n"/>
      <c r="E6" s="23" t="inlineStr">
        <is>
          <t>report_internal_inconsistency</t>
        </is>
      </c>
      <c r="F6" s="23" t="inlineStr">
        <is>
          <t>no</t>
        </is>
      </c>
      <c r="G6" s="12">
        <f>IFERROR(IF(OR(NOT(EXACT(Setup!$B$4,"R_A")),Setup!$B$5&lt;&gt;2019),"CHECK SETUP",IF(OR(LEN(TRIM(CLEAN(SUBSTITUTE(Setup!$B$2,CHAR(160)," "))))=0,Setup!$B$2&lt;&gt;TRIM(CLEAN(SUBSTITUTE(Setup!$B$2,CHAR(160)," ")))),"CHECK REVIEWER ID",IF(OR(A6="",COUNTIF($A$2:$A$7,A6)&lt;&gt;1,LEFT(A6,LEN("2019::jama.2019.14901::"))&lt;&gt;"2019::jama.2019.14901::"),"CHECK KEY",IF(NOT(OR(EXACT(F6,"no"),EXACT(F6,"primary_done"),EXACT(F6,""))),"CHECK COMPLETE FLAG",IF(OR(D6="",E6=""),"MISSING D / E",IF(OR(NOT(OR(EXACT(D6,"retain"),EXACT(D6,"exclude"),EXACT(D6,"discuss"))),NOT(OR(EXACT(E6,"statistical_results"),EXACT(E6,"report_internal_inconsistency"),EXACT(E6,"plan_material"),EXACT(E6,"protocol_report")))),"INVALID D / E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AND(AND(D6="retain",E6="statistical_results"),OR(H6="",EXACT(H6,"not_applicable"))),AND(AND(D6="retain",E6="statistical_results"),OR(I6="",EXACT(I6,"not_applicable"))),AND(AND(D6="retain",OR(E6="report_internal_inconsistency",E6="plan_material")),OR(K6="",EXACT(K6,"not_applicable")))),"MISSING REQUIRED JUDGMENT",IF(OR(AND(AND(D6="retain",E6="statistical_results"),H6&lt;&gt;"",NOT(OR(EXACT(H6,"confirmed_issue"),EXACT(H6,"probable_issue"),EXACT(H6,"not_issue"),EXACT(H6,"indeterminate")))),AND(AND(D6="retain",E6="statistical_results"),I6&lt;&gt;""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K6&lt;&gt;""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INVALID ACTIVE JUDGMENT",IF(F6&lt;&gt;"primary_done","PRIMARY DRAFT","PRIMARY READY")))))))))),"CHECK INPUT ERROR")</f>
        <v/>
      </c>
      <c r="H6" s="23">
        <f>IF(AND(OR(D6="retain",D6=""),E6="statistical_results"),"","not_applicable")</f>
        <v/>
      </c>
      <c r="I6" s="23">
        <f>IF(AND(OR(D6="retain",D6=""),E6="statistical_results"),"","not_applicable")</f>
        <v/>
      </c>
      <c r="J6" s="24">
        <f>IF(AND(OR(D6="retain",D6=""),E6="statistical_results"),"","not_applicable")</f>
        <v/>
      </c>
      <c r="K6" s="23">
        <f>IF(AND(OR(D6="retain",D6=""),OR(E6="report_internal_inconsistency",E6="plan_material")),"","not_applicable")</f>
        <v/>
      </c>
      <c r="L6" s="24">
        <f>IF(AND(OR(D6="retain",D6=""),E6="protocol_report"),"","not_applicable")</f>
        <v/>
      </c>
      <c r="M6" s="11" t="n"/>
      <c r="N6" s="11" t="n"/>
      <c r="O6" s="11" t="n"/>
      <c r="P6" s="11" t="n"/>
      <c r="Q6" s="11" t="n"/>
      <c r="R6" s="24" t="n"/>
    </row>
    <row r="7" ht="92" customFormat="1" customHeight="1" s="14">
      <c r="A7" s="11" t="inlineStr">
        <is>
          <t>2019::jama.2019.14901::C006</t>
        </is>
      </c>
      <c r="B7" s="11" t="inlineStr">
        <is>
          <t>Protocol total-duration breakdown does not arithmetically reach the printed total</t>
        </is>
      </c>
      <c r="C7" s="11" t="n"/>
      <c r="D7" s="23" t="n"/>
      <c r="E7" s="23" t="inlineStr">
        <is>
          <t>plan_material</t>
        </is>
      </c>
      <c r="F7" s="23" t="inlineStr">
        <is>
          <t>no</t>
        </is>
      </c>
      <c r="G7" s="11">
        <f>IFERROR(IF(OR(NOT(EXACT(Setup!$B$4,"R_A")),Setup!$B$5&lt;&gt;2019),"CHECK SETUP",IF(OR(LEN(TRIM(CLEAN(SUBSTITUTE(Setup!$B$2,CHAR(160)," "))))=0,Setup!$B$2&lt;&gt;TRIM(CLEAN(SUBSTITUTE(Setup!$B$2,CHAR(160)," ")))),"CHECK REVIEWER ID",IF(OR(A7="",COUNTIF($A$2:$A$7,A7)&lt;&gt;1,LEFT(A7,LEN("2019::jama.2019.14901::"))&lt;&gt;"2019::jama.2019.14901::"),"CHECK KEY",IF(NOT(OR(EXACT(F7,"no"),EXACT(F7,"primary_done"),EXACT(F7,""))),"CHECK COMPLETE FLAG",IF(OR(D7="",E7=""),"MISSING D / E",IF(OR(NOT(OR(EXACT(D7,"retain"),EXACT(D7,"exclude"),EXACT(D7,"discuss"))),NOT(OR(EXACT(E7,"statistical_results"),EXACT(E7,"report_internal_inconsistency"),EXACT(E7,"plan_material"),EXACT(E7,"protocol_report")))),"INVALID D / E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AND(AND(D7="retain",E7="statistical_results"),OR(H7="",EXACT(H7,"not_applicable"))),AND(AND(D7="retain",E7="statistical_results"),OR(I7="",EXACT(I7,"not_applicable"))),AND(AND(D7="retain",OR(E7="report_internal_inconsistency",E7="plan_material")),OR(K7="",EXACT(K7,"not_applicable")))),"MISSING REQUIRED JUDGMENT",IF(OR(AND(AND(D7="retain",E7="statistical_results"),H7&lt;&gt;"",NOT(OR(EXACT(H7,"confirmed_issue"),EXACT(H7,"probable_issue"),EXACT(H7,"not_issue"),EXACT(H7,"indeterminate")))),AND(AND(D7="retain",E7="statistical_results"),I7&lt;&gt;""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K7&lt;&gt;""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INVALID ACTIVE JUDGMENT",IF(F7&lt;&gt;"primary_done","PRIMARY DRAFT","PRIMARY READY")))))))))),"CHECK INPUT ERROR")</f>
        <v/>
      </c>
      <c r="H7" s="23">
        <f>IF(AND(OR(D7="retain",D7=""),E7="statistical_results"),"","not_applicable")</f>
        <v/>
      </c>
      <c r="I7" s="23">
        <f>IF(AND(OR(D7="retain",D7=""),E7="statistical_results"),"","not_applicable")</f>
        <v/>
      </c>
      <c r="J7" s="24">
        <f>IF(AND(OR(D7="retain",D7=""),E7="statistical_results"),"","not_applicable")</f>
        <v/>
      </c>
      <c r="K7" s="23">
        <f>IF(AND(OR(D7="retain",D7=""),OR(E7="report_internal_inconsistency",E7="plan_material")),"","not_applicable")</f>
        <v/>
      </c>
      <c r="L7" s="24">
        <f>IF(AND(OR(D7="retain",D7=""),E7="protocol_report"),"","not_applicable")</f>
        <v/>
      </c>
      <c r="M7" s="11" t="n"/>
      <c r="N7" s="11" t="n"/>
      <c r="O7" s="11" t="n"/>
      <c r="P7" s="11" t="n"/>
      <c r="Q7" s="11" t="n"/>
      <c r="R7" s="24" t="n"/>
    </row>
  </sheetData>
  <autoFilter ref="A1:R7"/>
  <conditionalFormatting sqref="H2:H7">
    <cfRule type="expression" priority="8" dxfId="70">
      <formula>NOT(AND(OR($D2="retain",$D2=""),$E2="statistical_results"))</formula>
    </cfRule>
  </conditionalFormatting>
  <conditionalFormatting sqref="I2:I7">
    <cfRule type="expression" priority="9" dxfId="70">
      <formula>NOT(AND(OR($D2="retain",$D2=""),$E2="statistical_results"))</formula>
    </cfRule>
  </conditionalFormatting>
  <conditionalFormatting sqref="J2:J7">
    <cfRule type="expression" priority="10" dxfId="70">
      <formula>NOT(AND(OR($D2="retain",$D2=""),$E2="statistical_results"))</formula>
    </cfRule>
  </conditionalFormatting>
  <conditionalFormatting sqref="K2:K7">
    <cfRule type="expression" priority="11" dxfId="70">
      <formula>NOT(AND(OR($D2="retain",$D2=""),OR($E2="report_internal_inconsistency",$E2="plan_material")))</formula>
    </cfRule>
  </conditionalFormatting>
  <conditionalFormatting sqref="L2:L7">
    <cfRule type="expression" priority="12" dxfId="70">
      <formula>NOT(AND(OR($D2="retain",$D2=""),$E2="protocol_report"))</formula>
    </cfRule>
  </conditionalFormatting>
  <conditionalFormatting sqref="G2:G7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7">
    <cfRule type="expression" priority="15" dxfId="73">
      <formula>$D2="discuss"</formula>
    </cfRule>
  </conditionalFormatting>
  <dataValidations count="8">
    <dataValidation sqref="D2:D7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7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7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7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7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7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7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7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92" customFormat="1" customHeight="1" s="14">
      <c r="A2" s="12" t="inlineStr">
        <is>
          <t>2019::jama.2019.17380::C001</t>
        </is>
      </c>
      <c r="B2" s="12" t="inlineStr">
        <is>
          <t>Figure 2 omega-3 eGFR contributor counts conflict with Table 2</t>
        </is>
      </c>
      <c r="C2" s="12" t="inlineStr">
        <is>
          <t>Figure 2 panel B — PDF p. 7; Table 2 — PDF p. 8.</t>
        </is>
      </c>
      <c r="D2" s="23" t="n"/>
      <c r="E2" s="23" t="inlineStr">
        <is>
          <t>report_internal_inconsistency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ID",IF(OR(A2="",COUNTIF($A$2:$A$8,A2)&lt;&gt;1,LEFT(A2,LEN("2019::jama.2019.17380::"))&lt;&gt;"2019::jama.2019.17380::"),"CHECK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92" customFormat="1" customHeight="1" s="14">
      <c r="A3" s="11" t="inlineStr">
        <is>
          <t>2019::jama.2019.17380::C002</t>
        </is>
      </c>
      <c r="B3" s="11" t="inlineStr">
        <is>
          <t>Figure 2 omega-3 urine-ACR contributor counts conflict with eTable 6</t>
        </is>
      </c>
      <c r="C3" s="11" t="inlineStr">
        <is>
          <t>Figure 2 panel D — PDF p. 7; eTable 6 — PDF p. 11.</t>
        </is>
      </c>
      <c r="D3" s="23" t="n"/>
      <c r="E3" s="23" t="inlineStr">
        <is>
          <t>report_internal_inconsistency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ID",IF(OR(A3="",COUNTIF($A$2:$A$8,A3)&lt;&gt;1,LEFT(A3,LEN("2019::jama.2019.17380::"))&lt;&gt;"2019::jama.2019.17380::"),"CHECK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92" customFormat="1" customHeight="1" s="14">
      <c r="A4" s="12" t="inlineStr">
        <is>
          <t>2019::jama.2019.17380::C003</t>
        </is>
      </c>
      <c r="B4" s="12" t="inlineStr">
        <is>
          <t>Figure 3 assigns vitamin-D arm sizes to the opposite column labels</t>
        </is>
      </c>
      <c r="C4" s="12" t="inlineStr">
        <is>
          <t>Abstract — PDF p. 1; Table 2 and Figure 3 — PDF p. 8.</t>
        </is>
      </c>
      <c r="D4" s="23" t="n"/>
      <c r="E4" s="23" t="inlineStr">
        <is>
          <t>report_internal_inconsistency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ID",IF(OR(A4="",COUNTIF($A$2:$A$8,A4)&lt;&gt;1,LEFT(A4,LEN("2019::jama.2019.17380::"))&lt;&gt;"2019::jama.2019.17380::"),"CHECK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92" customFormat="1" customHeight="1" s="14">
      <c r="A5" s="11" t="inlineStr">
        <is>
          <t>2019::jama.2019.17380::C004</t>
        </is>
      </c>
      <c r="B5" s="11" t="inlineStr">
        <is>
          <t>Figure 4 assigns omega-3 arm sizes to the opposite column labels</t>
        </is>
      </c>
      <c r="C5" s="11" t="inlineStr">
        <is>
          <t>Abstract — PDF p. 1; Table 2 — PDF p. 8; Figure 4 — PDF p. 9.</t>
        </is>
      </c>
      <c r="D5" s="23" t="n"/>
      <c r="E5" s="23" t="inlineStr">
        <is>
          <t>report_internal_inconsistency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ID",IF(OR(A5="",COUNTIF($A$2:$A$8,A5)&lt;&gt;1,LEFT(A5,LEN("2019::jama.2019.17380::"))&lt;&gt;"2019::jama.2019.17380::"),"CHECK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  <row r="6" ht="92" customFormat="1" customHeight="1" s="14">
      <c r="A6" s="12" t="inlineStr">
        <is>
          <t>2019::jama.2019.17380::C005</t>
        </is>
      </c>
      <c r="B6" s="12" t="inlineStr">
        <is>
          <t>eFigure 2 places vitamin-D participant counts under the opposite headings</t>
        </is>
      </c>
      <c r="C6" s="12" t="inlineStr">
        <is>
          <t>Abstract — PDF p. 1; eTable 6 — PDF p. 11; eFigure 2 — PDF p. 18.</t>
        </is>
      </c>
      <c r="D6" s="23" t="n"/>
      <c r="E6" s="23" t="inlineStr">
        <is>
          <t>report_internal_inconsistency</t>
        </is>
      </c>
      <c r="F6" s="23" t="inlineStr">
        <is>
          <t>no</t>
        </is>
      </c>
      <c r="G6" s="12">
        <f>IFERROR(IF(OR(NOT(EXACT(Setup!$B$4,"R_A")),Setup!$B$5&lt;&gt;2019),"CHECK SETUP",IF(OR(LEN(TRIM(CLEAN(SUBSTITUTE(Setup!$B$2,CHAR(160)," "))))=0,Setup!$B$2&lt;&gt;TRIM(CLEAN(SUBSTITUTE(Setup!$B$2,CHAR(160)," ")))),"CHECK REVIEWER ID",IF(OR(A6="",COUNTIF($A$2:$A$8,A6)&lt;&gt;1,LEFT(A6,LEN("2019::jama.2019.17380::"))&lt;&gt;"2019::jama.2019.17380::"),"CHECK KEY",IF(NOT(OR(EXACT(F6,"no"),EXACT(F6,"primary_done"),EXACT(F6,""))),"CHECK COMPLETE FLAG",IF(OR(D6="",E6=""),"MISSING D / E",IF(OR(NOT(OR(EXACT(D6,"retain"),EXACT(D6,"exclude"),EXACT(D6,"discuss"))),NOT(OR(EXACT(E6,"statistical_results"),EXACT(E6,"report_internal_inconsistency"),EXACT(E6,"plan_material"),EXACT(E6,"protocol_report")))),"INVALID D / E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AND(AND(D6="retain",E6="statistical_results"),OR(H6="",EXACT(H6,"not_applicable"))),AND(AND(D6="retain",E6="statistical_results"),OR(I6="",EXACT(I6,"not_applicable"))),AND(AND(D6="retain",OR(E6="report_internal_inconsistency",E6="plan_material")),OR(K6="",EXACT(K6,"not_applicable")))),"MISSING REQUIRED JUDGMENT",IF(OR(AND(AND(D6="retain",E6="statistical_results"),H6&lt;&gt;"",NOT(OR(EXACT(H6,"confirmed_issue"),EXACT(H6,"probable_issue"),EXACT(H6,"not_issue"),EXACT(H6,"indeterminate")))),AND(AND(D6="retain",E6="statistical_results"),I6&lt;&gt;""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K6&lt;&gt;""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INVALID ACTIVE JUDGMENT",IF(F6&lt;&gt;"primary_done","PRIMARY DRAFT","PRIMARY READY")))))))))),"CHECK INPUT ERROR")</f>
        <v/>
      </c>
      <c r="H6" s="23">
        <f>IF(AND(OR(D6="retain",D6=""),E6="statistical_results"),"","not_applicable")</f>
        <v/>
      </c>
      <c r="I6" s="23">
        <f>IF(AND(OR(D6="retain",D6=""),E6="statistical_results"),"","not_applicable")</f>
        <v/>
      </c>
      <c r="J6" s="24">
        <f>IF(AND(OR(D6="retain",D6=""),E6="statistical_results"),"","not_applicable")</f>
        <v/>
      </c>
      <c r="K6" s="23">
        <f>IF(AND(OR(D6="retain",D6=""),OR(E6="report_internal_inconsistency",E6="plan_material")),"","not_applicable")</f>
        <v/>
      </c>
      <c r="L6" s="24">
        <f>IF(AND(OR(D6="retain",D6=""),E6="protocol_report"),"","not_applicable")</f>
        <v/>
      </c>
      <c r="M6" s="11" t="n"/>
      <c r="N6" s="11" t="n"/>
      <c r="O6" s="11" t="n"/>
      <c r="P6" s="11" t="n"/>
      <c r="Q6" s="11" t="n"/>
      <c r="R6" s="24" t="n"/>
    </row>
    <row r="7" ht="92" customFormat="1" customHeight="1" s="14">
      <c r="A7" s="11" t="inlineStr">
        <is>
          <t>2019::jama.2019.17380::C006</t>
        </is>
      </c>
      <c r="B7" s="11" t="inlineStr">
        <is>
          <t>eFigure 3 places omega-3 participant counts under the opposite headings</t>
        </is>
      </c>
      <c r="C7" s="11" t="inlineStr">
        <is>
          <t>Abstract — PDF p. 1; eTable 6 — PDF p. 11; eFigure 3 — PDF p. 19.</t>
        </is>
      </c>
      <c r="D7" s="23" t="n"/>
      <c r="E7" s="23" t="inlineStr">
        <is>
          <t>report_internal_inconsistency</t>
        </is>
      </c>
      <c r="F7" s="23" t="inlineStr">
        <is>
          <t>no</t>
        </is>
      </c>
      <c r="G7" s="11">
        <f>IFERROR(IF(OR(NOT(EXACT(Setup!$B$4,"R_A")),Setup!$B$5&lt;&gt;2019),"CHECK SETUP",IF(OR(LEN(TRIM(CLEAN(SUBSTITUTE(Setup!$B$2,CHAR(160)," "))))=0,Setup!$B$2&lt;&gt;TRIM(CLEAN(SUBSTITUTE(Setup!$B$2,CHAR(160)," ")))),"CHECK REVIEWER ID",IF(OR(A7="",COUNTIF($A$2:$A$8,A7)&lt;&gt;1,LEFT(A7,LEN("2019::jama.2019.17380::"))&lt;&gt;"2019::jama.2019.17380::"),"CHECK KEY",IF(NOT(OR(EXACT(F7,"no"),EXACT(F7,"primary_done"),EXACT(F7,""))),"CHECK COMPLETE FLAG",IF(OR(D7="",E7=""),"MISSING D / E",IF(OR(NOT(OR(EXACT(D7,"retain"),EXACT(D7,"exclude"),EXACT(D7,"discuss"))),NOT(OR(EXACT(E7,"statistical_results"),EXACT(E7,"report_internal_inconsistency"),EXACT(E7,"plan_material"),EXACT(E7,"protocol_report")))),"INVALID D / E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AND(AND(D7="retain",E7="statistical_results"),OR(H7="",EXACT(H7,"not_applicable"))),AND(AND(D7="retain",E7="statistical_results"),OR(I7="",EXACT(I7,"not_applicable"))),AND(AND(D7="retain",OR(E7="report_internal_inconsistency",E7="plan_material")),OR(K7="",EXACT(K7,"not_applicable")))),"MISSING REQUIRED JUDGMENT",IF(OR(AND(AND(D7="retain",E7="statistical_results"),H7&lt;&gt;"",NOT(OR(EXACT(H7,"confirmed_issue"),EXACT(H7,"probable_issue"),EXACT(H7,"not_issue"),EXACT(H7,"indeterminate")))),AND(AND(D7="retain",E7="statistical_results"),I7&lt;&gt;""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K7&lt;&gt;""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INVALID ACTIVE JUDGMENT",IF(F7&lt;&gt;"primary_done","PRIMARY DRAFT","PRIMARY READY")))))))))),"CHECK INPUT ERROR")</f>
        <v/>
      </c>
      <c r="H7" s="23">
        <f>IF(AND(OR(D7="retain",D7=""),E7="statistical_results"),"","not_applicable")</f>
        <v/>
      </c>
      <c r="I7" s="23">
        <f>IF(AND(OR(D7="retain",D7=""),E7="statistical_results"),"","not_applicable")</f>
        <v/>
      </c>
      <c r="J7" s="24">
        <f>IF(AND(OR(D7="retain",D7=""),E7="statistical_results"),"","not_applicable")</f>
        <v/>
      </c>
      <c r="K7" s="23">
        <f>IF(AND(OR(D7="retain",D7=""),OR(E7="report_internal_inconsistency",E7="plan_material")),"","not_applicable")</f>
        <v/>
      </c>
      <c r="L7" s="24">
        <f>IF(AND(OR(D7="retain",D7=""),E7="protocol_report"),"","not_applicable")</f>
        <v/>
      </c>
      <c r="M7" s="11" t="n"/>
      <c r="N7" s="11" t="n"/>
      <c r="O7" s="11" t="n"/>
      <c r="P7" s="11" t="n"/>
      <c r="Q7" s="11" t="n"/>
      <c r="R7" s="24" t="n"/>
    </row>
    <row r="8" ht="92" customFormat="1" customHeight="1" s="14">
      <c r="A8" s="12" t="inlineStr">
        <is>
          <t>2019::jama.2019.17380::C007</t>
        </is>
      </c>
      <c r="B8" s="12" t="inlineStr">
        <is>
          <t>Imputation count differs between the analytic-plan addendum and article methods</t>
        </is>
      </c>
      <c r="C8" s="12" t="inlineStr">
        <is>
          <t>Analytic-plan addendum, Section 15c — PDF p. 32; Article Data Analysis — PDF p. 3.</t>
        </is>
      </c>
      <c r="D8" s="23" t="n"/>
      <c r="E8" s="23" t="inlineStr">
        <is>
          <t>protocol_report</t>
        </is>
      </c>
      <c r="F8" s="23" t="inlineStr">
        <is>
          <t>no</t>
        </is>
      </c>
      <c r="G8" s="12">
        <f>IFERROR(IF(OR(NOT(EXACT(Setup!$B$4,"R_A")),Setup!$B$5&lt;&gt;2019),"CHECK SETUP",IF(OR(LEN(TRIM(CLEAN(SUBSTITUTE(Setup!$B$2,CHAR(160)," "))))=0,Setup!$B$2&lt;&gt;TRIM(CLEAN(SUBSTITUTE(Setup!$B$2,CHAR(160)," ")))),"CHECK REVIEWER ID",IF(OR(A8="",COUNTIF($A$2:$A$8,A8)&lt;&gt;1,LEFT(A8,LEN("2019::jama.2019.17380::"))&lt;&gt;"2019::jama.2019.17380::"),"CHECK KEY",IF(NOT(OR(EXACT(F8,"no"),EXACT(F8,"primary_done"),EXACT(F8,""))),"CHECK COMPLETE FLAG",IF(OR(D8="",E8=""),"MISSING D / E",IF(OR(NOT(OR(EXACT(D8,"retain"),EXACT(D8,"exclude"),EXACT(D8,"discuss"))),NOT(OR(EXACT(E8,"statistical_results"),EXACT(E8,"report_internal_inconsistency"),EXACT(E8,"plan_material"),EXACT(E8,"protocol_report")))),"INVALID D / E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AND(AND(D8="retain",E8="statistical_results"),OR(H8="",EXACT(H8,"not_applicable"))),AND(AND(D8="retain",E8="statistical_results"),OR(I8="",EXACT(I8,"not_applicable"))),AND(AND(D8="retain",OR(E8="report_internal_inconsistency",E8="plan_material")),OR(K8="",EXACT(K8,"not_applicable")))),"MISSING REQUIRED JUDGMENT",IF(OR(AND(AND(D8="retain",E8="statistical_results"),H8&lt;&gt;"",NOT(OR(EXACT(H8,"confirmed_issue"),EXACT(H8,"probable_issue"),EXACT(H8,"not_issue"),EXACT(H8,"indeterminate")))),AND(AND(D8="retain",E8="statistical_results"),I8&lt;&gt;""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K8&lt;&gt;""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INVALID ACTIVE JUDGMENT",IF(F8&lt;&gt;"primary_done","PRIMARY DRAFT","PRIMARY READY")))))))))),"CHECK INPUT ERROR")</f>
        <v/>
      </c>
      <c r="H8" s="23">
        <f>IF(AND(OR(D8="retain",D8=""),E8="statistical_results"),"","not_applicable")</f>
        <v/>
      </c>
      <c r="I8" s="23">
        <f>IF(AND(OR(D8="retain",D8=""),E8="statistical_results"),"","not_applicable")</f>
        <v/>
      </c>
      <c r="J8" s="24">
        <f>IF(AND(OR(D8="retain",D8=""),E8="statistical_results"),"","not_applicable")</f>
        <v/>
      </c>
      <c r="K8" s="23">
        <f>IF(AND(OR(D8="retain",D8=""),OR(E8="report_internal_inconsistency",E8="plan_material")),"","not_applicable")</f>
        <v/>
      </c>
      <c r="L8" s="24">
        <f>IF(AND(OR(D8="retain",D8=""),E8="protocol_report"),"","not_applicable")</f>
        <v/>
      </c>
      <c r="M8" s="11" t="n"/>
      <c r="N8" s="11" t="n"/>
      <c r="O8" s="11" t="n"/>
      <c r="P8" s="11" t="n"/>
      <c r="Q8" s="11" t="n"/>
      <c r="R8" s="24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8">
    <cfRule type="expression" priority="15" dxfId="73">
      <formula>$D2="discuss"</formula>
    </cfRule>
  </conditionalFormatting>
  <dataValidations count="8">
    <dataValidation sqref="D2:D8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8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8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8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8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8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8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8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92" customFormat="1" customHeight="1" s="14">
      <c r="A2" s="12" t="inlineStr">
        <is>
          <t>2019::jama.2019.2210::C001</t>
        </is>
      </c>
      <c r="B2" s="12" t="inlineStr">
        <is>
          <t>Table 1 SNP percentages use unlabelled, variable available-case denominators</t>
        </is>
      </c>
      <c r="C2" s="12" t="inlineStr">
        <is>
          <t>main article — PDF p. 5; Supplement 2 — PDF p. 7, p. 13, and p. 27.</t>
        </is>
      </c>
      <c r="D2" s="23" t="n"/>
      <c r="E2" s="23" t="inlineStr">
        <is>
          <t>statistical_results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ID",IF(OR(A2="",COUNTIF($A$2:$A$10,A2)&lt;&gt;1,LEFT(A2,LEN("2019::jama.2019.2210::"))&lt;&gt;"2019::jama.2019.2210::"),"CHECK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92" customFormat="1" customHeight="1" s="14">
      <c r="A3" s="11" t="inlineStr">
        <is>
          <t>2019::jama.2019.2210::C002</t>
        </is>
      </c>
      <c r="B3" s="11" t="inlineStr">
        <is>
          <t>Figure 3 caption says panel-C risk numbers are absent although the panel prints them</t>
        </is>
      </c>
      <c r="C3" s="11" t="inlineStr">
        <is>
          <t>main article — PDF p. 7.</t>
        </is>
      </c>
      <c r="D3" s="23" t="n"/>
      <c r="E3" s="23" t="inlineStr">
        <is>
          <t>statistical_results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ID",IF(OR(A3="",COUNTIF($A$2:$A$10,A3)&lt;&gt;1,LEFT(A3,LEN("2019::jama.2019.2210::"))&lt;&gt;"2019::jama.2019.2210::"),"CHECK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92" customFormat="1" customHeight="1" s="14">
      <c r="A4" s="12" t="inlineStr">
        <is>
          <t>2019::jama.2019.2210::C003</t>
        </is>
      </c>
      <c r="B4" s="12" t="inlineStr">
        <is>
          <t>Final protocol gives different accrual stopping thresholds</t>
        </is>
      </c>
      <c r="C4" s="12" t="inlineStr">
        <is>
          <t>Supplement 1 — PDF p. 18 and Supplement 1 — PDF p. 31.</t>
        </is>
      </c>
      <c r="D4" s="23" t="n"/>
      <c r="E4" s="23" t="inlineStr">
        <is>
          <t>plan_material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ID",IF(OR(A4="",COUNTIF($A$2:$A$10,A4)&lt;&gt;1,LEFT(A4,LEN("2019::jama.2019.2210::"))&lt;&gt;"2019::jama.2019.2210::"),"CHECK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92" customFormat="1" customHeight="1" s="14">
      <c r="A5" s="11" t="inlineStr">
        <is>
          <t>2019::jama.2019.2210::C004</t>
        </is>
      </c>
      <c r="B5" s="11" t="inlineStr">
        <is>
          <t>Final protocol assigns de novo cancer incompatible endpoint labels</t>
        </is>
      </c>
      <c r="C5" s="11" t="inlineStr">
        <is>
          <t>Supplement 1 — PDF p. 19, p. 25, p. 26, and p. 45; main article — PDF p. 8.</t>
        </is>
      </c>
      <c r="D5" s="23" t="n"/>
      <c r="E5" s="23" t="inlineStr">
        <is>
          <t>protocol_report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ID",IF(OR(A5="",COUNTIF($A$2:$A$10,A5)&lt;&gt;1,LEFT(A5,LEN("2019::jama.2019.2210::"))&lt;&gt;"2019::jama.2019.2210::"),"CHECK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  <row r="6" ht="92" customFormat="1" customHeight="1" s="14">
      <c r="A6" s="12" t="inlineStr">
        <is>
          <t>2019::jama.2019.2210::C005</t>
        </is>
      </c>
      <c r="B6" s="12" t="inlineStr">
        <is>
          <t>One final-protocol high-25(OH)D stratum label omits the boundary operator</t>
        </is>
      </c>
      <c r="C6" s="12" t="inlineStr">
        <is>
          <t>Supplement 1 — PDF p. 23 and p. 31; main article — PDF p. 3.</t>
        </is>
      </c>
      <c r="D6" s="23" t="n"/>
      <c r="E6" s="23" t="inlineStr">
        <is>
          <t>plan_material</t>
        </is>
      </c>
      <c r="F6" s="23" t="inlineStr">
        <is>
          <t>no</t>
        </is>
      </c>
      <c r="G6" s="12">
        <f>IFERROR(IF(OR(NOT(EXACT(Setup!$B$4,"R_A")),Setup!$B$5&lt;&gt;2019),"CHECK SETUP",IF(OR(LEN(TRIM(CLEAN(SUBSTITUTE(Setup!$B$2,CHAR(160)," "))))=0,Setup!$B$2&lt;&gt;TRIM(CLEAN(SUBSTITUTE(Setup!$B$2,CHAR(160)," ")))),"CHECK REVIEWER ID",IF(OR(A6="",COUNTIF($A$2:$A$10,A6)&lt;&gt;1,LEFT(A6,LEN("2019::jama.2019.2210::"))&lt;&gt;"2019::jama.2019.2210::"),"CHECK KEY",IF(NOT(OR(EXACT(F6,"no"),EXACT(F6,"primary_done"),EXACT(F6,""))),"CHECK COMPLETE FLAG",IF(OR(D6="",E6=""),"MISSING D / E",IF(OR(NOT(OR(EXACT(D6,"retain"),EXACT(D6,"exclude"),EXACT(D6,"discuss"))),NOT(OR(EXACT(E6,"statistical_results"),EXACT(E6,"report_internal_inconsistency"),EXACT(E6,"plan_material"),EXACT(E6,"protocol_report")))),"INVALID D / E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AND(AND(D6="retain",E6="statistical_results"),OR(H6="",EXACT(H6,"not_applicable"))),AND(AND(D6="retain",E6="statistical_results"),OR(I6="",EXACT(I6,"not_applicable"))),AND(AND(D6="retain",OR(E6="report_internal_inconsistency",E6="plan_material")),OR(K6="",EXACT(K6,"not_applicable")))),"MISSING REQUIRED JUDGMENT",IF(OR(AND(AND(D6="retain",E6="statistical_results"),H6&lt;&gt;"",NOT(OR(EXACT(H6,"confirmed_issue"),EXACT(H6,"probable_issue"),EXACT(H6,"not_issue"),EXACT(H6,"indeterminate")))),AND(AND(D6="retain",E6="statistical_results"),I6&lt;&gt;""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K6&lt;&gt;""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INVALID ACTIVE JUDGMENT",IF(F6&lt;&gt;"primary_done","PRIMARY DRAFT","PRIMARY READY")))))))))),"CHECK INPUT ERROR")</f>
        <v/>
      </c>
      <c r="H6" s="23">
        <f>IF(AND(OR(D6="retain",D6=""),E6="statistical_results"),"","not_applicable")</f>
        <v/>
      </c>
      <c r="I6" s="23">
        <f>IF(AND(OR(D6="retain",D6=""),E6="statistical_results"),"","not_applicable")</f>
        <v/>
      </c>
      <c r="J6" s="24">
        <f>IF(AND(OR(D6="retain",D6=""),E6="statistical_results"),"","not_applicable")</f>
        <v/>
      </c>
      <c r="K6" s="23">
        <f>IF(AND(OR(D6="retain",D6=""),OR(E6="report_internal_inconsistency",E6="plan_material")),"","not_applicable")</f>
        <v/>
      </c>
      <c r="L6" s="24">
        <f>IF(AND(OR(D6="retain",D6=""),E6="protocol_report"),"","not_applicable")</f>
        <v/>
      </c>
      <c r="M6" s="11" t="n"/>
      <c r="N6" s="11" t="n"/>
      <c r="O6" s="11" t="n"/>
      <c r="P6" s="11" t="n"/>
      <c r="Q6" s="11" t="n"/>
      <c r="R6" s="24" t="n"/>
    </row>
    <row r="7" ht="92" customFormat="1" customHeight="1" s="14">
      <c r="A7" s="11" t="inlineStr">
        <is>
          <t>2019::jama.2019.2210::C006</t>
        </is>
      </c>
      <c r="B7" s="11" t="inlineStr">
        <is>
          <t>Supplement labels Cdx2 genotype panels as CDK2</t>
        </is>
      </c>
      <c r="C7" s="11" t="inlineStr">
        <is>
          <t>main article — PDF p. 5; Supplement 1 — PDF p. 27; Supplement 2 — PDF p. 13, p. 14, and p. 15.</t>
        </is>
      </c>
      <c r="D7" s="23" t="n"/>
      <c r="E7" s="23" t="inlineStr">
        <is>
          <t>report_internal_inconsistency</t>
        </is>
      </c>
      <c r="F7" s="23" t="inlineStr">
        <is>
          <t>no</t>
        </is>
      </c>
      <c r="G7" s="11">
        <f>IFERROR(IF(OR(NOT(EXACT(Setup!$B$4,"R_A")),Setup!$B$5&lt;&gt;2019),"CHECK SETUP",IF(OR(LEN(TRIM(CLEAN(SUBSTITUTE(Setup!$B$2,CHAR(160)," "))))=0,Setup!$B$2&lt;&gt;TRIM(CLEAN(SUBSTITUTE(Setup!$B$2,CHAR(160)," ")))),"CHECK REVIEWER ID",IF(OR(A7="",COUNTIF($A$2:$A$10,A7)&lt;&gt;1,LEFT(A7,LEN("2019::jama.2019.2210::"))&lt;&gt;"2019::jama.2019.2210::"),"CHECK KEY",IF(NOT(OR(EXACT(F7,"no"),EXACT(F7,"primary_done"),EXACT(F7,""))),"CHECK COMPLETE FLAG",IF(OR(D7="",E7=""),"MISSING D / E",IF(OR(NOT(OR(EXACT(D7,"retain"),EXACT(D7,"exclude"),EXACT(D7,"discuss"))),NOT(OR(EXACT(E7,"statistical_results"),EXACT(E7,"report_internal_inconsistency"),EXACT(E7,"plan_material"),EXACT(E7,"protocol_report")))),"INVALID D / E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AND(AND(D7="retain",E7="statistical_results"),OR(H7="",EXACT(H7,"not_applicable"))),AND(AND(D7="retain",E7="statistical_results"),OR(I7="",EXACT(I7,"not_applicable"))),AND(AND(D7="retain",OR(E7="report_internal_inconsistency",E7="plan_material")),OR(K7="",EXACT(K7,"not_applicable")))),"MISSING REQUIRED JUDGMENT",IF(OR(AND(AND(D7="retain",E7="statistical_results"),H7&lt;&gt;"",NOT(OR(EXACT(H7,"confirmed_issue"),EXACT(H7,"probable_issue"),EXACT(H7,"not_issue"),EXACT(H7,"indeterminate")))),AND(AND(D7="retain",E7="statistical_results"),I7&lt;&gt;""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K7&lt;&gt;""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INVALID ACTIVE JUDGMENT",IF(F7&lt;&gt;"primary_done","PRIMARY DRAFT","PRIMARY READY")))))))))),"CHECK INPUT ERROR")</f>
        <v/>
      </c>
      <c r="H7" s="23">
        <f>IF(AND(OR(D7="retain",D7=""),E7="statistical_results"),"","not_applicable")</f>
        <v/>
      </c>
      <c r="I7" s="23">
        <f>IF(AND(OR(D7="retain",D7=""),E7="statistical_results"),"","not_applicable")</f>
        <v/>
      </c>
      <c r="J7" s="24">
        <f>IF(AND(OR(D7="retain",D7=""),E7="statistical_results"),"","not_applicable")</f>
        <v/>
      </c>
      <c r="K7" s="23">
        <f>IF(AND(OR(D7="retain",D7=""),OR(E7="report_internal_inconsistency",E7="plan_material")),"","not_applicable")</f>
        <v/>
      </c>
      <c r="L7" s="24">
        <f>IF(AND(OR(D7="retain",D7=""),E7="protocol_report"),"","not_applicable")</f>
        <v/>
      </c>
      <c r="M7" s="11" t="n"/>
      <c r="N7" s="11" t="n"/>
      <c r="O7" s="11" t="n"/>
      <c r="P7" s="11" t="n"/>
      <c r="Q7" s="11" t="n"/>
      <c r="R7" s="24" t="n"/>
    </row>
    <row r="8" ht="92" customFormat="1" customHeight="1" s="14">
      <c r="A8" s="12" t="inlineStr">
        <is>
          <t>2019::jama.2019.2210::C007</t>
        </is>
      </c>
      <c r="B8" s="12" t="inlineStr">
        <is>
          <t>Table 1 BMI categories use smaller, unlabelled denominators than the arm headers</t>
        </is>
      </c>
      <c r="C8" s="12" t="inlineStr">
        <is>
          <t>main article — PDF p. 5; Supplement 2 — PDF p. 32 and p. 33.</t>
        </is>
      </c>
      <c r="D8" s="23" t="n"/>
      <c r="E8" s="23" t="inlineStr">
        <is>
          <t>statistical_results</t>
        </is>
      </c>
      <c r="F8" s="23" t="inlineStr">
        <is>
          <t>no</t>
        </is>
      </c>
      <c r="G8" s="12">
        <f>IFERROR(IF(OR(NOT(EXACT(Setup!$B$4,"R_A")),Setup!$B$5&lt;&gt;2019),"CHECK SETUP",IF(OR(LEN(TRIM(CLEAN(SUBSTITUTE(Setup!$B$2,CHAR(160)," "))))=0,Setup!$B$2&lt;&gt;TRIM(CLEAN(SUBSTITUTE(Setup!$B$2,CHAR(160)," ")))),"CHECK REVIEWER ID",IF(OR(A8="",COUNTIF($A$2:$A$10,A8)&lt;&gt;1,LEFT(A8,LEN("2019::jama.2019.2210::"))&lt;&gt;"2019::jama.2019.2210::"),"CHECK KEY",IF(NOT(OR(EXACT(F8,"no"),EXACT(F8,"primary_done"),EXACT(F8,""))),"CHECK COMPLETE FLAG",IF(OR(D8="",E8=""),"MISSING D / E",IF(OR(NOT(OR(EXACT(D8,"retain"),EXACT(D8,"exclude"),EXACT(D8,"discuss"))),NOT(OR(EXACT(E8,"statistical_results"),EXACT(E8,"report_internal_inconsistency"),EXACT(E8,"plan_material"),EXACT(E8,"protocol_report")))),"INVALID D / E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AND(AND(D8="retain",E8="statistical_results"),OR(H8="",EXACT(H8,"not_applicable"))),AND(AND(D8="retain",E8="statistical_results"),OR(I8="",EXACT(I8,"not_applicable"))),AND(AND(D8="retain",OR(E8="report_internal_inconsistency",E8="plan_material")),OR(K8="",EXACT(K8,"not_applicable")))),"MISSING REQUIRED JUDGMENT",IF(OR(AND(AND(D8="retain",E8="statistical_results"),H8&lt;&gt;"",NOT(OR(EXACT(H8,"confirmed_issue"),EXACT(H8,"probable_issue"),EXACT(H8,"not_issue"),EXACT(H8,"indeterminate")))),AND(AND(D8="retain",E8="statistical_results"),I8&lt;&gt;""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K8&lt;&gt;""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INVALID ACTIVE JUDGMENT",IF(F8&lt;&gt;"primary_done","PRIMARY DRAFT","PRIMARY READY")))))))))),"CHECK INPUT ERROR")</f>
        <v/>
      </c>
      <c r="H8" s="23">
        <f>IF(AND(OR(D8="retain",D8=""),E8="statistical_results"),"","not_applicable")</f>
        <v/>
      </c>
      <c r="I8" s="23">
        <f>IF(AND(OR(D8="retain",D8=""),E8="statistical_results"),"","not_applicable")</f>
        <v/>
      </c>
      <c r="J8" s="24">
        <f>IF(AND(OR(D8="retain",D8=""),E8="statistical_results"),"","not_applicable")</f>
        <v/>
      </c>
      <c r="K8" s="23">
        <f>IF(AND(OR(D8="retain",D8=""),OR(E8="report_internal_inconsistency",E8="plan_material")),"","not_applicable")</f>
        <v/>
      </c>
      <c r="L8" s="24">
        <f>IF(AND(OR(D8="retain",D8=""),E8="protocol_report"),"","not_applicable")</f>
        <v/>
      </c>
      <c r="M8" s="11" t="n"/>
      <c r="N8" s="11" t="n"/>
      <c r="O8" s="11" t="n"/>
      <c r="P8" s="11" t="n"/>
      <c r="Q8" s="11" t="n"/>
      <c r="R8" s="24" t="n"/>
    </row>
    <row r="9" ht="92" customFormat="1" customHeight="1" s="14">
      <c r="A9" s="11" t="inlineStr">
        <is>
          <t>2019::jama.2019.2210::C008</t>
        </is>
      </c>
      <c r="B9" s="11" t="inlineStr">
        <is>
          <t>Report and protocol use different time-origin labels despite a same-visit equivalence statement</t>
        </is>
      </c>
      <c r="C9" s="11" t="inlineStr">
        <is>
          <t>main article — PDF p. 2 and p. 6; Supplement 1 — PDF p. 25 and p. 29; Supplement 2 — PDF p. 2 and p. 3.</t>
        </is>
      </c>
      <c r="D9" s="23" t="n"/>
      <c r="E9" s="23" t="inlineStr">
        <is>
          <t>protocol_report</t>
        </is>
      </c>
      <c r="F9" s="23" t="inlineStr">
        <is>
          <t>no</t>
        </is>
      </c>
      <c r="G9" s="11">
        <f>IFERROR(IF(OR(NOT(EXACT(Setup!$B$4,"R_A")),Setup!$B$5&lt;&gt;2019),"CHECK SETUP",IF(OR(LEN(TRIM(CLEAN(SUBSTITUTE(Setup!$B$2,CHAR(160)," "))))=0,Setup!$B$2&lt;&gt;TRIM(CLEAN(SUBSTITUTE(Setup!$B$2,CHAR(160)," ")))),"CHECK REVIEWER ID",IF(OR(A9="",COUNTIF($A$2:$A$10,A9)&lt;&gt;1,LEFT(A9,LEN("2019::jama.2019.2210::"))&lt;&gt;"2019::jama.2019.2210::"),"CHECK KEY",IF(NOT(OR(EXACT(F9,"no"),EXACT(F9,"primary_done"),EXACT(F9,""))),"CHECK COMPLETE FLAG",IF(OR(D9="",E9=""),"MISSING D / E",IF(OR(NOT(OR(EXACT(D9,"retain"),EXACT(D9,"exclude"),EXACT(D9,"discuss"))),NOT(OR(EXACT(E9,"statistical_results"),EXACT(E9,"report_internal_inconsistency"),EXACT(E9,"plan_material"),EXACT(E9,"protocol_report")))),"INVALID D / E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AND(AND(D9="retain",E9="statistical_results"),OR(H9="",EXACT(H9,"not_applicable"))),AND(AND(D9="retain",E9="statistical_results"),OR(I9="",EXACT(I9,"not_applicable"))),AND(AND(D9="retain",OR(E9="report_internal_inconsistency",E9="plan_material")),OR(K9="",EXACT(K9,"not_applicable")))),"MISSING REQUIRED JUDGMENT",IF(OR(AND(AND(D9="retain",E9="statistical_results"),H9&lt;&gt;"",NOT(OR(EXACT(H9,"confirmed_issue"),EXACT(H9,"probable_issue"),EXACT(H9,"not_issue"),EXACT(H9,"indeterminate")))),AND(AND(D9="retain",E9="statistical_results"),I9&lt;&gt;""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K9&lt;&gt;""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INVALID ACTIVE JUDGMENT",IF(F9&lt;&gt;"primary_done","PRIMARY DRAFT","PRIMARY READY")))))))))),"CHECK INPUT ERROR")</f>
        <v/>
      </c>
      <c r="H9" s="23">
        <f>IF(AND(OR(D9="retain",D9=""),E9="statistical_results"),"","not_applicable")</f>
        <v/>
      </c>
      <c r="I9" s="23">
        <f>IF(AND(OR(D9="retain",D9=""),E9="statistical_results"),"","not_applicable")</f>
        <v/>
      </c>
      <c r="J9" s="24">
        <f>IF(AND(OR(D9="retain",D9=""),E9="statistical_results"),"","not_applicable")</f>
        <v/>
      </c>
      <c r="K9" s="23">
        <f>IF(AND(OR(D9="retain",D9=""),OR(E9="report_internal_inconsistency",E9="plan_material")),"","not_applicable")</f>
        <v/>
      </c>
      <c r="L9" s="24">
        <f>IF(AND(OR(D9="retain",D9=""),E9="protocol_report"),"","not_applicable")</f>
        <v/>
      </c>
      <c r="M9" s="11" t="n"/>
      <c r="N9" s="11" t="n"/>
      <c r="O9" s="11" t="n"/>
      <c r="P9" s="11" t="n"/>
      <c r="Q9" s="11" t="n"/>
      <c r="R9" s="24" t="n"/>
    </row>
    <row r="10" ht="92" customFormat="1" customHeight="1" s="14">
      <c r="A10" s="12" t="inlineStr">
        <is>
          <t>2019::jama.2019.2210::C009</t>
        </is>
      </c>
      <c r="B10" s="12" t="inlineStr">
        <is>
          <t>Table 2 hazard-ratio direction footnote is opposite the displayed outcome direction</t>
        </is>
      </c>
      <c r="C10" s="12" t="inlineStr">
        <is>
          <t>main article — PDF p. 4, p. 6, and p. 7.</t>
        </is>
      </c>
      <c r="D10" s="23" t="n"/>
      <c r="E10" s="23" t="inlineStr">
        <is>
          <t>report_internal_inconsistency</t>
        </is>
      </c>
      <c r="F10" s="23" t="inlineStr">
        <is>
          <t>no</t>
        </is>
      </c>
      <c r="G10" s="12">
        <f>IFERROR(IF(OR(NOT(EXACT(Setup!$B$4,"R_A")),Setup!$B$5&lt;&gt;2019),"CHECK SETUP",IF(OR(LEN(TRIM(CLEAN(SUBSTITUTE(Setup!$B$2,CHAR(160)," "))))=0,Setup!$B$2&lt;&gt;TRIM(CLEAN(SUBSTITUTE(Setup!$B$2,CHAR(160)," ")))),"CHECK REVIEWER ID",IF(OR(A10="",COUNTIF($A$2:$A$10,A10)&lt;&gt;1,LEFT(A10,LEN("2019::jama.2019.2210::"))&lt;&gt;"2019::jama.2019.2210::"),"CHECK KEY",IF(NOT(OR(EXACT(F10,"no"),EXACT(F10,"primary_done"),EXACT(F10,""))),"CHECK COMPLETE FLAG",IF(OR(D10="",E10=""),"MISSING D / E",IF(OR(NOT(OR(EXACT(D10,"retain"),EXACT(D10,"exclude"),EXACT(D10,"discuss"))),NOT(OR(EXACT(E10,"statistical_results"),EXACT(E10,"report_internal_inconsistency"),EXACT(E10,"plan_material"),EXACT(E10,"protocol_report")))),"INVALID D / E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AND(AND(D10="retain",E10="statistical_results"),OR(H10="",EXACT(H10,"not_applicable"))),AND(AND(D10="retain",E10="statistical_results"),OR(I10="",EXACT(I10,"not_applicable"))),AND(AND(D10="retain",OR(E10="report_internal_inconsistency",E10="plan_material")),OR(K10="",EXACT(K10,"not_applicable")))),"MISSING REQUIRED JUDGMENT",IF(OR(AND(AND(D10="retain",E10="statistical_results"),H10&lt;&gt;"",NOT(OR(EXACT(H10,"confirmed_issue"),EXACT(H10,"probable_issue"),EXACT(H10,"not_issue"),EXACT(H10,"indeterminate")))),AND(AND(D10="retain",E10="statistical_results"),I10&lt;&gt;""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K10&lt;&gt;""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INVALID ACTIVE JUDGMENT",IF(F10&lt;&gt;"primary_done","PRIMARY DRAFT","PRIMARY READY")))))))))),"CHECK INPUT ERROR")</f>
        <v/>
      </c>
      <c r="H10" s="23">
        <f>IF(AND(OR(D10="retain",D10=""),E10="statistical_results"),"","not_applicable")</f>
        <v/>
      </c>
      <c r="I10" s="23">
        <f>IF(AND(OR(D10="retain",D10=""),E10="statistical_results"),"","not_applicable")</f>
        <v/>
      </c>
      <c r="J10" s="24">
        <f>IF(AND(OR(D10="retain",D10=""),E10="statistical_results"),"","not_applicable")</f>
        <v/>
      </c>
      <c r="K10" s="23">
        <f>IF(AND(OR(D10="retain",D10=""),OR(E10="report_internal_inconsistency",E10="plan_material")),"","not_applicable")</f>
        <v/>
      </c>
      <c r="L10" s="24">
        <f>IF(AND(OR(D10="retain",D10=""),E10="protocol_report"),"","not_applicable")</f>
        <v/>
      </c>
      <c r="M10" s="11" t="n"/>
      <c r="N10" s="11" t="n"/>
      <c r="O10" s="11" t="n"/>
      <c r="P10" s="11" t="n"/>
      <c r="Q10" s="11" t="n"/>
      <c r="R10" s="24" t="n"/>
    </row>
  </sheetData>
  <autoFilter ref="A1:R10"/>
  <conditionalFormatting sqref="H2:H10">
    <cfRule type="expression" priority="8" dxfId="70">
      <formula>NOT(AND(OR($D2="retain",$D2=""),$E2="statistical_results"))</formula>
    </cfRule>
  </conditionalFormatting>
  <conditionalFormatting sqref="I2:I10">
    <cfRule type="expression" priority="9" dxfId="70">
      <formula>NOT(AND(OR($D2="retain",$D2=""),$E2="statistical_results"))</formula>
    </cfRule>
  </conditionalFormatting>
  <conditionalFormatting sqref="J2:J10">
    <cfRule type="expression" priority="10" dxfId="70">
      <formula>NOT(AND(OR($D2="retain",$D2=""),$E2="statistical_results"))</formula>
    </cfRule>
  </conditionalFormatting>
  <conditionalFormatting sqref="K2:K10">
    <cfRule type="expression" priority="11" dxfId="70">
      <formula>NOT(AND(OR($D2="retain",$D2=""),OR($E2="report_internal_inconsistency",$E2="plan_material")))</formula>
    </cfRule>
  </conditionalFormatting>
  <conditionalFormatting sqref="L2:L10">
    <cfRule type="expression" priority="12" dxfId="70">
      <formula>NOT(AND(OR($D2="retain",$D2=""),$E2="protocol_report"))</formula>
    </cfRule>
  </conditionalFormatting>
  <conditionalFormatting sqref="G2:G10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10">
    <cfRule type="expression" priority="15" dxfId="73">
      <formula>$D2="discuss"</formula>
    </cfRule>
  </conditionalFormatting>
  <dataValidations count="8">
    <dataValidation sqref="D2:D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10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10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190" customFormat="1" customHeight="1" s="14">
      <c r="A2" s="12" t="inlineStr">
        <is>
          <t>2019::jama.2019.4755::C001</t>
        </is>
      </c>
      <c r="B2" s="12" t="inlineStr">
        <is>
          <t>Women’s quantitative 10.2 µg Hb/g PPV difference point estimate is absent</t>
        </is>
      </c>
      <c r="C2" s="12" t="inlineStr">
        <is>
          <t>joi190039supp3_prod.pdf — PDF p. 7, DOC-004 eTable 5, Women/Quantitative/10.2, Difference in PPV; comparator joi190039supp3_prod.pdf — PDF p. 6, DOC-004 eTable 4, same population, test, cutoff, day, and per-protocol analysis.</t>
        </is>
      </c>
      <c r="D2" s="23" t="n"/>
      <c r="E2" s="23" t="inlineStr">
        <is>
          <t>statistical_results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ID",IF(OR(A2="",COUNTIF($A$2:$A$6,A2)&lt;&gt;1,LEFT(A2,LEN("2019::jama.2019.4755::"))&lt;&gt;"2019::jama.2019.4755::"),"CHECK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190" customFormat="1" customHeight="1" s="14">
      <c r="A3" s="11" t="inlineStr">
        <is>
          <t>2019::jama.2019.4755::C002</t>
        </is>
      </c>
      <c r="B3" s="11" t="inlineStr">
        <is>
          <t>Women’s quantitative 17.0 µg Hb/g PPV difference point estimate is absent</t>
        </is>
      </c>
      <c r="C3" s="11" t="inlineStr">
        <is>
          <t>joi190039supp3_prod.pdf — PDF p. 7, DOC-004 eTable 5, Women/Quantitative/17.0, Difference in PPV; comparator joi190039supp3_prod.pdf — PDF p. 6, DOC-004 eTable 4, same population, test, cutoff, day, and per-protocol analysis.</t>
        </is>
      </c>
      <c r="D3" s="23" t="n"/>
      <c r="E3" s="23" t="inlineStr">
        <is>
          <t>statistical_results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ID",IF(OR(A3="",COUNTIF($A$2:$A$6,A3)&lt;&gt;1,LEFT(A3,LEN("2019::jama.2019.4755::"))&lt;&gt;"2019::jama.2019.4755::"),"CHECK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176" customFormat="1" customHeight="1" s="14">
      <c r="A4" s="12" t="inlineStr">
        <is>
          <t>2019::jama.2019.4755::C003</t>
        </is>
      </c>
      <c r="B4" s="12" t="inlineStr">
        <is>
          <t>Women’s qualitative 10.2 µg Hb/g PPV difference point estimate is absent</t>
        </is>
      </c>
      <c r="C4" s="12" t="inlineStr">
        <is>
          <t>joi190039supp3_prod.pdf — PDF p. 7, DOC-004 eTable 5, Women/Qualitative/10.2, Difference in PPV; comparator joi190039supp3_prod.pdf — PDF p. 6, DOC-004 eTable 4, same population, test, cutoff, day, and per-protocol analysis.</t>
        </is>
      </c>
      <c r="D4" s="23" t="n"/>
      <c r="E4" s="23" t="inlineStr">
        <is>
          <t>statistical_results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ID",IF(OR(A4="",COUNTIF($A$2:$A$6,A4)&lt;&gt;1,LEFT(A4,LEN("2019::jama.2019.4755::"))&lt;&gt;"2019::jama.2019.4755::"),"CHECK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204" customFormat="1" customHeight="1" s="14">
      <c r="A5" s="11" t="inlineStr">
        <is>
          <t>2019::jama.2019.4755::C004</t>
        </is>
      </c>
      <c r="B5" s="11" t="inlineStr">
        <is>
          <t>eTable 5 visible cutoff header truncates after [µg</t>
        </is>
      </c>
      <c r="C5" s="11" t="inlineStr">
        <is>
          <t>joi190039supp3_prod.pdf — PDF p. 7, DOC-004 eTable 5 visible cutoff header; comparator joi190039supp3_prod.pdf — PDF p. 6, DOC-004 eTable 4 header Cutoff [µg Hb/g]; additional matched main-table display jama_brenner_2019_oi_190039.pdf — PDF p. 5.</t>
        </is>
      </c>
      <c r="D5" s="23" t="n"/>
      <c r="E5" s="23" t="inlineStr">
        <is>
          <t>report_internal_inconsistency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ID",IF(OR(A5="",COUNTIF($A$2:$A$6,A5)&lt;&gt;1,LEFT(A5,LEN("2019::jama.2019.4755::"))&lt;&gt;"2019::jama.2019.4755::"),"CHECK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  <row r="6" ht="176" customFormat="1" customHeight="1" s="14">
      <c r="A6" s="12" t="inlineStr">
        <is>
          <t>2019::jama.2019.4755::C005</t>
        </is>
      </c>
      <c r="B6" s="12" t="inlineStr">
        <is>
          <t>One SAP occurrence omits the microgram prefix from the 10.2 cutoff</t>
        </is>
      </c>
      <c r="C6" s="12" t="inlineStr">
        <is>
          <t>joi190039supp2_prod.pdf — PDF p. 6, DOC-003 §3.2; comparator joi190039supp2_prod.pdf — PDF p. 8, DOC-003 §5.4; matched context jama_brenner_2019_oi_190039.pdf — PDF p. 1 and jama_brenner_2019_oi_190039.pdf — PDF p. 5.</t>
        </is>
      </c>
      <c r="D6" s="23" t="n"/>
      <c r="E6" s="23" t="inlineStr">
        <is>
          <t>plan_material</t>
        </is>
      </c>
      <c r="F6" s="23" t="inlineStr">
        <is>
          <t>no</t>
        </is>
      </c>
      <c r="G6" s="12">
        <f>IFERROR(IF(OR(NOT(EXACT(Setup!$B$4,"R_A")),Setup!$B$5&lt;&gt;2019),"CHECK SETUP",IF(OR(LEN(TRIM(CLEAN(SUBSTITUTE(Setup!$B$2,CHAR(160)," "))))=0,Setup!$B$2&lt;&gt;TRIM(CLEAN(SUBSTITUTE(Setup!$B$2,CHAR(160)," ")))),"CHECK REVIEWER ID",IF(OR(A6="",COUNTIF($A$2:$A$6,A6)&lt;&gt;1,LEFT(A6,LEN("2019::jama.2019.4755::"))&lt;&gt;"2019::jama.2019.4755::"),"CHECK KEY",IF(NOT(OR(EXACT(F6,"no"),EXACT(F6,"primary_done"),EXACT(F6,""))),"CHECK COMPLETE FLAG",IF(OR(D6="",E6=""),"MISSING D / E",IF(OR(NOT(OR(EXACT(D6,"retain"),EXACT(D6,"exclude"),EXACT(D6,"discuss"))),NOT(OR(EXACT(E6,"statistical_results"),EXACT(E6,"report_internal_inconsistency"),EXACT(E6,"plan_material"),EXACT(E6,"protocol_report")))),"INVALID D / E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AND(AND(D6="retain",E6="statistical_results"),OR(H6="",EXACT(H6,"not_applicable"))),AND(AND(D6="retain",E6="statistical_results"),OR(I6="",EXACT(I6,"not_applicable"))),AND(AND(D6="retain",OR(E6="report_internal_inconsistency",E6="plan_material")),OR(K6="",EXACT(K6,"not_applicable")))),"MISSING REQUIRED JUDGMENT",IF(OR(AND(AND(D6="retain",E6="statistical_results"),H6&lt;&gt;"",NOT(OR(EXACT(H6,"confirmed_issue"),EXACT(H6,"probable_issue"),EXACT(H6,"not_issue"),EXACT(H6,"indeterminate")))),AND(AND(D6="retain",E6="statistical_results"),I6&lt;&gt;""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K6&lt;&gt;""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INVALID ACTIVE JUDGMENT",IF(F6&lt;&gt;"primary_done","PRIMARY DRAFT","PRIMARY READY")))))))))),"CHECK INPUT ERROR")</f>
        <v/>
      </c>
      <c r="H6" s="23">
        <f>IF(AND(OR(D6="retain",D6=""),E6="statistical_results"),"","not_applicable")</f>
        <v/>
      </c>
      <c r="I6" s="23">
        <f>IF(AND(OR(D6="retain",D6=""),E6="statistical_results"),"","not_applicable")</f>
        <v/>
      </c>
      <c r="J6" s="24">
        <f>IF(AND(OR(D6="retain",D6=""),E6="statistical_results"),"","not_applicable")</f>
        <v/>
      </c>
      <c r="K6" s="23">
        <f>IF(AND(OR(D6="retain",D6=""),OR(E6="report_internal_inconsistency",E6="plan_material")),"","not_applicable")</f>
        <v/>
      </c>
      <c r="L6" s="24">
        <f>IF(AND(OR(D6="retain",D6=""),E6="protocol_report"),"","not_applicable")</f>
        <v/>
      </c>
      <c r="M6" s="11" t="n"/>
      <c r="N6" s="11" t="n"/>
      <c r="O6" s="11" t="n"/>
      <c r="P6" s="11" t="n"/>
      <c r="Q6" s="11" t="n"/>
      <c r="R6" s="24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6">
    <cfRule type="expression" priority="15" dxfId="73">
      <formula>$D2="discuss"</formula>
    </cfRule>
  </conditionalFormatting>
  <dataValidations count="8">
    <dataValidation sqref="D2:D6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6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6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6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6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6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6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6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18" customWidth="1" style="14" min="4" max="4"/>
    <col width="41" customWidth="1" style="14" min="5" max="5"/>
    <col width="17" customWidth="1" style="14" min="6" max="6"/>
    <col width="32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9" customWidth="1" style="14" min="12" max="12"/>
    <col hidden="1" width="2" customWidth="1" style="14" min="13" max="13"/>
    <col hidden="1" width="2" customWidth="1" style="14" min="14" max="14"/>
    <col hidden="1" width="2" customWidth="1" style="14" min="15" max="15"/>
    <col hidden="1" width="2" customWidth="1" style="14" min="16" max="16"/>
    <col hidden="1" width="2" customWidth="1" style="14" min="17" max="17"/>
    <col width="32" customWidth="1" style="14" min="18" max="18"/>
  </cols>
  <sheetData>
    <row r="1" ht="58" customFormat="1" customHeight="1" s="14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Statistical/numerical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22" t="n"/>
      <c r="N1" s="22" t="n"/>
      <c r="O1" s="22" t="n"/>
      <c r="P1" s="22" t="n"/>
      <c r="Q1" s="22" t="n"/>
      <c r="R1" s="5" t="inlineStr">
        <is>
          <t>Notes (optional)</t>
        </is>
      </c>
    </row>
    <row r="2" ht="92" customFormat="1" customHeight="1" s="14">
      <c r="A2" s="12" t="inlineStr">
        <is>
          <t>2019::jama.2019.7505::C001</t>
        </is>
      </c>
      <c r="B2" s="12" t="inlineStr">
        <is>
          <t>Hypoxemia confidence-interval endpoint sign differs between abstract and Table 3</t>
        </is>
      </c>
      <c r="C2" s="12" t="inlineStr">
        <is>
          <t>DOC-001, jama_bluth_2019_oi_190055_16092.pdf — PDF p. 1, abstract and PDF p. 9, Table 3.</t>
        </is>
      </c>
      <c r="D2" s="23" t="n"/>
      <c r="E2" s="23" t="inlineStr">
        <is>
          <t>report_internal_inconsistency</t>
        </is>
      </c>
      <c r="F2" s="23" t="inlineStr">
        <is>
          <t>no</t>
        </is>
      </c>
      <c r="G2" s="12">
        <f>IFERROR(IF(OR(NOT(EXACT(Setup!$B$4,"R_A")),Setup!$B$5&lt;&gt;2019),"CHECK SETUP",IF(OR(LEN(TRIM(CLEAN(SUBSTITUTE(Setup!$B$2,CHAR(160)," "))))=0,Setup!$B$2&lt;&gt;TRIM(CLEAN(SUBSTITUTE(Setup!$B$2,CHAR(160)," ")))),"CHECK REVIEWER ID",IF(OR(A2="",COUNTIF($A$2:$A$5,A2)&lt;&gt;1,LEFT(A2,LEN("2019::jama.2019.7505::"))&lt;&gt;"2019::jama.2019.7505::"),"CHECK KEY",IF(NOT(OR(EXACT(F2,"no"),EXACT(F2,"primary_done"),EXACT(F2,""))),"CHECK COMPLETE FLAG",IF(OR(D2="",E2=""),"MISSING D / E",IF(OR(NOT(OR(EXACT(D2,"retain"),EXACT(D2,"exclude"),EXACT(D2,"discuss"))),NOT(OR(EXACT(E2,"statistical_results"),EXACT(E2,"report_internal_inconsistency"),EXACT(E2,"plan_material"),EXACT(E2,"protocol_report")))),"INVALID D / E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AND(AND(D2="retain",E2="statistical_results"),OR(H2="",EXACT(H2,"not_applicable"))),AND(AND(D2="retain",E2="statistical_results"),OR(I2="",EXACT(I2,"not_applicable"))),AND(AND(D2="retain",OR(E2="report_internal_inconsistency",E2="plan_material")),OR(K2="",EXACT(K2,"not_applicable")))),"MISSING REQUIRED JUDGMENT",IF(OR(AND(AND(D2="retain",E2="statistical_results"),H2&lt;&gt;"",NOT(OR(EXACT(H2,"confirmed_issue"),EXACT(H2,"probable_issue"),EXACT(H2,"not_issue"),EXACT(H2,"indeterminate")))),AND(AND(D2="retain",E2="statistical_results"),I2&lt;&gt;""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K2&lt;&gt;""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INVALID ACTIVE JUDGMENT",IF(F2&lt;&gt;"primary_done","PRIMARY DRAFT","PRIMARY READY")))))))))),"CHECK INPUT ERROR")</f>
        <v/>
      </c>
      <c r="H2" s="23">
        <f>IF(AND(OR(D2="retain",D2=""),E2="statistical_results"),"","not_applicable")</f>
        <v/>
      </c>
      <c r="I2" s="23">
        <f>IF(AND(OR(D2="retain",D2=""),E2="statistical_results"),"","not_applicable")</f>
        <v/>
      </c>
      <c r="J2" s="24">
        <f>IF(AND(OR(D2="retain",D2=""),E2="statistical_results"),"","not_applicable")</f>
        <v/>
      </c>
      <c r="K2" s="23">
        <f>IF(AND(OR(D2="retain",D2=""),OR(E2="report_internal_inconsistency",E2="plan_material")),"","not_applicable")</f>
        <v/>
      </c>
      <c r="L2" s="24">
        <f>IF(AND(OR(D2="retain",D2=""),E2="protocol_report"),"","not_applicable")</f>
        <v/>
      </c>
      <c r="M2" s="11" t="n"/>
      <c r="N2" s="11" t="n"/>
      <c r="O2" s="11" t="n"/>
      <c r="P2" s="11" t="n"/>
      <c r="Q2" s="11" t="n"/>
      <c r="R2" s="24" t="n"/>
    </row>
    <row r="3" ht="120" customFormat="1" customHeight="1" s="14">
      <c r="A3" s="11" t="inlineStr">
        <is>
          <t>2019::jama.2019.7505::C002</t>
        </is>
      </c>
      <c r="B3" s="11" t="inlineStr">
        <is>
          <t>DIC row finite risk ratio and narrow interval do not reconcile with zero comparator events</t>
        </is>
      </c>
      <c r="C3" s="11" t="inlineStr">
        <is>
          <t>DOC-001, jama_bluth_2019_oi_190055_16092.pdf — PDF p. 9, Table 3; PDF p. 10, continued Table 3 footnotes; and PDF p. 4, binary-outcome method.</t>
        </is>
      </c>
      <c r="D3" s="23" t="n"/>
      <c r="E3" s="23" t="inlineStr">
        <is>
          <t>statistical_results</t>
        </is>
      </c>
      <c r="F3" s="23" t="inlineStr">
        <is>
          <t>no</t>
        </is>
      </c>
      <c r="G3" s="11">
        <f>IFERROR(IF(OR(NOT(EXACT(Setup!$B$4,"R_A")),Setup!$B$5&lt;&gt;2019),"CHECK SETUP",IF(OR(LEN(TRIM(CLEAN(SUBSTITUTE(Setup!$B$2,CHAR(160)," "))))=0,Setup!$B$2&lt;&gt;TRIM(CLEAN(SUBSTITUTE(Setup!$B$2,CHAR(160)," ")))),"CHECK REVIEWER ID",IF(OR(A3="",COUNTIF($A$2:$A$5,A3)&lt;&gt;1,LEFT(A3,LEN("2019::jama.2019.7505::"))&lt;&gt;"2019::jama.2019.7505::"),"CHECK KEY",IF(NOT(OR(EXACT(F3,"no"),EXACT(F3,"primary_done"),EXACT(F3,""))),"CHECK COMPLETE FLAG",IF(OR(D3="",E3=""),"MISSING D / E",IF(OR(NOT(OR(EXACT(D3,"retain"),EXACT(D3,"exclude"),EXACT(D3,"discuss"))),NOT(OR(EXACT(E3,"statistical_results"),EXACT(E3,"report_internal_inconsistency"),EXACT(E3,"plan_material"),EXACT(E3,"protocol_report")))),"INVALID D / E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AND(AND(D3="retain",E3="statistical_results"),OR(H3="",EXACT(H3,"not_applicable"))),AND(AND(D3="retain",E3="statistical_results"),OR(I3="",EXACT(I3,"not_applicable"))),AND(AND(D3="retain",OR(E3="report_internal_inconsistency",E3="plan_material")),OR(K3="",EXACT(K3,"not_applicable")))),"MISSING REQUIRED JUDGMENT",IF(OR(AND(AND(D3="retain",E3="statistical_results"),H3&lt;&gt;"",NOT(OR(EXACT(H3,"confirmed_issue"),EXACT(H3,"probable_issue"),EXACT(H3,"not_issue"),EXACT(H3,"indeterminate")))),AND(AND(D3="retain",E3="statistical_results"),I3&lt;&gt;""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K3&lt;&gt;""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INVALID ACTIVE JUDGMENT",IF(F3&lt;&gt;"primary_done","PRIMARY DRAFT","PRIMARY READY")))))))))),"CHECK INPUT ERROR")</f>
        <v/>
      </c>
      <c r="H3" s="23">
        <f>IF(AND(OR(D3="retain",D3=""),E3="statistical_results"),"","not_applicable")</f>
        <v/>
      </c>
      <c r="I3" s="23">
        <f>IF(AND(OR(D3="retain",D3=""),E3="statistical_results"),"","not_applicable")</f>
        <v/>
      </c>
      <c r="J3" s="24">
        <f>IF(AND(OR(D3="retain",D3=""),E3="statistical_results"),"","not_applicable")</f>
        <v/>
      </c>
      <c r="K3" s="23">
        <f>IF(AND(OR(D3="retain",D3=""),OR(E3="report_internal_inconsistency",E3="plan_material")),"","not_applicable")</f>
        <v/>
      </c>
      <c r="L3" s="24">
        <f>IF(AND(OR(D3="retain",D3=""),E3="protocol_report"),"","not_applicable")</f>
        <v/>
      </c>
      <c r="M3" s="11" t="n"/>
      <c r="N3" s="11" t="n"/>
      <c r="O3" s="11" t="n"/>
      <c r="P3" s="11" t="n"/>
      <c r="Q3" s="11" t="n"/>
      <c r="R3" s="24" t="n"/>
    </row>
    <row r="4" ht="162" customFormat="1" customHeight="1" s="14">
      <c r="A4" s="12" t="inlineStr">
        <is>
          <t>2019::jama.2019.7505::C003</t>
        </is>
      </c>
      <c r="B4" s="12" t="inlineStr">
        <is>
          <t>Protocol analysis sentence combines odds-ratio and relative-risk labels</t>
        </is>
      </c>
      <c r="C4" s="12" t="inlineStr">
        <is>
          <t>DOC-002, joi190055supp1_prod_16092.pdf — physical PDF p. 23 (footer p. 22), section 8.2 Analysis; comparator definitions in DOC-004, joi190055supp3_prod_16092.pdf — PDF p. 2 and PDF p. 3.</t>
        </is>
      </c>
      <c r="D4" s="23" t="n"/>
      <c r="E4" s="23" t="inlineStr">
        <is>
          <t>plan_material</t>
        </is>
      </c>
      <c r="F4" s="23" t="inlineStr">
        <is>
          <t>no</t>
        </is>
      </c>
      <c r="G4" s="12">
        <f>IFERROR(IF(OR(NOT(EXACT(Setup!$B$4,"R_A")),Setup!$B$5&lt;&gt;2019),"CHECK SETUP",IF(OR(LEN(TRIM(CLEAN(SUBSTITUTE(Setup!$B$2,CHAR(160)," "))))=0,Setup!$B$2&lt;&gt;TRIM(CLEAN(SUBSTITUTE(Setup!$B$2,CHAR(160)," ")))),"CHECK REVIEWER ID",IF(OR(A4="",COUNTIF($A$2:$A$5,A4)&lt;&gt;1,LEFT(A4,LEN("2019::jama.2019.7505::"))&lt;&gt;"2019::jama.2019.7505::"),"CHECK KEY",IF(NOT(OR(EXACT(F4,"no"),EXACT(F4,"primary_done"),EXACT(F4,""))),"CHECK COMPLETE FLAG",IF(OR(D4="",E4=""),"MISSING D / E",IF(OR(NOT(OR(EXACT(D4,"retain"),EXACT(D4,"exclude"),EXACT(D4,"discuss"))),NOT(OR(EXACT(E4,"statistical_results"),EXACT(E4,"report_internal_inconsistency"),EXACT(E4,"plan_material"),EXACT(E4,"protocol_report")))),"INVALID D / E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AND(AND(D4="retain",E4="statistical_results"),OR(H4="",EXACT(H4,"not_applicable"))),AND(AND(D4="retain",E4="statistical_results"),OR(I4="",EXACT(I4,"not_applicable"))),AND(AND(D4="retain",OR(E4="report_internal_inconsistency",E4="plan_material")),OR(K4="",EXACT(K4,"not_applicable")))),"MISSING REQUIRED JUDGMENT",IF(OR(AND(AND(D4="retain",E4="statistical_results"),H4&lt;&gt;"",NOT(OR(EXACT(H4,"confirmed_issue"),EXACT(H4,"probable_issue"),EXACT(H4,"not_issue"),EXACT(H4,"indeterminate")))),AND(AND(D4="retain",E4="statistical_results"),I4&lt;&gt;""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K4&lt;&gt;""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INVALID ACTIVE JUDGMENT",IF(F4&lt;&gt;"primary_done","PRIMARY DRAFT","PRIMARY READY")))))))))),"CHECK INPUT ERROR")</f>
        <v/>
      </c>
      <c r="H4" s="23">
        <f>IF(AND(OR(D4="retain",D4=""),E4="statistical_results"),"","not_applicable")</f>
        <v/>
      </c>
      <c r="I4" s="23">
        <f>IF(AND(OR(D4="retain",D4=""),E4="statistical_results"),"","not_applicable")</f>
        <v/>
      </c>
      <c r="J4" s="24">
        <f>IF(AND(OR(D4="retain",D4=""),E4="statistical_results"),"","not_applicable")</f>
        <v/>
      </c>
      <c r="K4" s="23">
        <f>IF(AND(OR(D4="retain",D4=""),OR(E4="report_internal_inconsistency",E4="plan_material")),"","not_applicable")</f>
        <v/>
      </c>
      <c r="L4" s="24">
        <f>IF(AND(OR(D4="retain",D4=""),E4="protocol_report"),"","not_applicable")</f>
        <v/>
      </c>
      <c r="M4" s="11" t="n"/>
      <c r="N4" s="11" t="n"/>
      <c r="O4" s="11" t="n"/>
      <c r="P4" s="11" t="n"/>
      <c r="Q4" s="11" t="n"/>
      <c r="R4" s="24" t="n"/>
    </row>
    <row r="5" ht="134" customFormat="1" customHeight="1" s="14">
      <c r="A5" s="11" t="inlineStr">
        <is>
          <t>2019::jama.2019.7505::C004</t>
        </is>
      </c>
      <c r="B5" s="11" t="inlineStr">
        <is>
          <t>eFigure 11 mortality values are described as extra-pulmonary complications</t>
        </is>
      </c>
      <c r="C5" s="11" t="inlineStr">
        <is>
          <t>DOC-005, joi190055supp4_prod_16092.pdf — PDF p. 41, eFigure 11; comparator PDF p. 40, eFigure 10; and DOC-001, jama_bluth_2019_oi_190055_16092.pdf — PDF p. 10, Table 3.</t>
        </is>
      </c>
      <c r="D5" s="23" t="n"/>
      <c r="E5" s="23" t="inlineStr">
        <is>
          <t>report_internal_inconsistency</t>
        </is>
      </c>
      <c r="F5" s="23" t="inlineStr">
        <is>
          <t>no</t>
        </is>
      </c>
      <c r="G5" s="11">
        <f>IFERROR(IF(OR(NOT(EXACT(Setup!$B$4,"R_A")),Setup!$B$5&lt;&gt;2019),"CHECK SETUP",IF(OR(LEN(TRIM(CLEAN(SUBSTITUTE(Setup!$B$2,CHAR(160)," "))))=0,Setup!$B$2&lt;&gt;TRIM(CLEAN(SUBSTITUTE(Setup!$B$2,CHAR(160)," ")))),"CHECK REVIEWER ID",IF(OR(A5="",COUNTIF($A$2:$A$5,A5)&lt;&gt;1,LEFT(A5,LEN("2019::jama.2019.7505::"))&lt;&gt;"2019::jama.2019.7505::"),"CHECK KEY",IF(NOT(OR(EXACT(F5,"no"),EXACT(F5,"primary_done"),EXACT(F5,""))),"CHECK COMPLETE FLAG",IF(OR(D5="",E5=""),"MISSING D / E",IF(OR(NOT(OR(EXACT(D5,"retain"),EXACT(D5,"exclude"),EXACT(D5,"discuss"))),NOT(OR(EXACT(E5,"statistical_results"),EXACT(E5,"report_internal_inconsistency"),EXACT(E5,"plan_material"),EXACT(E5,"protocol_report")))),"INVALID D / E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AND(AND(D5="retain",E5="statistical_results"),OR(H5="",EXACT(H5,"not_applicable"))),AND(AND(D5="retain",E5="statistical_results"),OR(I5="",EXACT(I5,"not_applicable"))),AND(AND(D5="retain",OR(E5="report_internal_inconsistency",E5="plan_material")),OR(K5="",EXACT(K5,"not_applicable")))),"MISSING REQUIRED JUDGMENT",IF(OR(AND(AND(D5="retain",E5="statistical_results"),H5&lt;&gt;"",NOT(OR(EXACT(H5,"confirmed_issue"),EXACT(H5,"probable_issue"),EXACT(H5,"not_issue"),EXACT(H5,"indeterminate")))),AND(AND(D5="retain",E5="statistical_results"),I5&lt;&gt;""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K5&lt;&gt;""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INVALID ACTIVE JUDGMENT",IF(F5&lt;&gt;"primary_done","PRIMARY DRAFT","PRIMARY READY")))))))))),"CHECK INPUT ERROR")</f>
        <v/>
      </c>
      <c r="H5" s="23">
        <f>IF(AND(OR(D5="retain",D5=""),E5="statistical_results"),"","not_applicable")</f>
        <v/>
      </c>
      <c r="I5" s="23">
        <f>IF(AND(OR(D5="retain",D5=""),E5="statistical_results"),"","not_applicable")</f>
        <v/>
      </c>
      <c r="J5" s="24">
        <f>IF(AND(OR(D5="retain",D5=""),E5="statistical_results"),"","not_applicable")</f>
        <v/>
      </c>
      <c r="K5" s="23">
        <f>IF(AND(OR(D5="retain",D5=""),OR(E5="report_internal_inconsistency",E5="plan_material")),"","not_applicable")</f>
        <v/>
      </c>
      <c r="L5" s="24">
        <f>IF(AND(OR(D5="retain",D5=""),E5="protocol_report"),"","not_applicable")</f>
        <v/>
      </c>
      <c r="M5" s="11" t="n"/>
      <c r="N5" s="11" t="n"/>
      <c r="O5" s="11" t="n"/>
      <c r="P5" s="11" t="n"/>
      <c r="Q5" s="11" t="n"/>
      <c r="R5" s="24" t="n"/>
    </row>
  </sheetData>
  <autoFilter ref="A1:R5"/>
  <conditionalFormatting sqref="H2:H5">
    <cfRule type="expression" priority="8" dxfId="70">
      <formula>NOT(AND(OR($D2="retain",$D2=""),$E2="statistical_results"))</formula>
    </cfRule>
  </conditionalFormatting>
  <conditionalFormatting sqref="I2:I5">
    <cfRule type="expression" priority="9" dxfId="70">
      <formula>NOT(AND(OR($D2="retain",$D2=""),$E2="statistical_results"))</formula>
    </cfRule>
  </conditionalFormatting>
  <conditionalFormatting sqref="J2:J5">
    <cfRule type="expression" priority="10" dxfId="70">
      <formula>NOT(AND(OR($D2="retain",$D2=""),$E2="statistical_results"))</formula>
    </cfRule>
  </conditionalFormatting>
  <conditionalFormatting sqref="K2:K5">
    <cfRule type="expression" priority="11" dxfId="70">
      <formula>NOT(AND(OR($D2="retain",$D2=""),OR($E2="report_internal_inconsistency",$E2="plan_material")))</formula>
    </cfRule>
  </conditionalFormatting>
  <conditionalFormatting sqref="L2:L5">
    <cfRule type="expression" priority="12" dxfId="70">
      <formula>NOT(AND(OR($D2="retain",$D2=""),$E2="protocol_report"))</formula>
    </cfRule>
  </conditionalFormatting>
  <conditionalFormatting sqref="G2:G5">
    <cfRule type="expression" priority="13" dxfId="71">
      <formula>$G2&lt;&gt;"PRIMARY READY"</formula>
    </cfRule>
    <cfRule type="expression" priority="14" dxfId="72">
      <formula>$G2="PRIMARY READY"</formula>
    </cfRule>
  </conditionalFormatting>
  <conditionalFormatting sqref="D2:D5">
    <cfRule type="expression" priority="15" dxfId="73">
      <formula>$D2="discuss"</formula>
    </cfRule>
  </conditionalFormatting>
  <dataValidations count="8">
    <dataValidation sqref="D2:D5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"retain,exclude,discuss"</formula1>
    </dataValidation>
    <dataValidation sqref="E2:E5" showDropDown="0" showInputMessage="1" showErrorMessage="1" allowBlank="1" errorTitle="Choose a listed option" error="Use an exact option code. G checks required fields, applicability and pasted values." promptTitle="Independent primary review" prompt="AI suggestion: confirm or edit." type="list" errorStyle="stop">
      <formula1>"statistical_results,report_internal_inconsistency,plan_material,protocol_report"</formula1>
    </dataValidation>
    <dataValidation sqref="F2:F5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"no,primary_done"</formula1>
    </dataValidation>
    <dataValidation sqref="H2:H5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"confirmed_issue,probable_issue,not_issue,indeterminate,not_applicable"</formula1>
    </dataValidation>
    <dataValidation sqref="I2:I5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"substantive,minor_presentation,indeterminate,not_applicable"</formula1>
    </dataValidation>
    <dataValidation sqref="J2:J5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"direct,possible,unlikely,unknown,not_applicable"</formula1>
    </dataValidation>
    <dataValidation sqref="K2:K5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"substantive_inconsistency,minor_presentation,non_inconsistency,indeterminate,not_applicable"</formula1>
    </dataValidation>
    <dataValidation sqref="L2:L5" showDropDown="0" showInputMessage="1" showErrorMessage="1" allowBlank="1" errorTitle="Choose a listed option" error="Use an exact option code. G checks required fields, applicability and pasted values." promptTitle="Independent primary review" prompt="Use Codebook for definitions. Reset F=no before revising a completed row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29" customWidth="1" style="14" min="2" max="2"/>
    <col width="43" customWidth="1" style="14" min="3" max="3"/>
    <col width="99" customWidth="1" style="14" min="4" max="4"/>
    <col width="28" customWidth="1" style="14" min="5" max="5"/>
  </cols>
  <sheetData>
    <row r="1" ht="44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13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 review</t>
        </is>
      </c>
      <c r="D2" s="16" t="inlineStr">
        <is>
          <t>No inherited blanks or control words. Keep the existing answers; edit directly. Blank = no answer; indeterminate/unknown = uncertain; not_applicable = inactive. Clear obsolete answers after changing a branch.</t>
        </is>
      </c>
      <c r="E2" s="16" t="n"/>
    </row>
    <row r="3" ht="113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13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13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13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 Enter your own independent assessment.</t>
        </is>
      </c>
      <c r="E6" s="16" t="inlineStr">
        <is>
          <t>disposition</t>
        </is>
      </c>
    </row>
    <row r="7" ht="113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13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13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13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13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13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13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13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13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 review</t>
        </is>
      </c>
      <c r="D15" s="17" t="inlineStr">
        <is>
          <t>Use no while drafting, then primary_done after manual review. Before changing a completed row, reset F to no, review again, then mark primary_done. Formulas cannot erase a completion flag.</t>
        </is>
      </c>
      <c r="E15" s="17" t="inlineStr">
        <is>
          <t>reviewComplete</t>
        </is>
      </c>
    </row>
    <row r="16" ht="113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Independent primary review is not yet confirmed complete; AI suggestions and partially filled fields do not count as completed human review.</t>
        </is>
      </c>
      <c r="E16" s="16" t="n"/>
    </row>
    <row r="17" ht="113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Calculated entry checks for this reviewer only. PRIMARY READY requires valid identity, key, fields and primary_done. Discuss can be ready and remains unresolved. Checks do not establish scientific accuracy.</t>
        </is>
      </c>
      <c r="E17" s="17" t="inlineStr">
        <is>
          <t>readiness</t>
        </is>
      </c>
    </row>
    <row r="18" ht="113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13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13" customFormat="1" customHeight="1" s="14">
      <c r="A20" s="16" t="inlineStr">
        <is>
          <t>Statistcal_or_numerical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13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13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13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13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13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13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13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13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13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13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13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13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13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13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13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13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13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13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13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13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13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13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13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13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13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13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13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13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13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13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13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13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13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13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13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13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 review</t>
        </is>
      </c>
      <c r="D56" s="16" t="inlineStr">
        <is>
          <t>Human reviewed; independent primary assessment complete. Scientific uncertainty can remain as discuss.</t>
        </is>
      </c>
      <c r="E56" s="16" t="inlineStr">
        <is>
          <t>reviewComplete</t>
        </is>
      </c>
    </row>
    <row r="57" ht="113" customFormat="1" customHeight="1" s="14">
      <c r="A57" s="17" t="inlineStr">
        <is>
          <t>Suggested review domain</t>
        </is>
      </c>
      <c r="B57" s="17" t="inlineStr">
        <is>
          <t>GUIDE</t>
        </is>
      </c>
      <c r="C57" s="17" t="inlineStr">
        <is>
          <t>Column E</t>
        </is>
      </c>
      <c r="D57" s="17" t="inlineStr">
        <is>
          <t>The initial domain is the unchanged baseline AI suggestion; confirm or edit it. D remains blank. AI suggestions are not human judgments.</t>
        </is>
      </c>
      <c r="E57" s="17" t="n"/>
    </row>
    <row r="58" ht="113" customFormat="1" customHeight="1" s="14">
      <c r="A58" s="16" t="inlineStr">
        <is>
          <t>Untouched defaults</t>
        </is>
      </c>
      <c r="B58" s="16" t="inlineStr">
        <is>
          <t>GUIDE</t>
        </is>
      </c>
      <c r="C58" s="16" t="inlineStr">
        <is>
          <t>H-L</t>
        </is>
      </c>
      <c r="D58" s="16" t="inlineStr">
        <is>
          <t>An untouched formula displays blank for a potentially applicable field while D is blank or retain; otherwise not_applicable. Choosing a judgment replaces that formula. Literal answers never clear automatically; clear stale inactive answers.</t>
        </is>
      </c>
      <c r="E58" s="16" t="n"/>
    </row>
    <row r="59" ht="113" customFormat="1" customHeight="1" s="14">
      <c r="A59" s="17" t="inlineStr">
        <is>
          <t>Protection</t>
        </is>
      </c>
      <c r="B59" s="17" t="inlineStr">
        <is>
          <t>GUIDE</t>
        </is>
      </c>
      <c r="C59" s="17" t="inlineStr">
        <is>
          <t>All cells</t>
        </is>
      </c>
      <c r="D59" s="17" t="inlineStr">
        <is>
          <t>Protected ranges: none. Every style and cell, including unused cells, is explicitly unlocked. Preserve reference and calculation cells; undo accidental edits or use backups.</t>
        </is>
      </c>
      <c r="E59" s="17" t="n"/>
    </row>
    <row r="60" customFormat="1" s="14"/>
    <row r="61" customFormat="1" s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Human adjudication construction</dc:creator>
  <dc:title>2019 independent primary review R_A v.2.3.1</dc:title>
  <dc:description>xlsx-adjudication-independent-primary-2.3.1</dc:description>
  <dc:subject>Blank independent primary assessment template</dc:subject>
  <dcterms:created xsi:type="dcterms:W3CDTF">2026-10-10T17:56:12Z</dcterms:created>
  <dcterms:modified xsi:type="dcterms:W3CDTF">2026-10-10T23:23:54Z</dcterms:modified>
</cp:coreProperties>
</file>