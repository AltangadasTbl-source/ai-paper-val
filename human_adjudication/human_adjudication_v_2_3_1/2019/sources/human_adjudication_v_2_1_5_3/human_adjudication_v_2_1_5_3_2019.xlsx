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tables/table13.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4ccc13cfe8436e" /></Relationships>
</file>

<file path=xl/workbook.xml><?xml version="1.0" encoding="utf-8"?>
<x:workbook xmlns:x="http://schemas.openxmlformats.org/spreadsheetml/2006/main">
  <x:sheets>
    <x:sheet xmlns:r="http://schemas.openxmlformats.org/officeDocument/2006/relationships" name="Start" sheetId="1" r:id="R7884a25ce052415f"/>
    <x:sheet xmlns:r="http://schemas.openxmlformats.org/officeDocument/2006/relationships" name="Setup" sheetId="2" r:id="R65393fcc26ae4150"/>
    <x:sheet xmlns:r="http://schemas.openxmlformats.org/officeDocument/2006/relationships" name="Checks" sheetId="3" r:id="R75b68789cdb948f8"/>
    <x:sheet xmlns:r="http://schemas.openxmlformats.org/officeDocument/2006/relationships" name="Papers" sheetId="4" r:id="Rf50af635785c4d48"/>
    <x:sheet xmlns:r="http://schemas.openxmlformats.org/officeDocument/2006/relationships" name="C_jama.2019.0556" sheetId="5" r:id="R8830870ef0e54e53"/>
    <x:sheet xmlns:r="http://schemas.openxmlformats.org/officeDocument/2006/relationships" name="C_jama.2019.10517" sheetId="6" r:id="Rdb51a4b70f21456f"/>
    <x:sheet xmlns:r="http://schemas.openxmlformats.org/officeDocument/2006/relationships" name="C_jama.2019.12618" sheetId="7" r:id="Ra6f339e1df2a48bf"/>
    <x:sheet xmlns:r="http://schemas.openxmlformats.org/officeDocument/2006/relationships" name="C_jama.2019.14231" sheetId="8" r:id="R3dee7a2792134f66"/>
    <x:sheet xmlns:r="http://schemas.openxmlformats.org/officeDocument/2006/relationships" name="C_jama.2019.14630" sheetId="9" r:id="R696bb07059d64237"/>
    <x:sheet xmlns:r="http://schemas.openxmlformats.org/officeDocument/2006/relationships" name="C_jama.2019.14901" sheetId="10" r:id="R35d4f2a4c2404396"/>
    <x:sheet xmlns:r="http://schemas.openxmlformats.org/officeDocument/2006/relationships" name="C_jama.2019.17380" sheetId="11" r:id="R7ed561d309174e18"/>
    <x:sheet xmlns:r="http://schemas.openxmlformats.org/officeDocument/2006/relationships" name="C_jama.2019.2210" sheetId="12" r:id="R59c5378ebc6a47e2"/>
    <x:sheet xmlns:r="http://schemas.openxmlformats.org/officeDocument/2006/relationships" name="C_jama.2019.4755" sheetId="13" r:id="R4609ac2b92fe40d3"/>
    <x:sheet xmlns:r="http://schemas.openxmlformats.org/officeDocument/2006/relationships" name="C_jama.2019.7505" sheetId="14" r:id="Ra11a99bffb6f4b7f"/>
    <x:sheet xmlns:r="http://schemas.openxmlformats.org/officeDocument/2006/relationships" name="Primary_snapshot" sheetId="15" r:id="Rb2fc0b184fbb4328"/>
    <x:sheet xmlns:r="http://schemas.openxmlformats.org/officeDocument/2006/relationships" name="Decisions" sheetId="16" r:id="R1a006c866aa2439e"/>
    <x:sheet xmlns:r="http://schemas.openxmlformats.org/officeDocument/2006/relationships" name="Paper_counts" sheetId="17" r:id="R195c40f8851d4a24"/>
    <x:sheet xmlns:r="http://schemas.openxmlformats.org/officeDocument/2006/relationships" name="Protocol_plan_table" sheetId="18" r:id="R3e8caabd9438435a"/>
    <x:sheet xmlns:r="http://schemas.openxmlformats.org/officeDocument/2006/relationships" name="Candidates" sheetId="19" r:id="R65434885449d40ad"/>
    <x:sheet xmlns:r="http://schemas.openxmlformats.org/officeDocument/2006/relationships" name="Evidence" sheetId="20" r:id="Rc91432a1dc7b4c93"/>
    <x:sheet xmlns:r="http://schemas.openxmlformats.org/officeDocument/2006/relationships" name="Links" sheetId="21" r:id="Ra9811a19c895430f"/>
    <x:sheet xmlns:r="http://schemas.openxmlformats.org/officeDocument/2006/relationships" name="Relations" sheetId="22" r:id="R4d4c3a909ca14559"/>
    <x:sheet xmlns:r="http://schemas.openxmlformats.org/officeDocument/2006/relationships" name="Codebook" sheetId="23" r:id="Rf0e1e2c87d684e41"/>
    <x:sheet xmlns:r="http://schemas.openxmlformats.org/officeDocument/2006/relationships" name="Manifest" sheetId="24" r:id="R8fed3e1d297a404f"/>
  </x:sheets>
  <x:calcPr calcId="191029" fullCalcOnLoad="1" forceFullCalc="1" calcMode="auto"/>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173F57"/>
      <x:name val="Calibri"/>
    </x:font>
    <x:font>
      <x:b/>
      <x:sz val="11"/>
      <x:color rgb="FFFFFFFF"/>
      <x:name val="Calibri"/>
    </x:font>
  </x:fonts>
  <x:fills count="6">
    <x:fill>
      <x:patternFill patternType="none"/>
    </x:fill>
    <x:fill>
      <x:patternFill patternType="gray125"/>
    </x:fill>
    <x:fill>
      <x:patternFill patternType="solid">
        <x:fgColor rgb="FF173F57"/>
      </x:patternFill>
    </x:fill>
    <x:fill>
      <x:patternFill patternType="solid">
        <x:fgColor rgb="FFF4F8FA"/>
      </x:patternFill>
    </x:fill>
    <x:fill>
      <x:patternFill patternType="solid">
        <x:fgColor rgb="FFFFF2CC"/>
      </x:patternFill>
    </x:fill>
    <x:fill>
      <x:patternFill patternType="solid">
        <x:fgColor rgb="FFEAF3FC"/>
      </x:patternFill>
    </x:fill>
  </x:fills>
  <x:borders count="1">
    <x:border/>
  </x:borders>
  <x:cellStyleXfs count="1">
    <x:xf numFmtId="0" fontId="0" fillId="0" borderId="0" applyProtection="1">
      <x:protection locked="0" hidden="0"/>
    </x:xf>
  </x:cellStyleXfs>
  <x:cellXfs count="14">
    <x:xf numFmtId="0" fontId="0" fillId="0" borderId="0" xfId="0" applyProtection="1">
      <x:protection locked="0" hidden="0"/>
    </x:xf>
    <x:xf numFmtId="0" fontId="1" fillId="0" borderId="0" xfId="0" applyNumberFormat="1" applyFont="1" applyFill="1" applyBorder="1" applyProtection="1">
      <x:protection locked="0" hidden="0"/>
    </x:xf>
    <x:xf numFmtId="0" fontId="1" fillId="0" borderId="0" xfId="0" applyNumberFormat="1" applyFont="1" applyFill="1" applyBorder="1" applyAlignment="1" applyProtection="1">
      <x:alignment wrapText="1"/>
      <x:protection locked="0" hidden="0"/>
    </x:xf>
    <x:xf numFmtId="0" fontId="1" fillId="0" borderId="0" xfId="0" applyNumberFormat="1" applyFont="1" applyFill="1" applyBorder="1" applyAlignment="1" applyProtection="1">
      <x:alignment vertical="center" wrapText="1"/>
      <x:protection locked="0" hidden="0"/>
    </x:xf>
    <x:xf numFmtId="0" fontId="1" fillId="2" borderId="0" xfId="0" applyNumberFormat="1" applyFont="1" applyFill="1" applyBorder="1" applyAlignment="1" applyProtection="1">
      <x:alignment vertical="center" wrapText="1"/>
      <x:protection locked="0" hidden="0"/>
    </x:xf>
    <x:xf numFmtId="0" fontId="2" fillId="2" borderId="0" xfId="0" applyNumberFormat="1" applyFont="1" applyFill="1" applyBorder="1" applyAlignment="1" applyProtection="1">
      <x:alignment vertical="center" wrapText="1"/>
      <x:protection locked="0" hidden="0"/>
    </x:xf>
    <x:xf numFmtId="0" fontId="1" fillId="3" borderId="0" xfId="0" applyNumberFormat="1" applyFont="1" applyFill="1" applyBorder="1" applyAlignment="1" applyProtection="1">
      <x:alignment vertical="center" wrapText="1"/>
      <x:protection locked="0" hidden="0"/>
    </x:xf>
    <x:xf numFmtId="0" fontId="1" fillId="4" borderId="0" xfId="0" applyNumberFormat="1" applyFont="1" applyFill="1" applyBorder="1" applyAlignment="1" applyProtection="1">
      <x:alignment vertical="center" wrapText="1"/>
      <x:protection locked="0" hidden="0"/>
    </x:xf>
    <x:xf numFmtId="0" fontId="0" fillId="0" borderId="0" xfId="0" applyProtection="1">
      <x:extLst>
        <x:ext uri="{C7286773-470A-42A8-94C5-96B5CB345126}">
          <xfpb:xfComplement xmlns:xfpb="http://schemas.microsoft.com/office/spreadsheetml/2022/featurepropertybag" i="0"/>
        </x:ext>
      </x:extLst>
      <x:protection locked="0" hidden="0"/>
    </x:xf>
    <x:xf numFmtId="0" fontId="1" fillId="0" borderId="0" xfId="0" applyNumberFormat="1" applyFont="1" applyFill="1" applyBorder="1" applyProtection="1">
      <x:extLst>
        <x:ext uri="{C7286773-470A-42A8-94C5-96B5CB345126}">
          <xfpb:xfComplement xmlns:xfpb="http://schemas.microsoft.com/office/spreadsheetml/2022/featurepropertybag" i="0"/>
        </x:ext>
      </x:extLst>
      <x:protection locked="0" hidden="0"/>
    </x:xf>
    <x:xf numFmtId="0" fontId="1" fillId="0" borderId="0" xfId="0" applyNumberFormat="1" applyFont="1" applyFill="1" applyBorder="1" applyAlignment="1" applyProtection="1">
      <x:alignment wrapText="1"/>
      <x:extLst>
        <x:ext uri="{C7286773-470A-42A8-94C5-96B5CB345126}">
          <xfpb:xfComplement xmlns:xfpb="http://schemas.microsoft.com/office/spreadsheetml/2022/featurepropertybag" i="0"/>
        </x:ext>
      </x:extLst>
      <x:protection locked="0" hidden="0"/>
    </x:xf>
    <x:xf numFmtId="0" fontId="1" fillId="0" borderId="0" xfId="0" applyNumberFormat="1" applyFont="1" applyFill="1" applyBorder="1" applyAlignment="1" applyProtection="1">
      <x:alignment vertical="center" wrapText="1"/>
      <x:extLst>
        <x:ext uri="{C7286773-470A-42A8-94C5-96B5CB345126}">
          <xfpb:xfComplement xmlns:xfpb="http://schemas.microsoft.com/office/spreadsheetml/2022/featurepropertybag" i="0"/>
        </x:ext>
      </x:extLst>
      <x:protection locked="0" hidden="0"/>
    </x:xf>
    <x:xf numFmtId="0" fontId="1" fillId="3" borderId="0" xfId="0" applyNumberFormat="1" applyFont="1" applyFill="1" applyBorder="1" applyAlignment="1" applyProtection="1">
      <x:alignment vertical="center" wrapText="1"/>
      <x:extLst>
        <x:ext uri="{C7286773-470A-42A8-94C5-96B5CB345126}">
          <xfpb:xfComplement xmlns:xfpb="http://schemas.microsoft.com/office/spreadsheetml/2022/featurepropertybag" i="0"/>
        </x:ext>
      </x:extLst>
      <x:protection locked="0" hidden="0"/>
    </x:xf>
    <x:xf numFmtId="0" fontId="1" fillId="5" borderId="0" xfId="0" applyNumberFormat="1" applyFont="1" applyFill="1" applyBorder="1" applyAlignment="1" applyProtection="1">
      <x:alignment vertical="center" wrapText="1"/>
      <x:protection locked="0" hidden="0"/>
    </x:xf>
  </x:cellXfs>
  <x:cellStyles count="1">
    <x:cellStyle name="Normal" xfId="0"/>
  </x:cellStyles>
  <x:dxfs count="70">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2a1787bf7444405" /><Relationship Type="http://schemas.openxmlformats.org/officeDocument/2006/relationships/theme" Target="/xl/theme/theme1.xml" Id="R092e056954b34b2b" /><Relationship Type="http://schemas.microsoft.com/office/2022/11/relationships/FeaturePropertyBag" Target="/xl/featurePropertyBag/featurePropertyBag.xml" Id="Re2942e6631194376" /><Relationship Type="http://schemas.openxmlformats.org/officeDocument/2006/relationships/sharedStrings" Target="/xl/sharedStrings.xml" Id="R8daa36c33061454a" /><Relationship Type="http://schemas.openxmlformats.org/officeDocument/2006/relationships/worksheet" Target="/xl/worksheets/sheet1.xml" Id="R7884a25ce052415f" /><Relationship Type="http://schemas.openxmlformats.org/officeDocument/2006/relationships/worksheet" Target="/xl/worksheets/sheet2.xml" Id="R65393fcc26ae4150" /><Relationship Type="http://schemas.openxmlformats.org/officeDocument/2006/relationships/worksheet" Target="/xl/worksheets/sheet3.xml" Id="R75b68789cdb948f8" /><Relationship Type="http://schemas.openxmlformats.org/officeDocument/2006/relationships/worksheet" Target="/xl/worksheets/sheet4.xml" Id="Rf50af635785c4d48" /><Relationship Type="http://schemas.openxmlformats.org/officeDocument/2006/relationships/worksheet" Target="/xl/worksheets/sheet5.xml" Id="R8830870ef0e54e53" /><Relationship Type="http://schemas.openxmlformats.org/officeDocument/2006/relationships/worksheet" Target="/xl/worksheets/sheet6.xml" Id="Rdb51a4b70f21456f" /><Relationship Type="http://schemas.openxmlformats.org/officeDocument/2006/relationships/worksheet" Target="/xl/worksheets/sheet7.xml" Id="Ra6f339e1df2a48bf" /><Relationship Type="http://schemas.openxmlformats.org/officeDocument/2006/relationships/worksheet" Target="/xl/worksheets/sheet8.xml" Id="R3dee7a2792134f66" /><Relationship Type="http://schemas.openxmlformats.org/officeDocument/2006/relationships/worksheet" Target="/xl/worksheets/sheet9.xml" Id="R696bb07059d64237" /><Relationship Type="http://schemas.openxmlformats.org/officeDocument/2006/relationships/worksheet" Target="/xl/worksheets/sheet10.xml" Id="R35d4f2a4c2404396" /><Relationship Type="http://schemas.openxmlformats.org/officeDocument/2006/relationships/worksheet" Target="/xl/worksheets/sheet11.xml" Id="R7ed561d309174e18" /><Relationship Type="http://schemas.openxmlformats.org/officeDocument/2006/relationships/worksheet" Target="/xl/worksheets/sheet12.xml" Id="R59c5378ebc6a47e2" /><Relationship Type="http://schemas.openxmlformats.org/officeDocument/2006/relationships/worksheet" Target="/xl/worksheets/sheet13.xml" Id="R4609ac2b92fe40d3" /><Relationship Type="http://schemas.openxmlformats.org/officeDocument/2006/relationships/worksheet" Target="/xl/worksheets/sheet14.xml" Id="Ra11a99bffb6f4b7f" /><Relationship Type="http://schemas.openxmlformats.org/officeDocument/2006/relationships/worksheet" Target="/xl/worksheets/sheet15.xml" Id="Rb2fc0b184fbb4328" /><Relationship Type="http://schemas.openxmlformats.org/officeDocument/2006/relationships/worksheet" Target="/xl/worksheets/sheet16.xml" Id="R1a006c866aa2439e" /><Relationship Type="http://schemas.openxmlformats.org/officeDocument/2006/relationships/worksheet" Target="/xl/worksheets/sheet17.xml" Id="R195c40f8851d4a24" /><Relationship Type="http://schemas.openxmlformats.org/officeDocument/2006/relationships/worksheet" Target="/xl/worksheets/sheet18.xml" Id="R3e8caabd9438435a" /><Relationship Type="http://schemas.openxmlformats.org/officeDocument/2006/relationships/worksheet" Target="/xl/worksheets/sheet19.xml" Id="R65434885449d40ad" /><Relationship Type="http://schemas.openxmlformats.org/officeDocument/2006/relationships/worksheet" Target="/xl/worksheets/sheet20.xml" Id="Rc91432a1dc7b4c93" /><Relationship Type="http://schemas.openxmlformats.org/officeDocument/2006/relationships/worksheet" Target="/xl/worksheets/sheet21.xml" Id="Ra9811a19c895430f" /><Relationship Type="http://schemas.openxmlformats.org/officeDocument/2006/relationships/worksheet" Target="/xl/worksheets/sheet22.xml" Id="R4d4c3a909ca14559" /><Relationship Type="http://schemas.openxmlformats.org/officeDocument/2006/relationships/worksheet" Target="/xl/worksheets/sheet23.xml" Id="Rf0e1e2c87d684e41" /><Relationship Type="http://schemas.openxmlformats.org/officeDocument/2006/relationships/worksheet" Target="/xl/worksheets/sheet24.xml" Id="R8fed3e1d297a404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4" name="ReviewTable4" displayName="ReviewTable4" ref="A1:R10"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2.xml><?xml version="1.0" encoding="utf-8"?>
<x:table xmlns:x="http://schemas.openxmlformats.org/spreadsheetml/2006/main" id="5" name="ReviewTable5" displayName="ReviewTable5" ref="A1:R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3.xml><?xml version="1.0" encoding="utf-8"?>
<x:table xmlns:x="http://schemas.openxmlformats.org/spreadsheetml/2006/main" id="6" name="ReviewTable6" displayName="ReviewTable6" ref="A1:R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4.xml><?xml version="1.0" encoding="utf-8"?>
<x:table xmlns:x="http://schemas.openxmlformats.org/spreadsheetml/2006/main" id="7" name="ReviewTable7" displayName="ReviewTable7" ref="A1:R12"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5.xml><?xml version="1.0" encoding="utf-8"?>
<x:table xmlns:x="http://schemas.openxmlformats.org/spreadsheetml/2006/main" id="8" name="ReviewTable8" displayName="ReviewTable8" ref="A1:R10"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6.xml><?xml version="1.0" encoding="utf-8"?>
<x:table xmlns:x="http://schemas.openxmlformats.org/spreadsheetml/2006/main" id="9" name="ReviewTable9" displayName="ReviewTable9" ref="A1:R7"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7.xml><?xml version="1.0" encoding="utf-8"?>
<x:table xmlns:x="http://schemas.openxmlformats.org/spreadsheetml/2006/main" id="10" name="ReviewTable10" displayName="ReviewTable10" ref="A1:R8"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8.xml><?xml version="1.0" encoding="utf-8"?>
<x:table xmlns:x="http://schemas.openxmlformats.org/spreadsheetml/2006/main" id="11" name="ReviewTable11" displayName="ReviewTable11" ref="A1:R10"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9.xml><?xml version="1.0" encoding="utf-8"?>
<x:table xmlns:x="http://schemas.openxmlformats.org/spreadsheetml/2006/main" id="12" name="ReviewTable12" displayName="ReviewTable12" ref="A1:R6"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0.xml><?xml version="1.0" encoding="utf-8"?>
<x:table xmlns:x="http://schemas.openxmlformats.org/spreadsheetml/2006/main" id="13" name="ReviewTable13" displayName="ReviewTable13" ref="A1:R5"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1.xml><?xml version="1.0" encoding="utf-8"?>
<x:table xmlns:x="http://schemas.openxmlformats.org/spreadsheetml/2006/main" id="1" name="ReviewTable1" displayName="ReviewTable1" ref="A1:AD72" headerRowCount="1" totalsRowCount="0" totalsRowShown="0">
  <x:tableColumns count="30">
    <x:tableColumn id="1" name="year"/>
    <x:tableColumn id="2" name="package"/>
    <x:tableColumn id="3" name="key"/>
    <x:tableColumn id="4" name="relationship"/>
    <x:tableColumn id="5" name="primaryReviewerId"/>
    <x:tableColumn id="6" name="checkerId"/>
    <x:tableColumn id="7" name="status"/>
    <x:tableColumn id="8" name="outcome"/>
    <x:tableColumn id="9" name="aiDisposition"/>
    <x:tableColumn id="10" name="aiDomain"/>
    <x:tableColumn id="11" name="primary_disposition"/>
    <x:tableColumn id="12" name="primary_domain"/>
    <x:tableColumn id="13" name="primary_statisticalIssueStatus"/>
    <x:tableColumn id="14" name="primary_substantiveStatus"/>
    <x:tableColumn id="15" name="primary_downstreamImpact"/>
    <x:tableColumn id="16" name="primary_internalStatus"/>
    <x:tableColumn id="17" name="primary_protocolInterpretation"/>
    <x:tableColumn id="18" name="primary_notes"/>
    <x:tableColumn id="19" name="final_disposition"/>
    <x:tableColumn id="20" name="final_domain"/>
    <x:tableColumn id="21" name="final_statisticalIssueStatus"/>
    <x:tableColumn id="22" name="final_substantiveStatus"/>
    <x:tableColumn id="23" name="final_downstreamImpact"/>
    <x:tableColumn id="24" name="final_internalStatus"/>
    <x:tableColumn id="25" name="final_protocolInterpretation"/>
    <x:tableColumn id="26" name="final_notes"/>
    <x:tableColumn id="27" name="checkStatus"/>
    <x:tableColumn id="28" name="checkerComment"/>
    <x:tableColumn id="29" name="resolutionStatus"/>
    <x:tableColumn id="30" name="resolutionNote"/>
  </x:tableColumns>
  <x:tableStyleInfo name="TableStyleMedium2" showFirstColumn="0" showLastColumn="0" showRowStripes="1" showColumnStripes="0"/>
</x:table>
</file>

<file path=xl/tables/table12.xml><?xml version="1.0" encoding="utf-8"?>
<x:table xmlns:x="http://schemas.openxmlformats.org/spreadsheetml/2006/main" id="2" name="ReviewTable2" displayName="ReviewTable2" ref="A1:AB72" headerRowCount="1" totalsRowCount="0" totalsRowShown="0">
  <x:tableColumns count="28">
    <x:tableColumn id="1" name="additionalSensitivityExclude"/>
    <x:tableColumn id="2" name="ambiguity"/>
    <x:tableColumn id="3" name="broadPlanInvolved"/>
    <x:tableColumn id="4" name="category"/>
    <x:tableColumn id="5" name="currentReportCrossDocument"/>
    <x:tableColumn id="6" name="id"/>
    <x:tableColumn id="7" name="key"/>
    <x:tableColumn id="8" name="legacyRelationship"/>
    <x:tableColumn id="9" name="locations"/>
    <x:tableColumn id="10" name="originalCrossDocument"/>
    <x:tableColumn id="11" name="package"/>
    <x:tableColumn id="12" name="planMechanism"/>
    <x:tableColumn id="13" name="primary"/>
    <x:tableColumn id="14" name="rationale"/>
    <x:tableColumn id="15" name="reportHref"/>
    <x:tableColumn id="16" name="reportPath"/>
    <x:tableColumn id="17" name="sourceId"/>
    <x:tableColumn id="18" name="sourceStatus"/>
    <x:tableColumn id="19" name="statement"/>
    <x:tableColumn id="20" name="submissionInvolved"/>
    <x:tableColumn id="21" name="subtype"/>
    <x:tableColumn id="22" name="suggestedDomain"/>
    <x:tableColumn id="23" name="title"/>
    <x:tableColumn id="24" name="year"/>
    <x:tableColumn id="25" name="ai_source"/>
    <x:tableColumn id="26" name="ai_relationship"/>
    <x:tableColumn id="27" name="ai_domain"/>
    <x:tableColumn id="28" name="ai_disposition"/>
  </x:tableColumns>
  <x:tableStyleInfo name="TableStyleMedium2" showFirstColumn="0" showLastColumn="0" showRowStripes="1" showColumnStripes="0"/>
</x:table>
</file>

<file path=xl/tables/table13.xml><?xml version="1.0" encoding="utf-8"?>
<x:table xmlns:x="http://schemas.openxmlformats.org/spreadsheetml/2006/main" id="3" name="ReviewTable3" displayName="ReviewTable3" ref="A1:D261" headerRowCount="1" totalsRowCount="0" totalsRowShown="0">
  <x:tableColumns count="4">
    <x:tableColumn id="1" name="key"/>
    <x:tableColumn id="2" name="order"/>
    <x:tableColumn id="3" name="section"/>
    <x:tableColumn id="4" name="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834ae51193254fe1" /></Relationships>
</file>

<file path=xl/worksheets/_rels/sheet6.xml.rels>&#65279;<?xml version="1.0" encoding="utf-8"?><Relationships xmlns="http://schemas.openxmlformats.org/package/2006/relationships"><Relationship Type="http://schemas.openxmlformats.org/officeDocument/2006/relationships/table" Target="/xl/tables/table2.xml" Id="Re99cb26791e344af" /></Relationships>
</file>

<file path=xl/worksheets/_rels/sheet7.xml.rels>&#65279;<?xml version="1.0" encoding="utf-8"?><Relationships xmlns="http://schemas.openxmlformats.org/package/2006/relationships"><Relationship Type="http://schemas.openxmlformats.org/officeDocument/2006/relationships/table" Target="/xl/tables/table3.xml" Id="R8828fe27a9324768" /></Relationships>
</file>

<file path=xl/worksheets/_rels/sheet8.xml.rels>&#65279;<?xml version="1.0" encoding="utf-8"?><Relationships xmlns="http://schemas.openxmlformats.org/package/2006/relationships"><Relationship Type="http://schemas.openxmlformats.org/officeDocument/2006/relationships/table" Target="/xl/tables/table4.xml" Id="R51790ca162fd4d88" /></Relationships>
</file>

<file path=xl/worksheets/_rels/sheet9.xml.rels>&#65279;<?xml version="1.0" encoding="utf-8"?><Relationships xmlns="http://schemas.openxmlformats.org/package/2006/relationships"><Relationship Type="http://schemas.openxmlformats.org/officeDocument/2006/relationships/table" Target="/xl/tables/table5.xml" Id="Rc033e21badbb4c74" /></Relationships>
</file>

<file path=xl/worksheets/_rels/sheet10.xml.rels>&#65279;<?xml version="1.0" encoding="utf-8"?><Relationships xmlns="http://schemas.openxmlformats.org/package/2006/relationships"><Relationship Type="http://schemas.openxmlformats.org/officeDocument/2006/relationships/table" Target="/xl/tables/table6.xml" Id="R5f0c2a1567004296" /></Relationships>
</file>

<file path=xl/worksheets/_rels/sheet11.xml.rels>&#65279;<?xml version="1.0" encoding="utf-8"?><Relationships xmlns="http://schemas.openxmlformats.org/package/2006/relationships"><Relationship Type="http://schemas.openxmlformats.org/officeDocument/2006/relationships/table" Target="/xl/tables/table7.xml" Id="R4da4031768a04f4c" /></Relationships>
</file>

<file path=xl/worksheets/_rels/sheet12.xml.rels>&#65279;<?xml version="1.0" encoding="utf-8"?><Relationships xmlns="http://schemas.openxmlformats.org/package/2006/relationships"><Relationship Type="http://schemas.openxmlformats.org/officeDocument/2006/relationships/table" Target="/xl/tables/table8.xml" Id="Rb56dcc50148c4653" /></Relationships>
</file>

<file path=xl/worksheets/_rels/sheet13.xml.rels>&#65279;<?xml version="1.0" encoding="utf-8"?><Relationships xmlns="http://schemas.openxmlformats.org/package/2006/relationships"><Relationship Type="http://schemas.openxmlformats.org/officeDocument/2006/relationships/table" Target="/xl/tables/table9.xml" Id="R37398bfb43f34526" /></Relationships>
</file>

<file path=xl/worksheets/_rels/sheet14.xml.rels>&#65279;<?xml version="1.0" encoding="utf-8"?><Relationships xmlns="http://schemas.openxmlformats.org/package/2006/relationships"><Relationship Type="http://schemas.openxmlformats.org/officeDocument/2006/relationships/table" Target="/xl/tables/table10.xml" Id="Ra790fd7e413c441b" /></Relationships>
</file>

<file path=xl/worksheets/_rels/sheet16.xml.rels>&#65279;<?xml version="1.0" encoding="utf-8"?><Relationships xmlns="http://schemas.openxmlformats.org/package/2006/relationships"><Relationship Type="http://schemas.openxmlformats.org/officeDocument/2006/relationships/table" Target="/xl/tables/table11.xml" Id="Rfea2c15c07454df9" /></Relationships>
</file>

<file path=xl/worksheets/_rels/sheet19.xml.rels>&#65279;<?xml version="1.0" encoding="utf-8"?><Relationships xmlns="http://schemas.openxmlformats.org/package/2006/relationships"><Relationship Type="http://schemas.openxmlformats.org/officeDocument/2006/relationships/table" Target="/xl/tables/table12.xml" Id="R811a152af3be4235" /></Relationships>
</file>

<file path=xl/worksheets/_rels/sheet20.xml.rels>&#65279;<?xml version="1.0" encoding="utf-8"?><Relationships xmlns="http://schemas.openxmlformats.org/package/2006/relationships"><Relationship Type="http://schemas.openxmlformats.org/officeDocument/2006/relationships/table" Target="/xl/tables/table13.xml" Id="R38d5323846ea4231"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12" hidden="0" customWidth="1"/>
  </x:cols>
  <x:sheetData>
    <x:row r="1" ht="42" customHeight="1">
      <x:c r="A1" s="5" t="str">
        <x:v>Step</x:v>
      </x:c>
      <x:c r="B1" s="5" t="str">
        <x:v>Instructions</x:v>
      </x:c>
    </x:row>
    <x:row r="2" ht="68" customHeight="1">
      <x:c r="A2" s="6" t="str">
        <x:v>Release</x:v>
      </x:c>
      <x:c r="B2" s="6" t="str">
        <x:v>v.2.1.5.3 | 2019 | Excel-only review | 71 candidates | No locks, macros or scripts</x:v>
      </x:c>
    </x:row>
    <x:row r="3" ht="68" customHeight="1">
      <x:c r="A3" s="3" t="str">
        <x:v>1. Begin</x:v>
      </x:c>
      <x:c r="B3" s="3" t="str">
        <x:v>Save As a working copy. Setup: enter primaryReviewerId (B2); stage (B6) stays primary. The primary and checker must be different people. Keep checker ID/name blank during primary review.</x:v>
      </x:c>
    </x:row>
    <x:row r="4" ht="68" customHeight="1">
      <x:c r="A4" s="6" t="str">
        <x:v>2. Read one candidate</x:v>
      </x:c>
      <x:c r="B4" s="6" t="str">
        <x:v>Papers lists each C_&lt;paper&gt; sheet. Read A-C, then filter Candidates and Evidence by Candidate key. Consult original documents in the shared year/paper folders. AI flags and suggested domains are not confirmed human findings.</x:v>
      </x:c>
    </x:row>
    <x:row r="5" ht="68" customHeight="1">
      <x:c r="A5" s="3" t="str">
        <x:v>3. Make the assessment</x:v>
      </x:c>
      <x:c r="B5" s="3" t="str">
        <x:v>Choose Disposition (D) and confirm Review domain (E). Fill the applicable H-L judgments. English inputs. Yellow = common/required; blue = optional; gray = inactive. Read Codebook for meanings. Primary assessment (M) is blank during primary review.</x:v>
      </x:c>
    </x:row>
    <x:row r="6" ht="68" customHeight="1">
      <x:c r="A6" s="6" t="str">
        <x:v>4. Complete primary review</x:v>
      </x:c>
      <x:c r="B6" s="6" t="str">
        <x:v>Set F to primary_done only after reviewing the row. Leave N-Q blank. G must say PRIMARY READY. Checks summarizes all rows. Use no while drafting; recheck after every later edit.</x:v>
      </x:c>
    </x:row>
    <x:row r="7" ht="68" customHeight="1">
      <x:c r="A7" s="3" t="str">
        <x:v>5. Save the backup</x:v>
      </x:c>
      <x:c r="B7" s="3" t="str">
        <x:v>When Checks says PRIMARY READY, save and close the primary file. Keep this backup. Open it and Save As a new checker working copy before continuing. Never reuse the primary backup for checker edits.</x:v>
      </x:c>
    </x:row>
    <x:row r="8" ht="68" customHeight="1">
      <x:c r="A8" s="6" t="str">
        <x:v>6. Freeze the snapshot</x:v>
      </x:c>
      <x:c r="B8" s="6" t="str">
        <x:v>In the checker copy, while Setup B6 still says primary: open Primary_snapshot. Select A1:L72 using the Name Box. Copy; Home &gt; Paste &gt; Paste Special &gt; Values onto the SAME selected cells. Do this once. Save.</x:v>
      </x:c>
    </x:row>
    <x:row r="9" ht="68" customHeight="1">
      <x:c r="A9" s="3" t="str">
        <x:v>7. Start checking</x:v>
      </x:c>
      <x:c r="B9" s="3" t="str">
        <x:v>Now set Setup B6 to checker and enter checkerId in B4. Primary_snapshot must be saved as values BEFORE this switch. M now shows the original assessment. The existing answers remain in D/E/H-L/R; edit them directly. A blank is blank; there is no inheritance. F=primary_done does not finish checking.</x:v>
      </x:c>
    </x:row>
    <x:row r="10" ht="68" customHeight="1">
      <x:c r="A10" s="6" t="str">
        <x:v>8. Check or discuss</x:v>
      </x:c>
      <x:c r="B10" s="6" t="str">
        <x:v>If unchanged: N=agree. Otherwise choose the appropriate result and explain in O. For disagree, unable, or a primary discuss: discuss together; P=resolved; Q lists participants and conclusion; update the final answers and do not leave D=discuss. Then set F=checker_done.</x:v>
      </x:c>
    </x:row>
    <x:row r="11" ht="68" customHeight="1">
      <x:c r="A11" s="3" t="str">
        <x:v>9. Finish and hand off</x:v>
      </x:c>
      <x:c r="B11" s="3" t="str">
        <x:v>Every G must say FINAL READY and Checks must say FINAL READY. Save the annual workbook as *_final.xlsx. Decisions, Paper_counts and Protocol_plan_table are built in; no separate export command. Give the manager the final file and unchanged primary backup, preserving access to shared source folders.</x:v>
      </x:c>
    </x:row>
    <x:row r="12" ht="68" customHeight="1">
      <x:c r="A12" s="6" t="str">
        <x:v>Changes / pause</x:v>
      </x:c>
      <x:c r="B12" s="6" t="str">
        <x:v>Changing a domain may leave old literal answers. Clear inactive answers or choose not_applicable; answer newly applicable fields. Optional blanks are allowed. Set F=no after editing a completed row, then review and mark the correct stage done. Save; note the file, sheet and Candidate key to resume.</x:v>
      </x:c>
    </x:row>
    <x:row r="13" ht="68" customHeight="1">
      <x:c r="A13" s="3" t="str">
        <x:v>No unlock step</x:v>
      </x:c>
      <x:c r="B13" s="3" t="str">
        <x:v>Every cell and sheet is editable, including reference and formula cells. No passwords. Edit review inputs and Setup; preserve keys, sources and calculation cells. If a formula/reference is damaged, undo or recover from your saved copy.</x:v>
      </x:c>
    </x:row>
    <x:row r="14" ht="68" customHeight="1">
      <x:c r="A14" s="6" t="str">
        <x:v>Meaning of results</x:v>
      </x:c>
      <x:c r="B14" s="6" t="str">
        <x:v>Checks tests entries and completion, not scientific accuracy or tamper-proof provenance. Outcomes remain blank until FINAL READY per row. Paper counts stay blank until all candidates in that paper are final. Protocol and plan findings are descriptive; visible-answer checking is not blinded reliability.</x:v>
      </x:c>
    </x:row>
    <x:row r="15" ht="68" customHeight="1">
      <x:c r="A15" s="3" t="str">
        <x:v>Help / PDF</x:v>
      </x:c>
      <x:c r="B15" s="3" t="str">
        <x:v>Use the Chinese step-by-step PDF in this same folder. No terminal, package installation, handoff script, validation script, or export script is part of this workflow.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65" hidden="0" customWidth="1"/>
  </x:cols>
  <x:sheetData>
    <x:row r="1" ht="42" customHeight="1">
      <x:c r="A1" s="5" t="str">
        <x:v>Field</x:v>
      </x:c>
      <x:c r="B1" s="5" t="str">
        <x:v>Value</x:v>
      </x:c>
    </x:row>
    <x:row r="2" ht="40" customHeight="1">
      <x:c r="A2" s="6" t="str">
        <x:v>primaryReviewerId</x:v>
      </x:c>
      <x:c r="B2" s="7" t="str"/>
    </x:row>
    <x:row r="3" ht="40" customHeight="1">
      <x:c r="A3" s="3" t="str">
        <x:v>primaryReviewerName</x:v>
      </x:c>
      <x:c r="B3" s="7" t="str"/>
    </x:row>
    <x:row r="4" ht="40" customHeight="1">
      <x:c r="A4" s="6" t="str">
        <x:v>checkerId</x:v>
      </x:c>
      <x:c r="B4" s="7" t="str"/>
    </x:row>
    <x:row r="5" ht="40" customHeight="1">
      <x:c r="A5" s="3" t="str">
        <x:v>checkerName</x:v>
      </x:c>
      <x:c r="B5" s="7" t="str"/>
    </x:row>
    <x:row r="6" ht="40" customHeight="1">
      <x:c r="A6" s="6" t="str">
        <x:v>stage</x:v>
      </x:c>
      <x:c r="B6" s="7" t="str">
        <x:v>primary</x:v>
      </x:c>
    </x:row>
  </x:sheetData>
  <x:dataValidations count="1">
    <x:dataValidation type="list" sqref="B6">
      <x:formula1>"primary,checker"</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104" hidden="0" customWidth="1"/>
  </x:cols>
  <x:sheetData>
    <x:row r="1" ht="42" customHeight="1">
      <x:c r="A1" s="5" t="str">
        <x:v>Check</x:v>
      </x:c>
      <x:c r="B1" s="5" t="str">
        <x:v>Result</x:v>
      </x:c>
    </x:row>
    <x:row r="2" ht="44" customHeight="1">
      <x:c r="A2" s="6" t="str">
        <x:v>Stage</x:v>
      </x:c>
      <x:c r="B2" s="6" t="str">
        <x:f>Setup!$B$6</x:f>
        <x:v>primary</x:v>
      </x:c>
    </x:row>
    <x:row r="3" ht="44" customHeight="1">
      <x:c r="A3" s="3" t="str">
        <x:v>Candidates</x:v>
      </x:c>
      <x:c r="B3" s="3" t="n">
        <x:v>71</x:v>
      </x:c>
    </x:row>
    <x:row r="4" ht="44" customHeight="1">
      <x:c r="A4" s="6" t="str">
        <x:v>Primary ready rows</x:v>
      </x:c>
      <x:c r="B4" s="6" t="n">
        <x:f>COUNTIF(Decisions!G2:G72,"PRIMARY READY")</x:f>
        <x:v>0</x:v>
      </x:c>
    </x:row>
    <x:row r="5" ht="44" customHeight="1">
      <x:c r="A5" s="3" t="str">
        <x:v>Final ready rows</x:v>
      </x:c>
      <x:c r="B5" s="3" t="n">
        <x:f>COUNTIF(Decisions!G2:G72,"FINAL READY")</x:f>
        <x:v>0</x:v>
      </x:c>
    </x:row>
    <x:row r="6" ht="44" customHeight="1">
      <x:c r="A6" s="6" t="str">
        <x:v>Other / unfinished rows</x:v>
      </x:c>
      <x:c r="B6" s="6" t="n">
        <x:f>B3-B4-B5</x:f>
        <x:v>71</x:v>
      </x:c>
    </x:row>
    <x:row r="7" ht="44" customHeight="1">
      <x:c r="A7" s="3" t="str">
        <x:v>Workflow status</x:v>
      </x:c>
      <x:c r="B7" s="3" t="str">
        <x:f>IF(AND(B2="primary",B4=B3),"PRIMARY READY",IF(AND(B2="checker",B5=B3),"FINAL READY","ACTION NEEDED"))</x:f>
        <x:v>ACTION NEEDED</x:v>
      </x:c>
    </x:row>
    <x:row r="8" ht="44" customHeight="1">
      <x:c r="A8" s="6" t="str">
        <x:v>Next action</x:v>
      </x:c>
      <x:c r="B8" s="6" t="str">
        <x:f>IF(B7="PRIMARY READY","Save primary backup, then follow Start steps 5-7.",IF(B7="FINAL READY","Save the final workbook. Built-in result sheets are ready.","Open Decisions; filter status for rows needing action. Return to the matching C_ sheet."))</x:f>
        <x:v>Open Decisions; filter status for rows needing action. Return to the matching C_ sheet.</x:v>
      </x:c>
    </x:row>
    <x:row r="9" ht="44" customHeight="1">
      <x:c r="A9" s="3" t="str">
        <x:v>Scope</x:v>
      </x:c>
      <x:c r="B9" s="3" t="str">
        <x:v>Entry checks only. Verify the evidence and preserve the primary backup. No passwords; reference cells remain editable.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4" hidden="0" customWidth="1"/>
    <x:col min="3" max="3" width="18" hidden="0" customWidth="1"/>
  </x:cols>
  <x:sheetData>
    <x:row r="1" ht="42" customHeight="1">
      <x:c r="A1" s="5" t="str">
        <x:v>Paper</x:v>
      </x:c>
      <x:c r="B1" s="5" t="str">
        <x:v>Review worksheet</x:v>
      </x:c>
      <x:c r="C1" s="5" t="str">
        <x:v>Candidates</x:v>
      </x:c>
    </x:row>
    <x:row r="2" ht="36" customHeight="1">
      <x:c r="A2" s="6" t="str">
        <x:v>jama.2019.0556</x:v>
      </x:c>
      <x:c r="B2" s="6" t="str">
        <x:v>C_jama.2019.0556</x:v>
      </x:c>
      <x:c r="C2" s="6" t="n">
        <x:v>9</x:v>
      </x:c>
    </x:row>
    <x:row r="3" ht="36" customHeight="1">
      <x:c r="A3" s="3" t="str">
        <x:v>jama.2019.10517</x:v>
      </x:c>
      <x:c r="B3" s="3" t="str">
        <x:v>C_jama.2019.10517</x:v>
      </x:c>
      <x:c r="C3" s="3" t="n">
        <x:v>3</x:v>
      </x:c>
    </x:row>
    <x:row r="4" ht="36" customHeight="1">
      <x:c r="A4" s="6" t="str">
        <x:v>jama.2019.12618</x:v>
      </x:c>
      <x:c r="B4" s="6" t="str">
        <x:v>C_jama.2019.12618</x:v>
      </x:c>
      <x:c r="C4" s="6" t="n">
        <x:v>8</x:v>
      </x:c>
    </x:row>
    <x:row r="5" ht="36" customHeight="1">
      <x:c r="A5" s="3" t="str">
        <x:v>jama.2019.14231</x:v>
      </x:c>
      <x:c r="B5" s="3" t="str">
        <x:v>C_jama.2019.14231</x:v>
      </x:c>
      <x:c r="C5" s="3" t="n">
        <x:v>11</x:v>
      </x:c>
    </x:row>
    <x:row r="6" ht="36" customHeight="1">
      <x:c r="A6" s="6" t="str">
        <x:v>jama.2019.14630</x:v>
      </x:c>
      <x:c r="B6" s="6" t="str">
        <x:v>C_jama.2019.14630</x:v>
      </x:c>
      <x:c r="C6" s="6" t="n">
        <x:v>9</x:v>
      </x:c>
    </x:row>
    <x:row r="7" ht="36" customHeight="1">
      <x:c r="A7" s="3" t="str">
        <x:v>jama.2019.14901</x:v>
      </x:c>
      <x:c r="B7" s="3" t="str">
        <x:v>C_jama.2019.14901</x:v>
      </x:c>
      <x:c r="C7" s="3" t="n">
        <x:v>6</x:v>
      </x:c>
    </x:row>
    <x:row r="8" ht="36" customHeight="1">
      <x:c r="A8" s="6" t="str">
        <x:v>jama.2019.17380</x:v>
      </x:c>
      <x:c r="B8" s="6" t="str">
        <x:v>C_jama.2019.17380</x:v>
      </x:c>
      <x:c r="C8" s="6" t="n">
        <x:v>7</x:v>
      </x:c>
    </x:row>
    <x:row r="9" ht="36" customHeight="1">
      <x:c r="A9" s="3" t="str">
        <x:v>jama.2019.2210</x:v>
      </x:c>
      <x:c r="B9" s="3" t="str">
        <x:v>C_jama.2019.2210</x:v>
      </x:c>
      <x:c r="C9" s="3" t="n">
        <x:v>9</x:v>
      </x:c>
    </x:row>
    <x:row r="10" ht="36" customHeight="1">
      <x:c r="A10" s="6" t="str">
        <x:v>jama.2019.4755</x:v>
      </x:c>
      <x:c r="B10" s="6" t="str">
        <x:v>C_jama.2019.4755</x:v>
      </x:c>
      <x:c r="C10" s="6" t="n">
        <x:v>5</x:v>
      </x:c>
    </x:row>
    <x:row r="11" ht="36" customHeight="1">
      <x:c r="A11" s="3" t="str">
        <x:v>jama.2019.7505</x:v>
      </x:c>
      <x:c r="B11" s="3" t="str">
        <x:v>C_jama.2019.7505</x:v>
      </x:c>
      <x:c r="C11" s="3" t="n">
        <x:v>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2019::jama.2019.0556::C001</x:v>
      </x:c>
      <x:c r="B2" s="6" t="str">
        <x:v>Table 2 footnote duplicates the supplements-without-therapy label</x:v>
      </x:c>
      <x:c r="C2" s="6" t="str">
        <x:v>DOC-001 Table 2 — PDF p. 6; Figure 1 — PDF p. 3; Results — PDF p. 7.</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IDs",IF(OR(COUNTIF($A$2:$A$10,A2)&lt;&gt;1,COUNTIF(Decisions!$C$2:$C$72,A2)&lt;&gt;1),"CHECK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2019::jama.2019.0556::C002</x:v>
      </x:c>
      <x:c r="B3" s="3" t="str">
        <x:v>Supplement-adherence cutoff changes from inclusive to strict wording</x:v>
      </x:c>
      <x:c r="C3" s="3" t="str">
        <x:v>DOC-001 Methods — PDF p. 4; Results — PDF p. 6; DOC-004 eAppendix 8 — PDF p. 16; eAppendix 12 — PDF p. 22.</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IDs",IF(OR(COUNTIF($A$2:$A$10,A3)&lt;&gt;1,COUNTIF(Decisions!$C$2:$C$72,A3)&lt;&gt;1),"CHECK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2019::jama.2019.0556::C003</x:v>
      </x:c>
      <x:c r="B4" s="6" t="str">
        <x:v>eAppendix 8 footnote markers point to unrelated adherence rows</x:v>
      </x:c>
      <x:c r="C4" s="6" t="str">
        <x:v>DOC-004 eAppendix 8 — PDF p. 16.</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IDs",IF(OR(COUNTIF($A$2:$A$10,A4)&lt;&gt;1,COUNTIF(Decisions!$C$2:$C$72,A4)&lt;&gt;1),"CHECK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2019::jama.2019.0556::C004</x:v>
      </x:c>
      <x:c r="B5" s="3" t="str">
        <x:v>eAppendix 10 prints a literal P value of zero</x:v>
      </x:c>
      <x:c r="C5" s="3" t="str">
        <x:v>DOC-004 eAppendix 10B — PDF p. 19.</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IDs",IF(OR(COUNTIF($A$2:$A$10,A5)&lt;&gt;1,COUNTIF(Decisions!$C$2:$C$72,A5)&lt;&gt;1),"CHECK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2019::jama.2019.0556::C005</x:v>
      </x:c>
      <x:c r="B6" s="6" t="str">
        <x:v>Main-article sample-size total conflicts with four stated cell counts</x:v>
      </x:c>
      <x:c r="C6" s="6" t="str">
        <x:v>DOC-001 Sample Size — PDF p. 4.</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IDs",IF(OR(COUNTIF($A$2:$A$10,A6)&lt;&gt;1,COUNTIF(Decisions!$C$2:$C$72,A6)&lt;&gt;1),"CHECK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2019::jama.2019.0556::C006</x:v>
      </x:c>
      <x:c r="B7" s="3" t="str">
        <x:v>Protocol calls a 30% versus 15% contrast a 25% difference</x:v>
      </x:c>
      <x:c r="C7" s="3" t="str">
        <x:v>DOC-002 Sample Size — PDF p. 16.</x:v>
      </x:c>
      <x:c r="D7" s="7" t="str"/>
      <x:c r="E7" s="7" t="str">
        <x:v>plan_material</x:v>
      </x:c>
      <x:c r="F7" s="7" t="str">
        <x:v>no</x:v>
      </x:c>
      <x:c r="G7" s="3" t="str">
        <x:f>IFERROR(IF(NOT(OR(Setup!$B$6="primary",Setup!$B$6="checker")),"CHECK STAGE",IF(OR(LEN(TRIM(Setup!$B$2))=0,Setup!$B$2&lt;&gt;TRIM(Setup!$B$2),AND(Setup!$B$6="checker",OR(LEN(TRIM(Setup!$B$4))=0,Setup!$B$4&lt;&gt;TRIM(Setup!$B$4),LOWER(TRIM(Setup!$B$4))=LOWER(TRIM(Setup!$B$2))))),"CHECK REVIEWER IDs",IF(OR(COUNTIF($A$2:$A$10,A7)&lt;&gt;1,COUNTIF(Decisions!$C$2:$C$72,A7)&lt;&gt;1),"CHECK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2019::jama.2019.0556::C007</x:v>
      </x:c>
      <x:c r="B8" s="6" t="str">
        <x:v>Protocol and publication state different sample-size assumptions</x:v>
      </x:c>
      <x:c r="C8" s="6" t="str">
        <x:v>DOC-001 Sample Size — PDF p. 4; DOC-002 Sample Size — PDF p. 16; DOC-002 continuation — PDF p. 17.</x:v>
      </x:c>
      <x:c r="D8" s="7" t="str"/>
      <x:c r="E8" s="7" t="str">
        <x:v>protocol_report</x:v>
      </x:c>
      <x:c r="F8" s="7" t="str">
        <x:v>no</x:v>
      </x:c>
      <x:c r="G8" s="6" t="str">
        <x:f>IFERROR(IF(NOT(OR(Setup!$B$6="primary",Setup!$B$6="checker")),"CHECK STAGE",IF(OR(LEN(TRIM(Setup!$B$2))=0,Setup!$B$2&lt;&gt;TRIM(Setup!$B$2),AND(Setup!$B$6="checker",OR(LEN(TRIM(Setup!$B$4))=0,Setup!$B$4&lt;&gt;TRIM(Setup!$B$4),LOWER(TRIM(Setup!$B$4))=LOWER(TRIM(Setup!$B$2))))),"CHECK REVIEWER IDs",IF(OR(COUNTIF($A$2:$A$10,A8)&lt;&gt;1,COUNTIF(Decisions!$C$2:$C$72,A8)&lt;&gt;1),"CHECK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2019::jama.2019.0556::C008</x:v>
      </x:c>
      <x:c r="B9" s="3" t="str">
        <x:v>Protocol uses incompatible DSM editions for the primary endpoint</x:v>
      </x:c>
      <x:c r="C9" s="3" t="str">
        <x:v>DOC-002 endpoint summary — PDF p. 8; DOC-002 Methods 8.1.1 — PDF p. 28; DOC-001 Primary Outcome — PDF p. 4.</x:v>
      </x:c>
      <x:c r="D9" s="7" t="str"/>
      <x:c r="E9" s="7" t="str">
        <x:v>plan_material</x:v>
      </x:c>
      <x:c r="F9" s="7" t="str">
        <x:v>no</x:v>
      </x:c>
      <x:c r="G9" s="3" t="str">
        <x:f>IFERROR(IF(NOT(OR(Setup!$B$6="primary",Setup!$B$6="checker")),"CHECK STAGE",IF(OR(LEN(TRIM(Setup!$B$2))=0,Setup!$B$2&lt;&gt;TRIM(Setup!$B$2),AND(Setup!$B$6="checker",OR(LEN(TRIM(Setup!$B$4))=0,Setup!$B$4&lt;&gt;TRIM(Setup!$B$4),LOWER(TRIM(Setup!$B$4))=LOWER(TRIM(Setup!$B$2))))),"CHECK REVIEWER IDs",IF(OR(COUNTIF($A$2:$A$10,A9)&lt;&gt;1,COUNTIF(Decisions!$C$2:$C$72,A9)&lt;&gt;1),"CHECK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IF(Setup!$B$6="primary","",IFERROR(IF(INDEX('Primary_snapshot'!$L$2:$L$72,MATCH(A9,'Primary_snapshot'!$A$2:$A$72,0))="","",INDEX('Primary_snapshot'!$L$2:$L$72,MATCH(A9,'Primary_snapshot'!$A$2:$A$72,0))),"SNAPSHOT MISSING"))</x:f>
      </x:c>
      <x:c r="N9" s="7" t="str"/>
      <x:c r="O9" s="7" t="str"/>
      <x:c r="P9" s="7" t="str"/>
      <x:c r="Q9" s="7" t="str"/>
      <x:c r="R9" s="13" t="str"/>
    </x:row>
    <x:row r="10" ht="92" customHeight="1">
      <x:c r="A10" s="6" t="str">
        <x:v>2019::jama.2019.0556::C009</x:v>
      </x:c>
      <x:c r="B10" s="6" t="str">
        <x:v>Analysis-plan significance threshold lacks a comparison operator</x:v>
      </x:c>
      <x:c r="C10" s="6" t="str">
        <x:v>DOC-003 statistical analysis plan — PDF p. 3; local interaction rule — PDF p. 5.</x:v>
      </x:c>
      <x:c r="D10" s="7" t="str"/>
      <x:c r="E10" s="7" t="str">
        <x:v>plan_material</x:v>
      </x:c>
      <x:c r="F10" s="7" t="str">
        <x:v>no</x:v>
      </x:c>
      <x:c r="G10" s="6" t="str">
        <x:f>IFERROR(IF(NOT(OR(Setup!$B$6="primary",Setup!$B$6="checker")),"CHECK STAGE",IF(OR(LEN(TRIM(Setup!$B$2))=0,Setup!$B$2&lt;&gt;TRIM(Setup!$B$2),AND(Setup!$B$6="checker",OR(LEN(TRIM(Setup!$B$4))=0,Setup!$B$4&lt;&gt;TRIM(Setup!$B$4),LOWER(TRIM(Setup!$B$4))=LOWER(TRIM(Setup!$B$2))))),"CHECK REVIEWER IDs",IF(OR(COUNTIF($A$2:$A$10,A10)&lt;&gt;1,COUNTIF(Decisions!$C$2:$C$72,A10)&lt;&gt;1),"CHECK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f>IF(AND(OR(D10="retain",D10=""),OR(E10="report_internal_inconsistency",E10="plan_material")),"","not_applicable")</x:f>
      </x:c>
      <x:c r="L10" s="13" t="str">
        <x:f>IF(AND(OR(D10="retain",D10=""),E10="protocol_report"),"","not_applicable")</x:f>
        <x:v>not_applicable</x:v>
      </x:c>
      <x:c r="M10" s="6" t="str">
        <x:f>IF(Setup!$B$6="primary","",IFERROR(IF(INDEX('Primary_snapshot'!$L$2:$L$72,MATCH(A10,'Primary_snapshot'!$A$2:$A$72,0))="","",INDEX('Primary_snapshot'!$L$2:$L$72,MATCH(A10,'Primary_snapshot'!$A$2:$A$72,0))),"SNAPSHOT MISSING"))</x:f>
      </x:c>
      <x:c r="N10" s="7" t="str"/>
      <x:c r="O10" s="7" t="str"/>
      <x:c r="P10" s="7" t="str"/>
      <x:c r="Q10" s="7" t="str"/>
      <x:c r="R10" s="13" t="str"/>
    </x:row>
  </x:sheetData>
  <x:conditionalFormatting sqref="G2:G10">
    <x:cfRule type="expression" dxfId="0" priority="1">
      <x:formula>AND(G2&lt;&gt;"PRIMARY READY",G2&lt;&gt;"FINAL READY")</x:formula>
    </x:cfRule>
  </x:conditionalFormatting>
  <x:conditionalFormatting sqref="N2:Q10">
    <x:cfRule type="expression" dxfId="1" priority="2">
      <x:formula>Setup!$B$6="primary"</x:formula>
    </x:cfRule>
  </x:conditionalFormatting>
  <x:conditionalFormatting sqref="H2:H10">
    <x:cfRule type="expression" dxfId="2" priority="3">
      <x:formula>NOT(AND(OR($D2="retain",$D2=""),$E2="statistical_results"))</x:formula>
    </x:cfRule>
  </x:conditionalFormatting>
  <x:conditionalFormatting sqref="I2:I10">
    <x:cfRule type="expression" dxfId="3" priority="4">
      <x:formula>NOT(AND(OR($D2="retain",$D2=""),$E2="statistical_results"))</x:formula>
    </x:cfRule>
  </x:conditionalFormatting>
  <x:conditionalFormatting sqref="J2:J10">
    <x:cfRule type="expression" dxfId="4" priority="5">
      <x:formula>NOT(AND(OR($D2="retain",$D2=""),$E2="statistical_results"))</x:formula>
    </x:cfRule>
  </x:conditionalFormatting>
  <x:conditionalFormatting sqref="K2:K10">
    <x:cfRule type="expression" dxfId="5" priority="6">
      <x:formula>NOT(AND(OR($D2="retain",$D2=""),OR($E2="report_internal_inconsistency",$E2="plan_material")))</x:formula>
    </x:cfRule>
  </x:conditionalFormatting>
  <x:conditionalFormatting sqref="L2:L10">
    <x:cfRule type="expression" dxfId="6" priority="7">
      <x:formula>NOT(AND(OR($D2="retain",$D2=""),$E2="protocol_report"))</x:formula>
    </x:cfRule>
  </x:conditionalFormatting>
  <x:dataValidations count="10">
    <x:dataValidation type="list" sqref="D2:D10">
      <x:formula1>"retain,exclude,discuss"</x:formula1>
    </x:dataValidation>
    <x:dataValidation type="list" sqref="E2:E10">
      <x:formula1>"statistical_results,report_internal_inconsistency,plan_material,protocol_report"</x:formula1>
    </x:dataValidation>
    <x:dataValidation type="list" sqref="F2:F10">
      <x:formula1>"no,primary_done,checker_done"</x:formula1>
    </x:dataValidation>
    <x:dataValidation type="list" sqref="H2:H10">
      <x:formula1>"confirmed_issue,probable_issue,not_issue,indeterminate,not_applicable"</x:formula1>
    </x:dataValidation>
    <x:dataValidation type="list" sqref="I2:I10">
      <x:formula1>"substantive,minor_presentation,indeterminate,not_applicable"</x:formula1>
    </x:dataValidation>
    <x:dataValidation type="list" sqref="J2:J10">
      <x:formula1>"direct,possible,unlikely,unknown,not_applicable"</x:formula1>
    </x:dataValidation>
    <x:dataValidation type="list" sqref="K2:K10">
      <x:formula1>"substantive_inconsistency,minor_presentation,non_inconsistency,indeterminate,not_applicable"</x:formula1>
    </x:dataValidation>
    <x:dataValidation type="list" sqref="L2:L10">
      <x:formula1>"substantive_difference,minor_presentation,version_timing,non_inconsistency,indeterminate,not_applicable"</x:formula1>
    </x:dataValidation>
    <x:dataValidation type="list" sqref="N2:N10">
      <x:formula1>"agree,agree_clarification,disagree,unable"</x:formula1>
    </x:dataValidation>
    <x:dataValidation type="list" sqref="P2:P10">
      <x:formula1>"pending,resolved"</x:formula1>
    </x:dataValidation>
  </x:dataValidations>
  <x:pageMargins left="0.7" right="0.7" top="0.75" bottom="0.75" header="0.3" footer="0.3"/>
  <x:tableParts count="1">
    <x:tablePart xmlns:r="http://schemas.openxmlformats.org/officeDocument/2006/relationships" r:id="R834ae51193254fe1"/>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2019::jama.2019.10517::C001</x:v>
      </x:c>
      <x:c r="B2" s="6" t="str">
        <x:v>Table 5 absolute difference does not reproduce from the displayed counts</x:v>
      </x:c>
      <x:c r="C2" s="6" t="str">
        <x:v>jama_flint_2019_oi_190079.pdf — PDF p. 9, Table 5, total-cholesterol and LDL rows.</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IDs",IF(OR(COUNTIF($A$2:$A$4,A2)&lt;&gt;1,COUNTIF(Decisions!$C$2:$C$72,A2)&lt;&gt;1),"CHECK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2019::jama.2019.10517::C002</x:v>
      </x:c>
      <x:c r="B3" s="3" t="str">
        <x:v>HbA1c interaction is labelled with a concentration unit while matched displays use percent</x:v>
      </x:c>
      <x:c r="C3" s="3" t="str">
        <x:v>jama_flint_2019_oi_190079.pdf — PDF p. 1, abstract Results; jama_flint_2019_oi_190079.pdf — PDF p. 7, Secondary Outcomes; jama_flint_2019_oi_190079.pdf — PDF p. 8, Table 4; and joi190079supp2_prod.pdf — PDF p. 9, eFigure 8.</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IDs",IF(OR(COUNTIF($A$2:$A$4,A3)&lt;&gt;1,COUNTIF(Decisions!$C$2:$C$72,A3)&lt;&gt;1),"CHECK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2019::jama.2019.10517::C003</x:v>
      </x:c>
      <x:c r="B4" s="6" t="str">
        <x:v>Protocol recruitment target conflicts between 82 and 98 participants per site</x:v>
      </x:c>
      <x:c r="C4" s="6" t="str">
        <x:v>joi190079supp1_prod.pdf — PDF p. 7, Figure 1 and Section 3.9.1; joi190079supp1_prod.pdf — PDF p. 17, Table 4; and joi190079supp1_prod.pdf — PDF p. 21, Section 4.2.1.</x:v>
      </x:c>
      <x:c r="D4" s="7" t="str"/>
      <x:c r="E4" s="7" t="str">
        <x:v>plan_material</x:v>
      </x:c>
      <x:c r="F4" s="7" t="str">
        <x:v>no</x:v>
      </x:c>
      <x:c r="G4" s="6" t="str">
        <x:f>IFERROR(IF(NOT(OR(Setup!$B$6="primary",Setup!$B$6="checker")),"CHECK STAGE",IF(OR(LEN(TRIM(Setup!$B$2))=0,Setup!$B$2&lt;&gt;TRIM(Setup!$B$2),AND(Setup!$B$6="checker",OR(LEN(TRIM(Setup!$B$4))=0,Setup!$B$4&lt;&gt;TRIM(Setup!$B$4),LOWER(TRIM(Setup!$B$4))=LOWER(TRIM(Setup!$B$2))))),"CHECK REVIEWER IDs",IF(OR(COUNTIF($A$2:$A$4,A4)&lt;&gt;1,COUNTIF(Decisions!$C$2:$C$72,A4)&lt;&gt;1),"CHECK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sheetData>
  <x:conditionalFormatting sqref="G2:G4">
    <x:cfRule type="expression" dxfId="7" priority="1">
      <x:formula>AND(G2&lt;&gt;"PRIMARY READY",G2&lt;&gt;"FINAL READY")</x:formula>
    </x:cfRule>
  </x:conditionalFormatting>
  <x:conditionalFormatting sqref="N2:Q4">
    <x:cfRule type="expression" dxfId="8" priority="2">
      <x:formula>Setup!$B$6="primary"</x:formula>
    </x:cfRule>
  </x:conditionalFormatting>
  <x:conditionalFormatting sqref="H2:H4">
    <x:cfRule type="expression" dxfId="9" priority="3">
      <x:formula>NOT(AND(OR($D2="retain",$D2=""),$E2="statistical_results"))</x:formula>
    </x:cfRule>
  </x:conditionalFormatting>
  <x:conditionalFormatting sqref="I2:I4">
    <x:cfRule type="expression" dxfId="10" priority="4">
      <x:formula>NOT(AND(OR($D2="retain",$D2=""),$E2="statistical_results"))</x:formula>
    </x:cfRule>
  </x:conditionalFormatting>
  <x:conditionalFormatting sqref="J2:J4">
    <x:cfRule type="expression" dxfId="11" priority="5">
      <x:formula>NOT(AND(OR($D2="retain",$D2=""),$E2="statistical_results"))</x:formula>
    </x:cfRule>
  </x:conditionalFormatting>
  <x:conditionalFormatting sqref="K2:K4">
    <x:cfRule type="expression" dxfId="12" priority="6">
      <x:formula>NOT(AND(OR($D2="retain",$D2=""),OR($E2="report_internal_inconsistency",$E2="plan_material")))</x:formula>
    </x:cfRule>
  </x:conditionalFormatting>
  <x:conditionalFormatting sqref="L2:L4">
    <x:cfRule type="expression" dxfId="13" priority="7">
      <x:formula>NOT(AND(OR($D2="retain",$D2=""),$E2="protocol_report"))</x:formula>
    </x:cfRule>
  </x:conditionalFormatting>
  <x:dataValidations count="10">
    <x:dataValidation type="list" sqref="D2:D4">
      <x:formula1>"retain,exclude,discuss"</x:formula1>
    </x:dataValidation>
    <x:dataValidation type="list" sqref="E2:E4">
      <x:formula1>"statistical_results,report_internal_inconsistency,plan_material,protocol_report"</x:formula1>
    </x:dataValidation>
    <x:dataValidation type="list" sqref="F2:F4">
      <x:formula1>"no,primary_done,checker_done"</x:formula1>
    </x:dataValidation>
    <x:dataValidation type="list" sqref="H2:H4">
      <x:formula1>"confirmed_issue,probable_issue,not_issue,indeterminate,not_applicable"</x:formula1>
    </x:dataValidation>
    <x:dataValidation type="list" sqref="I2:I4">
      <x:formula1>"substantive,minor_presentation,indeterminate,not_applicable"</x:formula1>
    </x:dataValidation>
    <x:dataValidation type="list" sqref="J2:J4">
      <x:formula1>"direct,possible,unlikely,unknown,not_applicable"</x:formula1>
    </x:dataValidation>
    <x:dataValidation type="list" sqref="K2:K4">
      <x:formula1>"substantive_inconsistency,minor_presentation,non_inconsistency,indeterminate,not_applicable"</x:formula1>
    </x:dataValidation>
    <x:dataValidation type="list" sqref="L2:L4">
      <x:formula1>"substantive_difference,minor_presentation,version_timing,non_inconsistency,indeterminate,not_applicable"</x:formula1>
    </x:dataValidation>
    <x:dataValidation type="list" sqref="N2:N4">
      <x:formula1>"agree,agree_clarification,disagree,unable"</x:formula1>
    </x:dataValidation>
    <x:dataValidation type="list" sqref="P2:P4">
      <x:formula1>"pending,resolved"</x:formula1>
    </x:dataValidation>
  </x:dataValidations>
  <x:pageMargins left="0.7" right="0.7" top="0.75" bottom="0.75" header="0.3" footer="0.3"/>
  <x:tableParts count="1">
    <x:tablePart xmlns:r="http://schemas.openxmlformats.org/officeDocument/2006/relationships" r:id="Re99cb26791e344af"/>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2019::jama.2019.12618::C001</x:v>
      </x:c>
      <x:c r="B2" s="6" t="str">
        <x:v>protocol timeline end date</x:v>
      </x:c>
      <x:c r="C2" s="6" t="str">
        <x:v>joi190092supp2_prod.pdf — PDF p. 11, Table 1.</x:v>
      </x:c>
      <x:c r="D2" s="7" t="str"/>
      <x:c r="E2" s="7" t="str">
        <x:v>plan_material</x:v>
      </x:c>
      <x:c r="F2" s="7" t="str">
        <x:v>no</x:v>
      </x:c>
      <x:c r="G2" s="6" t="str">
        <x:f>IFERROR(IF(NOT(OR(Setup!$B$6="primary",Setup!$B$6="checker")),"CHECK STAGE",IF(OR(LEN(TRIM(Setup!$B$2))=0,Setup!$B$2&lt;&gt;TRIM(Setup!$B$2),AND(Setup!$B$6="checker",OR(LEN(TRIM(Setup!$B$4))=0,Setup!$B$4&lt;&gt;TRIM(Setup!$B$4),LOWER(TRIM(Setup!$B$4))=LOWER(TRIM(Setup!$B$2))))),"CHECK REVIEWER IDs",IF(OR(COUNTIF($A$2:$A$9,A2)&lt;&gt;1,COUNTIF(Decisions!$C$2:$C$72,A2)&lt;&gt;1),"CHECK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2019::jama.2019.12618::C002</x:v>
      </x:c>
      <x:c r="B3" s="3" t="str">
        <x:v>eligible failure total vs switching denominators</x:v>
      </x:c>
      <x:c r="C3" s="3" t="str">
        <x:v>jama_rathinam_2019_oi_190092.pdf — PDF p. 7; jama_rathinam_2019_oi_190092.pdf — PDF p. 6, Table 2; jama_rathinam_2019_oi_190092.pdf — PDF p. 3, Figure 1.</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IDs",IF(OR(COUNTIF($A$2:$A$9,A3)&lt;&gt;1,COUNTIF(Decisions!$C$2:$C$72,A3)&lt;&gt;1),"CHECK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2019::jama.2019.12618::C003</x:v>
      </x:c>
      <x:c r="B4" s="6" t="str">
        <x:v>allocation block sizes</x:v>
      </x:c>
      <x:c r="C4" s="6" t="str">
        <x:v>jama_rathinam_2019_oi_190092.pdf — PDF p. 2; joi190092supp2_prod.pdf — PDF p. 13; joi190092supp3_prod.pdf — PDF p. 9; joi190092supp3_prod.pdf — PDF pp. 49–50 and p. 50.</x:v>
      </x:c>
      <x:c r="D4" s="7" t="str"/>
      <x:c r="E4" s="7" t="str">
        <x:v>protocol_report</x:v>
      </x:c>
      <x:c r="F4" s="7" t="str">
        <x:v>no</x:v>
      </x:c>
      <x:c r="G4" s="6" t="str">
        <x:f>IFERROR(IF(NOT(OR(Setup!$B$6="primary",Setup!$B$6="checker")),"CHECK STAGE",IF(OR(LEN(TRIM(Setup!$B$2))=0,Setup!$B$2&lt;&gt;TRIM(Setup!$B$2),AND(Setup!$B$6="checker",OR(LEN(TRIM(Setup!$B$4))=0,Setup!$B$4&lt;&gt;TRIM(Setup!$B$4),LOWER(TRIM(Setup!$B$4))=LOWER(TRIM(Setup!$B$2))))),"CHECK REVIEWER IDs",IF(OR(COUNTIF($A$2:$A$9,A4)&lt;&gt;1,COUNTIF(Decisions!$C$2:$C$72,A4)&lt;&gt;1),"CHECK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v>not_applicable</x:v>
      </x:c>
      <x:c r="L4" s="13" t="str">
        <x:f>IF(AND(OR(D4="retain",D4=""),E4="protocol_report"),"","not_applicable")</x:f>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2019::jama.2019.12618::C004</x:v>
      </x:c>
      <x:c r="B5" s="3" t="str">
        <x:v>six-month success injection-after-90-days criterion</x:v>
      </x:c>
      <x:c r="C5" s="3" t="str">
        <x:v>jama_rathinam_2019_oi_190092.pdf — PDF p. 3; jama_rathinam_2019_oi_190092.pdf — PDF p. 6; joi190092supp2_prod.pdf — PDF p. 80, §2.5.1; joi190092supp3_prod.pdf — PDF p. 70.</x:v>
      </x:c>
      <x:c r="D5" s="7" t="str"/>
      <x:c r="E5" s="7" t="str">
        <x:v>protocol_report</x:v>
      </x:c>
      <x:c r="F5" s="7" t="str">
        <x:v>no</x:v>
      </x:c>
      <x:c r="G5" s="3" t="str">
        <x:f>IFERROR(IF(NOT(OR(Setup!$B$6="primary",Setup!$B$6="checker")),"CHECK STAGE",IF(OR(LEN(TRIM(Setup!$B$2))=0,Setup!$B$2&lt;&gt;TRIM(Setup!$B$2),AND(Setup!$B$6="checker",OR(LEN(TRIM(Setup!$B$4))=0,Setup!$B$4&lt;&gt;TRIM(Setup!$B$4),LOWER(TRIM(Setup!$B$4))=LOWER(TRIM(Setup!$B$2))))),"CHECK REVIEWER IDs",IF(OR(COUNTIF($A$2:$A$9,A5)&lt;&gt;1,COUNTIF(Decisions!$C$2:$C$72,A5)&lt;&gt;1),"CHECK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2019::jama.2019.12618::C005</x:v>
      </x:c>
      <x:c r="B6" s="6" t="str">
        <x:v>missed-dose Welch P=.87 compatibility</x:v>
      </x:c>
      <x:c r="C6" s="6" t="str">
        <x:v>jama_rathinam_2019_oi_190092.pdf — PDF p. 4; jama_rathinam_2019_oi_190092.pdf — PDF p. 6, Table 2.</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IDs",IF(OR(COUNTIF($A$2:$A$9,A6)&lt;&gt;1,COUNTIF(Decisions!$C$2:$C$72,A6)&lt;&gt;1),"CHECK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2019::jama.2019.12618::C006</x:v>
      </x:c>
      <x:c r="B7" s="3" t="str">
        <x:v>main Table 3 MMF n=109 header vs supplement N=108/percentages</x:v>
      </x:c>
      <x:c r="C7" s="3" t="str">
        <x:v>jama_rathinam_2019_oi_190092.pdf — PDF p. 8, Table 3; joi190092supp1_prod.pdf — PDF p. 10, eTable 4; joi190092supp1_prod.pdf — PDF p. 11, eTable 5; joi190092supp1_prod.pdf — PDF p. 12, eTable 6.</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IDs",IF(OR(COUNTIF($A$2:$A$9,A7)&lt;&gt;1,COUNTIF(Decisions!$C$2:$C$72,A7)&lt;&gt;1),"CHECK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2019::jama.2019.12618::C007</x:v>
      </x:c>
      <x:c r="B8" s="6" t="str">
        <x:v>eTable 9 MMF serious diarrhea 1 (3.4) vs N=20</x:v>
      </x:c>
      <x:c r="C8" s="6" t="str">
        <x:v>joi190092supp1_prod.pdf — PDF p. 15, eTable 9, MMF N=20, Serious Systemic diarrhea row.</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IDs",IF(OR(COUNTIF($A$2:$A$9,A8)&lt;&gt;1,COUNTIF(Decisions!$C$2:$C$72,A8)&lt;&gt;1),"CHECK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2019::jama.2019.12618::C008</x:v>
      </x:c>
      <x:c r="B9" s="3" t="str">
        <x:v>eTable 8 serious-ocular hypertension label vs eTable 1 surgery-required definition</x:v>
      </x:c>
      <x:c r="C9" s="3" t="str">
        <x:v>joi190092supp1_prod.pdf — PDF p. 5, eTable 1; joi190092supp1_prod.pdf — PDF p. 14, eTable 8; joi190092supp1_prod.pdf — PDF p. 15, eTable 9.</x:v>
      </x:c>
      <x:c r="D9" s="7" t="str"/>
      <x:c r="E9" s="7" t="str">
        <x:v>report_internal_inconsistency</x:v>
      </x:c>
      <x:c r="F9" s="7" t="str">
        <x:v>no</x:v>
      </x:c>
      <x:c r="G9" s="3" t="str">
        <x:f>IFERROR(IF(NOT(OR(Setup!$B$6="primary",Setup!$B$6="checker")),"CHECK STAGE",IF(OR(LEN(TRIM(Setup!$B$2))=0,Setup!$B$2&lt;&gt;TRIM(Setup!$B$2),AND(Setup!$B$6="checker",OR(LEN(TRIM(Setup!$B$4))=0,Setup!$B$4&lt;&gt;TRIM(Setup!$B$4),LOWER(TRIM(Setup!$B$4))=LOWER(TRIM(Setup!$B$2))))),"CHECK REVIEWER IDs",IF(OR(COUNTIF($A$2:$A$9,A9)&lt;&gt;1,COUNTIF(Decisions!$C$2:$C$72,A9)&lt;&gt;1),"CHECK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IF(Setup!$B$6="primary","",IFERROR(IF(INDEX('Primary_snapshot'!$L$2:$L$72,MATCH(A9,'Primary_snapshot'!$A$2:$A$72,0))="","",INDEX('Primary_snapshot'!$L$2:$L$72,MATCH(A9,'Primary_snapshot'!$A$2:$A$72,0))),"SNAPSHOT MISSING"))</x:f>
      </x:c>
      <x:c r="N9" s="7" t="str"/>
      <x:c r="O9" s="7" t="str"/>
      <x:c r="P9" s="7" t="str"/>
      <x:c r="Q9" s="7" t="str"/>
      <x:c r="R9" s="13" t="str"/>
    </x:row>
  </x:sheetData>
  <x:conditionalFormatting sqref="G2:G9">
    <x:cfRule type="expression" dxfId="14" priority="1">
      <x:formula>AND(G2&lt;&gt;"PRIMARY READY",G2&lt;&gt;"FINAL READY")</x:formula>
    </x:cfRule>
  </x:conditionalFormatting>
  <x:conditionalFormatting sqref="N2:Q9">
    <x:cfRule type="expression" dxfId="15" priority="2">
      <x:formula>Setup!$B$6="primary"</x:formula>
    </x:cfRule>
  </x:conditionalFormatting>
  <x:conditionalFormatting sqref="H2:H9">
    <x:cfRule type="expression" dxfId="16" priority="3">
      <x:formula>NOT(AND(OR($D2="retain",$D2=""),$E2="statistical_results"))</x:formula>
    </x:cfRule>
  </x:conditionalFormatting>
  <x:conditionalFormatting sqref="I2:I9">
    <x:cfRule type="expression" dxfId="17" priority="4">
      <x:formula>NOT(AND(OR($D2="retain",$D2=""),$E2="statistical_results"))</x:formula>
    </x:cfRule>
  </x:conditionalFormatting>
  <x:conditionalFormatting sqref="J2:J9">
    <x:cfRule type="expression" dxfId="18" priority="5">
      <x:formula>NOT(AND(OR($D2="retain",$D2=""),$E2="statistical_results"))</x:formula>
    </x:cfRule>
  </x:conditionalFormatting>
  <x:conditionalFormatting sqref="K2:K9">
    <x:cfRule type="expression" dxfId="19" priority="6">
      <x:formula>NOT(AND(OR($D2="retain",$D2=""),OR($E2="report_internal_inconsistency",$E2="plan_material")))</x:formula>
    </x:cfRule>
  </x:conditionalFormatting>
  <x:conditionalFormatting sqref="L2:L9">
    <x:cfRule type="expression" dxfId="20" priority="7">
      <x:formula>NOT(AND(OR($D2="retain",$D2=""),$E2="protocol_report"))</x:formula>
    </x:cfRule>
  </x:conditionalFormatting>
  <x:dataValidations count="10">
    <x:dataValidation type="list" sqref="D2:D9">
      <x:formula1>"retain,exclude,discuss"</x:formula1>
    </x:dataValidation>
    <x:dataValidation type="list" sqref="E2:E9">
      <x:formula1>"statistical_results,report_internal_inconsistency,plan_material,protocol_report"</x:formula1>
    </x:dataValidation>
    <x:dataValidation type="list" sqref="F2:F9">
      <x:formula1>"no,primary_done,checker_done"</x:formula1>
    </x:dataValidation>
    <x:dataValidation type="list" sqref="H2:H9">
      <x:formula1>"confirmed_issue,probable_issue,not_issue,indeterminate,not_applicable"</x:formula1>
    </x:dataValidation>
    <x:dataValidation type="list" sqref="I2:I9">
      <x:formula1>"substantive,minor_presentation,indeterminate,not_applicable"</x:formula1>
    </x:dataValidation>
    <x:dataValidation type="list" sqref="J2:J9">
      <x:formula1>"direct,possible,unlikely,unknown,not_applicable"</x:formula1>
    </x:dataValidation>
    <x:dataValidation type="list" sqref="K2:K9">
      <x:formula1>"substantive_inconsistency,minor_presentation,non_inconsistency,indeterminate,not_applicable"</x:formula1>
    </x:dataValidation>
    <x:dataValidation type="list" sqref="L2:L9">
      <x:formula1>"substantive_difference,minor_presentation,version_timing,non_inconsistency,indeterminate,not_applicable"</x:formula1>
    </x:dataValidation>
    <x:dataValidation type="list" sqref="N2:N9">
      <x:formula1>"agree,agree_clarification,disagree,unable"</x:formula1>
    </x:dataValidation>
    <x:dataValidation type="list" sqref="P2:P9">
      <x:formula1>"pending,resolved"</x:formula1>
    </x:dataValidation>
  </x:dataValidations>
  <x:pageMargins left="0.7" right="0.7" top="0.75" bottom="0.75" header="0.3" footer="0.3"/>
  <x:tableParts count="1">
    <x:tablePart xmlns:r="http://schemas.openxmlformats.org/officeDocument/2006/relationships" r:id="R8828fe27a9324768"/>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2019::jama.2019.14231::C001</x:v>
      </x:c>
      <x:c r="B2" s="6" t="str">
        <x:v>Protocol matching direction conflicts with the final matched cohort</x:v>
      </x:c>
      <x:c r="C2" s="6" t="str">
        <x:v>Main article — PDF p. 1, PDF p. 3, PDF p. 4; protocol — PDF p. 3.</x:v>
      </x:c>
      <x:c r="D2" s="7" t="str"/>
      <x:c r="E2" s="7" t="str">
        <x:v>protocol_report</x:v>
      </x:c>
      <x:c r="F2" s="7" t="str">
        <x:v>no</x:v>
      </x:c>
      <x:c r="G2" s="6" t="str">
        <x:f>IFERROR(IF(NOT(OR(Setup!$B$6="primary",Setup!$B$6="checker")),"CHECK STAGE",IF(OR(LEN(TRIM(Setup!$B$2))=0,Setup!$B$2&lt;&gt;TRIM(Setup!$B$2),AND(Setup!$B$6="checker",OR(LEN(TRIM(Setup!$B$4))=0,Setup!$B$4&lt;&gt;TRIM(Setup!$B$4),LOWER(TRIM(Setup!$B$4))=LOWER(TRIM(Setup!$B$2))))),"CHECK REVIEWER IDs",IF(OR(COUNTIF($A$2:$A$12,A2)&lt;&gt;1,COUNTIF(Decisions!$C$2:$C$72,A2)&lt;&gt;1),"CHECK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v>not_applicable</x:v>
      </x:c>
      <x:c r="L2" s="13" t="str">
        <x:f>IF(AND(OR(D2="retain",D2=""),E2="protocol_report"),"","not_applicable")</x:f>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2019::jama.2019.14231::C002</x:v>
      </x:c>
      <x:c r="B3" s="3" t="str">
        <x:v>Heart-failure ARD does not reconcile with displayed 8-year incidences</x:v>
      </x:c>
      <x:c r="C3" s="3" t="str">
        <x:v>Main article — PDF p. 4, PDF p. 7; Supplement 1 — PDF p. 7.</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IDs",IF(OR(COUNTIF($A$2:$A$12,A3)&lt;&gt;1,COUNTIF(Decisions!$C$2:$C$72,A3)&lt;&gt;1),"CHECK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2019::jama.2019.14231::C003</x:v>
      </x:c>
      <x:c r="B4" s="6" t="str">
        <x:v>Coronary-disease ARD does not reconcile with displayed 8-year incidences</x:v>
      </x:c>
      <x:c r="C4" s="6" t="str">
        <x:v>Main article — PDF p. 4, PDF p. 7; Supplement 1 — PDF p. 7.</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IDs",IF(OR(COUNTIF($A$2:$A$12,A4)&lt;&gt;1,COUNTIF(Decisions!$C$2:$C$72,A4)&lt;&gt;1),"CHECK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2019::jama.2019.14231::C004</x:v>
      </x:c>
      <x:c r="B5" s="3" t="str">
        <x:v>Cerebrovascular-disease ARD does not reconcile with displayed 8-year incidences</x:v>
      </x:c>
      <x:c r="C5" s="3" t="str">
        <x:v>Main article — PDF p. 4, PDF p. 7; Supplement 1 — PDF p. 7.</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IDs",IF(OR(COUNTIF($A$2:$A$12,A5)&lt;&gt;1,COUNTIF(Decisions!$C$2:$C$72,A5)&lt;&gt;1),"CHECK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2019::jama.2019.14231::C005</x:v>
      </x:c>
      <x:c r="B6" s="6" t="str">
        <x:v>Nephropathy ARD does not reconcile with displayed 8-year incidences</x:v>
      </x:c>
      <x:c r="C6" s="6" t="str">
        <x:v>Main article — PDF p. 4, PDF p. 7; Supplement 1 — PDF p. 7.</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IDs",IF(OR(COUNTIF($A$2:$A$12,A6)&lt;&gt;1,COUNTIF(Decisions!$C$2:$C$72,A6)&lt;&gt;1),"CHECK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2019::jama.2019.14231::C006</x:v>
      </x:c>
      <x:c r="B7" s="3" t="str">
        <x:v>Atrial-fibrillation ARD does not reconcile with displayed 8-year incidences</x:v>
      </x:c>
      <x:c r="C7" s="3" t="str">
        <x:v>Main article — PDF p. 4, PDF p. 7; Supplement 1 — PDF p. 7.</x:v>
      </x:c>
      <x:c r="D7" s="7" t="str"/>
      <x:c r="E7" s="7" t="str">
        <x:v>statistical_results</x:v>
      </x:c>
      <x:c r="F7" s="7" t="str">
        <x:v>no</x:v>
      </x:c>
      <x:c r="G7" s="3" t="str">
        <x:f>IFERROR(IF(NOT(OR(Setup!$B$6="primary",Setup!$B$6="checker")),"CHECK STAGE",IF(OR(LEN(TRIM(Setup!$B$2))=0,Setup!$B$2&lt;&gt;TRIM(Setup!$B$2),AND(Setup!$B$6="checker",OR(LEN(TRIM(Setup!$B$4))=0,Setup!$B$4&lt;&gt;TRIM(Setup!$B$4),LOWER(TRIM(Setup!$B$4))=LOWER(TRIM(Setup!$B$2))))),"CHECK REVIEWER IDs",IF(OR(COUNTIF($A$2:$A$12,A7)&lt;&gt;1,COUNTIF(Decisions!$C$2:$C$72,A7)&lt;&gt;1),"CHECK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 REVIEWER IDs</x:v>
      </x:c>
      <x:c r="H7" s="7" t="str">
        <x:f>IF(AND(OR(D7="retain",D7=""),E7="statistical_results"),"","not_applicable")</x:f>
      </x:c>
      <x:c r="I7" s="7" t="str">
        <x:f>IF(AND(OR(D7="retain",D7=""),E7="statistical_results"),"","not_applicable")</x:f>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2019::jama.2019.14231::C007</x:v>
      </x:c>
      <x:c r="B8" s="6" t="str">
        <x:v>Supplement tables use different nonsurgical medication denominators at baseline</x:v>
      </x:c>
      <x:c r="C8" s="6" t="str">
        <x:v>Supplement 1 — PDF p. 5, PDF p. 14.</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IDs",IF(OR(COUNTIF($A$2:$A$12,A8)&lt;&gt;1,COUNTIF(Decisions!$C$2:$C$72,A8)&lt;&gt;1),"CHECK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2019::jama.2019.14231::C008</x:v>
      </x:c>
      <x:c r="B9" s="3" t="str">
        <x:v>Medication comparison is labeled as two different named tests</x:v>
      </x:c>
      <x:c r="C9" s="3" t="str">
        <x:v>Main article — PDF p. 4, PDF p. 10; Supplement 1 — PDF p. 12.</x:v>
      </x:c>
      <x:c r="D9" s="7" t="str"/>
      <x:c r="E9" s="7" t="str">
        <x:v>report_internal_inconsistency</x:v>
      </x:c>
      <x:c r="F9" s="7" t="str">
        <x:v>no</x:v>
      </x:c>
      <x:c r="G9" s="3" t="str">
        <x:f>IFERROR(IF(NOT(OR(Setup!$B$6="primary",Setup!$B$6="checker")),"CHECK STAGE",IF(OR(LEN(TRIM(Setup!$B$2))=0,Setup!$B$2&lt;&gt;TRIM(Setup!$B$2),AND(Setup!$B$6="checker",OR(LEN(TRIM(Setup!$B$4))=0,Setup!$B$4&lt;&gt;TRIM(Setup!$B$4),LOWER(TRIM(Setup!$B$4))=LOWER(TRIM(Setup!$B$2))))),"CHECK REVIEWER IDs",IF(OR(COUNTIF($A$2:$A$12,A9)&lt;&gt;1,COUNTIF(Decisions!$C$2:$C$72,A9)&lt;&gt;1),"CHECK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IF(Setup!$B$6="primary","",IFERROR(IF(INDEX('Primary_snapshot'!$L$2:$L$72,MATCH(A9,'Primary_snapshot'!$A$2:$A$72,0))="","",INDEX('Primary_snapshot'!$L$2:$L$72,MATCH(A9,'Primary_snapshot'!$A$2:$A$72,0))),"SNAPSHOT MISSING"))</x:f>
      </x:c>
      <x:c r="N9" s="7" t="str"/>
      <x:c r="O9" s="7" t="str"/>
      <x:c r="P9" s="7" t="str"/>
      <x:c r="Q9" s="7" t="str"/>
      <x:c r="R9" s="13" t="str"/>
    </x:row>
    <x:row r="10" ht="92" customHeight="1">
      <x:c r="A10" s="6" t="str">
        <x:v>2019::jama.2019.14231::C009</x:v>
      </x:c>
      <x:c r="B10" s="6" t="str">
        <x:v>Time-varying-HR narrative cites eTable 4 while the displayed table is eTable 7</x:v>
      </x:c>
      <x:c r="C10" s="6" t="str">
        <x:v>Supplement 1 — PDF p. 6, PDF p. 10, PDF p. 19.</x:v>
      </x:c>
      <x:c r="D10" s="7" t="str"/>
      <x:c r="E10" s="7" t="str">
        <x:v>report_internal_inconsistency</x:v>
      </x:c>
      <x:c r="F10" s="7" t="str">
        <x:v>no</x:v>
      </x:c>
      <x:c r="G10" s="6" t="str">
        <x:f>IFERROR(IF(NOT(OR(Setup!$B$6="primary",Setup!$B$6="checker")),"CHECK STAGE",IF(OR(LEN(TRIM(Setup!$B$2))=0,Setup!$B$2&lt;&gt;TRIM(Setup!$B$2),AND(Setup!$B$6="checker",OR(LEN(TRIM(Setup!$B$4))=0,Setup!$B$4&lt;&gt;TRIM(Setup!$B$4),LOWER(TRIM(Setup!$B$4))=LOWER(TRIM(Setup!$B$2))))),"CHECK REVIEWER IDs",IF(OR(COUNTIF($A$2:$A$12,A10)&lt;&gt;1,COUNTIF(Decisions!$C$2:$C$72,A10)&lt;&gt;1),"CHECK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f>IF(AND(OR(D10="retain",D10=""),OR(E10="report_internal_inconsistency",E10="plan_material")),"","not_applicable")</x:f>
      </x:c>
      <x:c r="L10" s="13" t="str">
        <x:f>IF(AND(OR(D10="retain",D10=""),E10="protocol_report"),"","not_applicable")</x:f>
        <x:v>not_applicable</x:v>
      </x:c>
      <x:c r="M10" s="6" t="str">
        <x:f>IF(Setup!$B$6="primary","",IFERROR(IF(INDEX('Primary_snapshot'!$L$2:$L$72,MATCH(A10,'Primary_snapshot'!$A$2:$A$72,0))="","",INDEX('Primary_snapshot'!$L$2:$L$72,MATCH(A10,'Primary_snapshot'!$A$2:$A$72,0))),"SNAPSHOT MISSING"))</x:f>
      </x:c>
      <x:c r="N10" s="7" t="str"/>
      <x:c r="O10" s="7" t="str"/>
      <x:c r="P10" s="7" t="str"/>
      <x:c r="Q10" s="7" t="str"/>
      <x:c r="R10" s="13" t="str"/>
    </x:row>
    <x:row r="11" ht="92" customHeight="1">
      <x:c r="A11" s="3" t="str">
        <x:v>2019::jama.2019.14231::C010</x:v>
      </x:c>
      <x:c r="B11" s="3" t="str">
        <x:v>Biguanide count and percentage do not reconcile in eTable 3</x:v>
      </x:c>
      <x:c r="C11" s="3" t="str">
        <x:v>Supplement 1 — PDF p. 5.</x:v>
      </x:c>
      <x:c r="D11" s="7" t="str"/>
      <x:c r="E11" s="7" t="str">
        <x:v>statistical_results</x:v>
      </x:c>
      <x:c r="F11" s="7" t="str">
        <x:v>no</x:v>
      </x:c>
      <x:c r="G11" s="3" t="str">
        <x:f>IFERROR(IF(NOT(OR(Setup!$B$6="primary",Setup!$B$6="checker")),"CHECK STAGE",IF(OR(LEN(TRIM(Setup!$B$2))=0,Setup!$B$2&lt;&gt;TRIM(Setup!$B$2),AND(Setup!$B$6="checker",OR(LEN(TRIM(Setup!$B$4))=0,Setup!$B$4&lt;&gt;TRIM(Setup!$B$4),LOWER(TRIM(Setup!$B$4))=LOWER(TRIM(Setup!$B$2))))),"CHECK REVIEWER IDs",IF(OR(COUNTIF($A$2:$A$12,A11)&lt;&gt;1,COUNTIF(Decisions!$C$2:$C$72,A11)&lt;&gt;1),"CHECK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$72,A11)&lt;&gt;1,INDEX('Primary_snapshot'!$J$2:$J$72,MATCH(A11,'Primary_snapshot'!$A$2:$A$72,0))&lt;&gt;"primary_done",INDEX('Primary_snapshot'!$K$2:$K$72,MATCH(A11,'Primary_snapshot'!$A$2:$A$72,0))&lt;&gt;Setup!$B$2,INDEX('Primary_snapshot'!$B$2:$B$72,MATCH(A11,'Primary_snapshot'!$A$2:$A$72,0))="NOT FROZEN",INDEX('Primary_snapshot'!$C$2:$C$72,MATCH(A11,'Primary_snapshot'!$A$2:$A$72,0))="NOT FROZEN",INDEX('Primary_snapshot'!$D$2:$D$72,MATCH(A11,'Primary_snapshot'!$A$2:$A$72,0))="NOT FROZEN",INDEX('Primary_snapshot'!$E$2:$E$72,MATCH(A11,'Primary_snapshot'!$A$2:$A$72,0))="NOT FROZEN",INDEX('Primary_snapshot'!$F$2:$F$72,MATCH(A11,'Primary_snapshot'!$A$2:$A$72,0))="NOT FROZEN",INDEX('Primary_snapshot'!$G$2:$G$72,MATCH(A11,'Primary_snapshot'!$A$2:$A$72,0))="NOT FROZEN",INDEX('Primary_snapshot'!$H$2:$H$72,MATCH(A11,'Primary_snapshot'!$A$2:$A$72,0))="NOT FROZEN",INDEX('Primary_snapshot'!$I$2:$I$72,MATCH(A11,'Primary_snapshot'!$A$2:$A$72,0))="NOT FROZEN",INDEX('Primary_snapshot'!$J$2:$J$72,MATCH(A11,'Primary_snapshot'!$A$2:$A$72,0))="NOT FROZEN",INDEX('Primary_snapshot'!$K$2:$K$72,MATCH(A11,'Primary_snapshot'!$A$2:$A$72,0))="NOT FROZEN",INDEX('Primary_snapshot'!$L$2:$L$72,MATCH(A11,'Primary_snapshot'!$A$2:$A$72,0))="NOT FROZEN"),"FREEZE SNAPSHOT",IF(NOT(OR(N11="agree",N11="agree_clarification",N11="disagree",N11="unable")),"CHECKER RESULT NEEDED",IF(AND(N11&lt;&gt;"agree",LEN(TRIM(O11))=0),"COMMENT NEEDED",IF(AND(N11="agree",NOT(AND(IF(D11="","",D11)=IF(INDEX('Primary_snapshot'!$B$2:$B$72,MATCH(A11,'Primary_snapshot'!$A$2:$A$72,0))="","",INDEX('Primary_snapshot'!$B$2:$B$72,MATCH(A11,'Primary_snapshot'!$A$2:$A$72,0))),IF(E11="","",E11)=IF(INDEX('Primary_snapshot'!$C$2:$C$72,MATCH(A11,'Primary_snapshot'!$A$2:$A$72,0))="","",INDEX('Primary_snapshot'!$C$2:$C$72,MATCH(A11,'Primary_snapshot'!$A$2:$A$72,0))),IF(AND(D11="retain",E11="statistical_results"),IF(H11="","",H11),"not_applicable")=IF(INDEX('Primary_snapshot'!$D$2:$D$72,MATCH(A11,'Primary_snapshot'!$A$2:$A$72,0))="","",INDEX('Primary_snapshot'!$D$2:$D$72,MATCH(A11,'Primary_snapshot'!$A$2:$A$72,0))),IF(AND(D11="retain",E11="statistical_results"),IF(I11="","",I11),"not_applicable")=IF(INDEX('Primary_snapshot'!$E$2:$E$72,MATCH(A11,'Primary_snapshot'!$A$2:$A$72,0))="","",INDEX('Primary_snapshot'!$E$2:$E$72,MATCH(A11,'Primary_snapshot'!$A$2:$A$72,0))),IF(AND(D11="retain",E11="statistical_results"),IF(J11="","",J11),"not_applicable")=IF(INDEX('Primary_snapshot'!$F$2:$F$72,MATCH(A11,'Primary_snapshot'!$A$2:$A$72,0))="","",INDEX('Primary_snapshot'!$F$2:$F$72,MATCH(A11,'Primary_snapshot'!$A$2:$A$72,0))),IF(AND(D11="retain",OR(E11="report_internal_inconsistency",E11="plan_material")),IF(K11="","",K11),"not_applicable")=IF(INDEX('Primary_snapshot'!$G$2:$G$72,MATCH(A11,'Primary_snapshot'!$A$2:$A$72,0))="","",INDEX('Primary_snapshot'!$G$2:$G$72,MATCH(A11,'Primary_snapshot'!$A$2:$A$72,0))),IF(AND(D11="retain",E11="protocol_report"),IF(L11="","",L11),"not_applicable")=IF(INDEX('Primary_snapshot'!$H$2:$H$72,MATCH(A11,'Primary_snapshot'!$A$2:$A$72,0))="","",INDEX('Primary_snapshot'!$H$2:$H$72,MATCH(A11,'Primary_snapshot'!$A$2:$A$72,0))),IF(R11="","",R11)=IF(INDEX('Primary_snapshot'!$I$2:$I$72,MATCH(A11,'Primary_snapshot'!$A$2:$A$72,0))="","",INDEX('Primary_snapshot'!$I$2:$I$72,MATCH(A11,'Primary_snapshot'!$A$2:$A$72,0)))))),"AGREE BUT CHANGED",IF(AND(P11&lt;&gt;"",NOT(OR(P11="pending",P11="resolved"))),"CHECK RESOLUTION",IF(OR(AND(OR(D11="discuss",INDEX('Primary_snapshot'!$B$2:$B$72,MATCH(A11,'Primary_snapshot'!$A$2:$A$72,0))="discuss",N11="disagree",N11="unable"),P11&lt;&gt;"resolved"),D11="discuss"),"DISCUSS",IF(AND(P11="resolved",LEN(TRIM(Q11))=0),"RESOLUTION NOTE NEEDED",IF(F11&lt;&gt;"checker_done","CHECKER DRAFT","FINAL READY")))))))))))))),"CHECK KEY / SNAPSHOT")</x:f>
        <x:v>CHECK REVIEWER IDs</x:v>
      </x:c>
      <x:c r="H11" s="7" t="str">
        <x:f>IF(AND(OR(D11="retain",D11=""),E11="statistical_results"),"","not_applicable")</x:f>
      </x:c>
      <x:c r="I11" s="7" t="str">
        <x:f>IF(AND(OR(D11="retain",D11=""),E11="statistical_results"),"","not_applicable")</x:f>
      </x:c>
      <x:c r="J11" s="13" t="str">
        <x:f>IF(AND(OR(D11="retain",D11=""),E11="statistical_results"),"","not_applicable")</x:f>
      </x:c>
      <x:c r="K11" s="7" t="str">
        <x:f>IF(AND(OR(D11="retain",D11=""),OR(E11="report_internal_inconsistency",E11="plan_material")),"","not_applicable")</x:f>
        <x:v>not_applicable</x:v>
      </x:c>
      <x:c r="L11" s="13" t="str">
        <x:f>IF(AND(OR(D11="retain",D11=""),E11="protocol_report"),"","not_applicable")</x:f>
        <x:v>not_applicable</x:v>
      </x:c>
      <x:c r="M11" s="3" t="str">
        <x:f>IF(Setup!$B$6="primary","",IFERROR(IF(INDEX('Primary_snapshot'!$L$2:$L$72,MATCH(A11,'Primary_snapshot'!$A$2:$A$72,0))="","",INDEX('Primary_snapshot'!$L$2:$L$72,MATCH(A11,'Primary_snapshot'!$A$2:$A$72,0))),"SNAPSHOT MISSING"))</x:f>
      </x:c>
      <x:c r="N11" s="7" t="str"/>
      <x:c r="O11" s="7" t="str"/>
      <x:c r="P11" s="7" t="str"/>
      <x:c r="Q11" s="7" t="str"/>
      <x:c r="R11" s="13" t="str"/>
    </x:row>
    <x:row r="12" ht="92" customHeight="1">
      <x:c r="A12" s="6" t="str">
        <x:v>2019::jama.2019.14231::C011</x:v>
      </x:c>
      <x:c r="B12" s="6" t="str">
        <x:v>Standardized-difference footnote says absolute value while columns contain negative values</x:v>
      </x:c>
      <x:c r="C12" s="6" t="str">
        <x:v>Main article — PDF p. 5, PDF p. 6.</x:v>
      </x:c>
      <x:c r="D12" s="7" t="str"/>
      <x:c r="E12" s="7" t="str">
        <x:v>report_internal_inconsistency</x:v>
      </x:c>
      <x:c r="F12" s="7" t="str">
        <x:v>no</x:v>
      </x:c>
      <x:c r="G12" s="6" t="str">
        <x:f>IFERROR(IF(NOT(OR(Setup!$B$6="primary",Setup!$B$6="checker")),"CHECK STAGE",IF(OR(LEN(TRIM(Setup!$B$2))=0,Setup!$B$2&lt;&gt;TRIM(Setup!$B$2),AND(Setup!$B$6="checker",OR(LEN(TRIM(Setup!$B$4))=0,Setup!$B$4&lt;&gt;TRIM(Setup!$B$4),LOWER(TRIM(Setup!$B$4))=LOWER(TRIM(Setup!$B$2))))),"CHECK REVIEWER IDs",IF(OR(COUNTIF($A$2:$A$12,A12)&lt;&gt;1,COUNTIF(Decisions!$C$2:$C$72,A12)&lt;&gt;1),"CHECK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$72,A12)&lt;&gt;1,INDEX('Primary_snapshot'!$J$2:$J$72,MATCH(A12,'Primary_snapshot'!$A$2:$A$72,0))&lt;&gt;"primary_done",INDEX('Primary_snapshot'!$K$2:$K$72,MATCH(A12,'Primary_snapshot'!$A$2:$A$72,0))&lt;&gt;Setup!$B$2,INDEX('Primary_snapshot'!$B$2:$B$72,MATCH(A12,'Primary_snapshot'!$A$2:$A$72,0))="NOT FROZEN",INDEX('Primary_snapshot'!$C$2:$C$72,MATCH(A12,'Primary_snapshot'!$A$2:$A$72,0))="NOT FROZEN",INDEX('Primary_snapshot'!$D$2:$D$72,MATCH(A12,'Primary_snapshot'!$A$2:$A$72,0))="NOT FROZEN",INDEX('Primary_snapshot'!$E$2:$E$72,MATCH(A12,'Primary_snapshot'!$A$2:$A$72,0))="NOT FROZEN",INDEX('Primary_snapshot'!$F$2:$F$72,MATCH(A12,'Primary_snapshot'!$A$2:$A$72,0))="NOT FROZEN",INDEX('Primary_snapshot'!$G$2:$G$72,MATCH(A12,'Primary_snapshot'!$A$2:$A$72,0))="NOT FROZEN",INDEX('Primary_snapshot'!$H$2:$H$72,MATCH(A12,'Primary_snapshot'!$A$2:$A$72,0))="NOT FROZEN",INDEX('Primary_snapshot'!$I$2:$I$72,MATCH(A12,'Primary_snapshot'!$A$2:$A$72,0))="NOT FROZEN",INDEX('Primary_snapshot'!$J$2:$J$72,MATCH(A12,'Primary_snapshot'!$A$2:$A$72,0))="NOT FROZEN",INDEX('Primary_snapshot'!$K$2:$K$72,MATCH(A12,'Primary_snapshot'!$A$2:$A$72,0))="NOT FROZEN",INDEX('Primary_snapshot'!$L$2:$L$72,MATCH(A12,'Primary_snapshot'!$A$2:$A$72,0))="NOT FROZEN"),"FREEZE SNAPSHOT",IF(NOT(OR(N12="agree",N12="agree_clarification",N12="disagree",N12="unable")),"CHECKER RESULT NEEDED",IF(AND(N12&lt;&gt;"agree",LEN(TRIM(O12))=0),"COMMENT NEEDED",IF(AND(N12="agree",NOT(AND(IF(D12="","",D12)=IF(INDEX('Primary_snapshot'!$B$2:$B$72,MATCH(A12,'Primary_snapshot'!$A$2:$A$72,0))="","",INDEX('Primary_snapshot'!$B$2:$B$72,MATCH(A12,'Primary_snapshot'!$A$2:$A$72,0))),IF(E12="","",E12)=IF(INDEX('Primary_snapshot'!$C$2:$C$72,MATCH(A12,'Primary_snapshot'!$A$2:$A$72,0))="","",INDEX('Primary_snapshot'!$C$2:$C$72,MATCH(A12,'Primary_snapshot'!$A$2:$A$72,0))),IF(AND(D12="retain",E12="statistical_results"),IF(H12="","",H12),"not_applicable")=IF(INDEX('Primary_snapshot'!$D$2:$D$72,MATCH(A12,'Primary_snapshot'!$A$2:$A$72,0))="","",INDEX('Primary_snapshot'!$D$2:$D$72,MATCH(A12,'Primary_snapshot'!$A$2:$A$72,0))),IF(AND(D12="retain",E12="statistical_results"),IF(I12="","",I12),"not_applicable")=IF(INDEX('Primary_snapshot'!$E$2:$E$72,MATCH(A12,'Primary_snapshot'!$A$2:$A$72,0))="","",INDEX('Primary_snapshot'!$E$2:$E$72,MATCH(A12,'Primary_snapshot'!$A$2:$A$72,0))),IF(AND(D12="retain",E12="statistical_results"),IF(J12="","",J12),"not_applicable")=IF(INDEX('Primary_snapshot'!$F$2:$F$72,MATCH(A12,'Primary_snapshot'!$A$2:$A$72,0))="","",INDEX('Primary_snapshot'!$F$2:$F$72,MATCH(A12,'Primary_snapshot'!$A$2:$A$72,0))),IF(AND(D12="retain",OR(E12="report_internal_inconsistency",E12="plan_material")),IF(K12="","",K12),"not_applicable")=IF(INDEX('Primary_snapshot'!$G$2:$G$72,MATCH(A12,'Primary_snapshot'!$A$2:$A$72,0))="","",INDEX('Primary_snapshot'!$G$2:$G$72,MATCH(A12,'Primary_snapshot'!$A$2:$A$72,0))),IF(AND(D12="retain",E12="protocol_report"),IF(L12="","",L12),"not_applicable")=IF(INDEX('Primary_snapshot'!$H$2:$H$72,MATCH(A12,'Primary_snapshot'!$A$2:$A$72,0))="","",INDEX('Primary_snapshot'!$H$2:$H$72,MATCH(A12,'Primary_snapshot'!$A$2:$A$72,0))),IF(R12="","",R12)=IF(INDEX('Primary_snapshot'!$I$2:$I$72,MATCH(A12,'Primary_snapshot'!$A$2:$A$72,0))="","",INDEX('Primary_snapshot'!$I$2:$I$72,MATCH(A12,'Primary_snapshot'!$A$2:$A$72,0)))))),"AGREE BUT CHANGED",IF(AND(P12&lt;&gt;"",NOT(OR(P12="pending",P12="resolved"))),"CHECK RESOLUTION",IF(OR(AND(OR(D12="discuss",INDEX('Primary_snapshot'!$B$2:$B$72,MATCH(A12,'Primary_snapshot'!$A$2:$A$72,0))="discuss",N12="disagree",N12="unable"),P12&lt;&gt;"resolved"),D12="discuss"),"DISCUSS",IF(AND(P12="resolved",LEN(TRIM(Q12))=0),"RESOLUTION NOTE NEEDED",IF(F12&lt;&gt;"checker_done","CHECKER DRAFT","FINAL READY")))))))))))))),"CHECK KEY / SNAPSHOT")</x:f>
        <x:v>CHECK REVIEWER IDs</x:v>
      </x:c>
      <x:c r="H12" s="7" t="str">
        <x:f>IF(AND(OR(D12="retain",D12=""),E12="statistical_results"),"","not_applicable")</x:f>
        <x:v>not_applicable</x:v>
      </x:c>
      <x:c r="I12" s="7" t="str">
        <x:f>IF(AND(OR(D12="retain",D12=""),E12="statistical_results"),"","not_applicable")</x:f>
        <x:v>not_applicable</x:v>
      </x:c>
      <x:c r="J12" s="13" t="str">
        <x:f>IF(AND(OR(D12="retain",D12=""),E12="statistical_results"),"","not_applicable")</x:f>
        <x:v>not_applicable</x:v>
      </x:c>
      <x:c r="K12" s="7" t="str">
        <x:f>IF(AND(OR(D12="retain",D12=""),OR(E12="report_internal_inconsistency",E12="plan_material")),"","not_applicable")</x:f>
      </x:c>
      <x:c r="L12" s="13" t="str">
        <x:f>IF(AND(OR(D12="retain",D12=""),E12="protocol_report"),"","not_applicable")</x:f>
        <x:v>not_applicable</x:v>
      </x:c>
      <x:c r="M12" s="6" t="str">
        <x:f>IF(Setup!$B$6="primary","",IFERROR(IF(INDEX('Primary_snapshot'!$L$2:$L$72,MATCH(A12,'Primary_snapshot'!$A$2:$A$72,0))="","",INDEX('Primary_snapshot'!$L$2:$L$72,MATCH(A12,'Primary_snapshot'!$A$2:$A$72,0))),"SNAPSHOT MISSING"))</x:f>
      </x:c>
      <x:c r="N12" s="7" t="str"/>
      <x:c r="O12" s="7" t="str"/>
      <x:c r="P12" s="7" t="str"/>
      <x:c r="Q12" s="7" t="str"/>
      <x:c r="R12" s="13" t="str"/>
    </x:row>
  </x:sheetData>
  <x:conditionalFormatting sqref="G2:G12">
    <x:cfRule type="expression" dxfId="21" priority="1">
      <x:formula>AND(G2&lt;&gt;"PRIMARY READY",G2&lt;&gt;"FINAL READY")</x:formula>
    </x:cfRule>
  </x:conditionalFormatting>
  <x:conditionalFormatting sqref="N2:Q12">
    <x:cfRule type="expression" dxfId="22" priority="2">
      <x:formula>Setup!$B$6="primary"</x:formula>
    </x:cfRule>
  </x:conditionalFormatting>
  <x:conditionalFormatting sqref="H2:H12">
    <x:cfRule type="expression" dxfId="23" priority="3">
      <x:formula>NOT(AND(OR($D2="retain",$D2=""),$E2="statistical_results"))</x:formula>
    </x:cfRule>
  </x:conditionalFormatting>
  <x:conditionalFormatting sqref="I2:I12">
    <x:cfRule type="expression" dxfId="24" priority="4">
      <x:formula>NOT(AND(OR($D2="retain",$D2=""),$E2="statistical_results"))</x:formula>
    </x:cfRule>
  </x:conditionalFormatting>
  <x:conditionalFormatting sqref="J2:J12">
    <x:cfRule type="expression" dxfId="25" priority="5">
      <x:formula>NOT(AND(OR($D2="retain",$D2=""),$E2="statistical_results"))</x:formula>
    </x:cfRule>
  </x:conditionalFormatting>
  <x:conditionalFormatting sqref="K2:K12">
    <x:cfRule type="expression" dxfId="26" priority="6">
      <x:formula>NOT(AND(OR($D2="retain",$D2=""),OR($E2="report_internal_inconsistency",$E2="plan_material")))</x:formula>
    </x:cfRule>
  </x:conditionalFormatting>
  <x:conditionalFormatting sqref="L2:L12">
    <x:cfRule type="expression" dxfId="27" priority="7">
      <x:formula>NOT(AND(OR($D2="retain",$D2=""),$E2="protocol_report"))</x:formula>
    </x:cfRule>
  </x:conditionalFormatting>
  <x:dataValidations count="10">
    <x:dataValidation type="list" sqref="D2:D12">
      <x:formula1>"retain,exclude,discuss"</x:formula1>
    </x:dataValidation>
    <x:dataValidation type="list" sqref="E2:E12">
      <x:formula1>"statistical_results,report_internal_inconsistency,plan_material,protocol_report"</x:formula1>
    </x:dataValidation>
    <x:dataValidation type="list" sqref="F2:F12">
      <x:formula1>"no,primary_done,checker_done"</x:formula1>
    </x:dataValidation>
    <x:dataValidation type="list" sqref="H2:H12">
      <x:formula1>"confirmed_issue,probable_issue,not_issue,indeterminate,not_applicable"</x:formula1>
    </x:dataValidation>
    <x:dataValidation type="list" sqref="I2:I12">
      <x:formula1>"substantive,minor_presentation,indeterminate,not_applicable"</x:formula1>
    </x:dataValidation>
    <x:dataValidation type="list" sqref="J2:J12">
      <x:formula1>"direct,possible,unlikely,unknown,not_applicable"</x:formula1>
    </x:dataValidation>
    <x:dataValidation type="list" sqref="K2:K12">
      <x:formula1>"substantive_inconsistency,minor_presentation,non_inconsistency,indeterminate,not_applicable"</x:formula1>
    </x:dataValidation>
    <x:dataValidation type="list" sqref="L2:L12">
      <x:formula1>"substantive_difference,minor_presentation,version_timing,non_inconsistency,indeterminate,not_applicable"</x:formula1>
    </x:dataValidation>
    <x:dataValidation type="list" sqref="N2:N12">
      <x:formula1>"agree,agree_clarification,disagree,unable"</x:formula1>
    </x:dataValidation>
    <x:dataValidation type="list" sqref="P2:P12">
      <x:formula1>"pending,resolved"</x:formula1>
    </x:dataValidation>
  </x:dataValidations>
  <x:pageMargins left="0.7" right="0.7" top="0.75" bottom="0.75" header="0.3" footer="0.3"/>
  <x:tableParts count="1">
    <x:tablePart xmlns:r="http://schemas.openxmlformats.org/officeDocument/2006/relationships" r:id="R51790ca162fd4d88"/>
  </x:tableParts>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2019::jama.2019.14630::C001</x:v>
      </x:c>
      <x:c r="B2" s="6" t="str">
        <x:v>eTable 2 assigns the N=3,311 column a second intervention-group label</x:v>
      </x:c>
      <x:c r="C2" s="6" t="str">
        <x:v>Supplement 3 eTable 2 opening header — PDF p. 3; Supplement 3 eTable 2 continuation — PDF p. 5; main article Table 2 — PDF p. 5.</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IDs",IF(OR(COUNTIF($A$2:$A$10,A2)&lt;&gt;1,COUNTIF(Decisions!$C$2:$C$72,A2)&lt;&gt;1),"CHECK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2019::jama.2019.14630::C002</x:v>
      </x:c>
      <x:c r="B3" s="3" t="str">
        <x:v>eTable 2 red-wine median lies above its printed upper quartile</x:v>
      </x:c>
      <x:c r="C3" s="3" t="str">
        <x:v>Supplement 3 eTable 2 red-wine row and footnote — PDF p. 7.</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IDs",IF(OR(COUNTIF($A$2:$A$10,A3)&lt;&gt;1,COUNTIF(Decisions!$C$2:$C$72,A3)&lt;&gt;1),"CHECK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2019::jama.2019.14630::C003</x:v>
      </x:c>
      <x:c r="B4" s="6" t="str">
        <x:v>all-randomized red-wine baseline summaries differ between eTables 2 and 7</x:v>
      </x:c>
      <x:c r="C4" s="6" t="str">
        <x:v>Supplement 3 eTable 2 — PDF p. 7; Supplement 3 eTable 7 — PDF p. 19.</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IDs",IF(OR(COUNTIF($A$2:$A$10,A4)&lt;&gt;1,COUNTIF(Decisions!$C$2:$C$72,A4)&lt;&gt;1),"CHECK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2019::jama.2019.14630::C004</x:v>
      </x:c>
      <x:c r="B5" s="3" t="str">
        <x:v>PDQS baseline mean differs between the principal and baseline-value-carried-forward tables</x:v>
      </x:c>
      <x:c r="C5" s="3" t="str">
        <x:v>main article Table 2 — PDF p. 5; Supplement 3 eTable 6 — PDF p. 16.</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IDs",IF(OR(COUNTIF($A$2:$A$10,A5)&lt;&gt;1,COUNTIF(Decisions!$C$2:$C$72,A5)&lt;&gt;1),"CHECK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2019::jama.2019.14630::C005</x:v>
      </x:c>
      <x:c r="B6" s="6" t="str">
        <x:v>intervention baseline energy SD differs between Table 3 and eTable 8</x:v>
      </x:c>
      <x:c r="C6" s="6" t="str">
        <x:v>main article Statistical Analysis — PDF p. 4; main article Table 3 — PDF p. 7; Supplement 3 eTable 8 — PDF p. 21.</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IDs",IF(OR(COUNTIF($A$2:$A$10,A6)&lt;&gt;1,COUNTIF(Decisions!$C$2:$C$72,A6)&lt;&gt;1),"CHECK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2019::jama.2019.14630::C006</x:v>
      </x:c>
      <x:c r="B7" s="3" t="str">
        <x:v>baseline body-weight summaries differ between Table 1 and eTable 9</x:v>
      </x:c>
      <x:c r="C7" s="3" t="str">
        <x:v>main article Table 1 — PDF p. 4; Supplement 3 eTable 9 — PDF p. 23.</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IDs",IF(OR(COUNTIF($A$2:$A$10,A7)&lt;&gt;1,COUNTIF(Decisions!$C$2:$C$72,A7)&lt;&gt;1),"CHECK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2019::jama.2019.14630::C007</x:v>
      </x:c>
      <x:c r="B8" s="6" t="str">
        <x:v>baseline BMI means differ between Table 1 and eTable 9</x:v>
      </x:c>
      <x:c r="C8" s="6" t="str">
        <x:v>main article Table 1 — PDF p. 4; Supplement 3 eTable 9 — PDF p. 23.</x:v>
      </x:c>
      <x:c r="D8" s="7" t="str"/>
      <x:c r="E8" s="7" t="str">
        <x:v>report_internal_inconsistency</x:v>
      </x:c>
      <x:c r="F8" s="7" t="str">
        <x:v>no</x:v>
      </x:c>
      <x:c r="G8" s="6" t="str">
        <x:f>IFERROR(IF(NOT(OR(Setup!$B$6="primary",Setup!$B$6="checker")),"CHECK STAGE",IF(OR(LEN(TRIM(Setup!$B$2))=0,Setup!$B$2&lt;&gt;TRIM(Setup!$B$2),AND(Setup!$B$6="checker",OR(LEN(TRIM(Setup!$B$4))=0,Setup!$B$4&lt;&gt;TRIM(Setup!$B$4),LOWER(TRIM(Setup!$B$4))=LOWER(TRIM(Setup!$B$2))))),"CHECK REVIEWER IDs",IF(OR(COUNTIF($A$2:$A$10,A8)&lt;&gt;1,COUNTIF(Decisions!$C$2:$C$72,A8)&lt;&gt;1),"CHECK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2019::jama.2019.14630::C008</x:v>
      </x:c>
      <x:c r="B9" s="3" t="str">
        <x:v>Figure 4 threshold labels do not preserve the Methods boundary operators</x:v>
      </x:c>
      <x:c r="C9" s="3" t="str">
        <x:v>main article Outcomes — PDF p. 4; main article Figure 4 — PDF p. 10.</x:v>
      </x:c>
      <x:c r="D9" s="7" t="str"/>
      <x:c r="E9" s="7" t="str">
        <x:v>report_internal_inconsistency</x:v>
      </x:c>
      <x:c r="F9" s="7" t="str">
        <x:v>no</x:v>
      </x:c>
      <x:c r="G9" s="3" t="str">
        <x:f>IFERROR(IF(NOT(OR(Setup!$B$6="primary",Setup!$B$6="checker")),"CHECK STAGE",IF(OR(LEN(TRIM(Setup!$B$2))=0,Setup!$B$2&lt;&gt;TRIM(Setup!$B$2),AND(Setup!$B$6="checker",OR(LEN(TRIM(Setup!$B$4))=0,Setup!$B$4&lt;&gt;TRIM(Setup!$B$4),LOWER(TRIM(Setup!$B$4))=LOWER(TRIM(Setup!$B$2))))),"CHECK REVIEWER IDs",IF(OR(COUNTIF($A$2:$A$10,A9)&lt;&gt;1,COUNTIF(Decisions!$C$2:$C$72,A9)&lt;&gt;1),"CHECK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IF(Setup!$B$6="primary","",IFERROR(IF(INDEX('Primary_snapshot'!$L$2:$L$72,MATCH(A9,'Primary_snapshot'!$A$2:$A$72,0))="","",INDEX('Primary_snapshot'!$L$2:$L$72,MATCH(A9,'Primary_snapshot'!$A$2:$A$72,0))),"SNAPSHOT MISSING"))</x:f>
      </x:c>
      <x:c r="N9" s="7" t="str"/>
      <x:c r="O9" s="7" t="str"/>
      <x:c r="P9" s="7" t="str"/>
      <x:c r="Q9" s="7" t="str"/>
      <x:c r="R9" s="13" t="str"/>
    </x:row>
    <x:row r="10" ht="92" customHeight="1">
      <x:c r="A10" s="6" t="str">
        <x:v>2019::jama.2019.14630::C009</x:v>
      </x:c>
      <x:c r="B10" s="6" t="str">
        <x:v>eTable 4 total-olive-oil baseline row conflicts with the table’s median/IQR convention</x:v>
      </x:c>
      <x:c r="C10" s="6" t="str">
        <x:v>Supplement 3 eTable 4 row — PDF p. 10; Supplement 3 eTable 4 footnote — PDF p. 11; Supplement 3 eTable 2 comparator — PDF p. 3; Supplement 3 eTable 7 comparator — PDF p. 17.</x:v>
      </x:c>
      <x:c r="D10" s="7" t="str"/>
      <x:c r="E10" s="7" t="str">
        <x:v>report_internal_inconsistency</x:v>
      </x:c>
      <x:c r="F10" s="7" t="str">
        <x:v>no</x:v>
      </x:c>
      <x:c r="G10" s="6" t="str">
        <x:f>IFERROR(IF(NOT(OR(Setup!$B$6="primary",Setup!$B$6="checker")),"CHECK STAGE",IF(OR(LEN(TRIM(Setup!$B$2))=0,Setup!$B$2&lt;&gt;TRIM(Setup!$B$2),AND(Setup!$B$6="checker",OR(LEN(TRIM(Setup!$B$4))=0,Setup!$B$4&lt;&gt;TRIM(Setup!$B$4),LOWER(TRIM(Setup!$B$4))=LOWER(TRIM(Setup!$B$2))))),"CHECK REVIEWER IDs",IF(OR(COUNTIF($A$2:$A$10,A10)&lt;&gt;1,COUNTIF(Decisions!$C$2:$C$72,A10)&lt;&gt;1),"CHECK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f>IF(AND(OR(D10="retain",D10=""),OR(E10="report_internal_inconsistency",E10="plan_material")),"","not_applicable")</x:f>
      </x:c>
      <x:c r="L10" s="13" t="str">
        <x:f>IF(AND(OR(D10="retain",D10=""),E10="protocol_report"),"","not_applicable")</x:f>
        <x:v>not_applicable</x:v>
      </x:c>
      <x:c r="M10" s="6" t="str">
        <x:f>IF(Setup!$B$6="primary","",IFERROR(IF(INDEX('Primary_snapshot'!$L$2:$L$72,MATCH(A10,'Primary_snapshot'!$A$2:$A$72,0))="","",INDEX('Primary_snapshot'!$L$2:$L$72,MATCH(A10,'Primary_snapshot'!$A$2:$A$72,0))),"SNAPSHOT MISSING"))</x:f>
      </x:c>
      <x:c r="N10" s="7" t="str"/>
      <x:c r="O10" s="7" t="str"/>
      <x:c r="P10" s="7" t="str"/>
      <x:c r="Q10" s="7" t="str"/>
      <x:c r="R10" s="13" t="str"/>
    </x:row>
  </x:sheetData>
  <x:conditionalFormatting sqref="G2:G10">
    <x:cfRule type="expression" dxfId="28" priority="1">
      <x:formula>AND(G2&lt;&gt;"PRIMARY READY",G2&lt;&gt;"FINAL READY")</x:formula>
    </x:cfRule>
  </x:conditionalFormatting>
  <x:conditionalFormatting sqref="N2:Q10">
    <x:cfRule type="expression" dxfId="29" priority="2">
      <x:formula>Setup!$B$6="primary"</x:formula>
    </x:cfRule>
  </x:conditionalFormatting>
  <x:conditionalFormatting sqref="H2:H10">
    <x:cfRule type="expression" dxfId="30" priority="3">
      <x:formula>NOT(AND(OR($D2="retain",$D2=""),$E2="statistical_results"))</x:formula>
    </x:cfRule>
  </x:conditionalFormatting>
  <x:conditionalFormatting sqref="I2:I10">
    <x:cfRule type="expression" dxfId="31" priority="4">
      <x:formula>NOT(AND(OR($D2="retain",$D2=""),$E2="statistical_results"))</x:formula>
    </x:cfRule>
  </x:conditionalFormatting>
  <x:conditionalFormatting sqref="J2:J10">
    <x:cfRule type="expression" dxfId="32" priority="5">
      <x:formula>NOT(AND(OR($D2="retain",$D2=""),$E2="statistical_results"))</x:formula>
    </x:cfRule>
  </x:conditionalFormatting>
  <x:conditionalFormatting sqref="K2:K10">
    <x:cfRule type="expression" dxfId="33" priority="6">
      <x:formula>NOT(AND(OR($D2="retain",$D2=""),OR($E2="report_internal_inconsistency",$E2="plan_material")))</x:formula>
    </x:cfRule>
  </x:conditionalFormatting>
  <x:conditionalFormatting sqref="L2:L10">
    <x:cfRule type="expression" dxfId="34" priority="7">
      <x:formula>NOT(AND(OR($D2="retain",$D2=""),$E2="protocol_report"))</x:formula>
    </x:cfRule>
  </x:conditionalFormatting>
  <x:dataValidations count="10">
    <x:dataValidation type="list" sqref="D2:D10">
      <x:formula1>"retain,exclude,discuss"</x:formula1>
    </x:dataValidation>
    <x:dataValidation type="list" sqref="E2:E10">
      <x:formula1>"statistical_results,report_internal_inconsistency,plan_material,protocol_report"</x:formula1>
    </x:dataValidation>
    <x:dataValidation type="list" sqref="F2:F10">
      <x:formula1>"no,primary_done,checker_done"</x:formula1>
    </x:dataValidation>
    <x:dataValidation type="list" sqref="H2:H10">
      <x:formula1>"confirmed_issue,probable_issue,not_issue,indeterminate,not_applicable"</x:formula1>
    </x:dataValidation>
    <x:dataValidation type="list" sqref="I2:I10">
      <x:formula1>"substantive,minor_presentation,indeterminate,not_applicable"</x:formula1>
    </x:dataValidation>
    <x:dataValidation type="list" sqref="J2:J10">
      <x:formula1>"direct,possible,unlikely,unknown,not_applicable"</x:formula1>
    </x:dataValidation>
    <x:dataValidation type="list" sqref="K2:K10">
      <x:formula1>"substantive_inconsistency,minor_presentation,non_inconsistency,indeterminate,not_applicable"</x:formula1>
    </x:dataValidation>
    <x:dataValidation type="list" sqref="L2:L10">
      <x:formula1>"substantive_difference,minor_presentation,version_timing,non_inconsistency,indeterminate,not_applicable"</x:formula1>
    </x:dataValidation>
    <x:dataValidation type="list" sqref="N2:N10">
      <x:formula1>"agree,agree_clarification,disagree,unable"</x:formula1>
    </x:dataValidation>
    <x:dataValidation type="list" sqref="P2:P10">
      <x:formula1>"pending,resolved"</x:formula1>
    </x:dataValidation>
  </x:dataValidations>
  <x:pageMargins left="0.7" right="0.7" top="0.75" bottom="0.75" header="0.3" footer="0.3"/>
  <x:tableParts count="1">
    <x:tablePart xmlns:r="http://schemas.openxmlformats.org/officeDocument/2006/relationships" r:id="Rc033e21badbb4c74"/>
  </x:tableParts>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2019::jama.2019.14901::C001</x:v>
      </x:c>
      <x:c r="B2" s="6" t="str">
        <x:v>Day-7 respiratory-failure absolute difference differs across matched article locations</x:v>
      </x:c>
      <x:c r="C2" s="6"/>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IDs",IF(OR(COUNTIF($A$2:$A$7,A2)&lt;&gt;1,COUNTIF(Decisions!$C$2:$C$72,A2)&lt;&gt;1),"CHECK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2019::jama.2019.14901::C002</x:v>
      </x:c>
      <x:c r="B3" s="3" t="str">
        <x:v>Reintubation respiratory-acidosis cutoff differs between article and protocol</x:v>
      </x:c>
      <x:c r="C3" s="3"/>
      <x:c r="D3" s="7" t="str"/>
      <x:c r="E3" s="7" t="str">
        <x:v>protocol_report</x:v>
      </x:c>
      <x:c r="F3" s="7" t="str">
        <x:v>no</x:v>
      </x:c>
      <x:c r="G3" s="3" t="str">
        <x:f>IFERROR(IF(NOT(OR(Setup!$B$6="primary",Setup!$B$6="checker")),"CHECK STAGE",IF(OR(LEN(TRIM(Setup!$B$2))=0,Setup!$B$2&lt;&gt;TRIM(Setup!$B$2),AND(Setup!$B$6="checker",OR(LEN(TRIM(Setup!$B$4))=0,Setup!$B$4&lt;&gt;TRIM(Setup!$B$4),LOWER(TRIM(Setup!$B$4))=LOWER(TRIM(Setup!$B$2))))),"CHECK REVIEWER IDs",IF(OR(COUNTIF($A$2:$A$7,A3)&lt;&gt;1,COUNTIF(Decisions!$C$2:$C$72,A3)&lt;&gt;1),"CHECK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v>not_applicable</x:v>
      </x:c>
      <x:c r="L3" s="13" t="str">
        <x:f>IF(AND(OR(D3="retain",D3=""),E3="protocol_report"),"","not_applicable")</x:f>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2019::jama.2019.14901::C003</x:v>
      </x:c>
      <x:c r="B4" s="6" t="str">
        <x:v>Hypercapnic ineffective-cough percentages conflict with printed fractions</x:v>
      </x:c>
      <x:c r="C4" s="6"/>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IDs",IF(OR(COUNTIF($A$2:$A$7,A4)&lt;&gt;1,COUNTIF(Decisions!$C$2:$C$72,A4)&lt;&gt;1),"CHECK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2019::jama.2019.14901::C004</x:v>
      </x:c>
      <x:c r="B5" s="3" t="str">
        <x:v>Hypercapnic abundant-secretion percentages conflict with printed fractions</x:v>
      </x:c>
      <x:c r="C5" s="3"/>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IDs",IF(OR(COUNTIF($A$2:$A$7,A5)&lt;&gt;1,COUNTIF(Decisions!$C$2:$C$72,A5)&lt;&gt;1),"CHECK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2019::jama.2019.14901::C005</x:v>
      </x:c>
      <x:c r="B6" s="6" t="str">
        <x:v>Matched nonhypercapnic day-7 reintubation P values differ across article and supplement</x:v>
      </x:c>
      <x:c r="C6" s="6"/>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IDs",IF(OR(COUNTIF($A$2:$A$7,A6)&lt;&gt;1,COUNTIF(Decisions!$C$2:$C$72,A6)&lt;&gt;1),"CHECK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2019::jama.2019.14901::C006</x:v>
      </x:c>
      <x:c r="B7" s="3" t="str">
        <x:v>Protocol total-duration breakdown does not arithmetically reach the printed total</x:v>
      </x:c>
      <x:c r="C7" s="3"/>
      <x:c r="D7" s="7" t="str"/>
      <x:c r="E7" s="7" t="str">
        <x:v>plan_material</x:v>
      </x:c>
      <x:c r="F7" s="7" t="str">
        <x:v>no</x:v>
      </x:c>
      <x:c r="G7" s="3" t="str">
        <x:f>IFERROR(IF(NOT(OR(Setup!$B$6="primary",Setup!$B$6="checker")),"CHECK STAGE",IF(OR(LEN(TRIM(Setup!$B$2))=0,Setup!$B$2&lt;&gt;TRIM(Setup!$B$2),AND(Setup!$B$6="checker",OR(LEN(TRIM(Setup!$B$4))=0,Setup!$B$4&lt;&gt;TRIM(Setup!$B$4),LOWER(TRIM(Setup!$B$4))=LOWER(TRIM(Setup!$B$2))))),"CHECK REVIEWER IDs",IF(OR(COUNTIF($A$2:$A$7,A7)&lt;&gt;1,COUNTIF(Decisions!$C$2:$C$72,A7)&lt;&gt;1),"CHECK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sheetData>
  <x:conditionalFormatting sqref="G2:G7">
    <x:cfRule type="expression" dxfId="35" priority="1">
      <x:formula>AND(G2&lt;&gt;"PRIMARY READY",G2&lt;&gt;"FINAL READY")</x:formula>
    </x:cfRule>
  </x:conditionalFormatting>
  <x:conditionalFormatting sqref="N2:Q7">
    <x:cfRule type="expression" dxfId="36" priority="2">
      <x:formula>Setup!$B$6="primary"</x:formula>
    </x:cfRule>
  </x:conditionalFormatting>
  <x:conditionalFormatting sqref="H2:H7">
    <x:cfRule type="expression" dxfId="37" priority="3">
      <x:formula>NOT(AND(OR($D2="retain",$D2=""),$E2="statistical_results"))</x:formula>
    </x:cfRule>
  </x:conditionalFormatting>
  <x:conditionalFormatting sqref="I2:I7">
    <x:cfRule type="expression" dxfId="38" priority="4">
      <x:formula>NOT(AND(OR($D2="retain",$D2=""),$E2="statistical_results"))</x:formula>
    </x:cfRule>
  </x:conditionalFormatting>
  <x:conditionalFormatting sqref="J2:J7">
    <x:cfRule type="expression" dxfId="39" priority="5">
      <x:formula>NOT(AND(OR($D2="retain",$D2=""),$E2="statistical_results"))</x:formula>
    </x:cfRule>
  </x:conditionalFormatting>
  <x:conditionalFormatting sqref="K2:K7">
    <x:cfRule type="expression" dxfId="40" priority="6">
      <x:formula>NOT(AND(OR($D2="retain",$D2=""),OR($E2="report_internal_inconsistency",$E2="plan_material")))</x:formula>
    </x:cfRule>
  </x:conditionalFormatting>
  <x:conditionalFormatting sqref="L2:L7">
    <x:cfRule type="expression" dxfId="41" priority="7">
      <x:formula>NOT(AND(OR($D2="retain",$D2=""),$E2="protocol_report"))</x:formula>
    </x:cfRule>
  </x:conditionalFormatting>
  <x:dataValidations count="10">
    <x:dataValidation type="list" sqref="D2:D7">
      <x:formula1>"retain,exclude,discuss"</x:formula1>
    </x:dataValidation>
    <x:dataValidation type="list" sqref="E2:E7">
      <x:formula1>"statistical_results,report_internal_inconsistency,plan_material,protocol_report"</x:formula1>
    </x:dataValidation>
    <x:dataValidation type="list" sqref="F2:F7">
      <x:formula1>"no,primary_done,checker_done"</x:formula1>
    </x:dataValidation>
    <x:dataValidation type="list" sqref="H2:H7">
      <x:formula1>"confirmed_issue,probable_issue,not_issue,indeterminate,not_applicable"</x:formula1>
    </x:dataValidation>
    <x:dataValidation type="list" sqref="I2:I7">
      <x:formula1>"substantive,minor_presentation,indeterminate,not_applicable"</x:formula1>
    </x:dataValidation>
    <x:dataValidation type="list" sqref="J2:J7">
      <x:formula1>"direct,possible,unlikely,unknown,not_applicable"</x:formula1>
    </x:dataValidation>
    <x:dataValidation type="list" sqref="K2:K7">
      <x:formula1>"substantive_inconsistency,minor_presentation,non_inconsistency,indeterminate,not_applicable"</x:formula1>
    </x:dataValidation>
    <x:dataValidation type="list" sqref="L2:L7">
      <x:formula1>"substantive_difference,minor_presentation,version_timing,non_inconsistency,indeterminate,not_applicable"</x:formula1>
    </x:dataValidation>
    <x:dataValidation type="list" sqref="N2:N7">
      <x:formula1>"agree,agree_clarification,disagree,unable"</x:formula1>
    </x:dataValidation>
    <x:dataValidation type="list" sqref="P2:P7">
      <x:formula1>"pending,resolved"</x:formula1>
    </x:dataValidation>
  </x:dataValidations>
  <x:pageMargins left="0.7" right="0.7" top="0.75" bottom="0.75" header="0.3" footer="0.3"/>
  <x:tableParts count="1">
    <x:tablePart xmlns:r="http://schemas.openxmlformats.org/officeDocument/2006/relationships" r:id="R5f0c2a1567004296"/>
  </x:tableParts>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2019::jama.2019.17380::C001</x:v>
      </x:c>
      <x:c r="B2" s="6" t="str">
        <x:v>Figure 2 omega-3 eGFR contributor counts conflict with Table 2</x:v>
      </x:c>
      <x:c r="C2" s="6" t="str">
        <x:v>Figure 2 panel B — PDF p. 7; Table 2 — PDF p. 8.</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IDs",IF(OR(COUNTIF($A$2:$A$8,A2)&lt;&gt;1,COUNTIF(Decisions!$C$2:$C$72,A2)&lt;&gt;1),"CHECK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2019::jama.2019.17380::C002</x:v>
      </x:c>
      <x:c r="B3" s="3" t="str">
        <x:v>Figure 2 omega-3 urine-ACR contributor counts conflict with eTable 6</x:v>
      </x:c>
      <x:c r="C3" s="3" t="str">
        <x:v>Figure 2 panel D — PDF p. 7; eTable 6 — PDF p. 11.</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IDs",IF(OR(COUNTIF($A$2:$A$8,A3)&lt;&gt;1,COUNTIF(Decisions!$C$2:$C$72,A3)&lt;&gt;1),"CHECK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2019::jama.2019.17380::C003</x:v>
      </x:c>
      <x:c r="B4" s="6" t="str">
        <x:v>Figure 3 assigns vitamin-D arm sizes to the opposite column labels</x:v>
      </x:c>
      <x:c r="C4" s="6" t="str">
        <x:v>Abstract — PDF p. 1; Table 2 and Figure 3 — PDF p. 8.</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IDs",IF(OR(COUNTIF($A$2:$A$8,A4)&lt;&gt;1,COUNTIF(Decisions!$C$2:$C$72,A4)&lt;&gt;1),"CHECK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2019::jama.2019.17380::C004</x:v>
      </x:c>
      <x:c r="B5" s="3" t="str">
        <x:v>Figure 4 assigns omega-3 arm sizes to the opposite column labels</x:v>
      </x:c>
      <x:c r="C5" s="3" t="str">
        <x:v>Abstract — PDF p. 1; Table 2 — PDF p. 8; Figure 4 — PDF p. 9.</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IDs",IF(OR(COUNTIF($A$2:$A$8,A5)&lt;&gt;1,COUNTIF(Decisions!$C$2:$C$72,A5)&lt;&gt;1),"CHECK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2019::jama.2019.17380::C005</x:v>
      </x:c>
      <x:c r="B6" s="6" t="str">
        <x:v>eFigure 2 places vitamin-D participant counts under the opposite headings</x:v>
      </x:c>
      <x:c r="C6" s="6" t="str">
        <x:v>Abstract — PDF p. 1; eTable 6 — PDF p. 11; eFigure 2 — PDF p. 18.</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IDs",IF(OR(COUNTIF($A$2:$A$8,A6)&lt;&gt;1,COUNTIF(Decisions!$C$2:$C$72,A6)&lt;&gt;1),"CHECK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2019::jama.2019.17380::C006</x:v>
      </x:c>
      <x:c r="B7" s="3" t="str">
        <x:v>eFigure 3 places omega-3 participant counts under the opposite headings</x:v>
      </x:c>
      <x:c r="C7" s="3" t="str">
        <x:v>Abstract — PDF p. 1; eTable 6 — PDF p. 11; eFigure 3 — PDF p. 19.</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IDs",IF(OR(COUNTIF($A$2:$A$8,A7)&lt;&gt;1,COUNTIF(Decisions!$C$2:$C$72,A7)&lt;&gt;1),"CHECK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2019::jama.2019.17380::C007</x:v>
      </x:c>
      <x:c r="B8" s="6" t="str">
        <x:v>Imputation count differs between the analytic-plan addendum and article methods</x:v>
      </x:c>
      <x:c r="C8" s="6" t="str">
        <x:v>Analytic-plan addendum, Section 15c — PDF p. 32; Article Data Analysis — PDF p. 3.</x:v>
      </x:c>
      <x:c r="D8" s="7" t="str"/>
      <x:c r="E8" s="7" t="str">
        <x:v>protocol_report</x:v>
      </x:c>
      <x:c r="F8" s="7" t="str">
        <x:v>no</x:v>
      </x:c>
      <x:c r="G8" s="6" t="str">
        <x:f>IFERROR(IF(NOT(OR(Setup!$B$6="primary",Setup!$B$6="checker")),"CHECK STAGE",IF(OR(LEN(TRIM(Setup!$B$2))=0,Setup!$B$2&lt;&gt;TRIM(Setup!$B$2),AND(Setup!$B$6="checker",OR(LEN(TRIM(Setup!$B$4))=0,Setup!$B$4&lt;&gt;TRIM(Setup!$B$4),LOWER(TRIM(Setup!$B$4))=LOWER(TRIM(Setup!$B$2))))),"CHECK REVIEWER IDs",IF(OR(COUNTIF($A$2:$A$8,A8)&lt;&gt;1,COUNTIF(Decisions!$C$2:$C$72,A8)&lt;&gt;1),"CHECK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IF(Setup!$B$6="primary","",IFERROR(IF(INDEX('Primary_snapshot'!$L$2:$L$72,MATCH(A8,'Primary_snapshot'!$A$2:$A$72,0))="","",INDEX('Primary_snapshot'!$L$2:$L$72,MATCH(A8,'Primary_snapshot'!$A$2:$A$72,0))),"SNAPSHOT MISSING"))</x:f>
      </x:c>
      <x:c r="N8" s="7" t="str"/>
      <x:c r="O8" s="7" t="str"/>
      <x:c r="P8" s="7" t="str"/>
      <x:c r="Q8" s="7" t="str"/>
      <x:c r="R8" s="13" t="str"/>
    </x:row>
  </x:sheetData>
  <x:conditionalFormatting sqref="G2:G8">
    <x:cfRule type="expression" dxfId="42" priority="1">
      <x:formula>AND(G2&lt;&gt;"PRIMARY READY",G2&lt;&gt;"FINAL READY")</x:formula>
    </x:cfRule>
  </x:conditionalFormatting>
  <x:conditionalFormatting sqref="N2:Q8">
    <x:cfRule type="expression" dxfId="43" priority="2">
      <x:formula>Setup!$B$6="primary"</x:formula>
    </x:cfRule>
  </x:conditionalFormatting>
  <x:conditionalFormatting sqref="H2:H8">
    <x:cfRule type="expression" dxfId="44" priority="3">
      <x:formula>NOT(AND(OR($D2="retain",$D2=""),$E2="statistical_results"))</x:formula>
    </x:cfRule>
  </x:conditionalFormatting>
  <x:conditionalFormatting sqref="I2:I8">
    <x:cfRule type="expression" dxfId="45" priority="4">
      <x:formula>NOT(AND(OR($D2="retain",$D2=""),$E2="statistical_results"))</x:formula>
    </x:cfRule>
  </x:conditionalFormatting>
  <x:conditionalFormatting sqref="J2:J8">
    <x:cfRule type="expression" dxfId="46" priority="5">
      <x:formula>NOT(AND(OR($D2="retain",$D2=""),$E2="statistical_results"))</x:formula>
    </x:cfRule>
  </x:conditionalFormatting>
  <x:conditionalFormatting sqref="K2:K8">
    <x:cfRule type="expression" dxfId="47" priority="6">
      <x:formula>NOT(AND(OR($D2="retain",$D2=""),OR($E2="report_internal_inconsistency",$E2="plan_material")))</x:formula>
    </x:cfRule>
  </x:conditionalFormatting>
  <x:conditionalFormatting sqref="L2:L8">
    <x:cfRule type="expression" dxfId="48" priority="7">
      <x:formula>NOT(AND(OR($D2="retain",$D2=""),$E2="protocol_report"))</x:formula>
    </x:cfRule>
  </x:conditionalFormatting>
  <x:dataValidations count="10">
    <x:dataValidation type="list" sqref="D2:D8">
      <x:formula1>"retain,exclude,discuss"</x:formula1>
    </x:dataValidation>
    <x:dataValidation type="list" sqref="E2:E8">
      <x:formula1>"statistical_results,report_internal_inconsistency,plan_material,protocol_report"</x:formula1>
    </x:dataValidation>
    <x:dataValidation type="list" sqref="F2:F8">
      <x:formula1>"no,primary_done,checker_done"</x:formula1>
    </x:dataValidation>
    <x:dataValidation type="list" sqref="H2:H8">
      <x:formula1>"confirmed_issue,probable_issue,not_issue,indeterminate,not_applicable"</x:formula1>
    </x:dataValidation>
    <x:dataValidation type="list" sqref="I2:I8">
      <x:formula1>"substantive,minor_presentation,indeterminate,not_applicable"</x:formula1>
    </x:dataValidation>
    <x:dataValidation type="list" sqref="J2:J8">
      <x:formula1>"direct,possible,unlikely,unknown,not_applicable"</x:formula1>
    </x:dataValidation>
    <x:dataValidation type="list" sqref="K2:K8">
      <x:formula1>"substantive_inconsistency,minor_presentation,non_inconsistency,indeterminate,not_applicable"</x:formula1>
    </x:dataValidation>
    <x:dataValidation type="list" sqref="L2:L8">
      <x:formula1>"substantive_difference,minor_presentation,version_timing,non_inconsistency,indeterminate,not_applicable"</x:formula1>
    </x:dataValidation>
    <x:dataValidation type="list" sqref="N2:N8">
      <x:formula1>"agree,agree_clarification,disagree,unable"</x:formula1>
    </x:dataValidation>
    <x:dataValidation type="list" sqref="P2:P8">
      <x:formula1>"pending,resolved"</x:formula1>
    </x:dataValidation>
  </x:dataValidations>
  <x:pageMargins left="0.7" right="0.7" top="0.75" bottom="0.75" header="0.3" footer="0.3"/>
  <x:tableParts count="1">
    <x:tablePart xmlns:r="http://schemas.openxmlformats.org/officeDocument/2006/relationships" r:id="R4da4031768a04f4c"/>
  </x:tableParts>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2019::jama.2019.2210::C001</x:v>
      </x:c>
      <x:c r="B2" s="6" t="str">
        <x:v>Table 1 SNP percentages use unlabelled, variable available-case denominators</x:v>
      </x:c>
      <x:c r="C2" s="6" t="str">
        <x:v>main article — PDF p. 5; Supplement 2 — PDF p. 7, p. 13, and p. 27.</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IDs",IF(OR(COUNTIF($A$2:$A$10,A2)&lt;&gt;1,COUNTIF(Decisions!$C$2:$C$72,A2)&lt;&gt;1),"CHECK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2019::jama.2019.2210::C002</x:v>
      </x:c>
      <x:c r="B3" s="3" t="str">
        <x:v>Figure 3 caption says panel-C risk numbers are absent although the panel prints them</x:v>
      </x:c>
      <x:c r="C3" s="3" t="str">
        <x:v>main article — PDF p. 7.</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IDs",IF(OR(COUNTIF($A$2:$A$10,A3)&lt;&gt;1,COUNTIF(Decisions!$C$2:$C$72,A3)&lt;&gt;1),"CHECK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2019::jama.2019.2210::C003</x:v>
      </x:c>
      <x:c r="B4" s="6" t="str">
        <x:v>Final protocol gives different accrual stopping thresholds</x:v>
      </x:c>
      <x:c r="C4" s="6" t="str">
        <x:v>Supplement 1 — PDF p. 18 and Supplement 1 — PDF p. 31.</x:v>
      </x:c>
      <x:c r="D4" s="7" t="str"/>
      <x:c r="E4" s="7" t="str">
        <x:v>plan_material</x:v>
      </x:c>
      <x:c r="F4" s="7" t="str">
        <x:v>no</x:v>
      </x:c>
      <x:c r="G4" s="6" t="str">
        <x:f>IFERROR(IF(NOT(OR(Setup!$B$6="primary",Setup!$B$6="checker")),"CHECK STAGE",IF(OR(LEN(TRIM(Setup!$B$2))=0,Setup!$B$2&lt;&gt;TRIM(Setup!$B$2),AND(Setup!$B$6="checker",OR(LEN(TRIM(Setup!$B$4))=0,Setup!$B$4&lt;&gt;TRIM(Setup!$B$4),LOWER(TRIM(Setup!$B$4))=LOWER(TRIM(Setup!$B$2))))),"CHECK REVIEWER IDs",IF(OR(COUNTIF($A$2:$A$10,A4)&lt;&gt;1,COUNTIF(Decisions!$C$2:$C$72,A4)&lt;&gt;1),"CHECK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2019::jama.2019.2210::C004</x:v>
      </x:c>
      <x:c r="B5" s="3" t="str">
        <x:v>Final protocol assigns de novo cancer incompatible endpoint labels</x:v>
      </x:c>
      <x:c r="C5" s="3" t="str">
        <x:v>Supplement 1 — PDF p. 19, p. 25, p. 26, and p. 45; main article — PDF p. 8.</x:v>
      </x:c>
      <x:c r="D5" s="7" t="str"/>
      <x:c r="E5" s="7" t="str">
        <x:v>protocol_report</x:v>
      </x:c>
      <x:c r="F5" s="7" t="str">
        <x:v>no</x:v>
      </x:c>
      <x:c r="G5" s="3" t="str">
        <x:f>IFERROR(IF(NOT(OR(Setup!$B$6="primary",Setup!$B$6="checker")),"CHECK STAGE",IF(OR(LEN(TRIM(Setup!$B$2))=0,Setup!$B$2&lt;&gt;TRIM(Setup!$B$2),AND(Setup!$B$6="checker",OR(LEN(TRIM(Setup!$B$4))=0,Setup!$B$4&lt;&gt;TRIM(Setup!$B$4),LOWER(TRIM(Setup!$B$4))=LOWER(TRIM(Setup!$B$2))))),"CHECK REVIEWER IDs",IF(OR(COUNTIF($A$2:$A$10,A5)&lt;&gt;1,COUNTIF(Decisions!$C$2:$C$72,A5)&lt;&gt;1),"CHECK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2019::jama.2019.2210::C005</x:v>
      </x:c>
      <x:c r="B6" s="6" t="str">
        <x:v>One final-protocol high-25(OH)D stratum label omits the boundary operator</x:v>
      </x:c>
      <x:c r="C6" s="6" t="str">
        <x:v>Supplement 1 — PDF p. 23 and p. 31; main article — PDF p. 3.</x:v>
      </x:c>
      <x:c r="D6" s="7" t="str"/>
      <x:c r="E6" s="7" t="str">
        <x:v>plan_material</x:v>
      </x:c>
      <x:c r="F6" s="7" t="str">
        <x:v>no</x:v>
      </x:c>
      <x:c r="G6" s="6" t="str">
        <x:f>IFERROR(IF(NOT(OR(Setup!$B$6="primary",Setup!$B$6="checker")),"CHECK STAGE",IF(OR(LEN(TRIM(Setup!$B$2))=0,Setup!$B$2&lt;&gt;TRIM(Setup!$B$2),AND(Setup!$B$6="checker",OR(LEN(TRIM(Setup!$B$4))=0,Setup!$B$4&lt;&gt;TRIM(Setup!$B$4),LOWER(TRIM(Setup!$B$4))=LOWER(TRIM(Setup!$B$2))))),"CHECK REVIEWER IDs",IF(OR(COUNTIF($A$2:$A$10,A6)&lt;&gt;1,COUNTIF(Decisions!$C$2:$C$72,A6)&lt;&gt;1),"CHECK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2019::jama.2019.2210::C006</x:v>
      </x:c>
      <x:c r="B7" s="3" t="str">
        <x:v>Supplement labels Cdx2 genotype panels as CDK2</x:v>
      </x:c>
      <x:c r="C7" s="3" t="str">
        <x:v>main article — PDF p. 5; Supplement 1 — PDF p. 27; Supplement 2 — PDF p. 13, p. 14, and p. 15.</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IDs",IF(OR(COUNTIF($A$2:$A$10,A7)&lt;&gt;1,COUNTIF(Decisions!$C$2:$C$72,A7)&lt;&gt;1),"CHECK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2019::jama.2019.2210::C007</x:v>
      </x:c>
      <x:c r="B8" s="6" t="str">
        <x:v>Table 1 BMI categories use smaller, unlabelled denominators than the arm headers</x:v>
      </x:c>
      <x:c r="C8" s="6" t="str">
        <x:v>main article — PDF p. 5; Supplement 2 — PDF p. 32 and p. 33.</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IDs",IF(OR(COUNTIF($A$2:$A$10,A8)&lt;&gt;1,COUNTIF(Decisions!$C$2:$C$72,A8)&lt;&gt;1),"CHECK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2019::jama.2019.2210::C008</x:v>
      </x:c>
      <x:c r="B9" s="3" t="str">
        <x:v>Report and protocol use different time-origin labels despite a same-visit equivalence statement</x:v>
      </x:c>
      <x:c r="C9" s="3" t="str">
        <x:v>main article — PDF p. 2 and p. 6; Supplement 1 — PDF p. 25 and p. 29; Supplement 2 — PDF p. 2 and p. 3.</x:v>
      </x:c>
      <x:c r="D9" s="7" t="str"/>
      <x:c r="E9" s="7" t="str">
        <x:v>protocol_report</x:v>
      </x:c>
      <x:c r="F9" s="7" t="str">
        <x:v>no</x:v>
      </x:c>
      <x:c r="G9" s="3" t="str">
        <x:f>IFERROR(IF(NOT(OR(Setup!$B$6="primary",Setup!$B$6="checker")),"CHECK STAGE",IF(OR(LEN(TRIM(Setup!$B$2))=0,Setup!$B$2&lt;&gt;TRIM(Setup!$B$2),AND(Setup!$B$6="checker",OR(LEN(TRIM(Setup!$B$4))=0,Setup!$B$4&lt;&gt;TRIM(Setup!$B$4),LOWER(TRIM(Setup!$B$4))=LOWER(TRIM(Setup!$B$2))))),"CHECK REVIEWER IDs",IF(OR(COUNTIF($A$2:$A$10,A9)&lt;&gt;1,COUNTIF(Decisions!$C$2:$C$72,A9)&lt;&gt;1),"CHECK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v>not_applicable</x:v>
      </x:c>
      <x:c r="L9" s="13" t="str">
        <x:f>IF(AND(OR(D9="retain",D9=""),E9="protocol_report"),"","not_applicable")</x:f>
      </x:c>
      <x:c r="M9" s="3" t="str">
        <x:f>IF(Setup!$B$6="primary","",IFERROR(IF(INDEX('Primary_snapshot'!$L$2:$L$72,MATCH(A9,'Primary_snapshot'!$A$2:$A$72,0))="","",INDEX('Primary_snapshot'!$L$2:$L$72,MATCH(A9,'Primary_snapshot'!$A$2:$A$72,0))),"SNAPSHOT MISSING"))</x:f>
      </x:c>
      <x:c r="N9" s="7" t="str"/>
      <x:c r="O9" s="7" t="str"/>
      <x:c r="P9" s="7" t="str"/>
      <x:c r="Q9" s="7" t="str"/>
      <x:c r="R9" s="13" t="str"/>
    </x:row>
    <x:row r="10" ht="92" customHeight="1">
      <x:c r="A10" s="6" t="str">
        <x:v>2019::jama.2019.2210::C009</x:v>
      </x:c>
      <x:c r="B10" s="6" t="str">
        <x:v>Table 2 hazard-ratio direction footnote is opposite the displayed outcome direction</x:v>
      </x:c>
      <x:c r="C10" s="6" t="str">
        <x:v>main article — PDF p. 4, p. 6, and p. 7.</x:v>
      </x:c>
      <x:c r="D10" s="7" t="str"/>
      <x:c r="E10" s="7" t="str">
        <x:v>report_internal_inconsistency</x:v>
      </x:c>
      <x:c r="F10" s="7" t="str">
        <x:v>no</x:v>
      </x:c>
      <x:c r="G10" s="6" t="str">
        <x:f>IFERROR(IF(NOT(OR(Setup!$B$6="primary",Setup!$B$6="checker")),"CHECK STAGE",IF(OR(LEN(TRIM(Setup!$B$2))=0,Setup!$B$2&lt;&gt;TRIM(Setup!$B$2),AND(Setup!$B$6="checker",OR(LEN(TRIM(Setup!$B$4))=0,Setup!$B$4&lt;&gt;TRIM(Setup!$B$4),LOWER(TRIM(Setup!$B$4))=LOWER(TRIM(Setup!$B$2))))),"CHECK REVIEWER IDs",IF(OR(COUNTIF($A$2:$A$10,A10)&lt;&gt;1,COUNTIF(Decisions!$C$2:$C$72,A10)&lt;&gt;1),"CHECK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f>IF(AND(OR(D10="retain",D10=""),OR(E10="report_internal_inconsistency",E10="plan_material")),"","not_applicable")</x:f>
      </x:c>
      <x:c r="L10" s="13" t="str">
        <x:f>IF(AND(OR(D10="retain",D10=""),E10="protocol_report"),"","not_applicable")</x:f>
        <x:v>not_applicable</x:v>
      </x:c>
      <x:c r="M10" s="6" t="str">
        <x:f>IF(Setup!$B$6="primary","",IFERROR(IF(INDEX('Primary_snapshot'!$L$2:$L$72,MATCH(A10,'Primary_snapshot'!$A$2:$A$72,0))="","",INDEX('Primary_snapshot'!$L$2:$L$72,MATCH(A10,'Primary_snapshot'!$A$2:$A$72,0))),"SNAPSHOT MISSING"))</x:f>
      </x:c>
      <x:c r="N10" s="7" t="str"/>
      <x:c r="O10" s="7" t="str"/>
      <x:c r="P10" s="7" t="str"/>
      <x:c r="Q10" s="7" t="str"/>
      <x:c r="R10" s="13" t="str"/>
    </x:row>
  </x:sheetData>
  <x:conditionalFormatting sqref="G2:G10">
    <x:cfRule type="expression" dxfId="49" priority="1">
      <x:formula>AND(G2&lt;&gt;"PRIMARY READY",G2&lt;&gt;"FINAL READY")</x:formula>
    </x:cfRule>
  </x:conditionalFormatting>
  <x:conditionalFormatting sqref="N2:Q10">
    <x:cfRule type="expression" dxfId="50" priority="2">
      <x:formula>Setup!$B$6="primary"</x:formula>
    </x:cfRule>
  </x:conditionalFormatting>
  <x:conditionalFormatting sqref="H2:H10">
    <x:cfRule type="expression" dxfId="51" priority="3">
      <x:formula>NOT(AND(OR($D2="retain",$D2=""),$E2="statistical_results"))</x:formula>
    </x:cfRule>
  </x:conditionalFormatting>
  <x:conditionalFormatting sqref="I2:I10">
    <x:cfRule type="expression" dxfId="52" priority="4">
      <x:formula>NOT(AND(OR($D2="retain",$D2=""),$E2="statistical_results"))</x:formula>
    </x:cfRule>
  </x:conditionalFormatting>
  <x:conditionalFormatting sqref="J2:J10">
    <x:cfRule type="expression" dxfId="53" priority="5">
      <x:formula>NOT(AND(OR($D2="retain",$D2=""),$E2="statistical_results"))</x:formula>
    </x:cfRule>
  </x:conditionalFormatting>
  <x:conditionalFormatting sqref="K2:K10">
    <x:cfRule type="expression" dxfId="54" priority="6">
      <x:formula>NOT(AND(OR($D2="retain",$D2=""),OR($E2="report_internal_inconsistency",$E2="plan_material")))</x:formula>
    </x:cfRule>
  </x:conditionalFormatting>
  <x:conditionalFormatting sqref="L2:L10">
    <x:cfRule type="expression" dxfId="55" priority="7">
      <x:formula>NOT(AND(OR($D2="retain",$D2=""),$E2="protocol_report"))</x:formula>
    </x:cfRule>
  </x:conditionalFormatting>
  <x:dataValidations count="10">
    <x:dataValidation type="list" sqref="D2:D10">
      <x:formula1>"retain,exclude,discuss"</x:formula1>
    </x:dataValidation>
    <x:dataValidation type="list" sqref="E2:E10">
      <x:formula1>"statistical_results,report_internal_inconsistency,plan_material,protocol_report"</x:formula1>
    </x:dataValidation>
    <x:dataValidation type="list" sqref="F2:F10">
      <x:formula1>"no,primary_done,checker_done"</x:formula1>
    </x:dataValidation>
    <x:dataValidation type="list" sqref="H2:H10">
      <x:formula1>"confirmed_issue,probable_issue,not_issue,indeterminate,not_applicable"</x:formula1>
    </x:dataValidation>
    <x:dataValidation type="list" sqref="I2:I10">
      <x:formula1>"substantive,minor_presentation,indeterminate,not_applicable"</x:formula1>
    </x:dataValidation>
    <x:dataValidation type="list" sqref="J2:J10">
      <x:formula1>"direct,possible,unlikely,unknown,not_applicable"</x:formula1>
    </x:dataValidation>
    <x:dataValidation type="list" sqref="K2:K10">
      <x:formula1>"substantive_inconsistency,minor_presentation,non_inconsistency,indeterminate,not_applicable"</x:formula1>
    </x:dataValidation>
    <x:dataValidation type="list" sqref="L2:L10">
      <x:formula1>"substantive_difference,minor_presentation,version_timing,non_inconsistency,indeterminate,not_applicable"</x:formula1>
    </x:dataValidation>
    <x:dataValidation type="list" sqref="N2:N10">
      <x:formula1>"agree,agree_clarification,disagree,unable"</x:formula1>
    </x:dataValidation>
    <x:dataValidation type="list" sqref="P2:P10">
      <x:formula1>"pending,resolved"</x:formula1>
    </x:dataValidation>
  </x:dataValidations>
  <x:pageMargins left="0.7" right="0.7" top="0.75" bottom="0.75" header="0.3" footer="0.3"/>
  <x:tableParts count="1">
    <x:tablePart xmlns:r="http://schemas.openxmlformats.org/officeDocument/2006/relationships" r:id="Rb56dcc50148c4653"/>
  </x:tableParts>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2019::jama.2019.4755::C001</x:v>
      </x:c>
      <x:c r="B2" s="6" t="str">
        <x:v>Women’s quantitative 10.2 µg Hb/g PPV difference point estimate is absent</x:v>
      </x:c>
      <x:c r="C2" s="6" t="str">
        <x:v>joi190039supp3_prod.pdf — PDF p. 7, DOC-004 eTable 5, Women/Quantitative/10.2, Difference in PPV; comparator joi190039supp3_prod.pdf — PDF p. 6, DOC-004 eTable 4, same population, test, cutoff, day, and per-protocol analysis.</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IDs",IF(OR(COUNTIF($A$2:$A$6,A2)&lt;&gt;1,COUNTIF(Decisions!$C$2:$C$72,A2)&lt;&gt;1),"CHECK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2019::jama.2019.4755::C002</x:v>
      </x:c>
      <x:c r="B3" s="3" t="str">
        <x:v>Women’s quantitative 17.0 µg Hb/g PPV difference point estimate is absent</x:v>
      </x:c>
      <x:c r="C3" s="3" t="str">
        <x:v>joi190039supp3_prod.pdf — PDF p. 7, DOC-004 eTable 5, Women/Quantitative/17.0, Difference in PPV; comparator joi190039supp3_prod.pdf — PDF p. 6, DOC-004 eTable 4, same population, test, cutoff, day, and per-protocol analysis.</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IDs",IF(OR(COUNTIF($A$2:$A$6,A3)&lt;&gt;1,COUNTIF(Decisions!$C$2:$C$72,A3)&lt;&gt;1),"CHECK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2019::jama.2019.4755::C003</x:v>
      </x:c>
      <x:c r="B4" s="6" t="str">
        <x:v>Women’s qualitative 10.2 µg Hb/g PPV difference point estimate is absent</x:v>
      </x:c>
      <x:c r="C4" s="6" t="str">
        <x:v>joi190039supp3_prod.pdf — PDF p. 7, DOC-004 eTable 5, Women/Qualitative/10.2, Difference in PPV; comparator joi190039supp3_prod.pdf — PDF p. 6, DOC-004 eTable 4, same population, test, cutoff, day, and per-protocol analysis.</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IDs",IF(OR(COUNTIF($A$2:$A$6,A4)&lt;&gt;1,COUNTIF(Decisions!$C$2:$C$72,A4)&lt;&gt;1),"CHECK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2019::jama.2019.4755::C004</x:v>
      </x:c>
      <x:c r="B5" s="3" t="str">
        <x:v>eTable 5 visible cutoff header truncates after [µg</x:v>
      </x:c>
      <x:c r="C5" s="3" t="str">
        <x:v>joi190039supp3_prod.pdf — PDF p. 7, DOC-004 eTable 5 visible cutoff header; comparator joi190039supp3_prod.pdf — PDF p. 6, DOC-004 eTable 4 header Cutoff [µg Hb/g]; additional matched main-table display jama_brenner_2019_oi_190039.pdf — PDF p. 5.</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IDs",IF(OR(COUNTIF($A$2:$A$6,A5)&lt;&gt;1,COUNTIF(Decisions!$C$2:$C$72,A5)&lt;&gt;1),"CHECK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2019::jama.2019.4755::C005</x:v>
      </x:c>
      <x:c r="B6" s="6" t="str">
        <x:v>One SAP occurrence omits the microgram prefix from the 10.2 cutoff</x:v>
      </x:c>
      <x:c r="C6" s="6" t="str">
        <x:v>joi190039supp2_prod.pdf — PDF p. 6, DOC-003 §3.2; comparator joi190039supp2_prod.pdf — PDF p. 8, DOC-003 §5.4; matched context jama_brenner_2019_oi_190039.pdf — PDF p. 1 and jama_brenner_2019_oi_190039.pdf — PDF p. 5.</x:v>
      </x:c>
      <x:c r="D6" s="7" t="str"/>
      <x:c r="E6" s="7" t="str">
        <x:v>plan_material</x:v>
      </x:c>
      <x:c r="F6" s="7" t="str">
        <x:v>no</x:v>
      </x:c>
      <x:c r="G6" s="6" t="str">
        <x:f>IFERROR(IF(NOT(OR(Setup!$B$6="primary",Setup!$B$6="checker")),"CHECK STAGE",IF(OR(LEN(TRIM(Setup!$B$2))=0,Setup!$B$2&lt;&gt;TRIM(Setup!$B$2),AND(Setup!$B$6="checker",OR(LEN(TRIM(Setup!$B$4))=0,Setup!$B$4&lt;&gt;TRIM(Setup!$B$4),LOWER(TRIM(Setup!$B$4))=LOWER(TRIM(Setup!$B$2))))),"CHECK REVIEWER IDs",IF(OR(COUNTIF($A$2:$A$6,A6)&lt;&gt;1,COUNTIF(Decisions!$C$2:$C$72,A6)&lt;&gt;1),"CHECK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sheetData>
  <x:conditionalFormatting sqref="G2:G6">
    <x:cfRule type="expression" dxfId="56" priority="1">
      <x:formula>AND(G2&lt;&gt;"PRIMARY READY",G2&lt;&gt;"FINAL READY")</x:formula>
    </x:cfRule>
  </x:conditionalFormatting>
  <x:conditionalFormatting sqref="N2:Q6">
    <x:cfRule type="expression" dxfId="57" priority="2">
      <x:formula>Setup!$B$6="primary"</x:formula>
    </x:cfRule>
  </x:conditionalFormatting>
  <x:conditionalFormatting sqref="H2:H6">
    <x:cfRule type="expression" dxfId="58" priority="3">
      <x:formula>NOT(AND(OR($D2="retain",$D2=""),$E2="statistical_results"))</x:formula>
    </x:cfRule>
  </x:conditionalFormatting>
  <x:conditionalFormatting sqref="I2:I6">
    <x:cfRule type="expression" dxfId="59" priority="4">
      <x:formula>NOT(AND(OR($D2="retain",$D2=""),$E2="statistical_results"))</x:formula>
    </x:cfRule>
  </x:conditionalFormatting>
  <x:conditionalFormatting sqref="J2:J6">
    <x:cfRule type="expression" dxfId="60" priority="5">
      <x:formula>NOT(AND(OR($D2="retain",$D2=""),$E2="statistical_results"))</x:formula>
    </x:cfRule>
  </x:conditionalFormatting>
  <x:conditionalFormatting sqref="K2:K6">
    <x:cfRule type="expression" dxfId="61" priority="6">
      <x:formula>NOT(AND(OR($D2="retain",$D2=""),OR($E2="report_internal_inconsistency",$E2="plan_material")))</x:formula>
    </x:cfRule>
  </x:conditionalFormatting>
  <x:conditionalFormatting sqref="L2:L6">
    <x:cfRule type="expression" dxfId="62" priority="7">
      <x:formula>NOT(AND(OR($D2="retain",$D2=""),$E2="protocol_report"))</x:formula>
    </x:cfRule>
  </x:conditionalFormatting>
  <x:dataValidations count="10">
    <x:dataValidation type="list" sqref="D2:D6">
      <x:formula1>"retain,exclude,discuss"</x:formula1>
    </x:dataValidation>
    <x:dataValidation type="list" sqref="E2:E6">
      <x:formula1>"statistical_results,report_internal_inconsistency,plan_material,protocol_report"</x:formula1>
    </x:dataValidation>
    <x:dataValidation type="list" sqref="F2:F6">
      <x:formula1>"no,primary_done,checker_done"</x:formula1>
    </x:dataValidation>
    <x:dataValidation type="list" sqref="H2:H6">
      <x:formula1>"confirmed_issue,probable_issue,not_issue,indeterminate,not_applicable"</x:formula1>
    </x:dataValidation>
    <x:dataValidation type="list" sqref="I2:I6">
      <x:formula1>"substantive,minor_presentation,indeterminate,not_applicable"</x:formula1>
    </x:dataValidation>
    <x:dataValidation type="list" sqref="J2:J6">
      <x:formula1>"direct,possible,unlikely,unknown,not_applicable"</x:formula1>
    </x:dataValidation>
    <x:dataValidation type="list" sqref="K2:K6">
      <x:formula1>"substantive_inconsistency,minor_presentation,non_inconsistency,indeterminate,not_applicable"</x:formula1>
    </x:dataValidation>
    <x:dataValidation type="list" sqref="L2:L6">
      <x:formula1>"substantive_difference,minor_presentation,version_timing,non_inconsistency,indeterminate,not_applicable"</x:formula1>
    </x:dataValidation>
    <x:dataValidation type="list" sqref="N2:N6">
      <x:formula1>"agree,agree_clarification,disagree,unable"</x:formula1>
    </x:dataValidation>
    <x:dataValidation type="list" sqref="P2:P6">
      <x:formula1>"pending,resolved"</x:formula1>
    </x:dataValidation>
  </x:dataValidations>
  <x:pageMargins left="0.7" right="0.7" top="0.75" bottom="0.75" header="0.3" footer="0.3"/>
  <x:tableParts count="1">
    <x:tablePart xmlns:r="http://schemas.openxmlformats.org/officeDocument/2006/relationships" r:id="R37398bfb43f34526"/>
  </x:tableParts>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2019::jama.2019.7505::C001</x:v>
      </x:c>
      <x:c r="B2" s="6" t="str">
        <x:v>Hypoxemia confidence-interval endpoint sign differs between abstract and Table 3</x:v>
      </x:c>
      <x:c r="C2" s="6" t="str">
        <x:v>DOC-001, jama_bluth_2019_oi_190055_16092.pdf — PDF p. 1, abstract and PDF p. 9, Table 3.</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IDs",IF(OR(COUNTIF($A$2:$A$5,A2)&lt;&gt;1,COUNTIF(Decisions!$C$2:$C$72,A2)&lt;&gt;1),"CHECK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2019::jama.2019.7505::C002</x:v>
      </x:c>
      <x:c r="B3" s="3" t="str">
        <x:v>DIC row finite risk ratio and narrow interval do not reconcile with zero comparator events</x:v>
      </x:c>
      <x:c r="C3" s="3" t="str">
        <x:v>DOC-001, jama_bluth_2019_oi_190055_16092.pdf — PDF p. 9, Table 3; PDF p. 10, continued Table 3 footnotes; and PDF p. 4, binary-outcome method.</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IDs",IF(OR(COUNTIF($A$2:$A$5,A3)&lt;&gt;1,COUNTIF(Decisions!$C$2:$C$72,A3)&lt;&gt;1),"CHECK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2019::jama.2019.7505::C003</x:v>
      </x:c>
      <x:c r="B4" s="6" t="str">
        <x:v>Protocol analysis sentence combines odds-ratio and relative-risk labels</x:v>
      </x:c>
      <x:c r="C4" s="6" t="str">
        <x:v>DOC-002, joi190055supp1_prod_16092.pdf — physical PDF p. 23 (footer p. 22), section 8.2 Analysis; comparator definitions in DOC-004, joi190055supp3_prod_16092.pdf — PDF p. 2 and PDF p. 3.</x:v>
      </x:c>
      <x:c r="D4" s="7" t="str"/>
      <x:c r="E4" s="7" t="str">
        <x:v>plan_material</x:v>
      </x:c>
      <x:c r="F4" s="7" t="str">
        <x:v>no</x:v>
      </x:c>
      <x:c r="G4" s="6" t="str">
        <x:f>IFERROR(IF(NOT(OR(Setup!$B$6="primary",Setup!$B$6="checker")),"CHECK STAGE",IF(OR(LEN(TRIM(Setup!$B$2))=0,Setup!$B$2&lt;&gt;TRIM(Setup!$B$2),AND(Setup!$B$6="checker",OR(LEN(TRIM(Setup!$B$4))=0,Setup!$B$4&lt;&gt;TRIM(Setup!$B$4),LOWER(TRIM(Setup!$B$4))=LOWER(TRIM(Setup!$B$2))))),"CHECK REVIEWER IDs",IF(OR(COUNTIF($A$2:$A$5,A4)&lt;&gt;1,COUNTIF(Decisions!$C$2:$C$72,A4)&lt;&gt;1),"CHECK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2019::jama.2019.7505::C004</x:v>
      </x:c>
      <x:c r="B5" s="3" t="str">
        <x:v>eFigure 11 mortality values are described as extra-pulmonary complications</x:v>
      </x:c>
      <x:c r="C5" s="3" t="str">
        <x:v>DOC-005, joi190055supp4_prod_16092.pdf — PDF p. 41, eFigure 11; comparator PDF p. 40, eFigure 10; and DOC-001, jama_bluth_2019_oi_190055_16092.pdf — PDF p. 10, Table 3.</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IDs",IF(OR(COUNTIF($A$2:$A$5,A5)&lt;&gt;1,COUNTIF(Decisions!$C$2:$C$72,A5)&lt;&gt;1),"CHECK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sheetData>
  <x:conditionalFormatting sqref="G2:G5">
    <x:cfRule type="expression" dxfId="63" priority="1">
      <x:formula>AND(G2&lt;&gt;"PRIMARY READY",G2&lt;&gt;"FINAL READY")</x:formula>
    </x:cfRule>
  </x:conditionalFormatting>
  <x:conditionalFormatting sqref="N2:Q5">
    <x:cfRule type="expression" dxfId="64" priority="2">
      <x:formula>Setup!$B$6="primary"</x:formula>
    </x:cfRule>
  </x:conditionalFormatting>
  <x:conditionalFormatting sqref="H2:H5">
    <x:cfRule type="expression" dxfId="65" priority="3">
      <x:formula>NOT(AND(OR($D2="retain",$D2=""),$E2="statistical_results"))</x:formula>
    </x:cfRule>
  </x:conditionalFormatting>
  <x:conditionalFormatting sqref="I2:I5">
    <x:cfRule type="expression" dxfId="66" priority="4">
      <x:formula>NOT(AND(OR($D2="retain",$D2=""),$E2="statistical_results"))</x:formula>
    </x:cfRule>
  </x:conditionalFormatting>
  <x:conditionalFormatting sqref="J2:J5">
    <x:cfRule type="expression" dxfId="67" priority="5">
      <x:formula>NOT(AND(OR($D2="retain",$D2=""),$E2="statistical_results"))</x:formula>
    </x:cfRule>
  </x:conditionalFormatting>
  <x:conditionalFormatting sqref="K2:K5">
    <x:cfRule type="expression" dxfId="68" priority="6">
      <x:formula>NOT(AND(OR($D2="retain",$D2=""),OR($E2="report_internal_inconsistency",$E2="plan_material")))</x:formula>
    </x:cfRule>
  </x:conditionalFormatting>
  <x:conditionalFormatting sqref="L2:L5">
    <x:cfRule type="expression" dxfId="69" priority="7">
      <x:formula>NOT(AND(OR($D2="retain",$D2=""),$E2="protocol_report"))</x:formula>
    </x:cfRule>
  </x:conditionalFormatting>
  <x:dataValidations count="10">
    <x:dataValidation type="list" sqref="D2:D5">
      <x:formula1>"retain,exclude,discuss"</x:formula1>
    </x:dataValidation>
    <x:dataValidation type="list" sqref="E2:E5">
      <x:formula1>"statistical_results,report_internal_inconsistency,plan_material,protocol_report"</x:formula1>
    </x:dataValidation>
    <x:dataValidation type="list" sqref="F2:F5">
      <x:formula1>"no,primary_done,checker_done"</x:formula1>
    </x:dataValidation>
    <x:dataValidation type="list" sqref="H2:H5">
      <x:formula1>"confirmed_issue,probable_issue,not_issue,indeterminate,not_applicable"</x:formula1>
    </x:dataValidation>
    <x:dataValidation type="list" sqref="I2:I5">
      <x:formula1>"substantive,minor_presentation,indeterminate,not_applicable"</x:formula1>
    </x:dataValidation>
    <x:dataValidation type="list" sqref="J2:J5">
      <x:formula1>"direct,possible,unlikely,unknown,not_applicable"</x:formula1>
    </x:dataValidation>
    <x:dataValidation type="list" sqref="K2:K5">
      <x:formula1>"substantive_inconsistency,minor_presentation,non_inconsistency,indeterminate,not_applicable"</x:formula1>
    </x:dataValidation>
    <x:dataValidation type="list" sqref="L2:L5">
      <x:formula1>"substantive_difference,minor_presentation,version_timing,non_inconsistency,indeterminate,not_applicable"</x:formula1>
    </x:dataValidation>
    <x:dataValidation type="list" sqref="N2:N5">
      <x:formula1>"agree,agree_clarification,disagree,unable"</x:formula1>
    </x:dataValidation>
    <x:dataValidation type="list" sqref="P2:P5">
      <x:formula1>"pending,resolved"</x:formula1>
    </x:dataValidation>
  </x:dataValidations>
  <x:pageMargins left="0.7" right="0.7" top="0.75" bottom="0.75" header="0.3" footer="0.3"/>
  <x:tableParts count="1">
    <x:tablePart xmlns:r="http://schemas.openxmlformats.org/officeDocument/2006/relationships" r:id="Ra790fd7e413c441b"/>
  </x:tableParts>
</x:worksheet>
</file>

<file path=xl/worksheets/sheet1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0" hidden="0" customWidth="1"/>
    <x:col min="3" max="3" width="26" hidden="0" customWidth="1"/>
    <x:col min="4" max="4" width="26" hidden="0" customWidth="1"/>
    <x:col min="5" max="5" width="24" hidden="0" customWidth="1"/>
    <x:col min="6" max="6" width="24" hidden="0" customWidth="1"/>
    <x:col min="7" max="7" width="26" hidden="0" customWidth="1"/>
    <x:col min="8" max="8" width="26" hidden="0" customWidth="1"/>
    <x:col min="9" max="9" width="40" hidden="0" customWidth="1"/>
    <x:col min="10" max="10" width="22" hidden="0" customWidth="1"/>
    <x:col min="11" max="11" width="26" hidden="0" customWidth="1"/>
    <x:col min="12" max="12" width="75" hidden="0" customWidth="1"/>
  </x:cols>
  <x:sheetData>
    <x:row r="1" ht="42" customHeight="1">
      <x:c r="A1" s="5" t="str">
        <x:v>key</x:v>
      </x:c>
      <x:c r="B1" s="5" t="str">
        <x:v>disposition</x:v>
      </x:c>
      <x:c r="C1" s="5" t="str">
        <x:v>domain</x:v>
      </x:c>
      <x:c r="D1" s="5" t="str">
        <x:v>statisticalIssueStatus</x:v>
      </x:c>
      <x:c r="E1" s="5" t="str">
        <x:v>substantiveStatus</x:v>
      </x:c>
      <x:c r="F1" s="5" t="str">
        <x:v>downstreamImpact</x:v>
      </x:c>
      <x:c r="G1" s="5" t="str">
        <x:v>internalStatus</x:v>
      </x:c>
      <x:c r="H1" s="5" t="str">
        <x:v>protocolInterpretation</x:v>
      </x:c>
      <x:c r="I1" s="5" t="str">
        <x:v>notes</x:v>
      </x:c>
      <x:c r="J1" s="5" t="str">
        <x:v>reviewComplete</x:v>
      </x:c>
      <x:c r="K1" s="5" t="str">
        <x:v>primaryReviewerId</x:v>
      </x:c>
      <x:c r="L1" s="5" t="str">
        <x:v>summary</x:v>
      </x:c>
    </x:row>
    <x:row r="2" ht="70" customHeight="1">
      <x:c r="A2" s="6" t="str">
        <x:f>IF(Setup!$B$6="primary","2019::jama.2019.0556::C001","NOT FROZEN")</x:f>
        <x:v>2019::jama.2019.0556::C001</x:v>
      </x:c>
      <x:c r="B2" s="6" t="str">
        <x:f>IF(Setup!$B$6="primary",IF(INDEX('C_jama.2019.0556'!$D$2:$D$10,MATCH("2019::jama.2019.0556::C001",'C_jama.2019.0556'!$A$2:$A$10,0))="","",INDEX('C_jama.2019.0556'!$D$2:$D$10,MATCH("2019::jama.2019.0556::C001",'C_jama.2019.0556'!$A$2:$A$10,0))),"NOT FROZEN")</x:f>
      </x:c>
      <x:c r="C2" s="6" t="str">
        <x:f>IF(Setup!$B$6="primary",IF(INDEX('C_jama.2019.0556'!$E$2:$E$10,MATCH("2019::jama.2019.0556::C001",'C_jama.2019.0556'!$A$2:$A$10,0))="","",INDEX('C_jama.2019.0556'!$E$2:$E$10,MATCH("2019::jama.2019.0556::C001",'C_jama.2019.0556'!$A$2:$A$10,0))),"NOT FROZEN")</x:f>
        <x:v>report_internal_inconsistency</x:v>
      </x:c>
      <x:c r="D2" s="6" t="str">
        <x:f>IF(Setup!$B$6="primary",IF(AND(INDEX('C_jama.2019.0556'!$D$2:$D$10,MATCH("2019::jama.2019.0556::C001",'C_jama.2019.0556'!$A$2:$A$10,0))="retain",INDEX('C_jama.2019.0556'!$E$2:$E$10,MATCH("2019::jama.2019.0556::C001",'C_jama.2019.0556'!$A$2:$A$10,0))="statistical_results"),IF(INDEX('C_jama.2019.0556'!$H$2:$H$10,MATCH("2019::jama.2019.0556::C001",'C_jama.2019.0556'!$A$2:$A$10,0))="","",INDEX('C_jama.2019.0556'!$H$2:$H$10,MATCH("2019::jama.2019.0556::C001",'C_jama.2019.0556'!$A$2:$A$10,0))),"not_applicable"),"NOT FROZEN")</x:f>
        <x:v>not_applicable</x:v>
      </x:c>
      <x:c r="E2" s="6" t="str">
        <x:f>IF(Setup!$B$6="primary",IF(AND(INDEX('C_jama.2019.0556'!$D$2:$D$10,MATCH("2019::jama.2019.0556::C001",'C_jama.2019.0556'!$A$2:$A$10,0))="retain",INDEX('C_jama.2019.0556'!$E$2:$E$10,MATCH("2019::jama.2019.0556::C001",'C_jama.2019.0556'!$A$2:$A$10,0))="statistical_results"),IF(INDEX('C_jama.2019.0556'!$I$2:$I$10,MATCH("2019::jama.2019.0556::C001",'C_jama.2019.0556'!$A$2:$A$10,0))="","",INDEX('C_jama.2019.0556'!$I$2:$I$10,MATCH("2019::jama.2019.0556::C001",'C_jama.2019.0556'!$A$2:$A$10,0))),"not_applicable"),"NOT FROZEN")</x:f>
        <x:v>not_applicable</x:v>
      </x:c>
      <x:c r="F2" s="6" t="str">
        <x:f>IF(Setup!$B$6="primary",IF(AND(INDEX('C_jama.2019.0556'!$D$2:$D$10,MATCH("2019::jama.2019.0556::C001",'C_jama.2019.0556'!$A$2:$A$10,0))="retain",INDEX('C_jama.2019.0556'!$E$2:$E$10,MATCH("2019::jama.2019.0556::C001",'C_jama.2019.0556'!$A$2:$A$10,0))="statistical_results"),IF(INDEX('C_jama.2019.0556'!$J$2:$J$10,MATCH("2019::jama.2019.0556::C001",'C_jama.2019.0556'!$A$2:$A$10,0))="","",INDEX('C_jama.2019.0556'!$J$2:$J$10,MATCH("2019::jama.2019.0556::C001",'C_jama.2019.0556'!$A$2:$A$10,0))),"not_applicable"),"NOT FROZEN")</x:f>
        <x:v>not_applicable</x:v>
      </x:c>
      <x:c r="G2" s="6" t="str">
        <x:f>IF(Setup!$B$6="primary",IF(AND(INDEX('C_jama.2019.0556'!$D$2:$D$10,MATCH("2019::jama.2019.0556::C001",'C_jama.2019.0556'!$A$2:$A$10,0))="retain",OR(INDEX('C_jama.2019.0556'!$E$2:$E$10,MATCH("2019::jama.2019.0556::C001",'C_jama.2019.0556'!$A$2:$A$10,0))="report_internal_inconsistency",INDEX('C_jama.2019.0556'!$E$2:$E$10,MATCH("2019::jama.2019.0556::C001",'C_jama.2019.0556'!$A$2:$A$10,0))="plan_material")),IF(INDEX('C_jama.2019.0556'!$K$2:$K$10,MATCH("2019::jama.2019.0556::C001",'C_jama.2019.0556'!$A$2:$A$10,0))="","",INDEX('C_jama.2019.0556'!$K$2:$K$10,MATCH("2019::jama.2019.0556::C001",'C_jama.2019.0556'!$A$2:$A$10,0))),"not_applicable"),"NOT FROZEN")</x:f>
        <x:v>not_applicable</x:v>
      </x:c>
      <x:c r="H2" s="6" t="str">
        <x:f>IF(Setup!$B$6="primary",IF(AND(INDEX('C_jama.2019.0556'!$D$2:$D$10,MATCH("2019::jama.2019.0556::C001",'C_jama.2019.0556'!$A$2:$A$10,0))="retain",INDEX('C_jama.2019.0556'!$E$2:$E$10,MATCH("2019::jama.2019.0556::C001",'C_jama.2019.0556'!$A$2:$A$10,0))="protocol_report"),IF(INDEX('C_jama.2019.0556'!$L$2:$L$10,MATCH("2019::jama.2019.0556::C001",'C_jama.2019.0556'!$A$2:$A$10,0))="","",INDEX('C_jama.2019.0556'!$L$2:$L$10,MATCH("2019::jama.2019.0556::C001",'C_jama.2019.0556'!$A$2:$A$10,0))),"not_applicable"),"NOT FROZEN")</x:f>
        <x:v>not_applicable</x:v>
      </x:c>
      <x:c r="I2" s="6" t="str">
        <x:f>IF(Setup!$B$6="primary",IF(INDEX('C_jama.2019.0556'!$R$2:$R$10,MATCH("2019::jama.2019.0556::C001",'C_jama.2019.0556'!$A$2:$A$10,0))="","",INDEX('C_jama.2019.0556'!$R$2:$R$10,MATCH("2019::jama.2019.0556::C001",'C_jama.2019.0556'!$A$2:$A$10,0))),"NOT FROZEN")</x:f>
      </x:c>
      <x:c r="J2" s="6" t="str">
        <x:f>IF(Setup!$B$6="primary",INDEX('C_jama.2019.0556'!$F$2:$F$10,MATCH("2019::jama.2019.0556::C001",'C_jama.2019.0556'!$A$2:$A$10,0)),"NOT FROZEN")</x:f>
        <x:v>no</x:v>
      </x:c>
      <x:c r="K2" s="6" t="str">
        <x:f>IF(Setup!$B$6="primary",Setup!$B$2,"NOT FROZEN")</x:f>
      </x:c>
      <x:c r="L2" s="6" t="str">
        <x:f>IF(Setup!$B$6="primary",IF(OR(B2="",B2="not_applicable"),"","Disposition: "&amp;B2&amp;CHAR(10))&amp;IF(OR(C2="",C2="not_applicable"),"","Review domain: "&amp;C2&amp;CHAR(10))&amp;IF(OR(D2="",D2="not_applicable"),"","Statistcal_or_numerical issue: "&amp;D2&amp;CHAR(10))&amp;IF(OR(E2="",E2="not_applicable"),"","Substantiveness: "&amp;E2&amp;CHAR(10))&amp;IF(OR(F2="",F2="not_applicable"),"","Downstream impact: "&amp;F2&amp;CHAR(10))&amp;IF(OR(G2="",G2="not_applicable"),"","Report-internal or planning-material inconsistency: "&amp;G2&amp;CHAR(10))&amp;IF(OR(H2="",H2="not_applicable"),"","Protocol interpretation: "&amp;H2&amp;CHAR(10))&amp;IF(OR(I2="",I2="not_applicable"),"","Notes (optional): "&amp;I2&amp;CHAR(10)),"NOT FROZEN")</x:f>
        <x:v>Review domain: report_internal_inconsistency
</x:v>
      </x:c>
    </x:row>
    <x:row r="3" ht="70" customHeight="1">
      <x:c r="A3" s="3" t="str">
        <x:f>IF(Setup!$B$6="primary","2019::jama.2019.0556::C002","NOT FROZEN")</x:f>
        <x:v>2019::jama.2019.0556::C002</x:v>
      </x:c>
      <x:c r="B3" s="3" t="str">
        <x:f>IF(Setup!$B$6="primary",IF(INDEX('C_jama.2019.0556'!$D$2:$D$10,MATCH("2019::jama.2019.0556::C002",'C_jama.2019.0556'!$A$2:$A$10,0))="","",INDEX('C_jama.2019.0556'!$D$2:$D$10,MATCH("2019::jama.2019.0556::C002",'C_jama.2019.0556'!$A$2:$A$10,0))),"NOT FROZEN")</x:f>
      </x:c>
      <x:c r="C3" s="3" t="str">
        <x:f>IF(Setup!$B$6="primary",IF(INDEX('C_jama.2019.0556'!$E$2:$E$10,MATCH("2019::jama.2019.0556::C002",'C_jama.2019.0556'!$A$2:$A$10,0))="","",INDEX('C_jama.2019.0556'!$E$2:$E$10,MATCH("2019::jama.2019.0556::C002",'C_jama.2019.0556'!$A$2:$A$10,0))),"NOT FROZEN")</x:f>
        <x:v>report_internal_inconsistency</x:v>
      </x:c>
      <x:c r="D3" s="3" t="str">
        <x:f>IF(Setup!$B$6="primary",IF(AND(INDEX('C_jama.2019.0556'!$D$2:$D$10,MATCH("2019::jama.2019.0556::C002",'C_jama.2019.0556'!$A$2:$A$10,0))="retain",INDEX('C_jama.2019.0556'!$E$2:$E$10,MATCH("2019::jama.2019.0556::C002",'C_jama.2019.0556'!$A$2:$A$10,0))="statistical_results"),IF(INDEX('C_jama.2019.0556'!$H$2:$H$10,MATCH("2019::jama.2019.0556::C002",'C_jama.2019.0556'!$A$2:$A$10,0))="","",INDEX('C_jama.2019.0556'!$H$2:$H$10,MATCH("2019::jama.2019.0556::C002",'C_jama.2019.0556'!$A$2:$A$10,0))),"not_applicable"),"NOT FROZEN")</x:f>
        <x:v>not_applicable</x:v>
      </x:c>
      <x:c r="E3" s="3" t="str">
        <x:f>IF(Setup!$B$6="primary",IF(AND(INDEX('C_jama.2019.0556'!$D$2:$D$10,MATCH("2019::jama.2019.0556::C002",'C_jama.2019.0556'!$A$2:$A$10,0))="retain",INDEX('C_jama.2019.0556'!$E$2:$E$10,MATCH("2019::jama.2019.0556::C002",'C_jama.2019.0556'!$A$2:$A$10,0))="statistical_results"),IF(INDEX('C_jama.2019.0556'!$I$2:$I$10,MATCH("2019::jama.2019.0556::C002",'C_jama.2019.0556'!$A$2:$A$10,0))="","",INDEX('C_jama.2019.0556'!$I$2:$I$10,MATCH("2019::jama.2019.0556::C002",'C_jama.2019.0556'!$A$2:$A$10,0))),"not_applicable"),"NOT FROZEN")</x:f>
        <x:v>not_applicable</x:v>
      </x:c>
      <x:c r="F3" s="3" t="str">
        <x:f>IF(Setup!$B$6="primary",IF(AND(INDEX('C_jama.2019.0556'!$D$2:$D$10,MATCH("2019::jama.2019.0556::C002",'C_jama.2019.0556'!$A$2:$A$10,0))="retain",INDEX('C_jama.2019.0556'!$E$2:$E$10,MATCH("2019::jama.2019.0556::C002",'C_jama.2019.0556'!$A$2:$A$10,0))="statistical_results"),IF(INDEX('C_jama.2019.0556'!$J$2:$J$10,MATCH("2019::jama.2019.0556::C002",'C_jama.2019.0556'!$A$2:$A$10,0))="","",INDEX('C_jama.2019.0556'!$J$2:$J$10,MATCH("2019::jama.2019.0556::C002",'C_jama.2019.0556'!$A$2:$A$10,0))),"not_applicable"),"NOT FROZEN")</x:f>
        <x:v>not_applicable</x:v>
      </x:c>
      <x:c r="G3" s="3" t="str">
        <x:f>IF(Setup!$B$6="primary",IF(AND(INDEX('C_jama.2019.0556'!$D$2:$D$10,MATCH("2019::jama.2019.0556::C002",'C_jama.2019.0556'!$A$2:$A$10,0))="retain",OR(INDEX('C_jama.2019.0556'!$E$2:$E$10,MATCH("2019::jama.2019.0556::C002",'C_jama.2019.0556'!$A$2:$A$10,0))="report_internal_inconsistency",INDEX('C_jama.2019.0556'!$E$2:$E$10,MATCH("2019::jama.2019.0556::C002",'C_jama.2019.0556'!$A$2:$A$10,0))="plan_material")),IF(INDEX('C_jama.2019.0556'!$K$2:$K$10,MATCH("2019::jama.2019.0556::C002",'C_jama.2019.0556'!$A$2:$A$10,0))="","",INDEX('C_jama.2019.0556'!$K$2:$K$10,MATCH("2019::jama.2019.0556::C002",'C_jama.2019.0556'!$A$2:$A$10,0))),"not_applicable"),"NOT FROZEN")</x:f>
        <x:v>not_applicable</x:v>
      </x:c>
      <x:c r="H3" s="3" t="str">
        <x:f>IF(Setup!$B$6="primary",IF(AND(INDEX('C_jama.2019.0556'!$D$2:$D$10,MATCH("2019::jama.2019.0556::C002",'C_jama.2019.0556'!$A$2:$A$10,0))="retain",INDEX('C_jama.2019.0556'!$E$2:$E$10,MATCH("2019::jama.2019.0556::C002",'C_jama.2019.0556'!$A$2:$A$10,0))="protocol_report"),IF(INDEX('C_jama.2019.0556'!$L$2:$L$10,MATCH("2019::jama.2019.0556::C002",'C_jama.2019.0556'!$A$2:$A$10,0))="","",INDEX('C_jama.2019.0556'!$L$2:$L$10,MATCH("2019::jama.2019.0556::C002",'C_jama.2019.0556'!$A$2:$A$10,0))),"not_applicable"),"NOT FROZEN")</x:f>
        <x:v>not_applicable</x:v>
      </x:c>
      <x:c r="I3" s="3" t="str">
        <x:f>IF(Setup!$B$6="primary",IF(INDEX('C_jama.2019.0556'!$R$2:$R$10,MATCH("2019::jama.2019.0556::C002",'C_jama.2019.0556'!$A$2:$A$10,0))="","",INDEX('C_jama.2019.0556'!$R$2:$R$10,MATCH("2019::jama.2019.0556::C002",'C_jama.2019.0556'!$A$2:$A$10,0))),"NOT FROZEN")</x:f>
      </x:c>
      <x:c r="J3" s="3" t="str">
        <x:f>IF(Setup!$B$6="primary",INDEX('C_jama.2019.0556'!$F$2:$F$10,MATCH("2019::jama.2019.0556::C002",'C_jama.2019.0556'!$A$2:$A$10,0)),"NOT FROZEN")</x:f>
        <x:v>no</x:v>
      </x:c>
      <x:c r="K3" s="3" t="str">
        <x:f>IF(Setup!$B$6="primary",Setup!$B$2,"NOT FROZEN")</x:f>
      </x:c>
      <x:c r="L3" s="3" t="str">
        <x:f>IF(Setup!$B$6="primary",IF(OR(B3="",B3="not_applicable"),"","Disposition: "&amp;B3&amp;CHAR(10))&amp;IF(OR(C3="",C3="not_applicable"),"","Review domain: "&amp;C3&amp;CHAR(10))&amp;IF(OR(D3="",D3="not_applicable"),"","Statistcal_or_numerical issue: "&amp;D3&amp;CHAR(10))&amp;IF(OR(E3="",E3="not_applicable"),"","Substantiveness: "&amp;E3&amp;CHAR(10))&amp;IF(OR(F3="",F3="not_applicable"),"","Downstream impact: "&amp;F3&amp;CHAR(10))&amp;IF(OR(G3="",G3="not_applicable"),"","Report-internal or planning-material inconsistency: "&amp;G3&amp;CHAR(10))&amp;IF(OR(H3="",H3="not_applicable"),"","Protocol interpretation: "&amp;H3&amp;CHAR(10))&amp;IF(OR(I3="",I3="not_applicable"),"","Notes (optional): "&amp;I3&amp;CHAR(10)),"NOT FROZEN")</x:f>
        <x:v>Review domain: report_internal_inconsistency
</x:v>
      </x:c>
    </x:row>
    <x:row r="4" ht="70" customHeight="1">
      <x:c r="A4" s="6" t="str">
        <x:f>IF(Setup!$B$6="primary","2019::jama.2019.0556::C003","NOT FROZEN")</x:f>
        <x:v>2019::jama.2019.0556::C003</x:v>
      </x:c>
      <x:c r="B4" s="6" t="str">
        <x:f>IF(Setup!$B$6="primary",IF(INDEX('C_jama.2019.0556'!$D$2:$D$10,MATCH("2019::jama.2019.0556::C003",'C_jama.2019.0556'!$A$2:$A$10,0))="","",INDEX('C_jama.2019.0556'!$D$2:$D$10,MATCH("2019::jama.2019.0556::C003",'C_jama.2019.0556'!$A$2:$A$10,0))),"NOT FROZEN")</x:f>
      </x:c>
      <x:c r="C4" s="6" t="str">
        <x:f>IF(Setup!$B$6="primary",IF(INDEX('C_jama.2019.0556'!$E$2:$E$10,MATCH("2019::jama.2019.0556::C003",'C_jama.2019.0556'!$A$2:$A$10,0))="","",INDEX('C_jama.2019.0556'!$E$2:$E$10,MATCH("2019::jama.2019.0556::C003",'C_jama.2019.0556'!$A$2:$A$10,0))),"NOT FROZEN")</x:f>
        <x:v>report_internal_inconsistency</x:v>
      </x:c>
      <x:c r="D4" s="6" t="str">
        <x:f>IF(Setup!$B$6="primary",IF(AND(INDEX('C_jama.2019.0556'!$D$2:$D$10,MATCH("2019::jama.2019.0556::C003",'C_jama.2019.0556'!$A$2:$A$10,0))="retain",INDEX('C_jama.2019.0556'!$E$2:$E$10,MATCH("2019::jama.2019.0556::C003",'C_jama.2019.0556'!$A$2:$A$10,0))="statistical_results"),IF(INDEX('C_jama.2019.0556'!$H$2:$H$10,MATCH("2019::jama.2019.0556::C003",'C_jama.2019.0556'!$A$2:$A$10,0))="","",INDEX('C_jama.2019.0556'!$H$2:$H$10,MATCH("2019::jama.2019.0556::C003",'C_jama.2019.0556'!$A$2:$A$10,0))),"not_applicable"),"NOT FROZEN")</x:f>
        <x:v>not_applicable</x:v>
      </x:c>
      <x:c r="E4" s="6" t="str">
        <x:f>IF(Setup!$B$6="primary",IF(AND(INDEX('C_jama.2019.0556'!$D$2:$D$10,MATCH("2019::jama.2019.0556::C003",'C_jama.2019.0556'!$A$2:$A$10,0))="retain",INDEX('C_jama.2019.0556'!$E$2:$E$10,MATCH("2019::jama.2019.0556::C003",'C_jama.2019.0556'!$A$2:$A$10,0))="statistical_results"),IF(INDEX('C_jama.2019.0556'!$I$2:$I$10,MATCH("2019::jama.2019.0556::C003",'C_jama.2019.0556'!$A$2:$A$10,0))="","",INDEX('C_jama.2019.0556'!$I$2:$I$10,MATCH("2019::jama.2019.0556::C003",'C_jama.2019.0556'!$A$2:$A$10,0))),"not_applicable"),"NOT FROZEN")</x:f>
        <x:v>not_applicable</x:v>
      </x:c>
      <x:c r="F4" s="6" t="str">
        <x:f>IF(Setup!$B$6="primary",IF(AND(INDEX('C_jama.2019.0556'!$D$2:$D$10,MATCH("2019::jama.2019.0556::C003",'C_jama.2019.0556'!$A$2:$A$10,0))="retain",INDEX('C_jama.2019.0556'!$E$2:$E$10,MATCH("2019::jama.2019.0556::C003",'C_jama.2019.0556'!$A$2:$A$10,0))="statistical_results"),IF(INDEX('C_jama.2019.0556'!$J$2:$J$10,MATCH("2019::jama.2019.0556::C003",'C_jama.2019.0556'!$A$2:$A$10,0))="","",INDEX('C_jama.2019.0556'!$J$2:$J$10,MATCH("2019::jama.2019.0556::C003",'C_jama.2019.0556'!$A$2:$A$10,0))),"not_applicable"),"NOT FROZEN")</x:f>
        <x:v>not_applicable</x:v>
      </x:c>
      <x:c r="G4" s="6" t="str">
        <x:f>IF(Setup!$B$6="primary",IF(AND(INDEX('C_jama.2019.0556'!$D$2:$D$10,MATCH("2019::jama.2019.0556::C003",'C_jama.2019.0556'!$A$2:$A$10,0))="retain",OR(INDEX('C_jama.2019.0556'!$E$2:$E$10,MATCH("2019::jama.2019.0556::C003",'C_jama.2019.0556'!$A$2:$A$10,0))="report_internal_inconsistency",INDEX('C_jama.2019.0556'!$E$2:$E$10,MATCH("2019::jama.2019.0556::C003",'C_jama.2019.0556'!$A$2:$A$10,0))="plan_material")),IF(INDEX('C_jama.2019.0556'!$K$2:$K$10,MATCH("2019::jama.2019.0556::C003",'C_jama.2019.0556'!$A$2:$A$10,0))="","",INDEX('C_jama.2019.0556'!$K$2:$K$10,MATCH("2019::jama.2019.0556::C003",'C_jama.2019.0556'!$A$2:$A$10,0))),"not_applicable"),"NOT FROZEN")</x:f>
        <x:v>not_applicable</x:v>
      </x:c>
      <x:c r="H4" s="6" t="str">
        <x:f>IF(Setup!$B$6="primary",IF(AND(INDEX('C_jama.2019.0556'!$D$2:$D$10,MATCH("2019::jama.2019.0556::C003",'C_jama.2019.0556'!$A$2:$A$10,0))="retain",INDEX('C_jama.2019.0556'!$E$2:$E$10,MATCH("2019::jama.2019.0556::C003",'C_jama.2019.0556'!$A$2:$A$10,0))="protocol_report"),IF(INDEX('C_jama.2019.0556'!$L$2:$L$10,MATCH("2019::jama.2019.0556::C003",'C_jama.2019.0556'!$A$2:$A$10,0))="","",INDEX('C_jama.2019.0556'!$L$2:$L$10,MATCH("2019::jama.2019.0556::C003",'C_jama.2019.0556'!$A$2:$A$10,0))),"not_applicable"),"NOT FROZEN")</x:f>
        <x:v>not_applicable</x:v>
      </x:c>
      <x:c r="I4" s="6" t="str">
        <x:f>IF(Setup!$B$6="primary",IF(INDEX('C_jama.2019.0556'!$R$2:$R$10,MATCH("2019::jama.2019.0556::C003",'C_jama.2019.0556'!$A$2:$A$10,0))="","",INDEX('C_jama.2019.0556'!$R$2:$R$10,MATCH("2019::jama.2019.0556::C003",'C_jama.2019.0556'!$A$2:$A$10,0))),"NOT FROZEN")</x:f>
      </x:c>
      <x:c r="J4" s="6" t="str">
        <x:f>IF(Setup!$B$6="primary",INDEX('C_jama.2019.0556'!$F$2:$F$10,MATCH("2019::jama.2019.0556::C003",'C_jama.2019.0556'!$A$2:$A$10,0)),"NOT FROZEN")</x:f>
        <x:v>no</x:v>
      </x:c>
      <x:c r="K4" s="6" t="str">
        <x:f>IF(Setup!$B$6="primary",Setup!$B$2,"NOT FROZEN")</x:f>
      </x:c>
      <x:c r="L4" s="6" t="str">
        <x:f>IF(Setup!$B$6="primary",IF(OR(B4="",B4="not_applicable"),"","Disposition: "&amp;B4&amp;CHAR(10))&amp;IF(OR(C4="",C4="not_applicable"),"","Review domain: "&amp;C4&amp;CHAR(10))&amp;IF(OR(D4="",D4="not_applicable"),"","Statistcal_or_numerical issue: "&amp;D4&amp;CHAR(10))&amp;IF(OR(E4="",E4="not_applicable"),"","Substantiveness: "&amp;E4&amp;CHAR(10))&amp;IF(OR(F4="",F4="not_applicable"),"","Downstream impact: "&amp;F4&amp;CHAR(10))&amp;IF(OR(G4="",G4="not_applicable"),"","Report-internal or planning-material inconsistency: "&amp;G4&amp;CHAR(10))&amp;IF(OR(H4="",H4="not_applicable"),"","Protocol interpretation: "&amp;H4&amp;CHAR(10))&amp;IF(OR(I4="",I4="not_applicable"),"","Notes (optional): "&amp;I4&amp;CHAR(10)),"NOT FROZEN")</x:f>
        <x:v>Review domain: report_internal_inconsistency
</x:v>
      </x:c>
    </x:row>
    <x:row r="5" ht="70" customHeight="1">
      <x:c r="A5" s="3" t="str">
        <x:f>IF(Setup!$B$6="primary","2019::jama.2019.0556::C004","NOT FROZEN")</x:f>
        <x:v>2019::jama.2019.0556::C004</x:v>
      </x:c>
      <x:c r="B5" s="3" t="str">
        <x:f>IF(Setup!$B$6="primary",IF(INDEX('C_jama.2019.0556'!$D$2:$D$10,MATCH("2019::jama.2019.0556::C004",'C_jama.2019.0556'!$A$2:$A$10,0))="","",INDEX('C_jama.2019.0556'!$D$2:$D$10,MATCH("2019::jama.2019.0556::C004",'C_jama.2019.0556'!$A$2:$A$10,0))),"NOT FROZEN")</x:f>
      </x:c>
      <x:c r="C5" s="3" t="str">
        <x:f>IF(Setup!$B$6="primary",IF(INDEX('C_jama.2019.0556'!$E$2:$E$10,MATCH("2019::jama.2019.0556::C004",'C_jama.2019.0556'!$A$2:$A$10,0))="","",INDEX('C_jama.2019.0556'!$E$2:$E$10,MATCH("2019::jama.2019.0556::C004",'C_jama.2019.0556'!$A$2:$A$10,0))),"NOT FROZEN")</x:f>
        <x:v>statistical_results</x:v>
      </x:c>
      <x:c r="D5" s="3" t="str">
        <x:f>IF(Setup!$B$6="primary",IF(AND(INDEX('C_jama.2019.0556'!$D$2:$D$10,MATCH("2019::jama.2019.0556::C004",'C_jama.2019.0556'!$A$2:$A$10,0))="retain",INDEX('C_jama.2019.0556'!$E$2:$E$10,MATCH("2019::jama.2019.0556::C004",'C_jama.2019.0556'!$A$2:$A$10,0))="statistical_results"),IF(INDEX('C_jama.2019.0556'!$H$2:$H$10,MATCH("2019::jama.2019.0556::C004",'C_jama.2019.0556'!$A$2:$A$10,0))="","",INDEX('C_jama.2019.0556'!$H$2:$H$10,MATCH("2019::jama.2019.0556::C004",'C_jama.2019.0556'!$A$2:$A$10,0))),"not_applicable"),"NOT FROZEN")</x:f>
        <x:v>not_applicable</x:v>
      </x:c>
      <x:c r="E5" s="3" t="str">
        <x:f>IF(Setup!$B$6="primary",IF(AND(INDEX('C_jama.2019.0556'!$D$2:$D$10,MATCH("2019::jama.2019.0556::C004",'C_jama.2019.0556'!$A$2:$A$10,0))="retain",INDEX('C_jama.2019.0556'!$E$2:$E$10,MATCH("2019::jama.2019.0556::C004",'C_jama.2019.0556'!$A$2:$A$10,0))="statistical_results"),IF(INDEX('C_jama.2019.0556'!$I$2:$I$10,MATCH("2019::jama.2019.0556::C004",'C_jama.2019.0556'!$A$2:$A$10,0))="","",INDEX('C_jama.2019.0556'!$I$2:$I$10,MATCH("2019::jama.2019.0556::C004",'C_jama.2019.0556'!$A$2:$A$10,0))),"not_applicable"),"NOT FROZEN")</x:f>
        <x:v>not_applicable</x:v>
      </x:c>
      <x:c r="F5" s="3" t="str">
        <x:f>IF(Setup!$B$6="primary",IF(AND(INDEX('C_jama.2019.0556'!$D$2:$D$10,MATCH("2019::jama.2019.0556::C004",'C_jama.2019.0556'!$A$2:$A$10,0))="retain",INDEX('C_jama.2019.0556'!$E$2:$E$10,MATCH("2019::jama.2019.0556::C004",'C_jama.2019.0556'!$A$2:$A$10,0))="statistical_results"),IF(INDEX('C_jama.2019.0556'!$J$2:$J$10,MATCH("2019::jama.2019.0556::C004",'C_jama.2019.0556'!$A$2:$A$10,0))="","",INDEX('C_jama.2019.0556'!$J$2:$J$10,MATCH("2019::jama.2019.0556::C004",'C_jama.2019.0556'!$A$2:$A$10,0))),"not_applicable"),"NOT FROZEN")</x:f>
        <x:v>not_applicable</x:v>
      </x:c>
      <x:c r="G5" s="3" t="str">
        <x:f>IF(Setup!$B$6="primary",IF(AND(INDEX('C_jama.2019.0556'!$D$2:$D$10,MATCH("2019::jama.2019.0556::C004",'C_jama.2019.0556'!$A$2:$A$10,0))="retain",OR(INDEX('C_jama.2019.0556'!$E$2:$E$10,MATCH("2019::jama.2019.0556::C004",'C_jama.2019.0556'!$A$2:$A$10,0))="report_internal_inconsistency",INDEX('C_jama.2019.0556'!$E$2:$E$10,MATCH("2019::jama.2019.0556::C004",'C_jama.2019.0556'!$A$2:$A$10,0))="plan_material")),IF(INDEX('C_jama.2019.0556'!$K$2:$K$10,MATCH("2019::jama.2019.0556::C004",'C_jama.2019.0556'!$A$2:$A$10,0))="","",INDEX('C_jama.2019.0556'!$K$2:$K$10,MATCH("2019::jama.2019.0556::C004",'C_jama.2019.0556'!$A$2:$A$10,0))),"not_applicable"),"NOT FROZEN")</x:f>
        <x:v>not_applicable</x:v>
      </x:c>
      <x:c r="H5" s="3" t="str">
        <x:f>IF(Setup!$B$6="primary",IF(AND(INDEX('C_jama.2019.0556'!$D$2:$D$10,MATCH("2019::jama.2019.0556::C004",'C_jama.2019.0556'!$A$2:$A$10,0))="retain",INDEX('C_jama.2019.0556'!$E$2:$E$10,MATCH("2019::jama.2019.0556::C004",'C_jama.2019.0556'!$A$2:$A$10,0))="protocol_report"),IF(INDEX('C_jama.2019.0556'!$L$2:$L$10,MATCH("2019::jama.2019.0556::C004",'C_jama.2019.0556'!$A$2:$A$10,0))="","",INDEX('C_jama.2019.0556'!$L$2:$L$10,MATCH("2019::jama.2019.0556::C004",'C_jama.2019.0556'!$A$2:$A$10,0))),"not_applicable"),"NOT FROZEN")</x:f>
        <x:v>not_applicable</x:v>
      </x:c>
      <x:c r="I5" s="3" t="str">
        <x:f>IF(Setup!$B$6="primary",IF(INDEX('C_jama.2019.0556'!$R$2:$R$10,MATCH("2019::jama.2019.0556::C004",'C_jama.2019.0556'!$A$2:$A$10,0))="","",INDEX('C_jama.2019.0556'!$R$2:$R$10,MATCH("2019::jama.2019.0556::C004",'C_jama.2019.0556'!$A$2:$A$10,0))),"NOT FROZEN")</x:f>
      </x:c>
      <x:c r="J5" s="3" t="str">
        <x:f>IF(Setup!$B$6="primary",INDEX('C_jama.2019.0556'!$F$2:$F$10,MATCH("2019::jama.2019.0556::C004",'C_jama.2019.0556'!$A$2:$A$10,0)),"NOT FROZEN")</x:f>
        <x:v>no</x:v>
      </x:c>
      <x:c r="K5" s="3" t="str">
        <x:f>IF(Setup!$B$6="primary",Setup!$B$2,"NOT FROZEN")</x:f>
      </x:c>
      <x:c r="L5" s="3" t="str">
        <x:f>IF(Setup!$B$6="primary",IF(OR(B5="",B5="not_applicable"),"","Disposition: "&amp;B5&amp;CHAR(10))&amp;IF(OR(C5="",C5="not_applicable"),"","Review domain: "&amp;C5&amp;CHAR(10))&amp;IF(OR(D5="",D5="not_applicable"),"","Statistcal_or_numerical issue: "&amp;D5&amp;CHAR(10))&amp;IF(OR(E5="",E5="not_applicable"),"","Substantiveness: "&amp;E5&amp;CHAR(10))&amp;IF(OR(F5="",F5="not_applicable"),"","Downstream impact: "&amp;F5&amp;CHAR(10))&amp;IF(OR(G5="",G5="not_applicable"),"","Report-internal or planning-material inconsistency: "&amp;G5&amp;CHAR(10))&amp;IF(OR(H5="",H5="not_applicable"),"","Protocol interpretation: "&amp;H5&amp;CHAR(10))&amp;IF(OR(I5="",I5="not_applicable"),"","Notes (optional): "&amp;I5&amp;CHAR(10)),"NOT FROZEN")</x:f>
        <x:v>Review domain: statistical_results
</x:v>
      </x:c>
    </x:row>
    <x:row r="6" ht="70" customHeight="1">
      <x:c r="A6" s="6" t="str">
        <x:f>IF(Setup!$B$6="primary","2019::jama.2019.0556::C005","NOT FROZEN")</x:f>
        <x:v>2019::jama.2019.0556::C005</x:v>
      </x:c>
      <x:c r="B6" s="6" t="str">
        <x:f>IF(Setup!$B$6="primary",IF(INDEX('C_jama.2019.0556'!$D$2:$D$10,MATCH("2019::jama.2019.0556::C005",'C_jama.2019.0556'!$A$2:$A$10,0))="","",INDEX('C_jama.2019.0556'!$D$2:$D$10,MATCH("2019::jama.2019.0556::C005",'C_jama.2019.0556'!$A$2:$A$10,0))),"NOT FROZEN")</x:f>
      </x:c>
      <x:c r="C6" s="6" t="str">
        <x:f>IF(Setup!$B$6="primary",IF(INDEX('C_jama.2019.0556'!$E$2:$E$10,MATCH("2019::jama.2019.0556::C005",'C_jama.2019.0556'!$A$2:$A$10,0))="","",INDEX('C_jama.2019.0556'!$E$2:$E$10,MATCH("2019::jama.2019.0556::C005",'C_jama.2019.0556'!$A$2:$A$10,0))),"NOT FROZEN")</x:f>
        <x:v>statistical_results</x:v>
      </x:c>
      <x:c r="D6" s="6" t="str">
        <x:f>IF(Setup!$B$6="primary",IF(AND(INDEX('C_jama.2019.0556'!$D$2:$D$10,MATCH("2019::jama.2019.0556::C005",'C_jama.2019.0556'!$A$2:$A$10,0))="retain",INDEX('C_jama.2019.0556'!$E$2:$E$10,MATCH("2019::jama.2019.0556::C005",'C_jama.2019.0556'!$A$2:$A$10,0))="statistical_results"),IF(INDEX('C_jama.2019.0556'!$H$2:$H$10,MATCH("2019::jama.2019.0556::C005",'C_jama.2019.0556'!$A$2:$A$10,0))="","",INDEX('C_jama.2019.0556'!$H$2:$H$10,MATCH("2019::jama.2019.0556::C005",'C_jama.2019.0556'!$A$2:$A$10,0))),"not_applicable"),"NOT FROZEN")</x:f>
        <x:v>not_applicable</x:v>
      </x:c>
      <x:c r="E6" s="6" t="str">
        <x:f>IF(Setup!$B$6="primary",IF(AND(INDEX('C_jama.2019.0556'!$D$2:$D$10,MATCH("2019::jama.2019.0556::C005",'C_jama.2019.0556'!$A$2:$A$10,0))="retain",INDEX('C_jama.2019.0556'!$E$2:$E$10,MATCH("2019::jama.2019.0556::C005",'C_jama.2019.0556'!$A$2:$A$10,0))="statistical_results"),IF(INDEX('C_jama.2019.0556'!$I$2:$I$10,MATCH("2019::jama.2019.0556::C005",'C_jama.2019.0556'!$A$2:$A$10,0))="","",INDEX('C_jama.2019.0556'!$I$2:$I$10,MATCH("2019::jama.2019.0556::C005",'C_jama.2019.0556'!$A$2:$A$10,0))),"not_applicable"),"NOT FROZEN")</x:f>
        <x:v>not_applicable</x:v>
      </x:c>
      <x:c r="F6" s="6" t="str">
        <x:f>IF(Setup!$B$6="primary",IF(AND(INDEX('C_jama.2019.0556'!$D$2:$D$10,MATCH("2019::jama.2019.0556::C005",'C_jama.2019.0556'!$A$2:$A$10,0))="retain",INDEX('C_jama.2019.0556'!$E$2:$E$10,MATCH("2019::jama.2019.0556::C005",'C_jama.2019.0556'!$A$2:$A$10,0))="statistical_results"),IF(INDEX('C_jama.2019.0556'!$J$2:$J$10,MATCH("2019::jama.2019.0556::C005",'C_jama.2019.0556'!$A$2:$A$10,0))="","",INDEX('C_jama.2019.0556'!$J$2:$J$10,MATCH("2019::jama.2019.0556::C005",'C_jama.2019.0556'!$A$2:$A$10,0))),"not_applicable"),"NOT FROZEN")</x:f>
        <x:v>not_applicable</x:v>
      </x:c>
      <x:c r="G6" s="6" t="str">
        <x:f>IF(Setup!$B$6="primary",IF(AND(INDEX('C_jama.2019.0556'!$D$2:$D$10,MATCH("2019::jama.2019.0556::C005",'C_jama.2019.0556'!$A$2:$A$10,0))="retain",OR(INDEX('C_jama.2019.0556'!$E$2:$E$10,MATCH("2019::jama.2019.0556::C005",'C_jama.2019.0556'!$A$2:$A$10,0))="report_internal_inconsistency",INDEX('C_jama.2019.0556'!$E$2:$E$10,MATCH("2019::jama.2019.0556::C005",'C_jama.2019.0556'!$A$2:$A$10,0))="plan_material")),IF(INDEX('C_jama.2019.0556'!$K$2:$K$10,MATCH("2019::jama.2019.0556::C005",'C_jama.2019.0556'!$A$2:$A$10,0))="","",INDEX('C_jama.2019.0556'!$K$2:$K$10,MATCH("2019::jama.2019.0556::C005",'C_jama.2019.0556'!$A$2:$A$10,0))),"not_applicable"),"NOT FROZEN")</x:f>
        <x:v>not_applicable</x:v>
      </x:c>
      <x:c r="H6" s="6" t="str">
        <x:f>IF(Setup!$B$6="primary",IF(AND(INDEX('C_jama.2019.0556'!$D$2:$D$10,MATCH("2019::jama.2019.0556::C005",'C_jama.2019.0556'!$A$2:$A$10,0))="retain",INDEX('C_jama.2019.0556'!$E$2:$E$10,MATCH("2019::jama.2019.0556::C005",'C_jama.2019.0556'!$A$2:$A$10,0))="protocol_report"),IF(INDEX('C_jama.2019.0556'!$L$2:$L$10,MATCH("2019::jama.2019.0556::C005",'C_jama.2019.0556'!$A$2:$A$10,0))="","",INDEX('C_jama.2019.0556'!$L$2:$L$10,MATCH("2019::jama.2019.0556::C005",'C_jama.2019.0556'!$A$2:$A$10,0))),"not_applicable"),"NOT FROZEN")</x:f>
        <x:v>not_applicable</x:v>
      </x:c>
      <x:c r="I6" s="6" t="str">
        <x:f>IF(Setup!$B$6="primary",IF(INDEX('C_jama.2019.0556'!$R$2:$R$10,MATCH("2019::jama.2019.0556::C005",'C_jama.2019.0556'!$A$2:$A$10,0))="","",INDEX('C_jama.2019.0556'!$R$2:$R$10,MATCH("2019::jama.2019.0556::C005",'C_jama.2019.0556'!$A$2:$A$10,0))),"NOT FROZEN")</x:f>
      </x:c>
      <x:c r="J6" s="6" t="str">
        <x:f>IF(Setup!$B$6="primary",INDEX('C_jama.2019.0556'!$F$2:$F$10,MATCH("2019::jama.2019.0556::C005",'C_jama.2019.0556'!$A$2:$A$10,0)),"NOT FROZEN")</x:f>
        <x:v>no</x:v>
      </x:c>
      <x:c r="K6" s="6" t="str">
        <x:f>IF(Setup!$B$6="primary",Setup!$B$2,"NOT FROZEN")</x:f>
      </x:c>
      <x:c r="L6" s="6" t="str">
        <x:f>IF(Setup!$B$6="primary",IF(OR(B6="",B6="not_applicable"),"","Disposition: "&amp;B6&amp;CHAR(10))&amp;IF(OR(C6="",C6="not_applicable"),"","Review domain: "&amp;C6&amp;CHAR(10))&amp;IF(OR(D6="",D6="not_applicable"),"","Statistcal_or_numerical issue: "&amp;D6&amp;CHAR(10))&amp;IF(OR(E6="",E6="not_applicable"),"","Substantiveness: "&amp;E6&amp;CHAR(10))&amp;IF(OR(F6="",F6="not_applicable"),"","Downstream impact: "&amp;F6&amp;CHAR(10))&amp;IF(OR(G6="",G6="not_applicable"),"","Report-internal or planning-material inconsistency: "&amp;G6&amp;CHAR(10))&amp;IF(OR(H6="",H6="not_applicable"),"","Protocol interpretation: "&amp;H6&amp;CHAR(10))&amp;IF(OR(I6="",I6="not_applicable"),"","Notes (optional): "&amp;I6&amp;CHAR(10)),"NOT FROZEN")</x:f>
        <x:v>Review domain: statistical_results
</x:v>
      </x:c>
    </x:row>
    <x:row r="7" ht="70" customHeight="1">
      <x:c r="A7" s="3" t="str">
        <x:f>IF(Setup!$B$6="primary","2019::jama.2019.0556::C006","NOT FROZEN")</x:f>
        <x:v>2019::jama.2019.0556::C006</x:v>
      </x:c>
      <x:c r="B7" s="3" t="str">
        <x:f>IF(Setup!$B$6="primary",IF(INDEX('C_jama.2019.0556'!$D$2:$D$10,MATCH("2019::jama.2019.0556::C006",'C_jama.2019.0556'!$A$2:$A$10,0))="","",INDEX('C_jama.2019.0556'!$D$2:$D$10,MATCH("2019::jama.2019.0556::C006",'C_jama.2019.0556'!$A$2:$A$10,0))),"NOT FROZEN")</x:f>
      </x:c>
      <x:c r="C7" s="3" t="str">
        <x:f>IF(Setup!$B$6="primary",IF(INDEX('C_jama.2019.0556'!$E$2:$E$10,MATCH("2019::jama.2019.0556::C006",'C_jama.2019.0556'!$A$2:$A$10,0))="","",INDEX('C_jama.2019.0556'!$E$2:$E$10,MATCH("2019::jama.2019.0556::C006",'C_jama.2019.0556'!$A$2:$A$10,0))),"NOT FROZEN")</x:f>
        <x:v>plan_material</x:v>
      </x:c>
      <x:c r="D7" s="3" t="str">
        <x:f>IF(Setup!$B$6="primary",IF(AND(INDEX('C_jama.2019.0556'!$D$2:$D$10,MATCH("2019::jama.2019.0556::C006",'C_jama.2019.0556'!$A$2:$A$10,0))="retain",INDEX('C_jama.2019.0556'!$E$2:$E$10,MATCH("2019::jama.2019.0556::C006",'C_jama.2019.0556'!$A$2:$A$10,0))="statistical_results"),IF(INDEX('C_jama.2019.0556'!$H$2:$H$10,MATCH("2019::jama.2019.0556::C006",'C_jama.2019.0556'!$A$2:$A$10,0))="","",INDEX('C_jama.2019.0556'!$H$2:$H$10,MATCH("2019::jama.2019.0556::C006",'C_jama.2019.0556'!$A$2:$A$10,0))),"not_applicable"),"NOT FROZEN")</x:f>
        <x:v>not_applicable</x:v>
      </x:c>
      <x:c r="E7" s="3" t="str">
        <x:f>IF(Setup!$B$6="primary",IF(AND(INDEX('C_jama.2019.0556'!$D$2:$D$10,MATCH("2019::jama.2019.0556::C006",'C_jama.2019.0556'!$A$2:$A$10,0))="retain",INDEX('C_jama.2019.0556'!$E$2:$E$10,MATCH("2019::jama.2019.0556::C006",'C_jama.2019.0556'!$A$2:$A$10,0))="statistical_results"),IF(INDEX('C_jama.2019.0556'!$I$2:$I$10,MATCH("2019::jama.2019.0556::C006",'C_jama.2019.0556'!$A$2:$A$10,0))="","",INDEX('C_jama.2019.0556'!$I$2:$I$10,MATCH("2019::jama.2019.0556::C006",'C_jama.2019.0556'!$A$2:$A$10,0))),"not_applicable"),"NOT FROZEN")</x:f>
        <x:v>not_applicable</x:v>
      </x:c>
      <x:c r="F7" s="3" t="str">
        <x:f>IF(Setup!$B$6="primary",IF(AND(INDEX('C_jama.2019.0556'!$D$2:$D$10,MATCH("2019::jama.2019.0556::C006",'C_jama.2019.0556'!$A$2:$A$10,0))="retain",INDEX('C_jama.2019.0556'!$E$2:$E$10,MATCH("2019::jama.2019.0556::C006",'C_jama.2019.0556'!$A$2:$A$10,0))="statistical_results"),IF(INDEX('C_jama.2019.0556'!$J$2:$J$10,MATCH("2019::jama.2019.0556::C006",'C_jama.2019.0556'!$A$2:$A$10,0))="","",INDEX('C_jama.2019.0556'!$J$2:$J$10,MATCH("2019::jama.2019.0556::C006",'C_jama.2019.0556'!$A$2:$A$10,0))),"not_applicable"),"NOT FROZEN")</x:f>
        <x:v>not_applicable</x:v>
      </x:c>
      <x:c r="G7" s="3" t="str">
        <x:f>IF(Setup!$B$6="primary",IF(AND(INDEX('C_jama.2019.0556'!$D$2:$D$10,MATCH("2019::jama.2019.0556::C006",'C_jama.2019.0556'!$A$2:$A$10,0))="retain",OR(INDEX('C_jama.2019.0556'!$E$2:$E$10,MATCH("2019::jama.2019.0556::C006",'C_jama.2019.0556'!$A$2:$A$10,0))="report_internal_inconsistency",INDEX('C_jama.2019.0556'!$E$2:$E$10,MATCH("2019::jama.2019.0556::C006",'C_jama.2019.0556'!$A$2:$A$10,0))="plan_material")),IF(INDEX('C_jama.2019.0556'!$K$2:$K$10,MATCH("2019::jama.2019.0556::C006",'C_jama.2019.0556'!$A$2:$A$10,0))="","",INDEX('C_jama.2019.0556'!$K$2:$K$10,MATCH("2019::jama.2019.0556::C006",'C_jama.2019.0556'!$A$2:$A$10,0))),"not_applicable"),"NOT FROZEN")</x:f>
        <x:v>not_applicable</x:v>
      </x:c>
      <x:c r="H7" s="3" t="str">
        <x:f>IF(Setup!$B$6="primary",IF(AND(INDEX('C_jama.2019.0556'!$D$2:$D$10,MATCH("2019::jama.2019.0556::C006",'C_jama.2019.0556'!$A$2:$A$10,0))="retain",INDEX('C_jama.2019.0556'!$E$2:$E$10,MATCH("2019::jama.2019.0556::C006",'C_jama.2019.0556'!$A$2:$A$10,0))="protocol_report"),IF(INDEX('C_jama.2019.0556'!$L$2:$L$10,MATCH("2019::jama.2019.0556::C006",'C_jama.2019.0556'!$A$2:$A$10,0))="","",INDEX('C_jama.2019.0556'!$L$2:$L$10,MATCH("2019::jama.2019.0556::C006",'C_jama.2019.0556'!$A$2:$A$10,0))),"not_applicable"),"NOT FROZEN")</x:f>
        <x:v>not_applicable</x:v>
      </x:c>
      <x:c r="I7" s="3" t="str">
        <x:f>IF(Setup!$B$6="primary",IF(INDEX('C_jama.2019.0556'!$R$2:$R$10,MATCH("2019::jama.2019.0556::C006",'C_jama.2019.0556'!$A$2:$A$10,0))="","",INDEX('C_jama.2019.0556'!$R$2:$R$10,MATCH("2019::jama.2019.0556::C006",'C_jama.2019.0556'!$A$2:$A$10,0))),"NOT FROZEN")</x:f>
      </x:c>
      <x:c r="J7" s="3" t="str">
        <x:f>IF(Setup!$B$6="primary",INDEX('C_jama.2019.0556'!$F$2:$F$10,MATCH("2019::jama.2019.0556::C006",'C_jama.2019.0556'!$A$2:$A$10,0)),"NOT FROZEN")</x:f>
        <x:v>no</x:v>
      </x:c>
      <x:c r="K7" s="3" t="str">
        <x:f>IF(Setup!$B$6="primary",Setup!$B$2,"NOT FROZEN")</x:f>
      </x:c>
      <x:c r="L7" s="3" t="str">
        <x:f>IF(Setup!$B$6="primary",IF(OR(B7="",B7="not_applicable"),"","Disposition: "&amp;B7&amp;CHAR(10))&amp;IF(OR(C7="",C7="not_applicable"),"","Review domain: "&amp;C7&amp;CHAR(10))&amp;IF(OR(D7="",D7="not_applicable"),"","Statistcal_or_numerical issue: "&amp;D7&amp;CHAR(10))&amp;IF(OR(E7="",E7="not_applicable"),"","Substantiveness: "&amp;E7&amp;CHAR(10))&amp;IF(OR(F7="",F7="not_applicable"),"","Downstream impact: "&amp;F7&amp;CHAR(10))&amp;IF(OR(G7="",G7="not_applicable"),"","Report-internal or planning-material inconsistency: "&amp;G7&amp;CHAR(10))&amp;IF(OR(H7="",H7="not_applicable"),"","Protocol interpretation: "&amp;H7&amp;CHAR(10))&amp;IF(OR(I7="",I7="not_applicable"),"","Notes (optional): "&amp;I7&amp;CHAR(10)),"NOT FROZEN")</x:f>
        <x:v>Review domain: plan_material
</x:v>
      </x:c>
    </x:row>
    <x:row r="8" ht="70" customHeight="1">
      <x:c r="A8" s="6" t="str">
        <x:f>IF(Setup!$B$6="primary","2019::jama.2019.0556::C007","NOT FROZEN")</x:f>
        <x:v>2019::jama.2019.0556::C007</x:v>
      </x:c>
      <x:c r="B8" s="6" t="str">
        <x:f>IF(Setup!$B$6="primary",IF(INDEX('C_jama.2019.0556'!$D$2:$D$10,MATCH("2019::jama.2019.0556::C007",'C_jama.2019.0556'!$A$2:$A$10,0))="","",INDEX('C_jama.2019.0556'!$D$2:$D$10,MATCH("2019::jama.2019.0556::C007",'C_jama.2019.0556'!$A$2:$A$10,0))),"NOT FROZEN")</x:f>
      </x:c>
      <x:c r="C8" s="6" t="str">
        <x:f>IF(Setup!$B$6="primary",IF(INDEX('C_jama.2019.0556'!$E$2:$E$10,MATCH("2019::jama.2019.0556::C007",'C_jama.2019.0556'!$A$2:$A$10,0))="","",INDEX('C_jama.2019.0556'!$E$2:$E$10,MATCH("2019::jama.2019.0556::C007",'C_jama.2019.0556'!$A$2:$A$10,0))),"NOT FROZEN")</x:f>
        <x:v>protocol_report</x:v>
      </x:c>
      <x:c r="D8" s="6" t="str">
        <x:f>IF(Setup!$B$6="primary",IF(AND(INDEX('C_jama.2019.0556'!$D$2:$D$10,MATCH("2019::jama.2019.0556::C007",'C_jama.2019.0556'!$A$2:$A$10,0))="retain",INDEX('C_jama.2019.0556'!$E$2:$E$10,MATCH("2019::jama.2019.0556::C007",'C_jama.2019.0556'!$A$2:$A$10,0))="statistical_results"),IF(INDEX('C_jama.2019.0556'!$H$2:$H$10,MATCH("2019::jama.2019.0556::C007",'C_jama.2019.0556'!$A$2:$A$10,0))="","",INDEX('C_jama.2019.0556'!$H$2:$H$10,MATCH("2019::jama.2019.0556::C007",'C_jama.2019.0556'!$A$2:$A$10,0))),"not_applicable"),"NOT FROZEN")</x:f>
        <x:v>not_applicable</x:v>
      </x:c>
      <x:c r="E8" s="6" t="str">
        <x:f>IF(Setup!$B$6="primary",IF(AND(INDEX('C_jama.2019.0556'!$D$2:$D$10,MATCH("2019::jama.2019.0556::C007",'C_jama.2019.0556'!$A$2:$A$10,0))="retain",INDEX('C_jama.2019.0556'!$E$2:$E$10,MATCH("2019::jama.2019.0556::C007",'C_jama.2019.0556'!$A$2:$A$10,0))="statistical_results"),IF(INDEX('C_jama.2019.0556'!$I$2:$I$10,MATCH("2019::jama.2019.0556::C007",'C_jama.2019.0556'!$A$2:$A$10,0))="","",INDEX('C_jama.2019.0556'!$I$2:$I$10,MATCH("2019::jama.2019.0556::C007",'C_jama.2019.0556'!$A$2:$A$10,0))),"not_applicable"),"NOT FROZEN")</x:f>
        <x:v>not_applicable</x:v>
      </x:c>
      <x:c r="F8" s="6" t="str">
        <x:f>IF(Setup!$B$6="primary",IF(AND(INDEX('C_jama.2019.0556'!$D$2:$D$10,MATCH("2019::jama.2019.0556::C007",'C_jama.2019.0556'!$A$2:$A$10,0))="retain",INDEX('C_jama.2019.0556'!$E$2:$E$10,MATCH("2019::jama.2019.0556::C007",'C_jama.2019.0556'!$A$2:$A$10,0))="statistical_results"),IF(INDEX('C_jama.2019.0556'!$J$2:$J$10,MATCH("2019::jama.2019.0556::C007",'C_jama.2019.0556'!$A$2:$A$10,0))="","",INDEX('C_jama.2019.0556'!$J$2:$J$10,MATCH("2019::jama.2019.0556::C007",'C_jama.2019.0556'!$A$2:$A$10,0))),"not_applicable"),"NOT FROZEN")</x:f>
        <x:v>not_applicable</x:v>
      </x:c>
      <x:c r="G8" s="6" t="str">
        <x:f>IF(Setup!$B$6="primary",IF(AND(INDEX('C_jama.2019.0556'!$D$2:$D$10,MATCH("2019::jama.2019.0556::C007",'C_jama.2019.0556'!$A$2:$A$10,0))="retain",OR(INDEX('C_jama.2019.0556'!$E$2:$E$10,MATCH("2019::jama.2019.0556::C007",'C_jama.2019.0556'!$A$2:$A$10,0))="report_internal_inconsistency",INDEX('C_jama.2019.0556'!$E$2:$E$10,MATCH("2019::jama.2019.0556::C007",'C_jama.2019.0556'!$A$2:$A$10,0))="plan_material")),IF(INDEX('C_jama.2019.0556'!$K$2:$K$10,MATCH("2019::jama.2019.0556::C007",'C_jama.2019.0556'!$A$2:$A$10,0))="","",INDEX('C_jama.2019.0556'!$K$2:$K$10,MATCH("2019::jama.2019.0556::C007",'C_jama.2019.0556'!$A$2:$A$10,0))),"not_applicable"),"NOT FROZEN")</x:f>
        <x:v>not_applicable</x:v>
      </x:c>
      <x:c r="H8" s="6" t="str">
        <x:f>IF(Setup!$B$6="primary",IF(AND(INDEX('C_jama.2019.0556'!$D$2:$D$10,MATCH("2019::jama.2019.0556::C007",'C_jama.2019.0556'!$A$2:$A$10,0))="retain",INDEX('C_jama.2019.0556'!$E$2:$E$10,MATCH("2019::jama.2019.0556::C007",'C_jama.2019.0556'!$A$2:$A$10,0))="protocol_report"),IF(INDEX('C_jama.2019.0556'!$L$2:$L$10,MATCH("2019::jama.2019.0556::C007",'C_jama.2019.0556'!$A$2:$A$10,0))="","",INDEX('C_jama.2019.0556'!$L$2:$L$10,MATCH("2019::jama.2019.0556::C007",'C_jama.2019.0556'!$A$2:$A$10,0))),"not_applicable"),"NOT FROZEN")</x:f>
        <x:v>not_applicable</x:v>
      </x:c>
      <x:c r="I8" s="6" t="str">
        <x:f>IF(Setup!$B$6="primary",IF(INDEX('C_jama.2019.0556'!$R$2:$R$10,MATCH("2019::jama.2019.0556::C007",'C_jama.2019.0556'!$A$2:$A$10,0))="","",INDEX('C_jama.2019.0556'!$R$2:$R$10,MATCH("2019::jama.2019.0556::C007",'C_jama.2019.0556'!$A$2:$A$10,0))),"NOT FROZEN")</x:f>
      </x:c>
      <x:c r="J8" s="6" t="str">
        <x:f>IF(Setup!$B$6="primary",INDEX('C_jama.2019.0556'!$F$2:$F$10,MATCH("2019::jama.2019.0556::C007",'C_jama.2019.0556'!$A$2:$A$10,0)),"NOT FROZEN")</x:f>
        <x:v>no</x:v>
      </x:c>
      <x:c r="K8" s="6" t="str">
        <x:f>IF(Setup!$B$6="primary",Setup!$B$2,"NOT FROZEN")</x:f>
      </x:c>
      <x:c r="L8" s="6" t="str">
        <x:f>IF(Setup!$B$6="primary",IF(OR(B8="",B8="not_applicable"),"","Disposition: "&amp;B8&amp;CHAR(10))&amp;IF(OR(C8="",C8="not_applicable"),"","Review domain: "&amp;C8&amp;CHAR(10))&amp;IF(OR(D8="",D8="not_applicable"),"","Statistcal_or_numerical issue: "&amp;D8&amp;CHAR(10))&amp;IF(OR(E8="",E8="not_applicable"),"","Substantiveness: "&amp;E8&amp;CHAR(10))&amp;IF(OR(F8="",F8="not_applicable"),"","Downstream impact: "&amp;F8&amp;CHAR(10))&amp;IF(OR(G8="",G8="not_applicable"),"","Report-internal or planning-material inconsistency: "&amp;G8&amp;CHAR(10))&amp;IF(OR(H8="",H8="not_applicable"),"","Protocol interpretation: "&amp;H8&amp;CHAR(10))&amp;IF(OR(I8="",I8="not_applicable"),"","Notes (optional): "&amp;I8&amp;CHAR(10)),"NOT FROZEN")</x:f>
        <x:v>Review domain: protocol_report
</x:v>
      </x:c>
    </x:row>
    <x:row r="9" ht="70" customHeight="1">
      <x:c r="A9" s="3" t="str">
        <x:f>IF(Setup!$B$6="primary","2019::jama.2019.0556::C008","NOT FROZEN")</x:f>
        <x:v>2019::jama.2019.0556::C008</x:v>
      </x:c>
      <x:c r="B9" s="3" t="str">
        <x:f>IF(Setup!$B$6="primary",IF(INDEX('C_jama.2019.0556'!$D$2:$D$10,MATCH("2019::jama.2019.0556::C008",'C_jama.2019.0556'!$A$2:$A$10,0))="","",INDEX('C_jama.2019.0556'!$D$2:$D$10,MATCH("2019::jama.2019.0556::C008",'C_jama.2019.0556'!$A$2:$A$10,0))),"NOT FROZEN")</x:f>
      </x:c>
      <x:c r="C9" s="3" t="str">
        <x:f>IF(Setup!$B$6="primary",IF(INDEX('C_jama.2019.0556'!$E$2:$E$10,MATCH("2019::jama.2019.0556::C008",'C_jama.2019.0556'!$A$2:$A$10,0))="","",INDEX('C_jama.2019.0556'!$E$2:$E$10,MATCH("2019::jama.2019.0556::C008",'C_jama.2019.0556'!$A$2:$A$10,0))),"NOT FROZEN")</x:f>
        <x:v>plan_material</x:v>
      </x:c>
      <x:c r="D9" s="3" t="str">
        <x:f>IF(Setup!$B$6="primary",IF(AND(INDEX('C_jama.2019.0556'!$D$2:$D$10,MATCH("2019::jama.2019.0556::C008",'C_jama.2019.0556'!$A$2:$A$10,0))="retain",INDEX('C_jama.2019.0556'!$E$2:$E$10,MATCH("2019::jama.2019.0556::C008",'C_jama.2019.0556'!$A$2:$A$10,0))="statistical_results"),IF(INDEX('C_jama.2019.0556'!$H$2:$H$10,MATCH("2019::jama.2019.0556::C008",'C_jama.2019.0556'!$A$2:$A$10,0))="","",INDEX('C_jama.2019.0556'!$H$2:$H$10,MATCH("2019::jama.2019.0556::C008",'C_jama.2019.0556'!$A$2:$A$10,0))),"not_applicable"),"NOT FROZEN")</x:f>
        <x:v>not_applicable</x:v>
      </x:c>
      <x:c r="E9" s="3" t="str">
        <x:f>IF(Setup!$B$6="primary",IF(AND(INDEX('C_jama.2019.0556'!$D$2:$D$10,MATCH("2019::jama.2019.0556::C008",'C_jama.2019.0556'!$A$2:$A$10,0))="retain",INDEX('C_jama.2019.0556'!$E$2:$E$10,MATCH("2019::jama.2019.0556::C008",'C_jama.2019.0556'!$A$2:$A$10,0))="statistical_results"),IF(INDEX('C_jama.2019.0556'!$I$2:$I$10,MATCH("2019::jama.2019.0556::C008",'C_jama.2019.0556'!$A$2:$A$10,0))="","",INDEX('C_jama.2019.0556'!$I$2:$I$10,MATCH("2019::jama.2019.0556::C008",'C_jama.2019.0556'!$A$2:$A$10,0))),"not_applicable"),"NOT FROZEN")</x:f>
        <x:v>not_applicable</x:v>
      </x:c>
      <x:c r="F9" s="3" t="str">
        <x:f>IF(Setup!$B$6="primary",IF(AND(INDEX('C_jama.2019.0556'!$D$2:$D$10,MATCH("2019::jama.2019.0556::C008",'C_jama.2019.0556'!$A$2:$A$10,0))="retain",INDEX('C_jama.2019.0556'!$E$2:$E$10,MATCH("2019::jama.2019.0556::C008",'C_jama.2019.0556'!$A$2:$A$10,0))="statistical_results"),IF(INDEX('C_jama.2019.0556'!$J$2:$J$10,MATCH("2019::jama.2019.0556::C008",'C_jama.2019.0556'!$A$2:$A$10,0))="","",INDEX('C_jama.2019.0556'!$J$2:$J$10,MATCH("2019::jama.2019.0556::C008",'C_jama.2019.0556'!$A$2:$A$10,0))),"not_applicable"),"NOT FROZEN")</x:f>
        <x:v>not_applicable</x:v>
      </x:c>
      <x:c r="G9" s="3" t="str">
        <x:f>IF(Setup!$B$6="primary",IF(AND(INDEX('C_jama.2019.0556'!$D$2:$D$10,MATCH("2019::jama.2019.0556::C008",'C_jama.2019.0556'!$A$2:$A$10,0))="retain",OR(INDEX('C_jama.2019.0556'!$E$2:$E$10,MATCH("2019::jama.2019.0556::C008",'C_jama.2019.0556'!$A$2:$A$10,0))="report_internal_inconsistency",INDEX('C_jama.2019.0556'!$E$2:$E$10,MATCH("2019::jama.2019.0556::C008",'C_jama.2019.0556'!$A$2:$A$10,0))="plan_material")),IF(INDEX('C_jama.2019.0556'!$K$2:$K$10,MATCH("2019::jama.2019.0556::C008",'C_jama.2019.0556'!$A$2:$A$10,0))="","",INDEX('C_jama.2019.0556'!$K$2:$K$10,MATCH("2019::jama.2019.0556::C008",'C_jama.2019.0556'!$A$2:$A$10,0))),"not_applicable"),"NOT FROZEN")</x:f>
        <x:v>not_applicable</x:v>
      </x:c>
      <x:c r="H9" s="3" t="str">
        <x:f>IF(Setup!$B$6="primary",IF(AND(INDEX('C_jama.2019.0556'!$D$2:$D$10,MATCH("2019::jama.2019.0556::C008",'C_jama.2019.0556'!$A$2:$A$10,0))="retain",INDEX('C_jama.2019.0556'!$E$2:$E$10,MATCH("2019::jama.2019.0556::C008",'C_jama.2019.0556'!$A$2:$A$10,0))="protocol_report"),IF(INDEX('C_jama.2019.0556'!$L$2:$L$10,MATCH("2019::jama.2019.0556::C008",'C_jama.2019.0556'!$A$2:$A$10,0))="","",INDEX('C_jama.2019.0556'!$L$2:$L$10,MATCH("2019::jama.2019.0556::C008",'C_jama.2019.0556'!$A$2:$A$10,0))),"not_applicable"),"NOT FROZEN")</x:f>
        <x:v>not_applicable</x:v>
      </x:c>
      <x:c r="I9" s="3" t="str">
        <x:f>IF(Setup!$B$6="primary",IF(INDEX('C_jama.2019.0556'!$R$2:$R$10,MATCH("2019::jama.2019.0556::C008",'C_jama.2019.0556'!$A$2:$A$10,0))="","",INDEX('C_jama.2019.0556'!$R$2:$R$10,MATCH("2019::jama.2019.0556::C008",'C_jama.2019.0556'!$A$2:$A$10,0))),"NOT FROZEN")</x:f>
      </x:c>
      <x:c r="J9" s="3" t="str">
        <x:f>IF(Setup!$B$6="primary",INDEX('C_jama.2019.0556'!$F$2:$F$10,MATCH("2019::jama.2019.0556::C008",'C_jama.2019.0556'!$A$2:$A$10,0)),"NOT FROZEN")</x:f>
        <x:v>no</x:v>
      </x:c>
      <x:c r="K9" s="3" t="str">
        <x:f>IF(Setup!$B$6="primary",Setup!$B$2,"NOT FROZEN")</x:f>
      </x:c>
      <x:c r="L9" s="3" t="str">
        <x:f>IF(Setup!$B$6="primary",IF(OR(B9="",B9="not_applicable"),"","Disposition: "&amp;B9&amp;CHAR(10))&amp;IF(OR(C9="",C9="not_applicable"),"","Review domain: "&amp;C9&amp;CHAR(10))&amp;IF(OR(D9="",D9="not_applicable"),"","Statistcal_or_numerical issue: "&amp;D9&amp;CHAR(10))&amp;IF(OR(E9="",E9="not_applicable"),"","Substantiveness: "&amp;E9&amp;CHAR(10))&amp;IF(OR(F9="",F9="not_applicable"),"","Downstream impact: "&amp;F9&amp;CHAR(10))&amp;IF(OR(G9="",G9="not_applicable"),"","Report-internal or planning-material inconsistency: "&amp;G9&amp;CHAR(10))&amp;IF(OR(H9="",H9="not_applicable"),"","Protocol interpretation: "&amp;H9&amp;CHAR(10))&amp;IF(OR(I9="",I9="not_applicable"),"","Notes (optional): "&amp;I9&amp;CHAR(10)),"NOT FROZEN")</x:f>
        <x:v>Review domain: plan_material
</x:v>
      </x:c>
    </x:row>
    <x:row r="10" ht="70" customHeight="1">
      <x:c r="A10" s="6" t="str">
        <x:f>IF(Setup!$B$6="primary","2019::jama.2019.0556::C009","NOT FROZEN")</x:f>
        <x:v>2019::jama.2019.0556::C009</x:v>
      </x:c>
      <x:c r="B10" s="6" t="str">
        <x:f>IF(Setup!$B$6="primary",IF(INDEX('C_jama.2019.0556'!$D$2:$D$10,MATCH("2019::jama.2019.0556::C009",'C_jama.2019.0556'!$A$2:$A$10,0))="","",INDEX('C_jama.2019.0556'!$D$2:$D$10,MATCH("2019::jama.2019.0556::C009",'C_jama.2019.0556'!$A$2:$A$10,0))),"NOT FROZEN")</x:f>
      </x:c>
      <x:c r="C10" s="6" t="str">
        <x:f>IF(Setup!$B$6="primary",IF(INDEX('C_jama.2019.0556'!$E$2:$E$10,MATCH("2019::jama.2019.0556::C009",'C_jama.2019.0556'!$A$2:$A$10,0))="","",INDEX('C_jama.2019.0556'!$E$2:$E$10,MATCH("2019::jama.2019.0556::C009",'C_jama.2019.0556'!$A$2:$A$10,0))),"NOT FROZEN")</x:f>
        <x:v>plan_material</x:v>
      </x:c>
      <x:c r="D10" s="6" t="str">
        <x:f>IF(Setup!$B$6="primary",IF(AND(INDEX('C_jama.2019.0556'!$D$2:$D$10,MATCH("2019::jama.2019.0556::C009",'C_jama.2019.0556'!$A$2:$A$10,0))="retain",INDEX('C_jama.2019.0556'!$E$2:$E$10,MATCH("2019::jama.2019.0556::C009",'C_jama.2019.0556'!$A$2:$A$10,0))="statistical_results"),IF(INDEX('C_jama.2019.0556'!$H$2:$H$10,MATCH("2019::jama.2019.0556::C009",'C_jama.2019.0556'!$A$2:$A$10,0))="","",INDEX('C_jama.2019.0556'!$H$2:$H$10,MATCH("2019::jama.2019.0556::C009",'C_jama.2019.0556'!$A$2:$A$10,0))),"not_applicable"),"NOT FROZEN")</x:f>
        <x:v>not_applicable</x:v>
      </x:c>
      <x:c r="E10" s="6" t="str">
        <x:f>IF(Setup!$B$6="primary",IF(AND(INDEX('C_jama.2019.0556'!$D$2:$D$10,MATCH("2019::jama.2019.0556::C009",'C_jama.2019.0556'!$A$2:$A$10,0))="retain",INDEX('C_jama.2019.0556'!$E$2:$E$10,MATCH("2019::jama.2019.0556::C009",'C_jama.2019.0556'!$A$2:$A$10,0))="statistical_results"),IF(INDEX('C_jama.2019.0556'!$I$2:$I$10,MATCH("2019::jama.2019.0556::C009",'C_jama.2019.0556'!$A$2:$A$10,0))="","",INDEX('C_jama.2019.0556'!$I$2:$I$10,MATCH("2019::jama.2019.0556::C009",'C_jama.2019.0556'!$A$2:$A$10,0))),"not_applicable"),"NOT FROZEN")</x:f>
        <x:v>not_applicable</x:v>
      </x:c>
      <x:c r="F10" s="6" t="str">
        <x:f>IF(Setup!$B$6="primary",IF(AND(INDEX('C_jama.2019.0556'!$D$2:$D$10,MATCH("2019::jama.2019.0556::C009",'C_jama.2019.0556'!$A$2:$A$10,0))="retain",INDEX('C_jama.2019.0556'!$E$2:$E$10,MATCH("2019::jama.2019.0556::C009",'C_jama.2019.0556'!$A$2:$A$10,0))="statistical_results"),IF(INDEX('C_jama.2019.0556'!$J$2:$J$10,MATCH("2019::jama.2019.0556::C009",'C_jama.2019.0556'!$A$2:$A$10,0))="","",INDEX('C_jama.2019.0556'!$J$2:$J$10,MATCH("2019::jama.2019.0556::C009",'C_jama.2019.0556'!$A$2:$A$10,0))),"not_applicable"),"NOT FROZEN")</x:f>
        <x:v>not_applicable</x:v>
      </x:c>
      <x:c r="G10" s="6" t="str">
        <x:f>IF(Setup!$B$6="primary",IF(AND(INDEX('C_jama.2019.0556'!$D$2:$D$10,MATCH("2019::jama.2019.0556::C009",'C_jama.2019.0556'!$A$2:$A$10,0))="retain",OR(INDEX('C_jama.2019.0556'!$E$2:$E$10,MATCH("2019::jama.2019.0556::C009",'C_jama.2019.0556'!$A$2:$A$10,0))="report_internal_inconsistency",INDEX('C_jama.2019.0556'!$E$2:$E$10,MATCH("2019::jama.2019.0556::C009",'C_jama.2019.0556'!$A$2:$A$10,0))="plan_material")),IF(INDEX('C_jama.2019.0556'!$K$2:$K$10,MATCH("2019::jama.2019.0556::C009",'C_jama.2019.0556'!$A$2:$A$10,0))="","",INDEX('C_jama.2019.0556'!$K$2:$K$10,MATCH("2019::jama.2019.0556::C009",'C_jama.2019.0556'!$A$2:$A$10,0))),"not_applicable"),"NOT FROZEN")</x:f>
        <x:v>not_applicable</x:v>
      </x:c>
      <x:c r="H10" s="6" t="str">
        <x:f>IF(Setup!$B$6="primary",IF(AND(INDEX('C_jama.2019.0556'!$D$2:$D$10,MATCH("2019::jama.2019.0556::C009",'C_jama.2019.0556'!$A$2:$A$10,0))="retain",INDEX('C_jama.2019.0556'!$E$2:$E$10,MATCH("2019::jama.2019.0556::C009",'C_jama.2019.0556'!$A$2:$A$10,0))="protocol_report"),IF(INDEX('C_jama.2019.0556'!$L$2:$L$10,MATCH("2019::jama.2019.0556::C009",'C_jama.2019.0556'!$A$2:$A$10,0))="","",INDEX('C_jama.2019.0556'!$L$2:$L$10,MATCH("2019::jama.2019.0556::C009",'C_jama.2019.0556'!$A$2:$A$10,0))),"not_applicable"),"NOT FROZEN")</x:f>
        <x:v>not_applicable</x:v>
      </x:c>
      <x:c r="I10" s="6" t="str">
        <x:f>IF(Setup!$B$6="primary",IF(INDEX('C_jama.2019.0556'!$R$2:$R$10,MATCH("2019::jama.2019.0556::C009",'C_jama.2019.0556'!$A$2:$A$10,0))="","",INDEX('C_jama.2019.0556'!$R$2:$R$10,MATCH("2019::jama.2019.0556::C009",'C_jama.2019.0556'!$A$2:$A$10,0))),"NOT FROZEN")</x:f>
      </x:c>
      <x:c r="J10" s="6" t="str">
        <x:f>IF(Setup!$B$6="primary",INDEX('C_jama.2019.0556'!$F$2:$F$10,MATCH("2019::jama.2019.0556::C009",'C_jama.2019.0556'!$A$2:$A$10,0)),"NOT FROZEN")</x:f>
        <x:v>no</x:v>
      </x:c>
      <x:c r="K10" s="6" t="str">
        <x:f>IF(Setup!$B$6="primary",Setup!$B$2,"NOT FROZEN")</x:f>
      </x:c>
      <x:c r="L10" s="6" t="str">
        <x:f>IF(Setup!$B$6="primary",IF(OR(B10="",B10="not_applicable"),"","Disposition: "&amp;B10&amp;CHAR(10))&amp;IF(OR(C10="",C10="not_applicable"),"","Review domain: "&amp;C10&amp;CHAR(10))&amp;IF(OR(D10="",D10="not_applicable"),"","Statistcal_or_numerical issue: "&amp;D10&amp;CHAR(10))&amp;IF(OR(E10="",E10="not_applicable"),"","Substantiveness: "&amp;E10&amp;CHAR(10))&amp;IF(OR(F10="",F10="not_applicable"),"","Downstream impact: "&amp;F10&amp;CHAR(10))&amp;IF(OR(G10="",G10="not_applicable"),"","Report-internal or planning-material inconsistency: "&amp;G10&amp;CHAR(10))&amp;IF(OR(H10="",H10="not_applicable"),"","Protocol interpretation: "&amp;H10&amp;CHAR(10))&amp;IF(OR(I10="",I10="not_applicable"),"","Notes (optional): "&amp;I10&amp;CHAR(10)),"NOT FROZEN")</x:f>
        <x:v>Review domain: plan_material
</x:v>
      </x:c>
    </x:row>
    <x:row r="11" ht="70" customHeight="1">
      <x:c r="A11" s="3" t="str">
        <x:f>IF(Setup!$B$6="primary","2019::jama.2019.10517::C001","NOT FROZEN")</x:f>
        <x:v>2019::jama.2019.10517::C001</x:v>
      </x:c>
      <x:c r="B11" s="3" t="str">
        <x:f>IF(Setup!$B$6="primary",IF(INDEX('C_jama.2019.10517'!$D$2:$D$4,MATCH("2019::jama.2019.10517::C001",'C_jama.2019.10517'!$A$2:$A$4,0))="","",INDEX('C_jama.2019.10517'!$D$2:$D$4,MATCH("2019::jama.2019.10517::C001",'C_jama.2019.10517'!$A$2:$A$4,0))),"NOT FROZEN")</x:f>
      </x:c>
      <x:c r="C11" s="3" t="str">
        <x:f>IF(Setup!$B$6="primary",IF(INDEX('C_jama.2019.10517'!$E$2:$E$4,MATCH("2019::jama.2019.10517::C001",'C_jama.2019.10517'!$A$2:$A$4,0))="","",INDEX('C_jama.2019.10517'!$E$2:$E$4,MATCH("2019::jama.2019.10517::C001",'C_jama.2019.10517'!$A$2:$A$4,0))),"NOT FROZEN")</x:f>
        <x:v>statistical_results</x:v>
      </x:c>
      <x:c r="D11" s="3" t="str">
        <x:f>IF(Setup!$B$6="primary",IF(AND(INDEX('C_jama.2019.10517'!$D$2:$D$4,MATCH("2019::jama.2019.10517::C001",'C_jama.2019.10517'!$A$2:$A$4,0))="retain",INDEX('C_jama.2019.10517'!$E$2:$E$4,MATCH("2019::jama.2019.10517::C001",'C_jama.2019.10517'!$A$2:$A$4,0))="statistical_results"),IF(INDEX('C_jama.2019.10517'!$H$2:$H$4,MATCH("2019::jama.2019.10517::C001",'C_jama.2019.10517'!$A$2:$A$4,0))="","",INDEX('C_jama.2019.10517'!$H$2:$H$4,MATCH("2019::jama.2019.10517::C001",'C_jama.2019.10517'!$A$2:$A$4,0))),"not_applicable"),"NOT FROZEN")</x:f>
        <x:v>not_applicable</x:v>
      </x:c>
      <x:c r="E11" s="3" t="str">
        <x:f>IF(Setup!$B$6="primary",IF(AND(INDEX('C_jama.2019.10517'!$D$2:$D$4,MATCH("2019::jama.2019.10517::C001",'C_jama.2019.10517'!$A$2:$A$4,0))="retain",INDEX('C_jama.2019.10517'!$E$2:$E$4,MATCH("2019::jama.2019.10517::C001",'C_jama.2019.10517'!$A$2:$A$4,0))="statistical_results"),IF(INDEX('C_jama.2019.10517'!$I$2:$I$4,MATCH("2019::jama.2019.10517::C001",'C_jama.2019.10517'!$A$2:$A$4,0))="","",INDEX('C_jama.2019.10517'!$I$2:$I$4,MATCH("2019::jama.2019.10517::C001",'C_jama.2019.10517'!$A$2:$A$4,0))),"not_applicable"),"NOT FROZEN")</x:f>
        <x:v>not_applicable</x:v>
      </x:c>
      <x:c r="F11" s="3" t="str">
        <x:f>IF(Setup!$B$6="primary",IF(AND(INDEX('C_jama.2019.10517'!$D$2:$D$4,MATCH("2019::jama.2019.10517::C001",'C_jama.2019.10517'!$A$2:$A$4,0))="retain",INDEX('C_jama.2019.10517'!$E$2:$E$4,MATCH("2019::jama.2019.10517::C001",'C_jama.2019.10517'!$A$2:$A$4,0))="statistical_results"),IF(INDEX('C_jama.2019.10517'!$J$2:$J$4,MATCH("2019::jama.2019.10517::C001",'C_jama.2019.10517'!$A$2:$A$4,0))="","",INDEX('C_jama.2019.10517'!$J$2:$J$4,MATCH("2019::jama.2019.10517::C001",'C_jama.2019.10517'!$A$2:$A$4,0))),"not_applicable"),"NOT FROZEN")</x:f>
        <x:v>not_applicable</x:v>
      </x:c>
      <x:c r="G11" s="3" t="str">
        <x:f>IF(Setup!$B$6="primary",IF(AND(INDEX('C_jama.2019.10517'!$D$2:$D$4,MATCH("2019::jama.2019.10517::C001",'C_jama.2019.10517'!$A$2:$A$4,0))="retain",OR(INDEX('C_jama.2019.10517'!$E$2:$E$4,MATCH("2019::jama.2019.10517::C001",'C_jama.2019.10517'!$A$2:$A$4,0))="report_internal_inconsistency",INDEX('C_jama.2019.10517'!$E$2:$E$4,MATCH("2019::jama.2019.10517::C001",'C_jama.2019.10517'!$A$2:$A$4,0))="plan_material")),IF(INDEX('C_jama.2019.10517'!$K$2:$K$4,MATCH("2019::jama.2019.10517::C001",'C_jama.2019.10517'!$A$2:$A$4,0))="","",INDEX('C_jama.2019.10517'!$K$2:$K$4,MATCH("2019::jama.2019.10517::C001",'C_jama.2019.10517'!$A$2:$A$4,0))),"not_applicable"),"NOT FROZEN")</x:f>
        <x:v>not_applicable</x:v>
      </x:c>
      <x:c r="H11" s="3" t="str">
        <x:f>IF(Setup!$B$6="primary",IF(AND(INDEX('C_jama.2019.10517'!$D$2:$D$4,MATCH("2019::jama.2019.10517::C001",'C_jama.2019.10517'!$A$2:$A$4,0))="retain",INDEX('C_jama.2019.10517'!$E$2:$E$4,MATCH("2019::jama.2019.10517::C001",'C_jama.2019.10517'!$A$2:$A$4,0))="protocol_report"),IF(INDEX('C_jama.2019.10517'!$L$2:$L$4,MATCH("2019::jama.2019.10517::C001",'C_jama.2019.10517'!$A$2:$A$4,0))="","",INDEX('C_jama.2019.10517'!$L$2:$L$4,MATCH("2019::jama.2019.10517::C001",'C_jama.2019.10517'!$A$2:$A$4,0))),"not_applicable"),"NOT FROZEN")</x:f>
        <x:v>not_applicable</x:v>
      </x:c>
      <x:c r="I11" s="3" t="str">
        <x:f>IF(Setup!$B$6="primary",IF(INDEX('C_jama.2019.10517'!$R$2:$R$4,MATCH("2019::jama.2019.10517::C001",'C_jama.2019.10517'!$A$2:$A$4,0))="","",INDEX('C_jama.2019.10517'!$R$2:$R$4,MATCH("2019::jama.2019.10517::C001",'C_jama.2019.10517'!$A$2:$A$4,0))),"NOT FROZEN")</x:f>
      </x:c>
      <x:c r="J11" s="3" t="str">
        <x:f>IF(Setup!$B$6="primary",INDEX('C_jama.2019.10517'!$F$2:$F$4,MATCH("2019::jama.2019.10517::C001",'C_jama.2019.10517'!$A$2:$A$4,0)),"NOT FROZEN")</x:f>
        <x:v>no</x:v>
      </x:c>
      <x:c r="K11" s="3" t="str">
        <x:f>IF(Setup!$B$6="primary",Setup!$B$2,"NOT FROZEN")</x:f>
      </x:c>
      <x:c r="L11" s="3" t="str">
        <x:f>IF(Setup!$B$6="primary",IF(OR(B11="",B11="not_applicable"),"","Disposition: "&amp;B11&amp;CHAR(10))&amp;IF(OR(C11="",C11="not_applicable"),"","Review domain: "&amp;C11&amp;CHAR(10))&amp;IF(OR(D11="",D11="not_applicable"),"","Statistcal_or_numerical issue: "&amp;D11&amp;CHAR(10))&amp;IF(OR(E11="",E11="not_applicable"),"","Substantiveness: "&amp;E11&amp;CHAR(10))&amp;IF(OR(F11="",F11="not_applicable"),"","Downstream impact: "&amp;F11&amp;CHAR(10))&amp;IF(OR(G11="",G11="not_applicable"),"","Report-internal or planning-material inconsistency: "&amp;G11&amp;CHAR(10))&amp;IF(OR(H11="",H11="not_applicable"),"","Protocol interpretation: "&amp;H11&amp;CHAR(10))&amp;IF(OR(I11="",I11="not_applicable"),"","Notes (optional): "&amp;I11&amp;CHAR(10)),"NOT FROZEN")</x:f>
        <x:v>Review domain: statistical_results
</x:v>
      </x:c>
    </x:row>
    <x:row r="12" ht="70" customHeight="1">
      <x:c r="A12" s="6" t="str">
        <x:f>IF(Setup!$B$6="primary","2019::jama.2019.10517::C002","NOT FROZEN")</x:f>
        <x:v>2019::jama.2019.10517::C002</x:v>
      </x:c>
      <x:c r="B12" s="6" t="str">
        <x:f>IF(Setup!$B$6="primary",IF(INDEX('C_jama.2019.10517'!$D$2:$D$4,MATCH("2019::jama.2019.10517::C002",'C_jama.2019.10517'!$A$2:$A$4,0))="","",INDEX('C_jama.2019.10517'!$D$2:$D$4,MATCH("2019::jama.2019.10517::C002",'C_jama.2019.10517'!$A$2:$A$4,0))),"NOT FROZEN")</x:f>
      </x:c>
      <x:c r="C12" s="6" t="str">
        <x:f>IF(Setup!$B$6="primary",IF(INDEX('C_jama.2019.10517'!$E$2:$E$4,MATCH("2019::jama.2019.10517::C002",'C_jama.2019.10517'!$A$2:$A$4,0))="","",INDEX('C_jama.2019.10517'!$E$2:$E$4,MATCH("2019::jama.2019.10517::C002",'C_jama.2019.10517'!$A$2:$A$4,0))),"NOT FROZEN")</x:f>
        <x:v>report_internal_inconsistency</x:v>
      </x:c>
      <x:c r="D12" s="6" t="str">
        <x:f>IF(Setup!$B$6="primary",IF(AND(INDEX('C_jama.2019.10517'!$D$2:$D$4,MATCH("2019::jama.2019.10517::C002",'C_jama.2019.10517'!$A$2:$A$4,0))="retain",INDEX('C_jama.2019.10517'!$E$2:$E$4,MATCH("2019::jama.2019.10517::C002",'C_jama.2019.10517'!$A$2:$A$4,0))="statistical_results"),IF(INDEX('C_jama.2019.10517'!$H$2:$H$4,MATCH("2019::jama.2019.10517::C002",'C_jama.2019.10517'!$A$2:$A$4,0))="","",INDEX('C_jama.2019.10517'!$H$2:$H$4,MATCH("2019::jama.2019.10517::C002",'C_jama.2019.10517'!$A$2:$A$4,0))),"not_applicable"),"NOT FROZEN")</x:f>
        <x:v>not_applicable</x:v>
      </x:c>
      <x:c r="E12" s="6" t="str">
        <x:f>IF(Setup!$B$6="primary",IF(AND(INDEX('C_jama.2019.10517'!$D$2:$D$4,MATCH("2019::jama.2019.10517::C002",'C_jama.2019.10517'!$A$2:$A$4,0))="retain",INDEX('C_jama.2019.10517'!$E$2:$E$4,MATCH("2019::jama.2019.10517::C002",'C_jama.2019.10517'!$A$2:$A$4,0))="statistical_results"),IF(INDEX('C_jama.2019.10517'!$I$2:$I$4,MATCH("2019::jama.2019.10517::C002",'C_jama.2019.10517'!$A$2:$A$4,0))="","",INDEX('C_jama.2019.10517'!$I$2:$I$4,MATCH("2019::jama.2019.10517::C002",'C_jama.2019.10517'!$A$2:$A$4,0))),"not_applicable"),"NOT FROZEN")</x:f>
        <x:v>not_applicable</x:v>
      </x:c>
      <x:c r="F12" s="6" t="str">
        <x:f>IF(Setup!$B$6="primary",IF(AND(INDEX('C_jama.2019.10517'!$D$2:$D$4,MATCH("2019::jama.2019.10517::C002",'C_jama.2019.10517'!$A$2:$A$4,0))="retain",INDEX('C_jama.2019.10517'!$E$2:$E$4,MATCH("2019::jama.2019.10517::C002",'C_jama.2019.10517'!$A$2:$A$4,0))="statistical_results"),IF(INDEX('C_jama.2019.10517'!$J$2:$J$4,MATCH("2019::jama.2019.10517::C002",'C_jama.2019.10517'!$A$2:$A$4,0))="","",INDEX('C_jama.2019.10517'!$J$2:$J$4,MATCH("2019::jama.2019.10517::C002",'C_jama.2019.10517'!$A$2:$A$4,0))),"not_applicable"),"NOT FROZEN")</x:f>
        <x:v>not_applicable</x:v>
      </x:c>
      <x:c r="G12" s="6" t="str">
        <x:f>IF(Setup!$B$6="primary",IF(AND(INDEX('C_jama.2019.10517'!$D$2:$D$4,MATCH("2019::jama.2019.10517::C002",'C_jama.2019.10517'!$A$2:$A$4,0))="retain",OR(INDEX('C_jama.2019.10517'!$E$2:$E$4,MATCH("2019::jama.2019.10517::C002",'C_jama.2019.10517'!$A$2:$A$4,0))="report_internal_inconsistency",INDEX('C_jama.2019.10517'!$E$2:$E$4,MATCH("2019::jama.2019.10517::C002",'C_jama.2019.10517'!$A$2:$A$4,0))="plan_material")),IF(INDEX('C_jama.2019.10517'!$K$2:$K$4,MATCH("2019::jama.2019.10517::C002",'C_jama.2019.10517'!$A$2:$A$4,0))="","",INDEX('C_jama.2019.10517'!$K$2:$K$4,MATCH("2019::jama.2019.10517::C002",'C_jama.2019.10517'!$A$2:$A$4,0))),"not_applicable"),"NOT FROZEN")</x:f>
        <x:v>not_applicable</x:v>
      </x:c>
      <x:c r="H12" s="6" t="str">
        <x:f>IF(Setup!$B$6="primary",IF(AND(INDEX('C_jama.2019.10517'!$D$2:$D$4,MATCH("2019::jama.2019.10517::C002",'C_jama.2019.10517'!$A$2:$A$4,0))="retain",INDEX('C_jama.2019.10517'!$E$2:$E$4,MATCH("2019::jama.2019.10517::C002",'C_jama.2019.10517'!$A$2:$A$4,0))="protocol_report"),IF(INDEX('C_jama.2019.10517'!$L$2:$L$4,MATCH("2019::jama.2019.10517::C002",'C_jama.2019.10517'!$A$2:$A$4,0))="","",INDEX('C_jama.2019.10517'!$L$2:$L$4,MATCH("2019::jama.2019.10517::C002",'C_jama.2019.10517'!$A$2:$A$4,0))),"not_applicable"),"NOT FROZEN")</x:f>
        <x:v>not_applicable</x:v>
      </x:c>
      <x:c r="I12" s="6" t="str">
        <x:f>IF(Setup!$B$6="primary",IF(INDEX('C_jama.2019.10517'!$R$2:$R$4,MATCH("2019::jama.2019.10517::C002",'C_jama.2019.10517'!$A$2:$A$4,0))="","",INDEX('C_jama.2019.10517'!$R$2:$R$4,MATCH("2019::jama.2019.10517::C002",'C_jama.2019.10517'!$A$2:$A$4,0))),"NOT FROZEN")</x:f>
      </x:c>
      <x:c r="J12" s="6" t="str">
        <x:f>IF(Setup!$B$6="primary",INDEX('C_jama.2019.10517'!$F$2:$F$4,MATCH("2019::jama.2019.10517::C002",'C_jama.2019.10517'!$A$2:$A$4,0)),"NOT FROZEN")</x:f>
        <x:v>no</x:v>
      </x:c>
      <x:c r="K12" s="6" t="str">
        <x:f>IF(Setup!$B$6="primary",Setup!$B$2,"NOT FROZEN")</x:f>
      </x:c>
      <x:c r="L12" s="6" t="str">
        <x:f>IF(Setup!$B$6="primary",IF(OR(B12="",B12="not_applicable"),"","Disposition: "&amp;B12&amp;CHAR(10))&amp;IF(OR(C12="",C12="not_applicable"),"","Review domain: "&amp;C12&amp;CHAR(10))&amp;IF(OR(D12="",D12="not_applicable"),"","Statistcal_or_numerical issue: "&amp;D12&amp;CHAR(10))&amp;IF(OR(E12="",E12="not_applicable"),"","Substantiveness: "&amp;E12&amp;CHAR(10))&amp;IF(OR(F12="",F12="not_applicable"),"","Downstream impact: "&amp;F12&amp;CHAR(10))&amp;IF(OR(G12="",G12="not_applicable"),"","Report-internal or planning-material inconsistency: "&amp;G12&amp;CHAR(10))&amp;IF(OR(H12="",H12="not_applicable"),"","Protocol interpretation: "&amp;H12&amp;CHAR(10))&amp;IF(OR(I12="",I12="not_applicable"),"","Notes (optional): "&amp;I12&amp;CHAR(10)),"NOT FROZEN")</x:f>
        <x:v>Review domain: report_internal_inconsistency
</x:v>
      </x:c>
    </x:row>
    <x:row r="13" ht="70" customHeight="1">
      <x:c r="A13" s="3" t="str">
        <x:f>IF(Setup!$B$6="primary","2019::jama.2019.10517::C003","NOT FROZEN")</x:f>
        <x:v>2019::jama.2019.10517::C003</x:v>
      </x:c>
      <x:c r="B13" s="3" t="str">
        <x:f>IF(Setup!$B$6="primary",IF(INDEX('C_jama.2019.10517'!$D$2:$D$4,MATCH("2019::jama.2019.10517::C003",'C_jama.2019.10517'!$A$2:$A$4,0))="","",INDEX('C_jama.2019.10517'!$D$2:$D$4,MATCH("2019::jama.2019.10517::C003",'C_jama.2019.10517'!$A$2:$A$4,0))),"NOT FROZEN")</x:f>
      </x:c>
      <x:c r="C13" s="3" t="str">
        <x:f>IF(Setup!$B$6="primary",IF(INDEX('C_jama.2019.10517'!$E$2:$E$4,MATCH("2019::jama.2019.10517::C003",'C_jama.2019.10517'!$A$2:$A$4,0))="","",INDEX('C_jama.2019.10517'!$E$2:$E$4,MATCH("2019::jama.2019.10517::C003",'C_jama.2019.10517'!$A$2:$A$4,0))),"NOT FROZEN")</x:f>
        <x:v>plan_material</x:v>
      </x:c>
      <x:c r="D13" s="3" t="str">
        <x:f>IF(Setup!$B$6="primary",IF(AND(INDEX('C_jama.2019.10517'!$D$2:$D$4,MATCH("2019::jama.2019.10517::C003",'C_jama.2019.10517'!$A$2:$A$4,0))="retain",INDEX('C_jama.2019.10517'!$E$2:$E$4,MATCH("2019::jama.2019.10517::C003",'C_jama.2019.10517'!$A$2:$A$4,0))="statistical_results"),IF(INDEX('C_jama.2019.10517'!$H$2:$H$4,MATCH("2019::jama.2019.10517::C003",'C_jama.2019.10517'!$A$2:$A$4,0))="","",INDEX('C_jama.2019.10517'!$H$2:$H$4,MATCH("2019::jama.2019.10517::C003",'C_jama.2019.10517'!$A$2:$A$4,0))),"not_applicable"),"NOT FROZEN")</x:f>
        <x:v>not_applicable</x:v>
      </x:c>
      <x:c r="E13" s="3" t="str">
        <x:f>IF(Setup!$B$6="primary",IF(AND(INDEX('C_jama.2019.10517'!$D$2:$D$4,MATCH("2019::jama.2019.10517::C003",'C_jama.2019.10517'!$A$2:$A$4,0))="retain",INDEX('C_jama.2019.10517'!$E$2:$E$4,MATCH("2019::jama.2019.10517::C003",'C_jama.2019.10517'!$A$2:$A$4,0))="statistical_results"),IF(INDEX('C_jama.2019.10517'!$I$2:$I$4,MATCH("2019::jama.2019.10517::C003",'C_jama.2019.10517'!$A$2:$A$4,0))="","",INDEX('C_jama.2019.10517'!$I$2:$I$4,MATCH("2019::jama.2019.10517::C003",'C_jama.2019.10517'!$A$2:$A$4,0))),"not_applicable"),"NOT FROZEN")</x:f>
        <x:v>not_applicable</x:v>
      </x:c>
      <x:c r="F13" s="3" t="str">
        <x:f>IF(Setup!$B$6="primary",IF(AND(INDEX('C_jama.2019.10517'!$D$2:$D$4,MATCH("2019::jama.2019.10517::C003",'C_jama.2019.10517'!$A$2:$A$4,0))="retain",INDEX('C_jama.2019.10517'!$E$2:$E$4,MATCH("2019::jama.2019.10517::C003",'C_jama.2019.10517'!$A$2:$A$4,0))="statistical_results"),IF(INDEX('C_jama.2019.10517'!$J$2:$J$4,MATCH("2019::jama.2019.10517::C003",'C_jama.2019.10517'!$A$2:$A$4,0))="","",INDEX('C_jama.2019.10517'!$J$2:$J$4,MATCH("2019::jama.2019.10517::C003",'C_jama.2019.10517'!$A$2:$A$4,0))),"not_applicable"),"NOT FROZEN")</x:f>
        <x:v>not_applicable</x:v>
      </x:c>
      <x:c r="G13" s="3" t="str">
        <x:f>IF(Setup!$B$6="primary",IF(AND(INDEX('C_jama.2019.10517'!$D$2:$D$4,MATCH("2019::jama.2019.10517::C003",'C_jama.2019.10517'!$A$2:$A$4,0))="retain",OR(INDEX('C_jama.2019.10517'!$E$2:$E$4,MATCH("2019::jama.2019.10517::C003",'C_jama.2019.10517'!$A$2:$A$4,0))="report_internal_inconsistency",INDEX('C_jama.2019.10517'!$E$2:$E$4,MATCH("2019::jama.2019.10517::C003",'C_jama.2019.10517'!$A$2:$A$4,0))="plan_material")),IF(INDEX('C_jama.2019.10517'!$K$2:$K$4,MATCH("2019::jama.2019.10517::C003",'C_jama.2019.10517'!$A$2:$A$4,0))="","",INDEX('C_jama.2019.10517'!$K$2:$K$4,MATCH("2019::jama.2019.10517::C003",'C_jama.2019.10517'!$A$2:$A$4,0))),"not_applicable"),"NOT FROZEN")</x:f>
        <x:v>not_applicable</x:v>
      </x:c>
      <x:c r="H13" s="3" t="str">
        <x:f>IF(Setup!$B$6="primary",IF(AND(INDEX('C_jama.2019.10517'!$D$2:$D$4,MATCH("2019::jama.2019.10517::C003",'C_jama.2019.10517'!$A$2:$A$4,0))="retain",INDEX('C_jama.2019.10517'!$E$2:$E$4,MATCH("2019::jama.2019.10517::C003",'C_jama.2019.10517'!$A$2:$A$4,0))="protocol_report"),IF(INDEX('C_jama.2019.10517'!$L$2:$L$4,MATCH("2019::jama.2019.10517::C003",'C_jama.2019.10517'!$A$2:$A$4,0))="","",INDEX('C_jama.2019.10517'!$L$2:$L$4,MATCH("2019::jama.2019.10517::C003",'C_jama.2019.10517'!$A$2:$A$4,0))),"not_applicable"),"NOT FROZEN")</x:f>
        <x:v>not_applicable</x:v>
      </x:c>
      <x:c r="I13" s="3" t="str">
        <x:f>IF(Setup!$B$6="primary",IF(INDEX('C_jama.2019.10517'!$R$2:$R$4,MATCH("2019::jama.2019.10517::C003",'C_jama.2019.10517'!$A$2:$A$4,0))="","",INDEX('C_jama.2019.10517'!$R$2:$R$4,MATCH("2019::jama.2019.10517::C003",'C_jama.2019.10517'!$A$2:$A$4,0))),"NOT FROZEN")</x:f>
      </x:c>
      <x:c r="J13" s="3" t="str">
        <x:f>IF(Setup!$B$6="primary",INDEX('C_jama.2019.10517'!$F$2:$F$4,MATCH("2019::jama.2019.10517::C003",'C_jama.2019.10517'!$A$2:$A$4,0)),"NOT FROZEN")</x:f>
        <x:v>no</x:v>
      </x:c>
      <x:c r="K13" s="3" t="str">
        <x:f>IF(Setup!$B$6="primary",Setup!$B$2,"NOT FROZEN")</x:f>
      </x:c>
      <x:c r="L13" s="3" t="str">
        <x:f>IF(Setup!$B$6="primary",IF(OR(B13="",B13="not_applicable"),"","Disposition: "&amp;B13&amp;CHAR(10))&amp;IF(OR(C13="",C13="not_applicable"),"","Review domain: "&amp;C13&amp;CHAR(10))&amp;IF(OR(D13="",D13="not_applicable"),"","Statistcal_or_numerical issue: "&amp;D13&amp;CHAR(10))&amp;IF(OR(E13="",E13="not_applicable"),"","Substantiveness: "&amp;E13&amp;CHAR(10))&amp;IF(OR(F13="",F13="not_applicable"),"","Downstream impact: "&amp;F13&amp;CHAR(10))&amp;IF(OR(G13="",G13="not_applicable"),"","Report-internal or planning-material inconsistency: "&amp;G13&amp;CHAR(10))&amp;IF(OR(H13="",H13="not_applicable"),"","Protocol interpretation: "&amp;H13&amp;CHAR(10))&amp;IF(OR(I13="",I13="not_applicable"),"","Notes (optional): "&amp;I13&amp;CHAR(10)),"NOT FROZEN")</x:f>
        <x:v>Review domain: plan_material
</x:v>
      </x:c>
    </x:row>
    <x:row r="14" ht="70" customHeight="1">
      <x:c r="A14" s="6" t="str">
        <x:f>IF(Setup!$B$6="primary","2019::jama.2019.12618::C001","NOT FROZEN")</x:f>
        <x:v>2019::jama.2019.12618::C001</x:v>
      </x:c>
      <x:c r="B14" s="6" t="str">
        <x:f>IF(Setup!$B$6="primary",IF(INDEX('C_jama.2019.12618'!$D$2:$D$9,MATCH("2019::jama.2019.12618::C001",'C_jama.2019.12618'!$A$2:$A$9,0))="","",INDEX('C_jama.2019.12618'!$D$2:$D$9,MATCH("2019::jama.2019.12618::C001",'C_jama.2019.12618'!$A$2:$A$9,0))),"NOT FROZEN")</x:f>
      </x:c>
      <x:c r="C14" s="6" t="str">
        <x:f>IF(Setup!$B$6="primary",IF(INDEX('C_jama.2019.12618'!$E$2:$E$9,MATCH("2019::jama.2019.12618::C001",'C_jama.2019.12618'!$A$2:$A$9,0))="","",INDEX('C_jama.2019.12618'!$E$2:$E$9,MATCH("2019::jama.2019.12618::C001",'C_jama.2019.12618'!$A$2:$A$9,0))),"NOT FROZEN")</x:f>
        <x:v>plan_material</x:v>
      </x:c>
      <x:c r="D14" s="6" t="str">
        <x:f>IF(Setup!$B$6="primary",IF(AND(INDEX('C_jama.2019.12618'!$D$2:$D$9,MATCH("2019::jama.2019.12618::C001",'C_jama.2019.12618'!$A$2:$A$9,0))="retain",INDEX('C_jama.2019.12618'!$E$2:$E$9,MATCH("2019::jama.2019.12618::C001",'C_jama.2019.12618'!$A$2:$A$9,0))="statistical_results"),IF(INDEX('C_jama.2019.12618'!$H$2:$H$9,MATCH("2019::jama.2019.12618::C001",'C_jama.2019.12618'!$A$2:$A$9,0))="","",INDEX('C_jama.2019.12618'!$H$2:$H$9,MATCH("2019::jama.2019.12618::C001",'C_jama.2019.12618'!$A$2:$A$9,0))),"not_applicable"),"NOT FROZEN")</x:f>
        <x:v>not_applicable</x:v>
      </x:c>
      <x:c r="E14" s="6" t="str">
        <x:f>IF(Setup!$B$6="primary",IF(AND(INDEX('C_jama.2019.12618'!$D$2:$D$9,MATCH("2019::jama.2019.12618::C001",'C_jama.2019.12618'!$A$2:$A$9,0))="retain",INDEX('C_jama.2019.12618'!$E$2:$E$9,MATCH("2019::jama.2019.12618::C001",'C_jama.2019.12618'!$A$2:$A$9,0))="statistical_results"),IF(INDEX('C_jama.2019.12618'!$I$2:$I$9,MATCH("2019::jama.2019.12618::C001",'C_jama.2019.12618'!$A$2:$A$9,0))="","",INDEX('C_jama.2019.12618'!$I$2:$I$9,MATCH("2019::jama.2019.12618::C001",'C_jama.2019.12618'!$A$2:$A$9,0))),"not_applicable"),"NOT FROZEN")</x:f>
        <x:v>not_applicable</x:v>
      </x:c>
      <x:c r="F14" s="6" t="str">
        <x:f>IF(Setup!$B$6="primary",IF(AND(INDEX('C_jama.2019.12618'!$D$2:$D$9,MATCH("2019::jama.2019.12618::C001",'C_jama.2019.12618'!$A$2:$A$9,0))="retain",INDEX('C_jama.2019.12618'!$E$2:$E$9,MATCH("2019::jama.2019.12618::C001",'C_jama.2019.12618'!$A$2:$A$9,0))="statistical_results"),IF(INDEX('C_jama.2019.12618'!$J$2:$J$9,MATCH("2019::jama.2019.12618::C001",'C_jama.2019.12618'!$A$2:$A$9,0))="","",INDEX('C_jama.2019.12618'!$J$2:$J$9,MATCH("2019::jama.2019.12618::C001",'C_jama.2019.12618'!$A$2:$A$9,0))),"not_applicable"),"NOT FROZEN")</x:f>
        <x:v>not_applicable</x:v>
      </x:c>
      <x:c r="G14" s="6" t="str">
        <x:f>IF(Setup!$B$6="primary",IF(AND(INDEX('C_jama.2019.12618'!$D$2:$D$9,MATCH("2019::jama.2019.12618::C001",'C_jama.2019.12618'!$A$2:$A$9,0))="retain",OR(INDEX('C_jama.2019.12618'!$E$2:$E$9,MATCH("2019::jama.2019.12618::C001",'C_jama.2019.12618'!$A$2:$A$9,0))="report_internal_inconsistency",INDEX('C_jama.2019.12618'!$E$2:$E$9,MATCH("2019::jama.2019.12618::C001",'C_jama.2019.12618'!$A$2:$A$9,0))="plan_material")),IF(INDEX('C_jama.2019.12618'!$K$2:$K$9,MATCH("2019::jama.2019.12618::C001",'C_jama.2019.12618'!$A$2:$A$9,0))="","",INDEX('C_jama.2019.12618'!$K$2:$K$9,MATCH("2019::jama.2019.12618::C001",'C_jama.2019.12618'!$A$2:$A$9,0))),"not_applicable"),"NOT FROZEN")</x:f>
        <x:v>not_applicable</x:v>
      </x:c>
      <x:c r="H14" s="6" t="str">
        <x:f>IF(Setup!$B$6="primary",IF(AND(INDEX('C_jama.2019.12618'!$D$2:$D$9,MATCH("2019::jama.2019.12618::C001",'C_jama.2019.12618'!$A$2:$A$9,0))="retain",INDEX('C_jama.2019.12618'!$E$2:$E$9,MATCH("2019::jama.2019.12618::C001",'C_jama.2019.12618'!$A$2:$A$9,0))="protocol_report"),IF(INDEX('C_jama.2019.12618'!$L$2:$L$9,MATCH("2019::jama.2019.12618::C001",'C_jama.2019.12618'!$A$2:$A$9,0))="","",INDEX('C_jama.2019.12618'!$L$2:$L$9,MATCH("2019::jama.2019.12618::C001",'C_jama.2019.12618'!$A$2:$A$9,0))),"not_applicable"),"NOT FROZEN")</x:f>
        <x:v>not_applicable</x:v>
      </x:c>
      <x:c r="I14" s="6" t="str">
        <x:f>IF(Setup!$B$6="primary",IF(INDEX('C_jama.2019.12618'!$R$2:$R$9,MATCH("2019::jama.2019.12618::C001",'C_jama.2019.12618'!$A$2:$A$9,0))="","",INDEX('C_jama.2019.12618'!$R$2:$R$9,MATCH("2019::jama.2019.12618::C001",'C_jama.2019.12618'!$A$2:$A$9,0))),"NOT FROZEN")</x:f>
      </x:c>
      <x:c r="J14" s="6" t="str">
        <x:f>IF(Setup!$B$6="primary",INDEX('C_jama.2019.12618'!$F$2:$F$9,MATCH("2019::jama.2019.12618::C001",'C_jama.2019.12618'!$A$2:$A$9,0)),"NOT FROZEN")</x:f>
        <x:v>no</x:v>
      </x:c>
      <x:c r="K14" s="6" t="str">
        <x:f>IF(Setup!$B$6="primary",Setup!$B$2,"NOT FROZEN")</x:f>
      </x:c>
      <x:c r="L14" s="6" t="str">
        <x:f>IF(Setup!$B$6="primary",IF(OR(B14="",B14="not_applicable"),"","Disposition: "&amp;B14&amp;CHAR(10))&amp;IF(OR(C14="",C14="not_applicable"),"","Review domain: "&amp;C14&amp;CHAR(10))&amp;IF(OR(D14="",D14="not_applicable"),"","Statistcal_or_numerical issue: "&amp;D14&amp;CHAR(10))&amp;IF(OR(E14="",E14="not_applicable"),"","Substantiveness: "&amp;E14&amp;CHAR(10))&amp;IF(OR(F14="",F14="not_applicable"),"","Downstream impact: "&amp;F14&amp;CHAR(10))&amp;IF(OR(G14="",G14="not_applicable"),"","Report-internal or planning-material inconsistency: "&amp;G14&amp;CHAR(10))&amp;IF(OR(H14="",H14="not_applicable"),"","Protocol interpretation: "&amp;H14&amp;CHAR(10))&amp;IF(OR(I14="",I14="not_applicable"),"","Notes (optional): "&amp;I14&amp;CHAR(10)),"NOT FROZEN")</x:f>
        <x:v>Review domain: plan_material
</x:v>
      </x:c>
    </x:row>
    <x:row r="15" ht="70" customHeight="1">
      <x:c r="A15" s="3" t="str">
        <x:f>IF(Setup!$B$6="primary","2019::jama.2019.12618::C002","NOT FROZEN")</x:f>
        <x:v>2019::jama.2019.12618::C002</x:v>
      </x:c>
      <x:c r="B15" s="3" t="str">
        <x:f>IF(Setup!$B$6="primary",IF(INDEX('C_jama.2019.12618'!$D$2:$D$9,MATCH("2019::jama.2019.12618::C002",'C_jama.2019.12618'!$A$2:$A$9,0))="","",INDEX('C_jama.2019.12618'!$D$2:$D$9,MATCH("2019::jama.2019.12618::C002",'C_jama.2019.12618'!$A$2:$A$9,0))),"NOT FROZEN")</x:f>
      </x:c>
      <x:c r="C15" s="3" t="str">
        <x:f>IF(Setup!$B$6="primary",IF(INDEX('C_jama.2019.12618'!$E$2:$E$9,MATCH("2019::jama.2019.12618::C002",'C_jama.2019.12618'!$A$2:$A$9,0))="","",INDEX('C_jama.2019.12618'!$E$2:$E$9,MATCH("2019::jama.2019.12618::C002",'C_jama.2019.12618'!$A$2:$A$9,0))),"NOT FROZEN")</x:f>
        <x:v>statistical_results</x:v>
      </x:c>
      <x:c r="D15" s="3" t="str">
        <x:f>IF(Setup!$B$6="primary",IF(AND(INDEX('C_jama.2019.12618'!$D$2:$D$9,MATCH("2019::jama.2019.12618::C002",'C_jama.2019.12618'!$A$2:$A$9,0))="retain",INDEX('C_jama.2019.12618'!$E$2:$E$9,MATCH("2019::jama.2019.12618::C002",'C_jama.2019.12618'!$A$2:$A$9,0))="statistical_results"),IF(INDEX('C_jama.2019.12618'!$H$2:$H$9,MATCH("2019::jama.2019.12618::C002",'C_jama.2019.12618'!$A$2:$A$9,0))="","",INDEX('C_jama.2019.12618'!$H$2:$H$9,MATCH("2019::jama.2019.12618::C002",'C_jama.2019.12618'!$A$2:$A$9,0))),"not_applicable"),"NOT FROZEN")</x:f>
        <x:v>not_applicable</x:v>
      </x:c>
      <x:c r="E15" s="3" t="str">
        <x:f>IF(Setup!$B$6="primary",IF(AND(INDEX('C_jama.2019.12618'!$D$2:$D$9,MATCH("2019::jama.2019.12618::C002",'C_jama.2019.12618'!$A$2:$A$9,0))="retain",INDEX('C_jama.2019.12618'!$E$2:$E$9,MATCH("2019::jama.2019.12618::C002",'C_jama.2019.12618'!$A$2:$A$9,0))="statistical_results"),IF(INDEX('C_jama.2019.12618'!$I$2:$I$9,MATCH("2019::jama.2019.12618::C002",'C_jama.2019.12618'!$A$2:$A$9,0))="","",INDEX('C_jama.2019.12618'!$I$2:$I$9,MATCH("2019::jama.2019.12618::C002",'C_jama.2019.12618'!$A$2:$A$9,0))),"not_applicable"),"NOT FROZEN")</x:f>
        <x:v>not_applicable</x:v>
      </x:c>
      <x:c r="F15" s="3" t="str">
        <x:f>IF(Setup!$B$6="primary",IF(AND(INDEX('C_jama.2019.12618'!$D$2:$D$9,MATCH("2019::jama.2019.12618::C002",'C_jama.2019.12618'!$A$2:$A$9,0))="retain",INDEX('C_jama.2019.12618'!$E$2:$E$9,MATCH("2019::jama.2019.12618::C002",'C_jama.2019.12618'!$A$2:$A$9,0))="statistical_results"),IF(INDEX('C_jama.2019.12618'!$J$2:$J$9,MATCH("2019::jama.2019.12618::C002",'C_jama.2019.12618'!$A$2:$A$9,0))="","",INDEX('C_jama.2019.12618'!$J$2:$J$9,MATCH("2019::jama.2019.12618::C002",'C_jama.2019.12618'!$A$2:$A$9,0))),"not_applicable"),"NOT FROZEN")</x:f>
        <x:v>not_applicable</x:v>
      </x:c>
      <x:c r="G15" s="3" t="str">
        <x:f>IF(Setup!$B$6="primary",IF(AND(INDEX('C_jama.2019.12618'!$D$2:$D$9,MATCH("2019::jama.2019.12618::C002",'C_jama.2019.12618'!$A$2:$A$9,0))="retain",OR(INDEX('C_jama.2019.12618'!$E$2:$E$9,MATCH("2019::jama.2019.12618::C002",'C_jama.2019.12618'!$A$2:$A$9,0))="report_internal_inconsistency",INDEX('C_jama.2019.12618'!$E$2:$E$9,MATCH("2019::jama.2019.12618::C002",'C_jama.2019.12618'!$A$2:$A$9,0))="plan_material")),IF(INDEX('C_jama.2019.12618'!$K$2:$K$9,MATCH("2019::jama.2019.12618::C002",'C_jama.2019.12618'!$A$2:$A$9,0))="","",INDEX('C_jama.2019.12618'!$K$2:$K$9,MATCH("2019::jama.2019.12618::C002",'C_jama.2019.12618'!$A$2:$A$9,0))),"not_applicable"),"NOT FROZEN")</x:f>
        <x:v>not_applicable</x:v>
      </x:c>
      <x:c r="H15" s="3" t="str">
        <x:f>IF(Setup!$B$6="primary",IF(AND(INDEX('C_jama.2019.12618'!$D$2:$D$9,MATCH("2019::jama.2019.12618::C002",'C_jama.2019.12618'!$A$2:$A$9,0))="retain",INDEX('C_jama.2019.12618'!$E$2:$E$9,MATCH("2019::jama.2019.12618::C002",'C_jama.2019.12618'!$A$2:$A$9,0))="protocol_report"),IF(INDEX('C_jama.2019.12618'!$L$2:$L$9,MATCH("2019::jama.2019.12618::C002",'C_jama.2019.12618'!$A$2:$A$9,0))="","",INDEX('C_jama.2019.12618'!$L$2:$L$9,MATCH("2019::jama.2019.12618::C002",'C_jama.2019.12618'!$A$2:$A$9,0))),"not_applicable"),"NOT FROZEN")</x:f>
        <x:v>not_applicable</x:v>
      </x:c>
      <x:c r="I15" s="3" t="str">
        <x:f>IF(Setup!$B$6="primary",IF(INDEX('C_jama.2019.12618'!$R$2:$R$9,MATCH("2019::jama.2019.12618::C002",'C_jama.2019.12618'!$A$2:$A$9,0))="","",INDEX('C_jama.2019.12618'!$R$2:$R$9,MATCH("2019::jama.2019.12618::C002",'C_jama.2019.12618'!$A$2:$A$9,0))),"NOT FROZEN")</x:f>
      </x:c>
      <x:c r="J15" s="3" t="str">
        <x:f>IF(Setup!$B$6="primary",INDEX('C_jama.2019.12618'!$F$2:$F$9,MATCH("2019::jama.2019.12618::C002",'C_jama.2019.12618'!$A$2:$A$9,0)),"NOT FROZEN")</x:f>
        <x:v>no</x:v>
      </x:c>
      <x:c r="K15" s="3" t="str">
        <x:f>IF(Setup!$B$6="primary",Setup!$B$2,"NOT FROZEN")</x:f>
      </x:c>
      <x:c r="L15" s="3" t="str">
        <x:f>IF(Setup!$B$6="primary",IF(OR(B15="",B15="not_applicable"),"","Disposition: "&amp;B15&amp;CHAR(10))&amp;IF(OR(C15="",C15="not_applicable"),"","Review domain: "&amp;C15&amp;CHAR(10))&amp;IF(OR(D15="",D15="not_applicable"),"","Statistcal_or_numerical issue: "&amp;D15&amp;CHAR(10))&amp;IF(OR(E15="",E15="not_applicable"),"","Substantiveness: "&amp;E15&amp;CHAR(10))&amp;IF(OR(F15="",F15="not_applicable"),"","Downstream impact: "&amp;F15&amp;CHAR(10))&amp;IF(OR(G15="",G15="not_applicable"),"","Report-internal or planning-material inconsistency: "&amp;G15&amp;CHAR(10))&amp;IF(OR(H15="",H15="not_applicable"),"","Protocol interpretation: "&amp;H15&amp;CHAR(10))&amp;IF(OR(I15="",I15="not_applicable"),"","Notes (optional): "&amp;I15&amp;CHAR(10)),"NOT FROZEN")</x:f>
        <x:v>Review domain: statistical_results
</x:v>
      </x:c>
    </x:row>
    <x:row r="16" ht="70" customHeight="1">
      <x:c r="A16" s="6" t="str">
        <x:f>IF(Setup!$B$6="primary","2019::jama.2019.12618::C003","NOT FROZEN")</x:f>
        <x:v>2019::jama.2019.12618::C003</x:v>
      </x:c>
      <x:c r="B16" s="6" t="str">
        <x:f>IF(Setup!$B$6="primary",IF(INDEX('C_jama.2019.12618'!$D$2:$D$9,MATCH("2019::jama.2019.12618::C003",'C_jama.2019.12618'!$A$2:$A$9,0))="","",INDEX('C_jama.2019.12618'!$D$2:$D$9,MATCH("2019::jama.2019.12618::C003",'C_jama.2019.12618'!$A$2:$A$9,0))),"NOT FROZEN")</x:f>
      </x:c>
      <x:c r="C16" s="6" t="str">
        <x:f>IF(Setup!$B$6="primary",IF(INDEX('C_jama.2019.12618'!$E$2:$E$9,MATCH("2019::jama.2019.12618::C003",'C_jama.2019.12618'!$A$2:$A$9,0))="","",INDEX('C_jama.2019.12618'!$E$2:$E$9,MATCH("2019::jama.2019.12618::C003",'C_jama.2019.12618'!$A$2:$A$9,0))),"NOT FROZEN")</x:f>
        <x:v>protocol_report</x:v>
      </x:c>
      <x:c r="D16" s="6" t="str">
        <x:f>IF(Setup!$B$6="primary",IF(AND(INDEX('C_jama.2019.12618'!$D$2:$D$9,MATCH("2019::jama.2019.12618::C003",'C_jama.2019.12618'!$A$2:$A$9,0))="retain",INDEX('C_jama.2019.12618'!$E$2:$E$9,MATCH("2019::jama.2019.12618::C003",'C_jama.2019.12618'!$A$2:$A$9,0))="statistical_results"),IF(INDEX('C_jama.2019.12618'!$H$2:$H$9,MATCH("2019::jama.2019.12618::C003",'C_jama.2019.12618'!$A$2:$A$9,0))="","",INDEX('C_jama.2019.12618'!$H$2:$H$9,MATCH("2019::jama.2019.12618::C003",'C_jama.2019.12618'!$A$2:$A$9,0))),"not_applicable"),"NOT FROZEN")</x:f>
        <x:v>not_applicable</x:v>
      </x:c>
      <x:c r="E16" s="6" t="str">
        <x:f>IF(Setup!$B$6="primary",IF(AND(INDEX('C_jama.2019.12618'!$D$2:$D$9,MATCH("2019::jama.2019.12618::C003",'C_jama.2019.12618'!$A$2:$A$9,0))="retain",INDEX('C_jama.2019.12618'!$E$2:$E$9,MATCH("2019::jama.2019.12618::C003",'C_jama.2019.12618'!$A$2:$A$9,0))="statistical_results"),IF(INDEX('C_jama.2019.12618'!$I$2:$I$9,MATCH("2019::jama.2019.12618::C003",'C_jama.2019.12618'!$A$2:$A$9,0))="","",INDEX('C_jama.2019.12618'!$I$2:$I$9,MATCH("2019::jama.2019.12618::C003",'C_jama.2019.12618'!$A$2:$A$9,0))),"not_applicable"),"NOT FROZEN")</x:f>
        <x:v>not_applicable</x:v>
      </x:c>
      <x:c r="F16" s="6" t="str">
        <x:f>IF(Setup!$B$6="primary",IF(AND(INDEX('C_jama.2019.12618'!$D$2:$D$9,MATCH("2019::jama.2019.12618::C003",'C_jama.2019.12618'!$A$2:$A$9,0))="retain",INDEX('C_jama.2019.12618'!$E$2:$E$9,MATCH("2019::jama.2019.12618::C003",'C_jama.2019.12618'!$A$2:$A$9,0))="statistical_results"),IF(INDEX('C_jama.2019.12618'!$J$2:$J$9,MATCH("2019::jama.2019.12618::C003",'C_jama.2019.12618'!$A$2:$A$9,0))="","",INDEX('C_jama.2019.12618'!$J$2:$J$9,MATCH("2019::jama.2019.12618::C003",'C_jama.2019.12618'!$A$2:$A$9,0))),"not_applicable"),"NOT FROZEN")</x:f>
        <x:v>not_applicable</x:v>
      </x:c>
      <x:c r="G16" s="6" t="str">
        <x:f>IF(Setup!$B$6="primary",IF(AND(INDEX('C_jama.2019.12618'!$D$2:$D$9,MATCH("2019::jama.2019.12618::C003",'C_jama.2019.12618'!$A$2:$A$9,0))="retain",OR(INDEX('C_jama.2019.12618'!$E$2:$E$9,MATCH("2019::jama.2019.12618::C003",'C_jama.2019.12618'!$A$2:$A$9,0))="report_internal_inconsistency",INDEX('C_jama.2019.12618'!$E$2:$E$9,MATCH("2019::jama.2019.12618::C003",'C_jama.2019.12618'!$A$2:$A$9,0))="plan_material")),IF(INDEX('C_jama.2019.12618'!$K$2:$K$9,MATCH("2019::jama.2019.12618::C003",'C_jama.2019.12618'!$A$2:$A$9,0))="","",INDEX('C_jama.2019.12618'!$K$2:$K$9,MATCH("2019::jama.2019.12618::C003",'C_jama.2019.12618'!$A$2:$A$9,0))),"not_applicable"),"NOT FROZEN")</x:f>
        <x:v>not_applicable</x:v>
      </x:c>
      <x:c r="H16" s="6" t="str">
        <x:f>IF(Setup!$B$6="primary",IF(AND(INDEX('C_jama.2019.12618'!$D$2:$D$9,MATCH("2019::jama.2019.12618::C003",'C_jama.2019.12618'!$A$2:$A$9,0))="retain",INDEX('C_jama.2019.12618'!$E$2:$E$9,MATCH("2019::jama.2019.12618::C003",'C_jama.2019.12618'!$A$2:$A$9,0))="protocol_report"),IF(INDEX('C_jama.2019.12618'!$L$2:$L$9,MATCH("2019::jama.2019.12618::C003",'C_jama.2019.12618'!$A$2:$A$9,0))="","",INDEX('C_jama.2019.12618'!$L$2:$L$9,MATCH("2019::jama.2019.12618::C003",'C_jama.2019.12618'!$A$2:$A$9,0))),"not_applicable"),"NOT FROZEN")</x:f>
        <x:v>not_applicable</x:v>
      </x:c>
      <x:c r="I16" s="6" t="str">
        <x:f>IF(Setup!$B$6="primary",IF(INDEX('C_jama.2019.12618'!$R$2:$R$9,MATCH("2019::jama.2019.12618::C003",'C_jama.2019.12618'!$A$2:$A$9,0))="","",INDEX('C_jama.2019.12618'!$R$2:$R$9,MATCH("2019::jama.2019.12618::C003",'C_jama.2019.12618'!$A$2:$A$9,0))),"NOT FROZEN")</x:f>
      </x:c>
      <x:c r="J16" s="6" t="str">
        <x:f>IF(Setup!$B$6="primary",INDEX('C_jama.2019.12618'!$F$2:$F$9,MATCH("2019::jama.2019.12618::C003",'C_jama.2019.12618'!$A$2:$A$9,0)),"NOT FROZEN")</x:f>
        <x:v>no</x:v>
      </x:c>
      <x:c r="K16" s="6" t="str">
        <x:f>IF(Setup!$B$6="primary",Setup!$B$2,"NOT FROZEN")</x:f>
      </x:c>
      <x:c r="L16" s="6" t="str">
        <x:f>IF(Setup!$B$6="primary",IF(OR(B16="",B16="not_applicable"),"","Disposition: "&amp;B16&amp;CHAR(10))&amp;IF(OR(C16="",C16="not_applicable"),"","Review domain: "&amp;C16&amp;CHAR(10))&amp;IF(OR(D16="",D16="not_applicable"),"","Statistcal_or_numerical issue: "&amp;D16&amp;CHAR(10))&amp;IF(OR(E16="",E16="not_applicable"),"","Substantiveness: "&amp;E16&amp;CHAR(10))&amp;IF(OR(F16="",F16="not_applicable"),"","Downstream impact: "&amp;F16&amp;CHAR(10))&amp;IF(OR(G16="",G16="not_applicable"),"","Report-internal or planning-material inconsistency: "&amp;G16&amp;CHAR(10))&amp;IF(OR(H16="",H16="not_applicable"),"","Protocol interpretation: "&amp;H16&amp;CHAR(10))&amp;IF(OR(I16="",I16="not_applicable"),"","Notes (optional): "&amp;I16&amp;CHAR(10)),"NOT FROZEN")</x:f>
        <x:v>Review domain: protocol_report
</x:v>
      </x:c>
    </x:row>
    <x:row r="17" ht="70" customHeight="1">
      <x:c r="A17" s="3" t="str">
        <x:f>IF(Setup!$B$6="primary","2019::jama.2019.12618::C004","NOT FROZEN")</x:f>
        <x:v>2019::jama.2019.12618::C004</x:v>
      </x:c>
      <x:c r="B17" s="3" t="str">
        <x:f>IF(Setup!$B$6="primary",IF(INDEX('C_jama.2019.12618'!$D$2:$D$9,MATCH("2019::jama.2019.12618::C004",'C_jama.2019.12618'!$A$2:$A$9,0))="","",INDEX('C_jama.2019.12618'!$D$2:$D$9,MATCH("2019::jama.2019.12618::C004",'C_jama.2019.12618'!$A$2:$A$9,0))),"NOT FROZEN")</x:f>
      </x:c>
      <x:c r="C17" s="3" t="str">
        <x:f>IF(Setup!$B$6="primary",IF(INDEX('C_jama.2019.12618'!$E$2:$E$9,MATCH("2019::jama.2019.12618::C004",'C_jama.2019.12618'!$A$2:$A$9,0))="","",INDEX('C_jama.2019.12618'!$E$2:$E$9,MATCH("2019::jama.2019.12618::C004",'C_jama.2019.12618'!$A$2:$A$9,0))),"NOT FROZEN")</x:f>
        <x:v>protocol_report</x:v>
      </x:c>
      <x:c r="D17" s="3" t="str">
        <x:f>IF(Setup!$B$6="primary",IF(AND(INDEX('C_jama.2019.12618'!$D$2:$D$9,MATCH("2019::jama.2019.12618::C004",'C_jama.2019.12618'!$A$2:$A$9,0))="retain",INDEX('C_jama.2019.12618'!$E$2:$E$9,MATCH("2019::jama.2019.12618::C004",'C_jama.2019.12618'!$A$2:$A$9,0))="statistical_results"),IF(INDEX('C_jama.2019.12618'!$H$2:$H$9,MATCH("2019::jama.2019.12618::C004",'C_jama.2019.12618'!$A$2:$A$9,0))="","",INDEX('C_jama.2019.12618'!$H$2:$H$9,MATCH("2019::jama.2019.12618::C004",'C_jama.2019.12618'!$A$2:$A$9,0))),"not_applicable"),"NOT FROZEN")</x:f>
        <x:v>not_applicable</x:v>
      </x:c>
      <x:c r="E17" s="3" t="str">
        <x:f>IF(Setup!$B$6="primary",IF(AND(INDEX('C_jama.2019.12618'!$D$2:$D$9,MATCH("2019::jama.2019.12618::C004",'C_jama.2019.12618'!$A$2:$A$9,0))="retain",INDEX('C_jama.2019.12618'!$E$2:$E$9,MATCH("2019::jama.2019.12618::C004",'C_jama.2019.12618'!$A$2:$A$9,0))="statistical_results"),IF(INDEX('C_jama.2019.12618'!$I$2:$I$9,MATCH("2019::jama.2019.12618::C004",'C_jama.2019.12618'!$A$2:$A$9,0))="","",INDEX('C_jama.2019.12618'!$I$2:$I$9,MATCH("2019::jama.2019.12618::C004",'C_jama.2019.12618'!$A$2:$A$9,0))),"not_applicable"),"NOT FROZEN")</x:f>
        <x:v>not_applicable</x:v>
      </x:c>
      <x:c r="F17" s="3" t="str">
        <x:f>IF(Setup!$B$6="primary",IF(AND(INDEX('C_jama.2019.12618'!$D$2:$D$9,MATCH("2019::jama.2019.12618::C004",'C_jama.2019.12618'!$A$2:$A$9,0))="retain",INDEX('C_jama.2019.12618'!$E$2:$E$9,MATCH("2019::jama.2019.12618::C004",'C_jama.2019.12618'!$A$2:$A$9,0))="statistical_results"),IF(INDEX('C_jama.2019.12618'!$J$2:$J$9,MATCH("2019::jama.2019.12618::C004",'C_jama.2019.12618'!$A$2:$A$9,0))="","",INDEX('C_jama.2019.12618'!$J$2:$J$9,MATCH("2019::jama.2019.12618::C004",'C_jama.2019.12618'!$A$2:$A$9,0))),"not_applicable"),"NOT FROZEN")</x:f>
        <x:v>not_applicable</x:v>
      </x:c>
      <x:c r="G17" s="3" t="str">
        <x:f>IF(Setup!$B$6="primary",IF(AND(INDEX('C_jama.2019.12618'!$D$2:$D$9,MATCH("2019::jama.2019.12618::C004",'C_jama.2019.12618'!$A$2:$A$9,0))="retain",OR(INDEX('C_jama.2019.12618'!$E$2:$E$9,MATCH("2019::jama.2019.12618::C004",'C_jama.2019.12618'!$A$2:$A$9,0))="report_internal_inconsistency",INDEX('C_jama.2019.12618'!$E$2:$E$9,MATCH("2019::jama.2019.12618::C004",'C_jama.2019.12618'!$A$2:$A$9,0))="plan_material")),IF(INDEX('C_jama.2019.12618'!$K$2:$K$9,MATCH("2019::jama.2019.12618::C004",'C_jama.2019.12618'!$A$2:$A$9,0))="","",INDEX('C_jama.2019.12618'!$K$2:$K$9,MATCH("2019::jama.2019.12618::C004",'C_jama.2019.12618'!$A$2:$A$9,0))),"not_applicable"),"NOT FROZEN")</x:f>
        <x:v>not_applicable</x:v>
      </x:c>
      <x:c r="H17" s="3" t="str">
        <x:f>IF(Setup!$B$6="primary",IF(AND(INDEX('C_jama.2019.12618'!$D$2:$D$9,MATCH("2019::jama.2019.12618::C004",'C_jama.2019.12618'!$A$2:$A$9,0))="retain",INDEX('C_jama.2019.12618'!$E$2:$E$9,MATCH("2019::jama.2019.12618::C004",'C_jama.2019.12618'!$A$2:$A$9,0))="protocol_report"),IF(INDEX('C_jama.2019.12618'!$L$2:$L$9,MATCH("2019::jama.2019.12618::C004",'C_jama.2019.12618'!$A$2:$A$9,0))="","",INDEX('C_jama.2019.12618'!$L$2:$L$9,MATCH("2019::jama.2019.12618::C004",'C_jama.2019.12618'!$A$2:$A$9,0))),"not_applicable"),"NOT FROZEN")</x:f>
        <x:v>not_applicable</x:v>
      </x:c>
      <x:c r="I17" s="3" t="str">
        <x:f>IF(Setup!$B$6="primary",IF(INDEX('C_jama.2019.12618'!$R$2:$R$9,MATCH("2019::jama.2019.12618::C004",'C_jama.2019.12618'!$A$2:$A$9,0))="","",INDEX('C_jama.2019.12618'!$R$2:$R$9,MATCH("2019::jama.2019.12618::C004",'C_jama.2019.12618'!$A$2:$A$9,0))),"NOT FROZEN")</x:f>
      </x:c>
      <x:c r="J17" s="3" t="str">
        <x:f>IF(Setup!$B$6="primary",INDEX('C_jama.2019.12618'!$F$2:$F$9,MATCH("2019::jama.2019.12618::C004",'C_jama.2019.12618'!$A$2:$A$9,0)),"NOT FROZEN")</x:f>
        <x:v>no</x:v>
      </x:c>
      <x:c r="K17" s="3" t="str">
        <x:f>IF(Setup!$B$6="primary",Setup!$B$2,"NOT FROZEN")</x:f>
      </x:c>
      <x:c r="L17" s="3" t="str">
        <x:f>IF(Setup!$B$6="primary",IF(OR(B17="",B17="not_applicable"),"","Disposition: "&amp;B17&amp;CHAR(10))&amp;IF(OR(C17="",C17="not_applicable"),"","Review domain: "&amp;C17&amp;CHAR(10))&amp;IF(OR(D17="",D17="not_applicable"),"","Statistcal_or_numerical issue: "&amp;D17&amp;CHAR(10))&amp;IF(OR(E17="",E17="not_applicable"),"","Substantiveness: "&amp;E17&amp;CHAR(10))&amp;IF(OR(F17="",F17="not_applicable"),"","Downstream impact: "&amp;F17&amp;CHAR(10))&amp;IF(OR(G17="",G17="not_applicable"),"","Report-internal or planning-material inconsistency: "&amp;G17&amp;CHAR(10))&amp;IF(OR(H17="",H17="not_applicable"),"","Protocol interpretation: "&amp;H17&amp;CHAR(10))&amp;IF(OR(I17="",I17="not_applicable"),"","Notes (optional): "&amp;I17&amp;CHAR(10)),"NOT FROZEN")</x:f>
        <x:v>Review domain: protocol_report
</x:v>
      </x:c>
    </x:row>
    <x:row r="18" ht="70" customHeight="1">
      <x:c r="A18" s="6" t="str">
        <x:f>IF(Setup!$B$6="primary","2019::jama.2019.12618::C005","NOT FROZEN")</x:f>
        <x:v>2019::jama.2019.12618::C005</x:v>
      </x:c>
      <x:c r="B18" s="6" t="str">
        <x:f>IF(Setup!$B$6="primary",IF(INDEX('C_jama.2019.12618'!$D$2:$D$9,MATCH("2019::jama.2019.12618::C005",'C_jama.2019.12618'!$A$2:$A$9,0))="","",INDEX('C_jama.2019.12618'!$D$2:$D$9,MATCH("2019::jama.2019.12618::C005",'C_jama.2019.12618'!$A$2:$A$9,0))),"NOT FROZEN")</x:f>
      </x:c>
      <x:c r="C18" s="6" t="str">
        <x:f>IF(Setup!$B$6="primary",IF(INDEX('C_jama.2019.12618'!$E$2:$E$9,MATCH("2019::jama.2019.12618::C005",'C_jama.2019.12618'!$A$2:$A$9,0))="","",INDEX('C_jama.2019.12618'!$E$2:$E$9,MATCH("2019::jama.2019.12618::C005",'C_jama.2019.12618'!$A$2:$A$9,0))),"NOT FROZEN")</x:f>
        <x:v>statistical_results</x:v>
      </x:c>
      <x:c r="D18" s="6" t="str">
        <x:f>IF(Setup!$B$6="primary",IF(AND(INDEX('C_jama.2019.12618'!$D$2:$D$9,MATCH("2019::jama.2019.12618::C005",'C_jama.2019.12618'!$A$2:$A$9,0))="retain",INDEX('C_jama.2019.12618'!$E$2:$E$9,MATCH("2019::jama.2019.12618::C005",'C_jama.2019.12618'!$A$2:$A$9,0))="statistical_results"),IF(INDEX('C_jama.2019.12618'!$H$2:$H$9,MATCH("2019::jama.2019.12618::C005",'C_jama.2019.12618'!$A$2:$A$9,0))="","",INDEX('C_jama.2019.12618'!$H$2:$H$9,MATCH("2019::jama.2019.12618::C005",'C_jama.2019.12618'!$A$2:$A$9,0))),"not_applicable"),"NOT FROZEN")</x:f>
        <x:v>not_applicable</x:v>
      </x:c>
      <x:c r="E18" s="6" t="str">
        <x:f>IF(Setup!$B$6="primary",IF(AND(INDEX('C_jama.2019.12618'!$D$2:$D$9,MATCH("2019::jama.2019.12618::C005",'C_jama.2019.12618'!$A$2:$A$9,0))="retain",INDEX('C_jama.2019.12618'!$E$2:$E$9,MATCH("2019::jama.2019.12618::C005",'C_jama.2019.12618'!$A$2:$A$9,0))="statistical_results"),IF(INDEX('C_jama.2019.12618'!$I$2:$I$9,MATCH("2019::jama.2019.12618::C005",'C_jama.2019.12618'!$A$2:$A$9,0))="","",INDEX('C_jama.2019.12618'!$I$2:$I$9,MATCH("2019::jama.2019.12618::C005",'C_jama.2019.12618'!$A$2:$A$9,0))),"not_applicable"),"NOT FROZEN")</x:f>
        <x:v>not_applicable</x:v>
      </x:c>
      <x:c r="F18" s="6" t="str">
        <x:f>IF(Setup!$B$6="primary",IF(AND(INDEX('C_jama.2019.12618'!$D$2:$D$9,MATCH("2019::jama.2019.12618::C005",'C_jama.2019.12618'!$A$2:$A$9,0))="retain",INDEX('C_jama.2019.12618'!$E$2:$E$9,MATCH("2019::jama.2019.12618::C005",'C_jama.2019.12618'!$A$2:$A$9,0))="statistical_results"),IF(INDEX('C_jama.2019.12618'!$J$2:$J$9,MATCH("2019::jama.2019.12618::C005",'C_jama.2019.12618'!$A$2:$A$9,0))="","",INDEX('C_jama.2019.12618'!$J$2:$J$9,MATCH("2019::jama.2019.12618::C005",'C_jama.2019.12618'!$A$2:$A$9,0))),"not_applicable"),"NOT FROZEN")</x:f>
        <x:v>not_applicable</x:v>
      </x:c>
      <x:c r="G18" s="6" t="str">
        <x:f>IF(Setup!$B$6="primary",IF(AND(INDEX('C_jama.2019.12618'!$D$2:$D$9,MATCH("2019::jama.2019.12618::C005",'C_jama.2019.12618'!$A$2:$A$9,0))="retain",OR(INDEX('C_jama.2019.12618'!$E$2:$E$9,MATCH("2019::jama.2019.12618::C005",'C_jama.2019.12618'!$A$2:$A$9,0))="report_internal_inconsistency",INDEX('C_jama.2019.12618'!$E$2:$E$9,MATCH("2019::jama.2019.12618::C005",'C_jama.2019.12618'!$A$2:$A$9,0))="plan_material")),IF(INDEX('C_jama.2019.12618'!$K$2:$K$9,MATCH("2019::jama.2019.12618::C005",'C_jama.2019.12618'!$A$2:$A$9,0))="","",INDEX('C_jama.2019.12618'!$K$2:$K$9,MATCH("2019::jama.2019.12618::C005",'C_jama.2019.12618'!$A$2:$A$9,0))),"not_applicable"),"NOT FROZEN")</x:f>
        <x:v>not_applicable</x:v>
      </x:c>
      <x:c r="H18" s="6" t="str">
        <x:f>IF(Setup!$B$6="primary",IF(AND(INDEX('C_jama.2019.12618'!$D$2:$D$9,MATCH("2019::jama.2019.12618::C005",'C_jama.2019.12618'!$A$2:$A$9,0))="retain",INDEX('C_jama.2019.12618'!$E$2:$E$9,MATCH("2019::jama.2019.12618::C005",'C_jama.2019.12618'!$A$2:$A$9,0))="protocol_report"),IF(INDEX('C_jama.2019.12618'!$L$2:$L$9,MATCH("2019::jama.2019.12618::C005",'C_jama.2019.12618'!$A$2:$A$9,0))="","",INDEX('C_jama.2019.12618'!$L$2:$L$9,MATCH("2019::jama.2019.12618::C005",'C_jama.2019.12618'!$A$2:$A$9,0))),"not_applicable"),"NOT FROZEN")</x:f>
        <x:v>not_applicable</x:v>
      </x:c>
      <x:c r="I18" s="6" t="str">
        <x:f>IF(Setup!$B$6="primary",IF(INDEX('C_jama.2019.12618'!$R$2:$R$9,MATCH("2019::jama.2019.12618::C005",'C_jama.2019.12618'!$A$2:$A$9,0))="","",INDEX('C_jama.2019.12618'!$R$2:$R$9,MATCH("2019::jama.2019.12618::C005",'C_jama.2019.12618'!$A$2:$A$9,0))),"NOT FROZEN")</x:f>
      </x:c>
      <x:c r="J18" s="6" t="str">
        <x:f>IF(Setup!$B$6="primary",INDEX('C_jama.2019.12618'!$F$2:$F$9,MATCH("2019::jama.2019.12618::C005",'C_jama.2019.12618'!$A$2:$A$9,0)),"NOT FROZEN")</x:f>
        <x:v>no</x:v>
      </x:c>
      <x:c r="K18" s="6" t="str">
        <x:f>IF(Setup!$B$6="primary",Setup!$B$2,"NOT FROZEN")</x:f>
      </x:c>
      <x:c r="L18" s="6" t="str">
        <x:f>IF(Setup!$B$6="primary",IF(OR(B18="",B18="not_applicable"),"","Disposition: "&amp;B18&amp;CHAR(10))&amp;IF(OR(C18="",C18="not_applicable"),"","Review domain: "&amp;C18&amp;CHAR(10))&amp;IF(OR(D18="",D18="not_applicable"),"","Statistcal_or_numerical issue: "&amp;D18&amp;CHAR(10))&amp;IF(OR(E18="",E18="not_applicable"),"","Substantiveness: "&amp;E18&amp;CHAR(10))&amp;IF(OR(F18="",F18="not_applicable"),"","Downstream impact: "&amp;F18&amp;CHAR(10))&amp;IF(OR(G18="",G18="not_applicable"),"","Report-internal or planning-material inconsistency: "&amp;G18&amp;CHAR(10))&amp;IF(OR(H18="",H18="not_applicable"),"","Protocol interpretation: "&amp;H18&amp;CHAR(10))&amp;IF(OR(I18="",I18="not_applicable"),"","Notes (optional): "&amp;I18&amp;CHAR(10)),"NOT FROZEN")</x:f>
        <x:v>Review domain: statistical_results
</x:v>
      </x:c>
    </x:row>
    <x:row r="19" ht="70" customHeight="1">
      <x:c r="A19" s="3" t="str">
        <x:f>IF(Setup!$B$6="primary","2019::jama.2019.12618::C006","NOT FROZEN")</x:f>
        <x:v>2019::jama.2019.12618::C006</x:v>
      </x:c>
      <x:c r="B19" s="3" t="str">
        <x:f>IF(Setup!$B$6="primary",IF(INDEX('C_jama.2019.12618'!$D$2:$D$9,MATCH("2019::jama.2019.12618::C006",'C_jama.2019.12618'!$A$2:$A$9,0))="","",INDEX('C_jama.2019.12618'!$D$2:$D$9,MATCH("2019::jama.2019.12618::C006",'C_jama.2019.12618'!$A$2:$A$9,0))),"NOT FROZEN")</x:f>
      </x:c>
      <x:c r="C19" s="3" t="str">
        <x:f>IF(Setup!$B$6="primary",IF(INDEX('C_jama.2019.12618'!$E$2:$E$9,MATCH("2019::jama.2019.12618::C006",'C_jama.2019.12618'!$A$2:$A$9,0))="","",INDEX('C_jama.2019.12618'!$E$2:$E$9,MATCH("2019::jama.2019.12618::C006",'C_jama.2019.12618'!$A$2:$A$9,0))),"NOT FROZEN")</x:f>
        <x:v>report_internal_inconsistency</x:v>
      </x:c>
      <x:c r="D19" s="3" t="str">
        <x:f>IF(Setup!$B$6="primary",IF(AND(INDEX('C_jama.2019.12618'!$D$2:$D$9,MATCH("2019::jama.2019.12618::C006",'C_jama.2019.12618'!$A$2:$A$9,0))="retain",INDEX('C_jama.2019.12618'!$E$2:$E$9,MATCH("2019::jama.2019.12618::C006",'C_jama.2019.12618'!$A$2:$A$9,0))="statistical_results"),IF(INDEX('C_jama.2019.12618'!$H$2:$H$9,MATCH("2019::jama.2019.12618::C006",'C_jama.2019.12618'!$A$2:$A$9,0))="","",INDEX('C_jama.2019.12618'!$H$2:$H$9,MATCH("2019::jama.2019.12618::C006",'C_jama.2019.12618'!$A$2:$A$9,0))),"not_applicable"),"NOT FROZEN")</x:f>
        <x:v>not_applicable</x:v>
      </x:c>
      <x:c r="E19" s="3" t="str">
        <x:f>IF(Setup!$B$6="primary",IF(AND(INDEX('C_jama.2019.12618'!$D$2:$D$9,MATCH("2019::jama.2019.12618::C006",'C_jama.2019.12618'!$A$2:$A$9,0))="retain",INDEX('C_jama.2019.12618'!$E$2:$E$9,MATCH("2019::jama.2019.12618::C006",'C_jama.2019.12618'!$A$2:$A$9,0))="statistical_results"),IF(INDEX('C_jama.2019.12618'!$I$2:$I$9,MATCH("2019::jama.2019.12618::C006",'C_jama.2019.12618'!$A$2:$A$9,0))="","",INDEX('C_jama.2019.12618'!$I$2:$I$9,MATCH("2019::jama.2019.12618::C006",'C_jama.2019.12618'!$A$2:$A$9,0))),"not_applicable"),"NOT FROZEN")</x:f>
        <x:v>not_applicable</x:v>
      </x:c>
      <x:c r="F19" s="3" t="str">
        <x:f>IF(Setup!$B$6="primary",IF(AND(INDEX('C_jama.2019.12618'!$D$2:$D$9,MATCH("2019::jama.2019.12618::C006",'C_jama.2019.12618'!$A$2:$A$9,0))="retain",INDEX('C_jama.2019.12618'!$E$2:$E$9,MATCH("2019::jama.2019.12618::C006",'C_jama.2019.12618'!$A$2:$A$9,0))="statistical_results"),IF(INDEX('C_jama.2019.12618'!$J$2:$J$9,MATCH("2019::jama.2019.12618::C006",'C_jama.2019.12618'!$A$2:$A$9,0))="","",INDEX('C_jama.2019.12618'!$J$2:$J$9,MATCH("2019::jama.2019.12618::C006",'C_jama.2019.12618'!$A$2:$A$9,0))),"not_applicable"),"NOT FROZEN")</x:f>
        <x:v>not_applicable</x:v>
      </x:c>
      <x:c r="G19" s="3" t="str">
        <x:f>IF(Setup!$B$6="primary",IF(AND(INDEX('C_jama.2019.12618'!$D$2:$D$9,MATCH("2019::jama.2019.12618::C006",'C_jama.2019.12618'!$A$2:$A$9,0))="retain",OR(INDEX('C_jama.2019.12618'!$E$2:$E$9,MATCH("2019::jama.2019.12618::C006",'C_jama.2019.12618'!$A$2:$A$9,0))="report_internal_inconsistency",INDEX('C_jama.2019.12618'!$E$2:$E$9,MATCH("2019::jama.2019.12618::C006",'C_jama.2019.12618'!$A$2:$A$9,0))="plan_material")),IF(INDEX('C_jama.2019.12618'!$K$2:$K$9,MATCH("2019::jama.2019.12618::C006",'C_jama.2019.12618'!$A$2:$A$9,0))="","",INDEX('C_jama.2019.12618'!$K$2:$K$9,MATCH("2019::jama.2019.12618::C006",'C_jama.2019.12618'!$A$2:$A$9,0))),"not_applicable"),"NOT FROZEN")</x:f>
        <x:v>not_applicable</x:v>
      </x:c>
      <x:c r="H19" s="3" t="str">
        <x:f>IF(Setup!$B$6="primary",IF(AND(INDEX('C_jama.2019.12618'!$D$2:$D$9,MATCH("2019::jama.2019.12618::C006",'C_jama.2019.12618'!$A$2:$A$9,0))="retain",INDEX('C_jama.2019.12618'!$E$2:$E$9,MATCH("2019::jama.2019.12618::C006",'C_jama.2019.12618'!$A$2:$A$9,0))="protocol_report"),IF(INDEX('C_jama.2019.12618'!$L$2:$L$9,MATCH("2019::jama.2019.12618::C006",'C_jama.2019.12618'!$A$2:$A$9,0))="","",INDEX('C_jama.2019.12618'!$L$2:$L$9,MATCH("2019::jama.2019.12618::C006",'C_jama.2019.12618'!$A$2:$A$9,0))),"not_applicable"),"NOT FROZEN")</x:f>
        <x:v>not_applicable</x:v>
      </x:c>
      <x:c r="I19" s="3" t="str">
        <x:f>IF(Setup!$B$6="primary",IF(INDEX('C_jama.2019.12618'!$R$2:$R$9,MATCH("2019::jama.2019.12618::C006",'C_jama.2019.12618'!$A$2:$A$9,0))="","",INDEX('C_jama.2019.12618'!$R$2:$R$9,MATCH("2019::jama.2019.12618::C006",'C_jama.2019.12618'!$A$2:$A$9,0))),"NOT FROZEN")</x:f>
      </x:c>
      <x:c r="J19" s="3" t="str">
        <x:f>IF(Setup!$B$6="primary",INDEX('C_jama.2019.12618'!$F$2:$F$9,MATCH("2019::jama.2019.12618::C006",'C_jama.2019.12618'!$A$2:$A$9,0)),"NOT FROZEN")</x:f>
        <x:v>no</x:v>
      </x:c>
      <x:c r="K19" s="3" t="str">
        <x:f>IF(Setup!$B$6="primary",Setup!$B$2,"NOT FROZEN")</x:f>
      </x:c>
      <x:c r="L19" s="3" t="str">
        <x:f>IF(Setup!$B$6="primary",IF(OR(B19="",B19="not_applicable"),"","Disposition: "&amp;B19&amp;CHAR(10))&amp;IF(OR(C19="",C19="not_applicable"),"","Review domain: "&amp;C19&amp;CHAR(10))&amp;IF(OR(D19="",D19="not_applicable"),"","Statistcal_or_numerical issue: "&amp;D19&amp;CHAR(10))&amp;IF(OR(E19="",E19="not_applicable"),"","Substantiveness: "&amp;E19&amp;CHAR(10))&amp;IF(OR(F19="",F19="not_applicable"),"","Downstream impact: "&amp;F19&amp;CHAR(10))&amp;IF(OR(G19="",G19="not_applicable"),"","Report-internal or planning-material inconsistency: "&amp;G19&amp;CHAR(10))&amp;IF(OR(H19="",H19="not_applicable"),"","Protocol interpretation: "&amp;H19&amp;CHAR(10))&amp;IF(OR(I19="",I19="not_applicable"),"","Notes (optional): "&amp;I19&amp;CHAR(10)),"NOT FROZEN")</x:f>
        <x:v>Review domain: report_internal_inconsistency
</x:v>
      </x:c>
    </x:row>
    <x:row r="20" ht="70" customHeight="1">
      <x:c r="A20" s="6" t="str">
        <x:f>IF(Setup!$B$6="primary","2019::jama.2019.12618::C007","NOT FROZEN")</x:f>
        <x:v>2019::jama.2019.12618::C007</x:v>
      </x:c>
      <x:c r="B20" s="6" t="str">
        <x:f>IF(Setup!$B$6="primary",IF(INDEX('C_jama.2019.12618'!$D$2:$D$9,MATCH("2019::jama.2019.12618::C007",'C_jama.2019.12618'!$A$2:$A$9,0))="","",INDEX('C_jama.2019.12618'!$D$2:$D$9,MATCH("2019::jama.2019.12618::C007",'C_jama.2019.12618'!$A$2:$A$9,0))),"NOT FROZEN")</x:f>
      </x:c>
      <x:c r="C20" s="6" t="str">
        <x:f>IF(Setup!$B$6="primary",IF(INDEX('C_jama.2019.12618'!$E$2:$E$9,MATCH("2019::jama.2019.12618::C007",'C_jama.2019.12618'!$A$2:$A$9,0))="","",INDEX('C_jama.2019.12618'!$E$2:$E$9,MATCH("2019::jama.2019.12618::C007",'C_jama.2019.12618'!$A$2:$A$9,0))),"NOT FROZEN")</x:f>
        <x:v>statistical_results</x:v>
      </x:c>
      <x:c r="D20" s="6" t="str">
        <x:f>IF(Setup!$B$6="primary",IF(AND(INDEX('C_jama.2019.12618'!$D$2:$D$9,MATCH("2019::jama.2019.12618::C007",'C_jama.2019.12618'!$A$2:$A$9,0))="retain",INDEX('C_jama.2019.12618'!$E$2:$E$9,MATCH("2019::jama.2019.12618::C007",'C_jama.2019.12618'!$A$2:$A$9,0))="statistical_results"),IF(INDEX('C_jama.2019.12618'!$H$2:$H$9,MATCH("2019::jama.2019.12618::C007",'C_jama.2019.12618'!$A$2:$A$9,0))="","",INDEX('C_jama.2019.12618'!$H$2:$H$9,MATCH("2019::jama.2019.12618::C007",'C_jama.2019.12618'!$A$2:$A$9,0))),"not_applicable"),"NOT FROZEN")</x:f>
        <x:v>not_applicable</x:v>
      </x:c>
      <x:c r="E20" s="6" t="str">
        <x:f>IF(Setup!$B$6="primary",IF(AND(INDEX('C_jama.2019.12618'!$D$2:$D$9,MATCH("2019::jama.2019.12618::C007",'C_jama.2019.12618'!$A$2:$A$9,0))="retain",INDEX('C_jama.2019.12618'!$E$2:$E$9,MATCH("2019::jama.2019.12618::C007",'C_jama.2019.12618'!$A$2:$A$9,0))="statistical_results"),IF(INDEX('C_jama.2019.12618'!$I$2:$I$9,MATCH("2019::jama.2019.12618::C007",'C_jama.2019.12618'!$A$2:$A$9,0))="","",INDEX('C_jama.2019.12618'!$I$2:$I$9,MATCH("2019::jama.2019.12618::C007",'C_jama.2019.12618'!$A$2:$A$9,0))),"not_applicable"),"NOT FROZEN")</x:f>
        <x:v>not_applicable</x:v>
      </x:c>
      <x:c r="F20" s="6" t="str">
        <x:f>IF(Setup!$B$6="primary",IF(AND(INDEX('C_jama.2019.12618'!$D$2:$D$9,MATCH("2019::jama.2019.12618::C007",'C_jama.2019.12618'!$A$2:$A$9,0))="retain",INDEX('C_jama.2019.12618'!$E$2:$E$9,MATCH("2019::jama.2019.12618::C007",'C_jama.2019.12618'!$A$2:$A$9,0))="statistical_results"),IF(INDEX('C_jama.2019.12618'!$J$2:$J$9,MATCH("2019::jama.2019.12618::C007",'C_jama.2019.12618'!$A$2:$A$9,0))="","",INDEX('C_jama.2019.12618'!$J$2:$J$9,MATCH("2019::jama.2019.12618::C007",'C_jama.2019.12618'!$A$2:$A$9,0))),"not_applicable"),"NOT FROZEN")</x:f>
        <x:v>not_applicable</x:v>
      </x:c>
      <x:c r="G20" s="6" t="str">
        <x:f>IF(Setup!$B$6="primary",IF(AND(INDEX('C_jama.2019.12618'!$D$2:$D$9,MATCH("2019::jama.2019.12618::C007",'C_jama.2019.12618'!$A$2:$A$9,0))="retain",OR(INDEX('C_jama.2019.12618'!$E$2:$E$9,MATCH("2019::jama.2019.12618::C007",'C_jama.2019.12618'!$A$2:$A$9,0))="report_internal_inconsistency",INDEX('C_jama.2019.12618'!$E$2:$E$9,MATCH("2019::jama.2019.12618::C007",'C_jama.2019.12618'!$A$2:$A$9,0))="plan_material")),IF(INDEX('C_jama.2019.12618'!$K$2:$K$9,MATCH("2019::jama.2019.12618::C007",'C_jama.2019.12618'!$A$2:$A$9,0))="","",INDEX('C_jama.2019.12618'!$K$2:$K$9,MATCH("2019::jama.2019.12618::C007",'C_jama.2019.12618'!$A$2:$A$9,0))),"not_applicable"),"NOT FROZEN")</x:f>
        <x:v>not_applicable</x:v>
      </x:c>
      <x:c r="H20" s="6" t="str">
        <x:f>IF(Setup!$B$6="primary",IF(AND(INDEX('C_jama.2019.12618'!$D$2:$D$9,MATCH("2019::jama.2019.12618::C007",'C_jama.2019.12618'!$A$2:$A$9,0))="retain",INDEX('C_jama.2019.12618'!$E$2:$E$9,MATCH("2019::jama.2019.12618::C007",'C_jama.2019.12618'!$A$2:$A$9,0))="protocol_report"),IF(INDEX('C_jama.2019.12618'!$L$2:$L$9,MATCH("2019::jama.2019.12618::C007",'C_jama.2019.12618'!$A$2:$A$9,0))="","",INDEX('C_jama.2019.12618'!$L$2:$L$9,MATCH("2019::jama.2019.12618::C007",'C_jama.2019.12618'!$A$2:$A$9,0))),"not_applicable"),"NOT FROZEN")</x:f>
        <x:v>not_applicable</x:v>
      </x:c>
      <x:c r="I20" s="6" t="str">
        <x:f>IF(Setup!$B$6="primary",IF(INDEX('C_jama.2019.12618'!$R$2:$R$9,MATCH("2019::jama.2019.12618::C007",'C_jama.2019.12618'!$A$2:$A$9,0))="","",INDEX('C_jama.2019.12618'!$R$2:$R$9,MATCH("2019::jama.2019.12618::C007",'C_jama.2019.12618'!$A$2:$A$9,0))),"NOT FROZEN")</x:f>
      </x:c>
      <x:c r="J20" s="6" t="str">
        <x:f>IF(Setup!$B$6="primary",INDEX('C_jama.2019.12618'!$F$2:$F$9,MATCH("2019::jama.2019.12618::C007",'C_jama.2019.12618'!$A$2:$A$9,0)),"NOT FROZEN")</x:f>
        <x:v>no</x:v>
      </x:c>
      <x:c r="K20" s="6" t="str">
        <x:f>IF(Setup!$B$6="primary",Setup!$B$2,"NOT FROZEN")</x:f>
      </x:c>
      <x:c r="L20" s="6" t="str">
        <x:f>IF(Setup!$B$6="primary",IF(OR(B20="",B20="not_applicable"),"","Disposition: "&amp;B20&amp;CHAR(10))&amp;IF(OR(C20="",C20="not_applicable"),"","Review domain: "&amp;C20&amp;CHAR(10))&amp;IF(OR(D20="",D20="not_applicable"),"","Statistcal_or_numerical issue: "&amp;D20&amp;CHAR(10))&amp;IF(OR(E20="",E20="not_applicable"),"","Substantiveness: "&amp;E20&amp;CHAR(10))&amp;IF(OR(F20="",F20="not_applicable"),"","Downstream impact: "&amp;F20&amp;CHAR(10))&amp;IF(OR(G20="",G20="not_applicable"),"","Report-internal or planning-material inconsistency: "&amp;G20&amp;CHAR(10))&amp;IF(OR(H20="",H20="not_applicable"),"","Protocol interpretation: "&amp;H20&amp;CHAR(10))&amp;IF(OR(I20="",I20="not_applicable"),"","Notes (optional): "&amp;I20&amp;CHAR(10)),"NOT FROZEN")</x:f>
        <x:v>Review domain: statistical_results
</x:v>
      </x:c>
    </x:row>
    <x:row r="21" ht="70" customHeight="1">
      <x:c r="A21" s="3" t="str">
        <x:f>IF(Setup!$B$6="primary","2019::jama.2019.12618::C008","NOT FROZEN")</x:f>
        <x:v>2019::jama.2019.12618::C008</x:v>
      </x:c>
      <x:c r="B21" s="3" t="str">
        <x:f>IF(Setup!$B$6="primary",IF(INDEX('C_jama.2019.12618'!$D$2:$D$9,MATCH("2019::jama.2019.12618::C008",'C_jama.2019.12618'!$A$2:$A$9,0))="","",INDEX('C_jama.2019.12618'!$D$2:$D$9,MATCH("2019::jama.2019.12618::C008",'C_jama.2019.12618'!$A$2:$A$9,0))),"NOT FROZEN")</x:f>
      </x:c>
      <x:c r="C21" s="3" t="str">
        <x:f>IF(Setup!$B$6="primary",IF(INDEX('C_jama.2019.12618'!$E$2:$E$9,MATCH("2019::jama.2019.12618::C008",'C_jama.2019.12618'!$A$2:$A$9,0))="","",INDEX('C_jama.2019.12618'!$E$2:$E$9,MATCH("2019::jama.2019.12618::C008",'C_jama.2019.12618'!$A$2:$A$9,0))),"NOT FROZEN")</x:f>
        <x:v>report_internal_inconsistency</x:v>
      </x:c>
      <x:c r="D21" s="3" t="str">
        <x:f>IF(Setup!$B$6="primary",IF(AND(INDEX('C_jama.2019.12618'!$D$2:$D$9,MATCH("2019::jama.2019.12618::C008",'C_jama.2019.12618'!$A$2:$A$9,0))="retain",INDEX('C_jama.2019.12618'!$E$2:$E$9,MATCH("2019::jama.2019.12618::C008",'C_jama.2019.12618'!$A$2:$A$9,0))="statistical_results"),IF(INDEX('C_jama.2019.12618'!$H$2:$H$9,MATCH("2019::jama.2019.12618::C008",'C_jama.2019.12618'!$A$2:$A$9,0))="","",INDEX('C_jama.2019.12618'!$H$2:$H$9,MATCH("2019::jama.2019.12618::C008",'C_jama.2019.12618'!$A$2:$A$9,0))),"not_applicable"),"NOT FROZEN")</x:f>
        <x:v>not_applicable</x:v>
      </x:c>
      <x:c r="E21" s="3" t="str">
        <x:f>IF(Setup!$B$6="primary",IF(AND(INDEX('C_jama.2019.12618'!$D$2:$D$9,MATCH("2019::jama.2019.12618::C008",'C_jama.2019.12618'!$A$2:$A$9,0))="retain",INDEX('C_jama.2019.12618'!$E$2:$E$9,MATCH("2019::jama.2019.12618::C008",'C_jama.2019.12618'!$A$2:$A$9,0))="statistical_results"),IF(INDEX('C_jama.2019.12618'!$I$2:$I$9,MATCH("2019::jama.2019.12618::C008",'C_jama.2019.12618'!$A$2:$A$9,0))="","",INDEX('C_jama.2019.12618'!$I$2:$I$9,MATCH("2019::jama.2019.12618::C008",'C_jama.2019.12618'!$A$2:$A$9,0))),"not_applicable"),"NOT FROZEN")</x:f>
        <x:v>not_applicable</x:v>
      </x:c>
      <x:c r="F21" s="3" t="str">
        <x:f>IF(Setup!$B$6="primary",IF(AND(INDEX('C_jama.2019.12618'!$D$2:$D$9,MATCH("2019::jama.2019.12618::C008",'C_jama.2019.12618'!$A$2:$A$9,0))="retain",INDEX('C_jama.2019.12618'!$E$2:$E$9,MATCH("2019::jama.2019.12618::C008",'C_jama.2019.12618'!$A$2:$A$9,0))="statistical_results"),IF(INDEX('C_jama.2019.12618'!$J$2:$J$9,MATCH("2019::jama.2019.12618::C008",'C_jama.2019.12618'!$A$2:$A$9,0))="","",INDEX('C_jama.2019.12618'!$J$2:$J$9,MATCH("2019::jama.2019.12618::C008",'C_jama.2019.12618'!$A$2:$A$9,0))),"not_applicable"),"NOT FROZEN")</x:f>
        <x:v>not_applicable</x:v>
      </x:c>
      <x:c r="G21" s="3" t="str">
        <x:f>IF(Setup!$B$6="primary",IF(AND(INDEX('C_jama.2019.12618'!$D$2:$D$9,MATCH("2019::jama.2019.12618::C008",'C_jama.2019.12618'!$A$2:$A$9,0))="retain",OR(INDEX('C_jama.2019.12618'!$E$2:$E$9,MATCH("2019::jama.2019.12618::C008",'C_jama.2019.12618'!$A$2:$A$9,0))="report_internal_inconsistency",INDEX('C_jama.2019.12618'!$E$2:$E$9,MATCH("2019::jama.2019.12618::C008",'C_jama.2019.12618'!$A$2:$A$9,0))="plan_material")),IF(INDEX('C_jama.2019.12618'!$K$2:$K$9,MATCH("2019::jama.2019.12618::C008",'C_jama.2019.12618'!$A$2:$A$9,0))="","",INDEX('C_jama.2019.12618'!$K$2:$K$9,MATCH("2019::jama.2019.12618::C008",'C_jama.2019.12618'!$A$2:$A$9,0))),"not_applicable"),"NOT FROZEN")</x:f>
        <x:v>not_applicable</x:v>
      </x:c>
      <x:c r="H21" s="3" t="str">
        <x:f>IF(Setup!$B$6="primary",IF(AND(INDEX('C_jama.2019.12618'!$D$2:$D$9,MATCH("2019::jama.2019.12618::C008",'C_jama.2019.12618'!$A$2:$A$9,0))="retain",INDEX('C_jama.2019.12618'!$E$2:$E$9,MATCH("2019::jama.2019.12618::C008",'C_jama.2019.12618'!$A$2:$A$9,0))="protocol_report"),IF(INDEX('C_jama.2019.12618'!$L$2:$L$9,MATCH("2019::jama.2019.12618::C008",'C_jama.2019.12618'!$A$2:$A$9,0))="","",INDEX('C_jama.2019.12618'!$L$2:$L$9,MATCH("2019::jama.2019.12618::C008",'C_jama.2019.12618'!$A$2:$A$9,0))),"not_applicable"),"NOT FROZEN")</x:f>
        <x:v>not_applicable</x:v>
      </x:c>
      <x:c r="I21" s="3" t="str">
        <x:f>IF(Setup!$B$6="primary",IF(INDEX('C_jama.2019.12618'!$R$2:$R$9,MATCH("2019::jama.2019.12618::C008",'C_jama.2019.12618'!$A$2:$A$9,0))="","",INDEX('C_jama.2019.12618'!$R$2:$R$9,MATCH("2019::jama.2019.12618::C008",'C_jama.2019.12618'!$A$2:$A$9,0))),"NOT FROZEN")</x:f>
      </x:c>
      <x:c r="J21" s="3" t="str">
        <x:f>IF(Setup!$B$6="primary",INDEX('C_jama.2019.12618'!$F$2:$F$9,MATCH("2019::jama.2019.12618::C008",'C_jama.2019.12618'!$A$2:$A$9,0)),"NOT FROZEN")</x:f>
        <x:v>no</x:v>
      </x:c>
      <x:c r="K21" s="3" t="str">
        <x:f>IF(Setup!$B$6="primary",Setup!$B$2,"NOT FROZEN")</x:f>
      </x:c>
      <x:c r="L21" s="3" t="str">
        <x:f>IF(Setup!$B$6="primary",IF(OR(B21="",B21="not_applicable"),"","Disposition: "&amp;B21&amp;CHAR(10))&amp;IF(OR(C21="",C21="not_applicable"),"","Review domain: "&amp;C21&amp;CHAR(10))&amp;IF(OR(D21="",D21="not_applicable"),"","Statistcal_or_numerical issue: "&amp;D21&amp;CHAR(10))&amp;IF(OR(E21="",E21="not_applicable"),"","Substantiveness: "&amp;E21&amp;CHAR(10))&amp;IF(OR(F21="",F21="not_applicable"),"","Downstream impact: "&amp;F21&amp;CHAR(10))&amp;IF(OR(G21="",G21="not_applicable"),"","Report-internal or planning-material inconsistency: "&amp;G21&amp;CHAR(10))&amp;IF(OR(H21="",H21="not_applicable"),"","Protocol interpretation: "&amp;H21&amp;CHAR(10))&amp;IF(OR(I21="",I21="not_applicable"),"","Notes (optional): "&amp;I21&amp;CHAR(10)),"NOT FROZEN")</x:f>
        <x:v>Review domain: report_internal_inconsistency
</x:v>
      </x:c>
    </x:row>
    <x:row r="22" ht="70" customHeight="1">
      <x:c r="A22" s="6" t="str">
        <x:f>IF(Setup!$B$6="primary","2019::jama.2019.14231::C001","NOT FROZEN")</x:f>
        <x:v>2019::jama.2019.14231::C001</x:v>
      </x:c>
      <x:c r="B22" s="6" t="str">
        <x:f>IF(Setup!$B$6="primary",IF(INDEX('C_jama.2019.14231'!$D$2:$D$12,MATCH("2019::jama.2019.14231::C001",'C_jama.2019.14231'!$A$2:$A$12,0))="","",INDEX('C_jama.2019.14231'!$D$2:$D$12,MATCH("2019::jama.2019.14231::C001",'C_jama.2019.14231'!$A$2:$A$12,0))),"NOT FROZEN")</x:f>
      </x:c>
      <x:c r="C22" s="6" t="str">
        <x:f>IF(Setup!$B$6="primary",IF(INDEX('C_jama.2019.14231'!$E$2:$E$12,MATCH("2019::jama.2019.14231::C001",'C_jama.2019.14231'!$A$2:$A$12,0))="","",INDEX('C_jama.2019.14231'!$E$2:$E$12,MATCH("2019::jama.2019.14231::C001",'C_jama.2019.14231'!$A$2:$A$12,0))),"NOT FROZEN")</x:f>
        <x:v>protocol_report</x:v>
      </x:c>
      <x:c r="D22" s="6" t="str">
        <x:f>IF(Setup!$B$6="primary",IF(AND(INDEX('C_jama.2019.14231'!$D$2:$D$12,MATCH("2019::jama.2019.14231::C001",'C_jama.2019.14231'!$A$2:$A$12,0))="retain",INDEX('C_jama.2019.14231'!$E$2:$E$12,MATCH("2019::jama.2019.14231::C001",'C_jama.2019.14231'!$A$2:$A$12,0))="statistical_results"),IF(INDEX('C_jama.2019.14231'!$H$2:$H$12,MATCH("2019::jama.2019.14231::C001",'C_jama.2019.14231'!$A$2:$A$12,0))="","",INDEX('C_jama.2019.14231'!$H$2:$H$12,MATCH("2019::jama.2019.14231::C001",'C_jama.2019.14231'!$A$2:$A$12,0))),"not_applicable"),"NOT FROZEN")</x:f>
        <x:v>not_applicable</x:v>
      </x:c>
      <x:c r="E22" s="6" t="str">
        <x:f>IF(Setup!$B$6="primary",IF(AND(INDEX('C_jama.2019.14231'!$D$2:$D$12,MATCH("2019::jama.2019.14231::C001",'C_jama.2019.14231'!$A$2:$A$12,0))="retain",INDEX('C_jama.2019.14231'!$E$2:$E$12,MATCH("2019::jama.2019.14231::C001",'C_jama.2019.14231'!$A$2:$A$12,0))="statistical_results"),IF(INDEX('C_jama.2019.14231'!$I$2:$I$12,MATCH("2019::jama.2019.14231::C001",'C_jama.2019.14231'!$A$2:$A$12,0))="","",INDEX('C_jama.2019.14231'!$I$2:$I$12,MATCH("2019::jama.2019.14231::C001",'C_jama.2019.14231'!$A$2:$A$12,0))),"not_applicable"),"NOT FROZEN")</x:f>
        <x:v>not_applicable</x:v>
      </x:c>
      <x:c r="F22" s="6" t="str">
        <x:f>IF(Setup!$B$6="primary",IF(AND(INDEX('C_jama.2019.14231'!$D$2:$D$12,MATCH("2019::jama.2019.14231::C001",'C_jama.2019.14231'!$A$2:$A$12,0))="retain",INDEX('C_jama.2019.14231'!$E$2:$E$12,MATCH("2019::jama.2019.14231::C001",'C_jama.2019.14231'!$A$2:$A$12,0))="statistical_results"),IF(INDEX('C_jama.2019.14231'!$J$2:$J$12,MATCH("2019::jama.2019.14231::C001",'C_jama.2019.14231'!$A$2:$A$12,0))="","",INDEX('C_jama.2019.14231'!$J$2:$J$12,MATCH("2019::jama.2019.14231::C001",'C_jama.2019.14231'!$A$2:$A$12,0))),"not_applicable"),"NOT FROZEN")</x:f>
        <x:v>not_applicable</x:v>
      </x:c>
      <x:c r="G22" s="6" t="str">
        <x:f>IF(Setup!$B$6="primary",IF(AND(INDEX('C_jama.2019.14231'!$D$2:$D$12,MATCH("2019::jama.2019.14231::C001",'C_jama.2019.14231'!$A$2:$A$12,0))="retain",OR(INDEX('C_jama.2019.14231'!$E$2:$E$12,MATCH("2019::jama.2019.14231::C001",'C_jama.2019.14231'!$A$2:$A$12,0))="report_internal_inconsistency",INDEX('C_jama.2019.14231'!$E$2:$E$12,MATCH("2019::jama.2019.14231::C001",'C_jama.2019.14231'!$A$2:$A$12,0))="plan_material")),IF(INDEX('C_jama.2019.14231'!$K$2:$K$12,MATCH("2019::jama.2019.14231::C001",'C_jama.2019.14231'!$A$2:$A$12,0))="","",INDEX('C_jama.2019.14231'!$K$2:$K$12,MATCH("2019::jama.2019.14231::C001",'C_jama.2019.14231'!$A$2:$A$12,0))),"not_applicable"),"NOT FROZEN")</x:f>
        <x:v>not_applicable</x:v>
      </x:c>
      <x:c r="H22" s="6" t="str">
        <x:f>IF(Setup!$B$6="primary",IF(AND(INDEX('C_jama.2019.14231'!$D$2:$D$12,MATCH("2019::jama.2019.14231::C001",'C_jama.2019.14231'!$A$2:$A$12,0))="retain",INDEX('C_jama.2019.14231'!$E$2:$E$12,MATCH("2019::jama.2019.14231::C001",'C_jama.2019.14231'!$A$2:$A$12,0))="protocol_report"),IF(INDEX('C_jama.2019.14231'!$L$2:$L$12,MATCH("2019::jama.2019.14231::C001",'C_jama.2019.14231'!$A$2:$A$12,0))="","",INDEX('C_jama.2019.14231'!$L$2:$L$12,MATCH("2019::jama.2019.14231::C001",'C_jama.2019.14231'!$A$2:$A$12,0))),"not_applicable"),"NOT FROZEN")</x:f>
        <x:v>not_applicable</x:v>
      </x:c>
      <x:c r="I22" s="6" t="str">
        <x:f>IF(Setup!$B$6="primary",IF(INDEX('C_jama.2019.14231'!$R$2:$R$12,MATCH("2019::jama.2019.14231::C001",'C_jama.2019.14231'!$A$2:$A$12,0))="","",INDEX('C_jama.2019.14231'!$R$2:$R$12,MATCH("2019::jama.2019.14231::C001",'C_jama.2019.14231'!$A$2:$A$12,0))),"NOT FROZEN")</x:f>
      </x:c>
      <x:c r="J22" s="6" t="str">
        <x:f>IF(Setup!$B$6="primary",INDEX('C_jama.2019.14231'!$F$2:$F$12,MATCH("2019::jama.2019.14231::C001",'C_jama.2019.14231'!$A$2:$A$12,0)),"NOT FROZEN")</x:f>
        <x:v>no</x:v>
      </x:c>
      <x:c r="K22" s="6" t="str">
        <x:f>IF(Setup!$B$6="primary",Setup!$B$2,"NOT FROZEN")</x:f>
      </x:c>
      <x:c r="L22" s="6" t="str">
        <x:f>IF(Setup!$B$6="primary",IF(OR(B22="",B22="not_applicable"),"","Disposition: "&amp;B22&amp;CHAR(10))&amp;IF(OR(C22="",C22="not_applicable"),"","Review domain: "&amp;C22&amp;CHAR(10))&amp;IF(OR(D22="",D22="not_applicable"),"","Statistcal_or_numerical issue: "&amp;D22&amp;CHAR(10))&amp;IF(OR(E22="",E22="not_applicable"),"","Substantiveness: "&amp;E22&amp;CHAR(10))&amp;IF(OR(F22="",F22="not_applicable"),"","Downstream impact: "&amp;F22&amp;CHAR(10))&amp;IF(OR(G22="",G22="not_applicable"),"","Report-internal or planning-material inconsistency: "&amp;G22&amp;CHAR(10))&amp;IF(OR(H22="",H22="not_applicable"),"","Protocol interpretation: "&amp;H22&amp;CHAR(10))&amp;IF(OR(I22="",I22="not_applicable"),"","Notes (optional): "&amp;I22&amp;CHAR(10)),"NOT FROZEN")</x:f>
        <x:v>Review domain: protocol_report
</x:v>
      </x:c>
    </x:row>
    <x:row r="23" ht="70" customHeight="1">
      <x:c r="A23" s="3" t="str">
        <x:f>IF(Setup!$B$6="primary","2019::jama.2019.14231::C002","NOT FROZEN")</x:f>
        <x:v>2019::jama.2019.14231::C002</x:v>
      </x:c>
      <x:c r="B23" s="3" t="str">
        <x:f>IF(Setup!$B$6="primary",IF(INDEX('C_jama.2019.14231'!$D$2:$D$12,MATCH("2019::jama.2019.14231::C002",'C_jama.2019.14231'!$A$2:$A$12,0))="","",INDEX('C_jama.2019.14231'!$D$2:$D$12,MATCH("2019::jama.2019.14231::C002",'C_jama.2019.14231'!$A$2:$A$12,0))),"NOT FROZEN")</x:f>
      </x:c>
      <x:c r="C23" s="3" t="str">
        <x:f>IF(Setup!$B$6="primary",IF(INDEX('C_jama.2019.14231'!$E$2:$E$12,MATCH("2019::jama.2019.14231::C002",'C_jama.2019.14231'!$A$2:$A$12,0))="","",INDEX('C_jama.2019.14231'!$E$2:$E$12,MATCH("2019::jama.2019.14231::C002",'C_jama.2019.14231'!$A$2:$A$12,0))),"NOT FROZEN")</x:f>
        <x:v>statistical_results</x:v>
      </x:c>
      <x:c r="D23" s="3" t="str">
        <x:f>IF(Setup!$B$6="primary",IF(AND(INDEX('C_jama.2019.14231'!$D$2:$D$12,MATCH("2019::jama.2019.14231::C002",'C_jama.2019.14231'!$A$2:$A$12,0))="retain",INDEX('C_jama.2019.14231'!$E$2:$E$12,MATCH("2019::jama.2019.14231::C002",'C_jama.2019.14231'!$A$2:$A$12,0))="statistical_results"),IF(INDEX('C_jama.2019.14231'!$H$2:$H$12,MATCH("2019::jama.2019.14231::C002",'C_jama.2019.14231'!$A$2:$A$12,0))="","",INDEX('C_jama.2019.14231'!$H$2:$H$12,MATCH("2019::jama.2019.14231::C002",'C_jama.2019.14231'!$A$2:$A$12,0))),"not_applicable"),"NOT FROZEN")</x:f>
        <x:v>not_applicable</x:v>
      </x:c>
      <x:c r="E23" s="3" t="str">
        <x:f>IF(Setup!$B$6="primary",IF(AND(INDEX('C_jama.2019.14231'!$D$2:$D$12,MATCH("2019::jama.2019.14231::C002",'C_jama.2019.14231'!$A$2:$A$12,0))="retain",INDEX('C_jama.2019.14231'!$E$2:$E$12,MATCH("2019::jama.2019.14231::C002",'C_jama.2019.14231'!$A$2:$A$12,0))="statistical_results"),IF(INDEX('C_jama.2019.14231'!$I$2:$I$12,MATCH("2019::jama.2019.14231::C002",'C_jama.2019.14231'!$A$2:$A$12,0))="","",INDEX('C_jama.2019.14231'!$I$2:$I$12,MATCH("2019::jama.2019.14231::C002",'C_jama.2019.14231'!$A$2:$A$12,0))),"not_applicable"),"NOT FROZEN")</x:f>
        <x:v>not_applicable</x:v>
      </x:c>
      <x:c r="F23" s="3" t="str">
        <x:f>IF(Setup!$B$6="primary",IF(AND(INDEX('C_jama.2019.14231'!$D$2:$D$12,MATCH("2019::jama.2019.14231::C002",'C_jama.2019.14231'!$A$2:$A$12,0))="retain",INDEX('C_jama.2019.14231'!$E$2:$E$12,MATCH("2019::jama.2019.14231::C002",'C_jama.2019.14231'!$A$2:$A$12,0))="statistical_results"),IF(INDEX('C_jama.2019.14231'!$J$2:$J$12,MATCH("2019::jama.2019.14231::C002",'C_jama.2019.14231'!$A$2:$A$12,0))="","",INDEX('C_jama.2019.14231'!$J$2:$J$12,MATCH("2019::jama.2019.14231::C002",'C_jama.2019.14231'!$A$2:$A$12,0))),"not_applicable"),"NOT FROZEN")</x:f>
        <x:v>not_applicable</x:v>
      </x:c>
      <x:c r="G23" s="3" t="str">
        <x:f>IF(Setup!$B$6="primary",IF(AND(INDEX('C_jama.2019.14231'!$D$2:$D$12,MATCH("2019::jama.2019.14231::C002",'C_jama.2019.14231'!$A$2:$A$12,0))="retain",OR(INDEX('C_jama.2019.14231'!$E$2:$E$12,MATCH("2019::jama.2019.14231::C002",'C_jama.2019.14231'!$A$2:$A$12,0))="report_internal_inconsistency",INDEX('C_jama.2019.14231'!$E$2:$E$12,MATCH("2019::jama.2019.14231::C002",'C_jama.2019.14231'!$A$2:$A$12,0))="plan_material")),IF(INDEX('C_jama.2019.14231'!$K$2:$K$12,MATCH("2019::jama.2019.14231::C002",'C_jama.2019.14231'!$A$2:$A$12,0))="","",INDEX('C_jama.2019.14231'!$K$2:$K$12,MATCH("2019::jama.2019.14231::C002",'C_jama.2019.14231'!$A$2:$A$12,0))),"not_applicable"),"NOT FROZEN")</x:f>
        <x:v>not_applicable</x:v>
      </x:c>
      <x:c r="H23" s="3" t="str">
        <x:f>IF(Setup!$B$6="primary",IF(AND(INDEX('C_jama.2019.14231'!$D$2:$D$12,MATCH("2019::jama.2019.14231::C002",'C_jama.2019.14231'!$A$2:$A$12,0))="retain",INDEX('C_jama.2019.14231'!$E$2:$E$12,MATCH("2019::jama.2019.14231::C002",'C_jama.2019.14231'!$A$2:$A$12,0))="protocol_report"),IF(INDEX('C_jama.2019.14231'!$L$2:$L$12,MATCH("2019::jama.2019.14231::C002",'C_jama.2019.14231'!$A$2:$A$12,0))="","",INDEX('C_jama.2019.14231'!$L$2:$L$12,MATCH("2019::jama.2019.14231::C002",'C_jama.2019.14231'!$A$2:$A$12,0))),"not_applicable"),"NOT FROZEN")</x:f>
        <x:v>not_applicable</x:v>
      </x:c>
      <x:c r="I23" s="3" t="str">
        <x:f>IF(Setup!$B$6="primary",IF(INDEX('C_jama.2019.14231'!$R$2:$R$12,MATCH("2019::jama.2019.14231::C002",'C_jama.2019.14231'!$A$2:$A$12,0))="","",INDEX('C_jama.2019.14231'!$R$2:$R$12,MATCH("2019::jama.2019.14231::C002",'C_jama.2019.14231'!$A$2:$A$12,0))),"NOT FROZEN")</x:f>
      </x:c>
      <x:c r="J23" s="3" t="str">
        <x:f>IF(Setup!$B$6="primary",INDEX('C_jama.2019.14231'!$F$2:$F$12,MATCH("2019::jama.2019.14231::C002",'C_jama.2019.14231'!$A$2:$A$12,0)),"NOT FROZEN")</x:f>
        <x:v>no</x:v>
      </x:c>
      <x:c r="K23" s="3" t="str">
        <x:f>IF(Setup!$B$6="primary",Setup!$B$2,"NOT FROZEN")</x:f>
      </x:c>
      <x:c r="L23" s="3" t="str">
        <x:f>IF(Setup!$B$6="primary",IF(OR(B23="",B23="not_applicable"),"","Disposition: "&amp;B23&amp;CHAR(10))&amp;IF(OR(C23="",C23="not_applicable"),"","Review domain: "&amp;C23&amp;CHAR(10))&amp;IF(OR(D23="",D23="not_applicable"),"","Statistcal_or_numerical issue: "&amp;D23&amp;CHAR(10))&amp;IF(OR(E23="",E23="not_applicable"),"","Substantiveness: "&amp;E23&amp;CHAR(10))&amp;IF(OR(F23="",F23="not_applicable"),"","Downstream impact: "&amp;F23&amp;CHAR(10))&amp;IF(OR(G23="",G23="not_applicable"),"","Report-internal or planning-material inconsistency: "&amp;G23&amp;CHAR(10))&amp;IF(OR(H23="",H23="not_applicable"),"","Protocol interpretation: "&amp;H23&amp;CHAR(10))&amp;IF(OR(I23="",I23="not_applicable"),"","Notes (optional): "&amp;I23&amp;CHAR(10)),"NOT FROZEN")</x:f>
        <x:v>Review domain: statistical_results
</x:v>
      </x:c>
    </x:row>
    <x:row r="24" ht="70" customHeight="1">
      <x:c r="A24" s="6" t="str">
        <x:f>IF(Setup!$B$6="primary","2019::jama.2019.14231::C003","NOT FROZEN")</x:f>
        <x:v>2019::jama.2019.14231::C003</x:v>
      </x:c>
      <x:c r="B24" s="6" t="str">
        <x:f>IF(Setup!$B$6="primary",IF(INDEX('C_jama.2019.14231'!$D$2:$D$12,MATCH("2019::jama.2019.14231::C003",'C_jama.2019.14231'!$A$2:$A$12,0))="","",INDEX('C_jama.2019.14231'!$D$2:$D$12,MATCH("2019::jama.2019.14231::C003",'C_jama.2019.14231'!$A$2:$A$12,0))),"NOT FROZEN")</x:f>
      </x:c>
      <x:c r="C24" s="6" t="str">
        <x:f>IF(Setup!$B$6="primary",IF(INDEX('C_jama.2019.14231'!$E$2:$E$12,MATCH("2019::jama.2019.14231::C003",'C_jama.2019.14231'!$A$2:$A$12,0))="","",INDEX('C_jama.2019.14231'!$E$2:$E$12,MATCH("2019::jama.2019.14231::C003",'C_jama.2019.14231'!$A$2:$A$12,0))),"NOT FROZEN")</x:f>
        <x:v>statistical_results</x:v>
      </x:c>
      <x:c r="D24" s="6" t="str">
        <x:f>IF(Setup!$B$6="primary",IF(AND(INDEX('C_jama.2019.14231'!$D$2:$D$12,MATCH("2019::jama.2019.14231::C003",'C_jama.2019.14231'!$A$2:$A$12,0))="retain",INDEX('C_jama.2019.14231'!$E$2:$E$12,MATCH("2019::jama.2019.14231::C003",'C_jama.2019.14231'!$A$2:$A$12,0))="statistical_results"),IF(INDEX('C_jama.2019.14231'!$H$2:$H$12,MATCH("2019::jama.2019.14231::C003",'C_jama.2019.14231'!$A$2:$A$12,0))="","",INDEX('C_jama.2019.14231'!$H$2:$H$12,MATCH("2019::jama.2019.14231::C003",'C_jama.2019.14231'!$A$2:$A$12,0))),"not_applicable"),"NOT FROZEN")</x:f>
        <x:v>not_applicable</x:v>
      </x:c>
      <x:c r="E24" s="6" t="str">
        <x:f>IF(Setup!$B$6="primary",IF(AND(INDEX('C_jama.2019.14231'!$D$2:$D$12,MATCH("2019::jama.2019.14231::C003",'C_jama.2019.14231'!$A$2:$A$12,0))="retain",INDEX('C_jama.2019.14231'!$E$2:$E$12,MATCH("2019::jama.2019.14231::C003",'C_jama.2019.14231'!$A$2:$A$12,0))="statistical_results"),IF(INDEX('C_jama.2019.14231'!$I$2:$I$12,MATCH("2019::jama.2019.14231::C003",'C_jama.2019.14231'!$A$2:$A$12,0))="","",INDEX('C_jama.2019.14231'!$I$2:$I$12,MATCH("2019::jama.2019.14231::C003",'C_jama.2019.14231'!$A$2:$A$12,0))),"not_applicable"),"NOT FROZEN")</x:f>
        <x:v>not_applicable</x:v>
      </x:c>
      <x:c r="F24" s="6" t="str">
        <x:f>IF(Setup!$B$6="primary",IF(AND(INDEX('C_jama.2019.14231'!$D$2:$D$12,MATCH("2019::jama.2019.14231::C003",'C_jama.2019.14231'!$A$2:$A$12,0))="retain",INDEX('C_jama.2019.14231'!$E$2:$E$12,MATCH("2019::jama.2019.14231::C003",'C_jama.2019.14231'!$A$2:$A$12,0))="statistical_results"),IF(INDEX('C_jama.2019.14231'!$J$2:$J$12,MATCH("2019::jama.2019.14231::C003",'C_jama.2019.14231'!$A$2:$A$12,0))="","",INDEX('C_jama.2019.14231'!$J$2:$J$12,MATCH("2019::jama.2019.14231::C003",'C_jama.2019.14231'!$A$2:$A$12,0))),"not_applicable"),"NOT FROZEN")</x:f>
        <x:v>not_applicable</x:v>
      </x:c>
      <x:c r="G24" s="6" t="str">
        <x:f>IF(Setup!$B$6="primary",IF(AND(INDEX('C_jama.2019.14231'!$D$2:$D$12,MATCH("2019::jama.2019.14231::C003",'C_jama.2019.14231'!$A$2:$A$12,0))="retain",OR(INDEX('C_jama.2019.14231'!$E$2:$E$12,MATCH("2019::jama.2019.14231::C003",'C_jama.2019.14231'!$A$2:$A$12,0))="report_internal_inconsistency",INDEX('C_jama.2019.14231'!$E$2:$E$12,MATCH("2019::jama.2019.14231::C003",'C_jama.2019.14231'!$A$2:$A$12,0))="plan_material")),IF(INDEX('C_jama.2019.14231'!$K$2:$K$12,MATCH("2019::jama.2019.14231::C003",'C_jama.2019.14231'!$A$2:$A$12,0))="","",INDEX('C_jama.2019.14231'!$K$2:$K$12,MATCH("2019::jama.2019.14231::C003",'C_jama.2019.14231'!$A$2:$A$12,0))),"not_applicable"),"NOT FROZEN")</x:f>
        <x:v>not_applicable</x:v>
      </x:c>
      <x:c r="H24" s="6" t="str">
        <x:f>IF(Setup!$B$6="primary",IF(AND(INDEX('C_jama.2019.14231'!$D$2:$D$12,MATCH("2019::jama.2019.14231::C003",'C_jama.2019.14231'!$A$2:$A$12,0))="retain",INDEX('C_jama.2019.14231'!$E$2:$E$12,MATCH("2019::jama.2019.14231::C003",'C_jama.2019.14231'!$A$2:$A$12,0))="protocol_report"),IF(INDEX('C_jama.2019.14231'!$L$2:$L$12,MATCH("2019::jama.2019.14231::C003",'C_jama.2019.14231'!$A$2:$A$12,0))="","",INDEX('C_jama.2019.14231'!$L$2:$L$12,MATCH("2019::jama.2019.14231::C003",'C_jama.2019.14231'!$A$2:$A$12,0))),"not_applicable"),"NOT FROZEN")</x:f>
        <x:v>not_applicable</x:v>
      </x:c>
      <x:c r="I24" s="6" t="str">
        <x:f>IF(Setup!$B$6="primary",IF(INDEX('C_jama.2019.14231'!$R$2:$R$12,MATCH("2019::jama.2019.14231::C003",'C_jama.2019.14231'!$A$2:$A$12,0))="","",INDEX('C_jama.2019.14231'!$R$2:$R$12,MATCH("2019::jama.2019.14231::C003",'C_jama.2019.14231'!$A$2:$A$12,0))),"NOT FROZEN")</x:f>
      </x:c>
      <x:c r="J24" s="6" t="str">
        <x:f>IF(Setup!$B$6="primary",INDEX('C_jama.2019.14231'!$F$2:$F$12,MATCH("2019::jama.2019.14231::C003",'C_jama.2019.14231'!$A$2:$A$12,0)),"NOT FROZEN")</x:f>
        <x:v>no</x:v>
      </x:c>
      <x:c r="K24" s="6" t="str">
        <x:f>IF(Setup!$B$6="primary",Setup!$B$2,"NOT FROZEN")</x:f>
      </x:c>
      <x:c r="L24" s="6" t="str">
        <x:f>IF(Setup!$B$6="primary",IF(OR(B24="",B24="not_applicable"),"","Disposition: "&amp;B24&amp;CHAR(10))&amp;IF(OR(C24="",C24="not_applicable"),"","Review domain: "&amp;C24&amp;CHAR(10))&amp;IF(OR(D24="",D24="not_applicable"),"","Statistcal_or_numerical issue: "&amp;D24&amp;CHAR(10))&amp;IF(OR(E24="",E24="not_applicable"),"","Substantiveness: "&amp;E24&amp;CHAR(10))&amp;IF(OR(F24="",F24="not_applicable"),"","Downstream impact: "&amp;F24&amp;CHAR(10))&amp;IF(OR(G24="",G24="not_applicable"),"","Report-internal or planning-material inconsistency: "&amp;G24&amp;CHAR(10))&amp;IF(OR(H24="",H24="not_applicable"),"","Protocol interpretation: "&amp;H24&amp;CHAR(10))&amp;IF(OR(I24="",I24="not_applicable"),"","Notes (optional): "&amp;I24&amp;CHAR(10)),"NOT FROZEN")</x:f>
        <x:v>Review domain: statistical_results
</x:v>
      </x:c>
    </x:row>
    <x:row r="25" ht="70" customHeight="1">
      <x:c r="A25" s="3" t="str">
        <x:f>IF(Setup!$B$6="primary","2019::jama.2019.14231::C004","NOT FROZEN")</x:f>
        <x:v>2019::jama.2019.14231::C004</x:v>
      </x:c>
      <x:c r="B25" s="3" t="str">
        <x:f>IF(Setup!$B$6="primary",IF(INDEX('C_jama.2019.14231'!$D$2:$D$12,MATCH("2019::jama.2019.14231::C004",'C_jama.2019.14231'!$A$2:$A$12,0))="","",INDEX('C_jama.2019.14231'!$D$2:$D$12,MATCH("2019::jama.2019.14231::C004",'C_jama.2019.14231'!$A$2:$A$12,0))),"NOT FROZEN")</x:f>
      </x:c>
      <x:c r="C25" s="3" t="str">
        <x:f>IF(Setup!$B$6="primary",IF(INDEX('C_jama.2019.14231'!$E$2:$E$12,MATCH("2019::jama.2019.14231::C004",'C_jama.2019.14231'!$A$2:$A$12,0))="","",INDEX('C_jama.2019.14231'!$E$2:$E$12,MATCH("2019::jama.2019.14231::C004",'C_jama.2019.14231'!$A$2:$A$12,0))),"NOT FROZEN")</x:f>
        <x:v>statistical_results</x:v>
      </x:c>
      <x:c r="D25" s="3" t="str">
        <x:f>IF(Setup!$B$6="primary",IF(AND(INDEX('C_jama.2019.14231'!$D$2:$D$12,MATCH("2019::jama.2019.14231::C004",'C_jama.2019.14231'!$A$2:$A$12,0))="retain",INDEX('C_jama.2019.14231'!$E$2:$E$12,MATCH("2019::jama.2019.14231::C004",'C_jama.2019.14231'!$A$2:$A$12,0))="statistical_results"),IF(INDEX('C_jama.2019.14231'!$H$2:$H$12,MATCH("2019::jama.2019.14231::C004",'C_jama.2019.14231'!$A$2:$A$12,0))="","",INDEX('C_jama.2019.14231'!$H$2:$H$12,MATCH("2019::jama.2019.14231::C004",'C_jama.2019.14231'!$A$2:$A$12,0))),"not_applicable"),"NOT FROZEN")</x:f>
        <x:v>not_applicable</x:v>
      </x:c>
      <x:c r="E25" s="3" t="str">
        <x:f>IF(Setup!$B$6="primary",IF(AND(INDEX('C_jama.2019.14231'!$D$2:$D$12,MATCH("2019::jama.2019.14231::C004",'C_jama.2019.14231'!$A$2:$A$12,0))="retain",INDEX('C_jama.2019.14231'!$E$2:$E$12,MATCH("2019::jama.2019.14231::C004",'C_jama.2019.14231'!$A$2:$A$12,0))="statistical_results"),IF(INDEX('C_jama.2019.14231'!$I$2:$I$12,MATCH("2019::jama.2019.14231::C004",'C_jama.2019.14231'!$A$2:$A$12,0))="","",INDEX('C_jama.2019.14231'!$I$2:$I$12,MATCH("2019::jama.2019.14231::C004",'C_jama.2019.14231'!$A$2:$A$12,0))),"not_applicable"),"NOT FROZEN")</x:f>
        <x:v>not_applicable</x:v>
      </x:c>
      <x:c r="F25" s="3" t="str">
        <x:f>IF(Setup!$B$6="primary",IF(AND(INDEX('C_jama.2019.14231'!$D$2:$D$12,MATCH("2019::jama.2019.14231::C004",'C_jama.2019.14231'!$A$2:$A$12,0))="retain",INDEX('C_jama.2019.14231'!$E$2:$E$12,MATCH("2019::jama.2019.14231::C004",'C_jama.2019.14231'!$A$2:$A$12,0))="statistical_results"),IF(INDEX('C_jama.2019.14231'!$J$2:$J$12,MATCH("2019::jama.2019.14231::C004",'C_jama.2019.14231'!$A$2:$A$12,0))="","",INDEX('C_jama.2019.14231'!$J$2:$J$12,MATCH("2019::jama.2019.14231::C004",'C_jama.2019.14231'!$A$2:$A$12,0))),"not_applicable"),"NOT FROZEN")</x:f>
        <x:v>not_applicable</x:v>
      </x:c>
      <x:c r="G25" s="3" t="str">
        <x:f>IF(Setup!$B$6="primary",IF(AND(INDEX('C_jama.2019.14231'!$D$2:$D$12,MATCH("2019::jama.2019.14231::C004",'C_jama.2019.14231'!$A$2:$A$12,0))="retain",OR(INDEX('C_jama.2019.14231'!$E$2:$E$12,MATCH("2019::jama.2019.14231::C004",'C_jama.2019.14231'!$A$2:$A$12,0))="report_internal_inconsistency",INDEX('C_jama.2019.14231'!$E$2:$E$12,MATCH("2019::jama.2019.14231::C004",'C_jama.2019.14231'!$A$2:$A$12,0))="plan_material")),IF(INDEX('C_jama.2019.14231'!$K$2:$K$12,MATCH("2019::jama.2019.14231::C004",'C_jama.2019.14231'!$A$2:$A$12,0))="","",INDEX('C_jama.2019.14231'!$K$2:$K$12,MATCH("2019::jama.2019.14231::C004",'C_jama.2019.14231'!$A$2:$A$12,0))),"not_applicable"),"NOT FROZEN")</x:f>
        <x:v>not_applicable</x:v>
      </x:c>
      <x:c r="H25" s="3" t="str">
        <x:f>IF(Setup!$B$6="primary",IF(AND(INDEX('C_jama.2019.14231'!$D$2:$D$12,MATCH("2019::jama.2019.14231::C004",'C_jama.2019.14231'!$A$2:$A$12,0))="retain",INDEX('C_jama.2019.14231'!$E$2:$E$12,MATCH("2019::jama.2019.14231::C004",'C_jama.2019.14231'!$A$2:$A$12,0))="protocol_report"),IF(INDEX('C_jama.2019.14231'!$L$2:$L$12,MATCH("2019::jama.2019.14231::C004",'C_jama.2019.14231'!$A$2:$A$12,0))="","",INDEX('C_jama.2019.14231'!$L$2:$L$12,MATCH("2019::jama.2019.14231::C004",'C_jama.2019.14231'!$A$2:$A$12,0))),"not_applicable"),"NOT FROZEN")</x:f>
        <x:v>not_applicable</x:v>
      </x:c>
      <x:c r="I25" s="3" t="str">
        <x:f>IF(Setup!$B$6="primary",IF(INDEX('C_jama.2019.14231'!$R$2:$R$12,MATCH("2019::jama.2019.14231::C004",'C_jama.2019.14231'!$A$2:$A$12,0))="","",INDEX('C_jama.2019.14231'!$R$2:$R$12,MATCH("2019::jama.2019.14231::C004",'C_jama.2019.14231'!$A$2:$A$12,0))),"NOT FROZEN")</x:f>
      </x:c>
      <x:c r="J25" s="3" t="str">
        <x:f>IF(Setup!$B$6="primary",INDEX('C_jama.2019.14231'!$F$2:$F$12,MATCH("2019::jama.2019.14231::C004",'C_jama.2019.14231'!$A$2:$A$12,0)),"NOT FROZEN")</x:f>
        <x:v>no</x:v>
      </x:c>
      <x:c r="K25" s="3" t="str">
        <x:f>IF(Setup!$B$6="primary",Setup!$B$2,"NOT FROZEN")</x:f>
      </x:c>
      <x:c r="L25" s="3" t="str">
        <x:f>IF(Setup!$B$6="primary",IF(OR(B25="",B25="not_applicable"),"","Disposition: "&amp;B25&amp;CHAR(10))&amp;IF(OR(C25="",C25="not_applicable"),"","Review domain: "&amp;C25&amp;CHAR(10))&amp;IF(OR(D25="",D25="not_applicable"),"","Statistcal_or_numerical issue: "&amp;D25&amp;CHAR(10))&amp;IF(OR(E25="",E25="not_applicable"),"","Substantiveness: "&amp;E25&amp;CHAR(10))&amp;IF(OR(F25="",F25="not_applicable"),"","Downstream impact: "&amp;F25&amp;CHAR(10))&amp;IF(OR(G25="",G25="not_applicable"),"","Report-internal or planning-material inconsistency: "&amp;G25&amp;CHAR(10))&amp;IF(OR(H25="",H25="not_applicable"),"","Protocol interpretation: "&amp;H25&amp;CHAR(10))&amp;IF(OR(I25="",I25="not_applicable"),"","Notes (optional): "&amp;I25&amp;CHAR(10)),"NOT FROZEN")</x:f>
        <x:v>Review domain: statistical_results
</x:v>
      </x:c>
    </x:row>
    <x:row r="26" ht="70" customHeight="1">
      <x:c r="A26" s="6" t="str">
        <x:f>IF(Setup!$B$6="primary","2019::jama.2019.14231::C005","NOT FROZEN")</x:f>
        <x:v>2019::jama.2019.14231::C005</x:v>
      </x:c>
      <x:c r="B26" s="6" t="str">
        <x:f>IF(Setup!$B$6="primary",IF(INDEX('C_jama.2019.14231'!$D$2:$D$12,MATCH("2019::jama.2019.14231::C005",'C_jama.2019.14231'!$A$2:$A$12,0))="","",INDEX('C_jama.2019.14231'!$D$2:$D$12,MATCH("2019::jama.2019.14231::C005",'C_jama.2019.14231'!$A$2:$A$12,0))),"NOT FROZEN")</x:f>
      </x:c>
      <x:c r="C26" s="6" t="str">
        <x:f>IF(Setup!$B$6="primary",IF(INDEX('C_jama.2019.14231'!$E$2:$E$12,MATCH("2019::jama.2019.14231::C005",'C_jama.2019.14231'!$A$2:$A$12,0))="","",INDEX('C_jama.2019.14231'!$E$2:$E$12,MATCH("2019::jama.2019.14231::C005",'C_jama.2019.14231'!$A$2:$A$12,0))),"NOT FROZEN")</x:f>
        <x:v>statistical_results</x:v>
      </x:c>
      <x:c r="D26" s="6" t="str">
        <x:f>IF(Setup!$B$6="primary",IF(AND(INDEX('C_jama.2019.14231'!$D$2:$D$12,MATCH("2019::jama.2019.14231::C005",'C_jama.2019.14231'!$A$2:$A$12,0))="retain",INDEX('C_jama.2019.14231'!$E$2:$E$12,MATCH("2019::jama.2019.14231::C005",'C_jama.2019.14231'!$A$2:$A$12,0))="statistical_results"),IF(INDEX('C_jama.2019.14231'!$H$2:$H$12,MATCH("2019::jama.2019.14231::C005",'C_jama.2019.14231'!$A$2:$A$12,0))="","",INDEX('C_jama.2019.14231'!$H$2:$H$12,MATCH("2019::jama.2019.14231::C005",'C_jama.2019.14231'!$A$2:$A$12,0))),"not_applicable"),"NOT FROZEN")</x:f>
        <x:v>not_applicable</x:v>
      </x:c>
      <x:c r="E26" s="6" t="str">
        <x:f>IF(Setup!$B$6="primary",IF(AND(INDEX('C_jama.2019.14231'!$D$2:$D$12,MATCH("2019::jama.2019.14231::C005",'C_jama.2019.14231'!$A$2:$A$12,0))="retain",INDEX('C_jama.2019.14231'!$E$2:$E$12,MATCH("2019::jama.2019.14231::C005",'C_jama.2019.14231'!$A$2:$A$12,0))="statistical_results"),IF(INDEX('C_jama.2019.14231'!$I$2:$I$12,MATCH("2019::jama.2019.14231::C005",'C_jama.2019.14231'!$A$2:$A$12,0))="","",INDEX('C_jama.2019.14231'!$I$2:$I$12,MATCH("2019::jama.2019.14231::C005",'C_jama.2019.14231'!$A$2:$A$12,0))),"not_applicable"),"NOT FROZEN")</x:f>
        <x:v>not_applicable</x:v>
      </x:c>
      <x:c r="F26" s="6" t="str">
        <x:f>IF(Setup!$B$6="primary",IF(AND(INDEX('C_jama.2019.14231'!$D$2:$D$12,MATCH("2019::jama.2019.14231::C005",'C_jama.2019.14231'!$A$2:$A$12,0))="retain",INDEX('C_jama.2019.14231'!$E$2:$E$12,MATCH("2019::jama.2019.14231::C005",'C_jama.2019.14231'!$A$2:$A$12,0))="statistical_results"),IF(INDEX('C_jama.2019.14231'!$J$2:$J$12,MATCH("2019::jama.2019.14231::C005",'C_jama.2019.14231'!$A$2:$A$12,0))="","",INDEX('C_jama.2019.14231'!$J$2:$J$12,MATCH("2019::jama.2019.14231::C005",'C_jama.2019.14231'!$A$2:$A$12,0))),"not_applicable"),"NOT FROZEN")</x:f>
        <x:v>not_applicable</x:v>
      </x:c>
      <x:c r="G26" s="6" t="str">
        <x:f>IF(Setup!$B$6="primary",IF(AND(INDEX('C_jama.2019.14231'!$D$2:$D$12,MATCH("2019::jama.2019.14231::C005",'C_jama.2019.14231'!$A$2:$A$12,0))="retain",OR(INDEX('C_jama.2019.14231'!$E$2:$E$12,MATCH("2019::jama.2019.14231::C005",'C_jama.2019.14231'!$A$2:$A$12,0))="report_internal_inconsistency",INDEX('C_jama.2019.14231'!$E$2:$E$12,MATCH("2019::jama.2019.14231::C005",'C_jama.2019.14231'!$A$2:$A$12,0))="plan_material")),IF(INDEX('C_jama.2019.14231'!$K$2:$K$12,MATCH("2019::jama.2019.14231::C005",'C_jama.2019.14231'!$A$2:$A$12,0))="","",INDEX('C_jama.2019.14231'!$K$2:$K$12,MATCH("2019::jama.2019.14231::C005",'C_jama.2019.14231'!$A$2:$A$12,0))),"not_applicable"),"NOT FROZEN")</x:f>
        <x:v>not_applicable</x:v>
      </x:c>
      <x:c r="H26" s="6" t="str">
        <x:f>IF(Setup!$B$6="primary",IF(AND(INDEX('C_jama.2019.14231'!$D$2:$D$12,MATCH("2019::jama.2019.14231::C005",'C_jama.2019.14231'!$A$2:$A$12,0))="retain",INDEX('C_jama.2019.14231'!$E$2:$E$12,MATCH("2019::jama.2019.14231::C005",'C_jama.2019.14231'!$A$2:$A$12,0))="protocol_report"),IF(INDEX('C_jama.2019.14231'!$L$2:$L$12,MATCH("2019::jama.2019.14231::C005",'C_jama.2019.14231'!$A$2:$A$12,0))="","",INDEX('C_jama.2019.14231'!$L$2:$L$12,MATCH("2019::jama.2019.14231::C005",'C_jama.2019.14231'!$A$2:$A$12,0))),"not_applicable"),"NOT FROZEN")</x:f>
        <x:v>not_applicable</x:v>
      </x:c>
      <x:c r="I26" s="6" t="str">
        <x:f>IF(Setup!$B$6="primary",IF(INDEX('C_jama.2019.14231'!$R$2:$R$12,MATCH("2019::jama.2019.14231::C005",'C_jama.2019.14231'!$A$2:$A$12,0))="","",INDEX('C_jama.2019.14231'!$R$2:$R$12,MATCH("2019::jama.2019.14231::C005",'C_jama.2019.14231'!$A$2:$A$12,0))),"NOT FROZEN")</x:f>
      </x:c>
      <x:c r="J26" s="6" t="str">
        <x:f>IF(Setup!$B$6="primary",INDEX('C_jama.2019.14231'!$F$2:$F$12,MATCH("2019::jama.2019.14231::C005",'C_jama.2019.14231'!$A$2:$A$12,0)),"NOT FROZEN")</x:f>
        <x:v>no</x:v>
      </x:c>
      <x:c r="K26" s="6" t="str">
        <x:f>IF(Setup!$B$6="primary",Setup!$B$2,"NOT FROZEN")</x:f>
      </x:c>
      <x:c r="L26" s="6" t="str">
        <x:f>IF(Setup!$B$6="primary",IF(OR(B26="",B26="not_applicable"),"","Disposition: "&amp;B26&amp;CHAR(10))&amp;IF(OR(C26="",C26="not_applicable"),"","Review domain: "&amp;C26&amp;CHAR(10))&amp;IF(OR(D26="",D26="not_applicable"),"","Statistcal_or_numerical issue: "&amp;D26&amp;CHAR(10))&amp;IF(OR(E26="",E26="not_applicable"),"","Substantiveness: "&amp;E26&amp;CHAR(10))&amp;IF(OR(F26="",F26="not_applicable"),"","Downstream impact: "&amp;F26&amp;CHAR(10))&amp;IF(OR(G26="",G26="not_applicable"),"","Report-internal or planning-material inconsistency: "&amp;G26&amp;CHAR(10))&amp;IF(OR(H26="",H26="not_applicable"),"","Protocol interpretation: "&amp;H26&amp;CHAR(10))&amp;IF(OR(I26="",I26="not_applicable"),"","Notes (optional): "&amp;I26&amp;CHAR(10)),"NOT FROZEN")</x:f>
        <x:v>Review domain: statistical_results
</x:v>
      </x:c>
    </x:row>
    <x:row r="27" ht="70" customHeight="1">
      <x:c r="A27" s="3" t="str">
        <x:f>IF(Setup!$B$6="primary","2019::jama.2019.14231::C006","NOT FROZEN")</x:f>
        <x:v>2019::jama.2019.14231::C006</x:v>
      </x:c>
      <x:c r="B27" s="3" t="str">
        <x:f>IF(Setup!$B$6="primary",IF(INDEX('C_jama.2019.14231'!$D$2:$D$12,MATCH("2019::jama.2019.14231::C006",'C_jama.2019.14231'!$A$2:$A$12,0))="","",INDEX('C_jama.2019.14231'!$D$2:$D$12,MATCH("2019::jama.2019.14231::C006",'C_jama.2019.14231'!$A$2:$A$12,0))),"NOT FROZEN")</x:f>
      </x:c>
      <x:c r="C27" s="3" t="str">
        <x:f>IF(Setup!$B$6="primary",IF(INDEX('C_jama.2019.14231'!$E$2:$E$12,MATCH("2019::jama.2019.14231::C006",'C_jama.2019.14231'!$A$2:$A$12,0))="","",INDEX('C_jama.2019.14231'!$E$2:$E$12,MATCH("2019::jama.2019.14231::C006",'C_jama.2019.14231'!$A$2:$A$12,0))),"NOT FROZEN")</x:f>
        <x:v>statistical_results</x:v>
      </x:c>
      <x:c r="D27" s="3" t="str">
        <x:f>IF(Setup!$B$6="primary",IF(AND(INDEX('C_jama.2019.14231'!$D$2:$D$12,MATCH("2019::jama.2019.14231::C006",'C_jama.2019.14231'!$A$2:$A$12,0))="retain",INDEX('C_jama.2019.14231'!$E$2:$E$12,MATCH("2019::jama.2019.14231::C006",'C_jama.2019.14231'!$A$2:$A$12,0))="statistical_results"),IF(INDEX('C_jama.2019.14231'!$H$2:$H$12,MATCH("2019::jama.2019.14231::C006",'C_jama.2019.14231'!$A$2:$A$12,0))="","",INDEX('C_jama.2019.14231'!$H$2:$H$12,MATCH("2019::jama.2019.14231::C006",'C_jama.2019.14231'!$A$2:$A$12,0))),"not_applicable"),"NOT FROZEN")</x:f>
        <x:v>not_applicable</x:v>
      </x:c>
      <x:c r="E27" s="3" t="str">
        <x:f>IF(Setup!$B$6="primary",IF(AND(INDEX('C_jama.2019.14231'!$D$2:$D$12,MATCH("2019::jama.2019.14231::C006",'C_jama.2019.14231'!$A$2:$A$12,0))="retain",INDEX('C_jama.2019.14231'!$E$2:$E$12,MATCH("2019::jama.2019.14231::C006",'C_jama.2019.14231'!$A$2:$A$12,0))="statistical_results"),IF(INDEX('C_jama.2019.14231'!$I$2:$I$12,MATCH("2019::jama.2019.14231::C006",'C_jama.2019.14231'!$A$2:$A$12,0))="","",INDEX('C_jama.2019.14231'!$I$2:$I$12,MATCH("2019::jama.2019.14231::C006",'C_jama.2019.14231'!$A$2:$A$12,0))),"not_applicable"),"NOT FROZEN")</x:f>
        <x:v>not_applicable</x:v>
      </x:c>
      <x:c r="F27" s="3" t="str">
        <x:f>IF(Setup!$B$6="primary",IF(AND(INDEX('C_jama.2019.14231'!$D$2:$D$12,MATCH("2019::jama.2019.14231::C006",'C_jama.2019.14231'!$A$2:$A$12,0))="retain",INDEX('C_jama.2019.14231'!$E$2:$E$12,MATCH("2019::jama.2019.14231::C006",'C_jama.2019.14231'!$A$2:$A$12,0))="statistical_results"),IF(INDEX('C_jama.2019.14231'!$J$2:$J$12,MATCH("2019::jama.2019.14231::C006",'C_jama.2019.14231'!$A$2:$A$12,0))="","",INDEX('C_jama.2019.14231'!$J$2:$J$12,MATCH("2019::jama.2019.14231::C006",'C_jama.2019.14231'!$A$2:$A$12,0))),"not_applicable"),"NOT FROZEN")</x:f>
        <x:v>not_applicable</x:v>
      </x:c>
      <x:c r="G27" s="3" t="str">
        <x:f>IF(Setup!$B$6="primary",IF(AND(INDEX('C_jama.2019.14231'!$D$2:$D$12,MATCH("2019::jama.2019.14231::C006",'C_jama.2019.14231'!$A$2:$A$12,0))="retain",OR(INDEX('C_jama.2019.14231'!$E$2:$E$12,MATCH("2019::jama.2019.14231::C006",'C_jama.2019.14231'!$A$2:$A$12,0))="report_internal_inconsistency",INDEX('C_jama.2019.14231'!$E$2:$E$12,MATCH("2019::jama.2019.14231::C006",'C_jama.2019.14231'!$A$2:$A$12,0))="plan_material")),IF(INDEX('C_jama.2019.14231'!$K$2:$K$12,MATCH("2019::jama.2019.14231::C006",'C_jama.2019.14231'!$A$2:$A$12,0))="","",INDEX('C_jama.2019.14231'!$K$2:$K$12,MATCH("2019::jama.2019.14231::C006",'C_jama.2019.14231'!$A$2:$A$12,0))),"not_applicable"),"NOT FROZEN")</x:f>
        <x:v>not_applicable</x:v>
      </x:c>
      <x:c r="H27" s="3" t="str">
        <x:f>IF(Setup!$B$6="primary",IF(AND(INDEX('C_jama.2019.14231'!$D$2:$D$12,MATCH("2019::jama.2019.14231::C006",'C_jama.2019.14231'!$A$2:$A$12,0))="retain",INDEX('C_jama.2019.14231'!$E$2:$E$12,MATCH("2019::jama.2019.14231::C006",'C_jama.2019.14231'!$A$2:$A$12,0))="protocol_report"),IF(INDEX('C_jama.2019.14231'!$L$2:$L$12,MATCH("2019::jama.2019.14231::C006",'C_jama.2019.14231'!$A$2:$A$12,0))="","",INDEX('C_jama.2019.14231'!$L$2:$L$12,MATCH("2019::jama.2019.14231::C006",'C_jama.2019.14231'!$A$2:$A$12,0))),"not_applicable"),"NOT FROZEN")</x:f>
        <x:v>not_applicable</x:v>
      </x:c>
      <x:c r="I27" s="3" t="str">
        <x:f>IF(Setup!$B$6="primary",IF(INDEX('C_jama.2019.14231'!$R$2:$R$12,MATCH("2019::jama.2019.14231::C006",'C_jama.2019.14231'!$A$2:$A$12,0))="","",INDEX('C_jama.2019.14231'!$R$2:$R$12,MATCH("2019::jama.2019.14231::C006",'C_jama.2019.14231'!$A$2:$A$12,0))),"NOT FROZEN")</x:f>
      </x:c>
      <x:c r="J27" s="3" t="str">
        <x:f>IF(Setup!$B$6="primary",INDEX('C_jama.2019.14231'!$F$2:$F$12,MATCH("2019::jama.2019.14231::C006",'C_jama.2019.14231'!$A$2:$A$12,0)),"NOT FROZEN")</x:f>
        <x:v>no</x:v>
      </x:c>
      <x:c r="K27" s="3" t="str">
        <x:f>IF(Setup!$B$6="primary",Setup!$B$2,"NOT FROZEN")</x:f>
      </x:c>
      <x:c r="L27" s="3" t="str">
        <x:f>IF(Setup!$B$6="primary",IF(OR(B27="",B27="not_applicable"),"","Disposition: "&amp;B27&amp;CHAR(10))&amp;IF(OR(C27="",C27="not_applicable"),"","Review domain: "&amp;C27&amp;CHAR(10))&amp;IF(OR(D27="",D27="not_applicable"),"","Statistcal_or_numerical issue: "&amp;D27&amp;CHAR(10))&amp;IF(OR(E27="",E27="not_applicable"),"","Substantiveness: "&amp;E27&amp;CHAR(10))&amp;IF(OR(F27="",F27="not_applicable"),"","Downstream impact: "&amp;F27&amp;CHAR(10))&amp;IF(OR(G27="",G27="not_applicable"),"","Report-internal or planning-material inconsistency: "&amp;G27&amp;CHAR(10))&amp;IF(OR(H27="",H27="not_applicable"),"","Protocol interpretation: "&amp;H27&amp;CHAR(10))&amp;IF(OR(I27="",I27="not_applicable"),"","Notes (optional): "&amp;I27&amp;CHAR(10)),"NOT FROZEN")</x:f>
        <x:v>Review domain: statistical_results
</x:v>
      </x:c>
    </x:row>
    <x:row r="28" ht="70" customHeight="1">
      <x:c r="A28" s="6" t="str">
        <x:f>IF(Setup!$B$6="primary","2019::jama.2019.14231::C007","NOT FROZEN")</x:f>
        <x:v>2019::jama.2019.14231::C007</x:v>
      </x:c>
      <x:c r="B28" s="6" t="str">
        <x:f>IF(Setup!$B$6="primary",IF(INDEX('C_jama.2019.14231'!$D$2:$D$12,MATCH("2019::jama.2019.14231::C007",'C_jama.2019.14231'!$A$2:$A$12,0))="","",INDEX('C_jama.2019.14231'!$D$2:$D$12,MATCH("2019::jama.2019.14231::C007",'C_jama.2019.14231'!$A$2:$A$12,0))),"NOT FROZEN")</x:f>
      </x:c>
      <x:c r="C28" s="6" t="str">
        <x:f>IF(Setup!$B$6="primary",IF(INDEX('C_jama.2019.14231'!$E$2:$E$12,MATCH("2019::jama.2019.14231::C007",'C_jama.2019.14231'!$A$2:$A$12,0))="","",INDEX('C_jama.2019.14231'!$E$2:$E$12,MATCH("2019::jama.2019.14231::C007",'C_jama.2019.14231'!$A$2:$A$12,0))),"NOT FROZEN")</x:f>
        <x:v>statistical_results</x:v>
      </x:c>
      <x:c r="D28" s="6" t="str">
        <x:f>IF(Setup!$B$6="primary",IF(AND(INDEX('C_jama.2019.14231'!$D$2:$D$12,MATCH("2019::jama.2019.14231::C007",'C_jama.2019.14231'!$A$2:$A$12,0))="retain",INDEX('C_jama.2019.14231'!$E$2:$E$12,MATCH("2019::jama.2019.14231::C007",'C_jama.2019.14231'!$A$2:$A$12,0))="statistical_results"),IF(INDEX('C_jama.2019.14231'!$H$2:$H$12,MATCH("2019::jama.2019.14231::C007",'C_jama.2019.14231'!$A$2:$A$12,0))="","",INDEX('C_jama.2019.14231'!$H$2:$H$12,MATCH("2019::jama.2019.14231::C007",'C_jama.2019.14231'!$A$2:$A$12,0))),"not_applicable"),"NOT FROZEN")</x:f>
        <x:v>not_applicable</x:v>
      </x:c>
      <x:c r="E28" s="6" t="str">
        <x:f>IF(Setup!$B$6="primary",IF(AND(INDEX('C_jama.2019.14231'!$D$2:$D$12,MATCH("2019::jama.2019.14231::C007",'C_jama.2019.14231'!$A$2:$A$12,0))="retain",INDEX('C_jama.2019.14231'!$E$2:$E$12,MATCH("2019::jama.2019.14231::C007",'C_jama.2019.14231'!$A$2:$A$12,0))="statistical_results"),IF(INDEX('C_jama.2019.14231'!$I$2:$I$12,MATCH("2019::jama.2019.14231::C007",'C_jama.2019.14231'!$A$2:$A$12,0))="","",INDEX('C_jama.2019.14231'!$I$2:$I$12,MATCH("2019::jama.2019.14231::C007",'C_jama.2019.14231'!$A$2:$A$12,0))),"not_applicable"),"NOT FROZEN")</x:f>
        <x:v>not_applicable</x:v>
      </x:c>
      <x:c r="F28" s="6" t="str">
        <x:f>IF(Setup!$B$6="primary",IF(AND(INDEX('C_jama.2019.14231'!$D$2:$D$12,MATCH("2019::jama.2019.14231::C007",'C_jama.2019.14231'!$A$2:$A$12,0))="retain",INDEX('C_jama.2019.14231'!$E$2:$E$12,MATCH("2019::jama.2019.14231::C007",'C_jama.2019.14231'!$A$2:$A$12,0))="statistical_results"),IF(INDEX('C_jama.2019.14231'!$J$2:$J$12,MATCH("2019::jama.2019.14231::C007",'C_jama.2019.14231'!$A$2:$A$12,0))="","",INDEX('C_jama.2019.14231'!$J$2:$J$12,MATCH("2019::jama.2019.14231::C007",'C_jama.2019.14231'!$A$2:$A$12,0))),"not_applicable"),"NOT FROZEN")</x:f>
        <x:v>not_applicable</x:v>
      </x:c>
      <x:c r="G28" s="6" t="str">
        <x:f>IF(Setup!$B$6="primary",IF(AND(INDEX('C_jama.2019.14231'!$D$2:$D$12,MATCH("2019::jama.2019.14231::C007",'C_jama.2019.14231'!$A$2:$A$12,0))="retain",OR(INDEX('C_jama.2019.14231'!$E$2:$E$12,MATCH("2019::jama.2019.14231::C007",'C_jama.2019.14231'!$A$2:$A$12,0))="report_internal_inconsistency",INDEX('C_jama.2019.14231'!$E$2:$E$12,MATCH("2019::jama.2019.14231::C007",'C_jama.2019.14231'!$A$2:$A$12,0))="plan_material")),IF(INDEX('C_jama.2019.14231'!$K$2:$K$12,MATCH("2019::jama.2019.14231::C007",'C_jama.2019.14231'!$A$2:$A$12,0))="","",INDEX('C_jama.2019.14231'!$K$2:$K$12,MATCH("2019::jama.2019.14231::C007",'C_jama.2019.14231'!$A$2:$A$12,0))),"not_applicable"),"NOT FROZEN")</x:f>
        <x:v>not_applicable</x:v>
      </x:c>
      <x:c r="H28" s="6" t="str">
        <x:f>IF(Setup!$B$6="primary",IF(AND(INDEX('C_jama.2019.14231'!$D$2:$D$12,MATCH("2019::jama.2019.14231::C007",'C_jama.2019.14231'!$A$2:$A$12,0))="retain",INDEX('C_jama.2019.14231'!$E$2:$E$12,MATCH("2019::jama.2019.14231::C007",'C_jama.2019.14231'!$A$2:$A$12,0))="protocol_report"),IF(INDEX('C_jama.2019.14231'!$L$2:$L$12,MATCH("2019::jama.2019.14231::C007",'C_jama.2019.14231'!$A$2:$A$12,0))="","",INDEX('C_jama.2019.14231'!$L$2:$L$12,MATCH("2019::jama.2019.14231::C007",'C_jama.2019.14231'!$A$2:$A$12,0))),"not_applicable"),"NOT FROZEN")</x:f>
        <x:v>not_applicable</x:v>
      </x:c>
      <x:c r="I28" s="6" t="str">
        <x:f>IF(Setup!$B$6="primary",IF(INDEX('C_jama.2019.14231'!$R$2:$R$12,MATCH("2019::jama.2019.14231::C007",'C_jama.2019.14231'!$A$2:$A$12,0))="","",INDEX('C_jama.2019.14231'!$R$2:$R$12,MATCH("2019::jama.2019.14231::C007",'C_jama.2019.14231'!$A$2:$A$12,0))),"NOT FROZEN")</x:f>
      </x:c>
      <x:c r="J28" s="6" t="str">
        <x:f>IF(Setup!$B$6="primary",INDEX('C_jama.2019.14231'!$F$2:$F$12,MATCH("2019::jama.2019.14231::C007",'C_jama.2019.14231'!$A$2:$A$12,0)),"NOT FROZEN")</x:f>
        <x:v>no</x:v>
      </x:c>
      <x:c r="K28" s="6" t="str">
        <x:f>IF(Setup!$B$6="primary",Setup!$B$2,"NOT FROZEN")</x:f>
      </x:c>
      <x:c r="L28" s="6" t="str">
        <x:f>IF(Setup!$B$6="primary",IF(OR(B28="",B28="not_applicable"),"","Disposition: "&amp;B28&amp;CHAR(10))&amp;IF(OR(C28="",C28="not_applicable"),"","Review domain: "&amp;C28&amp;CHAR(10))&amp;IF(OR(D28="",D28="not_applicable"),"","Statistcal_or_numerical issue: "&amp;D28&amp;CHAR(10))&amp;IF(OR(E28="",E28="not_applicable"),"","Substantiveness: "&amp;E28&amp;CHAR(10))&amp;IF(OR(F28="",F28="not_applicable"),"","Downstream impact: "&amp;F28&amp;CHAR(10))&amp;IF(OR(G28="",G28="not_applicable"),"","Report-internal or planning-material inconsistency: "&amp;G28&amp;CHAR(10))&amp;IF(OR(H28="",H28="not_applicable"),"","Protocol interpretation: "&amp;H28&amp;CHAR(10))&amp;IF(OR(I28="",I28="not_applicable"),"","Notes (optional): "&amp;I28&amp;CHAR(10)),"NOT FROZEN")</x:f>
        <x:v>Review domain: statistical_results
</x:v>
      </x:c>
    </x:row>
    <x:row r="29" ht="70" customHeight="1">
      <x:c r="A29" s="3" t="str">
        <x:f>IF(Setup!$B$6="primary","2019::jama.2019.14231::C008","NOT FROZEN")</x:f>
        <x:v>2019::jama.2019.14231::C008</x:v>
      </x:c>
      <x:c r="B29" s="3" t="str">
        <x:f>IF(Setup!$B$6="primary",IF(INDEX('C_jama.2019.14231'!$D$2:$D$12,MATCH("2019::jama.2019.14231::C008",'C_jama.2019.14231'!$A$2:$A$12,0))="","",INDEX('C_jama.2019.14231'!$D$2:$D$12,MATCH("2019::jama.2019.14231::C008",'C_jama.2019.14231'!$A$2:$A$12,0))),"NOT FROZEN")</x:f>
      </x:c>
      <x:c r="C29" s="3" t="str">
        <x:f>IF(Setup!$B$6="primary",IF(INDEX('C_jama.2019.14231'!$E$2:$E$12,MATCH("2019::jama.2019.14231::C008",'C_jama.2019.14231'!$A$2:$A$12,0))="","",INDEX('C_jama.2019.14231'!$E$2:$E$12,MATCH("2019::jama.2019.14231::C008",'C_jama.2019.14231'!$A$2:$A$12,0))),"NOT FROZEN")</x:f>
        <x:v>report_internal_inconsistency</x:v>
      </x:c>
      <x:c r="D29" s="3" t="str">
        <x:f>IF(Setup!$B$6="primary",IF(AND(INDEX('C_jama.2019.14231'!$D$2:$D$12,MATCH("2019::jama.2019.14231::C008",'C_jama.2019.14231'!$A$2:$A$12,0))="retain",INDEX('C_jama.2019.14231'!$E$2:$E$12,MATCH("2019::jama.2019.14231::C008",'C_jama.2019.14231'!$A$2:$A$12,0))="statistical_results"),IF(INDEX('C_jama.2019.14231'!$H$2:$H$12,MATCH("2019::jama.2019.14231::C008",'C_jama.2019.14231'!$A$2:$A$12,0))="","",INDEX('C_jama.2019.14231'!$H$2:$H$12,MATCH("2019::jama.2019.14231::C008",'C_jama.2019.14231'!$A$2:$A$12,0))),"not_applicable"),"NOT FROZEN")</x:f>
        <x:v>not_applicable</x:v>
      </x:c>
      <x:c r="E29" s="3" t="str">
        <x:f>IF(Setup!$B$6="primary",IF(AND(INDEX('C_jama.2019.14231'!$D$2:$D$12,MATCH("2019::jama.2019.14231::C008",'C_jama.2019.14231'!$A$2:$A$12,0))="retain",INDEX('C_jama.2019.14231'!$E$2:$E$12,MATCH("2019::jama.2019.14231::C008",'C_jama.2019.14231'!$A$2:$A$12,0))="statistical_results"),IF(INDEX('C_jama.2019.14231'!$I$2:$I$12,MATCH("2019::jama.2019.14231::C008",'C_jama.2019.14231'!$A$2:$A$12,0))="","",INDEX('C_jama.2019.14231'!$I$2:$I$12,MATCH("2019::jama.2019.14231::C008",'C_jama.2019.14231'!$A$2:$A$12,0))),"not_applicable"),"NOT FROZEN")</x:f>
        <x:v>not_applicable</x:v>
      </x:c>
      <x:c r="F29" s="3" t="str">
        <x:f>IF(Setup!$B$6="primary",IF(AND(INDEX('C_jama.2019.14231'!$D$2:$D$12,MATCH("2019::jama.2019.14231::C008",'C_jama.2019.14231'!$A$2:$A$12,0))="retain",INDEX('C_jama.2019.14231'!$E$2:$E$12,MATCH("2019::jama.2019.14231::C008",'C_jama.2019.14231'!$A$2:$A$12,0))="statistical_results"),IF(INDEX('C_jama.2019.14231'!$J$2:$J$12,MATCH("2019::jama.2019.14231::C008",'C_jama.2019.14231'!$A$2:$A$12,0))="","",INDEX('C_jama.2019.14231'!$J$2:$J$12,MATCH("2019::jama.2019.14231::C008",'C_jama.2019.14231'!$A$2:$A$12,0))),"not_applicable"),"NOT FROZEN")</x:f>
        <x:v>not_applicable</x:v>
      </x:c>
      <x:c r="G29" s="3" t="str">
        <x:f>IF(Setup!$B$6="primary",IF(AND(INDEX('C_jama.2019.14231'!$D$2:$D$12,MATCH("2019::jama.2019.14231::C008",'C_jama.2019.14231'!$A$2:$A$12,0))="retain",OR(INDEX('C_jama.2019.14231'!$E$2:$E$12,MATCH("2019::jama.2019.14231::C008",'C_jama.2019.14231'!$A$2:$A$12,0))="report_internal_inconsistency",INDEX('C_jama.2019.14231'!$E$2:$E$12,MATCH("2019::jama.2019.14231::C008",'C_jama.2019.14231'!$A$2:$A$12,0))="plan_material")),IF(INDEX('C_jama.2019.14231'!$K$2:$K$12,MATCH("2019::jama.2019.14231::C008",'C_jama.2019.14231'!$A$2:$A$12,0))="","",INDEX('C_jama.2019.14231'!$K$2:$K$12,MATCH("2019::jama.2019.14231::C008",'C_jama.2019.14231'!$A$2:$A$12,0))),"not_applicable"),"NOT FROZEN")</x:f>
        <x:v>not_applicable</x:v>
      </x:c>
      <x:c r="H29" s="3" t="str">
        <x:f>IF(Setup!$B$6="primary",IF(AND(INDEX('C_jama.2019.14231'!$D$2:$D$12,MATCH("2019::jama.2019.14231::C008",'C_jama.2019.14231'!$A$2:$A$12,0))="retain",INDEX('C_jama.2019.14231'!$E$2:$E$12,MATCH("2019::jama.2019.14231::C008",'C_jama.2019.14231'!$A$2:$A$12,0))="protocol_report"),IF(INDEX('C_jama.2019.14231'!$L$2:$L$12,MATCH("2019::jama.2019.14231::C008",'C_jama.2019.14231'!$A$2:$A$12,0))="","",INDEX('C_jama.2019.14231'!$L$2:$L$12,MATCH("2019::jama.2019.14231::C008",'C_jama.2019.14231'!$A$2:$A$12,0))),"not_applicable"),"NOT FROZEN")</x:f>
        <x:v>not_applicable</x:v>
      </x:c>
      <x:c r="I29" s="3" t="str">
        <x:f>IF(Setup!$B$6="primary",IF(INDEX('C_jama.2019.14231'!$R$2:$R$12,MATCH("2019::jama.2019.14231::C008",'C_jama.2019.14231'!$A$2:$A$12,0))="","",INDEX('C_jama.2019.14231'!$R$2:$R$12,MATCH("2019::jama.2019.14231::C008",'C_jama.2019.14231'!$A$2:$A$12,0))),"NOT FROZEN")</x:f>
      </x:c>
      <x:c r="J29" s="3" t="str">
        <x:f>IF(Setup!$B$6="primary",INDEX('C_jama.2019.14231'!$F$2:$F$12,MATCH("2019::jama.2019.14231::C008",'C_jama.2019.14231'!$A$2:$A$12,0)),"NOT FROZEN")</x:f>
        <x:v>no</x:v>
      </x:c>
      <x:c r="K29" s="3" t="str">
        <x:f>IF(Setup!$B$6="primary",Setup!$B$2,"NOT FROZEN")</x:f>
      </x:c>
      <x:c r="L29" s="3" t="str">
        <x:f>IF(Setup!$B$6="primary",IF(OR(B29="",B29="not_applicable"),"","Disposition: "&amp;B29&amp;CHAR(10))&amp;IF(OR(C29="",C29="not_applicable"),"","Review domain: "&amp;C29&amp;CHAR(10))&amp;IF(OR(D29="",D29="not_applicable"),"","Statistcal_or_numerical issue: "&amp;D29&amp;CHAR(10))&amp;IF(OR(E29="",E29="not_applicable"),"","Substantiveness: "&amp;E29&amp;CHAR(10))&amp;IF(OR(F29="",F29="not_applicable"),"","Downstream impact: "&amp;F29&amp;CHAR(10))&amp;IF(OR(G29="",G29="not_applicable"),"","Report-internal or planning-material inconsistency: "&amp;G29&amp;CHAR(10))&amp;IF(OR(H29="",H29="not_applicable"),"","Protocol interpretation: "&amp;H29&amp;CHAR(10))&amp;IF(OR(I29="",I29="not_applicable"),"","Notes (optional): "&amp;I29&amp;CHAR(10)),"NOT FROZEN")</x:f>
        <x:v>Review domain: report_internal_inconsistency
</x:v>
      </x:c>
    </x:row>
    <x:row r="30" ht="70" customHeight="1">
      <x:c r="A30" s="6" t="str">
        <x:f>IF(Setup!$B$6="primary","2019::jama.2019.14231::C009","NOT FROZEN")</x:f>
        <x:v>2019::jama.2019.14231::C009</x:v>
      </x:c>
      <x:c r="B30" s="6" t="str">
        <x:f>IF(Setup!$B$6="primary",IF(INDEX('C_jama.2019.14231'!$D$2:$D$12,MATCH("2019::jama.2019.14231::C009",'C_jama.2019.14231'!$A$2:$A$12,0))="","",INDEX('C_jama.2019.14231'!$D$2:$D$12,MATCH("2019::jama.2019.14231::C009",'C_jama.2019.14231'!$A$2:$A$12,0))),"NOT FROZEN")</x:f>
      </x:c>
      <x:c r="C30" s="6" t="str">
        <x:f>IF(Setup!$B$6="primary",IF(INDEX('C_jama.2019.14231'!$E$2:$E$12,MATCH("2019::jama.2019.14231::C009",'C_jama.2019.14231'!$A$2:$A$12,0))="","",INDEX('C_jama.2019.14231'!$E$2:$E$12,MATCH("2019::jama.2019.14231::C009",'C_jama.2019.14231'!$A$2:$A$12,0))),"NOT FROZEN")</x:f>
        <x:v>report_internal_inconsistency</x:v>
      </x:c>
      <x:c r="D30" s="6" t="str">
        <x:f>IF(Setup!$B$6="primary",IF(AND(INDEX('C_jama.2019.14231'!$D$2:$D$12,MATCH("2019::jama.2019.14231::C009",'C_jama.2019.14231'!$A$2:$A$12,0))="retain",INDEX('C_jama.2019.14231'!$E$2:$E$12,MATCH("2019::jama.2019.14231::C009",'C_jama.2019.14231'!$A$2:$A$12,0))="statistical_results"),IF(INDEX('C_jama.2019.14231'!$H$2:$H$12,MATCH("2019::jama.2019.14231::C009",'C_jama.2019.14231'!$A$2:$A$12,0))="","",INDEX('C_jama.2019.14231'!$H$2:$H$12,MATCH("2019::jama.2019.14231::C009",'C_jama.2019.14231'!$A$2:$A$12,0))),"not_applicable"),"NOT FROZEN")</x:f>
        <x:v>not_applicable</x:v>
      </x:c>
      <x:c r="E30" s="6" t="str">
        <x:f>IF(Setup!$B$6="primary",IF(AND(INDEX('C_jama.2019.14231'!$D$2:$D$12,MATCH("2019::jama.2019.14231::C009",'C_jama.2019.14231'!$A$2:$A$12,0))="retain",INDEX('C_jama.2019.14231'!$E$2:$E$12,MATCH("2019::jama.2019.14231::C009",'C_jama.2019.14231'!$A$2:$A$12,0))="statistical_results"),IF(INDEX('C_jama.2019.14231'!$I$2:$I$12,MATCH("2019::jama.2019.14231::C009",'C_jama.2019.14231'!$A$2:$A$12,0))="","",INDEX('C_jama.2019.14231'!$I$2:$I$12,MATCH("2019::jama.2019.14231::C009",'C_jama.2019.14231'!$A$2:$A$12,0))),"not_applicable"),"NOT FROZEN")</x:f>
        <x:v>not_applicable</x:v>
      </x:c>
      <x:c r="F30" s="6" t="str">
        <x:f>IF(Setup!$B$6="primary",IF(AND(INDEX('C_jama.2019.14231'!$D$2:$D$12,MATCH("2019::jama.2019.14231::C009",'C_jama.2019.14231'!$A$2:$A$12,0))="retain",INDEX('C_jama.2019.14231'!$E$2:$E$12,MATCH("2019::jama.2019.14231::C009",'C_jama.2019.14231'!$A$2:$A$12,0))="statistical_results"),IF(INDEX('C_jama.2019.14231'!$J$2:$J$12,MATCH("2019::jama.2019.14231::C009",'C_jama.2019.14231'!$A$2:$A$12,0))="","",INDEX('C_jama.2019.14231'!$J$2:$J$12,MATCH("2019::jama.2019.14231::C009",'C_jama.2019.14231'!$A$2:$A$12,0))),"not_applicable"),"NOT FROZEN")</x:f>
        <x:v>not_applicable</x:v>
      </x:c>
      <x:c r="G30" s="6" t="str">
        <x:f>IF(Setup!$B$6="primary",IF(AND(INDEX('C_jama.2019.14231'!$D$2:$D$12,MATCH("2019::jama.2019.14231::C009",'C_jama.2019.14231'!$A$2:$A$12,0))="retain",OR(INDEX('C_jama.2019.14231'!$E$2:$E$12,MATCH("2019::jama.2019.14231::C009",'C_jama.2019.14231'!$A$2:$A$12,0))="report_internal_inconsistency",INDEX('C_jama.2019.14231'!$E$2:$E$12,MATCH("2019::jama.2019.14231::C009",'C_jama.2019.14231'!$A$2:$A$12,0))="plan_material")),IF(INDEX('C_jama.2019.14231'!$K$2:$K$12,MATCH("2019::jama.2019.14231::C009",'C_jama.2019.14231'!$A$2:$A$12,0))="","",INDEX('C_jama.2019.14231'!$K$2:$K$12,MATCH("2019::jama.2019.14231::C009",'C_jama.2019.14231'!$A$2:$A$12,0))),"not_applicable"),"NOT FROZEN")</x:f>
        <x:v>not_applicable</x:v>
      </x:c>
      <x:c r="H30" s="6" t="str">
        <x:f>IF(Setup!$B$6="primary",IF(AND(INDEX('C_jama.2019.14231'!$D$2:$D$12,MATCH("2019::jama.2019.14231::C009",'C_jama.2019.14231'!$A$2:$A$12,0))="retain",INDEX('C_jama.2019.14231'!$E$2:$E$12,MATCH("2019::jama.2019.14231::C009",'C_jama.2019.14231'!$A$2:$A$12,0))="protocol_report"),IF(INDEX('C_jama.2019.14231'!$L$2:$L$12,MATCH("2019::jama.2019.14231::C009",'C_jama.2019.14231'!$A$2:$A$12,0))="","",INDEX('C_jama.2019.14231'!$L$2:$L$12,MATCH("2019::jama.2019.14231::C009",'C_jama.2019.14231'!$A$2:$A$12,0))),"not_applicable"),"NOT FROZEN")</x:f>
        <x:v>not_applicable</x:v>
      </x:c>
      <x:c r="I30" s="6" t="str">
        <x:f>IF(Setup!$B$6="primary",IF(INDEX('C_jama.2019.14231'!$R$2:$R$12,MATCH("2019::jama.2019.14231::C009",'C_jama.2019.14231'!$A$2:$A$12,0))="","",INDEX('C_jama.2019.14231'!$R$2:$R$12,MATCH("2019::jama.2019.14231::C009",'C_jama.2019.14231'!$A$2:$A$12,0))),"NOT FROZEN")</x:f>
      </x:c>
      <x:c r="J30" s="6" t="str">
        <x:f>IF(Setup!$B$6="primary",INDEX('C_jama.2019.14231'!$F$2:$F$12,MATCH("2019::jama.2019.14231::C009",'C_jama.2019.14231'!$A$2:$A$12,0)),"NOT FROZEN")</x:f>
        <x:v>no</x:v>
      </x:c>
      <x:c r="K30" s="6" t="str">
        <x:f>IF(Setup!$B$6="primary",Setup!$B$2,"NOT FROZEN")</x:f>
      </x:c>
      <x:c r="L30" s="6" t="str">
        <x:f>IF(Setup!$B$6="primary",IF(OR(B30="",B30="not_applicable"),"","Disposition: "&amp;B30&amp;CHAR(10))&amp;IF(OR(C30="",C30="not_applicable"),"","Review domain: "&amp;C30&amp;CHAR(10))&amp;IF(OR(D30="",D30="not_applicable"),"","Statistcal_or_numerical issue: "&amp;D30&amp;CHAR(10))&amp;IF(OR(E30="",E30="not_applicable"),"","Substantiveness: "&amp;E30&amp;CHAR(10))&amp;IF(OR(F30="",F30="not_applicable"),"","Downstream impact: "&amp;F30&amp;CHAR(10))&amp;IF(OR(G30="",G30="not_applicable"),"","Report-internal or planning-material inconsistency: "&amp;G30&amp;CHAR(10))&amp;IF(OR(H30="",H30="not_applicable"),"","Protocol interpretation: "&amp;H30&amp;CHAR(10))&amp;IF(OR(I30="",I30="not_applicable"),"","Notes (optional): "&amp;I30&amp;CHAR(10)),"NOT FROZEN")</x:f>
        <x:v>Review domain: report_internal_inconsistency
</x:v>
      </x:c>
    </x:row>
    <x:row r="31" ht="70" customHeight="1">
      <x:c r="A31" s="3" t="str">
        <x:f>IF(Setup!$B$6="primary","2019::jama.2019.14231::C010","NOT FROZEN")</x:f>
        <x:v>2019::jama.2019.14231::C010</x:v>
      </x:c>
      <x:c r="B31" s="3" t="str">
        <x:f>IF(Setup!$B$6="primary",IF(INDEX('C_jama.2019.14231'!$D$2:$D$12,MATCH("2019::jama.2019.14231::C010",'C_jama.2019.14231'!$A$2:$A$12,0))="","",INDEX('C_jama.2019.14231'!$D$2:$D$12,MATCH("2019::jama.2019.14231::C010",'C_jama.2019.14231'!$A$2:$A$12,0))),"NOT FROZEN")</x:f>
      </x:c>
      <x:c r="C31" s="3" t="str">
        <x:f>IF(Setup!$B$6="primary",IF(INDEX('C_jama.2019.14231'!$E$2:$E$12,MATCH("2019::jama.2019.14231::C010",'C_jama.2019.14231'!$A$2:$A$12,0))="","",INDEX('C_jama.2019.14231'!$E$2:$E$12,MATCH("2019::jama.2019.14231::C010",'C_jama.2019.14231'!$A$2:$A$12,0))),"NOT FROZEN")</x:f>
        <x:v>statistical_results</x:v>
      </x:c>
      <x:c r="D31" s="3" t="str">
        <x:f>IF(Setup!$B$6="primary",IF(AND(INDEX('C_jama.2019.14231'!$D$2:$D$12,MATCH("2019::jama.2019.14231::C010",'C_jama.2019.14231'!$A$2:$A$12,0))="retain",INDEX('C_jama.2019.14231'!$E$2:$E$12,MATCH("2019::jama.2019.14231::C010",'C_jama.2019.14231'!$A$2:$A$12,0))="statistical_results"),IF(INDEX('C_jama.2019.14231'!$H$2:$H$12,MATCH("2019::jama.2019.14231::C010",'C_jama.2019.14231'!$A$2:$A$12,0))="","",INDEX('C_jama.2019.14231'!$H$2:$H$12,MATCH("2019::jama.2019.14231::C010",'C_jama.2019.14231'!$A$2:$A$12,0))),"not_applicable"),"NOT FROZEN")</x:f>
        <x:v>not_applicable</x:v>
      </x:c>
      <x:c r="E31" s="3" t="str">
        <x:f>IF(Setup!$B$6="primary",IF(AND(INDEX('C_jama.2019.14231'!$D$2:$D$12,MATCH("2019::jama.2019.14231::C010",'C_jama.2019.14231'!$A$2:$A$12,0))="retain",INDEX('C_jama.2019.14231'!$E$2:$E$12,MATCH("2019::jama.2019.14231::C010",'C_jama.2019.14231'!$A$2:$A$12,0))="statistical_results"),IF(INDEX('C_jama.2019.14231'!$I$2:$I$12,MATCH("2019::jama.2019.14231::C010",'C_jama.2019.14231'!$A$2:$A$12,0))="","",INDEX('C_jama.2019.14231'!$I$2:$I$12,MATCH("2019::jama.2019.14231::C010",'C_jama.2019.14231'!$A$2:$A$12,0))),"not_applicable"),"NOT FROZEN")</x:f>
        <x:v>not_applicable</x:v>
      </x:c>
      <x:c r="F31" s="3" t="str">
        <x:f>IF(Setup!$B$6="primary",IF(AND(INDEX('C_jama.2019.14231'!$D$2:$D$12,MATCH("2019::jama.2019.14231::C010",'C_jama.2019.14231'!$A$2:$A$12,0))="retain",INDEX('C_jama.2019.14231'!$E$2:$E$12,MATCH("2019::jama.2019.14231::C010",'C_jama.2019.14231'!$A$2:$A$12,0))="statistical_results"),IF(INDEX('C_jama.2019.14231'!$J$2:$J$12,MATCH("2019::jama.2019.14231::C010",'C_jama.2019.14231'!$A$2:$A$12,0))="","",INDEX('C_jama.2019.14231'!$J$2:$J$12,MATCH("2019::jama.2019.14231::C010",'C_jama.2019.14231'!$A$2:$A$12,0))),"not_applicable"),"NOT FROZEN")</x:f>
        <x:v>not_applicable</x:v>
      </x:c>
      <x:c r="G31" s="3" t="str">
        <x:f>IF(Setup!$B$6="primary",IF(AND(INDEX('C_jama.2019.14231'!$D$2:$D$12,MATCH("2019::jama.2019.14231::C010",'C_jama.2019.14231'!$A$2:$A$12,0))="retain",OR(INDEX('C_jama.2019.14231'!$E$2:$E$12,MATCH("2019::jama.2019.14231::C010",'C_jama.2019.14231'!$A$2:$A$12,0))="report_internal_inconsistency",INDEX('C_jama.2019.14231'!$E$2:$E$12,MATCH("2019::jama.2019.14231::C010",'C_jama.2019.14231'!$A$2:$A$12,0))="plan_material")),IF(INDEX('C_jama.2019.14231'!$K$2:$K$12,MATCH("2019::jama.2019.14231::C010",'C_jama.2019.14231'!$A$2:$A$12,0))="","",INDEX('C_jama.2019.14231'!$K$2:$K$12,MATCH("2019::jama.2019.14231::C010",'C_jama.2019.14231'!$A$2:$A$12,0))),"not_applicable"),"NOT FROZEN")</x:f>
        <x:v>not_applicable</x:v>
      </x:c>
      <x:c r="H31" s="3" t="str">
        <x:f>IF(Setup!$B$6="primary",IF(AND(INDEX('C_jama.2019.14231'!$D$2:$D$12,MATCH("2019::jama.2019.14231::C010",'C_jama.2019.14231'!$A$2:$A$12,0))="retain",INDEX('C_jama.2019.14231'!$E$2:$E$12,MATCH("2019::jama.2019.14231::C010",'C_jama.2019.14231'!$A$2:$A$12,0))="protocol_report"),IF(INDEX('C_jama.2019.14231'!$L$2:$L$12,MATCH("2019::jama.2019.14231::C010",'C_jama.2019.14231'!$A$2:$A$12,0))="","",INDEX('C_jama.2019.14231'!$L$2:$L$12,MATCH("2019::jama.2019.14231::C010",'C_jama.2019.14231'!$A$2:$A$12,0))),"not_applicable"),"NOT FROZEN")</x:f>
        <x:v>not_applicable</x:v>
      </x:c>
      <x:c r="I31" s="3" t="str">
        <x:f>IF(Setup!$B$6="primary",IF(INDEX('C_jama.2019.14231'!$R$2:$R$12,MATCH("2019::jama.2019.14231::C010",'C_jama.2019.14231'!$A$2:$A$12,0))="","",INDEX('C_jama.2019.14231'!$R$2:$R$12,MATCH("2019::jama.2019.14231::C010",'C_jama.2019.14231'!$A$2:$A$12,0))),"NOT FROZEN")</x:f>
      </x:c>
      <x:c r="J31" s="3" t="str">
        <x:f>IF(Setup!$B$6="primary",INDEX('C_jama.2019.14231'!$F$2:$F$12,MATCH("2019::jama.2019.14231::C010",'C_jama.2019.14231'!$A$2:$A$12,0)),"NOT FROZEN")</x:f>
        <x:v>no</x:v>
      </x:c>
      <x:c r="K31" s="3" t="str">
        <x:f>IF(Setup!$B$6="primary",Setup!$B$2,"NOT FROZEN")</x:f>
      </x:c>
      <x:c r="L31" s="3" t="str">
        <x:f>IF(Setup!$B$6="primary",IF(OR(B31="",B31="not_applicable"),"","Disposition: "&amp;B31&amp;CHAR(10))&amp;IF(OR(C31="",C31="not_applicable"),"","Review domain: "&amp;C31&amp;CHAR(10))&amp;IF(OR(D31="",D31="not_applicable"),"","Statistcal_or_numerical issue: "&amp;D31&amp;CHAR(10))&amp;IF(OR(E31="",E31="not_applicable"),"","Substantiveness: "&amp;E31&amp;CHAR(10))&amp;IF(OR(F31="",F31="not_applicable"),"","Downstream impact: "&amp;F31&amp;CHAR(10))&amp;IF(OR(G31="",G31="not_applicable"),"","Report-internal or planning-material inconsistency: "&amp;G31&amp;CHAR(10))&amp;IF(OR(H31="",H31="not_applicable"),"","Protocol interpretation: "&amp;H31&amp;CHAR(10))&amp;IF(OR(I31="",I31="not_applicable"),"","Notes (optional): "&amp;I31&amp;CHAR(10)),"NOT FROZEN")</x:f>
        <x:v>Review domain: statistical_results
</x:v>
      </x:c>
    </x:row>
    <x:row r="32" ht="70" customHeight="1">
      <x:c r="A32" s="6" t="str">
        <x:f>IF(Setup!$B$6="primary","2019::jama.2019.14231::C011","NOT FROZEN")</x:f>
        <x:v>2019::jama.2019.14231::C011</x:v>
      </x:c>
      <x:c r="B32" s="6" t="str">
        <x:f>IF(Setup!$B$6="primary",IF(INDEX('C_jama.2019.14231'!$D$2:$D$12,MATCH("2019::jama.2019.14231::C011",'C_jama.2019.14231'!$A$2:$A$12,0))="","",INDEX('C_jama.2019.14231'!$D$2:$D$12,MATCH("2019::jama.2019.14231::C011",'C_jama.2019.14231'!$A$2:$A$12,0))),"NOT FROZEN")</x:f>
      </x:c>
      <x:c r="C32" s="6" t="str">
        <x:f>IF(Setup!$B$6="primary",IF(INDEX('C_jama.2019.14231'!$E$2:$E$12,MATCH("2019::jama.2019.14231::C011",'C_jama.2019.14231'!$A$2:$A$12,0))="","",INDEX('C_jama.2019.14231'!$E$2:$E$12,MATCH("2019::jama.2019.14231::C011",'C_jama.2019.14231'!$A$2:$A$12,0))),"NOT FROZEN")</x:f>
        <x:v>report_internal_inconsistency</x:v>
      </x:c>
      <x:c r="D32" s="6" t="str">
        <x:f>IF(Setup!$B$6="primary",IF(AND(INDEX('C_jama.2019.14231'!$D$2:$D$12,MATCH("2019::jama.2019.14231::C011",'C_jama.2019.14231'!$A$2:$A$12,0))="retain",INDEX('C_jama.2019.14231'!$E$2:$E$12,MATCH("2019::jama.2019.14231::C011",'C_jama.2019.14231'!$A$2:$A$12,0))="statistical_results"),IF(INDEX('C_jama.2019.14231'!$H$2:$H$12,MATCH("2019::jama.2019.14231::C011",'C_jama.2019.14231'!$A$2:$A$12,0))="","",INDEX('C_jama.2019.14231'!$H$2:$H$12,MATCH("2019::jama.2019.14231::C011",'C_jama.2019.14231'!$A$2:$A$12,0))),"not_applicable"),"NOT FROZEN")</x:f>
        <x:v>not_applicable</x:v>
      </x:c>
      <x:c r="E32" s="6" t="str">
        <x:f>IF(Setup!$B$6="primary",IF(AND(INDEX('C_jama.2019.14231'!$D$2:$D$12,MATCH("2019::jama.2019.14231::C011",'C_jama.2019.14231'!$A$2:$A$12,0))="retain",INDEX('C_jama.2019.14231'!$E$2:$E$12,MATCH("2019::jama.2019.14231::C011",'C_jama.2019.14231'!$A$2:$A$12,0))="statistical_results"),IF(INDEX('C_jama.2019.14231'!$I$2:$I$12,MATCH("2019::jama.2019.14231::C011",'C_jama.2019.14231'!$A$2:$A$12,0))="","",INDEX('C_jama.2019.14231'!$I$2:$I$12,MATCH("2019::jama.2019.14231::C011",'C_jama.2019.14231'!$A$2:$A$12,0))),"not_applicable"),"NOT FROZEN")</x:f>
        <x:v>not_applicable</x:v>
      </x:c>
      <x:c r="F32" s="6" t="str">
        <x:f>IF(Setup!$B$6="primary",IF(AND(INDEX('C_jama.2019.14231'!$D$2:$D$12,MATCH("2019::jama.2019.14231::C011",'C_jama.2019.14231'!$A$2:$A$12,0))="retain",INDEX('C_jama.2019.14231'!$E$2:$E$12,MATCH("2019::jama.2019.14231::C011",'C_jama.2019.14231'!$A$2:$A$12,0))="statistical_results"),IF(INDEX('C_jama.2019.14231'!$J$2:$J$12,MATCH("2019::jama.2019.14231::C011",'C_jama.2019.14231'!$A$2:$A$12,0))="","",INDEX('C_jama.2019.14231'!$J$2:$J$12,MATCH("2019::jama.2019.14231::C011",'C_jama.2019.14231'!$A$2:$A$12,0))),"not_applicable"),"NOT FROZEN")</x:f>
        <x:v>not_applicable</x:v>
      </x:c>
      <x:c r="G32" s="6" t="str">
        <x:f>IF(Setup!$B$6="primary",IF(AND(INDEX('C_jama.2019.14231'!$D$2:$D$12,MATCH("2019::jama.2019.14231::C011",'C_jama.2019.14231'!$A$2:$A$12,0))="retain",OR(INDEX('C_jama.2019.14231'!$E$2:$E$12,MATCH("2019::jama.2019.14231::C011",'C_jama.2019.14231'!$A$2:$A$12,0))="report_internal_inconsistency",INDEX('C_jama.2019.14231'!$E$2:$E$12,MATCH("2019::jama.2019.14231::C011",'C_jama.2019.14231'!$A$2:$A$12,0))="plan_material")),IF(INDEX('C_jama.2019.14231'!$K$2:$K$12,MATCH("2019::jama.2019.14231::C011",'C_jama.2019.14231'!$A$2:$A$12,0))="","",INDEX('C_jama.2019.14231'!$K$2:$K$12,MATCH("2019::jama.2019.14231::C011",'C_jama.2019.14231'!$A$2:$A$12,0))),"not_applicable"),"NOT FROZEN")</x:f>
        <x:v>not_applicable</x:v>
      </x:c>
      <x:c r="H32" s="6" t="str">
        <x:f>IF(Setup!$B$6="primary",IF(AND(INDEX('C_jama.2019.14231'!$D$2:$D$12,MATCH("2019::jama.2019.14231::C011",'C_jama.2019.14231'!$A$2:$A$12,0))="retain",INDEX('C_jama.2019.14231'!$E$2:$E$12,MATCH("2019::jama.2019.14231::C011",'C_jama.2019.14231'!$A$2:$A$12,0))="protocol_report"),IF(INDEX('C_jama.2019.14231'!$L$2:$L$12,MATCH("2019::jama.2019.14231::C011",'C_jama.2019.14231'!$A$2:$A$12,0))="","",INDEX('C_jama.2019.14231'!$L$2:$L$12,MATCH("2019::jama.2019.14231::C011",'C_jama.2019.14231'!$A$2:$A$12,0))),"not_applicable"),"NOT FROZEN")</x:f>
        <x:v>not_applicable</x:v>
      </x:c>
      <x:c r="I32" s="6" t="str">
        <x:f>IF(Setup!$B$6="primary",IF(INDEX('C_jama.2019.14231'!$R$2:$R$12,MATCH("2019::jama.2019.14231::C011",'C_jama.2019.14231'!$A$2:$A$12,0))="","",INDEX('C_jama.2019.14231'!$R$2:$R$12,MATCH("2019::jama.2019.14231::C011",'C_jama.2019.14231'!$A$2:$A$12,0))),"NOT FROZEN")</x:f>
      </x:c>
      <x:c r="J32" s="6" t="str">
        <x:f>IF(Setup!$B$6="primary",INDEX('C_jama.2019.14231'!$F$2:$F$12,MATCH("2019::jama.2019.14231::C011",'C_jama.2019.14231'!$A$2:$A$12,0)),"NOT FROZEN")</x:f>
        <x:v>no</x:v>
      </x:c>
      <x:c r="K32" s="6" t="str">
        <x:f>IF(Setup!$B$6="primary",Setup!$B$2,"NOT FROZEN")</x:f>
      </x:c>
      <x:c r="L32" s="6" t="str">
        <x:f>IF(Setup!$B$6="primary",IF(OR(B32="",B32="not_applicable"),"","Disposition: "&amp;B32&amp;CHAR(10))&amp;IF(OR(C32="",C32="not_applicable"),"","Review domain: "&amp;C32&amp;CHAR(10))&amp;IF(OR(D32="",D32="not_applicable"),"","Statistcal_or_numerical issue: "&amp;D32&amp;CHAR(10))&amp;IF(OR(E32="",E32="not_applicable"),"","Substantiveness: "&amp;E32&amp;CHAR(10))&amp;IF(OR(F32="",F32="not_applicable"),"","Downstream impact: "&amp;F32&amp;CHAR(10))&amp;IF(OR(G32="",G32="not_applicable"),"","Report-internal or planning-material inconsistency: "&amp;G32&amp;CHAR(10))&amp;IF(OR(H32="",H32="not_applicable"),"","Protocol interpretation: "&amp;H32&amp;CHAR(10))&amp;IF(OR(I32="",I32="not_applicable"),"","Notes (optional): "&amp;I32&amp;CHAR(10)),"NOT FROZEN")</x:f>
        <x:v>Review domain: report_internal_inconsistency
</x:v>
      </x:c>
    </x:row>
    <x:row r="33" ht="70" customHeight="1">
      <x:c r="A33" s="3" t="str">
        <x:f>IF(Setup!$B$6="primary","2019::jama.2019.14630::C001","NOT FROZEN")</x:f>
        <x:v>2019::jama.2019.14630::C001</x:v>
      </x:c>
      <x:c r="B33" s="3" t="str">
        <x:f>IF(Setup!$B$6="primary",IF(INDEX('C_jama.2019.14630'!$D$2:$D$10,MATCH("2019::jama.2019.14630::C001",'C_jama.2019.14630'!$A$2:$A$10,0))="","",INDEX('C_jama.2019.14630'!$D$2:$D$10,MATCH("2019::jama.2019.14630::C001",'C_jama.2019.14630'!$A$2:$A$10,0))),"NOT FROZEN")</x:f>
      </x:c>
      <x:c r="C33" s="3" t="str">
        <x:f>IF(Setup!$B$6="primary",IF(INDEX('C_jama.2019.14630'!$E$2:$E$10,MATCH("2019::jama.2019.14630::C001",'C_jama.2019.14630'!$A$2:$A$10,0))="","",INDEX('C_jama.2019.14630'!$E$2:$E$10,MATCH("2019::jama.2019.14630::C001",'C_jama.2019.14630'!$A$2:$A$10,0))),"NOT FROZEN")</x:f>
        <x:v>report_internal_inconsistency</x:v>
      </x:c>
      <x:c r="D33" s="3" t="str">
        <x:f>IF(Setup!$B$6="primary",IF(AND(INDEX('C_jama.2019.14630'!$D$2:$D$10,MATCH("2019::jama.2019.14630::C001",'C_jama.2019.14630'!$A$2:$A$10,0))="retain",INDEX('C_jama.2019.14630'!$E$2:$E$10,MATCH("2019::jama.2019.14630::C001",'C_jama.2019.14630'!$A$2:$A$10,0))="statistical_results"),IF(INDEX('C_jama.2019.14630'!$H$2:$H$10,MATCH("2019::jama.2019.14630::C001",'C_jama.2019.14630'!$A$2:$A$10,0))="","",INDEX('C_jama.2019.14630'!$H$2:$H$10,MATCH("2019::jama.2019.14630::C001",'C_jama.2019.14630'!$A$2:$A$10,0))),"not_applicable"),"NOT FROZEN")</x:f>
        <x:v>not_applicable</x:v>
      </x:c>
      <x:c r="E33" s="3" t="str">
        <x:f>IF(Setup!$B$6="primary",IF(AND(INDEX('C_jama.2019.14630'!$D$2:$D$10,MATCH("2019::jama.2019.14630::C001",'C_jama.2019.14630'!$A$2:$A$10,0))="retain",INDEX('C_jama.2019.14630'!$E$2:$E$10,MATCH("2019::jama.2019.14630::C001",'C_jama.2019.14630'!$A$2:$A$10,0))="statistical_results"),IF(INDEX('C_jama.2019.14630'!$I$2:$I$10,MATCH("2019::jama.2019.14630::C001",'C_jama.2019.14630'!$A$2:$A$10,0))="","",INDEX('C_jama.2019.14630'!$I$2:$I$10,MATCH("2019::jama.2019.14630::C001",'C_jama.2019.14630'!$A$2:$A$10,0))),"not_applicable"),"NOT FROZEN")</x:f>
        <x:v>not_applicable</x:v>
      </x:c>
      <x:c r="F33" s="3" t="str">
        <x:f>IF(Setup!$B$6="primary",IF(AND(INDEX('C_jama.2019.14630'!$D$2:$D$10,MATCH("2019::jama.2019.14630::C001",'C_jama.2019.14630'!$A$2:$A$10,0))="retain",INDEX('C_jama.2019.14630'!$E$2:$E$10,MATCH("2019::jama.2019.14630::C001",'C_jama.2019.14630'!$A$2:$A$10,0))="statistical_results"),IF(INDEX('C_jama.2019.14630'!$J$2:$J$10,MATCH("2019::jama.2019.14630::C001",'C_jama.2019.14630'!$A$2:$A$10,0))="","",INDEX('C_jama.2019.14630'!$J$2:$J$10,MATCH("2019::jama.2019.14630::C001",'C_jama.2019.14630'!$A$2:$A$10,0))),"not_applicable"),"NOT FROZEN")</x:f>
        <x:v>not_applicable</x:v>
      </x:c>
      <x:c r="G33" s="3" t="str">
        <x:f>IF(Setup!$B$6="primary",IF(AND(INDEX('C_jama.2019.14630'!$D$2:$D$10,MATCH("2019::jama.2019.14630::C001",'C_jama.2019.14630'!$A$2:$A$10,0))="retain",OR(INDEX('C_jama.2019.14630'!$E$2:$E$10,MATCH("2019::jama.2019.14630::C001",'C_jama.2019.14630'!$A$2:$A$10,0))="report_internal_inconsistency",INDEX('C_jama.2019.14630'!$E$2:$E$10,MATCH("2019::jama.2019.14630::C001",'C_jama.2019.14630'!$A$2:$A$10,0))="plan_material")),IF(INDEX('C_jama.2019.14630'!$K$2:$K$10,MATCH("2019::jama.2019.14630::C001",'C_jama.2019.14630'!$A$2:$A$10,0))="","",INDEX('C_jama.2019.14630'!$K$2:$K$10,MATCH("2019::jama.2019.14630::C001",'C_jama.2019.14630'!$A$2:$A$10,0))),"not_applicable"),"NOT FROZEN")</x:f>
        <x:v>not_applicable</x:v>
      </x:c>
      <x:c r="H33" s="3" t="str">
        <x:f>IF(Setup!$B$6="primary",IF(AND(INDEX('C_jama.2019.14630'!$D$2:$D$10,MATCH("2019::jama.2019.14630::C001",'C_jama.2019.14630'!$A$2:$A$10,0))="retain",INDEX('C_jama.2019.14630'!$E$2:$E$10,MATCH("2019::jama.2019.14630::C001",'C_jama.2019.14630'!$A$2:$A$10,0))="protocol_report"),IF(INDEX('C_jama.2019.14630'!$L$2:$L$10,MATCH("2019::jama.2019.14630::C001",'C_jama.2019.14630'!$A$2:$A$10,0))="","",INDEX('C_jama.2019.14630'!$L$2:$L$10,MATCH("2019::jama.2019.14630::C001",'C_jama.2019.14630'!$A$2:$A$10,0))),"not_applicable"),"NOT FROZEN")</x:f>
        <x:v>not_applicable</x:v>
      </x:c>
      <x:c r="I33" s="3" t="str">
        <x:f>IF(Setup!$B$6="primary",IF(INDEX('C_jama.2019.14630'!$R$2:$R$10,MATCH("2019::jama.2019.14630::C001",'C_jama.2019.14630'!$A$2:$A$10,0))="","",INDEX('C_jama.2019.14630'!$R$2:$R$10,MATCH("2019::jama.2019.14630::C001",'C_jama.2019.14630'!$A$2:$A$10,0))),"NOT FROZEN")</x:f>
      </x:c>
      <x:c r="J33" s="3" t="str">
        <x:f>IF(Setup!$B$6="primary",INDEX('C_jama.2019.14630'!$F$2:$F$10,MATCH("2019::jama.2019.14630::C001",'C_jama.2019.14630'!$A$2:$A$10,0)),"NOT FROZEN")</x:f>
        <x:v>no</x:v>
      </x:c>
      <x:c r="K33" s="3" t="str">
        <x:f>IF(Setup!$B$6="primary",Setup!$B$2,"NOT FROZEN")</x:f>
      </x:c>
      <x:c r="L33" s="3" t="str">
        <x:f>IF(Setup!$B$6="primary",IF(OR(B33="",B33="not_applicable"),"","Disposition: "&amp;B33&amp;CHAR(10))&amp;IF(OR(C33="",C33="not_applicable"),"","Review domain: "&amp;C33&amp;CHAR(10))&amp;IF(OR(D33="",D33="not_applicable"),"","Statistcal_or_numerical issue: "&amp;D33&amp;CHAR(10))&amp;IF(OR(E33="",E33="not_applicable"),"","Substantiveness: "&amp;E33&amp;CHAR(10))&amp;IF(OR(F33="",F33="not_applicable"),"","Downstream impact: "&amp;F33&amp;CHAR(10))&amp;IF(OR(G33="",G33="not_applicable"),"","Report-internal or planning-material inconsistency: "&amp;G33&amp;CHAR(10))&amp;IF(OR(H33="",H33="not_applicable"),"","Protocol interpretation: "&amp;H33&amp;CHAR(10))&amp;IF(OR(I33="",I33="not_applicable"),"","Notes (optional): "&amp;I33&amp;CHAR(10)),"NOT FROZEN")</x:f>
        <x:v>Review domain: report_internal_inconsistency
</x:v>
      </x:c>
    </x:row>
    <x:row r="34" ht="70" customHeight="1">
      <x:c r="A34" s="6" t="str">
        <x:f>IF(Setup!$B$6="primary","2019::jama.2019.14630::C002","NOT FROZEN")</x:f>
        <x:v>2019::jama.2019.14630::C002</x:v>
      </x:c>
      <x:c r="B34" s="6" t="str">
        <x:f>IF(Setup!$B$6="primary",IF(INDEX('C_jama.2019.14630'!$D$2:$D$10,MATCH("2019::jama.2019.14630::C002",'C_jama.2019.14630'!$A$2:$A$10,0))="","",INDEX('C_jama.2019.14630'!$D$2:$D$10,MATCH("2019::jama.2019.14630::C002",'C_jama.2019.14630'!$A$2:$A$10,0))),"NOT FROZEN")</x:f>
      </x:c>
      <x:c r="C34" s="6" t="str">
        <x:f>IF(Setup!$B$6="primary",IF(INDEX('C_jama.2019.14630'!$E$2:$E$10,MATCH("2019::jama.2019.14630::C002",'C_jama.2019.14630'!$A$2:$A$10,0))="","",INDEX('C_jama.2019.14630'!$E$2:$E$10,MATCH("2019::jama.2019.14630::C002",'C_jama.2019.14630'!$A$2:$A$10,0))),"NOT FROZEN")</x:f>
        <x:v>statistical_results</x:v>
      </x:c>
      <x:c r="D34" s="6" t="str">
        <x:f>IF(Setup!$B$6="primary",IF(AND(INDEX('C_jama.2019.14630'!$D$2:$D$10,MATCH("2019::jama.2019.14630::C002",'C_jama.2019.14630'!$A$2:$A$10,0))="retain",INDEX('C_jama.2019.14630'!$E$2:$E$10,MATCH("2019::jama.2019.14630::C002",'C_jama.2019.14630'!$A$2:$A$10,0))="statistical_results"),IF(INDEX('C_jama.2019.14630'!$H$2:$H$10,MATCH("2019::jama.2019.14630::C002",'C_jama.2019.14630'!$A$2:$A$10,0))="","",INDEX('C_jama.2019.14630'!$H$2:$H$10,MATCH("2019::jama.2019.14630::C002",'C_jama.2019.14630'!$A$2:$A$10,0))),"not_applicable"),"NOT FROZEN")</x:f>
        <x:v>not_applicable</x:v>
      </x:c>
      <x:c r="E34" s="6" t="str">
        <x:f>IF(Setup!$B$6="primary",IF(AND(INDEX('C_jama.2019.14630'!$D$2:$D$10,MATCH("2019::jama.2019.14630::C002",'C_jama.2019.14630'!$A$2:$A$10,0))="retain",INDEX('C_jama.2019.14630'!$E$2:$E$10,MATCH("2019::jama.2019.14630::C002",'C_jama.2019.14630'!$A$2:$A$10,0))="statistical_results"),IF(INDEX('C_jama.2019.14630'!$I$2:$I$10,MATCH("2019::jama.2019.14630::C002",'C_jama.2019.14630'!$A$2:$A$10,0))="","",INDEX('C_jama.2019.14630'!$I$2:$I$10,MATCH("2019::jama.2019.14630::C002",'C_jama.2019.14630'!$A$2:$A$10,0))),"not_applicable"),"NOT FROZEN")</x:f>
        <x:v>not_applicable</x:v>
      </x:c>
      <x:c r="F34" s="6" t="str">
        <x:f>IF(Setup!$B$6="primary",IF(AND(INDEX('C_jama.2019.14630'!$D$2:$D$10,MATCH("2019::jama.2019.14630::C002",'C_jama.2019.14630'!$A$2:$A$10,0))="retain",INDEX('C_jama.2019.14630'!$E$2:$E$10,MATCH("2019::jama.2019.14630::C002",'C_jama.2019.14630'!$A$2:$A$10,0))="statistical_results"),IF(INDEX('C_jama.2019.14630'!$J$2:$J$10,MATCH("2019::jama.2019.14630::C002",'C_jama.2019.14630'!$A$2:$A$10,0))="","",INDEX('C_jama.2019.14630'!$J$2:$J$10,MATCH("2019::jama.2019.14630::C002",'C_jama.2019.14630'!$A$2:$A$10,0))),"not_applicable"),"NOT FROZEN")</x:f>
        <x:v>not_applicable</x:v>
      </x:c>
      <x:c r="G34" s="6" t="str">
        <x:f>IF(Setup!$B$6="primary",IF(AND(INDEX('C_jama.2019.14630'!$D$2:$D$10,MATCH("2019::jama.2019.14630::C002",'C_jama.2019.14630'!$A$2:$A$10,0))="retain",OR(INDEX('C_jama.2019.14630'!$E$2:$E$10,MATCH("2019::jama.2019.14630::C002",'C_jama.2019.14630'!$A$2:$A$10,0))="report_internal_inconsistency",INDEX('C_jama.2019.14630'!$E$2:$E$10,MATCH("2019::jama.2019.14630::C002",'C_jama.2019.14630'!$A$2:$A$10,0))="plan_material")),IF(INDEX('C_jama.2019.14630'!$K$2:$K$10,MATCH("2019::jama.2019.14630::C002",'C_jama.2019.14630'!$A$2:$A$10,0))="","",INDEX('C_jama.2019.14630'!$K$2:$K$10,MATCH("2019::jama.2019.14630::C002",'C_jama.2019.14630'!$A$2:$A$10,0))),"not_applicable"),"NOT FROZEN")</x:f>
        <x:v>not_applicable</x:v>
      </x:c>
      <x:c r="H34" s="6" t="str">
        <x:f>IF(Setup!$B$6="primary",IF(AND(INDEX('C_jama.2019.14630'!$D$2:$D$10,MATCH("2019::jama.2019.14630::C002",'C_jama.2019.14630'!$A$2:$A$10,0))="retain",INDEX('C_jama.2019.14630'!$E$2:$E$10,MATCH("2019::jama.2019.14630::C002",'C_jama.2019.14630'!$A$2:$A$10,0))="protocol_report"),IF(INDEX('C_jama.2019.14630'!$L$2:$L$10,MATCH("2019::jama.2019.14630::C002",'C_jama.2019.14630'!$A$2:$A$10,0))="","",INDEX('C_jama.2019.14630'!$L$2:$L$10,MATCH("2019::jama.2019.14630::C002",'C_jama.2019.14630'!$A$2:$A$10,0))),"not_applicable"),"NOT FROZEN")</x:f>
        <x:v>not_applicable</x:v>
      </x:c>
      <x:c r="I34" s="6" t="str">
        <x:f>IF(Setup!$B$6="primary",IF(INDEX('C_jama.2019.14630'!$R$2:$R$10,MATCH("2019::jama.2019.14630::C002",'C_jama.2019.14630'!$A$2:$A$10,0))="","",INDEX('C_jama.2019.14630'!$R$2:$R$10,MATCH("2019::jama.2019.14630::C002",'C_jama.2019.14630'!$A$2:$A$10,0))),"NOT FROZEN")</x:f>
      </x:c>
      <x:c r="J34" s="6" t="str">
        <x:f>IF(Setup!$B$6="primary",INDEX('C_jama.2019.14630'!$F$2:$F$10,MATCH("2019::jama.2019.14630::C002",'C_jama.2019.14630'!$A$2:$A$10,0)),"NOT FROZEN")</x:f>
        <x:v>no</x:v>
      </x:c>
      <x:c r="K34" s="6" t="str">
        <x:f>IF(Setup!$B$6="primary",Setup!$B$2,"NOT FROZEN")</x:f>
      </x:c>
      <x:c r="L34" s="6" t="str">
        <x:f>IF(Setup!$B$6="primary",IF(OR(B34="",B34="not_applicable"),"","Disposition: "&amp;B34&amp;CHAR(10))&amp;IF(OR(C34="",C34="not_applicable"),"","Review domain: "&amp;C34&amp;CHAR(10))&amp;IF(OR(D34="",D34="not_applicable"),"","Statistcal_or_numerical issue: "&amp;D34&amp;CHAR(10))&amp;IF(OR(E34="",E34="not_applicable"),"","Substantiveness: "&amp;E34&amp;CHAR(10))&amp;IF(OR(F34="",F34="not_applicable"),"","Downstream impact: "&amp;F34&amp;CHAR(10))&amp;IF(OR(G34="",G34="not_applicable"),"","Report-internal or planning-material inconsistency: "&amp;G34&amp;CHAR(10))&amp;IF(OR(H34="",H34="not_applicable"),"","Protocol interpretation: "&amp;H34&amp;CHAR(10))&amp;IF(OR(I34="",I34="not_applicable"),"","Notes (optional): "&amp;I34&amp;CHAR(10)),"NOT FROZEN")</x:f>
        <x:v>Review domain: statistical_results
</x:v>
      </x:c>
    </x:row>
    <x:row r="35" ht="70" customHeight="1">
      <x:c r="A35" s="3" t="str">
        <x:f>IF(Setup!$B$6="primary","2019::jama.2019.14630::C003","NOT FROZEN")</x:f>
        <x:v>2019::jama.2019.14630::C003</x:v>
      </x:c>
      <x:c r="B35" s="3" t="str">
        <x:f>IF(Setup!$B$6="primary",IF(INDEX('C_jama.2019.14630'!$D$2:$D$10,MATCH("2019::jama.2019.14630::C003",'C_jama.2019.14630'!$A$2:$A$10,0))="","",INDEX('C_jama.2019.14630'!$D$2:$D$10,MATCH("2019::jama.2019.14630::C003",'C_jama.2019.14630'!$A$2:$A$10,0))),"NOT FROZEN")</x:f>
      </x:c>
      <x:c r="C35" s="3" t="str">
        <x:f>IF(Setup!$B$6="primary",IF(INDEX('C_jama.2019.14630'!$E$2:$E$10,MATCH("2019::jama.2019.14630::C003",'C_jama.2019.14630'!$A$2:$A$10,0))="","",INDEX('C_jama.2019.14630'!$E$2:$E$10,MATCH("2019::jama.2019.14630::C003",'C_jama.2019.14630'!$A$2:$A$10,0))),"NOT FROZEN")</x:f>
        <x:v>report_internal_inconsistency</x:v>
      </x:c>
      <x:c r="D35" s="3" t="str">
        <x:f>IF(Setup!$B$6="primary",IF(AND(INDEX('C_jama.2019.14630'!$D$2:$D$10,MATCH("2019::jama.2019.14630::C003",'C_jama.2019.14630'!$A$2:$A$10,0))="retain",INDEX('C_jama.2019.14630'!$E$2:$E$10,MATCH("2019::jama.2019.14630::C003",'C_jama.2019.14630'!$A$2:$A$10,0))="statistical_results"),IF(INDEX('C_jama.2019.14630'!$H$2:$H$10,MATCH("2019::jama.2019.14630::C003",'C_jama.2019.14630'!$A$2:$A$10,0))="","",INDEX('C_jama.2019.14630'!$H$2:$H$10,MATCH("2019::jama.2019.14630::C003",'C_jama.2019.14630'!$A$2:$A$10,0))),"not_applicable"),"NOT FROZEN")</x:f>
        <x:v>not_applicable</x:v>
      </x:c>
      <x:c r="E35" s="3" t="str">
        <x:f>IF(Setup!$B$6="primary",IF(AND(INDEX('C_jama.2019.14630'!$D$2:$D$10,MATCH("2019::jama.2019.14630::C003",'C_jama.2019.14630'!$A$2:$A$10,0))="retain",INDEX('C_jama.2019.14630'!$E$2:$E$10,MATCH("2019::jama.2019.14630::C003",'C_jama.2019.14630'!$A$2:$A$10,0))="statistical_results"),IF(INDEX('C_jama.2019.14630'!$I$2:$I$10,MATCH("2019::jama.2019.14630::C003",'C_jama.2019.14630'!$A$2:$A$10,0))="","",INDEX('C_jama.2019.14630'!$I$2:$I$10,MATCH("2019::jama.2019.14630::C003",'C_jama.2019.14630'!$A$2:$A$10,0))),"not_applicable"),"NOT FROZEN")</x:f>
        <x:v>not_applicable</x:v>
      </x:c>
      <x:c r="F35" s="3" t="str">
        <x:f>IF(Setup!$B$6="primary",IF(AND(INDEX('C_jama.2019.14630'!$D$2:$D$10,MATCH("2019::jama.2019.14630::C003",'C_jama.2019.14630'!$A$2:$A$10,0))="retain",INDEX('C_jama.2019.14630'!$E$2:$E$10,MATCH("2019::jama.2019.14630::C003",'C_jama.2019.14630'!$A$2:$A$10,0))="statistical_results"),IF(INDEX('C_jama.2019.14630'!$J$2:$J$10,MATCH("2019::jama.2019.14630::C003",'C_jama.2019.14630'!$A$2:$A$10,0))="","",INDEX('C_jama.2019.14630'!$J$2:$J$10,MATCH("2019::jama.2019.14630::C003",'C_jama.2019.14630'!$A$2:$A$10,0))),"not_applicable"),"NOT FROZEN")</x:f>
        <x:v>not_applicable</x:v>
      </x:c>
      <x:c r="G35" s="3" t="str">
        <x:f>IF(Setup!$B$6="primary",IF(AND(INDEX('C_jama.2019.14630'!$D$2:$D$10,MATCH("2019::jama.2019.14630::C003",'C_jama.2019.14630'!$A$2:$A$10,0))="retain",OR(INDEX('C_jama.2019.14630'!$E$2:$E$10,MATCH("2019::jama.2019.14630::C003",'C_jama.2019.14630'!$A$2:$A$10,0))="report_internal_inconsistency",INDEX('C_jama.2019.14630'!$E$2:$E$10,MATCH("2019::jama.2019.14630::C003",'C_jama.2019.14630'!$A$2:$A$10,0))="plan_material")),IF(INDEX('C_jama.2019.14630'!$K$2:$K$10,MATCH("2019::jama.2019.14630::C003",'C_jama.2019.14630'!$A$2:$A$10,0))="","",INDEX('C_jama.2019.14630'!$K$2:$K$10,MATCH("2019::jama.2019.14630::C003",'C_jama.2019.14630'!$A$2:$A$10,0))),"not_applicable"),"NOT FROZEN")</x:f>
        <x:v>not_applicable</x:v>
      </x:c>
      <x:c r="H35" s="3" t="str">
        <x:f>IF(Setup!$B$6="primary",IF(AND(INDEX('C_jama.2019.14630'!$D$2:$D$10,MATCH("2019::jama.2019.14630::C003",'C_jama.2019.14630'!$A$2:$A$10,0))="retain",INDEX('C_jama.2019.14630'!$E$2:$E$10,MATCH("2019::jama.2019.14630::C003",'C_jama.2019.14630'!$A$2:$A$10,0))="protocol_report"),IF(INDEX('C_jama.2019.14630'!$L$2:$L$10,MATCH("2019::jama.2019.14630::C003",'C_jama.2019.14630'!$A$2:$A$10,0))="","",INDEX('C_jama.2019.14630'!$L$2:$L$10,MATCH("2019::jama.2019.14630::C003",'C_jama.2019.14630'!$A$2:$A$10,0))),"not_applicable"),"NOT FROZEN")</x:f>
        <x:v>not_applicable</x:v>
      </x:c>
      <x:c r="I35" s="3" t="str">
        <x:f>IF(Setup!$B$6="primary",IF(INDEX('C_jama.2019.14630'!$R$2:$R$10,MATCH("2019::jama.2019.14630::C003",'C_jama.2019.14630'!$A$2:$A$10,0))="","",INDEX('C_jama.2019.14630'!$R$2:$R$10,MATCH("2019::jama.2019.14630::C003",'C_jama.2019.14630'!$A$2:$A$10,0))),"NOT FROZEN")</x:f>
      </x:c>
      <x:c r="J35" s="3" t="str">
        <x:f>IF(Setup!$B$6="primary",INDEX('C_jama.2019.14630'!$F$2:$F$10,MATCH("2019::jama.2019.14630::C003",'C_jama.2019.14630'!$A$2:$A$10,0)),"NOT FROZEN")</x:f>
        <x:v>no</x:v>
      </x:c>
      <x:c r="K35" s="3" t="str">
        <x:f>IF(Setup!$B$6="primary",Setup!$B$2,"NOT FROZEN")</x:f>
      </x:c>
      <x:c r="L35" s="3" t="str">
        <x:f>IF(Setup!$B$6="primary",IF(OR(B35="",B35="not_applicable"),"","Disposition: "&amp;B35&amp;CHAR(10))&amp;IF(OR(C35="",C35="not_applicable"),"","Review domain: "&amp;C35&amp;CHAR(10))&amp;IF(OR(D35="",D35="not_applicable"),"","Statistcal_or_numerical issue: "&amp;D35&amp;CHAR(10))&amp;IF(OR(E35="",E35="not_applicable"),"","Substantiveness: "&amp;E35&amp;CHAR(10))&amp;IF(OR(F35="",F35="not_applicable"),"","Downstream impact: "&amp;F35&amp;CHAR(10))&amp;IF(OR(G35="",G35="not_applicable"),"","Report-internal or planning-material inconsistency: "&amp;G35&amp;CHAR(10))&amp;IF(OR(H35="",H35="not_applicable"),"","Protocol interpretation: "&amp;H35&amp;CHAR(10))&amp;IF(OR(I35="",I35="not_applicable"),"","Notes (optional): "&amp;I35&amp;CHAR(10)),"NOT FROZEN")</x:f>
        <x:v>Review domain: report_internal_inconsistency
</x:v>
      </x:c>
    </x:row>
    <x:row r="36" ht="70" customHeight="1">
      <x:c r="A36" s="6" t="str">
        <x:f>IF(Setup!$B$6="primary","2019::jama.2019.14630::C004","NOT FROZEN")</x:f>
        <x:v>2019::jama.2019.14630::C004</x:v>
      </x:c>
      <x:c r="B36" s="6" t="str">
        <x:f>IF(Setup!$B$6="primary",IF(INDEX('C_jama.2019.14630'!$D$2:$D$10,MATCH("2019::jama.2019.14630::C004",'C_jama.2019.14630'!$A$2:$A$10,0))="","",INDEX('C_jama.2019.14630'!$D$2:$D$10,MATCH("2019::jama.2019.14630::C004",'C_jama.2019.14630'!$A$2:$A$10,0))),"NOT FROZEN")</x:f>
      </x:c>
      <x:c r="C36" s="6" t="str">
        <x:f>IF(Setup!$B$6="primary",IF(INDEX('C_jama.2019.14630'!$E$2:$E$10,MATCH("2019::jama.2019.14630::C004",'C_jama.2019.14630'!$A$2:$A$10,0))="","",INDEX('C_jama.2019.14630'!$E$2:$E$10,MATCH("2019::jama.2019.14630::C004",'C_jama.2019.14630'!$A$2:$A$10,0))),"NOT FROZEN")</x:f>
        <x:v>report_internal_inconsistency</x:v>
      </x:c>
      <x:c r="D36" s="6" t="str">
        <x:f>IF(Setup!$B$6="primary",IF(AND(INDEX('C_jama.2019.14630'!$D$2:$D$10,MATCH("2019::jama.2019.14630::C004",'C_jama.2019.14630'!$A$2:$A$10,0))="retain",INDEX('C_jama.2019.14630'!$E$2:$E$10,MATCH("2019::jama.2019.14630::C004",'C_jama.2019.14630'!$A$2:$A$10,0))="statistical_results"),IF(INDEX('C_jama.2019.14630'!$H$2:$H$10,MATCH("2019::jama.2019.14630::C004",'C_jama.2019.14630'!$A$2:$A$10,0))="","",INDEX('C_jama.2019.14630'!$H$2:$H$10,MATCH("2019::jama.2019.14630::C004",'C_jama.2019.14630'!$A$2:$A$10,0))),"not_applicable"),"NOT FROZEN")</x:f>
        <x:v>not_applicable</x:v>
      </x:c>
      <x:c r="E36" s="6" t="str">
        <x:f>IF(Setup!$B$6="primary",IF(AND(INDEX('C_jama.2019.14630'!$D$2:$D$10,MATCH("2019::jama.2019.14630::C004",'C_jama.2019.14630'!$A$2:$A$10,0))="retain",INDEX('C_jama.2019.14630'!$E$2:$E$10,MATCH("2019::jama.2019.14630::C004",'C_jama.2019.14630'!$A$2:$A$10,0))="statistical_results"),IF(INDEX('C_jama.2019.14630'!$I$2:$I$10,MATCH("2019::jama.2019.14630::C004",'C_jama.2019.14630'!$A$2:$A$10,0))="","",INDEX('C_jama.2019.14630'!$I$2:$I$10,MATCH("2019::jama.2019.14630::C004",'C_jama.2019.14630'!$A$2:$A$10,0))),"not_applicable"),"NOT FROZEN")</x:f>
        <x:v>not_applicable</x:v>
      </x:c>
      <x:c r="F36" s="6" t="str">
        <x:f>IF(Setup!$B$6="primary",IF(AND(INDEX('C_jama.2019.14630'!$D$2:$D$10,MATCH("2019::jama.2019.14630::C004",'C_jama.2019.14630'!$A$2:$A$10,0))="retain",INDEX('C_jama.2019.14630'!$E$2:$E$10,MATCH("2019::jama.2019.14630::C004",'C_jama.2019.14630'!$A$2:$A$10,0))="statistical_results"),IF(INDEX('C_jama.2019.14630'!$J$2:$J$10,MATCH("2019::jama.2019.14630::C004",'C_jama.2019.14630'!$A$2:$A$10,0))="","",INDEX('C_jama.2019.14630'!$J$2:$J$10,MATCH("2019::jama.2019.14630::C004",'C_jama.2019.14630'!$A$2:$A$10,0))),"not_applicable"),"NOT FROZEN")</x:f>
        <x:v>not_applicable</x:v>
      </x:c>
      <x:c r="G36" s="6" t="str">
        <x:f>IF(Setup!$B$6="primary",IF(AND(INDEX('C_jama.2019.14630'!$D$2:$D$10,MATCH("2019::jama.2019.14630::C004",'C_jama.2019.14630'!$A$2:$A$10,0))="retain",OR(INDEX('C_jama.2019.14630'!$E$2:$E$10,MATCH("2019::jama.2019.14630::C004",'C_jama.2019.14630'!$A$2:$A$10,0))="report_internal_inconsistency",INDEX('C_jama.2019.14630'!$E$2:$E$10,MATCH("2019::jama.2019.14630::C004",'C_jama.2019.14630'!$A$2:$A$10,0))="plan_material")),IF(INDEX('C_jama.2019.14630'!$K$2:$K$10,MATCH("2019::jama.2019.14630::C004",'C_jama.2019.14630'!$A$2:$A$10,0))="","",INDEX('C_jama.2019.14630'!$K$2:$K$10,MATCH("2019::jama.2019.14630::C004",'C_jama.2019.14630'!$A$2:$A$10,0))),"not_applicable"),"NOT FROZEN")</x:f>
        <x:v>not_applicable</x:v>
      </x:c>
      <x:c r="H36" s="6" t="str">
        <x:f>IF(Setup!$B$6="primary",IF(AND(INDEX('C_jama.2019.14630'!$D$2:$D$10,MATCH("2019::jama.2019.14630::C004",'C_jama.2019.14630'!$A$2:$A$10,0))="retain",INDEX('C_jama.2019.14630'!$E$2:$E$10,MATCH("2019::jama.2019.14630::C004",'C_jama.2019.14630'!$A$2:$A$10,0))="protocol_report"),IF(INDEX('C_jama.2019.14630'!$L$2:$L$10,MATCH("2019::jama.2019.14630::C004",'C_jama.2019.14630'!$A$2:$A$10,0))="","",INDEX('C_jama.2019.14630'!$L$2:$L$10,MATCH("2019::jama.2019.14630::C004",'C_jama.2019.14630'!$A$2:$A$10,0))),"not_applicable"),"NOT FROZEN")</x:f>
        <x:v>not_applicable</x:v>
      </x:c>
      <x:c r="I36" s="6" t="str">
        <x:f>IF(Setup!$B$6="primary",IF(INDEX('C_jama.2019.14630'!$R$2:$R$10,MATCH("2019::jama.2019.14630::C004",'C_jama.2019.14630'!$A$2:$A$10,0))="","",INDEX('C_jama.2019.14630'!$R$2:$R$10,MATCH("2019::jama.2019.14630::C004",'C_jama.2019.14630'!$A$2:$A$10,0))),"NOT FROZEN")</x:f>
      </x:c>
      <x:c r="J36" s="6" t="str">
        <x:f>IF(Setup!$B$6="primary",INDEX('C_jama.2019.14630'!$F$2:$F$10,MATCH("2019::jama.2019.14630::C004",'C_jama.2019.14630'!$A$2:$A$10,0)),"NOT FROZEN")</x:f>
        <x:v>no</x:v>
      </x:c>
      <x:c r="K36" s="6" t="str">
        <x:f>IF(Setup!$B$6="primary",Setup!$B$2,"NOT FROZEN")</x:f>
      </x:c>
      <x:c r="L36" s="6" t="str">
        <x:f>IF(Setup!$B$6="primary",IF(OR(B36="",B36="not_applicable"),"","Disposition: "&amp;B36&amp;CHAR(10))&amp;IF(OR(C36="",C36="not_applicable"),"","Review domain: "&amp;C36&amp;CHAR(10))&amp;IF(OR(D36="",D36="not_applicable"),"","Statistcal_or_numerical issue: "&amp;D36&amp;CHAR(10))&amp;IF(OR(E36="",E36="not_applicable"),"","Substantiveness: "&amp;E36&amp;CHAR(10))&amp;IF(OR(F36="",F36="not_applicable"),"","Downstream impact: "&amp;F36&amp;CHAR(10))&amp;IF(OR(G36="",G36="not_applicable"),"","Report-internal or planning-material inconsistency: "&amp;G36&amp;CHAR(10))&amp;IF(OR(H36="",H36="not_applicable"),"","Protocol interpretation: "&amp;H36&amp;CHAR(10))&amp;IF(OR(I36="",I36="not_applicable"),"","Notes (optional): "&amp;I36&amp;CHAR(10)),"NOT FROZEN")</x:f>
        <x:v>Review domain: report_internal_inconsistency
</x:v>
      </x:c>
    </x:row>
    <x:row r="37" ht="70" customHeight="1">
      <x:c r="A37" s="3" t="str">
        <x:f>IF(Setup!$B$6="primary","2019::jama.2019.14630::C005","NOT FROZEN")</x:f>
        <x:v>2019::jama.2019.14630::C005</x:v>
      </x:c>
      <x:c r="B37" s="3" t="str">
        <x:f>IF(Setup!$B$6="primary",IF(INDEX('C_jama.2019.14630'!$D$2:$D$10,MATCH("2019::jama.2019.14630::C005",'C_jama.2019.14630'!$A$2:$A$10,0))="","",INDEX('C_jama.2019.14630'!$D$2:$D$10,MATCH("2019::jama.2019.14630::C005",'C_jama.2019.14630'!$A$2:$A$10,0))),"NOT FROZEN")</x:f>
      </x:c>
      <x:c r="C37" s="3" t="str">
        <x:f>IF(Setup!$B$6="primary",IF(INDEX('C_jama.2019.14630'!$E$2:$E$10,MATCH("2019::jama.2019.14630::C005",'C_jama.2019.14630'!$A$2:$A$10,0))="","",INDEX('C_jama.2019.14630'!$E$2:$E$10,MATCH("2019::jama.2019.14630::C005",'C_jama.2019.14630'!$A$2:$A$10,0))),"NOT FROZEN")</x:f>
        <x:v>report_internal_inconsistency</x:v>
      </x:c>
      <x:c r="D37" s="3" t="str">
        <x:f>IF(Setup!$B$6="primary",IF(AND(INDEX('C_jama.2019.14630'!$D$2:$D$10,MATCH("2019::jama.2019.14630::C005",'C_jama.2019.14630'!$A$2:$A$10,0))="retain",INDEX('C_jama.2019.14630'!$E$2:$E$10,MATCH("2019::jama.2019.14630::C005",'C_jama.2019.14630'!$A$2:$A$10,0))="statistical_results"),IF(INDEX('C_jama.2019.14630'!$H$2:$H$10,MATCH("2019::jama.2019.14630::C005",'C_jama.2019.14630'!$A$2:$A$10,0))="","",INDEX('C_jama.2019.14630'!$H$2:$H$10,MATCH("2019::jama.2019.14630::C005",'C_jama.2019.14630'!$A$2:$A$10,0))),"not_applicable"),"NOT FROZEN")</x:f>
        <x:v>not_applicable</x:v>
      </x:c>
      <x:c r="E37" s="3" t="str">
        <x:f>IF(Setup!$B$6="primary",IF(AND(INDEX('C_jama.2019.14630'!$D$2:$D$10,MATCH("2019::jama.2019.14630::C005",'C_jama.2019.14630'!$A$2:$A$10,0))="retain",INDEX('C_jama.2019.14630'!$E$2:$E$10,MATCH("2019::jama.2019.14630::C005",'C_jama.2019.14630'!$A$2:$A$10,0))="statistical_results"),IF(INDEX('C_jama.2019.14630'!$I$2:$I$10,MATCH("2019::jama.2019.14630::C005",'C_jama.2019.14630'!$A$2:$A$10,0))="","",INDEX('C_jama.2019.14630'!$I$2:$I$10,MATCH("2019::jama.2019.14630::C005",'C_jama.2019.14630'!$A$2:$A$10,0))),"not_applicable"),"NOT FROZEN")</x:f>
        <x:v>not_applicable</x:v>
      </x:c>
      <x:c r="F37" s="3" t="str">
        <x:f>IF(Setup!$B$6="primary",IF(AND(INDEX('C_jama.2019.14630'!$D$2:$D$10,MATCH("2019::jama.2019.14630::C005",'C_jama.2019.14630'!$A$2:$A$10,0))="retain",INDEX('C_jama.2019.14630'!$E$2:$E$10,MATCH("2019::jama.2019.14630::C005",'C_jama.2019.14630'!$A$2:$A$10,0))="statistical_results"),IF(INDEX('C_jama.2019.14630'!$J$2:$J$10,MATCH("2019::jama.2019.14630::C005",'C_jama.2019.14630'!$A$2:$A$10,0))="","",INDEX('C_jama.2019.14630'!$J$2:$J$10,MATCH("2019::jama.2019.14630::C005",'C_jama.2019.14630'!$A$2:$A$10,0))),"not_applicable"),"NOT FROZEN")</x:f>
        <x:v>not_applicable</x:v>
      </x:c>
      <x:c r="G37" s="3" t="str">
        <x:f>IF(Setup!$B$6="primary",IF(AND(INDEX('C_jama.2019.14630'!$D$2:$D$10,MATCH("2019::jama.2019.14630::C005",'C_jama.2019.14630'!$A$2:$A$10,0))="retain",OR(INDEX('C_jama.2019.14630'!$E$2:$E$10,MATCH("2019::jama.2019.14630::C005",'C_jama.2019.14630'!$A$2:$A$10,0))="report_internal_inconsistency",INDEX('C_jama.2019.14630'!$E$2:$E$10,MATCH("2019::jama.2019.14630::C005",'C_jama.2019.14630'!$A$2:$A$10,0))="plan_material")),IF(INDEX('C_jama.2019.14630'!$K$2:$K$10,MATCH("2019::jama.2019.14630::C005",'C_jama.2019.14630'!$A$2:$A$10,0))="","",INDEX('C_jama.2019.14630'!$K$2:$K$10,MATCH("2019::jama.2019.14630::C005",'C_jama.2019.14630'!$A$2:$A$10,0))),"not_applicable"),"NOT FROZEN")</x:f>
        <x:v>not_applicable</x:v>
      </x:c>
      <x:c r="H37" s="3" t="str">
        <x:f>IF(Setup!$B$6="primary",IF(AND(INDEX('C_jama.2019.14630'!$D$2:$D$10,MATCH("2019::jama.2019.14630::C005",'C_jama.2019.14630'!$A$2:$A$10,0))="retain",INDEX('C_jama.2019.14630'!$E$2:$E$10,MATCH("2019::jama.2019.14630::C005",'C_jama.2019.14630'!$A$2:$A$10,0))="protocol_report"),IF(INDEX('C_jama.2019.14630'!$L$2:$L$10,MATCH("2019::jama.2019.14630::C005",'C_jama.2019.14630'!$A$2:$A$10,0))="","",INDEX('C_jama.2019.14630'!$L$2:$L$10,MATCH("2019::jama.2019.14630::C005",'C_jama.2019.14630'!$A$2:$A$10,0))),"not_applicable"),"NOT FROZEN")</x:f>
        <x:v>not_applicable</x:v>
      </x:c>
      <x:c r="I37" s="3" t="str">
        <x:f>IF(Setup!$B$6="primary",IF(INDEX('C_jama.2019.14630'!$R$2:$R$10,MATCH("2019::jama.2019.14630::C005",'C_jama.2019.14630'!$A$2:$A$10,0))="","",INDEX('C_jama.2019.14630'!$R$2:$R$10,MATCH("2019::jama.2019.14630::C005",'C_jama.2019.14630'!$A$2:$A$10,0))),"NOT FROZEN")</x:f>
      </x:c>
      <x:c r="J37" s="3" t="str">
        <x:f>IF(Setup!$B$6="primary",INDEX('C_jama.2019.14630'!$F$2:$F$10,MATCH("2019::jama.2019.14630::C005",'C_jama.2019.14630'!$A$2:$A$10,0)),"NOT FROZEN")</x:f>
        <x:v>no</x:v>
      </x:c>
      <x:c r="K37" s="3" t="str">
        <x:f>IF(Setup!$B$6="primary",Setup!$B$2,"NOT FROZEN")</x:f>
      </x:c>
      <x:c r="L37" s="3" t="str">
        <x:f>IF(Setup!$B$6="primary",IF(OR(B37="",B37="not_applicable"),"","Disposition: "&amp;B37&amp;CHAR(10))&amp;IF(OR(C37="",C37="not_applicable"),"","Review domain: "&amp;C37&amp;CHAR(10))&amp;IF(OR(D37="",D37="not_applicable"),"","Statistcal_or_numerical issue: "&amp;D37&amp;CHAR(10))&amp;IF(OR(E37="",E37="not_applicable"),"","Substantiveness: "&amp;E37&amp;CHAR(10))&amp;IF(OR(F37="",F37="not_applicable"),"","Downstream impact: "&amp;F37&amp;CHAR(10))&amp;IF(OR(G37="",G37="not_applicable"),"","Report-internal or planning-material inconsistency: "&amp;G37&amp;CHAR(10))&amp;IF(OR(H37="",H37="not_applicable"),"","Protocol interpretation: "&amp;H37&amp;CHAR(10))&amp;IF(OR(I37="",I37="not_applicable"),"","Notes (optional): "&amp;I37&amp;CHAR(10)),"NOT FROZEN")</x:f>
        <x:v>Review domain: report_internal_inconsistency
</x:v>
      </x:c>
    </x:row>
    <x:row r="38" ht="70" customHeight="1">
      <x:c r="A38" s="6" t="str">
        <x:f>IF(Setup!$B$6="primary","2019::jama.2019.14630::C006","NOT FROZEN")</x:f>
        <x:v>2019::jama.2019.14630::C006</x:v>
      </x:c>
      <x:c r="B38" s="6" t="str">
        <x:f>IF(Setup!$B$6="primary",IF(INDEX('C_jama.2019.14630'!$D$2:$D$10,MATCH("2019::jama.2019.14630::C006",'C_jama.2019.14630'!$A$2:$A$10,0))="","",INDEX('C_jama.2019.14630'!$D$2:$D$10,MATCH("2019::jama.2019.14630::C006",'C_jama.2019.14630'!$A$2:$A$10,0))),"NOT FROZEN")</x:f>
      </x:c>
      <x:c r="C38" s="6" t="str">
        <x:f>IF(Setup!$B$6="primary",IF(INDEX('C_jama.2019.14630'!$E$2:$E$10,MATCH("2019::jama.2019.14630::C006",'C_jama.2019.14630'!$A$2:$A$10,0))="","",INDEX('C_jama.2019.14630'!$E$2:$E$10,MATCH("2019::jama.2019.14630::C006",'C_jama.2019.14630'!$A$2:$A$10,0))),"NOT FROZEN")</x:f>
        <x:v>report_internal_inconsistency</x:v>
      </x:c>
      <x:c r="D38" s="6" t="str">
        <x:f>IF(Setup!$B$6="primary",IF(AND(INDEX('C_jama.2019.14630'!$D$2:$D$10,MATCH("2019::jama.2019.14630::C006",'C_jama.2019.14630'!$A$2:$A$10,0))="retain",INDEX('C_jama.2019.14630'!$E$2:$E$10,MATCH("2019::jama.2019.14630::C006",'C_jama.2019.14630'!$A$2:$A$10,0))="statistical_results"),IF(INDEX('C_jama.2019.14630'!$H$2:$H$10,MATCH("2019::jama.2019.14630::C006",'C_jama.2019.14630'!$A$2:$A$10,0))="","",INDEX('C_jama.2019.14630'!$H$2:$H$10,MATCH("2019::jama.2019.14630::C006",'C_jama.2019.14630'!$A$2:$A$10,0))),"not_applicable"),"NOT FROZEN")</x:f>
        <x:v>not_applicable</x:v>
      </x:c>
      <x:c r="E38" s="6" t="str">
        <x:f>IF(Setup!$B$6="primary",IF(AND(INDEX('C_jama.2019.14630'!$D$2:$D$10,MATCH("2019::jama.2019.14630::C006",'C_jama.2019.14630'!$A$2:$A$10,0))="retain",INDEX('C_jama.2019.14630'!$E$2:$E$10,MATCH("2019::jama.2019.14630::C006",'C_jama.2019.14630'!$A$2:$A$10,0))="statistical_results"),IF(INDEX('C_jama.2019.14630'!$I$2:$I$10,MATCH("2019::jama.2019.14630::C006",'C_jama.2019.14630'!$A$2:$A$10,0))="","",INDEX('C_jama.2019.14630'!$I$2:$I$10,MATCH("2019::jama.2019.14630::C006",'C_jama.2019.14630'!$A$2:$A$10,0))),"not_applicable"),"NOT FROZEN")</x:f>
        <x:v>not_applicable</x:v>
      </x:c>
      <x:c r="F38" s="6" t="str">
        <x:f>IF(Setup!$B$6="primary",IF(AND(INDEX('C_jama.2019.14630'!$D$2:$D$10,MATCH("2019::jama.2019.14630::C006",'C_jama.2019.14630'!$A$2:$A$10,0))="retain",INDEX('C_jama.2019.14630'!$E$2:$E$10,MATCH("2019::jama.2019.14630::C006",'C_jama.2019.14630'!$A$2:$A$10,0))="statistical_results"),IF(INDEX('C_jama.2019.14630'!$J$2:$J$10,MATCH("2019::jama.2019.14630::C006",'C_jama.2019.14630'!$A$2:$A$10,0))="","",INDEX('C_jama.2019.14630'!$J$2:$J$10,MATCH("2019::jama.2019.14630::C006",'C_jama.2019.14630'!$A$2:$A$10,0))),"not_applicable"),"NOT FROZEN")</x:f>
        <x:v>not_applicable</x:v>
      </x:c>
      <x:c r="G38" s="6" t="str">
        <x:f>IF(Setup!$B$6="primary",IF(AND(INDEX('C_jama.2019.14630'!$D$2:$D$10,MATCH("2019::jama.2019.14630::C006",'C_jama.2019.14630'!$A$2:$A$10,0))="retain",OR(INDEX('C_jama.2019.14630'!$E$2:$E$10,MATCH("2019::jama.2019.14630::C006",'C_jama.2019.14630'!$A$2:$A$10,0))="report_internal_inconsistency",INDEX('C_jama.2019.14630'!$E$2:$E$10,MATCH("2019::jama.2019.14630::C006",'C_jama.2019.14630'!$A$2:$A$10,0))="plan_material")),IF(INDEX('C_jama.2019.14630'!$K$2:$K$10,MATCH("2019::jama.2019.14630::C006",'C_jama.2019.14630'!$A$2:$A$10,0))="","",INDEX('C_jama.2019.14630'!$K$2:$K$10,MATCH("2019::jama.2019.14630::C006",'C_jama.2019.14630'!$A$2:$A$10,0))),"not_applicable"),"NOT FROZEN")</x:f>
        <x:v>not_applicable</x:v>
      </x:c>
      <x:c r="H38" s="6" t="str">
        <x:f>IF(Setup!$B$6="primary",IF(AND(INDEX('C_jama.2019.14630'!$D$2:$D$10,MATCH("2019::jama.2019.14630::C006",'C_jama.2019.14630'!$A$2:$A$10,0))="retain",INDEX('C_jama.2019.14630'!$E$2:$E$10,MATCH("2019::jama.2019.14630::C006",'C_jama.2019.14630'!$A$2:$A$10,0))="protocol_report"),IF(INDEX('C_jama.2019.14630'!$L$2:$L$10,MATCH("2019::jama.2019.14630::C006",'C_jama.2019.14630'!$A$2:$A$10,0))="","",INDEX('C_jama.2019.14630'!$L$2:$L$10,MATCH("2019::jama.2019.14630::C006",'C_jama.2019.14630'!$A$2:$A$10,0))),"not_applicable"),"NOT FROZEN")</x:f>
        <x:v>not_applicable</x:v>
      </x:c>
      <x:c r="I38" s="6" t="str">
        <x:f>IF(Setup!$B$6="primary",IF(INDEX('C_jama.2019.14630'!$R$2:$R$10,MATCH("2019::jama.2019.14630::C006",'C_jama.2019.14630'!$A$2:$A$10,0))="","",INDEX('C_jama.2019.14630'!$R$2:$R$10,MATCH("2019::jama.2019.14630::C006",'C_jama.2019.14630'!$A$2:$A$10,0))),"NOT FROZEN")</x:f>
      </x:c>
      <x:c r="J38" s="6" t="str">
        <x:f>IF(Setup!$B$6="primary",INDEX('C_jama.2019.14630'!$F$2:$F$10,MATCH("2019::jama.2019.14630::C006",'C_jama.2019.14630'!$A$2:$A$10,0)),"NOT FROZEN")</x:f>
        <x:v>no</x:v>
      </x:c>
      <x:c r="K38" s="6" t="str">
        <x:f>IF(Setup!$B$6="primary",Setup!$B$2,"NOT FROZEN")</x:f>
      </x:c>
      <x:c r="L38" s="6" t="str">
        <x:f>IF(Setup!$B$6="primary",IF(OR(B38="",B38="not_applicable"),"","Disposition: "&amp;B38&amp;CHAR(10))&amp;IF(OR(C38="",C38="not_applicable"),"","Review domain: "&amp;C38&amp;CHAR(10))&amp;IF(OR(D38="",D38="not_applicable"),"","Statistcal_or_numerical issue: "&amp;D38&amp;CHAR(10))&amp;IF(OR(E38="",E38="not_applicable"),"","Substantiveness: "&amp;E38&amp;CHAR(10))&amp;IF(OR(F38="",F38="not_applicable"),"","Downstream impact: "&amp;F38&amp;CHAR(10))&amp;IF(OR(G38="",G38="not_applicable"),"","Report-internal or planning-material inconsistency: "&amp;G38&amp;CHAR(10))&amp;IF(OR(H38="",H38="not_applicable"),"","Protocol interpretation: "&amp;H38&amp;CHAR(10))&amp;IF(OR(I38="",I38="not_applicable"),"","Notes (optional): "&amp;I38&amp;CHAR(10)),"NOT FROZEN")</x:f>
        <x:v>Review domain: report_internal_inconsistency
</x:v>
      </x:c>
    </x:row>
    <x:row r="39" ht="70" customHeight="1">
      <x:c r="A39" s="3" t="str">
        <x:f>IF(Setup!$B$6="primary","2019::jama.2019.14630::C007","NOT FROZEN")</x:f>
        <x:v>2019::jama.2019.14630::C007</x:v>
      </x:c>
      <x:c r="B39" s="3" t="str">
        <x:f>IF(Setup!$B$6="primary",IF(INDEX('C_jama.2019.14630'!$D$2:$D$10,MATCH("2019::jama.2019.14630::C007",'C_jama.2019.14630'!$A$2:$A$10,0))="","",INDEX('C_jama.2019.14630'!$D$2:$D$10,MATCH("2019::jama.2019.14630::C007",'C_jama.2019.14630'!$A$2:$A$10,0))),"NOT FROZEN")</x:f>
      </x:c>
      <x:c r="C39" s="3" t="str">
        <x:f>IF(Setup!$B$6="primary",IF(INDEX('C_jama.2019.14630'!$E$2:$E$10,MATCH("2019::jama.2019.14630::C007",'C_jama.2019.14630'!$A$2:$A$10,0))="","",INDEX('C_jama.2019.14630'!$E$2:$E$10,MATCH("2019::jama.2019.14630::C007",'C_jama.2019.14630'!$A$2:$A$10,0))),"NOT FROZEN")</x:f>
        <x:v>report_internal_inconsistency</x:v>
      </x:c>
      <x:c r="D39" s="3" t="str">
        <x:f>IF(Setup!$B$6="primary",IF(AND(INDEX('C_jama.2019.14630'!$D$2:$D$10,MATCH("2019::jama.2019.14630::C007",'C_jama.2019.14630'!$A$2:$A$10,0))="retain",INDEX('C_jama.2019.14630'!$E$2:$E$10,MATCH("2019::jama.2019.14630::C007",'C_jama.2019.14630'!$A$2:$A$10,0))="statistical_results"),IF(INDEX('C_jama.2019.14630'!$H$2:$H$10,MATCH("2019::jama.2019.14630::C007",'C_jama.2019.14630'!$A$2:$A$10,0))="","",INDEX('C_jama.2019.14630'!$H$2:$H$10,MATCH("2019::jama.2019.14630::C007",'C_jama.2019.14630'!$A$2:$A$10,0))),"not_applicable"),"NOT FROZEN")</x:f>
        <x:v>not_applicable</x:v>
      </x:c>
      <x:c r="E39" s="3" t="str">
        <x:f>IF(Setup!$B$6="primary",IF(AND(INDEX('C_jama.2019.14630'!$D$2:$D$10,MATCH("2019::jama.2019.14630::C007",'C_jama.2019.14630'!$A$2:$A$10,0))="retain",INDEX('C_jama.2019.14630'!$E$2:$E$10,MATCH("2019::jama.2019.14630::C007",'C_jama.2019.14630'!$A$2:$A$10,0))="statistical_results"),IF(INDEX('C_jama.2019.14630'!$I$2:$I$10,MATCH("2019::jama.2019.14630::C007",'C_jama.2019.14630'!$A$2:$A$10,0))="","",INDEX('C_jama.2019.14630'!$I$2:$I$10,MATCH("2019::jama.2019.14630::C007",'C_jama.2019.14630'!$A$2:$A$10,0))),"not_applicable"),"NOT FROZEN")</x:f>
        <x:v>not_applicable</x:v>
      </x:c>
      <x:c r="F39" s="3" t="str">
        <x:f>IF(Setup!$B$6="primary",IF(AND(INDEX('C_jama.2019.14630'!$D$2:$D$10,MATCH("2019::jama.2019.14630::C007",'C_jama.2019.14630'!$A$2:$A$10,0))="retain",INDEX('C_jama.2019.14630'!$E$2:$E$10,MATCH("2019::jama.2019.14630::C007",'C_jama.2019.14630'!$A$2:$A$10,0))="statistical_results"),IF(INDEX('C_jama.2019.14630'!$J$2:$J$10,MATCH("2019::jama.2019.14630::C007",'C_jama.2019.14630'!$A$2:$A$10,0))="","",INDEX('C_jama.2019.14630'!$J$2:$J$10,MATCH("2019::jama.2019.14630::C007",'C_jama.2019.14630'!$A$2:$A$10,0))),"not_applicable"),"NOT FROZEN")</x:f>
        <x:v>not_applicable</x:v>
      </x:c>
      <x:c r="G39" s="3" t="str">
        <x:f>IF(Setup!$B$6="primary",IF(AND(INDEX('C_jama.2019.14630'!$D$2:$D$10,MATCH("2019::jama.2019.14630::C007",'C_jama.2019.14630'!$A$2:$A$10,0))="retain",OR(INDEX('C_jama.2019.14630'!$E$2:$E$10,MATCH("2019::jama.2019.14630::C007",'C_jama.2019.14630'!$A$2:$A$10,0))="report_internal_inconsistency",INDEX('C_jama.2019.14630'!$E$2:$E$10,MATCH("2019::jama.2019.14630::C007",'C_jama.2019.14630'!$A$2:$A$10,0))="plan_material")),IF(INDEX('C_jama.2019.14630'!$K$2:$K$10,MATCH("2019::jama.2019.14630::C007",'C_jama.2019.14630'!$A$2:$A$10,0))="","",INDEX('C_jama.2019.14630'!$K$2:$K$10,MATCH("2019::jama.2019.14630::C007",'C_jama.2019.14630'!$A$2:$A$10,0))),"not_applicable"),"NOT FROZEN")</x:f>
        <x:v>not_applicable</x:v>
      </x:c>
      <x:c r="H39" s="3" t="str">
        <x:f>IF(Setup!$B$6="primary",IF(AND(INDEX('C_jama.2019.14630'!$D$2:$D$10,MATCH("2019::jama.2019.14630::C007",'C_jama.2019.14630'!$A$2:$A$10,0))="retain",INDEX('C_jama.2019.14630'!$E$2:$E$10,MATCH("2019::jama.2019.14630::C007",'C_jama.2019.14630'!$A$2:$A$10,0))="protocol_report"),IF(INDEX('C_jama.2019.14630'!$L$2:$L$10,MATCH("2019::jama.2019.14630::C007",'C_jama.2019.14630'!$A$2:$A$10,0))="","",INDEX('C_jama.2019.14630'!$L$2:$L$10,MATCH("2019::jama.2019.14630::C007",'C_jama.2019.14630'!$A$2:$A$10,0))),"not_applicable"),"NOT FROZEN")</x:f>
        <x:v>not_applicable</x:v>
      </x:c>
      <x:c r="I39" s="3" t="str">
        <x:f>IF(Setup!$B$6="primary",IF(INDEX('C_jama.2019.14630'!$R$2:$R$10,MATCH("2019::jama.2019.14630::C007",'C_jama.2019.14630'!$A$2:$A$10,0))="","",INDEX('C_jama.2019.14630'!$R$2:$R$10,MATCH("2019::jama.2019.14630::C007",'C_jama.2019.14630'!$A$2:$A$10,0))),"NOT FROZEN")</x:f>
      </x:c>
      <x:c r="J39" s="3" t="str">
        <x:f>IF(Setup!$B$6="primary",INDEX('C_jama.2019.14630'!$F$2:$F$10,MATCH("2019::jama.2019.14630::C007",'C_jama.2019.14630'!$A$2:$A$10,0)),"NOT FROZEN")</x:f>
        <x:v>no</x:v>
      </x:c>
      <x:c r="K39" s="3" t="str">
        <x:f>IF(Setup!$B$6="primary",Setup!$B$2,"NOT FROZEN")</x:f>
      </x:c>
      <x:c r="L39" s="3" t="str">
        <x:f>IF(Setup!$B$6="primary",IF(OR(B39="",B39="not_applicable"),"","Disposition: "&amp;B39&amp;CHAR(10))&amp;IF(OR(C39="",C39="not_applicable"),"","Review domain: "&amp;C39&amp;CHAR(10))&amp;IF(OR(D39="",D39="not_applicable"),"","Statistcal_or_numerical issue: "&amp;D39&amp;CHAR(10))&amp;IF(OR(E39="",E39="not_applicable"),"","Substantiveness: "&amp;E39&amp;CHAR(10))&amp;IF(OR(F39="",F39="not_applicable"),"","Downstream impact: "&amp;F39&amp;CHAR(10))&amp;IF(OR(G39="",G39="not_applicable"),"","Report-internal or planning-material inconsistency: "&amp;G39&amp;CHAR(10))&amp;IF(OR(H39="",H39="not_applicable"),"","Protocol interpretation: "&amp;H39&amp;CHAR(10))&amp;IF(OR(I39="",I39="not_applicable"),"","Notes (optional): "&amp;I39&amp;CHAR(10)),"NOT FROZEN")</x:f>
        <x:v>Review domain: report_internal_inconsistency
</x:v>
      </x:c>
    </x:row>
    <x:row r="40" ht="70" customHeight="1">
      <x:c r="A40" s="6" t="str">
        <x:f>IF(Setup!$B$6="primary","2019::jama.2019.14630::C008","NOT FROZEN")</x:f>
        <x:v>2019::jama.2019.14630::C008</x:v>
      </x:c>
      <x:c r="B40" s="6" t="str">
        <x:f>IF(Setup!$B$6="primary",IF(INDEX('C_jama.2019.14630'!$D$2:$D$10,MATCH("2019::jama.2019.14630::C008",'C_jama.2019.14630'!$A$2:$A$10,0))="","",INDEX('C_jama.2019.14630'!$D$2:$D$10,MATCH("2019::jama.2019.14630::C008",'C_jama.2019.14630'!$A$2:$A$10,0))),"NOT FROZEN")</x:f>
      </x:c>
      <x:c r="C40" s="6" t="str">
        <x:f>IF(Setup!$B$6="primary",IF(INDEX('C_jama.2019.14630'!$E$2:$E$10,MATCH("2019::jama.2019.14630::C008",'C_jama.2019.14630'!$A$2:$A$10,0))="","",INDEX('C_jama.2019.14630'!$E$2:$E$10,MATCH("2019::jama.2019.14630::C008",'C_jama.2019.14630'!$A$2:$A$10,0))),"NOT FROZEN")</x:f>
        <x:v>report_internal_inconsistency</x:v>
      </x:c>
      <x:c r="D40" s="6" t="str">
        <x:f>IF(Setup!$B$6="primary",IF(AND(INDEX('C_jama.2019.14630'!$D$2:$D$10,MATCH("2019::jama.2019.14630::C008",'C_jama.2019.14630'!$A$2:$A$10,0))="retain",INDEX('C_jama.2019.14630'!$E$2:$E$10,MATCH("2019::jama.2019.14630::C008",'C_jama.2019.14630'!$A$2:$A$10,0))="statistical_results"),IF(INDEX('C_jama.2019.14630'!$H$2:$H$10,MATCH("2019::jama.2019.14630::C008",'C_jama.2019.14630'!$A$2:$A$10,0))="","",INDEX('C_jama.2019.14630'!$H$2:$H$10,MATCH("2019::jama.2019.14630::C008",'C_jama.2019.14630'!$A$2:$A$10,0))),"not_applicable"),"NOT FROZEN")</x:f>
        <x:v>not_applicable</x:v>
      </x:c>
      <x:c r="E40" s="6" t="str">
        <x:f>IF(Setup!$B$6="primary",IF(AND(INDEX('C_jama.2019.14630'!$D$2:$D$10,MATCH("2019::jama.2019.14630::C008",'C_jama.2019.14630'!$A$2:$A$10,0))="retain",INDEX('C_jama.2019.14630'!$E$2:$E$10,MATCH("2019::jama.2019.14630::C008",'C_jama.2019.14630'!$A$2:$A$10,0))="statistical_results"),IF(INDEX('C_jama.2019.14630'!$I$2:$I$10,MATCH("2019::jama.2019.14630::C008",'C_jama.2019.14630'!$A$2:$A$10,0))="","",INDEX('C_jama.2019.14630'!$I$2:$I$10,MATCH("2019::jama.2019.14630::C008",'C_jama.2019.14630'!$A$2:$A$10,0))),"not_applicable"),"NOT FROZEN")</x:f>
        <x:v>not_applicable</x:v>
      </x:c>
      <x:c r="F40" s="6" t="str">
        <x:f>IF(Setup!$B$6="primary",IF(AND(INDEX('C_jama.2019.14630'!$D$2:$D$10,MATCH("2019::jama.2019.14630::C008",'C_jama.2019.14630'!$A$2:$A$10,0))="retain",INDEX('C_jama.2019.14630'!$E$2:$E$10,MATCH("2019::jama.2019.14630::C008",'C_jama.2019.14630'!$A$2:$A$10,0))="statistical_results"),IF(INDEX('C_jama.2019.14630'!$J$2:$J$10,MATCH("2019::jama.2019.14630::C008",'C_jama.2019.14630'!$A$2:$A$10,0))="","",INDEX('C_jama.2019.14630'!$J$2:$J$10,MATCH("2019::jama.2019.14630::C008",'C_jama.2019.14630'!$A$2:$A$10,0))),"not_applicable"),"NOT FROZEN")</x:f>
        <x:v>not_applicable</x:v>
      </x:c>
      <x:c r="G40" s="6" t="str">
        <x:f>IF(Setup!$B$6="primary",IF(AND(INDEX('C_jama.2019.14630'!$D$2:$D$10,MATCH("2019::jama.2019.14630::C008",'C_jama.2019.14630'!$A$2:$A$10,0))="retain",OR(INDEX('C_jama.2019.14630'!$E$2:$E$10,MATCH("2019::jama.2019.14630::C008",'C_jama.2019.14630'!$A$2:$A$10,0))="report_internal_inconsistency",INDEX('C_jama.2019.14630'!$E$2:$E$10,MATCH("2019::jama.2019.14630::C008",'C_jama.2019.14630'!$A$2:$A$10,0))="plan_material")),IF(INDEX('C_jama.2019.14630'!$K$2:$K$10,MATCH("2019::jama.2019.14630::C008",'C_jama.2019.14630'!$A$2:$A$10,0))="","",INDEX('C_jama.2019.14630'!$K$2:$K$10,MATCH("2019::jama.2019.14630::C008",'C_jama.2019.14630'!$A$2:$A$10,0))),"not_applicable"),"NOT FROZEN")</x:f>
        <x:v>not_applicable</x:v>
      </x:c>
      <x:c r="H40" s="6" t="str">
        <x:f>IF(Setup!$B$6="primary",IF(AND(INDEX('C_jama.2019.14630'!$D$2:$D$10,MATCH("2019::jama.2019.14630::C008",'C_jama.2019.14630'!$A$2:$A$10,0))="retain",INDEX('C_jama.2019.14630'!$E$2:$E$10,MATCH("2019::jama.2019.14630::C008",'C_jama.2019.14630'!$A$2:$A$10,0))="protocol_report"),IF(INDEX('C_jama.2019.14630'!$L$2:$L$10,MATCH("2019::jama.2019.14630::C008",'C_jama.2019.14630'!$A$2:$A$10,0))="","",INDEX('C_jama.2019.14630'!$L$2:$L$10,MATCH("2019::jama.2019.14630::C008",'C_jama.2019.14630'!$A$2:$A$10,0))),"not_applicable"),"NOT FROZEN")</x:f>
        <x:v>not_applicable</x:v>
      </x:c>
      <x:c r="I40" s="6" t="str">
        <x:f>IF(Setup!$B$6="primary",IF(INDEX('C_jama.2019.14630'!$R$2:$R$10,MATCH("2019::jama.2019.14630::C008",'C_jama.2019.14630'!$A$2:$A$10,0))="","",INDEX('C_jama.2019.14630'!$R$2:$R$10,MATCH("2019::jama.2019.14630::C008",'C_jama.2019.14630'!$A$2:$A$10,0))),"NOT FROZEN")</x:f>
      </x:c>
      <x:c r="J40" s="6" t="str">
        <x:f>IF(Setup!$B$6="primary",INDEX('C_jama.2019.14630'!$F$2:$F$10,MATCH("2019::jama.2019.14630::C008",'C_jama.2019.14630'!$A$2:$A$10,0)),"NOT FROZEN")</x:f>
        <x:v>no</x:v>
      </x:c>
      <x:c r="K40" s="6" t="str">
        <x:f>IF(Setup!$B$6="primary",Setup!$B$2,"NOT FROZEN")</x:f>
      </x:c>
      <x:c r="L40" s="6" t="str">
        <x:f>IF(Setup!$B$6="primary",IF(OR(B40="",B40="not_applicable"),"","Disposition: "&amp;B40&amp;CHAR(10))&amp;IF(OR(C40="",C40="not_applicable"),"","Review domain: "&amp;C40&amp;CHAR(10))&amp;IF(OR(D40="",D40="not_applicable"),"","Statistcal_or_numerical issue: "&amp;D40&amp;CHAR(10))&amp;IF(OR(E40="",E40="not_applicable"),"","Substantiveness: "&amp;E40&amp;CHAR(10))&amp;IF(OR(F40="",F40="not_applicable"),"","Downstream impact: "&amp;F40&amp;CHAR(10))&amp;IF(OR(G40="",G40="not_applicable"),"","Report-internal or planning-material inconsistency: "&amp;G40&amp;CHAR(10))&amp;IF(OR(H40="",H40="not_applicable"),"","Protocol interpretation: "&amp;H40&amp;CHAR(10))&amp;IF(OR(I40="",I40="not_applicable"),"","Notes (optional): "&amp;I40&amp;CHAR(10)),"NOT FROZEN")</x:f>
        <x:v>Review domain: report_internal_inconsistency
</x:v>
      </x:c>
    </x:row>
    <x:row r="41" ht="70" customHeight="1">
      <x:c r="A41" s="3" t="str">
        <x:f>IF(Setup!$B$6="primary","2019::jama.2019.14630::C009","NOT FROZEN")</x:f>
        <x:v>2019::jama.2019.14630::C009</x:v>
      </x:c>
      <x:c r="B41" s="3" t="str">
        <x:f>IF(Setup!$B$6="primary",IF(INDEX('C_jama.2019.14630'!$D$2:$D$10,MATCH("2019::jama.2019.14630::C009",'C_jama.2019.14630'!$A$2:$A$10,0))="","",INDEX('C_jama.2019.14630'!$D$2:$D$10,MATCH("2019::jama.2019.14630::C009",'C_jama.2019.14630'!$A$2:$A$10,0))),"NOT FROZEN")</x:f>
      </x:c>
      <x:c r="C41" s="3" t="str">
        <x:f>IF(Setup!$B$6="primary",IF(INDEX('C_jama.2019.14630'!$E$2:$E$10,MATCH("2019::jama.2019.14630::C009",'C_jama.2019.14630'!$A$2:$A$10,0))="","",INDEX('C_jama.2019.14630'!$E$2:$E$10,MATCH("2019::jama.2019.14630::C009",'C_jama.2019.14630'!$A$2:$A$10,0))),"NOT FROZEN")</x:f>
        <x:v>report_internal_inconsistency</x:v>
      </x:c>
      <x:c r="D41" s="3" t="str">
        <x:f>IF(Setup!$B$6="primary",IF(AND(INDEX('C_jama.2019.14630'!$D$2:$D$10,MATCH("2019::jama.2019.14630::C009",'C_jama.2019.14630'!$A$2:$A$10,0))="retain",INDEX('C_jama.2019.14630'!$E$2:$E$10,MATCH("2019::jama.2019.14630::C009",'C_jama.2019.14630'!$A$2:$A$10,0))="statistical_results"),IF(INDEX('C_jama.2019.14630'!$H$2:$H$10,MATCH("2019::jama.2019.14630::C009",'C_jama.2019.14630'!$A$2:$A$10,0))="","",INDEX('C_jama.2019.14630'!$H$2:$H$10,MATCH("2019::jama.2019.14630::C009",'C_jama.2019.14630'!$A$2:$A$10,0))),"not_applicable"),"NOT FROZEN")</x:f>
        <x:v>not_applicable</x:v>
      </x:c>
      <x:c r="E41" s="3" t="str">
        <x:f>IF(Setup!$B$6="primary",IF(AND(INDEX('C_jama.2019.14630'!$D$2:$D$10,MATCH("2019::jama.2019.14630::C009",'C_jama.2019.14630'!$A$2:$A$10,0))="retain",INDEX('C_jama.2019.14630'!$E$2:$E$10,MATCH("2019::jama.2019.14630::C009",'C_jama.2019.14630'!$A$2:$A$10,0))="statistical_results"),IF(INDEX('C_jama.2019.14630'!$I$2:$I$10,MATCH("2019::jama.2019.14630::C009",'C_jama.2019.14630'!$A$2:$A$10,0))="","",INDEX('C_jama.2019.14630'!$I$2:$I$10,MATCH("2019::jama.2019.14630::C009",'C_jama.2019.14630'!$A$2:$A$10,0))),"not_applicable"),"NOT FROZEN")</x:f>
        <x:v>not_applicable</x:v>
      </x:c>
      <x:c r="F41" s="3" t="str">
        <x:f>IF(Setup!$B$6="primary",IF(AND(INDEX('C_jama.2019.14630'!$D$2:$D$10,MATCH("2019::jama.2019.14630::C009",'C_jama.2019.14630'!$A$2:$A$10,0))="retain",INDEX('C_jama.2019.14630'!$E$2:$E$10,MATCH("2019::jama.2019.14630::C009",'C_jama.2019.14630'!$A$2:$A$10,0))="statistical_results"),IF(INDEX('C_jama.2019.14630'!$J$2:$J$10,MATCH("2019::jama.2019.14630::C009",'C_jama.2019.14630'!$A$2:$A$10,0))="","",INDEX('C_jama.2019.14630'!$J$2:$J$10,MATCH("2019::jama.2019.14630::C009",'C_jama.2019.14630'!$A$2:$A$10,0))),"not_applicable"),"NOT FROZEN")</x:f>
        <x:v>not_applicable</x:v>
      </x:c>
      <x:c r="G41" s="3" t="str">
        <x:f>IF(Setup!$B$6="primary",IF(AND(INDEX('C_jama.2019.14630'!$D$2:$D$10,MATCH("2019::jama.2019.14630::C009",'C_jama.2019.14630'!$A$2:$A$10,0))="retain",OR(INDEX('C_jama.2019.14630'!$E$2:$E$10,MATCH("2019::jama.2019.14630::C009",'C_jama.2019.14630'!$A$2:$A$10,0))="report_internal_inconsistency",INDEX('C_jama.2019.14630'!$E$2:$E$10,MATCH("2019::jama.2019.14630::C009",'C_jama.2019.14630'!$A$2:$A$10,0))="plan_material")),IF(INDEX('C_jama.2019.14630'!$K$2:$K$10,MATCH("2019::jama.2019.14630::C009",'C_jama.2019.14630'!$A$2:$A$10,0))="","",INDEX('C_jama.2019.14630'!$K$2:$K$10,MATCH("2019::jama.2019.14630::C009",'C_jama.2019.14630'!$A$2:$A$10,0))),"not_applicable"),"NOT FROZEN")</x:f>
        <x:v>not_applicable</x:v>
      </x:c>
      <x:c r="H41" s="3" t="str">
        <x:f>IF(Setup!$B$6="primary",IF(AND(INDEX('C_jama.2019.14630'!$D$2:$D$10,MATCH("2019::jama.2019.14630::C009",'C_jama.2019.14630'!$A$2:$A$10,0))="retain",INDEX('C_jama.2019.14630'!$E$2:$E$10,MATCH("2019::jama.2019.14630::C009",'C_jama.2019.14630'!$A$2:$A$10,0))="protocol_report"),IF(INDEX('C_jama.2019.14630'!$L$2:$L$10,MATCH("2019::jama.2019.14630::C009",'C_jama.2019.14630'!$A$2:$A$10,0))="","",INDEX('C_jama.2019.14630'!$L$2:$L$10,MATCH("2019::jama.2019.14630::C009",'C_jama.2019.14630'!$A$2:$A$10,0))),"not_applicable"),"NOT FROZEN")</x:f>
        <x:v>not_applicable</x:v>
      </x:c>
      <x:c r="I41" s="3" t="str">
        <x:f>IF(Setup!$B$6="primary",IF(INDEX('C_jama.2019.14630'!$R$2:$R$10,MATCH("2019::jama.2019.14630::C009",'C_jama.2019.14630'!$A$2:$A$10,0))="","",INDEX('C_jama.2019.14630'!$R$2:$R$10,MATCH("2019::jama.2019.14630::C009",'C_jama.2019.14630'!$A$2:$A$10,0))),"NOT FROZEN")</x:f>
      </x:c>
      <x:c r="J41" s="3" t="str">
        <x:f>IF(Setup!$B$6="primary",INDEX('C_jama.2019.14630'!$F$2:$F$10,MATCH("2019::jama.2019.14630::C009",'C_jama.2019.14630'!$A$2:$A$10,0)),"NOT FROZEN")</x:f>
        <x:v>no</x:v>
      </x:c>
      <x:c r="K41" s="3" t="str">
        <x:f>IF(Setup!$B$6="primary",Setup!$B$2,"NOT FROZEN")</x:f>
      </x:c>
      <x:c r="L41" s="3" t="str">
        <x:f>IF(Setup!$B$6="primary",IF(OR(B41="",B41="not_applicable"),"","Disposition: "&amp;B41&amp;CHAR(10))&amp;IF(OR(C41="",C41="not_applicable"),"","Review domain: "&amp;C41&amp;CHAR(10))&amp;IF(OR(D41="",D41="not_applicable"),"","Statistcal_or_numerical issue: "&amp;D41&amp;CHAR(10))&amp;IF(OR(E41="",E41="not_applicable"),"","Substantiveness: "&amp;E41&amp;CHAR(10))&amp;IF(OR(F41="",F41="not_applicable"),"","Downstream impact: "&amp;F41&amp;CHAR(10))&amp;IF(OR(G41="",G41="not_applicable"),"","Report-internal or planning-material inconsistency: "&amp;G41&amp;CHAR(10))&amp;IF(OR(H41="",H41="not_applicable"),"","Protocol interpretation: "&amp;H41&amp;CHAR(10))&amp;IF(OR(I41="",I41="not_applicable"),"","Notes (optional): "&amp;I41&amp;CHAR(10)),"NOT FROZEN")</x:f>
        <x:v>Review domain: report_internal_inconsistency
</x:v>
      </x:c>
    </x:row>
    <x:row r="42" ht="70" customHeight="1">
      <x:c r="A42" s="6" t="str">
        <x:f>IF(Setup!$B$6="primary","2019::jama.2019.14901::C001","NOT FROZEN")</x:f>
        <x:v>2019::jama.2019.14901::C001</x:v>
      </x:c>
      <x:c r="B42" s="6" t="str">
        <x:f>IF(Setup!$B$6="primary",IF(INDEX('C_jama.2019.14901'!$D$2:$D$7,MATCH("2019::jama.2019.14901::C001",'C_jama.2019.14901'!$A$2:$A$7,0))="","",INDEX('C_jama.2019.14901'!$D$2:$D$7,MATCH("2019::jama.2019.14901::C001",'C_jama.2019.14901'!$A$2:$A$7,0))),"NOT FROZEN")</x:f>
      </x:c>
      <x:c r="C42" s="6" t="str">
        <x:f>IF(Setup!$B$6="primary",IF(INDEX('C_jama.2019.14901'!$E$2:$E$7,MATCH("2019::jama.2019.14901::C001",'C_jama.2019.14901'!$A$2:$A$7,0))="","",INDEX('C_jama.2019.14901'!$E$2:$E$7,MATCH("2019::jama.2019.14901::C001",'C_jama.2019.14901'!$A$2:$A$7,0))),"NOT FROZEN")</x:f>
        <x:v>statistical_results</x:v>
      </x:c>
      <x:c r="D42" s="6" t="str">
        <x:f>IF(Setup!$B$6="primary",IF(AND(INDEX('C_jama.2019.14901'!$D$2:$D$7,MATCH("2019::jama.2019.14901::C001",'C_jama.2019.14901'!$A$2:$A$7,0))="retain",INDEX('C_jama.2019.14901'!$E$2:$E$7,MATCH("2019::jama.2019.14901::C001",'C_jama.2019.14901'!$A$2:$A$7,0))="statistical_results"),IF(INDEX('C_jama.2019.14901'!$H$2:$H$7,MATCH("2019::jama.2019.14901::C001",'C_jama.2019.14901'!$A$2:$A$7,0))="","",INDEX('C_jama.2019.14901'!$H$2:$H$7,MATCH("2019::jama.2019.14901::C001",'C_jama.2019.14901'!$A$2:$A$7,0))),"not_applicable"),"NOT FROZEN")</x:f>
        <x:v>not_applicable</x:v>
      </x:c>
      <x:c r="E42" s="6" t="str">
        <x:f>IF(Setup!$B$6="primary",IF(AND(INDEX('C_jama.2019.14901'!$D$2:$D$7,MATCH("2019::jama.2019.14901::C001",'C_jama.2019.14901'!$A$2:$A$7,0))="retain",INDEX('C_jama.2019.14901'!$E$2:$E$7,MATCH("2019::jama.2019.14901::C001",'C_jama.2019.14901'!$A$2:$A$7,0))="statistical_results"),IF(INDEX('C_jama.2019.14901'!$I$2:$I$7,MATCH("2019::jama.2019.14901::C001",'C_jama.2019.14901'!$A$2:$A$7,0))="","",INDEX('C_jama.2019.14901'!$I$2:$I$7,MATCH("2019::jama.2019.14901::C001",'C_jama.2019.14901'!$A$2:$A$7,0))),"not_applicable"),"NOT FROZEN")</x:f>
        <x:v>not_applicable</x:v>
      </x:c>
      <x:c r="F42" s="6" t="str">
        <x:f>IF(Setup!$B$6="primary",IF(AND(INDEX('C_jama.2019.14901'!$D$2:$D$7,MATCH("2019::jama.2019.14901::C001",'C_jama.2019.14901'!$A$2:$A$7,0))="retain",INDEX('C_jama.2019.14901'!$E$2:$E$7,MATCH("2019::jama.2019.14901::C001",'C_jama.2019.14901'!$A$2:$A$7,0))="statistical_results"),IF(INDEX('C_jama.2019.14901'!$J$2:$J$7,MATCH("2019::jama.2019.14901::C001",'C_jama.2019.14901'!$A$2:$A$7,0))="","",INDEX('C_jama.2019.14901'!$J$2:$J$7,MATCH("2019::jama.2019.14901::C001",'C_jama.2019.14901'!$A$2:$A$7,0))),"not_applicable"),"NOT FROZEN")</x:f>
        <x:v>not_applicable</x:v>
      </x:c>
      <x:c r="G42" s="6" t="str">
        <x:f>IF(Setup!$B$6="primary",IF(AND(INDEX('C_jama.2019.14901'!$D$2:$D$7,MATCH("2019::jama.2019.14901::C001",'C_jama.2019.14901'!$A$2:$A$7,0))="retain",OR(INDEX('C_jama.2019.14901'!$E$2:$E$7,MATCH("2019::jama.2019.14901::C001",'C_jama.2019.14901'!$A$2:$A$7,0))="report_internal_inconsistency",INDEX('C_jama.2019.14901'!$E$2:$E$7,MATCH("2019::jama.2019.14901::C001",'C_jama.2019.14901'!$A$2:$A$7,0))="plan_material")),IF(INDEX('C_jama.2019.14901'!$K$2:$K$7,MATCH("2019::jama.2019.14901::C001",'C_jama.2019.14901'!$A$2:$A$7,0))="","",INDEX('C_jama.2019.14901'!$K$2:$K$7,MATCH("2019::jama.2019.14901::C001",'C_jama.2019.14901'!$A$2:$A$7,0))),"not_applicable"),"NOT FROZEN")</x:f>
        <x:v>not_applicable</x:v>
      </x:c>
      <x:c r="H42" s="6" t="str">
        <x:f>IF(Setup!$B$6="primary",IF(AND(INDEX('C_jama.2019.14901'!$D$2:$D$7,MATCH("2019::jama.2019.14901::C001",'C_jama.2019.14901'!$A$2:$A$7,0))="retain",INDEX('C_jama.2019.14901'!$E$2:$E$7,MATCH("2019::jama.2019.14901::C001",'C_jama.2019.14901'!$A$2:$A$7,0))="protocol_report"),IF(INDEX('C_jama.2019.14901'!$L$2:$L$7,MATCH("2019::jama.2019.14901::C001",'C_jama.2019.14901'!$A$2:$A$7,0))="","",INDEX('C_jama.2019.14901'!$L$2:$L$7,MATCH("2019::jama.2019.14901::C001",'C_jama.2019.14901'!$A$2:$A$7,0))),"not_applicable"),"NOT FROZEN")</x:f>
        <x:v>not_applicable</x:v>
      </x:c>
      <x:c r="I42" s="6" t="str">
        <x:f>IF(Setup!$B$6="primary",IF(INDEX('C_jama.2019.14901'!$R$2:$R$7,MATCH("2019::jama.2019.14901::C001",'C_jama.2019.14901'!$A$2:$A$7,0))="","",INDEX('C_jama.2019.14901'!$R$2:$R$7,MATCH("2019::jama.2019.14901::C001",'C_jama.2019.14901'!$A$2:$A$7,0))),"NOT FROZEN")</x:f>
      </x:c>
      <x:c r="J42" s="6" t="str">
        <x:f>IF(Setup!$B$6="primary",INDEX('C_jama.2019.14901'!$F$2:$F$7,MATCH("2019::jama.2019.14901::C001",'C_jama.2019.14901'!$A$2:$A$7,0)),"NOT FROZEN")</x:f>
        <x:v>no</x:v>
      </x:c>
      <x:c r="K42" s="6" t="str">
        <x:f>IF(Setup!$B$6="primary",Setup!$B$2,"NOT FROZEN")</x:f>
      </x:c>
      <x:c r="L42" s="6" t="str">
        <x:f>IF(Setup!$B$6="primary",IF(OR(B42="",B42="not_applicable"),"","Disposition: "&amp;B42&amp;CHAR(10))&amp;IF(OR(C42="",C42="not_applicable"),"","Review domain: "&amp;C42&amp;CHAR(10))&amp;IF(OR(D42="",D42="not_applicable"),"","Statistcal_or_numerical issue: "&amp;D42&amp;CHAR(10))&amp;IF(OR(E42="",E42="not_applicable"),"","Substantiveness: "&amp;E42&amp;CHAR(10))&amp;IF(OR(F42="",F42="not_applicable"),"","Downstream impact: "&amp;F42&amp;CHAR(10))&amp;IF(OR(G42="",G42="not_applicable"),"","Report-internal or planning-material inconsistency: "&amp;G42&amp;CHAR(10))&amp;IF(OR(H42="",H42="not_applicable"),"","Protocol interpretation: "&amp;H42&amp;CHAR(10))&amp;IF(OR(I42="",I42="not_applicable"),"","Notes (optional): "&amp;I42&amp;CHAR(10)),"NOT FROZEN")</x:f>
        <x:v>Review domain: statistical_results
</x:v>
      </x:c>
    </x:row>
    <x:row r="43" ht="70" customHeight="1">
      <x:c r="A43" s="3" t="str">
        <x:f>IF(Setup!$B$6="primary","2019::jama.2019.14901::C002","NOT FROZEN")</x:f>
        <x:v>2019::jama.2019.14901::C002</x:v>
      </x:c>
      <x:c r="B43" s="3" t="str">
        <x:f>IF(Setup!$B$6="primary",IF(INDEX('C_jama.2019.14901'!$D$2:$D$7,MATCH("2019::jama.2019.14901::C002",'C_jama.2019.14901'!$A$2:$A$7,0))="","",INDEX('C_jama.2019.14901'!$D$2:$D$7,MATCH("2019::jama.2019.14901::C002",'C_jama.2019.14901'!$A$2:$A$7,0))),"NOT FROZEN")</x:f>
      </x:c>
      <x:c r="C43" s="3" t="str">
        <x:f>IF(Setup!$B$6="primary",IF(INDEX('C_jama.2019.14901'!$E$2:$E$7,MATCH("2019::jama.2019.14901::C002",'C_jama.2019.14901'!$A$2:$A$7,0))="","",INDEX('C_jama.2019.14901'!$E$2:$E$7,MATCH("2019::jama.2019.14901::C002",'C_jama.2019.14901'!$A$2:$A$7,0))),"NOT FROZEN")</x:f>
        <x:v>protocol_report</x:v>
      </x:c>
      <x:c r="D43" s="3" t="str">
        <x:f>IF(Setup!$B$6="primary",IF(AND(INDEX('C_jama.2019.14901'!$D$2:$D$7,MATCH("2019::jama.2019.14901::C002",'C_jama.2019.14901'!$A$2:$A$7,0))="retain",INDEX('C_jama.2019.14901'!$E$2:$E$7,MATCH("2019::jama.2019.14901::C002",'C_jama.2019.14901'!$A$2:$A$7,0))="statistical_results"),IF(INDEX('C_jama.2019.14901'!$H$2:$H$7,MATCH("2019::jama.2019.14901::C002",'C_jama.2019.14901'!$A$2:$A$7,0))="","",INDEX('C_jama.2019.14901'!$H$2:$H$7,MATCH("2019::jama.2019.14901::C002",'C_jama.2019.14901'!$A$2:$A$7,0))),"not_applicable"),"NOT FROZEN")</x:f>
        <x:v>not_applicable</x:v>
      </x:c>
      <x:c r="E43" s="3" t="str">
        <x:f>IF(Setup!$B$6="primary",IF(AND(INDEX('C_jama.2019.14901'!$D$2:$D$7,MATCH("2019::jama.2019.14901::C002",'C_jama.2019.14901'!$A$2:$A$7,0))="retain",INDEX('C_jama.2019.14901'!$E$2:$E$7,MATCH("2019::jama.2019.14901::C002",'C_jama.2019.14901'!$A$2:$A$7,0))="statistical_results"),IF(INDEX('C_jama.2019.14901'!$I$2:$I$7,MATCH("2019::jama.2019.14901::C002",'C_jama.2019.14901'!$A$2:$A$7,0))="","",INDEX('C_jama.2019.14901'!$I$2:$I$7,MATCH("2019::jama.2019.14901::C002",'C_jama.2019.14901'!$A$2:$A$7,0))),"not_applicable"),"NOT FROZEN")</x:f>
        <x:v>not_applicable</x:v>
      </x:c>
      <x:c r="F43" s="3" t="str">
        <x:f>IF(Setup!$B$6="primary",IF(AND(INDEX('C_jama.2019.14901'!$D$2:$D$7,MATCH("2019::jama.2019.14901::C002",'C_jama.2019.14901'!$A$2:$A$7,0))="retain",INDEX('C_jama.2019.14901'!$E$2:$E$7,MATCH("2019::jama.2019.14901::C002",'C_jama.2019.14901'!$A$2:$A$7,0))="statistical_results"),IF(INDEX('C_jama.2019.14901'!$J$2:$J$7,MATCH("2019::jama.2019.14901::C002",'C_jama.2019.14901'!$A$2:$A$7,0))="","",INDEX('C_jama.2019.14901'!$J$2:$J$7,MATCH("2019::jama.2019.14901::C002",'C_jama.2019.14901'!$A$2:$A$7,0))),"not_applicable"),"NOT FROZEN")</x:f>
        <x:v>not_applicable</x:v>
      </x:c>
      <x:c r="G43" s="3" t="str">
        <x:f>IF(Setup!$B$6="primary",IF(AND(INDEX('C_jama.2019.14901'!$D$2:$D$7,MATCH("2019::jama.2019.14901::C002",'C_jama.2019.14901'!$A$2:$A$7,0))="retain",OR(INDEX('C_jama.2019.14901'!$E$2:$E$7,MATCH("2019::jama.2019.14901::C002",'C_jama.2019.14901'!$A$2:$A$7,0))="report_internal_inconsistency",INDEX('C_jama.2019.14901'!$E$2:$E$7,MATCH("2019::jama.2019.14901::C002",'C_jama.2019.14901'!$A$2:$A$7,0))="plan_material")),IF(INDEX('C_jama.2019.14901'!$K$2:$K$7,MATCH("2019::jama.2019.14901::C002",'C_jama.2019.14901'!$A$2:$A$7,0))="","",INDEX('C_jama.2019.14901'!$K$2:$K$7,MATCH("2019::jama.2019.14901::C002",'C_jama.2019.14901'!$A$2:$A$7,0))),"not_applicable"),"NOT FROZEN")</x:f>
        <x:v>not_applicable</x:v>
      </x:c>
      <x:c r="H43" s="3" t="str">
        <x:f>IF(Setup!$B$6="primary",IF(AND(INDEX('C_jama.2019.14901'!$D$2:$D$7,MATCH("2019::jama.2019.14901::C002",'C_jama.2019.14901'!$A$2:$A$7,0))="retain",INDEX('C_jama.2019.14901'!$E$2:$E$7,MATCH("2019::jama.2019.14901::C002",'C_jama.2019.14901'!$A$2:$A$7,0))="protocol_report"),IF(INDEX('C_jama.2019.14901'!$L$2:$L$7,MATCH("2019::jama.2019.14901::C002",'C_jama.2019.14901'!$A$2:$A$7,0))="","",INDEX('C_jama.2019.14901'!$L$2:$L$7,MATCH("2019::jama.2019.14901::C002",'C_jama.2019.14901'!$A$2:$A$7,0))),"not_applicable"),"NOT FROZEN")</x:f>
        <x:v>not_applicable</x:v>
      </x:c>
      <x:c r="I43" s="3" t="str">
        <x:f>IF(Setup!$B$6="primary",IF(INDEX('C_jama.2019.14901'!$R$2:$R$7,MATCH("2019::jama.2019.14901::C002",'C_jama.2019.14901'!$A$2:$A$7,0))="","",INDEX('C_jama.2019.14901'!$R$2:$R$7,MATCH("2019::jama.2019.14901::C002",'C_jama.2019.14901'!$A$2:$A$7,0))),"NOT FROZEN")</x:f>
      </x:c>
      <x:c r="J43" s="3" t="str">
        <x:f>IF(Setup!$B$6="primary",INDEX('C_jama.2019.14901'!$F$2:$F$7,MATCH("2019::jama.2019.14901::C002",'C_jama.2019.14901'!$A$2:$A$7,0)),"NOT FROZEN")</x:f>
        <x:v>no</x:v>
      </x:c>
      <x:c r="K43" s="3" t="str">
        <x:f>IF(Setup!$B$6="primary",Setup!$B$2,"NOT FROZEN")</x:f>
      </x:c>
      <x:c r="L43" s="3" t="str">
        <x:f>IF(Setup!$B$6="primary",IF(OR(B43="",B43="not_applicable"),"","Disposition: "&amp;B43&amp;CHAR(10))&amp;IF(OR(C43="",C43="not_applicable"),"","Review domain: "&amp;C43&amp;CHAR(10))&amp;IF(OR(D43="",D43="not_applicable"),"","Statistcal_or_numerical issue: "&amp;D43&amp;CHAR(10))&amp;IF(OR(E43="",E43="not_applicable"),"","Substantiveness: "&amp;E43&amp;CHAR(10))&amp;IF(OR(F43="",F43="not_applicable"),"","Downstream impact: "&amp;F43&amp;CHAR(10))&amp;IF(OR(G43="",G43="not_applicable"),"","Report-internal or planning-material inconsistency: "&amp;G43&amp;CHAR(10))&amp;IF(OR(H43="",H43="not_applicable"),"","Protocol interpretation: "&amp;H43&amp;CHAR(10))&amp;IF(OR(I43="",I43="not_applicable"),"","Notes (optional): "&amp;I43&amp;CHAR(10)),"NOT FROZEN")</x:f>
        <x:v>Review domain: protocol_report
</x:v>
      </x:c>
    </x:row>
    <x:row r="44" ht="70" customHeight="1">
      <x:c r="A44" s="6" t="str">
        <x:f>IF(Setup!$B$6="primary","2019::jama.2019.14901::C003","NOT FROZEN")</x:f>
        <x:v>2019::jama.2019.14901::C003</x:v>
      </x:c>
      <x:c r="B44" s="6" t="str">
        <x:f>IF(Setup!$B$6="primary",IF(INDEX('C_jama.2019.14901'!$D$2:$D$7,MATCH("2019::jama.2019.14901::C003",'C_jama.2019.14901'!$A$2:$A$7,0))="","",INDEX('C_jama.2019.14901'!$D$2:$D$7,MATCH("2019::jama.2019.14901::C003",'C_jama.2019.14901'!$A$2:$A$7,0))),"NOT FROZEN")</x:f>
      </x:c>
      <x:c r="C44" s="6" t="str">
        <x:f>IF(Setup!$B$6="primary",IF(INDEX('C_jama.2019.14901'!$E$2:$E$7,MATCH("2019::jama.2019.14901::C003",'C_jama.2019.14901'!$A$2:$A$7,0))="","",INDEX('C_jama.2019.14901'!$E$2:$E$7,MATCH("2019::jama.2019.14901::C003",'C_jama.2019.14901'!$A$2:$A$7,0))),"NOT FROZEN")</x:f>
        <x:v>statistical_results</x:v>
      </x:c>
      <x:c r="D44" s="6" t="str">
        <x:f>IF(Setup!$B$6="primary",IF(AND(INDEX('C_jama.2019.14901'!$D$2:$D$7,MATCH("2019::jama.2019.14901::C003",'C_jama.2019.14901'!$A$2:$A$7,0))="retain",INDEX('C_jama.2019.14901'!$E$2:$E$7,MATCH("2019::jama.2019.14901::C003",'C_jama.2019.14901'!$A$2:$A$7,0))="statistical_results"),IF(INDEX('C_jama.2019.14901'!$H$2:$H$7,MATCH("2019::jama.2019.14901::C003",'C_jama.2019.14901'!$A$2:$A$7,0))="","",INDEX('C_jama.2019.14901'!$H$2:$H$7,MATCH("2019::jama.2019.14901::C003",'C_jama.2019.14901'!$A$2:$A$7,0))),"not_applicable"),"NOT FROZEN")</x:f>
        <x:v>not_applicable</x:v>
      </x:c>
      <x:c r="E44" s="6" t="str">
        <x:f>IF(Setup!$B$6="primary",IF(AND(INDEX('C_jama.2019.14901'!$D$2:$D$7,MATCH("2019::jama.2019.14901::C003",'C_jama.2019.14901'!$A$2:$A$7,0))="retain",INDEX('C_jama.2019.14901'!$E$2:$E$7,MATCH("2019::jama.2019.14901::C003",'C_jama.2019.14901'!$A$2:$A$7,0))="statistical_results"),IF(INDEX('C_jama.2019.14901'!$I$2:$I$7,MATCH("2019::jama.2019.14901::C003",'C_jama.2019.14901'!$A$2:$A$7,0))="","",INDEX('C_jama.2019.14901'!$I$2:$I$7,MATCH("2019::jama.2019.14901::C003",'C_jama.2019.14901'!$A$2:$A$7,0))),"not_applicable"),"NOT FROZEN")</x:f>
        <x:v>not_applicable</x:v>
      </x:c>
      <x:c r="F44" s="6" t="str">
        <x:f>IF(Setup!$B$6="primary",IF(AND(INDEX('C_jama.2019.14901'!$D$2:$D$7,MATCH("2019::jama.2019.14901::C003",'C_jama.2019.14901'!$A$2:$A$7,0))="retain",INDEX('C_jama.2019.14901'!$E$2:$E$7,MATCH("2019::jama.2019.14901::C003",'C_jama.2019.14901'!$A$2:$A$7,0))="statistical_results"),IF(INDEX('C_jama.2019.14901'!$J$2:$J$7,MATCH("2019::jama.2019.14901::C003",'C_jama.2019.14901'!$A$2:$A$7,0))="","",INDEX('C_jama.2019.14901'!$J$2:$J$7,MATCH("2019::jama.2019.14901::C003",'C_jama.2019.14901'!$A$2:$A$7,0))),"not_applicable"),"NOT FROZEN")</x:f>
        <x:v>not_applicable</x:v>
      </x:c>
      <x:c r="G44" s="6" t="str">
        <x:f>IF(Setup!$B$6="primary",IF(AND(INDEX('C_jama.2019.14901'!$D$2:$D$7,MATCH("2019::jama.2019.14901::C003",'C_jama.2019.14901'!$A$2:$A$7,0))="retain",OR(INDEX('C_jama.2019.14901'!$E$2:$E$7,MATCH("2019::jama.2019.14901::C003",'C_jama.2019.14901'!$A$2:$A$7,0))="report_internal_inconsistency",INDEX('C_jama.2019.14901'!$E$2:$E$7,MATCH("2019::jama.2019.14901::C003",'C_jama.2019.14901'!$A$2:$A$7,0))="plan_material")),IF(INDEX('C_jama.2019.14901'!$K$2:$K$7,MATCH("2019::jama.2019.14901::C003",'C_jama.2019.14901'!$A$2:$A$7,0))="","",INDEX('C_jama.2019.14901'!$K$2:$K$7,MATCH("2019::jama.2019.14901::C003",'C_jama.2019.14901'!$A$2:$A$7,0))),"not_applicable"),"NOT FROZEN")</x:f>
        <x:v>not_applicable</x:v>
      </x:c>
      <x:c r="H44" s="6" t="str">
        <x:f>IF(Setup!$B$6="primary",IF(AND(INDEX('C_jama.2019.14901'!$D$2:$D$7,MATCH("2019::jama.2019.14901::C003",'C_jama.2019.14901'!$A$2:$A$7,0))="retain",INDEX('C_jama.2019.14901'!$E$2:$E$7,MATCH("2019::jama.2019.14901::C003",'C_jama.2019.14901'!$A$2:$A$7,0))="protocol_report"),IF(INDEX('C_jama.2019.14901'!$L$2:$L$7,MATCH("2019::jama.2019.14901::C003",'C_jama.2019.14901'!$A$2:$A$7,0))="","",INDEX('C_jama.2019.14901'!$L$2:$L$7,MATCH("2019::jama.2019.14901::C003",'C_jama.2019.14901'!$A$2:$A$7,0))),"not_applicable"),"NOT FROZEN")</x:f>
        <x:v>not_applicable</x:v>
      </x:c>
      <x:c r="I44" s="6" t="str">
        <x:f>IF(Setup!$B$6="primary",IF(INDEX('C_jama.2019.14901'!$R$2:$R$7,MATCH("2019::jama.2019.14901::C003",'C_jama.2019.14901'!$A$2:$A$7,0))="","",INDEX('C_jama.2019.14901'!$R$2:$R$7,MATCH("2019::jama.2019.14901::C003",'C_jama.2019.14901'!$A$2:$A$7,0))),"NOT FROZEN")</x:f>
      </x:c>
      <x:c r="J44" s="6" t="str">
        <x:f>IF(Setup!$B$6="primary",INDEX('C_jama.2019.14901'!$F$2:$F$7,MATCH("2019::jama.2019.14901::C003",'C_jama.2019.14901'!$A$2:$A$7,0)),"NOT FROZEN")</x:f>
        <x:v>no</x:v>
      </x:c>
      <x:c r="K44" s="6" t="str">
        <x:f>IF(Setup!$B$6="primary",Setup!$B$2,"NOT FROZEN")</x:f>
      </x:c>
      <x:c r="L44" s="6" t="str">
        <x:f>IF(Setup!$B$6="primary",IF(OR(B44="",B44="not_applicable"),"","Disposition: "&amp;B44&amp;CHAR(10))&amp;IF(OR(C44="",C44="not_applicable"),"","Review domain: "&amp;C44&amp;CHAR(10))&amp;IF(OR(D44="",D44="not_applicable"),"","Statistcal_or_numerical issue: "&amp;D44&amp;CHAR(10))&amp;IF(OR(E44="",E44="not_applicable"),"","Substantiveness: "&amp;E44&amp;CHAR(10))&amp;IF(OR(F44="",F44="not_applicable"),"","Downstream impact: "&amp;F44&amp;CHAR(10))&amp;IF(OR(G44="",G44="not_applicable"),"","Report-internal or planning-material inconsistency: "&amp;G44&amp;CHAR(10))&amp;IF(OR(H44="",H44="not_applicable"),"","Protocol interpretation: "&amp;H44&amp;CHAR(10))&amp;IF(OR(I44="",I44="not_applicable"),"","Notes (optional): "&amp;I44&amp;CHAR(10)),"NOT FROZEN")</x:f>
        <x:v>Review domain: statistical_results
</x:v>
      </x:c>
    </x:row>
    <x:row r="45" ht="70" customHeight="1">
      <x:c r="A45" s="3" t="str">
        <x:f>IF(Setup!$B$6="primary","2019::jama.2019.14901::C004","NOT FROZEN")</x:f>
        <x:v>2019::jama.2019.14901::C004</x:v>
      </x:c>
      <x:c r="B45" s="3" t="str">
        <x:f>IF(Setup!$B$6="primary",IF(INDEX('C_jama.2019.14901'!$D$2:$D$7,MATCH("2019::jama.2019.14901::C004",'C_jama.2019.14901'!$A$2:$A$7,0))="","",INDEX('C_jama.2019.14901'!$D$2:$D$7,MATCH("2019::jama.2019.14901::C004",'C_jama.2019.14901'!$A$2:$A$7,0))),"NOT FROZEN")</x:f>
      </x:c>
      <x:c r="C45" s="3" t="str">
        <x:f>IF(Setup!$B$6="primary",IF(INDEX('C_jama.2019.14901'!$E$2:$E$7,MATCH("2019::jama.2019.14901::C004",'C_jama.2019.14901'!$A$2:$A$7,0))="","",INDEX('C_jama.2019.14901'!$E$2:$E$7,MATCH("2019::jama.2019.14901::C004",'C_jama.2019.14901'!$A$2:$A$7,0))),"NOT FROZEN")</x:f>
        <x:v>statistical_results</x:v>
      </x:c>
      <x:c r="D45" s="3" t="str">
        <x:f>IF(Setup!$B$6="primary",IF(AND(INDEX('C_jama.2019.14901'!$D$2:$D$7,MATCH("2019::jama.2019.14901::C004",'C_jama.2019.14901'!$A$2:$A$7,0))="retain",INDEX('C_jama.2019.14901'!$E$2:$E$7,MATCH("2019::jama.2019.14901::C004",'C_jama.2019.14901'!$A$2:$A$7,0))="statistical_results"),IF(INDEX('C_jama.2019.14901'!$H$2:$H$7,MATCH("2019::jama.2019.14901::C004",'C_jama.2019.14901'!$A$2:$A$7,0))="","",INDEX('C_jama.2019.14901'!$H$2:$H$7,MATCH("2019::jama.2019.14901::C004",'C_jama.2019.14901'!$A$2:$A$7,0))),"not_applicable"),"NOT FROZEN")</x:f>
        <x:v>not_applicable</x:v>
      </x:c>
      <x:c r="E45" s="3" t="str">
        <x:f>IF(Setup!$B$6="primary",IF(AND(INDEX('C_jama.2019.14901'!$D$2:$D$7,MATCH("2019::jama.2019.14901::C004",'C_jama.2019.14901'!$A$2:$A$7,0))="retain",INDEX('C_jama.2019.14901'!$E$2:$E$7,MATCH("2019::jama.2019.14901::C004",'C_jama.2019.14901'!$A$2:$A$7,0))="statistical_results"),IF(INDEX('C_jama.2019.14901'!$I$2:$I$7,MATCH("2019::jama.2019.14901::C004",'C_jama.2019.14901'!$A$2:$A$7,0))="","",INDEX('C_jama.2019.14901'!$I$2:$I$7,MATCH("2019::jama.2019.14901::C004",'C_jama.2019.14901'!$A$2:$A$7,0))),"not_applicable"),"NOT FROZEN")</x:f>
        <x:v>not_applicable</x:v>
      </x:c>
      <x:c r="F45" s="3" t="str">
        <x:f>IF(Setup!$B$6="primary",IF(AND(INDEX('C_jama.2019.14901'!$D$2:$D$7,MATCH("2019::jama.2019.14901::C004",'C_jama.2019.14901'!$A$2:$A$7,0))="retain",INDEX('C_jama.2019.14901'!$E$2:$E$7,MATCH("2019::jama.2019.14901::C004",'C_jama.2019.14901'!$A$2:$A$7,0))="statistical_results"),IF(INDEX('C_jama.2019.14901'!$J$2:$J$7,MATCH("2019::jama.2019.14901::C004",'C_jama.2019.14901'!$A$2:$A$7,0))="","",INDEX('C_jama.2019.14901'!$J$2:$J$7,MATCH("2019::jama.2019.14901::C004",'C_jama.2019.14901'!$A$2:$A$7,0))),"not_applicable"),"NOT FROZEN")</x:f>
        <x:v>not_applicable</x:v>
      </x:c>
      <x:c r="G45" s="3" t="str">
        <x:f>IF(Setup!$B$6="primary",IF(AND(INDEX('C_jama.2019.14901'!$D$2:$D$7,MATCH("2019::jama.2019.14901::C004",'C_jama.2019.14901'!$A$2:$A$7,0))="retain",OR(INDEX('C_jama.2019.14901'!$E$2:$E$7,MATCH("2019::jama.2019.14901::C004",'C_jama.2019.14901'!$A$2:$A$7,0))="report_internal_inconsistency",INDEX('C_jama.2019.14901'!$E$2:$E$7,MATCH("2019::jama.2019.14901::C004",'C_jama.2019.14901'!$A$2:$A$7,0))="plan_material")),IF(INDEX('C_jama.2019.14901'!$K$2:$K$7,MATCH("2019::jama.2019.14901::C004",'C_jama.2019.14901'!$A$2:$A$7,0))="","",INDEX('C_jama.2019.14901'!$K$2:$K$7,MATCH("2019::jama.2019.14901::C004",'C_jama.2019.14901'!$A$2:$A$7,0))),"not_applicable"),"NOT FROZEN")</x:f>
        <x:v>not_applicable</x:v>
      </x:c>
      <x:c r="H45" s="3" t="str">
        <x:f>IF(Setup!$B$6="primary",IF(AND(INDEX('C_jama.2019.14901'!$D$2:$D$7,MATCH("2019::jama.2019.14901::C004",'C_jama.2019.14901'!$A$2:$A$7,0))="retain",INDEX('C_jama.2019.14901'!$E$2:$E$7,MATCH("2019::jama.2019.14901::C004",'C_jama.2019.14901'!$A$2:$A$7,0))="protocol_report"),IF(INDEX('C_jama.2019.14901'!$L$2:$L$7,MATCH("2019::jama.2019.14901::C004",'C_jama.2019.14901'!$A$2:$A$7,0))="","",INDEX('C_jama.2019.14901'!$L$2:$L$7,MATCH("2019::jama.2019.14901::C004",'C_jama.2019.14901'!$A$2:$A$7,0))),"not_applicable"),"NOT FROZEN")</x:f>
        <x:v>not_applicable</x:v>
      </x:c>
      <x:c r="I45" s="3" t="str">
        <x:f>IF(Setup!$B$6="primary",IF(INDEX('C_jama.2019.14901'!$R$2:$R$7,MATCH("2019::jama.2019.14901::C004",'C_jama.2019.14901'!$A$2:$A$7,0))="","",INDEX('C_jama.2019.14901'!$R$2:$R$7,MATCH("2019::jama.2019.14901::C004",'C_jama.2019.14901'!$A$2:$A$7,0))),"NOT FROZEN")</x:f>
      </x:c>
      <x:c r="J45" s="3" t="str">
        <x:f>IF(Setup!$B$6="primary",INDEX('C_jama.2019.14901'!$F$2:$F$7,MATCH("2019::jama.2019.14901::C004",'C_jama.2019.14901'!$A$2:$A$7,0)),"NOT FROZEN")</x:f>
        <x:v>no</x:v>
      </x:c>
      <x:c r="K45" s="3" t="str">
        <x:f>IF(Setup!$B$6="primary",Setup!$B$2,"NOT FROZEN")</x:f>
      </x:c>
      <x:c r="L45" s="3" t="str">
        <x:f>IF(Setup!$B$6="primary",IF(OR(B45="",B45="not_applicable"),"","Disposition: "&amp;B45&amp;CHAR(10))&amp;IF(OR(C45="",C45="not_applicable"),"","Review domain: "&amp;C45&amp;CHAR(10))&amp;IF(OR(D45="",D45="not_applicable"),"","Statistcal_or_numerical issue: "&amp;D45&amp;CHAR(10))&amp;IF(OR(E45="",E45="not_applicable"),"","Substantiveness: "&amp;E45&amp;CHAR(10))&amp;IF(OR(F45="",F45="not_applicable"),"","Downstream impact: "&amp;F45&amp;CHAR(10))&amp;IF(OR(G45="",G45="not_applicable"),"","Report-internal or planning-material inconsistency: "&amp;G45&amp;CHAR(10))&amp;IF(OR(H45="",H45="not_applicable"),"","Protocol interpretation: "&amp;H45&amp;CHAR(10))&amp;IF(OR(I45="",I45="not_applicable"),"","Notes (optional): "&amp;I45&amp;CHAR(10)),"NOT FROZEN")</x:f>
        <x:v>Review domain: statistical_results
</x:v>
      </x:c>
    </x:row>
    <x:row r="46" ht="70" customHeight="1">
      <x:c r="A46" s="6" t="str">
        <x:f>IF(Setup!$B$6="primary","2019::jama.2019.14901::C005","NOT FROZEN")</x:f>
        <x:v>2019::jama.2019.14901::C005</x:v>
      </x:c>
      <x:c r="B46" s="6" t="str">
        <x:f>IF(Setup!$B$6="primary",IF(INDEX('C_jama.2019.14901'!$D$2:$D$7,MATCH("2019::jama.2019.14901::C005",'C_jama.2019.14901'!$A$2:$A$7,0))="","",INDEX('C_jama.2019.14901'!$D$2:$D$7,MATCH("2019::jama.2019.14901::C005",'C_jama.2019.14901'!$A$2:$A$7,0))),"NOT FROZEN")</x:f>
      </x:c>
      <x:c r="C46" s="6" t="str">
        <x:f>IF(Setup!$B$6="primary",IF(INDEX('C_jama.2019.14901'!$E$2:$E$7,MATCH("2019::jama.2019.14901::C005",'C_jama.2019.14901'!$A$2:$A$7,0))="","",INDEX('C_jama.2019.14901'!$E$2:$E$7,MATCH("2019::jama.2019.14901::C005",'C_jama.2019.14901'!$A$2:$A$7,0))),"NOT FROZEN")</x:f>
        <x:v>report_internal_inconsistency</x:v>
      </x:c>
      <x:c r="D46" s="6" t="str">
        <x:f>IF(Setup!$B$6="primary",IF(AND(INDEX('C_jama.2019.14901'!$D$2:$D$7,MATCH("2019::jama.2019.14901::C005",'C_jama.2019.14901'!$A$2:$A$7,0))="retain",INDEX('C_jama.2019.14901'!$E$2:$E$7,MATCH("2019::jama.2019.14901::C005",'C_jama.2019.14901'!$A$2:$A$7,0))="statistical_results"),IF(INDEX('C_jama.2019.14901'!$H$2:$H$7,MATCH("2019::jama.2019.14901::C005",'C_jama.2019.14901'!$A$2:$A$7,0))="","",INDEX('C_jama.2019.14901'!$H$2:$H$7,MATCH("2019::jama.2019.14901::C005",'C_jama.2019.14901'!$A$2:$A$7,0))),"not_applicable"),"NOT FROZEN")</x:f>
        <x:v>not_applicable</x:v>
      </x:c>
      <x:c r="E46" s="6" t="str">
        <x:f>IF(Setup!$B$6="primary",IF(AND(INDEX('C_jama.2019.14901'!$D$2:$D$7,MATCH("2019::jama.2019.14901::C005",'C_jama.2019.14901'!$A$2:$A$7,0))="retain",INDEX('C_jama.2019.14901'!$E$2:$E$7,MATCH("2019::jama.2019.14901::C005",'C_jama.2019.14901'!$A$2:$A$7,0))="statistical_results"),IF(INDEX('C_jama.2019.14901'!$I$2:$I$7,MATCH("2019::jama.2019.14901::C005",'C_jama.2019.14901'!$A$2:$A$7,0))="","",INDEX('C_jama.2019.14901'!$I$2:$I$7,MATCH("2019::jama.2019.14901::C005",'C_jama.2019.14901'!$A$2:$A$7,0))),"not_applicable"),"NOT FROZEN")</x:f>
        <x:v>not_applicable</x:v>
      </x:c>
      <x:c r="F46" s="6" t="str">
        <x:f>IF(Setup!$B$6="primary",IF(AND(INDEX('C_jama.2019.14901'!$D$2:$D$7,MATCH("2019::jama.2019.14901::C005",'C_jama.2019.14901'!$A$2:$A$7,0))="retain",INDEX('C_jama.2019.14901'!$E$2:$E$7,MATCH("2019::jama.2019.14901::C005",'C_jama.2019.14901'!$A$2:$A$7,0))="statistical_results"),IF(INDEX('C_jama.2019.14901'!$J$2:$J$7,MATCH("2019::jama.2019.14901::C005",'C_jama.2019.14901'!$A$2:$A$7,0))="","",INDEX('C_jama.2019.14901'!$J$2:$J$7,MATCH("2019::jama.2019.14901::C005",'C_jama.2019.14901'!$A$2:$A$7,0))),"not_applicable"),"NOT FROZEN")</x:f>
        <x:v>not_applicable</x:v>
      </x:c>
      <x:c r="G46" s="6" t="str">
        <x:f>IF(Setup!$B$6="primary",IF(AND(INDEX('C_jama.2019.14901'!$D$2:$D$7,MATCH("2019::jama.2019.14901::C005",'C_jama.2019.14901'!$A$2:$A$7,0))="retain",OR(INDEX('C_jama.2019.14901'!$E$2:$E$7,MATCH("2019::jama.2019.14901::C005",'C_jama.2019.14901'!$A$2:$A$7,0))="report_internal_inconsistency",INDEX('C_jama.2019.14901'!$E$2:$E$7,MATCH("2019::jama.2019.14901::C005",'C_jama.2019.14901'!$A$2:$A$7,0))="plan_material")),IF(INDEX('C_jama.2019.14901'!$K$2:$K$7,MATCH("2019::jama.2019.14901::C005",'C_jama.2019.14901'!$A$2:$A$7,0))="","",INDEX('C_jama.2019.14901'!$K$2:$K$7,MATCH("2019::jama.2019.14901::C005",'C_jama.2019.14901'!$A$2:$A$7,0))),"not_applicable"),"NOT FROZEN")</x:f>
        <x:v>not_applicable</x:v>
      </x:c>
      <x:c r="H46" s="6" t="str">
        <x:f>IF(Setup!$B$6="primary",IF(AND(INDEX('C_jama.2019.14901'!$D$2:$D$7,MATCH("2019::jama.2019.14901::C005",'C_jama.2019.14901'!$A$2:$A$7,0))="retain",INDEX('C_jama.2019.14901'!$E$2:$E$7,MATCH("2019::jama.2019.14901::C005",'C_jama.2019.14901'!$A$2:$A$7,0))="protocol_report"),IF(INDEX('C_jama.2019.14901'!$L$2:$L$7,MATCH("2019::jama.2019.14901::C005",'C_jama.2019.14901'!$A$2:$A$7,0))="","",INDEX('C_jama.2019.14901'!$L$2:$L$7,MATCH("2019::jama.2019.14901::C005",'C_jama.2019.14901'!$A$2:$A$7,0))),"not_applicable"),"NOT FROZEN")</x:f>
        <x:v>not_applicable</x:v>
      </x:c>
      <x:c r="I46" s="6" t="str">
        <x:f>IF(Setup!$B$6="primary",IF(INDEX('C_jama.2019.14901'!$R$2:$R$7,MATCH("2019::jama.2019.14901::C005",'C_jama.2019.14901'!$A$2:$A$7,0))="","",INDEX('C_jama.2019.14901'!$R$2:$R$7,MATCH("2019::jama.2019.14901::C005",'C_jama.2019.14901'!$A$2:$A$7,0))),"NOT FROZEN")</x:f>
      </x:c>
      <x:c r="J46" s="6" t="str">
        <x:f>IF(Setup!$B$6="primary",INDEX('C_jama.2019.14901'!$F$2:$F$7,MATCH("2019::jama.2019.14901::C005",'C_jama.2019.14901'!$A$2:$A$7,0)),"NOT FROZEN")</x:f>
        <x:v>no</x:v>
      </x:c>
      <x:c r="K46" s="6" t="str">
        <x:f>IF(Setup!$B$6="primary",Setup!$B$2,"NOT FROZEN")</x:f>
      </x:c>
      <x:c r="L46" s="6" t="str">
        <x:f>IF(Setup!$B$6="primary",IF(OR(B46="",B46="not_applicable"),"","Disposition: "&amp;B46&amp;CHAR(10))&amp;IF(OR(C46="",C46="not_applicable"),"","Review domain: "&amp;C46&amp;CHAR(10))&amp;IF(OR(D46="",D46="not_applicable"),"","Statistcal_or_numerical issue: "&amp;D46&amp;CHAR(10))&amp;IF(OR(E46="",E46="not_applicable"),"","Substantiveness: "&amp;E46&amp;CHAR(10))&amp;IF(OR(F46="",F46="not_applicable"),"","Downstream impact: "&amp;F46&amp;CHAR(10))&amp;IF(OR(G46="",G46="not_applicable"),"","Report-internal or planning-material inconsistency: "&amp;G46&amp;CHAR(10))&amp;IF(OR(H46="",H46="not_applicable"),"","Protocol interpretation: "&amp;H46&amp;CHAR(10))&amp;IF(OR(I46="",I46="not_applicable"),"","Notes (optional): "&amp;I46&amp;CHAR(10)),"NOT FROZEN")</x:f>
        <x:v>Review domain: report_internal_inconsistency
</x:v>
      </x:c>
    </x:row>
    <x:row r="47" ht="70" customHeight="1">
      <x:c r="A47" s="3" t="str">
        <x:f>IF(Setup!$B$6="primary","2019::jama.2019.14901::C006","NOT FROZEN")</x:f>
        <x:v>2019::jama.2019.14901::C006</x:v>
      </x:c>
      <x:c r="B47" s="3" t="str">
        <x:f>IF(Setup!$B$6="primary",IF(INDEX('C_jama.2019.14901'!$D$2:$D$7,MATCH("2019::jama.2019.14901::C006",'C_jama.2019.14901'!$A$2:$A$7,0))="","",INDEX('C_jama.2019.14901'!$D$2:$D$7,MATCH("2019::jama.2019.14901::C006",'C_jama.2019.14901'!$A$2:$A$7,0))),"NOT FROZEN")</x:f>
      </x:c>
      <x:c r="C47" s="3" t="str">
        <x:f>IF(Setup!$B$6="primary",IF(INDEX('C_jama.2019.14901'!$E$2:$E$7,MATCH("2019::jama.2019.14901::C006",'C_jama.2019.14901'!$A$2:$A$7,0))="","",INDEX('C_jama.2019.14901'!$E$2:$E$7,MATCH("2019::jama.2019.14901::C006",'C_jama.2019.14901'!$A$2:$A$7,0))),"NOT FROZEN")</x:f>
        <x:v>plan_material</x:v>
      </x:c>
      <x:c r="D47" s="3" t="str">
        <x:f>IF(Setup!$B$6="primary",IF(AND(INDEX('C_jama.2019.14901'!$D$2:$D$7,MATCH("2019::jama.2019.14901::C006",'C_jama.2019.14901'!$A$2:$A$7,0))="retain",INDEX('C_jama.2019.14901'!$E$2:$E$7,MATCH("2019::jama.2019.14901::C006",'C_jama.2019.14901'!$A$2:$A$7,0))="statistical_results"),IF(INDEX('C_jama.2019.14901'!$H$2:$H$7,MATCH("2019::jama.2019.14901::C006",'C_jama.2019.14901'!$A$2:$A$7,0))="","",INDEX('C_jama.2019.14901'!$H$2:$H$7,MATCH("2019::jama.2019.14901::C006",'C_jama.2019.14901'!$A$2:$A$7,0))),"not_applicable"),"NOT FROZEN")</x:f>
        <x:v>not_applicable</x:v>
      </x:c>
      <x:c r="E47" s="3" t="str">
        <x:f>IF(Setup!$B$6="primary",IF(AND(INDEX('C_jama.2019.14901'!$D$2:$D$7,MATCH("2019::jama.2019.14901::C006",'C_jama.2019.14901'!$A$2:$A$7,0))="retain",INDEX('C_jama.2019.14901'!$E$2:$E$7,MATCH("2019::jama.2019.14901::C006",'C_jama.2019.14901'!$A$2:$A$7,0))="statistical_results"),IF(INDEX('C_jama.2019.14901'!$I$2:$I$7,MATCH("2019::jama.2019.14901::C006",'C_jama.2019.14901'!$A$2:$A$7,0))="","",INDEX('C_jama.2019.14901'!$I$2:$I$7,MATCH("2019::jama.2019.14901::C006",'C_jama.2019.14901'!$A$2:$A$7,0))),"not_applicable"),"NOT FROZEN")</x:f>
        <x:v>not_applicable</x:v>
      </x:c>
      <x:c r="F47" s="3" t="str">
        <x:f>IF(Setup!$B$6="primary",IF(AND(INDEX('C_jama.2019.14901'!$D$2:$D$7,MATCH("2019::jama.2019.14901::C006",'C_jama.2019.14901'!$A$2:$A$7,0))="retain",INDEX('C_jama.2019.14901'!$E$2:$E$7,MATCH("2019::jama.2019.14901::C006",'C_jama.2019.14901'!$A$2:$A$7,0))="statistical_results"),IF(INDEX('C_jama.2019.14901'!$J$2:$J$7,MATCH("2019::jama.2019.14901::C006",'C_jama.2019.14901'!$A$2:$A$7,0))="","",INDEX('C_jama.2019.14901'!$J$2:$J$7,MATCH("2019::jama.2019.14901::C006",'C_jama.2019.14901'!$A$2:$A$7,0))),"not_applicable"),"NOT FROZEN")</x:f>
        <x:v>not_applicable</x:v>
      </x:c>
      <x:c r="G47" s="3" t="str">
        <x:f>IF(Setup!$B$6="primary",IF(AND(INDEX('C_jama.2019.14901'!$D$2:$D$7,MATCH("2019::jama.2019.14901::C006",'C_jama.2019.14901'!$A$2:$A$7,0))="retain",OR(INDEX('C_jama.2019.14901'!$E$2:$E$7,MATCH("2019::jama.2019.14901::C006",'C_jama.2019.14901'!$A$2:$A$7,0))="report_internal_inconsistency",INDEX('C_jama.2019.14901'!$E$2:$E$7,MATCH("2019::jama.2019.14901::C006",'C_jama.2019.14901'!$A$2:$A$7,0))="plan_material")),IF(INDEX('C_jama.2019.14901'!$K$2:$K$7,MATCH("2019::jama.2019.14901::C006",'C_jama.2019.14901'!$A$2:$A$7,0))="","",INDEX('C_jama.2019.14901'!$K$2:$K$7,MATCH("2019::jama.2019.14901::C006",'C_jama.2019.14901'!$A$2:$A$7,0))),"not_applicable"),"NOT FROZEN")</x:f>
        <x:v>not_applicable</x:v>
      </x:c>
      <x:c r="H47" s="3" t="str">
        <x:f>IF(Setup!$B$6="primary",IF(AND(INDEX('C_jama.2019.14901'!$D$2:$D$7,MATCH("2019::jama.2019.14901::C006",'C_jama.2019.14901'!$A$2:$A$7,0))="retain",INDEX('C_jama.2019.14901'!$E$2:$E$7,MATCH("2019::jama.2019.14901::C006",'C_jama.2019.14901'!$A$2:$A$7,0))="protocol_report"),IF(INDEX('C_jama.2019.14901'!$L$2:$L$7,MATCH("2019::jama.2019.14901::C006",'C_jama.2019.14901'!$A$2:$A$7,0))="","",INDEX('C_jama.2019.14901'!$L$2:$L$7,MATCH("2019::jama.2019.14901::C006",'C_jama.2019.14901'!$A$2:$A$7,0))),"not_applicable"),"NOT FROZEN")</x:f>
        <x:v>not_applicable</x:v>
      </x:c>
      <x:c r="I47" s="3" t="str">
        <x:f>IF(Setup!$B$6="primary",IF(INDEX('C_jama.2019.14901'!$R$2:$R$7,MATCH("2019::jama.2019.14901::C006",'C_jama.2019.14901'!$A$2:$A$7,0))="","",INDEX('C_jama.2019.14901'!$R$2:$R$7,MATCH("2019::jama.2019.14901::C006",'C_jama.2019.14901'!$A$2:$A$7,0))),"NOT FROZEN")</x:f>
      </x:c>
      <x:c r="J47" s="3" t="str">
        <x:f>IF(Setup!$B$6="primary",INDEX('C_jama.2019.14901'!$F$2:$F$7,MATCH("2019::jama.2019.14901::C006",'C_jama.2019.14901'!$A$2:$A$7,0)),"NOT FROZEN")</x:f>
        <x:v>no</x:v>
      </x:c>
      <x:c r="K47" s="3" t="str">
        <x:f>IF(Setup!$B$6="primary",Setup!$B$2,"NOT FROZEN")</x:f>
      </x:c>
      <x:c r="L47" s="3" t="str">
        <x:f>IF(Setup!$B$6="primary",IF(OR(B47="",B47="not_applicable"),"","Disposition: "&amp;B47&amp;CHAR(10))&amp;IF(OR(C47="",C47="not_applicable"),"","Review domain: "&amp;C47&amp;CHAR(10))&amp;IF(OR(D47="",D47="not_applicable"),"","Statistcal_or_numerical issue: "&amp;D47&amp;CHAR(10))&amp;IF(OR(E47="",E47="not_applicable"),"","Substantiveness: "&amp;E47&amp;CHAR(10))&amp;IF(OR(F47="",F47="not_applicable"),"","Downstream impact: "&amp;F47&amp;CHAR(10))&amp;IF(OR(G47="",G47="not_applicable"),"","Report-internal or planning-material inconsistency: "&amp;G47&amp;CHAR(10))&amp;IF(OR(H47="",H47="not_applicable"),"","Protocol interpretation: "&amp;H47&amp;CHAR(10))&amp;IF(OR(I47="",I47="not_applicable"),"","Notes (optional): "&amp;I47&amp;CHAR(10)),"NOT FROZEN")</x:f>
        <x:v>Review domain: plan_material
</x:v>
      </x:c>
    </x:row>
    <x:row r="48" ht="70" customHeight="1">
      <x:c r="A48" s="6" t="str">
        <x:f>IF(Setup!$B$6="primary","2019::jama.2019.17380::C001","NOT FROZEN")</x:f>
        <x:v>2019::jama.2019.17380::C001</x:v>
      </x:c>
      <x:c r="B48" s="6" t="str">
        <x:f>IF(Setup!$B$6="primary",IF(INDEX('C_jama.2019.17380'!$D$2:$D$8,MATCH("2019::jama.2019.17380::C001",'C_jama.2019.17380'!$A$2:$A$8,0))="","",INDEX('C_jama.2019.17380'!$D$2:$D$8,MATCH("2019::jama.2019.17380::C001",'C_jama.2019.17380'!$A$2:$A$8,0))),"NOT FROZEN")</x:f>
      </x:c>
      <x:c r="C48" s="6" t="str">
        <x:f>IF(Setup!$B$6="primary",IF(INDEX('C_jama.2019.17380'!$E$2:$E$8,MATCH("2019::jama.2019.17380::C001",'C_jama.2019.17380'!$A$2:$A$8,0))="","",INDEX('C_jama.2019.17380'!$E$2:$E$8,MATCH("2019::jama.2019.17380::C001",'C_jama.2019.17380'!$A$2:$A$8,0))),"NOT FROZEN")</x:f>
        <x:v>report_internal_inconsistency</x:v>
      </x:c>
      <x:c r="D48" s="6" t="str">
        <x:f>IF(Setup!$B$6="primary",IF(AND(INDEX('C_jama.2019.17380'!$D$2:$D$8,MATCH("2019::jama.2019.17380::C001",'C_jama.2019.17380'!$A$2:$A$8,0))="retain",INDEX('C_jama.2019.17380'!$E$2:$E$8,MATCH("2019::jama.2019.17380::C001",'C_jama.2019.17380'!$A$2:$A$8,0))="statistical_results"),IF(INDEX('C_jama.2019.17380'!$H$2:$H$8,MATCH("2019::jama.2019.17380::C001",'C_jama.2019.17380'!$A$2:$A$8,0))="","",INDEX('C_jama.2019.17380'!$H$2:$H$8,MATCH("2019::jama.2019.17380::C001",'C_jama.2019.17380'!$A$2:$A$8,0))),"not_applicable"),"NOT FROZEN")</x:f>
        <x:v>not_applicable</x:v>
      </x:c>
      <x:c r="E48" s="6" t="str">
        <x:f>IF(Setup!$B$6="primary",IF(AND(INDEX('C_jama.2019.17380'!$D$2:$D$8,MATCH("2019::jama.2019.17380::C001",'C_jama.2019.17380'!$A$2:$A$8,0))="retain",INDEX('C_jama.2019.17380'!$E$2:$E$8,MATCH("2019::jama.2019.17380::C001",'C_jama.2019.17380'!$A$2:$A$8,0))="statistical_results"),IF(INDEX('C_jama.2019.17380'!$I$2:$I$8,MATCH("2019::jama.2019.17380::C001",'C_jama.2019.17380'!$A$2:$A$8,0))="","",INDEX('C_jama.2019.17380'!$I$2:$I$8,MATCH("2019::jama.2019.17380::C001",'C_jama.2019.17380'!$A$2:$A$8,0))),"not_applicable"),"NOT FROZEN")</x:f>
        <x:v>not_applicable</x:v>
      </x:c>
      <x:c r="F48" s="6" t="str">
        <x:f>IF(Setup!$B$6="primary",IF(AND(INDEX('C_jama.2019.17380'!$D$2:$D$8,MATCH("2019::jama.2019.17380::C001",'C_jama.2019.17380'!$A$2:$A$8,0))="retain",INDEX('C_jama.2019.17380'!$E$2:$E$8,MATCH("2019::jama.2019.17380::C001",'C_jama.2019.17380'!$A$2:$A$8,0))="statistical_results"),IF(INDEX('C_jama.2019.17380'!$J$2:$J$8,MATCH("2019::jama.2019.17380::C001",'C_jama.2019.17380'!$A$2:$A$8,0))="","",INDEX('C_jama.2019.17380'!$J$2:$J$8,MATCH("2019::jama.2019.17380::C001",'C_jama.2019.17380'!$A$2:$A$8,0))),"not_applicable"),"NOT FROZEN")</x:f>
        <x:v>not_applicable</x:v>
      </x:c>
      <x:c r="G48" s="6" t="str">
        <x:f>IF(Setup!$B$6="primary",IF(AND(INDEX('C_jama.2019.17380'!$D$2:$D$8,MATCH("2019::jama.2019.17380::C001",'C_jama.2019.17380'!$A$2:$A$8,0))="retain",OR(INDEX('C_jama.2019.17380'!$E$2:$E$8,MATCH("2019::jama.2019.17380::C001",'C_jama.2019.17380'!$A$2:$A$8,0))="report_internal_inconsistency",INDEX('C_jama.2019.17380'!$E$2:$E$8,MATCH("2019::jama.2019.17380::C001",'C_jama.2019.17380'!$A$2:$A$8,0))="plan_material")),IF(INDEX('C_jama.2019.17380'!$K$2:$K$8,MATCH("2019::jama.2019.17380::C001",'C_jama.2019.17380'!$A$2:$A$8,0))="","",INDEX('C_jama.2019.17380'!$K$2:$K$8,MATCH("2019::jama.2019.17380::C001",'C_jama.2019.17380'!$A$2:$A$8,0))),"not_applicable"),"NOT FROZEN")</x:f>
        <x:v>not_applicable</x:v>
      </x:c>
      <x:c r="H48" s="6" t="str">
        <x:f>IF(Setup!$B$6="primary",IF(AND(INDEX('C_jama.2019.17380'!$D$2:$D$8,MATCH("2019::jama.2019.17380::C001",'C_jama.2019.17380'!$A$2:$A$8,0))="retain",INDEX('C_jama.2019.17380'!$E$2:$E$8,MATCH("2019::jama.2019.17380::C001",'C_jama.2019.17380'!$A$2:$A$8,0))="protocol_report"),IF(INDEX('C_jama.2019.17380'!$L$2:$L$8,MATCH("2019::jama.2019.17380::C001",'C_jama.2019.17380'!$A$2:$A$8,0))="","",INDEX('C_jama.2019.17380'!$L$2:$L$8,MATCH("2019::jama.2019.17380::C001",'C_jama.2019.17380'!$A$2:$A$8,0))),"not_applicable"),"NOT FROZEN")</x:f>
        <x:v>not_applicable</x:v>
      </x:c>
      <x:c r="I48" s="6" t="str">
        <x:f>IF(Setup!$B$6="primary",IF(INDEX('C_jama.2019.17380'!$R$2:$R$8,MATCH("2019::jama.2019.17380::C001",'C_jama.2019.17380'!$A$2:$A$8,0))="","",INDEX('C_jama.2019.17380'!$R$2:$R$8,MATCH("2019::jama.2019.17380::C001",'C_jama.2019.17380'!$A$2:$A$8,0))),"NOT FROZEN")</x:f>
      </x:c>
      <x:c r="J48" s="6" t="str">
        <x:f>IF(Setup!$B$6="primary",INDEX('C_jama.2019.17380'!$F$2:$F$8,MATCH("2019::jama.2019.17380::C001",'C_jama.2019.17380'!$A$2:$A$8,0)),"NOT FROZEN")</x:f>
        <x:v>no</x:v>
      </x:c>
      <x:c r="K48" s="6" t="str">
        <x:f>IF(Setup!$B$6="primary",Setup!$B$2,"NOT FROZEN")</x:f>
      </x:c>
      <x:c r="L48" s="6" t="str">
        <x:f>IF(Setup!$B$6="primary",IF(OR(B48="",B48="not_applicable"),"","Disposition: "&amp;B48&amp;CHAR(10))&amp;IF(OR(C48="",C48="not_applicable"),"","Review domain: "&amp;C48&amp;CHAR(10))&amp;IF(OR(D48="",D48="not_applicable"),"","Statistcal_or_numerical issue: "&amp;D48&amp;CHAR(10))&amp;IF(OR(E48="",E48="not_applicable"),"","Substantiveness: "&amp;E48&amp;CHAR(10))&amp;IF(OR(F48="",F48="not_applicable"),"","Downstream impact: "&amp;F48&amp;CHAR(10))&amp;IF(OR(G48="",G48="not_applicable"),"","Report-internal or planning-material inconsistency: "&amp;G48&amp;CHAR(10))&amp;IF(OR(H48="",H48="not_applicable"),"","Protocol interpretation: "&amp;H48&amp;CHAR(10))&amp;IF(OR(I48="",I48="not_applicable"),"","Notes (optional): "&amp;I48&amp;CHAR(10)),"NOT FROZEN")</x:f>
        <x:v>Review domain: report_internal_inconsistency
</x:v>
      </x:c>
    </x:row>
    <x:row r="49" ht="70" customHeight="1">
      <x:c r="A49" s="3" t="str">
        <x:f>IF(Setup!$B$6="primary","2019::jama.2019.17380::C002","NOT FROZEN")</x:f>
        <x:v>2019::jama.2019.17380::C002</x:v>
      </x:c>
      <x:c r="B49" s="3" t="str">
        <x:f>IF(Setup!$B$6="primary",IF(INDEX('C_jama.2019.17380'!$D$2:$D$8,MATCH("2019::jama.2019.17380::C002",'C_jama.2019.17380'!$A$2:$A$8,0))="","",INDEX('C_jama.2019.17380'!$D$2:$D$8,MATCH("2019::jama.2019.17380::C002",'C_jama.2019.17380'!$A$2:$A$8,0))),"NOT FROZEN")</x:f>
      </x:c>
      <x:c r="C49" s="3" t="str">
        <x:f>IF(Setup!$B$6="primary",IF(INDEX('C_jama.2019.17380'!$E$2:$E$8,MATCH("2019::jama.2019.17380::C002",'C_jama.2019.17380'!$A$2:$A$8,0))="","",INDEX('C_jama.2019.17380'!$E$2:$E$8,MATCH("2019::jama.2019.17380::C002",'C_jama.2019.17380'!$A$2:$A$8,0))),"NOT FROZEN")</x:f>
        <x:v>report_internal_inconsistency</x:v>
      </x:c>
      <x:c r="D49" s="3" t="str">
        <x:f>IF(Setup!$B$6="primary",IF(AND(INDEX('C_jama.2019.17380'!$D$2:$D$8,MATCH("2019::jama.2019.17380::C002",'C_jama.2019.17380'!$A$2:$A$8,0))="retain",INDEX('C_jama.2019.17380'!$E$2:$E$8,MATCH("2019::jama.2019.17380::C002",'C_jama.2019.17380'!$A$2:$A$8,0))="statistical_results"),IF(INDEX('C_jama.2019.17380'!$H$2:$H$8,MATCH("2019::jama.2019.17380::C002",'C_jama.2019.17380'!$A$2:$A$8,0))="","",INDEX('C_jama.2019.17380'!$H$2:$H$8,MATCH("2019::jama.2019.17380::C002",'C_jama.2019.17380'!$A$2:$A$8,0))),"not_applicable"),"NOT FROZEN")</x:f>
        <x:v>not_applicable</x:v>
      </x:c>
      <x:c r="E49" s="3" t="str">
        <x:f>IF(Setup!$B$6="primary",IF(AND(INDEX('C_jama.2019.17380'!$D$2:$D$8,MATCH("2019::jama.2019.17380::C002",'C_jama.2019.17380'!$A$2:$A$8,0))="retain",INDEX('C_jama.2019.17380'!$E$2:$E$8,MATCH("2019::jama.2019.17380::C002",'C_jama.2019.17380'!$A$2:$A$8,0))="statistical_results"),IF(INDEX('C_jama.2019.17380'!$I$2:$I$8,MATCH("2019::jama.2019.17380::C002",'C_jama.2019.17380'!$A$2:$A$8,0))="","",INDEX('C_jama.2019.17380'!$I$2:$I$8,MATCH("2019::jama.2019.17380::C002",'C_jama.2019.17380'!$A$2:$A$8,0))),"not_applicable"),"NOT FROZEN")</x:f>
        <x:v>not_applicable</x:v>
      </x:c>
      <x:c r="F49" s="3" t="str">
        <x:f>IF(Setup!$B$6="primary",IF(AND(INDEX('C_jama.2019.17380'!$D$2:$D$8,MATCH("2019::jama.2019.17380::C002",'C_jama.2019.17380'!$A$2:$A$8,0))="retain",INDEX('C_jama.2019.17380'!$E$2:$E$8,MATCH("2019::jama.2019.17380::C002",'C_jama.2019.17380'!$A$2:$A$8,0))="statistical_results"),IF(INDEX('C_jama.2019.17380'!$J$2:$J$8,MATCH("2019::jama.2019.17380::C002",'C_jama.2019.17380'!$A$2:$A$8,0))="","",INDEX('C_jama.2019.17380'!$J$2:$J$8,MATCH("2019::jama.2019.17380::C002",'C_jama.2019.17380'!$A$2:$A$8,0))),"not_applicable"),"NOT FROZEN")</x:f>
        <x:v>not_applicable</x:v>
      </x:c>
      <x:c r="G49" s="3" t="str">
        <x:f>IF(Setup!$B$6="primary",IF(AND(INDEX('C_jama.2019.17380'!$D$2:$D$8,MATCH("2019::jama.2019.17380::C002",'C_jama.2019.17380'!$A$2:$A$8,0))="retain",OR(INDEX('C_jama.2019.17380'!$E$2:$E$8,MATCH("2019::jama.2019.17380::C002",'C_jama.2019.17380'!$A$2:$A$8,0))="report_internal_inconsistency",INDEX('C_jama.2019.17380'!$E$2:$E$8,MATCH("2019::jama.2019.17380::C002",'C_jama.2019.17380'!$A$2:$A$8,0))="plan_material")),IF(INDEX('C_jama.2019.17380'!$K$2:$K$8,MATCH("2019::jama.2019.17380::C002",'C_jama.2019.17380'!$A$2:$A$8,0))="","",INDEX('C_jama.2019.17380'!$K$2:$K$8,MATCH("2019::jama.2019.17380::C002",'C_jama.2019.17380'!$A$2:$A$8,0))),"not_applicable"),"NOT FROZEN")</x:f>
        <x:v>not_applicable</x:v>
      </x:c>
      <x:c r="H49" s="3" t="str">
        <x:f>IF(Setup!$B$6="primary",IF(AND(INDEX('C_jama.2019.17380'!$D$2:$D$8,MATCH("2019::jama.2019.17380::C002",'C_jama.2019.17380'!$A$2:$A$8,0))="retain",INDEX('C_jama.2019.17380'!$E$2:$E$8,MATCH("2019::jama.2019.17380::C002",'C_jama.2019.17380'!$A$2:$A$8,0))="protocol_report"),IF(INDEX('C_jama.2019.17380'!$L$2:$L$8,MATCH("2019::jama.2019.17380::C002",'C_jama.2019.17380'!$A$2:$A$8,0))="","",INDEX('C_jama.2019.17380'!$L$2:$L$8,MATCH("2019::jama.2019.17380::C002",'C_jama.2019.17380'!$A$2:$A$8,0))),"not_applicable"),"NOT FROZEN")</x:f>
        <x:v>not_applicable</x:v>
      </x:c>
      <x:c r="I49" s="3" t="str">
        <x:f>IF(Setup!$B$6="primary",IF(INDEX('C_jama.2019.17380'!$R$2:$R$8,MATCH("2019::jama.2019.17380::C002",'C_jama.2019.17380'!$A$2:$A$8,0))="","",INDEX('C_jama.2019.17380'!$R$2:$R$8,MATCH("2019::jama.2019.17380::C002",'C_jama.2019.17380'!$A$2:$A$8,0))),"NOT FROZEN")</x:f>
      </x:c>
      <x:c r="J49" s="3" t="str">
        <x:f>IF(Setup!$B$6="primary",INDEX('C_jama.2019.17380'!$F$2:$F$8,MATCH("2019::jama.2019.17380::C002",'C_jama.2019.17380'!$A$2:$A$8,0)),"NOT FROZEN")</x:f>
        <x:v>no</x:v>
      </x:c>
      <x:c r="K49" s="3" t="str">
        <x:f>IF(Setup!$B$6="primary",Setup!$B$2,"NOT FROZEN")</x:f>
      </x:c>
      <x:c r="L49" s="3" t="str">
        <x:f>IF(Setup!$B$6="primary",IF(OR(B49="",B49="not_applicable"),"","Disposition: "&amp;B49&amp;CHAR(10))&amp;IF(OR(C49="",C49="not_applicable"),"","Review domain: "&amp;C49&amp;CHAR(10))&amp;IF(OR(D49="",D49="not_applicable"),"","Statistcal_or_numerical issue: "&amp;D49&amp;CHAR(10))&amp;IF(OR(E49="",E49="not_applicable"),"","Substantiveness: "&amp;E49&amp;CHAR(10))&amp;IF(OR(F49="",F49="not_applicable"),"","Downstream impact: "&amp;F49&amp;CHAR(10))&amp;IF(OR(G49="",G49="not_applicable"),"","Report-internal or planning-material inconsistency: "&amp;G49&amp;CHAR(10))&amp;IF(OR(H49="",H49="not_applicable"),"","Protocol interpretation: "&amp;H49&amp;CHAR(10))&amp;IF(OR(I49="",I49="not_applicable"),"","Notes (optional): "&amp;I49&amp;CHAR(10)),"NOT FROZEN")</x:f>
        <x:v>Review domain: report_internal_inconsistency
</x:v>
      </x:c>
    </x:row>
    <x:row r="50" ht="70" customHeight="1">
      <x:c r="A50" s="6" t="str">
        <x:f>IF(Setup!$B$6="primary","2019::jama.2019.17380::C003","NOT FROZEN")</x:f>
        <x:v>2019::jama.2019.17380::C003</x:v>
      </x:c>
      <x:c r="B50" s="6" t="str">
        <x:f>IF(Setup!$B$6="primary",IF(INDEX('C_jama.2019.17380'!$D$2:$D$8,MATCH("2019::jama.2019.17380::C003",'C_jama.2019.17380'!$A$2:$A$8,0))="","",INDEX('C_jama.2019.17380'!$D$2:$D$8,MATCH("2019::jama.2019.17380::C003",'C_jama.2019.17380'!$A$2:$A$8,0))),"NOT FROZEN")</x:f>
      </x:c>
      <x:c r="C50" s="6" t="str">
        <x:f>IF(Setup!$B$6="primary",IF(INDEX('C_jama.2019.17380'!$E$2:$E$8,MATCH("2019::jama.2019.17380::C003",'C_jama.2019.17380'!$A$2:$A$8,0))="","",INDEX('C_jama.2019.17380'!$E$2:$E$8,MATCH("2019::jama.2019.17380::C003",'C_jama.2019.17380'!$A$2:$A$8,0))),"NOT FROZEN")</x:f>
        <x:v>report_internal_inconsistency</x:v>
      </x:c>
      <x:c r="D50" s="6" t="str">
        <x:f>IF(Setup!$B$6="primary",IF(AND(INDEX('C_jama.2019.17380'!$D$2:$D$8,MATCH("2019::jama.2019.17380::C003",'C_jama.2019.17380'!$A$2:$A$8,0))="retain",INDEX('C_jama.2019.17380'!$E$2:$E$8,MATCH("2019::jama.2019.17380::C003",'C_jama.2019.17380'!$A$2:$A$8,0))="statistical_results"),IF(INDEX('C_jama.2019.17380'!$H$2:$H$8,MATCH("2019::jama.2019.17380::C003",'C_jama.2019.17380'!$A$2:$A$8,0))="","",INDEX('C_jama.2019.17380'!$H$2:$H$8,MATCH("2019::jama.2019.17380::C003",'C_jama.2019.17380'!$A$2:$A$8,0))),"not_applicable"),"NOT FROZEN")</x:f>
        <x:v>not_applicable</x:v>
      </x:c>
      <x:c r="E50" s="6" t="str">
        <x:f>IF(Setup!$B$6="primary",IF(AND(INDEX('C_jama.2019.17380'!$D$2:$D$8,MATCH("2019::jama.2019.17380::C003",'C_jama.2019.17380'!$A$2:$A$8,0))="retain",INDEX('C_jama.2019.17380'!$E$2:$E$8,MATCH("2019::jama.2019.17380::C003",'C_jama.2019.17380'!$A$2:$A$8,0))="statistical_results"),IF(INDEX('C_jama.2019.17380'!$I$2:$I$8,MATCH("2019::jama.2019.17380::C003",'C_jama.2019.17380'!$A$2:$A$8,0))="","",INDEX('C_jama.2019.17380'!$I$2:$I$8,MATCH("2019::jama.2019.17380::C003",'C_jama.2019.17380'!$A$2:$A$8,0))),"not_applicable"),"NOT FROZEN")</x:f>
        <x:v>not_applicable</x:v>
      </x:c>
      <x:c r="F50" s="6" t="str">
        <x:f>IF(Setup!$B$6="primary",IF(AND(INDEX('C_jama.2019.17380'!$D$2:$D$8,MATCH("2019::jama.2019.17380::C003",'C_jama.2019.17380'!$A$2:$A$8,0))="retain",INDEX('C_jama.2019.17380'!$E$2:$E$8,MATCH("2019::jama.2019.17380::C003",'C_jama.2019.17380'!$A$2:$A$8,0))="statistical_results"),IF(INDEX('C_jama.2019.17380'!$J$2:$J$8,MATCH("2019::jama.2019.17380::C003",'C_jama.2019.17380'!$A$2:$A$8,0))="","",INDEX('C_jama.2019.17380'!$J$2:$J$8,MATCH("2019::jama.2019.17380::C003",'C_jama.2019.17380'!$A$2:$A$8,0))),"not_applicable"),"NOT FROZEN")</x:f>
        <x:v>not_applicable</x:v>
      </x:c>
      <x:c r="G50" s="6" t="str">
        <x:f>IF(Setup!$B$6="primary",IF(AND(INDEX('C_jama.2019.17380'!$D$2:$D$8,MATCH("2019::jama.2019.17380::C003",'C_jama.2019.17380'!$A$2:$A$8,0))="retain",OR(INDEX('C_jama.2019.17380'!$E$2:$E$8,MATCH("2019::jama.2019.17380::C003",'C_jama.2019.17380'!$A$2:$A$8,0))="report_internal_inconsistency",INDEX('C_jama.2019.17380'!$E$2:$E$8,MATCH("2019::jama.2019.17380::C003",'C_jama.2019.17380'!$A$2:$A$8,0))="plan_material")),IF(INDEX('C_jama.2019.17380'!$K$2:$K$8,MATCH("2019::jama.2019.17380::C003",'C_jama.2019.17380'!$A$2:$A$8,0))="","",INDEX('C_jama.2019.17380'!$K$2:$K$8,MATCH("2019::jama.2019.17380::C003",'C_jama.2019.17380'!$A$2:$A$8,0))),"not_applicable"),"NOT FROZEN")</x:f>
        <x:v>not_applicable</x:v>
      </x:c>
      <x:c r="H50" s="6" t="str">
        <x:f>IF(Setup!$B$6="primary",IF(AND(INDEX('C_jama.2019.17380'!$D$2:$D$8,MATCH("2019::jama.2019.17380::C003",'C_jama.2019.17380'!$A$2:$A$8,0))="retain",INDEX('C_jama.2019.17380'!$E$2:$E$8,MATCH("2019::jama.2019.17380::C003",'C_jama.2019.17380'!$A$2:$A$8,0))="protocol_report"),IF(INDEX('C_jama.2019.17380'!$L$2:$L$8,MATCH("2019::jama.2019.17380::C003",'C_jama.2019.17380'!$A$2:$A$8,0))="","",INDEX('C_jama.2019.17380'!$L$2:$L$8,MATCH("2019::jama.2019.17380::C003",'C_jama.2019.17380'!$A$2:$A$8,0))),"not_applicable"),"NOT FROZEN")</x:f>
        <x:v>not_applicable</x:v>
      </x:c>
      <x:c r="I50" s="6" t="str">
        <x:f>IF(Setup!$B$6="primary",IF(INDEX('C_jama.2019.17380'!$R$2:$R$8,MATCH("2019::jama.2019.17380::C003",'C_jama.2019.17380'!$A$2:$A$8,0))="","",INDEX('C_jama.2019.17380'!$R$2:$R$8,MATCH("2019::jama.2019.17380::C003",'C_jama.2019.17380'!$A$2:$A$8,0))),"NOT FROZEN")</x:f>
      </x:c>
      <x:c r="J50" s="6" t="str">
        <x:f>IF(Setup!$B$6="primary",INDEX('C_jama.2019.17380'!$F$2:$F$8,MATCH("2019::jama.2019.17380::C003",'C_jama.2019.17380'!$A$2:$A$8,0)),"NOT FROZEN")</x:f>
        <x:v>no</x:v>
      </x:c>
      <x:c r="K50" s="6" t="str">
        <x:f>IF(Setup!$B$6="primary",Setup!$B$2,"NOT FROZEN")</x:f>
      </x:c>
      <x:c r="L50" s="6" t="str">
        <x:f>IF(Setup!$B$6="primary",IF(OR(B50="",B50="not_applicable"),"","Disposition: "&amp;B50&amp;CHAR(10))&amp;IF(OR(C50="",C50="not_applicable"),"","Review domain: "&amp;C50&amp;CHAR(10))&amp;IF(OR(D50="",D50="not_applicable"),"","Statistcal_or_numerical issue: "&amp;D50&amp;CHAR(10))&amp;IF(OR(E50="",E50="not_applicable"),"","Substantiveness: "&amp;E50&amp;CHAR(10))&amp;IF(OR(F50="",F50="not_applicable"),"","Downstream impact: "&amp;F50&amp;CHAR(10))&amp;IF(OR(G50="",G50="not_applicable"),"","Report-internal or planning-material inconsistency: "&amp;G50&amp;CHAR(10))&amp;IF(OR(H50="",H50="not_applicable"),"","Protocol interpretation: "&amp;H50&amp;CHAR(10))&amp;IF(OR(I50="",I50="not_applicable"),"","Notes (optional): "&amp;I50&amp;CHAR(10)),"NOT FROZEN")</x:f>
        <x:v>Review domain: report_internal_inconsistency
</x:v>
      </x:c>
    </x:row>
    <x:row r="51" ht="70" customHeight="1">
      <x:c r="A51" s="3" t="str">
        <x:f>IF(Setup!$B$6="primary","2019::jama.2019.17380::C004","NOT FROZEN")</x:f>
        <x:v>2019::jama.2019.17380::C004</x:v>
      </x:c>
      <x:c r="B51" s="3" t="str">
        <x:f>IF(Setup!$B$6="primary",IF(INDEX('C_jama.2019.17380'!$D$2:$D$8,MATCH("2019::jama.2019.17380::C004",'C_jama.2019.17380'!$A$2:$A$8,0))="","",INDEX('C_jama.2019.17380'!$D$2:$D$8,MATCH("2019::jama.2019.17380::C004",'C_jama.2019.17380'!$A$2:$A$8,0))),"NOT FROZEN")</x:f>
      </x:c>
      <x:c r="C51" s="3" t="str">
        <x:f>IF(Setup!$B$6="primary",IF(INDEX('C_jama.2019.17380'!$E$2:$E$8,MATCH("2019::jama.2019.17380::C004",'C_jama.2019.17380'!$A$2:$A$8,0))="","",INDEX('C_jama.2019.17380'!$E$2:$E$8,MATCH("2019::jama.2019.17380::C004",'C_jama.2019.17380'!$A$2:$A$8,0))),"NOT FROZEN")</x:f>
        <x:v>report_internal_inconsistency</x:v>
      </x:c>
      <x:c r="D51" s="3" t="str">
        <x:f>IF(Setup!$B$6="primary",IF(AND(INDEX('C_jama.2019.17380'!$D$2:$D$8,MATCH("2019::jama.2019.17380::C004",'C_jama.2019.17380'!$A$2:$A$8,0))="retain",INDEX('C_jama.2019.17380'!$E$2:$E$8,MATCH("2019::jama.2019.17380::C004",'C_jama.2019.17380'!$A$2:$A$8,0))="statistical_results"),IF(INDEX('C_jama.2019.17380'!$H$2:$H$8,MATCH("2019::jama.2019.17380::C004",'C_jama.2019.17380'!$A$2:$A$8,0))="","",INDEX('C_jama.2019.17380'!$H$2:$H$8,MATCH("2019::jama.2019.17380::C004",'C_jama.2019.17380'!$A$2:$A$8,0))),"not_applicable"),"NOT FROZEN")</x:f>
        <x:v>not_applicable</x:v>
      </x:c>
      <x:c r="E51" s="3" t="str">
        <x:f>IF(Setup!$B$6="primary",IF(AND(INDEX('C_jama.2019.17380'!$D$2:$D$8,MATCH("2019::jama.2019.17380::C004",'C_jama.2019.17380'!$A$2:$A$8,0))="retain",INDEX('C_jama.2019.17380'!$E$2:$E$8,MATCH("2019::jama.2019.17380::C004",'C_jama.2019.17380'!$A$2:$A$8,0))="statistical_results"),IF(INDEX('C_jama.2019.17380'!$I$2:$I$8,MATCH("2019::jama.2019.17380::C004",'C_jama.2019.17380'!$A$2:$A$8,0))="","",INDEX('C_jama.2019.17380'!$I$2:$I$8,MATCH("2019::jama.2019.17380::C004",'C_jama.2019.17380'!$A$2:$A$8,0))),"not_applicable"),"NOT FROZEN")</x:f>
        <x:v>not_applicable</x:v>
      </x:c>
      <x:c r="F51" s="3" t="str">
        <x:f>IF(Setup!$B$6="primary",IF(AND(INDEX('C_jama.2019.17380'!$D$2:$D$8,MATCH("2019::jama.2019.17380::C004",'C_jama.2019.17380'!$A$2:$A$8,0))="retain",INDEX('C_jama.2019.17380'!$E$2:$E$8,MATCH("2019::jama.2019.17380::C004",'C_jama.2019.17380'!$A$2:$A$8,0))="statistical_results"),IF(INDEX('C_jama.2019.17380'!$J$2:$J$8,MATCH("2019::jama.2019.17380::C004",'C_jama.2019.17380'!$A$2:$A$8,0))="","",INDEX('C_jama.2019.17380'!$J$2:$J$8,MATCH("2019::jama.2019.17380::C004",'C_jama.2019.17380'!$A$2:$A$8,0))),"not_applicable"),"NOT FROZEN")</x:f>
        <x:v>not_applicable</x:v>
      </x:c>
      <x:c r="G51" s="3" t="str">
        <x:f>IF(Setup!$B$6="primary",IF(AND(INDEX('C_jama.2019.17380'!$D$2:$D$8,MATCH("2019::jama.2019.17380::C004",'C_jama.2019.17380'!$A$2:$A$8,0))="retain",OR(INDEX('C_jama.2019.17380'!$E$2:$E$8,MATCH("2019::jama.2019.17380::C004",'C_jama.2019.17380'!$A$2:$A$8,0))="report_internal_inconsistency",INDEX('C_jama.2019.17380'!$E$2:$E$8,MATCH("2019::jama.2019.17380::C004",'C_jama.2019.17380'!$A$2:$A$8,0))="plan_material")),IF(INDEX('C_jama.2019.17380'!$K$2:$K$8,MATCH("2019::jama.2019.17380::C004",'C_jama.2019.17380'!$A$2:$A$8,0))="","",INDEX('C_jama.2019.17380'!$K$2:$K$8,MATCH("2019::jama.2019.17380::C004",'C_jama.2019.17380'!$A$2:$A$8,0))),"not_applicable"),"NOT FROZEN")</x:f>
        <x:v>not_applicable</x:v>
      </x:c>
      <x:c r="H51" s="3" t="str">
        <x:f>IF(Setup!$B$6="primary",IF(AND(INDEX('C_jama.2019.17380'!$D$2:$D$8,MATCH("2019::jama.2019.17380::C004",'C_jama.2019.17380'!$A$2:$A$8,0))="retain",INDEX('C_jama.2019.17380'!$E$2:$E$8,MATCH("2019::jama.2019.17380::C004",'C_jama.2019.17380'!$A$2:$A$8,0))="protocol_report"),IF(INDEX('C_jama.2019.17380'!$L$2:$L$8,MATCH("2019::jama.2019.17380::C004",'C_jama.2019.17380'!$A$2:$A$8,0))="","",INDEX('C_jama.2019.17380'!$L$2:$L$8,MATCH("2019::jama.2019.17380::C004",'C_jama.2019.17380'!$A$2:$A$8,0))),"not_applicable"),"NOT FROZEN")</x:f>
        <x:v>not_applicable</x:v>
      </x:c>
      <x:c r="I51" s="3" t="str">
        <x:f>IF(Setup!$B$6="primary",IF(INDEX('C_jama.2019.17380'!$R$2:$R$8,MATCH("2019::jama.2019.17380::C004",'C_jama.2019.17380'!$A$2:$A$8,0))="","",INDEX('C_jama.2019.17380'!$R$2:$R$8,MATCH("2019::jama.2019.17380::C004",'C_jama.2019.17380'!$A$2:$A$8,0))),"NOT FROZEN")</x:f>
      </x:c>
      <x:c r="J51" s="3" t="str">
        <x:f>IF(Setup!$B$6="primary",INDEX('C_jama.2019.17380'!$F$2:$F$8,MATCH("2019::jama.2019.17380::C004",'C_jama.2019.17380'!$A$2:$A$8,0)),"NOT FROZEN")</x:f>
        <x:v>no</x:v>
      </x:c>
      <x:c r="K51" s="3" t="str">
        <x:f>IF(Setup!$B$6="primary",Setup!$B$2,"NOT FROZEN")</x:f>
      </x:c>
      <x:c r="L51" s="3" t="str">
        <x:f>IF(Setup!$B$6="primary",IF(OR(B51="",B51="not_applicable"),"","Disposition: "&amp;B51&amp;CHAR(10))&amp;IF(OR(C51="",C51="not_applicable"),"","Review domain: "&amp;C51&amp;CHAR(10))&amp;IF(OR(D51="",D51="not_applicable"),"","Statistcal_or_numerical issue: "&amp;D51&amp;CHAR(10))&amp;IF(OR(E51="",E51="not_applicable"),"","Substantiveness: "&amp;E51&amp;CHAR(10))&amp;IF(OR(F51="",F51="not_applicable"),"","Downstream impact: "&amp;F51&amp;CHAR(10))&amp;IF(OR(G51="",G51="not_applicable"),"","Report-internal or planning-material inconsistency: "&amp;G51&amp;CHAR(10))&amp;IF(OR(H51="",H51="not_applicable"),"","Protocol interpretation: "&amp;H51&amp;CHAR(10))&amp;IF(OR(I51="",I51="not_applicable"),"","Notes (optional): "&amp;I51&amp;CHAR(10)),"NOT FROZEN")</x:f>
        <x:v>Review domain: report_internal_inconsistency
</x:v>
      </x:c>
    </x:row>
    <x:row r="52" ht="70" customHeight="1">
      <x:c r="A52" s="6" t="str">
        <x:f>IF(Setup!$B$6="primary","2019::jama.2019.17380::C005","NOT FROZEN")</x:f>
        <x:v>2019::jama.2019.17380::C005</x:v>
      </x:c>
      <x:c r="B52" s="6" t="str">
        <x:f>IF(Setup!$B$6="primary",IF(INDEX('C_jama.2019.17380'!$D$2:$D$8,MATCH("2019::jama.2019.17380::C005",'C_jama.2019.17380'!$A$2:$A$8,0))="","",INDEX('C_jama.2019.17380'!$D$2:$D$8,MATCH("2019::jama.2019.17380::C005",'C_jama.2019.17380'!$A$2:$A$8,0))),"NOT FROZEN")</x:f>
      </x:c>
      <x:c r="C52" s="6" t="str">
        <x:f>IF(Setup!$B$6="primary",IF(INDEX('C_jama.2019.17380'!$E$2:$E$8,MATCH("2019::jama.2019.17380::C005",'C_jama.2019.17380'!$A$2:$A$8,0))="","",INDEX('C_jama.2019.17380'!$E$2:$E$8,MATCH("2019::jama.2019.17380::C005",'C_jama.2019.17380'!$A$2:$A$8,0))),"NOT FROZEN")</x:f>
        <x:v>report_internal_inconsistency</x:v>
      </x:c>
      <x:c r="D52" s="6" t="str">
        <x:f>IF(Setup!$B$6="primary",IF(AND(INDEX('C_jama.2019.17380'!$D$2:$D$8,MATCH("2019::jama.2019.17380::C005",'C_jama.2019.17380'!$A$2:$A$8,0))="retain",INDEX('C_jama.2019.17380'!$E$2:$E$8,MATCH("2019::jama.2019.17380::C005",'C_jama.2019.17380'!$A$2:$A$8,0))="statistical_results"),IF(INDEX('C_jama.2019.17380'!$H$2:$H$8,MATCH("2019::jama.2019.17380::C005",'C_jama.2019.17380'!$A$2:$A$8,0))="","",INDEX('C_jama.2019.17380'!$H$2:$H$8,MATCH("2019::jama.2019.17380::C005",'C_jama.2019.17380'!$A$2:$A$8,0))),"not_applicable"),"NOT FROZEN")</x:f>
        <x:v>not_applicable</x:v>
      </x:c>
      <x:c r="E52" s="6" t="str">
        <x:f>IF(Setup!$B$6="primary",IF(AND(INDEX('C_jama.2019.17380'!$D$2:$D$8,MATCH("2019::jama.2019.17380::C005",'C_jama.2019.17380'!$A$2:$A$8,0))="retain",INDEX('C_jama.2019.17380'!$E$2:$E$8,MATCH("2019::jama.2019.17380::C005",'C_jama.2019.17380'!$A$2:$A$8,0))="statistical_results"),IF(INDEX('C_jama.2019.17380'!$I$2:$I$8,MATCH("2019::jama.2019.17380::C005",'C_jama.2019.17380'!$A$2:$A$8,0))="","",INDEX('C_jama.2019.17380'!$I$2:$I$8,MATCH("2019::jama.2019.17380::C005",'C_jama.2019.17380'!$A$2:$A$8,0))),"not_applicable"),"NOT FROZEN")</x:f>
        <x:v>not_applicable</x:v>
      </x:c>
      <x:c r="F52" s="6" t="str">
        <x:f>IF(Setup!$B$6="primary",IF(AND(INDEX('C_jama.2019.17380'!$D$2:$D$8,MATCH("2019::jama.2019.17380::C005",'C_jama.2019.17380'!$A$2:$A$8,0))="retain",INDEX('C_jama.2019.17380'!$E$2:$E$8,MATCH("2019::jama.2019.17380::C005",'C_jama.2019.17380'!$A$2:$A$8,0))="statistical_results"),IF(INDEX('C_jama.2019.17380'!$J$2:$J$8,MATCH("2019::jama.2019.17380::C005",'C_jama.2019.17380'!$A$2:$A$8,0))="","",INDEX('C_jama.2019.17380'!$J$2:$J$8,MATCH("2019::jama.2019.17380::C005",'C_jama.2019.17380'!$A$2:$A$8,0))),"not_applicable"),"NOT FROZEN")</x:f>
        <x:v>not_applicable</x:v>
      </x:c>
      <x:c r="G52" s="6" t="str">
        <x:f>IF(Setup!$B$6="primary",IF(AND(INDEX('C_jama.2019.17380'!$D$2:$D$8,MATCH("2019::jama.2019.17380::C005",'C_jama.2019.17380'!$A$2:$A$8,0))="retain",OR(INDEX('C_jama.2019.17380'!$E$2:$E$8,MATCH("2019::jama.2019.17380::C005",'C_jama.2019.17380'!$A$2:$A$8,0))="report_internal_inconsistency",INDEX('C_jama.2019.17380'!$E$2:$E$8,MATCH("2019::jama.2019.17380::C005",'C_jama.2019.17380'!$A$2:$A$8,0))="plan_material")),IF(INDEX('C_jama.2019.17380'!$K$2:$K$8,MATCH("2019::jama.2019.17380::C005",'C_jama.2019.17380'!$A$2:$A$8,0))="","",INDEX('C_jama.2019.17380'!$K$2:$K$8,MATCH("2019::jama.2019.17380::C005",'C_jama.2019.17380'!$A$2:$A$8,0))),"not_applicable"),"NOT FROZEN")</x:f>
        <x:v>not_applicable</x:v>
      </x:c>
      <x:c r="H52" s="6" t="str">
        <x:f>IF(Setup!$B$6="primary",IF(AND(INDEX('C_jama.2019.17380'!$D$2:$D$8,MATCH("2019::jama.2019.17380::C005",'C_jama.2019.17380'!$A$2:$A$8,0))="retain",INDEX('C_jama.2019.17380'!$E$2:$E$8,MATCH("2019::jama.2019.17380::C005",'C_jama.2019.17380'!$A$2:$A$8,0))="protocol_report"),IF(INDEX('C_jama.2019.17380'!$L$2:$L$8,MATCH("2019::jama.2019.17380::C005",'C_jama.2019.17380'!$A$2:$A$8,0))="","",INDEX('C_jama.2019.17380'!$L$2:$L$8,MATCH("2019::jama.2019.17380::C005",'C_jama.2019.17380'!$A$2:$A$8,0))),"not_applicable"),"NOT FROZEN")</x:f>
        <x:v>not_applicable</x:v>
      </x:c>
      <x:c r="I52" s="6" t="str">
        <x:f>IF(Setup!$B$6="primary",IF(INDEX('C_jama.2019.17380'!$R$2:$R$8,MATCH("2019::jama.2019.17380::C005",'C_jama.2019.17380'!$A$2:$A$8,0))="","",INDEX('C_jama.2019.17380'!$R$2:$R$8,MATCH("2019::jama.2019.17380::C005",'C_jama.2019.17380'!$A$2:$A$8,0))),"NOT FROZEN")</x:f>
      </x:c>
      <x:c r="J52" s="6" t="str">
        <x:f>IF(Setup!$B$6="primary",INDEX('C_jama.2019.17380'!$F$2:$F$8,MATCH("2019::jama.2019.17380::C005",'C_jama.2019.17380'!$A$2:$A$8,0)),"NOT FROZEN")</x:f>
        <x:v>no</x:v>
      </x:c>
      <x:c r="K52" s="6" t="str">
        <x:f>IF(Setup!$B$6="primary",Setup!$B$2,"NOT FROZEN")</x:f>
      </x:c>
      <x:c r="L52" s="6" t="str">
        <x:f>IF(Setup!$B$6="primary",IF(OR(B52="",B52="not_applicable"),"","Disposition: "&amp;B52&amp;CHAR(10))&amp;IF(OR(C52="",C52="not_applicable"),"","Review domain: "&amp;C52&amp;CHAR(10))&amp;IF(OR(D52="",D52="not_applicable"),"","Statistcal_or_numerical issue: "&amp;D52&amp;CHAR(10))&amp;IF(OR(E52="",E52="not_applicable"),"","Substantiveness: "&amp;E52&amp;CHAR(10))&amp;IF(OR(F52="",F52="not_applicable"),"","Downstream impact: "&amp;F52&amp;CHAR(10))&amp;IF(OR(G52="",G52="not_applicable"),"","Report-internal or planning-material inconsistency: "&amp;G52&amp;CHAR(10))&amp;IF(OR(H52="",H52="not_applicable"),"","Protocol interpretation: "&amp;H52&amp;CHAR(10))&amp;IF(OR(I52="",I52="not_applicable"),"","Notes (optional): "&amp;I52&amp;CHAR(10)),"NOT FROZEN")</x:f>
        <x:v>Review domain: report_internal_inconsistency
</x:v>
      </x:c>
    </x:row>
    <x:row r="53" ht="70" customHeight="1">
      <x:c r="A53" s="3" t="str">
        <x:f>IF(Setup!$B$6="primary","2019::jama.2019.17380::C006","NOT FROZEN")</x:f>
        <x:v>2019::jama.2019.17380::C006</x:v>
      </x:c>
      <x:c r="B53" s="3" t="str">
        <x:f>IF(Setup!$B$6="primary",IF(INDEX('C_jama.2019.17380'!$D$2:$D$8,MATCH("2019::jama.2019.17380::C006",'C_jama.2019.17380'!$A$2:$A$8,0))="","",INDEX('C_jama.2019.17380'!$D$2:$D$8,MATCH("2019::jama.2019.17380::C006",'C_jama.2019.17380'!$A$2:$A$8,0))),"NOT FROZEN")</x:f>
      </x:c>
      <x:c r="C53" s="3" t="str">
        <x:f>IF(Setup!$B$6="primary",IF(INDEX('C_jama.2019.17380'!$E$2:$E$8,MATCH("2019::jama.2019.17380::C006",'C_jama.2019.17380'!$A$2:$A$8,0))="","",INDEX('C_jama.2019.17380'!$E$2:$E$8,MATCH("2019::jama.2019.17380::C006",'C_jama.2019.17380'!$A$2:$A$8,0))),"NOT FROZEN")</x:f>
        <x:v>report_internal_inconsistency</x:v>
      </x:c>
      <x:c r="D53" s="3" t="str">
        <x:f>IF(Setup!$B$6="primary",IF(AND(INDEX('C_jama.2019.17380'!$D$2:$D$8,MATCH("2019::jama.2019.17380::C006",'C_jama.2019.17380'!$A$2:$A$8,0))="retain",INDEX('C_jama.2019.17380'!$E$2:$E$8,MATCH("2019::jama.2019.17380::C006",'C_jama.2019.17380'!$A$2:$A$8,0))="statistical_results"),IF(INDEX('C_jama.2019.17380'!$H$2:$H$8,MATCH("2019::jama.2019.17380::C006",'C_jama.2019.17380'!$A$2:$A$8,0))="","",INDEX('C_jama.2019.17380'!$H$2:$H$8,MATCH("2019::jama.2019.17380::C006",'C_jama.2019.17380'!$A$2:$A$8,0))),"not_applicable"),"NOT FROZEN")</x:f>
        <x:v>not_applicable</x:v>
      </x:c>
      <x:c r="E53" s="3" t="str">
        <x:f>IF(Setup!$B$6="primary",IF(AND(INDEX('C_jama.2019.17380'!$D$2:$D$8,MATCH("2019::jama.2019.17380::C006",'C_jama.2019.17380'!$A$2:$A$8,0))="retain",INDEX('C_jama.2019.17380'!$E$2:$E$8,MATCH("2019::jama.2019.17380::C006",'C_jama.2019.17380'!$A$2:$A$8,0))="statistical_results"),IF(INDEX('C_jama.2019.17380'!$I$2:$I$8,MATCH("2019::jama.2019.17380::C006",'C_jama.2019.17380'!$A$2:$A$8,0))="","",INDEX('C_jama.2019.17380'!$I$2:$I$8,MATCH("2019::jama.2019.17380::C006",'C_jama.2019.17380'!$A$2:$A$8,0))),"not_applicable"),"NOT FROZEN")</x:f>
        <x:v>not_applicable</x:v>
      </x:c>
      <x:c r="F53" s="3" t="str">
        <x:f>IF(Setup!$B$6="primary",IF(AND(INDEX('C_jama.2019.17380'!$D$2:$D$8,MATCH("2019::jama.2019.17380::C006",'C_jama.2019.17380'!$A$2:$A$8,0))="retain",INDEX('C_jama.2019.17380'!$E$2:$E$8,MATCH("2019::jama.2019.17380::C006",'C_jama.2019.17380'!$A$2:$A$8,0))="statistical_results"),IF(INDEX('C_jama.2019.17380'!$J$2:$J$8,MATCH("2019::jama.2019.17380::C006",'C_jama.2019.17380'!$A$2:$A$8,0))="","",INDEX('C_jama.2019.17380'!$J$2:$J$8,MATCH("2019::jama.2019.17380::C006",'C_jama.2019.17380'!$A$2:$A$8,0))),"not_applicable"),"NOT FROZEN")</x:f>
        <x:v>not_applicable</x:v>
      </x:c>
      <x:c r="G53" s="3" t="str">
        <x:f>IF(Setup!$B$6="primary",IF(AND(INDEX('C_jama.2019.17380'!$D$2:$D$8,MATCH("2019::jama.2019.17380::C006",'C_jama.2019.17380'!$A$2:$A$8,0))="retain",OR(INDEX('C_jama.2019.17380'!$E$2:$E$8,MATCH("2019::jama.2019.17380::C006",'C_jama.2019.17380'!$A$2:$A$8,0))="report_internal_inconsistency",INDEX('C_jama.2019.17380'!$E$2:$E$8,MATCH("2019::jama.2019.17380::C006",'C_jama.2019.17380'!$A$2:$A$8,0))="plan_material")),IF(INDEX('C_jama.2019.17380'!$K$2:$K$8,MATCH("2019::jama.2019.17380::C006",'C_jama.2019.17380'!$A$2:$A$8,0))="","",INDEX('C_jama.2019.17380'!$K$2:$K$8,MATCH("2019::jama.2019.17380::C006",'C_jama.2019.17380'!$A$2:$A$8,0))),"not_applicable"),"NOT FROZEN")</x:f>
        <x:v>not_applicable</x:v>
      </x:c>
      <x:c r="H53" s="3" t="str">
        <x:f>IF(Setup!$B$6="primary",IF(AND(INDEX('C_jama.2019.17380'!$D$2:$D$8,MATCH("2019::jama.2019.17380::C006",'C_jama.2019.17380'!$A$2:$A$8,0))="retain",INDEX('C_jama.2019.17380'!$E$2:$E$8,MATCH("2019::jama.2019.17380::C006",'C_jama.2019.17380'!$A$2:$A$8,0))="protocol_report"),IF(INDEX('C_jama.2019.17380'!$L$2:$L$8,MATCH("2019::jama.2019.17380::C006",'C_jama.2019.17380'!$A$2:$A$8,0))="","",INDEX('C_jama.2019.17380'!$L$2:$L$8,MATCH("2019::jama.2019.17380::C006",'C_jama.2019.17380'!$A$2:$A$8,0))),"not_applicable"),"NOT FROZEN")</x:f>
        <x:v>not_applicable</x:v>
      </x:c>
      <x:c r="I53" s="3" t="str">
        <x:f>IF(Setup!$B$6="primary",IF(INDEX('C_jama.2019.17380'!$R$2:$R$8,MATCH("2019::jama.2019.17380::C006",'C_jama.2019.17380'!$A$2:$A$8,0))="","",INDEX('C_jama.2019.17380'!$R$2:$R$8,MATCH("2019::jama.2019.17380::C006",'C_jama.2019.17380'!$A$2:$A$8,0))),"NOT FROZEN")</x:f>
      </x:c>
      <x:c r="J53" s="3" t="str">
        <x:f>IF(Setup!$B$6="primary",INDEX('C_jama.2019.17380'!$F$2:$F$8,MATCH("2019::jama.2019.17380::C006",'C_jama.2019.17380'!$A$2:$A$8,0)),"NOT FROZEN")</x:f>
        <x:v>no</x:v>
      </x:c>
      <x:c r="K53" s="3" t="str">
        <x:f>IF(Setup!$B$6="primary",Setup!$B$2,"NOT FROZEN")</x:f>
      </x:c>
      <x:c r="L53" s="3" t="str">
        <x:f>IF(Setup!$B$6="primary",IF(OR(B53="",B53="not_applicable"),"","Disposition: "&amp;B53&amp;CHAR(10))&amp;IF(OR(C53="",C53="not_applicable"),"","Review domain: "&amp;C53&amp;CHAR(10))&amp;IF(OR(D53="",D53="not_applicable"),"","Statistcal_or_numerical issue: "&amp;D53&amp;CHAR(10))&amp;IF(OR(E53="",E53="not_applicable"),"","Substantiveness: "&amp;E53&amp;CHAR(10))&amp;IF(OR(F53="",F53="not_applicable"),"","Downstream impact: "&amp;F53&amp;CHAR(10))&amp;IF(OR(G53="",G53="not_applicable"),"","Report-internal or planning-material inconsistency: "&amp;G53&amp;CHAR(10))&amp;IF(OR(H53="",H53="not_applicable"),"","Protocol interpretation: "&amp;H53&amp;CHAR(10))&amp;IF(OR(I53="",I53="not_applicable"),"","Notes (optional): "&amp;I53&amp;CHAR(10)),"NOT FROZEN")</x:f>
        <x:v>Review domain: report_internal_inconsistency
</x:v>
      </x:c>
    </x:row>
    <x:row r="54" ht="70" customHeight="1">
      <x:c r="A54" s="6" t="str">
        <x:f>IF(Setup!$B$6="primary","2019::jama.2019.17380::C007","NOT FROZEN")</x:f>
        <x:v>2019::jama.2019.17380::C007</x:v>
      </x:c>
      <x:c r="B54" s="6" t="str">
        <x:f>IF(Setup!$B$6="primary",IF(INDEX('C_jama.2019.17380'!$D$2:$D$8,MATCH("2019::jama.2019.17380::C007",'C_jama.2019.17380'!$A$2:$A$8,0))="","",INDEX('C_jama.2019.17380'!$D$2:$D$8,MATCH("2019::jama.2019.17380::C007",'C_jama.2019.17380'!$A$2:$A$8,0))),"NOT FROZEN")</x:f>
      </x:c>
      <x:c r="C54" s="6" t="str">
        <x:f>IF(Setup!$B$6="primary",IF(INDEX('C_jama.2019.17380'!$E$2:$E$8,MATCH("2019::jama.2019.17380::C007",'C_jama.2019.17380'!$A$2:$A$8,0))="","",INDEX('C_jama.2019.17380'!$E$2:$E$8,MATCH("2019::jama.2019.17380::C007",'C_jama.2019.17380'!$A$2:$A$8,0))),"NOT FROZEN")</x:f>
        <x:v>protocol_report</x:v>
      </x:c>
      <x:c r="D54" s="6" t="str">
        <x:f>IF(Setup!$B$6="primary",IF(AND(INDEX('C_jama.2019.17380'!$D$2:$D$8,MATCH("2019::jama.2019.17380::C007",'C_jama.2019.17380'!$A$2:$A$8,0))="retain",INDEX('C_jama.2019.17380'!$E$2:$E$8,MATCH("2019::jama.2019.17380::C007",'C_jama.2019.17380'!$A$2:$A$8,0))="statistical_results"),IF(INDEX('C_jama.2019.17380'!$H$2:$H$8,MATCH("2019::jama.2019.17380::C007",'C_jama.2019.17380'!$A$2:$A$8,0))="","",INDEX('C_jama.2019.17380'!$H$2:$H$8,MATCH("2019::jama.2019.17380::C007",'C_jama.2019.17380'!$A$2:$A$8,0))),"not_applicable"),"NOT FROZEN")</x:f>
        <x:v>not_applicable</x:v>
      </x:c>
      <x:c r="E54" s="6" t="str">
        <x:f>IF(Setup!$B$6="primary",IF(AND(INDEX('C_jama.2019.17380'!$D$2:$D$8,MATCH("2019::jama.2019.17380::C007",'C_jama.2019.17380'!$A$2:$A$8,0))="retain",INDEX('C_jama.2019.17380'!$E$2:$E$8,MATCH("2019::jama.2019.17380::C007",'C_jama.2019.17380'!$A$2:$A$8,0))="statistical_results"),IF(INDEX('C_jama.2019.17380'!$I$2:$I$8,MATCH("2019::jama.2019.17380::C007",'C_jama.2019.17380'!$A$2:$A$8,0))="","",INDEX('C_jama.2019.17380'!$I$2:$I$8,MATCH("2019::jama.2019.17380::C007",'C_jama.2019.17380'!$A$2:$A$8,0))),"not_applicable"),"NOT FROZEN")</x:f>
        <x:v>not_applicable</x:v>
      </x:c>
      <x:c r="F54" s="6" t="str">
        <x:f>IF(Setup!$B$6="primary",IF(AND(INDEX('C_jama.2019.17380'!$D$2:$D$8,MATCH("2019::jama.2019.17380::C007",'C_jama.2019.17380'!$A$2:$A$8,0))="retain",INDEX('C_jama.2019.17380'!$E$2:$E$8,MATCH("2019::jama.2019.17380::C007",'C_jama.2019.17380'!$A$2:$A$8,0))="statistical_results"),IF(INDEX('C_jama.2019.17380'!$J$2:$J$8,MATCH("2019::jama.2019.17380::C007",'C_jama.2019.17380'!$A$2:$A$8,0))="","",INDEX('C_jama.2019.17380'!$J$2:$J$8,MATCH("2019::jama.2019.17380::C007",'C_jama.2019.17380'!$A$2:$A$8,0))),"not_applicable"),"NOT FROZEN")</x:f>
        <x:v>not_applicable</x:v>
      </x:c>
      <x:c r="G54" s="6" t="str">
        <x:f>IF(Setup!$B$6="primary",IF(AND(INDEX('C_jama.2019.17380'!$D$2:$D$8,MATCH("2019::jama.2019.17380::C007",'C_jama.2019.17380'!$A$2:$A$8,0))="retain",OR(INDEX('C_jama.2019.17380'!$E$2:$E$8,MATCH("2019::jama.2019.17380::C007",'C_jama.2019.17380'!$A$2:$A$8,0))="report_internal_inconsistency",INDEX('C_jama.2019.17380'!$E$2:$E$8,MATCH("2019::jama.2019.17380::C007",'C_jama.2019.17380'!$A$2:$A$8,0))="plan_material")),IF(INDEX('C_jama.2019.17380'!$K$2:$K$8,MATCH("2019::jama.2019.17380::C007",'C_jama.2019.17380'!$A$2:$A$8,0))="","",INDEX('C_jama.2019.17380'!$K$2:$K$8,MATCH("2019::jama.2019.17380::C007",'C_jama.2019.17380'!$A$2:$A$8,0))),"not_applicable"),"NOT FROZEN")</x:f>
        <x:v>not_applicable</x:v>
      </x:c>
      <x:c r="H54" s="6" t="str">
        <x:f>IF(Setup!$B$6="primary",IF(AND(INDEX('C_jama.2019.17380'!$D$2:$D$8,MATCH("2019::jama.2019.17380::C007",'C_jama.2019.17380'!$A$2:$A$8,0))="retain",INDEX('C_jama.2019.17380'!$E$2:$E$8,MATCH("2019::jama.2019.17380::C007",'C_jama.2019.17380'!$A$2:$A$8,0))="protocol_report"),IF(INDEX('C_jama.2019.17380'!$L$2:$L$8,MATCH("2019::jama.2019.17380::C007",'C_jama.2019.17380'!$A$2:$A$8,0))="","",INDEX('C_jama.2019.17380'!$L$2:$L$8,MATCH("2019::jama.2019.17380::C007",'C_jama.2019.17380'!$A$2:$A$8,0))),"not_applicable"),"NOT FROZEN")</x:f>
        <x:v>not_applicable</x:v>
      </x:c>
      <x:c r="I54" s="6" t="str">
        <x:f>IF(Setup!$B$6="primary",IF(INDEX('C_jama.2019.17380'!$R$2:$R$8,MATCH("2019::jama.2019.17380::C007",'C_jama.2019.17380'!$A$2:$A$8,0))="","",INDEX('C_jama.2019.17380'!$R$2:$R$8,MATCH("2019::jama.2019.17380::C007",'C_jama.2019.17380'!$A$2:$A$8,0))),"NOT FROZEN")</x:f>
      </x:c>
      <x:c r="J54" s="6" t="str">
        <x:f>IF(Setup!$B$6="primary",INDEX('C_jama.2019.17380'!$F$2:$F$8,MATCH("2019::jama.2019.17380::C007",'C_jama.2019.17380'!$A$2:$A$8,0)),"NOT FROZEN")</x:f>
        <x:v>no</x:v>
      </x:c>
      <x:c r="K54" s="6" t="str">
        <x:f>IF(Setup!$B$6="primary",Setup!$B$2,"NOT FROZEN")</x:f>
      </x:c>
      <x:c r="L54" s="6" t="str">
        <x:f>IF(Setup!$B$6="primary",IF(OR(B54="",B54="not_applicable"),"","Disposition: "&amp;B54&amp;CHAR(10))&amp;IF(OR(C54="",C54="not_applicable"),"","Review domain: "&amp;C54&amp;CHAR(10))&amp;IF(OR(D54="",D54="not_applicable"),"","Statistcal_or_numerical issue: "&amp;D54&amp;CHAR(10))&amp;IF(OR(E54="",E54="not_applicable"),"","Substantiveness: "&amp;E54&amp;CHAR(10))&amp;IF(OR(F54="",F54="not_applicable"),"","Downstream impact: "&amp;F54&amp;CHAR(10))&amp;IF(OR(G54="",G54="not_applicable"),"","Report-internal or planning-material inconsistency: "&amp;G54&amp;CHAR(10))&amp;IF(OR(H54="",H54="not_applicable"),"","Protocol interpretation: "&amp;H54&amp;CHAR(10))&amp;IF(OR(I54="",I54="not_applicable"),"","Notes (optional): "&amp;I54&amp;CHAR(10)),"NOT FROZEN")</x:f>
        <x:v>Review domain: protocol_report
</x:v>
      </x:c>
    </x:row>
    <x:row r="55" ht="70" customHeight="1">
      <x:c r="A55" s="3" t="str">
        <x:f>IF(Setup!$B$6="primary","2019::jama.2019.2210::C001","NOT FROZEN")</x:f>
        <x:v>2019::jama.2019.2210::C001</x:v>
      </x:c>
      <x:c r="B55" s="3" t="str">
        <x:f>IF(Setup!$B$6="primary",IF(INDEX('C_jama.2019.2210'!$D$2:$D$10,MATCH("2019::jama.2019.2210::C001",'C_jama.2019.2210'!$A$2:$A$10,0))="","",INDEX('C_jama.2019.2210'!$D$2:$D$10,MATCH("2019::jama.2019.2210::C001",'C_jama.2019.2210'!$A$2:$A$10,0))),"NOT FROZEN")</x:f>
      </x:c>
      <x:c r="C55" s="3" t="str">
        <x:f>IF(Setup!$B$6="primary",IF(INDEX('C_jama.2019.2210'!$E$2:$E$10,MATCH("2019::jama.2019.2210::C001",'C_jama.2019.2210'!$A$2:$A$10,0))="","",INDEX('C_jama.2019.2210'!$E$2:$E$10,MATCH("2019::jama.2019.2210::C001",'C_jama.2019.2210'!$A$2:$A$10,0))),"NOT FROZEN")</x:f>
        <x:v>statistical_results</x:v>
      </x:c>
      <x:c r="D55" s="3" t="str">
        <x:f>IF(Setup!$B$6="primary",IF(AND(INDEX('C_jama.2019.2210'!$D$2:$D$10,MATCH("2019::jama.2019.2210::C001",'C_jama.2019.2210'!$A$2:$A$10,0))="retain",INDEX('C_jama.2019.2210'!$E$2:$E$10,MATCH("2019::jama.2019.2210::C001",'C_jama.2019.2210'!$A$2:$A$10,0))="statistical_results"),IF(INDEX('C_jama.2019.2210'!$H$2:$H$10,MATCH("2019::jama.2019.2210::C001",'C_jama.2019.2210'!$A$2:$A$10,0))="","",INDEX('C_jama.2019.2210'!$H$2:$H$10,MATCH("2019::jama.2019.2210::C001",'C_jama.2019.2210'!$A$2:$A$10,0))),"not_applicable"),"NOT FROZEN")</x:f>
        <x:v>not_applicable</x:v>
      </x:c>
      <x:c r="E55" s="3" t="str">
        <x:f>IF(Setup!$B$6="primary",IF(AND(INDEX('C_jama.2019.2210'!$D$2:$D$10,MATCH("2019::jama.2019.2210::C001",'C_jama.2019.2210'!$A$2:$A$10,0))="retain",INDEX('C_jama.2019.2210'!$E$2:$E$10,MATCH("2019::jama.2019.2210::C001",'C_jama.2019.2210'!$A$2:$A$10,0))="statistical_results"),IF(INDEX('C_jama.2019.2210'!$I$2:$I$10,MATCH("2019::jama.2019.2210::C001",'C_jama.2019.2210'!$A$2:$A$10,0))="","",INDEX('C_jama.2019.2210'!$I$2:$I$10,MATCH("2019::jama.2019.2210::C001",'C_jama.2019.2210'!$A$2:$A$10,0))),"not_applicable"),"NOT FROZEN")</x:f>
        <x:v>not_applicable</x:v>
      </x:c>
      <x:c r="F55" s="3" t="str">
        <x:f>IF(Setup!$B$6="primary",IF(AND(INDEX('C_jama.2019.2210'!$D$2:$D$10,MATCH("2019::jama.2019.2210::C001",'C_jama.2019.2210'!$A$2:$A$10,0))="retain",INDEX('C_jama.2019.2210'!$E$2:$E$10,MATCH("2019::jama.2019.2210::C001",'C_jama.2019.2210'!$A$2:$A$10,0))="statistical_results"),IF(INDEX('C_jama.2019.2210'!$J$2:$J$10,MATCH("2019::jama.2019.2210::C001",'C_jama.2019.2210'!$A$2:$A$10,0))="","",INDEX('C_jama.2019.2210'!$J$2:$J$10,MATCH("2019::jama.2019.2210::C001",'C_jama.2019.2210'!$A$2:$A$10,0))),"not_applicable"),"NOT FROZEN")</x:f>
        <x:v>not_applicable</x:v>
      </x:c>
      <x:c r="G55" s="3" t="str">
        <x:f>IF(Setup!$B$6="primary",IF(AND(INDEX('C_jama.2019.2210'!$D$2:$D$10,MATCH("2019::jama.2019.2210::C001",'C_jama.2019.2210'!$A$2:$A$10,0))="retain",OR(INDEX('C_jama.2019.2210'!$E$2:$E$10,MATCH("2019::jama.2019.2210::C001",'C_jama.2019.2210'!$A$2:$A$10,0))="report_internal_inconsistency",INDEX('C_jama.2019.2210'!$E$2:$E$10,MATCH("2019::jama.2019.2210::C001",'C_jama.2019.2210'!$A$2:$A$10,0))="plan_material")),IF(INDEX('C_jama.2019.2210'!$K$2:$K$10,MATCH("2019::jama.2019.2210::C001",'C_jama.2019.2210'!$A$2:$A$10,0))="","",INDEX('C_jama.2019.2210'!$K$2:$K$10,MATCH("2019::jama.2019.2210::C001",'C_jama.2019.2210'!$A$2:$A$10,0))),"not_applicable"),"NOT FROZEN")</x:f>
        <x:v>not_applicable</x:v>
      </x:c>
      <x:c r="H55" s="3" t="str">
        <x:f>IF(Setup!$B$6="primary",IF(AND(INDEX('C_jama.2019.2210'!$D$2:$D$10,MATCH("2019::jama.2019.2210::C001",'C_jama.2019.2210'!$A$2:$A$10,0))="retain",INDEX('C_jama.2019.2210'!$E$2:$E$10,MATCH("2019::jama.2019.2210::C001",'C_jama.2019.2210'!$A$2:$A$10,0))="protocol_report"),IF(INDEX('C_jama.2019.2210'!$L$2:$L$10,MATCH("2019::jama.2019.2210::C001",'C_jama.2019.2210'!$A$2:$A$10,0))="","",INDEX('C_jama.2019.2210'!$L$2:$L$10,MATCH("2019::jama.2019.2210::C001",'C_jama.2019.2210'!$A$2:$A$10,0))),"not_applicable"),"NOT FROZEN")</x:f>
        <x:v>not_applicable</x:v>
      </x:c>
      <x:c r="I55" s="3" t="str">
        <x:f>IF(Setup!$B$6="primary",IF(INDEX('C_jama.2019.2210'!$R$2:$R$10,MATCH("2019::jama.2019.2210::C001",'C_jama.2019.2210'!$A$2:$A$10,0))="","",INDEX('C_jama.2019.2210'!$R$2:$R$10,MATCH("2019::jama.2019.2210::C001",'C_jama.2019.2210'!$A$2:$A$10,0))),"NOT FROZEN")</x:f>
      </x:c>
      <x:c r="J55" s="3" t="str">
        <x:f>IF(Setup!$B$6="primary",INDEX('C_jama.2019.2210'!$F$2:$F$10,MATCH("2019::jama.2019.2210::C001",'C_jama.2019.2210'!$A$2:$A$10,0)),"NOT FROZEN")</x:f>
        <x:v>no</x:v>
      </x:c>
      <x:c r="K55" s="3" t="str">
        <x:f>IF(Setup!$B$6="primary",Setup!$B$2,"NOT FROZEN")</x:f>
      </x:c>
      <x:c r="L55" s="3" t="str">
        <x:f>IF(Setup!$B$6="primary",IF(OR(B55="",B55="not_applicable"),"","Disposition: "&amp;B55&amp;CHAR(10))&amp;IF(OR(C55="",C55="not_applicable"),"","Review domain: "&amp;C55&amp;CHAR(10))&amp;IF(OR(D55="",D55="not_applicable"),"","Statistcal_or_numerical issue: "&amp;D55&amp;CHAR(10))&amp;IF(OR(E55="",E55="not_applicable"),"","Substantiveness: "&amp;E55&amp;CHAR(10))&amp;IF(OR(F55="",F55="not_applicable"),"","Downstream impact: "&amp;F55&amp;CHAR(10))&amp;IF(OR(G55="",G55="not_applicable"),"","Report-internal or planning-material inconsistency: "&amp;G55&amp;CHAR(10))&amp;IF(OR(H55="",H55="not_applicable"),"","Protocol interpretation: "&amp;H55&amp;CHAR(10))&amp;IF(OR(I55="",I55="not_applicable"),"","Notes (optional): "&amp;I55&amp;CHAR(10)),"NOT FROZEN")</x:f>
        <x:v>Review domain: statistical_results
</x:v>
      </x:c>
    </x:row>
    <x:row r="56" ht="70" customHeight="1">
      <x:c r="A56" s="6" t="str">
        <x:f>IF(Setup!$B$6="primary","2019::jama.2019.2210::C002","NOT FROZEN")</x:f>
        <x:v>2019::jama.2019.2210::C002</x:v>
      </x:c>
      <x:c r="B56" s="6" t="str">
        <x:f>IF(Setup!$B$6="primary",IF(INDEX('C_jama.2019.2210'!$D$2:$D$10,MATCH("2019::jama.2019.2210::C002",'C_jama.2019.2210'!$A$2:$A$10,0))="","",INDEX('C_jama.2019.2210'!$D$2:$D$10,MATCH("2019::jama.2019.2210::C002",'C_jama.2019.2210'!$A$2:$A$10,0))),"NOT FROZEN")</x:f>
      </x:c>
      <x:c r="C56" s="6" t="str">
        <x:f>IF(Setup!$B$6="primary",IF(INDEX('C_jama.2019.2210'!$E$2:$E$10,MATCH("2019::jama.2019.2210::C002",'C_jama.2019.2210'!$A$2:$A$10,0))="","",INDEX('C_jama.2019.2210'!$E$2:$E$10,MATCH("2019::jama.2019.2210::C002",'C_jama.2019.2210'!$A$2:$A$10,0))),"NOT FROZEN")</x:f>
        <x:v>statistical_results</x:v>
      </x:c>
      <x:c r="D56" s="6" t="str">
        <x:f>IF(Setup!$B$6="primary",IF(AND(INDEX('C_jama.2019.2210'!$D$2:$D$10,MATCH("2019::jama.2019.2210::C002",'C_jama.2019.2210'!$A$2:$A$10,0))="retain",INDEX('C_jama.2019.2210'!$E$2:$E$10,MATCH("2019::jama.2019.2210::C002",'C_jama.2019.2210'!$A$2:$A$10,0))="statistical_results"),IF(INDEX('C_jama.2019.2210'!$H$2:$H$10,MATCH("2019::jama.2019.2210::C002",'C_jama.2019.2210'!$A$2:$A$10,0))="","",INDEX('C_jama.2019.2210'!$H$2:$H$10,MATCH("2019::jama.2019.2210::C002",'C_jama.2019.2210'!$A$2:$A$10,0))),"not_applicable"),"NOT FROZEN")</x:f>
        <x:v>not_applicable</x:v>
      </x:c>
      <x:c r="E56" s="6" t="str">
        <x:f>IF(Setup!$B$6="primary",IF(AND(INDEX('C_jama.2019.2210'!$D$2:$D$10,MATCH("2019::jama.2019.2210::C002",'C_jama.2019.2210'!$A$2:$A$10,0))="retain",INDEX('C_jama.2019.2210'!$E$2:$E$10,MATCH("2019::jama.2019.2210::C002",'C_jama.2019.2210'!$A$2:$A$10,0))="statistical_results"),IF(INDEX('C_jama.2019.2210'!$I$2:$I$10,MATCH("2019::jama.2019.2210::C002",'C_jama.2019.2210'!$A$2:$A$10,0))="","",INDEX('C_jama.2019.2210'!$I$2:$I$10,MATCH("2019::jama.2019.2210::C002",'C_jama.2019.2210'!$A$2:$A$10,0))),"not_applicable"),"NOT FROZEN")</x:f>
        <x:v>not_applicable</x:v>
      </x:c>
      <x:c r="F56" s="6" t="str">
        <x:f>IF(Setup!$B$6="primary",IF(AND(INDEX('C_jama.2019.2210'!$D$2:$D$10,MATCH("2019::jama.2019.2210::C002",'C_jama.2019.2210'!$A$2:$A$10,0))="retain",INDEX('C_jama.2019.2210'!$E$2:$E$10,MATCH("2019::jama.2019.2210::C002",'C_jama.2019.2210'!$A$2:$A$10,0))="statistical_results"),IF(INDEX('C_jama.2019.2210'!$J$2:$J$10,MATCH("2019::jama.2019.2210::C002",'C_jama.2019.2210'!$A$2:$A$10,0))="","",INDEX('C_jama.2019.2210'!$J$2:$J$10,MATCH("2019::jama.2019.2210::C002",'C_jama.2019.2210'!$A$2:$A$10,0))),"not_applicable"),"NOT FROZEN")</x:f>
        <x:v>not_applicable</x:v>
      </x:c>
      <x:c r="G56" s="6" t="str">
        <x:f>IF(Setup!$B$6="primary",IF(AND(INDEX('C_jama.2019.2210'!$D$2:$D$10,MATCH("2019::jama.2019.2210::C002",'C_jama.2019.2210'!$A$2:$A$10,0))="retain",OR(INDEX('C_jama.2019.2210'!$E$2:$E$10,MATCH("2019::jama.2019.2210::C002",'C_jama.2019.2210'!$A$2:$A$10,0))="report_internal_inconsistency",INDEX('C_jama.2019.2210'!$E$2:$E$10,MATCH("2019::jama.2019.2210::C002",'C_jama.2019.2210'!$A$2:$A$10,0))="plan_material")),IF(INDEX('C_jama.2019.2210'!$K$2:$K$10,MATCH("2019::jama.2019.2210::C002",'C_jama.2019.2210'!$A$2:$A$10,0))="","",INDEX('C_jama.2019.2210'!$K$2:$K$10,MATCH("2019::jama.2019.2210::C002",'C_jama.2019.2210'!$A$2:$A$10,0))),"not_applicable"),"NOT FROZEN")</x:f>
        <x:v>not_applicable</x:v>
      </x:c>
      <x:c r="H56" s="6" t="str">
        <x:f>IF(Setup!$B$6="primary",IF(AND(INDEX('C_jama.2019.2210'!$D$2:$D$10,MATCH("2019::jama.2019.2210::C002",'C_jama.2019.2210'!$A$2:$A$10,0))="retain",INDEX('C_jama.2019.2210'!$E$2:$E$10,MATCH("2019::jama.2019.2210::C002",'C_jama.2019.2210'!$A$2:$A$10,0))="protocol_report"),IF(INDEX('C_jama.2019.2210'!$L$2:$L$10,MATCH("2019::jama.2019.2210::C002",'C_jama.2019.2210'!$A$2:$A$10,0))="","",INDEX('C_jama.2019.2210'!$L$2:$L$10,MATCH("2019::jama.2019.2210::C002",'C_jama.2019.2210'!$A$2:$A$10,0))),"not_applicable"),"NOT FROZEN")</x:f>
        <x:v>not_applicable</x:v>
      </x:c>
      <x:c r="I56" s="6" t="str">
        <x:f>IF(Setup!$B$6="primary",IF(INDEX('C_jama.2019.2210'!$R$2:$R$10,MATCH("2019::jama.2019.2210::C002",'C_jama.2019.2210'!$A$2:$A$10,0))="","",INDEX('C_jama.2019.2210'!$R$2:$R$10,MATCH("2019::jama.2019.2210::C002",'C_jama.2019.2210'!$A$2:$A$10,0))),"NOT FROZEN")</x:f>
      </x:c>
      <x:c r="J56" s="6" t="str">
        <x:f>IF(Setup!$B$6="primary",INDEX('C_jama.2019.2210'!$F$2:$F$10,MATCH("2019::jama.2019.2210::C002",'C_jama.2019.2210'!$A$2:$A$10,0)),"NOT FROZEN")</x:f>
        <x:v>no</x:v>
      </x:c>
      <x:c r="K56" s="6" t="str">
        <x:f>IF(Setup!$B$6="primary",Setup!$B$2,"NOT FROZEN")</x:f>
      </x:c>
      <x:c r="L56" s="6" t="str">
        <x:f>IF(Setup!$B$6="primary",IF(OR(B56="",B56="not_applicable"),"","Disposition: "&amp;B56&amp;CHAR(10))&amp;IF(OR(C56="",C56="not_applicable"),"","Review domain: "&amp;C56&amp;CHAR(10))&amp;IF(OR(D56="",D56="not_applicable"),"","Statistcal_or_numerical issue: "&amp;D56&amp;CHAR(10))&amp;IF(OR(E56="",E56="not_applicable"),"","Substantiveness: "&amp;E56&amp;CHAR(10))&amp;IF(OR(F56="",F56="not_applicable"),"","Downstream impact: "&amp;F56&amp;CHAR(10))&amp;IF(OR(G56="",G56="not_applicable"),"","Report-internal or planning-material inconsistency: "&amp;G56&amp;CHAR(10))&amp;IF(OR(H56="",H56="not_applicable"),"","Protocol interpretation: "&amp;H56&amp;CHAR(10))&amp;IF(OR(I56="",I56="not_applicable"),"","Notes (optional): "&amp;I56&amp;CHAR(10)),"NOT FROZEN")</x:f>
        <x:v>Review domain: statistical_results
</x:v>
      </x:c>
    </x:row>
    <x:row r="57" ht="70" customHeight="1">
      <x:c r="A57" s="3" t="str">
        <x:f>IF(Setup!$B$6="primary","2019::jama.2019.2210::C003","NOT FROZEN")</x:f>
        <x:v>2019::jama.2019.2210::C003</x:v>
      </x:c>
      <x:c r="B57" s="3" t="str">
        <x:f>IF(Setup!$B$6="primary",IF(INDEX('C_jama.2019.2210'!$D$2:$D$10,MATCH("2019::jama.2019.2210::C003",'C_jama.2019.2210'!$A$2:$A$10,0))="","",INDEX('C_jama.2019.2210'!$D$2:$D$10,MATCH("2019::jama.2019.2210::C003",'C_jama.2019.2210'!$A$2:$A$10,0))),"NOT FROZEN")</x:f>
      </x:c>
      <x:c r="C57" s="3" t="str">
        <x:f>IF(Setup!$B$6="primary",IF(INDEX('C_jama.2019.2210'!$E$2:$E$10,MATCH("2019::jama.2019.2210::C003",'C_jama.2019.2210'!$A$2:$A$10,0))="","",INDEX('C_jama.2019.2210'!$E$2:$E$10,MATCH("2019::jama.2019.2210::C003",'C_jama.2019.2210'!$A$2:$A$10,0))),"NOT FROZEN")</x:f>
        <x:v>plan_material</x:v>
      </x:c>
      <x:c r="D57" s="3" t="str">
        <x:f>IF(Setup!$B$6="primary",IF(AND(INDEX('C_jama.2019.2210'!$D$2:$D$10,MATCH("2019::jama.2019.2210::C003",'C_jama.2019.2210'!$A$2:$A$10,0))="retain",INDEX('C_jama.2019.2210'!$E$2:$E$10,MATCH("2019::jama.2019.2210::C003",'C_jama.2019.2210'!$A$2:$A$10,0))="statistical_results"),IF(INDEX('C_jama.2019.2210'!$H$2:$H$10,MATCH("2019::jama.2019.2210::C003",'C_jama.2019.2210'!$A$2:$A$10,0))="","",INDEX('C_jama.2019.2210'!$H$2:$H$10,MATCH("2019::jama.2019.2210::C003",'C_jama.2019.2210'!$A$2:$A$10,0))),"not_applicable"),"NOT FROZEN")</x:f>
        <x:v>not_applicable</x:v>
      </x:c>
      <x:c r="E57" s="3" t="str">
        <x:f>IF(Setup!$B$6="primary",IF(AND(INDEX('C_jama.2019.2210'!$D$2:$D$10,MATCH("2019::jama.2019.2210::C003",'C_jama.2019.2210'!$A$2:$A$10,0))="retain",INDEX('C_jama.2019.2210'!$E$2:$E$10,MATCH("2019::jama.2019.2210::C003",'C_jama.2019.2210'!$A$2:$A$10,0))="statistical_results"),IF(INDEX('C_jama.2019.2210'!$I$2:$I$10,MATCH("2019::jama.2019.2210::C003",'C_jama.2019.2210'!$A$2:$A$10,0))="","",INDEX('C_jama.2019.2210'!$I$2:$I$10,MATCH("2019::jama.2019.2210::C003",'C_jama.2019.2210'!$A$2:$A$10,0))),"not_applicable"),"NOT FROZEN")</x:f>
        <x:v>not_applicable</x:v>
      </x:c>
      <x:c r="F57" s="3" t="str">
        <x:f>IF(Setup!$B$6="primary",IF(AND(INDEX('C_jama.2019.2210'!$D$2:$D$10,MATCH("2019::jama.2019.2210::C003",'C_jama.2019.2210'!$A$2:$A$10,0))="retain",INDEX('C_jama.2019.2210'!$E$2:$E$10,MATCH("2019::jama.2019.2210::C003",'C_jama.2019.2210'!$A$2:$A$10,0))="statistical_results"),IF(INDEX('C_jama.2019.2210'!$J$2:$J$10,MATCH("2019::jama.2019.2210::C003",'C_jama.2019.2210'!$A$2:$A$10,0))="","",INDEX('C_jama.2019.2210'!$J$2:$J$10,MATCH("2019::jama.2019.2210::C003",'C_jama.2019.2210'!$A$2:$A$10,0))),"not_applicable"),"NOT FROZEN")</x:f>
        <x:v>not_applicable</x:v>
      </x:c>
      <x:c r="G57" s="3" t="str">
        <x:f>IF(Setup!$B$6="primary",IF(AND(INDEX('C_jama.2019.2210'!$D$2:$D$10,MATCH("2019::jama.2019.2210::C003",'C_jama.2019.2210'!$A$2:$A$10,0))="retain",OR(INDEX('C_jama.2019.2210'!$E$2:$E$10,MATCH("2019::jama.2019.2210::C003",'C_jama.2019.2210'!$A$2:$A$10,0))="report_internal_inconsistency",INDEX('C_jama.2019.2210'!$E$2:$E$10,MATCH("2019::jama.2019.2210::C003",'C_jama.2019.2210'!$A$2:$A$10,0))="plan_material")),IF(INDEX('C_jama.2019.2210'!$K$2:$K$10,MATCH("2019::jama.2019.2210::C003",'C_jama.2019.2210'!$A$2:$A$10,0))="","",INDEX('C_jama.2019.2210'!$K$2:$K$10,MATCH("2019::jama.2019.2210::C003",'C_jama.2019.2210'!$A$2:$A$10,0))),"not_applicable"),"NOT FROZEN")</x:f>
        <x:v>not_applicable</x:v>
      </x:c>
      <x:c r="H57" s="3" t="str">
        <x:f>IF(Setup!$B$6="primary",IF(AND(INDEX('C_jama.2019.2210'!$D$2:$D$10,MATCH("2019::jama.2019.2210::C003",'C_jama.2019.2210'!$A$2:$A$10,0))="retain",INDEX('C_jama.2019.2210'!$E$2:$E$10,MATCH("2019::jama.2019.2210::C003",'C_jama.2019.2210'!$A$2:$A$10,0))="protocol_report"),IF(INDEX('C_jama.2019.2210'!$L$2:$L$10,MATCH("2019::jama.2019.2210::C003",'C_jama.2019.2210'!$A$2:$A$10,0))="","",INDEX('C_jama.2019.2210'!$L$2:$L$10,MATCH("2019::jama.2019.2210::C003",'C_jama.2019.2210'!$A$2:$A$10,0))),"not_applicable"),"NOT FROZEN")</x:f>
        <x:v>not_applicable</x:v>
      </x:c>
      <x:c r="I57" s="3" t="str">
        <x:f>IF(Setup!$B$6="primary",IF(INDEX('C_jama.2019.2210'!$R$2:$R$10,MATCH("2019::jama.2019.2210::C003",'C_jama.2019.2210'!$A$2:$A$10,0))="","",INDEX('C_jama.2019.2210'!$R$2:$R$10,MATCH("2019::jama.2019.2210::C003",'C_jama.2019.2210'!$A$2:$A$10,0))),"NOT FROZEN")</x:f>
      </x:c>
      <x:c r="J57" s="3" t="str">
        <x:f>IF(Setup!$B$6="primary",INDEX('C_jama.2019.2210'!$F$2:$F$10,MATCH("2019::jama.2019.2210::C003",'C_jama.2019.2210'!$A$2:$A$10,0)),"NOT FROZEN")</x:f>
        <x:v>no</x:v>
      </x:c>
      <x:c r="K57" s="3" t="str">
        <x:f>IF(Setup!$B$6="primary",Setup!$B$2,"NOT FROZEN")</x:f>
      </x:c>
      <x:c r="L57" s="3" t="str">
        <x:f>IF(Setup!$B$6="primary",IF(OR(B57="",B57="not_applicable"),"","Disposition: "&amp;B57&amp;CHAR(10))&amp;IF(OR(C57="",C57="not_applicable"),"","Review domain: "&amp;C57&amp;CHAR(10))&amp;IF(OR(D57="",D57="not_applicable"),"","Statistcal_or_numerical issue: "&amp;D57&amp;CHAR(10))&amp;IF(OR(E57="",E57="not_applicable"),"","Substantiveness: "&amp;E57&amp;CHAR(10))&amp;IF(OR(F57="",F57="not_applicable"),"","Downstream impact: "&amp;F57&amp;CHAR(10))&amp;IF(OR(G57="",G57="not_applicable"),"","Report-internal or planning-material inconsistency: "&amp;G57&amp;CHAR(10))&amp;IF(OR(H57="",H57="not_applicable"),"","Protocol interpretation: "&amp;H57&amp;CHAR(10))&amp;IF(OR(I57="",I57="not_applicable"),"","Notes (optional): "&amp;I57&amp;CHAR(10)),"NOT FROZEN")</x:f>
        <x:v>Review domain: plan_material
</x:v>
      </x:c>
    </x:row>
    <x:row r="58" ht="70" customHeight="1">
      <x:c r="A58" s="6" t="str">
        <x:f>IF(Setup!$B$6="primary","2019::jama.2019.2210::C004","NOT FROZEN")</x:f>
        <x:v>2019::jama.2019.2210::C004</x:v>
      </x:c>
      <x:c r="B58" s="6" t="str">
        <x:f>IF(Setup!$B$6="primary",IF(INDEX('C_jama.2019.2210'!$D$2:$D$10,MATCH("2019::jama.2019.2210::C004",'C_jama.2019.2210'!$A$2:$A$10,0))="","",INDEX('C_jama.2019.2210'!$D$2:$D$10,MATCH("2019::jama.2019.2210::C004",'C_jama.2019.2210'!$A$2:$A$10,0))),"NOT FROZEN")</x:f>
      </x:c>
      <x:c r="C58" s="6" t="str">
        <x:f>IF(Setup!$B$6="primary",IF(INDEX('C_jama.2019.2210'!$E$2:$E$10,MATCH("2019::jama.2019.2210::C004",'C_jama.2019.2210'!$A$2:$A$10,0))="","",INDEX('C_jama.2019.2210'!$E$2:$E$10,MATCH("2019::jama.2019.2210::C004",'C_jama.2019.2210'!$A$2:$A$10,0))),"NOT FROZEN")</x:f>
        <x:v>protocol_report</x:v>
      </x:c>
      <x:c r="D58" s="6" t="str">
        <x:f>IF(Setup!$B$6="primary",IF(AND(INDEX('C_jama.2019.2210'!$D$2:$D$10,MATCH("2019::jama.2019.2210::C004",'C_jama.2019.2210'!$A$2:$A$10,0))="retain",INDEX('C_jama.2019.2210'!$E$2:$E$10,MATCH("2019::jama.2019.2210::C004",'C_jama.2019.2210'!$A$2:$A$10,0))="statistical_results"),IF(INDEX('C_jama.2019.2210'!$H$2:$H$10,MATCH("2019::jama.2019.2210::C004",'C_jama.2019.2210'!$A$2:$A$10,0))="","",INDEX('C_jama.2019.2210'!$H$2:$H$10,MATCH("2019::jama.2019.2210::C004",'C_jama.2019.2210'!$A$2:$A$10,0))),"not_applicable"),"NOT FROZEN")</x:f>
        <x:v>not_applicable</x:v>
      </x:c>
      <x:c r="E58" s="6" t="str">
        <x:f>IF(Setup!$B$6="primary",IF(AND(INDEX('C_jama.2019.2210'!$D$2:$D$10,MATCH("2019::jama.2019.2210::C004",'C_jama.2019.2210'!$A$2:$A$10,0))="retain",INDEX('C_jama.2019.2210'!$E$2:$E$10,MATCH("2019::jama.2019.2210::C004",'C_jama.2019.2210'!$A$2:$A$10,0))="statistical_results"),IF(INDEX('C_jama.2019.2210'!$I$2:$I$10,MATCH("2019::jama.2019.2210::C004",'C_jama.2019.2210'!$A$2:$A$10,0))="","",INDEX('C_jama.2019.2210'!$I$2:$I$10,MATCH("2019::jama.2019.2210::C004",'C_jama.2019.2210'!$A$2:$A$10,0))),"not_applicable"),"NOT FROZEN")</x:f>
        <x:v>not_applicable</x:v>
      </x:c>
      <x:c r="F58" s="6" t="str">
        <x:f>IF(Setup!$B$6="primary",IF(AND(INDEX('C_jama.2019.2210'!$D$2:$D$10,MATCH("2019::jama.2019.2210::C004",'C_jama.2019.2210'!$A$2:$A$10,0))="retain",INDEX('C_jama.2019.2210'!$E$2:$E$10,MATCH("2019::jama.2019.2210::C004",'C_jama.2019.2210'!$A$2:$A$10,0))="statistical_results"),IF(INDEX('C_jama.2019.2210'!$J$2:$J$10,MATCH("2019::jama.2019.2210::C004",'C_jama.2019.2210'!$A$2:$A$10,0))="","",INDEX('C_jama.2019.2210'!$J$2:$J$10,MATCH("2019::jama.2019.2210::C004",'C_jama.2019.2210'!$A$2:$A$10,0))),"not_applicable"),"NOT FROZEN")</x:f>
        <x:v>not_applicable</x:v>
      </x:c>
      <x:c r="G58" s="6" t="str">
        <x:f>IF(Setup!$B$6="primary",IF(AND(INDEX('C_jama.2019.2210'!$D$2:$D$10,MATCH("2019::jama.2019.2210::C004",'C_jama.2019.2210'!$A$2:$A$10,0))="retain",OR(INDEX('C_jama.2019.2210'!$E$2:$E$10,MATCH("2019::jama.2019.2210::C004",'C_jama.2019.2210'!$A$2:$A$10,0))="report_internal_inconsistency",INDEX('C_jama.2019.2210'!$E$2:$E$10,MATCH("2019::jama.2019.2210::C004",'C_jama.2019.2210'!$A$2:$A$10,0))="plan_material")),IF(INDEX('C_jama.2019.2210'!$K$2:$K$10,MATCH("2019::jama.2019.2210::C004",'C_jama.2019.2210'!$A$2:$A$10,0))="","",INDEX('C_jama.2019.2210'!$K$2:$K$10,MATCH("2019::jama.2019.2210::C004",'C_jama.2019.2210'!$A$2:$A$10,0))),"not_applicable"),"NOT FROZEN")</x:f>
        <x:v>not_applicable</x:v>
      </x:c>
      <x:c r="H58" s="6" t="str">
        <x:f>IF(Setup!$B$6="primary",IF(AND(INDEX('C_jama.2019.2210'!$D$2:$D$10,MATCH("2019::jama.2019.2210::C004",'C_jama.2019.2210'!$A$2:$A$10,0))="retain",INDEX('C_jama.2019.2210'!$E$2:$E$10,MATCH("2019::jama.2019.2210::C004",'C_jama.2019.2210'!$A$2:$A$10,0))="protocol_report"),IF(INDEX('C_jama.2019.2210'!$L$2:$L$10,MATCH("2019::jama.2019.2210::C004",'C_jama.2019.2210'!$A$2:$A$10,0))="","",INDEX('C_jama.2019.2210'!$L$2:$L$10,MATCH("2019::jama.2019.2210::C004",'C_jama.2019.2210'!$A$2:$A$10,0))),"not_applicable"),"NOT FROZEN")</x:f>
        <x:v>not_applicable</x:v>
      </x:c>
      <x:c r="I58" s="6" t="str">
        <x:f>IF(Setup!$B$6="primary",IF(INDEX('C_jama.2019.2210'!$R$2:$R$10,MATCH("2019::jama.2019.2210::C004",'C_jama.2019.2210'!$A$2:$A$10,0))="","",INDEX('C_jama.2019.2210'!$R$2:$R$10,MATCH("2019::jama.2019.2210::C004",'C_jama.2019.2210'!$A$2:$A$10,0))),"NOT FROZEN")</x:f>
      </x:c>
      <x:c r="J58" s="6" t="str">
        <x:f>IF(Setup!$B$6="primary",INDEX('C_jama.2019.2210'!$F$2:$F$10,MATCH("2019::jama.2019.2210::C004",'C_jama.2019.2210'!$A$2:$A$10,0)),"NOT FROZEN")</x:f>
        <x:v>no</x:v>
      </x:c>
      <x:c r="K58" s="6" t="str">
        <x:f>IF(Setup!$B$6="primary",Setup!$B$2,"NOT FROZEN")</x:f>
      </x:c>
      <x:c r="L58" s="6" t="str">
        <x:f>IF(Setup!$B$6="primary",IF(OR(B58="",B58="not_applicable"),"","Disposition: "&amp;B58&amp;CHAR(10))&amp;IF(OR(C58="",C58="not_applicable"),"","Review domain: "&amp;C58&amp;CHAR(10))&amp;IF(OR(D58="",D58="not_applicable"),"","Statistcal_or_numerical issue: "&amp;D58&amp;CHAR(10))&amp;IF(OR(E58="",E58="not_applicable"),"","Substantiveness: "&amp;E58&amp;CHAR(10))&amp;IF(OR(F58="",F58="not_applicable"),"","Downstream impact: "&amp;F58&amp;CHAR(10))&amp;IF(OR(G58="",G58="not_applicable"),"","Report-internal or planning-material inconsistency: "&amp;G58&amp;CHAR(10))&amp;IF(OR(H58="",H58="not_applicable"),"","Protocol interpretation: "&amp;H58&amp;CHAR(10))&amp;IF(OR(I58="",I58="not_applicable"),"","Notes (optional): "&amp;I58&amp;CHAR(10)),"NOT FROZEN")</x:f>
        <x:v>Review domain: protocol_report
</x:v>
      </x:c>
    </x:row>
    <x:row r="59" ht="70" customHeight="1">
      <x:c r="A59" s="3" t="str">
        <x:f>IF(Setup!$B$6="primary","2019::jama.2019.2210::C005","NOT FROZEN")</x:f>
        <x:v>2019::jama.2019.2210::C005</x:v>
      </x:c>
      <x:c r="B59" s="3" t="str">
        <x:f>IF(Setup!$B$6="primary",IF(INDEX('C_jama.2019.2210'!$D$2:$D$10,MATCH("2019::jama.2019.2210::C005",'C_jama.2019.2210'!$A$2:$A$10,0))="","",INDEX('C_jama.2019.2210'!$D$2:$D$10,MATCH("2019::jama.2019.2210::C005",'C_jama.2019.2210'!$A$2:$A$10,0))),"NOT FROZEN")</x:f>
      </x:c>
      <x:c r="C59" s="3" t="str">
        <x:f>IF(Setup!$B$6="primary",IF(INDEX('C_jama.2019.2210'!$E$2:$E$10,MATCH("2019::jama.2019.2210::C005",'C_jama.2019.2210'!$A$2:$A$10,0))="","",INDEX('C_jama.2019.2210'!$E$2:$E$10,MATCH("2019::jama.2019.2210::C005",'C_jama.2019.2210'!$A$2:$A$10,0))),"NOT FROZEN")</x:f>
        <x:v>plan_material</x:v>
      </x:c>
      <x:c r="D59" s="3" t="str">
        <x:f>IF(Setup!$B$6="primary",IF(AND(INDEX('C_jama.2019.2210'!$D$2:$D$10,MATCH("2019::jama.2019.2210::C005",'C_jama.2019.2210'!$A$2:$A$10,0))="retain",INDEX('C_jama.2019.2210'!$E$2:$E$10,MATCH("2019::jama.2019.2210::C005",'C_jama.2019.2210'!$A$2:$A$10,0))="statistical_results"),IF(INDEX('C_jama.2019.2210'!$H$2:$H$10,MATCH("2019::jama.2019.2210::C005",'C_jama.2019.2210'!$A$2:$A$10,0))="","",INDEX('C_jama.2019.2210'!$H$2:$H$10,MATCH("2019::jama.2019.2210::C005",'C_jama.2019.2210'!$A$2:$A$10,0))),"not_applicable"),"NOT FROZEN")</x:f>
        <x:v>not_applicable</x:v>
      </x:c>
      <x:c r="E59" s="3" t="str">
        <x:f>IF(Setup!$B$6="primary",IF(AND(INDEX('C_jama.2019.2210'!$D$2:$D$10,MATCH("2019::jama.2019.2210::C005",'C_jama.2019.2210'!$A$2:$A$10,0))="retain",INDEX('C_jama.2019.2210'!$E$2:$E$10,MATCH("2019::jama.2019.2210::C005",'C_jama.2019.2210'!$A$2:$A$10,0))="statistical_results"),IF(INDEX('C_jama.2019.2210'!$I$2:$I$10,MATCH("2019::jama.2019.2210::C005",'C_jama.2019.2210'!$A$2:$A$10,0))="","",INDEX('C_jama.2019.2210'!$I$2:$I$10,MATCH("2019::jama.2019.2210::C005",'C_jama.2019.2210'!$A$2:$A$10,0))),"not_applicable"),"NOT FROZEN")</x:f>
        <x:v>not_applicable</x:v>
      </x:c>
      <x:c r="F59" s="3" t="str">
        <x:f>IF(Setup!$B$6="primary",IF(AND(INDEX('C_jama.2019.2210'!$D$2:$D$10,MATCH("2019::jama.2019.2210::C005",'C_jama.2019.2210'!$A$2:$A$10,0))="retain",INDEX('C_jama.2019.2210'!$E$2:$E$10,MATCH("2019::jama.2019.2210::C005",'C_jama.2019.2210'!$A$2:$A$10,0))="statistical_results"),IF(INDEX('C_jama.2019.2210'!$J$2:$J$10,MATCH("2019::jama.2019.2210::C005",'C_jama.2019.2210'!$A$2:$A$10,0))="","",INDEX('C_jama.2019.2210'!$J$2:$J$10,MATCH("2019::jama.2019.2210::C005",'C_jama.2019.2210'!$A$2:$A$10,0))),"not_applicable"),"NOT FROZEN")</x:f>
        <x:v>not_applicable</x:v>
      </x:c>
      <x:c r="G59" s="3" t="str">
        <x:f>IF(Setup!$B$6="primary",IF(AND(INDEX('C_jama.2019.2210'!$D$2:$D$10,MATCH("2019::jama.2019.2210::C005",'C_jama.2019.2210'!$A$2:$A$10,0))="retain",OR(INDEX('C_jama.2019.2210'!$E$2:$E$10,MATCH("2019::jama.2019.2210::C005",'C_jama.2019.2210'!$A$2:$A$10,0))="report_internal_inconsistency",INDEX('C_jama.2019.2210'!$E$2:$E$10,MATCH("2019::jama.2019.2210::C005",'C_jama.2019.2210'!$A$2:$A$10,0))="plan_material")),IF(INDEX('C_jama.2019.2210'!$K$2:$K$10,MATCH("2019::jama.2019.2210::C005",'C_jama.2019.2210'!$A$2:$A$10,0))="","",INDEX('C_jama.2019.2210'!$K$2:$K$10,MATCH("2019::jama.2019.2210::C005",'C_jama.2019.2210'!$A$2:$A$10,0))),"not_applicable"),"NOT FROZEN")</x:f>
        <x:v>not_applicable</x:v>
      </x:c>
      <x:c r="H59" s="3" t="str">
        <x:f>IF(Setup!$B$6="primary",IF(AND(INDEX('C_jama.2019.2210'!$D$2:$D$10,MATCH("2019::jama.2019.2210::C005",'C_jama.2019.2210'!$A$2:$A$10,0))="retain",INDEX('C_jama.2019.2210'!$E$2:$E$10,MATCH("2019::jama.2019.2210::C005",'C_jama.2019.2210'!$A$2:$A$10,0))="protocol_report"),IF(INDEX('C_jama.2019.2210'!$L$2:$L$10,MATCH("2019::jama.2019.2210::C005",'C_jama.2019.2210'!$A$2:$A$10,0))="","",INDEX('C_jama.2019.2210'!$L$2:$L$10,MATCH("2019::jama.2019.2210::C005",'C_jama.2019.2210'!$A$2:$A$10,0))),"not_applicable"),"NOT FROZEN")</x:f>
        <x:v>not_applicable</x:v>
      </x:c>
      <x:c r="I59" s="3" t="str">
        <x:f>IF(Setup!$B$6="primary",IF(INDEX('C_jama.2019.2210'!$R$2:$R$10,MATCH("2019::jama.2019.2210::C005",'C_jama.2019.2210'!$A$2:$A$10,0))="","",INDEX('C_jama.2019.2210'!$R$2:$R$10,MATCH("2019::jama.2019.2210::C005",'C_jama.2019.2210'!$A$2:$A$10,0))),"NOT FROZEN")</x:f>
      </x:c>
      <x:c r="J59" s="3" t="str">
        <x:f>IF(Setup!$B$6="primary",INDEX('C_jama.2019.2210'!$F$2:$F$10,MATCH("2019::jama.2019.2210::C005",'C_jama.2019.2210'!$A$2:$A$10,0)),"NOT FROZEN")</x:f>
        <x:v>no</x:v>
      </x:c>
      <x:c r="K59" s="3" t="str">
        <x:f>IF(Setup!$B$6="primary",Setup!$B$2,"NOT FROZEN")</x:f>
      </x:c>
      <x:c r="L59" s="3" t="str">
        <x:f>IF(Setup!$B$6="primary",IF(OR(B59="",B59="not_applicable"),"","Disposition: "&amp;B59&amp;CHAR(10))&amp;IF(OR(C59="",C59="not_applicable"),"","Review domain: "&amp;C59&amp;CHAR(10))&amp;IF(OR(D59="",D59="not_applicable"),"","Statistcal_or_numerical issue: "&amp;D59&amp;CHAR(10))&amp;IF(OR(E59="",E59="not_applicable"),"","Substantiveness: "&amp;E59&amp;CHAR(10))&amp;IF(OR(F59="",F59="not_applicable"),"","Downstream impact: "&amp;F59&amp;CHAR(10))&amp;IF(OR(G59="",G59="not_applicable"),"","Report-internal or planning-material inconsistency: "&amp;G59&amp;CHAR(10))&amp;IF(OR(H59="",H59="not_applicable"),"","Protocol interpretation: "&amp;H59&amp;CHAR(10))&amp;IF(OR(I59="",I59="not_applicable"),"","Notes (optional): "&amp;I59&amp;CHAR(10)),"NOT FROZEN")</x:f>
        <x:v>Review domain: plan_material
</x:v>
      </x:c>
    </x:row>
    <x:row r="60" ht="70" customHeight="1">
      <x:c r="A60" s="6" t="str">
        <x:f>IF(Setup!$B$6="primary","2019::jama.2019.2210::C006","NOT FROZEN")</x:f>
        <x:v>2019::jama.2019.2210::C006</x:v>
      </x:c>
      <x:c r="B60" s="6" t="str">
        <x:f>IF(Setup!$B$6="primary",IF(INDEX('C_jama.2019.2210'!$D$2:$D$10,MATCH("2019::jama.2019.2210::C006",'C_jama.2019.2210'!$A$2:$A$10,0))="","",INDEX('C_jama.2019.2210'!$D$2:$D$10,MATCH("2019::jama.2019.2210::C006",'C_jama.2019.2210'!$A$2:$A$10,0))),"NOT FROZEN")</x:f>
      </x:c>
      <x:c r="C60" s="6" t="str">
        <x:f>IF(Setup!$B$6="primary",IF(INDEX('C_jama.2019.2210'!$E$2:$E$10,MATCH("2019::jama.2019.2210::C006",'C_jama.2019.2210'!$A$2:$A$10,0))="","",INDEX('C_jama.2019.2210'!$E$2:$E$10,MATCH("2019::jama.2019.2210::C006",'C_jama.2019.2210'!$A$2:$A$10,0))),"NOT FROZEN")</x:f>
        <x:v>report_internal_inconsistency</x:v>
      </x:c>
      <x:c r="D60" s="6" t="str">
        <x:f>IF(Setup!$B$6="primary",IF(AND(INDEX('C_jama.2019.2210'!$D$2:$D$10,MATCH("2019::jama.2019.2210::C006",'C_jama.2019.2210'!$A$2:$A$10,0))="retain",INDEX('C_jama.2019.2210'!$E$2:$E$10,MATCH("2019::jama.2019.2210::C006",'C_jama.2019.2210'!$A$2:$A$10,0))="statistical_results"),IF(INDEX('C_jama.2019.2210'!$H$2:$H$10,MATCH("2019::jama.2019.2210::C006",'C_jama.2019.2210'!$A$2:$A$10,0))="","",INDEX('C_jama.2019.2210'!$H$2:$H$10,MATCH("2019::jama.2019.2210::C006",'C_jama.2019.2210'!$A$2:$A$10,0))),"not_applicable"),"NOT FROZEN")</x:f>
        <x:v>not_applicable</x:v>
      </x:c>
      <x:c r="E60" s="6" t="str">
        <x:f>IF(Setup!$B$6="primary",IF(AND(INDEX('C_jama.2019.2210'!$D$2:$D$10,MATCH("2019::jama.2019.2210::C006",'C_jama.2019.2210'!$A$2:$A$10,0))="retain",INDEX('C_jama.2019.2210'!$E$2:$E$10,MATCH("2019::jama.2019.2210::C006",'C_jama.2019.2210'!$A$2:$A$10,0))="statistical_results"),IF(INDEX('C_jama.2019.2210'!$I$2:$I$10,MATCH("2019::jama.2019.2210::C006",'C_jama.2019.2210'!$A$2:$A$10,0))="","",INDEX('C_jama.2019.2210'!$I$2:$I$10,MATCH("2019::jama.2019.2210::C006",'C_jama.2019.2210'!$A$2:$A$10,0))),"not_applicable"),"NOT FROZEN")</x:f>
        <x:v>not_applicable</x:v>
      </x:c>
      <x:c r="F60" s="6" t="str">
        <x:f>IF(Setup!$B$6="primary",IF(AND(INDEX('C_jama.2019.2210'!$D$2:$D$10,MATCH("2019::jama.2019.2210::C006",'C_jama.2019.2210'!$A$2:$A$10,0))="retain",INDEX('C_jama.2019.2210'!$E$2:$E$10,MATCH("2019::jama.2019.2210::C006",'C_jama.2019.2210'!$A$2:$A$10,0))="statistical_results"),IF(INDEX('C_jama.2019.2210'!$J$2:$J$10,MATCH("2019::jama.2019.2210::C006",'C_jama.2019.2210'!$A$2:$A$10,0))="","",INDEX('C_jama.2019.2210'!$J$2:$J$10,MATCH("2019::jama.2019.2210::C006",'C_jama.2019.2210'!$A$2:$A$10,0))),"not_applicable"),"NOT FROZEN")</x:f>
        <x:v>not_applicable</x:v>
      </x:c>
      <x:c r="G60" s="6" t="str">
        <x:f>IF(Setup!$B$6="primary",IF(AND(INDEX('C_jama.2019.2210'!$D$2:$D$10,MATCH("2019::jama.2019.2210::C006",'C_jama.2019.2210'!$A$2:$A$10,0))="retain",OR(INDEX('C_jama.2019.2210'!$E$2:$E$10,MATCH("2019::jama.2019.2210::C006",'C_jama.2019.2210'!$A$2:$A$10,0))="report_internal_inconsistency",INDEX('C_jama.2019.2210'!$E$2:$E$10,MATCH("2019::jama.2019.2210::C006",'C_jama.2019.2210'!$A$2:$A$10,0))="plan_material")),IF(INDEX('C_jama.2019.2210'!$K$2:$K$10,MATCH("2019::jama.2019.2210::C006",'C_jama.2019.2210'!$A$2:$A$10,0))="","",INDEX('C_jama.2019.2210'!$K$2:$K$10,MATCH("2019::jama.2019.2210::C006",'C_jama.2019.2210'!$A$2:$A$10,0))),"not_applicable"),"NOT FROZEN")</x:f>
        <x:v>not_applicable</x:v>
      </x:c>
      <x:c r="H60" s="6" t="str">
        <x:f>IF(Setup!$B$6="primary",IF(AND(INDEX('C_jama.2019.2210'!$D$2:$D$10,MATCH("2019::jama.2019.2210::C006",'C_jama.2019.2210'!$A$2:$A$10,0))="retain",INDEX('C_jama.2019.2210'!$E$2:$E$10,MATCH("2019::jama.2019.2210::C006",'C_jama.2019.2210'!$A$2:$A$10,0))="protocol_report"),IF(INDEX('C_jama.2019.2210'!$L$2:$L$10,MATCH("2019::jama.2019.2210::C006",'C_jama.2019.2210'!$A$2:$A$10,0))="","",INDEX('C_jama.2019.2210'!$L$2:$L$10,MATCH("2019::jama.2019.2210::C006",'C_jama.2019.2210'!$A$2:$A$10,0))),"not_applicable"),"NOT FROZEN")</x:f>
        <x:v>not_applicable</x:v>
      </x:c>
      <x:c r="I60" s="6" t="str">
        <x:f>IF(Setup!$B$6="primary",IF(INDEX('C_jama.2019.2210'!$R$2:$R$10,MATCH("2019::jama.2019.2210::C006",'C_jama.2019.2210'!$A$2:$A$10,0))="","",INDEX('C_jama.2019.2210'!$R$2:$R$10,MATCH("2019::jama.2019.2210::C006",'C_jama.2019.2210'!$A$2:$A$10,0))),"NOT FROZEN")</x:f>
      </x:c>
      <x:c r="J60" s="6" t="str">
        <x:f>IF(Setup!$B$6="primary",INDEX('C_jama.2019.2210'!$F$2:$F$10,MATCH("2019::jama.2019.2210::C006",'C_jama.2019.2210'!$A$2:$A$10,0)),"NOT FROZEN")</x:f>
        <x:v>no</x:v>
      </x:c>
      <x:c r="K60" s="6" t="str">
        <x:f>IF(Setup!$B$6="primary",Setup!$B$2,"NOT FROZEN")</x:f>
      </x:c>
      <x:c r="L60" s="6" t="str">
        <x:f>IF(Setup!$B$6="primary",IF(OR(B60="",B60="not_applicable"),"","Disposition: "&amp;B60&amp;CHAR(10))&amp;IF(OR(C60="",C60="not_applicable"),"","Review domain: "&amp;C60&amp;CHAR(10))&amp;IF(OR(D60="",D60="not_applicable"),"","Statistcal_or_numerical issue: "&amp;D60&amp;CHAR(10))&amp;IF(OR(E60="",E60="not_applicable"),"","Substantiveness: "&amp;E60&amp;CHAR(10))&amp;IF(OR(F60="",F60="not_applicable"),"","Downstream impact: "&amp;F60&amp;CHAR(10))&amp;IF(OR(G60="",G60="not_applicable"),"","Report-internal or planning-material inconsistency: "&amp;G60&amp;CHAR(10))&amp;IF(OR(H60="",H60="not_applicable"),"","Protocol interpretation: "&amp;H60&amp;CHAR(10))&amp;IF(OR(I60="",I60="not_applicable"),"","Notes (optional): "&amp;I60&amp;CHAR(10)),"NOT FROZEN")</x:f>
        <x:v>Review domain: report_internal_inconsistency
</x:v>
      </x:c>
    </x:row>
    <x:row r="61" ht="70" customHeight="1">
      <x:c r="A61" s="3" t="str">
        <x:f>IF(Setup!$B$6="primary","2019::jama.2019.2210::C007","NOT FROZEN")</x:f>
        <x:v>2019::jama.2019.2210::C007</x:v>
      </x:c>
      <x:c r="B61" s="3" t="str">
        <x:f>IF(Setup!$B$6="primary",IF(INDEX('C_jama.2019.2210'!$D$2:$D$10,MATCH("2019::jama.2019.2210::C007",'C_jama.2019.2210'!$A$2:$A$10,0))="","",INDEX('C_jama.2019.2210'!$D$2:$D$10,MATCH("2019::jama.2019.2210::C007",'C_jama.2019.2210'!$A$2:$A$10,0))),"NOT FROZEN")</x:f>
      </x:c>
      <x:c r="C61" s="3" t="str">
        <x:f>IF(Setup!$B$6="primary",IF(INDEX('C_jama.2019.2210'!$E$2:$E$10,MATCH("2019::jama.2019.2210::C007",'C_jama.2019.2210'!$A$2:$A$10,0))="","",INDEX('C_jama.2019.2210'!$E$2:$E$10,MATCH("2019::jama.2019.2210::C007",'C_jama.2019.2210'!$A$2:$A$10,0))),"NOT FROZEN")</x:f>
        <x:v>statistical_results</x:v>
      </x:c>
      <x:c r="D61" s="3" t="str">
        <x:f>IF(Setup!$B$6="primary",IF(AND(INDEX('C_jama.2019.2210'!$D$2:$D$10,MATCH("2019::jama.2019.2210::C007",'C_jama.2019.2210'!$A$2:$A$10,0))="retain",INDEX('C_jama.2019.2210'!$E$2:$E$10,MATCH("2019::jama.2019.2210::C007",'C_jama.2019.2210'!$A$2:$A$10,0))="statistical_results"),IF(INDEX('C_jama.2019.2210'!$H$2:$H$10,MATCH("2019::jama.2019.2210::C007",'C_jama.2019.2210'!$A$2:$A$10,0))="","",INDEX('C_jama.2019.2210'!$H$2:$H$10,MATCH("2019::jama.2019.2210::C007",'C_jama.2019.2210'!$A$2:$A$10,0))),"not_applicable"),"NOT FROZEN")</x:f>
        <x:v>not_applicable</x:v>
      </x:c>
      <x:c r="E61" s="3" t="str">
        <x:f>IF(Setup!$B$6="primary",IF(AND(INDEX('C_jama.2019.2210'!$D$2:$D$10,MATCH("2019::jama.2019.2210::C007",'C_jama.2019.2210'!$A$2:$A$10,0))="retain",INDEX('C_jama.2019.2210'!$E$2:$E$10,MATCH("2019::jama.2019.2210::C007",'C_jama.2019.2210'!$A$2:$A$10,0))="statistical_results"),IF(INDEX('C_jama.2019.2210'!$I$2:$I$10,MATCH("2019::jama.2019.2210::C007",'C_jama.2019.2210'!$A$2:$A$10,0))="","",INDEX('C_jama.2019.2210'!$I$2:$I$10,MATCH("2019::jama.2019.2210::C007",'C_jama.2019.2210'!$A$2:$A$10,0))),"not_applicable"),"NOT FROZEN")</x:f>
        <x:v>not_applicable</x:v>
      </x:c>
      <x:c r="F61" s="3" t="str">
        <x:f>IF(Setup!$B$6="primary",IF(AND(INDEX('C_jama.2019.2210'!$D$2:$D$10,MATCH("2019::jama.2019.2210::C007",'C_jama.2019.2210'!$A$2:$A$10,0))="retain",INDEX('C_jama.2019.2210'!$E$2:$E$10,MATCH("2019::jama.2019.2210::C007",'C_jama.2019.2210'!$A$2:$A$10,0))="statistical_results"),IF(INDEX('C_jama.2019.2210'!$J$2:$J$10,MATCH("2019::jama.2019.2210::C007",'C_jama.2019.2210'!$A$2:$A$10,0))="","",INDEX('C_jama.2019.2210'!$J$2:$J$10,MATCH("2019::jama.2019.2210::C007",'C_jama.2019.2210'!$A$2:$A$10,0))),"not_applicable"),"NOT FROZEN")</x:f>
        <x:v>not_applicable</x:v>
      </x:c>
      <x:c r="G61" s="3" t="str">
        <x:f>IF(Setup!$B$6="primary",IF(AND(INDEX('C_jama.2019.2210'!$D$2:$D$10,MATCH("2019::jama.2019.2210::C007",'C_jama.2019.2210'!$A$2:$A$10,0))="retain",OR(INDEX('C_jama.2019.2210'!$E$2:$E$10,MATCH("2019::jama.2019.2210::C007",'C_jama.2019.2210'!$A$2:$A$10,0))="report_internal_inconsistency",INDEX('C_jama.2019.2210'!$E$2:$E$10,MATCH("2019::jama.2019.2210::C007",'C_jama.2019.2210'!$A$2:$A$10,0))="plan_material")),IF(INDEX('C_jama.2019.2210'!$K$2:$K$10,MATCH("2019::jama.2019.2210::C007",'C_jama.2019.2210'!$A$2:$A$10,0))="","",INDEX('C_jama.2019.2210'!$K$2:$K$10,MATCH("2019::jama.2019.2210::C007",'C_jama.2019.2210'!$A$2:$A$10,0))),"not_applicable"),"NOT FROZEN")</x:f>
        <x:v>not_applicable</x:v>
      </x:c>
      <x:c r="H61" s="3" t="str">
        <x:f>IF(Setup!$B$6="primary",IF(AND(INDEX('C_jama.2019.2210'!$D$2:$D$10,MATCH("2019::jama.2019.2210::C007",'C_jama.2019.2210'!$A$2:$A$10,0))="retain",INDEX('C_jama.2019.2210'!$E$2:$E$10,MATCH("2019::jama.2019.2210::C007",'C_jama.2019.2210'!$A$2:$A$10,0))="protocol_report"),IF(INDEX('C_jama.2019.2210'!$L$2:$L$10,MATCH("2019::jama.2019.2210::C007",'C_jama.2019.2210'!$A$2:$A$10,0))="","",INDEX('C_jama.2019.2210'!$L$2:$L$10,MATCH("2019::jama.2019.2210::C007",'C_jama.2019.2210'!$A$2:$A$10,0))),"not_applicable"),"NOT FROZEN")</x:f>
        <x:v>not_applicable</x:v>
      </x:c>
      <x:c r="I61" s="3" t="str">
        <x:f>IF(Setup!$B$6="primary",IF(INDEX('C_jama.2019.2210'!$R$2:$R$10,MATCH("2019::jama.2019.2210::C007",'C_jama.2019.2210'!$A$2:$A$10,0))="","",INDEX('C_jama.2019.2210'!$R$2:$R$10,MATCH("2019::jama.2019.2210::C007",'C_jama.2019.2210'!$A$2:$A$10,0))),"NOT FROZEN")</x:f>
      </x:c>
      <x:c r="J61" s="3" t="str">
        <x:f>IF(Setup!$B$6="primary",INDEX('C_jama.2019.2210'!$F$2:$F$10,MATCH("2019::jama.2019.2210::C007",'C_jama.2019.2210'!$A$2:$A$10,0)),"NOT FROZEN")</x:f>
        <x:v>no</x:v>
      </x:c>
      <x:c r="K61" s="3" t="str">
        <x:f>IF(Setup!$B$6="primary",Setup!$B$2,"NOT FROZEN")</x:f>
      </x:c>
      <x:c r="L61" s="3" t="str">
        <x:f>IF(Setup!$B$6="primary",IF(OR(B61="",B61="not_applicable"),"","Disposition: "&amp;B61&amp;CHAR(10))&amp;IF(OR(C61="",C61="not_applicable"),"","Review domain: "&amp;C61&amp;CHAR(10))&amp;IF(OR(D61="",D61="not_applicable"),"","Statistcal_or_numerical issue: "&amp;D61&amp;CHAR(10))&amp;IF(OR(E61="",E61="not_applicable"),"","Substantiveness: "&amp;E61&amp;CHAR(10))&amp;IF(OR(F61="",F61="not_applicable"),"","Downstream impact: "&amp;F61&amp;CHAR(10))&amp;IF(OR(G61="",G61="not_applicable"),"","Report-internal or planning-material inconsistency: "&amp;G61&amp;CHAR(10))&amp;IF(OR(H61="",H61="not_applicable"),"","Protocol interpretation: "&amp;H61&amp;CHAR(10))&amp;IF(OR(I61="",I61="not_applicable"),"","Notes (optional): "&amp;I61&amp;CHAR(10)),"NOT FROZEN")</x:f>
        <x:v>Review domain: statistical_results
</x:v>
      </x:c>
    </x:row>
    <x:row r="62" ht="70" customHeight="1">
      <x:c r="A62" s="6" t="str">
        <x:f>IF(Setup!$B$6="primary","2019::jama.2019.2210::C008","NOT FROZEN")</x:f>
        <x:v>2019::jama.2019.2210::C008</x:v>
      </x:c>
      <x:c r="B62" s="6" t="str">
        <x:f>IF(Setup!$B$6="primary",IF(INDEX('C_jama.2019.2210'!$D$2:$D$10,MATCH("2019::jama.2019.2210::C008",'C_jama.2019.2210'!$A$2:$A$10,0))="","",INDEX('C_jama.2019.2210'!$D$2:$D$10,MATCH("2019::jama.2019.2210::C008",'C_jama.2019.2210'!$A$2:$A$10,0))),"NOT FROZEN")</x:f>
      </x:c>
      <x:c r="C62" s="6" t="str">
        <x:f>IF(Setup!$B$6="primary",IF(INDEX('C_jama.2019.2210'!$E$2:$E$10,MATCH("2019::jama.2019.2210::C008",'C_jama.2019.2210'!$A$2:$A$10,0))="","",INDEX('C_jama.2019.2210'!$E$2:$E$10,MATCH("2019::jama.2019.2210::C008",'C_jama.2019.2210'!$A$2:$A$10,0))),"NOT FROZEN")</x:f>
        <x:v>protocol_report</x:v>
      </x:c>
      <x:c r="D62" s="6" t="str">
        <x:f>IF(Setup!$B$6="primary",IF(AND(INDEX('C_jama.2019.2210'!$D$2:$D$10,MATCH("2019::jama.2019.2210::C008",'C_jama.2019.2210'!$A$2:$A$10,0))="retain",INDEX('C_jama.2019.2210'!$E$2:$E$10,MATCH("2019::jama.2019.2210::C008",'C_jama.2019.2210'!$A$2:$A$10,0))="statistical_results"),IF(INDEX('C_jama.2019.2210'!$H$2:$H$10,MATCH("2019::jama.2019.2210::C008",'C_jama.2019.2210'!$A$2:$A$10,0))="","",INDEX('C_jama.2019.2210'!$H$2:$H$10,MATCH("2019::jama.2019.2210::C008",'C_jama.2019.2210'!$A$2:$A$10,0))),"not_applicable"),"NOT FROZEN")</x:f>
        <x:v>not_applicable</x:v>
      </x:c>
      <x:c r="E62" s="6" t="str">
        <x:f>IF(Setup!$B$6="primary",IF(AND(INDEX('C_jama.2019.2210'!$D$2:$D$10,MATCH("2019::jama.2019.2210::C008",'C_jama.2019.2210'!$A$2:$A$10,0))="retain",INDEX('C_jama.2019.2210'!$E$2:$E$10,MATCH("2019::jama.2019.2210::C008",'C_jama.2019.2210'!$A$2:$A$10,0))="statistical_results"),IF(INDEX('C_jama.2019.2210'!$I$2:$I$10,MATCH("2019::jama.2019.2210::C008",'C_jama.2019.2210'!$A$2:$A$10,0))="","",INDEX('C_jama.2019.2210'!$I$2:$I$10,MATCH("2019::jama.2019.2210::C008",'C_jama.2019.2210'!$A$2:$A$10,0))),"not_applicable"),"NOT FROZEN")</x:f>
        <x:v>not_applicable</x:v>
      </x:c>
      <x:c r="F62" s="6" t="str">
        <x:f>IF(Setup!$B$6="primary",IF(AND(INDEX('C_jama.2019.2210'!$D$2:$D$10,MATCH("2019::jama.2019.2210::C008",'C_jama.2019.2210'!$A$2:$A$10,0))="retain",INDEX('C_jama.2019.2210'!$E$2:$E$10,MATCH("2019::jama.2019.2210::C008",'C_jama.2019.2210'!$A$2:$A$10,0))="statistical_results"),IF(INDEX('C_jama.2019.2210'!$J$2:$J$10,MATCH("2019::jama.2019.2210::C008",'C_jama.2019.2210'!$A$2:$A$10,0))="","",INDEX('C_jama.2019.2210'!$J$2:$J$10,MATCH("2019::jama.2019.2210::C008",'C_jama.2019.2210'!$A$2:$A$10,0))),"not_applicable"),"NOT FROZEN")</x:f>
        <x:v>not_applicable</x:v>
      </x:c>
      <x:c r="G62" s="6" t="str">
        <x:f>IF(Setup!$B$6="primary",IF(AND(INDEX('C_jama.2019.2210'!$D$2:$D$10,MATCH("2019::jama.2019.2210::C008",'C_jama.2019.2210'!$A$2:$A$10,0))="retain",OR(INDEX('C_jama.2019.2210'!$E$2:$E$10,MATCH("2019::jama.2019.2210::C008",'C_jama.2019.2210'!$A$2:$A$10,0))="report_internal_inconsistency",INDEX('C_jama.2019.2210'!$E$2:$E$10,MATCH("2019::jama.2019.2210::C008",'C_jama.2019.2210'!$A$2:$A$10,0))="plan_material")),IF(INDEX('C_jama.2019.2210'!$K$2:$K$10,MATCH("2019::jama.2019.2210::C008",'C_jama.2019.2210'!$A$2:$A$10,0))="","",INDEX('C_jama.2019.2210'!$K$2:$K$10,MATCH("2019::jama.2019.2210::C008",'C_jama.2019.2210'!$A$2:$A$10,0))),"not_applicable"),"NOT FROZEN")</x:f>
        <x:v>not_applicable</x:v>
      </x:c>
      <x:c r="H62" s="6" t="str">
        <x:f>IF(Setup!$B$6="primary",IF(AND(INDEX('C_jama.2019.2210'!$D$2:$D$10,MATCH("2019::jama.2019.2210::C008",'C_jama.2019.2210'!$A$2:$A$10,0))="retain",INDEX('C_jama.2019.2210'!$E$2:$E$10,MATCH("2019::jama.2019.2210::C008",'C_jama.2019.2210'!$A$2:$A$10,0))="protocol_report"),IF(INDEX('C_jama.2019.2210'!$L$2:$L$10,MATCH("2019::jama.2019.2210::C008",'C_jama.2019.2210'!$A$2:$A$10,0))="","",INDEX('C_jama.2019.2210'!$L$2:$L$10,MATCH("2019::jama.2019.2210::C008",'C_jama.2019.2210'!$A$2:$A$10,0))),"not_applicable"),"NOT FROZEN")</x:f>
        <x:v>not_applicable</x:v>
      </x:c>
      <x:c r="I62" s="6" t="str">
        <x:f>IF(Setup!$B$6="primary",IF(INDEX('C_jama.2019.2210'!$R$2:$R$10,MATCH("2019::jama.2019.2210::C008",'C_jama.2019.2210'!$A$2:$A$10,0))="","",INDEX('C_jama.2019.2210'!$R$2:$R$10,MATCH("2019::jama.2019.2210::C008",'C_jama.2019.2210'!$A$2:$A$10,0))),"NOT FROZEN")</x:f>
      </x:c>
      <x:c r="J62" s="6" t="str">
        <x:f>IF(Setup!$B$6="primary",INDEX('C_jama.2019.2210'!$F$2:$F$10,MATCH("2019::jama.2019.2210::C008",'C_jama.2019.2210'!$A$2:$A$10,0)),"NOT FROZEN")</x:f>
        <x:v>no</x:v>
      </x:c>
      <x:c r="K62" s="6" t="str">
        <x:f>IF(Setup!$B$6="primary",Setup!$B$2,"NOT FROZEN")</x:f>
      </x:c>
      <x:c r="L62" s="6" t="str">
        <x:f>IF(Setup!$B$6="primary",IF(OR(B62="",B62="not_applicable"),"","Disposition: "&amp;B62&amp;CHAR(10))&amp;IF(OR(C62="",C62="not_applicable"),"","Review domain: "&amp;C62&amp;CHAR(10))&amp;IF(OR(D62="",D62="not_applicable"),"","Statistcal_or_numerical issue: "&amp;D62&amp;CHAR(10))&amp;IF(OR(E62="",E62="not_applicable"),"","Substantiveness: "&amp;E62&amp;CHAR(10))&amp;IF(OR(F62="",F62="not_applicable"),"","Downstream impact: "&amp;F62&amp;CHAR(10))&amp;IF(OR(G62="",G62="not_applicable"),"","Report-internal or planning-material inconsistency: "&amp;G62&amp;CHAR(10))&amp;IF(OR(H62="",H62="not_applicable"),"","Protocol interpretation: "&amp;H62&amp;CHAR(10))&amp;IF(OR(I62="",I62="not_applicable"),"","Notes (optional): "&amp;I62&amp;CHAR(10)),"NOT FROZEN")</x:f>
        <x:v>Review domain: protocol_report
</x:v>
      </x:c>
    </x:row>
    <x:row r="63" ht="70" customHeight="1">
      <x:c r="A63" s="3" t="str">
        <x:f>IF(Setup!$B$6="primary","2019::jama.2019.2210::C009","NOT FROZEN")</x:f>
        <x:v>2019::jama.2019.2210::C009</x:v>
      </x:c>
      <x:c r="B63" s="3" t="str">
        <x:f>IF(Setup!$B$6="primary",IF(INDEX('C_jama.2019.2210'!$D$2:$D$10,MATCH("2019::jama.2019.2210::C009",'C_jama.2019.2210'!$A$2:$A$10,0))="","",INDEX('C_jama.2019.2210'!$D$2:$D$10,MATCH("2019::jama.2019.2210::C009",'C_jama.2019.2210'!$A$2:$A$10,0))),"NOT FROZEN")</x:f>
      </x:c>
      <x:c r="C63" s="3" t="str">
        <x:f>IF(Setup!$B$6="primary",IF(INDEX('C_jama.2019.2210'!$E$2:$E$10,MATCH("2019::jama.2019.2210::C009",'C_jama.2019.2210'!$A$2:$A$10,0))="","",INDEX('C_jama.2019.2210'!$E$2:$E$10,MATCH("2019::jama.2019.2210::C009",'C_jama.2019.2210'!$A$2:$A$10,0))),"NOT FROZEN")</x:f>
        <x:v>report_internal_inconsistency</x:v>
      </x:c>
      <x:c r="D63" s="3" t="str">
        <x:f>IF(Setup!$B$6="primary",IF(AND(INDEX('C_jama.2019.2210'!$D$2:$D$10,MATCH("2019::jama.2019.2210::C009",'C_jama.2019.2210'!$A$2:$A$10,0))="retain",INDEX('C_jama.2019.2210'!$E$2:$E$10,MATCH("2019::jama.2019.2210::C009",'C_jama.2019.2210'!$A$2:$A$10,0))="statistical_results"),IF(INDEX('C_jama.2019.2210'!$H$2:$H$10,MATCH("2019::jama.2019.2210::C009",'C_jama.2019.2210'!$A$2:$A$10,0))="","",INDEX('C_jama.2019.2210'!$H$2:$H$10,MATCH("2019::jama.2019.2210::C009",'C_jama.2019.2210'!$A$2:$A$10,0))),"not_applicable"),"NOT FROZEN")</x:f>
        <x:v>not_applicable</x:v>
      </x:c>
      <x:c r="E63" s="3" t="str">
        <x:f>IF(Setup!$B$6="primary",IF(AND(INDEX('C_jama.2019.2210'!$D$2:$D$10,MATCH("2019::jama.2019.2210::C009",'C_jama.2019.2210'!$A$2:$A$10,0))="retain",INDEX('C_jama.2019.2210'!$E$2:$E$10,MATCH("2019::jama.2019.2210::C009",'C_jama.2019.2210'!$A$2:$A$10,0))="statistical_results"),IF(INDEX('C_jama.2019.2210'!$I$2:$I$10,MATCH("2019::jama.2019.2210::C009",'C_jama.2019.2210'!$A$2:$A$10,0))="","",INDEX('C_jama.2019.2210'!$I$2:$I$10,MATCH("2019::jama.2019.2210::C009",'C_jama.2019.2210'!$A$2:$A$10,0))),"not_applicable"),"NOT FROZEN")</x:f>
        <x:v>not_applicable</x:v>
      </x:c>
      <x:c r="F63" s="3" t="str">
        <x:f>IF(Setup!$B$6="primary",IF(AND(INDEX('C_jama.2019.2210'!$D$2:$D$10,MATCH("2019::jama.2019.2210::C009",'C_jama.2019.2210'!$A$2:$A$10,0))="retain",INDEX('C_jama.2019.2210'!$E$2:$E$10,MATCH("2019::jama.2019.2210::C009",'C_jama.2019.2210'!$A$2:$A$10,0))="statistical_results"),IF(INDEX('C_jama.2019.2210'!$J$2:$J$10,MATCH("2019::jama.2019.2210::C009",'C_jama.2019.2210'!$A$2:$A$10,0))="","",INDEX('C_jama.2019.2210'!$J$2:$J$10,MATCH("2019::jama.2019.2210::C009",'C_jama.2019.2210'!$A$2:$A$10,0))),"not_applicable"),"NOT FROZEN")</x:f>
        <x:v>not_applicable</x:v>
      </x:c>
      <x:c r="G63" s="3" t="str">
        <x:f>IF(Setup!$B$6="primary",IF(AND(INDEX('C_jama.2019.2210'!$D$2:$D$10,MATCH("2019::jama.2019.2210::C009",'C_jama.2019.2210'!$A$2:$A$10,0))="retain",OR(INDEX('C_jama.2019.2210'!$E$2:$E$10,MATCH("2019::jama.2019.2210::C009",'C_jama.2019.2210'!$A$2:$A$10,0))="report_internal_inconsistency",INDEX('C_jama.2019.2210'!$E$2:$E$10,MATCH("2019::jama.2019.2210::C009",'C_jama.2019.2210'!$A$2:$A$10,0))="plan_material")),IF(INDEX('C_jama.2019.2210'!$K$2:$K$10,MATCH("2019::jama.2019.2210::C009",'C_jama.2019.2210'!$A$2:$A$10,0))="","",INDEX('C_jama.2019.2210'!$K$2:$K$10,MATCH("2019::jama.2019.2210::C009",'C_jama.2019.2210'!$A$2:$A$10,0))),"not_applicable"),"NOT FROZEN")</x:f>
        <x:v>not_applicable</x:v>
      </x:c>
      <x:c r="H63" s="3" t="str">
        <x:f>IF(Setup!$B$6="primary",IF(AND(INDEX('C_jama.2019.2210'!$D$2:$D$10,MATCH("2019::jama.2019.2210::C009",'C_jama.2019.2210'!$A$2:$A$10,0))="retain",INDEX('C_jama.2019.2210'!$E$2:$E$10,MATCH("2019::jama.2019.2210::C009",'C_jama.2019.2210'!$A$2:$A$10,0))="protocol_report"),IF(INDEX('C_jama.2019.2210'!$L$2:$L$10,MATCH("2019::jama.2019.2210::C009",'C_jama.2019.2210'!$A$2:$A$10,0))="","",INDEX('C_jama.2019.2210'!$L$2:$L$10,MATCH("2019::jama.2019.2210::C009",'C_jama.2019.2210'!$A$2:$A$10,0))),"not_applicable"),"NOT FROZEN")</x:f>
        <x:v>not_applicable</x:v>
      </x:c>
      <x:c r="I63" s="3" t="str">
        <x:f>IF(Setup!$B$6="primary",IF(INDEX('C_jama.2019.2210'!$R$2:$R$10,MATCH("2019::jama.2019.2210::C009",'C_jama.2019.2210'!$A$2:$A$10,0))="","",INDEX('C_jama.2019.2210'!$R$2:$R$10,MATCH("2019::jama.2019.2210::C009",'C_jama.2019.2210'!$A$2:$A$10,0))),"NOT FROZEN")</x:f>
      </x:c>
      <x:c r="J63" s="3" t="str">
        <x:f>IF(Setup!$B$6="primary",INDEX('C_jama.2019.2210'!$F$2:$F$10,MATCH("2019::jama.2019.2210::C009",'C_jama.2019.2210'!$A$2:$A$10,0)),"NOT FROZEN")</x:f>
        <x:v>no</x:v>
      </x:c>
      <x:c r="K63" s="3" t="str">
        <x:f>IF(Setup!$B$6="primary",Setup!$B$2,"NOT FROZEN")</x:f>
      </x:c>
      <x:c r="L63" s="3" t="str">
        <x:f>IF(Setup!$B$6="primary",IF(OR(B63="",B63="not_applicable"),"","Disposition: "&amp;B63&amp;CHAR(10))&amp;IF(OR(C63="",C63="not_applicable"),"","Review domain: "&amp;C63&amp;CHAR(10))&amp;IF(OR(D63="",D63="not_applicable"),"","Statistcal_or_numerical issue: "&amp;D63&amp;CHAR(10))&amp;IF(OR(E63="",E63="not_applicable"),"","Substantiveness: "&amp;E63&amp;CHAR(10))&amp;IF(OR(F63="",F63="not_applicable"),"","Downstream impact: "&amp;F63&amp;CHAR(10))&amp;IF(OR(G63="",G63="not_applicable"),"","Report-internal or planning-material inconsistency: "&amp;G63&amp;CHAR(10))&amp;IF(OR(H63="",H63="not_applicable"),"","Protocol interpretation: "&amp;H63&amp;CHAR(10))&amp;IF(OR(I63="",I63="not_applicable"),"","Notes (optional): "&amp;I63&amp;CHAR(10)),"NOT FROZEN")</x:f>
        <x:v>Review domain: report_internal_inconsistency
</x:v>
      </x:c>
    </x:row>
    <x:row r="64" ht="70" customHeight="1">
      <x:c r="A64" s="6" t="str">
        <x:f>IF(Setup!$B$6="primary","2019::jama.2019.4755::C001","NOT FROZEN")</x:f>
        <x:v>2019::jama.2019.4755::C001</x:v>
      </x:c>
      <x:c r="B64" s="6" t="str">
        <x:f>IF(Setup!$B$6="primary",IF(INDEX('C_jama.2019.4755'!$D$2:$D$6,MATCH("2019::jama.2019.4755::C001",'C_jama.2019.4755'!$A$2:$A$6,0))="","",INDEX('C_jama.2019.4755'!$D$2:$D$6,MATCH("2019::jama.2019.4755::C001",'C_jama.2019.4755'!$A$2:$A$6,0))),"NOT FROZEN")</x:f>
      </x:c>
      <x:c r="C64" s="6" t="str">
        <x:f>IF(Setup!$B$6="primary",IF(INDEX('C_jama.2019.4755'!$E$2:$E$6,MATCH("2019::jama.2019.4755::C001",'C_jama.2019.4755'!$A$2:$A$6,0))="","",INDEX('C_jama.2019.4755'!$E$2:$E$6,MATCH("2019::jama.2019.4755::C001",'C_jama.2019.4755'!$A$2:$A$6,0))),"NOT FROZEN")</x:f>
        <x:v>statistical_results</x:v>
      </x:c>
      <x:c r="D64" s="6" t="str">
        <x:f>IF(Setup!$B$6="primary",IF(AND(INDEX('C_jama.2019.4755'!$D$2:$D$6,MATCH("2019::jama.2019.4755::C001",'C_jama.2019.4755'!$A$2:$A$6,0))="retain",INDEX('C_jama.2019.4755'!$E$2:$E$6,MATCH("2019::jama.2019.4755::C001",'C_jama.2019.4755'!$A$2:$A$6,0))="statistical_results"),IF(INDEX('C_jama.2019.4755'!$H$2:$H$6,MATCH("2019::jama.2019.4755::C001",'C_jama.2019.4755'!$A$2:$A$6,0))="","",INDEX('C_jama.2019.4755'!$H$2:$H$6,MATCH("2019::jama.2019.4755::C001",'C_jama.2019.4755'!$A$2:$A$6,0))),"not_applicable"),"NOT FROZEN")</x:f>
        <x:v>not_applicable</x:v>
      </x:c>
      <x:c r="E64" s="6" t="str">
        <x:f>IF(Setup!$B$6="primary",IF(AND(INDEX('C_jama.2019.4755'!$D$2:$D$6,MATCH("2019::jama.2019.4755::C001",'C_jama.2019.4755'!$A$2:$A$6,0))="retain",INDEX('C_jama.2019.4755'!$E$2:$E$6,MATCH("2019::jama.2019.4755::C001",'C_jama.2019.4755'!$A$2:$A$6,0))="statistical_results"),IF(INDEX('C_jama.2019.4755'!$I$2:$I$6,MATCH("2019::jama.2019.4755::C001",'C_jama.2019.4755'!$A$2:$A$6,0))="","",INDEX('C_jama.2019.4755'!$I$2:$I$6,MATCH("2019::jama.2019.4755::C001",'C_jama.2019.4755'!$A$2:$A$6,0))),"not_applicable"),"NOT FROZEN")</x:f>
        <x:v>not_applicable</x:v>
      </x:c>
      <x:c r="F64" s="6" t="str">
        <x:f>IF(Setup!$B$6="primary",IF(AND(INDEX('C_jama.2019.4755'!$D$2:$D$6,MATCH("2019::jama.2019.4755::C001",'C_jama.2019.4755'!$A$2:$A$6,0))="retain",INDEX('C_jama.2019.4755'!$E$2:$E$6,MATCH("2019::jama.2019.4755::C001",'C_jama.2019.4755'!$A$2:$A$6,0))="statistical_results"),IF(INDEX('C_jama.2019.4755'!$J$2:$J$6,MATCH("2019::jama.2019.4755::C001",'C_jama.2019.4755'!$A$2:$A$6,0))="","",INDEX('C_jama.2019.4755'!$J$2:$J$6,MATCH("2019::jama.2019.4755::C001",'C_jama.2019.4755'!$A$2:$A$6,0))),"not_applicable"),"NOT FROZEN")</x:f>
        <x:v>not_applicable</x:v>
      </x:c>
      <x:c r="G64" s="6" t="str">
        <x:f>IF(Setup!$B$6="primary",IF(AND(INDEX('C_jama.2019.4755'!$D$2:$D$6,MATCH("2019::jama.2019.4755::C001",'C_jama.2019.4755'!$A$2:$A$6,0))="retain",OR(INDEX('C_jama.2019.4755'!$E$2:$E$6,MATCH("2019::jama.2019.4755::C001",'C_jama.2019.4755'!$A$2:$A$6,0))="report_internal_inconsistency",INDEX('C_jama.2019.4755'!$E$2:$E$6,MATCH("2019::jama.2019.4755::C001",'C_jama.2019.4755'!$A$2:$A$6,0))="plan_material")),IF(INDEX('C_jama.2019.4755'!$K$2:$K$6,MATCH("2019::jama.2019.4755::C001",'C_jama.2019.4755'!$A$2:$A$6,0))="","",INDEX('C_jama.2019.4755'!$K$2:$K$6,MATCH("2019::jama.2019.4755::C001",'C_jama.2019.4755'!$A$2:$A$6,0))),"not_applicable"),"NOT FROZEN")</x:f>
        <x:v>not_applicable</x:v>
      </x:c>
      <x:c r="H64" s="6" t="str">
        <x:f>IF(Setup!$B$6="primary",IF(AND(INDEX('C_jama.2019.4755'!$D$2:$D$6,MATCH("2019::jama.2019.4755::C001",'C_jama.2019.4755'!$A$2:$A$6,0))="retain",INDEX('C_jama.2019.4755'!$E$2:$E$6,MATCH("2019::jama.2019.4755::C001",'C_jama.2019.4755'!$A$2:$A$6,0))="protocol_report"),IF(INDEX('C_jama.2019.4755'!$L$2:$L$6,MATCH("2019::jama.2019.4755::C001",'C_jama.2019.4755'!$A$2:$A$6,0))="","",INDEX('C_jama.2019.4755'!$L$2:$L$6,MATCH("2019::jama.2019.4755::C001",'C_jama.2019.4755'!$A$2:$A$6,0))),"not_applicable"),"NOT FROZEN")</x:f>
        <x:v>not_applicable</x:v>
      </x:c>
      <x:c r="I64" s="6" t="str">
        <x:f>IF(Setup!$B$6="primary",IF(INDEX('C_jama.2019.4755'!$R$2:$R$6,MATCH("2019::jama.2019.4755::C001",'C_jama.2019.4755'!$A$2:$A$6,0))="","",INDEX('C_jama.2019.4755'!$R$2:$R$6,MATCH("2019::jama.2019.4755::C001",'C_jama.2019.4755'!$A$2:$A$6,0))),"NOT FROZEN")</x:f>
      </x:c>
      <x:c r="J64" s="6" t="str">
        <x:f>IF(Setup!$B$6="primary",INDEX('C_jama.2019.4755'!$F$2:$F$6,MATCH("2019::jama.2019.4755::C001",'C_jama.2019.4755'!$A$2:$A$6,0)),"NOT FROZEN")</x:f>
        <x:v>no</x:v>
      </x:c>
      <x:c r="K64" s="6" t="str">
        <x:f>IF(Setup!$B$6="primary",Setup!$B$2,"NOT FROZEN")</x:f>
      </x:c>
      <x:c r="L64" s="6" t="str">
        <x:f>IF(Setup!$B$6="primary",IF(OR(B64="",B64="not_applicable"),"","Disposition: "&amp;B64&amp;CHAR(10))&amp;IF(OR(C64="",C64="not_applicable"),"","Review domain: "&amp;C64&amp;CHAR(10))&amp;IF(OR(D64="",D64="not_applicable"),"","Statistcal_or_numerical issue: "&amp;D64&amp;CHAR(10))&amp;IF(OR(E64="",E64="not_applicable"),"","Substantiveness: "&amp;E64&amp;CHAR(10))&amp;IF(OR(F64="",F64="not_applicable"),"","Downstream impact: "&amp;F64&amp;CHAR(10))&amp;IF(OR(G64="",G64="not_applicable"),"","Report-internal or planning-material inconsistency: "&amp;G64&amp;CHAR(10))&amp;IF(OR(H64="",H64="not_applicable"),"","Protocol interpretation: "&amp;H64&amp;CHAR(10))&amp;IF(OR(I64="",I64="not_applicable"),"","Notes (optional): "&amp;I64&amp;CHAR(10)),"NOT FROZEN")</x:f>
        <x:v>Review domain: statistical_results
</x:v>
      </x:c>
    </x:row>
    <x:row r="65" ht="70" customHeight="1">
      <x:c r="A65" s="3" t="str">
        <x:f>IF(Setup!$B$6="primary","2019::jama.2019.4755::C002","NOT FROZEN")</x:f>
        <x:v>2019::jama.2019.4755::C002</x:v>
      </x:c>
      <x:c r="B65" s="3" t="str">
        <x:f>IF(Setup!$B$6="primary",IF(INDEX('C_jama.2019.4755'!$D$2:$D$6,MATCH("2019::jama.2019.4755::C002",'C_jama.2019.4755'!$A$2:$A$6,0))="","",INDEX('C_jama.2019.4755'!$D$2:$D$6,MATCH("2019::jama.2019.4755::C002",'C_jama.2019.4755'!$A$2:$A$6,0))),"NOT FROZEN")</x:f>
      </x:c>
      <x:c r="C65" s="3" t="str">
        <x:f>IF(Setup!$B$6="primary",IF(INDEX('C_jama.2019.4755'!$E$2:$E$6,MATCH("2019::jama.2019.4755::C002",'C_jama.2019.4755'!$A$2:$A$6,0))="","",INDEX('C_jama.2019.4755'!$E$2:$E$6,MATCH("2019::jama.2019.4755::C002",'C_jama.2019.4755'!$A$2:$A$6,0))),"NOT FROZEN")</x:f>
        <x:v>statistical_results</x:v>
      </x:c>
      <x:c r="D65" s="3" t="str">
        <x:f>IF(Setup!$B$6="primary",IF(AND(INDEX('C_jama.2019.4755'!$D$2:$D$6,MATCH("2019::jama.2019.4755::C002",'C_jama.2019.4755'!$A$2:$A$6,0))="retain",INDEX('C_jama.2019.4755'!$E$2:$E$6,MATCH("2019::jama.2019.4755::C002",'C_jama.2019.4755'!$A$2:$A$6,0))="statistical_results"),IF(INDEX('C_jama.2019.4755'!$H$2:$H$6,MATCH("2019::jama.2019.4755::C002",'C_jama.2019.4755'!$A$2:$A$6,0))="","",INDEX('C_jama.2019.4755'!$H$2:$H$6,MATCH("2019::jama.2019.4755::C002",'C_jama.2019.4755'!$A$2:$A$6,0))),"not_applicable"),"NOT FROZEN")</x:f>
        <x:v>not_applicable</x:v>
      </x:c>
      <x:c r="E65" s="3" t="str">
        <x:f>IF(Setup!$B$6="primary",IF(AND(INDEX('C_jama.2019.4755'!$D$2:$D$6,MATCH("2019::jama.2019.4755::C002",'C_jama.2019.4755'!$A$2:$A$6,0))="retain",INDEX('C_jama.2019.4755'!$E$2:$E$6,MATCH("2019::jama.2019.4755::C002",'C_jama.2019.4755'!$A$2:$A$6,0))="statistical_results"),IF(INDEX('C_jama.2019.4755'!$I$2:$I$6,MATCH("2019::jama.2019.4755::C002",'C_jama.2019.4755'!$A$2:$A$6,0))="","",INDEX('C_jama.2019.4755'!$I$2:$I$6,MATCH("2019::jama.2019.4755::C002",'C_jama.2019.4755'!$A$2:$A$6,0))),"not_applicable"),"NOT FROZEN")</x:f>
        <x:v>not_applicable</x:v>
      </x:c>
      <x:c r="F65" s="3" t="str">
        <x:f>IF(Setup!$B$6="primary",IF(AND(INDEX('C_jama.2019.4755'!$D$2:$D$6,MATCH("2019::jama.2019.4755::C002",'C_jama.2019.4755'!$A$2:$A$6,0))="retain",INDEX('C_jama.2019.4755'!$E$2:$E$6,MATCH("2019::jama.2019.4755::C002",'C_jama.2019.4755'!$A$2:$A$6,0))="statistical_results"),IF(INDEX('C_jama.2019.4755'!$J$2:$J$6,MATCH("2019::jama.2019.4755::C002",'C_jama.2019.4755'!$A$2:$A$6,0))="","",INDEX('C_jama.2019.4755'!$J$2:$J$6,MATCH("2019::jama.2019.4755::C002",'C_jama.2019.4755'!$A$2:$A$6,0))),"not_applicable"),"NOT FROZEN")</x:f>
        <x:v>not_applicable</x:v>
      </x:c>
      <x:c r="G65" s="3" t="str">
        <x:f>IF(Setup!$B$6="primary",IF(AND(INDEX('C_jama.2019.4755'!$D$2:$D$6,MATCH("2019::jama.2019.4755::C002",'C_jama.2019.4755'!$A$2:$A$6,0))="retain",OR(INDEX('C_jama.2019.4755'!$E$2:$E$6,MATCH("2019::jama.2019.4755::C002",'C_jama.2019.4755'!$A$2:$A$6,0))="report_internal_inconsistency",INDEX('C_jama.2019.4755'!$E$2:$E$6,MATCH("2019::jama.2019.4755::C002",'C_jama.2019.4755'!$A$2:$A$6,0))="plan_material")),IF(INDEX('C_jama.2019.4755'!$K$2:$K$6,MATCH("2019::jama.2019.4755::C002",'C_jama.2019.4755'!$A$2:$A$6,0))="","",INDEX('C_jama.2019.4755'!$K$2:$K$6,MATCH("2019::jama.2019.4755::C002",'C_jama.2019.4755'!$A$2:$A$6,0))),"not_applicable"),"NOT FROZEN")</x:f>
        <x:v>not_applicable</x:v>
      </x:c>
      <x:c r="H65" s="3" t="str">
        <x:f>IF(Setup!$B$6="primary",IF(AND(INDEX('C_jama.2019.4755'!$D$2:$D$6,MATCH("2019::jama.2019.4755::C002",'C_jama.2019.4755'!$A$2:$A$6,0))="retain",INDEX('C_jama.2019.4755'!$E$2:$E$6,MATCH("2019::jama.2019.4755::C002",'C_jama.2019.4755'!$A$2:$A$6,0))="protocol_report"),IF(INDEX('C_jama.2019.4755'!$L$2:$L$6,MATCH("2019::jama.2019.4755::C002",'C_jama.2019.4755'!$A$2:$A$6,0))="","",INDEX('C_jama.2019.4755'!$L$2:$L$6,MATCH("2019::jama.2019.4755::C002",'C_jama.2019.4755'!$A$2:$A$6,0))),"not_applicable"),"NOT FROZEN")</x:f>
        <x:v>not_applicable</x:v>
      </x:c>
      <x:c r="I65" s="3" t="str">
        <x:f>IF(Setup!$B$6="primary",IF(INDEX('C_jama.2019.4755'!$R$2:$R$6,MATCH("2019::jama.2019.4755::C002",'C_jama.2019.4755'!$A$2:$A$6,0))="","",INDEX('C_jama.2019.4755'!$R$2:$R$6,MATCH("2019::jama.2019.4755::C002",'C_jama.2019.4755'!$A$2:$A$6,0))),"NOT FROZEN")</x:f>
      </x:c>
      <x:c r="J65" s="3" t="str">
        <x:f>IF(Setup!$B$6="primary",INDEX('C_jama.2019.4755'!$F$2:$F$6,MATCH("2019::jama.2019.4755::C002",'C_jama.2019.4755'!$A$2:$A$6,0)),"NOT FROZEN")</x:f>
        <x:v>no</x:v>
      </x:c>
      <x:c r="K65" s="3" t="str">
        <x:f>IF(Setup!$B$6="primary",Setup!$B$2,"NOT FROZEN")</x:f>
      </x:c>
      <x:c r="L65" s="3" t="str">
        <x:f>IF(Setup!$B$6="primary",IF(OR(B65="",B65="not_applicable"),"","Disposition: "&amp;B65&amp;CHAR(10))&amp;IF(OR(C65="",C65="not_applicable"),"","Review domain: "&amp;C65&amp;CHAR(10))&amp;IF(OR(D65="",D65="not_applicable"),"","Statistcal_or_numerical issue: "&amp;D65&amp;CHAR(10))&amp;IF(OR(E65="",E65="not_applicable"),"","Substantiveness: "&amp;E65&amp;CHAR(10))&amp;IF(OR(F65="",F65="not_applicable"),"","Downstream impact: "&amp;F65&amp;CHAR(10))&amp;IF(OR(G65="",G65="not_applicable"),"","Report-internal or planning-material inconsistency: "&amp;G65&amp;CHAR(10))&amp;IF(OR(H65="",H65="not_applicable"),"","Protocol interpretation: "&amp;H65&amp;CHAR(10))&amp;IF(OR(I65="",I65="not_applicable"),"","Notes (optional): "&amp;I65&amp;CHAR(10)),"NOT FROZEN")</x:f>
        <x:v>Review domain: statistical_results
</x:v>
      </x:c>
    </x:row>
    <x:row r="66" ht="70" customHeight="1">
      <x:c r="A66" s="6" t="str">
        <x:f>IF(Setup!$B$6="primary","2019::jama.2019.4755::C003","NOT FROZEN")</x:f>
        <x:v>2019::jama.2019.4755::C003</x:v>
      </x:c>
      <x:c r="B66" s="6" t="str">
        <x:f>IF(Setup!$B$6="primary",IF(INDEX('C_jama.2019.4755'!$D$2:$D$6,MATCH("2019::jama.2019.4755::C003",'C_jama.2019.4755'!$A$2:$A$6,0))="","",INDEX('C_jama.2019.4755'!$D$2:$D$6,MATCH("2019::jama.2019.4755::C003",'C_jama.2019.4755'!$A$2:$A$6,0))),"NOT FROZEN")</x:f>
      </x:c>
      <x:c r="C66" s="6" t="str">
        <x:f>IF(Setup!$B$6="primary",IF(INDEX('C_jama.2019.4755'!$E$2:$E$6,MATCH("2019::jama.2019.4755::C003",'C_jama.2019.4755'!$A$2:$A$6,0))="","",INDEX('C_jama.2019.4755'!$E$2:$E$6,MATCH("2019::jama.2019.4755::C003",'C_jama.2019.4755'!$A$2:$A$6,0))),"NOT FROZEN")</x:f>
        <x:v>statistical_results</x:v>
      </x:c>
      <x:c r="D66" s="6" t="str">
        <x:f>IF(Setup!$B$6="primary",IF(AND(INDEX('C_jama.2019.4755'!$D$2:$D$6,MATCH("2019::jama.2019.4755::C003",'C_jama.2019.4755'!$A$2:$A$6,0))="retain",INDEX('C_jama.2019.4755'!$E$2:$E$6,MATCH("2019::jama.2019.4755::C003",'C_jama.2019.4755'!$A$2:$A$6,0))="statistical_results"),IF(INDEX('C_jama.2019.4755'!$H$2:$H$6,MATCH("2019::jama.2019.4755::C003",'C_jama.2019.4755'!$A$2:$A$6,0))="","",INDEX('C_jama.2019.4755'!$H$2:$H$6,MATCH("2019::jama.2019.4755::C003",'C_jama.2019.4755'!$A$2:$A$6,0))),"not_applicable"),"NOT FROZEN")</x:f>
        <x:v>not_applicable</x:v>
      </x:c>
      <x:c r="E66" s="6" t="str">
        <x:f>IF(Setup!$B$6="primary",IF(AND(INDEX('C_jama.2019.4755'!$D$2:$D$6,MATCH("2019::jama.2019.4755::C003",'C_jama.2019.4755'!$A$2:$A$6,0))="retain",INDEX('C_jama.2019.4755'!$E$2:$E$6,MATCH("2019::jama.2019.4755::C003",'C_jama.2019.4755'!$A$2:$A$6,0))="statistical_results"),IF(INDEX('C_jama.2019.4755'!$I$2:$I$6,MATCH("2019::jama.2019.4755::C003",'C_jama.2019.4755'!$A$2:$A$6,0))="","",INDEX('C_jama.2019.4755'!$I$2:$I$6,MATCH("2019::jama.2019.4755::C003",'C_jama.2019.4755'!$A$2:$A$6,0))),"not_applicable"),"NOT FROZEN")</x:f>
        <x:v>not_applicable</x:v>
      </x:c>
      <x:c r="F66" s="6" t="str">
        <x:f>IF(Setup!$B$6="primary",IF(AND(INDEX('C_jama.2019.4755'!$D$2:$D$6,MATCH("2019::jama.2019.4755::C003",'C_jama.2019.4755'!$A$2:$A$6,0))="retain",INDEX('C_jama.2019.4755'!$E$2:$E$6,MATCH("2019::jama.2019.4755::C003",'C_jama.2019.4755'!$A$2:$A$6,0))="statistical_results"),IF(INDEX('C_jama.2019.4755'!$J$2:$J$6,MATCH("2019::jama.2019.4755::C003",'C_jama.2019.4755'!$A$2:$A$6,0))="","",INDEX('C_jama.2019.4755'!$J$2:$J$6,MATCH("2019::jama.2019.4755::C003",'C_jama.2019.4755'!$A$2:$A$6,0))),"not_applicable"),"NOT FROZEN")</x:f>
        <x:v>not_applicable</x:v>
      </x:c>
      <x:c r="G66" s="6" t="str">
        <x:f>IF(Setup!$B$6="primary",IF(AND(INDEX('C_jama.2019.4755'!$D$2:$D$6,MATCH("2019::jama.2019.4755::C003",'C_jama.2019.4755'!$A$2:$A$6,0))="retain",OR(INDEX('C_jama.2019.4755'!$E$2:$E$6,MATCH("2019::jama.2019.4755::C003",'C_jama.2019.4755'!$A$2:$A$6,0))="report_internal_inconsistency",INDEX('C_jama.2019.4755'!$E$2:$E$6,MATCH("2019::jama.2019.4755::C003",'C_jama.2019.4755'!$A$2:$A$6,0))="plan_material")),IF(INDEX('C_jama.2019.4755'!$K$2:$K$6,MATCH("2019::jama.2019.4755::C003",'C_jama.2019.4755'!$A$2:$A$6,0))="","",INDEX('C_jama.2019.4755'!$K$2:$K$6,MATCH("2019::jama.2019.4755::C003",'C_jama.2019.4755'!$A$2:$A$6,0))),"not_applicable"),"NOT FROZEN")</x:f>
        <x:v>not_applicable</x:v>
      </x:c>
      <x:c r="H66" s="6" t="str">
        <x:f>IF(Setup!$B$6="primary",IF(AND(INDEX('C_jama.2019.4755'!$D$2:$D$6,MATCH("2019::jama.2019.4755::C003",'C_jama.2019.4755'!$A$2:$A$6,0))="retain",INDEX('C_jama.2019.4755'!$E$2:$E$6,MATCH("2019::jama.2019.4755::C003",'C_jama.2019.4755'!$A$2:$A$6,0))="protocol_report"),IF(INDEX('C_jama.2019.4755'!$L$2:$L$6,MATCH("2019::jama.2019.4755::C003",'C_jama.2019.4755'!$A$2:$A$6,0))="","",INDEX('C_jama.2019.4755'!$L$2:$L$6,MATCH("2019::jama.2019.4755::C003",'C_jama.2019.4755'!$A$2:$A$6,0))),"not_applicable"),"NOT FROZEN")</x:f>
        <x:v>not_applicable</x:v>
      </x:c>
      <x:c r="I66" s="6" t="str">
        <x:f>IF(Setup!$B$6="primary",IF(INDEX('C_jama.2019.4755'!$R$2:$R$6,MATCH("2019::jama.2019.4755::C003",'C_jama.2019.4755'!$A$2:$A$6,0))="","",INDEX('C_jama.2019.4755'!$R$2:$R$6,MATCH("2019::jama.2019.4755::C003",'C_jama.2019.4755'!$A$2:$A$6,0))),"NOT FROZEN")</x:f>
      </x:c>
      <x:c r="J66" s="6" t="str">
        <x:f>IF(Setup!$B$6="primary",INDEX('C_jama.2019.4755'!$F$2:$F$6,MATCH("2019::jama.2019.4755::C003",'C_jama.2019.4755'!$A$2:$A$6,0)),"NOT FROZEN")</x:f>
        <x:v>no</x:v>
      </x:c>
      <x:c r="K66" s="6" t="str">
        <x:f>IF(Setup!$B$6="primary",Setup!$B$2,"NOT FROZEN")</x:f>
      </x:c>
      <x:c r="L66" s="6" t="str">
        <x:f>IF(Setup!$B$6="primary",IF(OR(B66="",B66="not_applicable"),"","Disposition: "&amp;B66&amp;CHAR(10))&amp;IF(OR(C66="",C66="not_applicable"),"","Review domain: "&amp;C66&amp;CHAR(10))&amp;IF(OR(D66="",D66="not_applicable"),"","Statistcal_or_numerical issue: "&amp;D66&amp;CHAR(10))&amp;IF(OR(E66="",E66="not_applicable"),"","Substantiveness: "&amp;E66&amp;CHAR(10))&amp;IF(OR(F66="",F66="not_applicable"),"","Downstream impact: "&amp;F66&amp;CHAR(10))&amp;IF(OR(G66="",G66="not_applicable"),"","Report-internal or planning-material inconsistency: "&amp;G66&amp;CHAR(10))&amp;IF(OR(H66="",H66="not_applicable"),"","Protocol interpretation: "&amp;H66&amp;CHAR(10))&amp;IF(OR(I66="",I66="not_applicable"),"","Notes (optional): "&amp;I66&amp;CHAR(10)),"NOT FROZEN")</x:f>
        <x:v>Review domain: statistical_results
</x:v>
      </x:c>
    </x:row>
    <x:row r="67" ht="70" customHeight="1">
      <x:c r="A67" s="3" t="str">
        <x:f>IF(Setup!$B$6="primary","2019::jama.2019.4755::C004","NOT FROZEN")</x:f>
        <x:v>2019::jama.2019.4755::C004</x:v>
      </x:c>
      <x:c r="B67" s="3" t="str">
        <x:f>IF(Setup!$B$6="primary",IF(INDEX('C_jama.2019.4755'!$D$2:$D$6,MATCH("2019::jama.2019.4755::C004",'C_jama.2019.4755'!$A$2:$A$6,0))="","",INDEX('C_jama.2019.4755'!$D$2:$D$6,MATCH("2019::jama.2019.4755::C004",'C_jama.2019.4755'!$A$2:$A$6,0))),"NOT FROZEN")</x:f>
      </x:c>
      <x:c r="C67" s="3" t="str">
        <x:f>IF(Setup!$B$6="primary",IF(INDEX('C_jama.2019.4755'!$E$2:$E$6,MATCH("2019::jama.2019.4755::C004",'C_jama.2019.4755'!$A$2:$A$6,0))="","",INDEX('C_jama.2019.4755'!$E$2:$E$6,MATCH("2019::jama.2019.4755::C004",'C_jama.2019.4755'!$A$2:$A$6,0))),"NOT FROZEN")</x:f>
        <x:v>report_internal_inconsistency</x:v>
      </x:c>
      <x:c r="D67" s="3" t="str">
        <x:f>IF(Setup!$B$6="primary",IF(AND(INDEX('C_jama.2019.4755'!$D$2:$D$6,MATCH("2019::jama.2019.4755::C004",'C_jama.2019.4755'!$A$2:$A$6,0))="retain",INDEX('C_jama.2019.4755'!$E$2:$E$6,MATCH("2019::jama.2019.4755::C004",'C_jama.2019.4755'!$A$2:$A$6,0))="statistical_results"),IF(INDEX('C_jama.2019.4755'!$H$2:$H$6,MATCH("2019::jama.2019.4755::C004",'C_jama.2019.4755'!$A$2:$A$6,0))="","",INDEX('C_jama.2019.4755'!$H$2:$H$6,MATCH("2019::jama.2019.4755::C004",'C_jama.2019.4755'!$A$2:$A$6,0))),"not_applicable"),"NOT FROZEN")</x:f>
        <x:v>not_applicable</x:v>
      </x:c>
      <x:c r="E67" s="3" t="str">
        <x:f>IF(Setup!$B$6="primary",IF(AND(INDEX('C_jama.2019.4755'!$D$2:$D$6,MATCH("2019::jama.2019.4755::C004",'C_jama.2019.4755'!$A$2:$A$6,0))="retain",INDEX('C_jama.2019.4755'!$E$2:$E$6,MATCH("2019::jama.2019.4755::C004",'C_jama.2019.4755'!$A$2:$A$6,0))="statistical_results"),IF(INDEX('C_jama.2019.4755'!$I$2:$I$6,MATCH("2019::jama.2019.4755::C004",'C_jama.2019.4755'!$A$2:$A$6,0))="","",INDEX('C_jama.2019.4755'!$I$2:$I$6,MATCH("2019::jama.2019.4755::C004",'C_jama.2019.4755'!$A$2:$A$6,0))),"not_applicable"),"NOT FROZEN")</x:f>
        <x:v>not_applicable</x:v>
      </x:c>
      <x:c r="F67" s="3" t="str">
        <x:f>IF(Setup!$B$6="primary",IF(AND(INDEX('C_jama.2019.4755'!$D$2:$D$6,MATCH("2019::jama.2019.4755::C004",'C_jama.2019.4755'!$A$2:$A$6,0))="retain",INDEX('C_jama.2019.4755'!$E$2:$E$6,MATCH("2019::jama.2019.4755::C004",'C_jama.2019.4755'!$A$2:$A$6,0))="statistical_results"),IF(INDEX('C_jama.2019.4755'!$J$2:$J$6,MATCH("2019::jama.2019.4755::C004",'C_jama.2019.4755'!$A$2:$A$6,0))="","",INDEX('C_jama.2019.4755'!$J$2:$J$6,MATCH("2019::jama.2019.4755::C004",'C_jama.2019.4755'!$A$2:$A$6,0))),"not_applicable"),"NOT FROZEN")</x:f>
        <x:v>not_applicable</x:v>
      </x:c>
      <x:c r="G67" s="3" t="str">
        <x:f>IF(Setup!$B$6="primary",IF(AND(INDEX('C_jama.2019.4755'!$D$2:$D$6,MATCH("2019::jama.2019.4755::C004",'C_jama.2019.4755'!$A$2:$A$6,0))="retain",OR(INDEX('C_jama.2019.4755'!$E$2:$E$6,MATCH("2019::jama.2019.4755::C004",'C_jama.2019.4755'!$A$2:$A$6,0))="report_internal_inconsistency",INDEX('C_jama.2019.4755'!$E$2:$E$6,MATCH("2019::jama.2019.4755::C004",'C_jama.2019.4755'!$A$2:$A$6,0))="plan_material")),IF(INDEX('C_jama.2019.4755'!$K$2:$K$6,MATCH("2019::jama.2019.4755::C004",'C_jama.2019.4755'!$A$2:$A$6,0))="","",INDEX('C_jama.2019.4755'!$K$2:$K$6,MATCH("2019::jama.2019.4755::C004",'C_jama.2019.4755'!$A$2:$A$6,0))),"not_applicable"),"NOT FROZEN")</x:f>
        <x:v>not_applicable</x:v>
      </x:c>
      <x:c r="H67" s="3" t="str">
        <x:f>IF(Setup!$B$6="primary",IF(AND(INDEX('C_jama.2019.4755'!$D$2:$D$6,MATCH("2019::jama.2019.4755::C004",'C_jama.2019.4755'!$A$2:$A$6,0))="retain",INDEX('C_jama.2019.4755'!$E$2:$E$6,MATCH("2019::jama.2019.4755::C004",'C_jama.2019.4755'!$A$2:$A$6,0))="protocol_report"),IF(INDEX('C_jama.2019.4755'!$L$2:$L$6,MATCH("2019::jama.2019.4755::C004",'C_jama.2019.4755'!$A$2:$A$6,0))="","",INDEX('C_jama.2019.4755'!$L$2:$L$6,MATCH("2019::jama.2019.4755::C004",'C_jama.2019.4755'!$A$2:$A$6,0))),"not_applicable"),"NOT FROZEN")</x:f>
        <x:v>not_applicable</x:v>
      </x:c>
      <x:c r="I67" s="3" t="str">
        <x:f>IF(Setup!$B$6="primary",IF(INDEX('C_jama.2019.4755'!$R$2:$R$6,MATCH("2019::jama.2019.4755::C004",'C_jama.2019.4755'!$A$2:$A$6,0))="","",INDEX('C_jama.2019.4755'!$R$2:$R$6,MATCH("2019::jama.2019.4755::C004",'C_jama.2019.4755'!$A$2:$A$6,0))),"NOT FROZEN")</x:f>
      </x:c>
      <x:c r="J67" s="3" t="str">
        <x:f>IF(Setup!$B$6="primary",INDEX('C_jama.2019.4755'!$F$2:$F$6,MATCH("2019::jama.2019.4755::C004",'C_jama.2019.4755'!$A$2:$A$6,0)),"NOT FROZEN")</x:f>
        <x:v>no</x:v>
      </x:c>
      <x:c r="K67" s="3" t="str">
        <x:f>IF(Setup!$B$6="primary",Setup!$B$2,"NOT FROZEN")</x:f>
      </x:c>
      <x:c r="L67" s="3" t="str">
        <x:f>IF(Setup!$B$6="primary",IF(OR(B67="",B67="not_applicable"),"","Disposition: "&amp;B67&amp;CHAR(10))&amp;IF(OR(C67="",C67="not_applicable"),"","Review domain: "&amp;C67&amp;CHAR(10))&amp;IF(OR(D67="",D67="not_applicable"),"","Statistcal_or_numerical issue: "&amp;D67&amp;CHAR(10))&amp;IF(OR(E67="",E67="not_applicable"),"","Substantiveness: "&amp;E67&amp;CHAR(10))&amp;IF(OR(F67="",F67="not_applicable"),"","Downstream impact: "&amp;F67&amp;CHAR(10))&amp;IF(OR(G67="",G67="not_applicable"),"","Report-internal or planning-material inconsistency: "&amp;G67&amp;CHAR(10))&amp;IF(OR(H67="",H67="not_applicable"),"","Protocol interpretation: "&amp;H67&amp;CHAR(10))&amp;IF(OR(I67="",I67="not_applicable"),"","Notes (optional): "&amp;I67&amp;CHAR(10)),"NOT FROZEN")</x:f>
        <x:v>Review domain: report_internal_inconsistency
</x:v>
      </x:c>
    </x:row>
    <x:row r="68" ht="70" customHeight="1">
      <x:c r="A68" s="6" t="str">
        <x:f>IF(Setup!$B$6="primary","2019::jama.2019.4755::C005","NOT FROZEN")</x:f>
        <x:v>2019::jama.2019.4755::C005</x:v>
      </x:c>
      <x:c r="B68" s="6" t="str">
        <x:f>IF(Setup!$B$6="primary",IF(INDEX('C_jama.2019.4755'!$D$2:$D$6,MATCH("2019::jama.2019.4755::C005",'C_jama.2019.4755'!$A$2:$A$6,0))="","",INDEX('C_jama.2019.4755'!$D$2:$D$6,MATCH("2019::jama.2019.4755::C005",'C_jama.2019.4755'!$A$2:$A$6,0))),"NOT FROZEN")</x:f>
      </x:c>
      <x:c r="C68" s="6" t="str">
        <x:f>IF(Setup!$B$6="primary",IF(INDEX('C_jama.2019.4755'!$E$2:$E$6,MATCH("2019::jama.2019.4755::C005",'C_jama.2019.4755'!$A$2:$A$6,0))="","",INDEX('C_jama.2019.4755'!$E$2:$E$6,MATCH("2019::jama.2019.4755::C005",'C_jama.2019.4755'!$A$2:$A$6,0))),"NOT FROZEN")</x:f>
        <x:v>plan_material</x:v>
      </x:c>
      <x:c r="D68" s="6" t="str">
        <x:f>IF(Setup!$B$6="primary",IF(AND(INDEX('C_jama.2019.4755'!$D$2:$D$6,MATCH("2019::jama.2019.4755::C005",'C_jama.2019.4755'!$A$2:$A$6,0))="retain",INDEX('C_jama.2019.4755'!$E$2:$E$6,MATCH("2019::jama.2019.4755::C005",'C_jama.2019.4755'!$A$2:$A$6,0))="statistical_results"),IF(INDEX('C_jama.2019.4755'!$H$2:$H$6,MATCH("2019::jama.2019.4755::C005",'C_jama.2019.4755'!$A$2:$A$6,0))="","",INDEX('C_jama.2019.4755'!$H$2:$H$6,MATCH("2019::jama.2019.4755::C005",'C_jama.2019.4755'!$A$2:$A$6,0))),"not_applicable"),"NOT FROZEN")</x:f>
        <x:v>not_applicable</x:v>
      </x:c>
      <x:c r="E68" s="6" t="str">
        <x:f>IF(Setup!$B$6="primary",IF(AND(INDEX('C_jama.2019.4755'!$D$2:$D$6,MATCH("2019::jama.2019.4755::C005",'C_jama.2019.4755'!$A$2:$A$6,0))="retain",INDEX('C_jama.2019.4755'!$E$2:$E$6,MATCH("2019::jama.2019.4755::C005",'C_jama.2019.4755'!$A$2:$A$6,0))="statistical_results"),IF(INDEX('C_jama.2019.4755'!$I$2:$I$6,MATCH("2019::jama.2019.4755::C005",'C_jama.2019.4755'!$A$2:$A$6,0))="","",INDEX('C_jama.2019.4755'!$I$2:$I$6,MATCH("2019::jama.2019.4755::C005",'C_jama.2019.4755'!$A$2:$A$6,0))),"not_applicable"),"NOT FROZEN")</x:f>
        <x:v>not_applicable</x:v>
      </x:c>
      <x:c r="F68" s="6" t="str">
        <x:f>IF(Setup!$B$6="primary",IF(AND(INDEX('C_jama.2019.4755'!$D$2:$D$6,MATCH("2019::jama.2019.4755::C005",'C_jama.2019.4755'!$A$2:$A$6,0))="retain",INDEX('C_jama.2019.4755'!$E$2:$E$6,MATCH("2019::jama.2019.4755::C005",'C_jama.2019.4755'!$A$2:$A$6,0))="statistical_results"),IF(INDEX('C_jama.2019.4755'!$J$2:$J$6,MATCH("2019::jama.2019.4755::C005",'C_jama.2019.4755'!$A$2:$A$6,0))="","",INDEX('C_jama.2019.4755'!$J$2:$J$6,MATCH("2019::jama.2019.4755::C005",'C_jama.2019.4755'!$A$2:$A$6,0))),"not_applicable"),"NOT FROZEN")</x:f>
        <x:v>not_applicable</x:v>
      </x:c>
      <x:c r="G68" s="6" t="str">
        <x:f>IF(Setup!$B$6="primary",IF(AND(INDEX('C_jama.2019.4755'!$D$2:$D$6,MATCH("2019::jama.2019.4755::C005",'C_jama.2019.4755'!$A$2:$A$6,0))="retain",OR(INDEX('C_jama.2019.4755'!$E$2:$E$6,MATCH("2019::jama.2019.4755::C005",'C_jama.2019.4755'!$A$2:$A$6,0))="report_internal_inconsistency",INDEX('C_jama.2019.4755'!$E$2:$E$6,MATCH("2019::jama.2019.4755::C005",'C_jama.2019.4755'!$A$2:$A$6,0))="plan_material")),IF(INDEX('C_jama.2019.4755'!$K$2:$K$6,MATCH("2019::jama.2019.4755::C005",'C_jama.2019.4755'!$A$2:$A$6,0))="","",INDEX('C_jama.2019.4755'!$K$2:$K$6,MATCH("2019::jama.2019.4755::C005",'C_jama.2019.4755'!$A$2:$A$6,0))),"not_applicable"),"NOT FROZEN")</x:f>
        <x:v>not_applicable</x:v>
      </x:c>
      <x:c r="H68" s="6" t="str">
        <x:f>IF(Setup!$B$6="primary",IF(AND(INDEX('C_jama.2019.4755'!$D$2:$D$6,MATCH("2019::jama.2019.4755::C005",'C_jama.2019.4755'!$A$2:$A$6,0))="retain",INDEX('C_jama.2019.4755'!$E$2:$E$6,MATCH("2019::jama.2019.4755::C005",'C_jama.2019.4755'!$A$2:$A$6,0))="protocol_report"),IF(INDEX('C_jama.2019.4755'!$L$2:$L$6,MATCH("2019::jama.2019.4755::C005",'C_jama.2019.4755'!$A$2:$A$6,0))="","",INDEX('C_jama.2019.4755'!$L$2:$L$6,MATCH("2019::jama.2019.4755::C005",'C_jama.2019.4755'!$A$2:$A$6,0))),"not_applicable"),"NOT FROZEN")</x:f>
        <x:v>not_applicable</x:v>
      </x:c>
      <x:c r="I68" s="6" t="str">
        <x:f>IF(Setup!$B$6="primary",IF(INDEX('C_jama.2019.4755'!$R$2:$R$6,MATCH("2019::jama.2019.4755::C005",'C_jama.2019.4755'!$A$2:$A$6,0))="","",INDEX('C_jama.2019.4755'!$R$2:$R$6,MATCH("2019::jama.2019.4755::C005",'C_jama.2019.4755'!$A$2:$A$6,0))),"NOT FROZEN")</x:f>
      </x:c>
      <x:c r="J68" s="6" t="str">
        <x:f>IF(Setup!$B$6="primary",INDEX('C_jama.2019.4755'!$F$2:$F$6,MATCH("2019::jama.2019.4755::C005",'C_jama.2019.4755'!$A$2:$A$6,0)),"NOT FROZEN")</x:f>
        <x:v>no</x:v>
      </x:c>
      <x:c r="K68" s="6" t="str">
        <x:f>IF(Setup!$B$6="primary",Setup!$B$2,"NOT FROZEN")</x:f>
      </x:c>
      <x:c r="L68" s="6" t="str">
        <x:f>IF(Setup!$B$6="primary",IF(OR(B68="",B68="not_applicable"),"","Disposition: "&amp;B68&amp;CHAR(10))&amp;IF(OR(C68="",C68="not_applicable"),"","Review domain: "&amp;C68&amp;CHAR(10))&amp;IF(OR(D68="",D68="not_applicable"),"","Statistcal_or_numerical issue: "&amp;D68&amp;CHAR(10))&amp;IF(OR(E68="",E68="not_applicable"),"","Substantiveness: "&amp;E68&amp;CHAR(10))&amp;IF(OR(F68="",F68="not_applicable"),"","Downstream impact: "&amp;F68&amp;CHAR(10))&amp;IF(OR(G68="",G68="not_applicable"),"","Report-internal or planning-material inconsistency: "&amp;G68&amp;CHAR(10))&amp;IF(OR(H68="",H68="not_applicable"),"","Protocol interpretation: "&amp;H68&amp;CHAR(10))&amp;IF(OR(I68="",I68="not_applicable"),"","Notes (optional): "&amp;I68&amp;CHAR(10)),"NOT FROZEN")</x:f>
        <x:v>Review domain: plan_material
</x:v>
      </x:c>
    </x:row>
    <x:row r="69" ht="70" customHeight="1">
      <x:c r="A69" s="3" t="str">
        <x:f>IF(Setup!$B$6="primary","2019::jama.2019.7505::C001","NOT FROZEN")</x:f>
        <x:v>2019::jama.2019.7505::C001</x:v>
      </x:c>
      <x:c r="B69" s="3" t="str">
        <x:f>IF(Setup!$B$6="primary",IF(INDEX('C_jama.2019.7505'!$D$2:$D$5,MATCH("2019::jama.2019.7505::C001",'C_jama.2019.7505'!$A$2:$A$5,0))="","",INDEX('C_jama.2019.7505'!$D$2:$D$5,MATCH("2019::jama.2019.7505::C001",'C_jama.2019.7505'!$A$2:$A$5,0))),"NOT FROZEN")</x:f>
      </x:c>
      <x:c r="C69" s="3" t="str">
        <x:f>IF(Setup!$B$6="primary",IF(INDEX('C_jama.2019.7505'!$E$2:$E$5,MATCH("2019::jama.2019.7505::C001",'C_jama.2019.7505'!$A$2:$A$5,0))="","",INDEX('C_jama.2019.7505'!$E$2:$E$5,MATCH("2019::jama.2019.7505::C001",'C_jama.2019.7505'!$A$2:$A$5,0))),"NOT FROZEN")</x:f>
        <x:v>report_internal_inconsistency</x:v>
      </x:c>
      <x:c r="D69" s="3" t="str">
        <x:f>IF(Setup!$B$6="primary",IF(AND(INDEX('C_jama.2019.7505'!$D$2:$D$5,MATCH("2019::jama.2019.7505::C001",'C_jama.2019.7505'!$A$2:$A$5,0))="retain",INDEX('C_jama.2019.7505'!$E$2:$E$5,MATCH("2019::jama.2019.7505::C001",'C_jama.2019.7505'!$A$2:$A$5,0))="statistical_results"),IF(INDEX('C_jama.2019.7505'!$H$2:$H$5,MATCH("2019::jama.2019.7505::C001",'C_jama.2019.7505'!$A$2:$A$5,0))="","",INDEX('C_jama.2019.7505'!$H$2:$H$5,MATCH("2019::jama.2019.7505::C001",'C_jama.2019.7505'!$A$2:$A$5,0))),"not_applicable"),"NOT FROZEN")</x:f>
        <x:v>not_applicable</x:v>
      </x:c>
      <x:c r="E69" s="3" t="str">
        <x:f>IF(Setup!$B$6="primary",IF(AND(INDEX('C_jama.2019.7505'!$D$2:$D$5,MATCH("2019::jama.2019.7505::C001",'C_jama.2019.7505'!$A$2:$A$5,0))="retain",INDEX('C_jama.2019.7505'!$E$2:$E$5,MATCH("2019::jama.2019.7505::C001",'C_jama.2019.7505'!$A$2:$A$5,0))="statistical_results"),IF(INDEX('C_jama.2019.7505'!$I$2:$I$5,MATCH("2019::jama.2019.7505::C001",'C_jama.2019.7505'!$A$2:$A$5,0))="","",INDEX('C_jama.2019.7505'!$I$2:$I$5,MATCH("2019::jama.2019.7505::C001",'C_jama.2019.7505'!$A$2:$A$5,0))),"not_applicable"),"NOT FROZEN")</x:f>
        <x:v>not_applicable</x:v>
      </x:c>
      <x:c r="F69" s="3" t="str">
        <x:f>IF(Setup!$B$6="primary",IF(AND(INDEX('C_jama.2019.7505'!$D$2:$D$5,MATCH("2019::jama.2019.7505::C001",'C_jama.2019.7505'!$A$2:$A$5,0))="retain",INDEX('C_jama.2019.7505'!$E$2:$E$5,MATCH("2019::jama.2019.7505::C001",'C_jama.2019.7505'!$A$2:$A$5,0))="statistical_results"),IF(INDEX('C_jama.2019.7505'!$J$2:$J$5,MATCH("2019::jama.2019.7505::C001",'C_jama.2019.7505'!$A$2:$A$5,0))="","",INDEX('C_jama.2019.7505'!$J$2:$J$5,MATCH("2019::jama.2019.7505::C001",'C_jama.2019.7505'!$A$2:$A$5,0))),"not_applicable"),"NOT FROZEN")</x:f>
        <x:v>not_applicable</x:v>
      </x:c>
      <x:c r="G69" s="3" t="str">
        <x:f>IF(Setup!$B$6="primary",IF(AND(INDEX('C_jama.2019.7505'!$D$2:$D$5,MATCH("2019::jama.2019.7505::C001",'C_jama.2019.7505'!$A$2:$A$5,0))="retain",OR(INDEX('C_jama.2019.7505'!$E$2:$E$5,MATCH("2019::jama.2019.7505::C001",'C_jama.2019.7505'!$A$2:$A$5,0))="report_internal_inconsistency",INDEX('C_jama.2019.7505'!$E$2:$E$5,MATCH("2019::jama.2019.7505::C001",'C_jama.2019.7505'!$A$2:$A$5,0))="plan_material")),IF(INDEX('C_jama.2019.7505'!$K$2:$K$5,MATCH("2019::jama.2019.7505::C001",'C_jama.2019.7505'!$A$2:$A$5,0))="","",INDEX('C_jama.2019.7505'!$K$2:$K$5,MATCH("2019::jama.2019.7505::C001",'C_jama.2019.7505'!$A$2:$A$5,0))),"not_applicable"),"NOT FROZEN")</x:f>
        <x:v>not_applicable</x:v>
      </x:c>
      <x:c r="H69" s="3" t="str">
        <x:f>IF(Setup!$B$6="primary",IF(AND(INDEX('C_jama.2019.7505'!$D$2:$D$5,MATCH("2019::jama.2019.7505::C001",'C_jama.2019.7505'!$A$2:$A$5,0))="retain",INDEX('C_jama.2019.7505'!$E$2:$E$5,MATCH("2019::jama.2019.7505::C001",'C_jama.2019.7505'!$A$2:$A$5,0))="protocol_report"),IF(INDEX('C_jama.2019.7505'!$L$2:$L$5,MATCH("2019::jama.2019.7505::C001",'C_jama.2019.7505'!$A$2:$A$5,0))="","",INDEX('C_jama.2019.7505'!$L$2:$L$5,MATCH("2019::jama.2019.7505::C001",'C_jama.2019.7505'!$A$2:$A$5,0))),"not_applicable"),"NOT FROZEN")</x:f>
        <x:v>not_applicable</x:v>
      </x:c>
      <x:c r="I69" s="3" t="str">
        <x:f>IF(Setup!$B$6="primary",IF(INDEX('C_jama.2019.7505'!$R$2:$R$5,MATCH("2019::jama.2019.7505::C001",'C_jama.2019.7505'!$A$2:$A$5,0))="","",INDEX('C_jama.2019.7505'!$R$2:$R$5,MATCH("2019::jama.2019.7505::C001",'C_jama.2019.7505'!$A$2:$A$5,0))),"NOT FROZEN")</x:f>
      </x:c>
      <x:c r="J69" s="3" t="str">
        <x:f>IF(Setup!$B$6="primary",INDEX('C_jama.2019.7505'!$F$2:$F$5,MATCH("2019::jama.2019.7505::C001",'C_jama.2019.7505'!$A$2:$A$5,0)),"NOT FROZEN")</x:f>
        <x:v>no</x:v>
      </x:c>
      <x:c r="K69" s="3" t="str">
        <x:f>IF(Setup!$B$6="primary",Setup!$B$2,"NOT FROZEN")</x:f>
      </x:c>
      <x:c r="L69" s="3" t="str">
        <x:f>IF(Setup!$B$6="primary",IF(OR(B69="",B69="not_applicable"),"","Disposition: "&amp;B69&amp;CHAR(10))&amp;IF(OR(C69="",C69="not_applicable"),"","Review domain: "&amp;C69&amp;CHAR(10))&amp;IF(OR(D69="",D69="not_applicable"),"","Statistcal_or_numerical issue: "&amp;D69&amp;CHAR(10))&amp;IF(OR(E69="",E69="not_applicable"),"","Substantiveness: "&amp;E69&amp;CHAR(10))&amp;IF(OR(F69="",F69="not_applicable"),"","Downstream impact: "&amp;F69&amp;CHAR(10))&amp;IF(OR(G69="",G69="not_applicable"),"","Report-internal or planning-material inconsistency: "&amp;G69&amp;CHAR(10))&amp;IF(OR(H69="",H69="not_applicable"),"","Protocol interpretation: "&amp;H69&amp;CHAR(10))&amp;IF(OR(I69="",I69="not_applicable"),"","Notes (optional): "&amp;I69&amp;CHAR(10)),"NOT FROZEN")</x:f>
        <x:v>Review domain: report_internal_inconsistency
</x:v>
      </x:c>
    </x:row>
    <x:row r="70" ht="70" customHeight="1">
      <x:c r="A70" s="6" t="str">
        <x:f>IF(Setup!$B$6="primary","2019::jama.2019.7505::C002","NOT FROZEN")</x:f>
        <x:v>2019::jama.2019.7505::C002</x:v>
      </x:c>
      <x:c r="B70" s="6" t="str">
        <x:f>IF(Setup!$B$6="primary",IF(INDEX('C_jama.2019.7505'!$D$2:$D$5,MATCH("2019::jama.2019.7505::C002",'C_jama.2019.7505'!$A$2:$A$5,0))="","",INDEX('C_jama.2019.7505'!$D$2:$D$5,MATCH("2019::jama.2019.7505::C002",'C_jama.2019.7505'!$A$2:$A$5,0))),"NOT FROZEN")</x:f>
      </x:c>
      <x:c r="C70" s="6" t="str">
        <x:f>IF(Setup!$B$6="primary",IF(INDEX('C_jama.2019.7505'!$E$2:$E$5,MATCH("2019::jama.2019.7505::C002",'C_jama.2019.7505'!$A$2:$A$5,0))="","",INDEX('C_jama.2019.7505'!$E$2:$E$5,MATCH("2019::jama.2019.7505::C002",'C_jama.2019.7505'!$A$2:$A$5,0))),"NOT FROZEN")</x:f>
        <x:v>statistical_results</x:v>
      </x:c>
      <x:c r="D70" s="6" t="str">
        <x:f>IF(Setup!$B$6="primary",IF(AND(INDEX('C_jama.2019.7505'!$D$2:$D$5,MATCH("2019::jama.2019.7505::C002",'C_jama.2019.7505'!$A$2:$A$5,0))="retain",INDEX('C_jama.2019.7505'!$E$2:$E$5,MATCH("2019::jama.2019.7505::C002",'C_jama.2019.7505'!$A$2:$A$5,0))="statistical_results"),IF(INDEX('C_jama.2019.7505'!$H$2:$H$5,MATCH("2019::jama.2019.7505::C002",'C_jama.2019.7505'!$A$2:$A$5,0))="","",INDEX('C_jama.2019.7505'!$H$2:$H$5,MATCH("2019::jama.2019.7505::C002",'C_jama.2019.7505'!$A$2:$A$5,0))),"not_applicable"),"NOT FROZEN")</x:f>
        <x:v>not_applicable</x:v>
      </x:c>
      <x:c r="E70" s="6" t="str">
        <x:f>IF(Setup!$B$6="primary",IF(AND(INDEX('C_jama.2019.7505'!$D$2:$D$5,MATCH("2019::jama.2019.7505::C002",'C_jama.2019.7505'!$A$2:$A$5,0))="retain",INDEX('C_jama.2019.7505'!$E$2:$E$5,MATCH("2019::jama.2019.7505::C002",'C_jama.2019.7505'!$A$2:$A$5,0))="statistical_results"),IF(INDEX('C_jama.2019.7505'!$I$2:$I$5,MATCH("2019::jama.2019.7505::C002",'C_jama.2019.7505'!$A$2:$A$5,0))="","",INDEX('C_jama.2019.7505'!$I$2:$I$5,MATCH("2019::jama.2019.7505::C002",'C_jama.2019.7505'!$A$2:$A$5,0))),"not_applicable"),"NOT FROZEN")</x:f>
        <x:v>not_applicable</x:v>
      </x:c>
      <x:c r="F70" s="6" t="str">
        <x:f>IF(Setup!$B$6="primary",IF(AND(INDEX('C_jama.2019.7505'!$D$2:$D$5,MATCH("2019::jama.2019.7505::C002",'C_jama.2019.7505'!$A$2:$A$5,0))="retain",INDEX('C_jama.2019.7505'!$E$2:$E$5,MATCH("2019::jama.2019.7505::C002",'C_jama.2019.7505'!$A$2:$A$5,0))="statistical_results"),IF(INDEX('C_jama.2019.7505'!$J$2:$J$5,MATCH("2019::jama.2019.7505::C002",'C_jama.2019.7505'!$A$2:$A$5,0))="","",INDEX('C_jama.2019.7505'!$J$2:$J$5,MATCH("2019::jama.2019.7505::C002",'C_jama.2019.7505'!$A$2:$A$5,0))),"not_applicable"),"NOT FROZEN")</x:f>
        <x:v>not_applicable</x:v>
      </x:c>
      <x:c r="G70" s="6" t="str">
        <x:f>IF(Setup!$B$6="primary",IF(AND(INDEX('C_jama.2019.7505'!$D$2:$D$5,MATCH("2019::jama.2019.7505::C002",'C_jama.2019.7505'!$A$2:$A$5,0))="retain",OR(INDEX('C_jama.2019.7505'!$E$2:$E$5,MATCH("2019::jama.2019.7505::C002",'C_jama.2019.7505'!$A$2:$A$5,0))="report_internal_inconsistency",INDEX('C_jama.2019.7505'!$E$2:$E$5,MATCH("2019::jama.2019.7505::C002",'C_jama.2019.7505'!$A$2:$A$5,0))="plan_material")),IF(INDEX('C_jama.2019.7505'!$K$2:$K$5,MATCH("2019::jama.2019.7505::C002",'C_jama.2019.7505'!$A$2:$A$5,0))="","",INDEX('C_jama.2019.7505'!$K$2:$K$5,MATCH("2019::jama.2019.7505::C002",'C_jama.2019.7505'!$A$2:$A$5,0))),"not_applicable"),"NOT FROZEN")</x:f>
        <x:v>not_applicable</x:v>
      </x:c>
      <x:c r="H70" s="6" t="str">
        <x:f>IF(Setup!$B$6="primary",IF(AND(INDEX('C_jama.2019.7505'!$D$2:$D$5,MATCH("2019::jama.2019.7505::C002",'C_jama.2019.7505'!$A$2:$A$5,0))="retain",INDEX('C_jama.2019.7505'!$E$2:$E$5,MATCH("2019::jama.2019.7505::C002",'C_jama.2019.7505'!$A$2:$A$5,0))="protocol_report"),IF(INDEX('C_jama.2019.7505'!$L$2:$L$5,MATCH("2019::jama.2019.7505::C002",'C_jama.2019.7505'!$A$2:$A$5,0))="","",INDEX('C_jama.2019.7505'!$L$2:$L$5,MATCH("2019::jama.2019.7505::C002",'C_jama.2019.7505'!$A$2:$A$5,0))),"not_applicable"),"NOT FROZEN")</x:f>
        <x:v>not_applicable</x:v>
      </x:c>
      <x:c r="I70" s="6" t="str">
        <x:f>IF(Setup!$B$6="primary",IF(INDEX('C_jama.2019.7505'!$R$2:$R$5,MATCH("2019::jama.2019.7505::C002",'C_jama.2019.7505'!$A$2:$A$5,0))="","",INDEX('C_jama.2019.7505'!$R$2:$R$5,MATCH("2019::jama.2019.7505::C002",'C_jama.2019.7505'!$A$2:$A$5,0))),"NOT FROZEN")</x:f>
      </x:c>
      <x:c r="J70" s="6" t="str">
        <x:f>IF(Setup!$B$6="primary",INDEX('C_jama.2019.7505'!$F$2:$F$5,MATCH("2019::jama.2019.7505::C002",'C_jama.2019.7505'!$A$2:$A$5,0)),"NOT FROZEN")</x:f>
        <x:v>no</x:v>
      </x:c>
      <x:c r="K70" s="6" t="str">
        <x:f>IF(Setup!$B$6="primary",Setup!$B$2,"NOT FROZEN")</x:f>
      </x:c>
      <x:c r="L70" s="6" t="str">
        <x:f>IF(Setup!$B$6="primary",IF(OR(B70="",B70="not_applicable"),"","Disposition: "&amp;B70&amp;CHAR(10))&amp;IF(OR(C70="",C70="not_applicable"),"","Review domain: "&amp;C70&amp;CHAR(10))&amp;IF(OR(D70="",D70="not_applicable"),"","Statistcal_or_numerical issue: "&amp;D70&amp;CHAR(10))&amp;IF(OR(E70="",E70="not_applicable"),"","Substantiveness: "&amp;E70&amp;CHAR(10))&amp;IF(OR(F70="",F70="not_applicable"),"","Downstream impact: "&amp;F70&amp;CHAR(10))&amp;IF(OR(G70="",G70="not_applicable"),"","Report-internal or planning-material inconsistency: "&amp;G70&amp;CHAR(10))&amp;IF(OR(H70="",H70="not_applicable"),"","Protocol interpretation: "&amp;H70&amp;CHAR(10))&amp;IF(OR(I70="",I70="not_applicable"),"","Notes (optional): "&amp;I70&amp;CHAR(10)),"NOT FROZEN")</x:f>
        <x:v>Review domain: statistical_results
</x:v>
      </x:c>
    </x:row>
    <x:row r="71" ht="70" customHeight="1">
      <x:c r="A71" s="3" t="str">
        <x:f>IF(Setup!$B$6="primary","2019::jama.2019.7505::C003","NOT FROZEN")</x:f>
        <x:v>2019::jama.2019.7505::C003</x:v>
      </x:c>
      <x:c r="B71" s="3" t="str">
        <x:f>IF(Setup!$B$6="primary",IF(INDEX('C_jama.2019.7505'!$D$2:$D$5,MATCH("2019::jama.2019.7505::C003",'C_jama.2019.7505'!$A$2:$A$5,0))="","",INDEX('C_jama.2019.7505'!$D$2:$D$5,MATCH("2019::jama.2019.7505::C003",'C_jama.2019.7505'!$A$2:$A$5,0))),"NOT FROZEN")</x:f>
      </x:c>
      <x:c r="C71" s="3" t="str">
        <x:f>IF(Setup!$B$6="primary",IF(INDEX('C_jama.2019.7505'!$E$2:$E$5,MATCH("2019::jama.2019.7505::C003",'C_jama.2019.7505'!$A$2:$A$5,0))="","",INDEX('C_jama.2019.7505'!$E$2:$E$5,MATCH("2019::jama.2019.7505::C003",'C_jama.2019.7505'!$A$2:$A$5,0))),"NOT FROZEN")</x:f>
        <x:v>plan_material</x:v>
      </x:c>
      <x:c r="D71" s="3" t="str">
        <x:f>IF(Setup!$B$6="primary",IF(AND(INDEX('C_jama.2019.7505'!$D$2:$D$5,MATCH("2019::jama.2019.7505::C003",'C_jama.2019.7505'!$A$2:$A$5,0))="retain",INDEX('C_jama.2019.7505'!$E$2:$E$5,MATCH("2019::jama.2019.7505::C003",'C_jama.2019.7505'!$A$2:$A$5,0))="statistical_results"),IF(INDEX('C_jama.2019.7505'!$H$2:$H$5,MATCH("2019::jama.2019.7505::C003",'C_jama.2019.7505'!$A$2:$A$5,0))="","",INDEX('C_jama.2019.7505'!$H$2:$H$5,MATCH("2019::jama.2019.7505::C003",'C_jama.2019.7505'!$A$2:$A$5,0))),"not_applicable"),"NOT FROZEN")</x:f>
        <x:v>not_applicable</x:v>
      </x:c>
      <x:c r="E71" s="3" t="str">
        <x:f>IF(Setup!$B$6="primary",IF(AND(INDEX('C_jama.2019.7505'!$D$2:$D$5,MATCH("2019::jama.2019.7505::C003",'C_jama.2019.7505'!$A$2:$A$5,0))="retain",INDEX('C_jama.2019.7505'!$E$2:$E$5,MATCH("2019::jama.2019.7505::C003",'C_jama.2019.7505'!$A$2:$A$5,0))="statistical_results"),IF(INDEX('C_jama.2019.7505'!$I$2:$I$5,MATCH("2019::jama.2019.7505::C003",'C_jama.2019.7505'!$A$2:$A$5,0))="","",INDEX('C_jama.2019.7505'!$I$2:$I$5,MATCH("2019::jama.2019.7505::C003",'C_jama.2019.7505'!$A$2:$A$5,0))),"not_applicable"),"NOT FROZEN")</x:f>
        <x:v>not_applicable</x:v>
      </x:c>
      <x:c r="F71" s="3" t="str">
        <x:f>IF(Setup!$B$6="primary",IF(AND(INDEX('C_jama.2019.7505'!$D$2:$D$5,MATCH("2019::jama.2019.7505::C003",'C_jama.2019.7505'!$A$2:$A$5,0))="retain",INDEX('C_jama.2019.7505'!$E$2:$E$5,MATCH("2019::jama.2019.7505::C003",'C_jama.2019.7505'!$A$2:$A$5,0))="statistical_results"),IF(INDEX('C_jama.2019.7505'!$J$2:$J$5,MATCH("2019::jama.2019.7505::C003",'C_jama.2019.7505'!$A$2:$A$5,0))="","",INDEX('C_jama.2019.7505'!$J$2:$J$5,MATCH("2019::jama.2019.7505::C003",'C_jama.2019.7505'!$A$2:$A$5,0))),"not_applicable"),"NOT FROZEN")</x:f>
        <x:v>not_applicable</x:v>
      </x:c>
      <x:c r="G71" s="3" t="str">
        <x:f>IF(Setup!$B$6="primary",IF(AND(INDEX('C_jama.2019.7505'!$D$2:$D$5,MATCH("2019::jama.2019.7505::C003",'C_jama.2019.7505'!$A$2:$A$5,0))="retain",OR(INDEX('C_jama.2019.7505'!$E$2:$E$5,MATCH("2019::jama.2019.7505::C003",'C_jama.2019.7505'!$A$2:$A$5,0))="report_internal_inconsistency",INDEX('C_jama.2019.7505'!$E$2:$E$5,MATCH("2019::jama.2019.7505::C003",'C_jama.2019.7505'!$A$2:$A$5,0))="plan_material")),IF(INDEX('C_jama.2019.7505'!$K$2:$K$5,MATCH("2019::jama.2019.7505::C003",'C_jama.2019.7505'!$A$2:$A$5,0))="","",INDEX('C_jama.2019.7505'!$K$2:$K$5,MATCH("2019::jama.2019.7505::C003",'C_jama.2019.7505'!$A$2:$A$5,0))),"not_applicable"),"NOT FROZEN")</x:f>
        <x:v>not_applicable</x:v>
      </x:c>
      <x:c r="H71" s="3" t="str">
        <x:f>IF(Setup!$B$6="primary",IF(AND(INDEX('C_jama.2019.7505'!$D$2:$D$5,MATCH("2019::jama.2019.7505::C003",'C_jama.2019.7505'!$A$2:$A$5,0))="retain",INDEX('C_jama.2019.7505'!$E$2:$E$5,MATCH("2019::jama.2019.7505::C003",'C_jama.2019.7505'!$A$2:$A$5,0))="protocol_report"),IF(INDEX('C_jama.2019.7505'!$L$2:$L$5,MATCH("2019::jama.2019.7505::C003",'C_jama.2019.7505'!$A$2:$A$5,0))="","",INDEX('C_jama.2019.7505'!$L$2:$L$5,MATCH("2019::jama.2019.7505::C003",'C_jama.2019.7505'!$A$2:$A$5,0))),"not_applicable"),"NOT FROZEN")</x:f>
        <x:v>not_applicable</x:v>
      </x:c>
      <x:c r="I71" s="3" t="str">
        <x:f>IF(Setup!$B$6="primary",IF(INDEX('C_jama.2019.7505'!$R$2:$R$5,MATCH("2019::jama.2019.7505::C003",'C_jama.2019.7505'!$A$2:$A$5,0))="","",INDEX('C_jama.2019.7505'!$R$2:$R$5,MATCH("2019::jama.2019.7505::C003",'C_jama.2019.7505'!$A$2:$A$5,0))),"NOT FROZEN")</x:f>
      </x:c>
      <x:c r="J71" s="3" t="str">
        <x:f>IF(Setup!$B$6="primary",INDEX('C_jama.2019.7505'!$F$2:$F$5,MATCH("2019::jama.2019.7505::C003",'C_jama.2019.7505'!$A$2:$A$5,0)),"NOT FROZEN")</x:f>
        <x:v>no</x:v>
      </x:c>
      <x:c r="K71" s="3" t="str">
        <x:f>IF(Setup!$B$6="primary",Setup!$B$2,"NOT FROZEN")</x:f>
      </x:c>
      <x:c r="L71" s="3" t="str">
        <x:f>IF(Setup!$B$6="primary",IF(OR(B71="",B71="not_applicable"),"","Disposition: "&amp;B71&amp;CHAR(10))&amp;IF(OR(C71="",C71="not_applicable"),"","Review domain: "&amp;C71&amp;CHAR(10))&amp;IF(OR(D71="",D71="not_applicable"),"","Statistcal_or_numerical issue: "&amp;D71&amp;CHAR(10))&amp;IF(OR(E71="",E71="not_applicable"),"","Substantiveness: "&amp;E71&amp;CHAR(10))&amp;IF(OR(F71="",F71="not_applicable"),"","Downstream impact: "&amp;F71&amp;CHAR(10))&amp;IF(OR(G71="",G71="not_applicable"),"","Report-internal or planning-material inconsistency: "&amp;G71&amp;CHAR(10))&amp;IF(OR(H71="",H71="not_applicable"),"","Protocol interpretation: "&amp;H71&amp;CHAR(10))&amp;IF(OR(I71="",I71="not_applicable"),"","Notes (optional): "&amp;I71&amp;CHAR(10)),"NOT FROZEN")</x:f>
        <x:v>Review domain: plan_material
</x:v>
      </x:c>
    </x:row>
    <x:row r="72" ht="70" customHeight="1">
      <x:c r="A72" s="6" t="str">
        <x:f>IF(Setup!$B$6="primary","2019::jama.2019.7505::C004","NOT FROZEN")</x:f>
        <x:v>2019::jama.2019.7505::C004</x:v>
      </x:c>
      <x:c r="B72" s="6" t="str">
        <x:f>IF(Setup!$B$6="primary",IF(INDEX('C_jama.2019.7505'!$D$2:$D$5,MATCH("2019::jama.2019.7505::C004",'C_jama.2019.7505'!$A$2:$A$5,0))="","",INDEX('C_jama.2019.7505'!$D$2:$D$5,MATCH("2019::jama.2019.7505::C004",'C_jama.2019.7505'!$A$2:$A$5,0))),"NOT FROZEN")</x:f>
      </x:c>
      <x:c r="C72" s="6" t="str">
        <x:f>IF(Setup!$B$6="primary",IF(INDEX('C_jama.2019.7505'!$E$2:$E$5,MATCH("2019::jama.2019.7505::C004",'C_jama.2019.7505'!$A$2:$A$5,0))="","",INDEX('C_jama.2019.7505'!$E$2:$E$5,MATCH("2019::jama.2019.7505::C004",'C_jama.2019.7505'!$A$2:$A$5,0))),"NOT FROZEN")</x:f>
        <x:v>report_internal_inconsistency</x:v>
      </x:c>
      <x:c r="D72" s="6" t="str">
        <x:f>IF(Setup!$B$6="primary",IF(AND(INDEX('C_jama.2019.7505'!$D$2:$D$5,MATCH("2019::jama.2019.7505::C004",'C_jama.2019.7505'!$A$2:$A$5,0))="retain",INDEX('C_jama.2019.7505'!$E$2:$E$5,MATCH("2019::jama.2019.7505::C004",'C_jama.2019.7505'!$A$2:$A$5,0))="statistical_results"),IF(INDEX('C_jama.2019.7505'!$H$2:$H$5,MATCH("2019::jama.2019.7505::C004",'C_jama.2019.7505'!$A$2:$A$5,0))="","",INDEX('C_jama.2019.7505'!$H$2:$H$5,MATCH("2019::jama.2019.7505::C004",'C_jama.2019.7505'!$A$2:$A$5,0))),"not_applicable"),"NOT FROZEN")</x:f>
        <x:v>not_applicable</x:v>
      </x:c>
      <x:c r="E72" s="6" t="str">
        <x:f>IF(Setup!$B$6="primary",IF(AND(INDEX('C_jama.2019.7505'!$D$2:$D$5,MATCH("2019::jama.2019.7505::C004",'C_jama.2019.7505'!$A$2:$A$5,0))="retain",INDEX('C_jama.2019.7505'!$E$2:$E$5,MATCH("2019::jama.2019.7505::C004",'C_jama.2019.7505'!$A$2:$A$5,0))="statistical_results"),IF(INDEX('C_jama.2019.7505'!$I$2:$I$5,MATCH("2019::jama.2019.7505::C004",'C_jama.2019.7505'!$A$2:$A$5,0))="","",INDEX('C_jama.2019.7505'!$I$2:$I$5,MATCH("2019::jama.2019.7505::C004",'C_jama.2019.7505'!$A$2:$A$5,0))),"not_applicable"),"NOT FROZEN")</x:f>
        <x:v>not_applicable</x:v>
      </x:c>
      <x:c r="F72" s="6" t="str">
        <x:f>IF(Setup!$B$6="primary",IF(AND(INDEX('C_jama.2019.7505'!$D$2:$D$5,MATCH("2019::jama.2019.7505::C004",'C_jama.2019.7505'!$A$2:$A$5,0))="retain",INDEX('C_jama.2019.7505'!$E$2:$E$5,MATCH("2019::jama.2019.7505::C004",'C_jama.2019.7505'!$A$2:$A$5,0))="statistical_results"),IF(INDEX('C_jama.2019.7505'!$J$2:$J$5,MATCH("2019::jama.2019.7505::C004",'C_jama.2019.7505'!$A$2:$A$5,0))="","",INDEX('C_jama.2019.7505'!$J$2:$J$5,MATCH("2019::jama.2019.7505::C004",'C_jama.2019.7505'!$A$2:$A$5,0))),"not_applicable"),"NOT FROZEN")</x:f>
        <x:v>not_applicable</x:v>
      </x:c>
      <x:c r="G72" s="6" t="str">
        <x:f>IF(Setup!$B$6="primary",IF(AND(INDEX('C_jama.2019.7505'!$D$2:$D$5,MATCH("2019::jama.2019.7505::C004",'C_jama.2019.7505'!$A$2:$A$5,0))="retain",OR(INDEX('C_jama.2019.7505'!$E$2:$E$5,MATCH("2019::jama.2019.7505::C004",'C_jama.2019.7505'!$A$2:$A$5,0))="report_internal_inconsistency",INDEX('C_jama.2019.7505'!$E$2:$E$5,MATCH("2019::jama.2019.7505::C004",'C_jama.2019.7505'!$A$2:$A$5,0))="plan_material")),IF(INDEX('C_jama.2019.7505'!$K$2:$K$5,MATCH("2019::jama.2019.7505::C004",'C_jama.2019.7505'!$A$2:$A$5,0))="","",INDEX('C_jama.2019.7505'!$K$2:$K$5,MATCH("2019::jama.2019.7505::C004",'C_jama.2019.7505'!$A$2:$A$5,0))),"not_applicable"),"NOT FROZEN")</x:f>
        <x:v>not_applicable</x:v>
      </x:c>
      <x:c r="H72" s="6" t="str">
        <x:f>IF(Setup!$B$6="primary",IF(AND(INDEX('C_jama.2019.7505'!$D$2:$D$5,MATCH("2019::jama.2019.7505::C004",'C_jama.2019.7505'!$A$2:$A$5,0))="retain",INDEX('C_jama.2019.7505'!$E$2:$E$5,MATCH("2019::jama.2019.7505::C004",'C_jama.2019.7505'!$A$2:$A$5,0))="protocol_report"),IF(INDEX('C_jama.2019.7505'!$L$2:$L$5,MATCH("2019::jama.2019.7505::C004",'C_jama.2019.7505'!$A$2:$A$5,0))="","",INDEX('C_jama.2019.7505'!$L$2:$L$5,MATCH("2019::jama.2019.7505::C004",'C_jama.2019.7505'!$A$2:$A$5,0))),"not_applicable"),"NOT FROZEN")</x:f>
        <x:v>not_applicable</x:v>
      </x:c>
      <x:c r="I72" s="6" t="str">
        <x:f>IF(Setup!$B$6="primary",IF(INDEX('C_jama.2019.7505'!$R$2:$R$5,MATCH("2019::jama.2019.7505::C004",'C_jama.2019.7505'!$A$2:$A$5,0))="","",INDEX('C_jama.2019.7505'!$R$2:$R$5,MATCH("2019::jama.2019.7505::C004",'C_jama.2019.7505'!$A$2:$A$5,0))),"NOT FROZEN")</x:f>
      </x:c>
      <x:c r="J72" s="6" t="str">
        <x:f>IF(Setup!$B$6="primary",INDEX('C_jama.2019.7505'!$F$2:$F$5,MATCH("2019::jama.2019.7505::C004",'C_jama.2019.7505'!$A$2:$A$5,0)),"NOT FROZEN")</x:f>
        <x:v>no</x:v>
      </x:c>
      <x:c r="K72" s="6" t="str">
        <x:f>IF(Setup!$B$6="primary",Setup!$B$2,"NOT FROZEN")</x:f>
      </x:c>
      <x:c r="L72" s="6" t="str">
        <x:f>IF(Setup!$B$6="primary",IF(OR(B72="",B72="not_applicable"),"","Disposition: "&amp;B72&amp;CHAR(10))&amp;IF(OR(C72="",C72="not_applicable"),"","Review domain: "&amp;C72&amp;CHAR(10))&amp;IF(OR(D72="",D72="not_applicable"),"","Statistcal_or_numerical issue: "&amp;D72&amp;CHAR(10))&amp;IF(OR(E72="",E72="not_applicable"),"","Substantiveness: "&amp;E72&amp;CHAR(10))&amp;IF(OR(F72="",F72="not_applicable"),"","Downstream impact: "&amp;F72&amp;CHAR(10))&amp;IF(OR(G72="",G72="not_applicable"),"","Report-internal or planning-material inconsistency: "&amp;G72&amp;CHAR(10))&amp;IF(OR(H72="",H72="not_applicable"),"","Protocol interpretation: "&amp;H72&amp;CHAR(10))&amp;IF(OR(I72="",I72="not_applicable"),"","Notes (optional): "&amp;I72&amp;CHAR(10)),"NOT FROZEN")</x:f>
        <x:v>Review domain: report_internal_inconsistency
</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6" hidden="0" customWidth="1"/>
    <x:col min="3" max="3" width="44" hidden="0" customWidth="1"/>
    <x:col min="4" max="4" width="18" hidden="0" customWidth="1"/>
    <x:col min="5" max="5" width="24" hidden="0" customWidth="1"/>
    <x:col min="6" max="6" width="24"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 min="19" max="19" width="26" hidden="0" customWidth="1"/>
    <x:col min="20" max="20" width="26" hidden="0" customWidth="1"/>
    <x:col min="21" max="21" width="26" hidden="0" customWidth="1"/>
    <x:col min="22" max="22" width="26" hidden="0" customWidth="1"/>
    <x:col min="23" max="23" width="26" hidden="0" customWidth="1"/>
    <x:col min="24" max="24" width="26" hidden="0" customWidth="1"/>
    <x:col min="25" max="25" width="26" hidden="0" customWidth="1"/>
    <x:col min="26" max="26" width="26" hidden="0" customWidth="1"/>
    <x:col min="27" max="27" width="26" hidden="0" customWidth="1"/>
    <x:col min="28" max="28" width="26" hidden="0" customWidth="1"/>
    <x:col min="29" max="29" width="26" hidden="0" customWidth="1"/>
    <x:col min="30" max="30" width="26" hidden="0" customWidth="1"/>
  </x:cols>
  <x:sheetData>
    <x:row r="1" ht="42" customHeight="1">
      <x:c r="A1" s="5" t="str">
        <x:v>year</x:v>
      </x:c>
      <x:c r="B1" s="5" t="str">
        <x:v>package</x:v>
      </x:c>
      <x:c r="C1" s="5" t="str">
        <x:v>key</x:v>
      </x:c>
      <x:c r="D1" s="5" t="str">
        <x:v>relationship</x:v>
      </x:c>
      <x:c r="E1" s="5" t="str">
        <x:v>primaryReviewerId</x:v>
      </x:c>
      <x:c r="F1" s="5" t="str">
        <x:v>checkerId</x:v>
      </x:c>
      <x:c r="G1" s="5" t="str">
        <x:v>status</x:v>
      </x:c>
      <x:c r="H1" s="5" t="str">
        <x:v>outcome</x:v>
      </x:c>
      <x:c r="I1" s="5" t="str">
        <x:v>aiDisposition</x:v>
      </x:c>
      <x:c r="J1" s="5" t="str">
        <x:v>aiDomain</x:v>
      </x:c>
      <x:c r="K1" s="5" t="str">
        <x:v>primary_disposition</x:v>
      </x:c>
      <x:c r="L1" s="5" t="str">
        <x:v>primary_domain</x:v>
      </x:c>
      <x:c r="M1" s="5" t="str">
        <x:v>primary_statisticalIssueStatus</x:v>
      </x:c>
      <x:c r="N1" s="5" t="str">
        <x:v>primary_substantiveStatus</x:v>
      </x:c>
      <x:c r="O1" s="5" t="str">
        <x:v>primary_downstreamImpact</x:v>
      </x:c>
      <x:c r="P1" s="5" t="str">
        <x:v>primary_internalStatus</x:v>
      </x:c>
      <x:c r="Q1" s="5" t="str">
        <x:v>primary_protocolInterpretation</x:v>
      </x:c>
      <x:c r="R1" s="5" t="str">
        <x:v>primary_notes</x:v>
      </x:c>
      <x:c r="S1" s="5" t="str">
        <x:v>final_disposition</x:v>
      </x:c>
      <x:c r="T1" s="5" t="str">
        <x:v>final_domain</x:v>
      </x:c>
      <x:c r="U1" s="5" t="str">
        <x:v>final_statisticalIssueStatus</x:v>
      </x:c>
      <x:c r="V1" s="5" t="str">
        <x:v>final_substantiveStatus</x:v>
      </x:c>
      <x:c r="W1" s="5" t="str">
        <x:v>final_downstreamImpact</x:v>
      </x:c>
      <x:c r="X1" s="5" t="str">
        <x:v>final_internalStatus</x:v>
      </x:c>
      <x:c r="Y1" s="5" t="str">
        <x:v>final_protocolInterpretation</x:v>
      </x:c>
      <x:c r="Z1" s="5" t="str">
        <x:v>final_notes</x:v>
      </x:c>
      <x:c r="AA1" s="5" t="str">
        <x:v>checkStatus</x:v>
      </x:c>
      <x:c r="AB1" s="5" t="str">
        <x:v>checkerComment</x:v>
      </x:c>
      <x:c r="AC1" s="5" t="str">
        <x:v>resolutionStatus</x:v>
      </x:c>
      <x:c r="AD1" s="5" t="str">
        <x:v>resolutionNote</x:v>
      </x:c>
    </x:row>
    <x:row r="2" ht="65" customHeight="1">
      <x:c r="A2" s="6" t="n">
        <x:v>2019</x:v>
      </x:c>
      <x:c r="B2" s="6" t="str">
        <x:v>jama.2019.0556</x:v>
      </x:c>
      <x:c r="C2" s="6" t="str">
        <x:v>2019::jama.2019.0556::C001</x:v>
      </x:c>
      <x:c r="D2" s="6" t="str">
        <x:v>S_W</x:v>
      </x:c>
      <x:c r="E2" s="6" t="n">
        <x:f>Setup!$B$2</x:f>
        <x:v>0</x:v>
      </x:c>
      <x:c r="F2" s="6" t="str">
        <x:f>IF(Setup!$B$4="","",Setup!$B$4)</x:f>
      </x:c>
      <x:c r="G2" s="6" t="str">
        <x:f>IFERROR(INDEX('C_jama.2019.0556'!$G$2:$G$10,MATCH("2019::jama.2019.0556::C001",'C_jama.2019.0556'!$A$2:$A$10,0)),"CHECK KEY")</x:f>
        <x:v>CHECK REVIEWER IDs</x:v>
      </x:c>
      <x:c r="H2" s="6" t="str">
        <x:f>IF(G2&lt;&gt;"FINAL READY","",IF(S2&lt;&gt;"retain","not_eligible",IF(D2="P_R","protocol_descriptive",IF(D2="P_P","plan_descriptive",IF(AND(T2="statistical_results",OR(U2="confirmed_issue",U2="probable_issue"),V2="substantive"),"primary_temporal",IF(AND(T2="report_internal_inconsistency",X2="substantive_inconsistency"),"secondary_temporal","not_eligible"))))))</x:f>
      </x:c>
      <x:c r="I2" s="6" t="str">
        <x:v>retain</x:v>
      </x:c>
      <x:c r="J2" s="6" t="str">
        <x:v>report_internal_inconsistency</x:v>
      </x:c>
      <x:c r="K2" s="6" t="str">
        <x:f>IF(Setup!$B$6="primary","",IFERROR(IF(INDEX('Primary_snapshot'!$B$2:$B$72,MATCH(C2,'Primary_snapshot'!$A$2:$A$72,0))="","",INDEX('Primary_snapshot'!$B$2:$B$72,MATCH(C2,'Primary_snapshot'!$A$2:$A$72,0))),"SNAPSHOT MISSING"))</x:f>
      </x:c>
      <x:c r="L2" s="6" t="str">
        <x:f>IF(Setup!$B$6="primary","",IFERROR(IF(INDEX('Primary_snapshot'!$C$2:$C$72,MATCH(C2,'Primary_snapshot'!$A$2:$A$72,0))="","",INDEX('Primary_snapshot'!$C$2:$C$72,MATCH(C2,'Primary_snapshot'!$A$2:$A$72,0))),"SNAPSHOT MISSING"))</x:f>
      </x:c>
      <x:c r="M2" s="6" t="str">
        <x:f>IF(Setup!$B$6="primary","",IFERROR(IF(INDEX('Primary_snapshot'!$D$2:$D$72,MATCH(C2,'Primary_snapshot'!$A$2:$A$72,0))="","",INDEX('Primary_snapshot'!$D$2:$D$72,MATCH(C2,'Primary_snapshot'!$A$2:$A$72,0))),"SNAPSHOT MISSING"))</x:f>
      </x:c>
      <x:c r="N2" s="6" t="str">
        <x:f>IF(Setup!$B$6="primary","",IFERROR(IF(INDEX('Primary_snapshot'!$E$2:$E$72,MATCH(C2,'Primary_snapshot'!$A$2:$A$72,0))="","",INDEX('Primary_snapshot'!$E$2:$E$72,MATCH(C2,'Primary_snapshot'!$A$2:$A$72,0))),"SNAPSHOT MISSING"))</x:f>
      </x:c>
      <x:c r="O2" s="6" t="str">
        <x:f>IF(Setup!$B$6="primary","",IFERROR(IF(INDEX('Primary_snapshot'!$F$2:$F$72,MATCH(C2,'Primary_snapshot'!$A$2:$A$72,0))="","",INDEX('Primary_snapshot'!$F$2:$F$72,MATCH(C2,'Primary_snapshot'!$A$2:$A$72,0))),"SNAPSHOT MISSING"))</x:f>
      </x:c>
      <x:c r="P2" s="6" t="str">
        <x:f>IF(Setup!$B$6="primary","",IFERROR(IF(INDEX('Primary_snapshot'!$G$2:$G$72,MATCH(C2,'Primary_snapshot'!$A$2:$A$72,0))="","",INDEX('Primary_snapshot'!$G$2:$G$72,MATCH(C2,'Primary_snapshot'!$A$2:$A$72,0))),"SNAPSHOT MISSING"))</x:f>
      </x:c>
      <x:c r="Q2" s="6" t="str">
        <x:f>IF(Setup!$B$6="primary","",IFERROR(IF(INDEX('Primary_snapshot'!$H$2:$H$72,MATCH(C2,'Primary_snapshot'!$A$2:$A$72,0))="","",INDEX('Primary_snapshot'!$H$2:$H$72,MATCH(C2,'Primary_snapshot'!$A$2:$A$72,0))),"SNAPSHOT MISSING"))</x:f>
      </x:c>
      <x:c r="R2" s="6" t="str">
        <x:f>IF(Setup!$B$6="primary","",IFERROR(IF(INDEX('Primary_snapshot'!$I$2:$I$72,MATCH(C2,'Primary_snapshot'!$A$2:$A$72,0))="","",INDEX('Primary_snapshot'!$I$2:$I$72,MATCH(C2,'Primary_snapshot'!$A$2:$A$72,0))),"SNAPSHOT MISSING"))</x:f>
      </x:c>
      <x:c r="S2" s="6" t="str">
        <x:f>IF(INDEX('C_jama.2019.0556'!$D$2:$D$10,MATCH("2019::jama.2019.0556::C001",'C_jama.2019.0556'!$A$2:$A$10,0))="","",INDEX('C_jama.2019.0556'!$D$2:$D$10,MATCH("2019::jama.2019.0556::C001",'C_jama.2019.0556'!$A$2:$A$10,0)))</x:f>
      </x:c>
      <x:c r="T2" s="6" t="str">
        <x:f>IF(INDEX('C_jama.2019.0556'!$E$2:$E$10,MATCH("2019::jama.2019.0556::C001",'C_jama.2019.0556'!$A$2:$A$10,0))="","",INDEX('C_jama.2019.0556'!$E$2:$E$10,MATCH("2019::jama.2019.0556::C001",'C_jama.2019.0556'!$A$2:$A$10,0)))</x:f>
        <x:v>report_internal_inconsistency</x:v>
      </x:c>
      <x:c r="U2" s="6" t="str">
        <x:f>IF(AND(INDEX('C_jama.2019.0556'!$D$2:$D$10,MATCH("2019::jama.2019.0556::C001",'C_jama.2019.0556'!$A$2:$A$10,0))="retain",INDEX('C_jama.2019.0556'!$E$2:$E$10,MATCH("2019::jama.2019.0556::C001",'C_jama.2019.0556'!$A$2:$A$10,0))="statistical_results"),IF(INDEX('C_jama.2019.0556'!$H$2:$H$10,MATCH("2019::jama.2019.0556::C001",'C_jama.2019.0556'!$A$2:$A$10,0))="","",INDEX('C_jama.2019.0556'!$H$2:$H$10,MATCH("2019::jama.2019.0556::C001",'C_jama.2019.0556'!$A$2:$A$10,0))),"not_applicable")</x:f>
        <x:v>not_applicable</x:v>
      </x:c>
      <x:c r="V2" s="6" t="str">
        <x:f>IF(AND(INDEX('C_jama.2019.0556'!$D$2:$D$10,MATCH("2019::jama.2019.0556::C001",'C_jama.2019.0556'!$A$2:$A$10,0))="retain",INDEX('C_jama.2019.0556'!$E$2:$E$10,MATCH("2019::jama.2019.0556::C001",'C_jama.2019.0556'!$A$2:$A$10,0))="statistical_results"),IF(INDEX('C_jama.2019.0556'!$I$2:$I$10,MATCH("2019::jama.2019.0556::C001",'C_jama.2019.0556'!$A$2:$A$10,0))="","",INDEX('C_jama.2019.0556'!$I$2:$I$10,MATCH("2019::jama.2019.0556::C001",'C_jama.2019.0556'!$A$2:$A$10,0))),"not_applicable")</x:f>
        <x:v>not_applicable</x:v>
      </x:c>
      <x:c r="W2" s="6" t="str">
        <x:f>IF(AND(INDEX('C_jama.2019.0556'!$D$2:$D$10,MATCH("2019::jama.2019.0556::C001",'C_jama.2019.0556'!$A$2:$A$10,0))="retain",INDEX('C_jama.2019.0556'!$E$2:$E$10,MATCH("2019::jama.2019.0556::C001",'C_jama.2019.0556'!$A$2:$A$10,0))="statistical_results"),IF(INDEX('C_jama.2019.0556'!$J$2:$J$10,MATCH("2019::jama.2019.0556::C001",'C_jama.2019.0556'!$A$2:$A$10,0))="","",INDEX('C_jama.2019.0556'!$J$2:$J$10,MATCH("2019::jama.2019.0556::C001",'C_jama.2019.0556'!$A$2:$A$10,0))),"not_applicable")</x:f>
        <x:v>not_applicable</x:v>
      </x:c>
      <x:c r="X2" s="6" t="str">
        <x:f>IF(AND(INDEX('C_jama.2019.0556'!$D$2:$D$10,MATCH("2019::jama.2019.0556::C001",'C_jama.2019.0556'!$A$2:$A$10,0))="retain",OR(INDEX('C_jama.2019.0556'!$E$2:$E$10,MATCH("2019::jama.2019.0556::C001",'C_jama.2019.0556'!$A$2:$A$10,0))="report_internal_inconsistency",INDEX('C_jama.2019.0556'!$E$2:$E$10,MATCH("2019::jama.2019.0556::C001",'C_jama.2019.0556'!$A$2:$A$10,0))="plan_material")),IF(INDEX('C_jama.2019.0556'!$K$2:$K$10,MATCH("2019::jama.2019.0556::C001",'C_jama.2019.0556'!$A$2:$A$10,0))="","",INDEX('C_jama.2019.0556'!$K$2:$K$10,MATCH("2019::jama.2019.0556::C001",'C_jama.2019.0556'!$A$2:$A$10,0))),"not_applicable")</x:f>
        <x:v>not_applicable</x:v>
      </x:c>
      <x:c r="Y2" s="6" t="str">
        <x:f>IF(AND(INDEX('C_jama.2019.0556'!$D$2:$D$10,MATCH("2019::jama.2019.0556::C001",'C_jama.2019.0556'!$A$2:$A$10,0))="retain",INDEX('C_jama.2019.0556'!$E$2:$E$10,MATCH("2019::jama.2019.0556::C001",'C_jama.2019.0556'!$A$2:$A$10,0))="protocol_report"),IF(INDEX('C_jama.2019.0556'!$L$2:$L$10,MATCH("2019::jama.2019.0556::C001",'C_jama.2019.0556'!$A$2:$A$10,0))="","",INDEX('C_jama.2019.0556'!$L$2:$L$10,MATCH("2019::jama.2019.0556::C001",'C_jama.2019.0556'!$A$2:$A$10,0))),"not_applicable")</x:f>
        <x:v>not_applicable</x:v>
      </x:c>
      <x:c r="Z2" s="6" t="str">
        <x:f>IF(INDEX('C_jama.2019.0556'!$R$2:$R$10,MATCH("2019::jama.2019.0556::C001",'C_jama.2019.0556'!$A$2:$A$10,0))="","",INDEX('C_jama.2019.0556'!$R$2:$R$10,MATCH("2019::jama.2019.0556::C001",'C_jama.2019.0556'!$A$2:$A$10,0)))</x:f>
      </x:c>
      <x:c r="AA2" s="6" t="str">
        <x:f>IF(INDEX('C_jama.2019.0556'!$N$2:$N$10,MATCH("2019::jama.2019.0556::C001",'C_jama.2019.0556'!$A$2:$A$10,0))="","",INDEX('C_jama.2019.0556'!$N$2:$N$10,MATCH("2019::jama.2019.0556::C001",'C_jama.2019.0556'!$A$2:$A$10,0)))</x:f>
      </x:c>
      <x:c r="AB2" s="6" t="str">
        <x:f>IF(INDEX('C_jama.2019.0556'!$O$2:$O$10,MATCH("2019::jama.2019.0556::C001",'C_jama.2019.0556'!$A$2:$A$10,0))="","",INDEX('C_jama.2019.0556'!$O$2:$O$10,MATCH("2019::jama.2019.0556::C001",'C_jama.2019.0556'!$A$2:$A$10,0)))</x:f>
      </x:c>
      <x:c r="AC2" s="6" t="str">
        <x:f>IF(INDEX('C_jama.2019.0556'!$P$2:$P$10,MATCH("2019::jama.2019.0556::C001",'C_jama.2019.0556'!$A$2:$A$10,0))="","",INDEX('C_jama.2019.0556'!$P$2:$P$10,MATCH("2019::jama.2019.0556::C001",'C_jama.2019.0556'!$A$2:$A$10,0)))</x:f>
      </x:c>
      <x:c r="AD2" s="6" t="str">
        <x:f>IF(INDEX('C_jama.2019.0556'!$Q$2:$Q$10,MATCH("2019::jama.2019.0556::C001",'C_jama.2019.0556'!$A$2:$A$10,0))="","",INDEX('C_jama.2019.0556'!$Q$2:$Q$10,MATCH("2019::jama.2019.0556::C001",'C_jama.2019.0556'!$A$2:$A$10,0)))</x:f>
      </x:c>
    </x:row>
    <x:row r="3" ht="65" customHeight="1">
      <x:c r="A3" s="3" t="n">
        <x:v>2019</x:v>
      </x:c>
      <x:c r="B3" s="3" t="str">
        <x:v>jama.2019.0556</x:v>
      </x:c>
      <x:c r="C3" s="3" t="str">
        <x:v>2019::jama.2019.0556::C002</x:v>
      </x:c>
      <x:c r="D3" s="3" t="str">
        <x:v>S_C</x:v>
      </x:c>
      <x:c r="E3" s="3" t="n">
        <x:f>Setup!$B$2</x:f>
        <x:v>0</x:v>
      </x:c>
      <x:c r="F3" s="3" t="str">
        <x:f>IF(Setup!$B$4="","",Setup!$B$4)</x:f>
      </x:c>
      <x:c r="G3" s="3" t="str">
        <x:f>IFERROR(INDEX('C_jama.2019.0556'!$G$2:$G$10,MATCH("2019::jama.2019.0556::C002",'C_jama.2019.0556'!$A$2:$A$10,0)),"CHECK KEY")</x:f>
        <x:v>CHECK REVIEWER IDs</x:v>
      </x:c>
      <x:c r="H3" s="3" t="str">
        <x:f>IF(G3&lt;&gt;"FINAL READY","",IF(S3&lt;&gt;"retain","not_eligible",IF(D3="P_R","protocol_descriptive",IF(D3="P_P","plan_descriptive",IF(AND(T3="statistical_results",OR(U3="confirmed_issue",U3="probable_issue"),V3="substantive"),"primary_temporal",IF(AND(T3="report_internal_inconsistency",X3="substantive_inconsistency"),"secondary_temporal","not_eligible"))))))</x:f>
      </x:c>
      <x:c r="I3" s="3" t="str">
        <x:v>retain</x:v>
      </x:c>
      <x:c r="J3" s="3" t="str">
        <x:v>report_internal_inconsistency</x:v>
      </x:c>
      <x:c r="K3" s="3" t="str">
        <x:f>IF(Setup!$B$6="primary","",IFERROR(IF(INDEX('Primary_snapshot'!$B$2:$B$72,MATCH(C3,'Primary_snapshot'!$A$2:$A$72,0))="","",INDEX('Primary_snapshot'!$B$2:$B$72,MATCH(C3,'Primary_snapshot'!$A$2:$A$72,0))),"SNAPSHOT MISSING"))</x:f>
      </x:c>
      <x:c r="L3" s="3" t="str">
        <x:f>IF(Setup!$B$6="primary","",IFERROR(IF(INDEX('Primary_snapshot'!$C$2:$C$72,MATCH(C3,'Primary_snapshot'!$A$2:$A$72,0))="","",INDEX('Primary_snapshot'!$C$2:$C$72,MATCH(C3,'Primary_snapshot'!$A$2:$A$72,0))),"SNAPSHOT MISSING"))</x:f>
      </x:c>
      <x:c r="M3" s="3" t="str">
        <x:f>IF(Setup!$B$6="primary","",IFERROR(IF(INDEX('Primary_snapshot'!$D$2:$D$72,MATCH(C3,'Primary_snapshot'!$A$2:$A$72,0))="","",INDEX('Primary_snapshot'!$D$2:$D$72,MATCH(C3,'Primary_snapshot'!$A$2:$A$72,0))),"SNAPSHOT MISSING"))</x:f>
      </x:c>
      <x:c r="N3" s="3" t="str">
        <x:f>IF(Setup!$B$6="primary","",IFERROR(IF(INDEX('Primary_snapshot'!$E$2:$E$72,MATCH(C3,'Primary_snapshot'!$A$2:$A$72,0))="","",INDEX('Primary_snapshot'!$E$2:$E$72,MATCH(C3,'Primary_snapshot'!$A$2:$A$72,0))),"SNAPSHOT MISSING"))</x:f>
      </x:c>
      <x:c r="O3" s="3" t="str">
        <x:f>IF(Setup!$B$6="primary","",IFERROR(IF(INDEX('Primary_snapshot'!$F$2:$F$72,MATCH(C3,'Primary_snapshot'!$A$2:$A$72,0))="","",INDEX('Primary_snapshot'!$F$2:$F$72,MATCH(C3,'Primary_snapshot'!$A$2:$A$72,0))),"SNAPSHOT MISSING"))</x:f>
      </x:c>
      <x:c r="P3" s="3" t="str">
        <x:f>IF(Setup!$B$6="primary","",IFERROR(IF(INDEX('Primary_snapshot'!$G$2:$G$72,MATCH(C3,'Primary_snapshot'!$A$2:$A$72,0))="","",INDEX('Primary_snapshot'!$G$2:$G$72,MATCH(C3,'Primary_snapshot'!$A$2:$A$72,0))),"SNAPSHOT MISSING"))</x:f>
      </x:c>
      <x:c r="Q3" s="3" t="str">
        <x:f>IF(Setup!$B$6="primary","",IFERROR(IF(INDEX('Primary_snapshot'!$H$2:$H$72,MATCH(C3,'Primary_snapshot'!$A$2:$A$72,0))="","",INDEX('Primary_snapshot'!$H$2:$H$72,MATCH(C3,'Primary_snapshot'!$A$2:$A$72,0))),"SNAPSHOT MISSING"))</x:f>
      </x:c>
      <x:c r="R3" s="3" t="str">
        <x:f>IF(Setup!$B$6="primary","",IFERROR(IF(INDEX('Primary_snapshot'!$I$2:$I$72,MATCH(C3,'Primary_snapshot'!$A$2:$A$72,0))="","",INDEX('Primary_snapshot'!$I$2:$I$72,MATCH(C3,'Primary_snapshot'!$A$2:$A$72,0))),"SNAPSHOT MISSING"))</x:f>
      </x:c>
      <x:c r="S3" s="3" t="str">
        <x:f>IF(INDEX('C_jama.2019.0556'!$D$2:$D$10,MATCH("2019::jama.2019.0556::C002",'C_jama.2019.0556'!$A$2:$A$10,0))="","",INDEX('C_jama.2019.0556'!$D$2:$D$10,MATCH("2019::jama.2019.0556::C002",'C_jama.2019.0556'!$A$2:$A$10,0)))</x:f>
      </x:c>
      <x:c r="T3" s="3" t="str">
        <x:f>IF(INDEX('C_jama.2019.0556'!$E$2:$E$10,MATCH("2019::jama.2019.0556::C002",'C_jama.2019.0556'!$A$2:$A$10,0))="","",INDEX('C_jama.2019.0556'!$E$2:$E$10,MATCH("2019::jama.2019.0556::C002",'C_jama.2019.0556'!$A$2:$A$10,0)))</x:f>
        <x:v>report_internal_inconsistency</x:v>
      </x:c>
      <x:c r="U3" s="3" t="str">
        <x:f>IF(AND(INDEX('C_jama.2019.0556'!$D$2:$D$10,MATCH("2019::jama.2019.0556::C002",'C_jama.2019.0556'!$A$2:$A$10,0))="retain",INDEX('C_jama.2019.0556'!$E$2:$E$10,MATCH("2019::jama.2019.0556::C002",'C_jama.2019.0556'!$A$2:$A$10,0))="statistical_results"),IF(INDEX('C_jama.2019.0556'!$H$2:$H$10,MATCH("2019::jama.2019.0556::C002",'C_jama.2019.0556'!$A$2:$A$10,0))="","",INDEX('C_jama.2019.0556'!$H$2:$H$10,MATCH("2019::jama.2019.0556::C002",'C_jama.2019.0556'!$A$2:$A$10,0))),"not_applicable")</x:f>
        <x:v>not_applicable</x:v>
      </x:c>
      <x:c r="V3" s="3" t="str">
        <x:f>IF(AND(INDEX('C_jama.2019.0556'!$D$2:$D$10,MATCH("2019::jama.2019.0556::C002",'C_jama.2019.0556'!$A$2:$A$10,0))="retain",INDEX('C_jama.2019.0556'!$E$2:$E$10,MATCH("2019::jama.2019.0556::C002",'C_jama.2019.0556'!$A$2:$A$10,0))="statistical_results"),IF(INDEX('C_jama.2019.0556'!$I$2:$I$10,MATCH("2019::jama.2019.0556::C002",'C_jama.2019.0556'!$A$2:$A$10,0))="","",INDEX('C_jama.2019.0556'!$I$2:$I$10,MATCH("2019::jama.2019.0556::C002",'C_jama.2019.0556'!$A$2:$A$10,0))),"not_applicable")</x:f>
        <x:v>not_applicable</x:v>
      </x:c>
      <x:c r="W3" s="3" t="str">
        <x:f>IF(AND(INDEX('C_jama.2019.0556'!$D$2:$D$10,MATCH("2019::jama.2019.0556::C002",'C_jama.2019.0556'!$A$2:$A$10,0))="retain",INDEX('C_jama.2019.0556'!$E$2:$E$10,MATCH("2019::jama.2019.0556::C002",'C_jama.2019.0556'!$A$2:$A$10,0))="statistical_results"),IF(INDEX('C_jama.2019.0556'!$J$2:$J$10,MATCH("2019::jama.2019.0556::C002",'C_jama.2019.0556'!$A$2:$A$10,0))="","",INDEX('C_jama.2019.0556'!$J$2:$J$10,MATCH("2019::jama.2019.0556::C002",'C_jama.2019.0556'!$A$2:$A$10,0))),"not_applicable")</x:f>
        <x:v>not_applicable</x:v>
      </x:c>
      <x:c r="X3" s="3" t="str">
        <x:f>IF(AND(INDEX('C_jama.2019.0556'!$D$2:$D$10,MATCH("2019::jama.2019.0556::C002",'C_jama.2019.0556'!$A$2:$A$10,0))="retain",OR(INDEX('C_jama.2019.0556'!$E$2:$E$10,MATCH("2019::jama.2019.0556::C002",'C_jama.2019.0556'!$A$2:$A$10,0))="report_internal_inconsistency",INDEX('C_jama.2019.0556'!$E$2:$E$10,MATCH("2019::jama.2019.0556::C002",'C_jama.2019.0556'!$A$2:$A$10,0))="plan_material")),IF(INDEX('C_jama.2019.0556'!$K$2:$K$10,MATCH("2019::jama.2019.0556::C002",'C_jama.2019.0556'!$A$2:$A$10,0))="","",INDEX('C_jama.2019.0556'!$K$2:$K$10,MATCH("2019::jama.2019.0556::C002",'C_jama.2019.0556'!$A$2:$A$10,0))),"not_applicable")</x:f>
        <x:v>not_applicable</x:v>
      </x:c>
      <x:c r="Y3" s="3" t="str">
        <x:f>IF(AND(INDEX('C_jama.2019.0556'!$D$2:$D$10,MATCH("2019::jama.2019.0556::C002",'C_jama.2019.0556'!$A$2:$A$10,0))="retain",INDEX('C_jama.2019.0556'!$E$2:$E$10,MATCH("2019::jama.2019.0556::C002",'C_jama.2019.0556'!$A$2:$A$10,0))="protocol_report"),IF(INDEX('C_jama.2019.0556'!$L$2:$L$10,MATCH("2019::jama.2019.0556::C002",'C_jama.2019.0556'!$A$2:$A$10,0))="","",INDEX('C_jama.2019.0556'!$L$2:$L$10,MATCH("2019::jama.2019.0556::C002",'C_jama.2019.0556'!$A$2:$A$10,0))),"not_applicable")</x:f>
        <x:v>not_applicable</x:v>
      </x:c>
      <x:c r="Z3" s="3" t="str">
        <x:f>IF(INDEX('C_jama.2019.0556'!$R$2:$R$10,MATCH("2019::jama.2019.0556::C002",'C_jama.2019.0556'!$A$2:$A$10,0))="","",INDEX('C_jama.2019.0556'!$R$2:$R$10,MATCH("2019::jama.2019.0556::C002",'C_jama.2019.0556'!$A$2:$A$10,0)))</x:f>
      </x:c>
      <x:c r="AA3" s="3" t="str">
        <x:f>IF(INDEX('C_jama.2019.0556'!$N$2:$N$10,MATCH("2019::jama.2019.0556::C002",'C_jama.2019.0556'!$A$2:$A$10,0))="","",INDEX('C_jama.2019.0556'!$N$2:$N$10,MATCH("2019::jama.2019.0556::C002",'C_jama.2019.0556'!$A$2:$A$10,0)))</x:f>
      </x:c>
      <x:c r="AB3" s="3" t="str">
        <x:f>IF(INDEX('C_jama.2019.0556'!$O$2:$O$10,MATCH("2019::jama.2019.0556::C002",'C_jama.2019.0556'!$A$2:$A$10,0))="","",INDEX('C_jama.2019.0556'!$O$2:$O$10,MATCH("2019::jama.2019.0556::C002",'C_jama.2019.0556'!$A$2:$A$10,0)))</x:f>
      </x:c>
      <x:c r="AC3" s="3" t="str">
        <x:f>IF(INDEX('C_jama.2019.0556'!$P$2:$P$10,MATCH("2019::jama.2019.0556::C002",'C_jama.2019.0556'!$A$2:$A$10,0))="","",INDEX('C_jama.2019.0556'!$P$2:$P$10,MATCH("2019::jama.2019.0556::C002",'C_jama.2019.0556'!$A$2:$A$10,0)))</x:f>
      </x:c>
      <x:c r="AD3" s="3" t="str">
        <x:f>IF(INDEX('C_jama.2019.0556'!$Q$2:$Q$10,MATCH("2019::jama.2019.0556::C002",'C_jama.2019.0556'!$A$2:$A$10,0))="","",INDEX('C_jama.2019.0556'!$Q$2:$Q$10,MATCH("2019::jama.2019.0556::C002",'C_jama.2019.0556'!$A$2:$A$10,0)))</x:f>
      </x:c>
    </x:row>
    <x:row r="4" ht="65" customHeight="1">
      <x:c r="A4" s="6" t="n">
        <x:v>2019</x:v>
      </x:c>
      <x:c r="B4" s="6" t="str">
        <x:v>jama.2019.0556</x:v>
      </x:c>
      <x:c r="C4" s="6" t="str">
        <x:v>2019::jama.2019.0556::C003</x:v>
      </x:c>
      <x:c r="D4" s="6" t="str">
        <x:v>S_W</x:v>
      </x:c>
      <x:c r="E4" s="6" t="n">
        <x:f>Setup!$B$2</x:f>
        <x:v>0</x:v>
      </x:c>
      <x:c r="F4" s="6" t="str">
        <x:f>IF(Setup!$B$4="","",Setup!$B$4)</x:f>
      </x:c>
      <x:c r="G4" s="6" t="str">
        <x:f>IFERROR(INDEX('C_jama.2019.0556'!$G$2:$G$10,MATCH("2019::jama.2019.0556::C003",'C_jama.2019.0556'!$A$2:$A$10,0)),"CHECK KEY")</x:f>
        <x:v>CHECK REVIEWER IDs</x:v>
      </x:c>
      <x:c r="H4" s="6" t="str">
        <x:f>IF(G4&lt;&gt;"FINAL READY","",IF(S4&lt;&gt;"retain","not_eligible",IF(D4="P_R","protocol_descriptive",IF(D4="P_P","plan_descriptive",IF(AND(T4="statistical_results",OR(U4="confirmed_issue",U4="probable_issue"),V4="substantive"),"primary_temporal",IF(AND(T4="report_internal_inconsistency",X4="substantive_inconsistency"),"secondary_temporal","not_eligible"))))))</x:f>
      </x:c>
      <x:c r="I4" s="6" t="str">
        <x:v>retain</x:v>
      </x:c>
      <x:c r="J4" s="6" t="str">
        <x:v>report_internal_inconsistency</x:v>
      </x:c>
      <x:c r="K4" s="6" t="str">
        <x:f>IF(Setup!$B$6="primary","",IFERROR(IF(INDEX('Primary_snapshot'!$B$2:$B$72,MATCH(C4,'Primary_snapshot'!$A$2:$A$72,0))="","",INDEX('Primary_snapshot'!$B$2:$B$72,MATCH(C4,'Primary_snapshot'!$A$2:$A$72,0))),"SNAPSHOT MISSING"))</x:f>
      </x:c>
      <x:c r="L4" s="6" t="str">
        <x:f>IF(Setup!$B$6="primary","",IFERROR(IF(INDEX('Primary_snapshot'!$C$2:$C$72,MATCH(C4,'Primary_snapshot'!$A$2:$A$72,0))="","",INDEX('Primary_snapshot'!$C$2:$C$72,MATCH(C4,'Primary_snapshot'!$A$2:$A$72,0))),"SNAPSHOT MISSING"))</x:f>
      </x:c>
      <x:c r="M4" s="6" t="str">
        <x:f>IF(Setup!$B$6="primary","",IFERROR(IF(INDEX('Primary_snapshot'!$D$2:$D$72,MATCH(C4,'Primary_snapshot'!$A$2:$A$72,0))="","",INDEX('Primary_snapshot'!$D$2:$D$72,MATCH(C4,'Primary_snapshot'!$A$2:$A$72,0))),"SNAPSHOT MISSING"))</x:f>
      </x:c>
      <x:c r="N4" s="6" t="str">
        <x:f>IF(Setup!$B$6="primary","",IFERROR(IF(INDEX('Primary_snapshot'!$E$2:$E$72,MATCH(C4,'Primary_snapshot'!$A$2:$A$72,0))="","",INDEX('Primary_snapshot'!$E$2:$E$72,MATCH(C4,'Primary_snapshot'!$A$2:$A$72,0))),"SNAPSHOT MISSING"))</x:f>
      </x:c>
      <x:c r="O4" s="6" t="str">
        <x:f>IF(Setup!$B$6="primary","",IFERROR(IF(INDEX('Primary_snapshot'!$F$2:$F$72,MATCH(C4,'Primary_snapshot'!$A$2:$A$72,0))="","",INDEX('Primary_snapshot'!$F$2:$F$72,MATCH(C4,'Primary_snapshot'!$A$2:$A$72,0))),"SNAPSHOT MISSING"))</x:f>
      </x:c>
      <x:c r="P4" s="6" t="str">
        <x:f>IF(Setup!$B$6="primary","",IFERROR(IF(INDEX('Primary_snapshot'!$G$2:$G$72,MATCH(C4,'Primary_snapshot'!$A$2:$A$72,0))="","",INDEX('Primary_snapshot'!$G$2:$G$72,MATCH(C4,'Primary_snapshot'!$A$2:$A$72,0))),"SNAPSHOT MISSING"))</x:f>
      </x:c>
      <x:c r="Q4" s="6" t="str">
        <x:f>IF(Setup!$B$6="primary","",IFERROR(IF(INDEX('Primary_snapshot'!$H$2:$H$72,MATCH(C4,'Primary_snapshot'!$A$2:$A$72,0))="","",INDEX('Primary_snapshot'!$H$2:$H$72,MATCH(C4,'Primary_snapshot'!$A$2:$A$72,0))),"SNAPSHOT MISSING"))</x:f>
      </x:c>
      <x:c r="R4" s="6" t="str">
        <x:f>IF(Setup!$B$6="primary","",IFERROR(IF(INDEX('Primary_snapshot'!$I$2:$I$72,MATCH(C4,'Primary_snapshot'!$A$2:$A$72,0))="","",INDEX('Primary_snapshot'!$I$2:$I$72,MATCH(C4,'Primary_snapshot'!$A$2:$A$72,0))),"SNAPSHOT MISSING"))</x:f>
      </x:c>
      <x:c r="S4" s="6" t="str">
        <x:f>IF(INDEX('C_jama.2019.0556'!$D$2:$D$10,MATCH("2019::jama.2019.0556::C003",'C_jama.2019.0556'!$A$2:$A$10,0))="","",INDEX('C_jama.2019.0556'!$D$2:$D$10,MATCH("2019::jama.2019.0556::C003",'C_jama.2019.0556'!$A$2:$A$10,0)))</x:f>
      </x:c>
      <x:c r="T4" s="6" t="str">
        <x:f>IF(INDEX('C_jama.2019.0556'!$E$2:$E$10,MATCH("2019::jama.2019.0556::C003",'C_jama.2019.0556'!$A$2:$A$10,0))="","",INDEX('C_jama.2019.0556'!$E$2:$E$10,MATCH("2019::jama.2019.0556::C003",'C_jama.2019.0556'!$A$2:$A$10,0)))</x:f>
        <x:v>report_internal_inconsistency</x:v>
      </x:c>
      <x:c r="U4" s="6" t="str">
        <x:f>IF(AND(INDEX('C_jama.2019.0556'!$D$2:$D$10,MATCH("2019::jama.2019.0556::C003",'C_jama.2019.0556'!$A$2:$A$10,0))="retain",INDEX('C_jama.2019.0556'!$E$2:$E$10,MATCH("2019::jama.2019.0556::C003",'C_jama.2019.0556'!$A$2:$A$10,0))="statistical_results"),IF(INDEX('C_jama.2019.0556'!$H$2:$H$10,MATCH("2019::jama.2019.0556::C003",'C_jama.2019.0556'!$A$2:$A$10,0))="","",INDEX('C_jama.2019.0556'!$H$2:$H$10,MATCH("2019::jama.2019.0556::C003",'C_jama.2019.0556'!$A$2:$A$10,0))),"not_applicable")</x:f>
        <x:v>not_applicable</x:v>
      </x:c>
      <x:c r="V4" s="6" t="str">
        <x:f>IF(AND(INDEX('C_jama.2019.0556'!$D$2:$D$10,MATCH("2019::jama.2019.0556::C003",'C_jama.2019.0556'!$A$2:$A$10,0))="retain",INDEX('C_jama.2019.0556'!$E$2:$E$10,MATCH("2019::jama.2019.0556::C003",'C_jama.2019.0556'!$A$2:$A$10,0))="statistical_results"),IF(INDEX('C_jama.2019.0556'!$I$2:$I$10,MATCH("2019::jama.2019.0556::C003",'C_jama.2019.0556'!$A$2:$A$10,0))="","",INDEX('C_jama.2019.0556'!$I$2:$I$10,MATCH("2019::jama.2019.0556::C003",'C_jama.2019.0556'!$A$2:$A$10,0))),"not_applicable")</x:f>
        <x:v>not_applicable</x:v>
      </x:c>
      <x:c r="W4" s="6" t="str">
        <x:f>IF(AND(INDEX('C_jama.2019.0556'!$D$2:$D$10,MATCH("2019::jama.2019.0556::C003",'C_jama.2019.0556'!$A$2:$A$10,0))="retain",INDEX('C_jama.2019.0556'!$E$2:$E$10,MATCH("2019::jama.2019.0556::C003",'C_jama.2019.0556'!$A$2:$A$10,0))="statistical_results"),IF(INDEX('C_jama.2019.0556'!$J$2:$J$10,MATCH("2019::jama.2019.0556::C003",'C_jama.2019.0556'!$A$2:$A$10,0))="","",INDEX('C_jama.2019.0556'!$J$2:$J$10,MATCH("2019::jama.2019.0556::C003",'C_jama.2019.0556'!$A$2:$A$10,0))),"not_applicable")</x:f>
        <x:v>not_applicable</x:v>
      </x:c>
      <x:c r="X4" s="6" t="str">
        <x:f>IF(AND(INDEX('C_jama.2019.0556'!$D$2:$D$10,MATCH("2019::jama.2019.0556::C003",'C_jama.2019.0556'!$A$2:$A$10,0))="retain",OR(INDEX('C_jama.2019.0556'!$E$2:$E$10,MATCH("2019::jama.2019.0556::C003",'C_jama.2019.0556'!$A$2:$A$10,0))="report_internal_inconsistency",INDEX('C_jama.2019.0556'!$E$2:$E$10,MATCH("2019::jama.2019.0556::C003",'C_jama.2019.0556'!$A$2:$A$10,0))="plan_material")),IF(INDEX('C_jama.2019.0556'!$K$2:$K$10,MATCH("2019::jama.2019.0556::C003",'C_jama.2019.0556'!$A$2:$A$10,0))="","",INDEX('C_jama.2019.0556'!$K$2:$K$10,MATCH("2019::jama.2019.0556::C003",'C_jama.2019.0556'!$A$2:$A$10,0))),"not_applicable")</x:f>
        <x:v>not_applicable</x:v>
      </x:c>
      <x:c r="Y4" s="6" t="str">
        <x:f>IF(AND(INDEX('C_jama.2019.0556'!$D$2:$D$10,MATCH("2019::jama.2019.0556::C003",'C_jama.2019.0556'!$A$2:$A$10,0))="retain",INDEX('C_jama.2019.0556'!$E$2:$E$10,MATCH("2019::jama.2019.0556::C003",'C_jama.2019.0556'!$A$2:$A$10,0))="protocol_report"),IF(INDEX('C_jama.2019.0556'!$L$2:$L$10,MATCH("2019::jama.2019.0556::C003",'C_jama.2019.0556'!$A$2:$A$10,0))="","",INDEX('C_jama.2019.0556'!$L$2:$L$10,MATCH("2019::jama.2019.0556::C003",'C_jama.2019.0556'!$A$2:$A$10,0))),"not_applicable")</x:f>
        <x:v>not_applicable</x:v>
      </x:c>
      <x:c r="Z4" s="6" t="str">
        <x:f>IF(INDEX('C_jama.2019.0556'!$R$2:$R$10,MATCH("2019::jama.2019.0556::C003",'C_jama.2019.0556'!$A$2:$A$10,0))="","",INDEX('C_jama.2019.0556'!$R$2:$R$10,MATCH("2019::jama.2019.0556::C003",'C_jama.2019.0556'!$A$2:$A$10,0)))</x:f>
      </x:c>
      <x:c r="AA4" s="6" t="str">
        <x:f>IF(INDEX('C_jama.2019.0556'!$N$2:$N$10,MATCH("2019::jama.2019.0556::C003",'C_jama.2019.0556'!$A$2:$A$10,0))="","",INDEX('C_jama.2019.0556'!$N$2:$N$10,MATCH("2019::jama.2019.0556::C003",'C_jama.2019.0556'!$A$2:$A$10,0)))</x:f>
      </x:c>
      <x:c r="AB4" s="6" t="str">
        <x:f>IF(INDEX('C_jama.2019.0556'!$O$2:$O$10,MATCH("2019::jama.2019.0556::C003",'C_jama.2019.0556'!$A$2:$A$10,0))="","",INDEX('C_jama.2019.0556'!$O$2:$O$10,MATCH("2019::jama.2019.0556::C003",'C_jama.2019.0556'!$A$2:$A$10,0)))</x:f>
      </x:c>
      <x:c r="AC4" s="6" t="str">
        <x:f>IF(INDEX('C_jama.2019.0556'!$P$2:$P$10,MATCH("2019::jama.2019.0556::C003",'C_jama.2019.0556'!$A$2:$A$10,0))="","",INDEX('C_jama.2019.0556'!$P$2:$P$10,MATCH("2019::jama.2019.0556::C003",'C_jama.2019.0556'!$A$2:$A$10,0)))</x:f>
      </x:c>
      <x:c r="AD4" s="6" t="str">
        <x:f>IF(INDEX('C_jama.2019.0556'!$Q$2:$Q$10,MATCH("2019::jama.2019.0556::C003",'C_jama.2019.0556'!$A$2:$A$10,0))="","",INDEX('C_jama.2019.0556'!$Q$2:$Q$10,MATCH("2019::jama.2019.0556::C003",'C_jama.2019.0556'!$A$2:$A$10,0)))</x:f>
      </x:c>
    </x:row>
    <x:row r="5" ht="65" customHeight="1">
      <x:c r="A5" s="3" t="n">
        <x:v>2019</x:v>
      </x:c>
      <x:c r="B5" s="3" t="str">
        <x:v>jama.2019.0556</x:v>
      </x:c>
      <x:c r="C5" s="3" t="str">
        <x:v>2019::jama.2019.0556::C004</x:v>
      </x:c>
      <x:c r="D5" s="3" t="str">
        <x:v>S_W</x:v>
      </x:c>
      <x:c r="E5" s="3" t="n">
        <x:f>Setup!$B$2</x:f>
        <x:v>0</x:v>
      </x:c>
      <x:c r="F5" s="3" t="str">
        <x:f>IF(Setup!$B$4="","",Setup!$B$4)</x:f>
      </x:c>
      <x:c r="G5" s="3" t="str">
        <x:f>IFERROR(INDEX('C_jama.2019.0556'!$G$2:$G$10,MATCH("2019::jama.2019.0556::C004",'C_jama.2019.0556'!$A$2:$A$10,0)),"CHECK KEY")</x:f>
        <x:v>CHECK REVIEWER IDs</x:v>
      </x:c>
      <x:c r="H5" s="3" t="str">
        <x:f>IF(G5&lt;&gt;"FINAL READY","",IF(S5&lt;&gt;"retain","not_eligible",IF(D5="P_R","protocol_descriptive",IF(D5="P_P","plan_descriptive",IF(AND(T5="statistical_results",OR(U5="confirmed_issue",U5="probable_issue"),V5="substantive"),"primary_temporal",IF(AND(T5="report_internal_inconsistency",X5="substantive_inconsistency"),"secondary_temporal","not_eligible"))))))</x:f>
      </x:c>
      <x:c r="I5" s="3" t="str">
        <x:v>retain</x:v>
      </x:c>
      <x:c r="J5" s="3" t="str">
        <x:v>statistical_results</x:v>
      </x:c>
      <x:c r="K5" s="3" t="str">
        <x:f>IF(Setup!$B$6="primary","",IFERROR(IF(INDEX('Primary_snapshot'!$B$2:$B$72,MATCH(C5,'Primary_snapshot'!$A$2:$A$72,0))="","",INDEX('Primary_snapshot'!$B$2:$B$72,MATCH(C5,'Primary_snapshot'!$A$2:$A$72,0))),"SNAPSHOT MISSING"))</x:f>
      </x:c>
      <x:c r="L5" s="3" t="str">
        <x:f>IF(Setup!$B$6="primary","",IFERROR(IF(INDEX('Primary_snapshot'!$C$2:$C$72,MATCH(C5,'Primary_snapshot'!$A$2:$A$72,0))="","",INDEX('Primary_snapshot'!$C$2:$C$72,MATCH(C5,'Primary_snapshot'!$A$2:$A$72,0))),"SNAPSHOT MISSING"))</x:f>
      </x:c>
      <x:c r="M5" s="3" t="str">
        <x:f>IF(Setup!$B$6="primary","",IFERROR(IF(INDEX('Primary_snapshot'!$D$2:$D$72,MATCH(C5,'Primary_snapshot'!$A$2:$A$72,0))="","",INDEX('Primary_snapshot'!$D$2:$D$72,MATCH(C5,'Primary_snapshot'!$A$2:$A$72,0))),"SNAPSHOT MISSING"))</x:f>
      </x:c>
      <x:c r="N5" s="3" t="str">
        <x:f>IF(Setup!$B$6="primary","",IFERROR(IF(INDEX('Primary_snapshot'!$E$2:$E$72,MATCH(C5,'Primary_snapshot'!$A$2:$A$72,0))="","",INDEX('Primary_snapshot'!$E$2:$E$72,MATCH(C5,'Primary_snapshot'!$A$2:$A$72,0))),"SNAPSHOT MISSING"))</x:f>
      </x:c>
      <x:c r="O5" s="3" t="str">
        <x:f>IF(Setup!$B$6="primary","",IFERROR(IF(INDEX('Primary_snapshot'!$F$2:$F$72,MATCH(C5,'Primary_snapshot'!$A$2:$A$72,0))="","",INDEX('Primary_snapshot'!$F$2:$F$72,MATCH(C5,'Primary_snapshot'!$A$2:$A$72,0))),"SNAPSHOT MISSING"))</x:f>
      </x:c>
      <x:c r="P5" s="3" t="str">
        <x:f>IF(Setup!$B$6="primary","",IFERROR(IF(INDEX('Primary_snapshot'!$G$2:$G$72,MATCH(C5,'Primary_snapshot'!$A$2:$A$72,0))="","",INDEX('Primary_snapshot'!$G$2:$G$72,MATCH(C5,'Primary_snapshot'!$A$2:$A$72,0))),"SNAPSHOT MISSING"))</x:f>
      </x:c>
      <x:c r="Q5" s="3" t="str">
        <x:f>IF(Setup!$B$6="primary","",IFERROR(IF(INDEX('Primary_snapshot'!$H$2:$H$72,MATCH(C5,'Primary_snapshot'!$A$2:$A$72,0))="","",INDEX('Primary_snapshot'!$H$2:$H$72,MATCH(C5,'Primary_snapshot'!$A$2:$A$72,0))),"SNAPSHOT MISSING"))</x:f>
      </x:c>
      <x:c r="R5" s="3" t="str">
        <x:f>IF(Setup!$B$6="primary","",IFERROR(IF(INDEX('Primary_snapshot'!$I$2:$I$72,MATCH(C5,'Primary_snapshot'!$A$2:$A$72,0))="","",INDEX('Primary_snapshot'!$I$2:$I$72,MATCH(C5,'Primary_snapshot'!$A$2:$A$72,0))),"SNAPSHOT MISSING"))</x:f>
      </x:c>
      <x:c r="S5" s="3" t="str">
        <x:f>IF(INDEX('C_jama.2019.0556'!$D$2:$D$10,MATCH("2019::jama.2019.0556::C004",'C_jama.2019.0556'!$A$2:$A$10,0))="","",INDEX('C_jama.2019.0556'!$D$2:$D$10,MATCH("2019::jama.2019.0556::C004",'C_jama.2019.0556'!$A$2:$A$10,0)))</x:f>
      </x:c>
      <x:c r="T5" s="3" t="str">
        <x:f>IF(INDEX('C_jama.2019.0556'!$E$2:$E$10,MATCH("2019::jama.2019.0556::C004",'C_jama.2019.0556'!$A$2:$A$10,0))="","",INDEX('C_jama.2019.0556'!$E$2:$E$10,MATCH("2019::jama.2019.0556::C004",'C_jama.2019.0556'!$A$2:$A$10,0)))</x:f>
        <x:v>statistical_results</x:v>
      </x:c>
      <x:c r="U5" s="3" t="str">
        <x:f>IF(AND(INDEX('C_jama.2019.0556'!$D$2:$D$10,MATCH("2019::jama.2019.0556::C004",'C_jama.2019.0556'!$A$2:$A$10,0))="retain",INDEX('C_jama.2019.0556'!$E$2:$E$10,MATCH("2019::jama.2019.0556::C004",'C_jama.2019.0556'!$A$2:$A$10,0))="statistical_results"),IF(INDEX('C_jama.2019.0556'!$H$2:$H$10,MATCH("2019::jama.2019.0556::C004",'C_jama.2019.0556'!$A$2:$A$10,0))="","",INDEX('C_jama.2019.0556'!$H$2:$H$10,MATCH("2019::jama.2019.0556::C004",'C_jama.2019.0556'!$A$2:$A$10,0))),"not_applicable")</x:f>
        <x:v>not_applicable</x:v>
      </x:c>
      <x:c r="V5" s="3" t="str">
        <x:f>IF(AND(INDEX('C_jama.2019.0556'!$D$2:$D$10,MATCH("2019::jama.2019.0556::C004",'C_jama.2019.0556'!$A$2:$A$10,0))="retain",INDEX('C_jama.2019.0556'!$E$2:$E$10,MATCH("2019::jama.2019.0556::C004",'C_jama.2019.0556'!$A$2:$A$10,0))="statistical_results"),IF(INDEX('C_jama.2019.0556'!$I$2:$I$10,MATCH("2019::jama.2019.0556::C004",'C_jama.2019.0556'!$A$2:$A$10,0))="","",INDEX('C_jama.2019.0556'!$I$2:$I$10,MATCH("2019::jama.2019.0556::C004",'C_jama.2019.0556'!$A$2:$A$10,0))),"not_applicable")</x:f>
        <x:v>not_applicable</x:v>
      </x:c>
      <x:c r="W5" s="3" t="str">
        <x:f>IF(AND(INDEX('C_jama.2019.0556'!$D$2:$D$10,MATCH("2019::jama.2019.0556::C004",'C_jama.2019.0556'!$A$2:$A$10,0))="retain",INDEX('C_jama.2019.0556'!$E$2:$E$10,MATCH("2019::jama.2019.0556::C004",'C_jama.2019.0556'!$A$2:$A$10,0))="statistical_results"),IF(INDEX('C_jama.2019.0556'!$J$2:$J$10,MATCH("2019::jama.2019.0556::C004",'C_jama.2019.0556'!$A$2:$A$10,0))="","",INDEX('C_jama.2019.0556'!$J$2:$J$10,MATCH("2019::jama.2019.0556::C004",'C_jama.2019.0556'!$A$2:$A$10,0))),"not_applicable")</x:f>
        <x:v>not_applicable</x:v>
      </x:c>
      <x:c r="X5" s="3" t="str">
        <x:f>IF(AND(INDEX('C_jama.2019.0556'!$D$2:$D$10,MATCH("2019::jama.2019.0556::C004",'C_jama.2019.0556'!$A$2:$A$10,0))="retain",OR(INDEX('C_jama.2019.0556'!$E$2:$E$10,MATCH("2019::jama.2019.0556::C004",'C_jama.2019.0556'!$A$2:$A$10,0))="report_internal_inconsistency",INDEX('C_jama.2019.0556'!$E$2:$E$10,MATCH("2019::jama.2019.0556::C004",'C_jama.2019.0556'!$A$2:$A$10,0))="plan_material")),IF(INDEX('C_jama.2019.0556'!$K$2:$K$10,MATCH("2019::jama.2019.0556::C004",'C_jama.2019.0556'!$A$2:$A$10,0))="","",INDEX('C_jama.2019.0556'!$K$2:$K$10,MATCH("2019::jama.2019.0556::C004",'C_jama.2019.0556'!$A$2:$A$10,0))),"not_applicable")</x:f>
        <x:v>not_applicable</x:v>
      </x:c>
      <x:c r="Y5" s="3" t="str">
        <x:f>IF(AND(INDEX('C_jama.2019.0556'!$D$2:$D$10,MATCH("2019::jama.2019.0556::C004",'C_jama.2019.0556'!$A$2:$A$10,0))="retain",INDEX('C_jama.2019.0556'!$E$2:$E$10,MATCH("2019::jama.2019.0556::C004",'C_jama.2019.0556'!$A$2:$A$10,0))="protocol_report"),IF(INDEX('C_jama.2019.0556'!$L$2:$L$10,MATCH("2019::jama.2019.0556::C004",'C_jama.2019.0556'!$A$2:$A$10,0))="","",INDEX('C_jama.2019.0556'!$L$2:$L$10,MATCH("2019::jama.2019.0556::C004",'C_jama.2019.0556'!$A$2:$A$10,0))),"not_applicable")</x:f>
        <x:v>not_applicable</x:v>
      </x:c>
      <x:c r="Z5" s="3" t="str">
        <x:f>IF(INDEX('C_jama.2019.0556'!$R$2:$R$10,MATCH("2019::jama.2019.0556::C004",'C_jama.2019.0556'!$A$2:$A$10,0))="","",INDEX('C_jama.2019.0556'!$R$2:$R$10,MATCH("2019::jama.2019.0556::C004",'C_jama.2019.0556'!$A$2:$A$10,0)))</x:f>
      </x:c>
      <x:c r="AA5" s="3" t="str">
        <x:f>IF(INDEX('C_jama.2019.0556'!$N$2:$N$10,MATCH("2019::jama.2019.0556::C004",'C_jama.2019.0556'!$A$2:$A$10,0))="","",INDEX('C_jama.2019.0556'!$N$2:$N$10,MATCH("2019::jama.2019.0556::C004",'C_jama.2019.0556'!$A$2:$A$10,0)))</x:f>
      </x:c>
      <x:c r="AB5" s="3" t="str">
        <x:f>IF(INDEX('C_jama.2019.0556'!$O$2:$O$10,MATCH("2019::jama.2019.0556::C004",'C_jama.2019.0556'!$A$2:$A$10,0))="","",INDEX('C_jama.2019.0556'!$O$2:$O$10,MATCH("2019::jama.2019.0556::C004",'C_jama.2019.0556'!$A$2:$A$10,0)))</x:f>
      </x:c>
      <x:c r="AC5" s="3" t="str">
        <x:f>IF(INDEX('C_jama.2019.0556'!$P$2:$P$10,MATCH("2019::jama.2019.0556::C004",'C_jama.2019.0556'!$A$2:$A$10,0))="","",INDEX('C_jama.2019.0556'!$P$2:$P$10,MATCH("2019::jama.2019.0556::C004",'C_jama.2019.0556'!$A$2:$A$10,0)))</x:f>
      </x:c>
      <x:c r="AD5" s="3" t="str">
        <x:f>IF(INDEX('C_jama.2019.0556'!$Q$2:$Q$10,MATCH("2019::jama.2019.0556::C004",'C_jama.2019.0556'!$A$2:$A$10,0))="","",INDEX('C_jama.2019.0556'!$Q$2:$Q$10,MATCH("2019::jama.2019.0556::C004",'C_jama.2019.0556'!$A$2:$A$10,0)))</x:f>
      </x:c>
    </x:row>
    <x:row r="6" ht="65" customHeight="1">
      <x:c r="A6" s="6" t="n">
        <x:v>2019</x:v>
      </x:c>
      <x:c r="B6" s="6" t="str">
        <x:v>jama.2019.0556</x:v>
      </x:c>
      <x:c r="C6" s="6" t="str">
        <x:v>2019::jama.2019.0556::C005</x:v>
      </x:c>
      <x:c r="D6" s="6" t="str">
        <x:v>S_W</x:v>
      </x:c>
      <x:c r="E6" s="6" t="n">
        <x:f>Setup!$B$2</x:f>
        <x:v>0</x:v>
      </x:c>
      <x:c r="F6" s="6" t="str">
        <x:f>IF(Setup!$B$4="","",Setup!$B$4)</x:f>
      </x:c>
      <x:c r="G6" s="6" t="str">
        <x:f>IFERROR(INDEX('C_jama.2019.0556'!$G$2:$G$10,MATCH("2019::jama.2019.0556::C005",'C_jama.2019.0556'!$A$2:$A$10,0)),"CHECK KEY")</x:f>
        <x:v>CHECK REVIEWER IDs</x:v>
      </x:c>
      <x:c r="H6" s="6" t="str">
        <x:f>IF(G6&lt;&gt;"FINAL READY","",IF(S6&lt;&gt;"retain","not_eligible",IF(D6="P_R","protocol_descriptive",IF(D6="P_P","plan_descriptive",IF(AND(T6="statistical_results",OR(U6="confirmed_issue",U6="probable_issue"),V6="substantive"),"primary_temporal",IF(AND(T6="report_internal_inconsistency",X6="substantive_inconsistency"),"secondary_temporal","not_eligible"))))))</x:f>
      </x:c>
      <x:c r="I6" s="6" t="str">
        <x:v>retain</x:v>
      </x:c>
      <x:c r="J6" s="6" t="str">
        <x:v>statistical_results</x:v>
      </x:c>
      <x:c r="K6" s="6" t="str">
        <x:f>IF(Setup!$B$6="primary","",IFERROR(IF(INDEX('Primary_snapshot'!$B$2:$B$72,MATCH(C6,'Primary_snapshot'!$A$2:$A$72,0))="","",INDEX('Primary_snapshot'!$B$2:$B$72,MATCH(C6,'Primary_snapshot'!$A$2:$A$72,0))),"SNAPSHOT MISSING"))</x:f>
      </x:c>
      <x:c r="L6" s="6" t="str">
        <x:f>IF(Setup!$B$6="primary","",IFERROR(IF(INDEX('Primary_snapshot'!$C$2:$C$72,MATCH(C6,'Primary_snapshot'!$A$2:$A$72,0))="","",INDEX('Primary_snapshot'!$C$2:$C$72,MATCH(C6,'Primary_snapshot'!$A$2:$A$72,0))),"SNAPSHOT MISSING"))</x:f>
      </x:c>
      <x:c r="M6" s="6" t="str">
        <x:f>IF(Setup!$B$6="primary","",IFERROR(IF(INDEX('Primary_snapshot'!$D$2:$D$72,MATCH(C6,'Primary_snapshot'!$A$2:$A$72,0))="","",INDEX('Primary_snapshot'!$D$2:$D$72,MATCH(C6,'Primary_snapshot'!$A$2:$A$72,0))),"SNAPSHOT MISSING"))</x:f>
      </x:c>
      <x:c r="N6" s="6" t="str">
        <x:f>IF(Setup!$B$6="primary","",IFERROR(IF(INDEX('Primary_snapshot'!$E$2:$E$72,MATCH(C6,'Primary_snapshot'!$A$2:$A$72,0))="","",INDEX('Primary_snapshot'!$E$2:$E$72,MATCH(C6,'Primary_snapshot'!$A$2:$A$72,0))),"SNAPSHOT MISSING"))</x:f>
      </x:c>
      <x:c r="O6" s="6" t="str">
        <x:f>IF(Setup!$B$6="primary","",IFERROR(IF(INDEX('Primary_snapshot'!$F$2:$F$72,MATCH(C6,'Primary_snapshot'!$A$2:$A$72,0))="","",INDEX('Primary_snapshot'!$F$2:$F$72,MATCH(C6,'Primary_snapshot'!$A$2:$A$72,0))),"SNAPSHOT MISSING"))</x:f>
      </x:c>
      <x:c r="P6" s="6" t="str">
        <x:f>IF(Setup!$B$6="primary","",IFERROR(IF(INDEX('Primary_snapshot'!$G$2:$G$72,MATCH(C6,'Primary_snapshot'!$A$2:$A$72,0))="","",INDEX('Primary_snapshot'!$G$2:$G$72,MATCH(C6,'Primary_snapshot'!$A$2:$A$72,0))),"SNAPSHOT MISSING"))</x:f>
      </x:c>
      <x:c r="Q6" s="6" t="str">
        <x:f>IF(Setup!$B$6="primary","",IFERROR(IF(INDEX('Primary_snapshot'!$H$2:$H$72,MATCH(C6,'Primary_snapshot'!$A$2:$A$72,0))="","",INDEX('Primary_snapshot'!$H$2:$H$72,MATCH(C6,'Primary_snapshot'!$A$2:$A$72,0))),"SNAPSHOT MISSING"))</x:f>
      </x:c>
      <x:c r="R6" s="6" t="str">
        <x:f>IF(Setup!$B$6="primary","",IFERROR(IF(INDEX('Primary_snapshot'!$I$2:$I$72,MATCH(C6,'Primary_snapshot'!$A$2:$A$72,0))="","",INDEX('Primary_snapshot'!$I$2:$I$72,MATCH(C6,'Primary_snapshot'!$A$2:$A$72,0))),"SNAPSHOT MISSING"))</x:f>
      </x:c>
      <x:c r="S6" s="6" t="str">
        <x:f>IF(INDEX('C_jama.2019.0556'!$D$2:$D$10,MATCH("2019::jama.2019.0556::C005",'C_jama.2019.0556'!$A$2:$A$10,0))="","",INDEX('C_jama.2019.0556'!$D$2:$D$10,MATCH("2019::jama.2019.0556::C005",'C_jama.2019.0556'!$A$2:$A$10,0)))</x:f>
      </x:c>
      <x:c r="T6" s="6" t="str">
        <x:f>IF(INDEX('C_jama.2019.0556'!$E$2:$E$10,MATCH("2019::jama.2019.0556::C005",'C_jama.2019.0556'!$A$2:$A$10,0))="","",INDEX('C_jama.2019.0556'!$E$2:$E$10,MATCH("2019::jama.2019.0556::C005",'C_jama.2019.0556'!$A$2:$A$10,0)))</x:f>
        <x:v>statistical_results</x:v>
      </x:c>
      <x:c r="U6" s="6" t="str">
        <x:f>IF(AND(INDEX('C_jama.2019.0556'!$D$2:$D$10,MATCH("2019::jama.2019.0556::C005",'C_jama.2019.0556'!$A$2:$A$10,0))="retain",INDEX('C_jama.2019.0556'!$E$2:$E$10,MATCH("2019::jama.2019.0556::C005",'C_jama.2019.0556'!$A$2:$A$10,0))="statistical_results"),IF(INDEX('C_jama.2019.0556'!$H$2:$H$10,MATCH("2019::jama.2019.0556::C005",'C_jama.2019.0556'!$A$2:$A$10,0))="","",INDEX('C_jama.2019.0556'!$H$2:$H$10,MATCH("2019::jama.2019.0556::C005",'C_jama.2019.0556'!$A$2:$A$10,0))),"not_applicable")</x:f>
        <x:v>not_applicable</x:v>
      </x:c>
      <x:c r="V6" s="6" t="str">
        <x:f>IF(AND(INDEX('C_jama.2019.0556'!$D$2:$D$10,MATCH("2019::jama.2019.0556::C005",'C_jama.2019.0556'!$A$2:$A$10,0))="retain",INDEX('C_jama.2019.0556'!$E$2:$E$10,MATCH("2019::jama.2019.0556::C005",'C_jama.2019.0556'!$A$2:$A$10,0))="statistical_results"),IF(INDEX('C_jama.2019.0556'!$I$2:$I$10,MATCH("2019::jama.2019.0556::C005",'C_jama.2019.0556'!$A$2:$A$10,0))="","",INDEX('C_jama.2019.0556'!$I$2:$I$10,MATCH("2019::jama.2019.0556::C005",'C_jama.2019.0556'!$A$2:$A$10,0))),"not_applicable")</x:f>
        <x:v>not_applicable</x:v>
      </x:c>
      <x:c r="W6" s="6" t="str">
        <x:f>IF(AND(INDEX('C_jama.2019.0556'!$D$2:$D$10,MATCH("2019::jama.2019.0556::C005",'C_jama.2019.0556'!$A$2:$A$10,0))="retain",INDEX('C_jama.2019.0556'!$E$2:$E$10,MATCH("2019::jama.2019.0556::C005",'C_jama.2019.0556'!$A$2:$A$10,0))="statistical_results"),IF(INDEX('C_jama.2019.0556'!$J$2:$J$10,MATCH("2019::jama.2019.0556::C005",'C_jama.2019.0556'!$A$2:$A$10,0))="","",INDEX('C_jama.2019.0556'!$J$2:$J$10,MATCH("2019::jama.2019.0556::C005",'C_jama.2019.0556'!$A$2:$A$10,0))),"not_applicable")</x:f>
        <x:v>not_applicable</x:v>
      </x:c>
      <x:c r="X6" s="6" t="str">
        <x:f>IF(AND(INDEX('C_jama.2019.0556'!$D$2:$D$10,MATCH("2019::jama.2019.0556::C005",'C_jama.2019.0556'!$A$2:$A$10,0))="retain",OR(INDEX('C_jama.2019.0556'!$E$2:$E$10,MATCH("2019::jama.2019.0556::C005",'C_jama.2019.0556'!$A$2:$A$10,0))="report_internal_inconsistency",INDEX('C_jama.2019.0556'!$E$2:$E$10,MATCH("2019::jama.2019.0556::C005",'C_jama.2019.0556'!$A$2:$A$10,0))="plan_material")),IF(INDEX('C_jama.2019.0556'!$K$2:$K$10,MATCH("2019::jama.2019.0556::C005",'C_jama.2019.0556'!$A$2:$A$10,0))="","",INDEX('C_jama.2019.0556'!$K$2:$K$10,MATCH("2019::jama.2019.0556::C005",'C_jama.2019.0556'!$A$2:$A$10,0))),"not_applicable")</x:f>
        <x:v>not_applicable</x:v>
      </x:c>
      <x:c r="Y6" s="6" t="str">
        <x:f>IF(AND(INDEX('C_jama.2019.0556'!$D$2:$D$10,MATCH("2019::jama.2019.0556::C005",'C_jama.2019.0556'!$A$2:$A$10,0))="retain",INDEX('C_jama.2019.0556'!$E$2:$E$10,MATCH("2019::jama.2019.0556::C005",'C_jama.2019.0556'!$A$2:$A$10,0))="protocol_report"),IF(INDEX('C_jama.2019.0556'!$L$2:$L$10,MATCH("2019::jama.2019.0556::C005",'C_jama.2019.0556'!$A$2:$A$10,0))="","",INDEX('C_jama.2019.0556'!$L$2:$L$10,MATCH("2019::jama.2019.0556::C005",'C_jama.2019.0556'!$A$2:$A$10,0))),"not_applicable")</x:f>
        <x:v>not_applicable</x:v>
      </x:c>
      <x:c r="Z6" s="6" t="str">
        <x:f>IF(INDEX('C_jama.2019.0556'!$R$2:$R$10,MATCH("2019::jama.2019.0556::C005",'C_jama.2019.0556'!$A$2:$A$10,0))="","",INDEX('C_jama.2019.0556'!$R$2:$R$10,MATCH("2019::jama.2019.0556::C005",'C_jama.2019.0556'!$A$2:$A$10,0)))</x:f>
      </x:c>
      <x:c r="AA6" s="6" t="str">
        <x:f>IF(INDEX('C_jama.2019.0556'!$N$2:$N$10,MATCH("2019::jama.2019.0556::C005",'C_jama.2019.0556'!$A$2:$A$10,0))="","",INDEX('C_jama.2019.0556'!$N$2:$N$10,MATCH("2019::jama.2019.0556::C005",'C_jama.2019.0556'!$A$2:$A$10,0)))</x:f>
      </x:c>
      <x:c r="AB6" s="6" t="str">
        <x:f>IF(INDEX('C_jama.2019.0556'!$O$2:$O$10,MATCH("2019::jama.2019.0556::C005",'C_jama.2019.0556'!$A$2:$A$10,0))="","",INDEX('C_jama.2019.0556'!$O$2:$O$10,MATCH("2019::jama.2019.0556::C005",'C_jama.2019.0556'!$A$2:$A$10,0)))</x:f>
      </x:c>
      <x:c r="AC6" s="6" t="str">
        <x:f>IF(INDEX('C_jama.2019.0556'!$P$2:$P$10,MATCH("2019::jama.2019.0556::C005",'C_jama.2019.0556'!$A$2:$A$10,0))="","",INDEX('C_jama.2019.0556'!$P$2:$P$10,MATCH("2019::jama.2019.0556::C005",'C_jama.2019.0556'!$A$2:$A$10,0)))</x:f>
      </x:c>
      <x:c r="AD6" s="6" t="str">
        <x:f>IF(INDEX('C_jama.2019.0556'!$Q$2:$Q$10,MATCH("2019::jama.2019.0556::C005",'C_jama.2019.0556'!$A$2:$A$10,0))="","",INDEX('C_jama.2019.0556'!$Q$2:$Q$10,MATCH("2019::jama.2019.0556::C005",'C_jama.2019.0556'!$A$2:$A$10,0)))</x:f>
      </x:c>
    </x:row>
    <x:row r="7" ht="65" customHeight="1">
      <x:c r="A7" s="3" t="n">
        <x:v>2019</x:v>
      </x:c>
      <x:c r="B7" s="3" t="str">
        <x:v>jama.2019.0556</x:v>
      </x:c>
      <x:c r="C7" s="3" t="str">
        <x:v>2019::jama.2019.0556::C006</x:v>
      </x:c>
      <x:c r="D7" s="3" t="str">
        <x:v>P_P</x:v>
      </x:c>
      <x:c r="E7" s="3" t="n">
        <x:f>Setup!$B$2</x:f>
        <x:v>0</x:v>
      </x:c>
      <x:c r="F7" s="3" t="str">
        <x:f>IF(Setup!$B$4="","",Setup!$B$4)</x:f>
      </x:c>
      <x:c r="G7" s="3" t="str">
        <x:f>IFERROR(INDEX('C_jama.2019.0556'!$G$2:$G$10,MATCH("2019::jama.2019.0556::C006",'C_jama.2019.0556'!$A$2:$A$10,0)),"CHECK KEY")</x:f>
        <x:v>CHECK REVIEWER IDs</x:v>
      </x:c>
      <x:c r="H7" s="3" t="str">
        <x:f>IF(G7&lt;&gt;"FINAL READY","",IF(S7&lt;&gt;"retain","not_eligible",IF(D7="P_R","protocol_descriptive",IF(D7="P_P","plan_descriptive",IF(AND(T7="statistical_results",OR(U7="confirmed_issue",U7="probable_issue"),V7="substantive"),"primary_temporal",IF(AND(T7="report_internal_inconsistency",X7="substantive_inconsistency"),"secondary_temporal","not_eligible"))))))</x:f>
      </x:c>
      <x:c r="I7" s="3" t="str">
        <x:v>retain</x:v>
      </x:c>
      <x:c r="J7" s="3" t="str">
        <x:v>plan_material</x:v>
      </x:c>
      <x:c r="K7" s="3" t="str">
        <x:f>IF(Setup!$B$6="primary","",IFERROR(IF(INDEX('Primary_snapshot'!$B$2:$B$72,MATCH(C7,'Primary_snapshot'!$A$2:$A$72,0))="","",INDEX('Primary_snapshot'!$B$2:$B$72,MATCH(C7,'Primary_snapshot'!$A$2:$A$72,0))),"SNAPSHOT MISSING"))</x:f>
      </x:c>
      <x:c r="L7" s="3" t="str">
        <x:f>IF(Setup!$B$6="primary","",IFERROR(IF(INDEX('Primary_snapshot'!$C$2:$C$72,MATCH(C7,'Primary_snapshot'!$A$2:$A$72,0))="","",INDEX('Primary_snapshot'!$C$2:$C$72,MATCH(C7,'Primary_snapshot'!$A$2:$A$72,0))),"SNAPSHOT MISSING"))</x:f>
      </x:c>
      <x:c r="M7" s="3" t="str">
        <x:f>IF(Setup!$B$6="primary","",IFERROR(IF(INDEX('Primary_snapshot'!$D$2:$D$72,MATCH(C7,'Primary_snapshot'!$A$2:$A$72,0))="","",INDEX('Primary_snapshot'!$D$2:$D$72,MATCH(C7,'Primary_snapshot'!$A$2:$A$72,0))),"SNAPSHOT MISSING"))</x:f>
      </x:c>
      <x:c r="N7" s="3" t="str">
        <x:f>IF(Setup!$B$6="primary","",IFERROR(IF(INDEX('Primary_snapshot'!$E$2:$E$72,MATCH(C7,'Primary_snapshot'!$A$2:$A$72,0))="","",INDEX('Primary_snapshot'!$E$2:$E$72,MATCH(C7,'Primary_snapshot'!$A$2:$A$72,0))),"SNAPSHOT MISSING"))</x:f>
      </x:c>
      <x:c r="O7" s="3" t="str">
        <x:f>IF(Setup!$B$6="primary","",IFERROR(IF(INDEX('Primary_snapshot'!$F$2:$F$72,MATCH(C7,'Primary_snapshot'!$A$2:$A$72,0))="","",INDEX('Primary_snapshot'!$F$2:$F$72,MATCH(C7,'Primary_snapshot'!$A$2:$A$72,0))),"SNAPSHOT MISSING"))</x:f>
      </x:c>
      <x:c r="P7" s="3" t="str">
        <x:f>IF(Setup!$B$6="primary","",IFERROR(IF(INDEX('Primary_snapshot'!$G$2:$G$72,MATCH(C7,'Primary_snapshot'!$A$2:$A$72,0))="","",INDEX('Primary_snapshot'!$G$2:$G$72,MATCH(C7,'Primary_snapshot'!$A$2:$A$72,0))),"SNAPSHOT MISSING"))</x:f>
      </x:c>
      <x:c r="Q7" s="3" t="str">
        <x:f>IF(Setup!$B$6="primary","",IFERROR(IF(INDEX('Primary_snapshot'!$H$2:$H$72,MATCH(C7,'Primary_snapshot'!$A$2:$A$72,0))="","",INDEX('Primary_snapshot'!$H$2:$H$72,MATCH(C7,'Primary_snapshot'!$A$2:$A$72,0))),"SNAPSHOT MISSING"))</x:f>
      </x:c>
      <x:c r="R7" s="3" t="str">
        <x:f>IF(Setup!$B$6="primary","",IFERROR(IF(INDEX('Primary_snapshot'!$I$2:$I$72,MATCH(C7,'Primary_snapshot'!$A$2:$A$72,0))="","",INDEX('Primary_snapshot'!$I$2:$I$72,MATCH(C7,'Primary_snapshot'!$A$2:$A$72,0))),"SNAPSHOT MISSING"))</x:f>
      </x:c>
      <x:c r="S7" s="3" t="str">
        <x:f>IF(INDEX('C_jama.2019.0556'!$D$2:$D$10,MATCH("2019::jama.2019.0556::C006",'C_jama.2019.0556'!$A$2:$A$10,0))="","",INDEX('C_jama.2019.0556'!$D$2:$D$10,MATCH("2019::jama.2019.0556::C006",'C_jama.2019.0556'!$A$2:$A$10,0)))</x:f>
      </x:c>
      <x:c r="T7" s="3" t="str">
        <x:f>IF(INDEX('C_jama.2019.0556'!$E$2:$E$10,MATCH("2019::jama.2019.0556::C006",'C_jama.2019.0556'!$A$2:$A$10,0))="","",INDEX('C_jama.2019.0556'!$E$2:$E$10,MATCH("2019::jama.2019.0556::C006",'C_jama.2019.0556'!$A$2:$A$10,0)))</x:f>
        <x:v>plan_material</x:v>
      </x:c>
      <x:c r="U7" s="3" t="str">
        <x:f>IF(AND(INDEX('C_jama.2019.0556'!$D$2:$D$10,MATCH("2019::jama.2019.0556::C006",'C_jama.2019.0556'!$A$2:$A$10,0))="retain",INDEX('C_jama.2019.0556'!$E$2:$E$10,MATCH("2019::jama.2019.0556::C006",'C_jama.2019.0556'!$A$2:$A$10,0))="statistical_results"),IF(INDEX('C_jama.2019.0556'!$H$2:$H$10,MATCH("2019::jama.2019.0556::C006",'C_jama.2019.0556'!$A$2:$A$10,0))="","",INDEX('C_jama.2019.0556'!$H$2:$H$10,MATCH("2019::jama.2019.0556::C006",'C_jama.2019.0556'!$A$2:$A$10,0))),"not_applicable")</x:f>
        <x:v>not_applicable</x:v>
      </x:c>
      <x:c r="V7" s="3" t="str">
        <x:f>IF(AND(INDEX('C_jama.2019.0556'!$D$2:$D$10,MATCH("2019::jama.2019.0556::C006",'C_jama.2019.0556'!$A$2:$A$10,0))="retain",INDEX('C_jama.2019.0556'!$E$2:$E$10,MATCH("2019::jama.2019.0556::C006",'C_jama.2019.0556'!$A$2:$A$10,0))="statistical_results"),IF(INDEX('C_jama.2019.0556'!$I$2:$I$10,MATCH("2019::jama.2019.0556::C006",'C_jama.2019.0556'!$A$2:$A$10,0))="","",INDEX('C_jama.2019.0556'!$I$2:$I$10,MATCH("2019::jama.2019.0556::C006",'C_jama.2019.0556'!$A$2:$A$10,0))),"not_applicable")</x:f>
        <x:v>not_applicable</x:v>
      </x:c>
      <x:c r="W7" s="3" t="str">
        <x:f>IF(AND(INDEX('C_jama.2019.0556'!$D$2:$D$10,MATCH("2019::jama.2019.0556::C006",'C_jama.2019.0556'!$A$2:$A$10,0))="retain",INDEX('C_jama.2019.0556'!$E$2:$E$10,MATCH("2019::jama.2019.0556::C006",'C_jama.2019.0556'!$A$2:$A$10,0))="statistical_results"),IF(INDEX('C_jama.2019.0556'!$J$2:$J$10,MATCH("2019::jama.2019.0556::C006",'C_jama.2019.0556'!$A$2:$A$10,0))="","",INDEX('C_jama.2019.0556'!$J$2:$J$10,MATCH("2019::jama.2019.0556::C006",'C_jama.2019.0556'!$A$2:$A$10,0))),"not_applicable")</x:f>
        <x:v>not_applicable</x:v>
      </x:c>
      <x:c r="X7" s="3" t="str">
        <x:f>IF(AND(INDEX('C_jama.2019.0556'!$D$2:$D$10,MATCH("2019::jama.2019.0556::C006",'C_jama.2019.0556'!$A$2:$A$10,0))="retain",OR(INDEX('C_jama.2019.0556'!$E$2:$E$10,MATCH("2019::jama.2019.0556::C006",'C_jama.2019.0556'!$A$2:$A$10,0))="report_internal_inconsistency",INDEX('C_jama.2019.0556'!$E$2:$E$10,MATCH("2019::jama.2019.0556::C006",'C_jama.2019.0556'!$A$2:$A$10,0))="plan_material")),IF(INDEX('C_jama.2019.0556'!$K$2:$K$10,MATCH("2019::jama.2019.0556::C006",'C_jama.2019.0556'!$A$2:$A$10,0))="","",INDEX('C_jama.2019.0556'!$K$2:$K$10,MATCH("2019::jama.2019.0556::C006",'C_jama.2019.0556'!$A$2:$A$10,0))),"not_applicable")</x:f>
        <x:v>not_applicable</x:v>
      </x:c>
      <x:c r="Y7" s="3" t="str">
        <x:f>IF(AND(INDEX('C_jama.2019.0556'!$D$2:$D$10,MATCH("2019::jama.2019.0556::C006",'C_jama.2019.0556'!$A$2:$A$10,0))="retain",INDEX('C_jama.2019.0556'!$E$2:$E$10,MATCH("2019::jama.2019.0556::C006",'C_jama.2019.0556'!$A$2:$A$10,0))="protocol_report"),IF(INDEX('C_jama.2019.0556'!$L$2:$L$10,MATCH("2019::jama.2019.0556::C006",'C_jama.2019.0556'!$A$2:$A$10,0))="","",INDEX('C_jama.2019.0556'!$L$2:$L$10,MATCH("2019::jama.2019.0556::C006",'C_jama.2019.0556'!$A$2:$A$10,0))),"not_applicable")</x:f>
        <x:v>not_applicable</x:v>
      </x:c>
      <x:c r="Z7" s="3" t="str">
        <x:f>IF(INDEX('C_jama.2019.0556'!$R$2:$R$10,MATCH("2019::jama.2019.0556::C006",'C_jama.2019.0556'!$A$2:$A$10,0))="","",INDEX('C_jama.2019.0556'!$R$2:$R$10,MATCH("2019::jama.2019.0556::C006",'C_jama.2019.0556'!$A$2:$A$10,0)))</x:f>
      </x:c>
      <x:c r="AA7" s="3" t="str">
        <x:f>IF(INDEX('C_jama.2019.0556'!$N$2:$N$10,MATCH("2019::jama.2019.0556::C006",'C_jama.2019.0556'!$A$2:$A$10,0))="","",INDEX('C_jama.2019.0556'!$N$2:$N$10,MATCH("2019::jama.2019.0556::C006",'C_jama.2019.0556'!$A$2:$A$10,0)))</x:f>
      </x:c>
      <x:c r="AB7" s="3" t="str">
        <x:f>IF(INDEX('C_jama.2019.0556'!$O$2:$O$10,MATCH("2019::jama.2019.0556::C006",'C_jama.2019.0556'!$A$2:$A$10,0))="","",INDEX('C_jama.2019.0556'!$O$2:$O$10,MATCH("2019::jama.2019.0556::C006",'C_jama.2019.0556'!$A$2:$A$10,0)))</x:f>
      </x:c>
      <x:c r="AC7" s="3" t="str">
        <x:f>IF(INDEX('C_jama.2019.0556'!$P$2:$P$10,MATCH("2019::jama.2019.0556::C006",'C_jama.2019.0556'!$A$2:$A$10,0))="","",INDEX('C_jama.2019.0556'!$P$2:$P$10,MATCH("2019::jama.2019.0556::C006",'C_jama.2019.0556'!$A$2:$A$10,0)))</x:f>
      </x:c>
      <x:c r="AD7" s="3" t="str">
        <x:f>IF(INDEX('C_jama.2019.0556'!$Q$2:$Q$10,MATCH("2019::jama.2019.0556::C006",'C_jama.2019.0556'!$A$2:$A$10,0))="","",INDEX('C_jama.2019.0556'!$Q$2:$Q$10,MATCH("2019::jama.2019.0556::C006",'C_jama.2019.0556'!$A$2:$A$10,0)))</x:f>
      </x:c>
    </x:row>
    <x:row r="8" ht="65" customHeight="1">
      <x:c r="A8" s="6" t="n">
        <x:v>2019</x:v>
      </x:c>
      <x:c r="B8" s="6" t="str">
        <x:v>jama.2019.0556</x:v>
      </x:c>
      <x:c r="C8" s="6" t="str">
        <x:v>2019::jama.2019.0556::C007</x:v>
      </x:c>
      <x:c r="D8" s="6" t="str">
        <x:v>P_R</x:v>
      </x:c>
      <x:c r="E8" s="6" t="n">
        <x:f>Setup!$B$2</x:f>
        <x:v>0</x:v>
      </x:c>
      <x:c r="F8" s="6" t="str">
        <x:f>IF(Setup!$B$4="","",Setup!$B$4)</x:f>
      </x:c>
      <x:c r="G8" s="6" t="str">
        <x:f>IFERROR(INDEX('C_jama.2019.0556'!$G$2:$G$10,MATCH("2019::jama.2019.0556::C007",'C_jama.2019.0556'!$A$2:$A$10,0)),"CHECK KEY")</x:f>
        <x:v>CHECK REVIEWER IDs</x:v>
      </x:c>
      <x:c r="H8" s="6" t="str">
        <x:f>IF(G8&lt;&gt;"FINAL READY","",IF(S8&lt;&gt;"retain","not_eligible",IF(D8="P_R","protocol_descriptive",IF(D8="P_P","plan_descriptive",IF(AND(T8="statistical_results",OR(U8="confirmed_issue",U8="probable_issue"),V8="substantive"),"primary_temporal",IF(AND(T8="report_internal_inconsistency",X8="substantive_inconsistency"),"secondary_temporal","not_eligible"))))))</x:f>
      </x:c>
      <x:c r="I8" s="6" t="str">
        <x:v>retain</x:v>
      </x:c>
      <x:c r="J8" s="6" t="str">
        <x:v>protocol_report</x:v>
      </x:c>
      <x:c r="K8" s="6" t="str">
        <x:f>IF(Setup!$B$6="primary","",IFERROR(IF(INDEX('Primary_snapshot'!$B$2:$B$72,MATCH(C8,'Primary_snapshot'!$A$2:$A$72,0))="","",INDEX('Primary_snapshot'!$B$2:$B$72,MATCH(C8,'Primary_snapshot'!$A$2:$A$72,0))),"SNAPSHOT MISSING"))</x:f>
      </x:c>
      <x:c r="L8" s="6" t="str">
        <x:f>IF(Setup!$B$6="primary","",IFERROR(IF(INDEX('Primary_snapshot'!$C$2:$C$72,MATCH(C8,'Primary_snapshot'!$A$2:$A$72,0))="","",INDEX('Primary_snapshot'!$C$2:$C$72,MATCH(C8,'Primary_snapshot'!$A$2:$A$72,0))),"SNAPSHOT MISSING"))</x:f>
      </x:c>
      <x:c r="M8" s="6" t="str">
        <x:f>IF(Setup!$B$6="primary","",IFERROR(IF(INDEX('Primary_snapshot'!$D$2:$D$72,MATCH(C8,'Primary_snapshot'!$A$2:$A$72,0))="","",INDEX('Primary_snapshot'!$D$2:$D$72,MATCH(C8,'Primary_snapshot'!$A$2:$A$72,0))),"SNAPSHOT MISSING"))</x:f>
      </x:c>
      <x:c r="N8" s="6" t="str">
        <x:f>IF(Setup!$B$6="primary","",IFERROR(IF(INDEX('Primary_snapshot'!$E$2:$E$72,MATCH(C8,'Primary_snapshot'!$A$2:$A$72,0))="","",INDEX('Primary_snapshot'!$E$2:$E$72,MATCH(C8,'Primary_snapshot'!$A$2:$A$72,0))),"SNAPSHOT MISSING"))</x:f>
      </x:c>
      <x:c r="O8" s="6" t="str">
        <x:f>IF(Setup!$B$6="primary","",IFERROR(IF(INDEX('Primary_snapshot'!$F$2:$F$72,MATCH(C8,'Primary_snapshot'!$A$2:$A$72,0))="","",INDEX('Primary_snapshot'!$F$2:$F$72,MATCH(C8,'Primary_snapshot'!$A$2:$A$72,0))),"SNAPSHOT MISSING"))</x:f>
      </x:c>
      <x:c r="P8" s="6" t="str">
        <x:f>IF(Setup!$B$6="primary","",IFERROR(IF(INDEX('Primary_snapshot'!$G$2:$G$72,MATCH(C8,'Primary_snapshot'!$A$2:$A$72,0))="","",INDEX('Primary_snapshot'!$G$2:$G$72,MATCH(C8,'Primary_snapshot'!$A$2:$A$72,0))),"SNAPSHOT MISSING"))</x:f>
      </x:c>
      <x:c r="Q8" s="6" t="str">
        <x:f>IF(Setup!$B$6="primary","",IFERROR(IF(INDEX('Primary_snapshot'!$H$2:$H$72,MATCH(C8,'Primary_snapshot'!$A$2:$A$72,0))="","",INDEX('Primary_snapshot'!$H$2:$H$72,MATCH(C8,'Primary_snapshot'!$A$2:$A$72,0))),"SNAPSHOT MISSING"))</x:f>
      </x:c>
      <x:c r="R8" s="6" t="str">
        <x:f>IF(Setup!$B$6="primary","",IFERROR(IF(INDEX('Primary_snapshot'!$I$2:$I$72,MATCH(C8,'Primary_snapshot'!$A$2:$A$72,0))="","",INDEX('Primary_snapshot'!$I$2:$I$72,MATCH(C8,'Primary_snapshot'!$A$2:$A$72,0))),"SNAPSHOT MISSING"))</x:f>
      </x:c>
      <x:c r="S8" s="6" t="str">
        <x:f>IF(INDEX('C_jama.2019.0556'!$D$2:$D$10,MATCH("2019::jama.2019.0556::C007",'C_jama.2019.0556'!$A$2:$A$10,0))="","",INDEX('C_jama.2019.0556'!$D$2:$D$10,MATCH("2019::jama.2019.0556::C007",'C_jama.2019.0556'!$A$2:$A$10,0)))</x:f>
      </x:c>
      <x:c r="T8" s="6" t="str">
        <x:f>IF(INDEX('C_jama.2019.0556'!$E$2:$E$10,MATCH("2019::jama.2019.0556::C007",'C_jama.2019.0556'!$A$2:$A$10,0))="","",INDEX('C_jama.2019.0556'!$E$2:$E$10,MATCH("2019::jama.2019.0556::C007",'C_jama.2019.0556'!$A$2:$A$10,0)))</x:f>
        <x:v>protocol_report</x:v>
      </x:c>
      <x:c r="U8" s="6" t="str">
        <x:f>IF(AND(INDEX('C_jama.2019.0556'!$D$2:$D$10,MATCH("2019::jama.2019.0556::C007",'C_jama.2019.0556'!$A$2:$A$10,0))="retain",INDEX('C_jama.2019.0556'!$E$2:$E$10,MATCH("2019::jama.2019.0556::C007",'C_jama.2019.0556'!$A$2:$A$10,0))="statistical_results"),IF(INDEX('C_jama.2019.0556'!$H$2:$H$10,MATCH("2019::jama.2019.0556::C007",'C_jama.2019.0556'!$A$2:$A$10,0))="","",INDEX('C_jama.2019.0556'!$H$2:$H$10,MATCH("2019::jama.2019.0556::C007",'C_jama.2019.0556'!$A$2:$A$10,0))),"not_applicable")</x:f>
        <x:v>not_applicable</x:v>
      </x:c>
      <x:c r="V8" s="6" t="str">
        <x:f>IF(AND(INDEX('C_jama.2019.0556'!$D$2:$D$10,MATCH("2019::jama.2019.0556::C007",'C_jama.2019.0556'!$A$2:$A$10,0))="retain",INDEX('C_jama.2019.0556'!$E$2:$E$10,MATCH("2019::jama.2019.0556::C007",'C_jama.2019.0556'!$A$2:$A$10,0))="statistical_results"),IF(INDEX('C_jama.2019.0556'!$I$2:$I$10,MATCH("2019::jama.2019.0556::C007",'C_jama.2019.0556'!$A$2:$A$10,0))="","",INDEX('C_jama.2019.0556'!$I$2:$I$10,MATCH("2019::jama.2019.0556::C007",'C_jama.2019.0556'!$A$2:$A$10,0))),"not_applicable")</x:f>
        <x:v>not_applicable</x:v>
      </x:c>
      <x:c r="W8" s="6" t="str">
        <x:f>IF(AND(INDEX('C_jama.2019.0556'!$D$2:$D$10,MATCH("2019::jama.2019.0556::C007",'C_jama.2019.0556'!$A$2:$A$10,0))="retain",INDEX('C_jama.2019.0556'!$E$2:$E$10,MATCH("2019::jama.2019.0556::C007",'C_jama.2019.0556'!$A$2:$A$10,0))="statistical_results"),IF(INDEX('C_jama.2019.0556'!$J$2:$J$10,MATCH("2019::jama.2019.0556::C007",'C_jama.2019.0556'!$A$2:$A$10,0))="","",INDEX('C_jama.2019.0556'!$J$2:$J$10,MATCH("2019::jama.2019.0556::C007",'C_jama.2019.0556'!$A$2:$A$10,0))),"not_applicable")</x:f>
        <x:v>not_applicable</x:v>
      </x:c>
      <x:c r="X8" s="6" t="str">
        <x:f>IF(AND(INDEX('C_jama.2019.0556'!$D$2:$D$10,MATCH("2019::jama.2019.0556::C007",'C_jama.2019.0556'!$A$2:$A$10,0))="retain",OR(INDEX('C_jama.2019.0556'!$E$2:$E$10,MATCH("2019::jama.2019.0556::C007",'C_jama.2019.0556'!$A$2:$A$10,0))="report_internal_inconsistency",INDEX('C_jama.2019.0556'!$E$2:$E$10,MATCH("2019::jama.2019.0556::C007",'C_jama.2019.0556'!$A$2:$A$10,0))="plan_material")),IF(INDEX('C_jama.2019.0556'!$K$2:$K$10,MATCH("2019::jama.2019.0556::C007",'C_jama.2019.0556'!$A$2:$A$10,0))="","",INDEX('C_jama.2019.0556'!$K$2:$K$10,MATCH("2019::jama.2019.0556::C007",'C_jama.2019.0556'!$A$2:$A$10,0))),"not_applicable")</x:f>
        <x:v>not_applicable</x:v>
      </x:c>
      <x:c r="Y8" s="6" t="str">
        <x:f>IF(AND(INDEX('C_jama.2019.0556'!$D$2:$D$10,MATCH("2019::jama.2019.0556::C007",'C_jama.2019.0556'!$A$2:$A$10,0))="retain",INDEX('C_jama.2019.0556'!$E$2:$E$10,MATCH("2019::jama.2019.0556::C007",'C_jama.2019.0556'!$A$2:$A$10,0))="protocol_report"),IF(INDEX('C_jama.2019.0556'!$L$2:$L$10,MATCH("2019::jama.2019.0556::C007",'C_jama.2019.0556'!$A$2:$A$10,0))="","",INDEX('C_jama.2019.0556'!$L$2:$L$10,MATCH("2019::jama.2019.0556::C007",'C_jama.2019.0556'!$A$2:$A$10,0))),"not_applicable")</x:f>
        <x:v>not_applicable</x:v>
      </x:c>
      <x:c r="Z8" s="6" t="str">
        <x:f>IF(INDEX('C_jama.2019.0556'!$R$2:$R$10,MATCH("2019::jama.2019.0556::C007",'C_jama.2019.0556'!$A$2:$A$10,0))="","",INDEX('C_jama.2019.0556'!$R$2:$R$10,MATCH("2019::jama.2019.0556::C007",'C_jama.2019.0556'!$A$2:$A$10,0)))</x:f>
      </x:c>
      <x:c r="AA8" s="6" t="str">
        <x:f>IF(INDEX('C_jama.2019.0556'!$N$2:$N$10,MATCH("2019::jama.2019.0556::C007",'C_jama.2019.0556'!$A$2:$A$10,0))="","",INDEX('C_jama.2019.0556'!$N$2:$N$10,MATCH("2019::jama.2019.0556::C007",'C_jama.2019.0556'!$A$2:$A$10,0)))</x:f>
      </x:c>
      <x:c r="AB8" s="6" t="str">
        <x:f>IF(INDEX('C_jama.2019.0556'!$O$2:$O$10,MATCH("2019::jama.2019.0556::C007",'C_jama.2019.0556'!$A$2:$A$10,0))="","",INDEX('C_jama.2019.0556'!$O$2:$O$10,MATCH("2019::jama.2019.0556::C007",'C_jama.2019.0556'!$A$2:$A$10,0)))</x:f>
      </x:c>
      <x:c r="AC8" s="6" t="str">
        <x:f>IF(INDEX('C_jama.2019.0556'!$P$2:$P$10,MATCH("2019::jama.2019.0556::C007",'C_jama.2019.0556'!$A$2:$A$10,0))="","",INDEX('C_jama.2019.0556'!$P$2:$P$10,MATCH("2019::jama.2019.0556::C007",'C_jama.2019.0556'!$A$2:$A$10,0)))</x:f>
      </x:c>
      <x:c r="AD8" s="6" t="str">
        <x:f>IF(INDEX('C_jama.2019.0556'!$Q$2:$Q$10,MATCH("2019::jama.2019.0556::C007",'C_jama.2019.0556'!$A$2:$A$10,0))="","",INDEX('C_jama.2019.0556'!$Q$2:$Q$10,MATCH("2019::jama.2019.0556::C007",'C_jama.2019.0556'!$A$2:$A$10,0)))</x:f>
      </x:c>
    </x:row>
    <x:row r="9" ht="65" customHeight="1">
      <x:c r="A9" s="3" t="n">
        <x:v>2019</x:v>
      </x:c>
      <x:c r="B9" s="3" t="str">
        <x:v>jama.2019.0556</x:v>
      </x:c>
      <x:c r="C9" s="3" t="str">
        <x:v>2019::jama.2019.0556::C008</x:v>
      </x:c>
      <x:c r="D9" s="3" t="str">
        <x:v>P_P</x:v>
      </x:c>
      <x:c r="E9" s="3" t="n">
        <x:f>Setup!$B$2</x:f>
        <x:v>0</x:v>
      </x:c>
      <x:c r="F9" s="3" t="str">
        <x:f>IF(Setup!$B$4="","",Setup!$B$4)</x:f>
      </x:c>
      <x:c r="G9" s="3" t="str">
        <x:f>IFERROR(INDEX('C_jama.2019.0556'!$G$2:$G$10,MATCH("2019::jama.2019.0556::C008",'C_jama.2019.0556'!$A$2:$A$10,0)),"CHECK KEY")</x:f>
        <x:v>CHECK REVIEWER IDs</x:v>
      </x:c>
      <x:c r="H9" s="3" t="str">
        <x:f>IF(G9&lt;&gt;"FINAL READY","",IF(S9&lt;&gt;"retain","not_eligible",IF(D9="P_R","protocol_descriptive",IF(D9="P_P","plan_descriptive",IF(AND(T9="statistical_results",OR(U9="confirmed_issue",U9="probable_issue"),V9="substantive"),"primary_temporal",IF(AND(T9="report_internal_inconsistency",X9="substantive_inconsistency"),"secondary_temporal","not_eligible"))))))</x:f>
      </x:c>
      <x:c r="I9" s="3" t="str">
        <x:v>retain</x:v>
      </x:c>
      <x:c r="J9" s="3" t="str">
        <x:v>plan_material</x:v>
      </x:c>
      <x:c r="K9" s="3" t="str">
        <x:f>IF(Setup!$B$6="primary","",IFERROR(IF(INDEX('Primary_snapshot'!$B$2:$B$72,MATCH(C9,'Primary_snapshot'!$A$2:$A$72,0))="","",INDEX('Primary_snapshot'!$B$2:$B$72,MATCH(C9,'Primary_snapshot'!$A$2:$A$72,0))),"SNAPSHOT MISSING"))</x:f>
      </x:c>
      <x:c r="L9" s="3" t="str">
        <x:f>IF(Setup!$B$6="primary","",IFERROR(IF(INDEX('Primary_snapshot'!$C$2:$C$72,MATCH(C9,'Primary_snapshot'!$A$2:$A$72,0))="","",INDEX('Primary_snapshot'!$C$2:$C$72,MATCH(C9,'Primary_snapshot'!$A$2:$A$72,0))),"SNAPSHOT MISSING"))</x:f>
      </x:c>
      <x:c r="M9" s="3" t="str">
        <x:f>IF(Setup!$B$6="primary","",IFERROR(IF(INDEX('Primary_snapshot'!$D$2:$D$72,MATCH(C9,'Primary_snapshot'!$A$2:$A$72,0))="","",INDEX('Primary_snapshot'!$D$2:$D$72,MATCH(C9,'Primary_snapshot'!$A$2:$A$72,0))),"SNAPSHOT MISSING"))</x:f>
      </x:c>
      <x:c r="N9" s="3" t="str">
        <x:f>IF(Setup!$B$6="primary","",IFERROR(IF(INDEX('Primary_snapshot'!$E$2:$E$72,MATCH(C9,'Primary_snapshot'!$A$2:$A$72,0))="","",INDEX('Primary_snapshot'!$E$2:$E$72,MATCH(C9,'Primary_snapshot'!$A$2:$A$72,0))),"SNAPSHOT MISSING"))</x:f>
      </x:c>
      <x:c r="O9" s="3" t="str">
        <x:f>IF(Setup!$B$6="primary","",IFERROR(IF(INDEX('Primary_snapshot'!$F$2:$F$72,MATCH(C9,'Primary_snapshot'!$A$2:$A$72,0))="","",INDEX('Primary_snapshot'!$F$2:$F$72,MATCH(C9,'Primary_snapshot'!$A$2:$A$72,0))),"SNAPSHOT MISSING"))</x:f>
      </x:c>
      <x:c r="P9" s="3" t="str">
        <x:f>IF(Setup!$B$6="primary","",IFERROR(IF(INDEX('Primary_snapshot'!$G$2:$G$72,MATCH(C9,'Primary_snapshot'!$A$2:$A$72,0))="","",INDEX('Primary_snapshot'!$G$2:$G$72,MATCH(C9,'Primary_snapshot'!$A$2:$A$72,0))),"SNAPSHOT MISSING"))</x:f>
      </x:c>
      <x:c r="Q9" s="3" t="str">
        <x:f>IF(Setup!$B$6="primary","",IFERROR(IF(INDEX('Primary_snapshot'!$H$2:$H$72,MATCH(C9,'Primary_snapshot'!$A$2:$A$72,0))="","",INDEX('Primary_snapshot'!$H$2:$H$72,MATCH(C9,'Primary_snapshot'!$A$2:$A$72,0))),"SNAPSHOT MISSING"))</x:f>
      </x:c>
      <x:c r="R9" s="3" t="str">
        <x:f>IF(Setup!$B$6="primary","",IFERROR(IF(INDEX('Primary_snapshot'!$I$2:$I$72,MATCH(C9,'Primary_snapshot'!$A$2:$A$72,0))="","",INDEX('Primary_snapshot'!$I$2:$I$72,MATCH(C9,'Primary_snapshot'!$A$2:$A$72,0))),"SNAPSHOT MISSING"))</x:f>
      </x:c>
      <x:c r="S9" s="3" t="str">
        <x:f>IF(INDEX('C_jama.2019.0556'!$D$2:$D$10,MATCH("2019::jama.2019.0556::C008",'C_jama.2019.0556'!$A$2:$A$10,0))="","",INDEX('C_jama.2019.0556'!$D$2:$D$10,MATCH("2019::jama.2019.0556::C008",'C_jama.2019.0556'!$A$2:$A$10,0)))</x:f>
      </x:c>
      <x:c r="T9" s="3" t="str">
        <x:f>IF(INDEX('C_jama.2019.0556'!$E$2:$E$10,MATCH("2019::jama.2019.0556::C008",'C_jama.2019.0556'!$A$2:$A$10,0))="","",INDEX('C_jama.2019.0556'!$E$2:$E$10,MATCH("2019::jama.2019.0556::C008",'C_jama.2019.0556'!$A$2:$A$10,0)))</x:f>
        <x:v>plan_material</x:v>
      </x:c>
      <x:c r="U9" s="3" t="str">
        <x:f>IF(AND(INDEX('C_jama.2019.0556'!$D$2:$D$10,MATCH("2019::jama.2019.0556::C008",'C_jama.2019.0556'!$A$2:$A$10,0))="retain",INDEX('C_jama.2019.0556'!$E$2:$E$10,MATCH("2019::jama.2019.0556::C008",'C_jama.2019.0556'!$A$2:$A$10,0))="statistical_results"),IF(INDEX('C_jama.2019.0556'!$H$2:$H$10,MATCH("2019::jama.2019.0556::C008",'C_jama.2019.0556'!$A$2:$A$10,0))="","",INDEX('C_jama.2019.0556'!$H$2:$H$10,MATCH("2019::jama.2019.0556::C008",'C_jama.2019.0556'!$A$2:$A$10,0))),"not_applicable")</x:f>
        <x:v>not_applicable</x:v>
      </x:c>
      <x:c r="V9" s="3" t="str">
        <x:f>IF(AND(INDEX('C_jama.2019.0556'!$D$2:$D$10,MATCH("2019::jama.2019.0556::C008",'C_jama.2019.0556'!$A$2:$A$10,0))="retain",INDEX('C_jama.2019.0556'!$E$2:$E$10,MATCH("2019::jama.2019.0556::C008",'C_jama.2019.0556'!$A$2:$A$10,0))="statistical_results"),IF(INDEX('C_jama.2019.0556'!$I$2:$I$10,MATCH("2019::jama.2019.0556::C008",'C_jama.2019.0556'!$A$2:$A$10,0))="","",INDEX('C_jama.2019.0556'!$I$2:$I$10,MATCH("2019::jama.2019.0556::C008",'C_jama.2019.0556'!$A$2:$A$10,0))),"not_applicable")</x:f>
        <x:v>not_applicable</x:v>
      </x:c>
      <x:c r="W9" s="3" t="str">
        <x:f>IF(AND(INDEX('C_jama.2019.0556'!$D$2:$D$10,MATCH("2019::jama.2019.0556::C008",'C_jama.2019.0556'!$A$2:$A$10,0))="retain",INDEX('C_jama.2019.0556'!$E$2:$E$10,MATCH("2019::jama.2019.0556::C008",'C_jama.2019.0556'!$A$2:$A$10,0))="statistical_results"),IF(INDEX('C_jama.2019.0556'!$J$2:$J$10,MATCH("2019::jama.2019.0556::C008",'C_jama.2019.0556'!$A$2:$A$10,0))="","",INDEX('C_jama.2019.0556'!$J$2:$J$10,MATCH("2019::jama.2019.0556::C008",'C_jama.2019.0556'!$A$2:$A$10,0))),"not_applicable")</x:f>
        <x:v>not_applicable</x:v>
      </x:c>
      <x:c r="X9" s="3" t="str">
        <x:f>IF(AND(INDEX('C_jama.2019.0556'!$D$2:$D$10,MATCH("2019::jama.2019.0556::C008",'C_jama.2019.0556'!$A$2:$A$10,0))="retain",OR(INDEX('C_jama.2019.0556'!$E$2:$E$10,MATCH("2019::jama.2019.0556::C008",'C_jama.2019.0556'!$A$2:$A$10,0))="report_internal_inconsistency",INDEX('C_jama.2019.0556'!$E$2:$E$10,MATCH("2019::jama.2019.0556::C008",'C_jama.2019.0556'!$A$2:$A$10,0))="plan_material")),IF(INDEX('C_jama.2019.0556'!$K$2:$K$10,MATCH("2019::jama.2019.0556::C008",'C_jama.2019.0556'!$A$2:$A$10,0))="","",INDEX('C_jama.2019.0556'!$K$2:$K$10,MATCH("2019::jama.2019.0556::C008",'C_jama.2019.0556'!$A$2:$A$10,0))),"not_applicable")</x:f>
        <x:v>not_applicable</x:v>
      </x:c>
      <x:c r="Y9" s="3" t="str">
        <x:f>IF(AND(INDEX('C_jama.2019.0556'!$D$2:$D$10,MATCH("2019::jama.2019.0556::C008",'C_jama.2019.0556'!$A$2:$A$10,0))="retain",INDEX('C_jama.2019.0556'!$E$2:$E$10,MATCH("2019::jama.2019.0556::C008",'C_jama.2019.0556'!$A$2:$A$10,0))="protocol_report"),IF(INDEX('C_jama.2019.0556'!$L$2:$L$10,MATCH("2019::jama.2019.0556::C008",'C_jama.2019.0556'!$A$2:$A$10,0))="","",INDEX('C_jama.2019.0556'!$L$2:$L$10,MATCH("2019::jama.2019.0556::C008",'C_jama.2019.0556'!$A$2:$A$10,0))),"not_applicable")</x:f>
        <x:v>not_applicable</x:v>
      </x:c>
      <x:c r="Z9" s="3" t="str">
        <x:f>IF(INDEX('C_jama.2019.0556'!$R$2:$R$10,MATCH("2019::jama.2019.0556::C008",'C_jama.2019.0556'!$A$2:$A$10,0))="","",INDEX('C_jama.2019.0556'!$R$2:$R$10,MATCH("2019::jama.2019.0556::C008",'C_jama.2019.0556'!$A$2:$A$10,0)))</x:f>
      </x:c>
      <x:c r="AA9" s="3" t="str">
        <x:f>IF(INDEX('C_jama.2019.0556'!$N$2:$N$10,MATCH("2019::jama.2019.0556::C008",'C_jama.2019.0556'!$A$2:$A$10,0))="","",INDEX('C_jama.2019.0556'!$N$2:$N$10,MATCH("2019::jama.2019.0556::C008",'C_jama.2019.0556'!$A$2:$A$10,0)))</x:f>
      </x:c>
      <x:c r="AB9" s="3" t="str">
        <x:f>IF(INDEX('C_jama.2019.0556'!$O$2:$O$10,MATCH("2019::jama.2019.0556::C008",'C_jama.2019.0556'!$A$2:$A$10,0))="","",INDEX('C_jama.2019.0556'!$O$2:$O$10,MATCH("2019::jama.2019.0556::C008",'C_jama.2019.0556'!$A$2:$A$10,0)))</x:f>
      </x:c>
      <x:c r="AC9" s="3" t="str">
        <x:f>IF(INDEX('C_jama.2019.0556'!$P$2:$P$10,MATCH("2019::jama.2019.0556::C008",'C_jama.2019.0556'!$A$2:$A$10,0))="","",INDEX('C_jama.2019.0556'!$P$2:$P$10,MATCH("2019::jama.2019.0556::C008",'C_jama.2019.0556'!$A$2:$A$10,0)))</x:f>
      </x:c>
      <x:c r="AD9" s="3" t="str">
        <x:f>IF(INDEX('C_jama.2019.0556'!$Q$2:$Q$10,MATCH("2019::jama.2019.0556::C008",'C_jama.2019.0556'!$A$2:$A$10,0))="","",INDEX('C_jama.2019.0556'!$Q$2:$Q$10,MATCH("2019::jama.2019.0556::C008",'C_jama.2019.0556'!$A$2:$A$10,0)))</x:f>
      </x:c>
    </x:row>
    <x:row r="10" ht="65" customHeight="1">
      <x:c r="A10" s="6" t="n">
        <x:v>2019</x:v>
      </x:c>
      <x:c r="B10" s="6" t="str">
        <x:v>jama.2019.0556</x:v>
      </x:c>
      <x:c r="C10" s="6" t="str">
        <x:v>2019::jama.2019.0556::C009</x:v>
      </x:c>
      <x:c r="D10" s="6" t="str">
        <x:v>P_P</x:v>
      </x:c>
      <x:c r="E10" s="6" t="n">
        <x:f>Setup!$B$2</x:f>
        <x:v>0</x:v>
      </x:c>
      <x:c r="F10" s="6" t="str">
        <x:f>IF(Setup!$B$4="","",Setup!$B$4)</x:f>
      </x:c>
      <x:c r="G10" s="6" t="str">
        <x:f>IFERROR(INDEX('C_jama.2019.0556'!$G$2:$G$10,MATCH("2019::jama.2019.0556::C009",'C_jama.2019.0556'!$A$2:$A$10,0)),"CHECK KEY")</x:f>
        <x:v>CHECK REVIEWER IDs</x:v>
      </x:c>
      <x:c r="H10" s="6" t="str">
        <x:f>IF(G10&lt;&gt;"FINAL READY","",IF(S10&lt;&gt;"retain","not_eligible",IF(D10="P_R","protocol_descriptive",IF(D10="P_P","plan_descriptive",IF(AND(T10="statistical_results",OR(U10="confirmed_issue",U10="probable_issue"),V10="substantive"),"primary_temporal",IF(AND(T10="report_internal_inconsistency",X10="substantive_inconsistency"),"secondary_temporal","not_eligible"))))))</x:f>
      </x:c>
      <x:c r="I10" s="6" t="str">
        <x:v>retain</x:v>
      </x:c>
      <x:c r="J10" s="6" t="str">
        <x:v>plan_material</x:v>
      </x:c>
      <x:c r="K10" s="6" t="str">
        <x:f>IF(Setup!$B$6="primary","",IFERROR(IF(INDEX('Primary_snapshot'!$B$2:$B$72,MATCH(C10,'Primary_snapshot'!$A$2:$A$72,0))="","",INDEX('Primary_snapshot'!$B$2:$B$72,MATCH(C10,'Primary_snapshot'!$A$2:$A$72,0))),"SNAPSHOT MISSING"))</x:f>
      </x:c>
      <x:c r="L10" s="6" t="str">
        <x:f>IF(Setup!$B$6="primary","",IFERROR(IF(INDEX('Primary_snapshot'!$C$2:$C$72,MATCH(C10,'Primary_snapshot'!$A$2:$A$72,0))="","",INDEX('Primary_snapshot'!$C$2:$C$72,MATCH(C10,'Primary_snapshot'!$A$2:$A$72,0))),"SNAPSHOT MISSING"))</x:f>
      </x:c>
      <x:c r="M10" s="6" t="str">
        <x:f>IF(Setup!$B$6="primary","",IFERROR(IF(INDEX('Primary_snapshot'!$D$2:$D$72,MATCH(C10,'Primary_snapshot'!$A$2:$A$72,0))="","",INDEX('Primary_snapshot'!$D$2:$D$72,MATCH(C10,'Primary_snapshot'!$A$2:$A$72,0))),"SNAPSHOT MISSING"))</x:f>
      </x:c>
      <x:c r="N10" s="6" t="str">
        <x:f>IF(Setup!$B$6="primary","",IFERROR(IF(INDEX('Primary_snapshot'!$E$2:$E$72,MATCH(C10,'Primary_snapshot'!$A$2:$A$72,0))="","",INDEX('Primary_snapshot'!$E$2:$E$72,MATCH(C10,'Primary_snapshot'!$A$2:$A$72,0))),"SNAPSHOT MISSING"))</x:f>
      </x:c>
      <x:c r="O10" s="6" t="str">
        <x:f>IF(Setup!$B$6="primary","",IFERROR(IF(INDEX('Primary_snapshot'!$F$2:$F$72,MATCH(C10,'Primary_snapshot'!$A$2:$A$72,0))="","",INDEX('Primary_snapshot'!$F$2:$F$72,MATCH(C10,'Primary_snapshot'!$A$2:$A$72,0))),"SNAPSHOT MISSING"))</x:f>
      </x:c>
      <x:c r="P10" s="6" t="str">
        <x:f>IF(Setup!$B$6="primary","",IFERROR(IF(INDEX('Primary_snapshot'!$G$2:$G$72,MATCH(C10,'Primary_snapshot'!$A$2:$A$72,0))="","",INDEX('Primary_snapshot'!$G$2:$G$72,MATCH(C10,'Primary_snapshot'!$A$2:$A$72,0))),"SNAPSHOT MISSING"))</x:f>
      </x:c>
      <x:c r="Q10" s="6" t="str">
        <x:f>IF(Setup!$B$6="primary","",IFERROR(IF(INDEX('Primary_snapshot'!$H$2:$H$72,MATCH(C10,'Primary_snapshot'!$A$2:$A$72,0))="","",INDEX('Primary_snapshot'!$H$2:$H$72,MATCH(C10,'Primary_snapshot'!$A$2:$A$72,0))),"SNAPSHOT MISSING"))</x:f>
      </x:c>
      <x:c r="R10" s="6" t="str">
        <x:f>IF(Setup!$B$6="primary","",IFERROR(IF(INDEX('Primary_snapshot'!$I$2:$I$72,MATCH(C10,'Primary_snapshot'!$A$2:$A$72,0))="","",INDEX('Primary_snapshot'!$I$2:$I$72,MATCH(C10,'Primary_snapshot'!$A$2:$A$72,0))),"SNAPSHOT MISSING"))</x:f>
      </x:c>
      <x:c r="S10" s="6" t="str">
        <x:f>IF(INDEX('C_jama.2019.0556'!$D$2:$D$10,MATCH("2019::jama.2019.0556::C009",'C_jama.2019.0556'!$A$2:$A$10,0))="","",INDEX('C_jama.2019.0556'!$D$2:$D$10,MATCH("2019::jama.2019.0556::C009",'C_jama.2019.0556'!$A$2:$A$10,0)))</x:f>
      </x:c>
      <x:c r="T10" s="6" t="str">
        <x:f>IF(INDEX('C_jama.2019.0556'!$E$2:$E$10,MATCH("2019::jama.2019.0556::C009",'C_jama.2019.0556'!$A$2:$A$10,0))="","",INDEX('C_jama.2019.0556'!$E$2:$E$10,MATCH("2019::jama.2019.0556::C009",'C_jama.2019.0556'!$A$2:$A$10,0)))</x:f>
        <x:v>plan_material</x:v>
      </x:c>
      <x:c r="U10" s="6" t="str">
        <x:f>IF(AND(INDEX('C_jama.2019.0556'!$D$2:$D$10,MATCH("2019::jama.2019.0556::C009",'C_jama.2019.0556'!$A$2:$A$10,0))="retain",INDEX('C_jama.2019.0556'!$E$2:$E$10,MATCH("2019::jama.2019.0556::C009",'C_jama.2019.0556'!$A$2:$A$10,0))="statistical_results"),IF(INDEX('C_jama.2019.0556'!$H$2:$H$10,MATCH("2019::jama.2019.0556::C009",'C_jama.2019.0556'!$A$2:$A$10,0))="","",INDEX('C_jama.2019.0556'!$H$2:$H$10,MATCH("2019::jama.2019.0556::C009",'C_jama.2019.0556'!$A$2:$A$10,0))),"not_applicable")</x:f>
        <x:v>not_applicable</x:v>
      </x:c>
      <x:c r="V10" s="6" t="str">
        <x:f>IF(AND(INDEX('C_jama.2019.0556'!$D$2:$D$10,MATCH("2019::jama.2019.0556::C009",'C_jama.2019.0556'!$A$2:$A$10,0))="retain",INDEX('C_jama.2019.0556'!$E$2:$E$10,MATCH("2019::jama.2019.0556::C009",'C_jama.2019.0556'!$A$2:$A$10,0))="statistical_results"),IF(INDEX('C_jama.2019.0556'!$I$2:$I$10,MATCH("2019::jama.2019.0556::C009",'C_jama.2019.0556'!$A$2:$A$10,0))="","",INDEX('C_jama.2019.0556'!$I$2:$I$10,MATCH("2019::jama.2019.0556::C009",'C_jama.2019.0556'!$A$2:$A$10,0))),"not_applicable")</x:f>
        <x:v>not_applicable</x:v>
      </x:c>
      <x:c r="W10" s="6" t="str">
        <x:f>IF(AND(INDEX('C_jama.2019.0556'!$D$2:$D$10,MATCH("2019::jama.2019.0556::C009",'C_jama.2019.0556'!$A$2:$A$10,0))="retain",INDEX('C_jama.2019.0556'!$E$2:$E$10,MATCH("2019::jama.2019.0556::C009",'C_jama.2019.0556'!$A$2:$A$10,0))="statistical_results"),IF(INDEX('C_jama.2019.0556'!$J$2:$J$10,MATCH("2019::jama.2019.0556::C009",'C_jama.2019.0556'!$A$2:$A$10,0))="","",INDEX('C_jama.2019.0556'!$J$2:$J$10,MATCH("2019::jama.2019.0556::C009",'C_jama.2019.0556'!$A$2:$A$10,0))),"not_applicable")</x:f>
        <x:v>not_applicable</x:v>
      </x:c>
      <x:c r="X10" s="6" t="str">
        <x:f>IF(AND(INDEX('C_jama.2019.0556'!$D$2:$D$10,MATCH("2019::jama.2019.0556::C009",'C_jama.2019.0556'!$A$2:$A$10,0))="retain",OR(INDEX('C_jama.2019.0556'!$E$2:$E$10,MATCH("2019::jama.2019.0556::C009",'C_jama.2019.0556'!$A$2:$A$10,0))="report_internal_inconsistency",INDEX('C_jama.2019.0556'!$E$2:$E$10,MATCH("2019::jama.2019.0556::C009",'C_jama.2019.0556'!$A$2:$A$10,0))="plan_material")),IF(INDEX('C_jama.2019.0556'!$K$2:$K$10,MATCH("2019::jama.2019.0556::C009",'C_jama.2019.0556'!$A$2:$A$10,0))="","",INDEX('C_jama.2019.0556'!$K$2:$K$10,MATCH("2019::jama.2019.0556::C009",'C_jama.2019.0556'!$A$2:$A$10,0))),"not_applicable")</x:f>
        <x:v>not_applicable</x:v>
      </x:c>
      <x:c r="Y10" s="6" t="str">
        <x:f>IF(AND(INDEX('C_jama.2019.0556'!$D$2:$D$10,MATCH("2019::jama.2019.0556::C009",'C_jama.2019.0556'!$A$2:$A$10,0))="retain",INDEX('C_jama.2019.0556'!$E$2:$E$10,MATCH("2019::jama.2019.0556::C009",'C_jama.2019.0556'!$A$2:$A$10,0))="protocol_report"),IF(INDEX('C_jama.2019.0556'!$L$2:$L$10,MATCH("2019::jama.2019.0556::C009",'C_jama.2019.0556'!$A$2:$A$10,0))="","",INDEX('C_jama.2019.0556'!$L$2:$L$10,MATCH("2019::jama.2019.0556::C009",'C_jama.2019.0556'!$A$2:$A$10,0))),"not_applicable")</x:f>
        <x:v>not_applicable</x:v>
      </x:c>
      <x:c r="Z10" s="6" t="str">
        <x:f>IF(INDEX('C_jama.2019.0556'!$R$2:$R$10,MATCH("2019::jama.2019.0556::C009",'C_jama.2019.0556'!$A$2:$A$10,0))="","",INDEX('C_jama.2019.0556'!$R$2:$R$10,MATCH("2019::jama.2019.0556::C009",'C_jama.2019.0556'!$A$2:$A$10,0)))</x:f>
      </x:c>
      <x:c r="AA10" s="6" t="str">
        <x:f>IF(INDEX('C_jama.2019.0556'!$N$2:$N$10,MATCH("2019::jama.2019.0556::C009",'C_jama.2019.0556'!$A$2:$A$10,0))="","",INDEX('C_jama.2019.0556'!$N$2:$N$10,MATCH("2019::jama.2019.0556::C009",'C_jama.2019.0556'!$A$2:$A$10,0)))</x:f>
      </x:c>
      <x:c r="AB10" s="6" t="str">
        <x:f>IF(INDEX('C_jama.2019.0556'!$O$2:$O$10,MATCH("2019::jama.2019.0556::C009",'C_jama.2019.0556'!$A$2:$A$10,0))="","",INDEX('C_jama.2019.0556'!$O$2:$O$10,MATCH("2019::jama.2019.0556::C009",'C_jama.2019.0556'!$A$2:$A$10,0)))</x:f>
      </x:c>
      <x:c r="AC10" s="6" t="str">
        <x:f>IF(INDEX('C_jama.2019.0556'!$P$2:$P$10,MATCH("2019::jama.2019.0556::C009",'C_jama.2019.0556'!$A$2:$A$10,0))="","",INDEX('C_jama.2019.0556'!$P$2:$P$10,MATCH("2019::jama.2019.0556::C009",'C_jama.2019.0556'!$A$2:$A$10,0)))</x:f>
      </x:c>
      <x:c r="AD10" s="6" t="str">
        <x:f>IF(INDEX('C_jama.2019.0556'!$Q$2:$Q$10,MATCH("2019::jama.2019.0556::C009",'C_jama.2019.0556'!$A$2:$A$10,0))="","",INDEX('C_jama.2019.0556'!$Q$2:$Q$10,MATCH("2019::jama.2019.0556::C009",'C_jama.2019.0556'!$A$2:$A$10,0)))</x:f>
      </x:c>
    </x:row>
    <x:row r="11" ht="65" customHeight="1">
      <x:c r="A11" s="3" t="n">
        <x:v>2019</x:v>
      </x:c>
      <x:c r="B11" s="3" t="str">
        <x:v>jama.2019.10517</x:v>
      </x:c>
      <x:c r="C11" s="3" t="str">
        <x:v>2019::jama.2019.10517::C001</x:v>
      </x:c>
      <x:c r="D11" s="3" t="str">
        <x:v>S_W</x:v>
      </x:c>
      <x:c r="E11" s="3" t="n">
        <x:f>Setup!$B$2</x:f>
        <x:v>0</x:v>
      </x:c>
      <x:c r="F11" s="3" t="str">
        <x:f>IF(Setup!$B$4="","",Setup!$B$4)</x:f>
      </x:c>
      <x:c r="G11" s="3" t="str">
        <x:f>IFERROR(INDEX('C_jama.2019.10517'!$G$2:$G$4,MATCH("2019::jama.2019.10517::C001",'C_jama.2019.10517'!$A$2:$A$4,0)),"CHECK KEY")</x:f>
        <x:v>CHECK REVIEWER IDs</x:v>
      </x:c>
      <x:c r="H11" s="3" t="str">
        <x:f>IF(G11&lt;&gt;"FINAL READY","",IF(S11&lt;&gt;"retain","not_eligible",IF(D11="P_R","protocol_descriptive",IF(D11="P_P","plan_descriptive",IF(AND(T11="statistical_results",OR(U11="confirmed_issue",U11="probable_issue"),V11="substantive"),"primary_temporal",IF(AND(T11="report_internal_inconsistency",X11="substantive_inconsistency"),"secondary_temporal","not_eligible"))))))</x:f>
      </x:c>
      <x:c r="I11" s="3" t="str">
        <x:v>retain</x:v>
      </x:c>
      <x:c r="J11" s="3" t="str">
        <x:v>statistical_results</x:v>
      </x:c>
      <x:c r="K11" s="3" t="str">
        <x:f>IF(Setup!$B$6="primary","",IFERROR(IF(INDEX('Primary_snapshot'!$B$2:$B$72,MATCH(C11,'Primary_snapshot'!$A$2:$A$72,0))="","",INDEX('Primary_snapshot'!$B$2:$B$72,MATCH(C11,'Primary_snapshot'!$A$2:$A$72,0))),"SNAPSHOT MISSING"))</x:f>
      </x:c>
      <x:c r="L11" s="3" t="str">
        <x:f>IF(Setup!$B$6="primary","",IFERROR(IF(INDEX('Primary_snapshot'!$C$2:$C$72,MATCH(C11,'Primary_snapshot'!$A$2:$A$72,0))="","",INDEX('Primary_snapshot'!$C$2:$C$72,MATCH(C11,'Primary_snapshot'!$A$2:$A$72,0))),"SNAPSHOT MISSING"))</x:f>
      </x:c>
      <x:c r="M11" s="3" t="str">
        <x:f>IF(Setup!$B$6="primary","",IFERROR(IF(INDEX('Primary_snapshot'!$D$2:$D$72,MATCH(C11,'Primary_snapshot'!$A$2:$A$72,0))="","",INDEX('Primary_snapshot'!$D$2:$D$72,MATCH(C11,'Primary_snapshot'!$A$2:$A$72,0))),"SNAPSHOT MISSING"))</x:f>
      </x:c>
      <x:c r="N11" s="3" t="str">
        <x:f>IF(Setup!$B$6="primary","",IFERROR(IF(INDEX('Primary_snapshot'!$E$2:$E$72,MATCH(C11,'Primary_snapshot'!$A$2:$A$72,0))="","",INDEX('Primary_snapshot'!$E$2:$E$72,MATCH(C11,'Primary_snapshot'!$A$2:$A$72,0))),"SNAPSHOT MISSING"))</x:f>
      </x:c>
      <x:c r="O11" s="3" t="str">
        <x:f>IF(Setup!$B$6="primary","",IFERROR(IF(INDEX('Primary_snapshot'!$F$2:$F$72,MATCH(C11,'Primary_snapshot'!$A$2:$A$72,0))="","",INDEX('Primary_snapshot'!$F$2:$F$72,MATCH(C11,'Primary_snapshot'!$A$2:$A$72,0))),"SNAPSHOT MISSING"))</x:f>
      </x:c>
      <x:c r="P11" s="3" t="str">
        <x:f>IF(Setup!$B$6="primary","",IFERROR(IF(INDEX('Primary_snapshot'!$G$2:$G$72,MATCH(C11,'Primary_snapshot'!$A$2:$A$72,0))="","",INDEX('Primary_snapshot'!$G$2:$G$72,MATCH(C11,'Primary_snapshot'!$A$2:$A$72,0))),"SNAPSHOT MISSING"))</x:f>
      </x:c>
      <x:c r="Q11" s="3" t="str">
        <x:f>IF(Setup!$B$6="primary","",IFERROR(IF(INDEX('Primary_snapshot'!$H$2:$H$72,MATCH(C11,'Primary_snapshot'!$A$2:$A$72,0))="","",INDEX('Primary_snapshot'!$H$2:$H$72,MATCH(C11,'Primary_snapshot'!$A$2:$A$72,0))),"SNAPSHOT MISSING"))</x:f>
      </x:c>
      <x:c r="R11" s="3" t="str">
        <x:f>IF(Setup!$B$6="primary","",IFERROR(IF(INDEX('Primary_snapshot'!$I$2:$I$72,MATCH(C11,'Primary_snapshot'!$A$2:$A$72,0))="","",INDEX('Primary_snapshot'!$I$2:$I$72,MATCH(C11,'Primary_snapshot'!$A$2:$A$72,0))),"SNAPSHOT MISSING"))</x:f>
      </x:c>
      <x:c r="S11" s="3" t="str">
        <x:f>IF(INDEX('C_jama.2019.10517'!$D$2:$D$4,MATCH("2019::jama.2019.10517::C001",'C_jama.2019.10517'!$A$2:$A$4,0))="","",INDEX('C_jama.2019.10517'!$D$2:$D$4,MATCH("2019::jama.2019.10517::C001",'C_jama.2019.10517'!$A$2:$A$4,0)))</x:f>
      </x:c>
      <x:c r="T11" s="3" t="str">
        <x:f>IF(INDEX('C_jama.2019.10517'!$E$2:$E$4,MATCH("2019::jama.2019.10517::C001",'C_jama.2019.10517'!$A$2:$A$4,0))="","",INDEX('C_jama.2019.10517'!$E$2:$E$4,MATCH("2019::jama.2019.10517::C001",'C_jama.2019.10517'!$A$2:$A$4,0)))</x:f>
        <x:v>statistical_results</x:v>
      </x:c>
      <x:c r="U11" s="3" t="str">
        <x:f>IF(AND(INDEX('C_jama.2019.10517'!$D$2:$D$4,MATCH("2019::jama.2019.10517::C001",'C_jama.2019.10517'!$A$2:$A$4,0))="retain",INDEX('C_jama.2019.10517'!$E$2:$E$4,MATCH("2019::jama.2019.10517::C001",'C_jama.2019.10517'!$A$2:$A$4,0))="statistical_results"),IF(INDEX('C_jama.2019.10517'!$H$2:$H$4,MATCH("2019::jama.2019.10517::C001",'C_jama.2019.10517'!$A$2:$A$4,0))="","",INDEX('C_jama.2019.10517'!$H$2:$H$4,MATCH("2019::jama.2019.10517::C001",'C_jama.2019.10517'!$A$2:$A$4,0))),"not_applicable")</x:f>
        <x:v>not_applicable</x:v>
      </x:c>
      <x:c r="V11" s="3" t="str">
        <x:f>IF(AND(INDEX('C_jama.2019.10517'!$D$2:$D$4,MATCH("2019::jama.2019.10517::C001",'C_jama.2019.10517'!$A$2:$A$4,0))="retain",INDEX('C_jama.2019.10517'!$E$2:$E$4,MATCH("2019::jama.2019.10517::C001",'C_jama.2019.10517'!$A$2:$A$4,0))="statistical_results"),IF(INDEX('C_jama.2019.10517'!$I$2:$I$4,MATCH("2019::jama.2019.10517::C001",'C_jama.2019.10517'!$A$2:$A$4,0))="","",INDEX('C_jama.2019.10517'!$I$2:$I$4,MATCH("2019::jama.2019.10517::C001",'C_jama.2019.10517'!$A$2:$A$4,0))),"not_applicable")</x:f>
        <x:v>not_applicable</x:v>
      </x:c>
      <x:c r="W11" s="3" t="str">
        <x:f>IF(AND(INDEX('C_jama.2019.10517'!$D$2:$D$4,MATCH("2019::jama.2019.10517::C001",'C_jama.2019.10517'!$A$2:$A$4,0))="retain",INDEX('C_jama.2019.10517'!$E$2:$E$4,MATCH("2019::jama.2019.10517::C001",'C_jama.2019.10517'!$A$2:$A$4,0))="statistical_results"),IF(INDEX('C_jama.2019.10517'!$J$2:$J$4,MATCH("2019::jama.2019.10517::C001",'C_jama.2019.10517'!$A$2:$A$4,0))="","",INDEX('C_jama.2019.10517'!$J$2:$J$4,MATCH("2019::jama.2019.10517::C001",'C_jama.2019.10517'!$A$2:$A$4,0))),"not_applicable")</x:f>
        <x:v>not_applicable</x:v>
      </x:c>
      <x:c r="X11" s="3" t="str">
        <x:f>IF(AND(INDEX('C_jama.2019.10517'!$D$2:$D$4,MATCH("2019::jama.2019.10517::C001",'C_jama.2019.10517'!$A$2:$A$4,0))="retain",OR(INDEX('C_jama.2019.10517'!$E$2:$E$4,MATCH("2019::jama.2019.10517::C001",'C_jama.2019.10517'!$A$2:$A$4,0))="report_internal_inconsistency",INDEX('C_jama.2019.10517'!$E$2:$E$4,MATCH("2019::jama.2019.10517::C001",'C_jama.2019.10517'!$A$2:$A$4,0))="plan_material")),IF(INDEX('C_jama.2019.10517'!$K$2:$K$4,MATCH("2019::jama.2019.10517::C001",'C_jama.2019.10517'!$A$2:$A$4,0))="","",INDEX('C_jama.2019.10517'!$K$2:$K$4,MATCH("2019::jama.2019.10517::C001",'C_jama.2019.10517'!$A$2:$A$4,0))),"not_applicable")</x:f>
        <x:v>not_applicable</x:v>
      </x:c>
      <x:c r="Y11" s="3" t="str">
        <x:f>IF(AND(INDEX('C_jama.2019.10517'!$D$2:$D$4,MATCH("2019::jama.2019.10517::C001",'C_jama.2019.10517'!$A$2:$A$4,0))="retain",INDEX('C_jama.2019.10517'!$E$2:$E$4,MATCH("2019::jama.2019.10517::C001",'C_jama.2019.10517'!$A$2:$A$4,0))="protocol_report"),IF(INDEX('C_jama.2019.10517'!$L$2:$L$4,MATCH("2019::jama.2019.10517::C001",'C_jama.2019.10517'!$A$2:$A$4,0))="","",INDEX('C_jama.2019.10517'!$L$2:$L$4,MATCH("2019::jama.2019.10517::C001",'C_jama.2019.10517'!$A$2:$A$4,0))),"not_applicable")</x:f>
        <x:v>not_applicable</x:v>
      </x:c>
      <x:c r="Z11" s="3" t="str">
        <x:f>IF(INDEX('C_jama.2019.10517'!$R$2:$R$4,MATCH("2019::jama.2019.10517::C001",'C_jama.2019.10517'!$A$2:$A$4,0))="","",INDEX('C_jama.2019.10517'!$R$2:$R$4,MATCH("2019::jama.2019.10517::C001",'C_jama.2019.10517'!$A$2:$A$4,0)))</x:f>
      </x:c>
      <x:c r="AA11" s="3" t="str">
        <x:f>IF(INDEX('C_jama.2019.10517'!$N$2:$N$4,MATCH("2019::jama.2019.10517::C001",'C_jama.2019.10517'!$A$2:$A$4,0))="","",INDEX('C_jama.2019.10517'!$N$2:$N$4,MATCH("2019::jama.2019.10517::C001",'C_jama.2019.10517'!$A$2:$A$4,0)))</x:f>
      </x:c>
      <x:c r="AB11" s="3" t="str">
        <x:f>IF(INDEX('C_jama.2019.10517'!$O$2:$O$4,MATCH("2019::jama.2019.10517::C001",'C_jama.2019.10517'!$A$2:$A$4,0))="","",INDEX('C_jama.2019.10517'!$O$2:$O$4,MATCH("2019::jama.2019.10517::C001",'C_jama.2019.10517'!$A$2:$A$4,0)))</x:f>
      </x:c>
      <x:c r="AC11" s="3" t="str">
        <x:f>IF(INDEX('C_jama.2019.10517'!$P$2:$P$4,MATCH("2019::jama.2019.10517::C001",'C_jama.2019.10517'!$A$2:$A$4,0))="","",INDEX('C_jama.2019.10517'!$P$2:$P$4,MATCH("2019::jama.2019.10517::C001",'C_jama.2019.10517'!$A$2:$A$4,0)))</x:f>
      </x:c>
      <x:c r="AD11" s="3" t="str">
        <x:f>IF(INDEX('C_jama.2019.10517'!$Q$2:$Q$4,MATCH("2019::jama.2019.10517::C001",'C_jama.2019.10517'!$A$2:$A$4,0))="","",INDEX('C_jama.2019.10517'!$Q$2:$Q$4,MATCH("2019::jama.2019.10517::C001",'C_jama.2019.10517'!$A$2:$A$4,0)))</x:f>
      </x:c>
    </x:row>
    <x:row r="12" ht="65" customHeight="1">
      <x:c r="A12" s="6" t="n">
        <x:v>2019</x:v>
      </x:c>
      <x:c r="B12" s="6" t="str">
        <x:v>jama.2019.10517</x:v>
      </x:c>
      <x:c r="C12" s="6" t="str">
        <x:v>2019::jama.2019.10517::C002</x:v>
      </x:c>
      <x:c r="D12" s="6" t="str">
        <x:v>S_C</x:v>
      </x:c>
      <x:c r="E12" s="6" t="n">
        <x:f>Setup!$B$2</x:f>
        <x:v>0</x:v>
      </x:c>
      <x:c r="F12" s="6" t="str">
        <x:f>IF(Setup!$B$4="","",Setup!$B$4)</x:f>
      </x:c>
      <x:c r="G12" s="6" t="str">
        <x:f>IFERROR(INDEX('C_jama.2019.10517'!$G$2:$G$4,MATCH("2019::jama.2019.10517::C002",'C_jama.2019.10517'!$A$2:$A$4,0)),"CHECK KEY")</x:f>
        <x:v>CHECK REVIEWER IDs</x:v>
      </x:c>
      <x:c r="H12" s="6" t="str">
        <x:f>IF(G12&lt;&gt;"FINAL READY","",IF(S12&lt;&gt;"retain","not_eligible",IF(D12="P_R","protocol_descriptive",IF(D12="P_P","plan_descriptive",IF(AND(T12="statistical_results",OR(U12="confirmed_issue",U12="probable_issue"),V12="substantive"),"primary_temporal",IF(AND(T12="report_internal_inconsistency",X12="substantive_inconsistency"),"secondary_temporal","not_eligible"))))))</x:f>
      </x:c>
      <x:c r="I12" s="6" t="str">
        <x:v>retain</x:v>
      </x:c>
      <x:c r="J12" s="6" t="str">
        <x:v>report_internal_inconsistency</x:v>
      </x:c>
      <x:c r="K12" s="6" t="str">
        <x:f>IF(Setup!$B$6="primary","",IFERROR(IF(INDEX('Primary_snapshot'!$B$2:$B$72,MATCH(C12,'Primary_snapshot'!$A$2:$A$72,0))="","",INDEX('Primary_snapshot'!$B$2:$B$72,MATCH(C12,'Primary_snapshot'!$A$2:$A$72,0))),"SNAPSHOT MISSING"))</x:f>
      </x:c>
      <x:c r="L12" s="6" t="str">
        <x:f>IF(Setup!$B$6="primary","",IFERROR(IF(INDEX('Primary_snapshot'!$C$2:$C$72,MATCH(C12,'Primary_snapshot'!$A$2:$A$72,0))="","",INDEX('Primary_snapshot'!$C$2:$C$72,MATCH(C12,'Primary_snapshot'!$A$2:$A$72,0))),"SNAPSHOT MISSING"))</x:f>
      </x:c>
      <x:c r="M12" s="6" t="str">
        <x:f>IF(Setup!$B$6="primary","",IFERROR(IF(INDEX('Primary_snapshot'!$D$2:$D$72,MATCH(C12,'Primary_snapshot'!$A$2:$A$72,0))="","",INDEX('Primary_snapshot'!$D$2:$D$72,MATCH(C12,'Primary_snapshot'!$A$2:$A$72,0))),"SNAPSHOT MISSING"))</x:f>
      </x:c>
      <x:c r="N12" s="6" t="str">
        <x:f>IF(Setup!$B$6="primary","",IFERROR(IF(INDEX('Primary_snapshot'!$E$2:$E$72,MATCH(C12,'Primary_snapshot'!$A$2:$A$72,0))="","",INDEX('Primary_snapshot'!$E$2:$E$72,MATCH(C12,'Primary_snapshot'!$A$2:$A$72,0))),"SNAPSHOT MISSING"))</x:f>
      </x:c>
      <x:c r="O12" s="6" t="str">
        <x:f>IF(Setup!$B$6="primary","",IFERROR(IF(INDEX('Primary_snapshot'!$F$2:$F$72,MATCH(C12,'Primary_snapshot'!$A$2:$A$72,0))="","",INDEX('Primary_snapshot'!$F$2:$F$72,MATCH(C12,'Primary_snapshot'!$A$2:$A$72,0))),"SNAPSHOT MISSING"))</x:f>
      </x:c>
      <x:c r="P12" s="6" t="str">
        <x:f>IF(Setup!$B$6="primary","",IFERROR(IF(INDEX('Primary_snapshot'!$G$2:$G$72,MATCH(C12,'Primary_snapshot'!$A$2:$A$72,0))="","",INDEX('Primary_snapshot'!$G$2:$G$72,MATCH(C12,'Primary_snapshot'!$A$2:$A$72,0))),"SNAPSHOT MISSING"))</x:f>
      </x:c>
      <x:c r="Q12" s="6" t="str">
        <x:f>IF(Setup!$B$6="primary","",IFERROR(IF(INDEX('Primary_snapshot'!$H$2:$H$72,MATCH(C12,'Primary_snapshot'!$A$2:$A$72,0))="","",INDEX('Primary_snapshot'!$H$2:$H$72,MATCH(C12,'Primary_snapshot'!$A$2:$A$72,0))),"SNAPSHOT MISSING"))</x:f>
      </x:c>
      <x:c r="R12" s="6" t="str">
        <x:f>IF(Setup!$B$6="primary","",IFERROR(IF(INDEX('Primary_snapshot'!$I$2:$I$72,MATCH(C12,'Primary_snapshot'!$A$2:$A$72,0))="","",INDEX('Primary_snapshot'!$I$2:$I$72,MATCH(C12,'Primary_snapshot'!$A$2:$A$72,0))),"SNAPSHOT MISSING"))</x:f>
      </x:c>
      <x:c r="S12" s="6" t="str">
        <x:f>IF(INDEX('C_jama.2019.10517'!$D$2:$D$4,MATCH("2019::jama.2019.10517::C002",'C_jama.2019.10517'!$A$2:$A$4,0))="","",INDEX('C_jama.2019.10517'!$D$2:$D$4,MATCH("2019::jama.2019.10517::C002",'C_jama.2019.10517'!$A$2:$A$4,0)))</x:f>
      </x:c>
      <x:c r="T12" s="6" t="str">
        <x:f>IF(INDEX('C_jama.2019.10517'!$E$2:$E$4,MATCH("2019::jama.2019.10517::C002",'C_jama.2019.10517'!$A$2:$A$4,0))="","",INDEX('C_jama.2019.10517'!$E$2:$E$4,MATCH("2019::jama.2019.10517::C002",'C_jama.2019.10517'!$A$2:$A$4,0)))</x:f>
        <x:v>report_internal_inconsistency</x:v>
      </x:c>
      <x:c r="U12" s="6" t="str">
        <x:f>IF(AND(INDEX('C_jama.2019.10517'!$D$2:$D$4,MATCH("2019::jama.2019.10517::C002",'C_jama.2019.10517'!$A$2:$A$4,0))="retain",INDEX('C_jama.2019.10517'!$E$2:$E$4,MATCH("2019::jama.2019.10517::C002",'C_jama.2019.10517'!$A$2:$A$4,0))="statistical_results"),IF(INDEX('C_jama.2019.10517'!$H$2:$H$4,MATCH("2019::jama.2019.10517::C002",'C_jama.2019.10517'!$A$2:$A$4,0))="","",INDEX('C_jama.2019.10517'!$H$2:$H$4,MATCH("2019::jama.2019.10517::C002",'C_jama.2019.10517'!$A$2:$A$4,0))),"not_applicable")</x:f>
        <x:v>not_applicable</x:v>
      </x:c>
      <x:c r="V12" s="6" t="str">
        <x:f>IF(AND(INDEX('C_jama.2019.10517'!$D$2:$D$4,MATCH("2019::jama.2019.10517::C002",'C_jama.2019.10517'!$A$2:$A$4,0))="retain",INDEX('C_jama.2019.10517'!$E$2:$E$4,MATCH("2019::jama.2019.10517::C002",'C_jama.2019.10517'!$A$2:$A$4,0))="statistical_results"),IF(INDEX('C_jama.2019.10517'!$I$2:$I$4,MATCH("2019::jama.2019.10517::C002",'C_jama.2019.10517'!$A$2:$A$4,0))="","",INDEX('C_jama.2019.10517'!$I$2:$I$4,MATCH("2019::jama.2019.10517::C002",'C_jama.2019.10517'!$A$2:$A$4,0))),"not_applicable")</x:f>
        <x:v>not_applicable</x:v>
      </x:c>
      <x:c r="W12" s="6" t="str">
        <x:f>IF(AND(INDEX('C_jama.2019.10517'!$D$2:$D$4,MATCH("2019::jama.2019.10517::C002",'C_jama.2019.10517'!$A$2:$A$4,0))="retain",INDEX('C_jama.2019.10517'!$E$2:$E$4,MATCH("2019::jama.2019.10517::C002",'C_jama.2019.10517'!$A$2:$A$4,0))="statistical_results"),IF(INDEX('C_jama.2019.10517'!$J$2:$J$4,MATCH("2019::jama.2019.10517::C002",'C_jama.2019.10517'!$A$2:$A$4,0))="","",INDEX('C_jama.2019.10517'!$J$2:$J$4,MATCH("2019::jama.2019.10517::C002",'C_jama.2019.10517'!$A$2:$A$4,0))),"not_applicable")</x:f>
        <x:v>not_applicable</x:v>
      </x:c>
      <x:c r="X12" s="6" t="str">
        <x:f>IF(AND(INDEX('C_jama.2019.10517'!$D$2:$D$4,MATCH("2019::jama.2019.10517::C002",'C_jama.2019.10517'!$A$2:$A$4,0))="retain",OR(INDEX('C_jama.2019.10517'!$E$2:$E$4,MATCH("2019::jama.2019.10517::C002",'C_jama.2019.10517'!$A$2:$A$4,0))="report_internal_inconsistency",INDEX('C_jama.2019.10517'!$E$2:$E$4,MATCH("2019::jama.2019.10517::C002",'C_jama.2019.10517'!$A$2:$A$4,0))="plan_material")),IF(INDEX('C_jama.2019.10517'!$K$2:$K$4,MATCH("2019::jama.2019.10517::C002",'C_jama.2019.10517'!$A$2:$A$4,0))="","",INDEX('C_jama.2019.10517'!$K$2:$K$4,MATCH("2019::jama.2019.10517::C002",'C_jama.2019.10517'!$A$2:$A$4,0))),"not_applicable")</x:f>
        <x:v>not_applicable</x:v>
      </x:c>
      <x:c r="Y12" s="6" t="str">
        <x:f>IF(AND(INDEX('C_jama.2019.10517'!$D$2:$D$4,MATCH("2019::jama.2019.10517::C002",'C_jama.2019.10517'!$A$2:$A$4,0))="retain",INDEX('C_jama.2019.10517'!$E$2:$E$4,MATCH("2019::jama.2019.10517::C002",'C_jama.2019.10517'!$A$2:$A$4,0))="protocol_report"),IF(INDEX('C_jama.2019.10517'!$L$2:$L$4,MATCH("2019::jama.2019.10517::C002",'C_jama.2019.10517'!$A$2:$A$4,0))="","",INDEX('C_jama.2019.10517'!$L$2:$L$4,MATCH("2019::jama.2019.10517::C002",'C_jama.2019.10517'!$A$2:$A$4,0))),"not_applicable")</x:f>
        <x:v>not_applicable</x:v>
      </x:c>
      <x:c r="Z12" s="6" t="str">
        <x:f>IF(INDEX('C_jama.2019.10517'!$R$2:$R$4,MATCH("2019::jama.2019.10517::C002",'C_jama.2019.10517'!$A$2:$A$4,0))="","",INDEX('C_jama.2019.10517'!$R$2:$R$4,MATCH("2019::jama.2019.10517::C002",'C_jama.2019.10517'!$A$2:$A$4,0)))</x:f>
      </x:c>
      <x:c r="AA12" s="6" t="str">
        <x:f>IF(INDEX('C_jama.2019.10517'!$N$2:$N$4,MATCH("2019::jama.2019.10517::C002",'C_jama.2019.10517'!$A$2:$A$4,0))="","",INDEX('C_jama.2019.10517'!$N$2:$N$4,MATCH("2019::jama.2019.10517::C002",'C_jama.2019.10517'!$A$2:$A$4,0)))</x:f>
      </x:c>
      <x:c r="AB12" s="6" t="str">
        <x:f>IF(INDEX('C_jama.2019.10517'!$O$2:$O$4,MATCH("2019::jama.2019.10517::C002",'C_jama.2019.10517'!$A$2:$A$4,0))="","",INDEX('C_jama.2019.10517'!$O$2:$O$4,MATCH("2019::jama.2019.10517::C002",'C_jama.2019.10517'!$A$2:$A$4,0)))</x:f>
      </x:c>
      <x:c r="AC12" s="6" t="str">
        <x:f>IF(INDEX('C_jama.2019.10517'!$P$2:$P$4,MATCH("2019::jama.2019.10517::C002",'C_jama.2019.10517'!$A$2:$A$4,0))="","",INDEX('C_jama.2019.10517'!$P$2:$P$4,MATCH("2019::jama.2019.10517::C002",'C_jama.2019.10517'!$A$2:$A$4,0)))</x:f>
      </x:c>
      <x:c r="AD12" s="6" t="str">
        <x:f>IF(INDEX('C_jama.2019.10517'!$Q$2:$Q$4,MATCH("2019::jama.2019.10517::C002",'C_jama.2019.10517'!$A$2:$A$4,0))="","",INDEX('C_jama.2019.10517'!$Q$2:$Q$4,MATCH("2019::jama.2019.10517::C002",'C_jama.2019.10517'!$A$2:$A$4,0)))</x:f>
      </x:c>
    </x:row>
    <x:row r="13" ht="65" customHeight="1">
      <x:c r="A13" s="3" t="n">
        <x:v>2019</x:v>
      </x:c>
      <x:c r="B13" s="3" t="str">
        <x:v>jama.2019.10517</x:v>
      </x:c>
      <x:c r="C13" s="3" t="str">
        <x:v>2019::jama.2019.10517::C003</x:v>
      </x:c>
      <x:c r="D13" s="3" t="str">
        <x:v>P_P</x:v>
      </x:c>
      <x:c r="E13" s="3" t="n">
        <x:f>Setup!$B$2</x:f>
        <x:v>0</x:v>
      </x:c>
      <x:c r="F13" s="3" t="str">
        <x:f>IF(Setup!$B$4="","",Setup!$B$4)</x:f>
      </x:c>
      <x:c r="G13" s="3" t="str">
        <x:f>IFERROR(INDEX('C_jama.2019.10517'!$G$2:$G$4,MATCH("2019::jama.2019.10517::C003",'C_jama.2019.10517'!$A$2:$A$4,0)),"CHECK KEY")</x:f>
        <x:v>CHECK REVIEWER IDs</x:v>
      </x:c>
      <x:c r="H13" s="3" t="str">
        <x:f>IF(G13&lt;&gt;"FINAL READY","",IF(S13&lt;&gt;"retain","not_eligible",IF(D13="P_R","protocol_descriptive",IF(D13="P_P","plan_descriptive",IF(AND(T13="statistical_results",OR(U13="confirmed_issue",U13="probable_issue"),V13="substantive"),"primary_temporal",IF(AND(T13="report_internal_inconsistency",X13="substantive_inconsistency"),"secondary_temporal","not_eligible"))))))</x:f>
      </x:c>
      <x:c r="I13" s="3" t="str">
        <x:v>retain</x:v>
      </x:c>
      <x:c r="J13" s="3" t="str">
        <x:v>plan_material</x:v>
      </x:c>
      <x:c r="K13" s="3" t="str">
        <x:f>IF(Setup!$B$6="primary","",IFERROR(IF(INDEX('Primary_snapshot'!$B$2:$B$72,MATCH(C13,'Primary_snapshot'!$A$2:$A$72,0))="","",INDEX('Primary_snapshot'!$B$2:$B$72,MATCH(C13,'Primary_snapshot'!$A$2:$A$72,0))),"SNAPSHOT MISSING"))</x:f>
      </x:c>
      <x:c r="L13" s="3" t="str">
        <x:f>IF(Setup!$B$6="primary","",IFERROR(IF(INDEX('Primary_snapshot'!$C$2:$C$72,MATCH(C13,'Primary_snapshot'!$A$2:$A$72,0))="","",INDEX('Primary_snapshot'!$C$2:$C$72,MATCH(C13,'Primary_snapshot'!$A$2:$A$72,0))),"SNAPSHOT MISSING"))</x:f>
      </x:c>
      <x:c r="M13" s="3" t="str">
        <x:f>IF(Setup!$B$6="primary","",IFERROR(IF(INDEX('Primary_snapshot'!$D$2:$D$72,MATCH(C13,'Primary_snapshot'!$A$2:$A$72,0))="","",INDEX('Primary_snapshot'!$D$2:$D$72,MATCH(C13,'Primary_snapshot'!$A$2:$A$72,0))),"SNAPSHOT MISSING"))</x:f>
      </x:c>
      <x:c r="N13" s="3" t="str">
        <x:f>IF(Setup!$B$6="primary","",IFERROR(IF(INDEX('Primary_snapshot'!$E$2:$E$72,MATCH(C13,'Primary_snapshot'!$A$2:$A$72,0))="","",INDEX('Primary_snapshot'!$E$2:$E$72,MATCH(C13,'Primary_snapshot'!$A$2:$A$72,0))),"SNAPSHOT MISSING"))</x:f>
      </x:c>
      <x:c r="O13" s="3" t="str">
        <x:f>IF(Setup!$B$6="primary","",IFERROR(IF(INDEX('Primary_snapshot'!$F$2:$F$72,MATCH(C13,'Primary_snapshot'!$A$2:$A$72,0))="","",INDEX('Primary_snapshot'!$F$2:$F$72,MATCH(C13,'Primary_snapshot'!$A$2:$A$72,0))),"SNAPSHOT MISSING"))</x:f>
      </x:c>
      <x:c r="P13" s="3" t="str">
        <x:f>IF(Setup!$B$6="primary","",IFERROR(IF(INDEX('Primary_snapshot'!$G$2:$G$72,MATCH(C13,'Primary_snapshot'!$A$2:$A$72,0))="","",INDEX('Primary_snapshot'!$G$2:$G$72,MATCH(C13,'Primary_snapshot'!$A$2:$A$72,0))),"SNAPSHOT MISSING"))</x:f>
      </x:c>
      <x:c r="Q13" s="3" t="str">
        <x:f>IF(Setup!$B$6="primary","",IFERROR(IF(INDEX('Primary_snapshot'!$H$2:$H$72,MATCH(C13,'Primary_snapshot'!$A$2:$A$72,0))="","",INDEX('Primary_snapshot'!$H$2:$H$72,MATCH(C13,'Primary_snapshot'!$A$2:$A$72,0))),"SNAPSHOT MISSING"))</x:f>
      </x:c>
      <x:c r="R13" s="3" t="str">
        <x:f>IF(Setup!$B$6="primary","",IFERROR(IF(INDEX('Primary_snapshot'!$I$2:$I$72,MATCH(C13,'Primary_snapshot'!$A$2:$A$72,0))="","",INDEX('Primary_snapshot'!$I$2:$I$72,MATCH(C13,'Primary_snapshot'!$A$2:$A$72,0))),"SNAPSHOT MISSING"))</x:f>
      </x:c>
      <x:c r="S13" s="3" t="str">
        <x:f>IF(INDEX('C_jama.2019.10517'!$D$2:$D$4,MATCH("2019::jama.2019.10517::C003",'C_jama.2019.10517'!$A$2:$A$4,0))="","",INDEX('C_jama.2019.10517'!$D$2:$D$4,MATCH("2019::jama.2019.10517::C003",'C_jama.2019.10517'!$A$2:$A$4,0)))</x:f>
      </x:c>
      <x:c r="T13" s="3" t="str">
        <x:f>IF(INDEX('C_jama.2019.10517'!$E$2:$E$4,MATCH("2019::jama.2019.10517::C003",'C_jama.2019.10517'!$A$2:$A$4,0))="","",INDEX('C_jama.2019.10517'!$E$2:$E$4,MATCH("2019::jama.2019.10517::C003",'C_jama.2019.10517'!$A$2:$A$4,0)))</x:f>
        <x:v>plan_material</x:v>
      </x:c>
      <x:c r="U13" s="3" t="str">
        <x:f>IF(AND(INDEX('C_jama.2019.10517'!$D$2:$D$4,MATCH("2019::jama.2019.10517::C003",'C_jama.2019.10517'!$A$2:$A$4,0))="retain",INDEX('C_jama.2019.10517'!$E$2:$E$4,MATCH("2019::jama.2019.10517::C003",'C_jama.2019.10517'!$A$2:$A$4,0))="statistical_results"),IF(INDEX('C_jama.2019.10517'!$H$2:$H$4,MATCH("2019::jama.2019.10517::C003",'C_jama.2019.10517'!$A$2:$A$4,0))="","",INDEX('C_jama.2019.10517'!$H$2:$H$4,MATCH("2019::jama.2019.10517::C003",'C_jama.2019.10517'!$A$2:$A$4,0))),"not_applicable")</x:f>
        <x:v>not_applicable</x:v>
      </x:c>
      <x:c r="V13" s="3" t="str">
        <x:f>IF(AND(INDEX('C_jama.2019.10517'!$D$2:$D$4,MATCH("2019::jama.2019.10517::C003",'C_jama.2019.10517'!$A$2:$A$4,0))="retain",INDEX('C_jama.2019.10517'!$E$2:$E$4,MATCH("2019::jama.2019.10517::C003",'C_jama.2019.10517'!$A$2:$A$4,0))="statistical_results"),IF(INDEX('C_jama.2019.10517'!$I$2:$I$4,MATCH("2019::jama.2019.10517::C003",'C_jama.2019.10517'!$A$2:$A$4,0))="","",INDEX('C_jama.2019.10517'!$I$2:$I$4,MATCH("2019::jama.2019.10517::C003",'C_jama.2019.10517'!$A$2:$A$4,0))),"not_applicable")</x:f>
        <x:v>not_applicable</x:v>
      </x:c>
      <x:c r="W13" s="3" t="str">
        <x:f>IF(AND(INDEX('C_jama.2019.10517'!$D$2:$D$4,MATCH("2019::jama.2019.10517::C003",'C_jama.2019.10517'!$A$2:$A$4,0))="retain",INDEX('C_jama.2019.10517'!$E$2:$E$4,MATCH("2019::jama.2019.10517::C003",'C_jama.2019.10517'!$A$2:$A$4,0))="statistical_results"),IF(INDEX('C_jama.2019.10517'!$J$2:$J$4,MATCH("2019::jama.2019.10517::C003",'C_jama.2019.10517'!$A$2:$A$4,0))="","",INDEX('C_jama.2019.10517'!$J$2:$J$4,MATCH("2019::jama.2019.10517::C003",'C_jama.2019.10517'!$A$2:$A$4,0))),"not_applicable")</x:f>
        <x:v>not_applicable</x:v>
      </x:c>
      <x:c r="X13" s="3" t="str">
        <x:f>IF(AND(INDEX('C_jama.2019.10517'!$D$2:$D$4,MATCH("2019::jama.2019.10517::C003",'C_jama.2019.10517'!$A$2:$A$4,0))="retain",OR(INDEX('C_jama.2019.10517'!$E$2:$E$4,MATCH("2019::jama.2019.10517::C003",'C_jama.2019.10517'!$A$2:$A$4,0))="report_internal_inconsistency",INDEX('C_jama.2019.10517'!$E$2:$E$4,MATCH("2019::jama.2019.10517::C003",'C_jama.2019.10517'!$A$2:$A$4,0))="plan_material")),IF(INDEX('C_jama.2019.10517'!$K$2:$K$4,MATCH("2019::jama.2019.10517::C003",'C_jama.2019.10517'!$A$2:$A$4,0))="","",INDEX('C_jama.2019.10517'!$K$2:$K$4,MATCH("2019::jama.2019.10517::C003",'C_jama.2019.10517'!$A$2:$A$4,0))),"not_applicable")</x:f>
        <x:v>not_applicable</x:v>
      </x:c>
      <x:c r="Y13" s="3" t="str">
        <x:f>IF(AND(INDEX('C_jama.2019.10517'!$D$2:$D$4,MATCH("2019::jama.2019.10517::C003",'C_jama.2019.10517'!$A$2:$A$4,0))="retain",INDEX('C_jama.2019.10517'!$E$2:$E$4,MATCH("2019::jama.2019.10517::C003",'C_jama.2019.10517'!$A$2:$A$4,0))="protocol_report"),IF(INDEX('C_jama.2019.10517'!$L$2:$L$4,MATCH("2019::jama.2019.10517::C003",'C_jama.2019.10517'!$A$2:$A$4,0))="","",INDEX('C_jama.2019.10517'!$L$2:$L$4,MATCH("2019::jama.2019.10517::C003",'C_jama.2019.10517'!$A$2:$A$4,0))),"not_applicable")</x:f>
        <x:v>not_applicable</x:v>
      </x:c>
      <x:c r="Z13" s="3" t="str">
        <x:f>IF(INDEX('C_jama.2019.10517'!$R$2:$R$4,MATCH("2019::jama.2019.10517::C003",'C_jama.2019.10517'!$A$2:$A$4,0))="","",INDEX('C_jama.2019.10517'!$R$2:$R$4,MATCH("2019::jama.2019.10517::C003",'C_jama.2019.10517'!$A$2:$A$4,0)))</x:f>
      </x:c>
      <x:c r="AA13" s="3" t="str">
        <x:f>IF(INDEX('C_jama.2019.10517'!$N$2:$N$4,MATCH("2019::jama.2019.10517::C003",'C_jama.2019.10517'!$A$2:$A$4,0))="","",INDEX('C_jama.2019.10517'!$N$2:$N$4,MATCH("2019::jama.2019.10517::C003",'C_jama.2019.10517'!$A$2:$A$4,0)))</x:f>
      </x:c>
      <x:c r="AB13" s="3" t="str">
        <x:f>IF(INDEX('C_jama.2019.10517'!$O$2:$O$4,MATCH("2019::jama.2019.10517::C003",'C_jama.2019.10517'!$A$2:$A$4,0))="","",INDEX('C_jama.2019.10517'!$O$2:$O$4,MATCH("2019::jama.2019.10517::C003",'C_jama.2019.10517'!$A$2:$A$4,0)))</x:f>
      </x:c>
      <x:c r="AC13" s="3" t="str">
        <x:f>IF(INDEX('C_jama.2019.10517'!$P$2:$P$4,MATCH("2019::jama.2019.10517::C003",'C_jama.2019.10517'!$A$2:$A$4,0))="","",INDEX('C_jama.2019.10517'!$P$2:$P$4,MATCH("2019::jama.2019.10517::C003",'C_jama.2019.10517'!$A$2:$A$4,0)))</x:f>
      </x:c>
      <x:c r="AD13" s="3" t="str">
        <x:f>IF(INDEX('C_jama.2019.10517'!$Q$2:$Q$4,MATCH("2019::jama.2019.10517::C003",'C_jama.2019.10517'!$A$2:$A$4,0))="","",INDEX('C_jama.2019.10517'!$Q$2:$Q$4,MATCH("2019::jama.2019.10517::C003",'C_jama.2019.10517'!$A$2:$A$4,0)))</x:f>
      </x:c>
    </x:row>
    <x:row r="14" ht="65" customHeight="1">
      <x:c r="A14" s="6" t="n">
        <x:v>2019</x:v>
      </x:c>
      <x:c r="B14" s="6" t="str">
        <x:v>jama.2019.12618</x:v>
      </x:c>
      <x:c r="C14" s="6" t="str">
        <x:v>2019::jama.2019.12618::C001</x:v>
      </x:c>
      <x:c r="D14" s="6" t="str">
        <x:v>P_P</x:v>
      </x:c>
      <x:c r="E14" s="6" t="n">
        <x:f>Setup!$B$2</x:f>
        <x:v>0</x:v>
      </x:c>
      <x:c r="F14" s="6" t="str">
        <x:f>IF(Setup!$B$4="","",Setup!$B$4)</x:f>
      </x:c>
      <x:c r="G14" s="6" t="str">
        <x:f>IFERROR(INDEX('C_jama.2019.12618'!$G$2:$G$9,MATCH("2019::jama.2019.12618::C001",'C_jama.2019.12618'!$A$2:$A$9,0)),"CHECK KEY")</x:f>
        <x:v>CHECK REVIEWER IDs</x:v>
      </x:c>
      <x:c r="H14" s="6" t="str">
        <x:f>IF(G14&lt;&gt;"FINAL READY","",IF(S14&lt;&gt;"retain","not_eligible",IF(D14="P_R","protocol_descriptive",IF(D14="P_P","plan_descriptive",IF(AND(T14="statistical_results",OR(U14="confirmed_issue",U14="probable_issue"),V14="substantive"),"primary_temporal",IF(AND(T14="report_internal_inconsistency",X14="substantive_inconsistency"),"secondary_temporal","not_eligible"))))))</x:f>
      </x:c>
      <x:c r="I14" s="6" t="str">
        <x:v>retain</x:v>
      </x:c>
      <x:c r="J14" s="6" t="str">
        <x:v>plan_material</x:v>
      </x:c>
      <x:c r="K14" s="6" t="str">
        <x:f>IF(Setup!$B$6="primary","",IFERROR(IF(INDEX('Primary_snapshot'!$B$2:$B$72,MATCH(C14,'Primary_snapshot'!$A$2:$A$72,0))="","",INDEX('Primary_snapshot'!$B$2:$B$72,MATCH(C14,'Primary_snapshot'!$A$2:$A$72,0))),"SNAPSHOT MISSING"))</x:f>
      </x:c>
      <x:c r="L14" s="6" t="str">
        <x:f>IF(Setup!$B$6="primary","",IFERROR(IF(INDEX('Primary_snapshot'!$C$2:$C$72,MATCH(C14,'Primary_snapshot'!$A$2:$A$72,0))="","",INDEX('Primary_snapshot'!$C$2:$C$72,MATCH(C14,'Primary_snapshot'!$A$2:$A$72,0))),"SNAPSHOT MISSING"))</x:f>
      </x:c>
      <x:c r="M14" s="6" t="str">
        <x:f>IF(Setup!$B$6="primary","",IFERROR(IF(INDEX('Primary_snapshot'!$D$2:$D$72,MATCH(C14,'Primary_snapshot'!$A$2:$A$72,0))="","",INDEX('Primary_snapshot'!$D$2:$D$72,MATCH(C14,'Primary_snapshot'!$A$2:$A$72,0))),"SNAPSHOT MISSING"))</x:f>
      </x:c>
      <x:c r="N14" s="6" t="str">
        <x:f>IF(Setup!$B$6="primary","",IFERROR(IF(INDEX('Primary_snapshot'!$E$2:$E$72,MATCH(C14,'Primary_snapshot'!$A$2:$A$72,0))="","",INDEX('Primary_snapshot'!$E$2:$E$72,MATCH(C14,'Primary_snapshot'!$A$2:$A$72,0))),"SNAPSHOT MISSING"))</x:f>
      </x:c>
      <x:c r="O14" s="6" t="str">
        <x:f>IF(Setup!$B$6="primary","",IFERROR(IF(INDEX('Primary_snapshot'!$F$2:$F$72,MATCH(C14,'Primary_snapshot'!$A$2:$A$72,0))="","",INDEX('Primary_snapshot'!$F$2:$F$72,MATCH(C14,'Primary_snapshot'!$A$2:$A$72,0))),"SNAPSHOT MISSING"))</x:f>
      </x:c>
      <x:c r="P14" s="6" t="str">
        <x:f>IF(Setup!$B$6="primary","",IFERROR(IF(INDEX('Primary_snapshot'!$G$2:$G$72,MATCH(C14,'Primary_snapshot'!$A$2:$A$72,0))="","",INDEX('Primary_snapshot'!$G$2:$G$72,MATCH(C14,'Primary_snapshot'!$A$2:$A$72,0))),"SNAPSHOT MISSING"))</x:f>
      </x:c>
      <x:c r="Q14" s="6" t="str">
        <x:f>IF(Setup!$B$6="primary","",IFERROR(IF(INDEX('Primary_snapshot'!$H$2:$H$72,MATCH(C14,'Primary_snapshot'!$A$2:$A$72,0))="","",INDEX('Primary_snapshot'!$H$2:$H$72,MATCH(C14,'Primary_snapshot'!$A$2:$A$72,0))),"SNAPSHOT MISSING"))</x:f>
      </x:c>
      <x:c r="R14" s="6" t="str">
        <x:f>IF(Setup!$B$6="primary","",IFERROR(IF(INDEX('Primary_snapshot'!$I$2:$I$72,MATCH(C14,'Primary_snapshot'!$A$2:$A$72,0))="","",INDEX('Primary_snapshot'!$I$2:$I$72,MATCH(C14,'Primary_snapshot'!$A$2:$A$72,0))),"SNAPSHOT MISSING"))</x:f>
      </x:c>
      <x:c r="S14" s="6" t="str">
        <x:f>IF(INDEX('C_jama.2019.12618'!$D$2:$D$9,MATCH("2019::jama.2019.12618::C001",'C_jama.2019.12618'!$A$2:$A$9,0))="","",INDEX('C_jama.2019.12618'!$D$2:$D$9,MATCH("2019::jama.2019.12618::C001",'C_jama.2019.12618'!$A$2:$A$9,0)))</x:f>
      </x:c>
      <x:c r="T14" s="6" t="str">
        <x:f>IF(INDEX('C_jama.2019.12618'!$E$2:$E$9,MATCH("2019::jama.2019.12618::C001",'C_jama.2019.12618'!$A$2:$A$9,0))="","",INDEX('C_jama.2019.12618'!$E$2:$E$9,MATCH("2019::jama.2019.12618::C001",'C_jama.2019.12618'!$A$2:$A$9,0)))</x:f>
        <x:v>plan_material</x:v>
      </x:c>
      <x:c r="U14" s="6" t="str">
        <x:f>IF(AND(INDEX('C_jama.2019.12618'!$D$2:$D$9,MATCH("2019::jama.2019.12618::C001",'C_jama.2019.12618'!$A$2:$A$9,0))="retain",INDEX('C_jama.2019.12618'!$E$2:$E$9,MATCH("2019::jama.2019.12618::C001",'C_jama.2019.12618'!$A$2:$A$9,0))="statistical_results"),IF(INDEX('C_jama.2019.12618'!$H$2:$H$9,MATCH("2019::jama.2019.12618::C001",'C_jama.2019.12618'!$A$2:$A$9,0))="","",INDEX('C_jama.2019.12618'!$H$2:$H$9,MATCH("2019::jama.2019.12618::C001",'C_jama.2019.12618'!$A$2:$A$9,0))),"not_applicable")</x:f>
        <x:v>not_applicable</x:v>
      </x:c>
      <x:c r="V14" s="6" t="str">
        <x:f>IF(AND(INDEX('C_jama.2019.12618'!$D$2:$D$9,MATCH("2019::jama.2019.12618::C001",'C_jama.2019.12618'!$A$2:$A$9,0))="retain",INDEX('C_jama.2019.12618'!$E$2:$E$9,MATCH("2019::jama.2019.12618::C001",'C_jama.2019.12618'!$A$2:$A$9,0))="statistical_results"),IF(INDEX('C_jama.2019.12618'!$I$2:$I$9,MATCH("2019::jama.2019.12618::C001",'C_jama.2019.12618'!$A$2:$A$9,0))="","",INDEX('C_jama.2019.12618'!$I$2:$I$9,MATCH("2019::jama.2019.12618::C001",'C_jama.2019.12618'!$A$2:$A$9,0))),"not_applicable")</x:f>
        <x:v>not_applicable</x:v>
      </x:c>
      <x:c r="W14" s="6" t="str">
        <x:f>IF(AND(INDEX('C_jama.2019.12618'!$D$2:$D$9,MATCH("2019::jama.2019.12618::C001",'C_jama.2019.12618'!$A$2:$A$9,0))="retain",INDEX('C_jama.2019.12618'!$E$2:$E$9,MATCH("2019::jama.2019.12618::C001",'C_jama.2019.12618'!$A$2:$A$9,0))="statistical_results"),IF(INDEX('C_jama.2019.12618'!$J$2:$J$9,MATCH("2019::jama.2019.12618::C001",'C_jama.2019.12618'!$A$2:$A$9,0))="","",INDEX('C_jama.2019.12618'!$J$2:$J$9,MATCH("2019::jama.2019.12618::C001",'C_jama.2019.12618'!$A$2:$A$9,0))),"not_applicable")</x:f>
        <x:v>not_applicable</x:v>
      </x:c>
      <x:c r="X14" s="6" t="str">
        <x:f>IF(AND(INDEX('C_jama.2019.12618'!$D$2:$D$9,MATCH("2019::jama.2019.12618::C001",'C_jama.2019.12618'!$A$2:$A$9,0))="retain",OR(INDEX('C_jama.2019.12618'!$E$2:$E$9,MATCH("2019::jama.2019.12618::C001",'C_jama.2019.12618'!$A$2:$A$9,0))="report_internal_inconsistency",INDEX('C_jama.2019.12618'!$E$2:$E$9,MATCH("2019::jama.2019.12618::C001",'C_jama.2019.12618'!$A$2:$A$9,0))="plan_material")),IF(INDEX('C_jama.2019.12618'!$K$2:$K$9,MATCH("2019::jama.2019.12618::C001",'C_jama.2019.12618'!$A$2:$A$9,0))="","",INDEX('C_jama.2019.12618'!$K$2:$K$9,MATCH("2019::jama.2019.12618::C001",'C_jama.2019.12618'!$A$2:$A$9,0))),"not_applicable")</x:f>
        <x:v>not_applicable</x:v>
      </x:c>
      <x:c r="Y14" s="6" t="str">
        <x:f>IF(AND(INDEX('C_jama.2019.12618'!$D$2:$D$9,MATCH("2019::jama.2019.12618::C001",'C_jama.2019.12618'!$A$2:$A$9,0))="retain",INDEX('C_jama.2019.12618'!$E$2:$E$9,MATCH("2019::jama.2019.12618::C001",'C_jama.2019.12618'!$A$2:$A$9,0))="protocol_report"),IF(INDEX('C_jama.2019.12618'!$L$2:$L$9,MATCH("2019::jama.2019.12618::C001",'C_jama.2019.12618'!$A$2:$A$9,0))="","",INDEX('C_jama.2019.12618'!$L$2:$L$9,MATCH("2019::jama.2019.12618::C001",'C_jama.2019.12618'!$A$2:$A$9,0))),"not_applicable")</x:f>
        <x:v>not_applicable</x:v>
      </x:c>
      <x:c r="Z14" s="6" t="str">
        <x:f>IF(INDEX('C_jama.2019.12618'!$R$2:$R$9,MATCH("2019::jama.2019.12618::C001",'C_jama.2019.12618'!$A$2:$A$9,0))="","",INDEX('C_jama.2019.12618'!$R$2:$R$9,MATCH("2019::jama.2019.12618::C001",'C_jama.2019.12618'!$A$2:$A$9,0)))</x:f>
      </x:c>
      <x:c r="AA14" s="6" t="str">
        <x:f>IF(INDEX('C_jama.2019.12618'!$N$2:$N$9,MATCH("2019::jama.2019.12618::C001",'C_jama.2019.12618'!$A$2:$A$9,0))="","",INDEX('C_jama.2019.12618'!$N$2:$N$9,MATCH("2019::jama.2019.12618::C001",'C_jama.2019.12618'!$A$2:$A$9,0)))</x:f>
      </x:c>
      <x:c r="AB14" s="6" t="str">
        <x:f>IF(INDEX('C_jama.2019.12618'!$O$2:$O$9,MATCH("2019::jama.2019.12618::C001",'C_jama.2019.12618'!$A$2:$A$9,0))="","",INDEX('C_jama.2019.12618'!$O$2:$O$9,MATCH("2019::jama.2019.12618::C001",'C_jama.2019.12618'!$A$2:$A$9,0)))</x:f>
      </x:c>
      <x:c r="AC14" s="6" t="str">
        <x:f>IF(INDEX('C_jama.2019.12618'!$P$2:$P$9,MATCH("2019::jama.2019.12618::C001",'C_jama.2019.12618'!$A$2:$A$9,0))="","",INDEX('C_jama.2019.12618'!$P$2:$P$9,MATCH("2019::jama.2019.12618::C001",'C_jama.2019.12618'!$A$2:$A$9,0)))</x:f>
      </x:c>
      <x:c r="AD14" s="6" t="str">
        <x:f>IF(INDEX('C_jama.2019.12618'!$Q$2:$Q$9,MATCH("2019::jama.2019.12618::C001",'C_jama.2019.12618'!$A$2:$A$9,0))="","",INDEX('C_jama.2019.12618'!$Q$2:$Q$9,MATCH("2019::jama.2019.12618::C001",'C_jama.2019.12618'!$A$2:$A$9,0)))</x:f>
      </x:c>
    </x:row>
    <x:row r="15" ht="65" customHeight="1">
      <x:c r="A15" s="3" t="n">
        <x:v>2019</x:v>
      </x:c>
      <x:c r="B15" s="3" t="str">
        <x:v>jama.2019.12618</x:v>
      </x:c>
      <x:c r="C15" s="3" t="str">
        <x:v>2019::jama.2019.12618::C002</x:v>
      </x:c>
      <x:c r="D15" s="3" t="str">
        <x:v>S_W</x:v>
      </x:c>
      <x:c r="E15" s="3" t="n">
        <x:f>Setup!$B$2</x:f>
        <x:v>0</x:v>
      </x:c>
      <x:c r="F15" s="3" t="str">
        <x:f>IF(Setup!$B$4="","",Setup!$B$4)</x:f>
      </x:c>
      <x:c r="G15" s="3" t="str">
        <x:f>IFERROR(INDEX('C_jama.2019.12618'!$G$2:$G$9,MATCH("2019::jama.2019.12618::C002",'C_jama.2019.12618'!$A$2:$A$9,0)),"CHECK KEY")</x:f>
        <x:v>CHECK REVIEWER IDs</x:v>
      </x:c>
      <x:c r="H15" s="3" t="str">
        <x:f>IF(G15&lt;&gt;"FINAL READY","",IF(S15&lt;&gt;"retain","not_eligible",IF(D15="P_R","protocol_descriptive",IF(D15="P_P","plan_descriptive",IF(AND(T15="statistical_results",OR(U15="confirmed_issue",U15="probable_issue"),V15="substantive"),"primary_temporal",IF(AND(T15="report_internal_inconsistency",X15="substantive_inconsistency"),"secondary_temporal","not_eligible"))))))</x:f>
      </x:c>
      <x:c r="I15" s="3" t="str">
        <x:v>retain</x:v>
      </x:c>
      <x:c r="J15" s="3" t="str">
        <x:v>statistical_results</x:v>
      </x:c>
      <x:c r="K15" s="3" t="str">
        <x:f>IF(Setup!$B$6="primary","",IFERROR(IF(INDEX('Primary_snapshot'!$B$2:$B$72,MATCH(C15,'Primary_snapshot'!$A$2:$A$72,0))="","",INDEX('Primary_snapshot'!$B$2:$B$72,MATCH(C15,'Primary_snapshot'!$A$2:$A$72,0))),"SNAPSHOT MISSING"))</x:f>
      </x:c>
      <x:c r="L15" s="3" t="str">
        <x:f>IF(Setup!$B$6="primary","",IFERROR(IF(INDEX('Primary_snapshot'!$C$2:$C$72,MATCH(C15,'Primary_snapshot'!$A$2:$A$72,0))="","",INDEX('Primary_snapshot'!$C$2:$C$72,MATCH(C15,'Primary_snapshot'!$A$2:$A$72,0))),"SNAPSHOT MISSING"))</x:f>
      </x:c>
      <x:c r="M15" s="3" t="str">
        <x:f>IF(Setup!$B$6="primary","",IFERROR(IF(INDEX('Primary_snapshot'!$D$2:$D$72,MATCH(C15,'Primary_snapshot'!$A$2:$A$72,0))="","",INDEX('Primary_snapshot'!$D$2:$D$72,MATCH(C15,'Primary_snapshot'!$A$2:$A$72,0))),"SNAPSHOT MISSING"))</x:f>
      </x:c>
      <x:c r="N15" s="3" t="str">
        <x:f>IF(Setup!$B$6="primary","",IFERROR(IF(INDEX('Primary_snapshot'!$E$2:$E$72,MATCH(C15,'Primary_snapshot'!$A$2:$A$72,0))="","",INDEX('Primary_snapshot'!$E$2:$E$72,MATCH(C15,'Primary_snapshot'!$A$2:$A$72,0))),"SNAPSHOT MISSING"))</x:f>
      </x:c>
      <x:c r="O15" s="3" t="str">
        <x:f>IF(Setup!$B$6="primary","",IFERROR(IF(INDEX('Primary_snapshot'!$F$2:$F$72,MATCH(C15,'Primary_snapshot'!$A$2:$A$72,0))="","",INDEX('Primary_snapshot'!$F$2:$F$72,MATCH(C15,'Primary_snapshot'!$A$2:$A$72,0))),"SNAPSHOT MISSING"))</x:f>
      </x:c>
      <x:c r="P15" s="3" t="str">
        <x:f>IF(Setup!$B$6="primary","",IFERROR(IF(INDEX('Primary_snapshot'!$G$2:$G$72,MATCH(C15,'Primary_snapshot'!$A$2:$A$72,0))="","",INDEX('Primary_snapshot'!$G$2:$G$72,MATCH(C15,'Primary_snapshot'!$A$2:$A$72,0))),"SNAPSHOT MISSING"))</x:f>
      </x:c>
      <x:c r="Q15" s="3" t="str">
        <x:f>IF(Setup!$B$6="primary","",IFERROR(IF(INDEX('Primary_snapshot'!$H$2:$H$72,MATCH(C15,'Primary_snapshot'!$A$2:$A$72,0))="","",INDEX('Primary_snapshot'!$H$2:$H$72,MATCH(C15,'Primary_snapshot'!$A$2:$A$72,0))),"SNAPSHOT MISSING"))</x:f>
      </x:c>
      <x:c r="R15" s="3" t="str">
        <x:f>IF(Setup!$B$6="primary","",IFERROR(IF(INDEX('Primary_snapshot'!$I$2:$I$72,MATCH(C15,'Primary_snapshot'!$A$2:$A$72,0))="","",INDEX('Primary_snapshot'!$I$2:$I$72,MATCH(C15,'Primary_snapshot'!$A$2:$A$72,0))),"SNAPSHOT MISSING"))</x:f>
      </x:c>
      <x:c r="S15" s="3" t="str">
        <x:f>IF(INDEX('C_jama.2019.12618'!$D$2:$D$9,MATCH("2019::jama.2019.12618::C002",'C_jama.2019.12618'!$A$2:$A$9,0))="","",INDEX('C_jama.2019.12618'!$D$2:$D$9,MATCH("2019::jama.2019.12618::C002",'C_jama.2019.12618'!$A$2:$A$9,0)))</x:f>
      </x:c>
      <x:c r="T15" s="3" t="str">
        <x:f>IF(INDEX('C_jama.2019.12618'!$E$2:$E$9,MATCH("2019::jama.2019.12618::C002",'C_jama.2019.12618'!$A$2:$A$9,0))="","",INDEX('C_jama.2019.12618'!$E$2:$E$9,MATCH("2019::jama.2019.12618::C002",'C_jama.2019.12618'!$A$2:$A$9,0)))</x:f>
        <x:v>statistical_results</x:v>
      </x:c>
      <x:c r="U15" s="3" t="str">
        <x:f>IF(AND(INDEX('C_jama.2019.12618'!$D$2:$D$9,MATCH("2019::jama.2019.12618::C002",'C_jama.2019.12618'!$A$2:$A$9,0))="retain",INDEX('C_jama.2019.12618'!$E$2:$E$9,MATCH("2019::jama.2019.12618::C002",'C_jama.2019.12618'!$A$2:$A$9,0))="statistical_results"),IF(INDEX('C_jama.2019.12618'!$H$2:$H$9,MATCH("2019::jama.2019.12618::C002",'C_jama.2019.12618'!$A$2:$A$9,0))="","",INDEX('C_jama.2019.12618'!$H$2:$H$9,MATCH("2019::jama.2019.12618::C002",'C_jama.2019.12618'!$A$2:$A$9,0))),"not_applicable")</x:f>
        <x:v>not_applicable</x:v>
      </x:c>
      <x:c r="V15" s="3" t="str">
        <x:f>IF(AND(INDEX('C_jama.2019.12618'!$D$2:$D$9,MATCH("2019::jama.2019.12618::C002",'C_jama.2019.12618'!$A$2:$A$9,0))="retain",INDEX('C_jama.2019.12618'!$E$2:$E$9,MATCH("2019::jama.2019.12618::C002",'C_jama.2019.12618'!$A$2:$A$9,0))="statistical_results"),IF(INDEX('C_jama.2019.12618'!$I$2:$I$9,MATCH("2019::jama.2019.12618::C002",'C_jama.2019.12618'!$A$2:$A$9,0))="","",INDEX('C_jama.2019.12618'!$I$2:$I$9,MATCH("2019::jama.2019.12618::C002",'C_jama.2019.12618'!$A$2:$A$9,0))),"not_applicable")</x:f>
        <x:v>not_applicable</x:v>
      </x:c>
      <x:c r="W15" s="3" t="str">
        <x:f>IF(AND(INDEX('C_jama.2019.12618'!$D$2:$D$9,MATCH("2019::jama.2019.12618::C002",'C_jama.2019.12618'!$A$2:$A$9,0))="retain",INDEX('C_jama.2019.12618'!$E$2:$E$9,MATCH("2019::jama.2019.12618::C002",'C_jama.2019.12618'!$A$2:$A$9,0))="statistical_results"),IF(INDEX('C_jama.2019.12618'!$J$2:$J$9,MATCH("2019::jama.2019.12618::C002",'C_jama.2019.12618'!$A$2:$A$9,0))="","",INDEX('C_jama.2019.12618'!$J$2:$J$9,MATCH("2019::jama.2019.12618::C002",'C_jama.2019.12618'!$A$2:$A$9,0))),"not_applicable")</x:f>
        <x:v>not_applicable</x:v>
      </x:c>
      <x:c r="X15" s="3" t="str">
        <x:f>IF(AND(INDEX('C_jama.2019.12618'!$D$2:$D$9,MATCH("2019::jama.2019.12618::C002",'C_jama.2019.12618'!$A$2:$A$9,0))="retain",OR(INDEX('C_jama.2019.12618'!$E$2:$E$9,MATCH("2019::jama.2019.12618::C002",'C_jama.2019.12618'!$A$2:$A$9,0))="report_internal_inconsistency",INDEX('C_jama.2019.12618'!$E$2:$E$9,MATCH("2019::jama.2019.12618::C002",'C_jama.2019.12618'!$A$2:$A$9,0))="plan_material")),IF(INDEX('C_jama.2019.12618'!$K$2:$K$9,MATCH("2019::jama.2019.12618::C002",'C_jama.2019.12618'!$A$2:$A$9,0))="","",INDEX('C_jama.2019.12618'!$K$2:$K$9,MATCH("2019::jama.2019.12618::C002",'C_jama.2019.12618'!$A$2:$A$9,0))),"not_applicable")</x:f>
        <x:v>not_applicable</x:v>
      </x:c>
      <x:c r="Y15" s="3" t="str">
        <x:f>IF(AND(INDEX('C_jama.2019.12618'!$D$2:$D$9,MATCH("2019::jama.2019.12618::C002",'C_jama.2019.12618'!$A$2:$A$9,0))="retain",INDEX('C_jama.2019.12618'!$E$2:$E$9,MATCH("2019::jama.2019.12618::C002",'C_jama.2019.12618'!$A$2:$A$9,0))="protocol_report"),IF(INDEX('C_jama.2019.12618'!$L$2:$L$9,MATCH("2019::jama.2019.12618::C002",'C_jama.2019.12618'!$A$2:$A$9,0))="","",INDEX('C_jama.2019.12618'!$L$2:$L$9,MATCH("2019::jama.2019.12618::C002",'C_jama.2019.12618'!$A$2:$A$9,0))),"not_applicable")</x:f>
        <x:v>not_applicable</x:v>
      </x:c>
      <x:c r="Z15" s="3" t="str">
        <x:f>IF(INDEX('C_jama.2019.12618'!$R$2:$R$9,MATCH("2019::jama.2019.12618::C002",'C_jama.2019.12618'!$A$2:$A$9,0))="","",INDEX('C_jama.2019.12618'!$R$2:$R$9,MATCH("2019::jama.2019.12618::C002",'C_jama.2019.12618'!$A$2:$A$9,0)))</x:f>
      </x:c>
      <x:c r="AA15" s="3" t="str">
        <x:f>IF(INDEX('C_jama.2019.12618'!$N$2:$N$9,MATCH("2019::jama.2019.12618::C002",'C_jama.2019.12618'!$A$2:$A$9,0))="","",INDEX('C_jama.2019.12618'!$N$2:$N$9,MATCH("2019::jama.2019.12618::C002",'C_jama.2019.12618'!$A$2:$A$9,0)))</x:f>
      </x:c>
      <x:c r="AB15" s="3" t="str">
        <x:f>IF(INDEX('C_jama.2019.12618'!$O$2:$O$9,MATCH("2019::jama.2019.12618::C002",'C_jama.2019.12618'!$A$2:$A$9,0))="","",INDEX('C_jama.2019.12618'!$O$2:$O$9,MATCH("2019::jama.2019.12618::C002",'C_jama.2019.12618'!$A$2:$A$9,0)))</x:f>
      </x:c>
      <x:c r="AC15" s="3" t="str">
        <x:f>IF(INDEX('C_jama.2019.12618'!$P$2:$P$9,MATCH("2019::jama.2019.12618::C002",'C_jama.2019.12618'!$A$2:$A$9,0))="","",INDEX('C_jama.2019.12618'!$P$2:$P$9,MATCH("2019::jama.2019.12618::C002",'C_jama.2019.12618'!$A$2:$A$9,0)))</x:f>
      </x:c>
      <x:c r="AD15" s="3" t="str">
        <x:f>IF(INDEX('C_jama.2019.12618'!$Q$2:$Q$9,MATCH("2019::jama.2019.12618::C002",'C_jama.2019.12618'!$A$2:$A$9,0))="","",INDEX('C_jama.2019.12618'!$Q$2:$Q$9,MATCH("2019::jama.2019.12618::C002",'C_jama.2019.12618'!$A$2:$A$9,0)))</x:f>
      </x:c>
    </x:row>
    <x:row r="16" ht="65" customHeight="1">
      <x:c r="A16" s="6" t="n">
        <x:v>2019</x:v>
      </x:c>
      <x:c r="B16" s="6" t="str">
        <x:v>jama.2019.12618</x:v>
      </x:c>
      <x:c r="C16" s="6" t="str">
        <x:v>2019::jama.2019.12618::C003</x:v>
      </x:c>
      <x:c r="D16" s="6" t="str">
        <x:v>P_R</x:v>
      </x:c>
      <x:c r="E16" s="6" t="n">
        <x:f>Setup!$B$2</x:f>
        <x:v>0</x:v>
      </x:c>
      <x:c r="F16" s="6" t="str">
        <x:f>IF(Setup!$B$4="","",Setup!$B$4)</x:f>
      </x:c>
      <x:c r="G16" s="6" t="str">
        <x:f>IFERROR(INDEX('C_jama.2019.12618'!$G$2:$G$9,MATCH("2019::jama.2019.12618::C003",'C_jama.2019.12618'!$A$2:$A$9,0)),"CHECK KEY")</x:f>
        <x:v>CHECK REVIEWER IDs</x:v>
      </x:c>
      <x:c r="H16" s="6" t="str">
        <x:f>IF(G16&lt;&gt;"FINAL READY","",IF(S16&lt;&gt;"retain","not_eligible",IF(D16="P_R","protocol_descriptive",IF(D16="P_P","plan_descriptive",IF(AND(T16="statistical_results",OR(U16="confirmed_issue",U16="probable_issue"),V16="substantive"),"primary_temporal",IF(AND(T16="report_internal_inconsistency",X16="substantive_inconsistency"),"secondary_temporal","not_eligible"))))))</x:f>
      </x:c>
      <x:c r="I16" s="6" t="str">
        <x:v>retain</x:v>
      </x:c>
      <x:c r="J16" s="6" t="str">
        <x:v>protocol_report</x:v>
      </x:c>
      <x:c r="K16" s="6" t="str">
        <x:f>IF(Setup!$B$6="primary","",IFERROR(IF(INDEX('Primary_snapshot'!$B$2:$B$72,MATCH(C16,'Primary_snapshot'!$A$2:$A$72,0))="","",INDEX('Primary_snapshot'!$B$2:$B$72,MATCH(C16,'Primary_snapshot'!$A$2:$A$72,0))),"SNAPSHOT MISSING"))</x:f>
      </x:c>
      <x:c r="L16" s="6" t="str">
        <x:f>IF(Setup!$B$6="primary","",IFERROR(IF(INDEX('Primary_snapshot'!$C$2:$C$72,MATCH(C16,'Primary_snapshot'!$A$2:$A$72,0))="","",INDEX('Primary_snapshot'!$C$2:$C$72,MATCH(C16,'Primary_snapshot'!$A$2:$A$72,0))),"SNAPSHOT MISSING"))</x:f>
      </x:c>
      <x:c r="M16" s="6" t="str">
        <x:f>IF(Setup!$B$6="primary","",IFERROR(IF(INDEX('Primary_snapshot'!$D$2:$D$72,MATCH(C16,'Primary_snapshot'!$A$2:$A$72,0))="","",INDEX('Primary_snapshot'!$D$2:$D$72,MATCH(C16,'Primary_snapshot'!$A$2:$A$72,0))),"SNAPSHOT MISSING"))</x:f>
      </x:c>
      <x:c r="N16" s="6" t="str">
        <x:f>IF(Setup!$B$6="primary","",IFERROR(IF(INDEX('Primary_snapshot'!$E$2:$E$72,MATCH(C16,'Primary_snapshot'!$A$2:$A$72,0))="","",INDEX('Primary_snapshot'!$E$2:$E$72,MATCH(C16,'Primary_snapshot'!$A$2:$A$72,0))),"SNAPSHOT MISSING"))</x:f>
      </x:c>
      <x:c r="O16" s="6" t="str">
        <x:f>IF(Setup!$B$6="primary","",IFERROR(IF(INDEX('Primary_snapshot'!$F$2:$F$72,MATCH(C16,'Primary_snapshot'!$A$2:$A$72,0))="","",INDEX('Primary_snapshot'!$F$2:$F$72,MATCH(C16,'Primary_snapshot'!$A$2:$A$72,0))),"SNAPSHOT MISSING"))</x:f>
      </x:c>
      <x:c r="P16" s="6" t="str">
        <x:f>IF(Setup!$B$6="primary","",IFERROR(IF(INDEX('Primary_snapshot'!$G$2:$G$72,MATCH(C16,'Primary_snapshot'!$A$2:$A$72,0))="","",INDEX('Primary_snapshot'!$G$2:$G$72,MATCH(C16,'Primary_snapshot'!$A$2:$A$72,0))),"SNAPSHOT MISSING"))</x:f>
      </x:c>
      <x:c r="Q16" s="6" t="str">
        <x:f>IF(Setup!$B$6="primary","",IFERROR(IF(INDEX('Primary_snapshot'!$H$2:$H$72,MATCH(C16,'Primary_snapshot'!$A$2:$A$72,0))="","",INDEX('Primary_snapshot'!$H$2:$H$72,MATCH(C16,'Primary_snapshot'!$A$2:$A$72,0))),"SNAPSHOT MISSING"))</x:f>
      </x:c>
      <x:c r="R16" s="6" t="str">
        <x:f>IF(Setup!$B$6="primary","",IFERROR(IF(INDEX('Primary_snapshot'!$I$2:$I$72,MATCH(C16,'Primary_snapshot'!$A$2:$A$72,0))="","",INDEX('Primary_snapshot'!$I$2:$I$72,MATCH(C16,'Primary_snapshot'!$A$2:$A$72,0))),"SNAPSHOT MISSING"))</x:f>
      </x:c>
      <x:c r="S16" s="6" t="str">
        <x:f>IF(INDEX('C_jama.2019.12618'!$D$2:$D$9,MATCH("2019::jama.2019.12618::C003",'C_jama.2019.12618'!$A$2:$A$9,0))="","",INDEX('C_jama.2019.12618'!$D$2:$D$9,MATCH("2019::jama.2019.12618::C003",'C_jama.2019.12618'!$A$2:$A$9,0)))</x:f>
      </x:c>
      <x:c r="T16" s="6" t="str">
        <x:f>IF(INDEX('C_jama.2019.12618'!$E$2:$E$9,MATCH("2019::jama.2019.12618::C003",'C_jama.2019.12618'!$A$2:$A$9,0))="","",INDEX('C_jama.2019.12618'!$E$2:$E$9,MATCH("2019::jama.2019.12618::C003",'C_jama.2019.12618'!$A$2:$A$9,0)))</x:f>
        <x:v>protocol_report</x:v>
      </x:c>
      <x:c r="U16" s="6" t="str">
        <x:f>IF(AND(INDEX('C_jama.2019.12618'!$D$2:$D$9,MATCH("2019::jama.2019.12618::C003",'C_jama.2019.12618'!$A$2:$A$9,0))="retain",INDEX('C_jama.2019.12618'!$E$2:$E$9,MATCH("2019::jama.2019.12618::C003",'C_jama.2019.12618'!$A$2:$A$9,0))="statistical_results"),IF(INDEX('C_jama.2019.12618'!$H$2:$H$9,MATCH("2019::jama.2019.12618::C003",'C_jama.2019.12618'!$A$2:$A$9,0))="","",INDEX('C_jama.2019.12618'!$H$2:$H$9,MATCH("2019::jama.2019.12618::C003",'C_jama.2019.12618'!$A$2:$A$9,0))),"not_applicable")</x:f>
        <x:v>not_applicable</x:v>
      </x:c>
      <x:c r="V16" s="6" t="str">
        <x:f>IF(AND(INDEX('C_jama.2019.12618'!$D$2:$D$9,MATCH("2019::jama.2019.12618::C003",'C_jama.2019.12618'!$A$2:$A$9,0))="retain",INDEX('C_jama.2019.12618'!$E$2:$E$9,MATCH("2019::jama.2019.12618::C003",'C_jama.2019.12618'!$A$2:$A$9,0))="statistical_results"),IF(INDEX('C_jama.2019.12618'!$I$2:$I$9,MATCH("2019::jama.2019.12618::C003",'C_jama.2019.12618'!$A$2:$A$9,0))="","",INDEX('C_jama.2019.12618'!$I$2:$I$9,MATCH("2019::jama.2019.12618::C003",'C_jama.2019.12618'!$A$2:$A$9,0))),"not_applicable")</x:f>
        <x:v>not_applicable</x:v>
      </x:c>
      <x:c r="W16" s="6" t="str">
        <x:f>IF(AND(INDEX('C_jama.2019.12618'!$D$2:$D$9,MATCH("2019::jama.2019.12618::C003",'C_jama.2019.12618'!$A$2:$A$9,0))="retain",INDEX('C_jama.2019.12618'!$E$2:$E$9,MATCH("2019::jama.2019.12618::C003",'C_jama.2019.12618'!$A$2:$A$9,0))="statistical_results"),IF(INDEX('C_jama.2019.12618'!$J$2:$J$9,MATCH("2019::jama.2019.12618::C003",'C_jama.2019.12618'!$A$2:$A$9,0))="","",INDEX('C_jama.2019.12618'!$J$2:$J$9,MATCH("2019::jama.2019.12618::C003",'C_jama.2019.12618'!$A$2:$A$9,0))),"not_applicable")</x:f>
        <x:v>not_applicable</x:v>
      </x:c>
      <x:c r="X16" s="6" t="str">
        <x:f>IF(AND(INDEX('C_jama.2019.12618'!$D$2:$D$9,MATCH("2019::jama.2019.12618::C003",'C_jama.2019.12618'!$A$2:$A$9,0))="retain",OR(INDEX('C_jama.2019.12618'!$E$2:$E$9,MATCH("2019::jama.2019.12618::C003",'C_jama.2019.12618'!$A$2:$A$9,0))="report_internal_inconsistency",INDEX('C_jama.2019.12618'!$E$2:$E$9,MATCH("2019::jama.2019.12618::C003",'C_jama.2019.12618'!$A$2:$A$9,0))="plan_material")),IF(INDEX('C_jama.2019.12618'!$K$2:$K$9,MATCH("2019::jama.2019.12618::C003",'C_jama.2019.12618'!$A$2:$A$9,0))="","",INDEX('C_jama.2019.12618'!$K$2:$K$9,MATCH("2019::jama.2019.12618::C003",'C_jama.2019.12618'!$A$2:$A$9,0))),"not_applicable")</x:f>
        <x:v>not_applicable</x:v>
      </x:c>
      <x:c r="Y16" s="6" t="str">
        <x:f>IF(AND(INDEX('C_jama.2019.12618'!$D$2:$D$9,MATCH("2019::jama.2019.12618::C003",'C_jama.2019.12618'!$A$2:$A$9,0))="retain",INDEX('C_jama.2019.12618'!$E$2:$E$9,MATCH("2019::jama.2019.12618::C003",'C_jama.2019.12618'!$A$2:$A$9,0))="protocol_report"),IF(INDEX('C_jama.2019.12618'!$L$2:$L$9,MATCH("2019::jama.2019.12618::C003",'C_jama.2019.12618'!$A$2:$A$9,0))="","",INDEX('C_jama.2019.12618'!$L$2:$L$9,MATCH("2019::jama.2019.12618::C003",'C_jama.2019.12618'!$A$2:$A$9,0))),"not_applicable")</x:f>
        <x:v>not_applicable</x:v>
      </x:c>
      <x:c r="Z16" s="6" t="str">
        <x:f>IF(INDEX('C_jama.2019.12618'!$R$2:$R$9,MATCH("2019::jama.2019.12618::C003",'C_jama.2019.12618'!$A$2:$A$9,0))="","",INDEX('C_jama.2019.12618'!$R$2:$R$9,MATCH("2019::jama.2019.12618::C003",'C_jama.2019.12618'!$A$2:$A$9,0)))</x:f>
      </x:c>
      <x:c r="AA16" s="6" t="str">
        <x:f>IF(INDEX('C_jama.2019.12618'!$N$2:$N$9,MATCH("2019::jama.2019.12618::C003",'C_jama.2019.12618'!$A$2:$A$9,0))="","",INDEX('C_jama.2019.12618'!$N$2:$N$9,MATCH("2019::jama.2019.12618::C003",'C_jama.2019.12618'!$A$2:$A$9,0)))</x:f>
      </x:c>
      <x:c r="AB16" s="6" t="str">
        <x:f>IF(INDEX('C_jama.2019.12618'!$O$2:$O$9,MATCH("2019::jama.2019.12618::C003",'C_jama.2019.12618'!$A$2:$A$9,0))="","",INDEX('C_jama.2019.12618'!$O$2:$O$9,MATCH("2019::jama.2019.12618::C003",'C_jama.2019.12618'!$A$2:$A$9,0)))</x:f>
      </x:c>
      <x:c r="AC16" s="6" t="str">
        <x:f>IF(INDEX('C_jama.2019.12618'!$P$2:$P$9,MATCH("2019::jama.2019.12618::C003",'C_jama.2019.12618'!$A$2:$A$9,0))="","",INDEX('C_jama.2019.12618'!$P$2:$P$9,MATCH("2019::jama.2019.12618::C003",'C_jama.2019.12618'!$A$2:$A$9,0)))</x:f>
      </x:c>
      <x:c r="AD16" s="6" t="str">
        <x:f>IF(INDEX('C_jama.2019.12618'!$Q$2:$Q$9,MATCH("2019::jama.2019.12618::C003",'C_jama.2019.12618'!$A$2:$A$9,0))="","",INDEX('C_jama.2019.12618'!$Q$2:$Q$9,MATCH("2019::jama.2019.12618::C003",'C_jama.2019.12618'!$A$2:$A$9,0)))</x:f>
      </x:c>
    </x:row>
    <x:row r="17" ht="65" customHeight="1">
      <x:c r="A17" s="3" t="n">
        <x:v>2019</x:v>
      </x:c>
      <x:c r="B17" s="3" t="str">
        <x:v>jama.2019.12618</x:v>
      </x:c>
      <x:c r="C17" s="3" t="str">
        <x:v>2019::jama.2019.12618::C004</x:v>
      </x:c>
      <x:c r="D17" s="3" t="str">
        <x:v>P_R</x:v>
      </x:c>
      <x:c r="E17" s="3" t="n">
        <x:f>Setup!$B$2</x:f>
        <x:v>0</x:v>
      </x:c>
      <x:c r="F17" s="3" t="str">
        <x:f>IF(Setup!$B$4="","",Setup!$B$4)</x:f>
      </x:c>
      <x:c r="G17" s="3" t="str">
        <x:f>IFERROR(INDEX('C_jama.2019.12618'!$G$2:$G$9,MATCH("2019::jama.2019.12618::C004",'C_jama.2019.12618'!$A$2:$A$9,0)),"CHECK KEY")</x:f>
        <x:v>CHECK REVIEWER IDs</x:v>
      </x:c>
      <x:c r="H17" s="3" t="str">
        <x:f>IF(G17&lt;&gt;"FINAL READY","",IF(S17&lt;&gt;"retain","not_eligible",IF(D17="P_R","protocol_descriptive",IF(D17="P_P","plan_descriptive",IF(AND(T17="statistical_results",OR(U17="confirmed_issue",U17="probable_issue"),V17="substantive"),"primary_temporal",IF(AND(T17="report_internal_inconsistency",X17="substantive_inconsistency"),"secondary_temporal","not_eligible"))))))</x:f>
      </x:c>
      <x:c r="I17" s="3" t="str">
        <x:v>retain</x:v>
      </x:c>
      <x:c r="J17" s="3" t="str">
        <x:v>protocol_report</x:v>
      </x:c>
      <x:c r="K17" s="3" t="str">
        <x:f>IF(Setup!$B$6="primary","",IFERROR(IF(INDEX('Primary_snapshot'!$B$2:$B$72,MATCH(C17,'Primary_snapshot'!$A$2:$A$72,0))="","",INDEX('Primary_snapshot'!$B$2:$B$72,MATCH(C17,'Primary_snapshot'!$A$2:$A$72,0))),"SNAPSHOT MISSING"))</x:f>
      </x:c>
      <x:c r="L17" s="3" t="str">
        <x:f>IF(Setup!$B$6="primary","",IFERROR(IF(INDEX('Primary_snapshot'!$C$2:$C$72,MATCH(C17,'Primary_snapshot'!$A$2:$A$72,0))="","",INDEX('Primary_snapshot'!$C$2:$C$72,MATCH(C17,'Primary_snapshot'!$A$2:$A$72,0))),"SNAPSHOT MISSING"))</x:f>
      </x:c>
      <x:c r="M17" s="3" t="str">
        <x:f>IF(Setup!$B$6="primary","",IFERROR(IF(INDEX('Primary_snapshot'!$D$2:$D$72,MATCH(C17,'Primary_snapshot'!$A$2:$A$72,0))="","",INDEX('Primary_snapshot'!$D$2:$D$72,MATCH(C17,'Primary_snapshot'!$A$2:$A$72,0))),"SNAPSHOT MISSING"))</x:f>
      </x:c>
      <x:c r="N17" s="3" t="str">
        <x:f>IF(Setup!$B$6="primary","",IFERROR(IF(INDEX('Primary_snapshot'!$E$2:$E$72,MATCH(C17,'Primary_snapshot'!$A$2:$A$72,0))="","",INDEX('Primary_snapshot'!$E$2:$E$72,MATCH(C17,'Primary_snapshot'!$A$2:$A$72,0))),"SNAPSHOT MISSING"))</x:f>
      </x:c>
      <x:c r="O17" s="3" t="str">
        <x:f>IF(Setup!$B$6="primary","",IFERROR(IF(INDEX('Primary_snapshot'!$F$2:$F$72,MATCH(C17,'Primary_snapshot'!$A$2:$A$72,0))="","",INDEX('Primary_snapshot'!$F$2:$F$72,MATCH(C17,'Primary_snapshot'!$A$2:$A$72,0))),"SNAPSHOT MISSING"))</x:f>
      </x:c>
      <x:c r="P17" s="3" t="str">
        <x:f>IF(Setup!$B$6="primary","",IFERROR(IF(INDEX('Primary_snapshot'!$G$2:$G$72,MATCH(C17,'Primary_snapshot'!$A$2:$A$72,0))="","",INDEX('Primary_snapshot'!$G$2:$G$72,MATCH(C17,'Primary_snapshot'!$A$2:$A$72,0))),"SNAPSHOT MISSING"))</x:f>
      </x:c>
      <x:c r="Q17" s="3" t="str">
        <x:f>IF(Setup!$B$6="primary","",IFERROR(IF(INDEX('Primary_snapshot'!$H$2:$H$72,MATCH(C17,'Primary_snapshot'!$A$2:$A$72,0))="","",INDEX('Primary_snapshot'!$H$2:$H$72,MATCH(C17,'Primary_snapshot'!$A$2:$A$72,0))),"SNAPSHOT MISSING"))</x:f>
      </x:c>
      <x:c r="R17" s="3" t="str">
        <x:f>IF(Setup!$B$6="primary","",IFERROR(IF(INDEX('Primary_snapshot'!$I$2:$I$72,MATCH(C17,'Primary_snapshot'!$A$2:$A$72,0))="","",INDEX('Primary_snapshot'!$I$2:$I$72,MATCH(C17,'Primary_snapshot'!$A$2:$A$72,0))),"SNAPSHOT MISSING"))</x:f>
      </x:c>
      <x:c r="S17" s="3" t="str">
        <x:f>IF(INDEX('C_jama.2019.12618'!$D$2:$D$9,MATCH("2019::jama.2019.12618::C004",'C_jama.2019.12618'!$A$2:$A$9,0))="","",INDEX('C_jama.2019.12618'!$D$2:$D$9,MATCH("2019::jama.2019.12618::C004",'C_jama.2019.12618'!$A$2:$A$9,0)))</x:f>
      </x:c>
      <x:c r="T17" s="3" t="str">
        <x:f>IF(INDEX('C_jama.2019.12618'!$E$2:$E$9,MATCH("2019::jama.2019.12618::C004",'C_jama.2019.12618'!$A$2:$A$9,0))="","",INDEX('C_jama.2019.12618'!$E$2:$E$9,MATCH("2019::jama.2019.12618::C004",'C_jama.2019.12618'!$A$2:$A$9,0)))</x:f>
        <x:v>protocol_report</x:v>
      </x:c>
      <x:c r="U17" s="3" t="str">
        <x:f>IF(AND(INDEX('C_jama.2019.12618'!$D$2:$D$9,MATCH("2019::jama.2019.12618::C004",'C_jama.2019.12618'!$A$2:$A$9,0))="retain",INDEX('C_jama.2019.12618'!$E$2:$E$9,MATCH("2019::jama.2019.12618::C004",'C_jama.2019.12618'!$A$2:$A$9,0))="statistical_results"),IF(INDEX('C_jama.2019.12618'!$H$2:$H$9,MATCH("2019::jama.2019.12618::C004",'C_jama.2019.12618'!$A$2:$A$9,0))="","",INDEX('C_jama.2019.12618'!$H$2:$H$9,MATCH("2019::jama.2019.12618::C004",'C_jama.2019.12618'!$A$2:$A$9,0))),"not_applicable")</x:f>
        <x:v>not_applicable</x:v>
      </x:c>
      <x:c r="V17" s="3" t="str">
        <x:f>IF(AND(INDEX('C_jama.2019.12618'!$D$2:$D$9,MATCH("2019::jama.2019.12618::C004",'C_jama.2019.12618'!$A$2:$A$9,0))="retain",INDEX('C_jama.2019.12618'!$E$2:$E$9,MATCH("2019::jama.2019.12618::C004",'C_jama.2019.12618'!$A$2:$A$9,0))="statistical_results"),IF(INDEX('C_jama.2019.12618'!$I$2:$I$9,MATCH("2019::jama.2019.12618::C004",'C_jama.2019.12618'!$A$2:$A$9,0))="","",INDEX('C_jama.2019.12618'!$I$2:$I$9,MATCH("2019::jama.2019.12618::C004",'C_jama.2019.12618'!$A$2:$A$9,0))),"not_applicable")</x:f>
        <x:v>not_applicable</x:v>
      </x:c>
      <x:c r="W17" s="3" t="str">
        <x:f>IF(AND(INDEX('C_jama.2019.12618'!$D$2:$D$9,MATCH("2019::jama.2019.12618::C004",'C_jama.2019.12618'!$A$2:$A$9,0))="retain",INDEX('C_jama.2019.12618'!$E$2:$E$9,MATCH("2019::jama.2019.12618::C004",'C_jama.2019.12618'!$A$2:$A$9,0))="statistical_results"),IF(INDEX('C_jama.2019.12618'!$J$2:$J$9,MATCH("2019::jama.2019.12618::C004",'C_jama.2019.12618'!$A$2:$A$9,0))="","",INDEX('C_jama.2019.12618'!$J$2:$J$9,MATCH("2019::jama.2019.12618::C004",'C_jama.2019.12618'!$A$2:$A$9,0))),"not_applicable")</x:f>
        <x:v>not_applicable</x:v>
      </x:c>
      <x:c r="X17" s="3" t="str">
        <x:f>IF(AND(INDEX('C_jama.2019.12618'!$D$2:$D$9,MATCH("2019::jama.2019.12618::C004",'C_jama.2019.12618'!$A$2:$A$9,0))="retain",OR(INDEX('C_jama.2019.12618'!$E$2:$E$9,MATCH("2019::jama.2019.12618::C004",'C_jama.2019.12618'!$A$2:$A$9,0))="report_internal_inconsistency",INDEX('C_jama.2019.12618'!$E$2:$E$9,MATCH("2019::jama.2019.12618::C004",'C_jama.2019.12618'!$A$2:$A$9,0))="plan_material")),IF(INDEX('C_jama.2019.12618'!$K$2:$K$9,MATCH("2019::jama.2019.12618::C004",'C_jama.2019.12618'!$A$2:$A$9,0))="","",INDEX('C_jama.2019.12618'!$K$2:$K$9,MATCH("2019::jama.2019.12618::C004",'C_jama.2019.12618'!$A$2:$A$9,0))),"not_applicable")</x:f>
        <x:v>not_applicable</x:v>
      </x:c>
      <x:c r="Y17" s="3" t="str">
        <x:f>IF(AND(INDEX('C_jama.2019.12618'!$D$2:$D$9,MATCH("2019::jama.2019.12618::C004",'C_jama.2019.12618'!$A$2:$A$9,0))="retain",INDEX('C_jama.2019.12618'!$E$2:$E$9,MATCH("2019::jama.2019.12618::C004",'C_jama.2019.12618'!$A$2:$A$9,0))="protocol_report"),IF(INDEX('C_jama.2019.12618'!$L$2:$L$9,MATCH("2019::jama.2019.12618::C004",'C_jama.2019.12618'!$A$2:$A$9,0))="","",INDEX('C_jama.2019.12618'!$L$2:$L$9,MATCH("2019::jama.2019.12618::C004",'C_jama.2019.12618'!$A$2:$A$9,0))),"not_applicable")</x:f>
        <x:v>not_applicable</x:v>
      </x:c>
      <x:c r="Z17" s="3" t="str">
        <x:f>IF(INDEX('C_jama.2019.12618'!$R$2:$R$9,MATCH("2019::jama.2019.12618::C004",'C_jama.2019.12618'!$A$2:$A$9,0))="","",INDEX('C_jama.2019.12618'!$R$2:$R$9,MATCH("2019::jama.2019.12618::C004",'C_jama.2019.12618'!$A$2:$A$9,0)))</x:f>
      </x:c>
      <x:c r="AA17" s="3" t="str">
        <x:f>IF(INDEX('C_jama.2019.12618'!$N$2:$N$9,MATCH("2019::jama.2019.12618::C004",'C_jama.2019.12618'!$A$2:$A$9,0))="","",INDEX('C_jama.2019.12618'!$N$2:$N$9,MATCH("2019::jama.2019.12618::C004",'C_jama.2019.12618'!$A$2:$A$9,0)))</x:f>
      </x:c>
      <x:c r="AB17" s="3" t="str">
        <x:f>IF(INDEX('C_jama.2019.12618'!$O$2:$O$9,MATCH("2019::jama.2019.12618::C004",'C_jama.2019.12618'!$A$2:$A$9,0))="","",INDEX('C_jama.2019.12618'!$O$2:$O$9,MATCH("2019::jama.2019.12618::C004",'C_jama.2019.12618'!$A$2:$A$9,0)))</x:f>
      </x:c>
      <x:c r="AC17" s="3" t="str">
        <x:f>IF(INDEX('C_jama.2019.12618'!$P$2:$P$9,MATCH("2019::jama.2019.12618::C004",'C_jama.2019.12618'!$A$2:$A$9,0))="","",INDEX('C_jama.2019.12618'!$P$2:$P$9,MATCH("2019::jama.2019.12618::C004",'C_jama.2019.12618'!$A$2:$A$9,0)))</x:f>
      </x:c>
      <x:c r="AD17" s="3" t="str">
        <x:f>IF(INDEX('C_jama.2019.12618'!$Q$2:$Q$9,MATCH("2019::jama.2019.12618::C004",'C_jama.2019.12618'!$A$2:$A$9,0))="","",INDEX('C_jama.2019.12618'!$Q$2:$Q$9,MATCH("2019::jama.2019.12618::C004",'C_jama.2019.12618'!$A$2:$A$9,0)))</x:f>
      </x:c>
    </x:row>
    <x:row r="18" ht="65" customHeight="1">
      <x:c r="A18" s="6" t="n">
        <x:v>2019</x:v>
      </x:c>
      <x:c r="B18" s="6" t="str">
        <x:v>jama.2019.12618</x:v>
      </x:c>
      <x:c r="C18" s="6" t="str">
        <x:v>2019::jama.2019.12618::C005</x:v>
      </x:c>
      <x:c r="D18" s="6" t="str">
        <x:v>S_W</x:v>
      </x:c>
      <x:c r="E18" s="6" t="n">
        <x:f>Setup!$B$2</x:f>
        <x:v>0</x:v>
      </x:c>
      <x:c r="F18" s="6" t="str">
        <x:f>IF(Setup!$B$4="","",Setup!$B$4)</x:f>
      </x:c>
      <x:c r="G18" s="6" t="str">
        <x:f>IFERROR(INDEX('C_jama.2019.12618'!$G$2:$G$9,MATCH("2019::jama.2019.12618::C005",'C_jama.2019.12618'!$A$2:$A$9,0)),"CHECK KEY")</x:f>
        <x:v>CHECK REVIEWER IDs</x:v>
      </x:c>
      <x:c r="H18" s="6" t="str">
        <x:f>IF(G18&lt;&gt;"FINAL READY","",IF(S18&lt;&gt;"retain","not_eligible",IF(D18="P_R","protocol_descriptive",IF(D18="P_P","plan_descriptive",IF(AND(T18="statistical_results",OR(U18="confirmed_issue",U18="probable_issue"),V18="substantive"),"primary_temporal",IF(AND(T18="report_internal_inconsistency",X18="substantive_inconsistency"),"secondary_temporal","not_eligible"))))))</x:f>
      </x:c>
      <x:c r="I18" s="6" t="str">
        <x:v>retain</x:v>
      </x:c>
      <x:c r="J18" s="6" t="str">
        <x:v>statistical_results</x:v>
      </x:c>
      <x:c r="K18" s="6" t="str">
        <x:f>IF(Setup!$B$6="primary","",IFERROR(IF(INDEX('Primary_snapshot'!$B$2:$B$72,MATCH(C18,'Primary_snapshot'!$A$2:$A$72,0))="","",INDEX('Primary_snapshot'!$B$2:$B$72,MATCH(C18,'Primary_snapshot'!$A$2:$A$72,0))),"SNAPSHOT MISSING"))</x:f>
      </x:c>
      <x:c r="L18" s="6" t="str">
        <x:f>IF(Setup!$B$6="primary","",IFERROR(IF(INDEX('Primary_snapshot'!$C$2:$C$72,MATCH(C18,'Primary_snapshot'!$A$2:$A$72,0))="","",INDEX('Primary_snapshot'!$C$2:$C$72,MATCH(C18,'Primary_snapshot'!$A$2:$A$72,0))),"SNAPSHOT MISSING"))</x:f>
      </x:c>
      <x:c r="M18" s="6" t="str">
        <x:f>IF(Setup!$B$6="primary","",IFERROR(IF(INDEX('Primary_snapshot'!$D$2:$D$72,MATCH(C18,'Primary_snapshot'!$A$2:$A$72,0))="","",INDEX('Primary_snapshot'!$D$2:$D$72,MATCH(C18,'Primary_snapshot'!$A$2:$A$72,0))),"SNAPSHOT MISSING"))</x:f>
      </x:c>
      <x:c r="N18" s="6" t="str">
        <x:f>IF(Setup!$B$6="primary","",IFERROR(IF(INDEX('Primary_snapshot'!$E$2:$E$72,MATCH(C18,'Primary_snapshot'!$A$2:$A$72,0))="","",INDEX('Primary_snapshot'!$E$2:$E$72,MATCH(C18,'Primary_snapshot'!$A$2:$A$72,0))),"SNAPSHOT MISSING"))</x:f>
      </x:c>
      <x:c r="O18" s="6" t="str">
        <x:f>IF(Setup!$B$6="primary","",IFERROR(IF(INDEX('Primary_snapshot'!$F$2:$F$72,MATCH(C18,'Primary_snapshot'!$A$2:$A$72,0))="","",INDEX('Primary_snapshot'!$F$2:$F$72,MATCH(C18,'Primary_snapshot'!$A$2:$A$72,0))),"SNAPSHOT MISSING"))</x:f>
      </x:c>
      <x:c r="P18" s="6" t="str">
        <x:f>IF(Setup!$B$6="primary","",IFERROR(IF(INDEX('Primary_snapshot'!$G$2:$G$72,MATCH(C18,'Primary_snapshot'!$A$2:$A$72,0))="","",INDEX('Primary_snapshot'!$G$2:$G$72,MATCH(C18,'Primary_snapshot'!$A$2:$A$72,0))),"SNAPSHOT MISSING"))</x:f>
      </x:c>
      <x:c r="Q18" s="6" t="str">
        <x:f>IF(Setup!$B$6="primary","",IFERROR(IF(INDEX('Primary_snapshot'!$H$2:$H$72,MATCH(C18,'Primary_snapshot'!$A$2:$A$72,0))="","",INDEX('Primary_snapshot'!$H$2:$H$72,MATCH(C18,'Primary_snapshot'!$A$2:$A$72,0))),"SNAPSHOT MISSING"))</x:f>
      </x:c>
      <x:c r="R18" s="6" t="str">
        <x:f>IF(Setup!$B$6="primary","",IFERROR(IF(INDEX('Primary_snapshot'!$I$2:$I$72,MATCH(C18,'Primary_snapshot'!$A$2:$A$72,0))="","",INDEX('Primary_snapshot'!$I$2:$I$72,MATCH(C18,'Primary_snapshot'!$A$2:$A$72,0))),"SNAPSHOT MISSING"))</x:f>
      </x:c>
      <x:c r="S18" s="6" t="str">
        <x:f>IF(INDEX('C_jama.2019.12618'!$D$2:$D$9,MATCH("2019::jama.2019.12618::C005",'C_jama.2019.12618'!$A$2:$A$9,0))="","",INDEX('C_jama.2019.12618'!$D$2:$D$9,MATCH("2019::jama.2019.12618::C005",'C_jama.2019.12618'!$A$2:$A$9,0)))</x:f>
      </x:c>
      <x:c r="T18" s="6" t="str">
        <x:f>IF(INDEX('C_jama.2019.12618'!$E$2:$E$9,MATCH("2019::jama.2019.12618::C005",'C_jama.2019.12618'!$A$2:$A$9,0))="","",INDEX('C_jama.2019.12618'!$E$2:$E$9,MATCH("2019::jama.2019.12618::C005",'C_jama.2019.12618'!$A$2:$A$9,0)))</x:f>
        <x:v>statistical_results</x:v>
      </x:c>
      <x:c r="U18" s="6" t="str">
        <x:f>IF(AND(INDEX('C_jama.2019.12618'!$D$2:$D$9,MATCH("2019::jama.2019.12618::C005",'C_jama.2019.12618'!$A$2:$A$9,0))="retain",INDEX('C_jama.2019.12618'!$E$2:$E$9,MATCH("2019::jama.2019.12618::C005",'C_jama.2019.12618'!$A$2:$A$9,0))="statistical_results"),IF(INDEX('C_jama.2019.12618'!$H$2:$H$9,MATCH("2019::jama.2019.12618::C005",'C_jama.2019.12618'!$A$2:$A$9,0))="","",INDEX('C_jama.2019.12618'!$H$2:$H$9,MATCH("2019::jama.2019.12618::C005",'C_jama.2019.12618'!$A$2:$A$9,0))),"not_applicable")</x:f>
        <x:v>not_applicable</x:v>
      </x:c>
      <x:c r="V18" s="6" t="str">
        <x:f>IF(AND(INDEX('C_jama.2019.12618'!$D$2:$D$9,MATCH("2019::jama.2019.12618::C005",'C_jama.2019.12618'!$A$2:$A$9,0))="retain",INDEX('C_jama.2019.12618'!$E$2:$E$9,MATCH("2019::jama.2019.12618::C005",'C_jama.2019.12618'!$A$2:$A$9,0))="statistical_results"),IF(INDEX('C_jama.2019.12618'!$I$2:$I$9,MATCH("2019::jama.2019.12618::C005",'C_jama.2019.12618'!$A$2:$A$9,0))="","",INDEX('C_jama.2019.12618'!$I$2:$I$9,MATCH("2019::jama.2019.12618::C005",'C_jama.2019.12618'!$A$2:$A$9,0))),"not_applicable")</x:f>
        <x:v>not_applicable</x:v>
      </x:c>
      <x:c r="W18" s="6" t="str">
        <x:f>IF(AND(INDEX('C_jama.2019.12618'!$D$2:$D$9,MATCH("2019::jama.2019.12618::C005",'C_jama.2019.12618'!$A$2:$A$9,0))="retain",INDEX('C_jama.2019.12618'!$E$2:$E$9,MATCH("2019::jama.2019.12618::C005",'C_jama.2019.12618'!$A$2:$A$9,0))="statistical_results"),IF(INDEX('C_jama.2019.12618'!$J$2:$J$9,MATCH("2019::jama.2019.12618::C005",'C_jama.2019.12618'!$A$2:$A$9,0))="","",INDEX('C_jama.2019.12618'!$J$2:$J$9,MATCH("2019::jama.2019.12618::C005",'C_jama.2019.12618'!$A$2:$A$9,0))),"not_applicable")</x:f>
        <x:v>not_applicable</x:v>
      </x:c>
      <x:c r="X18" s="6" t="str">
        <x:f>IF(AND(INDEX('C_jama.2019.12618'!$D$2:$D$9,MATCH("2019::jama.2019.12618::C005",'C_jama.2019.12618'!$A$2:$A$9,0))="retain",OR(INDEX('C_jama.2019.12618'!$E$2:$E$9,MATCH("2019::jama.2019.12618::C005",'C_jama.2019.12618'!$A$2:$A$9,0))="report_internal_inconsistency",INDEX('C_jama.2019.12618'!$E$2:$E$9,MATCH("2019::jama.2019.12618::C005",'C_jama.2019.12618'!$A$2:$A$9,0))="plan_material")),IF(INDEX('C_jama.2019.12618'!$K$2:$K$9,MATCH("2019::jama.2019.12618::C005",'C_jama.2019.12618'!$A$2:$A$9,0))="","",INDEX('C_jama.2019.12618'!$K$2:$K$9,MATCH("2019::jama.2019.12618::C005",'C_jama.2019.12618'!$A$2:$A$9,0))),"not_applicable")</x:f>
        <x:v>not_applicable</x:v>
      </x:c>
      <x:c r="Y18" s="6" t="str">
        <x:f>IF(AND(INDEX('C_jama.2019.12618'!$D$2:$D$9,MATCH("2019::jama.2019.12618::C005",'C_jama.2019.12618'!$A$2:$A$9,0))="retain",INDEX('C_jama.2019.12618'!$E$2:$E$9,MATCH("2019::jama.2019.12618::C005",'C_jama.2019.12618'!$A$2:$A$9,0))="protocol_report"),IF(INDEX('C_jama.2019.12618'!$L$2:$L$9,MATCH("2019::jama.2019.12618::C005",'C_jama.2019.12618'!$A$2:$A$9,0))="","",INDEX('C_jama.2019.12618'!$L$2:$L$9,MATCH("2019::jama.2019.12618::C005",'C_jama.2019.12618'!$A$2:$A$9,0))),"not_applicable")</x:f>
        <x:v>not_applicable</x:v>
      </x:c>
      <x:c r="Z18" s="6" t="str">
        <x:f>IF(INDEX('C_jama.2019.12618'!$R$2:$R$9,MATCH("2019::jama.2019.12618::C005",'C_jama.2019.12618'!$A$2:$A$9,0))="","",INDEX('C_jama.2019.12618'!$R$2:$R$9,MATCH("2019::jama.2019.12618::C005",'C_jama.2019.12618'!$A$2:$A$9,0)))</x:f>
      </x:c>
      <x:c r="AA18" s="6" t="str">
        <x:f>IF(INDEX('C_jama.2019.12618'!$N$2:$N$9,MATCH("2019::jama.2019.12618::C005",'C_jama.2019.12618'!$A$2:$A$9,0))="","",INDEX('C_jama.2019.12618'!$N$2:$N$9,MATCH("2019::jama.2019.12618::C005",'C_jama.2019.12618'!$A$2:$A$9,0)))</x:f>
      </x:c>
      <x:c r="AB18" s="6" t="str">
        <x:f>IF(INDEX('C_jama.2019.12618'!$O$2:$O$9,MATCH("2019::jama.2019.12618::C005",'C_jama.2019.12618'!$A$2:$A$9,0))="","",INDEX('C_jama.2019.12618'!$O$2:$O$9,MATCH("2019::jama.2019.12618::C005",'C_jama.2019.12618'!$A$2:$A$9,0)))</x:f>
      </x:c>
      <x:c r="AC18" s="6" t="str">
        <x:f>IF(INDEX('C_jama.2019.12618'!$P$2:$P$9,MATCH("2019::jama.2019.12618::C005",'C_jama.2019.12618'!$A$2:$A$9,0))="","",INDEX('C_jama.2019.12618'!$P$2:$P$9,MATCH("2019::jama.2019.12618::C005",'C_jama.2019.12618'!$A$2:$A$9,0)))</x:f>
      </x:c>
      <x:c r="AD18" s="6" t="str">
        <x:f>IF(INDEX('C_jama.2019.12618'!$Q$2:$Q$9,MATCH("2019::jama.2019.12618::C005",'C_jama.2019.12618'!$A$2:$A$9,0))="","",INDEX('C_jama.2019.12618'!$Q$2:$Q$9,MATCH("2019::jama.2019.12618::C005",'C_jama.2019.12618'!$A$2:$A$9,0)))</x:f>
      </x:c>
    </x:row>
    <x:row r="19" ht="65" customHeight="1">
      <x:c r="A19" s="3" t="n">
        <x:v>2019</x:v>
      </x:c>
      <x:c r="B19" s="3" t="str">
        <x:v>jama.2019.12618</x:v>
      </x:c>
      <x:c r="C19" s="3" t="str">
        <x:v>2019::jama.2019.12618::C006</x:v>
      </x:c>
      <x:c r="D19" s="3" t="str">
        <x:v>S_C</x:v>
      </x:c>
      <x:c r="E19" s="3" t="n">
        <x:f>Setup!$B$2</x:f>
        <x:v>0</x:v>
      </x:c>
      <x:c r="F19" s="3" t="str">
        <x:f>IF(Setup!$B$4="","",Setup!$B$4)</x:f>
      </x:c>
      <x:c r="G19" s="3" t="str">
        <x:f>IFERROR(INDEX('C_jama.2019.12618'!$G$2:$G$9,MATCH("2019::jama.2019.12618::C006",'C_jama.2019.12618'!$A$2:$A$9,0)),"CHECK KEY")</x:f>
        <x:v>CHECK REVIEWER IDs</x:v>
      </x:c>
      <x:c r="H19" s="3" t="str">
        <x:f>IF(G19&lt;&gt;"FINAL READY","",IF(S19&lt;&gt;"retain","not_eligible",IF(D19="P_R","protocol_descriptive",IF(D19="P_P","plan_descriptive",IF(AND(T19="statistical_results",OR(U19="confirmed_issue",U19="probable_issue"),V19="substantive"),"primary_temporal",IF(AND(T19="report_internal_inconsistency",X19="substantive_inconsistency"),"secondary_temporal","not_eligible"))))))</x:f>
      </x:c>
      <x:c r="I19" s="3" t="str">
        <x:v>retain</x:v>
      </x:c>
      <x:c r="J19" s="3" t="str">
        <x:v>report_internal_inconsistency</x:v>
      </x:c>
      <x:c r="K19" s="3" t="str">
        <x:f>IF(Setup!$B$6="primary","",IFERROR(IF(INDEX('Primary_snapshot'!$B$2:$B$72,MATCH(C19,'Primary_snapshot'!$A$2:$A$72,0))="","",INDEX('Primary_snapshot'!$B$2:$B$72,MATCH(C19,'Primary_snapshot'!$A$2:$A$72,0))),"SNAPSHOT MISSING"))</x:f>
      </x:c>
      <x:c r="L19" s="3" t="str">
        <x:f>IF(Setup!$B$6="primary","",IFERROR(IF(INDEX('Primary_snapshot'!$C$2:$C$72,MATCH(C19,'Primary_snapshot'!$A$2:$A$72,0))="","",INDEX('Primary_snapshot'!$C$2:$C$72,MATCH(C19,'Primary_snapshot'!$A$2:$A$72,0))),"SNAPSHOT MISSING"))</x:f>
      </x:c>
      <x:c r="M19" s="3" t="str">
        <x:f>IF(Setup!$B$6="primary","",IFERROR(IF(INDEX('Primary_snapshot'!$D$2:$D$72,MATCH(C19,'Primary_snapshot'!$A$2:$A$72,0))="","",INDEX('Primary_snapshot'!$D$2:$D$72,MATCH(C19,'Primary_snapshot'!$A$2:$A$72,0))),"SNAPSHOT MISSING"))</x:f>
      </x:c>
      <x:c r="N19" s="3" t="str">
        <x:f>IF(Setup!$B$6="primary","",IFERROR(IF(INDEX('Primary_snapshot'!$E$2:$E$72,MATCH(C19,'Primary_snapshot'!$A$2:$A$72,0))="","",INDEX('Primary_snapshot'!$E$2:$E$72,MATCH(C19,'Primary_snapshot'!$A$2:$A$72,0))),"SNAPSHOT MISSING"))</x:f>
      </x:c>
      <x:c r="O19" s="3" t="str">
        <x:f>IF(Setup!$B$6="primary","",IFERROR(IF(INDEX('Primary_snapshot'!$F$2:$F$72,MATCH(C19,'Primary_snapshot'!$A$2:$A$72,0))="","",INDEX('Primary_snapshot'!$F$2:$F$72,MATCH(C19,'Primary_snapshot'!$A$2:$A$72,0))),"SNAPSHOT MISSING"))</x:f>
      </x:c>
      <x:c r="P19" s="3" t="str">
        <x:f>IF(Setup!$B$6="primary","",IFERROR(IF(INDEX('Primary_snapshot'!$G$2:$G$72,MATCH(C19,'Primary_snapshot'!$A$2:$A$72,0))="","",INDEX('Primary_snapshot'!$G$2:$G$72,MATCH(C19,'Primary_snapshot'!$A$2:$A$72,0))),"SNAPSHOT MISSING"))</x:f>
      </x:c>
      <x:c r="Q19" s="3" t="str">
        <x:f>IF(Setup!$B$6="primary","",IFERROR(IF(INDEX('Primary_snapshot'!$H$2:$H$72,MATCH(C19,'Primary_snapshot'!$A$2:$A$72,0))="","",INDEX('Primary_snapshot'!$H$2:$H$72,MATCH(C19,'Primary_snapshot'!$A$2:$A$72,0))),"SNAPSHOT MISSING"))</x:f>
      </x:c>
      <x:c r="R19" s="3" t="str">
        <x:f>IF(Setup!$B$6="primary","",IFERROR(IF(INDEX('Primary_snapshot'!$I$2:$I$72,MATCH(C19,'Primary_snapshot'!$A$2:$A$72,0))="","",INDEX('Primary_snapshot'!$I$2:$I$72,MATCH(C19,'Primary_snapshot'!$A$2:$A$72,0))),"SNAPSHOT MISSING"))</x:f>
      </x:c>
      <x:c r="S19" s="3" t="str">
        <x:f>IF(INDEX('C_jama.2019.12618'!$D$2:$D$9,MATCH("2019::jama.2019.12618::C006",'C_jama.2019.12618'!$A$2:$A$9,0))="","",INDEX('C_jama.2019.12618'!$D$2:$D$9,MATCH("2019::jama.2019.12618::C006",'C_jama.2019.12618'!$A$2:$A$9,0)))</x:f>
      </x:c>
      <x:c r="T19" s="3" t="str">
        <x:f>IF(INDEX('C_jama.2019.12618'!$E$2:$E$9,MATCH("2019::jama.2019.12618::C006",'C_jama.2019.12618'!$A$2:$A$9,0))="","",INDEX('C_jama.2019.12618'!$E$2:$E$9,MATCH("2019::jama.2019.12618::C006",'C_jama.2019.12618'!$A$2:$A$9,0)))</x:f>
        <x:v>report_internal_inconsistency</x:v>
      </x:c>
      <x:c r="U19" s="3" t="str">
        <x:f>IF(AND(INDEX('C_jama.2019.12618'!$D$2:$D$9,MATCH("2019::jama.2019.12618::C006",'C_jama.2019.12618'!$A$2:$A$9,0))="retain",INDEX('C_jama.2019.12618'!$E$2:$E$9,MATCH("2019::jama.2019.12618::C006",'C_jama.2019.12618'!$A$2:$A$9,0))="statistical_results"),IF(INDEX('C_jama.2019.12618'!$H$2:$H$9,MATCH("2019::jama.2019.12618::C006",'C_jama.2019.12618'!$A$2:$A$9,0))="","",INDEX('C_jama.2019.12618'!$H$2:$H$9,MATCH("2019::jama.2019.12618::C006",'C_jama.2019.12618'!$A$2:$A$9,0))),"not_applicable")</x:f>
        <x:v>not_applicable</x:v>
      </x:c>
      <x:c r="V19" s="3" t="str">
        <x:f>IF(AND(INDEX('C_jama.2019.12618'!$D$2:$D$9,MATCH("2019::jama.2019.12618::C006",'C_jama.2019.12618'!$A$2:$A$9,0))="retain",INDEX('C_jama.2019.12618'!$E$2:$E$9,MATCH("2019::jama.2019.12618::C006",'C_jama.2019.12618'!$A$2:$A$9,0))="statistical_results"),IF(INDEX('C_jama.2019.12618'!$I$2:$I$9,MATCH("2019::jama.2019.12618::C006",'C_jama.2019.12618'!$A$2:$A$9,0))="","",INDEX('C_jama.2019.12618'!$I$2:$I$9,MATCH("2019::jama.2019.12618::C006",'C_jama.2019.12618'!$A$2:$A$9,0))),"not_applicable")</x:f>
        <x:v>not_applicable</x:v>
      </x:c>
      <x:c r="W19" s="3" t="str">
        <x:f>IF(AND(INDEX('C_jama.2019.12618'!$D$2:$D$9,MATCH("2019::jama.2019.12618::C006",'C_jama.2019.12618'!$A$2:$A$9,0))="retain",INDEX('C_jama.2019.12618'!$E$2:$E$9,MATCH("2019::jama.2019.12618::C006",'C_jama.2019.12618'!$A$2:$A$9,0))="statistical_results"),IF(INDEX('C_jama.2019.12618'!$J$2:$J$9,MATCH("2019::jama.2019.12618::C006",'C_jama.2019.12618'!$A$2:$A$9,0))="","",INDEX('C_jama.2019.12618'!$J$2:$J$9,MATCH("2019::jama.2019.12618::C006",'C_jama.2019.12618'!$A$2:$A$9,0))),"not_applicable")</x:f>
        <x:v>not_applicable</x:v>
      </x:c>
      <x:c r="X19" s="3" t="str">
        <x:f>IF(AND(INDEX('C_jama.2019.12618'!$D$2:$D$9,MATCH("2019::jama.2019.12618::C006",'C_jama.2019.12618'!$A$2:$A$9,0))="retain",OR(INDEX('C_jama.2019.12618'!$E$2:$E$9,MATCH("2019::jama.2019.12618::C006",'C_jama.2019.12618'!$A$2:$A$9,0))="report_internal_inconsistency",INDEX('C_jama.2019.12618'!$E$2:$E$9,MATCH("2019::jama.2019.12618::C006",'C_jama.2019.12618'!$A$2:$A$9,0))="plan_material")),IF(INDEX('C_jama.2019.12618'!$K$2:$K$9,MATCH("2019::jama.2019.12618::C006",'C_jama.2019.12618'!$A$2:$A$9,0))="","",INDEX('C_jama.2019.12618'!$K$2:$K$9,MATCH("2019::jama.2019.12618::C006",'C_jama.2019.12618'!$A$2:$A$9,0))),"not_applicable")</x:f>
        <x:v>not_applicable</x:v>
      </x:c>
      <x:c r="Y19" s="3" t="str">
        <x:f>IF(AND(INDEX('C_jama.2019.12618'!$D$2:$D$9,MATCH("2019::jama.2019.12618::C006",'C_jama.2019.12618'!$A$2:$A$9,0))="retain",INDEX('C_jama.2019.12618'!$E$2:$E$9,MATCH("2019::jama.2019.12618::C006",'C_jama.2019.12618'!$A$2:$A$9,0))="protocol_report"),IF(INDEX('C_jama.2019.12618'!$L$2:$L$9,MATCH("2019::jama.2019.12618::C006",'C_jama.2019.12618'!$A$2:$A$9,0))="","",INDEX('C_jama.2019.12618'!$L$2:$L$9,MATCH("2019::jama.2019.12618::C006",'C_jama.2019.12618'!$A$2:$A$9,0))),"not_applicable")</x:f>
        <x:v>not_applicable</x:v>
      </x:c>
      <x:c r="Z19" s="3" t="str">
        <x:f>IF(INDEX('C_jama.2019.12618'!$R$2:$R$9,MATCH("2019::jama.2019.12618::C006",'C_jama.2019.12618'!$A$2:$A$9,0))="","",INDEX('C_jama.2019.12618'!$R$2:$R$9,MATCH("2019::jama.2019.12618::C006",'C_jama.2019.12618'!$A$2:$A$9,0)))</x:f>
      </x:c>
      <x:c r="AA19" s="3" t="str">
        <x:f>IF(INDEX('C_jama.2019.12618'!$N$2:$N$9,MATCH("2019::jama.2019.12618::C006",'C_jama.2019.12618'!$A$2:$A$9,0))="","",INDEX('C_jama.2019.12618'!$N$2:$N$9,MATCH("2019::jama.2019.12618::C006",'C_jama.2019.12618'!$A$2:$A$9,0)))</x:f>
      </x:c>
      <x:c r="AB19" s="3" t="str">
        <x:f>IF(INDEX('C_jama.2019.12618'!$O$2:$O$9,MATCH("2019::jama.2019.12618::C006",'C_jama.2019.12618'!$A$2:$A$9,0))="","",INDEX('C_jama.2019.12618'!$O$2:$O$9,MATCH("2019::jama.2019.12618::C006",'C_jama.2019.12618'!$A$2:$A$9,0)))</x:f>
      </x:c>
      <x:c r="AC19" s="3" t="str">
        <x:f>IF(INDEX('C_jama.2019.12618'!$P$2:$P$9,MATCH("2019::jama.2019.12618::C006",'C_jama.2019.12618'!$A$2:$A$9,0))="","",INDEX('C_jama.2019.12618'!$P$2:$P$9,MATCH("2019::jama.2019.12618::C006",'C_jama.2019.12618'!$A$2:$A$9,0)))</x:f>
      </x:c>
      <x:c r="AD19" s="3" t="str">
        <x:f>IF(INDEX('C_jama.2019.12618'!$Q$2:$Q$9,MATCH("2019::jama.2019.12618::C006",'C_jama.2019.12618'!$A$2:$A$9,0))="","",INDEX('C_jama.2019.12618'!$Q$2:$Q$9,MATCH("2019::jama.2019.12618::C006",'C_jama.2019.12618'!$A$2:$A$9,0)))</x:f>
      </x:c>
    </x:row>
    <x:row r="20" ht="65" customHeight="1">
      <x:c r="A20" s="6" t="n">
        <x:v>2019</x:v>
      </x:c>
      <x:c r="B20" s="6" t="str">
        <x:v>jama.2019.12618</x:v>
      </x:c>
      <x:c r="C20" s="6" t="str">
        <x:v>2019::jama.2019.12618::C007</x:v>
      </x:c>
      <x:c r="D20" s="6" t="str">
        <x:v>S_W</x:v>
      </x:c>
      <x:c r="E20" s="6" t="n">
        <x:f>Setup!$B$2</x:f>
        <x:v>0</x:v>
      </x:c>
      <x:c r="F20" s="6" t="str">
        <x:f>IF(Setup!$B$4="","",Setup!$B$4)</x:f>
      </x:c>
      <x:c r="G20" s="6" t="str">
        <x:f>IFERROR(INDEX('C_jama.2019.12618'!$G$2:$G$9,MATCH("2019::jama.2019.12618::C007",'C_jama.2019.12618'!$A$2:$A$9,0)),"CHECK KEY")</x:f>
        <x:v>CHECK REVIEWER IDs</x:v>
      </x:c>
      <x:c r="H20" s="6" t="str">
        <x:f>IF(G20&lt;&gt;"FINAL READY","",IF(S20&lt;&gt;"retain","not_eligible",IF(D20="P_R","protocol_descriptive",IF(D20="P_P","plan_descriptive",IF(AND(T20="statistical_results",OR(U20="confirmed_issue",U20="probable_issue"),V20="substantive"),"primary_temporal",IF(AND(T20="report_internal_inconsistency",X20="substantive_inconsistency"),"secondary_temporal","not_eligible"))))))</x:f>
      </x:c>
      <x:c r="I20" s="6" t="str">
        <x:v>retain</x:v>
      </x:c>
      <x:c r="J20" s="6" t="str">
        <x:v>statistical_results</x:v>
      </x:c>
      <x:c r="K20" s="6" t="str">
        <x:f>IF(Setup!$B$6="primary","",IFERROR(IF(INDEX('Primary_snapshot'!$B$2:$B$72,MATCH(C20,'Primary_snapshot'!$A$2:$A$72,0))="","",INDEX('Primary_snapshot'!$B$2:$B$72,MATCH(C20,'Primary_snapshot'!$A$2:$A$72,0))),"SNAPSHOT MISSING"))</x:f>
      </x:c>
      <x:c r="L20" s="6" t="str">
        <x:f>IF(Setup!$B$6="primary","",IFERROR(IF(INDEX('Primary_snapshot'!$C$2:$C$72,MATCH(C20,'Primary_snapshot'!$A$2:$A$72,0))="","",INDEX('Primary_snapshot'!$C$2:$C$72,MATCH(C20,'Primary_snapshot'!$A$2:$A$72,0))),"SNAPSHOT MISSING"))</x:f>
      </x:c>
      <x:c r="M20" s="6" t="str">
        <x:f>IF(Setup!$B$6="primary","",IFERROR(IF(INDEX('Primary_snapshot'!$D$2:$D$72,MATCH(C20,'Primary_snapshot'!$A$2:$A$72,0))="","",INDEX('Primary_snapshot'!$D$2:$D$72,MATCH(C20,'Primary_snapshot'!$A$2:$A$72,0))),"SNAPSHOT MISSING"))</x:f>
      </x:c>
      <x:c r="N20" s="6" t="str">
        <x:f>IF(Setup!$B$6="primary","",IFERROR(IF(INDEX('Primary_snapshot'!$E$2:$E$72,MATCH(C20,'Primary_snapshot'!$A$2:$A$72,0))="","",INDEX('Primary_snapshot'!$E$2:$E$72,MATCH(C20,'Primary_snapshot'!$A$2:$A$72,0))),"SNAPSHOT MISSING"))</x:f>
      </x:c>
      <x:c r="O20" s="6" t="str">
        <x:f>IF(Setup!$B$6="primary","",IFERROR(IF(INDEX('Primary_snapshot'!$F$2:$F$72,MATCH(C20,'Primary_snapshot'!$A$2:$A$72,0))="","",INDEX('Primary_snapshot'!$F$2:$F$72,MATCH(C20,'Primary_snapshot'!$A$2:$A$72,0))),"SNAPSHOT MISSING"))</x:f>
      </x:c>
      <x:c r="P20" s="6" t="str">
        <x:f>IF(Setup!$B$6="primary","",IFERROR(IF(INDEX('Primary_snapshot'!$G$2:$G$72,MATCH(C20,'Primary_snapshot'!$A$2:$A$72,0))="","",INDEX('Primary_snapshot'!$G$2:$G$72,MATCH(C20,'Primary_snapshot'!$A$2:$A$72,0))),"SNAPSHOT MISSING"))</x:f>
      </x:c>
      <x:c r="Q20" s="6" t="str">
        <x:f>IF(Setup!$B$6="primary","",IFERROR(IF(INDEX('Primary_snapshot'!$H$2:$H$72,MATCH(C20,'Primary_snapshot'!$A$2:$A$72,0))="","",INDEX('Primary_snapshot'!$H$2:$H$72,MATCH(C20,'Primary_snapshot'!$A$2:$A$72,0))),"SNAPSHOT MISSING"))</x:f>
      </x:c>
      <x:c r="R20" s="6" t="str">
        <x:f>IF(Setup!$B$6="primary","",IFERROR(IF(INDEX('Primary_snapshot'!$I$2:$I$72,MATCH(C20,'Primary_snapshot'!$A$2:$A$72,0))="","",INDEX('Primary_snapshot'!$I$2:$I$72,MATCH(C20,'Primary_snapshot'!$A$2:$A$72,0))),"SNAPSHOT MISSING"))</x:f>
      </x:c>
      <x:c r="S20" s="6" t="str">
        <x:f>IF(INDEX('C_jama.2019.12618'!$D$2:$D$9,MATCH("2019::jama.2019.12618::C007",'C_jama.2019.12618'!$A$2:$A$9,0))="","",INDEX('C_jama.2019.12618'!$D$2:$D$9,MATCH("2019::jama.2019.12618::C007",'C_jama.2019.12618'!$A$2:$A$9,0)))</x:f>
      </x:c>
      <x:c r="T20" s="6" t="str">
        <x:f>IF(INDEX('C_jama.2019.12618'!$E$2:$E$9,MATCH("2019::jama.2019.12618::C007",'C_jama.2019.12618'!$A$2:$A$9,0))="","",INDEX('C_jama.2019.12618'!$E$2:$E$9,MATCH("2019::jama.2019.12618::C007",'C_jama.2019.12618'!$A$2:$A$9,0)))</x:f>
        <x:v>statistical_results</x:v>
      </x:c>
      <x:c r="U20" s="6" t="str">
        <x:f>IF(AND(INDEX('C_jama.2019.12618'!$D$2:$D$9,MATCH("2019::jama.2019.12618::C007",'C_jama.2019.12618'!$A$2:$A$9,0))="retain",INDEX('C_jama.2019.12618'!$E$2:$E$9,MATCH("2019::jama.2019.12618::C007",'C_jama.2019.12618'!$A$2:$A$9,0))="statistical_results"),IF(INDEX('C_jama.2019.12618'!$H$2:$H$9,MATCH("2019::jama.2019.12618::C007",'C_jama.2019.12618'!$A$2:$A$9,0))="","",INDEX('C_jama.2019.12618'!$H$2:$H$9,MATCH("2019::jama.2019.12618::C007",'C_jama.2019.12618'!$A$2:$A$9,0))),"not_applicable")</x:f>
        <x:v>not_applicable</x:v>
      </x:c>
      <x:c r="V20" s="6" t="str">
        <x:f>IF(AND(INDEX('C_jama.2019.12618'!$D$2:$D$9,MATCH("2019::jama.2019.12618::C007",'C_jama.2019.12618'!$A$2:$A$9,0))="retain",INDEX('C_jama.2019.12618'!$E$2:$E$9,MATCH("2019::jama.2019.12618::C007",'C_jama.2019.12618'!$A$2:$A$9,0))="statistical_results"),IF(INDEX('C_jama.2019.12618'!$I$2:$I$9,MATCH("2019::jama.2019.12618::C007",'C_jama.2019.12618'!$A$2:$A$9,0))="","",INDEX('C_jama.2019.12618'!$I$2:$I$9,MATCH("2019::jama.2019.12618::C007",'C_jama.2019.12618'!$A$2:$A$9,0))),"not_applicable")</x:f>
        <x:v>not_applicable</x:v>
      </x:c>
      <x:c r="W20" s="6" t="str">
        <x:f>IF(AND(INDEX('C_jama.2019.12618'!$D$2:$D$9,MATCH("2019::jama.2019.12618::C007",'C_jama.2019.12618'!$A$2:$A$9,0))="retain",INDEX('C_jama.2019.12618'!$E$2:$E$9,MATCH("2019::jama.2019.12618::C007",'C_jama.2019.12618'!$A$2:$A$9,0))="statistical_results"),IF(INDEX('C_jama.2019.12618'!$J$2:$J$9,MATCH("2019::jama.2019.12618::C007",'C_jama.2019.12618'!$A$2:$A$9,0))="","",INDEX('C_jama.2019.12618'!$J$2:$J$9,MATCH("2019::jama.2019.12618::C007",'C_jama.2019.12618'!$A$2:$A$9,0))),"not_applicable")</x:f>
        <x:v>not_applicable</x:v>
      </x:c>
      <x:c r="X20" s="6" t="str">
        <x:f>IF(AND(INDEX('C_jama.2019.12618'!$D$2:$D$9,MATCH("2019::jama.2019.12618::C007",'C_jama.2019.12618'!$A$2:$A$9,0))="retain",OR(INDEX('C_jama.2019.12618'!$E$2:$E$9,MATCH("2019::jama.2019.12618::C007",'C_jama.2019.12618'!$A$2:$A$9,0))="report_internal_inconsistency",INDEX('C_jama.2019.12618'!$E$2:$E$9,MATCH("2019::jama.2019.12618::C007",'C_jama.2019.12618'!$A$2:$A$9,0))="plan_material")),IF(INDEX('C_jama.2019.12618'!$K$2:$K$9,MATCH("2019::jama.2019.12618::C007",'C_jama.2019.12618'!$A$2:$A$9,0))="","",INDEX('C_jama.2019.12618'!$K$2:$K$9,MATCH("2019::jama.2019.12618::C007",'C_jama.2019.12618'!$A$2:$A$9,0))),"not_applicable")</x:f>
        <x:v>not_applicable</x:v>
      </x:c>
      <x:c r="Y20" s="6" t="str">
        <x:f>IF(AND(INDEX('C_jama.2019.12618'!$D$2:$D$9,MATCH("2019::jama.2019.12618::C007",'C_jama.2019.12618'!$A$2:$A$9,0))="retain",INDEX('C_jama.2019.12618'!$E$2:$E$9,MATCH("2019::jama.2019.12618::C007",'C_jama.2019.12618'!$A$2:$A$9,0))="protocol_report"),IF(INDEX('C_jama.2019.12618'!$L$2:$L$9,MATCH("2019::jama.2019.12618::C007",'C_jama.2019.12618'!$A$2:$A$9,0))="","",INDEX('C_jama.2019.12618'!$L$2:$L$9,MATCH("2019::jama.2019.12618::C007",'C_jama.2019.12618'!$A$2:$A$9,0))),"not_applicable")</x:f>
        <x:v>not_applicable</x:v>
      </x:c>
      <x:c r="Z20" s="6" t="str">
        <x:f>IF(INDEX('C_jama.2019.12618'!$R$2:$R$9,MATCH("2019::jama.2019.12618::C007",'C_jama.2019.12618'!$A$2:$A$9,0))="","",INDEX('C_jama.2019.12618'!$R$2:$R$9,MATCH("2019::jama.2019.12618::C007",'C_jama.2019.12618'!$A$2:$A$9,0)))</x:f>
      </x:c>
      <x:c r="AA20" s="6" t="str">
        <x:f>IF(INDEX('C_jama.2019.12618'!$N$2:$N$9,MATCH("2019::jama.2019.12618::C007",'C_jama.2019.12618'!$A$2:$A$9,0))="","",INDEX('C_jama.2019.12618'!$N$2:$N$9,MATCH("2019::jama.2019.12618::C007",'C_jama.2019.12618'!$A$2:$A$9,0)))</x:f>
      </x:c>
      <x:c r="AB20" s="6" t="str">
        <x:f>IF(INDEX('C_jama.2019.12618'!$O$2:$O$9,MATCH("2019::jama.2019.12618::C007",'C_jama.2019.12618'!$A$2:$A$9,0))="","",INDEX('C_jama.2019.12618'!$O$2:$O$9,MATCH("2019::jama.2019.12618::C007",'C_jama.2019.12618'!$A$2:$A$9,0)))</x:f>
      </x:c>
      <x:c r="AC20" s="6" t="str">
        <x:f>IF(INDEX('C_jama.2019.12618'!$P$2:$P$9,MATCH("2019::jama.2019.12618::C007",'C_jama.2019.12618'!$A$2:$A$9,0))="","",INDEX('C_jama.2019.12618'!$P$2:$P$9,MATCH("2019::jama.2019.12618::C007",'C_jama.2019.12618'!$A$2:$A$9,0)))</x:f>
      </x:c>
      <x:c r="AD20" s="6" t="str">
        <x:f>IF(INDEX('C_jama.2019.12618'!$Q$2:$Q$9,MATCH("2019::jama.2019.12618::C007",'C_jama.2019.12618'!$A$2:$A$9,0))="","",INDEX('C_jama.2019.12618'!$Q$2:$Q$9,MATCH("2019::jama.2019.12618::C007",'C_jama.2019.12618'!$A$2:$A$9,0)))</x:f>
      </x:c>
    </x:row>
    <x:row r="21" ht="65" customHeight="1">
      <x:c r="A21" s="3" t="n">
        <x:v>2019</x:v>
      </x:c>
      <x:c r="B21" s="3" t="str">
        <x:v>jama.2019.12618</x:v>
      </x:c>
      <x:c r="C21" s="3" t="str">
        <x:v>2019::jama.2019.12618::C008</x:v>
      </x:c>
      <x:c r="D21" s="3" t="str">
        <x:v>S_W</x:v>
      </x:c>
      <x:c r="E21" s="3" t="n">
        <x:f>Setup!$B$2</x:f>
        <x:v>0</x:v>
      </x:c>
      <x:c r="F21" s="3" t="str">
        <x:f>IF(Setup!$B$4="","",Setup!$B$4)</x:f>
      </x:c>
      <x:c r="G21" s="3" t="str">
        <x:f>IFERROR(INDEX('C_jama.2019.12618'!$G$2:$G$9,MATCH("2019::jama.2019.12618::C008",'C_jama.2019.12618'!$A$2:$A$9,0)),"CHECK KEY")</x:f>
        <x:v>CHECK REVIEWER IDs</x:v>
      </x:c>
      <x:c r="H21" s="3" t="str">
        <x:f>IF(G21&lt;&gt;"FINAL READY","",IF(S21&lt;&gt;"retain","not_eligible",IF(D21="P_R","protocol_descriptive",IF(D21="P_P","plan_descriptive",IF(AND(T21="statistical_results",OR(U21="confirmed_issue",U21="probable_issue"),V21="substantive"),"primary_temporal",IF(AND(T21="report_internal_inconsistency",X21="substantive_inconsistency"),"secondary_temporal","not_eligible"))))))</x:f>
      </x:c>
      <x:c r="I21" s="3" t="str">
        <x:v>retain</x:v>
      </x:c>
      <x:c r="J21" s="3" t="str">
        <x:v>report_internal_inconsistency</x:v>
      </x:c>
      <x:c r="K21" s="3" t="str">
        <x:f>IF(Setup!$B$6="primary","",IFERROR(IF(INDEX('Primary_snapshot'!$B$2:$B$72,MATCH(C21,'Primary_snapshot'!$A$2:$A$72,0))="","",INDEX('Primary_snapshot'!$B$2:$B$72,MATCH(C21,'Primary_snapshot'!$A$2:$A$72,0))),"SNAPSHOT MISSING"))</x:f>
      </x:c>
      <x:c r="L21" s="3" t="str">
        <x:f>IF(Setup!$B$6="primary","",IFERROR(IF(INDEX('Primary_snapshot'!$C$2:$C$72,MATCH(C21,'Primary_snapshot'!$A$2:$A$72,0))="","",INDEX('Primary_snapshot'!$C$2:$C$72,MATCH(C21,'Primary_snapshot'!$A$2:$A$72,0))),"SNAPSHOT MISSING"))</x:f>
      </x:c>
      <x:c r="M21" s="3" t="str">
        <x:f>IF(Setup!$B$6="primary","",IFERROR(IF(INDEX('Primary_snapshot'!$D$2:$D$72,MATCH(C21,'Primary_snapshot'!$A$2:$A$72,0))="","",INDEX('Primary_snapshot'!$D$2:$D$72,MATCH(C21,'Primary_snapshot'!$A$2:$A$72,0))),"SNAPSHOT MISSING"))</x:f>
      </x:c>
      <x:c r="N21" s="3" t="str">
        <x:f>IF(Setup!$B$6="primary","",IFERROR(IF(INDEX('Primary_snapshot'!$E$2:$E$72,MATCH(C21,'Primary_snapshot'!$A$2:$A$72,0))="","",INDEX('Primary_snapshot'!$E$2:$E$72,MATCH(C21,'Primary_snapshot'!$A$2:$A$72,0))),"SNAPSHOT MISSING"))</x:f>
      </x:c>
      <x:c r="O21" s="3" t="str">
        <x:f>IF(Setup!$B$6="primary","",IFERROR(IF(INDEX('Primary_snapshot'!$F$2:$F$72,MATCH(C21,'Primary_snapshot'!$A$2:$A$72,0))="","",INDEX('Primary_snapshot'!$F$2:$F$72,MATCH(C21,'Primary_snapshot'!$A$2:$A$72,0))),"SNAPSHOT MISSING"))</x:f>
      </x:c>
      <x:c r="P21" s="3" t="str">
        <x:f>IF(Setup!$B$6="primary","",IFERROR(IF(INDEX('Primary_snapshot'!$G$2:$G$72,MATCH(C21,'Primary_snapshot'!$A$2:$A$72,0))="","",INDEX('Primary_snapshot'!$G$2:$G$72,MATCH(C21,'Primary_snapshot'!$A$2:$A$72,0))),"SNAPSHOT MISSING"))</x:f>
      </x:c>
      <x:c r="Q21" s="3" t="str">
        <x:f>IF(Setup!$B$6="primary","",IFERROR(IF(INDEX('Primary_snapshot'!$H$2:$H$72,MATCH(C21,'Primary_snapshot'!$A$2:$A$72,0))="","",INDEX('Primary_snapshot'!$H$2:$H$72,MATCH(C21,'Primary_snapshot'!$A$2:$A$72,0))),"SNAPSHOT MISSING"))</x:f>
      </x:c>
      <x:c r="R21" s="3" t="str">
        <x:f>IF(Setup!$B$6="primary","",IFERROR(IF(INDEX('Primary_snapshot'!$I$2:$I$72,MATCH(C21,'Primary_snapshot'!$A$2:$A$72,0))="","",INDEX('Primary_snapshot'!$I$2:$I$72,MATCH(C21,'Primary_snapshot'!$A$2:$A$72,0))),"SNAPSHOT MISSING"))</x:f>
      </x:c>
      <x:c r="S21" s="3" t="str">
        <x:f>IF(INDEX('C_jama.2019.12618'!$D$2:$D$9,MATCH("2019::jama.2019.12618::C008",'C_jama.2019.12618'!$A$2:$A$9,0))="","",INDEX('C_jama.2019.12618'!$D$2:$D$9,MATCH("2019::jama.2019.12618::C008",'C_jama.2019.12618'!$A$2:$A$9,0)))</x:f>
      </x:c>
      <x:c r="T21" s="3" t="str">
        <x:f>IF(INDEX('C_jama.2019.12618'!$E$2:$E$9,MATCH("2019::jama.2019.12618::C008",'C_jama.2019.12618'!$A$2:$A$9,0))="","",INDEX('C_jama.2019.12618'!$E$2:$E$9,MATCH("2019::jama.2019.12618::C008",'C_jama.2019.12618'!$A$2:$A$9,0)))</x:f>
        <x:v>report_internal_inconsistency</x:v>
      </x:c>
      <x:c r="U21" s="3" t="str">
        <x:f>IF(AND(INDEX('C_jama.2019.12618'!$D$2:$D$9,MATCH("2019::jama.2019.12618::C008",'C_jama.2019.12618'!$A$2:$A$9,0))="retain",INDEX('C_jama.2019.12618'!$E$2:$E$9,MATCH("2019::jama.2019.12618::C008",'C_jama.2019.12618'!$A$2:$A$9,0))="statistical_results"),IF(INDEX('C_jama.2019.12618'!$H$2:$H$9,MATCH("2019::jama.2019.12618::C008",'C_jama.2019.12618'!$A$2:$A$9,0))="","",INDEX('C_jama.2019.12618'!$H$2:$H$9,MATCH("2019::jama.2019.12618::C008",'C_jama.2019.12618'!$A$2:$A$9,0))),"not_applicable")</x:f>
        <x:v>not_applicable</x:v>
      </x:c>
      <x:c r="V21" s="3" t="str">
        <x:f>IF(AND(INDEX('C_jama.2019.12618'!$D$2:$D$9,MATCH("2019::jama.2019.12618::C008",'C_jama.2019.12618'!$A$2:$A$9,0))="retain",INDEX('C_jama.2019.12618'!$E$2:$E$9,MATCH("2019::jama.2019.12618::C008",'C_jama.2019.12618'!$A$2:$A$9,0))="statistical_results"),IF(INDEX('C_jama.2019.12618'!$I$2:$I$9,MATCH("2019::jama.2019.12618::C008",'C_jama.2019.12618'!$A$2:$A$9,0))="","",INDEX('C_jama.2019.12618'!$I$2:$I$9,MATCH("2019::jama.2019.12618::C008",'C_jama.2019.12618'!$A$2:$A$9,0))),"not_applicable")</x:f>
        <x:v>not_applicable</x:v>
      </x:c>
      <x:c r="W21" s="3" t="str">
        <x:f>IF(AND(INDEX('C_jama.2019.12618'!$D$2:$D$9,MATCH("2019::jama.2019.12618::C008",'C_jama.2019.12618'!$A$2:$A$9,0))="retain",INDEX('C_jama.2019.12618'!$E$2:$E$9,MATCH("2019::jama.2019.12618::C008",'C_jama.2019.12618'!$A$2:$A$9,0))="statistical_results"),IF(INDEX('C_jama.2019.12618'!$J$2:$J$9,MATCH("2019::jama.2019.12618::C008",'C_jama.2019.12618'!$A$2:$A$9,0))="","",INDEX('C_jama.2019.12618'!$J$2:$J$9,MATCH("2019::jama.2019.12618::C008",'C_jama.2019.12618'!$A$2:$A$9,0))),"not_applicable")</x:f>
        <x:v>not_applicable</x:v>
      </x:c>
      <x:c r="X21" s="3" t="str">
        <x:f>IF(AND(INDEX('C_jama.2019.12618'!$D$2:$D$9,MATCH("2019::jama.2019.12618::C008",'C_jama.2019.12618'!$A$2:$A$9,0))="retain",OR(INDEX('C_jama.2019.12618'!$E$2:$E$9,MATCH("2019::jama.2019.12618::C008",'C_jama.2019.12618'!$A$2:$A$9,0))="report_internal_inconsistency",INDEX('C_jama.2019.12618'!$E$2:$E$9,MATCH("2019::jama.2019.12618::C008",'C_jama.2019.12618'!$A$2:$A$9,0))="plan_material")),IF(INDEX('C_jama.2019.12618'!$K$2:$K$9,MATCH("2019::jama.2019.12618::C008",'C_jama.2019.12618'!$A$2:$A$9,0))="","",INDEX('C_jama.2019.12618'!$K$2:$K$9,MATCH("2019::jama.2019.12618::C008",'C_jama.2019.12618'!$A$2:$A$9,0))),"not_applicable")</x:f>
        <x:v>not_applicable</x:v>
      </x:c>
      <x:c r="Y21" s="3" t="str">
        <x:f>IF(AND(INDEX('C_jama.2019.12618'!$D$2:$D$9,MATCH("2019::jama.2019.12618::C008",'C_jama.2019.12618'!$A$2:$A$9,0))="retain",INDEX('C_jama.2019.12618'!$E$2:$E$9,MATCH("2019::jama.2019.12618::C008",'C_jama.2019.12618'!$A$2:$A$9,0))="protocol_report"),IF(INDEX('C_jama.2019.12618'!$L$2:$L$9,MATCH("2019::jama.2019.12618::C008",'C_jama.2019.12618'!$A$2:$A$9,0))="","",INDEX('C_jama.2019.12618'!$L$2:$L$9,MATCH("2019::jama.2019.12618::C008",'C_jama.2019.12618'!$A$2:$A$9,0))),"not_applicable")</x:f>
        <x:v>not_applicable</x:v>
      </x:c>
      <x:c r="Z21" s="3" t="str">
        <x:f>IF(INDEX('C_jama.2019.12618'!$R$2:$R$9,MATCH("2019::jama.2019.12618::C008",'C_jama.2019.12618'!$A$2:$A$9,0))="","",INDEX('C_jama.2019.12618'!$R$2:$R$9,MATCH("2019::jama.2019.12618::C008",'C_jama.2019.12618'!$A$2:$A$9,0)))</x:f>
      </x:c>
      <x:c r="AA21" s="3" t="str">
        <x:f>IF(INDEX('C_jama.2019.12618'!$N$2:$N$9,MATCH("2019::jama.2019.12618::C008",'C_jama.2019.12618'!$A$2:$A$9,0))="","",INDEX('C_jama.2019.12618'!$N$2:$N$9,MATCH("2019::jama.2019.12618::C008",'C_jama.2019.12618'!$A$2:$A$9,0)))</x:f>
      </x:c>
      <x:c r="AB21" s="3" t="str">
        <x:f>IF(INDEX('C_jama.2019.12618'!$O$2:$O$9,MATCH("2019::jama.2019.12618::C008",'C_jama.2019.12618'!$A$2:$A$9,0))="","",INDEX('C_jama.2019.12618'!$O$2:$O$9,MATCH("2019::jama.2019.12618::C008",'C_jama.2019.12618'!$A$2:$A$9,0)))</x:f>
      </x:c>
      <x:c r="AC21" s="3" t="str">
        <x:f>IF(INDEX('C_jama.2019.12618'!$P$2:$P$9,MATCH("2019::jama.2019.12618::C008",'C_jama.2019.12618'!$A$2:$A$9,0))="","",INDEX('C_jama.2019.12618'!$P$2:$P$9,MATCH("2019::jama.2019.12618::C008",'C_jama.2019.12618'!$A$2:$A$9,0)))</x:f>
      </x:c>
      <x:c r="AD21" s="3" t="str">
        <x:f>IF(INDEX('C_jama.2019.12618'!$Q$2:$Q$9,MATCH("2019::jama.2019.12618::C008",'C_jama.2019.12618'!$A$2:$A$9,0))="","",INDEX('C_jama.2019.12618'!$Q$2:$Q$9,MATCH("2019::jama.2019.12618::C008",'C_jama.2019.12618'!$A$2:$A$9,0)))</x:f>
      </x:c>
    </x:row>
    <x:row r="22" ht="65" customHeight="1">
      <x:c r="A22" s="6" t="n">
        <x:v>2019</x:v>
      </x:c>
      <x:c r="B22" s="6" t="str">
        <x:v>jama.2019.14231</x:v>
      </x:c>
      <x:c r="C22" s="6" t="str">
        <x:v>2019::jama.2019.14231::C001</x:v>
      </x:c>
      <x:c r="D22" s="6" t="str">
        <x:v>P_R</x:v>
      </x:c>
      <x:c r="E22" s="6" t="n">
        <x:f>Setup!$B$2</x:f>
        <x:v>0</x:v>
      </x:c>
      <x:c r="F22" s="6" t="str">
        <x:f>IF(Setup!$B$4="","",Setup!$B$4)</x:f>
      </x:c>
      <x:c r="G22" s="6" t="str">
        <x:f>IFERROR(INDEX('C_jama.2019.14231'!$G$2:$G$12,MATCH("2019::jama.2019.14231::C001",'C_jama.2019.14231'!$A$2:$A$12,0)),"CHECK KEY")</x:f>
        <x:v>CHECK REVIEWER IDs</x:v>
      </x:c>
      <x:c r="H22" s="6" t="str">
        <x:f>IF(G22&lt;&gt;"FINAL READY","",IF(S22&lt;&gt;"retain","not_eligible",IF(D22="P_R","protocol_descriptive",IF(D22="P_P","plan_descriptive",IF(AND(T22="statistical_results",OR(U22="confirmed_issue",U22="probable_issue"),V22="substantive"),"primary_temporal",IF(AND(T22="report_internal_inconsistency",X22="substantive_inconsistency"),"secondary_temporal","not_eligible"))))))</x:f>
      </x:c>
      <x:c r="I22" s="6" t="str">
        <x:v>retain</x:v>
      </x:c>
      <x:c r="J22" s="6" t="str">
        <x:v>protocol_report</x:v>
      </x:c>
      <x:c r="K22" s="6" t="str">
        <x:f>IF(Setup!$B$6="primary","",IFERROR(IF(INDEX('Primary_snapshot'!$B$2:$B$72,MATCH(C22,'Primary_snapshot'!$A$2:$A$72,0))="","",INDEX('Primary_snapshot'!$B$2:$B$72,MATCH(C22,'Primary_snapshot'!$A$2:$A$72,0))),"SNAPSHOT MISSING"))</x:f>
      </x:c>
      <x:c r="L22" s="6" t="str">
        <x:f>IF(Setup!$B$6="primary","",IFERROR(IF(INDEX('Primary_snapshot'!$C$2:$C$72,MATCH(C22,'Primary_snapshot'!$A$2:$A$72,0))="","",INDEX('Primary_snapshot'!$C$2:$C$72,MATCH(C22,'Primary_snapshot'!$A$2:$A$72,0))),"SNAPSHOT MISSING"))</x:f>
      </x:c>
      <x:c r="M22" s="6" t="str">
        <x:f>IF(Setup!$B$6="primary","",IFERROR(IF(INDEX('Primary_snapshot'!$D$2:$D$72,MATCH(C22,'Primary_snapshot'!$A$2:$A$72,0))="","",INDEX('Primary_snapshot'!$D$2:$D$72,MATCH(C22,'Primary_snapshot'!$A$2:$A$72,0))),"SNAPSHOT MISSING"))</x:f>
      </x:c>
      <x:c r="N22" s="6" t="str">
        <x:f>IF(Setup!$B$6="primary","",IFERROR(IF(INDEX('Primary_snapshot'!$E$2:$E$72,MATCH(C22,'Primary_snapshot'!$A$2:$A$72,0))="","",INDEX('Primary_snapshot'!$E$2:$E$72,MATCH(C22,'Primary_snapshot'!$A$2:$A$72,0))),"SNAPSHOT MISSING"))</x:f>
      </x:c>
      <x:c r="O22" s="6" t="str">
        <x:f>IF(Setup!$B$6="primary","",IFERROR(IF(INDEX('Primary_snapshot'!$F$2:$F$72,MATCH(C22,'Primary_snapshot'!$A$2:$A$72,0))="","",INDEX('Primary_snapshot'!$F$2:$F$72,MATCH(C22,'Primary_snapshot'!$A$2:$A$72,0))),"SNAPSHOT MISSING"))</x:f>
      </x:c>
      <x:c r="P22" s="6" t="str">
        <x:f>IF(Setup!$B$6="primary","",IFERROR(IF(INDEX('Primary_snapshot'!$G$2:$G$72,MATCH(C22,'Primary_snapshot'!$A$2:$A$72,0))="","",INDEX('Primary_snapshot'!$G$2:$G$72,MATCH(C22,'Primary_snapshot'!$A$2:$A$72,0))),"SNAPSHOT MISSING"))</x:f>
      </x:c>
      <x:c r="Q22" s="6" t="str">
        <x:f>IF(Setup!$B$6="primary","",IFERROR(IF(INDEX('Primary_snapshot'!$H$2:$H$72,MATCH(C22,'Primary_snapshot'!$A$2:$A$72,0))="","",INDEX('Primary_snapshot'!$H$2:$H$72,MATCH(C22,'Primary_snapshot'!$A$2:$A$72,0))),"SNAPSHOT MISSING"))</x:f>
      </x:c>
      <x:c r="R22" s="6" t="str">
        <x:f>IF(Setup!$B$6="primary","",IFERROR(IF(INDEX('Primary_snapshot'!$I$2:$I$72,MATCH(C22,'Primary_snapshot'!$A$2:$A$72,0))="","",INDEX('Primary_snapshot'!$I$2:$I$72,MATCH(C22,'Primary_snapshot'!$A$2:$A$72,0))),"SNAPSHOT MISSING"))</x:f>
      </x:c>
      <x:c r="S22" s="6" t="str">
        <x:f>IF(INDEX('C_jama.2019.14231'!$D$2:$D$12,MATCH("2019::jama.2019.14231::C001",'C_jama.2019.14231'!$A$2:$A$12,0))="","",INDEX('C_jama.2019.14231'!$D$2:$D$12,MATCH("2019::jama.2019.14231::C001",'C_jama.2019.14231'!$A$2:$A$12,0)))</x:f>
      </x:c>
      <x:c r="T22" s="6" t="str">
        <x:f>IF(INDEX('C_jama.2019.14231'!$E$2:$E$12,MATCH("2019::jama.2019.14231::C001",'C_jama.2019.14231'!$A$2:$A$12,0))="","",INDEX('C_jama.2019.14231'!$E$2:$E$12,MATCH("2019::jama.2019.14231::C001",'C_jama.2019.14231'!$A$2:$A$12,0)))</x:f>
        <x:v>protocol_report</x:v>
      </x:c>
      <x:c r="U22" s="6" t="str">
        <x:f>IF(AND(INDEX('C_jama.2019.14231'!$D$2:$D$12,MATCH("2019::jama.2019.14231::C001",'C_jama.2019.14231'!$A$2:$A$12,0))="retain",INDEX('C_jama.2019.14231'!$E$2:$E$12,MATCH("2019::jama.2019.14231::C001",'C_jama.2019.14231'!$A$2:$A$12,0))="statistical_results"),IF(INDEX('C_jama.2019.14231'!$H$2:$H$12,MATCH("2019::jama.2019.14231::C001",'C_jama.2019.14231'!$A$2:$A$12,0))="","",INDEX('C_jama.2019.14231'!$H$2:$H$12,MATCH("2019::jama.2019.14231::C001",'C_jama.2019.14231'!$A$2:$A$12,0))),"not_applicable")</x:f>
        <x:v>not_applicable</x:v>
      </x:c>
      <x:c r="V22" s="6" t="str">
        <x:f>IF(AND(INDEX('C_jama.2019.14231'!$D$2:$D$12,MATCH("2019::jama.2019.14231::C001",'C_jama.2019.14231'!$A$2:$A$12,0))="retain",INDEX('C_jama.2019.14231'!$E$2:$E$12,MATCH("2019::jama.2019.14231::C001",'C_jama.2019.14231'!$A$2:$A$12,0))="statistical_results"),IF(INDEX('C_jama.2019.14231'!$I$2:$I$12,MATCH("2019::jama.2019.14231::C001",'C_jama.2019.14231'!$A$2:$A$12,0))="","",INDEX('C_jama.2019.14231'!$I$2:$I$12,MATCH("2019::jama.2019.14231::C001",'C_jama.2019.14231'!$A$2:$A$12,0))),"not_applicable")</x:f>
        <x:v>not_applicable</x:v>
      </x:c>
      <x:c r="W22" s="6" t="str">
        <x:f>IF(AND(INDEX('C_jama.2019.14231'!$D$2:$D$12,MATCH("2019::jama.2019.14231::C001",'C_jama.2019.14231'!$A$2:$A$12,0))="retain",INDEX('C_jama.2019.14231'!$E$2:$E$12,MATCH("2019::jama.2019.14231::C001",'C_jama.2019.14231'!$A$2:$A$12,0))="statistical_results"),IF(INDEX('C_jama.2019.14231'!$J$2:$J$12,MATCH("2019::jama.2019.14231::C001",'C_jama.2019.14231'!$A$2:$A$12,0))="","",INDEX('C_jama.2019.14231'!$J$2:$J$12,MATCH("2019::jama.2019.14231::C001",'C_jama.2019.14231'!$A$2:$A$12,0))),"not_applicable")</x:f>
        <x:v>not_applicable</x:v>
      </x:c>
      <x:c r="X22" s="6" t="str">
        <x:f>IF(AND(INDEX('C_jama.2019.14231'!$D$2:$D$12,MATCH("2019::jama.2019.14231::C001",'C_jama.2019.14231'!$A$2:$A$12,0))="retain",OR(INDEX('C_jama.2019.14231'!$E$2:$E$12,MATCH("2019::jama.2019.14231::C001",'C_jama.2019.14231'!$A$2:$A$12,0))="report_internal_inconsistency",INDEX('C_jama.2019.14231'!$E$2:$E$12,MATCH("2019::jama.2019.14231::C001",'C_jama.2019.14231'!$A$2:$A$12,0))="plan_material")),IF(INDEX('C_jama.2019.14231'!$K$2:$K$12,MATCH("2019::jama.2019.14231::C001",'C_jama.2019.14231'!$A$2:$A$12,0))="","",INDEX('C_jama.2019.14231'!$K$2:$K$12,MATCH("2019::jama.2019.14231::C001",'C_jama.2019.14231'!$A$2:$A$12,0))),"not_applicable")</x:f>
        <x:v>not_applicable</x:v>
      </x:c>
      <x:c r="Y22" s="6" t="str">
        <x:f>IF(AND(INDEX('C_jama.2019.14231'!$D$2:$D$12,MATCH("2019::jama.2019.14231::C001",'C_jama.2019.14231'!$A$2:$A$12,0))="retain",INDEX('C_jama.2019.14231'!$E$2:$E$12,MATCH("2019::jama.2019.14231::C001",'C_jama.2019.14231'!$A$2:$A$12,0))="protocol_report"),IF(INDEX('C_jama.2019.14231'!$L$2:$L$12,MATCH("2019::jama.2019.14231::C001",'C_jama.2019.14231'!$A$2:$A$12,0))="","",INDEX('C_jama.2019.14231'!$L$2:$L$12,MATCH("2019::jama.2019.14231::C001",'C_jama.2019.14231'!$A$2:$A$12,0))),"not_applicable")</x:f>
        <x:v>not_applicable</x:v>
      </x:c>
      <x:c r="Z22" s="6" t="str">
        <x:f>IF(INDEX('C_jama.2019.14231'!$R$2:$R$12,MATCH("2019::jama.2019.14231::C001",'C_jama.2019.14231'!$A$2:$A$12,0))="","",INDEX('C_jama.2019.14231'!$R$2:$R$12,MATCH("2019::jama.2019.14231::C001",'C_jama.2019.14231'!$A$2:$A$12,0)))</x:f>
      </x:c>
      <x:c r="AA22" s="6" t="str">
        <x:f>IF(INDEX('C_jama.2019.14231'!$N$2:$N$12,MATCH("2019::jama.2019.14231::C001",'C_jama.2019.14231'!$A$2:$A$12,0))="","",INDEX('C_jama.2019.14231'!$N$2:$N$12,MATCH("2019::jama.2019.14231::C001",'C_jama.2019.14231'!$A$2:$A$12,0)))</x:f>
      </x:c>
      <x:c r="AB22" s="6" t="str">
        <x:f>IF(INDEX('C_jama.2019.14231'!$O$2:$O$12,MATCH("2019::jama.2019.14231::C001",'C_jama.2019.14231'!$A$2:$A$12,0))="","",INDEX('C_jama.2019.14231'!$O$2:$O$12,MATCH("2019::jama.2019.14231::C001",'C_jama.2019.14231'!$A$2:$A$12,0)))</x:f>
      </x:c>
      <x:c r="AC22" s="6" t="str">
        <x:f>IF(INDEX('C_jama.2019.14231'!$P$2:$P$12,MATCH("2019::jama.2019.14231::C001",'C_jama.2019.14231'!$A$2:$A$12,0))="","",INDEX('C_jama.2019.14231'!$P$2:$P$12,MATCH("2019::jama.2019.14231::C001",'C_jama.2019.14231'!$A$2:$A$12,0)))</x:f>
      </x:c>
      <x:c r="AD22" s="6" t="str">
        <x:f>IF(INDEX('C_jama.2019.14231'!$Q$2:$Q$12,MATCH("2019::jama.2019.14231::C001",'C_jama.2019.14231'!$A$2:$A$12,0))="","",INDEX('C_jama.2019.14231'!$Q$2:$Q$12,MATCH("2019::jama.2019.14231::C001",'C_jama.2019.14231'!$A$2:$A$12,0)))</x:f>
      </x:c>
    </x:row>
    <x:row r="23" ht="65" customHeight="1">
      <x:c r="A23" s="3" t="n">
        <x:v>2019</x:v>
      </x:c>
      <x:c r="B23" s="3" t="str">
        <x:v>jama.2019.14231</x:v>
      </x:c>
      <x:c r="C23" s="3" t="str">
        <x:v>2019::jama.2019.14231::C002</x:v>
      </x:c>
      <x:c r="D23" s="3" t="str">
        <x:v>S_W</x:v>
      </x:c>
      <x:c r="E23" s="3" t="n">
        <x:f>Setup!$B$2</x:f>
        <x:v>0</x:v>
      </x:c>
      <x:c r="F23" s="3" t="str">
        <x:f>IF(Setup!$B$4="","",Setup!$B$4)</x:f>
      </x:c>
      <x:c r="G23" s="3" t="str">
        <x:f>IFERROR(INDEX('C_jama.2019.14231'!$G$2:$G$12,MATCH("2019::jama.2019.14231::C002",'C_jama.2019.14231'!$A$2:$A$12,0)),"CHECK KEY")</x:f>
        <x:v>CHECK REVIEWER IDs</x:v>
      </x:c>
      <x:c r="H23" s="3" t="str">
        <x:f>IF(G23&lt;&gt;"FINAL READY","",IF(S23&lt;&gt;"retain","not_eligible",IF(D23="P_R","protocol_descriptive",IF(D23="P_P","plan_descriptive",IF(AND(T23="statistical_results",OR(U23="confirmed_issue",U23="probable_issue"),V23="substantive"),"primary_temporal",IF(AND(T23="report_internal_inconsistency",X23="substantive_inconsistency"),"secondary_temporal","not_eligible"))))))</x:f>
      </x:c>
      <x:c r="I23" s="3" t="str">
        <x:v>retain</x:v>
      </x:c>
      <x:c r="J23" s="3" t="str">
        <x:v>statistical_results</x:v>
      </x:c>
      <x:c r="K23" s="3" t="str">
        <x:f>IF(Setup!$B$6="primary","",IFERROR(IF(INDEX('Primary_snapshot'!$B$2:$B$72,MATCH(C23,'Primary_snapshot'!$A$2:$A$72,0))="","",INDEX('Primary_snapshot'!$B$2:$B$72,MATCH(C23,'Primary_snapshot'!$A$2:$A$72,0))),"SNAPSHOT MISSING"))</x:f>
      </x:c>
      <x:c r="L23" s="3" t="str">
        <x:f>IF(Setup!$B$6="primary","",IFERROR(IF(INDEX('Primary_snapshot'!$C$2:$C$72,MATCH(C23,'Primary_snapshot'!$A$2:$A$72,0))="","",INDEX('Primary_snapshot'!$C$2:$C$72,MATCH(C23,'Primary_snapshot'!$A$2:$A$72,0))),"SNAPSHOT MISSING"))</x:f>
      </x:c>
      <x:c r="M23" s="3" t="str">
        <x:f>IF(Setup!$B$6="primary","",IFERROR(IF(INDEX('Primary_snapshot'!$D$2:$D$72,MATCH(C23,'Primary_snapshot'!$A$2:$A$72,0))="","",INDEX('Primary_snapshot'!$D$2:$D$72,MATCH(C23,'Primary_snapshot'!$A$2:$A$72,0))),"SNAPSHOT MISSING"))</x:f>
      </x:c>
      <x:c r="N23" s="3" t="str">
        <x:f>IF(Setup!$B$6="primary","",IFERROR(IF(INDEX('Primary_snapshot'!$E$2:$E$72,MATCH(C23,'Primary_snapshot'!$A$2:$A$72,0))="","",INDEX('Primary_snapshot'!$E$2:$E$72,MATCH(C23,'Primary_snapshot'!$A$2:$A$72,0))),"SNAPSHOT MISSING"))</x:f>
      </x:c>
      <x:c r="O23" s="3" t="str">
        <x:f>IF(Setup!$B$6="primary","",IFERROR(IF(INDEX('Primary_snapshot'!$F$2:$F$72,MATCH(C23,'Primary_snapshot'!$A$2:$A$72,0))="","",INDEX('Primary_snapshot'!$F$2:$F$72,MATCH(C23,'Primary_snapshot'!$A$2:$A$72,0))),"SNAPSHOT MISSING"))</x:f>
      </x:c>
      <x:c r="P23" s="3" t="str">
        <x:f>IF(Setup!$B$6="primary","",IFERROR(IF(INDEX('Primary_snapshot'!$G$2:$G$72,MATCH(C23,'Primary_snapshot'!$A$2:$A$72,0))="","",INDEX('Primary_snapshot'!$G$2:$G$72,MATCH(C23,'Primary_snapshot'!$A$2:$A$72,0))),"SNAPSHOT MISSING"))</x:f>
      </x:c>
      <x:c r="Q23" s="3" t="str">
        <x:f>IF(Setup!$B$6="primary","",IFERROR(IF(INDEX('Primary_snapshot'!$H$2:$H$72,MATCH(C23,'Primary_snapshot'!$A$2:$A$72,0))="","",INDEX('Primary_snapshot'!$H$2:$H$72,MATCH(C23,'Primary_snapshot'!$A$2:$A$72,0))),"SNAPSHOT MISSING"))</x:f>
      </x:c>
      <x:c r="R23" s="3" t="str">
        <x:f>IF(Setup!$B$6="primary","",IFERROR(IF(INDEX('Primary_snapshot'!$I$2:$I$72,MATCH(C23,'Primary_snapshot'!$A$2:$A$72,0))="","",INDEX('Primary_snapshot'!$I$2:$I$72,MATCH(C23,'Primary_snapshot'!$A$2:$A$72,0))),"SNAPSHOT MISSING"))</x:f>
      </x:c>
      <x:c r="S23" s="3" t="str">
        <x:f>IF(INDEX('C_jama.2019.14231'!$D$2:$D$12,MATCH("2019::jama.2019.14231::C002",'C_jama.2019.14231'!$A$2:$A$12,0))="","",INDEX('C_jama.2019.14231'!$D$2:$D$12,MATCH("2019::jama.2019.14231::C002",'C_jama.2019.14231'!$A$2:$A$12,0)))</x:f>
      </x:c>
      <x:c r="T23" s="3" t="str">
        <x:f>IF(INDEX('C_jama.2019.14231'!$E$2:$E$12,MATCH("2019::jama.2019.14231::C002",'C_jama.2019.14231'!$A$2:$A$12,0))="","",INDEX('C_jama.2019.14231'!$E$2:$E$12,MATCH("2019::jama.2019.14231::C002",'C_jama.2019.14231'!$A$2:$A$12,0)))</x:f>
        <x:v>statistical_results</x:v>
      </x:c>
      <x:c r="U23" s="3" t="str">
        <x:f>IF(AND(INDEX('C_jama.2019.14231'!$D$2:$D$12,MATCH("2019::jama.2019.14231::C002",'C_jama.2019.14231'!$A$2:$A$12,0))="retain",INDEX('C_jama.2019.14231'!$E$2:$E$12,MATCH("2019::jama.2019.14231::C002",'C_jama.2019.14231'!$A$2:$A$12,0))="statistical_results"),IF(INDEX('C_jama.2019.14231'!$H$2:$H$12,MATCH("2019::jama.2019.14231::C002",'C_jama.2019.14231'!$A$2:$A$12,0))="","",INDEX('C_jama.2019.14231'!$H$2:$H$12,MATCH("2019::jama.2019.14231::C002",'C_jama.2019.14231'!$A$2:$A$12,0))),"not_applicable")</x:f>
        <x:v>not_applicable</x:v>
      </x:c>
      <x:c r="V23" s="3" t="str">
        <x:f>IF(AND(INDEX('C_jama.2019.14231'!$D$2:$D$12,MATCH("2019::jama.2019.14231::C002",'C_jama.2019.14231'!$A$2:$A$12,0))="retain",INDEX('C_jama.2019.14231'!$E$2:$E$12,MATCH("2019::jama.2019.14231::C002",'C_jama.2019.14231'!$A$2:$A$12,0))="statistical_results"),IF(INDEX('C_jama.2019.14231'!$I$2:$I$12,MATCH("2019::jama.2019.14231::C002",'C_jama.2019.14231'!$A$2:$A$12,0))="","",INDEX('C_jama.2019.14231'!$I$2:$I$12,MATCH("2019::jama.2019.14231::C002",'C_jama.2019.14231'!$A$2:$A$12,0))),"not_applicable")</x:f>
        <x:v>not_applicable</x:v>
      </x:c>
      <x:c r="W23" s="3" t="str">
        <x:f>IF(AND(INDEX('C_jama.2019.14231'!$D$2:$D$12,MATCH("2019::jama.2019.14231::C002",'C_jama.2019.14231'!$A$2:$A$12,0))="retain",INDEX('C_jama.2019.14231'!$E$2:$E$12,MATCH("2019::jama.2019.14231::C002",'C_jama.2019.14231'!$A$2:$A$12,0))="statistical_results"),IF(INDEX('C_jama.2019.14231'!$J$2:$J$12,MATCH("2019::jama.2019.14231::C002",'C_jama.2019.14231'!$A$2:$A$12,0))="","",INDEX('C_jama.2019.14231'!$J$2:$J$12,MATCH("2019::jama.2019.14231::C002",'C_jama.2019.14231'!$A$2:$A$12,0))),"not_applicable")</x:f>
        <x:v>not_applicable</x:v>
      </x:c>
      <x:c r="X23" s="3" t="str">
        <x:f>IF(AND(INDEX('C_jama.2019.14231'!$D$2:$D$12,MATCH("2019::jama.2019.14231::C002",'C_jama.2019.14231'!$A$2:$A$12,0))="retain",OR(INDEX('C_jama.2019.14231'!$E$2:$E$12,MATCH("2019::jama.2019.14231::C002",'C_jama.2019.14231'!$A$2:$A$12,0))="report_internal_inconsistency",INDEX('C_jama.2019.14231'!$E$2:$E$12,MATCH("2019::jama.2019.14231::C002",'C_jama.2019.14231'!$A$2:$A$12,0))="plan_material")),IF(INDEX('C_jama.2019.14231'!$K$2:$K$12,MATCH("2019::jama.2019.14231::C002",'C_jama.2019.14231'!$A$2:$A$12,0))="","",INDEX('C_jama.2019.14231'!$K$2:$K$12,MATCH("2019::jama.2019.14231::C002",'C_jama.2019.14231'!$A$2:$A$12,0))),"not_applicable")</x:f>
        <x:v>not_applicable</x:v>
      </x:c>
      <x:c r="Y23" s="3" t="str">
        <x:f>IF(AND(INDEX('C_jama.2019.14231'!$D$2:$D$12,MATCH("2019::jama.2019.14231::C002",'C_jama.2019.14231'!$A$2:$A$12,0))="retain",INDEX('C_jama.2019.14231'!$E$2:$E$12,MATCH("2019::jama.2019.14231::C002",'C_jama.2019.14231'!$A$2:$A$12,0))="protocol_report"),IF(INDEX('C_jama.2019.14231'!$L$2:$L$12,MATCH("2019::jama.2019.14231::C002",'C_jama.2019.14231'!$A$2:$A$12,0))="","",INDEX('C_jama.2019.14231'!$L$2:$L$12,MATCH("2019::jama.2019.14231::C002",'C_jama.2019.14231'!$A$2:$A$12,0))),"not_applicable")</x:f>
        <x:v>not_applicable</x:v>
      </x:c>
      <x:c r="Z23" s="3" t="str">
        <x:f>IF(INDEX('C_jama.2019.14231'!$R$2:$R$12,MATCH("2019::jama.2019.14231::C002",'C_jama.2019.14231'!$A$2:$A$12,0))="","",INDEX('C_jama.2019.14231'!$R$2:$R$12,MATCH("2019::jama.2019.14231::C002",'C_jama.2019.14231'!$A$2:$A$12,0)))</x:f>
      </x:c>
      <x:c r="AA23" s="3" t="str">
        <x:f>IF(INDEX('C_jama.2019.14231'!$N$2:$N$12,MATCH("2019::jama.2019.14231::C002",'C_jama.2019.14231'!$A$2:$A$12,0))="","",INDEX('C_jama.2019.14231'!$N$2:$N$12,MATCH("2019::jama.2019.14231::C002",'C_jama.2019.14231'!$A$2:$A$12,0)))</x:f>
      </x:c>
      <x:c r="AB23" s="3" t="str">
        <x:f>IF(INDEX('C_jama.2019.14231'!$O$2:$O$12,MATCH("2019::jama.2019.14231::C002",'C_jama.2019.14231'!$A$2:$A$12,0))="","",INDEX('C_jama.2019.14231'!$O$2:$O$12,MATCH("2019::jama.2019.14231::C002",'C_jama.2019.14231'!$A$2:$A$12,0)))</x:f>
      </x:c>
      <x:c r="AC23" s="3" t="str">
        <x:f>IF(INDEX('C_jama.2019.14231'!$P$2:$P$12,MATCH("2019::jama.2019.14231::C002",'C_jama.2019.14231'!$A$2:$A$12,0))="","",INDEX('C_jama.2019.14231'!$P$2:$P$12,MATCH("2019::jama.2019.14231::C002",'C_jama.2019.14231'!$A$2:$A$12,0)))</x:f>
      </x:c>
      <x:c r="AD23" s="3" t="str">
        <x:f>IF(INDEX('C_jama.2019.14231'!$Q$2:$Q$12,MATCH("2019::jama.2019.14231::C002",'C_jama.2019.14231'!$A$2:$A$12,0))="","",INDEX('C_jama.2019.14231'!$Q$2:$Q$12,MATCH("2019::jama.2019.14231::C002",'C_jama.2019.14231'!$A$2:$A$12,0)))</x:f>
      </x:c>
    </x:row>
    <x:row r="24" ht="65" customHeight="1">
      <x:c r="A24" s="6" t="n">
        <x:v>2019</x:v>
      </x:c>
      <x:c r="B24" s="6" t="str">
        <x:v>jama.2019.14231</x:v>
      </x:c>
      <x:c r="C24" s="6" t="str">
        <x:v>2019::jama.2019.14231::C003</x:v>
      </x:c>
      <x:c r="D24" s="6" t="str">
        <x:v>S_W</x:v>
      </x:c>
      <x:c r="E24" s="6" t="n">
        <x:f>Setup!$B$2</x:f>
        <x:v>0</x:v>
      </x:c>
      <x:c r="F24" s="6" t="str">
        <x:f>IF(Setup!$B$4="","",Setup!$B$4)</x:f>
      </x:c>
      <x:c r="G24" s="6" t="str">
        <x:f>IFERROR(INDEX('C_jama.2019.14231'!$G$2:$G$12,MATCH("2019::jama.2019.14231::C003",'C_jama.2019.14231'!$A$2:$A$12,0)),"CHECK KEY")</x:f>
        <x:v>CHECK REVIEWER IDs</x:v>
      </x:c>
      <x:c r="H24" s="6" t="str">
        <x:f>IF(G24&lt;&gt;"FINAL READY","",IF(S24&lt;&gt;"retain","not_eligible",IF(D24="P_R","protocol_descriptive",IF(D24="P_P","plan_descriptive",IF(AND(T24="statistical_results",OR(U24="confirmed_issue",U24="probable_issue"),V24="substantive"),"primary_temporal",IF(AND(T24="report_internal_inconsistency",X24="substantive_inconsistency"),"secondary_temporal","not_eligible"))))))</x:f>
      </x:c>
      <x:c r="I24" s="6" t="str">
        <x:v>retain</x:v>
      </x:c>
      <x:c r="J24" s="6" t="str">
        <x:v>statistical_results</x:v>
      </x:c>
      <x:c r="K24" s="6" t="str">
        <x:f>IF(Setup!$B$6="primary","",IFERROR(IF(INDEX('Primary_snapshot'!$B$2:$B$72,MATCH(C24,'Primary_snapshot'!$A$2:$A$72,0))="","",INDEX('Primary_snapshot'!$B$2:$B$72,MATCH(C24,'Primary_snapshot'!$A$2:$A$72,0))),"SNAPSHOT MISSING"))</x:f>
      </x:c>
      <x:c r="L24" s="6" t="str">
        <x:f>IF(Setup!$B$6="primary","",IFERROR(IF(INDEX('Primary_snapshot'!$C$2:$C$72,MATCH(C24,'Primary_snapshot'!$A$2:$A$72,0))="","",INDEX('Primary_snapshot'!$C$2:$C$72,MATCH(C24,'Primary_snapshot'!$A$2:$A$72,0))),"SNAPSHOT MISSING"))</x:f>
      </x:c>
      <x:c r="M24" s="6" t="str">
        <x:f>IF(Setup!$B$6="primary","",IFERROR(IF(INDEX('Primary_snapshot'!$D$2:$D$72,MATCH(C24,'Primary_snapshot'!$A$2:$A$72,0))="","",INDEX('Primary_snapshot'!$D$2:$D$72,MATCH(C24,'Primary_snapshot'!$A$2:$A$72,0))),"SNAPSHOT MISSING"))</x:f>
      </x:c>
      <x:c r="N24" s="6" t="str">
        <x:f>IF(Setup!$B$6="primary","",IFERROR(IF(INDEX('Primary_snapshot'!$E$2:$E$72,MATCH(C24,'Primary_snapshot'!$A$2:$A$72,0))="","",INDEX('Primary_snapshot'!$E$2:$E$72,MATCH(C24,'Primary_snapshot'!$A$2:$A$72,0))),"SNAPSHOT MISSING"))</x:f>
      </x:c>
      <x:c r="O24" s="6" t="str">
        <x:f>IF(Setup!$B$6="primary","",IFERROR(IF(INDEX('Primary_snapshot'!$F$2:$F$72,MATCH(C24,'Primary_snapshot'!$A$2:$A$72,0))="","",INDEX('Primary_snapshot'!$F$2:$F$72,MATCH(C24,'Primary_snapshot'!$A$2:$A$72,0))),"SNAPSHOT MISSING"))</x:f>
      </x:c>
      <x:c r="P24" s="6" t="str">
        <x:f>IF(Setup!$B$6="primary","",IFERROR(IF(INDEX('Primary_snapshot'!$G$2:$G$72,MATCH(C24,'Primary_snapshot'!$A$2:$A$72,0))="","",INDEX('Primary_snapshot'!$G$2:$G$72,MATCH(C24,'Primary_snapshot'!$A$2:$A$72,0))),"SNAPSHOT MISSING"))</x:f>
      </x:c>
      <x:c r="Q24" s="6" t="str">
        <x:f>IF(Setup!$B$6="primary","",IFERROR(IF(INDEX('Primary_snapshot'!$H$2:$H$72,MATCH(C24,'Primary_snapshot'!$A$2:$A$72,0))="","",INDEX('Primary_snapshot'!$H$2:$H$72,MATCH(C24,'Primary_snapshot'!$A$2:$A$72,0))),"SNAPSHOT MISSING"))</x:f>
      </x:c>
      <x:c r="R24" s="6" t="str">
        <x:f>IF(Setup!$B$6="primary","",IFERROR(IF(INDEX('Primary_snapshot'!$I$2:$I$72,MATCH(C24,'Primary_snapshot'!$A$2:$A$72,0))="","",INDEX('Primary_snapshot'!$I$2:$I$72,MATCH(C24,'Primary_snapshot'!$A$2:$A$72,0))),"SNAPSHOT MISSING"))</x:f>
      </x:c>
      <x:c r="S24" s="6" t="str">
        <x:f>IF(INDEX('C_jama.2019.14231'!$D$2:$D$12,MATCH("2019::jama.2019.14231::C003",'C_jama.2019.14231'!$A$2:$A$12,0))="","",INDEX('C_jama.2019.14231'!$D$2:$D$12,MATCH("2019::jama.2019.14231::C003",'C_jama.2019.14231'!$A$2:$A$12,0)))</x:f>
      </x:c>
      <x:c r="T24" s="6" t="str">
        <x:f>IF(INDEX('C_jama.2019.14231'!$E$2:$E$12,MATCH("2019::jama.2019.14231::C003",'C_jama.2019.14231'!$A$2:$A$12,0))="","",INDEX('C_jama.2019.14231'!$E$2:$E$12,MATCH("2019::jama.2019.14231::C003",'C_jama.2019.14231'!$A$2:$A$12,0)))</x:f>
        <x:v>statistical_results</x:v>
      </x:c>
      <x:c r="U24" s="6" t="str">
        <x:f>IF(AND(INDEX('C_jama.2019.14231'!$D$2:$D$12,MATCH("2019::jama.2019.14231::C003",'C_jama.2019.14231'!$A$2:$A$12,0))="retain",INDEX('C_jama.2019.14231'!$E$2:$E$12,MATCH("2019::jama.2019.14231::C003",'C_jama.2019.14231'!$A$2:$A$12,0))="statistical_results"),IF(INDEX('C_jama.2019.14231'!$H$2:$H$12,MATCH("2019::jama.2019.14231::C003",'C_jama.2019.14231'!$A$2:$A$12,0))="","",INDEX('C_jama.2019.14231'!$H$2:$H$12,MATCH("2019::jama.2019.14231::C003",'C_jama.2019.14231'!$A$2:$A$12,0))),"not_applicable")</x:f>
        <x:v>not_applicable</x:v>
      </x:c>
      <x:c r="V24" s="6" t="str">
        <x:f>IF(AND(INDEX('C_jama.2019.14231'!$D$2:$D$12,MATCH("2019::jama.2019.14231::C003",'C_jama.2019.14231'!$A$2:$A$12,0))="retain",INDEX('C_jama.2019.14231'!$E$2:$E$12,MATCH("2019::jama.2019.14231::C003",'C_jama.2019.14231'!$A$2:$A$12,0))="statistical_results"),IF(INDEX('C_jama.2019.14231'!$I$2:$I$12,MATCH("2019::jama.2019.14231::C003",'C_jama.2019.14231'!$A$2:$A$12,0))="","",INDEX('C_jama.2019.14231'!$I$2:$I$12,MATCH("2019::jama.2019.14231::C003",'C_jama.2019.14231'!$A$2:$A$12,0))),"not_applicable")</x:f>
        <x:v>not_applicable</x:v>
      </x:c>
      <x:c r="W24" s="6" t="str">
        <x:f>IF(AND(INDEX('C_jama.2019.14231'!$D$2:$D$12,MATCH("2019::jama.2019.14231::C003",'C_jama.2019.14231'!$A$2:$A$12,0))="retain",INDEX('C_jama.2019.14231'!$E$2:$E$12,MATCH("2019::jama.2019.14231::C003",'C_jama.2019.14231'!$A$2:$A$12,0))="statistical_results"),IF(INDEX('C_jama.2019.14231'!$J$2:$J$12,MATCH("2019::jama.2019.14231::C003",'C_jama.2019.14231'!$A$2:$A$12,0))="","",INDEX('C_jama.2019.14231'!$J$2:$J$12,MATCH("2019::jama.2019.14231::C003",'C_jama.2019.14231'!$A$2:$A$12,0))),"not_applicable")</x:f>
        <x:v>not_applicable</x:v>
      </x:c>
      <x:c r="X24" s="6" t="str">
        <x:f>IF(AND(INDEX('C_jama.2019.14231'!$D$2:$D$12,MATCH("2019::jama.2019.14231::C003",'C_jama.2019.14231'!$A$2:$A$12,0))="retain",OR(INDEX('C_jama.2019.14231'!$E$2:$E$12,MATCH("2019::jama.2019.14231::C003",'C_jama.2019.14231'!$A$2:$A$12,0))="report_internal_inconsistency",INDEX('C_jama.2019.14231'!$E$2:$E$12,MATCH("2019::jama.2019.14231::C003",'C_jama.2019.14231'!$A$2:$A$12,0))="plan_material")),IF(INDEX('C_jama.2019.14231'!$K$2:$K$12,MATCH("2019::jama.2019.14231::C003",'C_jama.2019.14231'!$A$2:$A$12,0))="","",INDEX('C_jama.2019.14231'!$K$2:$K$12,MATCH("2019::jama.2019.14231::C003",'C_jama.2019.14231'!$A$2:$A$12,0))),"not_applicable")</x:f>
        <x:v>not_applicable</x:v>
      </x:c>
      <x:c r="Y24" s="6" t="str">
        <x:f>IF(AND(INDEX('C_jama.2019.14231'!$D$2:$D$12,MATCH("2019::jama.2019.14231::C003",'C_jama.2019.14231'!$A$2:$A$12,0))="retain",INDEX('C_jama.2019.14231'!$E$2:$E$12,MATCH("2019::jama.2019.14231::C003",'C_jama.2019.14231'!$A$2:$A$12,0))="protocol_report"),IF(INDEX('C_jama.2019.14231'!$L$2:$L$12,MATCH("2019::jama.2019.14231::C003",'C_jama.2019.14231'!$A$2:$A$12,0))="","",INDEX('C_jama.2019.14231'!$L$2:$L$12,MATCH("2019::jama.2019.14231::C003",'C_jama.2019.14231'!$A$2:$A$12,0))),"not_applicable")</x:f>
        <x:v>not_applicable</x:v>
      </x:c>
      <x:c r="Z24" s="6" t="str">
        <x:f>IF(INDEX('C_jama.2019.14231'!$R$2:$R$12,MATCH("2019::jama.2019.14231::C003",'C_jama.2019.14231'!$A$2:$A$12,0))="","",INDEX('C_jama.2019.14231'!$R$2:$R$12,MATCH("2019::jama.2019.14231::C003",'C_jama.2019.14231'!$A$2:$A$12,0)))</x:f>
      </x:c>
      <x:c r="AA24" s="6" t="str">
        <x:f>IF(INDEX('C_jama.2019.14231'!$N$2:$N$12,MATCH("2019::jama.2019.14231::C003",'C_jama.2019.14231'!$A$2:$A$12,0))="","",INDEX('C_jama.2019.14231'!$N$2:$N$12,MATCH("2019::jama.2019.14231::C003",'C_jama.2019.14231'!$A$2:$A$12,0)))</x:f>
      </x:c>
      <x:c r="AB24" s="6" t="str">
        <x:f>IF(INDEX('C_jama.2019.14231'!$O$2:$O$12,MATCH("2019::jama.2019.14231::C003",'C_jama.2019.14231'!$A$2:$A$12,0))="","",INDEX('C_jama.2019.14231'!$O$2:$O$12,MATCH("2019::jama.2019.14231::C003",'C_jama.2019.14231'!$A$2:$A$12,0)))</x:f>
      </x:c>
      <x:c r="AC24" s="6" t="str">
        <x:f>IF(INDEX('C_jama.2019.14231'!$P$2:$P$12,MATCH("2019::jama.2019.14231::C003",'C_jama.2019.14231'!$A$2:$A$12,0))="","",INDEX('C_jama.2019.14231'!$P$2:$P$12,MATCH("2019::jama.2019.14231::C003",'C_jama.2019.14231'!$A$2:$A$12,0)))</x:f>
      </x:c>
      <x:c r="AD24" s="6" t="str">
        <x:f>IF(INDEX('C_jama.2019.14231'!$Q$2:$Q$12,MATCH("2019::jama.2019.14231::C003",'C_jama.2019.14231'!$A$2:$A$12,0))="","",INDEX('C_jama.2019.14231'!$Q$2:$Q$12,MATCH("2019::jama.2019.14231::C003",'C_jama.2019.14231'!$A$2:$A$12,0)))</x:f>
      </x:c>
    </x:row>
    <x:row r="25" ht="65" customHeight="1">
      <x:c r="A25" s="3" t="n">
        <x:v>2019</x:v>
      </x:c>
      <x:c r="B25" s="3" t="str">
        <x:v>jama.2019.14231</x:v>
      </x:c>
      <x:c r="C25" s="3" t="str">
        <x:v>2019::jama.2019.14231::C004</x:v>
      </x:c>
      <x:c r="D25" s="3" t="str">
        <x:v>S_W</x:v>
      </x:c>
      <x:c r="E25" s="3" t="n">
        <x:f>Setup!$B$2</x:f>
        <x:v>0</x:v>
      </x:c>
      <x:c r="F25" s="3" t="str">
        <x:f>IF(Setup!$B$4="","",Setup!$B$4)</x:f>
      </x:c>
      <x:c r="G25" s="3" t="str">
        <x:f>IFERROR(INDEX('C_jama.2019.14231'!$G$2:$G$12,MATCH("2019::jama.2019.14231::C004",'C_jama.2019.14231'!$A$2:$A$12,0)),"CHECK KEY")</x:f>
        <x:v>CHECK REVIEWER IDs</x:v>
      </x:c>
      <x:c r="H25" s="3" t="str">
        <x:f>IF(G25&lt;&gt;"FINAL READY","",IF(S25&lt;&gt;"retain","not_eligible",IF(D25="P_R","protocol_descriptive",IF(D25="P_P","plan_descriptive",IF(AND(T25="statistical_results",OR(U25="confirmed_issue",U25="probable_issue"),V25="substantive"),"primary_temporal",IF(AND(T25="report_internal_inconsistency",X25="substantive_inconsistency"),"secondary_temporal","not_eligible"))))))</x:f>
      </x:c>
      <x:c r="I25" s="3" t="str">
        <x:v>retain</x:v>
      </x:c>
      <x:c r="J25" s="3" t="str">
        <x:v>statistical_results</x:v>
      </x:c>
      <x:c r="K25" s="3" t="str">
        <x:f>IF(Setup!$B$6="primary","",IFERROR(IF(INDEX('Primary_snapshot'!$B$2:$B$72,MATCH(C25,'Primary_snapshot'!$A$2:$A$72,0))="","",INDEX('Primary_snapshot'!$B$2:$B$72,MATCH(C25,'Primary_snapshot'!$A$2:$A$72,0))),"SNAPSHOT MISSING"))</x:f>
      </x:c>
      <x:c r="L25" s="3" t="str">
        <x:f>IF(Setup!$B$6="primary","",IFERROR(IF(INDEX('Primary_snapshot'!$C$2:$C$72,MATCH(C25,'Primary_snapshot'!$A$2:$A$72,0))="","",INDEX('Primary_snapshot'!$C$2:$C$72,MATCH(C25,'Primary_snapshot'!$A$2:$A$72,0))),"SNAPSHOT MISSING"))</x:f>
      </x:c>
      <x:c r="M25" s="3" t="str">
        <x:f>IF(Setup!$B$6="primary","",IFERROR(IF(INDEX('Primary_snapshot'!$D$2:$D$72,MATCH(C25,'Primary_snapshot'!$A$2:$A$72,0))="","",INDEX('Primary_snapshot'!$D$2:$D$72,MATCH(C25,'Primary_snapshot'!$A$2:$A$72,0))),"SNAPSHOT MISSING"))</x:f>
      </x:c>
      <x:c r="N25" s="3" t="str">
        <x:f>IF(Setup!$B$6="primary","",IFERROR(IF(INDEX('Primary_snapshot'!$E$2:$E$72,MATCH(C25,'Primary_snapshot'!$A$2:$A$72,0))="","",INDEX('Primary_snapshot'!$E$2:$E$72,MATCH(C25,'Primary_snapshot'!$A$2:$A$72,0))),"SNAPSHOT MISSING"))</x:f>
      </x:c>
      <x:c r="O25" s="3" t="str">
        <x:f>IF(Setup!$B$6="primary","",IFERROR(IF(INDEX('Primary_snapshot'!$F$2:$F$72,MATCH(C25,'Primary_snapshot'!$A$2:$A$72,0))="","",INDEX('Primary_snapshot'!$F$2:$F$72,MATCH(C25,'Primary_snapshot'!$A$2:$A$72,0))),"SNAPSHOT MISSING"))</x:f>
      </x:c>
      <x:c r="P25" s="3" t="str">
        <x:f>IF(Setup!$B$6="primary","",IFERROR(IF(INDEX('Primary_snapshot'!$G$2:$G$72,MATCH(C25,'Primary_snapshot'!$A$2:$A$72,0))="","",INDEX('Primary_snapshot'!$G$2:$G$72,MATCH(C25,'Primary_snapshot'!$A$2:$A$72,0))),"SNAPSHOT MISSING"))</x:f>
      </x:c>
      <x:c r="Q25" s="3" t="str">
        <x:f>IF(Setup!$B$6="primary","",IFERROR(IF(INDEX('Primary_snapshot'!$H$2:$H$72,MATCH(C25,'Primary_snapshot'!$A$2:$A$72,0))="","",INDEX('Primary_snapshot'!$H$2:$H$72,MATCH(C25,'Primary_snapshot'!$A$2:$A$72,0))),"SNAPSHOT MISSING"))</x:f>
      </x:c>
      <x:c r="R25" s="3" t="str">
        <x:f>IF(Setup!$B$6="primary","",IFERROR(IF(INDEX('Primary_snapshot'!$I$2:$I$72,MATCH(C25,'Primary_snapshot'!$A$2:$A$72,0))="","",INDEX('Primary_snapshot'!$I$2:$I$72,MATCH(C25,'Primary_snapshot'!$A$2:$A$72,0))),"SNAPSHOT MISSING"))</x:f>
      </x:c>
      <x:c r="S25" s="3" t="str">
        <x:f>IF(INDEX('C_jama.2019.14231'!$D$2:$D$12,MATCH("2019::jama.2019.14231::C004",'C_jama.2019.14231'!$A$2:$A$12,0))="","",INDEX('C_jama.2019.14231'!$D$2:$D$12,MATCH("2019::jama.2019.14231::C004",'C_jama.2019.14231'!$A$2:$A$12,0)))</x:f>
      </x:c>
      <x:c r="T25" s="3" t="str">
        <x:f>IF(INDEX('C_jama.2019.14231'!$E$2:$E$12,MATCH("2019::jama.2019.14231::C004",'C_jama.2019.14231'!$A$2:$A$12,0))="","",INDEX('C_jama.2019.14231'!$E$2:$E$12,MATCH("2019::jama.2019.14231::C004",'C_jama.2019.14231'!$A$2:$A$12,0)))</x:f>
        <x:v>statistical_results</x:v>
      </x:c>
      <x:c r="U25" s="3" t="str">
        <x:f>IF(AND(INDEX('C_jama.2019.14231'!$D$2:$D$12,MATCH("2019::jama.2019.14231::C004",'C_jama.2019.14231'!$A$2:$A$12,0))="retain",INDEX('C_jama.2019.14231'!$E$2:$E$12,MATCH("2019::jama.2019.14231::C004",'C_jama.2019.14231'!$A$2:$A$12,0))="statistical_results"),IF(INDEX('C_jama.2019.14231'!$H$2:$H$12,MATCH("2019::jama.2019.14231::C004",'C_jama.2019.14231'!$A$2:$A$12,0))="","",INDEX('C_jama.2019.14231'!$H$2:$H$12,MATCH("2019::jama.2019.14231::C004",'C_jama.2019.14231'!$A$2:$A$12,0))),"not_applicable")</x:f>
        <x:v>not_applicable</x:v>
      </x:c>
      <x:c r="V25" s="3" t="str">
        <x:f>IF(AND(INDEX('C_jama.2019.14231'!$D$2:$D$12,MATCH("2019::jama.2019.14231::C004",'C_jama.2019.14231'!$A$2:$A$12,0))="retain",INDEX('C_jama.2019.14231'!$E$2:$E$12,MATCH("2019::jama.2019.14231::C004",'C_jama.2019.14231'!$A$2:$A$12,0))="statistical_results"),IF(INDEX('C_jama.2019.14231'!$I$2:$I$12,MATCH("2019::jama.2019.14231::C004",'C_jama.2019.14231'!$A$2:$A$12,0))="","",INDEX('C_jama.2019.14231'!$I$2:$I$12,MATCH("2019::jama.2019.14231::C004",'C_jama.2019.14231'!$A$2:$A$12,0))),"not_applicable")</x:f>
        <x:v>not_applicable</x:v>
      </x:c>
      <x:c r="W25" s="3" t="str">
        <x:f>IF(AND(INDEX('C_jama.2019.14231'!$D$2:$D$12,MATCH("2019::jama.2019.14231::C004",'C_jama.2019.14231'!$A$2:$A$12,0))="retain",INDEX('C_jama.2019.14231'!$E$2:$E$12,MATCH("2019::jama.2019.14231::C004",'C_jama.2019.14231'!$A$2:$A$12,0))="statistical_results"),IF(INDEX('C_jama.2019.14231'!$J$2:$J$12,MATCH("2019::jama.2019.14231::C004",'C_jama.2019.14231'!$A$2:$A$12,0))="","",INDEX('C_jama.2019.14231'!$J$2:$J$12,MATCH("2019::jama.2019.14231::C004",'C_jama.2019.14231'!$A$2:$A$12,0))),"not_applicable")</x:f>
        <x:v>not_applicable</x:v>
      </x:c>
      <x:c r="X25" s="3" t="str">
        <x:f>IF(AND(INDEX('C_jama.2019.14231'!$D$2:$D$12,MATCH("2019::jama.2019.14231::C004",'C_jama.2019.14231'!$A$2:$A$12,0))="retain",OR(INDEX('C_jama.2019.14231'!$E$2:$E$12,MATCH("2019::jama.2019.14231::C004",'C_jama.2019.14231'!$A$2:$A$12,0))="report_internal_inconsistency",INDEX('C_jama.2019.14231'!$E$2:$E$12,MATCH("2019::jama.2019.14231::C004",'C_jama.2019.14231'!$A$2:$A$12,0))="plan_material")),IF(INDEX('C_jama.2019.14231'!$K$2:$K$12,MATCH("2019::jama.2019.14231::C004",'C_jama.2019.14231'!$A$2:$A$12,0))="","",INDEX('C_jama.2019.14231'!$K$2:$K$12,MATCH("2019::jama.2019.14231::C004",'C_jama.2019.14231'!$A$2:$A$12,0))),"not_applicable")</x:f>
        <x:v>not_applicable</x:v>
      </x:c>
      <x:c r="Y25" s="3" t="str">
        <x:f>IF(AND(INDEX('C_jama.2019.14231'!$D$2:$D$12,MATCH("2019::jama.2019.14231::C004",'C_jama.2019.14231'!$A$2:$A$12,0))="retain",INDEX('C_jama.2019.14231'!$E$2:$E$12,MATCH("2019::jama.2019.14231::C004",'C_jama.2019.14231'!$A$2:$A$12,0))="protocol_report"),IF(INDEX('C_jama.2019.14231'!$L$2:$L$12,MATCH("2019::jama.2019.14231::C004",'C_jama.2019.14231'!$A$2:$A$12,0))="","",INDEX('C_jama.2019.14231'!$L$2:$L$12,MATCH("2019::jama.2019.14231::C004",'C_jama.2019.14231'!$A$2:$A$12,0))),"not_applicable")</x:f>
        <x:v>not_applicable</x:v>
      </x:c>
      <x:c r="Z25" s="3" t="str">
        <x:f>IF(INDEX('C_jama.2019.14231'!$R$2:$R$12,MATCH("2019::jama.2019.14231::C004",'C_jama.2019.14231'!$A$2:$A$12,0))="","",INDEX('C_jama.2019.14231'!$R$2:$R$12,MATCH("2019::jama.2019.14231::C004",'C_jama.2019.14231'!$A$2:$A$12,0)))</x:f>
      </x:c>
      <x:c r="AA25" s="3" t="str">
        <x:f>IF(INDEX('C_jama.2019.14231'!$N$2:$N$12,MATCH("2019::jama.2019.14231::C004",'C_jama.2019.14231'!$A$2:$A$12,0))="","",INDEX('C_jama.2019.14231'!$N$2:$N$12,MATCH("2019::jama.2019.14231::C004",'C_jama.2019.14231'!$A$2:$A$12,0)))</x:f>
      </x:c>
      <x:c r="AB25" s="3" t="str">
        <x:f>IF(INDEX('C_jama.2019.14231'!$O$2:$O$12,MATCH("2019::jama.2019.14231::C004",'C_jama.2019.14231'!$A$2:$A$12,0))="","",INDEX('C_jama.2019.14231'!$O$2:$O$12,MATCH("2019::jama.2019.14231::C004",'C_jama.2019.14231'!$A$2:$A$12,0)))</x:f>
      </x:c>
      <x:c r="AC25" s="3" t="str">
        <x:f>IF(INDEX('C_jama.2019.14231'!$P$2:$P$12,MATCH("2019::jama.2019.14231::C004",'C_jama.2019.14231'!$A$2:$A$12,0))="","",INDEX('C_jama.2019.14231'!$P$2:$P$12,MATCH("2019::jama.2019.14231::C004",'C_jama.2019.14231'!$A$2:$A$12,0)))</x:f>
      </x:c>
      <x:c r="AD25" s="3" t="str">
        <x:f>IF(INDEX('C_jama.2019.14231'!$Q$2:$Q$12,MATCH("2019::jama.2019.14231::C004",'C_jama.2019.14231'!$A$2:$A$12,0))="","",INDEX('C_jama.2019.14231'!$Q$2:$Q$12,MATCH("2019::jama.2019.14231::C004",'C_jama.2019.14231'!$A$2:$A$12,0)))</x:f>
      </x:c>
    </x:row>
    <x:row r="26" ht="65" customHeight="1">
      <x:c r="A26" s="6" t="n">
        <x:v>2019</x:v>
      </x:c>
      <x:c r="B26" s="6" t="str">
        <x:v>jama.2019.14231</x:v>
      </x:c>
      <x:c r="C26" s="6" t="str">
        <x:v>2019::jama.2019.14231::C005</x:v>
      </x:c>
      <x:c r="D26" s="6" t="str">
        <x:v>S_W</x:v>
      </x:c>
      <x:c r="E26" s="6" t="n">
        <x:f>Setup!$B$2</x:f>
        <x:v>0</x:v>
      </x:c>
      <x:c r="F26" s="6" t="str">
        <x:f>IF(Setup!$B$4="","",Setup!$B$4)</x:f>
      </x:c>
      <x:c r="G26" s="6" t="str">
        <x:f>IFERROR(INDEX('C_jama.2019.14231'!$G$2:$G$12,MATCH("2019::jama.2019.14231::C005",'C_jama.2019.14231'!$A$2:$A$12,0)),"CHECK KEY")</x:f>
        <x:v>CHECK REVIEWER IDs</x:v>
      </x:c>
      <x:c r="H26" s="6" t="str">
        <x:f>IF(G26&lt;&gt;"FINAL READY","",IF(S26&lt;&gt;"retain","not_eligible",IF(D26="P_R","protocol_descriptive",IF(D26="P_P","plan_descriptive",IF(AND(T26="statistical_results",OR(U26="confirmed_issue",U26="probable_issue"),V26="substantive"),"primary_temporal",IF(AND(T26="report_internal_inconsistency",X26="substantive_inconsistency"),"secondary_temporal","not_eligible"))))))</x:f>
      </x:c>
      <x:c r="I26" s="6" t="str">
        <x:v>retain</x:v>
      </x:c>
      <x:c r="J26" s="6" t="str">
        <x:v>statistical_results</x:v>
      </x:c>
      <x:c r="K26" s="6" t="str">
        <x:f>IF(Setup!$B$6="primary","",IFERROR(IF(INDEX('Primary_snapshot'!$B$2:$B$72,MATCH(C26,'Primary_snapshot'!$A$2:$A$72,0))="","",INDEX('Primary_snapshot'!$B$2:$B$72,MATCH(C26,'Primary_snapshot'!$A$2:$A$72,0))),"SNAPSHOT MISSING"))</x:f>
      </x:c>
      <x:c r="L26" s="6" t="str">
        <x:f>IF(Setup!$B$6="primary","",IFERROR(IF(INDEX('Primary_snapshot'!$C$2:$C$72,MATCH(C26,'Primary_snapshot'!$A$2:$A$72,0))="","",INDEX('Primary_snapshot'!$C$2:$C$72,MATCH(C26,'Primary_snapshot'!$A$2:$A$72,0))),"SNAPSHOT MISSING"))</x:f>
      </x:c>
      <x:c r="M26" s="6" t="str">
        <x:f>IF(Setup!$B$6="primary","",IFERROR(IF(INDEX('Primary_snapshot'!$D$2:$D$72,MATCH(C26,'Primary_snapshot'!$A$2:$A$72,0))="","",INDEX('Primary_snapshot'!$D$2:$D$72,MATCH(C26,'Primary_snapshot'!$A$2:$A$72,0))),"SNAPSHOT MISSING"))</x:f>
      </x:c>
      <x:c r="N26" s="6" t="str">
        <x:f>IF(Setup!$B$6="primary","",IFERROR(IF(INDEX('Primary_snapshot'!$E$2:$E$72,MATCH(C26,'Primary_snapshot'!$A$2:$A$72,0))="","",INDEX('Primary_snapshot'!$E$2:$E$72,MATCH(C26,'Primary_snapshot'!$A$2:$A$72,0))),"SNAPSHOT MISSING"))</x:f>
      </x:c>
      <x:c r="O26" s="6" t="str">
        <x:f>IF(Setup!$B$6="primary","",IFERROR(IF(INDEX('Primary_snapshot'!$F$2:$F$72,MATCH(C26,'Primary_snapshot'!$A$2:$A$72,0))="","",INDEX('Primary_snapshot'!$F$2:$F$72,MATCH(C26,'Primary_snapshot'!$A$2:$A$72,0))),"SNAPSHOT MISSING"))</x:f>
      </x:c>
      <x:c r="P26" s="6" t="str">
        <x:f>IF(Setup!$B$6="primary","",IFERROR(IF(INDEX('Primary_snapshot'!$G$2:$G$72,MATCH(C26,'Primary_snapshot'!$A$2:$A$72,0))="","",INDEX('Primary_snapshot'!$G$2:$G$72,MATCH(C26,'Primary_snapshot'!$A$2:$A$72,0))),"SNAPSHOT MISSING"))</x:f>
      </x:c>
      <x:c r="Q26" s="6" t="str">
        <x:f>IF(Setup!$B$6="primary","",IFERROR(IF(INDEX('Primary_snapshot'!$H$2:$H$72,MATCH(C26,'Primary_snapshot'!$A$2:$A$72,0))="","",INDEX('Primary_snapshot'!$H$2:$H$72,MATCH(C26,'Primary_snapshot'!$A$2:$A$72,0))),"SNAPSHOT MISSING"))</x:f>
      </x:c>
      <x:c r="R26" s="6" t="str">
        <x:f>IF(Setup!$B$6="primary","",IFERROR(IF(INDEX('Primary_snapshot'!$I$2:$I$72,MATCH(C26,'Primary_snapshot'!$A$2:$A$72,0))="","",INDEX('Primary_snapshot'!$I$2:$I$72,MATCH(C26,'Primary_snapshot'!$A$2:$A$72,0))),"SNAPSHOT MISSING"))</x:f>
      </x:c>
      <x:c r="S26" s="6" t="str">
        <x:f>IF(INDEX('C_jama.2019.14231'!$D$2:$D$12,MATCH("2019::jama.2019.14231::C005",'C_jama.2019.14231'!$A$2:$A$12,0))="","",INDEX('C_jama.2019.14231'!$D$2:$D$12,MATCH("2019::jama.2019.14231::C005",'C_jama.2019.14231'!$A$2:$A$12,0)))</x:f>
      </x:c>
      <x:c r="T26" s="6" t="str">
        <x:f>IF(INDEX('C_jama.2019.14231'!$E$2:$E$12,MATCH("2019::jama.2019.14231::C005",'C_jama.2019.14231'!$A$2:$A$12,0))="","",INDEX('C_jama.2019.14231'!$E$2:$E$12,MATCH("2019::jama.2019.14231::C005",'C_jama.2019.14231'!$A$2:$A$12,0)))</x:f>
        <x:v>statistical_results</x:v>
      </x:c>
      <x:c r="U26" s="6" t="str">
        <x:f>IF(AND(INDEX('C_jama.2019.14231'!$D$2:$D$12,MATCH("2019::jama.2019.14231::C005",'C_jama.2019.14231'!$A$2:$A$12,0))="retain",INDEX('C_jama.2019.14231'!$E$2:$E$12,MATCH("2019::jama.2019.14231::C005",'C_jama.2019.14231'!$A$2:$A$12,0))="statistical_results"),IF(INDEX('C_jama.2019.14231'!$H$2:$H$12,MATCH("2019::jama.2019.14231::C005",'C_jama.2019.14231'!$A$2:$A$12,0))="","",INDEX('C_jama.2019.14231'!$H$2:$H$12,MATCH("2019::jama.2019.14231::C005",'C_jama.2019.14231'!$A$2:$A$12,0))),"not_applicable")</x:f>
        <x:v>not_applicable</x:v>
      </x:c>
      <x:c r="V26" s="6" t="str">
        <x:f>IF(AND(INDEX('C_jama.2019.14231'!$D$2:$D$12,MATCH("2019::jama.2019.14231::C005",'C_jama.2019.14231'!$A$2:$A$12,0))="retain",INDEX('C_jama.2019.14231'!$E$2:$E$12,MATCH("2019::jama.2019.14231::C005",'C_jama.2019.14231'!$A$2:$A$12,0))="statistical_results"),IF(INDEX('C_jama.2019.14231'!$I$2:$I$12,MATCH("2019::jama.2019.14231::C005",'C_jama.2019.14231'!$A$2:$A$12,0))="","",INDEX('C_jama.2019.14231'!$I$2:$I$12,MATCH("2019::jama.2019.14231::C005",'C_jama.2019.14231'!$A$2:$A$12,0))),"not_applicable")</x:f>
        <x:v>not_applicable</x:v>
      </x:c>
      <x:c r="W26" s="6" t="str">
        <x:f>IF(AND(INDEX('C_jama.2019.14231'!$D$2:$D$12,MATCH("2019::jama.2019.14231::C005",'C_jama.2019.14231'!$A$2:$A$12,0))="retain",INDEX('C_jama.2019.14231'!$E$2:$E$12,MATCH("2019::jama.2019.14231::C005",'C_jama.2019.14231'!$A$2:$A$12,0))="statistical_results"),IF(INDEX('C_jama.2019.14231'!$J$2:$J$12,MATCH("2019::jama.2019.14231::C005",'C_jama.2019.14231'!$A$2:$A$12,0))="","",INDEX('C_jama.2019.14231'!$J$2:$J$12,MATCH("2019::jama.2019.14231::C005",'C_jama.2019.14231'!$A$2:$A$12,0))),"not_applicable")</x:f>
        <x:v>not_applicable</x:v>
      </x:c>
      <x:c r="X26" s="6" t="str">
        <x:f>IF(AND(INDEX('C_jama.2019.14231'!$D$2:$D$12,MATCH("2019::jama.2019.14231::C005",'C_jama.2019.14231'!$A$2:$A$12,0))="retain",OR(INDEX('C_jama.2019.14231'!$E$2:$E$12,MATCH("2019::jama.2019.14231::C005",'C_jama.2019.14231'!$A$2:$A$12,0))="report_internal_inconsistency",INDEX('C_jama.2019.14231'!$E$2:$E$12,MATCH("2019::jama.2019.14231::C005",'C_jama.2019.14231'!$A$2:$A$12,0))="plan_material")),IF(INDEX('C_jama.2019.14231'!$K$2:$K$12,MATCH("2019::jama.2019.14231::C005",'C_jama.2019.14231'!$A$2:$A$12,0))="","",INDEX('C_jama.2019.14231'!$K$2:$K$12,MATCH("2019::jama.2019.14231::C005",'C_jama.2019.14231'!$A$2:$A$12,0))),"not_applicable")</x:f>
        <x:v>not_applicable</x:v>
      </x:c>
      <x:c r="Y26" s="6" t="str">
        <x:f>IF(AND(INDEX('C_jama.2019.14231'!$D$2:$D$12,MATCH("2019::jama.2019.14231::C005",'C_jama.2019.14231'!$A$2:$A$12,0))="retain",INDEX('C_jama.2019.14231'!$E$2:$E$12,MATCH("2019::jama.2019.14231::C005",'C_jama.2019.14231'!$A$2:$A$12,0))="protocol_report"),IF(INDEX('C_jama.2019.14231'!$L$2:$L$12,MATCH("2019::jama.2019.14231::C005",'C_jama.2019.14231'!$A$2:$A$12,0))="","",INDEX('C_jama.2019.14231'!$L$2:$L$12,MATCH("2019::jama.2019.14231::C005",'C_jama.2019.14231'!$A$2:$A$12,0))),"not_applicable")</x:f>
        <x:v>not_applicable</x:v>
      </x:c>
      <x:c r="Z26" s="6" t="str">
        <x:f>IF(INDEX('C_jama.2019.14231'!$R$2:$R$12,MATCH("2019::jama.2019.14231::C005",'C_jama.2019.14231'!$A$2:$A$12,0))="","",INDEX('C_jama.2019.14231'!$R$2:$R$12,MATCH("2019::jama.2019.14231::C005",'C_jama.2019.14231'!$A$2:$A$12,0)))</x:f>
      </x:c>
      <x:c r="AA26" s="6" t="str">
        <x:f>IF(INDEX('C_jama.2019.14231'!$N$2:$N$12,MATCH("2019::jama.2019.14231::C005",'C_jama.2019.14231'!$A$2:$A$12,0))="","",INDEX('C_jama.2019.14231'!$N$2:$N$12,MATCH("2019::jama.2019.14231::C005",'C_jama.2019.14231'!$A$2:$A$12,0)))</x:f>
      </x:c>
      <x:c r="AB26" s="6" t="str">
        <x:f>IF(INDEX('C_jama.2019.14231'!$O$2:$O$12,MATCH("2019::jama.2019.14231::C005",'C_jama.2019.14231'!$A$2:$A$12,0))="","",INDEX('C_jama.2019.14231'!$O$2:$O$12,MATCH("2019::jama.2019.14231::C005",'C_jama.2019.14231'!$A$2:$A$12,0)))</x:f>
      </x:c>
      <x:c r="AC26" s="6" t="str">
        <x:f>IF(INDEX('C_jama.2019.14231'!$P$2:$P$12,MATCH("2019::jama.2019.14231::C005",'C_jama.2019.14231'!$A$2:$A$12,0))="","",INDEX('C_jama.2019.14231'!$P$2:$P$12,MATCH("2019::jama.2019.14231::C005",'C_jama.2019.14231'!$A$2:$A$12,0)))</x:f>
      </x:c>
      <x:c r="AD26" s="6" t="str">
        <x:f>IF(INDEX('C_jama.2019.14231'!$Q$2:$Q$12,MATCH("2019::jama.2019.14231::C005",'C_jama.2019.14231'!$A$2:$A$12,0))="","",INDEX('C_jama.2019.14231'!$Q$2:$Q$12,MATCH("2019::jama.2019.14231::C005",'C_jama.2019.14231'!$A$2:$A$12,0)))</x:f>
      </x:c>
    </x:row>
    <x:row r="27" ht="65" customHeight="1">
      <x:c r="A27" s="3" t="n">
        <x:v>2019</x:v>
      </x:c>
      <x:c r="B27" s="3" t="str">
        <x:v>jama.2019.14231</x:v>
      </x:c>
      <x:c r="C27" s="3" t="str">
        <x:v>2019::jama.2019.14231::C006</x:v>
      </x:c>
      <x:c r="D27" s="3" t="str">
        <x:v>S_W</x:v>
      </x:c>
      <x:c r="E27" s="3" t="n">
        <x:f>Setup!$B$2</x:f>
        <x:v>0</x:v>
      </x:c>
      <x:c r="F27" s="3" t="str">
        <x:f>IF(Setup!$B$4="","",Setup!$B$4)</x:f>
      </x:c>
      <x:c r="G27" s="3" t="str">
        <x:f>IFERROR(INDEX('C_jama.2019.14231'!$G$2:$G$12,MATCH("2019::jama.2019.14231::C006",'C_jama.2019.14231'!$A$2:$A$12,0)),"CHECK KEY")</x:f>
        <x:v>CHECK REVIEWER IDs</x:v>
      </x:c>
      <x:c r="H27" s="3" t="str">
        <x:f>IF(G27&lt;&gt;"FINAL READY","",IF(S27&lt;&gt;"retain","not_eligible",IF(D27="P_R","protocol_descriptive",IF(D27="P_P","plan_descriptive",IF(AND(T27="statistical_results",OR(U27="confirmed_issue",U27="probable_issue"),V27="substantive"),"primary_temporal",IF(AND(T27="report_internal_inconsistency",X27="substantive_inconsistency"),"secondary_temporal","not_eligible"))))))</x:f>
      </x:c>
      <x:c r="I27" s="3" t="str">
        <x:v>retain</x:v>
      </x:c>
      <x:c r="J27" s="3" t="str">
        <x:v>statistical_results</x:v>
      </x:c>
      <x:c r="K27" s="3" t="str">
        <x:f>IF(Setup!$B$6="primary","",IFERROR(IF(INDEX('Primary_snapshot'!$B$2:$B$72,MATCH(C27,'Primary_snapshot'!$A$2:$A$72,0))="","",INDEX('Primary_snapshot'!$B$2:$B$72,MATCH(C27,'Primary_snapshot'!$A$2:$A$72,0))),"SNAPSHOT MISSING"))</x:f>
      </x:c>
      <x:c r="L27" s="3" t="str">
        <x:f>IF(Setup!$B$6="primary","",IFERROR(IF(INDEX('Primary_snapshot'!$C$2:$C$72,MATCH(C27,'Primary_snapshot'!$A$2:$A$72,0))="","",INDEX('Primary_snapshot'!$C$2:$C$72,MATCH(C27,'Primary_snapshot'!$A$2:$A$72,0))),"SNAPSHOT MISSING"))</x:f>
      </x:c>
      <x:c r="M27" s="3" t="str">
        <x:f>IF(Setup!$B$6="primary","",IFERROR(IF(INDEX('Primary_snapshot'!$D$2:$D$72,MATCH(C27,'Primary_snapshot'!$A$2:$A$72,0))="","",INDEX('Primary_snapshot'!$D$2:$D$72,MATCH(C27,'Primary_snapshot'!$A$2:$A$72,0))),"SNAPSHOT MISSING"))</x:f>
      </x:c>
      <x:c r="N27" s="3" t="str">
        <x:f>IF(Setup!$B$6="primary","",IFERROR(IF(INDEX('Primary_snapshot'!$E$2:$E$72,MATCH(C27,'Primary_snapshot'!$A$2:$A$72,0))="","",INDEX('Primary_snapshot'!$E$2:$E$72,MATCH(C27,'Primary_snapshot'!$A$2:$A$72,0))),"SNAPSHOT MISSING"))</x:f>
      </x:c>
      <x:c r="O27" s="3" t="str">
        <x:f>IF(Setup!$B$6="primary","",IFERROR(IF(INDEX('Primary_snapshot'!$F$2:$F$72,MATCH(C27,'Primary_snapshot'!$A$2:$A$72,0))="","",INDEX('Primary_snapshot'!$F$2:$F$72,MATCH(C27,'Primary_snapshot'!$A$2:$A$72,0))),"SNAPSHOT MISSING"))</x:f>
      </x:c>
      <x:c r="P27" s="3" t="str">
        <x:f>IF(Setup!$B$6="primary","",IFERROR(IF(INDEX('Primary_snapshot'!$G$2:$G$72,MATCH(C27,'Primary_snapshot'!$A$2:$A$72,0))="","",INDEX('Primary_snapshot'!$G$2:$G$72,MATCH(C27,'Primary_snapshot'!$A$2:$A$72,0))),"SNAPSHOT MISSING"))</x:f>
      </x:c>
      <x:c r="Q27" s="3" t="str">
        <x:f>IF(Setup!$B$6="primary","",IFERROR(IF(INDEX('Primary_snapshot'!$H$2:$H$72,MATCH(C27,'Primary_snapshot'!$A$2:$A$72,0))="","",INDEX('Primary_snapshot'!$H$2:$H$72,MATCH(C27,'Primary_snapshot'!$A$2:$A$72,0))),"SNAPSHOT MISSING"))</x:f>
      </x:c>
      <x:c r="R27" s="3" t="str">
        <x:f>IF(Setup!$B$6="primary","",IFERROR(IF(INDEX('Primary_snapshot'!$I$2:$I$72,MATCH(C27,'Primary_snapshot'!$A$2:$A$72,0))="","",INDEX('Primary_snapshot'!$I$2:$I$72,MATCH(C27,'Primary_snapshot'!$A$2:$A$72,0))),"SNAPSHOT MISSING"))</x:f>
      </x:c>
      <x:c r="S27" s="3" t="str">
        <x:f>IF(INDEX('C_jama.2019.14231'!$D$2:$D$12,MATCH("2019::jama.2019.14231::C006",'C_jama.2019.14231'!$A$2:$A$12,0))="","",INDEX('C_jama.2019.14231'!$D$2:$D$12,MATCH("2019::jama.2019.14231::C006",'C_jama.2019.14231'!$A$2:$A$12,0)))</x:f>
      </x:c>
      <x:c r="T27" s="3" t="str">
        <x:f>IF(INDEX('C_jama.2019.14231'!$E$2:$E$12,MATCH("2019::jama.2019.14231::C006",'C_jama.2019.14231'!$A$2:$A$12,0))="","",INDEX('C_jama.2019.14231'!$E$2:$E$12,MATCH("2019::jama.2019.14231::C006",'C_jama.2019.14231'!$A$2:$A$12,0)))</x:f>
        <x:v>statistical_results</x:v>
      </x:c>
      <x:c r="U27" s="3" t="str">
        <x:f>IF(AND(INDEX('C_jama.2019.14231'!$D$2:$D$12,MATCH("2019::jama.2019.14231::C006",'C_jama.2019.14231'!$A$2:$A$12,0))="retain",INDEX('C_jama.2019.14231'!$E$2:$E$12,MATCH("2019::jama.2019.14231::C006",'C_jama.2019.14231'!$A$2:$A$12,0))="statistical_results"),IF(INDEX('C_jama.2019.14231'!$H$2:$H$12,MATCH("2019::jama.2019.14231::C006",'C_jama.2019.14231'!$A$2:$A$12,0))="","",INDEX('C_jama.2019.14231'!$H$2:$H$12,MATCH("2019::jama.2019.14231::C006",'C_jama.2019.14231'!$A$2:$A$12,0))),"not_applicable")</x:f>
        <x:v>not_applicable</x:v>
      </x:c>
      <x:c r="V27" s="3" t="str">
        <x:f>IF(AND(INDEX('C_jama.2019.14231'!$D$2:$D$12,MATCH("2019::jama.2019.14231::C006",'C_jama.2019.14231'!$A$2:$A$12,0))="retain",INDEX('C_jama.2019.14231'!$E$2:$E$12,MATCH("2019::jama.2019.14231::C006",'C_jama.2019.14231'!$A$2:$A$12,0))="statistical_results"),IF(INDEX('C_jama.2019.14231'!$I$2:$I$12,MATCH("2019::jama.2019.14231::C006",'C_jama.2019.14231'!$A$2:$A$12,0))="","",INDEX('C_jama.2019.14231'!$I$2:$I$12,MATCH("2019::jama.2019.14231::C006",'C_jama.2019.14231'!$A$2:$A$12,0))),"not_applicable")</x:f>
        <x:v>not_applicable</x:v>
      </x:c>
      <x:c r="W27" s="3" t="str">
        <x:f>IF(AND(INDEX('C_jama.2019.14231'!$D$2:$D$12,MATCH("2019::jama.2019.14231::C006",'C_jama.2019.14231'!$A$2:$A$12,0))="retain",INDEX('C_jama.2019.14231'!$E$2:$E$12,MATCH("2019::jama.2019.14231::C006",'C_jama.2019.14231'!$A$2:$A$12,0))="statistical_results"),IF(INDEX('C_jama.2019.14231'!$J$2:$J$12,MATCH("2019::jama.2019.14231::C006",'C_jama.2019.14231'!$A$2:$A$12,0))="","",INDEX('C_jama.2019.14231'!$J$2:$J$12,MATCH("2019::jama.2019.14231::C006",'C_jama.2019.14231'!$A$2:$A$12,0))),"not_applicable")</x:f>
        <x:v>not_applicable</x:v>
      </x:c>
      <x:c r="X27" s="3" t="str">
        <x:f>IF(AND(INDEX('C_jama.2019.14231'!$D$2:$D$12,MATCH("2019::jama.2019.14231::C006",'C_jama.2019.14231'!$A$2:$A$12,0))="retain",OR(INDEX('C_jama.2019.14231'!$E$2:$E$12,MATCH("2019::jama.2019.14231::C006",'C_jama.2019.14231'!$A$2:$A$12,0))="report_internal_inconsistency",INDEX('C_jama.2019.14231'!$E$2:$E$12,MATCH("2019::jama.2019.14231::C006",'C_jama.2019.14231'!$A$2:$A$12,0))="plan_material")),IF(INDEX('C_jama.2019.14231'!$K$2:$K$12,MATCH("2019::jama.2019.14231::C006",'C_jama.2019.14231'!$A$2:$A$12,0))="","",INDEX('C_jama.2019.14231'!$K$2:$K$12,MATCH("2019::jama.2019.14231::C006",'C_jama.2019.14231'!$A$2:$A$12,0))),"not_applicable")</x:f>
        <x:v>not_applicable</x:v>
      </x:c>
      <x:c r="Y27" s="3" t="str">
        <x:f>IF(AND(INDEX('C_jama.2019.14231'!$D$2:$D$12,MATCH("2019::jama.2019.14231::C006",'C_jama.2019.14231'!$A$2:$A$12,0))="retain",INDEX('C_jama.2019.14231'!$E$2:$E$12,MATCH("2019::jama.2019.14231::C006",'C_jama.2019.14231'!$A$2:$A$12,0))="protocol_report"),IF(INDEX('C_jama.2019.14231'!$L$2:$L$12,MATCH("2019::jama.2019.14231::C006",'C_jama.2019.14231'!$A$2:$A$12,0))="","",INDEX('C_jama.2019.14231'!$L$2:$L$12,MATCH("2019::jama.2019.14231::C006",'C_jama.2019.14231'!$A$2:$A$12,0))),"not_applicable")</x:f>
        <x:v>not_applicable</x:v>
      </x:c>
      <x:c r="Z27" s="3" t="str">
        <x:f>IF(INDEX('C_jama.2019.14231'!$R$2:$R$12,MATCH("2019::jama.2019.14231::C006",'C_jama.2019.14231'!$A$2:$A$12,0))="","",INDEX('C_jama.2019.14231'!$R$2:$R$12,MATCH("2019::jama.2019.14231::C006",'C_jama.2019.14231'!$A$2:$A$12,0)))</x:f>
      </x:c>
      <x:c r="AA27" s="3" t="str">
        <x:f>IF(INDEX('C_jama.2019.14231'!$N$2:$N$12,MATCH("2019::jama.2019.14231::C006",'C_jama.2019.14231'!$A$2:$A$12,0))="","",INDEX('C_jama.2019.14231'!$N$2:$N$12,MATCH("2019::jama.2019.14231::C006",'C_jama.2019.14231'!$A$2:$A$12,0)))</x:f>
      </x:c>
      <x:c r="AB27" s="3" t="str">
        <x:f>IF(INDEX('C_jama.2019.14231'!$O$2:$O$12,MATCH("2019::jama.2019.14231::C006",'C_jama.2019.14231'!$A$2:$A$12,0))="","",INDEX('C_jama.2019.14231'!$O$2:$O$12,MATCH("2019::jama.2019.14231::C006",'C_jama.2019.14231'!$A$2:$A$12,0)))</x:f>
      </x:c>
      <x:c r="AC27" s="3" t="str">
        <x:f>IF(INDEX('C_jama.2019.14231'!$P$2:$P$12,MATCH("2019::jama.2019.14231::C006",'C_jama.2019.14231'!$A$2:$A$12,0))="","",INDEX('C_jama.2019.14231'!$P$2:$P$12,MATCH("2019::jama.2019.14231::C006",'C_jama.2019.14231'!$A$2:$A$12,0)))</x:f>
      </x:c>
      <x:c r="AD27" s="3" t="str">
        <x:f>IF(INDEX('C_jama.2019.14231'!$Q$2:$Q$12,MATCH("2019::jama.2019.14231::C006",'C_jama.2019.14231'!$A$2:$A$12,0))="","",INDEX('C_jama.2019.14231'!$Q$2:$Q$12,MATCH("2019::jama.2019.14231::C006",'C_jama.2019.14231'!$A$2:$A$12,0)))</x:f>
      </x:c>
    </x:row>
    <x:row r="28" ht="65" customHeight="1">
      <x:c r="A28" s="6" t="n">
        <x:v>2019</x:v>
      </x:c>
      <x:c r="B28" s="6" t="str">
        <x:v>jama.2019.14231</x:v>
      </x:c>
      <x:c r="C28" s="6" t="str">
        <x:v>2019::jama.2019.14231::C007</x:v>
      </x:c>
      <x:c r="D28" s="6" t="str">
        <x:v>S_W</x:v>
      </x:c>
      <x:c r="E28" s="6" t="n">
        <x:f>Setup!$B$2</x:f>
        <x:v>0</x:v>
      </x:c>
      <x:c r="F28" s="6" t="str">
        <x:f>IF(Setup!$B$4="","",Setup!$B$4)</x:f>
      </x:c>
      <x:c r="G28" s="6" t="str">
        <x:f>IFERROR(INDEX('C_jama.2019.14231'!$G$2:$G$12,MATCH("2019::jama.2019.14231::C007",'C_jama.2019.14231'!$A$2:$A$12,0)),"CHECK KEY")</x:f>
        <x:v>CHECK REVIEWER IDs</x:v>
      </x:c>
      <x:c r="H28" s="6" t="str">
        <x:f>IF(G28&lt;&gt;"FINAL READY","",IF(S28&lt;&gt;"retain","not_eligible",IF(D28="P_R","protocol_descriptive",IF(D28="P_P","plan_descriptive",IF(AND(T28="statistical_results",OR(U28="confirmed_issue",U28="probable_issue"),V28="substantive"),"primary_temporal",IF(AND(T28="report_internal_inconsistency",X28="substantive_inconsistency"),"secondary_temporal","not_eligible"))))))</x:f>
      </x:c>
      <x:c r="I28" s="6" t="str">
        <x:v>retain</x:v>
      </x:c>
      <x:c r="J28" s="6" t="str">
        <x:v>statistical_results</x:v>
      </x:c>
      <x:c r="K28" s="6" t="str">
        <x:f>IF(Setup!$B$6="primary","",IFERROR(IF(INDEX('Primary_snapshot'!$B$2:$B$72,MATCH(C28,'Primary_snapshot'!$A$2:$A$72,0))="","",INDEX('Primary_snapshot'!$B$2:$B$72,MATCH(C28,'Primary_snapshot'!$A$2:$A$72,0))),"SNAPSHOT MISSING"))</x:f>
      </x:c>
      <x:c r="L28" s="6" t="str">
        <x:f>IF(Setup!$B$6="primary","",IFERROR(IF(INDEX('Primary_snapshot'!$C$2:$C$72,MATCH(C28,'Primary_snapshot'!$A$2:$A$72,0))="","",INDEX('Primary_snapshot'!$C$2:$C$72,MATCH(C28,'Primary_snapshot'!$A$2:$A$72,0))),"SNAPSHOT MISSING"))</x:f>
      </x:c>
      <x:c r="M28" s="6" t="str">
        <x:f>IF(Setup!$B$6="primary","",IFERROR(IF(INDEX('Primary_snapshot'!$D$2:$D$72,MATCH(C28,'Primary_snapshot'!$A$2:$A$72,0))="","",INDEX('Primary_snapshot'!$D$2:$D$72,MATCH(C28,'Primary_snapshot'!$A$2:$A$72,0))),"SNAPSHOT MISSING"))</x:f>
      </x:c>
      <x:c r="N28" s="6" t="str">
        <x:f>IF(Setup!$B$6="primary","",IFERROR(IF(INDEX('Primary_snapshot'!$E$2:$E$72,MATCH(C28,'Primary_snapshot'!$A$2:$A$72,0))="","",INDEX('Primary_snapshot'!$E$2:$E$72,MATCH(C28,'Primary_snapshot'!$A$2:$A$72,0))),"SNAPSHOT MISSING"))</x:f>
      </x:c>
      <x:c r="O28" s="6" t="str">
        <x:f>IF(Setup!$B$6="primary","",IFERROR(IF(INDEX('Primary_snapshot'!$F$2:$F$72,MATCH(C28,'Primary_snapshot'!$A$2:$A$72,0))="","",INDEX('Primary_snapshot'!$F$2:$F$72,MATCH(C28,'Primary_snapshot'!$A$2:$A$72,0))),"SNAPSHOT MISSING"))</x:f>
      </x:c>
      <x:c r="P28" s="6" t="str">
        <x:f>IF(Setup!$B$6="primary","",IFERROR(IF(INDEX('Primary_snapshot'!$G$2:$G$72,MATCH(C28,'Primary_snapshot'!$A$2:$A$72,0))="","",INDEX('Primary_snapshot'!$G$2:$G$72,MATCH(C28,'Primary_snapshot'!$A$2:$A$72,0))),"SNAPSHOT MISSING"))</x:f>
      </x:c>
      <x:c r="Q28" s="6" t="str">
        <x:f>IF(Setup!$B$6="primary","",IFERROR(IF(INDEX('Primary_snapshot'!$H$2:$H$72,MATCH(C28,'Primary_snapshot'!$A$2:$A$72,0))="","",INDEX('Primary_snapshot'!$H$2:$H$72,MATCH(C28,'Primary_snapshot'!$A$2:$A$72,0))),"SNAPSHOT MISSING"))</x:f>
      </x:c>
      <x:c r="R28" s="6" t="str">
        <x:f>IF(Setup!$B$6="primary","",IFERROR(IF(INDEX('Primary_snapshot'!$I$2:$I$72,MATCH(C28,'Primary_snapshot'!$A$2:$A$72,0))="","",INDEX('Primary_snapshot'!$I$2:$I$72,MATCH(C28,'Primary_snapshot'!$A$2:$A$72,0))),"SNAPSHOT MISSING"))</x:f>
      </x:c>
      <x:c r="S28" s="6" t="str">
        <x:f>IF(INDEX('C_jama.2019.14231'!$D$2:$D$12,MATCH("2019::jama.2019.14231::C007",'C_jama.2019.14231'!$A$2:$A$12,0))="","",INDEX('C_jama.2019.14231'!$D$2:$D$12,MATCH("2019::jama.2019.14231::C007",'C_jama.2019.14231'!$A$2:$A$12,0)))</x:f>
      </x:c>
      <x:c r="T28" s="6" t="str">
        <x:f>IF(INDEX('C_jama.2019.14231'!$E$2:$E$12,MATCH("2019::jama.2019.14231::C007",'C_jama.2019.14231'!$A$2:$A$12,0))="","",INDEX('C_jama.2019.14231'!$E$2:$E$12,MATCH("2019::jama.2019.14231::C007",'C_jama.2019.14231'!$A$2:$A$12,0)))</x:f>
        <x:v>statistical_results</x:v>
      </x:c>
      <x:c r="U28" s="6" t="str">
        <x:f>IF(AND(INDEX('C_jama.2019.14231'!$D$2:$D$12,MATCH("2019::jama.2019.14231::C007",'C_jama.2019.14231'!$A$2:$A$12,0))="retain",INDEX('C_jama.2019.14231'!$E$2:$E$12,MATCH("2019::jama.2019.14231::C007",'C_jama.2019.14231'!$A$2:$A$12,0))="statistical_results"),IF(INDEX('C_jama.2019.14231'!$H$2:$H$12,MATCH("2019::jama.2019.14231::C007",'C_jama.2019.14231'!$A$2:$A$12,0))="","",INDEX('C_jama.2019.14231'!$H$2:$H$12,MATCH("2019::jama.2019.14231::C007",'C_jama.2019.14231'!$A$2:$A$12,0))),"not_applicable")</x:f>
        <x:v>not_applicable</x:v>
      </x:c>
      <x:c r="V28" s="6" t="str">
        <x:f>IF(AND(INDEX('C_jama.2019.14231'!$D$2:$D$12,MATCH("2019::jama.2019.14231::C007",'C_jama.2019.14231'!$A$2:$A$12,0))="retain",INDEX('C_jama.2019.14231'!$E$2:$E$12,MATCH("2019::jama.2019.14231::C007",'C_jama.2019.14231'!$A$2:$A$12,0))="statistical_results"),IF(INDEX('C_jama.2019.14231'!$I$2:$I$12,MATCH("2019::jama.2019.14231::C007",'C_jama.2019.14231'!$A$2:$A$12,0))="","",INDEX('C_jama.2019.14231'!$I$2:$I$12,MATCH("2019::jama.2019.14231::C007",'C_jama.2019.14231'!$A$2:$A$12,0))),"not_applicable")</x:f>
        <x:v>not_applicable</x:v>
      </x:c>
      <x:c r="W28" s="6" t="str">
        <x:f>IF(AND(INDEX('C_jama.2019.14231'!$D$2:$D$12,MATCH("2019::jama.2019.14231::C007",'C_jama.2019.14231'!$A$2:$A$12,0))="retain",INDEX('C_jama.2019.14231'!$E$2:$E$12,MATCH("2019::jama.2019.14231::C007",'C_jama.2019.14231'!$A$2:$A$12,0))="statistical_results"),IF(INDEX('C_jama.2019.14231'!$J$2:$J$12,MATCH("2019::jama.2019.14231::C007",'C_jama.2019.14231'!$A$2:$A$12,0))="","",INDEX('C_jama.2019.14231'!$J$2:$J$12,MATCH("2019::jama.2019.14231::C007",'C_jama.2019.14231'!$A$2:$A$12,0))),"not_applicable")</x:f>
        <x:v>not_applicable</x:v>
      </x:c>
      <x:c r="X28" s="6" t="str">
        <x:f>IF(AND(INDEX('C_jama.2019.14231'!$D$2:$D$12,MATCH("2019::jama.2019.14231::C007",'C_jama.2019.14231'!$A$2:$A$12,0))="retain",OR(INDEX('C_jama.2019.14231'!$E$2:$E$12,MATCH("2019::jama.2019.14231::C007",'C_jama.2019.14231'!$A$2:$A$12,0))="report_internal_inconsistency",INDEX('C_jama.2019.14231'!$E$2:$E$12,MATCH("2019::jama.2019.14231::C007",'C_jama.2019.14231'!$A$2:$A$12,0))="plan_material")),IF(INDEX('C_jama.2019.14231'!$K$2:$K$12,MATCH("2019::jama.2019.14231::C007",'C_jama.2019.14231'!$A$2:$A$12,0))="","",INDEX('C_jama.2019.14231'!$K$2:$K$12,MATCH("2019::jama.2019.14231::C007",'C_jama.2019.14231'!$A$2:$A$12,0))),"not_applicable")</x:f>
        <x:v>not_applicable</x:v>
      </x:c>
      <x:c r="Y28" s="6" t="str">
        <x:f>IF(AND(INDEX('C_jama.2019.14231'!$D$2:$D$12,MATCH("2019::jama.2019.14231::C007",'C_jama.2019.14231'!$A$2:$A$12,0))="retain",INDEX('C_jama.2019.14231'!$E$2:$E$12,MATCH("2019::jama.2019.14231::C007",'C_jama.2019.14231'!$A$2:$A$12,0))="protocol_report"),IF(INDEX('C_jama.2019.14231'!$L$2:$L$12,MATCH("2019::jama.2019.14231::C007",'C_jama.2019.14231'!$A$2:$A$12,0))="","",INDEX('C_jama.2019.14231'!$L$2:$L$12,MATCH("2019::jama.2019.14231::C007",'C_jama.2019.14231'!$A$2:$A$12,0))),"not_applicable")</x:f>
        <x:v>not_applicable</x:v>
      </x:c>
      <x:c r="Z28" s="6" t="str">
        <x:f>IF(INDEX('C_jama.2019.14231'!$R$2:$R$12,MATCH("2019::jama.2019.14231::C007",'C_jama.2019.14231'!$A$2:$A$12,0))="","",INDEX('C_jama.2019.14231'!$R$2:$R$12,MATCH("2019::jama.2019.14231::C007",'C_jama.2019.14231'!$A$2:$A$12,0)))</x:f>
      </x:c>
      <x:c r="AA28" s="6" t="str">
        <x:f>IF(INDEX('C_jama.2019.14231'!$N$2:$N$12,MATCH("2019::jama.2019.14231::C007",'C_jama.2019.14231'!$A$2:$A$12,0))="","",INDEX('C_jama.2019.14231'!$N$2:$N$12,MATCH("2019::jama.2019.14231::C007",'C_jama.2019.14231'!$A$2:$A$12,0)))</x:f>
      </x:c>
      <x:c r="AB28" s="6" t="str">
        <x:f>IF(INDEX('C_jama.2019.14231'!$O$2:$O$12,MATCH("2019::jama.2019.14231::C007",'C_jama.2019.14231'!$A$2:$A$12,0))="","",INDEX('C_jama.2019.14231'!$O$2:$O$12,MATCH("2019::jama.2019.14231::C007",'C_jama.2019.14231'!$A$2:$A$12,0)))</x:f>
      </x:c>
      <x:c r="AC28" s="6" t="str">
        <x:f>IF(INDEX('C_jama.2019.14231'!$P$2:$P$12,MATCH("2019::jama.2019.14231::C007",'C_jama.2019.14231'!$A$2:$A$12,0))="","",INDEX('C_jama.2019.14231'!$P$2:$P$12,MATCH("2019::jama.2019.14231::C007",'C_jama.2019.14231'!$A$2:$A$12,0)))</x:f>
      </x:c>
      <x:c r="AD28" s="6" t="str">
        <x:f>IF(INDEX('C_jama.2019.14231'!$Q$2:$Q$12,MATCH("2019::jama.2019.14231::C007",'C_jama.2019.14231'!$A$2:$A$12,0))="","",INDEX('C_jama.2019.14231'!$Q$2:$Q$12,MATCH("2019::jama.2019.14231::C007",'C_jama.2019.14231'!$A$2:$A$12,0)))</x:f>
      </x:c>
    </x:row>
    <x:row r="29" ht="65" customHeight="1">
      <x:c r="A29" s="3" t="n">
        <x:v>2019</x:v>
      </x:c>
      <x:c r="B29" s="3" t="str">
        <x:v>jama.2019.14231</x:v>
      </x:c>
      <x:c r="C29" s="3" t="str">
        <x:v>2019::jama.2019.14231::C008</x:v>
      </x:c>
      <x:c r="D29" s="3" t="str">
        <x:v>S_C</x:v>
      </x:c>
      <x:c r="E29" s="3" t="n">
        <x:f>Setup!$B$2</x:f>
        <x:v>0</x:v>
      </x:c>
      <x:c r="F29" s="3" t="str">
        <x:f>IF(Setup!$B$4="","",Setup!$B$4)</x:f>
      </x:c>
      <x:c r="G29" s="3" t="str">
        <x:f>IFERROR(INDEX('C_jama.2019.14231'!$G$2:$G$12,MATCH("2019::jama.2019.14231::C008",'C_jama.2019.14231'!$A$2:$A$12,0)),"CHECK KEY")</x:f>
        <x:v>CHECK REVIEWER IDs</x:v>
      </x:c>
      <x:c r="H29" s="3" t="str">
        <x:f>IF(G29&lt;&gt;"FINAL READY","",IF(S29&lt;&gt;"retain","not_eligible",IF(D29="P_R","protocol_descriptive",IF(D29="P_P","plan_descriptive",IF(AND(T29="statistical_results",OR(U29="confirmed_issue",U29="probable_issue"),V29="substantive"),"primary_temporal",IF(AND(T29="report_internal_inconsistency",X29="substantive_inconsistency"),"secondary_temporal","not_eligible"))))))</x:f>
      </x:c>
      <x:c r="I29" s="3" t="str">
        <x:v>retain</x:v>
      </x:c>
      <x:c r="J29" s="3" t="str">
        <x:v>report_internal_inconsistency</x:v>
      </x:c>
      <x:c r="K29" s="3" t="str">
        <x:f>IF(Setup!$B$6="primary","",IFERROR(IF(INDEX('Primary_snapshot'!$B$2:$B$72,MATCH(C29,'Primary_snapshot'!$A$2:$A$72,0))="","",INDEX('Primary_snapshot'!$B$2:$B$72,MATCH(C29,'Primary_snapshot'!$A$2:$A$72,0))),"SNAPSHOT MISSING"))</x:f>
      </x:c>
      <x:c r="L29" s="3" t="str">
        <x:f>IF(Setup!$B$6="primary","",IFERROR(IF(INDEX('Primary_snapshot'!$C$2:$C$72,MATCH(C29,'Primary_snapshot'!$A$2:$A$72,0))="","",INDEX('Primary_snapshot'!$C$2:$C$72,MATCH(C29,'Primary_snapshot'!$A$2:$A$72,0))),"SNAPSHOT MISSING"))</x:f>
      </x:c>
      <x:c r="M29" s="3" t="str">
        <x:f>IF(Setup!$B$6="primary","",IFERROR(IF(INDEX('Primary_snapshot'!$D$2:$D$72,MATCH(C29,'Primary_snapshot'!$A$2:$A$72,0))="","",INDEX('Primary_snapshot'!$D$2:$D$72,MATCH(C29,'Primary_snapshot'!$A$2:$A$72,0))),"SNAPSHOT MISSING"))</x:f>
      </x:c>
      <x:c r="N29" s="3" t="str">
        <x:f>IF(Setup!$B$6="primary","",IFERROR(IF(INDEX('Primary_snapshot'!$E$2:$E$72,MATCH(C29,'Primary_snapshot'!$A$2:$A$72,0))="","",INDEX('Primary_snapshot'!$E$2:$E$72,MATCH(C29,'Primary_snapshot'!$A$2:$A$72,0))),"SNAPSHOT MISSING"))</x:f>
      </x:c>
      <x:c r="O29" s="3" t="str">
        <x:f>IF(Setup!$B$6="primary","",IFERROR(IF(INDEX('Primary_snapshot'!$F$2:$F$72,MATCH(C29,'Primary_snapshot'!$A$2:$A$72,0))="","",INDEX('Primary_snapshot'!$F$2:$F$72,MATCH(C29,'Primary_snapshot'!$A$2:$A$72,0))),"SNAPSHOT MISSING"))</x:f>
      </x:c>
      <x:c r="P29" s="3" t="str">
        <x:f>IF(Setup!$B$6="primary","",IFERROR(IF(INDEX('Primary_snapshot'!$G$2:$G$72,MATCH(C29,'Primary_snapshot'!$A$2:$A$72,0))="","",INDEX('Primary_snapshot'!$G$2:$G$72,MATCH(C29,'Primary_snapshot'!$A$2:$A$72,0))),"SNAPSHOT MISSING"))</x:f>
      </x:c>
      <x:c r="Q29" s="3" t="str">
        <x:f>IF(Setup!$B$6="primary","",IFERROR(IF(INDEX('Primary_snapshot'!$H$2:$H$72,MATCH(C29,'Primary_snapshot'!$A$2:$A$72,0))="","",INDEX('Primary_snapshot'!$H$2:$H$72,MATCH(C29,'Primary_snapshot'!$A$2:$A$72,0))),"SNAPSHOT MISSING"))</x:f>
      </x:c>
      <x:c r="R29" s="3" t="str">
        <x:f>IF(Setup!$B$6="primary","",IFERROR(IF(INDEX('Primary_snapshot'!$I$2:$I$72,MATCH(C29,'Primary_snapshot'!$A$2:$A$72,0))="","",INDEX('Primary_snapshot'!$I$2:$I$72,MATCH(C29,'Primary_snapshot'!$A$2:$A$72,0))),"SNAPSHOT MISSING"))</x:f>
      </x:c>
      <x:c r="S29" s="3" t="str">
        <x:f>IF(INDEX('C_jama.2019.14231'!$D$2:$D$12,MATCH("2019::jama.2019.14231::C008",'C_jama.2019.14231'!$A$2:$A$12,0))="","",INDEX('C_jama.2019.14231'!$D$2:$D$12,MATCH("2019::jama.2019.14231::C008",'C_jama.2019.14231'!$A$2:$A$12,0)))</x:f>
      </x:c>
      <x:c r="T29" s="3" t="str">
        <x:f>IF(INDEX('C_jama.2019.14231'!$E$2:$E$12,MATCH("2019::jama.2019.14231::C008",'C_jama.2019.14231'!$A$2:$A$12,0))="","",INDEX('C_jama.2019.14231'!$E$2:$E$12,MATCH("2019::jama.2019.14231::C008",'C_jama.2019.14231'!$A$2:$A$12,0)))</x:f>
        <x:v>report_internal_inconsistency</x:v>
      </x:c>
      <x:c r="U29" s="3" t="str">
        <x:f>IF(AND(INDEX('C_jama.2019.14231'!$D$2:$D$12,MATCH("2019::jama.2019.14231::C008",'C_jama.2019.14231'!$A$2:$A$12,0))="retain",INDEX('C_jama.2019.14231'!$E$2:$E$12,MATCH("2019::jama.2019.14231::C008",'C_jama.2019.14231'!$A$2:$A$12,0))="statistical_results"),IF(INDEX('C_jama.2019.14231'!$H$2:$H$12,MATCH("2019::jama.2019.14231::C008",'C_jama.2019.14231'!$A$2:$A$12,0))="","",INDEX('C_jama.2019.14231'!$H$2:$H$12,MATCH("2019::jama.2019.14231::C008",'C_jama.2019.14231'!$A$2:$A$12,0))),"not_applicable")</x:f>
        <x:v>not_applicable</x:v>
      </x:c>
      <x:c r="V29" s="3" t="str">
        <x:f>IF(AND(INDEX('C_jama.2019.14231'!$D$2:$D$12,MATCH("2019::jama.2019.14231::C008",'C_jama.2019.14231'!$A$2:$A$12,0))="retain",INDEX('C_jama.2019.14231'!$E$2:$E$12,MATCH("2019::jama.2019.14231::C008",'C_jama.2019.14231'!$A$2:$A$12,0))="statistical_results"),IF(INDEX('C_jama.2019.14231'!$I$2:$I$12,MATCH("2019::jama.2019.14231::C008",'C_jama.2019.14231'!$A$2:$A$12,0))="","",INDEX('C_jama.2019.14231'!$I$2:$I$12,MATCH("2019::jama.2019.14231::C008",'C_jama.2019.14231'!$A$2:$A$12,0))),"not_applicable")</x:f>
        <x:v>not_applicable</x:v>
      </x:c>
      <x:c r="W29" s="3" t="str">
        <x:f>IF(AND(INDEX('C_jama.2019.14231'!$D$2:$D$12,MATCH("2019::jama.2019.14231::C008",'C_jama.2019.14231'!$A$2:$A$12,0))="retain",INDEX('C_jama.2019.14231'!$E$2:$E$12,MATCH("2019::jama.2019.14231::C008",'C_jama.2019.14231'!$A$2:$A$12,0))="statistical_results"),IF(INDEX('C_jama.2019.14231'!$J$2:$J$12,MATCH("2019::jama.2019.14231::C008",'C_jama.2019.14231'!$A$2:$A$12,0))="","",INDEX('C_jama.2019.14231'!$J$2:$J$12,MATCH("2019::jama.2019.14231::C008",'C_jama.2019.14231'!$A$2:$A$12,0))),"not_applicable")</x:f>
        <x:v>not_applicable</x:v>
      </x:c>
      <x:c r="X29" s="3" t="str">
        <x:f>IF(AND(INDEX('C_jama.2019.14231'!$D$2:$D$12,MATCH("2019::jama.2019.14231::C008",'C_jama.2019.14231'!$A$2:$A$12,0))="retain",OR(INDEX('C_jama.2019.14231'!$E$2:$E$12,MATCH("2019::jama.2019.14231::C008",'C_jama.2019.14231'!$A$2:$A$12,0))="report_internal_inconsistency",INDEX('C_jama.2019.14231'!$E$2:$E$12,MATCH("2019::jama.2019.14231::C008",'C_jama.2019.14231'!$A$2:$A$12,0))="plan_material")),IF(INDEX('C_jama.2019.14231'!$K$2:$K$12,MATCH("2019::jama.2019.14231::C008",'C_jama.2019.14231'!$A$2:$A$12,0))="","",INDEX('C_jama.2019.14231'!$K$2:$K$12,MATCH("2019::jama.2019.14231::C008",'C_jama.2019.14231'!$A$2:$A$12,0))),"not_applicable")</x:f>
        <x:v>not_applicable</x:v>
      </x:c>
      <x:c r="Y29" s="3" t="str">
        <x:f>IF(AND(INDEX('C_jama.2019.14231'!$D$2:$D$12,MATCH("2019::jama.2019.14231::C008",'C_jama.2019.14231'!$A$2:$A$12,0))="retain",INDEX('C_jama.2019.14231'!$E$2:$E$12,MATCH("2019::jama.2019.14231::C008",'C_jama.2019.14231'!$A$2:$A$12,0))="protocol_report"),IF(INDEX('C_jama.2019.14231'!$L$2:$L$12,MATCH("2019::jama.2019.14231::C008",'C_jama.2019.14231'!$A$2:$A$12,0))="","",INDEX('C_jama.2019.14231'!$L$2:$L$12,MATCH("2019::jama.2019.14231::C008",'C_jama.2019.14231'!$A$2:$A$12,0))),"not_applicable")</x:f>
        <x:v>not_applicable</x:v>
      </x:c>
      <x:c r="Z29" s="3" t="str">
        <x:f>IF(INDEX('C_jama.2019.14231'!$R$2:$R$12,MATCH("2019::jama.2019.14231::C008",'C_jama.2019.14231'!$A$2:$A$12,0))="","",INDEX('C_jama.2019.14231'!$R$2:$R$12,MATCH("2019::jama.2019.14231::C008",'C_jama.2019.14231'!$A$2:$A$12,0)))</x:f>
      </x:c>
      <x:c r="AA29" s="3" t="str">
        <x:f>IF(INDEX('C_jama.2019.14231'!$N$2:$N$12,MATCH("2019::jama.2019.14231::C008",'C_jama.2019.14231'!$A$2:$A$12,0))="","",INDEX('C_jama.2019.14231'!$N$2:$N$12,MATCH("2019::jama.2019.14231::C008",'C_jama.2019.14231'!$A$2:$A$12,0)))</x:f>
      </x:c>
      <x:c r="AB29" s="3" t="str">
        <x:f>IF(INDEX('C_jama.2019.14231'!$O$2:$O$12,MATCH("2019::jama.2019.14231::C008",'C_jama.2019.14231'!$A$2:$A$12,0))="","",INDEX('C_jama.2019.14231'!$O$2:$O$12,MATCH("2019::jama.2019.14231::C008",'C_jama.2019.14231'!$A$2:$A$12,0)))</x:f>
      </x:c>
      <x:c r="AC29" s="3" t="str">
        <x:f>IF(INDEX('C_jama.2019.14231'!$P$2:$P$12,MATCH("2019::jama.2019.14231::C008",'C_jama.2019.14231'!$A$2:$A$12,0))="","",INDEX('C_jama.2019.14231'!$P$2:$P$12,MATCH("2019::jama.2019.14231::C008",'C_jama.2019.14231'!$A$2:$A$12,0)))</x:f>
      </x:c>
      <x:c r="AD29" s="3" t="str">
        <x:f>IF(INDEX('C_jama.2019.14231'!$Q$2:$Q$12,MATCH("2019::jama.2019.14231::C008",'C_jama.2019.14231'!$A$2:$A$12,0))="","",INDEX('C_jama.2019.14231'!$Q$2:$Q$12,MATCH("2019::jama.2019.14231::C008",'C_jama.2019.14231'!$A$2:$A$12,0)))</x:f>
      </x:c>
    </x:row>
    <x:row r="30" ht="65" customHeight="1">
      <x:c r="A30" s="6" t="n">
        <x:v>2019</x:v>
      </x:c>
      <x:c r="B30" s="6" t="str">
        <x:v>jama.2019.14231</x:v>
      </x:c>
      <x:c r="C30" s="6" t="str">
        <x:v>2019::jama.2019.14231::C009</x:v>
      </x:c>
      <x:c r="D30" s="6" t="str">
        <x:v>S_W</x:v>
      </x:c>
      <x:c r="E30" s="6" t="n">
        <x:f>Setup!$B$2</x:f>
        <x:v>0</x:v>
      </x:c>
      <x:c r="F30" s="6" t="str">
        <x:f>IF(Setup!$B$4="","",Setup!$B$4)</x:f>
      </x:c>
      <x:c r="G30" s="6" t="str">
        <x:f>IFERROR(INDEX('C_jama.2019.14231'!$G$2:$G$12,MATCH("2019::jama.2019.14231::C009",'C_jama.2019.14231'!$A$2:$A$12,0)),"CHECK KEY")</x:f>
        <x:v>CHECK REVIEWER IDs</x:v>
      </x:c>
      <x:c r="H30" s="6" t="str">
        <x:f>IF(G30&lt;&gt;"FINAL READY","",IF(S30&lt;&gt;"retain","not_eligible",IF(D30="P_R","protocol_descriptive",IF(D30="P_P","plan_descriptive",IF(AND(T30="statistical_results",OR(U30="confirmed_issue",U30="probable_issue"),V30="substantive"),"primary_temporal",IF(AND(T30="report_internal_inconsistency",X30="substantive_inconsistency"),"secondary_temporal","not_eligible"))))))</x:f>
      </x:c>
      <x:c r="I30" s="6" t="str">
        <x:v>retain</x:v>
      </x:c>
      <x:c r="J30" s="6" t="str">
        <x:v>report_internal_inconsistency</x:v>
      </x:c>
      <x:c r="K30" s="6" t="str">
        <x:f>IF(Setup!$B$6="primary","",IFERROR(IF(INDEX('Primary_snapshot'!$B$2:$B$72,MATCH(C30,'Primary_snapshot'!$A$2:$A$72,0))="","",INDEX('Primary_snapshot'!$B$2:$B$72,MATCH(C30,'Primary_snapshot'!$A$2:$A$72,0))),"SNAPSHOT MISSING"))</x:f>
      </x:c>
      <x:c r="L30" s="6" t="str">
        <x:f>IF(Setup!$B$6="primary","",IFERROR(IF(INDEX('Primary_snapshot'!$C$2:$C$72,MATCH(C30,'Primary_snapshot'!$A$2:$A$72,0))="","",INDEX('Primary_snapshot'!$C$2:$C$72,MATCH(C30,'Primary_snapshot'!$A$2:$A$72,0))),"SNAPSHOT MISSING"))</x:f>
      </x:c>
      <x:c r="M30" s="6" t="str">
        <x:f>IF(Setup!$B$6="primary","",IFERROR(IF(INDEX('Primary_snapshot'!$D$2:$D$72,MATCH(C30,'Primary_snapshot'!$A$2:$A$72,0))="","",INDEX('Primary_snapshot'!$D$2:$D$72,MATCH(C30,'Primary_snapshot'!$A$2:$A$72,0))),"SNAPSHOT MISSING"))</x:f>
      </x:c>
      <x:c r="N30" s="6" t="str">
        <x:f>IF(Setup!$B$6="primary","",IFERROR(IF(INDEX('Primary_snapshot'!$E$2:$E$72,MATCH(C30,'Primary_snapshot'!$A$2:$A$72,0))="","",INDEX('Primary_snapshot'!$E$2:$E$72,MATCH(C30,'Primary_snapshot'!$A$2:$A$72,0))),"SNAPSHOT MISSING"))</x:f>
      </x:c>
      <x:c r="O30" s="6" t="str">
        <x:f>IF(Setup!$B$6="primary","",IFERROR(IF(INDEX('Primary_snapshot'!$F$2:$F$72,MATCH(C30,'Primary_snapshot'!$A$2:$A$72,0))="","",INDEX('Primary_snapshot'!$F$2:$F$72,MATCH(C30,'Primary_snapshot'!$A$2:$A$72,0))),"SNAPSHOT MISSING"))</x:f>
      </x:c>
      <x:c r="P30" s="6" t="str">
        <x:f>IF(Setup!$B$6="primary","",IFERROR(IF(INDEX('Primary_snapshot'!$G$2:$G$72,MATCH(C30,'Primary_snapshot'!$A$2:$A$72,0))="","",INDEX('Primary_snapshot'!$G$2:$G$72,MATCH(C30,'Primary_snapshot'!$A$2:$A$72,0))),"SNAPSHOT MISSING"))</x:f>
      </x:c>
      <x:c r="Q30" s="6" t="str">
        <x:f>IF(Setup!$B$6="primary","",IFERROR(IF(INDEX('Primary_snapshot'!$H$2:$H$72,MATCH(C30,'Primary_snapshot'!$A$2:$A$72,0))="","",INDEX('Primary_snapshot'!$H$2:$H$72,MATCH(C30,'Primary_snapshot'!$A$2:$A$72,0))),"SNAPSHOT MISSING"))</x:f>
      </x:c>
      <x:c r="R30" s="6" t="str">
        <x:f>IF(Setup!$B$6="primary","",IFERROR(IF(INDEX('Primary_snapshot'!$I$2:$I$72,MATCH(C30,'Primary_snapshot'!$A$2:$A$72,0))="","",INDEX('Primary_snapshot'!$I$2:$I$72,MATCH(C30,'Primary_snapshot'!$A$2:$A$72,0))),"SNAPSHOT MISSING"))</x:f>
      </x:c>
      <x:c r="S30" s="6" t="str">
        <x:f>IF(INDEX('C_jama.2019.14231'!$D$2:$D$12,MATCH("2019::jama.2019.14231::C009",'C_jama.2019.14231'!$A$2:$A$12,0))="","",INDEX('C_jama.2019.14231'!$D$2:$D$12,MATCH("2019::jama.2019.14231::C009",'C_jama.2019.14231'!$A$2:$A$12,0)))</x:f>
      </x:c>
      <x:c r="T30" s="6" t="str">
        <x:f>IF(INDEX('C_jama.2019.14231'!$E$2:$E$12,MATCH("2019::jama.2019.14231::C009",'C_jama.2019.14231'!$A$2:$A$12,0))="","",INDEX('C_jama.2019.14231'!$E$2:$E$12,MATCH("2019::jama.2019.14231::C009",'C_jama.2019.14231'!$A$2:$A$12,0)))</x:f>
        <x:v>report_internal_inconsistency</x:v>
      </x:c>
      <x:c r="U30" s="6" t="str">
        <x:f>IF(AND(INDEX('C_jama.2019.14231'!$D$2:$D$12,MATCH("2019::jama.2019.14231::C009",'C_jama.2019.14231'!$A$2:$A$12,0))="retain",INDEX('C_jama.2019.14231'!$E$2:$E$12,MATCH("2019::jama.2019.14231::C009",'C_jama.2019.14231'!$A$2:$A$12,0))="statistical_results"),IF(INDEX('C_jama.2019.14231'!$H$2:$H$12,MATCH("2019::jama.2019.14231::C009",'C_jama.2019.14231'!$A$2:$A$12,0))="","",INDEX('C_jama.2019.14231'!$H$2:$H$12,MATCH("2019::jama.2019.14231::C009",'C_jama.2019.14231'!$A$2:$A$12,0))),"not_applicable")</x:f>
        <x:v>not_applicable</x:v>
      </x:c>
      <x:c r="V30" s="6" t="str">
        <x:f>IF(AND(INDEX('C_jama.2019.14231'!$D$2:$D$12,MATCH("2019::jama.2019.14231::C009",'C_jama.2019.14231'!$A$2:$A$12,0))="retain",INDEX('C_jama.2019.14231'!$E$2:$E$12,MATCH("2019::jama.2019.14231::C009",'C_jama.2019.14231'!$A$2:$A$12,0))="statistical_results"),IF(INDEX('C_jama.2019.14231'!$I$2:$I$12,MATCH("2019::jama.2019.14231::C009",'C_jama.2019.14231'!$A$2:$A$12,0))="","",INDEX('C_jama.2019.14231'!$I$2:$I$12,MATCH("2019::jama.2019.14231::C009",'C_jama.2019.14231'!$A$2:$A$12,0))),"not_applicable")</x:f>
        <x:v>not_applicable</x:v>
      </x:c>
      <x:c r="W30" s="6" t="str">
        <x:f>IF(AND(INDEX('C_jama.2019.14231'!$D$2:$D$12,MATCH("2019::jama.2019.14231::C009",'C_jama.2019.14231'!$A$2:$A$12,0))="retain",INDEX('C_jama.2019.14231'!$E$2:$E$12,MATCH("2019::jama.2019.14231::C009",'C_jama.2019.14231'!$A$2:$A$12,0))="statistical_results"),IF(INDEX('C_jama.2019.14231'!$J$2:$J$12,MATCH("2019::jama.2019.14231::C009",'C_jama.2019.14231'!$A$2:$A$12,0))="","",INDEX('C_jama.2019.14231'!$J$2:$J$12,MATCH("2019::jama.2019.14231::C009",'C_jama.2019.14231'!$A$2:$A$12,0))),"not_applicable")</x:f>
        <x:v>not_applicable</x:v>
      </x:c>
      <x:c r="X30" s="6" t="str">
        <x:f>IF(AND(INDEX('C_jama.2019.14231'!$D$2:$D$12,MATCH("2019::jama.2019.14231::C009",'C_jama.2019.14231'!$A$2:$A$12,0))="retain",OR(INDEX('C_jama.2019.14231'!$E$2:$E$12,MATCH("2019::jama.2019.14231::C009",'C_jama.2019.14231'!$A$2:$A$12,0))="report_internal_inconsistency",INDEX('C_jama.2019.14231'!$E$2:$E$12,MATCH("2019::jama.2019.14231::C009",'C_jama.2019.14231'!$A$2:$A$12,0))="plan_material")),IF(INDEX('C_jama.2019.14231'!$K$2:$K$12,MATCH("2019::jama.2019.14231::C009",'C_jama.2019.14231'!$A$2:$A$12,0))="","",INDEX('C_jama.2019.14231'!$K$2:$K$12,MATCH("2019::jama.2019.14231::C009",'C_jama.2019.14231'!$A$2:$A$12,0))),"not_applicable")</x:f>
        <x:v>not_applicable</x:v>
      </x:c>
      <x:c r="Y30" s="6" t="str">
        <x:f>IF(AND(INDEX('C_jama.2019.14231'!$D$2:$D$12,MATCH("2019::jama.2019.14231::C009",'C_jama.2019.14231'!$A$2:$A$12,0))="retain",INDEX('C_jama.2019.14231'!$E$2:$E$12,MATCH("2019::jama.2019.14231::C009",'C_jama.2019.14231'!$A$2:$A$12,0))="protocol_report"),IF(INDEX('C_jama.2019.14231'!$L$2:$L$12,MATCH("2019::jama.2019.14231::C009",'C_jama.2019.14231'!$A$2:$A$12,0))="","",INDEX('C_jama.2019.14231'!$L$2:$L$12,MATCH("2019::jama.2019.14231::C009",'C_jama.2019.14231'!$A$2:$A$12,0))),"not_applicable")</x:f>
        <x:v>not_applicable</x:v>
      </x:c>
      <x:c r="Z30" s="6" t="str">
        <x:f>IF(INDEX('C_jama.2019.14231'!$R$2:$R$12,MATCH("2019::jama.2019.14231::C009",'C_jama.2019.14231'!$A$2:$A$12,0))="","",INDEX('C_jama.2019.14231'!$R$2:$R$12,MATCH("2019::jama.2019.14231::C009",'C_jama.2019.14231'!$A$2:$A$12,0)))</x:f>
      </x:c>
      <x:c r="AA30" s="6" t="str">
        <x:f>IF(INDEX('C_jama.2019.14231'!$N$2:$N$12,MATCH("2019::jama.2019.14231::C009",'C_jama.2019.14231'!$A$2:$A$12,0))="","",INDEX('C_jama.2019.14231'!$N$2:$N$12,MATCH("2019::jama.2019.14231::C009",'C_jama.2019.14231'!$A$2:$A$12,0)))</x:f>
      </x:c>
      <x:c r="AB30" s="6" t="str">
        <x:f>IF(INDEX('C_jama.2019.14231'!$O$2:$O$12,MATCH("2019::jama.2019.14231::C009",'C_jama.2019.14231'!$A$2:$A$12,0))="","",INDEX('C_jama.2019.14231'!$O$2:$O$12,MATCH("2019::jama.2019.14231::C009",'C_jama.2019.14231'!$A$2:$A$12,0)))</x:f>
      </x:c>
      <x:c r="AC30" s="6" t="str">
        <x:f>IF(INDEX('C_jama.2019.14231'!$P$2:$P$12,MATCH("2019::jama.2019.14231::C009",'C_jama.2019.14231'!$A$2:$A$12,0))="","",INDEX('C_jama.2019.14231'!$P$2:$P$12,MATCH("2019::jama.2019.14231::C009",'C_jama.2019.14231'!$A$2:$A$12,0)))</x:f>
      </x:c>
      <x:c r="AD30" s="6" t="str">
        <x:f>IF(INDEX('C_jama.2019.14231'!$Q$2:$Q$12,MATCH("2019::jama.2019.14231::C009",'C_jama.2019.14231'!$A$2:$A$12,0))="","",INDEX('C_jama.2019.14231'!$Q$2:$Q$12,MATCH("2019::jama.2019.14231::C009",'C_jama.2019.14231'!$A$2:$A$12,0)))</x:f>
      </x:c>
    </x:row>
    <x:row r="31" ht="65" customHeight="1">
      <x:c r="A31" s="3" t="n">
        <x:v>2019</x:v>
      </x:c>
      <x:c r="B31" s="3" t="str">
        <x:v>jama.2019.14231</x:v>
      </x:c>
      <x:c r="C31" s="3" t="str">
        <x:v>2019::jama.2019.14231::C010</x:v>
      </x:c>
      <x:c r="D31" s="3" t="str">
        <x:v>S_W</x:v>
      </x:c>
      <x:c r="E31" s="3" t="n">
        <x:f>Setup!$B$2</x:f>
        <x:v>0</x:v>
      </x:c>
      <x:c r="F31" s="3" t="str">
        <x:f>IF(Setup!$B$4="","",Setup!$B$4)</x:f>
      </x:c>
      <x:c r="G31" s="3" t="str">
        <x:f>IFERROR(INDEX('C_jama.2019.14231'!$G$2:$G$12,MATCH("2019::jama.2019.14231::C010",'C_jama.2019.14231'!$A$2:$A$12,0)),"CHECK KEY")</x:f>
        <x:v>CHECK REVIEWER IDs</x:v>
      </x:c>
      <x:c r="H31" s="3" t="str">
        <x:f>IF(G31&lt;&gt;"FINAL READY","",IF(S31&lt;&gt;"retain","not_eligible",IF(D31="P_R","protocol_descriptive",IF(D31="P_P","plan_descriptive",IF(AND(T31="statistical_results",OR(U31="confirmed_issue",U31="probable_issue"),V31="substantive"),"primary_temporal",IF(AND(T31="report_internal_inconsistency",X31="substantive_inconsistency"),"secondary_temporal","not_eligible"))))))</x:f>
      </x:c>
      <x:c r="I31" s="3" t="str">
        <x:v>retain</x:v>
      </x:c>
      <x:c r="J31" s="3" t="str">
        <x:v>statistical_results</x:v>
      </x:c>
      <x:c r="K31" s="3" t="str">
        <x:f>IF(Setup!$B$6="primary","",IFERROR(IF(INDEX('Primary_snapshot'!$B$2:$B$72,MATCH(C31,'Primary_snapshot'!$A$2:$A$72,0))="","",INDEX('Primary_snapshot'!$B$2:$B$72,MATCH(C31,'Primary_snapshot'!$A$2:$A$72,0))),"SNAPSHOT MISSING"))</x:f>
      </x:c>
      <x:c r="L31" s="3" t="str">
        <x:f>IF(Setup!$B$6="primary","",IFERROR(IF(INDEX('Primary_snapshot'!$C$2:$C$72,MATCH(C31,'Primary_snapshot'!$A$2:$A$72,0))="","",INDEX('Primary_snapshot'!$C$2:$C$72,MATCH(C31,'Primary_snapshot'!$A$2:$A$72,0))),"SNAPSHOT MISSING"))</x:f>
      </x:c>
      <x:c r="M31" s="3" t="str">
        <x:f>IF(Setup!$B$6="primary","",IFERROR(IF(INDEX('Primary_snapshot'!$D$2:$D$72,MATCH(C31,'Primary_snapshot'!$A$2:$A$72,0))="","",INDEX('Primary_snapshot'!$D$2:$D$72,MATCH(C31,'Primary_snapshot'!$A$2:$A$72,0))),"SNAPSHOT MISSING"))</x:f>
      </x:c>
      <x:c r="N31" s="3" t="str">
        <x:f>IF(Setup!$B$6="primary","",IFERROR(IF(INDEX('Primary_snapshot'!$E$2:$E$72,MATCH(C31,'Primary_snapshot'!$A$2:$A$72,0))="","",INDEX('Primary_snapshot'!$E$2:$E$72,MATCH(C31,'Primary_snapshot'!$A$2:$A$72,0))),"SNAPSHOT MISSING"))</x:f>
      </x:c>
      <x:c r="O31" s="3" t="str">
        <x:f>IF(Setup!$B$6="primary","",IFERROR(IF(INDEX('Primary_snapshot'!$F$2:$F$72,MATCH(C31,'Primary_snapshot'!$A$2:$A$72,0))="","",INDEX('Primary_snapshot'!$F$2:$F$72,MATCH(C31,'Primary_snapshot'!$A$2:$A$72,0))),"SNAPSHOT MISSING"))</x:f>
      </x:c>
      <x:c r="P31" s="3" t="str">
        <x:f>IF(Setup!$B$6="primary","",IFERROR(IF(INDEX('Primary_snapshot'!$G$2:$G$72,MATCH(C31,'Primary_snapshot'!$A$2:$A$72,0))="","",INDEX('Primary_snapshot'!$G$2:$G$72,MATCH(C31,'Primary_snapshot'!$A$2:$A$72,0))),"SNAPSHOT MISSING"))</x:f>
      </x:c>
      <x:c r="Q31" s="3" t="str">
        <x:f>IF(Setup!$B$6="primary","",IFERROR(IF(INDEX('Primary_snapshot'!$H$2:$H$72,MATCH(C31,'Primary_snapshot'!$A$2:$A$72,0))="","",INDEX('Primary_snapshot'!$H$2:$H$72,MATCH(C31,'Primary_snapshot'!$A$2:$A$72,0))),"SNAPSHOT MISSING"))</x:f>
      </x:c>
      <x:c r="R31" s="3" t="str">
        <x:f>IF(Setup!$B$6="primary","",IFERROR(IF(INDEX('Primary_snapshot'!$I$2:$I$72,MATCH(C31,'Primary_snapshot'!$A$2:$A$72,0))="","",INDEX('Primary_snapshot'!$I$2:$I$72,MATCH(C31,'Primary_snapshot'!$A$2:$A$72,0))),"SNAPSHOT MISSING"))</x:f>
      </x:c>
      <x:c r="S31" s="3" t="str">
        <x:f>IF(INDEX('C_jama.2019.14231'!$D$2:$D$12,MATCH("2019::jama.2019.14231::C010",'C_jama.2019.14231'!$A$2:$A$12,0))="","",INDEX('C_jama.2019.14231'!$D$2:$D$12,MATCH("2019::jama.2019.14231::C010",'C_jama.2019.14231'!$A$2:$A$12,0)))</x:f>
      </x:c>
      <x:c r="T31" s="3" t="str">
        <x:f>IF(INDEX('C_jama.2019.14231'!$E$2:$E$12,MATCH("2019::jama.2019.14231::C010",'C_jama.2019.14231'!$A$2:$A$12,0))="","",INDEX('C_jama.2019.14231'!$E$2:$E$12,MATCH("2019::jama.2019.14231::C010",'C_jama.2019.14231'!$A$2:$A$12,0)))</x:f>
        <x:v>statistical_results</x:v>
      </x:c>
      <x:c r="U31" s="3" t="str">
        <x:f>IF(AND(INDEX('C_jama.2019.14231'!$D$2:$D$12,MATCH("2019::jama.2019.14231::C010",'C_jama.2019.14231'!$A$2:$A$12,0))="retain",INDEX('C_jama.2019.14231'!$E$2:$E$12,MATCH("2019::jama.2019.14231::C010",'C_jama.2019.14231'!$A$2:$A$12,0))="statistical_results"),IF(INDEX('C_jama.2019.14231'!$H$2:$H$12,MATCH("2019::jama.2019.14231::C010",'C_jama.2019.14231'!$A$2:$A$12,0))="","",INDEX('C_jama.2019.14231'!$H$2:$H$12,MATCH("2019::jama.2019.14231::C010",'C_jama.2019.14231'!$A$2:$A$12,0))),"not_applicable")</x:f>
        <x:v>not_applicable</x:v>
      </x:c>
      <x:c r="V31" s="3" t="str">
        <x:f>IF(AND(INDEX('C_jama.2019.14231'!$D$2:$D$12,MATCH("2019::jama.2019.14231::C010",'C_jama.2019.14231'!$A$2:$A$12,0))="retain",INDEX('C_jama.2019.14231'!$E$2:$E$12,MATCH("2019::jama.2019.14231::C010",'C_jama.2019.14231'!$A$2:$A$12,0))="statistical_results"),IF(INDEX('C_jama.2019.14231'!$I$2:$I$12,MATCH("2019::jama.2019.14231::C010",'C_jama.2019.14231'!$A$2:$A$12,0))="","",INDEX('C_jama.2019.14231'!$I$2:$I$12,MATCH("2019::jama.2019.14231::C010",'C_jama.2019.14231'!$A$2:$A$12,0))),"not_applicable")</x:f>
        <x:v>not_applicable</x:v>
      </x:c>
      <x:c r="W31" s="3" t="str">
        <x:f>IF(AND(INDEX('C_jama.2019.14231'!$D$2:$D$12,MATCH("2019::jama.2019.14231::C010",'C_jama.2019.14231'!$A$2:$A$12,0))="retain",INDEX('C_jama.2019.14231'!$E$2:$E$12,MATCH("2019::jama.2019.14231::C010",'C_jama.2019.14231'!$A$2:$A$12,0))="statistical_results"),IF(INDEX('C_jama.2019.14231'!$J$2:$J$12,MATCH("2019::jama.2019.14231::C010",'C_jama.2019.14231'!$A$2:$A$12,0))="","",INDEX('C_jama.2019.14231'!$J$2:$J$12,MATCH("2019::jama.2019.14231::C010",'C_jama.2019.14231'!$A$2:$A$12,0))),"not_applicable")</x:f>
        <x:v>not_applicable</x:v>
      </x:c>
      <x:c r="X31" s="3" t="str">
        <x:f>IF(AND(INDEX('C_jama.2019.14231'!$D$2:$D$12,MATCH("2019::jama.2019.14231::C010",'C_jama.2019.14231'!$A$2:$A$12,0))="retain",OR(INDEX('C_jama.2019.14231'!$E$2:$E$12,MATCH("2019::jama.2019.14231::C010",'C_jama.2019.14231'!$A$2:$A$12,0))="report_internal_inconsistency",INDEX('C_jama.2019.14231'!$E$2:$E$12,MATCH("2019::jama.2019.14231::C010",'C_jama.2019.14231'!$A$2:$A$12,0))="plan_material")),IF(INDEX('C_jama.2019.14231'!$K$2:$K$12,MATCH("2019::jama.2019.14231::C010",'C_jama.2019.14231'!$A$2:$A$12,0))="","",INDEX('C_jama.2019.14231'!$K$2:$K$12,MATCH("2019::jama.2019.14231::C010",'C_jama.2019.14231'!$A$2:$A$12,0))),"not_applicable")</x:f>
        <x:v>not_applicable</x:v>
      </x:c>
      <x:c r="Y31" s="3" t="str">
        <x:f>IF(AND(INDEX('C_jama.2019.14231'!$D$2:$D$12,MATCH("2019::jama.2019.14231::C010",'C_jama.2019.14231'!$A$2:$A$12,0))="retain",INDEX('C_jama.2019.14231'!$E$2:$E$12,MATCH("2019::jama.2019.14231::C010",'C_jama.2019.14231'!$A$2:$A$12,0))="protocol_report"),IF(INDEX('C_jama.2019.14231'!$L$2:$L$12,MATCH("2019::jama.2019.14231::C010",'C_jama.2019.14231'!$A$2:$A$12,0))="","",INDEX('C_jama.2019.14231'!$L$2:$L$12,MATCH("2019::jama.2019.14231::C010",'C_jama.2019.14231'!$A$2:$A$12,0))),"not_applicable")</x:f>
        <x:v>not_applicable</x:v>
      </x:c>
      <x:c r="Z31" s="3" t="str">
        <x:f>IF(INDEX('C_jama.2019.14231'!$R$2:$R$12,MATCH("2019::jama.2019.14231::C010",'C_jama.2019.14231'!$A$2:$A$12,0))="","",INDEX('C_jama.2019.14231'!$R$2:$R$12,MATCH("2019::jama.2019.14231::C010",'C_jama.2019.14231'!$A$2:$A$12,0)))</x:f>
      </x:c>
      <x:c r="AA31" s="3" t="str">
        <x:f>IF(INDEX('C_jama.2019.14231'!$N$2:$N$12,MATCH("2019::jama.2019.14231::C010",'C_jama.2019.14231'!$A$2:$A$12,0))="","",INDEX('C_jama.2019.14231'!$N$2:$N$12,MATCH("2019::jama.2019.14231::C010",'C_jama.2019.14231'!$A$2:$A$12,0)))</x:f>
      </x:c>
      <x:c r="AB31" s="3" t="str">
        <x:f>IF(INDEX('C_jama.2019.14231'!$O$2:$O$12,MATCH("2019::jama.2019.14231::C010",'C_jama.2019.14231'!$A$2:$A$12,0))="","",INDEX('C_jama.2019.14231'!$O$2:$O$12,MATCH("2019::jama.2019.14231::C010",'C_jama.2019.14231'!$A$2:$A$12,0)))</x:f>
      </x:c>
      <x:c r="AC31" s="3" t="str">
        <x:f>IF(INDEX('C_jama.2019.14231'!$P$2:$P$12,MATCH("2019::jama.2019.14231::C010",'C_jama.2019.14231'!$A$2:$A$12,0))="","",INDEX('C_jama.2019.14231'!$P$2:$P$12,MATCH("2019::jama.2019.14231::C010",'C_jama.2019.14231'!$A$2:$A$12,0)))</x:f>
      </x:c>
      <x:c r="AD31" s="3" t="str">
        <x:f>IF(INDEX('C_jama.2019.14231'!$Q$2:$Q$12,MATCH("2019::jama.2019.14231::C010",'C_jama.2019.14231'!$A$2:$A$12,0))="","",INDEX('C_jama.2019.14231'!$Q$2:$Q$12,MATCH("2019::jama.2019.14231::C010",'C_jama.2019.14231'!$A$2:$A$12,0)))</x:f>
      </x:c>
    </x:row>
    <x:row r="32" ht="65" customHeight="1">
      <x:c r="A32" s="6" t="n">
        <x:v>2019</x:v>
      </x:c>
      <x:c r="B32" s="6" t="str">
        <x:v>jama.2019.14231</x:v>
      </x:c>
      <x:c r="C32" s="6" t="str">
        <x:v>2019::jama.2019.14231::C011</x:v>
      </x:c>
      <x:c r="D32" s="6" t="str">
        <x:v>S_W</x:v>
      </x:c>
      <x:c r="E32" s="6" t="n">
        <x:f>Setup!$B$2</x:f>
        <x:v>0</x:v>
      </x:c>
      <x:c r="F32" s="6" t="str">
        <x:f>IF(Setup!$B$4="","",Setup!$B$4)</x:f>
      </x:c>
      <x:c r="G32" s="6" t="str">
        <x:f>IFERROR(INDEX('C_jama.2019.14231'!$G$2:$G$12,MATCH("2019::jama.2019.14231::C011",'C_jama.2019.14231'!$A$2:$A$12,0)),"CHECK KEY")</x:f>
        <x:v>CHECK REVIEWER IDs</x:v>
      </x:c>
      <x:c r="H32" s="6" t="str">
        <x:f>IF(G32&lt;&gt;"FINAL READY","",IF(S32&lt;&gt;"retain","not_eligible",IF(D32="P_R","protocol_descriptive",IF(D32="P_P","plan_descriptive",IF(AND(T32="statistical_results",OR(U32="confirmed_issue",U32="probable_issue"),V32="substantive"),"primary_temporal",IF(AND(T32="report_internal_inconsistency",X32="substantive_inconsistency"),"secondary_temporal","not_eligible"))))))</x:f>
      </x:c>
      <x:c r="I32" s="6" t="str">
        <x:v>retain</x:v>
      </x:c>
      <x:c r="J32" s="6" t="str">
        <x:v>report_internal_inconsistency</x:v>
      </x:c>
      <x:c r="K32" s="6" t="str">
        <x:f>IF(Setup!$B$6="primary","",IFERROR(IF(INDEX('Primary_snapshot'!$B$2:$B$72,MATCH(C32,'Primary_snapshot'!$A$2:$A$72,0))="","",INDEX('Primary_snapshot'!$B$2:$B$72,MATCH(C32,'Primary_snapshot'!$A$2:$A$72,0))),"SNAPSHOT MISSING"))</x:f>
      </x:c>
      <x:c r="L32" s="6" t="str">
        <x:f>IF(Setup!$B$6="primary","",IFERROR(IF(INDEX('Primary_snapshot'!$C$2:$C$72,MATCH(C32,'Primary_snapshot'!$A$2:$A$72,0))="","",INDEX('Primary_snapshot'!$C$2:$C$72,MATCH(C32,'Primary_snapshot'!$A$2:$A$72,0))),"SNAPSHOT MISSING"))</x:f>
      </x:c>
      <x:c r="M32" s="6" t="str">
        <x:f>IF(Setup!$B$6="primary","",IFERROR(IF(INDEX('Primary_snapshot'!$D$2:$D$72,MATCH(C32,'Primary_snapshot'!$A$2:$A$72,0))="","",INDEX('Primary_snapshot'!$D$2:$D$72,MATCH(C32,'Primary_snapshot'!$A$2:$A$72,0))),"SNAPSHOT MISSING"))</x:f>
      </x:c>
      <x:c r="N32" s="6" t="str">
        <x:f>IF(Setup!$B$6="primary","",IFERROR(IF(INDEX('Primary_snapshot'!$E$2:$E$72,MATCH(C32,'Primary_snapshot'!$A$2:$A$72,0))="","",INDEX('Primary_snapshot'!$E$2:$E$72,MATCH(C32,'Primary_snapshot'!$A$2:$A$72,0))),"SNAPSHOT MISSING"))</x:f>
      </x:c>
      <x:c r="O32" s="6" t="str">
        <x:f>IF(Setup!$B$6="primary","",IFERROR(IF(INDEX('Primary_snapshot'!$F$2:$F$72,MATCH(C32,'Primary_snapshot'!$A$2:$A$72,0))="","",INDEX('Primary_snapshot'!$F$2:$F$72,MATCH(C32,'Primary_snapshot'!$A$2:$A$72,0))),"SNAPSHOT MISSING"))</x:f>
      </x:c>
      <x:c r="P32" s="6" t="str">
        <x:f>IF(Setup!$B$6="primary","",IFERROR(IF(INDEX('Primary_snapshot'!$G$2:$G$72,MATCH(C32,'Primary_snapshot'!$A$2:$A$72,0))="","",INDEX('Primary_snapshot'!$G$2:$G$72,MATCH(C32,'Primary_snapshot'!$A$2:$A$72,0))),"SNAPSHOT MISSING"))</x:f>
      </x:c>
      <x:c r="Q32" s="6" t="str">
        <x:f>IF(Setup!$B$6="primary","",IFERROR(IF(INDEX('Primary_snapshot'!$H$2:$H$72,MATCH(C32,'Primary_snapshot'!$A$2:$A$72,0))="","",INDEX('Primary_snapshot'!$H$2:$H$72,MATCH(C32,'Primary_snapshot'!$A$2:$A$72,0))),"SNAPSHOT MISSING"))</x:f>
      </x:c>
      <x:c r="R32" s="6" t="str">
        <x:f>IF(Setup!$B$6="primary","",IFERROR(IF(INDEX('Primary_snapshot'!$I$2:$I$72,MATCH(C32,'Primary_snapshot'!$A$2:$A$72,0))="","",INDEX('Primary_snapshot'!$I$2:$I$72,MATCH(C32,'Primary_snapshot'!$A$2:$A$72,0))),"SNAPSHOT MISSING"))</x:f>
      </x:c>
      <x:c r="S32" s="6" t="str">
        <x:f>IF(INDEX('C_jama.2019.14231'!$D$2:$D$12,MATCH("2019::jama.2019.14231::C011",'C_jama.2019.14231'!$A$2:$A$12,0))="","",INDEX('C_jama.2019.14231'!$D$2:$D$12,MATCH("2019::jama.2019.14231::C011",'C_jama.2019.14231'!$A$2:$A$12,0)))</x:f>
      </x:c>
      <x:c r="T32" s="6" t="str">
        <x:f>IF(INDEX('C_jama.2019.14231'!$E$2:$E$12,MATCH("2019::jama.2019.14231::C011",'C_jama.2019.14231'!$A$2:$A$12,0))="","",INDEX('C_jama.2019.14231'!$E$2:$E$12,MATCH("2019::jama.2019.14231::C011",'C_jama.2019.14231'!$A$2:$A$12,0)))</x:f>
        <x:v>report_internal_inconsistency</x:v>
      </x:c>
      <x:c r="U32" s="6" t="str">
        <x:f>IF(AND(INDEX('C_jama.2019.14231'!$D$2:$D$12,MATCH("2019::jama.2019.14231::C011",'C_jama.2019.14231'!$A$2:$A$12,0))="retain",INDEX('C_jama.2019.14231'!$E$2:$E$12,MATCH("2019::jama.2019.14231::C011",'C_jama.2019.14231'!$A$2:$A$12,0))="statistical_results"),IF(INDEX('C_jama.2019.14231'!$H$2:$H$12,MATCH("2019::jama.2019.14231::C011",'C_jama.2019.14231'!$A$2:$A$12,0))="","",INDEX('C_jama.2019.14231'!$H$2:$H$12,MATCH("2019::jama.2019.14231::C011",'C_jama.2019.14231'!$A$2:$A$12,0))),"not_applicable")</x:f>
        <x:v>not_applicable</x:v>
      </x:c>
      <x:c r="V32" s="6" t="str">
        <x:f>IF(AND(INDEX('C_jama.2019.14231'!$D$2:$D$12,MATCH("2019::jama.2019.14231::C011",'C_jama.2019.14231'!$A$2:$A$12,0))="retain",INDEX('C_jama.2019.14231'!$E$2:$E$12,MATCH("2019::jama.2019.14231::C011",'C_jama.2019.14231'!$A$2:$A$12,0))="statistical_results"),IF(INDEX('C_jama.2019.14231'!$I$2:$I$12,MATCH("2019::jama.2019.14231::C011",'C_jama.2019.14231'!$A$2:$A$12,0))="","",INDEX('C_jama.2019.14231'!$I$2:$I$12,MATCH("2019::jama.2019.14231::C011",'C_jama.2019.14231'!$A$2:$A$12,0))),"not_applicable")</x:f>
        <x:v>not_applicable</x:v>
      </x:c>
      <x:c r="W32" s="6" t="str">
        <x:f>IF(AND(INDEX('C_jama.2019.14231'!$D$2:$D$12,MATCH("2019::jama.2019.14231::C011",'C_jama.2019.14231'!$A$2:$A$12,0))="retain",INDEX('C_jama.2019.14231'!$E$2:$E$12,MATCH("2019::jama.2019.14231::C011",'C_jama.2019.14231'!$A$2:$A$12,0))="statistical_results"),IF(INDEX('C_jama.2019.14231'!$J$2:$J$12,MATCH("2019::jama.2019.14231::C011",'C_jama.2019.14231'!$A$2:$A$12,0))="","",INDEX('C_jama.2019.14231'!$J$2:$J$12,MATCH("2019::jama.2019.14231::C011",'C_jama.2019.14231'!$A$2:$A$12,0))),"not_applicable")</x:f>
        <x:v>not_applicable</x:v>
      </x:c>
      <x:c r="X32" s="6" t="str">
        <x:f>IF(AND(INDEX('C_jama.2019.14231'!$D$2:$D$12,MATCH("2019::jama.2019.14231::C011",'C_jama.2019.14231'!$A$2:$A$12,0))="retain",OR(INDEX('C_jama.2019.14231'!$E$2:$E$12,MATCH("2019::jama.2019.14231::C011",'C_jama.2019.14231'!$A$2:$A$12,0))="report_internal_inconsistency",INDEX('C_jama.2019.14231'!$E$2:$E$12,MATCH("2019::jama.2019.14231::C011",'C_jama.2019.14231'!$A$2:$A$12,0))="plan_material")),IF(INDEX('C_jama.2019.14231'!$K$2:$K$12,MATCH("2019::jama.2019.14231::C011",'C_jama.2019.14231'!$A$2:$A$12,0))="","",INDEX('C_jama.2019.14231'!$K$2:$K$12,MATCH("2019::jama.2019.14231::C011",'C_jama.2019.14231'!$A$2:$A$12,0))),"not_applicable")</x:f>
        <x:v>not_applicable</x:v>
      </x:c>
      <x:c r="Y32" s="6" t="str">
        <x:f>IF(AND(INDEX('C_jama.2019.14231'!$D$2:$D$12,MATCH("2019::jama.2019.14231::C011",'C_jama.2019.14231'!$A$2:$A$12,0))="retain",INDEX('C_jama.2019.14231'!$E$2:$E$12,MATCH("2019::jama.2019.14231::C011",'C_jama.2019.14231'!$A$2:$A$12,0))="protocol_report"),IF(INDEX('C_jama.2019.14231'!$L$2:$L$12,MATCH("2019::jama.2019.14231::C011",'C_jama.2019.14231'!$A$2:$A$12,0))="","",INDEX('C_jama.2019.14231'!$L$2:$L$12,MATCH("2019::jama.2019.14231::C011",'C_jama.2019.14231'!$A$2:$A$12,0))),"not_applicable")</x:f>
        <x:v>not_applicable</x:v>
      </x:c>
      <x:c r="Z32" s="6" t="str">
        <x:f>IF(INDEX('C_jama.2019.14231'!$R$2:$R$12,MATCH("2019::jama.2019.14231::C011",'C_jama.2019.14231'!$A$2:$A$12,0))="","",INDEX('C_jama.2019.14231'!$R$2:$R$12,MATCH("2019::jama.2019.14231::C011",'C_jama.2019.14231'!$A$2:$A$12,0)))</x:f>
      </x:c>
      <x:c r="AA32" s="6" t="str">
        <x:f>IF(INDEX('C_jama.2019.14231'!$N$2:$N$12,MATCH("2019::jama.2019.14231::C011",'C_jama.2019.14231'!$A$2:$A$12,0))="","",INDEX('C_jama.2019.14231'!$N$2:$N$12,MATCH("2019::jama.2019.14231::C011",'C_jama.2019.14231'!$A$2:$A$12,0)))</x:f>
      </x:c>
      <x:c r="AB32" s="6" t="str">
        <x:f>IF(INDEX('C_jama.2019.14231'!$O$2:$O$12,MATCH("2019::jama.2019.14231::C011",'C_jama.2019.14231'!$A$2:$A$12,0))="","",INDEX('C_jama.2019.14231'!$O$2:$O$12,MATCH("2019::jama.2019.14231::C011",'C_jama.2019.14231'!$A$2:$A$12,0)))</x:f>
      </x:c>
      <x:c r="AC32" s="6" t="str">
        <x:f>IF(INDEX('C_jama.2019.14231'!$P$2:$P$12,MATCH("2019::jama.2019.14231::C011",'C_jama.2019.14231'!$A$2:$A$12,0))="","",INDEX('C_jama.2019.14231'!$P$2:$P$12,MATCH("2019::jama.2019.14231::C011",'C_jama.2019.14231'!$A$2:$A$12,0)))</x:f>
      </x:c>
      <x:c r="AD32" s="6" t="str">
        <x:f>IF(INDEX('C_jama.2019.14231'!$Q$2:$Q$12,MATCH("2019::jama.2019.14231::C011",'C_jama.2019.14231'!$A$2:$A$12,0))="","",INDEX('C_jama.2019.14231'!$Q$2:$Q$12,MATCH("2019::jama.2019.14231::C011",'C_jama.2019.14231'!$A$2:$A$12,0)))</x:f>
      </x:c>
    </x:row>
    <x:row r="33" ht="65" customHeight="1">
      <x:c r="A33" s="3" t="n">
        <x:v>2019</x:v>
      </x:c>
      <x:c r="B33" s="3" t="str">
        <x:v>jama.2019.14630</x:v>
      </x:c>
      <x:c r="C33" s="3" t="str">
        <x:v>2019::jama.2019.14630::C001</x:v>
      </x:c>
      <x:c r="D33" s="3" t="str">
        <x:v>S_W</x:v>
      </x:c>
      <x:c r="E33" s="3" t="n">
        <x:f>Setup!$B$2</x:f>
        <x:v>0</x:v>
      </x:c>
      <x:c r="F33" s="3" t="str">
        <x:f>IF(Setup!$B$4="","",Setup!$B$4)</x:f>
      </x:c>
      <x:c r="G33" s="3" t="str">
        <x:f>IFERROR(INDEX('C_jama.2019.14630'!$G$2:$G$10,MATCH("2019::jama.2019.14630::C001",'C_jama.2019.14630'!$A$2:$A$10,0)),"CHECK KEY")</x:f>
        <x:v>CHECK REVIEWER IDs</x:v>
      </x:c>
      <x:c r="H33" s="3" t="str">
        <x:f>IF(G33&lt;&gt;"FINAL READY","",IF(S33&lt;&gt;"retain","not_eligible",IF(D33="P_R","protocol_descriptive",IF(D33="P_P","plan_descriptive",IF(AND(T33="statistical_results",OR(U33="confirmed_issue",U33="probable_issue"),V33="substantive"),"primary_temporal",IF(AND(T33="report_internal_inconsistency",X33="substantive_inconsistency"),"secondary_temporal","not_eligible"))))))</x:f>
      </x:c>
      <x:c r="I33" s="3" t="str">
        <x:v>retain</x:v>
      </x:c>
      <x:c r="J33" s="3" t="str">
        <x:v>report_internal_inconsistency</x:v>
      </x:c>
      <x:c r="K33" s="3" t="str">
        <x:f>IF(Setup!$B$6="primary","",IFERROR(IF(INDEX('Primary_snapshot'!$B$2:$B$72,MATCH(C33,'Primary_snapshot'!$A$2:$A$72,0))="","",INDEX('Primary_snapshot'!$B$2:$B$72,MATCH(C33,'Primary_snapshot'!$A$2:$A$72,0))),"SNAPSHOT MISSING"))</x:f>
      </x:c>
      <x:c r="L33" s="3" t="str">
        <x:f>IF(Setup!$B$6="primary","",IFERROR(IF(INDEX('Primary_snapshot'!$C$2:$C$72,MATCH(C33,'Primary_snapshot'!$A$2:$A$72,0))="","",INDEX('Primary_snapshot'!$C$2:$C$72,MATCH(C33,'Primary_snapshot'!$A$2:$A$72,0))),"SNAPSHOT MISSING"))</x:f>
      </x:c>
      <x:c r="M33" s="3" t="str">
        <x:f>IF(Setup!$B$6="primary","",IFERROR(IF(INDEX('Primary_snapshot'!$D$2:$D$72,MATCH(C33,'Primary_snapshot'!$A$2:$A$72,0))="","",INDEX('Primary_snapshot'!$D$2:$D$72,MATCH(C33,'Primary_snapshot'!$A$2:$A$72,0))),"SNAPSHOT MISSING"))</x:f>
      </x:c>
      <x:c r="N33" s="3" t="str">
        <x:f>IF(Setup!$B$6="primary","",IFERROR(IF(INDEX('Primary_snapshot'!$E$2:$E$72,MATCH(C33,'Primary_snapshot'!$A$2:$A$72,0))="","",INDEX('Primary_snapshot'!$E$2:$E$72,MATCH(C33,'Primary_snapshot'!$A$2:$A$72,0))),"SNAPSHOT MISSING"))</x:f>
      </x:c>
      <x:c r="O33" s="3" t="str">
        <x:f>IF(Setup!$B$6="primary","",IFERROR(IF(INDEX('Primary_snapshot'!$F$2:$F$72,MATCH(C33,'Primary_snapshot'!$A$2:$A$72,0))="","",INDEX('Primary_snapshot'!$F$2:$F$72,MATCH(C33,'Primary_snapshot'!$A$2:$A$72,0))),"SNAPSHOT MISSING"))</x:f>
      </x:c>
      <x:c r="P33" s="3" t="str">
        <x:f>IF(Setup!$B$6="primary","",IFERROR(IF(INDEX('Primary_snapshot'!$G$2:$G$72,MATCH(C33,'Primary_snapshot'!$A$2:$A$72,0))="","",INDEX('Primary_snapshot'!$G$2:$G$72,MATCH(C33,'Primary_snapshot'!$A$2:$A$72,0))),"SNAPSHOT MISSING"))</x:f>
      </x:c>
      <x:c r="Q33" s="3" t="str">
        <x:f>IF(Setup!$B$6="primary","",IFERROR(IF(INDEX('Primary_snapshot'!$H$2:$H$72,MATCH(C33,'Primary_snapshot'!$A$2:$A$72,0))="","",INDEX('Primary_snapshot'!$H$2:$H$72,MATCH(C33,'Primary_snapshot'!$A$2:$A$72,0))),"SNAPSHOT MISSING"))</x:f>
      </x:c>
      <x:c r="R33" s="3" t="str">
        <x:f>IF(Setup!$B$6="primary","",IFERROR(IF(INDEX('Primary_snapshot'!$I$2:$I$72,MATCH(C33,'Primary_snapshot'!$A$2:$A$72,0))="","",INDEX('Primary_snapshot'!$I$2:$I$72,MATCH(C33,'Primary_snapshot'!$A$2:$A$72,0))),"SNAPSHOT MISSING"))</x:f>
      </x:c>
      <x:c r="S33" s="3" t="str">
        <x:f>IF(INDEX('C_jama.2019.14630'!$D$2:$D$10,MATCH("2019::jama.2019.14630::C001",'C_jama.2019.14630'!$A$2:$A$10,0))="","",INDEX('C_jama.2019.14630'!$D$2:$D$10,MATCH("2019::jama.2019.14630::C001",'C_jama.2019.14630'!$A$2:$A$10,0)))</x:f>
      </x:c>
      <x:c r="T33" s="3" t="str">
        <x:f>IF(INDEX('C_jama.2019.14630'!$E$2:$E$10,MATCH("2019::jama.2019.14630::C001",'C_jama.2019.14630'!$A$2:$A$10,0))="","",INDEX('C_jama.2019.14630'!$E$2:$E$10,MATCH("2019::jama.2019.14630::C001",'C_jama.2019.14630'!$A$2:$A$10,0)))</x:f>
        <x:v>report_internal_inconsistency</x:v>
      </x:c>
      <x:c r="U33" s="3" t="str">
        <x:f>IF(AND(INDEX('C_jama.2019.14630'!$D$2:$D$10,MATCH("2019::jama.2019.14630::C001",'C_jama.2019.14630'!$A$2:$A$10,0))="retain",INDEX('C_jama.2019.14630'!$E$2:$E$10,MATCH("2019::jama.2019.14630::C001",'C_jama.2019.14630'!$A$2:$A$10,0))="statistical_results"),IF(INDEX('C_jama.2019.14630'!$H$2:$H$10,MATCH("2019::jama.2019.14630::C001",'C_jama.2019.14630'!$A$2:$A$10,0))="","",INDEX('C_jama.2019.14630'!$H$2:$H$10,MATCH("2019::jama.2019.14630::C001",'C_jama.2019.14630'!$A$2:$A$10,0))),"not_applicable")</x:f>
        <x:v>not_applicable</x:v>
      </x:c>
      <x:c r="V33" s="3" t="str">
        <x:f>IF(AND(INDEX('C_jama.2019.14630'!$D$2:$D$10,MATCH("2019::jama.2019.14630::C001",'C_jama.2019.14630'!$A$2:$A$10,0))="retain",INDEX('C_jama.2019.14630'!$E$2:$E$10,MATCH("2019::jama.2019.14630::C001",'C_jama.2019.14630'!$A$2:$A$10,0))="statistical_results"),IF(INDEX('C_jama.2019.14630'!$I$2:$I$10,MATCH("2019::jama.2019.14630::C001",'C_jama.2019.14630'!$A$2:$A$10,0))="","",INDEX('C_jama.2019.14630'!$I$2:$I$10,MATCH("2019::jama.2019.14630::C001",'C_jama.2019.14630'!$A$2:$A$10,0))),"not_applicable")</x:f>
        <x:v>not_applicable</x:v>
      </x:c>
      <x:c r="W33" s="3" t="str">
        <x:f>IF(AND(INDEX('C_jama.2019.14630'!$D$2:$D$10,MATCH("2019::jama.2019.14630::C001",'C_jama.2019.14630'!$A$2:$A$10,0))="retain",INDEX('C_jama.2019.14630'!$E$2:$E$10,MATCH("2019::jama.2019.14630::C001",'C_jama.2019.14630'!$A$2:$A$10,0))="statistical_results"),IF(INDEX('C_jama.2019.14630'!$J$2:$J$10,MATCH("2019::jama.2019.14630::C001",'C_jama.2019.14630'!$A$2:$A$10,0))="","",INDEX('C_jama.2019.14630'!$J$2:$J$10,MATCH("2019::jama.2019.14630::C001",'C_jama.2019.14630'!$A$2:$A$10,0))),"not_applicable")</x:f>
        <x:v>not_applicable</x:v>
      </x:c>
      <x:c r="X33" s="3" t="str">
        <x:f>IF(AND(INDEX('C_jama.2019.14630'!$D$2:$D$10,MATCH("2019::jama.2019.14630::C001",'C_jama.2019.14630'!$A$2:$A$10,0))="retain",OR(INDEX('C_jama.2019.14630'!$E$2:$E$10,MATCH("2019::jama.2019.14630::C001",'C_jama.2019.14630'!$A$2:$A$10,0))="report_internal_inconsistency",INDEX('C_jama.2019.14630'!$E$2:$E$10,MATCH("2019::jama.2019.14630::C001",'C_jama.2019.14630'!$A$2:$A$10,0))="plan_material")),IF(INDEX('C_jama.2019.14630'!$K$2:$K$10,MATCH("2019::jama.2019.14630::C001",'C_jama.2019.14630'!$A$2:$A$10,0))="","",INDEX('C_jama.2019.14630'!$K$2:$K$10,MATCH("2019::jama.2019.14630::C001",'C_jama.2019.14630'!$A$2:$A$10,0))),"not_applicable")</x:f>
        <x:v>not_applicable</x:v>
      </x:c>
      <x:c r="Y33" s="3" t="str">
        <x:f>IF(AND(INDEX('C_jama.2019.14630'!$D$2:$D$10,MATCH("2019::jama.2019.14630::C001",'C_jama.2019.14630'!$A$2:$A$10,0))="retain",INDEX('C_jama.2019.14630'!$E$2:$E$10,MATCH("2019::jama.2019.14630::C001",'C_jama.2019.14630'!$A$2:$A$10,0))="protocol_report"),IF(INDEX('C_jama.2019.14630'!$L$2:$L$10,MATCH("2019::jama.2019.14630::C001",'C_jama.2019.14630'!$A$2:$A$10,0))="","",INDEX('C_jama.2019.14630'!$L$2:$L$10,MATCH("2019::jama.2019.14630::C001",'C_jama.2019.14630'!$A$2:$A$10,0))),"not_applicable")</x:f>
        <x:v>not_applicable</x:v>
      </x:c>
      <x:c r="Z33" s="3" t="str">
        <x:f>IF(INDEX('C_jama.2019.14630'!$R$2:$R$10,MATCH("2019::jama.2019.14630::C001",'C_jama.2019.14630'!$A$2:$A$10,0))="","",INDEX('C_jama.2019.14630'!$R$2:$R$10,MATCH("2019::jama.2019.14630::C001",'C_jama.2019.14630'!$A$2:$A$10,0)))</x:f>
      </x:c>
      <x:c r="AA33" s="3" t="str">
        <x:f>IF(INDEX('C_jama.2019.14630'!$N$2:$N$10,MATCH("2019::jama.2019.14630::C001",'C_jama.2019.14630'!$A$2:$A$10,0))="","",INDEX('C_jama.2019.14630'!$N$2:$N$10,MATCH("2019::jama.2019.14630::C001",'C_jama.2019.14630'!$A$2:$A$10,0)))</x:f>
      </x:c>
      <x:c r="AB33" s="3" t="str">
        <x:f>IF(INDEX('C_jama.2019.14630'!$O$2:$O$10,MATCH("2019::jama.2019.14630::C001",'C_jama.2019.14630'!$A$2:$A$10,0))="","",INDEX('C_jama.2019.14630'!$O$2:$O$10,MATCH("2019::jama.2019.14630::C001",'C_jama.2019.14630'!$A$2:$A$10,0)))</x:f>
      </x:c>
      <x:c r="AC33" s="3" t="str">
        <x:f>IF(INDEX('C_jama.2019.14630'!$P$2:$P$10,MATCH("2019::jama.2019.14630::C001",'C_jama.2019.14630'!$A$2:$A$10,0))="","",INDEX('C_jama.2019.14630'!$P$2:$P$10,MATCH("2019::jama.2019.14630::C001",'C_jama.2019.14630'!$A$2:$A$10,0)))</x:f>
      </x:c>
      <x:c r="AD33" s="3" t="str">
        <x:f>IF(INDEX('C_jama.2019.14630'!$Q$2:$Q$10,MATCH("2019::jama.2019.14630::C001",'C_jama.2019.14630'!$A$2:$A$10,0))="","",INDEX('C_jama.2019.14630'!$Q$2:$Q$10,MATCH("2019::jama.2019.14630::C001",'C_jama.2019.14630'!$A$2:$A$10,0)))</x:f>
      </x:c>
    </x:row>
    <x:row r="34" ht="65" customHeight="1">
      <x:c r="A34" s="6" t="n">
        <x:v>2019</x:v>
      </x:c>
      <x:c r="B34" s="6" t="str">
        <x:v>jama.2019.14630</x:v>
      </x:c>
      <x:c r="C34" s="6" t="str">
        <x:v>2019::jama.2019.14630::C002</x:v>
      </x:c>
      <x:c r="D34" s="6" t="str">
        <x:v>S_W</x:v>
      </x:c>
      <x:c r="E34" s="6" t="n">
        <x:f>Setup!$B$2</x:f>
        <x:v>0</x:v>
      </x:c>
      <x:c r="F34" s="6" t="str">
        <x:f>IF(Setup!$B$4="","",Setup!$B$4)</x:f>
      </x:c>
      <x:c r="G34" s="6" t="str">
        <x:f>IFERROR(INDEX('C_jama.2019.14630'!$G$2:$G$10,MATCH("2019::jama.2019.14630::C002",'C_jama.2019.14630'!$A$2:$A$10,0)),"CHECK KEY")</x:f>
        <x:v>CHECK REVIEWER IDs</x:v>
      </x:c>
      <x:c r="H34" s="6" t="str">
        <x:f>IF(G34&lt;&gt;"FINAL READY","",IF(S34&lt;&gt;"retain","not_eligible",IF(D34="P_R","protocol_descriptive",IF(D34="P_P","plan_descriptive",IF(AND(T34="statistical_results",OR(U34="confirmed_issue",U34="probable_issue"),V34="substantive"),"primary_temporal",IF(AND(T34="report_internal_inconsistency",X34="substantive_inconsistency"),"secondary_temporal","not_eligible"))))))</x:f>
      </x:c>
      <x:c r="I34" s="6" t="str">
        <x:v>retain</x:v>
      </x:c>
      <x:c r="J34" s="6" t="str">
        <x:v>statistical_results</x:v>
      </x:c>
      <x:c r="K34" s="6" t="str">
        <x:f>IF(Setup!$B$6="primary","",IFERROR(IF(INDEX('Primary_snapshot'!$B$2:$B$72,MATCH(C34,'Primary_snapshot'!$A$2:$A$72,0))="","",INDEX('Primary_snapshot'!$B$2:$B$72,MATCH(C34,'Primary_snapshot'!$A$2:$A$72,0))),"SNAPSHOT MISSING"))</x:f>
      </x:c>
      <x:c r="L34" s="6" t="str">
        <x:f>IF(Setup!$B$6="primary","",IFERROR(IF(INDEX('Primary_snapshot'!$C$2:$C$72,MATCH(C34,'Primary_snapshot'!$A$2:$A$72,0))="","",INDEX('Primary_snapshot'!$C$2:$C$72,MATCH(C34,'Primary_snapshot'!$A$2:$A$72,0))),"SNAPSHOT MISSING"))</x:f>
      </x:c>
      <x:c r="M34" s="6" t="str">
        <x:f>IF(Setup!$B$6="primary","",IFERROR(IF(INDEX('Primary_snapshot'!$D$2:$D$72,MATCH(C34,'Primary_snapshot'!$A$2:$A$72,0))="","",INDEX('Primary_snapshot'!$D$2:$D$72,MATCH(C34,'Primary_snapshot'!$A$2:$A$72,0))),"SNAPSHOT MISSING"))</x:f>
      </x:c>
      <x:c r="N34" s="6" t="str">
        <x:f>IF(Setup!$B$6="primary","",IFERROR(IF(INDEX('Primary_snapshot'!$E$2:$E$72,MATCH(C34,'Primary_snapshot'!$A$2:$A$72,0))="","",INDEX('Primary_snapshot'!$E$2:$E$72,MATCH(C34,'Primary_snapshot'!$A$2:$A$72,0))),"SNAPSHOT MISSING"))</x:f>
      </x:c>
      <x:c r="O34" s="6" t="str">
        <x:f>IF(Setup!$B$6="primary","",IFERROR(IF(INDEX('Primary_snapshot'!$F$2:$F$72,MATCH(C34,'Primary_snapshot'!$A$2:$A$72,0))="","",INDEX('Primary_snapshot'!$F$2:$F$72,MATCH(C34,'Primary_snapshot'!$A$2:$A$72,0))),"SNAPSHOT MISSING"))</x:f>
      </x:c>
      <x:c r="P34" s="6" t="str">
        <x:f>IF(Setup!$B$6="primary","",IFERROR(IF(INDEX('Primary_snapshot'!$G$2:$G$72,MATCH(C34,'Primary_snapshot'!$A$2:$A$72,0))="","",INDEX('Primary_snapshot'!$G$2:$G$72,MATCH(C34,'Primary_snapshot'!$A$2:$A$72,0))),"SNAPSHOT MISSING"))</x:f>
      </x:c>
      <x:c r="Q34" s="6" t="str">
        <x:f>IF(Setup!$B$6="primary","",IFERROR(IF(INDEX('Primary_snapshot'!$H$2:$H$72,MATCH(C34,'Primary_snapshot'!$A$2:$A$72,0))="","",INDEX('Primary_snapshot'!$H$2:$H$72,MATCH(C34,'Primary_snapshot'!$A$2:$A$72,0))),"SNAPSHOT MISSING"))</x:f>
      </x:c>
      <x:c r="R34" s="6" t="str">
        <x:f>IF(Setup!$B$6="primary","",IFERROR(IF(INDEX('Primary_snapshot'!$I$2:$I$72,MATCH(C34,'Primary_snapshot'!$A$2:$A$72,0))="","",INDEX('Primary_snapshot'!$I$2:$I$72,MATCH(C34,'Primary_snapshot'!$A$2:$A$72,0))),"SNAPSHOT MISSING"))</x:f>
      </x:c>
      <x:c r="S34" s="6" t="str">
        <x:f>IF(INDEX('C_jama.2019.14630'!$D$2:$D$10,MATCH("2019::jama.2019.14630::C002",'C_jama.2019.14630'!$A$2:$A$10,0))="","",INDEX('C_jama.2019.14630'!$D$2:$D$10,MATCH("2019::jama.2019.14630::C002",'C_jama.2019.14630'!$A$2:$A$10,0)))</x:f>
      </x:c>
      <x:c r="T34" s="6" t="str">
        <x:f>IF(INDEX('C_jama.2019.14630'!$E$2:$E$10,MATCH("2019::jama.2019.14630::C002",'C_jama.2019.14630'!$A$2:$A$10,0))="","",INDEX('C_jama.2019.14630'!$E$2:$E$10,MATCH("2019::jama.2019.14630::C002",'C_jama.2019.14630'!$A$2:$A$10,0)))</x:f>
        <x:v>statistical_results</x:v>
      </x:c>
      <x:c r="U34" s="6" t="str">
        <x:f>IF(AND(INDEX('C_jama.2019.14630'!$D$2:$D$10,MATCH("2019::jama.2019.14630::C002",'C_jama.2019.14630'!$A$2:$A$10,0))="retain",INDEX('C_jama.2019.14630'!$E$2:$E$10,MATCH("2019::jama.2019.14630::C002",'C_jama.2019.14630'!$A$2:$A$10,0))="statistical_results"),IF(INDEX('C_jama.2019.14630'!$H$2:$H$10,MATCH("2019::jama.2019.14630::C002",'C_jama.2019.14630'!$A$2:$A$10,0))="","",INDEX('C_jama.2019.14630'!$H$2:$H$10,MATCH("2019::jama.2019.14630::C002",'C_jama.2019.14630'!$A$2:$A$10,0))),"not_applicable")</x:f>
        <x:v>not_applicable</x:v>
      </x:c>
      <x:c r="V34" s="6" t="str">
        <x:f>IF(AND(INDEX('C_jama.2019.14630'!$D$2:$D$10,MATCH("2019::jama.2019.14630::C002",'C_jama.2019.14630'!$A$2:$A$10,0))="retain",INDEX('C_jama.2019.14630'!$E$2:$E$10,MATCH("2019::jama.2019.14630::C002",'C_jama.2019.14630'!$A$2:$A$10,0))="statistical_results"),IF(INDEX('C_jama.2019.14630'!$I$2:$I$10,MATCH("2019::jama.2019.14630::C002",'C_jama.2019.14630'!$A$2:$A$10,0))="","",INDEX('C_jama.2019.14630'!$I$2:$I$10,MATCH("2019::jama.2019.14630::C002",'C_jama.2019.14630'!$A$2:$A$10,0))),"not_applicable")</x:f>
        <x:v>not_applicable</x:v>
      </x:c>
      <x:c r="W34" s="6" t="str">
        <x:f>IF(AND(INDEX('C_jama.2019.14630'!$D$2:$D$10,MATCH("2019::jama.2019.14630::C002",'C_jama.2019.14630'!$A$2:$A$10,0))="retain",INDEX('C_jama.2019.14630'!$E$2:$E$10,MATCH("2019::jama.2019.14630::C002",'C_jama.2019.14630'!$A$2:$A$10,0))="statistical_results"),IF(INDEX('C_jama.2019.14630'!$J$2:$J$10,MATCH("2019::jama.2019.14630::C002",'C_jama.2019.14630'!$A$2:$A$10,0))="","",INDEX('C_jama.2019.14630'!$J$2:$J$10,MATCH("2019::jama.2019.14630::C002",'C_jama.2019.14630'!$A$2:$A$10,0))),"not_applicable")</x:f>
        <x:v>not_applicable</x:v>
      </x:c>
      <x:c r="X34" s="6" t="str">
        <x:f>IF(AND(INDEX('C_jama.2019.14630'!$D$2:$D$10,MATCH("2019::jama.2019.14630::C002",'C_jama.2019.14630'!$A$2:$A$10,0))="retain",OR(INDEX('C_jama.2019.14630'!$E$2:$E$10,MATCH("2019::jama.2019.14630::C002",'C_jama.2019.14630'!$A$2:$A$10,0))="report_internal_inconsistency",INDEX('C_jama.2019.14630'!$E$2:$E$10,MATCH("2019::jama.2019.14630::C002",'C_jama.2019.14630'!$A$2:$A$10,0))="plan_material")),IF(INDEX('C_jama.2019.14630'!$K$2:$K$10,MATCH("2019::jama.2019.14630::C002",'C_jama.2019.14630'!$A$2:$A$10,0))="","",INDEX('C_jama.2019.14630'!$K$2:$K$10,MATCH("2019::jama.2019.14630::C002",'C_jama.2019.14630'!$A$2:$A$10,0))),"not_applicable")</x:f>
        <x:v>not_applicable</x:v>
      </x:c>
      <x:c r="Y34" s="6" t="str">
        <x:f>IF(AND(INDEX('C_jama.2019.14630'!$D$2:$D$10,MATCH("2019::jama.2019.14630::C002",'C_jama.2019.14630'!$A$2:$A$10,0))="retain",INDEX('C_jama.2019.14630'!$E$2:$E$10,MATCH("2019::jama.2019.14630::C002",'C_jama.2019.14630'!$A$2:$A$10,0))="protocol_report"),IF(INDEX('C_jama.2019.14630'!$L$2:$L$10,MATCH("2019::jama.2019.14630::C002",'C_jama.2019.14630'!$A$2:$A$10,0))="","",INDEX('C_jama.2019.14630'!$L$2:$L$10,MATCH("2019::jama.2019.14630::C002",'C_jama.2019.14630'!$A$2:$A$10,0))),"not_applicable")</x:f>
        <x:v>not_applicable</x:v>
      </x:c>
      <x:c r="Z34" s="6" t="str">
        <x:f>IF(INDEX('C_jama.2019.14630'!$R$2:$R$10,MATCH("2019::jama.2019.14630::C002",'C_jama.2019.14630'!$A$2:$A$10,0))="","",INDEX('C_jama.2019.14630'!$R$2:$R$10,MATCH("2019::jama.2019.14630::C002",'C_jama.2019.14630'!$A$2:$A$10,0)))</x:f>
      </x:c>
      <x:c r="AA34" s="6" t="str">
        <x:f>IF(INDEX('C_jama.2019.14630'!$N$2:$N$10,MATCH("2019::jama.2019.14630::C002",'C_jama.2019.14630'!$A$2:$A$10,0))="","",INDEX('C_jama.2019.14630'!$N$2:$N$10,MATCH("2019::jama.2019.14630::C002",'C_jama.2019.14630'!$A$2:$A$10,0)))</x:f>
      </x:c>
      <x:c r="AB34" s="6" t="str">
        <x:f>IF(INDEX('C_jama.2019.14630'!$O$2:$O$10,MATCH("2019::jama.2019.14630::C002",'C_jama.2019.14630'!$A$2:$A$10,0))="","",INDEX('C_jama.2019.14630'!$O$2:$O$10,MATCH("2019::jama.2019.14630::C002",'C_jama.2019.14630'!$A$2:$A$10,0)))</x:f>
      </x:c>
      <x:c r="AC34" s="6" t="str">
        <x:f>IF(INDEX('C_jama.2019.14630'!$P$2:$P$10,MATCH("2019::jama.2019.14630::C002",'C_jama.2019.14630'!$A$2:$A$10,0))="","",INDEX('C_jama.2019.14630'!$P$2:$P$10,MATCH("2019::jama.2019.14630::C002",'C_jama.2019.14630'!$A$2:$A$10,0)))</x:f>
      </x:c>
      <x:c r="AD34" s="6" t="str">
        <x:f>IF(INDEX('C_jama.2019.14630'!$Q$2:$Q$10,MATCH("2019::jama.2019.14630::C002",'C_jama.2019.14630'!$A$2:$A$10,0))="","",INDEX('C_jama.2019.14630'!$Q$2:$Q$10,MATCH("2019::jama.2019.14630::C002",'C_jama.2019.14630'!$A$2:$A$10,0)))</x:f>
      </x:c>
    </x:row>
    <x:row r="35" ht="65" customHeight="1">
      <x:c r="A35" s="3" t="n">
        <x:v>2019</x:v>
      </x:c>
      <x:c r="B35" s="3" t="str">
        <x:v>jama.2019.14630</x:v>
      </x:c>
      <x:c r="C35" s="3" t="str">
        <x:v>2019::jama.2019.14630::C003</x:v>
      </x:c>
      <x:c r="D35" s="3" t="str">
        <x:v>S_W</x:v>
      </x:c>
      <x:c r="E35" s="3" t="n">
        <x:f>Setup!$B$2</x:f>
        <x:v>0</x:v>
      </x:c>
      <x:c r="F35" s="3" t="str">
        <x:f>IF(Setup!$B$4="","",Setup!$B$4)</x:f>
      </x:c>
      <x:c r="G35" s="3" t="str">
        <x:f>IFERROR(INDEX('C_jama.2019.14630'!$G$2:$G$10,MATCH("2019::jama.2019.14630::C003",'C_jama.2019.14630'!$A$2:$A$10,0)),"CHECK KEY")</x:f>
        <x:v>CHECK REVIEWER IDs</x:v>
      </x:c>
      <x:c r="H35" s="3" t="str">
        <x:f>IF(G35&lt;&gt;"FINAL READY","",IF(S35&lt;&gt;"retain","not_eligible",IF(D35="P_R","protocol_descriptive",IF(D35="P_P","plan_descriptive",IF(AND(T35="statistical_results",OR(U35="confirmed_issue",U35="probable_issue"),V35="substantive"),"primary_temporal",IF(AND(T35="report_internal_inconsistency",X35="substantive_inconsistency"),"secondary_temporal","not_eligible"))))))</x:f>
      </x:c>
      <x:c r="I35" s="3" t="str">
        <x:v>retain</x:v>
      </x:c>
      <x:c r="J35" s="3" t="str">
        <x:v>report_internal_inconsistency</x:v>
      </x:c>
      <x:c r="K35" s="3" t="str">
        <x:f>IF(Setup!$B$6="primary","",IFERROR(IF(INDEX('Primary_snapshot'!$B$2:$B$72,MATCH(C35,'Primary_snapshot'!$A$2:$A$72,0))="","",INDEX('Primary_snapshot'!$B$2:$B$72,MATCH(C35,'Primary_snapshot'!$A$2:$A$72,0))),"SNAPSHOT MISSING"))</x:f>
      </x:c>
      <x:c r="L35" s="3" t="str">
        <x:f>IF(Setup!$B$6="primary","",IFERROR(IF(INDEX('Primary_snapshot'!$C$2:$C$72,MATCH(C35,'Primary_snapshot'!$A$2:$A$72,0))="","",INDEX('Primary_snapshot'!$C$2:$C$72,MATCH(C35,'Primary_snapshot'!$A$2:$A$72,0))),"SNAPSHOT MISSING"))</x:f>
      </x:c>
      <x:c r="M35" s="3" t="str">
        <x:f>IF(Setup!$B$6="primary","",IFERROR(IF(INDEX('Primary_snapshot'!$D$2:$D$72,MATCH(C35,'Primary_snapshot'!$A$2:$A$72,0))="","",INDEX('Primary_snapshot'!$D$2:$D$72,MATCH(C35,'Primary_snapshot'!$A$2:$A$72,0))),"SNAPSHOT MISSING"))</x:f>
      </x:c>
      <x:c r="N35" s="3" t="str">
        <x:f>IF(Setup!$B$6="primary","",IFERROR(IF(INDEX('Primary_snapshot'!$E$2:$E$72,MATCH(C35,'Primary_snapshot'!$A$2:$A$72,0))="","",INDEX('Primary_snapshot'!$E$2:$E$72,MATCH(C35,'Primary_snapshot'!$A$2:$A$72,0))),"SNAPSHOT MISSING"))</x:f>
      </x:c>
      <x:c r="O35" s="3" t="str">
        <x:f>IF(Setup!$B$6="primary","",IFERROR(IF(INDEX('Primary_snapshot'!$F$2:$F$72,MATCH(C35,'Primary_snapshot'!$A$2:$A$72,0))="","",INDEX('Primary_snapshot'!$F$2:$F$72,MATCH(C35,'Primary_snapshot'!$A$2:$A$72,0))),"SNAPSHOT MISSING"))</x:f>
      </x:c>
      <x:c r="P35" s="3" t="str">
        <x:f>IF(Setup!$B$6="primary","",IFERROR(IF(INDEX('Primary_snapshot'!$G$2:$G$72,MATCH(C35,'Primary_snapshot'!$A$2:$A$72,0))="","",INDEX('Primary_snapshot'!$G$2:$G$72,MATCH(C35,'Primary_snapshot'!$A$2:$A$72,0))),"SNAPSHOT MISSING"))</x:f>
      </x:c>
      <x:c r="Q35" s="3" t="str">
        <x:f>IF(Setup!$B$6="primary","",IFERROR(IF(INDEX('Primary_snapshot'!$H$2:$H$72,MATCH(C35,'Primary_snapshot'!$A$2:$A$72,0))="","",INDEX('Primary_snapshot'!$H$2:$H$72,MATCH(C35,'Primary_snapshot'!$A$2:$A$72,0))),"SNAPSHOT MISSING"))</x:f>
      </x:c>
      <x:c r="R35" s="3" t="str">
        <x:f>IF(Setup!$B$6="primary","",IFERROR(IF(INDEX('Primary_snapshot'!$I$2:$I$72,MATCH(C35,'Primary_snapshot'!$A$2:$A$72,0))="","",INDEX('Primary_snapshot'!$I$2:$I$72,MATCH(C35,'Primary_snapshot'!$A$2:$A$72,0))),"SNAPSHOT MISSING"))</x:f>
      </x:c>
      <x:c r="S35" s="3" t="str">
        <x:f>IF(INDEX('C_jama.2019.14630'!$D$2:$D$10,MATCH("2019::jama.2019.14630::C003",'C_jama.2019.14630'!$A$2:$A$10,0))="","",INDEX('C_jama.2019.14630'!$D$2:$D$10,MATCH("2019::jama.2019.14630::C003",'C_jama.2019.14630'!$A$2:$A$10,0)))</x:f>
      </x:c>
      <x:c r="T35" s="3" t="str">
        <x:f>IF(INDEX('C_jama.2019.14630'!$E$2:$E$10,MATCH("2019::jama.2019.14630::C003",'C_jama.2019.14630'!$A$2:$A$10,0))="","",INDEX('C_jama.2019.14630'!$E$2:$E$10,MATCH("2019::jama.2019.14630::C003",'C_jama.2019.14630'!$A$2:$A$10,0)))</x:f>
        <x:v>report_internal_inconsistency</x:v>
      </x:c>
      <x:c r="U35" s="3" t="str">
        <x:f>IF(AND(INDEX('C_jama.2019.14630'!$D$2:$D$10,MATCH("2019::jama.2019.14630::C003",'C_jama.2019.14630'!$A$2:$A$10,0))="retain",INDEX('C_jama.2019.14630'!$E$2:$E$10,MATCH("2019::jama.2019.14630::C003",'C_jama.2019.14630'!$A$2:$A$10,0))="statistical_results"),IF(INDEX('C_jama.2019.14630'!$H$2:$H$10,MATCH("2019::jama.2019.14630::C003",'C_jama.2019.14630'!$A$2:$A$10,0))="","",INDEX('C_jama.2019.14630'!$H$2:$H$10,MATCH("2019::jama.2019.14630::C003",'C_jama.2019.14630'!$A$2:$A$10,0))),"not_applicable")</x:f>
        <x:v>not_applicable</x:v>
      </x:c>
      <x:c r="V35" s="3" t="str">
        <x:f>IF(AND(INDEX('C_jama.2019.14630'!$D$2:$D$10,MATCH("2019::jama.2019.14630::C003",'C_jama.2019.14630'!$A$2:$A$10,0))="retain",INDEX('C_jama.2019.14630'!$E$2:$E$10,MATCH("2019::jama.2019.14630::C003",'C_jama.2019.14630'!$A$2:$A$10,0))="statistical_results"),IF(INDEX('C_jama.2019.14630'!$I$2:$I$10,MATCH("2019::jama.2019.14630::C003",'C_jama.2019.14630'!$A$2:$A$10,0))="","",INDEX('C_jama.2019.14630'!$I$2:$I$10,MATCH("2019::jama.2019.14630::C003",'C_jama.2019.14630'!$A$2:$A$10,0))),"not_applicable")</x:f>
        <x:v>not_applicable</x:v>
      </x:c>
      <x:c r="W35" s="3" t="str">
        <x:f>IF(AND(INDEX('C_jama.2019.14630'!$D$2:$D$10,MATCH("2019::jama.2019.14630::C003",'C_jama.2019.14630'!$A$2:$A$10,0))="retain",INDEX('C_jama.2019.14630'!$E$2:$E$10,MATCH("2019::jama.2019.14630::C003",'C_jama.2019.14630'!$A$2:$A$10,0))="statistical_results"),IF(INDEX('C_jama.2019.14630'!$J$2:$J$10,MATCH("2019::jama.2019.14630::C003",'C_jama.2019.14630'!$A$2:$A$10,0))="","",INDEX('C_jama.2019.14630'!$J$2:$J$10,MATCH("2019::jama.2019.14630::C003",'C_jama.2019.14630'!$A$2:$A$10,0))),"not_applicable")</x:f>
        <x:v>not_applicable</x:v>
      </x:c>
      <x:c r="X35" s="3" t="str">
        <x:f>IF(AND(INDEX('C_jama.2019.14630'!$D$2:$D$10,MATCH("2019::jama.2019.14630::C003",'C_jama.2019.14630'!$A$2:$A$10,0))="retain",OR(INDEX('C_jama.2019.14630'!$E$2:$E$10,MATCH("2019::jama.2019.14630::C003",'C_jama.2019.14630'!$A$2:$A$10,0))="report_internal_inconsistency",INDEX('C_jama.2019.14630'!$E$2:$E$10,MATCH("2019::jama.2019.14630::C003",'C_jama.2019.14630'!$A$2:$A$10,0))="plan_material")),IF(INDEX('C_jama.2019.14630'!$K$2:$K$10,MATCH("2019::jama.2019.14630::C003",'C_jama.2019.14630'!$A$2:$A$10,0))="","",INDEX('C_jama.2019.14630'!$K$2:$K$10,MATCH("2019::jama.2019.14630::C003",'C_jama.2019.14630'!$A$2:$A$10,0))),"not_applicable")</x:f>
        <x:v>not_applicable</x:v>
      </x:c>
      <x:c r="Y35" s="3" t="str">
        <x:f>IF(AND(INDEX('C_jama.2019.14630'!$D$2:$D$10,MATCH("2019::jama.2019.14630::C003",'C_jama.2019.14630'!$A$2:$A$10,0))="retain",INDEX('C_jama.2019.14630'!$E$2:$E$10,MATCH("2019::jama.2019.14630::C003",'C_jama.2019.14630'!$A$2:$A$10,0))="protocol_report"),IF(INDEX('C_jama.2019.14630'!$L$2:$L$10,MATCH("2019::jama.2019.14630::C003",'C_jama.2019.14630'!$A$2:$A$10,0))="","",INDEX('C_jama.2019.14630'!$L$2:$L$10,MATCH("2019::jama.2019.14630::C003",'C_jama.2019.14630'!$A$2:$A$10,0))),"not_applicable")</x:f>
        <x:v>not_applicable</x:v>
      </x:c>
      <x:c r="Z35" s="3" t="str">
        <x:f>IF(INDEX('C_jama.2019.14630'!$R$2:$R$10,MATCH("2019::jama.2019.14630::C003",'C_jama.2019.14630'!$A$2:$A$10,0))="","",INDEX('C_jama.2019.14630'!$R$2:$R$10,MATCH("2019::jama.2019.14630::C003",'C_jama.2019.14630'!$A$2:$A$10,0)))</x:f>
      </x:c>
      <x:c r="AA35" s="3" t="str">
        <x:f>IF(INDEX('C_jama.2019.14630'!$N$2:$N$10,MATCH("2019::jama.2019.14630::C003",'C_jama.2019.14630'!$A$2:$A$10,0))="","",INDEX('C_jama.2019.14630'!$N$2:$N$10,MATCH("2019::jama.2019.14630::C003",'C_jama.2019.14630'!$A$2:$A$10,0)))</x:f>
      </x:c>
      <x:c r="AB35" s="3" t="str">
        <x:f>IF(INDEX('C_jama.2019.14630'!$O$2:$O$10,MATCH("2019::jama.2019.14630::C003",'C_jama.2019.14630'!$A$2:$A$10,0))="","",INDEX('C_jama.2019.14630'!$O$2:$O$10,MATCH("2019::jama.2019.14630::C003",'C_jama.2019.14630'!$A$2:$A$10,0)))</x:f>
      </x:c>
      <x:c r="AC35" s="3" t="str">
        <x:f>IF(INDEX('C_jama.2019.14630'!$P$2:$P$10,MATCH("2019::jama.2019.14630::C003",'C_jama.2019.14630'!$A$2:$A$10,0))="","",INDEX('C_jama.2019.14630'!$P$2:$P$10,MATCH("2019::jama.2019.14630::C003",'C_jama.2019.14630'!$A$2:$A$10,0)))</x:f>
      </x:c>
      <x:c r="AD35" s="3" t="str">
        <x:f>IF(INDEX('C_jama.2019.14630'!$Q$2:$Q$10,MATCH("2019::jama.2019.14630::C003",'C_jama.2019.14630'!$A$2:$A$10,0))="","",INDEX('C_jama.2019.14630'!$Q$2:$Q$10,MATCH("2019::jama.2019.14630::C003",'C_jama.2019.14630'!$A$2:$A$10,0)))</x:f>
      </x:c>
    </x:row>
    <x:row r="36" ht="65" customHeight="1">
      <x:c r="A36" s="6" t="n">
        <x:v>2019</x:v>
      </x:c>
      <x:c r="B36" s="6" t="str">
        <x:v>jama.2019.14630</x:v>
      </x:c>
      <x:c r="C36" s="6" t="str">
        <x:v>2019::jama.2019.14630::C004</x:v>
      </x:c>
      <x:c r="D36" s="6" t="str">
        <x:v>S_C</x:v>
      </x:c>
      <x:c r="E36" s="6" t="n">
        <x:f>Setup!$B$2</x:f>
        <x:v>0</x:v>
      </x:c>
      <x:c r="F36" s="6" t="str">
        <x:f>IF(Setup!$B$4="","",Setup!$B$4)</x:f>
      </x:c>
      <x:c r="G36" s="6" t="str">
        <x:f>IFERROR(INDEX('C_jama.2019.14630'!$G$2:$G$10,MATCH("2019::jama.2019.14630::C004",'C_jama.2019.14630'!$A$2:$A$10,0)),"CHECK KEY")</x:f>
        <x:v>CHECK REVIEWER IDs</x:v>
      </x:c>
      <x:c r="H36" s="6" t="str">
        <x:f>IF(G36&lt;&gt;"FINAL READY","",IF(S36&lt;&gt;"retain","not_eligible",IF(D36="P_R","protocol_descriptive",IF(D36="P_P","plan_descriptive",IF(AND(T36="statistical_results",OR(U36="confirmed_issue",U36="probable_issue"),V36="substantive"),"primary_temporal",IF(AND(T36="report_internal_inconsistency",X36="substantive_inconsistency"),"secondary_temporal","not_eligible"))))))</x:f>
      </x:c>
      <x:c r="I36" s="6" t="str">
        <x:v>retain</x:v>
      </x:c>
      <x:c r="J36" s="6" t="str">
        <x:v>report_internal_inconsistency</x:v>
      </x:c>
      <x:c r="K36" s="6" t="str">
        <x:f>IF(Setup!$B$6="primary","",IFERROR(IF(INDEX('Primary_snapshot'!$B$2:$B$72,MATCH(C36,'Primary_snapshot'!$A$2:$A$72,0))="","",INDEX('Primary_snapshot'!$B$2:$B$72,MATCH(C36,'Primary_snapshot'!$A$2:$A$72,0))),"SNAPSHOT MISSING"))</x:f>
      </x:c>
      <x:c r="L36" s="6" t="str">
        <x:f>IF(Setup!$B$6="primary","",IFERROR(IF(INDEX('Primary_snapshot'!$C$2:$C$72,MATCH(C36,'Primary_snapshot'!$A$2:$A$72,0))="","",INDEX('Primary_snapshot'!$C$2:$C$72,MATCH(C36,'Primary_snapshot'!$A$2:$A$72,0))),"SNAPSHOT MISSING"))</x:f>
      </x:c>
      <x:c r="M36" s="6" t="str">
        <x:f>IF(Setup!$B$6="primary","",IFERROR(IF(INDEX('Primary_snapshot'!$D$2:$D$72,MATCH(C36,'Primary_snapshot'!$A$2:$A$72,0))="","",INDEX('Primary_snapshot'!$D$2:$D$72,MATCH(C36,'Primary_snapshot'!$A$2:$A$72,0))),"SNAPSHOT MISSING"))</x:f>
      </x:c>
      <x:c r="N36" s="6" t="str">
        <x:f>IF(Setup!$B$6="primary","",IFERROR(IF(INDEX('Primary_snapshot'!$E$2:$E$72,MATCH(C36,'Primary_snapshot'!$A$2:$A$72,0))="","",INDEX('Primary_snapshot'!$E$2:$E$72,MATCH(C36,'Primary_snapshot'!$A$2:$A$72,0))),"SNAPSHOT MISSING"))</x:f>
      </x:c>
      <x:c r="O36" s="6" t="str">
        <x:f>IF(Setup!$B$6="primary","",IFERROR(IF(INDEX('Primary_snapshot'!$F$2:$F$72,MATCH(C36,'Primary_snapshot'!$A$2:$A$72,0))="","",INDEX('Primary_snapshot'!$F$2:$F$72,MATCH(C36,'Primary_snapshot'!$A$2:$A$72,0))),"SNAPSHOT MISSING"))</x:f>
      </x:c>
      <x:c r="P36" s="6" t="str">
        <x:f>IF(Setup!$B$6="primary","",IFERROR(IF(INDEX('Primary_snapshot'!$G$2:$G$72,MATCH(C36,'Primary_snapshot'!$A$2:$A$72,0))="","",INDEX('Primary_snapshot'!$G$2:$G$72,MATCH(C36,'Primary_snapshot'!$A$2:$A$72,0))),"SNAPSHOT MISSING"))</x:f>
      </x:c>
      <x:c r="Q36" s="6" t="str">
        <x:f>IF(Setup!$B$6="primary","",IFERROR(IF(INDEX('Primary_snapshot'!$H$2:$H$72,MATCH(C36,'Primary_snapshot'!$A$2:$A$72,0))="","",INDEX('Primary_snapshot'!$H$2:$H$72,MATCH(C36,'Primary_snapshot'!$A$2:$A$72,0))),"SNAPSHOT MISSING"))</x:f>
      </x:c>
      <x:c r="R36" s="6" t="str">
        <x:f>IF(Setup!$B$6="primary","",IFERROR(IF(INDEX('Primary_snapshot'!$I$2:$I$72,MATCH(C36,'Primary_snapshot'!$A$2:$A$72,0))="","",INDEX('Primary_snapshot'!$I$2:$I$72,MATCH(C36,'Primary_snapshot'!$A$2:$A$72,0))),"SNAPSHOT MISSING"))</x:f>
      </x:c>
      <x:c r="S36" s="6" t="str">
        <x:f>IF(INDEX('C_jama.2019.14630'!$D$2:$D$10,MATCH("2019::jama.2019.14630::C004",'C_jama.2019.14630'!$A$2:$A$10,0))="","",INDEX('C_jama.2019.14630'!$D$2:$D$10,MATCH("2019::jama.2019.14630::C004",'C_jama.2019.14630'!$A$2:$A$10,0)))</x:f>
      </x:c>
      <x:c r="T36" s="6" t="str">
        <x:f>IF(INDEX('C_jama.2019.14630'!$E$2:$E$10,MATCH("2019::jama.2019.14630::C004",'C_jama.2019.14630'!$A$2:$A$10,0))="","",INDEX('C_jama.2019.14630'!$E$2:$E$10,MATCH("2019::jama.2019.14630::C004",'C_jama.2019.14630'!$A$2:$A$10,0)))</x:f>
        <x:v>report_internal_inconsistency</x:v>
      </x:c>
      <x:c r="U36" s="6" t="str">
        <x:f>IF(AND(INDEX('C_jama.2019.14630'!$D$2:$D$10,MATCH("2019::jama.2019.14630::C004",'C_jama.2019.14630'!$A$2:$A$10,0))="retain",INDEX('C_jama.2019.14630'!$E$2:$E$10,MATCH("2019::jama.2019.14630::C004",'C_jama.2019.14630'!$A$2:$A$10,0))="statistical_results"),IF(INDEX('C_jama.2019.14630'!$H$2:$H$10,MATCH("2019::jama.2019.14630::C004",'C_jama.2019.14630'!$A$2:$A$10,0))="","",INDEX('C_jama.2019.14630'!$H$2:$H$10,MATCH("2019::jama.2019.14630::C004",'C_jama.2019.14630'!$A$2:$A$10,0))),"not_applicable")</x:f>
        <x:v>not_applicable</x:v>
      </x:c>
      <x:c r="V36" s="6" t="str">
        <x:f>IF(AND(INDEX('C_jama.2019.14630'!$D$2:$D$10,MATCH("2019::jama.2019.14630::C004",'C_jama.2019.14630'!$A$2:$A$10,0))="retain",INDEX('C_jama.2019.14630'!$E$2:$E$10,MATCH("2019::jama.2019.14630::C004",'C_jama.2019.14630'!$A$2:$A$10,0))="statistical_results"),IF(INDEX('C_jama.2019.14630'!$I$2:$I$10,MATCH("2019::jama.2019.14630::C004",'C_jama.2019.14630'!$A$2:$A$10,0))="","",INDEX('C_jama.2019.14630'!$I$2:$I$10,MATCH("2019::jama.2019.14630::C004",'C_jama.2019.14630'!$A$2:$A$10,0))),"not_applicable")</x:f>
        <x:v>not_applicable</x:v>
      </x:c>
      <x:c r="W36" s="6" t="str">
        <x:f>IF(AND(INDEX('C_jama.2019.14630'!$D$2:$D$10,MATCH("2019::jama.2019.14630::C004",'C_jama.2019.14630'!$A$2:$A$10,0))="retain",INDEX('C_jama.2019.14630'!$E$2:$E$10,MATCH("2019::jama.2019.14630::C004",'C_jama.2019.14630'!$A$2:$A$10,0))="statistical_results"),IF(INDEX('C_jama.2019.14630'!$J$2:$J$10,MATCH("2019::jama.2019.14630::C004",'C_jama.2019.14630'!$A$2:$A$10,0))="","",INDEX('C_jama.2019.14630'!$J$2:$J$10,MATCH("2019::jama.2019.14630::C004",'C_jama.2019.14630'!$A$2:$A$10,0))),"not_applicable")</x:f>
        <x:v>not_applicable</x:v>
      </x:c>
      <x:c r="X36" s="6" t="str">
        <x:f>IF(AND(INDEX('C_jama.2019.14630'!$D$2:$D$10,MATCH("2019::jama.2019.14630::C004",'C_jama.2019.14630'!$A$2:$A$10,0))="retain",OR(INDEX('C_jama.2019.14630'!$E$2:$E$10,MATCH("2019::jama.2019.14630::C004",'C_jama.2019.14630'!$A$2:$A$10,0))="report_internal_inconsistency",INDEX('C_jama.2019.14630'!$E$2:$E$10,MATCH("2019::jama.2019.14630::C004",'C_jama.2019.14630'!$A$2:$A$10,0))="plan_material")),IF(INDEX('C_jama.2019.14630'!$K$2:$K$10,MATCH("2019::jama.2019.14630::C004",'C_jama.2019.14630'!$A$2:$A$10,0))="","",INDEX('C_jama.2019.14630'!$K$2:$K$10,MATCH("2019::jama.2019.14630::C004",'C_jama.2019.14630'!$A$2:$A$10,0))),"not_applicable")</x:f>
        <x:v>not_applicable</x:v>
      </x:c>
      <x:c r="Y36" s="6" t="str">
        <x:f>IF(AND(INDEX('C_jama.2019.14630'!$D$2:$D$10,MATCH("2019::jama.2019.14630::C004",'C_jama.2019.14630'!$A$2:$A$10,0))="retain",INDEX('C_jama.2019.14630'!$E$2:$E$10,MATCH("2019::jama.2019.14630::C004",'C_jama.2019.14630'!$A$2:$A$10,0))="protocol_report"),IF(INDEX('C_jama.2019.14630'!$L$2:$L$10,MATCH("2019::jama.2019.14630::C004",'C_jama.2019.14630'!$A$2:$A$10,0))="","",INDEX('C_jama.2019.14630'!$L$2:$L$10,MATCH("2019::jama.2019.14630::C004",'C_jama.2019.14630'!$A$2:$A$10,0))),"not_applicable")</x:f>
        <x:v>not_applicable</x:v>
      </x:c>
      <x:c r="Z36" s="6" t="str">
        <x:f>IF(INDEX('C_jama.2019.14630'!$R$2:$R$10,MATCH("2019::jama.2019.14630::C004",'C_jama.2019.14630'!$A$2:$A$10,0))="","",INDEX('C_jama.2019.14630'!$R$2:$R$10,MATCH("2019::jama.2019.14630::C004",'C_jama.2019.14630'!$A$2:$A$10,0)))</x:f>
      </x:c>
      <x:c r="AA36" s="6" t="str">
        <x:f>IF(INDEX('C_jama.2019.14630'!$N$2:$N$10,MATCH("2019::jama.2019.14630::C004",'C_jama.2019.14630'!$A$2:$A$10,0))="","",INDEX('C_jama.2019.14630'!$N$2:$N$10,MATCH("2019::jama.2019.14630::C004",'C_jama.2019.14630'!$A$2:$A$10,0)))</x:f>
      </x:c>
      <x:c r="AB36" s="6" t="str">
        <x:f>IF(INDEX('C_jama.2019.14630'!$O$2:$O$10,MATCH("2019::jama.2019.14630::C004",'C_jama.2019.14630'!$A$2:$A$10,0))="","",INDEX('C_jama.2019.14630'!$O$2:$O$10,MATCH("2019::jama.2019.14630::C004",'C_jama.2019.14630'!$A$2:$A$10,0)))</x:f>
      </x:c>
      <x:c r="AC36" s="6" t="str">
        <x:f>IF(INDEX('C_jama.2019.14630'!$P$2:$P$10,MATCH("2019::jama.2019.14630::C004",'C_jama.2019.14630'!$A$2:$A$10,0))="","",INDEX('C_jama.2019.14630'!$P$2:$P$10,MATCH("2019::jama.2019.14630::C004",'C_jama.2019.14630'!$A$2:$A$10,0)))</x:f>
      </x:c>
      <x:c r="AD36" s="6" t="str">
        <x:f>IF(INDEX('C_jama.2019.14630'!$Q$2:$Q$10,MATCH("2019::jama.2019.14630::C004",'C_jama.2019.14630'!$A$2:$A$10,0))="","",INDEX('C_jama.2019.14630'!$Q$2:$Q$10,MATCH("2019::jama.2019.14630::C004",'C_jama.2019.14630'!$A$2:$A$10,0)))</x:f>
      </x:c>
    </x:row>
    <x:row r="37" ht="65" customHeight="1">
      <x:c r="A37" s="3" t="n">
        <x:v>2019</x:v>
      </x:c>
      <x:c r="B37" s="3" t="str">
        <x:v>jama.2019.14630</x:v>
      </x:c>
      <x:c r="C37" s="3" t="str">
        <x:v>2019::jama.2019.14630::C005</x:v>
      </x:c>
      <x:c r="D37" s="3" t="str">
        <x:v>S_C</x:v>
      </x:c>
      <x:c r="E37" s="3" t="n">
        <x:f>Setup!$B$2</x:f>
        <x:v>0</x:v>
      </x:c>
      <x:c r="F37" s="3" t="str">
        <x:f>IF(Setup!$B$4="","",Setup!$B$4)</x:f>
      </x:c>
      <x:c r="G37" s="3" t="str">
        <x:f>IFERROR(INDEX('C_jama.2019.14630'!$G$2:$G$10,MATCH("2019::jama.2019.14630::C005",'C_jama.2019.14630'!$A$2:$A$10,0)),"CHECK KEY")</x:f>
        <x:v>CHECK REVIEWER IDs</x:v>
      </x:c>
      <x:c r="H37" s="3" t="str">
        <x:f>IF(G37&lt;&gt;"FINAL READY","",IF(S37&lt;&gt;"retain","not_eligible",IF(D37="P_R","protocol_descriptive",IF(D37="P_P","plan_descriptive",IF(AND(T37="statistical_results",OR(U37="confirmed_issue",U37="probable_issue"),V37="substantive"),"primary_temporal",IF(AND(T37="report_internal_inconsistency",X37="substantive_inconsistency"),"secondary_temporal","not_eligible"))))))</x:f>
      </x:c>
      <x:c r="I37" s="3" t="str">
        <x:v>retain</x:v>
      </x:c>
      <x:c r="J37" s="3" t="str">
        <x:v>report_internal_inconsistency</x:v>
      </x:c>
      <x:c r="K37" s="3" t="str">
        <x:f>IF(Setup!$B$6="primary","",IFERROR(IF(INDEX('Primary_snapshot'!$B$2:$B$72,MATCH(C37,'Primary_snapshot'!$A$2:$A$72,0))="","",INDEX('Primary_snapshot'!$B$2:$B$72,MATCH(C37,'Primary_snapshot'!$A$2:$A$72,0))),"SNAPSHOT MISSING"))</x:f>
      </x:c>
      <x:c r="L37" s="3" t="str">
        <x:f>IF(Setup!$B$6="primary","",IFERROR(IF(INDEX('Primary_snapshot'!$C$2:$C$72,MATCH(C37,'Primary_snapshot'!$A$2:$A$72,0))="","",INDEX('Primary_snapshot'!$C$2:$C$72,MATCH(C37,'Primary_snapshot'!$A$2:$A$72,0))),"SNAPSHOT MISSING"))</x:f>
      </x:c>
      <x:c r="M37" s="3" t="str">
        <x:f>IF(Setup!$B$6="primary","",IFERROR(IF(INDEX('Primary_snapshot'!$D$2:$D$72,MATCH(C37,'Primary_snapshot'!$A$2:$A$72,0))="","",INDEX('Primary_snapshot'!$D$2:$D$72,MATCH(C37,'Primary_snapshot'!$A$2:$A$72,0))),"SNAPSHOT MISSING"))</x:f>
      </x:c>
      <x:c r="N37" s="3" t="str">
        <x:f>IF(Setup!$B$6="primary","",IFERROR(IF(INDEX('Primary_snapshot'!$E$2:$E$72,MATCH(C37,'Primary_snapshot'!$A$2:$A$72,0))="","",INDEX('Primary_snapshot'!$E$2:$E$72,MATCH(C37,'Primary_snapshot'!$A$2:$A$72,0))),"SNAPSHOT MISSING"))</x:f>
      </x:c>
      <x:c r="O37" s="3" t="str">
        <x:f>IF(Setup!$B$6="primary","",IFERROR(IF(INDEX('Primary_snapshot'!$F$2:$F$72,MATCH(C37,'Primary_snapshot'!$A$2:$A$72,0))="","",INDEX('Primary_snapshot'!$F$2:$F$72,MATCH(C37,'Primary_snapshot'!$A$2:$A$72,0))),"SNAPSHOT MISSING"))</x:f>
      </x:c>
      <x:c r="P37" s="3" t="str">
        <x:f>IF(Setup!$B$6="primary","",IFERROR(IF(INDEX('Primary_snapshot'!$G$2:$G$72,MATCH(C37,'Primary_snapshot'!$A$2:$A$72,0))="","",INDEX('Primary_snapshot'!$G$2:$G$72,MATCH(C37,'Primary_snapshot'!$A$2:$A$72,0))),"SNAPSHOT MISSING"))</x:f>
      </x:c>
      <x:c r="Q37" s="3" t="str">
        <x:f>IF(Setup!$B$6="primary","",IFERROR(IF(INDEX('Primary_snapshot'!$H$2:$H$72,MATCH(C37,'Primary_snapshot'!$A$2:$A$72,0))="","",INDEX('Primary_snapshot'!$H$2:$H$72,MATCH(C37,'Primary_snapshot'!$A$2:$A$72,0))),"SNAPSHOT MISSING"))</x:f>
      </x:c>
      <x:c r="R37" s="3" t="str">
        <x:f>IF(Setup!$B$6="primary","",IFERROR(IF(INDEX('Primary_snapshot'!$I$2:$I$72,MATCH(C37,'Primary_snapshot'!$A$2:$A$72,0))="","",INDEX('Primary_snapshot'!$I$2:$I$72,MATCH(C37,'Primary_snapshot'!$A$2:$A$72,0))),"SNAPSHOT MISSING"))</x:f>
      </x:c>
      <x:c r="S37" s="3" t="str">
        <x:f>IF(INDEX('C_jama.2019.14630'!$D$2:$D$10,MATCH("2019::jama.2019.14630::C005",'C_jama.2019.14630'!$A$2:$A$10,0))="","",INDEX('C_jama.2019.14630'!$D$2:$D$10,MATCH("2019::jama.2019.14630::C005",'C_jama.2019.14630'!$A$2:$A$10,0)))</x:f>
      </x:c>
      <x:c r="T37" s="3" t="str">
        <x:f>IF(INDEX('C_jama.2019.14630'!$E$2:$E$10,MATCH("2019::jama.2019.14630::C005",'C_jama.2019.14630'!$A$2:$A$10,0))="","",INDEX('C_jama.2019.14630'!$E$2:$E$10,MATCH("2019::jama.2019.14630::C005",'C_jama.2019.14630'!$A$2:$A$10,0)))</x:f>
        <x:v>report_internal_inconsistency</x:v>
      </x:c>
      <x:c r="U37" s="3" t="str">
        <x:f>IF(AND(INDEX('C_jama.2019.14630'!$D$2:$D$10,MATCH("2019::jama.2019.14630::C005",'C_jama.2019.14630'!$A$2:$A$10,0))="retain",INDEX('C_jama.2019.14630'!$E$2:$E$10,MATCH("2019::jama.2019.14630::C005",'C_jama.2019.14630'!$A$2:$A$10,0))="statistical_results"),IF(INDEX('C_jama.2019.14630'!$H$2:$H$10,MATCH("2019::jama.2019.14630::C005",'C_jama.2019.14630'!$A$2:$A$10,0))="","",INDEX('C_jama.2019.14630'!$H$2:$H$10,MATCH("2019::jama.2019.14630::C005",'C_jama.2019.14630'!$A$2:$A$10,0))),"not_applicable")</x:f>
        <x:v>not_applicable</x:v>
      </x:c>
      <x:c r="V37" s="3" t="str">
        <x:f>IF(AND(INDEX('C_jama.2019.14630'!$D$2:$D$10,MATCH("2019::jama.2019.14630::C005",'C_jama.2019.14630'!$A$2:$A$10,0))="retain",INDEX('C_jama.2019.14630'!$E$2:$E$10,MATCH("2019::jama.2019.14630::C005",'C_jama.2019.14630'!$A$2:$A$10,0))="statistical_results"),IF(INDEX('C_jama.2019.14630'!$I$2:$I$10,MATCH("2019::jama.2019.14630::C005",'C_jama.2019.14630'!$A$2:$A$10,0))="","",INDEX('C_jama.2019.14630'!$I$2:$I$10,MATCH("2019::jama.2019.14630::C005",'C_jama.2019.14630'!$A$2:$A$10,0))),"not_applicable")</x:f>
        <x:v>not_applicable</x:v>
      </x:c>
      <x:c r="W37" s="3" t="str">
        <x:f>IF(AND(INDEX('C_jama.2019.14630'!$D$2:$D$10,MATCH("2019::jama.2019.14630::C005",'C_jama.2019.14630'!$A$2:$A$10,0))="retain",INDEX('C_jama.2019.14630'!$E$2:$E$10,MATCH("2019::jama.2019.14630::C005",'C_jama.2019.14630'!$A$2:$A$10,0))="statistical_results"),IF(INDEX('C_jama.2019.14630'!$J$2:$J$10,MATCH("2019::jama.2019.14630::C005",'C_jama.2019.14630'!$A$2:$A$10,0))="","",INDEX('C_jama.2019.14630'!$J$2:$J$10,MATCH("2019::jama.2019.14630::C005",'C_jama.2019.14630'!$A$2:$A$10,0))),"not_applicable")</x:f>
        <x:v>not_applicable</x:v>
      </x:c>
      <x:c r="X37" s="3" t="str">
        <x:f>IF(AND(INDEX('C_jama.2019.14630'!$D$2:$D$10,MATCH("2019::jama.2019.14630::C005",'C_jama.2019.14630'!$A$2:$A$10,0))="retain",OR(INDEX('C_jama.2019.14630'!$E$2:$E$10,MATCH("2019::jama.2019.14630::C005",'C_jama.2019.14630'!$A$2:$A$10,0))="report_internal_inconsistency",INDEX('C_jama.2019.14630'!$E$2:$E$10,MATCH("2019::jama.2019.14630::C005",'C_jama.2019.14630'!$A$2:$A$10,0))="plan_material")),IF(INDEX('C_jama.2019.14630'!$K$2:$K$10,MATCH("2019::jama.2019.14630::C005",'C_jama.2019.14630'!$A$2:$A$10,0))="","",INDEX('C_jama.2019.14630'!$K$2:$K$10,MATCH("2019::jama.2019.14630::C005",'C_jama.2019.14630'!$A$2:$A$10,0))),"not_applicable")</x:f>
        <x:v>not_applicable</x:v>
      </x:c>
      <x:c r="Y37" s="3" t="str">
        <x:f>IF(AND(INDEX('C_jama.2019.14630'!$D$2:$D$10,MATCH("2019::jama.2019.14630::C005",'C_jama.2019.14630'!$A$2:$A$10,0))="retain",INDEX('C_jama.2019.14630'!$E$2:$E$10,MATCH("2019::jama.2019.14630::C005",'C_jama.2019.14630'!$A$2:$A$10,0))="protocol_report"),IF(INDEX('C_jama.2019.14630'!$L$2:$L$10,MATCH("2019::jama.2019.14630::C005",'C_jama.2019.14630'!$A$2:$A$10,0))="","",INDEX('C_jama.2019.14630'!$L$2:$L$10,MATCH("2019::jama.2019.14630::C005",'C_jama.2019.14630'!$A$2:$A$10,0))),"not_applicable")</x:f>
        <x:v>not_applicable</x:v>
      </x:c>
      <x:c r="Z37" s="3" t="str">
        <x:f>IF(INDEX('C_jama.2019.14630'!$R$2:$R$10,MATCH("2019::jama.2019.14630::C005",'C_jama.2019.14630'!$A$2:$A$10,0))="","",INDEX('C_jama.2019.14630'!$R$2:$R$10,MATCH("2019::jama.2019.14630::C005",'C_jama.2019.14630'!$A$2:$A$10,0)))</x:f>
      </x:c>
      <x:c r="AA37" s="3" t="str">
        <x:f>IF(INDEX('C_jama.2019.14630'!$N$2:$N$10,MATCH("2019::jama.2019.14630::C005",'C_jama.2019.14630'!$A$2:$A$10,0))="","",INDEX('C_jama.2019.14630'!$N$2:$N$10,MATCH("2019::jama.2019.14630::C005",'C_jama.2019.14630'!$A$2:$A$10,0)))</x:f>
      </x:c>
      <x:c r="AB37" s="3" t="str">
        <x:f>IF(INDEX('C_jama.2019.14630'!$O$2:$O$10,MATCH("2019::jama.2019.14630::C005",'C_jama.2019.14630'!$A$2:$A$10,0))="","",INDEX('C_jama.2019.14630'!$O$2:$O$10,MATCH("2019::jama.2019.14630::C005",'C_jama.2019.14630'!$A$2:$A$10,0)))</x:f>
      </x:c>
      <x:c r="AC37" s="3" t="str">
        <x:f>IF(INDEX('C_jama.2019.14630'!$P$2:$P$10,MATCH("2019::jama.2019.14630::C005",'C_jama.2019.14630'!$A$2:$A$10,0))="","",INDEX('C_jama.2019.14630'!$P$2:$P$10,MATCH("2019::jama.2019.14630::C005",'C_jama.2019.14630'!$A$2:$A$10,0)))</x:f>
      </x:c>
      <x:c r="AD37" s="3" t="str">
        <x:f>IF(INDEX('C_jama.2019.14630'!$Q$2:$Q$10,MATCH("2019::jama.2019.14630::C005",'C_jama.2019.14630'!$A$2:$A$10,0))="","",INDEX('C_jama.2019.14630'!$Q$2:$Q$10,MATCH("2019::jama.2019.14630::C005",'C_jama.2019.14630'!$A$2:$A$10,0)))</x:f>
      </x:c>
    </x:row>
    <x:row r="38" ht="65" customHeight="1">
      <x:c r="A38" s="6" t="n">
        <x:v>2019</x:v>
      </x:c>
      <x:c r="B38" s="6" t="str">
        <x:v>jama.2019.14630</x:v>
      </x:c>
      <x:c r="C38" s="6" t="str">
        <x:v>2019::jama.2019.14630::C006</x:v>
      </x:c>
      <x:c r="D38" s="6" t="str">
        <x:v>S_C</x:v>
      </x:c>
      <x:c r="E38" s="6" t="n">
        <x:f>Setup!$B$2</x:f>
        <x:v>0</x:v>
      </x:c>
      <x:c r="F38" s="6" t="str">
        <x:f>IF(Setup!$B$4="","",Setup!$B$4)</x:f>
      </x:c>
      <x:c r="G38" s="6" t="str">
        <x:f>IFERROR(INDEX('C_jama.2019.14630'!$G$2:$G$10,MATCH("2019::jama.2019.14630::C006",'C_jama.2019.14630'!$A$2:$A$10,0)),"CHECK KEY")</x:f>
        <x:v>CHECK REVIEWER IDs</x:v>
      </x:c>
      <x:c r="H38" s="6" t="str">
        <x:f>IF(G38&lt;&gt;"FINAL READY","",IF(S38&lt;&gt;"retain","not_eligible",IF(D38="P_R","protocol_descriptive",IF(D38="P_P","plan_descriptive",IF(AND(T38="statistical_results",OR(U38="confirmed_issue",U38="probable_issue"),V38="substantive"),"primary_temporal",IF(AND(T38="report_internal_inconsistency",X38="substantive_inconsistency"),"secondary_temporal","not_eligible"))))))</x:f>
      </x:c>
      <x:c r="I38" s="6" t="str">
        <x:v>retain</x:v>
      </x:c>
      <x:c r="J38" s="6" t="str">
        <x:v>report_internal_inconsistency</x:v>
      </x:c>
      <x:c r="K38" s="6" t="str">
        <x:f>IF(Setup!$B$6="primary","",IFERROR(IF(INDEX('Primary_snapshot'!$B$2:$B$72,MATCH(C38,'Primary_snapshot'!$A$2:$A$72,0))="","",INDEX('Primary_snapshot'!$B$2:$B$72,MATCH(C38,'Primary_snapshot'!$A$2:$A$72,0))),"SNAPSHOT MISSING"))</x:f>
      </x:c>
      <x:c r="L38" s="6" t="str">
        <x:f>IF(Setup!$B$6="primary","",IFERROR(IF(INDEX('Primary_snapshot'!$C$2:$C$72,MATCH(C38,'Primary_snapshot'!$A$2:$A$72,0))="","",INDEX('Primary_snapshot'!$C$2:$C$72,MATCH(C38,'Primary_snapshot'!$A$2:$A$72,0))),"SNAPSHOT MISSING"))</x:f>
      </x:c>
      <x:c r="M38" s="6" t="str">
        <x:f>IF(Setup!$B$6="primary","",IFERROR(IF(INDEX('Primary_snapshot'!$D$2:$D$72,MATCH(C38,'Primary_snapshot'!$A$2:$A$72,0))="","",INDEX('Primary_snapshot'!$D$2:$D$72,MATCH(C38,'Primary_snapshot'!$A$2:$A$72,0))),"SNAPSHOT MISSING"))</x:f>
      </x:c>
      <x:c r="N38" s="6" t="str">
        <x:f>IF(Setup!$B$6="primary","",IFERROR(IF(INDEX('Primary_snapshot'!$E$2:$E$72,MATCH(C38,'Primary_snapshot'!$A$2:$A$72,0))="","",INDEX('Primary_snapshot'!$E$2:$E$72,MATCH(C38,'Primary_snapshot'!$A$2:$A$72,0))),"SNAPSHOT MISSING"))</x:f>
      </x:c>
      <x:c r="O38" s="6" t="str">
        <x:f>IF(Setup!$B$6="primary","",IFERROR(IF(INDEX('Primary_snapshot'!$F$2:$F$72,MATCH(C38,'Primary_snapshot'!$A$2:$A$72,0))="","",INDEX('Primary_snapshot'!$F$2:$F$72,MATCH(C38,'Primary_snapshot'!$A$2:$A$72,0))),"SNAPSHOT MISSING"))</x:f>
      </x:c>
      <x:c r="P38" s="6" t="str">
        <x:f>IF(Setup!$B$6="primary","",IFERROR(IF(INDEX('Primary_snapshot'!$G$2:$G$72,MATCH(C38,'Primary_snapshot'!$A$2:$A$72,0))="","",INDEX('Primary_snapshot'!$G$2:$G$72,MATCH(C38,'Primary_snapshot'!$A$2:$A$72,0))),"SNAPSHOT MISSING"))</x:f>
      </x:c>
      <x:c r="Q38" s="6" t="str">
        <x:f>IF(Setup!$B$6="primary","",IFERROR(IF(INDEX('Primary_snapshot'!$H$2:$H$72,MATCH(C38,'Primary_snapshot'!$A$2:$A$72,0))="","",INDEX('Primary_snapshot'!$H$2:$H$72,MATCH(C38,'Primary_snapshot'!$A$2:$A$72,0))),"SNAPSHOT MISSING"))</x:f>
      </x:c>
      <x:c r="R38" s="6" t="str">
        <x:f>IF(Setup!$B$6="primary","",IFERROR(IF(INDEX('Primary_snapshot'!$I$2:$I$72,MATCH(C38,'Primary_snapshot'!$A$2:$A$72,0))="","",INDEX('Primary_snapshot'!$I$2:$I$72,MATCH(C38,'Primary_snapshot'!$A$2:$A$72,0))),"SNAPSHOT MISSING"))</x:f>
      </x:c>
      <x:c r="S38" s="6" t="str">
        <x:f>IF(INDEX('C_jama.2019.14630'!$D$2:$D$10,MATCH("2019::jama.2019.14630::C006",'C_jama.2019.14630'!$A$2:$A$10,0))="","",INDEX('C_jama.2019.14630'!$D$2:$D$10,MATCH("2019::jama.2019.14630::C006",'C_jama.2019.14630'!$A$2:$A$10,0)))</x:f>
      </x:c>
      <x:c r="T38" s="6" t="str">
        <x:f>IF(INDEX('C_jama.2019.14630'!$E$2:$E$10,MATCH("2019::jama.2019.14630::C006",'C_jama.2019.14630'!$A$2:$A$10,0))="","",INDEX('C_jama.2019.14630'!$E$2:$E$10,MATCH("2019::jama.2019.14630::C006",'C_jama.2019.14630'!$A$2:$A$10,0)))</x:f>
        <x:v>report_internal_inconsistency</x:v>
      </x:c>
      <x:c r="U38" s="6" t="str">
        <x:f>IF(AND(INDEX('C_jama.2019.14630'!$D$2:$D$10,MATCH("2019::jama.2019.14630::C006",'C_jama.2019.14630'!$A$2:$A$10,0))="retain",INDEX('C_jama.2019.14630'!$E$2:$E$10,MATCH("2019::jama.2019.14630::C006",'C_jama.2019.14630'!$A$2:$A$10,0))="statistical_results"),IF(INDEX('C_jama.2019.14630'!$H$2:$H$10,MATCH("2019::jama.2019.14630::C006",'C_jama.2019.14630'!$A$2:$A$10,0))="","",INDEX('C_jama.2019.14630'!$H$2:$H$10,MATCH("2019::jama.2019.14630::C006",'C_jama.2019.14630'!$A$2:$A$10,0))),"not_applicable")</x:f>
        <x:v>not_applicable</x:v>
      </x:c>
      <x:c r="V38" s="6" t="str">
        <x:f>IF(AND(INDEX('C_jama.2019.14630'!$D$2:$D$10,MATCH("2019::jama.2019.14630::C006",'C_jama.2019.14630'!$A$2:$A$10,0))="retain",INDEX('C_jama.2019.14630'!$E$2:$E$10,MATCH("2019::jama.2019.14630::C006",'C_jama.2019.14630'!$A$2:$A$10,0))="statistical_results"),IF(INDEX('C_jama.2019.14630'!$I$2:$I$10,MATCH("2019::jama.2019.14630::C006",'C_jama.2019.14630'!$A$2:$A$10,0))="","",INDEX('C_jama.2019.14630'!$I$2:$I$10,MATCH("2019::jama.2019.14630::C006",'C_jama.2019.14630'!$A$2:$A$10,0))),"not_applicable")</x:f>
        <x:v>not_applicable</x:v>
      </x:c>
      <x:c r="W38" s="6" t="str">
        <x:f>IF(AND(INDEX('C_jama.2019.14630'!$D$2:$D$10,MATCH("2019::jama.2019.14630::C006",'C_jama.2019.14630'!$A$2:$A$10,0))="retain",INDEX('C_jama.2019.14630'!$E$2:$E$10,MATCH("2019::jama.2019.14630::C006",'C_jama.2019.14630'!$A$2:$A$10,0))="statistical_results"),IF(INDEX('C_jama.2019.14630'!$J$2:$J$10,MATCH("2019::jama.2019.14630::C006",'C_jama.2019.14630'!$A$2:$A$10,0))="","",INDEX('C_jama.2019.14630'!$J$2:$J$10,MATCH("2019::jama.2019.14630::C006",'C_jama.2019.14630'!$A$2:$A$10,0))),"not_applicable")</x:f>
        <x:v>not_applicable</x:v>
      </x:c>
      <x:c r="X38" s="6" t="str">
        <x:f>IF(AND(INDEX('C_jama.2019.14630'!$D$2:$D$10,MATCH("2019::jama.2019.14630::C006",'C_jama.2019.14630'!$A$2:$A$10,0))="retain",OR(INDEX('C_jama.2019.14630'!$E$2:$E$10,MATCH("2019::jama.2019.14630::C006",'C_jama.2019.14630'!$A$2:$A$10,0))="report_internal_inconsistency",INDEX('C_jama.2019.14630'!$E$2:$E$10,MATCH("2019::jama.2019.14630::C006",'C_jama.2019.14630'!$A$2:$A$10,0))="plan_material")),IF(INDEX('C_jama.2019.14630'!$K$2:$K$10,MATCH("2019::jama.2019.14630::C006",'C_jama.2019.14630'!$A$2:$A$10,0))="","",INDEX('C_jama.2019.14630'!$K$2:$K$10,MATCH("2019::jama.2019.14630::C006",'C_jama.2019.14630'!$A$2:$A$10,0))),"not_applicable")</x:f>
        <x:v>not_applicable</x:v>
      </x:c>
      <x:c r="Y38" s="6" t="str">
        <x:f>IF(AND(INDEX('C_jama.2019.14630'!$D$2:$D$10,MATCH("2019::jama.2019.14630::C006",'C_jama.2019.14630'!$A$2:$A$10,0))="retain",INDEX('C_jama.2019.14630'!$E$2:$E$10,MATCH("2019::jama.2019.14630::C006",'C_jama.2019.14630'!$A$2:$A$10,0))="protocol_report"),IF(INDEX('C_jama.2019.14630'!$L$2:$L$10,MATCH("2019::jama.2019.14630::C006",'C_jama.2019.14630'!$A$2:$A$10,0))="","",INDEX('C_jama.2019.14630'!$L$2:$L$10,MATCH("2019::jama.2019.14630::C006",'C_jama.2019.14630'!$A$2:$A$10,0))),"not_applicable")</x:f>
        <x:v>not_applicable</x:v>
      </x:c>
      <x:c r="Z38" s="6" t="str">
        <x:f>IF(INDEX('C_jama.2019.14630'!$R$2:$R$10,MATCH("2019::jama.2019.14630::C006",'C_jama.2019.14630'!$A$2:$A$10,0))="","",INDEX('C_jama.2019.14630'!$R$2:$R$10,MATCH("2019::jama.2019.14630::C006",'C_jama.2019.14630'!$A$2:$A$10,0)))</x:f>
      </x:c>
      <x:c r="AA38" s="6" t="str">
        <x:f>IF(INDEX('C_jama.2019.14630'!$N$2:$N$10,MATCH("2019::jama.2019.14630::C006",'C_jama.2019.14630'!$A$2:$A$10,0))="","",INDEX('C_jama.2019.14630'!$N$2:$N$10,MATCH("2019::jama.2019.14630::C006",'C_jama.2019.14630'!$A$2:$A$10,0)))</x:f>
      </x:c>
      <x:c r="AB38" s="6" t="str">
        <x:f>IF(INDEX('C_jama.2019.14630'!$O$2:$O$10,MATCH("2019::jama.2019.14630::C006",'C_jama.2019.14630'!$A$2:$A$10,0))="","",INDEX('C_jama.2019.14630'!$O$2:$O$10,MATCH("2019::jama.2019.14630::C006",'C_jama.2019.14630'!$A$2:$A$10,0)))</x:f>
      </x:c>
      <x:c r="AC38" s="6" t="str">
        <x:f>IF(INDEX('C_jama.2019.14630'!$P$2:$P$10,MATCH("2019::jama.2019.14630::C006",'C_jama.2019.14630'!$A$2:$A$10,0))="","",INDEX('C_jama.2019.14630'!$P$2:$P$10,MATCH("2019::jama.2019.14630::C006",'C_jama.2019.14630'!$A$2:$A$10,0)))</x:f>
      </x:c>
      <x:c r="AD38" s="6" t="str">
        <x:f>IF(INDEX('C_jama.2019.14630'!$Q$2:$Q$10,MATCH("2019::jama.2019.14630::C006",'C_jama.2019.14630'!$A$2:$A$10,0))="","",INDEX('C_jama.2019.14630'!$Q$2:$Q$10,MATCH("2019::jama.2019.14630::C006",'C_jama.2019.14630'!$A$2:$A$10,0)))</x:f>
      </x:c>
    </x:row>
    <x:row r="39" ht="65" customHeight="1">
      <x:c r="A39" s="3" t="n">
        <x:v>2019</x:v>
      </x:c>
      <x:c r="B39" s="3" t="str">
        <x:v>jama.2019.14630</x:v>
      </x:c>
      <x:c r="C39" s="3" t="str">
        <x:v>2019::jama.2019.14630::C007</x:v>
      </x:c>
      <x:c r="D39" s="3" t="str">
        <x:v>S_C</x:v>
      </x:c>
      <x:c r="E39" s="3" t="n">
        <x:f>Setup!$B$2</x:f>
        <x:v>0</x:v>
      </x:c>
      <x:c r="F39" s="3" t="str">
        <x:f>IF(Setup!$B$4="","",Setup!$B$4)</x:f>
      </x:c>
      <x:c r="G39" s="3" t="str">
        <x:f>IFERROR(INDEX('C_jama.2019.14630'!$G$2:$G$10,MATCH("2019::jama.2019.14630::C007",'C_jama.2019.14630'!$A$2:$A$10,0)),"CHECK KEY")</x:f>
        <x:v>CHECK REVIEWER IDs</x:v>
      </x:c>
      <x:c r="H39" s="3" t="str">
        <x:f>IF(G39&lt;&gt;"FINAL READY","",IF(S39&lt;&gt;"retain","not_eligible",IF(D39="P_R","protocol_descriptive",IF(D39="P_P","plan_descriptive",IF(AND(T39="statistical_results",OR(U39="confirmed_issue",U39="probable_issue"),V39="substantive"),"primary_temporal",IF(AND(T39="report_internal_inconsistency",X39="substantive_inconsistency"),"secondary_temporal","not_eligible"))))))</x:f>
      </x:c>
      <x:c r="I39" s="3" t="str">
        <x:v>retain</x:v>
      </x:c>
      <x:c r="J39" s="3" t="str">
        <x:v>report_internal_inconsistency</x:v>
      </x:c>
      <x:c r="K39" s="3" t="str">
        <x:f>IF(Setup!$B$6="primary","",IFERROR(IF(INDEX('Primary_snapshot'!$B$2:$B$72,MATCH(C39,'Primary_snapshot'!$A$2:$A$72,0))="","",INDEX('Primary_snapshot'!$B$2:$B$72,MATCH(C39,'Primary_snapshot'!$A$2:$A$72,0))),"SNAPSHOT MISSING"))</x:f>
      </x:c>
      <x:c r="L39" s="3" t="str">
        <x:f>IF(Setup!$B$6="primary","",IFERROR(IF(INDEX('Primary_snapshot'!$C$2:$C$72,MATCH(C39,'Primary_snapshot'!$A$2:$A$72,0))="","",INDEX('Primary_snapshot'!$C$2:$C$72,MATCH(C39,'Primary_snapshot'!$A$2:$A$72,0))),"SNAPSHOT MISSING"))</x:f>
      </x:c>
      <x:c r="M39" s="3" t="str">
        <x:f>IF(Setup!$B$6="primary","",IFERROR(IF(INDEX('Primary_snapshot'!$D$2:$D$72,MATCH(C39,'Primary_snapshot'!$A$2:$A$72,0))="","",INDEX('Primary_snapshot'!$D$2:$D$72,MATCH(C39,'Primary_snapshot'!$A$2:$A$72,0))),"SNAPSHOT MISSING"))</x:f>
      </x:c>
      <x:c r="N39" s="3" t="str">
        <x:f>IF(Setup!$B$6="primary","",IFERROR(IF(INDEX('Primary_snapshot'!$E$2:$E$72,MATCH(C39,'Primary_snapshot'!$A$2:$A$72,0))="","",INDEX('Primary_snapshot'!$E$2:$E$72,MATCH(C39,'Primary_snapshot'!$A$2:$A$72,0))),"SNAPSHOT MISSING"))</x:f>
      </x:c>
      <x:c r="O39" s="3" t="str">
        <x:f>IF(Setup!$B$6="primary","",IFERROR(IF(INDEX('Primary_snapshot'!$F$2:$F$72,MATCH(C39,'Primary_snapshot'!$A$2:$A$72,0))="","",INDEX('Primary_snapshot'!$F$2:$F$72,MATCH(C39,'Primary_snapshot'!$A$2:$A$72,0))),"SNAPSHOT MISSING"))</x:f>
      </x:c>
      <x:c r="P39" s="3" t="str">
        <x:f>IF(Setup!$B$6="primary","",IFERROR(IF(INDEX('Primary_snapshot'!$G$2:$G$72,MATCH(C39,'Primary_snapshot'!$A$2:$A$72,0))="","",INDEX('Primary_snapshot'!$G$2:$G$72,MATCH(C39,'Primary_snapshot'!$A$2:$A$72,0))),"SNAPSHOT MISSING"))</x:f>
      </x:c>
      <x:c r="Q39" s="3" t="str">
        <x:f>IF(Setup!$B$6="primary","",IFERROR(IF(INDEX('Primary_snapshot'!$H$2:$H$72,MATCH(C39,'Primary_snapshot'!$A$2:$A$72,0))="","",INDEX('Primary_snapshot'!$H$2:$H$72,MATCH(C39,'Primary_snapshot'!$A$2:$A$72,0))),"SNAPSHOT MISSING"))</x:f>
      </x:c>
      <x:c r="R39" s="3" t="str">
        <x:f>IF(Setup!$B$6="primary","",IFERROR(IF(INDEX('Primary_snapshot'!$I$2:$I$72,MATCH(C39,'Primary_snapshot'!$A$2:$A$72,0))="","",INDEX('Primary_snapshot'!$I$2:$I$72,MATCH(C39,'Primary_snapshot'!$A$2:$A$72,0))),"SNAPSHOT MISSING"))</x:f>
      </x:c>
      <x:c r="S39" s="3" t="str">
        <x:f>IF(INDEX('C_jama.2019.14630'!$D$2:$D$10,MATCH("2019::jama.2019.14630::C007",'C_jama.2019.14630'!$A$2:$A$10,0))="","",INDEX('C_jama.2019.14630'!$D$2:$D$10,MATCH("2019::jama.2019.14630::C007",'C_jama.2019.14630'!$A$2:$A$10,0)))</x:f>
      </x:c>
      <x:c r="T39" s="3" t="str">
        <x:f>IF(INDEX('C_jama.2019.14630'!$E$2:$E$10,MATCH("2019::jama.2019.14630::C007",'C_jama.2019.14630'!$A$2:$A$10,0))="","",INDEX('C_jama.2019.14630'!$E$2:$E$10,MATCH("2019::jama.2019.14630::C007",'C_jama.2019.14630'!$A$2:$A$10,0)))</x:f>
        <x:v>report_internal_inconsistency</x:v>
      </x:c>
      <x:c r="U39" s="3" t="str">
        <x:f>IF(AND(INDEX('C_jama.2019.14630'!$D$2:$D$10,MATCH("2019::jama.2019.14630::C007",'C_jama.2019.14630'!$A$2:$A$10,0))="retain",INDEX('C_jama.2019.14630'!$E$2:$E$10,MATCH("2019::jama.2019.14630::C007",'C_jama.2019.14630'!$A$2:$A$10,0))="statistical_results"),IF(INDEX('C_jama.2019.14630'!$H$2:$H$10,MATCH("2019::jama.2019.14630::C007",'C_jama.2019.14630'!$A$2:$A$10,0))="","",INDEX('C_jama.2019.14630'!$H$2:$H$10,MATCH("2019::jama.2019.14630::C007",'C_jama.2019.14630'!$A$2:$A$10,0))),"not_applicable")</x:f>
        <x:v>not_applicable</x:v>
      </x:c>
      <x:c r="V39" s="3" t="str">
        <x:f>IF(AND(INDEX('C_jama.2019.14630'!$D$2:$D$10,MATCH("2019::jama.2019.14630::C007",'C_jama.2019.14630'!$A$2:$A$10,0))="retain",INDEX('C_jama.2019.14630'!$E$2:$E$10,MATCH("2019::jama.2019.14630::C007",'C_jama.2019.14630'!$A$2:$A$10,0))="statistical_results"),IF(INDEX('C_jama.2019.14630'!$I$2:$I$10,MATCH("2019::jama.2019.14630::C007",'C_jama.2019.14630'!$A$2:$A$10,0))="","",INDEX('C_jama.2019.14630'!$I$2:$I$10,MATCH("2019::jama.2019.14630::C007",'C_jama.2019.14630'!$A$2:$A$10,0))),"not_applicable")</x:f>
        <x:v>not_applicable</x:v>
      </x:c>
      <x:c r="W39" s="3" t="str">
        <x:f>IF(AND(INDEX('C_jama.2019.14630'!$D$2:$D$10,MATCH("2019::jama.2019.14630::C007",'C_jama.2019.14630'!$A$2:$A$10,0))="retain",INDEX('C_jama.2019.14630'!$E$2:$E$10,MATCH("2019::jama.2019.14630::C007",'C_jama.2019.14630'!$A$2:$A$10,0))="statistical_results"),IF(INDEX('C_jama.2019.14630'!$J$2:$J$10,MATCH("2019::jama.2019.14630::C007",'C_jama.2019.14630'!$A$2:$A$10,0))="","",INDEX('C_jama.2019.14630'!$J$2:$J$10,MATCH("2019::jama.2019.14630::C007",'C_jama.2019.14630'!$A$2:$A$10,0))),"not_applicable")</x:f>
        <x:v>not_applicable</x:v>
      </x:c>
      <x:c r="X39" s="3" t="str">
        <x:f>IF(AND(INDEX('C_jama.2019.14630'!$D$2:$D$10,MATCH("2019::jama.2019.14630::C007",'C_jama.2019.14630'!$A$2:$A$10,0))="retain",OR(INDEX('C_jama.2019.14630'!$E$2:$E$10,MATCH("2019::jama.2019.14630::C007",'C_jama.2019.14630'!$A$2:$A$10,0))="report_internal_inconsistency",INDEX('C_jama.2019.14630'!$E$2:$E$10,MATCH("2019::jama.2019.14630::C007",'C_jama.2019.14630'!$A$2:$A$10,0))="plan_material")),IF(INDEX('C_jama.2019.14630'!$K$2:$K$10,MATCH("2019::jama.2019.14630::C007",'C_jama.2019.14630'!$A$2:$A$10,0))="","",INDEX('C_jama.2019.14630'!$K$2:$K$10,MATCH("2019::jama.2019.14630::C007",'C_jama.2019.14630'!$A$2:$A$10,0))),"not_applicable")</x:f>
        <x:v>not_applicable</x:v>
      </x:c>
      <x:c r="Y39" s="3" t="str">
        <x:f>IF(AND(INDEX('C_jama.2019.14630'!$D$2:$D$10,MATCH("2019::jama.2019.14630::C007",'C_jama.2019.14630'!$A$2:$A$10,0))="retain",INDEX('C_jama.2019.14630'!$E$2:$E$10,MATCH("2019::jama.2019.14630::C007",'C_jama.2019.14630'!$A$2:$A$10,0))="protocol_report"),IF(INDEX('C_jama.2019.14630'!$L$2:$L$10,MATCH("2019::jama.2019.14630::C007",'C_jama.2019.14630'!$A$2:$A$10,0))="","",INDEX('C_jama.2019.14630'!$L$2:$L$10,MATCH("2019::jama.2019.14630::C007",'C_jama.2019.14630'!$A$2:$A$10,0))),"not_applicable")</x:f>
        <x:v>not_applicable</x:v>
      </x:c>
      <x:c r="Z39" s="3" t="str">
        <x:f>IF(INDEX('C_jama.2019.14630'!$R$2:$R$10,MATCH("2019::jama.2019.14630::C007",'C_jama.2019.14630'!$A$2:$A$10,0))="","",INDEX('C_jama.2019.14630'!$R$2:$R$10,MATCH("2019::jama.2019.14630::C007",'C_jama.2019.14630'!$A$2:$A$10,0)))</x:f>
      </x:c>
      <x:c r="AA39" s="3" t="str">
        <x:f>IF(INDEX('C_jama.2019.14630'!$N$2:$N$10,MATCH("2019::jama.2019.14630::C007",'C_jama.2019.14630'!$A$2:$A$10,0))="","",INDEX('C_jama.2019.14630'!$N$2:$N$10,MATCH("2019::jama.2019.14630::C007",'C_jama.2019.14630'!$A$2:$A$10,0)))</x:f>
      </x:c>
      <x:c r="AB39" s="3" t="str">
        <x:f>IF(INDEX('C_jama.2019.14630'!$O$2:$O$10,MATCH("2019::jama.2019.14630::C007",'C_jama.2019.14630'!$A$2:$A$10,0))="","",INDEX('C_jama.2019.14630'!$O$2:$O$10,MATCH("2019::jama.2019.14630::C007",'C_jama.2019.14630'!$A$2:$A$10,0)))</x:f>
      </x:c>
      <x:c r="AC39" s="3" t="str">
        <x:f>IF(INDEX('C_jama.2019.14630'!$P$2:$P$10,MATCH("2019::jama.2019.14630::C007",'C_jama.2019.14630'!$A$2:$A$10,0))="","",INDEX('C_jama.2019.14630'!$P$2:$P$10,MATCH("2019::jama.2019.14630::C007",'C_jama.2019.14630'!$A$2:$A$10,0)))</x:f>
      </x:c>
      <x:c r="AD39" s="3" t="str">
        <x:f>IF(INDEX('C_jama.2019.14630'!$Q$2:$Q$10,MATCH("2019::jama.2019.14630::C007",'C_jama.2019.14630'!$A$2:$A$10,0))="","",INDEX('C_jama.2019.14630'!$Q$2:$Q$10,MATCH("2019::jama.2019.14630::C007",'C_jama.2019.14630'!$A$2:$A$10,0)))</x:f>
      </x:c>
    </x:row>
    <x:row r="40" ht="65" customHeight="1">
      <x:c r="A40" s="6" t="n">
        <x:v>2019</x:v>
      </x:c>
      <x:c r="B40" s="6" t="str">
        <x:v>jama.2019.14630</x:v>
      </x:c>
      <x:c r="C40" s="6" t="str">
        <x:v>2019::jama.2019.14630::C008</x:v>
      </x:c>
      <x:c r="D40" s="6" t="str">
        <x:v>S_W</x:v>
      </x:c>
      <x:c r="E40" s="6" t="n">
        <x:f>Setup!$B$2</x:f>
        <x:v>0</x:v>
      </x:c>
      <x:c r="F40" s="6" t="str">
        <x:f>IF(Setup!$B$4="","",Setup!$B$4)</x:f>
      </x:c>
      <x:c r="G40" s="6" t="str">
        <x:f>IFERROR(INDEX('C_jama.2019.14630'!$G$2:$G$10,MATCH("2019::jama.2019.14630::C008",'C_jama.2019.14630'!$A$2:$A$10,0)),"CHECK KEY")</x:f>
        <x:v>CHECK REVIEWER IDs</x:v>
      </x:c>
      <x:c r="H40" s="6" t="str">
        <x:f>IF(G40&lt;&gt;"FINAL READY","",IF(S40&lt;&gt;"retain","not_eligible",IF(D40="P_R","protocol_descriptive",IF(D40="P_P","plan_descriptive",IF(AND(T40="statistical_results",OR(U40="confirmed_issue",U40="probable_issue"),V40="substantive"),"primary_temporal",IF(AND(T40="report_internal_inconsistency",X40="substantive_inconsistency"),"secondary_temporal","not_eligible"))))))</x:f>
      </x:c>
      <x:c r="I40" s="6" t="str">
        <x:v>retain</x:v>
      </x:c>
      <x:c r="J40" s="6" t="str">
        <x:v>report_internal_inconsistency</x:v>
      </x:c>
      <x:c r="K40" s="6" t="str">
        <x:f>IF(Setup!$B$6="primary","",IFERROR(IF(INDEX('Primary_snapshot'!$B$2:$B$72,MATCH(C40,'Primary_snapshot'!$A$2:$A$72,0))="","",INDEX('Primary_snapshot'!$B$2:$B$72,MATCH(C40,'Primary_snapshot'!$A$2:$A$72,0))),"SNAPSHOT MISSING"))</x:f>
      </x:c>
      <x:c r="L40" s="6" t="str">
        <x:f>IF(Setup!$B$6="primary","",IFERROR(IF(INDEX('Primary_snapshot'!$C$2:$C$72,MATCH(C40,'Primary_snapshot'!$A$2:$A$72,0))="","",INDEX('Primary_snapshot'!$C$2:$C$72,MATCH(C40,'Primary_snapshot'!$A$2:$A$72,0))),"SNAPSHOT MISSING"))</x:f>
      </x:c>
      <x:c r="M40" s="6" t="str">
        <x:f>IF(Setup!$B$6="primary","",IFERROR(IF(INDEX('Primary_snapshot'!$D$2:$D$72,MATCH(C40,'Primary_snapshot'!$A$2:$A$72,0))="","",INDEX('Primary_snapshot'!$D$2:$D$72,MATCH(C40,'Primary_snapshot'!$A$2:$A$72,0))),"SNAPSHOT MISSING"))</x:f>
      </x:c>
      <x:c r="N40" s="6" t="str">
        <x:f>IF(Setup!$B$6="primary","",IFERROR(IF(INDEX('Primary_snapshot'!$E$2:$E$72,MATCH(C40,'Primary_snapshot'!$A$2:$A$72,0))="","",INDEX('Primary_snapshot'!$E$2:$E$72,MATCH(C40,'Primary_snapshot'!$A$2:$A$72,0))),"SNAPSHOT MISSING"))</x:f>
      </x:c>
      <x:c r="O40" s="6" t="str">
        <x:f>IF(Setup!$B$6="primary","",IFERROR(IF(INDEX('Primary_snapshot'!$F$2:$F$72,MATCH(C40,'Primary_snapshot'!$A$2:$A$72,0))="","",INDEX('Primary_snapshot'!$F$2:$F$72,MATCH(C40,'Primary_snapshot'!$A$2:$A$72,0))),"SNAPSHOT MISSING"))</x:f>
      </x:c>
      <x:c r="P40" s="6" t="str">
        <x:f>IF(Setup!$B$6="primary","",IFERROR(IF(INDEX('Primary_snapshot'!$G$2:$G$72,MATCH(C40,'Primary_snapshot'!$A$2:$A$72,0))="","",INDEX('Primary_snapshot'!$G$2:$G$72,MATCH(C40,'Primary_snapshot'!$A$2:$A$72,0))),"SNAPSHOT MISSING"))</x:f>
      </x:c>
      <x:c r="Q40" s="6" t="str">
        <x:f>IF(Setup!$B$6="primary","",IFERROR(IF(INDEX('Primary_snapshot'!$H$2:$H$72,MATCH(C40,'Primary_snapshot'!$A$2:$A$72,0))="","",INDEX('Primary_snapshot'!$H$2:$H$72,MATCH(C40,'Primary_snapshot'!$A$2:$A$72,0))),"SNAPSHOT MISSING"))</x:f>
      </x:c>
      <x:c r="R40" s="6" t="str">
        <x:f>IF(Setup!$B$6="primary","",IFERROR(IF(INDEX('Primary_snapshot'!$I$2:$I$72,MATCH(C40,'Primary_snapshot'!$A$2:$A$72,0))="","",INDEX('Primary_snapshot'!$I$2:$I$72,MATCH(C40,'Primary_snapshot'!$A$2:$A$72,0))),"SNAPSHOT MISSING"))</x:f>
      </x:c>
      <x:c r="S40" s="6" t="str">
        <x:f>IF(INDEX('C_jama.2019.14630'!$D$2:$D$10,MATCH("2019::jama.2019.14630::C008",'C_jama.2019.14630'!$A$2:$A$10,0))="","",INDEX('C_jama.2019.14630'!$D$2:$D$10,MATCH("2019::jama.2019.14630::C008",'C_jama.2019.14630'!$A$2:$A$10,0)))</x:f>
      </x:c>
      <x:c r="T40" s="6" t="str">
        <x:f>IF(INDEX('C_jama.2019.14630'!$E$2:$E$10,MATCH("2019::jama.2019.14630::C008",'C_jama.2019.14630'!$A$2:$A$10,0))="","",INDEX('C_jama.2019.14630'!$E$2:$E$10,MATCH("2019::jama.2019.14630::C008",'C_jama.2019.14630'!$A$2:$A$10,0)))</x:f>
        <x:v>report_internal_inconsistency</x:v>
      </x:c>
      <x:c r="U40" s="6" t="str">
        <x:f>IF(AND(INDEX('C_jama.2019.14630'!$D$2:$D$10,MATCH("2019::jama.2019.14630::C008",'C_jama.2019.14630'!$A$2:$A$10,0))="retain",INDEX('C_jama.2019.14630'!$E$2:$E$10,MATCH("2019::jama.2019.14630::C008",'C_jama.2019.14630'!$A$2:$A$10,0))="statistical_results"),IF(INDEX('C_jama.2019.14630'!$H$2:$H$10,MATCH("2019::jama.2019.14630::C008",'C_jama.2019.14630'!$A$2:$A$10,0))="","",INDEX('C_jama.2019.14630'!$H$2:$H$10,MATCH("2019::jama.2019.14630::C008",'C_jama.2019.14630'!$A$2:$A$10,0))),"not_applicable")</x:f>
        <x:v>not_applicable</x:v>
      </x:c>
      <x:c r="V40" s="6" t="str">
        <x:f>IF(AND(INDEX('C_jama.2019.14630'!$D$2:$D$10,MATCH("2019::jama.2019.14630::C008",'C_jama.2019.14630'!$A$2:$A$10,0))="retain",INDEX('C_jama.2019.14630'!$E$2:$E$10,MATCH("2019::jama.2019.14630::C008",'C_jama.2019.14630'!$A$2:$A$10,0))="statistical_results"),IF(INDEX('C_jama.2019.14630'!$I$2:$I$10,MATCH("2019::jama.2019.14630::C008",'C_jama.2019.14630'!$A$2:$A$10,0))="","",INDEX('C_jama.2019.14630'!$I$2:$I$10,MATCH("2019::jama.2019.14630::C008",'C_jama.2019.14630'!$A$2:$A$10,0))),"not_applicable")</x:f>
        <x:v>not_applicable</x:v>
      </x:c>
      <x:c r="W40" s="6" t="str">
        <x:f>IF(AND(INDEX('C_jama.2019.14630'!$D$2:$D$10,MATCH("2019::jama.2019.14630::C008",'C_jama.2019.14630'!$A$2:$A$10,0))="retain",INDEX('C_jama.2019.14630'!$E$2:$E$10,MATCH("2019::jama.2019.14630::C008",'C_jama.2019.14630'!$A$2:$A$10,0))="statistical_results"),IF(INDEX('C_jama.2019.14630'!$J$2:$J$10,MATCH("2019::jama.2019.14630::C008",'C_jama.2019.14630'!$A$2:$A$10,0))="","",INDEX('C_jama.2019.14630'!$J$2:$J$10,MATCH("2019::jama.2019.14630::C008",'C_jama.2019.14630'!$A$2:$A$10,0))),"not_applicable")</x:f>
        <x:v>not_applicable</x:v>
      </x:c>
      <x:c r="X40" s="6" t="str">
        <x:f>IF(AND(INDEX('C_jama.2019.14630'!$D$2:$D$10,MATCH("2019::jama.2019.14630::C008",'C_jama.2019.14630'!$A$2:$A$10,0))="retain",OR(INDEX('C_jama.2019.14630'!$E$2:$E$10,MATCH("2019::jama.2019.14630::C008",'C_jama.2019.14630'!$A$2:$A$10,0))="report_internal_inconsistency",INDEX('C_jama.2019.14630'!$E$2:$E$10,MATCH("2019::jama.2019.14630::C008",'C_jama.2019.14630'!$A$2:$A$10,0))="plan_material")),IF(INDEX('C_jama.2019.14630'!$K$2:$K$10,MATCH("2019::jama.2019.14630::C008",'C_jama.2019.14630'!$A$2:$A$10,0))="","",INDEX('C_jama.2019.14630'!$K$2:$K$10,MATCH("2019::jama.2019.14630::C008",'C_jama.2019.14630'!$A$2:$A$10,0))),"not_applicable")</x:f>
        <x:v>not_applicable</x:v>
      </x:c>
      <x:c r="Y40" s="6" t="str">
        <x:f>IF(AND(INDEX('C_jama.2019.14630'!$D$2:$D$10,MATCH("2019::jama.2019.14630::C008",'C_jama.2019.14630'!$A$2:$A$10,0))="retain",INDEX('C_jama.2019.14630'!$E$2:$E$10,MATCH("2019::jama.2019.14630::C008",'C_jama.2019.14630'!$A$2:$A$10,0))="protocol_report"),IF(INDEX('C_jama.2019.14630'!$L$2:$L$10,MATCH("2019::jama.2019.14630::C008",'C_jama.2019.14630'!$A$2:$A$10,0))="","",INDEX('C_jama.2019.14630'!$L$2:$L$10,MATCH("2019::jama.2019.14630::C008",'C_jama.2019.14630'!$A$2:$A$10,0))),"not_applicable")</x:f>
        <x:v>not_applicable</x:v>
      </x:c>
      <x:c r="Z40" s="6" t="str">
        <x:f>IF(INDEX('C_jama.2019.14630'!$R$2:$R$10,MATCH("2019::jama.2019.14630::C008",'C_jama.2019.14630'!$A$2:$A$10,0))="","",INDEX('C_jama.2019.14630'!$R$2:$R$10,MATCH("2019::jama.2019.14630::C008",'C_jama.2019.14630'!$A$2:$A$10,0)))</x:f>
      </x:c>
      <x:c r="AA40" s="6" t="str">
        <x:f>IF(INDEX('C_jama.2019.14630'!$N$2:$N$10,MATCH("2019::jama.2019.14630::C008",'C_jama.2019.14630'!$A$2:$A$10,0))="","",INDEX('C_jama.2019.14630'!$N$2:$N$10,MATCH("2019::jama.2019.14630::C008",'C_jama.2019.14630'!$A$2:$A$10,0)))</x:f>
      </x:c>
      <x:c r="AB40" s="6" t="str">
        <x:f>IF(INDEX('C_jama.2019.14630'!$O$2:$O$10,MATCH("2019::jama.2019.14630::C008",'C_jama.2019.14630'!$A$2:$A$10,0))="","",INDEX('C_jama.2019.14630'!$O$2:$O$10,MATCH("2019::jama.2019.14630::C008",'C_jama.2019.14630'!$A$2:$A$10,0)))</x:f>
      </x:c>
      <x:c r="AC40" s="6" t="str">
        <x:f>IF(INDEX('C_jama.2019.14630'!$P$2:$P$10,MATCH("2019::jama.2019.14630::C008",'C_jama.2019.14630'!$A$2:$A$10,0))="","",INDEX('C_jama.2019.14630'!$P$2:$P$10,MATCH("2019::jama.2019.14630::C008",'C_jama.2019.14630'!$A$2:$A$10,0)))</x:f>
      </x:c>
      <x:c r="AD40" s="6" t="str">
        <x:f>IF(INDEX('C_jama.2019.14630'!$Q$2:$Q$10,MATCH("2019::jama.2019.14630::C008",'C_jama.2019.14630'!$A$2:$A$10,0))="","",INDEX('C_jama.2019.14630'!$Q$2:$Q$10,MATCH("2019::jama.2019.14630::C008",'C_jama.2019.14630'!$A$2:$A$10,0)))</x:f>
      </x:c>
    </x:row>
    <x:row r="41" ht="65" customHeight="1">
      <x:c r="A41" s="3" t="n">
        <x:v>2019</x:v>
      </x:c>
      <x:c r="B41" s="3" t="str">
        <x:v>jama.2019.14630</x:v>
      </x:c>
      <x:c r="C41" s="3" t="str">
        <x:v>2019::jama.2019.14630::C009</x:v>
      </x:c>
      <x:c r="D41" s="3" t="str">
        <x:v>S_W</x:v>
      </x:c>
      <x:c r="E41" s="3" t="n">
        <x:f>Setup!$B$2</x:f>
        <x:v>0</x:v>
      </x:c>
      <x:c r="F41" s="3" t="str">
        <x:f>IF(Setup!$B$4="","",Setup!$B$4)</x:f>
      </x:c>
      <x:c r="G41" s="3" t="str">
        <x:f>IFERROR(INDEX('C_jama.2019.14630'!$G$2:$G$10,MATCH("2019::jama.2019.14630::C009",'C_jama.2019.14630'!$A$2:$A$10,0)),"CHECK KEY")</x:f>
        <x:v>CHECK REVIEWER IDs</x:v>
      </x:c>
      <x:c r="H41" s="3" t="str">
        <x:f>IF(G41&lt;&gt;"FINAL READY","",IF(S41&lt;&gt;"retain","not_eligible",IF(D41="P_R","protocol_descriptive",IF(D41="P_P","plan_descriptive",IF(AND(T41="statistical_results",OR(U41="confirmed_issue",U41="probable_issue"),V41="substantive"),"primary_temporal",IF(AND(T41="report_internal_inconsistency",X41="substantive_inconsistency"),"secondary_temporal","not_eligible"))))))</x:f>
      </x:c>
      <x:c r="I41" s="3" t="str">
        <x:v>retain</x:v>
      </x:c>
      <x:c r="J41" s="3" t="str">
        <x:v>report_internal_inconsistency</x:v>
      </x:c>
      <x:c r="K41" s="3" t="str">
        <x:f>IF(Setup!$B$6="primary","",IFERROR(IF(INDEX('Primary_snapshot'!$B$2:$B$72,MATCH(C41,'Primary_snapshot'!$A$2:$A$72,0))="","",INDEX('Primary_snapshot'!$B$2:$B$72,MATCH(C41,'Primary_snapshot'!$A$2:$A$72,0))),"SNAPSHOT MISSING"))</x:f>
      </x:c>
      <x:c r="L41" s="3" t="str">
        <x:f>IF(Setup!$B$6="primary","",IFERROR(IF(INDEX('Primary_snapshot'!$C$2:$C$72,MATCH(C41,'Primary_snapshot'!$A$2:$A$72,0))="","",INDEX('Primary_snapshot'!$C$2:$C$72,MATCH(C41,'Primary_snapshot'!$A$2:$A$72,0))),"SNAPSHOT MISSING"))</x:f>
      </x:c>
      <x:c r="M41" s="3" t="str">
        <x:f>IF(Setup!$B$6="primary","",IFERROR(IF(INDEX('Primary_snapshot'!$D$2:$D$72,MATCH(C41,'Primary_snapshot'!$A$2:$A$72,0))="","",INDEX('Primary_snapshot'!$D$2:$D$72,MATCH(C41,'Primary_snapshot'!$A$2:$A$72,0))),"SNAPSHOT MISSING"))</x:f>
      </x:c>
      <x:c r="N41" s="3" t="str">
        <x:f>IF(Setup!$B$6="primary","",IFERROR(IF(INDEX('Primary_snapshot'!$E$2:$E$72,MATCH(C41,'Primary_snapshot'!$A$2:$A$72,0))="","",INDEX('Primary_snapshot'!$E$2:$E$72,MATCH(C41,'Primary_snapshot'!$A$2:$A$72,0))),"SNAPSHOT MISSING"))</x:f>
      </x:c>
      <x:c r="O41" s="3" t="str">
        <x:f>IF(Setup!$B$6="primary","",IFERROR(IF(INDEX('Primary_snapshot'!$F$2:$F$72,MATCH(C41,'Primary_snapshot'!$A$2:$A$72,0))="","",INDEX('Primary_snapshot'!$F$2:$F$72,MATCH(C41,'Primary_snapshot'!$A$2:$A$72,0))),"SNAPSHOT MISSING"))</x:f>
      </x:c>
      <x:c r="P41" s="3" t="str">
        <x:f>IF(Setup!$B$6="primary","",IFERROR(IF(INDEX('Primary_snapshot'!$G$2:$G$72,MATCH(C41,'Primary_snapshot'!$A$2:$A$72,0))="","",INDEX('Primary_snapshot'!$G$2:$G$72,MATCH(C41,'Primary_snapshot'!$A$2:$A$72,0))),"SNAPSHOT MISSING"))</x:f>
      </x:c>
      <x:c r="Q41" s="3" t="str">
        <x:f>IF(Setup!$B$6="primary","",IFERROR(IF(INDEX('Primary_snapshot'!$H$2:$H$72,MATCH(C41,'Primary_snapshot'!$A$2:$A$72,0))="","",INDEX('Primary_snapshot'!$H$2:$H$72,MATCH(C41,'Primary_snapshot'!$A$2:$A$72,0))),"SNAPSHOT MISSING"))</x:f>
      </x:c>
      <x:c r="R41" s="3" t="str">
        <x:f>IF(Setup!$B$6="primary","",IFERROR(IF(INDEX('Primary_snapshot'!$I$2:$I$72,MATCH(C41,'Primary_snapshot'!$A$2:$A$72,0))="","",INDEX('Primary_snapshot'!$I$2:$I$72,MATCH(C41,'Primary_snapshot'!$A$2:$A$72,0))),"SNAPSHOT MISSING"))</x:f>
      </x:c>
      <x:c r="S41" s="3" t="str">
        <x:f>IF(INDEX('C_jama.2019.14630'!$D$2:$D$10,MATCH("2019::jama.2019.14630::C009",'C_jama.2019.14630'!$A$2:$A$10,0))="","",INDEX('C_jama.2019.14630'!$D$2:$D$10,MATCH("2019::jama.2019.14630::C009",'C_jama.2019.14630'!$A$2:$A$10,0)))</x:f>
      </x:c>
      <x:c r="T41" s="3" t="str">
        <x:f>IF(INDEX('C_jama.2019.14630'!$E$2:$E$10,MATCH("2019::jama.2019.14630::C009",'C_jama.2019.14630'!$A$2:$A$10,0))="","",INDEX('C_jama.2019.14630'!$E$2:$E$10,MATCH("2019::jama.2019.14630::C009",'C_jama.2019.14630'!$A$2:$A$10,0)))</x:f>
        <x:v>report_internal_inconsistency</x:v>
      </x:c>
      <x:c r="U41" s="3" t="str">
        <x:f>IF(AND(INDEX('C_jama.2019.14630'!$D$2:$D$10,MATCH("2019::jama.2019.14630::C009",'C_jama.2019.14630'!$A$2:$A$10,0))="retain",INDEX('C_jama.2019.14630'!$E$2:$E$10,MATCH("2019::jama.2019.14630::C009",'C_jama.2019.14630'!$A$2:$A$10,0))="statistical_results"),IF(INDEX('C_jama.2019.14630'!$H$2:$H$10,MATCH("2019::jama.2019.14630::C009",'C_jama.2019.14630'!$A$2:$A$10,0))="","",INDEX('C_jama.2019.14630'!$H$2:$H$10,MATCH("2019::jama.2019.14630::C009",'C_jama.2019.14630'!$A$2:$A$10,0))),"not_applicable")</x:f>
        <x:v>not_applicable</x:v>
      </x:c>
      <x:c r="V41" s="3" t="str">
        <x:f>IF(AND(INDEX('C_jama.2019.14630'!$D$2:$D$10,MATCH("2019::jama.2019.14630::C009",'C_jama.2019.14630'!$A$2:$A$10,0))="retain",INDEX('C_jama.2019.14630'!$E$2:$E$10,MATCH("2019::jama.2019.14630::C009",'C_jama.2019.14630'!$A$2:$A$10,0))="statistical_results"),IF(INDEX('C_jama.2019.14630'!$I$2:$I$10,MATCH("2019::jama.2019.14630::C009",'C_jama.2019.14630'!$A$2:$A$10,0))="","",INDEX('C_jama.2019.14630'!$I$2:$I$10,MATCH("2019::jama.2019.14630::C009",'C_jama.2019.14630'!$A$2:$A$10,0))),"not_applicable")</x:f>
        <x:v>not_applicable</x:v>
      </x:c>
      <x:c r="W41" s="3" t="str">
        <x:f>IF(AND(INDEX('C_jama.2019.14630'!$D$2:$D$10,MATCH("2019::jama.2019.14630::C009",'C_jama.2019.14630'!$A$2:$A$10,0))="retain",INDEX('C_jama.2019.14630'!$E$2:$E$10,MATCH("2019::jama.2019.14630::C009",'C_jama.2019.14630'!$A$2:$A$10,0))="statistical_results"),IF(INDEX('C_jama.2019.14630'!$J$2:$J$10,MATCH("2019::jama.2019.14630::C009",'C_jama.2019.14630'!$A$2:$A$10,0))="","",INDEX('C_jama.2019.14630'!$J$2:$J$10,MATCH("2019::jama.2019.14630::C009",'C_jama.2019.14630'!$A$2:$A$10,0))),"not_applicable")</x:f>
        <x:v>not_applicable</x:v>
      </x:c>
      <x:c r="X41" s="3" t="str">
        <x:f>IF(AND(INDEX('C_jama.2019.14630'!$D$2:$D$10,MATCH("2019::jama.2019.14630::C009",'C_jama.2019.14630'!$A$2:$A$10,0))="retain",OR(INDEX('C_jama.2019.14630'!$E$2:$E$10,MATCH("2019::jama.2019.14630::C009",'C_jama.2019.14630'!$A$2:$A$10,0))="report_internal_inconsistency",INDEX('C_jama.2019.14630'!$E$2:$E$10,MATCH("2019::jama.2019.14630::C009",'C_jama.2019.14630'!$A$2:$A$10,0))="plan_material")),IF(INDEX('C_jama.2019.14630'!$K$2:$K$10,MATCH("2019::jama.2019.14630::C009",'C_jama.2019.14630'!$A$2:$A$10,0))="","",INDEX('C_jama.2019.14630'!$K$2:$K$10,MATCH("2019::jama.2019.14630::C009",'C_jama.2019.14630'!$A$2:$A$10,0))),"not_applicable")</x:f>
        <x:v>not_applicable</x:v>
      </x:c>
      <x:c r="Y41" s="3" t="str">
        <x:f>IF(AND(INDEX('C_jama.2019.14630'!$D$2:$D$10,MATCH("2019::jama.2019.14630::C009",'C_jama.2019.14630'!$A$2:$A$10,0))="retain",INDEX('C_jama.2019.14630'!$E$2:$E$10,MATCH("2019::jama.2019.14630::C009",'C_jama.2019.14630'!$A$2:$A$10,0))="protocol_report"),IF(INDEX('C_jama.2019.14630'!$L$2:$L$10,MATCH("2019::jama.2019.14630::C009",'C_jama.2019.14630'!$A$2:$A$10,0))="","",INDEX('C_jama.2019.14630'!$L$2:$L$10,MATCH("2019::jama.2019.14630::C009",'C_jama.2019.14630'!$A$2:$A$10,0))),"not_applicable")</x:f>
        <x:v>not_applicable</x:v>
      </x:c>
      <x:c r="Z41" s="3" t="str">
        <x:f>IF(INDEX('C_jama.2019.14630'!$R$2:$R$10,MATCH("2019::jama.2019.14630::C009",'C_jama.2019.14630'!$A$2:$A$10,0))="","",INDEX('C_jama.2019.14630'!$R$2:$R$10,MATCH("2019::jama.2019.14630::C009",'C_jama.2019.14630'!$A$2:$A$10,0)))</x:f>
      </x:c>
      <x:c r="AA41" s="3" t="str">
        <x:f>IF(INDEX('C_jama.2019.14630'!$N$2:$N$10,MATCH("2019::jama.2019.14630::C009",'C_jama.2019.14630'!$A$2:$A$10,0))="","",INDEX('C_jama.2019.14630'!$N$2:$N$10,MATCH("2019::jama.2019.14630::C009",'C_jama.2019.14630'!$A$2:$A$10,0)))</x:f>
      </x:c>
      <x:c r="AB41" s="3" t="str">
        <x:f>IF(INDEX('C_jama.2019.14630'!$O$2:$O$10,MATCH("2019::jama.2019.14630::C009",'C_jama.2019.14630'!$A$2:$A$10,0))="","",INDEX('C_jama.2019.14630'!$O$2:$O$10,MATCH("2019::jama.2019.14630::C009",'C_jama.2019.14630'!$A$2:$A$10,0)))</x:f>
      </x:c>
      <x:c r="AC41" s="3" t="str">
        <x:f>IF(INDEX('C_jama.2019.14630'!$P$2:$P$10,MATCH("2019::jama.2019.14630::C009",'C_jama.2019.14630'!$A$2:$A$10,0))="","",INDEX('C_jama.2019.14630'!$P$2:$P$10,MATCH("2019::jama.2019.14630::C009",'C_jama.2019.14630'!$A$2:$A$10,0)))</x:f>
      </x:c>
      <x:c r="AD41" s="3" t="str">
        <x:f>IF(INDEX('C_jama.2019.14630'!$Q$2:$Q$10,MATCH("2019::jama.2019.14630::C009",'C_jama.2019.14630'!$A$2:$A$10,0))="","",INDEX('C_jama.2019.14630'!$Q$2:$Q$10,MATCH("2019::jama.2019.14630::C009",'C_jama.2019.14630'!$A$2:$A$10,0)))</x:f>
      </x:c>
    </x:row>
    <x:row r="42" ht="65" customHeight="1">
      <x:c r="A42" s="6" t="n">
        <x:v>2019</x:v>
      </x:c>
      <x:c r="B42" s="6" t="str">
        <x:v>jama.2019.14901</x:v>
      </x:c>
      <x:c r="C42" s="6" t="str">
        <x:v>2019::jama.2019.14901::C001</x:v>
      </x:c>
      <x:c r="D42" s="6" t="str">
        <x:v>S_W</x:v>
      </x:c>
      <x:c r="E42" s="6" t="n">
        <x:f>Setup!$B$2</x:f>
        <x:v>0</x:v>
      </x:c>
      <x:c r="F42" s="6" t="str">
        <x:f>IF(Setup!$B$4="","",Setup!$B$4)</x:f>
      </x:c>
      <x:c r="G42" s="6" t="str">
        <x:f>IFERROR(INDEX('C_jama.2019.14901'!$G$2:$G$7,MATCH("2019::jama.2019.14901::C001",'C_jama.2019.14901'!$A$2:$A$7,0)),"CHECK KEY")</x:f>
        <x:v>CHECK REVIEWER IDs</x:v>
      </x:c>
      <x:c r="H42" s="6" t="str">
        <x:f>IF(G42&lt;&gt;"FINAL READY","",IF(S42&lt;&gt;"retain","not_eligible",IF(D42="P_R","protocol_descriptive",IF(D42="P_P","plan_descriptive",IF(AND(T42="statistical_results",OR(U42="confirmed_issue",U42="probable_issue"),V42="substantive"),"primary_temporal",IF(AND(T42="report_internal_inconsistency",X42="substantive_inconsistency"),"secondary_temporal","not_eligible"))))))</x:f>
      </x:c>
      <x:c r="I42" s="6" t="str">
        <x:v>retain</x:v>
      </x:c>
      <x:c r="J42" s="6" t="str">
        <x:v>statistical_results</x:v>
      </x:c>
      <x:c r="K42" s="6" t="str">
        <x:f>IF(Setup!$B$6="primary","",IFERROR(IF(INDEX('Primary_snapshot'!$B$2:$B$72,MATCH(C42,'Primary_snapshot'!$A$2:$A$72,0))="","",INDEX('Primary_snapshot'!$B$2:$B$72,MATCH(C42,'Primary_snapshot'!$A$2:$A$72,0))),"SNAPSHOT MISSING"))</x:f>
      </x:c>
      <x:c r="L42" s="6" t="str">
        <x:f>IF(Setup!$B$6="primary","",IFERROR(IF(INDEX('Primary_snapshot'!$C$2:$C$72,MATCH(C42,'Primary_snapshot'!$A$2:$A$72,0))="","",INDEX('Primary_snapshot'!$C$2:$C$72,MATCH(C42,'Primary_snapshot'!$A$2:$A$72,0))),"SNAPSHOT MISSING"))</x:f>
      </x:c>
      <x:c r="M42" s="6" t="str">
        <x:f>IF(Setup!$B$6="primary","",IFERROR(IF(INDEX('Primary_snapshot'!$D$2:$D$72,MATCH(C42,'Primary_snapshot'!$A$2:$A$72,0))="","",INDEX('Primary_snapshot'!$D$2:$D$72,MATCH(C42,'Primary_snapshot'!$A$2:$A$72,0))),"SNAPSHOT MISSING"))</x:f>
      </x:c>
      <x:c r="N42" s="6" t="str">
        <x:f>IF(Setup!$B$6="primary","",IFERROR(IF(INDEX('Primary_snapshot'!$E$2:$E$72,MATCH(C42,'Primary_snapshot'!$A$2:$A$72,0))="","",INDEX('Primary_snapshot'!$E$2:$E$72,MATCH(C42,'Primary_snapshot'!$A$2:$A$72,0))),"SNAPSHOT MISSING"))</x:f>
      </x:c>
      <x:c r="O42" s="6" t="str">
        <x:f>IF(Setup!$B$6="primary","",IFERROR(IF(INDEX('Primary_snapshot'!$F$2:$F$72,MATCH(C42,'Primary_snapshot'!$A$2:$A$72,0))="","",INDEX('Primary_snapshot'!$F$2:$F$72,MATCH(C42,'Primary_snapshot'!$A$2:$A$72,0))),"SNAPSHOT MISSING"))</x:f>
      </x:c>
      <x:c r="P42" s="6" t="str">
        <x:f>IF(Setup!$B$6="primary","",IFERROR(IF(INDEX('Primary_snapshot'!$G$2:$G$72,MATCH(C42,'Primary_snapshot'!$A$2:$A$72,0))="","",INDEX('Primary_snapshot'!$G$2:$G$72,MATCH(C42,'Primary_snapshot'!$A$2:$A$72,0))),"SNAPSHOT MISSING"))</x:f>
      </x:c>
      <x:c r="Q42" s="6" t="str">
        <x:f>IF(Setup!$B$6="primary","",IFERROR(IF(INDEX('Primary_snapshot'!$H$2:$H$72,MATCH(C42,'Primary_snapshot'!$A$2:$A$72,0))="","",INDEX('Primary_snapshot'!$H$2:$H$72,MATCH(C42,'Primary_snapshot'!$A$2:$A$72,0))),"SNAPSHOT MISSING"))</x:f>
      </x:c>
      <x:c r="R42" s="6" t="str">
        <x:f>IF(Setup!$B$6="primary","",IFERROR(IF(INDEX('Primary_snapshot'!$I$2:$I$72,MATCH(C42,'Primary_snapshot'!$A$2:$A$72,0))="","",INDEX('Primary_snapshot'!$I$2:$I$72,MATCH(C42,'Primary_snapshot'!$A$2:$A$72,0))),"SNAPSHOT MISSING"))</x:f>
      </x:c>
      <x:c r="S42" s="6" t="str">
        <x:f>IF(INDEX('C_jama.2019.14901'!$D$2:$D$7,MATCH("2019::jama.2019.14901::C001",'C_jama.2019.14901'!$A$2:$A$7,0))="","",INDEX('C_jama.2019.14901'!$D$2:$D$7,MATCH("2019::jama.2019.14901::C001",'C_jama.2019.14901'!$A$2:$A$7,0)))</x:f>
      </x:c>
      <x:c r="T42" s="6" t="str">
        <x:f>IF(INDEX('C_jama.2019.14901'!$E$2:$E$7,MATCH("2019::jama.2019.14901::C001",'C_jama.2019.14901'!$A$2:$A$7,0))="","",INDEX('C_jama.2019.14901'!$E$2:$E$7,MATCH("2019::jama.2019.14901::C001",'C_jama.2019.14901'!$A$2:$A$7,0)))</x:f>
        <x:v>statistical_results</x:v>
      </x:c>
      <x:c r="U42" s="6" t="str">
        <x:f>IF(AND(INDEX('C_jama.2019.14901'!$D$2:$D$7,MATCH("2019::jama.2019.14901::C001",'C_jama.2019.14901'!$A$2:$A$7,0))="retain",INDEX('C_jama.2019.14901'!$E$2:$E$7,MATCH("2019::jama.2019.14901::C001",'C_jama.2019.14901'!$A$2:$A$7,0))="statistical_results"),IF(INDEX('C_jama.2019.14901'!$H$2:$H$7,MATCH("2019::jama.2019.14901::C001",'C_jama.2019.14901'!$A$2:$A$7,0))="","",INDEX('C_jama.2019.14901'!$H$2:$H$7,MATCH("2019::jama.2019.14901::C001",'C_jama.2019.14901'!$A$2:$A$7,0))),"not_applicable")</x:f>
        <x:v>not_applicable</x:v>
      </x:c>
      <x:c r="V42" s="6" t="str">
        <x:f>IF(AND(INDEX('C_jama.2019.14901'!$D$2:$D$7,MATCH("2019::jama.2019.14901::C001",'C_jama.2019.14901'!$A$2:$A$7,0))="retain",INDEX('C_jama.2019.14901'!$E$2:$E$7,MATCH("2019::jama.2019.14901::C001",'C_jama.2019.14901'!$A$2:$A$7,0))="statistical_results"),IF(INDEX('C_jama.2019.14901'!$I$2:$I$7,MATCH("2019::jama.2019.14901::C001",'C_jama.2019.14901'!$A$2:$A$7,0))="","",INDEX('C_jama.2019.14901'!$I$2:$I$7,MATCH("2019::jama.2019.14901::C001",'C_jama.2019.14901'!$A$2:$A$7,0))),"not_applicable")</x:f>
        <x:v>not_applicable</x:v>
      </x:c>
      <x:c r="W42" s="6" t="str">
        <x:f>IF(AND(INDEX('C_jama.2019.14901'!$D$2:$D$7,MATCH("2019::jama.2019.14901::C001",'C_jama.2019.14901'!$A$2:$A$7,0))="retain",INDEX('C_jama.2019.14901'!$E$2:$E$7,MATCH("2019::jama.2019.14901::C001",'C_jama.2019.14901'!$A$2:$A$7,0))="statistical_results"),IF(INDEX('C_jama.2019.14901'!$J$2:$J$7,MATCH("2019::jama.2019.14901::C001",'C_jama.2019.14901'!$A$2:$A$7,0))="","",INDEX('C_jama.2019.14901'!$J$2:$J$7,MATCH("2019::jama.2019.14901::C001",'C_jama.2019.14901'!$A$2:$A$7,0))),"not_applicable")</x:f>
        <x:v>not_applicable</x:v>
      </x:c>
      <x:c r="X42" s="6" t="str">
        <x:f>IF(AND(INDEX('C_jama.2019.14901'!$D$2:$D$7,MATCH("2019::jama.2019.14901::C001",'C_jama.2019.14901'!$A$2:$A$7,0))="retain",OR(INDEX('C_jama.2019.14901'!$E$2:$E$7,MATCH("2019::jama.2019.14901::C001",'C_jama.2019.14901'!$A$2:$A$7,0))="report_internal_inconsistency",INDEX('C_jama.2019.14901'!$E$2:$E$7,MATCH("2019::jama.2019.14901::C001",'C_jama.2019.14901'!$A$2:$A$7,0))="plan_material")),IF(INDEX('C_jama.2019.14901'!$K$2:$K$7,MATCH("2019::jama.2019.14901::C001",'C_jama.2019.14901'!$A$2:$A$7,0))="","",INDEX('C_jama.2019.14901'!$K$2:$K$7,MATCH("2019::jama.2019.14901::C001",'C_jama.2019.14901'!$A$2:$A$7,0))),"not_applicable")</x:f>
        <x:v>not_applicable</x:v>
      </x:c>
      <x:c r="Y42" s="6" t="str">
        <x:f>IF(AND(INDEX('C_jama.2019.14901'!$D$2:$D$7,MATCH("2019::jama.2019.14901::C001",'C_jama.2019.14901'!$A$2:$A$7,0))="retain",INDEX('C_jama.2019.14901'!$E$2:$E$7,MATCH("2019::jama.2019.14901::C001",'C_jama.2019.14901'!$A$2:$A$7,0))="protocol_report"),IF(INDEX('C_jama.2019.14901'!$L$2:$L$7,MATCH("2019::jama.2019.14901::C001",'C_jama.2019.14901'!$A$2:$A$7,0))="","",INDEX('C_jama.2019.14901'!$L$2:$L$7,MATCH("2019::jama.2019.14901::C001",'C_jama.2019.14901'!$A$2:$A$7,0))),"not_applicable")</x:f>
        <x:v>not_applicable</x:v>
      </x:c>
      <x:c r="Z42" s="6" t="str">
        <x:f>IF(INDEX('C_jama.2019.14901'!$R$2:$R$7,MATCH("2019::jama.2019.14901::C001",'C_jama.2019.14901'!$A$2:$A$7,0))="","",INDEX('C_jama.2019.14901'!$R$2:$R$7,MATCH("2019::jama.2019.14901::C001",'C_jama.2019.14901'!$A$2:$A$7,0)))</x:f>
      </x:c>
      <x:c r="AA42" s="6" t="str">
        <x:f>IF(INDEX('C_jama.2019.14901'!$N$2:$N$7,MATCH("2019::jama.2019.14901::C001",'C_jama.2019.14901'!$A$2:$A$7,0))="","",INDEX('C_jama.2019.14901'!$N$2:$N$7,MATCH("2019::jama.2019.14901::C001",'C_jama.2019.14901'!$A$2:$A$7,0)))</x:f>
      </x:c>
      <x:c r="AB42" s="6" t="str">
        <x:f>IF(INDEX('C_jama.2019.14901'!$O$2:$O$7,MATCH("2019::jama.2019.14901::C001",'C_jama.2019.14901'!$A$2:$A$7,0))="","",INDEX('C_jama.2019.14901'!$O$2:$O$7,MATCH("2019::jama.2019.14901::C001",'C_jama.2019.14901'!$A$2:$A$7,0)))</x:f>
      </x:c>
      <x:c r="AC42" s="6" t="str">
        <x:f>IF(INDEX('C_jama.2019.14901'!$P$2:$P$7,MATCH("2019::jama.2019.14901::C001",'C_jama.2019.14901'!$A$2:$A$7,0))="","",INDEX('C_jama.2019.14901'!$P$2:$P$7,MATCH("2019::jama.2019.14901::C001",'C_jama.2019.14901'!$A$2:$A$7,0)))</x:f>
      </x:c>
      <x:c r="AD42" s="6" t="str">
        <x:f>IF(INDEX('C_jama.2019.14901'!$Q$2:$Q$7,MATCH("2019::jama.2019.14901::C001",'C_jama.2019.14901'!$A$2:$A$7,0))="","",INDEX('C_jama.2019.14901'!$Q$2:$Q$7,MATCH("2019::jama.2019.14901::C001",'C_jama.2019.14901'!$A$2:$A$7,0)))</x:f>
      </x:c>
    </x:row>
    <x:row r="43" ht="65" customHeight="1">
      <x:c r="A43" s="3" t="n">
        <x:v>2019</x:v>
      </x:c>
      <x:c r="B43" s="3" t="str">
        <x:v>jama.2019.14901</x:v>
      </x:c>
      <x:c r="C43" s="3" t="str">
        <x:v>2019::jama.2019.14901::C002</x:v>
      </x:c>
      <x:c r="D43" s="3" t="str">
        <x:v>P_R</x:v>
      </x:c>
      <x:c r="E43" s="3" t="n">
        <x:f>Setup!$B$2</x:f>
        <x:v>0</x:v>
      </x:c>
      <x:c r="F43" s="3" t="str">
        <x:f>IF(Setup!$B$4="","",Setup!$B$4)</x:f>
      </x:c>
      <x:c r="G43" s="3" t="str">
        <x:f>IFERROR(INDEX('C_jama.2019.14901'!$G$2:$G$7,MATCH("2019::jama.2019.14901::C002",'C_jama.2019.14901'!$A$2:$A$7,0)),"CHECK KEY")</x:f>
        <x:v>CHECK REVIEWER IDs</x:v>
      </x:c>
      <x:c r="H43" s="3" t="str">
        <x:f>IF(G43&lt;&gt;"FINAL READY","",IF(S43&lt;&gt;"retain","not_eligible",IF(D43="P_R","protocol_descriptive",IF(D43="P_P","plan_descriptive",IF(AND(T43="statistical_results",OR(U43="confirmed_issue",U43="probable_issue"),V43="substantive"),"primary_temporal",IF(AND(T43="report_internal_inconsistency",X43="substantive_inconsistency"),"secondary_temporal","not_eligible"))))))</x:f>
      </x:c>
      <x:c r="I43" s="3" t="str">
        <x:v>retain</x:v>
      </x:c>
      <x:c r="J43" s="3" t="str">
        <x:v>protocol_report</x:v>
      </x:c>
      <x:c r="K43" s="3" t="str">
        <x:f>IF(Setup!$B$6="primary","",IFERROR(IF(INDEX('Primary_snapshot'!$B$2:$B$72,MATCH(C43,'Primary_snapshot'!$A$2:$A$72,0))="","",INDEX('Primary_snapshot'!$B$2:$B$72,MATCH(C43,'Primary_snapshot'!$A$2:$A$72,0))),"SNAPSHOT MISSING"))</x:f>
      </x:c>
      <x:c r="L43" s="3" t="str">
        <x:f>IF(Setup!$B$6="primary","",IFERROR(IF(INDEX('Primary_snapshot'!$C$2:$C$72,MATCH(C43,'Primary_snapshot'!$A$2:$A$72,0))="","",INDEX('Primary_snapshot'!$C$2:$C$72,MATCH(C43,'Primary_snapshot'!$A$2:$A$72,0))),"SNAPSHOT MISSING"))</x:f>
      </x:c>
      <x:c r="M43" s="3" t="str">
        <x:f>IF(Setup!$B$6="primary","",IFERROR(IF(INDEX('Primary_snapshot'!$D$2:$D$72,MATCH(C43,'Primary_snapshot'!$A$2:$A$72,0))="","",INDEX('Primary_snapshot'!$D$2:$D$72,MATCH(C43,'Primary_snapshot'!$A$2:$A$72,0))),"SNAPSHOT MISSING"))</x:f>
      </x:c>
      <x:c r="N43" s="3" t="str">
        <x:f>IF(Setup!$B$6="primary","",IFERROR(IF(INDEX('Primary_snapshot'!$E$2:$E$72,MATCH(C43,'Primary_snapshot'!$A$2:$A$72,0))="","",INDEX('Primary_snapshot'!$E$2:$E$72,MATCH(C43,'Primary_snapshot'!$A$2:$A$72,0))),"SNAPSHOT MISSING"))</x:f>
      </x:c>
      <x:c r="O43" s="3" t="str">
        <x:f>IF(Setup!$B$6="primary","",IFERROR(IF(INDEX('Primary_snapshot'!$F$2:$F$72,MATCH(C43,'Primary_snapshot'!$A$2:$A$72,0))="","",INDEX('Primary_snapshot'!$F$2:$F$72,MATCH(C43,'Primary_snapshot'!$A$2:$A$72,0))),"SNAPSHOT MISSING"))</x:f>
      </x:c>
      <x:c r="P43" s="3" t="str">
        <x:f>IF(Setup!$B$6="primary","",IFERROR(IF(INDEX('Primary_snapshot'!$G$2:$G$72,MATCH(C43,'Primary_snapshot'!$A$2:$A$72,0))="","",INDEX('Primary_snapshot'!$G$2:$G$72,MATCH(C43,'Primary_snapshot'!$A$2:$A$72,0))),"SNAPSHOT MISSING"))</x:f>
      </x:c>
      <x:c r="Q43" s="3" t="str">
        <x:f>IF(Setup!$B$6="primary","",IFERROR(IF(INDEX('Primary_snapshot'!$H$2:$H$72,MATCH(C43,'Primary_snapshot'!$A$2:$A$72,0))="","",INDEX('Primary_snapshot'!$H$2:$H$72,MATCH(C43,'Primary_snapshot'!$A$2:$A$72,0))),"SNAPSHOT MISSING"))</x:f>
      </x:c>
      <x:c r="R43" s="3" t="str">
        <x:f>IF(Setup!$B$6="primary","",IFERROR(IF(INDEX('Primary_snapshot'!$I$2:$I$72,MATCH(C43,'Primary_snapshot'!$A$2:$A$72,0))="","",INDEX('Primary_snapshot'!$I$2:$I$72,MATCH(C43,'Primary_snapshot'!$A$2:$A$72,0))),"SNAPSHOT MISSING"))</x:f>
      </x:c>
      <x:c r="S43" s="3" t="str">
        <x:f>IF(INDEX('C_jama.2019.14901'!$D$2:$D$7,MATCH("2019::jama.2019.14901::C002",'C_jama.2019.14901'!$A$2:$A$7,0))="","",INDEX('C_jama.2019.14901'!$D$2:$D$7,MATCH("2019::jama.2019.14901::C002",'C_jama.2019.14901'!$A$2:$A$7,0)))</x:f>
      </x:c>
      <x:c r="T43" s="3" t="str">
        <x:f>IF(INDEX('C_jama.2019.14901'!$E$2:$E$7,MATCH("2019::jama.2019.14901::C002",'C_jama.2019.14901'!$A$2:$A$7,0))="","",INDEX('C_jama.2019.14901'!$E$2:$E$7,MATCH("2019::jama.2019.14901::C002",'C_jama.2019.14901'!$A$2:$A$7,0)))</x:f>
        <x:v>protocol_report</x:v>
      </x:c>
      <x:c r="U43" s="3" t="str">
        <x:f>IF(AND(INDEX('C_jama.2019.14901'!$D$2:$D$7,MATCH("2019::jama.2019.14901::C002",'C_jama.2019.14901'!$A$2:$A$7,0))="retain",INDEX('C_jama.2019.14901'!$E$2:$E$7,MATCH("2019::jama.2019.14901::C002",'C_jama.2019.14901'!$A$2:$A$7,0))="statistical_results"),IF(INDEX('C_jama.2019.14901'!$H$2:$H$7,MATCH("2019::jama.2019.14901::C002",'C_jama.2019.14901'!$A$2:$A$7,0))="","",INDEX('C_jama.2019.14901'!$H$2:$H$7,MATCH("2019::jama.2019.14901::C002",'C_jama.2019.14901'!$A$2:$A$7,0))),"not_applicable")</x:f>
        <x:v>not_applicable</x:v>
      </x:c>
      <x:c r="V43" s="3" t="str">
        <x:f>IF(AND(INDEX('C_jama.2019.14901'!$D$2:$D$7,MATCH("2019::jama.2019.14901::C002",'C_jama.2019.14901'!$A$2:$A$7,0))="retain",INDEX('C_jama.2019.14901'!$E$2:$E$7,MATCH("2019::jama.2019.14901::C002",'C_jama.2019.14901'!$A$2:$A$7,0))="statistical_results"),IF(INDEX('C_jama.2019.14901'!$I$2:$I$7,MATCH("2019::jama.2019.14901::C002",'C_jama.2019.14901'!$A$2:$A$7,0))="","",INDEX('C_jama.2019.14901'!$I$2:$I$7,MATCH("2019::jama.2019.14901::C002",'C_jama.2019.14901'!$A$2:$A$7,0))),"not_applicable")</x:f>
        <x:v>not_applicable</x:v>
      </x:c>
      <x:c r="W43" s="3" t="str">
        <x:f>IF(AND(INDEX('C_jama.2019.14901'!$D$2:$D$7,MATCH("2019::jama.2019.14901::C002",'C_jama.2019.14901'!$A$2:$A$7,0))="retain",INDEX('C_jama.2019.14901'!$E$2:$E$7,MATCH("2019::jama.2019.14901::C002",'C_jama.2019.14901'!$A$2:$A$7,0))="statistical_results"),IF(INDEX('C_jama.2019.14901'!$J$2:$J$7,MATCH("2019::jama.2019.14901::C002",'C_jama.2019.14901'!$A$2:$A$7,0))="","",INDEX('C_jama.2019.14901'!$J$2:$J$7,MATCH("2019::jama.2019.14901::C002",'C_jama.2019.14901'!$A$2:$A$7,0))),"not_applicable")</x:f>
        <x:v>not_applicable</x:v>
      </x:c>
      <x:c r="X43" s="3" t="str">
        <x:f>IF(AND(INDEX('C_jama.2019.14901'!$D$2:$D$7,MATCH("2019::jama.2019.14901::C002",'C_jama.2019.14901'!$A$2:$A$7,0))="retain",OR(INDEX('C_jama.2019.14901'!$E$2:$E$7,MATCH("2019::jama.2019.14901::C002",'C_jama.2019.14901'!$A$2:$A$7,0))="report_internal_inconsistency",INDEX('C_jama.2019.14901'!$E$2:$E$7,MATCH("2019::jama.2019.14901::C002",'C_jama.2019.14901'!$A$2:$A$7,0))="plan_material")),IF(INDEX('C_jama.2019.14901'!$K$2:$K$7,MATCH("2019::jama.2019.14901::C002",'C_jama.2019.14901'!$A$2:$A$7,0))="","",INDEX('C_jama.2019.14901'!$K$2:$K$7,MATCH("2019::jama.2019.14901::C002",'C_jama.2019.14901'!$A$2:$A$7,0))),"not_applicable")</x:f>
        <x:v>not_applicable</x:v>
      </x:c>
      <x:c r="Y43" s="3" t="str">
        <x:f>IF(AND(INDEX('C_jama.2019.14901'!$D$2:$D$7,MATCH("2019::jama.2019.14901::C002",'C_jama.2019.14901'!$A$2:$A$7,0))="retain",INDEX('C_jama.2019.14901'!$E$2:$E$7,MATCH("2019::jama.2019.14901::C002",'C_jama.2019.14901'!$A$2:$A$7,0))="protocol_report"),IF(INDEX('C_jama.2019.14901'!$L$2:$L$7,MATCH("2019::jama.2019.14901::C002",'C_jama.2019.14901'!$A$2:$A$7,0))="","",INDEX('C_jama.2019.14901'!$L$2:$L$7,MATCH("2019::jama.2019.14901::C002",'C_jama.2019.14901'!$A$2:$A$7,0))),"not_applicable")</x:f>
        <x:v>not_applicable</x:v>
      </x:c>
      <x:c r="Z43" s="3" t="str">
        <x:f>IF(INDEX('C_jama.2019.14901'!$R$2:$R$7,MATCH("2019::jama.2019.14901::C002",'C_jama.2019.14901'!$A$2:$A$7,0))="","",INDEX('C_jama.2019.14901'!$R$2:$R$7,MATCH("2019::jama.2019.14901::C002",'C_jama.2019.14901'!$A$2:$A$7,0)))</x:f>
      </x:c>
      <x:c r="AA43" s="3" t="str">
        <x:f>IF(INDEX('C_jama.2019.14901'!$N$2:$N$7,MATCH("2019::jama.2019.14901::C002",'C_jama.2019.14901'!$A$2:$A$7,0))="","",INDEX('C_jama.2019.14901'!$N$2:$N$7,MATCH("2019::jama.2019.14901::C002",'C_jama.2019.14901'!$A$2:$A$7,0)))</x:f>
      </x:c>
      <x:c r="AB43" s="3" t="str">
        <x:f>IF(INDEX('C_jama.2019.14901'!$O$2:$O$7,MATCH("2019::jama.2019.14901::C002",'C_jama.2019.14901'!$A$2:$A$7,0))="","",INDEX('C_jama.2019.14901'!$O$2:$O$7,MATCH("2019::jama.2019.14901::C002",'C_jama.2019.14901'!$A$2:$A$7,0)))</x:f>
      </x:c>
      <x:c r="AC43" s="3" t="str">
        <x:f>IF(INDEX('C_jama.2019.14901'!$P$2:$P$7,MATCH("2019::jama.2019.14901::C002",'C_jama.2019.14901'!$A$2:$A$7,0))="","",INDEX('C_jama.2019.14901'!$P$2:$P$7,MATCH("2019::jama.2019.14901::C002",'C_jama.2019.14901'!$A$2:$A$7,0)))</x:f>
      </x:c>
      <x:c r="AD43" s="3" t="str">
        <x:f>IF(INDEX('C_jama.2019.14901'!$Q$2:$Q$7,MATCH("2019::jama.2019.14901::C002",'C_jama.2019.14901'!$A$2:$A$7,0))="","",INDEX('C_jama.2019.14901'!$Q$2:$Q$7,MATCH("2019::jama.2019.14901::C002",'C_jama.2019.14901'!$A$2:$A$7,0)))</x:f>
      </x:c>
    </x:row>
    <x:row r="44" ht="65" customHeight="1">
      <x:c r="A44" s="6" t="n">
        <x:v>2019</x:v>
      </x:c>
      <x:c r="B44" s="6" t="str">
        <x:v>jama.2019.14901</x:v>
      </x:c>
      <x:c r="C44" s="6" t="str">
        <x:v>2019::jama.2019.14901::C003</x:v>
      </x:c>
      <x:c r="D44" s="6" t="str">
        <x:v>S_W</x:v>
      </x:c>
      <x:c r="E44" s="6" t="n">
        <x:f>Setup!$B$2</x:f>
        <x:v>0</x:v>
      </x:c>
      <x:c r="F44" s="6" t="str">
        <x:f>IF(Setup!$B$4="","",Setup!$B$4)</x:f>
      </x:c>
      <x:c r="G44" s="6" t="str">
        <x:f>IFERROR(INDEX('C_jama.2019.14901'!$G$2:$G$7,MATCH("2019::jama.2019.14901::C003",'C_jama.2019.14901'!$A$2:$A$7,0)),"CHECK KEY")</x:f>
        <x:v>CHECK REVIEWER IDs</x:v>
      </x:c>
      <x:c r="H44" s="6" t="str">
        <x:f>IF(G44&lt;&gt;"FINAL READY","",IF(S44&lt;&gt;"retain","not_eligible",IF(D44="P_R","protocol_descriptive",IF(D44="P_P","plan_descriptive",IF(AND(T44="statistical_results",OR(U44="confirmed_issue",U44="probable_issue"),V44="substantive"),"primary_temporal",IF(AND(T44="report_internal_inconsistency",X44="substantive_inconsistency"),"secondary_temporal","not_eligible"))))))</x:f>
      </x:c>
      <x:c r="I44" s="6" t="str">
        <x:v>retain</x:v>
      </x:c>
      <x:c r="J44" s="6" t="str">
        <x:v>statistical_results</x:v>
      </x:c>
      <x:c r="K44" s="6" t="str">
        <x:f>IF(Setup!$B$6="primary","",IFERROR(IF(INDEX('Primary_snapshot'!$B$2:$B$72,MATCH(C44,'Primary_snapshot'!$A$2:$A$72,0))="","",INDEX('Primary_snapshot'!$B$2:$B$72,MATCH(C44,'Primary_snapshot'!$A$2:$A$72,0))),"SNAPSHOT MISSING"))</x:f>
      </x:c>
      <x:c r="L44" s="6" t="str">
        <x:f>IF(Setup!$B$6="primary","",IFERROR(IF(INDEX('Primary_snapshot'!$C$2:$C$72,MATCH(C44,'Primary_snapshot'!$A$2:$A$72,0))="","",INDEX('Primary_snapshot'!$C$2:$C$72,MATCH(C44,'Primary_snapshot'!$A$2:$A$72,0))),"SNAPSHOT MISSING"))</x:f>
      </x:c>
      <x:c r="M44" s="6" t="str">
        <x:f>IF(Setup!$B$6="primary","",IFERROR(IF(INDEX('Primary_snapshot'!$D$2:$D$72,MATCH(C44,'Primary_snapshot'!$A$2:$A$72,0))="","",INDEX('Primary_snapshot'!$D$2:$D$72,MATCH(C44,'Primary_snapshot'!$A$2:$A$72,0))),"SNAPSHOT MISSING"))</x:f>
      </x:c>
      <x:c r="N44" s="6" t="str">
        <x:f>IF(Setup!$B$6="primary","",IFERROR(IF(INDEX('Primary_snapshot'!$E$2:$E$72,MATCH(C44,'Primary_snapshot'!$A$2:$A$72,0))="","",INDEX('Primary_snapshot'!$E$2:$E$72,MATCH(C44,'Primary_snapshot'!$A$2:$A$72,0))),"SNAPSHOT MISSING"))</x:f>
      </x:c>
      <x:c r="O44" s="6" t="str">
        <x:f>IF(Setup!$B$6="primary","",IFERROR(IF(INDEX('Primary_snapshot'!$F$2:$F$72,MATCH(C44,'Primary_snapshot'!$A$2:$A$72,0))="","",INDEX('Primary_snapshot'!$F$2:$F$72,MATCH(C44,'Primary_snapshot'!$A$2:$A$72,0))),"SNAPSHOT MISSING"))</x:f>
      </x:c>
      <x:c r="P44" s="6" t="str">
        <x:f>IF(Setup!$B$6="primary","",IFERROR(IF(INDEX('Primary_snapshot'!$G$2:$G$72,MATCH(C44,'Primary_snapshot'!$A$2:$A$72,0))="","",INDEX('Primary_snapshot'!$G$2:$G$72,MATCH(C44,'Primary_snapshot'!$A$2:$A$72,0))),"SNAPSHOT MISSING"))</x:f>
      </x:c>
      <x:c r="Q44" s="6" t="str">
        <x:f>IF(Setup!$B$6="primary","",IFERROR(IF(INDEX('Primary_snapshot'!$H$2:$H$72,MATCH(C44,'Primary_snapshot'!$A$2:$A$72,0))="","",INDEX('Primary_snapshot'!$H$2:$H$72,MATCH(C44,'Primary_snapshot'!$A$2:$A$72,0))),"SNAPSHOT MISSING"))</x:f>
      </x:c>
      <x:c r="R44" s="6" t="str">
        <x:f>IF(Setup!$B$6="primary","",IFERROR(IF(INDEX('Primary_snapshot'!$I$2:$I$72,MATCH(C44,'Primary_snapshot'!$A$2:$A$72,0))="","",INDEX('Primary_snapshot'!$I$2:$I$72,MATCH(C44,'Primary_snapshot'!$A$2:$A$72,0))),"SNAPSHOT MISSING"))</x:f>
      </x:c>
      <x:c r="S44" s="6" t="str">
        <x:f>IF(INDEX('C_jama.2019.14901'!$D$2:$D$7,MATCH("2019::jama.2019.14901::C003",'C_jama.2019.14901'!$A$2:$A$7,0))="","",INDEX('C_jama.2019.14901'!$D$2:$D$7,MATCH("2019::jama.2019.14901::C003",'C_jama.2019.14901'!$A$2:$A$7,0)))</x:f>
      </x:c>
      <x:c r="T44" s="6" t="str">
        <x:f>IF(INDEX('C_jama.2019.14901'!$E$2:$E$7,MATCH("2019::jama.2019.14901::C003",'C_jama.2019.14901'!$A$2:$A$7,0))="","",INDEX('C_jama.2019.14901'!$E$2:$E$7,MATCH("2019::jama.2019.14901::C003",'C_jama.2019.14901'!$A$2:$A$7,0)))</x:f>
        <x:v>statistical_results</x:v>
      </x:c>
      <x:c r="U44" s="6" t="str">
        <x:f>IF(AND(INDEX('C_jama.2019.14901'!$D$2:$D$7,MATCH("2019::jama.2019.14901::C003",'C_jama.2019.14901'!$A$2:$A$7,0))="retain",INDEX('C_jama.2019.14901'!$E$2:$E$7,MATCH("2019::jama.2019.14901::C003",'C_jama.2019.14901'!$A$2:$A$7,0))="statistical_results"),IF(INDEX('C_jama.2019.14901'!$H$2:$H$7,MATCH("2019::jama.2019.14901::C003",'C_jama.2019.14901'!$A$2:$A$7,0))="","",INDEX('C_jama.2019.14901'!$H$2:$H$7,MATCH("2019::jama.2019.14901::C003",'C_jama.2019.14901'!$A$2:$A$7,0))),"not_applicable")</x:f>
        <x:v>not_applicable</x:v>
      </x:c>
      <x:c r="V44" s="6" t="str">
        <x:f>IF(AND(INDEX('C_jama.2019.14901'!$D$2:$D$7,MATCH("2019::jama.2019.14901::C003",'C_jama.2019.14901'!$A$2:$A$7,0))="retain",INDEX('C_jama.2019.14901'!$E$2:$E$7,MATCH("2019::jama.2019.14901::C003",'C_jama.2019.14901'!$A$2:$A$7,0))="statistical_results"),IF(INDEX('C_jama.2019.14901'!$I$2:$I$7,MATCH("2019::jama.2019.14901::C003",'C_jama.2019.14901'!$A$2:$A$7,0))="","",INDEX('C_jama.2019.14901'!$I$2:$I$7,MATCH("2019::jama.2019.14901::C003",'C_jama.2019.14901'!$A$2:$A$7,0))),"not_applicable")</x:f>
        <x:v>not_applicable</x:v>
      </x:c>
      <x:c r="W44" s="6" t="str">
        <x:f>IF(AND(INDEX('C_jama.2019.14901'!$D$2:$D$7,MATCH("2019::jama.2019.14901::C003",'C_jama.2019.14901'!$A$2:$A$7,0))="retain",INDEX('C_jama.2019.14901'!$E$2:$E$7,MATCH("2019::jama.2019.14901::C003",'C_jama.2019.14901'!$A$2:$A$7,0))="statistical_results"),IF(INDEX('C_jama.2019.14901'!$J$2:$J$7,MATCH("2019::jama.2019.14901::C003",'C_jama.2019.14901'!$A$2:$A$7,0))="","",INDEX('C_jama.2019.14901'!$J$2:$J$7,MATCH("2019::jama.2019.14901::C003",'C_jama.2019.14901'!$A$2:$A$7,0))),"not_applicable")</x:f>
        <x:v>not_applicable</x:v>
      </x:c>
      <x:c r="X44" s="6" t="str">
        <x:f>IF(AND(INDEX('C_jama.2019.14901'!$D$2:$D$7,MATCH("2019::jama.2019.14901::C003",'C_jama.2019.14901'!$A$2:$A$7,0))="retain",OR(INDEX('C_jama.2019.14901'!$E$2:$E$7,MATCH("2019::jama.2019.14901::C003",'C_jama.2019.14901'!$A$2:$A$7,0))="report_internal_inconsistency",INDEX('C_jama.2019.14901'!$E$2:$E$7,MATCH("2019::jama.2019.14901::C003",'C_jama.2019.14901'!$A$2:$A$7,0))="plan_material")),IF(INDEX('C_jama.2019.14901'!$K$2:$K$7,MATCH("2019::jama.2019.14901::C003",'C_jama.2019.14901'!$A$2:$A$7,0))="","",INDEX('C_jama.2019.14901'!$K$2:$K$7,MATCH("2019::jama.2019.14901::C003",'C_jama.2019.14901'!$A$2:$A$7,0))),"not_applicable")</x:f>
        <x:v>not_applicable</x:v>
      </x:c>
      <x:c r="Y44" s="6" t="str">
        <x:f>IF(AND(INDEX('C_jama.2019.14901'!$D$2:$D$7,MATCH("2019::jama.2019.14901::C003",'C_jama.2019.14901'!$A$2:$A$7,0))="retain",INDEX('C_jama.2019.14901'!$E$2:$E$7,MATCH("2019::jama.2019.14901::C003",'C_jama.2019.14901'!$A$2:$A$7,0))="protocol_report"),IF(INDEX('C_jama.2019.14901'!$L$2:$L$7,MATCH("2019::jama.2019.14901::C003",'C_jama.2019.14901'!$A$2:$A$7,0))="","",INDEX('C_jama.2019.14901'!$L$2:$L$7,MATCH("2019::jama.2019.14901::C003",'C_jama.2019.14901'!$A$2:$A$7,0))),"not_applicable")</x:f>
        <x:v>not_applicable</x:v>
      </x:c>
      <x:c r="Z44" s="6" t="str">
        <x:f>IF(INDEX('C_jama.2019.14901'!$R$2:$R$7,MATCH("2019::jama.2019.14901::C003",'C_jama.2019.14901'!$A$2:$A$7,0))="","",INDEX('C_jama.2019.14901'!$R$2:$R$7,MATCH("2019::jama.2019.14901::C003",'C_jama.2019.14901'!$A$2:$A$7,0)))</x:f>
      </x:c>
      <x:c r="AA44" s="6" t="str">
        <x:f>IF(INDEX('C_jama.2019.14901'!$N$2:$N$7,MATCH("2019::jama.2019.14901::C003",'C_jama.2019.14901'!$A$2:$A$7,0))="","",INDEX('C_jama.2019.14901'!$N$2:$N$7,MATCH("2019::jama.2019.14901::C003",'C_jama.2019.14901'!$A$2:$A$7,0)))</x:f>
      </x:c>
      <x:c r="AB44" s="6" t="str">
        <x:f>IF(INDEX('C_jama.2019.14901'!$O$2:$O$7,MATCH("2019::jama.2019.14901::C003",'C_jama.2019.14901'!$A$2:$A$7,0))="","",INDEX('C_jama.2019.14901'!$O$2:$O$7,MATCH("2019::jama.2019.14901::C003",'C_jama.2019.14901'!$A$2:$A$7,0)))</x:f>
      </x:c>
      <x:c r="AC44" s="6" t="str">
        <x:f>IF(INDEX('C_jama.2019.14901'!$P$2:$P$7,MATCH("2019::jama.2019.14901::C003",'C_jama.2019.14901'!$A$2:$A$7,0))="","",INDEX('C_jama.2019.14901'!$P$2:$P$7,MATCH("2019::jama.2019.14901::C003",'C_jama.2019.14901'!$A$2:$A$7,0)))</x:f>
      </x:c>
      <x:c r="AD44" s="6" t="str">
        <x:f>IF(INDEX('C_jama.2019.14901'!$Q$2:$Q$7,MATCH("2019::jama.2019.14901::C003",'C_jama.2019.14901'!$A$2:$A$7,0))="","",INDEX('C_jama.2019.14901'!$Q$2:$Q$7,MATCH("2019::jama.2019.14901::C003",'C_jama.2019.14901'!$A$2:$A$7,0)))</x:f>
      </x:c>
    </x:row>
    <x:row r="45" ht="65" customHeight="1">
      <x:c r="A45" s="3" t="n">
        <x:v>2019</x:v>
      </x:c>
      <x:c r="B45" s="3" t="str">
        <x:v>jama.2019.14901</x:v>
      </x:c>
      <x:c r="C45" s="3" t="str">
        <x:v>2019::jama.2019.14901::C004</x:v>
      </x:c>
      <x:c r="D45" s="3" t="str">
        <x:v>S_W</x:v>
      </x:c>
      <x:c r="E45" s="3" t="n">
        <x:f>Setup!$B$2</x:f>
        <x:v>0</x:v>
      </x:c>
      <x:c r="F45" s="3" t="str">
        <x:f>IF(Setup!$B$4="","",Setup!$B$4)</x:f>
      </x:c>
      <x:c r="G45" s="3" t="str">
        <x:f>IFERROR(INDEX('C_jama.2019.14901'!$G$2:$G$7,MATCH("2019::jama.2019.14901::C004",'C_jama.2019.14901'!$A$2:$A$7,0)),"CHECK KEY")</x:f>
        <x:v>CHECK REVIEWER IDs</x:v>
      </x:c>
      <x:c r="H45" s="3" t="str">
        <x:f>IF(G45&lt;&gt;"FINAL READY","",IF(S45&lt;&gt;"retain","not_eligible",IF(D45="P_R","protocol_descriptive",IF(D45="P_P","plan_descriptive",IF(AND(T45="statistical_results",OR(U45="confirmed_issue",U45="probable_issue"),V45="substantive"),"primary_temporal",IF(AND(T45="report_internal_inconsistency",X45="substantive_inconsistency"),"secondary_temporal","not_eligible"))))))</x:f>
      </x:c>
      <x:c r="I45" s="3" t="str">
        <x:v>retain</x:v>
      </x:c>
      <x:c r="J45" s="3" t="str">
        <x:v>statistical_results</x:v>
      </x:c>
      <x:c r="K45" s="3" t="str">
        <x:f>IF(Setup!$B$6="primary","",IFERROR(IF(INDEX('Primary_snapshot'!$B$2:$B$72,MATCH(C45,'Primary_snapshot'!$A$2:$A$72,0))="","",INDEX('Primary_snapshot'!$B$2:$B$72,MATCH(C45,'Primary_snapshot'!$A$2:$A$72,0))),"SNAPSHOT MISSING"))</x:f>
      </x:c>
      <x:c r="L45" s="3" t="str">
        <x:f>IF(Setup!$B$6="primary","",IFERROR(IF(INDEX('Primary_snapshot'!$C$2:$C$72,MATCH(C45,'Primary_snapshot'!$A$2:$A$72,0))="","",INDEX('Primary_snapshot'!$C$2:$C$72,MATCH(C45,'Primary_snapshot'!$A$2:$A$72,0))),"SNAPSHOT MISSING"))</x:f>
      </x:c>
      <x:c r="M45" s="3" t="str">
        <x:f>IF(Setup!$B$6="primary","",IFERROR(IF(INDEX('Primary_snapshot'!$D$2:$D$72,MATCH(C45,'Primary_snapshot'!$A$2:$A$72,0))="","",INDEX('Primary_snapshot'!$D$2:$D$72,MATCH(C45,'Primary_snapshot'!$A$2:$A$72,0))),"SNAPSHOT MISSING"))</x:f>
      </x:c>
      <x:c r="N45" s="3" t="str">
        <x:f>IF(Setup!$B$6="primary","",IFERROR(IF(INDEX('Primary_snapshot'!$E$2:$E$72,MATCH(C45,'Primary_snapshot'!$A$2:$A$72,0))="","",INDEX('Primary_snapshot'!$E$2:$E$72,MATCH(C45,'Primary_snapshot'!$A$2:$A$72,0))),"SNAPSHOT MISSING"))</x:f>
      </x:c>
      <x:c r="O45" s="3" t="str">
        <x:f>IF(Setup!$B$6="primary","",IFERROR(IF(INDEX('Primary_snapshot'!$F$2:$F$72,MATCH(C45,'Primary_snapshot'!$A$2:$A$72,0))="","",INDEX('Primary_snapshot'!$F$2:$F$72,MATCH(C45,'Primary_snapshot'!$A$2:$A$72,0))),"SNAPSHOT MISSING"))</x:f>
      </x:c>
      <x:c r="P45" s="3" t="str">
        <x:f>IF(Setup!$B$6="primary","",IFERROR(IF(INDEX('Primary_snapshot'!$G$2:$G$72,MATCH(C45,'Primary_snapshot'!$A$2:$A$72,0))="","",INDEX('Primary_snapshot'!$G$2:$G$72,MATCH(C45,'Primary_snapshot'!$A$2:$A$72,0))),"SNAPSHOT MISSING"))</x:f>
      </x:c>
      <x:c r="Q45" s="3" t="str">
        <x:f>IF(Setup!$B$6="primary","",IFERROR(IF(INDEX('Primary_snapshot'!$H$2:$H$72,MATCH(C45,'Primary_snapshot'!$A$2:$A$72,0))="","",INDEX('Primary_snapshot'!$H$2:$H$72,MATCH(C45,'Primary_snapshot'!$A$2:$A$72,0))),"SNAPSHOT MISSING"))</x:f>
      </x:c>
      <x:c r="R45" s="3" t="str">
        <x:f>IF(Setup!$B$6="primary","",IFERROR(IF(INDEX('Primary_snapshot'!$I$2:$I$72,MATCH(C45,'Primary_snapshot'!$A$2:$A$72,0))="","",INDEX('Primary_snapshot'!$I$2:$I$72,MATCH(C45,'Primary_snapshot'!$A$2:$A$72,0))),"SNAPSHOT MISSING"))</x:f>
      </x:c>
      <x:c r="S45" s="3" t="str">
        <x:f>IF(INDEX('C_jama.2019.14901'!$D$2:$D$7,MATCH("2019::jama.2019.14901::C004",'C_jama.2019.14901'!$A$2:$A$7,0))="","",INDEX('C_jama.2019.14901'!$D$2:$D$7,MATCH("2019::jama.2019.14901::C004",'C_jama.2019.14901'!$A$2:$A$7,0)))</x:f>
      </x:c>
      <x:c r="T45" s="3" t="str">
        <x:f>IF(INDEX('C_jama.2019.14901'!$E$2:$E$7,MATCH("2019::jama.2019.14901::C004",'C_jama.2019.14901'!$A$2:$A$7,0))="","",INDEX('C_jama.2019.14901'!$E$2:$E$7,MATCH("2019::jama.2019.14901::C004",'C_jama.2019.14901'!$A$2:$A$7,0)))</x:f>
        <x:v>statistical_results</x:v>
      </x:c>
      <x:c r="U45" s="3" t="str">
        <x:f>IF(AND(INDEX('C_jama.2019.14901'!$D$2:$D$7,MATCH("2019::jama.2019.14901::C004",'C_jama.2019.14901'!$A$2:$A$7,0))="retain",INDEX('C_jama.2019.14901'!$E$2:$E$7,MATCH("2019::jama.2019.14901::C004",'C_jama.2019.14901'!$A$2:$A$7,0))="statistical_results"),IF(INDEX('C_jama.2019.14901'!$H$2:$H$7,MATCH("2019::jama.2019.14901::C004",'C_jama.2019.14901'!$A$2:$A$7,0))="","",INDEX('C_jama.2019.14901'!$H$2:$H$7,MATCH("2019::jama.2019.14901::C004",'C_jama.2019.14901'!$A$2:$A$7,0))),"not_applicable")</x:f>
        <x:v>not_applicable</x:v>
      </x:c>
      <x:c r="V45" s="3" t="str">
        <x:f>IF(AND(INDEX('C_jama.2019.14901'!$D$2:$D$7,MATCH("2019::jama.2019.14901::C004",'C_jama.2019.14901'!$A$2:$A$7,0))="retain",INDEX('C_jama.2019.14901'!$E$2:$E$7,MATCH("2019::jama.2019.14901::C004",'C_jama.2019.14901'!$A$2:$A$7,0))="statistical_results"),IF(INDEX('C_jama.2019.14901'!$I$2:$I$7,MATCH("2019::jama.2019.14901::C004",'C_jama.2019.14901'!$A$2:$A$7,0))="","",INDEX('C_jama.2019.14901'!$I$2:$I$7,MATCH("2019::jama.2019.14901::C004",'C_jama.2019.14901'!$A$2:$A$7,0))),"not_applicable")</x:f>
        <x:v>not_applicable</x:v>
      </x:c>
      <x:c r="W45" s="3" t="str">
        <x:f>IF(AND(INDEX('C_jama.2019.14901'!$D$2:$D$7,MATCH("2019::jama.2019.14901::C004",'C_jama.2019.14901'!$A$2:$A$7,0))="retain",INDEX('C_jama.2019.14901'!$E$2:$E$7,MATCH("2019::jama.2019.14901::C004",'C_jama.2019.14901'!$A$2:$A$7,0))="statistical_results"),IF(INDEX('C_jama.2019.14901'!$J$2:$J$7,MATCH("2019::jama.2019.14901::C004",'C_jama.2019.14901'!$A$2:$A$7,0))="","",INDEX('C_jama.2019.14901'!$J$2:$J$7,MATCH("2019::jama.2019.14901::C004",'C_jama.2019.14901'!$A$2:$A$7,0))),"not_applicable")</x:f>
        <x:v>not_applicable</x:v>
      </x:c>
      <x:c r="X45" s="3" t="str">
        <x:f>IF(AND(INDEX('C_jama.2019.14901'!$D$2:$D$7,MATCH("2019::jama.2019.14901::C004",'C_jama.2019.14901'!$A$2:$A$7,0))="retain",OR(INDEX('C_jama.2019.14901'!$E$2:$E$7,MATCH("2019::jama.2019.14901::C004",'C_jama.2019.14901'!$A$2:$A$7,0))="report_internal_inconsistency",INDEX('C_jama.2019.14901'!$E$2:$E$7,MATCH("2019::jama.2019.14901::C004",'C_jama.2019.14901'!$A$2:$A$7,0))="plan_material")),IF(INDEX('C_jama.2019.14901'!$K$2:$K$7,MATCH("2019::jama.2019.14901::C004",'C_jama.2019.14901'!$A$2:$A$7,0))="","",INDEX('C_jama.2019.14901'!$K$2:$K$7,MATCH("2019::jama.2019.14901::C004",'C_jama.2019.14901'!$A$2:$A$7,0))),"not_applicable")</x:f>
        <x:v>not_applicable</x:v>
      </x:c>
      <x:c r="Y45" s="3" t="str">
        <x:f>IF(AND(INDEX('C_jama.2019.14901'!$D$2:$D$7,MATCH("2019::jama.2019.14901::C004",'C_jama.2019.14901'!$A$2:$A$7,0))="retain",INDEX('C_jama.2019.14901'!$E$2:$E$7,MATCH("2019::jama.2019.14901::C004",'C_jama.2019.14901'!$A$2:$A$7,0))="protocol_report"),IF(INDEX('C_jama.2019.14901'!$L$2:$L$7,MATCH("2019::jama.2019.14901::C004",'C_jama.2019.14901'!$A$2:$A$7,0))="","",INDEX('C_jama.2019.14901'!$L$2:$L$7,MATCH("2019::jama.2019.14901::C004",'C_jama.2019.14901'!$A$2:$A$7,0))),"not_applicable")</x:f>
        <x:v>not_applicable</x:v>
      </x:c>
      <x:c r="Z45" s="3" t="str">
        <x:f>IF(INDEX('C_jama.2019.14901'!$R$2:$R$7,MATCH("2019::jama.2019.14901::C004",'C_jama.2019.14901'!$A$2:$A$7,0))="","",INDEX('C_jama.2019.14901'!$R$2:$R$7,MATCH("2019::jama.2019.14901::C004",'C_jama.2019.14901'!$A$2:$A$7,0)))</x:f>
      </x:c>
      <x:c r="AA45" s="3" t="str">
        <x:f>IF(INDEX('C_jama.2019.14901'!$N$2:$N$7,MATCH("2019::jama.2019.14901::C004",'C_jama.2019.14901'!$A$2:$A$7,0))="","",INDEX('C_jama.2019.14901'!$N$2:$N$7,MATCH("2019::jama.2019.14901::C004",'C_jama.2019.14901'!$A$2:$A$7,0)))</x:f>
      </x:c>
      <x:c r="AB45" s="3" t="str">
        <x:f>IF(INDEX('C_jama.2019.14901'!$O$2:$O$7,MATCH("2019::jama.2019.14901::C004",'C_jama.2019.14901'!$A$2:$A$7,0))="","",INDEX('C_jama.2019.14901'!$O$2:$O$7,MATCH("2019::jama.2019.14901::C004",'C_jama.2019.14901'!$A$2:$A$7,0)))</x:f>
      </x:c>
      <x:c r="AC45" s="3" t="str">
        <x:f>IF(INDEX('C_jama.2019.14901'!$P$2:$P$7,MATCH("2019::jama.2019.14901::C004",'C_jama.2019.14901'!$A$2:$A$7,0))="","",INDEX('C_jama.2019.14901'!$P$2:$P$7,MATCH("2019::jama.2019.14901::C004",'C_jama.2019.14901'!$A$2:$A$7,0)))</x:f>
      </x:c>
      <x:c r="AD45" s="3" t="str">
        <x:f>IF(INDEX('C_jama.2019.14901'!$Q$2:$Q$7,MATCH("2019::jama.2019.14901::C004",'C_jama.2019.14901'!$A$2:$A$7,0))="","",INDEX('C_jama.2019.14901'!$Q$2:$Q$7,MATCH("2019::jama.2019.14901::C004",'C_jama.2019.14901'!$A$2:$A$7,0)))</x:f>
      </x:c>
    </x:row>
    <x:row r="46" ht="65" customHeight="1">
      <x:c r="A46" s="6" t="n">
        <x:v>2019</x:v>
      </x:c>
      <x:c r="B46" s="6" t="str">
        <x:v>jama.2019.14901</x:v>
      </x:c>
      <x:c r="C46" s="6" t="str">
        <x:v>2019::jama.2019.14901::C005</x:v>
      </x:c>
      <x:c r="D46" s="6" t="str">
        <x:v>S_C</x:v>
      </x:c>
      <x:c r="E46" s="6" t="n">
        <x:f>Setup!$B$2</x:f>
        <x:v>0</x:v>
      </x:c>
      <x:c r="F46" s="6" t="str">
        <x:f>IF(Setup!$B$4="","",Setup!$B$4)</x:f>
      </x:c>
      <x:c r="G46" s="6" t="str">
        <x:f>IFERROR(INDEX('C_jama.2019.14901'!$G$2:$G$7,MATCH("2019::jama.2019.14901::C005",'C_jama.2019.14901'!$A$2:$A$7,0)),"CHECK KEY")</x:f>
        <x:v>CHECK REVIEWER IDs</x:v>
      </x:c>
      <x:c r="H46" s="6" t="str">
        <x:f>IF(G46&lt;&gt;"FINAL READY","",IF(S46&lt;&gt;"retain","not_eligible",IF(D46="P_R","protocol_descriptive",IF(D46="P_P","plan_descriptive",IF(AND(T46="statistical_results",OR(U46="confirmed_issue",U46="probable_issue"),V46="substantive"),"primary_temporal",IF(AND(T46="report_internal_inconsistency",X46="substantive_inconsistency"),"secondary_temporal","not_eligible"))))))</x:f>
      </x:c>
      <x:c r="I46" s="6" t="str">
        <x:v>retain</x:v>
      </x:c>
      <x:c r="J46" s="6" t="str">
        <x:v>report_internal_inconsistency</x:v>
      </x:c>
      <x:c r="K46" s="6" t="str">
        <x:f>IF(Setup!$B$6="primary","",IFERROR(IF(INDEX('Primary_snapshot'!$B$2:$B$72,MATCH(C46,'Primary_snapshot'!$A$2:$A$72,0))="","",INDEX('Primary_snapshot'!$B$2:$B$72,MATCH(C46,'Primary_snapshot'!$A$2:$A$72,0))),"SNAPSHOT MISSING"))</x:f>
      </x:c>
      <x:c r="L46" s="6" t="str">
        <x:f>IF(Setup!$B$6="primary","",IFERROR(IF(INDEX('Primary_snapshot'!$C$2:$C$72,MATCH(C46,'Primary_snapshot'!$A$2:$A$72,0))="","",INDEX('Primary_snapshot'!$C$2:$C$72,MATCH(C46,'Primary_snapshot'!$A$2:$A$72,0))),"SNAPSHOT MISSING"))</x:f>
      </x:c>
      <x:c r="M46" s="6" t="str">
        <x:f>IF(Setup!$B$6="primary","",IFERROR(IF(INDEX('Primary_snapshot'!$D$2:$D$72,MATCH(C46,'Primary_snapshot'!$A$2:$A$72,0))="","",INDEX('Primary_snapshot'!$D$2:$D$72,MATCH(C46,'Primary_snapshot'!$A$2:$A$72,0))),"SNAPSHOT MISSING"))</x:f>
      </x:c>
      <x:c r="N46" s="6" t="str">
        <x:f>IF(Setup!$B$6="primary","",IFERROR(IF(INDEX('Primary_snapshot'!$E$2:$E$72,MATCH(C46,'Primary_snapshot'!$A$2:$A$72,0))="","",INDEX('Primary_snapshot'!$E$2:$E$72,MATCH(C46,'Primary_snapshot'!$A$2:$A$72,0))),"SNAPSHOT MISSING"))</x:f>
      </x:c>
      <x:c r="O46" s="6" t="str">
        <x:f>IF(Setup!$B$6="primary","",IFERROR(IF(INDEX('Primary_snapshot'!$F$2:$F$72,MATCH(C46,'Primary_snapshot'!$A$2:$A$72,0))="","",INDEX('Primary_snapshot'!$F$2:$F$72,MATCH(C46,'Primary_snapshot'!$A$2:$A$72,0))),"SNAPSHOT MISSING"))</x:f>
      </x:c>
      <x:c r="P46" s="6" t="str">
        <x:f>IF(Setup!$B$6="primary","",IFERROR(IF(INDEX('Primary_snapshot'!$G$2:$G$72,MATCH(C46,'Primary_snapshot'!$A$2:$A$72,0))="","",INDEX('Primary_snapshot'!$G$2:$G$72,MATCH(C46,'Primary_snapshot'!$A$2:$A$72,0))),"SNAPSHOT MISSING"))</x:f>
      </x:c>
      <x:c r="Q46" s="6" t="str">
        <x:f>IF(Setup!$B$6="primary","",IFERROR(IF(INDEX('Primary_snapshot'!$H$2:$H$72,MATCH(C46,'Primary_snapshot'!$A$2:$A$72,0))="","",INDEX('Primary_snapshot'!$H$2:$H$72,MATCH(C46,'Primary_snapshot'!$A$2:$A$72,0))),"SNAPSHOT MISSING"))</x:f>
      </x:c>
      <x:c r="R46" s="6" t="str">
        <x:f>IF(Setup!$B$6="primary","",IFERROR(IF(INDEX('Primary_snapshot'!$I$2:$I$72,MATCH(C46,'Primary_snapshot'!$A$2:$A$72,0))="","",INDEX('Primary_snapshot'!$I$2:$I$72,MATCH(C46,'Primary_snapshot'!$A$2:$A$72,0))),"SNAPSHOT MISSING"))</x:f>
      </x:c>
      <x:c r="S46" s="6" t="str">
        <x:f>IF(INDEX('C_jama.2019.14901'!$D$2:$D$7,MATCH("2019::jama.2019.14901::C005",'C_jama.2019.14901'!$A$2:$A$7,0))="","",INDEX('C_jama.2019.14901'!$D$2:$D$7,MATCH("2019::jama.2019.14901::C005",'C_jama.2019.14901'!$A$2:$A$7,0)))</x:f>
      </x:c>
      <x:c r="T46" s="6" t="str">
        <x:f>IF(INDEX('C_jama.2019.14901'!$E$2:$E$7,MATCH("2019::jama.2019.14901::C005",'C_jama.2019.14901'!$A$2:$A$7,0))="","",INDEX('C_jama.2019.14901'!$E$2:$E$7,MATCH("2019::jama.2019.14901::C005",'C_jama.2019.14901'!$A$2:$A$7,0)))</x:f>
        <x:v>report_internal_inconsistency</x:v>
      </x:c>
      <x:c r="U46" s="6" t="str">
        <x:f>IF(AND(INDEX('C_jama.2019.14901'!$D$2:$D$7,MATCH("2019::jama.2019.14901::C005",'C_jama.2019.14901'!$A$2:$A$7,0))="retain",INDEX('C_jama.2019.14901'!$E$2:$E$7,MATCH("2019::jama.2019.14901::C005",'C_jama.2019.14901'!$A$2:$A$7,0))="statistical_results"),IF(INDEX('C_jama.2019.14901'!$H$2:$H$7,MATCH("2019::jama.2019.14901::C005",'C_jama.2019.14901'!$A$2:$A$7,0))="","",INDEX('C_jama.2019.14901'!$H$2:$H$7,MATCH("2019::jama.2019.14901::C005",'C_jama.2019.14901'!$A$2:$A$7,0))),"not_applicable")</x:f>
        <x:v>not_applicable</x:v>
      </x:c>
      <x:c r="V46" s="6" t="str">
        <x:f>IF(AND(INDEX('C_jama.2019.14901'!$D$2:$D$7,MATCH("2019::jama.2019.14901::C005",'C_jama.2019.14901'!$A$2:$A$7,0))="retain",INDEX('C_jama.2019.14901'!$E$2:$E$7,MATCH("2019::jama.2019.14901::C005",'C_jama.2019.14901'!$A$2:$A$7,0))="statistical_results"),IF(INDEX('C_jama.2019.14901'!$I$2:$I$7,MATCH("2019::jama.2019.14901::C005",'C_jama.2019.14901'!$A$2:$A$7,0))="","",INDEX('C_jama.2019.14901'!$I$2:$I$7,MATCH("2019::jama.2019.14901::C005",'C_jama.2019.14901'!$A$2:$A$7,0))),"not_applicable")</x:f>
        <x:v>not_applicable</x:v>
      </x:c>
      <x:c r="W46" s="6" t="str">
        <x:f>IF(AND(INDEX('C_jama.2019.14901'!$D$2:$D$7,MATCH("2019::jama.2019.14901::C005",'C_jama.2019.14901'!$A$2:$A$7,0))="retain",INDEX('C_jama.2019.14901'!$E$2:$E$7,MATCH("2019::jama.2019.14901::C005",'C_jama.2019.14901'!$A$2:$A$7,0))="statistical_results"),IF(INDEX('C_jama.2019.14901'!$J$2:$J$7,MATCH("2019::jama.2019.14901::C005",'C_jama.2019.14901'!$A$2:$A$7,0))="","",INDEX('C_jama.2019.14901'!$J$2:$J$7,MATCH("2019::jama.2019.14901::C005",'C_jama.2019.14901'!$A$2:$A$7,0))),"not_applicable")</x:f>
        <x:v>not_applicable</x:v>
      </x:c>
      <x:c r="X46" s="6" t="str">
        <x:f>IF(AND(INDEX('C_jama.2019.14901'!$D$2:$D$7,MATCH("2019::jama.2019.14901::C005",'C_jama.2019.14901'!$A$2:$A$7,0))="retain",OR(INDEX('C_jama.2019.14901'!$E$2:$E$7,MATCH("2019::jama.2019.14901::C005",'C_jama.2019.14901'!$A$2:$A$7,0))="report_internal_inconsistency",INDEX('C_jama.2019.14901'!$E$2:$E$7,MATCH("2019::jama.2019.14901::C005",'C_jama.2019.14901'!$A$2:$A$7,0))="plan_material")),IF(INDEX('C_jama.2019.14901'!$K$2:$K$7,MATCH("2019::jama.2019.14901::C005",'C_jama.2019.14901'!$A$2:$A$7,0))="","",INDEX('C_jama.2019.14901'!$K$2:$K$7,MATCH("2019::jama.2019.14901::C005",'C_jama.2019.14901'!$A$2:$A$7,0))),"not_applicable")</x:f>
        <x:v>not_applicable</x:v>
      </x:c>
      <x:c r="Y46" s="6" t="str">
        <x:f>IF(AND(INDEX('C_jama.2019.14901'!$D$2:$D$7,MATCH("2019::jama.2019.14901::C005",'C_jama.2019.14901'!$A$2:$A$7,0))="retain",INDEX('C_jama.2019.14901'!$E$2:$E$7,MATCH("2019::jama.2019.14901::C005",'C_jama.2019.14901'!$A$2:$A$7,0))="protocol_report"),IF(INDEX('C_jama.2019.14901'!$L$2:$L$7,MATCH("2019::jama.2019.14901::C005",'C_jama.2019.14901'!$A$2:$A$7,0))="","",INDEX('C_jama.2019.14901'!$L$2:$L$7,MATCH("2019::jama.2019.14901::C005",'C_jama.2019.14901'!$A$2:$A$7,0))),"not_applicable")</x:f>
        <x:v>not_applicable</x:v>
      </x:c>
      <x:c r="Z46" s="6" t="str">
        <x:f>IF(INDEX('C_jama.2019.14901'!$R$2:$R$7,MATCH("2019::jama.2019.14901::C005",'C_jama.2019.14901'!$A$2:$A$7,0))="","",INDEX('C_jama.2019.14901'!$R$2:$R$7,MATCH("2019::jama.2019.14901::C005",'C_jama.2019.14901'!$A$2:$A$7,0)))</x:f>
      </x:c>
      <x:c r="AA46" s="6" t="str">
        <x:f>IF(INDEX('C_jama.2019.14901'!$N$2:$N$7,MATCH("2019::jama.2019.14901::C005",'C_jama.2019.14901'!$A$2:$A$7,0))="","",INDEX('C_jama.2019.14901'!$N$2:$N$7,MATCH("2019::jama.2019.14901::C005",'C_jama.2019.14901'!$A$2:$A$7,0)))</x:f>
      </x:c>
      <x:c r="AB46" s="6" t="str">
        <x:f>IF(INDEX('C_jama.2019.14901'!$O$2:$O$7,MATCH("2019::jama.2019.14901::C005",'C_jama.2019.14901'!$A$2:$A$7,0))="","",INDEX('C_jama.2019.14901'!$O$2:$O$7,MATCH("2019::jama.2019.14901::C005",'C_jama.2019.14901'!$A$2:$A$7,0)))</x:f>
      </x:c>
      <x:c r="AC46" s="6" t="str">
        <x:f>IF(INDEX('C_jama.2019.14901'!$P$2:$P$7,MATCH("2019::jama.2019.14901::C005",'C_jama.2019.14901'!$A$2:$A$7,0))="","",INDEX('C_jama.2019.14901'!$P$2:$P$7,MATCH("2019::jama.2019.14901::C005",'C_jama.2019.14901'!$A$2:$A$7,0)))</x:f>
      </x:c>
      <x:c r="AD46" s="6" t="str">
        <x:f>IF(INDEX('C_jama.2019.14901'!$Q$2:$Q$7,MATCH("2019::jama.2019.14901::C005",'C_jama.2019.14901'!$A$2:$A$7,0))="","",INDEX('C_jama.2019.14901'!$Q$2:$Q$7,MATCH("2019::jama.2019.14901::C005",'C_jama.2019.14901'!$A$2:$A$7,0)))</x:f>
      </x:c>
    </x:row>
    <x:row r="47" ht="65" customHeight="1">
      <x:c r="A47" s="3" t="n">
        <x:v>2019</x:v>
      </x:c>
      <x:c r="B47" s="3" t="str">
        <x:v>jama.2019.14901</x:v>
      </x:c>
      <x:c r="C47" s="3" t="str">
        <x:v>2019::jama.2019.14901::C006</x:v>
      </x:c>
      <x:c r="D47" s="3" t="str">
        <x:v>P_P</x:v>
      </x:c>
      <x:c r="E47" s="3" t="n">
        <x:f>Setup!$B$2</x:f>
        <x:v>0</x:v>
      </x:c>
      <x:c r="F47" s="3" t="str">
        <x:f>IF(Setup!$B$4="","",Setup!$B$4)</x:f>
      </x:c>
      <x:c r="G47" s="3" t="str">
        <x:f>IFERROR(INDEX('C_jama.2019.14901'!$G$2:$G$7,MATCH("2019::jama.2019.14901::C006",'C_jama.2019.14901'!$A$2:$A$7,0)),"CHECK KEY")</x:f>
        <x:v>CHECK REVIEWER IDs</x:v>
      </x:c>
      <x:c r="H47" s="3" t="str">
        <x:f>IF(G47&lt;&gt;"FINAL READY","",IF(S47&lt;&gt;"retain","not_eligible",IF(D47="P_R","protocol_descriptive",IF(D47="P_P","plan_descriptive",IF(AND(T47="statistical_results",OR(U47="confirmed_issue",U47="probable_issue"),V47="substantive"),"primary_temporal",IF(AND(T47="report_internal_inconsistency",X47="substantive_inconsistency"),"secondary_temporal","not_eligible"))))))</x:f>
      </x:c>
      <x:c r="I47" s="3" t="str">
        <x:v>retain</x:v>
      </x:c>
      <x:c r="J47" s="3" t="str">
        <x:v>plan_material</x:v>
      </x:c>
      <x:c r="K47" s="3" t="str">
        <x:f>IF(Setup!$B$6="primary","",IFERROR(IF(INDEX('Primary_snapshot'!$B$2:$B$72,MATCH(C47,'Primary_snapshot'!$A$2:$A$72,0))="","",INDEX('Primary_snapshot'!$B$2:$B$72,MATCH(C47,'Primary_snapshot'!$A$2:$A$72,0))),"SNAPSHOT MISSING"))</x:f>
      </x:c>
      <x:c r="L47" s="3" t="str">
        <x:f>IF(Setup!$B$6="primary","",IFERROR(IF(INDEX('Primary_snapshot'!$C$2:$C$72,MATCH(C47,'Primary_snapshot'!$A$2:$A$72,0))="","",INDEX('Primary_snapshot'!$C$2:$C$72,MATCH(C47,'Primary_snapshot'!$A$2:$A$72,0))),"SNAPSHOT MISSING"))</x:f>
      </x:c>
      <x:c r="M47" s="3" t="str">
        <x:f>IF(Setup!$B$6="primary","",IFERROR(IF(INDEX('Primary_snapshot'!$D$2:$D$72,MATCH(C47,'Primary_snapshot'!$A$2:$A$72,0))="","",INDEX('Primary_snapshot'!$D$2:$D$72,MATCH(C47,'Primary_snapshot'!$A$2:$A$72,0))),"SNAPSHOT MISSING"))</x:f>
      </x:c>
      <x:c r="N47" s="3" t="str">
        <x:f>IF(Setup!$B$6="primary","",IFERROR(IF(INDEX('Primary_snapshot'!$E$2:$E$72,MATCH(C47,'Primary_snapshot'!$A$2:$A$72,0))="","",INDEX('Primary_snapshot'!$E$2:$E$72,MATCH(C47,'Primary_snapshot'!$A$2:$A$72,0))),"SNAPSHOT MISSING"))</x:f>
      </x:c>
      <x:c r="O47" s="3" t="str">
        <x:f>IF(Setup!$B$6="primary","",IFERROR(IF(INDEX('Primary_snapshot'!$F$2:$F$72,MATCH(C47,'Primary_snapshot'!$A$2:$A$72,0))="","",INDEX('Primary_snapshot'!$F$2:$F$72,MATCH(C47,'Primary_snapshot'!$A$2:$A$72,0))),"SNAPSHOT MISSING"))</x:f>
      </x:c>
      <x:c r="P47" s="3" t="str">
        <x:f>IF(Setup!$B$6="primary","",IFERROR(IF(INDEX('Primary_snapshot'!$G$2:$G$72,MATCH(C47,'Primary_snapshot'!$A$2:$A$72,0))="","",INDEX('Primary_snapshot'!$G$2:$G$72,MATCH(C47,'Primary_snapshot'!$A$2:$A$72,0))),"SNAPSHOT MISSING"))</x:f>
      </x:c>
      <x:c r="Q47" s="3" t="str">
        <x:f>IF(Setup!$B$6="primary","",IFERROR(IF(INDEX('Primary_snapshot'!$H$2:$H$72,MATCH(C47,'Primary_snapshot'!$A$2:$A$72,0))="","",INDEX('Primary_snapshot'!$H$2:$H$72,MATCH(C47,'Primary_snapshot'!$A$2:$A$72,0))),"SNAPSHOT MISSING"))</x:f>
      </x:c>
      <x:c r="R47" s="3" t="str">
        <x:f>IF(Setup!$B$6="primary","",IFERROR(IF(INDEX('Primary_snapshot'!$I$2:$I$72,MATCH(C47,'Primary_snapshot'!$A$2:$A$72,0))="","",INDEX('Primary_snapshot'!$I$2:$I$72,MATCH(C47,'Primary_snapshot'!$A$2:$A$72,0))),"SNAPSHOT MISSING"))</x:f>
      </x:c>
      <x:c r="S47" s="3" t="str">
        <x:f>IF(INDEX('C_jama.2019.14901'!$D$2:$D$7,MATCH("2019::jama.2019.14901::C006",'C_jama.2019.14901'!$A$2:$A$7,0))="","",INDEX('C_jama.2019.14901'!$D$2:$D$7,MATCH("2019::jama.2019.14901::C006",'C_jama.2019.14901'!$A$2:$A$7,0)))</x:f>
      </x:c>
      <x:c r="T47" s="3" t="str">
        <x:f>IF(INDEX('C_jama.2019.14901'!$E$2:$E$7,MATCH("2019::jama.2019.14901::C006",'C_jama.2019.14901'!$A$2:$A$7,0))="","",INDEX('C_jama.2019.14901'!$E$2:$E$7,MATCH("2019::jama.2019.14901::C006",'C_jama.2019.14901'!$A$2:$A$7,0)))</x:f>
        <x:v>plan_material</x:v>
      </x:c>
      <x:c r="U47" s="3" t="str">
        <x:f>IF(AND(INDEX('C_jama.2019.14901'!$D$2:$D$7,MATCH("2019::jama.2019.14901::C006",'C_jama.2019.14901'!$A$2:$A$7,0))="retain",INDEX('C_jama.2019.14901'!$E$2:$E$7,MATCH("2019::jama.2019.14901::C006",'C_jama.2019.14901'!$A$2:$A$7,0))="statistical_results"),IF(INDEX('C_jama.2019.14901'!$H$2:$H$7,MATCH("2019::jama.2019.14901::C006",'C_jama.2019.14901'!$A$2:$A$7,0))="","",INDEX('C_jama.2019.14901'!$H$2:$H$7,MATCH("2019::jama.2019.14901::C006",'C_jama.2019.14901'!$A$2:$A$7,0))),"not_applicable")</x:f>
        <x:v>not_applicable</x:v>
      </x:c>
      <x:c r="V47" s="3" t="str">
        <x:f>IF(AND(INDEX('C_jama.2019.14901'!$D$2:$D$7,MATCH("2019::jama.2019.14901::C006",'C_jama.2019.14901'!$A$2:$A$7,0))="retain",INDEX('C_jama.2019.14901'!$E$2:$E$7,MATCH("2019::jama.2019.14901::C006",'C_jama.2019.14901'!$A$2:$A$7,0))="statistical_results"),IF(INDEX('C_jama.2019.14901'!$I$2:$I$7,MATCH("2019::jama.2019.14901::C006",'C_jama.2019.14901'!$A$2:$A$7,0))="","",INDEX('C_jama.2019.14901'!$I$2:$I$7,MATCH("2019::jama.2019.14901::C006",'C_jama.2019.14901'!$A$2:$A$7,0))),"not_applicable")</x:f>
        <x:v>not_applicable</x:v>
      </x:c>
      <x:c r="W47" s="3" t="str">
        <x:f>IF(AND(INDEX('C_jama.2019.14901'!$D$2:$D$7,MATCH("2019::jama.2019.14901::C006",'C_jama.2019.14901'!$A$2:$A$7,0))="retain",INDEX('C_jama.2019.14901'!$E$2:$E$7,MATCH("2019::jama.2019.14901::C006",'C_jama.2019.14901'!$A$2:$A$7,0))="statistical_results"),IF(INDEX('C_jama.2019.14901'!$J$2:$J$7,MATCH("2019::jama.2019.14901::C006",'C_jama.2019.14901'!$A$2:$A$7,0))="","",INDEX('C_jama.2019.14901'!$J$2:$J$7,MATCH("2019::jama.2019.14901::C006",'C_jama.2019.14901'!$A$2:$A$7,0))),"not_applicable")</x:f>
        <x:v>not_applicable</x:v>
      </x:c>
      <x:c r="X47" s="3" t="str">
        <x:f>IF(AND(INDEX('C_jama.2019.14901'!$D$2:$D$7,MATCH("2019::jama.2019.14901::C006",'C_jama.2019.14901'!$A$2:$A$7,0))="retain",OR(INDEX('C_jama.2019.14901'!$E$2:$E$7,MATCH("2019::jama.2019.14901::C006",'C_jama.2019.14901'!$A$2:$A$7,0))="report_internal_inconsistency",INDEX('C_jama.2019.14901'!$E$2:$E$7,MATCH("2019::jama.2019.14901::C006",'C_jama.2019.14901'!$A$2:$A$7,0))="plan_material")),IF(INDEX('C_jama.2019.14901'!$K$2:$K$7,MATCH("2019::jama.2019.14901::C006",'C_jama.2019.14901'!$A$2:$A$7,0))="","",INDEX('C_jama.2019.14901'!$K$2:$K$7,MATCH("2019::jama.2019.14901::C006",'C_jama.2019.14901'!$A$2:$A$7,0))),"not_applicable")</x:f>
        <x:v>not_applicable</x:v>
      </x:c>
      <x:c r="Y47" s="3" t="str">
        <x:f>IF(AND(INDEX('C_jama.2019.14901'!$D$2:$D$7,MATCH("2019::jama.2019.14901::C006",'C_jama.2019.14901'!$A$2:$A$7,0))="retain",INDEX('C_jama.2019.14901'!$E$2:$E$7,MATCH("2019::jama.2019.14901::C006",'C_jama.2019.14901'!$A$2:$A$7,0))="protocol_report"),IF(INDEX('C_jama.2019.14901'!$L$2:$L$7,MATCH("2019::jama.2019.14901::C006",'C_jama.2019.14901'!$A$2:$A$7,0))="","",INDEX('C_jama.2019.14901'!$L$2:$L$7,MATCH("2019::jama.2019.14901::C006",'C_jama.2019.14901'!$A$2:$A$7,0))),"not_applicable")</x:f>
        <x:v>not_applicable</x:v>
      </x:c>
      <x:c r="Z47" s="3" t="str">
        <x:f>IF(INDEX('C_jama.2019.14901'!$R$2:$R$7,MATCH("2019::jama.2019.14901::C006",'C_jama.2019.14901'!$A$2:$A$7,0))="","",INDEX('C_jama.2019.14901'!$R$2:$R$7,MATCH("2019::jama.2019.14901::C006",'C_jama.2019.14901'!$A$2:$A$7,0)))</x:f>
      </x:c>
      <x:c r="AA47" s="3" t="str">
        <x:f>IF(INDEX('C_jama.2019.14901'!$N$2:$N$7,MATCH("2019::jama.2019.14901::C006",'C_jama.2019.14901'!$A$2:$A$7,0))="","",INDEX('C_jama.2019.14901'!$N$2:$N$7,MATCH("2019::jama.2019.14901::C006",'C_jama.2019.14901'!$A$2:$A$7,0)))</x:f>
      </x:c>
      <x:c r="AB47" s="3" t="str">
        <x:f>IF(INDEX('C_jama.2019.14901'!$O$2:$O$7,MATCH("2019::jama.2019.14901::C006",'C_jama.2019.14901'!$A$2:$A$7,0))="","",INDEX('C_jama.2019.14901'!$O$2:$O$7,MATCH("2019::jama.2019.14901::C006",'C_jama.2019.14901'!$A$2:$A$7,0)))</x:f>
      </x:c>
      <x:c r="AC47" s="3" t="str">
        <x:f>IF(INDEX('C_jama.2019.14901'!$P$2:$P$7,MATCH("2019::jama.2019.14901::C006",'C_jama.2019.14901'!$A$2:$A$7,0))="","",INDEX('C_jama.2019.14901'!$P$2:$P$7,MATCH("2019::jama.2019.14901::C006",'C_jama.2019.14901'!$A$2:$A$7,0)))</x:f>
      </x:c>
      <x:c r="AD47" s="3" t="str">
        <x:f>IF(INDEX('C_jama.2019.14901'!$Q$2:$Q$7,MATCH("2019::jama.2019.14901::C006",'C_jama.2019.14901'!$A$2:$A$7,0))="","",INDEX('C_jama.2019.14901'!$Q$2:$Q$7,MATCH("2019::jama.2019.14901::C006",'C_jama.2019.14901'!$A$2:$A$7,0)))</x:f>
      </x:c>
    </x:row>
    <x:row r="48" ht="65" customHeight="1">
      <x:c r="A48" s="6" t="n">
        <x:v>2019</x:v>
      </x:c>
      <x:c r="B48" s="6" t="str">
        <x:v>jama.2019.17380</x:v>
      </x:c>
      <x:c r="C48" s="6" t="str">
        <x:v>2019::jama.2019.17380::C001</x:v>
      </x:c>
      <x:c r="D48" s="6" t="str">
        <x:v>S_W</x:v>
      </x:c>
      <x:c r="E48" s="6" t="n">
        <x:f>Setup!$B$2</x:f>
        <x:v>0</x:v>
      </x:c>
      <x:c r="F48" s="6" t="str">
        <x:f>IF(Setup!$B$4="","",Setup!$B$4)</x:f>
      </x:c>
      <x:c r="G48" s="6" t="str">
        <x:f>IFERROR(INDEX('C_jama.2019.17380'!$G$2:$G$8,MATCH("2019::jama.2019.17380::C001",'C_jama.2019.17380'!$A$2:$A$8,0)),"CHECK KEY")</x:f>
        <x:v>CHECK REVIEWER IDs</x:v>
      </x:c>
      <x:c r="H48" s="6" t="str">
        <x:f>IF(G48&lt;&gt;"FINAL READY","",IF(S48&lt;&gt;"retain","not_eligible",IF(D48="P_R","protocol_descriptive",IF(D48="P_P","plan_descriptive",IF(AND(T48="statistical_results",OR(U48="confirmed_issue",U48="probable_issue"),V48="substantive"),"primary_temporal",IF(AND(T48="report_internal_inconsistency",X48="substantive_inconsistency"),"secondary_temporal","not_eligible"))))))</x:f>
      </x:c>
      <x:c r="I48" s="6" t="str">
        <x:v>retain</x:v>
      </x:c>
      <x:c r="J48" s="6" t="str">
        <x:v>report_internal_inconsistency</x:v>
      </x:c>
      <x:c r="K48" s="6" t="str">
        <x:f>IF(Setup!$B$6="primary","",IFERROR(IF(INDEX('Primary_snapshot'!$B$2:$B$72,MATCH(C48,'Primary_snapshot'!$A$2:$A$72,0))="","",INDEX('Primary_snapshot'!$B$2:$B$72,MATCH(C48,'Primary_snapshot'!$A$2:$A$72,0))),"SNAPSHOT MISSING"))</x:f>
      </x:c>
      <x:c r="L48" s="6" t="str">
        <x:f>IF(Setup!$B$6="primary","",IFERROR(IF(INDEX('Primary_snapshot'!$C$2:$C$72,MATCH(C48,'Primary_snapshot'!$A$2:$A$72,0))="","",INDEX('Primary_snapshot'!$C$2:$C$72,MATCH(C48,'Primary_snapshot'!$A$2:$A$72,0))),"SNAPSHOT MISSING"))</x:f>
      </x:c>
      <x:c r="M48" s="6" t="str">
        <x:f>IF(Setup!$B$6="primary","",IFERROR(IF(INDEX('Primary_snapshot'!$D$2:$D$72,MATCH(C48,'Primary_snapshot'!$A$2:$A$72,0))="","",INDEX('Primary_snapshot'!$D$2:$D$72,MATCH(C48,'Primary_snapshot'!$A$2:$A$72,0))),"SNAPSHOT MISSING"))</x:f>
      </x:c>
      <x:c r="N48" s="6" t="str">
        <x:f>IF(Setup!$B$6="primary","",IFERROR(IF(INDEX('Primary_snapshot'!$E$2:$E$72,MATCH(C48,'Primary_snapshot'!$A$2:$A$72,0))="","",INDEX('Primary_snapshot'!$E$2:$E$72,MATCH(C48,'Primary_snapshot'!$A$2:$A$72,0))),"SNAPSHOT MISSING"))</x:f>
      </x:c>
      <x:c r="O48" s="6" t="str">
        <x:f>IF(Setup!$B$6="primary","",IFERROR(IF(INDEX('Primary_snapshot'!$F$2:$F$72,MATCH(C48,'Primary_snapshot'!$A$2:$A$72,0))="","",INDEX('Primary_snapshot'!$F$2:$F$72,MATCH(C48,'Primary_snapshot'!$A$2:$A$72,0))),"SNAPSHOT MISSING"))</x:f>
      </x:c>
      <x:c r="P48" s="6" t="str">
        <x:f>IF(Setup!$B$6="primary","",IFERROR(IF(INDEX('Primary_snapshot'!$G$2:$G$72,MATCH(C48,'Primary_snapshot'!$A$2:$A$72,0))="","",INDEX('Primary_snapshot'!$G$2:$G$72,MATCH(C48,'Primary_snapshot'!$A$2:$A$72,0))),"SNAPSHOT MISSING"))</x:f>
      </x:c>
      <x:c r="Q48" s="6" t="str">
        <x:f>IF(Setup!$B$6="primary","",IFERROR(IF(INDEX('Primary_snapshot'!$H$2:$H$72,MATCH(C48,'Primary_snapshot'!$A$2:$A$72,0))="","",INDEX('Primary_snapshot'!$H$2:$H$72,MATCH(C48,'Primary_snapshot'!$A$2:$A$72,0))),"SNAPSHOT MISSING"))</x:f>
      </x:c>
      <x:c r="R48" s="6" t="str">
        <x:f>IF(Setup!$B$6="primary","",IFERROR(IF(INDEX('Primary_snapshot'!$I$2:$I$72,MATCH(C48,'Primary_snapshot'!$A$2:$A$72,0))="","",INDEX('Primary_snapshot'!$I$2:$I$72,MATCH(C48,'Primary_snapshot'!$A$2:$A$72,0))),"SNAPSHOT MISSING"))</x:f>
      </x:c>
      <x:c r="S48" s="6" t="str">
        <x:f>IF(INDEX('C_jama.2019.17380'!$D$2:$D$8,MATCH("2019::jama.2019.17380::C001",'C_jama.2019.17380'!$A$2:$A$8,0))="","",INDEX('C_jama.2019.17380'!$D$2:$D$8,MATCH("2019::jama.2019.17380::C001",'C_jama.2019.17380'!$A$2:$A$8,0)))</x:f>
      </x:c>
      <x:c r="T48" s="6" t="str">
        <x:f>IF(INDEX('C_jama.2019.17380'!$E$2:$E$8,MATCH("2019::jama.2019.17380::C001",'C_jama.2019.17380'!$A$2:$A$8,0))="","",INDEX('C_jama.2019.17380'!$E$2:$E$8,MATCH("2019::jama.2019.17380::C001",'C_jama.2019.17380'!$A$2:$A$8,0)))</x:f>
        <x:v>report_internal_inconsistency</x:v>
      </x:c>
      <x:c r="U48" s="6" t="str">
        <x:f>IF(AND(INDEX('C_jama.2019.17380'!$D$2:$D$8,MATCH("2019::jama.2019.17380::C001",'C_jama.2019.17380'!$A$2:$A$8,0))="retain",INDEX('C_jama.2019.17380'!$E$2:$E$8,MATCH("2019::jama.2019.17380::C001",'C_jama.2019.17380'!$A$2:$A$8,0))="statistical_results"),IF(INDEX('C_jama.2019.17380'!$H$2:$H$8,MATCH("2019::jama.2019.17380::C001",'C_jama.2019.17380'!$A$2:$A$8,0))="","",INDEX('C_jama.2019.17380'!$H$2:$H$8,MATCH("2019::jama.2019.17380::C001",'C_jama.2019.17380'!$A$2:$A$8,0))),"not_applicable")</x:f>
        <x:v>not_applicable</x:v>
      </x:c>
      <x:c r="V48" s="6" t="str">
        <x:f>IF(AND(INDEX('C_jama.2019.17380'!$D$2:$D$8,MATCH("2019::jama.2019.17380::C001",'C_jama.2019.17380'!$A$2:$A$8,0))="retain",INDEX('C_jama.2019.17380'!$E$2:$E$8,MATCH("2019::jama.2019.17380::C001",'C_jama.2019.17380'!$A$2:$A$8,0))="statistical_results"),IF(INDEX('C_jama.2019.17380'!$I$2:$I$8,MATCH("2019::jama.2019.17380::C001",'C_jama.2019.17380'!$A$2:$A$8,0))="","",INDEX('C_jama.2019.17380'!$I$2:$I$8,MATCH("2019::jama.2019.17380::C001",'C_jama.2019.17380'!$A$2:$A$8,0))),"not_applicable")</x:f>
        <x:v>not_applicable</x:v>
      </x:c>
      <x:c r="W48" s="6" t="str">
        <x:f>IF(AND(INDEX('C_jama.2019.17380'!$D$2:$D$8,MATCH("2019::jama.2019.17380::C001",'C_jama.2019.17380'!$A$2:$A$8,0))="retain",INDEX('C_jama.2019.17380'!$E$2:$E$8,MATCH("2019::jama.2019.17380::C001",'C_jama.2019.17380'!$A$2:$A$8,0))="statistical_results"),IF(INDEX('C_jama.2019.17380'!$J$2:$J$8,MATCH("2019::jama.2019.17380::C001",'C_jama.2019.17380'!$A$2:$A$8,0))="","",INDEX('C_jama.2019.17380'!$J$2:$J$8,MATCH("2019::jama.2019.17380::C001",'C_jama.2019.17380'!$A$2:$A$8,0))),"not_applicable")</x:f>
        <x:v>not_applicable</x:v>
      </x:c>
      <x:c r="X48" s="6" t="str">
        <x:f>IF(AND(INDEX('C_jama.2019.17380'!$D$2:$D$8,MATCH("2019::jama.2019.17380::C001",'C_jama.2019.17380'!$A$2:$A$8,0))="retain",OR(INDEX('C_jama.2019.17380'!$E$2:$E$8,MATCH("2019::jama.2019.17380::C001",'C_jama.2019.17380'!$A$2:$A$8,0))="report_internal_inconsistency",INDEX('C_jama.2019.17380'!$E$2:$E$8,MATCH("2019::jama.2019.17380::C001",'C_jama.2019.17380'!$A$2:$A$8,0))="plan_material")),IF(INDEX('C_jama.2019.17380'!$K$2:$K$8,MATCH("2019::jama.2019.17380::C001",'C_jama.2019.17380'!$A$2:$A$8,0))="","",INDEX('C_jama.2019.17380'!$K$2:$K$8,MATCH("2019::jama.2019.17380::C001",'C_jama.2019.17380'!$A$2:$A$8,0))),"not_applicable")</x:f>
        <x:v>not_applicable</x:v>
      </x:c>
      <x:c r="Y48" s="6" t="str">
        <x:f>IF(AND(INDEX('C_jama.2019.17380'!$D$2:$D$8,MATCH("2019::jama.2019.17380::C001",'C_jama.2019.17380'!$A$2:$A$8,0))="retain",INDEX('C_jama.2019.17380'!$E$2:$E$8,MATCH("2019::jama.2019.17380::C001",'C_jama.2019.17380'!$A$2:$A$8,0))="protocol_report"),IF(INDEX('C_jama.2019.17380'!$L$2:$L$8,MATCH("2019::jama.2019.17380::C001",'C_jama.2019.17380'!$A$2:$A$8,0))="","",INDEX('C_jama.2019.17380'!$L$2:$L$8,MATCH("2019::jama.2019.17380::C001",'C_jama.2019.17380'!$A$2:$A$8,0))),"not_applicable")</x:f>
        <x:v>not_applicable</x:v>
      </x:c>
      <x:c r="Z48" s="6" t="str">
        <x:f>IF(INDEX('C_jama.2019.17380'!$R$2:$R$8,MATCH("2019::jama.2019.17380::C001",'C_jama.2019.17380'!$A$2:$A$8,0))="","",INDEX('C_jama.2019.17380'!$R$2:$R$8,MATCH("2019::jama.2019.17380::C001",'C_jama.2019.17380'!$A$2:$A$8,0)))</x:f>
      </x:c>
      <x:c r="AA48" s="6" t="str">
        <x:f>IF(INDEX('C_jama.2019.17380'!$N$2:$N$8,MATCH("2019::jama.2019.17380::C001",'C_jama.2019.17380'!$A$2:$A$8,0))="","",INDEX('C_jama.2019.17380'!$N$2:$N$8,MATCH("2019::jama.2019.17380::C001",'C_jama.2019.17380'!$A$2:$A$8,0)))</x:f>
      </x:c>
      <x:c r="AB48" s="6" t="str">
        <x:f>IF(INDEX('C_jama.2019.17380'!$O$2:$O$8,MATCH("2019::jama.2019.17380::C001",'C_jama.2019.17380'!$A$2:$A$8,0))="","",INDEX('C_jama.2019.17380'!$O$2:$O$8,MATCH("2019::jama.2019.17380::C001",'C_jama.2019.17380'!$A$2:$A$8,0)))</x:f>
      </x:c>
      <x:c r="AC48" s="6" t="str">
        <x:f>IF(INDEX('C_jama.2019.17380'!$P$2:$P$8,MATCH("2019::jama.2019.17380::C001",'C_jama.2019.17380'!$A$2:$A$8,0))="","",INDEX('C_jama.2019.17380'!$P$2:$P$8,MATCH("2019::jama.2019.17380::C001",'C_jama.2019.17380'!$A$2:$A$8,0)))</x:f>
      </x:c>
      <x:c r="AD48" s="6" t="str">
        <x:f>IF(INDEX('C_jama.2019.17380'!$Q$2:$Q$8,MATCH("2019::jama.2019.17380::C001",'C_jama.2019.17380'!$A$2:$A$8,0))="","",INDEX('C_jama.2019.17380'!$Q$2:$Q$8,MATCH("2019::jama.2019.17380::C001",'C_jama.2019.17380'!$A$2:$A$8,0)))</x:f>
      </x:c>
    </x:row>
    <x:row r="49" ht="65" customHeight="1">
      <x:c r="A49" s="3" t="n">
        <x:v>2019</x:v>
      </x:c>
      <x:c r="B49" s="3" t="str">
        <x:v>jama.2019.17380</x:v>
      </x:c>
      <x:c r="C49" s="3" t="str">
        <x:v>2019::jama.2019.17380::C002</x:v>
      </x:c>
      <x:c r="D49" s="3" t="str">
        <x:v>S_C</x:v>
      </x:c>
      <x:c r="E49" s="3" t="n">
        <x:f>Setup!$B$2</x:f>
        <x:v>0</x:v>
      </x:c>
      <x:c r="F49" s="3" t="str">
        <x:f>IF(Setup!$B$4="","",Setup!$B$4)</x:f>
      </x:c>
      <x:c r="G49" s="3" t="str">
        <x:f>IFERROR(INDEX('C_jama.2019.17380'!$G$2:$G$8,MATCH("2019::jama.2019.17380::C002",'C_jama.2019.17380'!$A$2:$A$8,0)),"CHECK KEY")</x:f>
        <x:v>CHECK REVIEWER IDs</x:v>
      </x:c>
      <x:c r="H49" s="3" t="str">
        <x:f>IF(G49&lt;&gt;"FINAL READY","",IF(S49&lt;&gt;"retain","not_eligible",IF(D49="P_R","protocol_descriptive",IF(D49="P_P","plan_descriptive",IF(AND(T49="statistical_results",OR(U49="confirmed_issue",U49="probable_issue"),V49="substantive"),"primary_temporal",IF(AND(T49="report_internal_inconsistency",X49="substantive_inconsistency"),"secondary_temporal","not_eligible"))))))</x:f>
      </x:c>
      <x:c r="I49" s="3" t="str">
        <x:v>retain</x:v>
      </x:c>
      <x:c r="J49" s="3" t="str">
        <x:v>report_internal_inconsistency</x:v>
      </x:c>
      <x:c r="K49" s="3" t="str">
        <x:f>IF(Setup!$B$6="primary","",IFERROR(IF(INDEX('Primary_snapshot'!$B$2:$B$72,MATCH(C49,'Primary_snapshot'!$A$2:$A$72,0))="","",INDEX('Primary_snapshot'!$B$2:$B$72,MATCH(C49,'Primary_snapshot'!$A$2:$A$72,0))),"SNAPSHOT MISSING"))</x:f>
      </x:c>
      <x:c r="L49" s="3" t="str">
        <x:f>IF(Setup!$B$6="primary","",IFERROR(IF(INDEX('Primary_snapshot'!$C$2:$C$72,MATCH(C49,'Primary_snapshot'!$A$2:$A$72,0))="","",INDEX('Primary_snapshot'!$C$2:$C$72,MATCH(C49,'Primary_snapshot'!$A$2:$A$72,0))),"SNAPSHOT MISSING"))</x:f>
      </x:c>
      <x:c r="M49" s="3" t="str">
        <x:f>IF(Setup!$B$6="primary","",IFERROR(IF(INDEX('Primary_snapshot'!$D$2:$D$72,MATCH(C49,'Primary_snapshot'!$A$2:$A$72,0))="","",INDEX('Primary_snapshot'!$D$2:$D$72,MATCH(C49,'Primary_snapshot'!$A$2:$A$72,0))),"SNAPSHOT MISSING"))</x:f>
      </x:c>
      <x:c r="N49" s="3" t="str">
        <x:f>IF(Setup!$B$6="primary","",IFERROR(IF(INDEX('Primary_snapshot'!$E$2:$E$72,MATCH(C49,'Primary_snapshot'!$A$2:$A$72,0))="","",INDEX('Primary_snapshot'!$E$2:$E$72,MATCH(C49,'Primary_snapshot'!$A$2:$A$72,0))),"SNAPSHOT MISSING"))</x:f>
      </x:c>
      <x:c r="O49" s="3" t="str">
        <x:f>IF(Setup!$B$6="primary","",IFERROR(IF(INDEX('Primary_snapshot'!$F$2:$F$72,MATCH(C49,'Primary_snapshot'!$A$2:$A$72,0))="","",INDEX('Primary_snapshot'!$F$2:$F$72,MATCH(C49,'Primary_snapshot'!$A$2:$A$72,0))),"SNAPSHOT MISSING"))</x:f>
      </x:c>
      <x:c r="P49" s="3" t="str">
        <x:f>IF(Setup!$B$6="primary","",IFERROR(IF(INDEX('Primary_snapshot'!$G$2:$G$72,MATCH(C49,'Primary_snapshot'!$A$2:$A$72,0))="","",INDEX('Primary_snapshot'!$G$2:$G$72,MATCH(C49,'Primary_snapshot'!$A$2:$A$72,0))),"SNAPSHOT MISSING"))</x:f>
      </x:c>
      <x:c r="Q49" s="3" t="str">
        <x:f>IF(Setup!$B$6="primary","",IFERROR(IF(INDEX('Primary_snapshot'!$H$2:$H$72,MATCH(C49,'Primary_snapshot'!$A$2:$A$72,0))="","",INDEX('Primary_snapshot'!$H$2:$H$72,MATCH(C49,'Primary_snapshot'!$A$2:$A$72,0))),"SNAPSHOT MISSING"))</x:f>
      </x:c>
      <x:c r="R49" s="3" t="str">
        <x:f>IF(Setup!$B$6="primary","",IFERROR(IF(INDEX('Primary_snapshot'!$I$2:$I$72,MATCH(C49,'Primary_snapshot'!$A$2:$A$72,0))="","",INDEX('Primary_snapshot'!$I$2:$I$72,MATCH(C49,'Primary_snapshot'!$A$2:$A$72,0))),"SNAPSHOT MISSING"))</x:f>
      </x:c>
      <x:c r="S49" s="3" t="str">
        <x:f>IF(INDEX('C_jama.2019.17380'!$D$2:$D$8,MATCH("2019::jama.2019.17380::C002",'C_jama.2019.17380'!$A$2:$A$8,0))="","",INDEX('C_jama.2019.17380'!$D$2:$D$8,MATCH("2019::jama.2019.17380::C002",'C_jama.2019.17380'!$A$2:$A$8,0)))</x:f>
      </x:c>
      <x:c r="T49" s="3" t="str">
        <x:f>IF(INDEX('C_jama.2019.17380'!$E$2:$E$8,MATCH("2019::jama.2019.17380::C002",'C_jama.2019.17380'!$A$2:$A$8,0))="","",INDEX('C_jama.2019.17380'!$E$2:$E$8,MATCH("2019::jama.2019.17380::C002",'C_jama.2019.17380'!$A$2:$A$8,0)))</x:f>
        <x:v>report_internal_inconsistency</x:v>
      </x:c>
      <x:c r="U49" s="3" t="str">
        <x:f>IF(AND(INDEX('C_jama.2019.17380'!$D$2:$D$8,MATCH("2019::jama.2019.17380::C002",'C_jama.2019.17380'!$A$2:$A$8,0))="retain",INDEX('C_jama.2019.17380'!$E$2:$E$8,MATCH("2019::jama.2019.17380::C002",'C_jama.2019.17380'!$A$2:$A$8,0))="statistical_results"),IF(INDEX('C_jama.2019.17380'!$H$2:$H$8,MATCH("2019::jama.2019.17380::C002",'C_jama.2019.17380'!$A$2:$A$8,0))="","",INDEX('C_jama.2019.17380'!$H$2:$H$8,MATCH("2019::jama.2019.17380::C002",'C_jama.2019.17380'!$A$2:$A$8,0))),"not_applicable")</x:f>
        <x:v>not_applicable</x:v>
      </x:c>
      <x:c r="V49" s="3" t="str">
        <x:f>IF(AND(INDEX('C_jama.2019.17380'!$D$2:$D$8,MATCH("2019::jama.2019.17380::C002",'C_jama.2019.17380'!$A$2:$A$8,0))="retain",INDEX('C_jama.2019.17380'!$E$2:$E$8,MATCH("2019::jama.2019.17380::C002",'C_jama.2019.17380'!$A$2:$A$8,0))="statistical_results"),IF(INDEX('C_jama.2019.17380'!$I$2:$I$8,MATCH("2019::jama.2019.17380::C002",'C_jama.2019.17380'!$A$2:$A$8,0))="","",INDEX('C_jama.2019.17380'!$I$2:$I$8,MATCH("2019::jama.2019.17380::C002",'C_jama.2019.17380'!$A$2:$A$8,0))),"not_applicable")</x:f>
        <x:v>not_applicable</x:v>
      </x:c>
      <x:c r="W49" s="3" t="str">
        <x:f>IF(AND(INDEX('C_jama.2019.17380'!$D$2:$D$8,MATCH("2019::jama.2019.17380::C002",'C_jama.2019.17380'!$A$2:$A$8,0))="retain",INDEX('C_jama.2019.17380'!$E$2:$E$8,MATCH("2019::jama.2019.17380::C002",'C_jama.2019.17380'!$A$2:$A$8,0))="statistical_results"),IF(INDEX('C_jama.2019.17380'!$J$2:$J$8,MATCH("2019::jama.2019.17380::C002",'C_jama.2019.17380'!$A$2:$A$8,0))="","",INDEX('C_jama.2019.17380'!$J$2:$J$8,MATCH("2019::jama.2019.17380::C002",'C_jama.2019.17380'!$A$2:$A$8,0))),"not_applicable")</x:f>
        <x:v>not_applicable</x:v>
      </x:c>
      <x:c r="X49" s="3" t="str">
        <x:f>IF(AND(INDEX('C_jama.2019.17380'!$D$2:$D$8,MATCH("2019::jama.2019.17380::C002",'C_jama.2019.17380'!$A$2:$A$8,0))="retain",OR(INDEX('C_jama.2019.17380'!$E$2:$E$8,MATCH("2019::jama.2019.17380::C002",'C_jama.2019.17380'!$A$2:$A$8,0))="report_internal_inconsistency",INDEX('C_jama.2019.17380'!$E$2:$E$8,MATCH("2019::jama.2019.17380::C002",'C_jama.2019.17380'!$A$2:$A$8,0))="plan_material")),IF(INDEX('C_jama.2019.17380'!$K$2:$K$8,MATCH("2019::jama.2019.17380::C002",'C_jama.2019.17380'!$A$2:$A$8,0))="","",INDEX('C_jama.2019.17380'!$K$2:$K$8,MATCH("2019::jama.2019.17380::C002",'C_jama.2019.17380'!$A$2:$A$8,0))),"not_applicable")</x:f>
        <x:v>not_applicable</x:v>
      </x:c>
      <x:c r="Y49" s="3" t="str">
        <x:f>IF(AND(INDEX('C_jama.2019.17380'!$D$2:$D$8,MATCH("2019::jama.2019.17380::C002",'C_jama.2019.17380'!$A$2:$A$8,0))="retain",INDEX('C_jama.2019.17380'!$E$2:$E$8,MATCH("2019::jama.2019.17380::C002",'C_jama.2019.17380'!$A$2:$A$8,0))="protocol_report"),IF(INDEX('C_jama.2019.17380'!$L$2:$L$8,MATCH("2019::jama.2019.17380::C002",'C_jama.2019.17380'!$A$2:$A$8,0))="","",INDEX('C_jama.2019.17380'!$L$2:$L$8,MATCH("2019::jama.2019.17380::C002",'C_jama.2019.17380'!$A$2:$A$8,0))),"not_applicable")</x:f>
        <x:v>not_applicable</x:v>
      </x:c>
      <x:c r="Z49" s="3" t="str">
        <x:f>IF(INDEX('C_jama.2019.17380'!$R$2:$R$8,MATCH("2019::jama.2019.17380::C002",'C_jama.2019.17380'!$A$2:$A$8,0))="","",INDEX('C_jama.2019.17380'!$R$2:$R$8,MATCH("2019::jama.2019.17380::C002",'C_jama.2019.17380'!$A$2:$A$8,0)))</x:f>
      </x:c>
      <x:c r="AA49" s="3" t="str">
        <x:f>IF(INDEX('C_jama.2019.17380'!$N$2:$N$8,MATCH("2019::jama.2019.17380::C002",'C_jama.2019.17380'!$A$2:$A$8,0))="","",INDEX('C_jama.2019.17380'!$N$2:$N$8,MATCH("2019::jama.2019.17380::C002",'C_jama.2019.17380'!$A$2:$A$8,0)))</x:f>
      </x:c>
      <x:c r="AB49" s="3" t="str">
        <x:f>IF(INDEX('C_jama.2019.17380'!$O$2:$O$8,MATCH("2019::jama.2019.17380::C002",'C_jama.2019.17380'!$A$2:$A$8,0))="","",INDEX('C_jama.2019.17380'!$O$2:$O$8,MATCH("2019::jama.2019.17380::C002",'C_jama.2019.17380'!$A$2:$A$8,0)))</x:f>
      </x:c>
      <x:c r="AC49" s="3" t="str">
        <x:f>IF(INDEX('C_jama.2019.17380'!$P$2:$P$8,MATCH("2019::jama.2019.17380::C002",'C_jama.2019.17380'!$A$2:$A$8,0))="","",INDEX('C_jama.2019.17380'!$P$2:$P$8,MATCH("2019::jama.2019.17380::C002",'C_jama.2019.17380'!$A$2:$A$8,0)))</x:f>
      </x:c>
      <x:c r="AD49" s="3" t="str">
        <x:f>IF(INDEX('C_jama.2019.17380'!$Q$2:$Q$8,MATCH("2019::jama.2019.17380::C002",'C_jama.2019.17380'!$A$2:$A$8,0))="","",INDEX('C_jama.2019.17380'!$Q$2:$Q$8,MATCH("2019::jama.2019.17380::C002",'C_jama.2019.17380'!$A$2:$A$8,0)))</x:f>
      </x:c>
    </x:row>
    <x:row r="50" ht="65" customHeight="1">
      <x:c r="A50" s="6" t="n">
        <x:v>2019</x:v>
      </x:c>
      <x:c r="B50" s="6" t="str">
        <x:v>jama.2019.17380</x:v>
      </x:c>
      <x:c r="C50" s="6" t="str">
        <x:v>2019::jama.2019.17380::C003</x:v>
      </x:c>
      <x:c r="D50" s="6" t="str">
        <x:v>S_W</x:v>
      </x:c>
      <x:c r="E50" s="6" t="n">
        <x:f>Setup!$B$2</x:f>
        <x:v>0</x:v>
      </x:c>
      <x:c r="F50" s="6" t="str">
        <x:f>IF(Setup!$B$4="","",Setup!$B$4)</x:f>
      </x:c>
      <x:c r="G50" s="6" t="str">
        <x:f>IFERROR(INDEX('C_jama.2019.17380'!$G$2:$G$8,MATCH("2019::jama.2019.17380::C003",'C_jama.2019.17380'!$A$2:$A$8,0)),"CHECK KEY")</x:f>
        <x:v>CHECK REVIEWER IDs</x:v>
      </x:c>
      <x:c r="H50" s="6" t="str">
        <x:f>IF(G50&lt;&gt;"FINAL READY","",IF(S50&lt;&gt;"retain","not_eligible",IF(D50="P_R","protocol_descriptive",IF(D50="P_P","plan_descriptive",IF(AND(T50="statistical_results",OR(U50="confirmed_issue",U50="probable_issue"),V50="substantive"),"primary_temporal",IF(AND(T50="report_internal_inconsistency",X50="substantive_inconsistency"),"secondary_temporal","not_eligible"))))))</x:f>
      </x:c>
      <x:c r="I50" s="6" t="str">
        <x:v>retain</x:v>
      </x:c>
      <x:c r="J50" s="6" t="str">
        <x:v>report_internal_inconsistency</x:v>
      </x:c>
      <x:c r="K50" s="6" t="str">
        <x:f>IF(Setup!$B$6="primary","",IFERROR(IF(INDEX('Primary_snapshot'!$B$2:$B$72,MATCH(C50,'Primary_snapshot'!$A$2:$A$72,0))="","",INDEX('Primary_snapshot'!$B$2:$B$72,MATCH(C50,'Primary_snapshot'!$A$2:$A$72,0))),"SNAPSHOT MISSING"))</x:f>
      </x:c>
      <x:c r="L50" s="6" t="str">
        <x:f>IF(Setup!$B$6="primary","",IFERROR(IF(INDEX('Primary_snapshot'!$C$2:$C$72,MATCH(C50,'Primary_snapshot'!$A$2:$A$72,0))="","",INDEX('Primary_snapshot'!$C$2:$C$72,MATCH(C50,'Primary_snapshot'!$A$2:$A$72,0))),"SNAPSHOT MISSING"))</x:f>
      </x:c>
      <x:c r="M50" s="6" t="str">
        <x:f>IF(Setup!$B$6="primary","",IFERROR(IF(INDEX('Primary_snapshot'!$D$2:$D$72,MATCH(C50,'Primary_snapshot'!$A$2:$A$72,0))="","",INDEX('Primary_snapshot'!$D$2:$D$72,MATCH(C50,'Primary_snapshot'!$A$2:$A$72,0))),"SNAPSHOT MISSING"))</x:f>
      </x:c>
      <x:c r="N50" s="6" t="str">
        <x:f>IF(Setup!$B$6="primary","",IFERROR(IF(INDEX('Primary_snapshot'!$E$2:$E$72,MATCH(C50,'Primary_snapshot'!$A$2:$A$72,0))="","",INDEX('Primary_snapshot'!$E$2:$E$72,MATCH(C50,'Primary_snapshot'!$A$2:$A$72,0))),"SNAPSHOT MISSING"))</x:f>
      </x:c>
      <x:c r="O50" s="6" t="str">
        <x:f>IF(Setup!$B$6="primary","",IFERROR(IF(INDEX('Primary_snapshot'!$F$2:$F$72,MATCH(C50,'Primary_snapshot'!$A$2:$A$72,0))="","",INDEX('Primary_snapshot'!$F$2:$F$72,MATCH(C50,'Primary_snapshot'!$A$2:$A$72,0))),"SNAPSHOT MISSING"))</x:f>
      </x:c>
      <x:c r="P50" s="6" t="str">
        <x:f>IF(Setup!$B$6="primary","",IFERROR(IF(INDEX('Primary_snapshot'!$G$2:$G$72,MATCH(C50,'Primary_snapshot'!$A$2:$A$72,0))="","",INDEX('Primary_snapshot'!$G$2:$G$72,MATCH(C50,'Primary_snapshot'!$A$2:$A$72,0))),"SNAPSHOT MISSING"))</x:f>
      </x:c>
      <x:c r="Q50" s="6" t="str">
        <x:f>IF(Setup!$B$6="primary","",IFERROR(IF(INDEX('Primary_snapshot'!$H$2:$H$72,MATCH(C50,'Primary_snapshot'!$A$2:$A$72,0))="","",INDEX('Primary_snapshot'!$H$2:$H$72,MATCH(C50,'Primary_snapshot'!$A$2:$A$72,0))),"SNAPSHOT MISSING"))</x:f>
      </x:c>
      <x:c r="R50" s="6" t="str">
        <x:f>IF(Setup!$B$6="primary","",IFERROR(IF(INDEX('Primary_snapshot'!$I$2:$I$72,MATCH(C50,'Primary_snapshot'!$A$2:$A$72,0))="","",INDEX('Primary_snapshot'!$I$2:$I$72,MATCH(C50,'Primary_snapshot'!$A$2:$A$72,0))),"SNAPSHOT MISSING"))</x:f>
      </x:c>
      <x:c r="S50" s="6" t="str">
        <x:f>IF(INDEX('C_jama.2019.17380'!$D$2:$D$8,MATCH("2019::jama.2019.17380::C003",'C_jama.2019.17380'!$A$2:$A$8,0))="","",INDEX('C_jama.2019.17380'!$D$2:$D$8,MATCH("2019::jama.2019.17380::C003",'C_jama.2019.17380'!$A$2:$A$8,0)))</x:f>
      </x:c>
      <x:c r="T50" s="6" t="str">
        <x:f>IF(INDEX('C_jama.2019.17380'!$E$2:$E$8,MATCH("2019::jama.2019.17380::C003",'C_jama.2019.17380'!$A$2:$A$8,0))="","",INDEX('C_jama.2019.17380'!$E$2:$E$8,MATCH("2019::jama.2019.17380::C003",'C_jama.2019.17380'!$A$2:$A$8,0)))</x:f>
        <x:v>report_internal_inconsistency</x:v>
      </x:c>
      <x:c r="U50" s="6" t="str">
        <x:f>IF(AND(INDEX('C_jama.2019.17380'!$D$2:$D$8,MATCH("2019::jama.2019.17380::C003",'C_jama.2019.17380'!$A$2:$A$8,0))="retain",INDEX('C_jama.2019.17380'!$E$2:$E$8,MATCH("2019::jama.2019.17380::C003",'C_jama.2019.17380'!$A$2:$A$8,0))="statistical_results"),IF(INDEX('C_jama.2019.17380'!$H$2:$H$8,MATCH("2019::jama.2019.17380::C003",'C_jama.2019.17380'!$A$2:$A$8,0))="","",INDEX('C_jama.2019.17380'!$H$2:$H$8,MATCH("2019::jama.2019.17380::C003",'C_jama.2019.17380'!$A$2:$A$8,0))),"not_applicable")</x:f>
        <x:v>not_applicable</x:v>
      </x:c>
      <x:c r="V50" s="6" t="str">
        <x:f>IF(AND(INDEX('C_jama.2019.17380'!$D$2:$D$8,MATCH("2019::jama.2019.17380::C003",'C_jama.2019.17380'!$A$2:$A$8,0))="retain",INDEX('C_jama.2019.17380'!$E$2:$E$8,MATCH("2019::jama.2019.17380::C003",'C_jama.2019.17380'!$A$2:$A$8,0))="statistical_results"),IF(INDEX('C_jama.2019.17380'!$I$2:$I$8,MATCH("2019::jama.2019.17380::C003",'C_jama.2019.17380'!$A$2:$A$8,0))="","",INDEX('C_jama.2019.17380'!$I$2:$I$8,MATCH("2019::jama.2019.17380::C003",'C_jama.2019.17380'!$A$2:$A$8,0))),"not_applicable")</x:f>
        <x:v>not_applicable</x:v>
      </x:c>
      <x:c r="W50" s="6" t="str">
        <x:f>IF(AND(INDEX('C_jama.2019.17380'!$D$2:$D$8,MATCH("2019::jama.2019.17380::C003",'C_jama.2019.17380'!$A$2:$A$8,0))="retain",INDEX('C_jama.2019.17380'!$E$2:$E$8,MATCH("2019::jama.2019.17380::C003",'C_jama.2019.17380'!$A$2:$A$8,0))="statistical_results"),IF(INDEX('C_jama.2019.17380'!$J$2:$J$8,MATCH("2019::jama.2019.17380::C003",'C_jama.2019.17380'!$A$2:$A$8,0))="","",INDEX('C_jama.2019.17380'!$J$2:$J$8,MATCH("2019::jama.2019.17380::C003",'C_jama.2019.17380'!$A$2:$A$8,0))),"not_applicable")</x:f>
        <x:v>not_applicable</x:v>
      </x:c>
      <x:c r="X50" s="6" t="str">
        <x:f>IF(AND(INDEX('C_jama.2019.17380'!$D$2:$D$8,MATCH("2019::jama.2019.17380::C003",'C_jama.2019.17380'!$A$2:$A$8,0))="retain",OR(INDEX('C_jama.2019.17380'!$E$2:$E$8,MATCH("2019::jama.2019.17380::C003",'C_jama.2019.17380'!$A$2:$A$8,0))="report_internal_inconsistency",INDEX('C_jama.2019.17380'!$E$2:$E$8,MATCH("2019::jama.2019.17380::C003",'C_jama.2019.17380'!$A$2:$A$8,0))="plan_material")),IF(INDEX('C_jama.2019.17380'!$K$2:$K$8,MATCH("2019::jama.2019.17380::C003",'C_jama.2019.17380'!$A$2:$A$8,0))="","",INDEX('C_jama.2019.17380'!$K$2:$K$8,MATCH("2019::jama.2019.17380::C003",'C_jama.2019.17380'!$A$2:$A$8,0))),"not_applicable")</x:f>
        <x:v>not_applicable</x:v>
      </x:c>
      <x:c r="Y50" s="6" t="str">
        <x:f>IF(AND(INDEX('C_jama.2019.17380'!$D$2:$D$8,MATCH("2019::jama.2019.17380::C003",'C_jama.2019.17380'!$A$2:$A$8,0))="retain",INDEX('C_jama.2019.17380'!$E$2:$E$8,MATCH("2019::jama.2019.17380::C003",'C_jama.2019.17380'!$A$2:$A$8,0))="protocol_report"),IF(INDEX('C_jama.2019.17380'!$L$2:$L$8,MATCH("2019::jama.2019.17380::C003",'C_jama.2019.17380'!$A$2:$A$8,0))="","",INDEX('C_jama.2019.17380'!$L$2:$L$8,MATCH("2019::jama.2019.17380::C003",'C_jama.2019.17380'!$A$2:$A$8,0))),"not_applicable")</x:f>
        <x:v>not_applicable</x:v>
      </x:c>
      <x:c r="Z50" s="6" t="str">
        <x:f>IF(INDEX('C_jama.2019.17380'!$R$2:$R$8,MATCH("2019::jama.2019.17380::C003",'C_jama.2019.17380'!$A$2:$A$8,0))="","",INDEX('C_jama.2019.17380'!$R$2:$R$8,MATCH("2019::jama.2019.17380::C003",'C_jama.2019.17380'!$A$2:$A$8,0)))</x:f>
      </x:c>
      <x:c r="AA50" s="6" t="str">
        <x:f>IF(INDEX('C_jama.2019.17380'!$N$2:$N$8,MATCH("2019::jama.2019.17380::C003",'C_jama.2019.17380'!$A$2:$A$8,0))="","",INDEX('C_jama.2019.17380'!$N$2:$N$8,MATCH("2019::jama.2019.17380::C003",'C_jama.2019.17380'!$A$2:$A$8,0)))</x:f>
      </x:c>
      <x:c r="AB50" s="6" t="str">
        <x:f>IF(INDEX('C_jama.2019.17380'!$O$2:$O$8,MATCH("2019::jama.2019.17380::C003",'C_jama.2019.17380'!$A$2:$A$8,0))="","",INDEX('C_jama.2019.17380'!$O$2:$O$8,MATCH("2019::jama.2019.17380::C003",'C_jama.2019.17380'!$A$2:$A$8,0)))</x:f>
      </x:c>
      <x:c r="AC50" s="6" t="str">
        <x:f>IF(INDEX('C_jama.2019.17380'!$P$2:$P$8,MATCH("2019::jama.2019.17380::C003",'C_jama.2019.17380'!$A$2:$A$8,0))="","",INDEX('C_jama.2019.17380'!$P$2:$P$8,MATCH("2019::jama.2019.17380::C003",'C_jama.2019.17380'!$A$2:$A$8,0)))</x:f>
      </x:c>
      <x:c r="AD50" s="6" t="str">
        <x:f>IF(INDEX('C_jama.2019.17380'!$Q$2:$Q$8,MATCH("2019::jama.2019.17380::C003",'C_jama.2019.17380'!$A$2:$A$8,0))="","",INDEX('C_jama.2019.17380'!$Q$2:$Q$8,MATCH("2019::jama.2019.17380::C003",'C_jama.2019.17380'!$A$2:$A$8,0)))</x:f>
      </x:c>
    </x:row>
    <x:row r="51" ht="65" customHeight="1">
      <x:c r="A51" s="3" t="n">
        <x:v>2019</x:v>
      </x:c>
      <x:c r="B51" s="3" t="str">
        <x:v>jama.2019.17380</x:v>
      </x:c>
      <x:c r="C51" s="3" t="str">
        <x:v>2019::jama.2019.17380::C004</x:v>
      </x:c>
      <x:c r="D51" s="3" t="str">
        <x:v>S_W</x:v>
      </x:c>
      <x:c r="E51" s="3" t="n">
        <x:f>Setup!$B$2</x:f>
        <x:v>0</x:v>
      </x:c>
      <x:c r="F51" s="3" t="str">
        <x:f>IF(Setup!$B$4="","",Setup!$B$4)</x:f>
      </x:c>
      <x:c r="G51" s="3" t="str">
        <x:f>IFERROR(INDEX('C_jama.2019.17380'!$G$2:$G$8,MATCH("2019::jama.2019.17380::C004",'C_jama.2019.17380'!$A$2:$A$8,0)),"CHECK KEY")</x:f>
        <x:v>CHECK REVIEWER IDs</x:v>
      </x:c>
      <x:c r="H51" s="3" t="str">
        <x:f>IF(G51&lt;&gt;"FINAL READY","",IF(S51&lt;&gt;"retain","not_eligible",IF(D51="P_R","protocol_descriptive",IF(D51="P_P","plan_descriptive",IF(AND(T51="statistical_results",OR(U51="confirmed_issue",U51="probable_issue"),V51="substantive"),"primary_temporal",IF(AND(T51="report_internal_inconsistency",X51="substantive_inconsistency"),"secondary_temporal","not_eligible"))))))</x:f>
      </x:c>
      <x:c r="I51" s="3" t="str">
        <x:v>retain</x:v>
      </x:c>
      <x:c r="J51" s="3" t="str">
        <x:v>report_internal_inconsistency</x:v>
      </x:c>
      <x:c r="K51" s="3" t="str">
        <x:f>IF(Setup!$B$6="primary","",IFERROR(IF(INDEX('Primary_snapshot'!$B$2:$B$72,MATCH(C51,'Primary_snapshot'!$A$2:$A$72,0))="","",INDEX('Primary_snapshot'!$B$2:$B$72,MATCH(C51,'Primary_snapshot'!$A$2:$A$72,0))),"SNAPSHOT MISSING"))</x:f>
      </x:c>
      <x:c r="L51" s="3" t="str">
        <x:f>IF(Setup!$B$6="primary","",IFERROR(IF(INDEX('Primary_snapshot'!$C$2:$C$72,MATCH(C51,'Primary_snapshot'!$A$2:$A$72,0))="","",INDEX('Primary_snapshot'!$C$2:$C$72,MATCH(C51,'Primary_snapshot'!$A$2:$A$72,0))),"SNAPSHOT MISSING"))</x:f>
      </x:c>
      <x:c r="M51" s="3" t="str">
        <x:f>IF(Setup!$B$6="primary","",IFERROR(IF(INDEX('Primary_snapshot'!$D$2:$D$72,MATCH(C51,'Primary_snapshot'!$A$2:$A$72,0))="","",INDEX('Primary_snapshot'!$D$2:$D$72,MATCH(C51,'Primary_snapshot'!$A$2:$A$72,0))),"SNAPSHOT MISSING"))</x:f>
      </x:c>
      <x:c r="N51" s="3" t="str">
        <x:f>IF(Setup!$B$6="primary","",IFERROR(IF(INDEX('Primary_snapshot'!$E$2:$E$72,MATCH(C51,'Primary_snapshot'!$A$2:$A$72,0))="","",INDEX('Primary_snapshot'!$E$2:$E$72,MATCH(C51,'Primary_snapshot'!$A$2:$A$72,0))),"SNAPSHOT MISSING"))</x:f>
      </x:c>
      <x:c r="O51" s="3" t="str">
        <x:f>IF(Setup!$B$6="primary","",IFERROR(IF(INDEX('Primary_snapshot'!$F$2:$F$72,MATCH(C51,'Primary_snapshot'!$A$2:$A$72,0))="","",INDEX('Primary_snapshot'!$F$2:$F$72,MATCH(C51,'Primary_snapshot'!$A$2:$A$72,0))),"SNAPSHOT MISSING"))</x:f>
      </x:c>
      <x:c r="P51" s="3" t="str">
        <x:f>IF(Setup!$B$6="primary","",IFERROR(IF(INDEX('Primary_snapshot'!$G$2:$G$72,MATCH(C51,'Primary_snapshot'!$A$2:$A$72,0))="","",INDEX('Primary_snapshot'!$G$2:$G$72,MATCH(C51,'Primary_snapshot'!$A$2:$A$72,0))),"SNAPSHOT MISSING"))</x:f>
      </x:c>
      <x:c r="Q51" s="3" t="str">
        <x:f>IF(Setup!$B$6="primary","",IFERROR(IF(INDEX('Primary_snapshot'!$H$2:$H$72,MATCH(C51,'Primary_snapshot'!$A$2:$A$72,0))="","",INDEX('Primary_snapshot'!$H$2:$H$72,MATCH(C51,'Primary_snapshot'!$A$2:$A$72,0))),"SNAPSHOT MISSING"))</x:f>
      </x:c>
      <x:c r="R51" s="3" t="str">
        <x:f>IF(Setup!$B$6="primary","",IFERROR(IF(INDEX('Primary_snapshot'!$I$2:$I$72,MATCH(C51,'Primary_snapshot'!$A$2:$A$72,0))="","",INDEX('Primary_snapshot'!$I$2:$I$72,MATCH(C51,'Primary_snapshot'!$A$2:$A$72,0))),"SNAPSHOT MISSING"))</x:f>
      </x:c>
      <x:c r="S51" s="3" t="str">
        <x:f>IF(INDEX('C_jama.2019.17380'!$D$2:$D$8,MATCH("2019::jama.2019.17380::C004",'C_jama.2019.17380'!$A$2:$A$8,0))="","",INDEX('C_jama.2019.17380'!$D$2:$D$8,MATCH("2019::jama.2019.17380::C004",'C_jama.2019.17380'!$A$2:$A$8,0)))</x:f>
      </x:c>
      <x:c r="T51" s="3" t="str">
        <x:f>IF(INDEX('C_jama.2019.17380'!$E$2:$E$8,MATCH("2019::jama.2019.17380::C004",'C_jama.2019.17380'!$A$2:$A$8,0))="","",INDEX('C_jama.2019.17380'!$E$2:$E$8,MATCH("2019::jama.2019.17380::C004",'C_jama.2019.17380'!$A$2:$A$8,0)))</x:f>
        <x:v>report_internal_inconsistency</x:v>
      </x:c>
      <x:c r="U51" s="3" t="str">
        <x:f>IF(AND(INDEX('C_jama.2019.17380'!$D$2:$D$8,MATCH("2019::jama.2019.17380::C004",'C_jama.2019.17380'!$A$2:$A$8,0))="retain",INDEX('C_jama.2019.17380'!$E$2:$E$8,MATCH("2019::jama.2019.17380::C004",'C_jama.2019.17380'!$A$2:$A$8,0))="statistical_results"),IF(INDEX('C_jama.2019.17380'!$H$2:$H$8,MATCH("2019::jama.2019.17380::C004",'C_jama.2019.17380'!$A$2:$A$8,0))="","",INDEX('C_jama.2019.17380'!$H$2:$H$8,MATCH("2019::jama.2019.17380::C004",'C_jama.2019.17380'!$A$2:$A$8,0))),"not_applicable")</x:f>
        <x:v>not_applicable</x:v>
      </x:c>
      <x:c r="V51" s="3" t="str">
        <x:f>IF(AND(INDEX('C_jama.2019.17380'!$D$2:$D$8,MATCH("2019::jama.2019.17380::C004",'C_jama.2019.17380'!$A$2:$A$8,0))="retain",INDEX('C_jama.2019.17380'!$E$2:$E$8,MATCH("2019::jama.2019.17380::C004",'C_jama.2019.17380'!$A$2:$A$8,0))="statistical_results"),IF(INDEX('C_jama.2019.17380'!$I$2:$I$8,MATCH("2019::jama.2019.17380::C004",'C_jama.2019.17380'!$A$2:$A$8,0))="","",INDEX('C_jama.2019.17380'!$I$2:$I$8,MATCH("2019::jama.2019.17380::C004",'C_jama.2019.17380'!$A$2:$A$8,0))),"not_applicable")</x:f>
        <x:v>not_applicable</x:v>
      </x:c>
      <x:c r="W51" s="3" t="str">
        <x:f>IF(AND(INDEX('C_jama.2019.17380'!$D$2:$D$8,MATCH("2019::jama.2019.17380::C004",'C_jama.2019.17380'!$A$2:$A$8,0))="retain",INDEX('C_jama.2019.17380'!$E$2:$E$8,MATCH("2019::jama.2019.17380::C004",'C_jama.2019.17380'!$A$2:$A$8,0))="statistical_results"),IF(INDEX('C_jama.2019.17380'!$J$2:$J$8,MATCH("2019::jama.2019.17380::C004",'C_jama.2019.17380'!$A$2:$A$8,0))="","",INDEX('C_jama.2019.17380'!$J$2:$J$8,MATCH("2019::jama.2019.17380::C004",'C_jama.2019.17380'!$A$2:$A$8,0))),"not_applicable")</x:f>
        <x:v>not_applicable</x:v>
      </x:c>
      <x:c r="X51" s="3" t="str">
        <x:f>IF(AND(INDEX('C_jama.2019.17380'!$D$2:$D$8,MATCH("2019::jama.2019.17380::C004",'C_jama.2019.17380'!$A$2:$A$8,0))="retain",OR(INDEX('C_jama.2019.17380'!$E$2:$E$8,MATCH("2019::jama.2019.17380::C004",'C_jama.2019.17380'!$A$2:$A$8,0))="report_internal_inconsistency",INDEX('C_jama.2019.17380'!$E$2:$E$8,MATCH("2019::jama.2019.17380::C004",'C_jama.2019.17380'!$A$2:$A$8,0))="plan_material")),IF(INDEX('C_jama.2019.17380'!$K$2:$K$8,MATCH("2019::jama.2019.17380::C004",'C_jama.2019.17380'!$A$2:$A$8,0))="","",INDEX('C_jama.2019.17380'!$K$2:$K$8,MATCH("2019::jama.2019.17380::C004",'C_jama.2019.17380'!$A$2:$A$8,0))),"not_applicable")</x:f>
        <x:v>not_applicable</x:v>
      </x:c>
      <x:c r="Y51" s="3" t="str">
        <x:f>IF(AND(INDEX('C_jama.2019.17380'!$D$2:$D$8,MATCH("2019::jama.2019.17380::C004",'C_jama.2019.17380'!$A$2:$A$8,0))="retain",INDEX('C_jama.2019.17380'!$E$2:$E$8,MATCH("2019::jama.2019.17380::C004",'C_jama.2019.17380'!$A$2:$A$8,0))="protocol_report"),IF(INDEX('C_jama.2019.17380'!$L$2:$L$8,MATCH("2019::jama.2019.17380::C004",'C_jama.2019.17380'!$A$2:$A$8,0))="","",INDEX('C_jama.2019.17380'!$L$2:$L$8,MATCH("2019::jama.2019.17380::C004",'C_jama.2019.17380'!$A$2:$A$8,0))),"not_applicable")</x:f>
        <x:v>not_applicable</x:v>
      </x:c>
      <x:c r="Z51" s="3" t="str">
        <x:f>IF(INDEX('C_jama.2019.17380'!$R$2:$R$8,MATCH("2019::jama.2019.17380::C004",'C_jama.2019.17380'!$A$2:$A$8,0))="","",INDEX('C_jama.2019.17380'!$R$2:$R$8,MATCH("2019::jama.2019.17380::C004",'C_jama.2019.17380'!$A$2:$A$8,0)))</x:f>
      </x:c>
      <x:c r="AA51" s="3" t="str">
        <x:f>IF(INDEX('C_jama.2019.17380'!$N$2:$N$8,MATCH("2019::jama.2019.17380::C004",'C_jama.2019.17380'!$A$2:$A$8,0))="","",INDEX('C_jama.2019.17380'!$N$2:$N$8,MATCH("2019::jama.2019.17380::C004",'C_jama.2019.17380'!$A$2:$A$8,0)))</x:f>
      </x:c>
      <x:c r="AB51" s="3" t="str">
        <x:f>IF(INDEX('C_jama.2019.17380'!$O$2:$O$8,MATCH("2019::jama.2019.17380::C004",'C_jama.2019.17380'!$A$2:$A$8,0))="","",INDEX('C_jama.2019.17380'!$O$2:$O$8,MATCH("2019::jama.2019.17380::C004",'C_jama.2019.17380'!$A$2:$A$8,0)))</x:f>
      </x:c>
      <x:c r="AC51" s="3" t="str">
        <x:f>IF(INDEX('C_jama.2019.17380'!$P$2:$P$8,MATCH("2019::jama.2019.17380::C004",'C_jama.2019.17380'!$A$2:$A$8,0))="","",INDEX('C_jama.2019.17380'!$P$2:$P$8,MATCH("2019::jama.2019.17380::C004",'C_jama.2019.17380'!$A$2:$A$8,0)))</x:f>
      </x:c>
      <x:c r="AD51" s="3" t="str">
        <x:f>IF(INDEX('C_jama.2019.17380'!$Q$2:$Q$8,MATCH("2019::jama.2019.17380::C004",'C_jama.2019.17380'!$A$2:$A$8,0))="","",INDEX('C_jama.2019.17380'!$Q$2:$Q$8,MATCH("2019::jama.2019.17380::C004",'C_jama.2019.17380'!$A$2:$A$8,0)))</x:f>
      </x:c>
    </x:row>
    <x:row r="52" ht="65" customHeight="1">
      <x:c r="A52" s="6" t="n">
        <x:v>2019</x:v>
      </x:c>
      <x:c r="B52" s="6" t="str">
        <x:v>jama.2019.17380</x:v>
      </x:c>
      <x:c r="C52" s="6" t="str">
        <x:v>2019::jama.2019.17380::C005</x:v>
      </x:c>
      <x:c r="D52" s="6" t="str">
        <x:v>S_C</x:v>
      </x:c>
      <x:c r="E52" s="6" t="n">
        <x:f>Setup!$B$2</x:f>
        <x:v>0</x:v>
      </x:c>
      <x:c r="F52" s="6" t="str">
        <x:f>IF(Setup!$B$4="","",Setup!$B$4)</x:f>
      </x:c>
      <x:c r="G52" s="6" t="str">
        <x:f>IFERROR(INDEX('C_jama.2019.17380'!$G$2:$G$8,MATCH("2019::jama.2019.17380::C005",'C_jama.2019.17380'!$A$2:$A$8,0)),"CHECK KEY")</x:f>
        <x:v>CHECK REVIEWER IDs</x:v>
      </x:c>
      <x:c r="H52" s="6" t="str">
        <x:f>IF(G52&lt;&gt;"FINAL READY","",IF(S52&lt;&gt;"retain","not_eligible",IF(D52="P_R","protocol_descriptive",IF(D52="P_P","plan_descriptive",IF(AND(T52="statistical_results",OR(U52="confirmed_issue",U52="probable_issue"),V52="substantive"),"primary_temporal",IF(AND(T52="report_internal_inconsistency",X52="substantive_inconsistency"),"secondary_temporal","not_eligible"))))))</x:f>
      </x:c>
      <x:c r="I52" s="6" t="str">
        <x:v>retain</x:v>
      </x:c>
      <x:c r="J52" s="6" t="str">
        <x:v>report_internal_inconsistency</x:v>
      </x:c>
      <x:c r="K52" s="6" t="str">
        <x:f>IF(Setup!$B$6="primary","",IFERROR(IF(INDEX('Primary_snapshot'!$B$2:$B$72,MATCH(C52,'Primary_snapshot'!$A$2:$A$72,0))="","",INDEX('Primary_snapshot'!$B$2:$B$72,MATCH(C52,'Primary_snapshot'!$A$2:$A$72,0))),"SNAPSHOT MISSING"))</x:f>
      </x:c>
      <x:c r="L52" s="6" t="str">
        <x:f>IF(Setup!$B$6="primary","",IFERROR(IF(INDEX('Primary_snapshot'!$C$2:$C$72,MATCH(C52,'Primary_snapshot'!$A$2:$A$72,0))="","",INDEX('Primary_snapshot'!$C$2:$C$72,MATCH(C52,'Primary_snapshot'!$A$2:$A$72,0))),"SNAPSHOT MISSING"))</x:f>
      </x:c>
      <x:c r="M52" s="6" t="str">
        <x:f>IF(Setup!$B$6="primary","",IFERROR(IF(INDEX('Primary_snapshot'!$D$2:$D$72,MATCH(C52,'Primary_snapshot'!$A$2:$A$72,0))="","",INDEX('Primary_snapshot'!$D$2:$D$72,MATCH(C52,'Primary_snapshot'!$A$2:$A$72,0))),"SNAPSHOT MISSING"))</x:f>
      </x:c>
      <x:c r="N52" s="6" t="str">
        <x:f>IF(Setup!$B$6="primary","",IFERROR(IF(INDEX('Primary_snapshot'!$E$2:$E$72,MATCH(C52,'Primary_snapshot'!$A$2:$A$72,0))="","",INDEX('Primary_snapshot'!$E$2:$E$72,MATCH(C52,'Primary_snapshot'!$A$2:$A$72,0))),"SNAPSHOT MISSING"))</x:f>
      </x:c>
      <x:c r="O52" s="6" t="str">
        <x:f>IF(Setup!$B$6="primary","",IFERROR(IF(INDEX('Primary_snapshot'!$F$2:$F$72,MATCH(C52,'Primary_snapshot'!$A$2:$A$72,0))="","",INDEX('Primary_snapshot'!$F$2:$F$72,MATCH(C52,'Primary_snapshot'!$A$2:$A$72,0))),"SNAPSHOT MISSING"))</x:f>
      </x:c>
      <x:c r="P52" s="6" t="str">
        <x:f>IF(Setup!$B$6="primary","",IFERROR(IF(INDEX('Primary_snapshot'!$G$2:$G$72,MATCH(C52,'Primary_snapshot'!$A$2:$A$72,0))="","",INDEX('Primary_snapshot'!$G$2:$G$72,MATCH(C52,'Primary_snapshot'!$A$2:$A$72,0))),"SNAPSHOT MISSING"))</x:f>
      </x:c>
      <x:c r="Q52" s="6" t="str">
        <x:f>IF(Setup!$B$6="primary","",IFERROR(IF(INDEX('Primary_snapshot'!$H$2:$H$72,MATCH(C52,'Primary_snapshot'!$A$2:$A$72,0))="","",INDEX('Primary_snapshot'!$H$2:$H$72,MATCH(C52,'Primary_snapshot'!$A$2:$A$72,0))),"SNAPSHOT MISSING"))</x:f>
      </x:c>
      <x:c r="R52" s="6" t="str">
        <x:f>IF(Setup!$B$6="primary","",IFERROR(IF(INDEX('Primary_snapshot'!$I$2:$I$72,MATCH(C52,'Primary_snapshot'!$A$2:$A$72,0))="","",INDEX('Primary_snapshot'!$I$2:$I$72,MATCH(C52,'Primary_snapshot'!$A$2:$A$72,0))),"SNAPSHOT MISSING"))</x:f>
      </x:c>
      <x:c r="S52" s="6" t="str">
        <x:f>IF(INDEX('C_jama.2019.17380'!$D$2:$D$8,MATCH("2019::jama.2019.17380::C005",'C_jama.2019.17380'!$A$2:$A$8,0))="","",INDEX('C_jama.2019.17380'!$D$2:$D$8,MATCH("2019::jama.2019.17380::C005",'C_jama.2019.17380'!$A$2:$A$8,0)))</x:f>
      </x:c>
      <x:c r="T52" s="6" t="str">
        <x:f>IF(INDEX('C_jama.2019.17380'!$E$2:$E$8,MATCH("2019::jama.2019.17380::C005",'C_jama.2019.17380'!$A$2:$A$8,0))="","",INDEX('C_jama.2019.17380'!$E$2:$E$8,MATCH("2019::jama.2019.17380::C005",'C_jama.2019.17380'!$A$2:$A$8,0)))</x:f>
        <x:v>report_internal_inconsistency</x:v>
      </x:c>
      <x:c r="U52" s="6" t="str">
        <x:f>IF(AND(INDEX('C_jama.2019.17380'!$D$2:$D$8,MATCH("2019::jama.2019.17380::C005",'C_jama.2019.17380'!$A$2:$A$8,0))="retain",INDEX('C_jama.2019.17380'!$E$2:$E$8,MATCH("2019::jama.2019.17380::C005",'C_jama.2019.17380'!$A$2:$A$8,0))="statistical_results"),IF(INDEX('C_jama.2019.17380'!$H$2:$H$8,MATCH("2019::jama.2019.17380::C005",'C_jama.2019.17380'!$A$2:$A$8,0))="","",INDEX('C_jama.2019.17380'!$H$2:$H$8,MATCH("2019::jama.2019.17380::C005",'C_jama.2019.17380'!$A$2:$A$8,0))),"not_applicable")</x:f>
        <x:v>not_applicable</x:v>
      </x:c>
      <x:c r="V52" s="6" t="str">
        <x:f>IF(AND(INDEX('C_jama.2019.17380'!$D$2:$D$8,MATCH("2019::jama.2019.17380::C005",'C_jama.2019.17380'!$A$2:$A$8,0))="retain",INDEX('C_jama.2019.17380'!$E$2:$E$8,MATCH("2019::jama.2019.17380::C005",'C_jama.2019.17380'!$A$2:$A$8,0))="statistical_results"),IF(INDEX('C_jama.2019.17380'!$I$2:$I$8,MATCH("2019::jama.2019.17380::C005",'C_jama.2019.17380'!$A$2:$A$8,0))="","",INDEX('C_jama.2019.17380'!$I$2:$I$8,MATCH("2019::jama.2019.17380::C005",'C_jama.2019.17380'!$A$2:$A$8,0))),"not_applicable")</x:f>
        <x:v>not_applicable</x:v>
      </x:c>
      <x:c r="W52" s="6" t="str">
        <x:f>IF(AND(INDEX('C_jama.2019.17380'!$D$2:$D$8,MATCH("2019::jama.2019.17380::C005",'C_jama.2019.17380'!$A$2:$A$8,0))="retain",INDEX('C_jama.2019.17380'!$E$2:$E$8,MATCH("2019::jama.2019.17380::C005",'C_jama.2019.17380'!$A$2:$A$8,0))="statistical_results"),IF(INDEX('C_jama.2019.17380'!$J$2:$J$8,MATCH("2019::jama.2019.17380::C005",'C_jama.2019.17380'!$A$2:$A$8,0))="","",INDEX('C_jama.2019.17380'!$J$2:$J$8,MATCH("2019::jama.2019.17380::C005",'C_jama.2019.17380'!$A$2:$A$8,0))),"not_applicable")</x:f>
        <x:v>not_applicable</x:v>
      </x:c>
      <x:c r="X52" s="6" t="str">
        <x:f>IF(AND(INDEX('C_jama.2019.17380'!$D$2:$D$8,MATCH("2019::jama.2019.17380::C005",'C_jama.2019.17380'!$A$2:$A$8,0))="retain",OR(INDEX('C_jama.2019.17380'!$E$2:$E$8,MATCH("2019::jama.2019.17380::C005",'C_jama.2019.17380'!$A$2:$A$8,0))="report_internal_inconsistency",INDEX('C_jama.2019.17380'!$E$2:$E$8,MATCH("2019::jama.2019.17380::C005",'C_jama.2019.17380'!$A$2:$A$8,0))="plan_material")),IF(INDEX('C_jama.2019.17380'!$K$2:$K$8,MATCH("2019::jama.2019.17380::C005",'C_jama.2019.17380'!$A$2:$A$8,0))="","",INDEX('C_jama.2019.17380'!$K$2:$K$8,MATCH("2019::jama.2019.17380::C005",'C_jama.2019.17380'!$A$2:$A$8,0))),"not_applicable")</x:f>
        <x:v>not_applicable</x:v>
      </x:c>
      <x:c r="Y52" s="6" t="str">
        <x:f>IF(AND(INDEX('C_jama.2019.17380'!$D$2:$D$8,MATCH("2019::jama.2019.17380::C005",'C_jama.2019.17380'!$A$2:$A$8,0))="retain",INDEX('C_jama.2019.17380'!$E$2:$E$8,MATCH("2019::jama.2019.17380::C005",'C_jama.2019.17380'!$A$2:$A$8,0))="protocol_report"),IF(INDEX('C_jama.2019.17380'!$L$2:$L$8,MATCH("2019::jama.2019.17380::C005",'C_jama.2019.17380'!$A$2:$A$8,0))="","",INDEX('C_jama.2019.17380'!$L$2:$L$8,MATCH("2019::jama.2019.17380::C005",'C_jama.2019.17380'!$A$2:$A$8,0))),"not_applicable")</x:f>
        <x:v>not_applicable</x:v>
      </x:c>
      <x:c r="Z52" s="6" t="str">
        <x:f>IF(INDEX('C_jama.2019.17380'!$R$2:$R$8,MATCH("2019::jama.2019.17380::C005",'C_jama.2019.17380'!$A$2:$A$8,0))="","",INDEX('C_jama.2019.17380'!$R$2:$R$8,MATCH("2019::jama.2019.17380::C005",'C_jama.2019.17380'!$A$2:$A$8,0)))</x:f>
      </x:c>
      <x:c r="AA52" s="6" t="str">
        <x:f>IF(INDEX('C_jama.2019.17380'!$N$2:$N$8,MATCH("2019::jama.2019.17380::C005",'C_jama.2019.17380'!$A$2:$A$8,0))="","",INDEX('C_jama.2019.17380'!$N$2:$N$8,MATCH("2019::jama.2019.17380::C005",'C_jama.2019.17380'!$A$2:$A$8,0)))</x:f>
      </x:c>
      <x:c r="AB52" s="6" t="str">
        <x:f>IF(INDEX('C_jama.2019.17380'!$O$2:$O$8,MATCH("2019::jama.2019.17380::C005",'C_jama.2019.17380'!$A$2:$A$8,0))="","",INDEX('C_jama.2019.17380'!$O$2:$O$8,MATCH("2019::jama.2019.17380::C005",'C_jama.2019.17380'!$A$2:$A$8,0)))</x:f>
      </x:c>
      <x:c r="AC52" s="6" t="str">
        <x:f>IF(INDEX('C_jama.2019.17380'!$P$2:$P$8,MATCH("2019::jama.2019.17380::C005",'C_jama.2019.17380'!$A$2:$A$8,0))="","",INDEX('C_jama.2019.17380'!$P$2:$P$8,MATCH("2019::jama.2019.17380::C005",'C_jama.2019.17380'!$A$2:$A$8,0)))</x:f>
      </x:c>
      <x:c r="AD52" s="6" t="str">
        <x:f>IF(INDEX('C_jama.2019.17380'!$Q$2:$Q$8,MATCH("2019::jama.2019.17380::C005",'C_jama.2019.17380'!$A$2:$A$8,0))="","",INDEX('C_jama.2019.17380'!$Q$2:$Q$8,MATCH("2019::jama.2019.17380::C005",'C_jama.2019.17380'!$A$2:$A$8,0)))</x:f>
      </x:c>
    </x:row>
    <x:row r="53" ht="65" customHeight="1">
      <x:c r="A53" s="3" t="n">
        <x:v>2019</x:v>
      </x:c>
      <x:c r="B53" s="3" t="str">
        <x:v>jama.2019.17380</x:v>
      </x:c>
      <x:c r="C53" s="3" t="str">
        <x:v>2019::jama.2019.17380::C006</x:v>
      </x:c>
      <x:c r="D53" s="3" t="str">
        <x:v>S_C</x:v>
      </x:c>
      <x:c r="E53" s="3" t="n">
        <x:f>Setup!$B$2</x:f>
        <x:v>0</x:v>
      </x:c>
      <x:c r="F53" s="3" t="str">
        <x:f>IF(Setup!$B$4="","",Setup!$B$4)</x:f>
      </x:c>
      <x:c r="G53" s="3" t="str">
        <x:f>IFERROR(INDEX('C_jama.2019.17380'!$G$2:$G$8,MATCH("2019::jama.2019.17380::C006",'C_jama.2019.17380'!$A$2:$A$8,0)),"CHECK KEY")</x:f>
        <x:v>CHECK REVIEWER IDs</x:v>
      </x:c>
      <x:c r="H53" s="3" t="str">
        <x:f>IF(G53&lt;&gt;"FINAL READY","",IF(S53&lt;&gt;"retain","not_eligible",IF(D53="P_R","protocol_descriptive",IF(D53="P_P","plan_descriptive",IF(AND(T53="statistical_results",OR(U53="confirmed_issue",U53="probable_issue"),V53="substantive"),"primary_temporal",IF(AND(T53="report_internal_inconsistency",X53="substantive_inconsistency"),"secondary_temporal","not_eligible"))))))</x:f>
      </x:c>
      <x:c r="I53" s="3" t="str">
        <x:v>retain</x:v>
      </x:c>
      <x:c r="J53" s="3" t="str">
        <x:v>report_internal_inconsistency</x:v>
      </x:c>
      <x:c r="K53" s="3" t="str">
        <x:f>IF(Setup!$B$6="primary","",IFERROR(IF(INDEX('Primary_snapshot'!$B$2:$B$72,MATCH(C53,'Primary_snapshot'!$A$2:$A$72,0))="","",INDEX('Primary_snapshot'!$B$2:$B$72,MATCH(C53,'Primary_snapshot'!$A$2:$A$72,0))),"SNAPSHOT MISSING"))</x:f>
      </x:c>
      <x:c r="L53" s="3" t="str">
        <x:f>IF(Setup!$B$6="primary","",IFERROR(IF(INDEX('Primary_snapshot'!$C$2:$C$72,MATCH(C53,'Primary_snapshot'!$A$2:$A$72,0))="","",INDEX('Primary_snapshot'!$C$2:$C$72,MATCH(C53,'Primary_snapshot'!$A$2:$A$72,0))),"SNAPSHOT MISSING"))</x:f>
      </x:c>
      <x:c r="M53" s="3" t="str">
        <x:f>IF(Setup!$B$6="primary","",IFERROR(IF(INDEX('Primary_snapshot'!$D$2:$D$72,MATCH(C53,'Primary_snapshot'!$A$2:$A$72,0))="","",INDEX('Primary_snapshot'!$D$2:$D$72,MATCH(C53,'Primary_snapshot'!$A$2:$A$72,0))),"SNAPSHOT MISSING"))</x:f>
      </x:c>
      <x:c r="N53" s="3" t="str">
        <x:f>IF(Setup!$B$6="primary","",IFERROR(IF(INDEX('Primary_snapshot'!$E$2:$E$72,MATCH(C53,'Primary_snapshot'!$A$2:$A$72,0))="","",INDEX('Primary_snapshot'!$E$2:$E$72,MATCH(C53,'Primary_snapshot'!$A$2:$A$72,0))),"SNAPSHOT MISSING"))</x:f>
      </x:c>
      <x:c r="O53" s="3" t="str">
        <x:f>IF(Setup!$B$6="primary","",IFERROR(IF(INDEX('Primary_snapshot'!$F$2:$F$72,MATCH(C53,'Primary_snapshot'!$A$2:$A$72,0))="","",INDEX('Primary_snapshot'!$F$2:$F$72,MATCH(C53,'Primary_snapshot'!$A$2:$A$72,0))),"SNAPSHOT MISSING"))</x:f>
      </x:c>
      <x:c r="P53" s="3" t="str">
        <x:f>IF(Setup!$B$6="primary","",IFERROR(IF(INDEX('Primary_snapshot'!$G$2:$G$72,MATCH(C53,'Primary_snapshot'!$A$2:$A$72,0))="","",INDEX('Primary_snapshot'!$G$2:$G$72,MATCH(C53,'Primary_snapshot'!$A$2:$A$72,0))),"SNAPSHOT MISSING"))</x:f>
      </x:c>
      <x:c r="Q53" s="3" t="str">
        <x:f>IF(Setup!$B$6="primary","",IFERROR(IF(INDEX('Primary_snapshot'!$H$2:$H$72,MATCH(C53,'Primary_snapshot'!$A$2:$A$72,0))="","",INDEX('Primary_snapshot'!$H$2:$H$72,MATCH(C53,'Primary_snapshot'!$A$2:$A$72,0))),"SNAPSHOT MISSING"))</x:f>
      </x:c>
      <x:c r="R53" s="3" t="str">
        <x:f>IF(Setup!$B$6="primary","",IFERROR(IF(INDEX('Primary_snapshot'!$I$2:$I$72,MATCH(C53,'Primary_snapshot'!$A$2:$A$72,0))="","",INDEX('Primary_snapshot'!$I$2:$I$72,MATCH(C53,'Primary_snapshot'!$A$2:$A$72,0))),"SNAPSHOT MISSING"))</x:f>
      </x:c>
      <x:c r="S53" s="3" t="str">
        <x:f>IF(INDEX('C_jama.2019.17380'!$D$2:$D$8,MATCH("2019::jama.2019.17380::C006",'C_jama.2019.17380'!$A$2:$A$8,0))="","",INDEX('C_jama.2019.17380'!$D$2:$D$8,MATCH("2019::jama.2019.17380::C006",'C_jama.2019.17380'!$A$2:$A$8,0)))</x:f>
      </x:c>
      <x:c r="T53" s="3" t="str">
        <x:f>IF(INDEX('C_jama.2019.17380'!$E$2:$E$8,MATCH("2019::jama.2019.17380::C006",'C_jama.2019.17380'!$A$2:$A$8,0))="","",INDEX('C_jama.2019.17380'!$E$2:$E$8,MATCH("2019::jama.2019.17380::C006",'C_jama.2019.17380'!$A$2:$A$8,0)))</x:f>
        <x:v>report_internal_inconsistency</x:v>
      </x:c>
      <x:c r="U53" s="3" t="str">
        <x:f>IF(AND(INDEX('C_jama.2019.17380'!$D$2:$D$8,MATCH("2019::jama.2019.17380::C006",'C_jama.2019.17380'!$A$2:$A$8,0))="retain",INDEX('C_jama.2019.17380'!$E$2:$E$8,MATCH("2019::jama.2019.17380::C006",'C_jama.2019.17380'!$A$2:$A$8,0))="statistical_results"),IF(INDEX('C_jama.2019.17380'!$H$2:$H$8,MATCH("2019::jama.2019.17380::C006",'C_jama.2019.17380'!$A$2:$A$8,0))="","",INDEX('C_jama.2019.17380'!$H$2:$H$8,MATCH("2019::jama.2019.17380::C006",'C_jama.2019.17380'!$A$2:$A$8,0))),"not_applicable")</x:f>
        <x:v>not_applicable</x:v>
      </x:c>
      <x:c r="V53" s="3" t="str">
        <x:f>IF(AND(INDEX('C_jama.2019.17380'!$D$2:$D$8,MATCH("2019::jama.2019.17380::C006",'C_jama.2019.17380'!$A$2:$A$8,0))="retain",INDEX('C_jama.2019.17380'!$E$2:$E$8,MATCH("2019::jama.2019.17380::C006",'C_jama.2019.17380'!$A$2:$A$8,0))="statistical_results"),IF(INDEX('C_jama.2019.17380'!$I$2:$I$8,MATCH("2019::jama.2019.17380::C006",'C_jama.2019.17380'!$A$2:$A$8,0))="","",INDEX('C_jama.2019.17380'!$I$2:$I$8,MATCH("2019::jama.2019.17380::C006",'C_jama.2019.17380'!$A$2:$A$8,0))),"not_applicable")</x:f>
        <x:v>not_applicable</x:v>
      </x:c>
      <x:c r="W53" s="3" t="str">
        <x:f>IF(AND(INDEX('C_jama.2019.17380'!$D$2:$D$8,MATCH("2019::jama.2019.17380::C006",'C_jama.2019.17380'!$A$2:$A$8,0))="retain",INDEX('C_jama.2019.17380'!$E$2:$E$8,MATCH("2019::jama.2019.17380::C006",'C_jama.2019.17380'!$A$2:$A$8,0))="statistical_results"),IF(INDEX('C_jama.2019.17380'!$J$2:$J$8,MATCH("2019::jama.2019.17380::C006",'C_jama.2019.17380'!$A$2:$A$8,0))="","",INDEX('C_jama.2019.17380'!$J$2:$J$8,MATCH("2019::jama.2019.17380::C006",'C_jama.2019.17380'!$A$2:$A$8,0))),"not_applicable")</x:f>
        <x:v>not_applicable</x:v>
      </x:c>
      <x:c r="X53" s="3" t="str">
        <x:f>IF(AND(INDEX('C_jama.2019.17380'!$D$2:$D$8,MATCH("2019::jama.2019.17380::C006",'C_jama.2019.17380'!$A$2:$A$8,0))="retain",OR(INDEX('C_jama.2019.17380'!$E$2:$E$8,MATCH("2019::jama.2019.17380::C006",'C_jama.2019.17380'!$A$2:$A$8,0))="report_internal_inconsistency",INDEX('C_jama.2019.17380'!$E$2:$E$8,MATCH("2019::jama.2019.17380::C006",'C_jama.2019.17380'!$A$2:$A$8,0))="plan_material")),IF(INDEX('C_jama.2019.17380'!$K$2:$K$8,MATCH("2019::jama.2019.17380::C006",'C_jama.2019.17380'!$A$2:$A$8,0))="","",INDEX('C_jama.2019.17380'!$K$2:$K$8,MATCH("2019::jama.2019.17380::C006",'C_jama.2019.17380'!$A$2:$A$8,0))),"not_applicable")</x:f>
        <x:v>not_applicable</x:v>
      </x:c>
      <x:c r="Y53" s="3" t="str">
        <x:f>IF(AND(INDEX('C_jama.2019.17380'!$D$2:$D$8,MATCH("2019::jama.2019.17380::C006",'C_jama.2019.17380'!$A$2:$A$8,0))="retain",INDEX('C_jama.2019.17380'!$E$2:$E$8,MATCH("2019::jama.2019.17380::C006",'C_jama.2019.17380'!$A$2:$A$8,0))="protocol_report"),IF(INDEX('C_jama.2019.17380'!$L$2:$L$8,MATCH("2019::jama.2019.17380::C006",'C_jama.2019.17380'!$A$2:$A$8,0))="","",INDEX('C_jama.2019.17380'!$L$2:$L$8,MATCH("2019::jama.2019.17380::C006",'C_jama.2019.17380'!$A$2:$A$8,0))),"not_applicable")</x:f>
        <x:v>not_applicable</x:v>
      </x:c>
      <x:c r="Z53" s="3" t="str">
        <x:f>IF(INDEX('C_jama.2019.17380'!$R$2:$R$8,MATCH("2019::jama.2019.17380::C006",'C_jama.2019.17380'!$A$2:$A$8,0))="","",INDEX('C_jama.2019.17380'!$R$2:$R$8,MATCH("2019::jama.2019.17380::C006",'C_jama.2019.17380'!$A$2:$A$8,0)))</x:f>
      </x:c>
      <x:c r="AA53" s="3" t="str">
        <x:f>IF(INDEX('C_jama.2019.17380'!$N$2:$N$8,MATCH("2019::jama.2019.17380::C006",'C_jama.2019.17380'!$A$2:$A$8,0))="","",INDEX('C_jama.2019.17380'!$N$2:$N$8,MATCH("2019::jama.2019.17380::C006",'C_jama.2019.17380'!$A$2:$A$8,0)))</x:f>
      </x:c>
      <x:c r="AB53" s="3" t="str">
        <x:f>IF(INDEX('C_jama.2019.17380'!$O$2:$O$8,MATCH("2019::jama.2019.17380::C006",'C_jama.2019.17380'!$A$2:$A$8,0))="","",INDEX('C_jama.2019.17380'!$O$2:$O$8,MATCH("2019::jama.2019.17380::C006",'C_jama.2019.17380'!$A$2:$A$8,0)))</x:f>
      </x:c>
      <x:c r="AC53" s="3" t="str">
        <x:f>IF(INDEX('C_jama.2019.17380'!$P$2:$P$8,MATCH("2019::jama.2019.17380::C006",'C_jama.2019.17380'!$A$2:$A$8,0))="","",INDEX('C_jama.2019.17380'!$P$2:$P$8,MATCH("2019::jama.2019.17380::C006",'C_jama.2019.17380'!$A$2:$A$8,0)))</x:f>
      </x:c>
      <x:c r="AD53" s="3" t="str">
        <x:f>IF(INDEX('C_jama.2019.17380'!$Q$2:$Q$8,MATCH("2019::jama.2019.17380::C006",'C_jama.2019.17380'!$A$2:$A$8,0))="","",INDEX('C_jama.2019.17380'!$Q$2:$Q$8,MATCH("2019::jama.2019.17380::C006",'C_jama.2019.17380'!$A$2:$A$8,0)))</x:f>
      </x:c>
    </x:row>
    <x:row r="54" ht="65" customHeight="1">
      <x:c r="A54" s="6" t="n">
        <x:v>2019</x:v>
      </x:c>
      <x:c r="B54" s="6" t="str">
        <x:v>jama.2019.17380</x:v>
      </x:c>
      <x:c r="C54" s="6" t="str">
        <x:v>2019::jama.2019.17380::C007</x:v>
      </x:c>
      <x:c r="D54" s="6" t="str">
        <x:v>P_R</x:v>
      </x:c>
      <x:c r="E54" s="6" t="n">
        <x:f>Setup!$B$2</x:f>
        <x:v>0</x:v>
      </x:c>
      <x:c r="F54" s="6" t="str">
        <x:f>IF(Setup!$B$4="","",Setup!$B$4)</x:f>
      </x:c>
      <x:c r="G54" s="6" t="str">
        <x:f>IFERROR(INDEX('C_jama.2019.17380'!$G$2:$G$8,MATCH("2019::jama.2019.17380::C007",'C_jama.2019.17380'!$A$2:$A$8,0)),"CHECK KEY")</x:f>
        <x:v>CHECK REVIEWER IDs</x:v>
      </x:c>
      <x:c r="H54" s="6" t="str">
        <x:f>IF(G54&lt;&gt;"FINAL READY","",IF(S54&lt;&gt;"retain","not_eligible",IF(D54="P_R","protocol_descriptive",IF(D54="P_P","plan_descriptive",IF(AND(T54="statistical_results",OR(U54="confirmed_issue",U54="probable_issue"),V54="substantive"),"primary_temporal",IF(AND(T54="report_internal_inconsistency",X54="substantive_inconsistency"),"secondary_temporal","not_eligible"))))))</x:f>
      </x:c>
      <x:c r="I54" s="6" t="str">
        <x:v>retain</x:v>
      </x:c>
      <x:c r="J54" s="6" t="str">
        <x:v>protocol_report</x:v>
      </x:c>
      <x:c r="K54" s="6" t="str">
        <x:f>IF(Setup!$B$6="primary","",IFERROR(IF(INDEX('Primary_snapshot'!$B$2:$B$72,MATCH(C54,'Primary_snapshot'!$A$2:$A$72,0))="","",INDEX('Primary_snapshot'!$B$2:$B$72,MATCH(C54,'Primary_snapshot'!$A$2:$A$72,0))),"SNAPSHOT MISSING"))</x:f>
      </x:c>
      <x:c r="L54" s="6" t="str">
        <x:f>IF(Setup!$B$6="primary","",IFERROR(IF(INDEX('Primary_snapshot'!$C$2:$C$72,MATCH(C54,'Primary_snapshot'!$A$2:$A$72,0))="","",INDEX('Primary_snapshot'!$C$2:$C$72,MATCH(C54,'Primary_snapshot'!$A$2:$A$72,0))),"SNAPSHOT MISSING"))</x:f>
      </x:c>
      <x:c r="M54" s="6" t="str">
        <x:f>IF(Setup!$B$6="primary","",IFERROR(IF(INDEX('Primary_snapshot'!$D$2:$D$72,MATCH(C54,'Primary_snapshot'!$A$2:$A$72,0))="","",INDEX('Primary_snapshot'!$D$2:$D$72,MATCH(C54,'Primary_snapshot'!$A$2:$A$72,0))),"SNAPSHOT MISSING"))</x:f>
      </x:c>
      <x:c r="N54" s="6" t="str">
        <x:f>IF(Setup!$B$6="primary","",IFERROR(IF(INDEX('Primary_snapshot'!$E$2:$E$72,MATCH(C54,'Primary_snapshot'!$A$2:$A$72,0))="","",INDEX('Primary_snapshot'!$E$2:$E$72,MATCH(C54,'Primary_snapshot'!$A$2:$A$72,0))),"SNAPSHOT MISSING"))</x:f>
      </x:c>
      <x:c r="O54" s="6" t="str">
        <x:f>IF(Setup!$B$6="primary","",IFERROR(IF(INDEX('Primary_snapshot'!$F$2:$F$72,MATCH(C54,'Primary_snapshot'!$A$2:$A$72,0))="","",INDEX('Primary_snapshot'!$F$2:$F$72,MATCH(C54,'Primary_snapshot'!$A$2:$A$72,0))),"SNAPSHOT MISSING"))</x:f>
      </x:c>
      <x:c r="P54" s="6" t="str">
        <x:f>IF(Setup!$B$6="primary","",IFERROR(IF(INDEX('Primary_snapshot'!$G$2:$G$72,MATCH(C54,'Primary_snapshot'!$A$2:$A$72,0))="","",INDEX('Primary_snapshot'!$G$2:$G$72,MATCH(C54,'Primary_snapshot'!$A$2:$A$72,0))),"SNAPSHOT MISSING"))</x:f>
      </x:c>
      <x:c r="Q54" s="6" t="str">
        <x:f>IF(Setup!$B$6="primary","",IFERROR(IF(INDEX('Primary_snapshot'!$H$2:$H$72,MATCH(C54,'Primary_snapshot'!$A$2:$A$72,0))="","",INDEX('Primary_snapshot'!$H$2:$H$72,MATCH(C54,'Primary_snapshot'!$A$2:$A$72,0))),"SNAPSHOT MISSING"))</x:f>
      </x:c>
      <x:c r="R54" s="6" t="str">
        <x:f>IF(Setup!$B$6="primary","",IFERROR(IF(INDEX('Primary_snapshot'!$I$2:$I$72,MATCH(C54,'Primary_snapshot'!$A$2:$A$72,0))="","",INDEX('Primary_snapshot'!$I$2:$I$72,MATCH(C54,'Primary_snapshot'!$A$2:$A$72,0))),"SNAPSHOT MISSING"))</x:f>
      </x:c>
      <x:c r="S54" s="6" t="str">
        <x:f>IF(INDEX('C_jama.2019.17380'!$D$2:$D$8,MATCH("2019::jama.2019.17380::C007",'C_jama.2019.17380'!$A$2:$A$8,0))="","",INDEX('C_jama.2019.17380'!$D$2:$D$8,MATCH("2019::jama.2019.17380::C007",'C_jama.2019.17380'!$A$2:$A$8,0)))</x:f>
      </x:c>
      <x:c r="T54" s="6" t="str">
        <x:f>IF(INDEX('C_jama.2019.17380'!$E$2:$E$8,MATCH("2019::jama.2019.17380::C007",'C_jama.2019.17380'!$A$2:$A$8,0))="","",INDEX('C_jama.2019.17380'!$E$2:$E$8,MATCH("2019::jama.2019.17380::C007",'C_jama.2019.17380'!$A$2:$A$8,0)))</x:f>
        <x:v>protocol_report</x:v>
      </x:c>
      <x:c r="U54" s="6" t="str">
        <x:f>IF(AND(INDEX('C_jama.2019.17380'!$D$2:$D$8,MATCH("2019::jama.2019.17380::C007",'C_jama.2019.17380'!$A$2:$A$8,0))="retain",INDEX('C_jama.2019.17380'!$E$2:$E$8,MATCH("2019::jama.2019.17380::C007",'C_jama.2019.17380'!$A$2:$A$8,0))="statistical_results"),IF(INDEX('C_jama.2019.17380'!$H$2:$H$8,MATCH("2019::jama.2019.17380::C007",'C_jama.2019.17380'!$A$2:$A$8,0))="","",INDEX('C_jama.2019.17380'!$H$2:$H$8,MATCH("2019::jama.2019.17380::C007",'C_jama.2019.17380'!$A$2:$A$8,0))),"not_applicable")</x:f>
        <x:v>not_applicable</x:v>
      </x:c>
      <x:c r="V54" s="6" t="str">
        <x:f>IF(AND(INDEX('C_jama.2019.17380'!$D$2:$D$8,MATCH("2019::jama.2019.17380::C007",'C_jama.2019.17380'!$A$2:$A$8,0))="retain",INDEX('C_jama.2019.17380'!$E$2:$E$8,MATCH("2019::jama.2019.17380::C007",'C_jama.2019.17380'!$A$2:$A$8,0))="statistical_results"),IF(INDEX('C_jama.2019.17380'!$I$2:$I$8,MATCH("2019::jama.2019.17380::C007",'C_jama.2019.17380'!$A$2:$A$8,0))="","",INDEX('C_jama.2019.17380'!$I$2:$I$8,MATCH("2019::jama.2019.17380::C007",'C_jama.2019.17380'!$A$2:$A$8,0))),"not_applicable")</x:f>
        <x:v>not_applicable</x:v>
      </x:c>
      <x:c r="W54" s="6" t="str">
        <x:f>IF(AND(INDEX('C_jama.2019.17380'!$D$2:$D$8,MATCH("2019::jama.2019.17380::C007",'C_jama.2019.17380'!$A$2:$A$8,0))="retain",INDEX('C_jama.2019.17380'!$E$2:$E$8,MATCH("2019::jama.2019.17380::C007",'C_jama.2019.17380'!$A$2:$A$8,0))="statistical_results"),IF(INDEX('C_jama.2019.17380'!$J$2:$J$8,MATCH("2019::jama.2019.17380::C007",'C_jama.2019.17380'!$A$2:$A$8,0))="","",INDEX('C_jama.2019.17380'!$J$2:$J$8,MATCH("2019::jama.2019.17380::C007",'C_jama.2019.17380'!$A$2:$A$8,0))),"not_applicable")</x:f>
        <x:v>not_applicable</x:v>
      </x:c>
      <x:c r="X54" s="6" t="str">
        <x:f>IF(AND(INDEX('C_jama.2019.17380'!$D$2:$D$8,MATCH("2019::jama.2019.17380::C007",'C_jama.2019.17380'!$A$2:$A$8,0))="retain",OR(INDEX('C_jama.2019.17380'!$E$2:$E$8,MATCH("2019::jama.2019.17380::C007",'C_jama.2019.17380'!$A$2:$A$8,0))="report_internal_inconsistency",INDEX('C_jama.2019.17380'!$E$2:$E$8,MATCH("2019::jama.2019.17380::C007",'C_jama.2019.17380'!$A$2:$A$8,0))="plan_material")),IF(INDEX('C_jama.2019.17380'!$K$2:$K$8,MATCH("2019::jama.2019.17380::C007",'C_jama.2019.17380'!$A$2:$A$8,0))="","",INDEX('C_jama.2019.17380'!$K$2:$K$8,MATCH("2019::jama.2019.17380::C007",'C_jama.2019.17380'!$A$2:$A$8,0))),"not_applicable")</x:f>
        <x:v>not_applicable</x:v>
      </x:c>
      <x:c r="Y54" s="6" t="str">
        <x:f>IF(AND(INDEX('C_jama.2019.17380'!$D$2:$D$8,MATCH("2019::jama.2019.17380::C007",'C_jama.2019.17380'!$A$2:$A$8,0))="retain",INDEX('C_jama.2019.17380'!$E$2:$E$8,MATCH("2019::jama.2019.17380::C007",'C_jama.2019.17380'!$A$2:$A$8,0))="protocol_report"),IF(INDEX('C_jama.2019.17380'!$L$2:$L$8,MATCH("2019::jama.2019.17380::C007",'C_jama.2019.17380'!$A$2:$A$8,0))="","",INDEX('C_jama.2019.17380'!$L$2:$L$8,MATCH("2019::jama.2019.17380::C007",'C_jama.2019.17380'!$A$2:$A$8,0))),"not_applicable")</x:f>
        <x:v>not_applicable</x:v>
      </x:c>
      <x:c r="Z54" s="6" t="str">
        <x:f>IF(INDEX('C_jama.2019.17380'!$R$2:$R$8,MATCH("2019::jama.2019.17380::C007",'C_jama.2019.17380'!$A$2:$A$8,0))="","",INDEX('C_jama.2019.17380'!$R$2:$R$8,MATCH("2019::jama.2019.17380::C007",'C_jama.2019.17380'!$A$2:$A$8,0)))</x:f>
      </x:c>
      <x:c r="AA54" s="6" t="str">
        <x:f>IF(INDEX('C_jama.2019.17380'!$N$2:$N$8,MATCH("2019::jama.2019.17380::C007",'C_jama.2019.17380'!$A$2:$A$8,0))="","",INDEX('C_jama.2019.17380'!$N$2:$N$8,MATCH("2019::jama.2019.17380::C007",'C_jama.2019.17380'!$A$2:$A$8,0)))</x:f>
      </x:c>
      <x:c r="AB54" s="6" t="str">
        <x:f>IF(INDEX('C_jama.2019.17380'!$O$2:$O$8,MATCH("2019::jama.2019.17380::C007",'C_jama.2019.17380'!$A$2:$A$8,0))="","",INDEX('C_jama.2019.17380'!$O$2:$O$8,MATCH("2019::jama.2019.17380::C007",'C_jama.2019.17380'!$A$2:$A$8,0)))</x:f>
      </x:c>
      <x:c r="AC54" s="6" t="str">
        <x:f>IF(INDEX('C_jama.2019.17380'!$P$2:$P$8,MATCH("2019::jama.2019.17380::C007",'C_jama.2019.17380'!$A$2:$A$8,0))="","",INDEX('C_jama.2019.17380'!$P$2:$P$8,MATCH("2019::jama.2019.17380::C007",'C_jama.2019.17380'!$A$2:$A$8,0)))</x:f>
      </x:c>
      <x:c r="AD54" s="6" t="str">
        <x:f>IF(INDEX('C_jama.2019.17380'!$Q$2:$Q$8,MATCH("2019::jama.2019.17380::C007",'C_jama.2019.17380'!$A$2:$A$8,0))="","",INDEX('C_jama.2019.17380'!$Q$2:$Q$8,MATCH("2019::jama.2019.17380::C007",'C_jama.2019.17380'!$A$2:$A$8,0)))</x:f>
      </x:c>
    </x:row>
    <x:row r="55" ht="65" customHeight="1">
      <x:c r="A55" s="3" t="n">
        <x:v>2019</x:v>
      </x:c>
      <x:c r="B55" s="3" t="str">
        <x:v>jama.2019.2210</x:v>
      </x:c>
      <x:c r="C55" s="3" t="str">
        <x:v>2019::jama.2019.2210::C001</x:v>
      </x:c>
      <x:c r="D55" s="3" t="str">
        <x:v>S_W</x:v>
      </x:c>
      <x:c r="E55" s="3" t="n">
        <x:f>Setup!$B$2</x:f>
        <x:v>0</x:v>
      </x:c>
      <x:c r="F55" s="3" t="str">
        <x:f>IF(Setup!$B$4="","",Setup!$B$4)</x:f>
      </x:c>
      <x:c r="G55" s="3" t="str">
        <x:f>IFERROR(INDEX('C_jama.2019.2210'!$G$2:$G$10,MATCH("2019::jama.2019.2210::C001",'C_jama.2019.2210'!$A$2:$A$10,0)),"CHECK KEY")</x:f>
        <x:v>CHECK REVIEWER IDs</x:v>
      </x:c>
      <x:c r="H55" s="3" t="str">
        <x:f>IF(G55&lt;&gt;"FINAL READY","",IF(S55&lt;&gt;"retain","not_eligible",IF(D55="P_R","protocol_descriptive",IF(D55="P_P","plan_descriptive",IF(AND(T55="statistical_results",OR(U55="confirmed_issue",U55="probable_issue"),V55="substantive"),"primary_temporal",IF(AND(T55="report_internal_inconsistency",X55="substantive_inconsistency"),"secondary_temporal","not_eligible"))))))</x:f>
      </x:c>
      <x:c r="I55" s="3" t="str">
        <x:v>retain</x:v>
      </x:c>
      <x:c r="J55" s="3" t="str">
        <x:v>statistical_results</x:v>
      </x:c>
      <x:c r="K55" s="3" t="str">
        <x:f>IF(Setup!$B$6="primary","",IFERROR(IF(INDEX('Primary_snapshot'!$B$2:$B$72,MATCH(C55,'Primary_snapshot'!$A$2:$A$72,0))="","",INDEX('Primary_snapshot'!$B$2:$B$72,MATCH(C55,'Primary_snapshot'!$A$2:$A$72,0))),"SNAPSHOT MISSING"))</x:f>
      </x:c>
      <x:c r="L55" s="3" t="str">
        <x:f>IF(Setup!$B$6="primary","",IFERROR(IF(INDEX('Primary_snapshot'!$C$2:$C$72,MATCH(C55,'Primary_snapshot'!$A$2:$A$72,0))="","",INDEX('Primary_snapshot'!$C$2:$C$72,MATCH(C55,'Primary_snapshot'!$A$2:$A$72,0))),"SNAPSHOT MISSING"))</x:f>
      </x:c>
      <x:c r="M55" s="3" t="str">
        <x:f>IF(Setup!$B$6="primary","",IFERROR(IF(INDEX('Primary_snapshot'!$D$2:$D$72,MATCH(C55,'Primary_snapshot'!$A$2:$A$72,0))="","",INDEX('Primary_snapshot'!$D$2:$D$72,MATCH(C55,'Primary_snapshot'!$A$2:$A$72,0))),"SNAPSHOT MISSING"))</x:f>
      </x:c>
      <x:c r="N55" s="3" t="str">
        <x:f>IF(Setup!$B$6="primary","",IFERROR(IF(INDEX('Primary_snapshot'!$E$2:$E$72,MATCH(C55,'Primary_snapshot'!$A$2:$A$72,0))="","",INDEX('Primary_snapshot'!$E$2:$E$72,MATCH(C55,'Primary_snapshot'!$A$2:$A$72,0))),"SNAPSHOT MISSING"))</x:f>
      </x:c>
      <x:c r="O55" s="3" t="str">
        <x:f>IF(Setup!$B$6="primary","",IFERROR(IF(INDEX('Primary_snapshot'!$F$2:$F$72,MATCH(C55,'Primary_snapshot'!$A$2:$A$72,0))="","",INDEX('Primary_snapshot'!$F$2:$F$72,MATCH(C55,'Primary_snapshot'!$A$2:$A$72,0))),"SNAPSHOT MISSING"))</x:f>
      </x:c>
      <x:c r="P55" s="3" t="str">
        <x:f>IF(Setup!$B$6="primary","",IFERROR(IF(INDEX('Primary_snapshot'!$G$2:$G$72,MATCH(C55,'Primary_snapshot'!$A$2:$A$72,0))="","",INDEX('Primary_snapshot'!$G$2:$G$72,MATCH(C55,'Primary_snapshot'!$A$2:$A$72,0))),"SNAPSHOT MISSING"))</x:f>
      </x:c>
      <x:c r="Q55" s="3" t="str">
        <x:f>IF(Setup!$B$6="primary","",IFERROR(IF(INDEX('Primary_snapshot'!$H$2:$H$72,MATCH(C55,'Primary_snapshot'!$A$2:$A$72,0))="","",INDEX('Primary_snapshot'!$H$2:$H$72,MATCH(C55,'Primary_snapshot'!$A$2:$A$72,0))),"SNAPSHOT MISSING"))</x:f>
      </x:c>
      <x:c r="R55" s="3" t="str">
        <x:f>IF(Setup!$B$6="primary","",IFERROR(IF(INDEX('Primary_snapshot'!$I$2:$I$72,MATCH(C55,'Primary_snapshot'!$A$2:$A$72,0))="","",INDEX('Primary_snapshot'!$I$2:$I$72,MATCH(C55,'Primary_snapshot'!$A$2:$A$72,0))),"SNAPSHOT MISSING"))</x:f>
      </x:c>
      <x:c r="S55" s="3" t="str">
        <x:f>IF(INDEX('C_jama.2019.2210'!$D$2:$D$10,MATCH("2019::jama.2019.2210::C001",'C_jama.2019.2210'!$A$2:$A$10,0))="","",INDEX('C_jama.2019.2210'!$D$2:$D$10,MATCH("2019::jama.2019.2210::C001",'C_jama.2019.2210'!$A$2:$A$10,0)))</x:f>
      </x:c>
      <x:c r="T55" s="3" t="str">
        <x:f>IF(INDEX('C_jama.2019.2210'!$E$2:$E$10,MATCH("2019::jama.2019.2210::C001",'C_jama.2019.2210'!$A$2:$A$10,0))="","",INDEX('C_jama.2019.2210'!$E$2:$E$10,MATCH("2019::jama.2019.2210::C001",'C_jama.2019.2210'!$A$2:$A$10,0)))</x:f>
        <x:v>statistical_results</x:v>
      </x:c>
      <x:c r="U55" s="3" t="str">
        <x:f>IF(AND(INDEX('C_jama.2019.2210'!$D$2:$D$10,MATCH("2019::jama.2019.2210::C001",'C_jama.2019.2210'!$A$2:$A$10,0))="retain",INDEX('C_jama.2019.2210'!$E$2:$E$10,MATCH("2019::jama.2019.2210::C001",'C_jama.2019.2210'!$A$2:$A$10,0))="statistical_results"),IF(INDEX('C_jama.2019.2210'!$H$2:$H$10,MATCH("2019::jama.2019.2210::C001",'C_jama.2019.2210'!$A$2:$A$10,0))="","",INDEX('C_jama.2019.2210'!$H$2:$H$10,MATCH("2019::jama.2019.2210::C001",'C_jama.2019.2210'!$A$2:$A$10,0))),"not_applicable")</x:f>
        <x:v>not_applicable</x:v>
      </x:c>
      <x:c r="V55" s="3" t="str">
        <x:f>IF(AND(INDEX('C_jama.2019.2210'!$D$2:$D$10,MATCH("2019::jama.2019.2210::C001",'C_jama.2019.2210'!$A$2:$A$10,0))="retain",INDEX('C_jama.2019.2210'!$E$2:$E$10,MATCH("2019::jama.2019.2210::C001",'C_jama.2019.2210'!$A$2:$A$10,0))="statistical_results"),IF(INDEX('C_jama.2019.2210'!$I$2:$I$10,MATCH("2019::jama.2019.2210::C001",'C_jama.2019.2210'!$A$2:$A$10,0))="","",INDEX('C_jama.2019.2210'!$I$2:$I$10,MATCH("2019::jama.2019.2210::C001",'C_jama.2019.2210'!$A$2:$A$10,0))),"not_applicable")</x:f>
        <x:v>not_applicable</x:v>
      </x:c>
      <x:c r="W55" s="3" t="str">
        <x:f>IF(AND(INDEX('C_jama.2019.2210'!$D$2:$D$10,MATCH("2019::jama.2019.2210::C001",'C_jama.2019.2210'!$A$2:$A$10,0))="retain",INDEX('C_jama.2019.2210'!$E$2:$E$10,MATCH("2019::jama.2019.2210::C001",'C_jama.2019.2210'!$A$2:$A$10,0))="statistical_results"),IF(INDEX('C_jama.2019.2210'!$J$2:$J$10,MATCH("2019::jama.2019.2210::C001",'C_jama.2019.2210'!$A$2:$A$10,0))="","",INDEX('C_jama.2019.2210'!$J$2:$J$10,MATCH("2019::jama.2019.2210::C001",'C_jama.2019.2210'!$A$2:$A$10,0))),"not_applicable")</x:f>
        <x:v>not_applicable</x:v>
      </x:c>
      <x:c r="X55" s="3" t="str">
        <x:f>IF(AND(INDEX('C_jama.2019.2210'!$D$2:$D$10,MATCH("2019::jama.2019.2210::C001",'C_jama.2019.2210'!$A$2:$A$10,0))="retain",OR(INDEX('C_jama.2019.2210'!$E$2:$E$10,MATCH("2019::jama.2019.2210::C001",'C_jama.2019.2210'!$A$2:$A$10,0))="report_internal_inconsistency",INDEX('C_jama.2019.2210'!$E$2:$E$10,MATCH("2019::jama.2019.2210::C001",'C_jama.2019.2210'!$A$2:$A$10,0))="plan_material")),IF(INDEX('C_jama.2019.2210'!$K$2:$K$10,MATCH("2019::jama.2019.2210::C001",'C_jama.2019.2210'!$A$2:$A$10,0))="","",INDEX('C_jama.2019.2210'!$K$2:$K$10,MATCH("2019::jama.2019.2210::C001",'C_jama.2019.2210'!$A$2:$A$10,0))),"not_applicable")</x:f>
        <x:v>not_applicable</x:v>
      </x:c>
      <x:c r="Y55" s="3" t="str">
        <x:f>IF(AND(INDEX('C_jama.2019.2210'!$D$2:$D$10,MATCH("2019::jama.2019.2210::C001",'C_jama.2019.2210'!$A$2:$A$10,0))="retain",INDEX('C_jama.2019.2210'!$E$2:$E$10,MATCH("2019::jama.2019.2210::C001",'C_jama.2019.2210'!$A$2:$A$10,0))="protocol_report"),IF(INDEX('C_jama.2019.2210'!$L$2:$L$10,MATCH("2019::jama.2019.2210::C001",'C_jama.2019.2210'!$A$2:$A$10,0))="","",INDEX('C_jama.2019.2210'!$L$2:$L$10,MATCH("2019::jama.2019.2210::C001",'C_jama.2019.2210'!$A$2:$A$10,0))),"not_applicable")</x:f>
        <x:v>not_applicable</x:v>
      </x:c>
      <x:c r="Z55" s="3" t="str">
        <x:f>IF(INDEX('C_jama.2019.2210'!$R$2:$R$10,MATCH("2019::jama.2019.2210::C001",'C_jama.2019.2210'!$A$2:$A$10,0))="","",INDEX('C_jama.2019.2210'!$R$2:$R$10,MATCH("2019::jama.2019.2210::C001",'C_jama.2019.2210'!$A$2:$A$10,0)))</x:f>
      </x:c>
      <x:c r="AA55" s="3" t="str">
        <x:f>IF(INDEX('C_jama.2019.2210'!$N$2:$N$10,MATCH("2019::jama.2019.2210::C001",'C_jama.2019.2210'!$A$2:$A$10,0))="","",INDEX('C_jama.2019.2210'!$N$2:$N$10,MATCH("2019::jama.2019.2210::C001",'C_jama.2019.2210'!$A$2:$A$10,0)))</x:f>
      </x:c>
      <x:c r="AB55" s="3" t="str">
        <x:f>IF(INDEX('C_jama.2019.2210'!$O$2:$O$10,MATCH("2019::jama.2019.2210::C001",'C_jama.2019.2210'!$A$2:$A$10,0))="","",INDEX('C_jama.2019.2210'!$O$2:$O$10,MATCH("2019::jama.2019.2210::C001",'C_jama.2019.2210'!$A$2:$A$10,0)))</x:f>
      </x:c>
      <x:c r="AC55" s="3" t="str">
        <x:f>IF(INDEX('C_jama.2019.2210'!$P$2:$P$10,MATCH("2019::jama.2019.2210::C001",'C_jama.2019.2210'!$A$2:$A$10,0))="","",INDEX('C_jama.2019.2210'!$P$2:$P$10,MATCH("2019::jama.2019.2210::C001",'C_jama.2019.2210'!$A$2:$A$10,0)))</x:f>
      </x:c>
      <x:c r="AD55" s="3" t="str">
        <x:f>IF(INDEX('C_jama.2019.2210'!$Q$2:$Q$10,MATCH("2019::jama.2019.2210::C001",'C_jama.2019.2210'!$A$2:$A$10,0))="","",INDEX('C_jama.2019.2210'!$Q$2:$Q$10,MATCH("2019::jama.2019.2210::C001",'C_jama.2019.2210'!$A$2:$A$10,0)))</x:f>
      </x:c>
    </x:row>
    <x:row r="56" ht="65" customHeight="1">
      <x:c r="A56" s="6" t="n">
        <x:v>2019</x:v>
      </x:c>
      <x:c r="B56" s="6" t="str">
        <x:v>jama.2019.2210</x:v>
      </x:c>
      <x:c r="C56" s="6" t="str">
        <x:v>2019::jama.2019.2210::C002</x:v>
      </x:c>
      <x:c r="D56" s="6" t="str">
        <x:v>S_W</x:v>
      </x:c>
      <x:c r="E56" s="6" t="n">
        <x:f>Setup!$B$2</x:f>
        <x:v>0</x:v>
      </x:c>
      <x:c r="F56" s="6" t="str">
        <x:f>IF(Setup!$B$4="","",Setup!$B$4)</x:f>
      </x:c>
      <x:c r="G56" s="6" t="str">
        <x:f>IFERROR(INDEX('C_jama.2019.2210'!$G$2:$G$10,MATCH("2019::jama.2019.2210::C002",'C_jama.2019.2210'!$A$2:$A$10,0)),"CHECK KEY")</x:f>
        <x:v>CHECK REVIEWER IDs</x:v>
      </x:c>
      <x:c r="H56" s="6" t="str">
        <x:f>IF(G56&lt;&gt;"FINAL READY","",IF(S56&lt;&gt;"retain","not_eligible",IF(D56="P_R","protocol_descriptive",IF(D56="P_P","plan_descriptive",IF(AND(T56="statistical_results",OR(U56="confirmed_issue",U56="probable_issue"),V56="substantive"),"primary_temporal",IF(AND(T56="report_internal_inconsistency",X56="substantive_inconsistency"),"secondary_temporal","not_eligible"))))))</x:f>
      </x:c>
      <x:c r="I56" s="6" t="str">
        <x:v>retain</x:v>
      </x:c>
      <x:c r="J56" s="6" t="str">
        <x:v>statistical_results</x:v>
      </x:c>
      <x:c r="K56" s="6" t="str">
        <x:f>IF(Setup!$B$6="primary","",IFERROR(IF(INDEX('Primary_snapshot'!$B$2:$B$72,MATCH(C56,'Primary_snapshot'!$A$2:$A$72,0))="","",INDEX('Primary_snapshot'!$B$2:$B$72,MATCH(C56,'Primary_snapshot'!$A$2:$A$72,0))),"SNAPSHOT MISSING"))</x:f>
      </x:c>
      <x:c r="L56" s="6" t="str">
        <x:f>IF(Setup!$B$6="primary","",IFERROR(IF(INDEX('Primary_snapshot'!$C$2:$C$72,MATCH(C56,'Primary_snapshot'!$A$2:$A$72,0))="","",INDEX('Primary_snapshot'!$C$2:$C$72,MATCH(C56,'Primary_snapshot'!$A$2:$A$72,0))),"SNAPSHOT MISSING"))</x:f>
      </x:c>
      <x:c r="M56" s="6" t="str">
        <x:f>IF(Setup!$B$6="primary","",IFERROR(IF(INDEX('Primary_snapshot'!$D$2:$D$72,MATCH(C56,'Primary_snapshot'!$A$2:$A$72,0))="","",INDEX('Primary_snapshot'!$D$2:$D$72,MATCH(C56,'Primary_snapshot'!$A$2:$A$72,0))),"SNAPSHOT MISSING"))</x:f>
      </x:c>
      <x:c r="N56" s="6" t="str">
        <x:f>IF(Setup!$B$6="primary","",IFERROR(IF(INDEX('Primary_snapshot'!$E$2:$E$72,MATCH(C56,'Primary_snapshot'!$A$2:$A$72,0))="","",INDEX('Primary_snapshot'!$E$2:$E$72,MATCH(C56,'Primary_snapshot'!$A$2:$A$72,0))),"SNAPSHOT MISSING"))</x:f>
      </x:c>
      <x:c r="O56" s="6" t="str">
        <x:f>IF(Setup!$B$6="primary","",IFERROR(IF(INDEX('Primary_snapshot'!$F$2:$F$72,MATCH(C56,'Primary_snapshot'!$A$2:$A$72,0))="","",INDEX('Primary_snapshot'!$F$2:$F$72,MATCH(C56,'Primary_snapshot'!$A$2:$A$72,0))),"SNAPSHOT MISSING"))</x:f>
      </x:c>
      <x:c r="P56" s="6" t="str">
        <x:f>IF(Setup!$B$6="primary","",IFERROR(IF(INDEX('Primary_snapshot'!$G$2:$G$72,MATCH(C56,'Primary_snapshot'!$A$2:$A$72,0))="","",INDEX('Primary_snapshot'!$G$2:$G$72,MATCH(C56,'Primary_snapshot'!$A$2:$A$72,0))),"SNAPSHOT MISSING"))</x:f>
      </x:c>
      <x:c r="Q56" s="6" t="str">
        <x:f>IF(Setup!$B$6="primary","",IFERROR(IF(INDEX('Primary_snapshot'!$H$2:$H$72,MATCH(C56,'Primary_snapshot'!$A$2:$A$72,0))="","",INDEX('Primary_snapshot'!$H$2:$H$72,MATCH(C56,'Primary_snapshot'!$A$2:$A$72,0))),"SNAPSHOT MISSING"))</x:f>
      </x:c>
      <x:c r="R56" s="6" t="str">
        <x:f>IF(Setup!$B$6="primary","",IFERROR(IF(INDEX('Primary_snapshot'!$I$2:$I$72,MATCH(C56,'Primary_snapshot'!$A$2:$A$72,0))="","",INDEX('Primary_snapshot'!$I$2:$I$72,MATCH(C56,'Primary_snapshot'!$A$2:$A$72,0))),"SNAPSHOT MISSING"))</x:f>
      </x:c>
      <x:c r="S56" s="6" t="str">
        <x:f>IF(INDEX('C_jama.2019.2210'!$D$2:$D$10,MATCH("2019::jama.2019.2210::C002",'C_jama.2019.2210'!$A$2:$A$10,0))="","",INDEX('C_jama.2019.2210'!$D$2:$D$10,MATCH("2019::jama.2019.2210::C002",'C_jama.2019.2210'!$A$2:$A$10,0)))</x:f>
      </x:c>
      <x:c r="T56" s="6" t="str">
        <x:f>IF(INDEX('C_jama.2019.2210'!$E$2:$E$10,MATCH("2019::jama.2019.2210::C002",'C_jama.2019.2210'!$A$2:$A$10,0))="","",INDEX('C_jama.2019.2210'!$E$2:$E$10,MATCH("2019::jama.2019.2210::C002",'C_jama.2019.2210'!$A$2:$A$10,0)))</x:f>
        <x:v>statistical_results</x:v>
      </x:c>
      <x:c r="U56" s="6" t="str">
        <x:f>IF(AND(INDEX('C_jama.2019.2210'!$D$2:$D$10,MATCH("2019::jama.2019.2210::C002",'C_jama.2019.2210'!$A$2:$A$10,0))="retain",INDEX('C_jama.2019.2210'!$E$2:$E$10,MATCH("2019::jama.2019.2210::C002",'C_jama.2019.2210'!$A$2:$A$10,0))="statistical_results"),IF(INDEX('C_jama.2019.2210'!$H$2:$H$10,MATCH("2019::jama.2019.2210::C002",'C_jama.2019.2210'!$A$2:$A$10,0))="","",INDEX('C_jama.2019.2210'!$H$2:$H$10,MATCH("2019::jama.2019.2210::C002",'C_jama.2019.2210'!$A$2:$A$10,0))),"not_applicable")</x:f>
        <x:v>not_applicable</x:v>
      </x:c>
      <x:c r="V56" s="6" t="str">
        <x:f>IF(AND(INDEX('C_jama.2019.2210'!$D$2:$D$10,MATCH("2019::jama.2019.2210::C002",'C_jama.2019.2210'!$A$2:$A$10,0))="retain",INDEX('C_jama.2019.2210'!$E$2:$E$10,MATCH("2019::jama.2019.2210::C002",'C_jama.2019.2210'!$A$2:$A$10,0))="statistical_results"),IF(INDEX('C_jama.2019.2210'!$I$2:$I$10,MATCH("2019::jama.2019.2210::C002",'C_jama.2019.2210'!$A$2:$A$10,0))="","",INDEX('C_jama.2019.2210'!$I$2:$I$10,MATCH("2019::jama.2019.2210::C002",'C_jama.2019.2210'!$A$2:$A$10,0))),"not_applicable")</x:f>
        <x:v>not_applicable</x:v>
      </x:c>
      <x:c r="W56" s="6" t="str">
        <x:f>IF(AND(INDEX('C_jama.2019.2210'!$D$2:$D$10,MATCH("2019::jama.2019.2210::C002",'C_jama.2019.2210'!$A$2:$A$10,0))="retain",INDEX('C_jama.2019.2210'!$E$2:$E$10,MATCH("2019::jama.2019.2210::C002",'C_jama.2019.2210'!$A$2:$A$10,0))="statistical_results"),IF(INDEX('C_jama.2019.2210'!$J$2:$J$10,MATCH("2019::jama.2019.2210::C002",'C_jama.2019.2210'!$A$2:$A$10,0))="","",INDEX('C_jama.2019.2210'!$J$2:$J$10,MATCH("2019::jama.2019.2210::C002",'C_jama.2019.2210'!$A$2:$A$10,0))),"not_applicable")</x:f>
        <x:v>not_applicable</x:v>
      </x:c>
      <x:c r="X56" s="6" t="str">
        <x:f>IF(AND(INDEX('C_jama.2019.2210'!$D$2:$D$10,MATCH("2019::jama.2019.2210::C002",'C_jama.2019.2210'!$A$2:$A$10,0))="retain",OR(INDEX('C_jama.2019.2210'!$E$2:$E$10,MATCH("2019::jama.2019.2210::C002",'C_jama.2019.2210'!$A$2:$A$10,0))="report_internal_inconsistency",INDEX('C_jama.2019.2210'!$E$2:$E$10,MATCH("2019::jama.2019.2210::C002",'C_jama.2019.2210'!$A$2:$A$10,0))="plan_material")),IF(INDEX('C_jama.2019.2210'!$K$2:$K$10,MATCH("2019::jama.2019.2210::C002",'C_jama.2019.2210'!$A$2:$A$10,0))="","",INDEX('C_jama.2019.2210'!$K$2:$K$10,MATCH("2019::jama.2019.2210::C002",'C_jama.2019.2210'!$A$2:$A$10,0))),"not_applicable")</x:f>
        <x:v>not_applicable</x:v>
      </x:c>
      <x:c r="Y56" s="6" t="str">
        <x:f>IF(AND(INDEX('C_jama.2019.2210'!$D$2:$D$10,MATCH("2019::jama.2019.2210::C002",'C_jama.2019.2210'!$A$2:$A$10,0))="retain",INDEX('C_jama.2019.2210'!$E$2:$E$10,MATCH("2019::jama.2019.2210::C002",'C_jama.2019.2210'!$A$2:$A$10,0))="protocol_report"),IF(INDEX('C_jama.2019.2210'!$L$2:$L$10,MATCH("2019::jama.2019.2210::C002",'C_jama.2019.2210'!$A$2:$A$10,0))="","",INDEX('C_jama.2019.2210'!$L$2:$L$10,MATCH("2019::jama.2019.2210::C002",'C_jama.2019.2210'!$A$2:$A$10,0))),"not_applicable")</x:f>
        <x:v>not_applicable</x:v>
      </x:c>
      <x:c r="Z56" s="6" t="str">
        <x:f>IF(INDEX('C_jama.2019.2210'!$R$2:$R$10,MATCH("2019::jama.2019.2210::C002",'C_jama.2019.2210'!$A$2:$A$10,0))="","",INDEX('C_jama.2019.2210'!$R$2:$R$10,MATCH("2019::jama.2019.2210::C002",'C_jama.2019.2210'!$A$2:$A$10,0)))</x:f>
      </x:c>
      <x:c r="AA56" s="6" t="str">
        <x:f>IF(INDEX('C_jama.2019.2210'!$N$2:$N$10,MATCH("2019::jama.2019.2210::C002",'C_jama.2019.2210'!$A$2:$A$10,0))="","",INDEX('C_jama.2019.2210'!$N$2:$N$10,MATCH("2019::jama.2019.2210::C002",'C_jama.2019.2210'!$A$2:$A$10,0)))</x:f>
      </x:c>
      <x:c r="AB56" s="6" t="str">
        <x:f>IF(INDEX('C_jama.2019.2210'!$O$2:$O$10,MATCH("2019::jama.2019.2210::C002",'C_jama.2019.2210'!$A$2:$A$10,0))="","",INDEX('C_jama.2019.2210'!$O$2:$O$10,MATCH("2019::jama.2019.2210::C002",'C_jama.2019.2210'!$A$2:$A$10,0)))</x:f>
      </x:c>
      <x:c r="AC56" s="6" t="str">
        <x:f>IF(INDEX('C_jama.2019.2210'!$P$2:$P$10,MATCH("2019::jama.2019.2210::C002",'C_jama.2019.2210'!$A$2:$A$10,0))="","",INDEX('C_jama.2019.2210'!$P$2:$P$10,MATCH("2019::jama.2019.2210::C002",'C_jama.2019.2210'!$A$2:$A$10,0)))</x:f>
      </x:c>
      <x:c r="AD56" s="6" t="str">
        <x:f>IF(INDEX('C_jama.2019.2210'!$Q$2:$Q$10,MATCH("2019::jama.2019.2210::C002",'C_jama.2019.2210'!$A$2:$A$10,0))="","",INDEX('C_jama.2019.2210'!$Q$2:$Q$10,MATCH("2019::jama.2019.2210::C002",'C_jama.2019.2210'!$A$2:$A$10,0)))</x:f>
      </x:c>
    </x:row>
    <x:row r="57" ht="65" customHeight="1">
      <x:c r="A57" s="3" t="n">
        <x:v>2019</x:v>
      </x:c>
      <x:c r="B57" s="3" t="str">
        <x:v>jama.2019.2210</x:v>
      </x:c>
      <x:c r="C57" s="3" t="str">
        <x:v>2019::jama.2019.2210::C003</x:v>
      </x:c>
      <x:c r="D57" s="3" t="str">
        <x:v>P_P</x:v>
      </x:c>
      <x:c r="E57" s="3" t="n">
        <x:f>Setup!$B$2</x:f>
        <x:v>0</x:v>
      </x:c>
      <x:c r="F57" s="3" t="str">
        <x:f>IF(Setup!$B$4="","",Setup!$B$4)</x:f>
      </x:c>
      <x:c r="G57" s="3" t="str">
        <x:f>IFERROR(INDEX('C_jama.2019.2210'!$G$2:$G$10,MATCH("2019::jama.2019.2210::C003",'C_jama.2019.2210'!$A$2:$A$10,0)),"CHECK KEY")</x:f>
        <x:v>CHECK REVIEWER IDs</x:v>
      </x:c>
      <x:c r="H57" s="3" t="str">
        <x:f>IF(G57&lt;&gt;"FINAL READY","",IF(S57&lt;&gt;"retain","not_eligible",IF(D57="P_R","protocol_descriptive",IF(D57="P_P","plan_descriptive",IF(AND(T57="statistical_results",OR(U57="confirmed_issue",U57="probable_issue"),V57="substantive"),"primary_temporal",IF(AND(T57="report_internal_inconsistency",X57="substantive_inconsistency"),"secondary_temporal","not_eligible"))))))</x:f>
      </x:c>
      <x:c r="I57" s="3" t="str">
        <x:v>retain</x:v>
      </x:c>
      <x:c r="J57" s="3" t="str">
        <x:v>plan_material</x:v>
      </x:c>
      <x:c r="K57" s="3" t="str">
        <x:f>IF(Setup!$B$6="primary","",IFERROR(IF(INDEX('Primary_snapshot'!$B$2:$B$72,MATCH(C57,'Primary_snapshot'!$A$2:$A$72,0))="","",INDEX('Primary_snapshot'!$B$2:$B$72,MATCH(C57,'Primary_snapshot'!$A$2:$A$72,0))),"SNAPSHOT MISSING"))</x:f>
      </x:c>
      <x:c r="L57" s="3" t="str">
        <x:f>IF(Setup!$B$6="primary","",IFERROR(IF(INDEX('Primary_snapshot'!$C$2:$C$72,MATCH(C57,'Primary_snapshot'!$A$2:$A$72,0))="","",INDEX('Primary_snapshot'!$C$2:$C$72,MATCH(C57,'Primary_snapshot'!$A$2:$A$72,0))),"SNAPSHOT MISSING"))</x:f>
      </x:c>
      <x:c r="M57" s="3" t="str">
        <x:f>IF(Setup!$B$6="primary","",IFERROR(IF(INDEX('Primary_snapshot'!$D$2:$D$72,MATCH(C57,'Primary_snapshot'!$A$2:$A$72,0))="","",INDEX('Primary_snapshot'!$D$2:$D$72,MATCH(C57,'Primary_snapshot'!$A$2:$A$72,0))),"SNAPSHOT MISSING"))</x:f>
      </x:c>
      <x:c r="N57" s="3" t="str">
        <x:f>IF(Setup!$B$6="primary","",IFERROR(IF(INDEX('Primary_snapshot'!$E$2:$E$72,MATCH(C57,'Primary_snapshot'!$A$2:$A$72,0))="","",INDEX('Primary_snapshot'!$E$2:$E$72,MATCH(C57,'Primary_snapshot'!$A$2:$A$72,0))),"SNAPSHOT MISSING"))</x:f>
      </x:c>
      <x:c r="O57" s="3" t="str">
        <x:f>IF(Setup!$B$6="primary","",IFERROR(IF(INDEX('Primary_snapshot'!$F$2:$F$72,MATCH(C57,'Primary_snapshot'!$A$2:$A$72,0))="","",INDEX('Primary_snapshot'!$F$2:$F$72,MATCH(C57,'Primary_snapshot'!$A$2:$A$72,0))),"SNAPSHOT MISSING"))</x:f>
      </x:c>
      <x:c r="P57" s="3" t="str">
        <x:f>IF(Setup!$B$6="primary","",IFERROR(IF(INDEX('Primary_snapshot'!$G$2:$G$72,MATCH(C57,'Primary_snapshot'!$A$2:$A$72,0))="","",INDEX('Primary_snapshot'!$G$2:$G$72,MATCH(C57,'Primary_snapshot'!$A$2:$A$72,0))),"SNAPSHOT MISSING"))</x:f>
      </x:c>
      <x:c r="Q57" s="3" t="str">
        <x:f>IF(Setup!$B$6="primary","",IFERROR(IF(INDEX('Primary_snapshot'!$H$2:$H$72,MATCH(C57,'Primary_snapshot'!$A$2:$A$72,0))="","",INDEX('Primary_snapshot'!$H$2:$H$72,MATCH(C57,'Primary_snapshot'!$A$2:$A$72,0))),"SNAPSHOT MISSING"))</x:f>
      </x:c>
      <x:c r="R57" s="3" t="str">
        <x:f>IF(Setup!$B$6="primary","",IFERROR(IF(INDEX('Primary_snapshot'!$I$2:$I$72,MATCH(C57,'Primary_snapshot'!$A$2:$A$72,0))="","",INDEX('Primary_snapshot'!$I$2:$I$72,MATCH(C57,'Primary_snapshot'!$A$2:$A$72,0))),"SNAPSHOT MISSING"))</x:f>
      </x:c>
      <x:c r="S57" s="3" t="str">
        <x:f>IF(INDEX('C_jama.2019.2210'!$D$2:$D$10,MATCH("2019::jama.2019.2210::C003",'C_jama.2019.2210'!$A$2:$A$10,0))="","",INDEX('C_jama.2019.2210'!$D$2:$D$10,MATCH("2019::jama.2019.2210::C003",'C_jama.2019.2210'!$A$2:$A$10,0)))</x:f>
      </x:c>
      <x:c r="T57" s="3" t="str">
        <x:f>IF(INDEX('C_jama.2019.2210'!$E$2:$E$10,MATCH("2019::jama.2019.2210::C003",'C_jama.2019.2210'!$A$2:$A$10,0))="","",INDEX('C_jama.2019.2210'!$E$2:$E$10,MATCH("2019::jama.2019.2210::C003",'C_jama.2019.2210'!$A$2:$A$10,0)))</x:f>
        <x:v>plan_material</x:v>
      </x:c>
      <x:c r="U57" s="3" t="str">
        <x:f>IF(AND(INDEX('C_jama.2019.2210'!$D$2:$D$10,MATCH("2019::jama.2019.2210::C003",'C_jama.2019.2210'!$A$2:$A$10,0))="retain",INDEX('C_jama.2019.2210'!$E$2:$E$10,MATCH("2019::jama.2019.2210::C003",'C_jama.2019.2210'!$A$2:$A$10,0))="statistical_results"),IF(INDEX('C_jama.2019.2210'!$H$2:$H$10,MATCH("2019::jama.2019.2210::C003",'C_jama.2019.2210'!$A$2:$A$10,0))="","",INDEX('C_jama.2019.2210'!$H$2:$H$10,MATCH("2019::jama.2019.2210::C003",'C_jama.2019.2210'!$A$2:$A$10,0))),"not_applicable")</x:f>
        <x:v>not_applicable</x:v>
      </x:c>
      <x:c r="V57" s="3" t="str">
        <x:f>IF(AND(INDEX('C_jama.2019.2210'!$D$2:$D$10,MATCH("2019::jama.2019.2210::C003",'C_jama.2019.2210'!$A$2:$A$10,0))="retain",INDEX('C_jama.2019.2210'!$E$2:$E$10,MATCH("2019::jama.2019.2210::C003",'C_jama.2019.2210'!$A$2:$A$10,0))="statistical_results"),IF(INDEX('C_jama.2019.2210'!$I$2:$I$10,MATCH("2019::jama.2019.2210::C003",'C_jama.2019.2210'!$A$2:$A$10,0))="","",INDEX('C_jama.2019.2210'!$I$2:$I$10,MATCH("2019::jama.2019.2210::C003",'C_jama.2019.2210'!$A$2:$A$10,0))),"not_applicable")</x:f>
        <x:v>not_applicable</x:v>
      </x:c>
      <x:c r="W57" s="3" t="str">
        <x:f>IF(AND(INDEX('C_jama.2019.2210'!$D$2:$D$10,MATCH("2019::jama.2019.2210::C003",'C_jama.2019.2210'!$A$2:$A$10,0))="retain",INDEX('C_jama.2019.2210'!$E$2:$E$10,MATCH("2019::jama.2019.2210::C003",'C_jama.2019.2210'!$A$2:$A$10,0))="statistical_results"),IF(INDEX('C_jama.2019.2210'!$J$2:$J$10,MATCH("2019::jama.2019.2210::C003",'C_jama.2019.2210'!$A$2:$A$10,0))="","",INDEX('C_jama.2019.2210'!$J$2:$J$10,MATCH("2019::jama.2019.2210::C003",'C_jama.2019.2210'!$A$2:$A$10,0))),"not_applicable")</x:f>
        <x:v>not_applicable</x:v>
      </x:c>
      <x:c r="X57" s="3" t="str">
        <x:f>IF(AND(INDEX('C_jama.2019.2210'!$D$2:$D$10,MATCH("2019::jama.2019.2210::C003",'C_jama.2019.2210'!$A$2:$A$10,0))="retain",OR(INDEX('C_jama.2019.2210'!$E$2:$E$10,MATCH("2019::jama.2019.2210::C003",'C_jama.2019.2210'!$A$2:$A$10,0))="report_internal_inconsistency",INDEX('C_jama.2019.2210'!$E$2:$E$10,MATCH("2019::jama.2019.2210::C003",'C_jama.2019.2210'!$A$2:$A$10,0))="plan_material")),IF(INDEX('C_jama.2019.2210'!$K$2:$K$10,MATCH("2019::jama.2019.2210::C003",'C_jama.2019.2210'!$A$2:$A$10,0))="","",INDEX('C_jama.2019.2210'!$K$2:$K$10,MATCH("2019::jama.2019.2210::C003",'C_jama.2019.2210'!$A$2:$A$10,0))),"not_applicable")</x:f>
        <x:v>not_applicable</x:v>
      </x:c>
      <x:c r="Y57" s="3" t="str">
        <x:f>IF(AND(INDEX('C_jama.2019.2210'!$D$2:$D$10,MATCH("2019::jama.2019.2210::C003",'C_jama.2019.2210'!$A$2:$A$10,0))="retain",INDEX('C_jama.2019.2210'!$E$2:$E$10,MATCH("2019::jama.2019.2210::C003",'C_jama.2019.2210'!$A$2:$A$10,0))="protocol_report"),IF(INDEX('C_jama.2019.2210'!$L$2:$L$10,MATCH("2019::jama.2019.2210::C003",'C_jama.2019.2210'!$A$2:$A$10,0))="","",INDEX('C_jama.2019.2210'!$L$2:$L$10,MATCH("2019::jama.2019.2210::C003",'C_jama.2019.2210'!$A$2:$A$10,0))),"not_applicable")</x:f>
        <x:v>not_applicable</x:v>
      </x:c>
      <x:c r="Z57" s="3" t="str">
        <x:f>IF(INDEX('C_jama.2019.2210'!$R$2:$R$10,MATCH("2019::jama.2019.2210::C003",'C_jama.2019.2210'!$A$2:$A$10,0))="","",INDEX('C_jama.2019.2210'!$R$2:$R$10,MATCH("2019::jama.2019.2210::C003",'C_jama.2019.2210'!$A$2:$A$10,0)))</x:f>
      </x:c>
      <x:c r="AA57" s="3" t="str">
        <x:f>IF(INDEX('C_jama.2019.2210'!$N$2:$N$10,MATCH("2019::jama.2019.2210::C003",'C_jama.2019.2210'!$A$2:$A$10,0))="","",INDEX('C_jama.2019.2210'!$N$2:$N$10,MATCH("2019::jama.2019.2210::C003",'C_jama.2019.2210'!$A$2:$A$10,0)))</x:f>
      </x:c>
      <x:c r="AB57" s="3" t="str">
        <x:f>IF(INDEX('C_jama.2019.2210'!$O$2:$O$10,MATCH("2019::jama.2019.2210::C003",'C_jama.2019.2210'!$A$2:$A$10,0))="","",INDEX('C_jama.2019.2210'!$O$2:$O$10,MATCH("2019::jama.2019.2210::C003",'C_jama.2019.2210'!$A$2:$A$10,0)))</x:f>
      </x:c>
      <x:c r="AC57" s="3" t="str">
        <x:f>IF(INDEX('C_jama.2019.2210'!$P$2:$P$10,MATCH("2019::jama.2019.2210::C003",'C_jama.2019.2210'!$A$2:$A$10,0))="","",INDEX('C_jama.2019.2210'!$P$2:$P$10,MATCH("2019::jama.2019.2210::C003",'C_jama.2019.2210'!$A$2:$A$10,0)))</x:f>
      </x:c>
      <x:c r="AD57" s="3" t="str">
        <x:f>IF(INDEX('C_jama.2019.2210'!$Q$2:$Q$10,MATCH("2019::jama.2019.2210::C003",'C_jama.2019.2210'!$A$2:$A$10,0))="","",INDEX('C_jama.2019.2210'!$Q$2:$Q$10,MATCH("2019::jama.2019.2210::C003",'C_jama.2019.2210'!$A$2:$A$10,0)))</x:f>
      </x:c>
    </x:row>
    <x:row r="58" ht="65" customHeight="1">
      <x:c r="A58" s="6" t="n">
        <x:v>2019</x:v>
      </x:c>
      <x:c r="B58" s="6" t="str">
        <x:v>jama.2019.2210</x:v>
      </x:c>
      <x:c r="C58" s="6" t="str">
        <x:v>2019::jama.2019.2210::C004</x:v>
      </x:c>
      <x:c r="D58" s="6" t="str">
        <x:v>P_R</x:v>
      </x:c>
      <x:c r="E58" s="6" t="n">
        <x:f>Setup!$B$2</x:f>
        <x:v>0</x:v>
      </x:c>
      <x:c r="F58" s="6" t="str">
        <x:f>IF(Setup!$B$4="","",Setup!$B$4)</x:f>
      </x:c>
      <x:c r="G58" s="6" t="str">
        <x:f>IFERROR(INDEX('C_jama.2019.2210'!$G$2:$G$10,MATCH("2019::jama.2019.2210::C004",'C_jama.2019.2210'!$A$2:$A$10,0)),"CHECK KEY")</x:f>
        <x:v>CHECK REVIEWER IDs</x:v>
      </x:c>
      <x:c r="H58" s="6" t="str">
        <x:f>IF(G58&lt;&gt;"FINAL READY","",IF(S58&lt;&gt;"retain","not_eligible",IF(D58="P_R","protocol_descriptive",IF(D58="P_P","plan_descriptive",IF(AND(T58="statistical_results",OR(U58="confirmed_issue",U58="probable_issue"),V58="substantive"),"primary_temporal",IF(AND(T58="report_internal_inconsistency",X58="substantive_inconsistency"),"secondary_temporal","not_eligible"))))))</x:f>
      </x:c>
      <x:c r="I58" s="6" t="str">
        <x:v>retain</x:v>
      </x:c>
      <x:c r="J58" s="6" t="str">
        <x:v>protocol_report</x:v>
      </x:c>
      <x:c r="K58" s="6" t="str">
        <x:f>IF(Setup!$B$6="primary","",IFERROR(IF(INDEX('Primary_snapshot'!$B$2:$B$72,MATCH(C58,'Primary_snapshot'!$A$2:$A$72,0))="","",INDEX('Primary_snapshot'!$B$2:$B$72,MATCH(C58,'Primary_snapshot'!$A$2:$A$72,0))),"SNAPSHOT MISSING"))</x:f>
      </x:c>
      <x:c r="L58" s="6" t="str">
        <x:f>IF(Setup!$B$6="primary","",IFERROR(IF(INDEX('Primary_snapshot'!$C$2:$C$72,MATCH(C58,'Primary_snapshot'!$A$2:$A$72,0))="","",INDEX('Primary_snapshot'!$C$2:$C$72,MATCH(C58,'Primary_snapshot'!$A$2:$A$72,0))),"SNAPSHOT MISSING"))</x:f>
      </x:c>
      <x:c r="M58" s="6" t="str">
        <x:f>IF(Setup!$B$6="primary","",IFERROR(IF(INDEX('Primary_snapshot'!$D$2:$D$72,MATCH(C58,'Primary_snapshot'!$A$2:$A$72,0))="","",INDEX('Primary_snapshot'!$D$2:$D$72,MATCH(C58,'Primary_snapshot'!$A$2:$A$72,0))),"SNAPSHOT MISSING"))</x:f>
      </x:c>
      <x:c r="N58" s="6" t="str">
        <x:f>IF(Setup!$B$6="primary","",IFERROR(IF(INDEX('Primary_snapshot'!$E$2:$E$72,MATCH(C58,'Primary_snapshot'!$A$2:$A$72,0))="","",INDEX('Primary_snapshot'!$E$2:$E$72,MATCH(C58,'Primary_snapshot'!$A$2:$A$72,0))),"SNAPSHOT MISSING"))</x:f>
      </x:c>
      <x:c r="O58" s="6" t="str">
        <x:f>IF(Setup!$B$6="primary","",IFERROR(IF(INDEX('Primary_snapshot'!$F$2:$F$72,MATCH(C58,'Primary_snapshot'!$A$2:$A$72,0))="","",INDEX('Primary_snapshot'!$F$2:$F$72,MATCH(C58,'Primary_snapshot'!$A$2:$A$72,0))),"SNAPSHOT MISSING"))</x:f>
      </x:c>
      <x:c r="P58" s="6" t="str">
        <x:f>IF(Setup!$B$6="primary","",IFERROR(IF(INDEX('Primary_snapshot'!$G$2:$G$72,MATCH(C58,'Primary_snapshot'!$A$2:$A$72,0))="","",INDEX('Primary_snapshot'!$G$2:$G$72,MATCH(C58,'Primary_snapshot'!$A$2:$A$72,0))),"SNAPSHOT MISSING"))</x:f>
      </x:c>
      <x:c r="Q58" s="6" t="str">
        <x:f>IF(Setup!$B$6="primary","",IFERROR(IF(INDEX('Primary_snapshot'!$H$2:$H$72,MATCH(C58,'Primary_snapshot'!$A$2:$A$72,0))="","",INDEX('Primary_snapshot'!$H$2:$H$72,MATCH(C58,'Primary_snapshot'!$A$2:$A$72,0))),"SNAPSHOT MISSING"))</x:f>
      </x:c>
      <x:c r="R58" s="6" t="str">
        <x:f>IF(Setup!$B$6="primary","",IFERROR(IF(INDEX('Primary_snapshot'!$I$2:$I$72,MATCH(C58,'Primary_snapshot'!$A$2:$A$72,0))="","",INDEX('Primary_snapshot'!$I$2:$I$72,MATCH(C58,'Primary_snapshot'!$A$2:$A$72,0))),"SNAPSHOT MISSING"))</x:f>
      </x:c>
      <x:c r="S58" s="6" t="str">
        <x:f>IF(INDEX('C_jama.2019.2210'!$D$2:$D$10,MATCH("2019::jama.2019.2210::C004",'C_jama.2019.2210'!$A$2:$A$10,0))="","",INDEX('C_jama.2019.2210'!$D$2:$D$10,MATCH("2019::jama.2019.2210::C004",'C_jama.2019.2210'!$A$2:$A$10,0)))</x:f>
      </x:c>
      <x:c r="T58" s="6" t="str">
        <x:f>IF(INDEX('C_jama.2019.2210'!$E$2:$E$10,MATCH("2019::jama.2019.2210::C004",'C_jama.2019.2210'!$A$2:$A$10,0))="","",INDEX('C_jama.2019.2210'!$E$2:$E$10,MATCH("2019::jama.2019.2210::C004",'C_jama.2019.2210'!$A$2:$A$10,0)))</x:f>
        <x:v>protocol_report</x:v>
      </x:c>
      <x:c r="U58" s="6" t="str">
        <x:f>IF(AND(INDEX('C_jama.2019.2210'!$D$2:$D$10,MATCH("2019::jama.2019.2210::C004",'C_jama.2019.2210'!$A$2:$A$10,0))="retain",INDEX('C_jama.2019.2210'!$E$2:$E$10,MATCH("2019::jama.2019.2210::C004",'C_jama.2019.2210'!$A$2:$A$10,0))="statistical_results"),IF(INDEX('C_jama.2019.2210'!$H$2:$H$10,MATCH("2019::jama.2019.2210::C004",'C_jama.2019.2210'!$A$2:$A$10,0))="","",INDEX('C_jama.2019.2210'!$H$2:$H$10,MATCH("2019::jama.2019.2210::C004",'C_jama.2019.2210'!$A$2:$A$10,0))),"not_applicable")</x:f>
        <x:v>not_applicable</x:v>
      </x:c>
      <x:c r="V58" s="6" t="str">
        <x:f>IF(AND(INDEX('C_jama.2019.2210'!$D$2:$D$10,MATCH("2019::jama.2019.2210::C004",'C_jama.2019.2210'!$A$2:$A$10,0))="retain",INDEX('C_jama.2019.2210'!$E$2:$E$10,MATCH("2019::jama.2019.2210::C004",'C_jama.2019.2210'!$A$2:$A$10,0))="statistical_results"),IF(INDEX('C_jama.2019.2210'!$I$2:$I$10,MATCH("2019::jama.2019.2210::C004",'C_jama.2019.2210'!$A$2:$A$10,0))="","",INDEX('C_jama.2019.2210'!$I$2:$I$10,MATCH("2019::jama.2019.2210::C004",'C_jama.2019.2210'!$A$2:$A$10,0))),"not_applicable")</x:f>
        <x:v>not_applicable</x:v>
      </x:c>
      <x:c r="W58" s="6" t="str">
        <x:f>IF(AND(INDEX('C_jama.2019.2210'!$D$2:$D$10,MATCH("2019::jama.2019.2210::C004",'C_jama.2019.2210'!$A$2:$A$10,0))="retain",INDEX('C_jama.2019.2210'!$E$2:$E$10,MATCH("2019::jama.2019.2210::C004",'C_jama.2019.2210'!$A$2:$A$10,0))="statistical_results"),IF(INDEX('C_jama.2019.2210'!$J$2:$J$10,MATCH("2019::jama.2019.2210::C004",'C_jama.2019.2210'!$A$2:$A$10,0))="","",INDEX('C_jama.2019.2210'!$J$2:$J$10,MATCH("2019::jama.2019.2210::C004",'C_jama.2019.2210'!$A$2:$A$10,0))),"not_applicable")</x:f>
        <x:v>not_applicable</x:v>
      </x:c>
      <x:c r="X58" s="6" t="str">
        <x:f>IF(AND(INDEX('C_jama.2019.2210'!$D$2:$D$10,MATCH("2019::jama.2019.2210::C004",'C_jama.2019.2210'!$A$2:$A$10,0))="retain",OR(INDEX('C_jama.2019.2210'!$E$2:$E$10,MATCH("2019::jama.2019.2210::C004",'C_jama.2019.2210'!$A$2:$A$10,0))="report_internal_inconsistency",INDEX('C_jama.2019.2210'!$E$2:$E$10,MATCH("2019::jama.2019.2210::C004",'C_jama.2019.2210'!$A$2:$A$10,0))="plan_material")),IF(INDEX('C_jama.2019.2210'!$K$2:$K$10,MATCH("2019::jama.2019.2210::C004",'C_jama.2019.2210'!$A$2:$A$10,0))="","",INDEX('C_jama.2019.2210'!$K$2:$K$10,MATCH("2019::jama.2019.2210::C004",'C_jama.2019.2210'!$A$2:$A$10,0))),"not_applicable")</x:f>
        <x:v>not_applicable</x:v>
      </x:c>
      <x:c r="Y58" s="6" t="str">
        <x:f>IF(AND(INDEX('C_jama.2019.2210'!$D$2:$D$10,MATCH("2019::jama.2019.2210::C004",'C_jama.2019.2210'!$A$2:$A$10,0))="retain",INDEX('C_jama.2019.2210'!$E$2:$E$10,MATCH("2019::jama.2019.2210::C004",'C_jama.2019.2210'!$A$2:$A$10,0))="protocol_report"),IF(INDEX('C_jama.2019.2210'!$L$2:$L$10,MATCH("2019::jama.2019.2210::C004",'C_jama.2019.2210'!$A$2:$A$10,0))="","",INDEX('C_jama.2019.2210'!$L$2:$L$10,MATCH("2019::jama.2019.2210::C004",'C_jama.2019.2210'!$A$2:$A$10,0))),"not_applicable")</x:f>
        <x:v>not_applicable</x:v>
      </x:c>
      <x:c r="Z58" s="6" t="str">
        <x:f>IF(INDEX('C_jama.2019.2210'!$R$2:$R$10,MATCH("2019::jama.2019.2210::C004",'C_jama.2019.2210'!$A$2:$A$10,0))="","",INDEX('C_jama.2019.2210'!$R$2:$R$10,MATCH("2019::jama.2019.2210::C004",'C_jama.2019.2210'!$A$2:$A$10,0)))</x:f>
      </x:c>
      <x:c r="AA58" s="6" t="str">
        <x:f>IF(INDEX('C_jama.2019.2210'!$N$2:$N$10,MATCH("2019::jama.2019.2210::C004",'C_jama.2019.2210'!$A$2:$A$10,0))="","",INDEX('C_jama.2019.2210'!$N$2:$N$10,MATCH("2019::jama.2019.2210::C004",'C_jama.2019.2210'!$A$2:$A$10,0)))</x:f>
      </x:c>
      <x:c r="AB58" s="6" t="str">
        <x:f>IF(INDEX('C_jama.2019.2210'!$O$2:$O$10,MATCH("2019::jama.2019.2210::C004",'C_jama.2019.2210'!$A$2:$A$10,0))="","",INDEX('C_jama.2019.2210'!$O$2:$O$10,MATCH("2019::jama.2019.2210::C004",'C_jama.2019.2210'!$A$2:$A$10,0)))</x:f>
      </x:c>
      <x:c r="AC58" s="6" t="str">
        <x:f>IF(INDEX('C_jama.2019.2210'!$P$2:$P$10,MATCH("2019::jama.2019.2210::C004",'C_jama.2019.2210'!$A$2:$A$10,0))="","",INDEX('C_jama.2019.2210'!$P$2:$P$10,MATCH("2019::jama.2019.2210::C004",'C_jama.2019.2210'!$A$2:$A$10,0)))</x:f>
      </x:c>
      <x:c r="AD58" s="6" t="str">
        <x:f>IF(INDEX('C_jama.2019.2210'!$Q$2:$Q$10,MATCH("2019::jama.2019.2210::C004",'C_jama.2019.2210'!$A$2:$A$10,0))="","",INDEX('C_jama.2019.2210'!$Q$2:$Q$10,MATCH("2019::jama.2019.2210::C004",'C_jama.2019.2210'!$A$2:$A$10,0)))</x:f>
      </x:c>
    </x:row>
    <x:row r="59" ht="65" customHeight="1">
      <x:c r="A59" s="3" t="n">
        <x:v>2019</x:v>
      </x:c>
      <x:c r="B59" s="3" t="str">
        <x:v>jama.2019.2210</x:v>
      </x:c>
      <x:c r="C59" s="3" t="str">
        <x:v>2019::jama.2019.2210::C005</x:v>
      </x:c>
      <x:c r="D59" s="3" t="str">
        <x:v>P_P</x:v>
      </x:c>
      <x:c r="E59" s="3" t="n">
        <x:f>Setup!$B$2</x:f>
        <x:v>0</x:v>
      </x:c>
      <x:c r="F59" s="3" t="str">
        <x:f>IF(Setup!$B$4="","",Setup!$B$4)</x:f>
      </x:c>
      <x:c r="G59" s="3" t="str">
        <x:f>IFERROR(INDEX('C_jama.2019.2210'!$G$2:$G$10,MATCH("2019::jama.2019.2210::C005",'C_jama.2019.2210'!$A$2:$A$10,0)),"CHECK KEY")</x:f>
        <x:v>CHECK REVIEWER IDs</x:v>
      </x:c>
      <x:c r="H59" s="3" t="str">
        <x:f>IF(G59&lt;&gt;"FINAL READY","",IF(S59&lt;&gt;"retain","not_eligible",IF(D59="P_R","protocol_descriptive",IF(D59="P_P","plan_descriptive",IF(AND(T59="statistical_results",OR(U59="confirmed_issue",U59="probable_issue"),V59="substantive"),"primary_temporal",IF(AND(T59="report_internal_inconsistency",X59="substantive_inconsistency"),"secondary_temporal","not_eligible"))))))</x:f>
      </x:c>
      <x:c r="I59" s="3" t="str">
        <x:v>retain</x:v>
      </x:c>
      <x:c r="J59" s="3" t="str">
        <x:v>plan_material</x:v>
      </x:c>
      <x:c r="K59" s="3" t="str">
        <x:f>IF(Setup!$B$6="primary","",IFERROR(IF(INDEX('Primary_snapshot'!$B$2:$B$72,MATCH(C59,'Primary_snapshot'!$A$2:$A$72,0))="","",INDEX('Primary_snapshot'!$B$2:$B$72,MATCH(C59,'Primary_snapshot'!$A$2:$A$72,0))),"SNAPSHOT MISSING"))</x:f>
      </x:c>
      <x:c r="L59" s="3" t="str">
        <x:f>IF(Setup!$B$6="primary","",IFERROR(IF(INDEX('Primary_snapshot'!$C$2:$C$72,MATCH(C59,'Primary_snapshot'!$A$2:$A$72,0))="","",INDEX('Primary_snapshot'!$C$2:$C$72,MATCH(C59,'Primary_snapshot'!$A$2:$A$72,0))),"SNAPSHOT MISSING"))</x:f>
      </x:c>
      <x:c r="M59" s="3" t="str">
        <x:f>IF(Setup!$B$6="primary","",IFERROR(IF(INDEX('Primary_snapshot'!$D$2:$D$72,MATCH(C59,'Primary_snapshot'!$A$2:$A$72,0))="","",INDEX('Primary_snapshot'!$D$2:$D$72,MATCH(C59,'Primary_snapshot'!$A$2:$A$72,0))),"SNAPSHOT MISSING"))</x:f>
      </x:c>
      <x:c r="N59" s="3" t="str">
        <x:f>IF(Setup!$B$6="primary","",IFERROR(IF(INDEX('Primary_snapshot'!$E$2:$E$72,MATCH(C59,'Primary_snapshot'!$A$2:$A$72,0))="","",INDEX('Primary_snapshot'!$E$2:$E$72,MATCH(C59,'Primary_snapshot'!$A$2:$A$72,0))),"SNAPSHOT MISSING"))</x:f>
      </x:c>
      <x:c r="O59" s="3" t="str">
        <x:f>IF(Setup!$B$6="primary","",IFERROR(IF(INDEX('Primary_snapshot'!$F$2:$F$72,MATCH(C59,'Primary_snapshot'!$A$2:$A$72,0))="","",INDEX('Primary_snapshot'!$F$2:$F$72,MATCH(C59,'Primary_snapshot'!$A$2:$A$72,0))),"SNAPSHOT MISSING"))</x:f>
      </x:c>
      <x:c r="P59" s="3" t="str">
        <x:f>IF(Setup!$B$6="primary","",IFERROR(IF(INDEX('Primary_snapshot'!$G$2:$G$72,MATCH(C59,'Primary_snapshot'!$A$2:$A$72,0))="","",INDEX('Primary_snapshot'!$G$2:$G$72,MATCH(C59,'Primary_snapshot'!$A$2:$A$72,0))),"SNAPSHOT MISSING"))</x:f>
      </x:c>
      <x:c r="Q59" s="3" t="str">
        <x:f>IF(Setup!$B$6="primary","",IFERROR(IF(INDEX('Primary_snapshot'!$H$2:$H$72,MATCH(C59,'Primary_snapshot'!$A$2:$A$72,0))="","",INDEX('Primary_snapshot'!$H$2:$H$72,MATCH(C59,'Primary_snapshot'!$A$2:$A$72,0))),"SNAPSHOT MISSING"))</x:f>
      </x:c>
      <x:c r="R59" s="3" t="str">
        <x:f>IF(Setup!$B$6="primary","",IFERROR(IF(INDEX('Primary_snapshot'!$I$2:$I$72,MATCH(C59,'Primary_snapshot'!$A$2:$A$72,0))="","",INDEX('Primary_snapshot'!$I$2:$I$72,MATCH(C59,'Primary_snapshot'!$A$2:$A$72,0))),"SNAPSHOT MISSING"))</x:f>
      </x:c>
      <x:c r="S59" s="3" t="str">
        <x:f>IF(INDEX('C_jama.2019.2210'!$D$2:$D$10,MATCH("2019::jama.2019.2210::C005",'C_jama.2019.2210'!$A$2:$A$10,0))="","",INDEX('C_jama.2019.2210'!$D$2:$D$10,MATCH("2019::jama.2019.2210::C005",'C_jama.2019.2210'!$A$2:$A$10,0)))</x:f>
      </x:c>
      <x:c r="T59" s="3" t="str">
        <x:f>IF(INDEX('C_jama.2019.2210'!$E$2:$E$10,MATCH("2019::jama.2019.2210::C005",'C_jama.2019.2210'!$A$2:$A$10,0))="","",INDEX('C_jama.2019.2210'!$E$2:$E$10,MATCH("2019::jama.2019.2210::C005",'C_jama.2019.2210'!$A$2:$A$10,0)))</x:f>
        <x:v>plan_material</x:v>
      </x:c>
      <x:c r="U59" s="3" t="str">
        <x:f>IF(AND(INDEX('C_jama.2019.2210'!$D$2:$D$10,MATCH("2019::jama.2019.2210::C005",'C_jama.2019.2210'!$A$2:$A$10,0))="retain",INDEX('C_jama.2019.2210'!$E$2:$E$10,MATCH("2019::jama.2019.2210::C005",'C_jama.2019.2210'!$A$2:$A$10,0))="statistical_results"),IF(INDEX('C_jama.2019.2210'!$H$2:$H$10,MATCH("2019::jama.2019.2210::C005",'C_jama.2019.2210'!$A$2:$A$10,0))="","",INDEX('C_jama.2019.2210'!$H$2:$H$10,MATCH("2019::jama.2019.2210::C005",'C_jama.2019.2210'!$A$2:$A$10,0))),"not_applicable")</x:f>
        <x:v>not_applicable</x:v>
      </x:c>
      <x:c r="V59" s="3" t="str">
        <x:f>IF(AND(INDEX('C_jama.2019.2210'!$D$2:$D$10,MATCH("2019::jama.2019.2210::C005",'C_jama.2019.2210'!$A$2:$A$10,0))="retain",INDEX('C_jama.2019.2210'!$E$2:$E$10,MATCH("2019::jama.2019.2210::C005",'C_jama.2019.2210'!$A$2:$A$10,0))="statistical_results"),IF(INDEX('C_jama.2019.2210'!$I$2:$I$10,MATCH("2019::jama.2019.2210::C005",'C_jama.2019.2210'!$A$2:$A$10,0))="","",INDEX('C_jama.2019.2210'!$I$2:$I$10,MATCH("2019::jama.2019.2210::C005",'C_jama.2019.2210'!$A$2:$A$10,0))),"not_applicable")</x:f>
        <x:v>not_applicable</x:v>
      </x:c>
      <x:c r="W59" s="3" t="str">
        <x:f>IF(AND(INDEX('C_jama.2019.2210'!$D$2:$D$10,MATCH("2019::jama.2019.2210::C005",'C_jama.2019.2210'!$A$2:$A$10,0))="retain",INDEX('C_jama.2019.2210'!$E$2:$E$10,MATCH("2019::jama.2019.2210::C005",'C_jama.2019.2210'!$A$2:$A$10,0))="statistical_results"),IF(INDEX('C_jama.2019.2210'!$J$2:$J$10,MATCH("2019::jama.2019.2210::C005",'C_jama.2019.2210'!$A$2:$A$10,0))="","",INDEX('C_jama.2019.2210'!$J$2:$J$10,MATCH("2019::jama.2019.2210::C005",'C_jama.2019.2210'!$A$2:$A$10,0))),"not_applicable")</x:f>
        <x:v>not_applicable</x:v>
      </x:c>
      <x:c r="X59" s="3" t="str">
        <x:f>IF(AND(INDEX('C_jama.2019.2210'!$D$2:$D$10,MATCH("2019::jama.2019.2210::C005",'C_jama.2019.2210'!$A$2:$A$10,0))="retain",OR(INDEX('C_jama.2019.2210'!$E$2:$E$10,MATCH("2019::jama.2019.2210::C005",'C_jama.2019.2210'!$A$2:$A$10,0))="report_internal_inconsistency",INDEX('C_jama.2019.2210'!$E$2:$E$10,MATCH("2019::jama.2019.2210::C005",'C_jama.2019.2210'!$A$2:$A$10,0))="plan_material")),IF(INDEX('C_jama.2019.2210'!$K$2:$K$10,MATCH("2019::jama.2019.2210::C005",'C_jama.2019.2210'!$A$2:$A$10,0))="","",INDEX('C_jama.2019.2210'!$K$2:$K$10,MATCH("2019::jama.2019.2210::C005",'C_jama.2019.2210'!$A$2:$A$10,0))),"not_applicable")</x:f>
        <x:v>not_applicable</x:v>
      </x:c>
      <x:c r="Y59" s="3" t="str">
        <x:f>IF(AND(INDEX('C_jama.2019.2210'!$D$2:$D$10,MATCH("2019::jama.2019.2210::C005",'C_jama.2019.2210'!$A$2:$A$10,0))="retain",INDEX('C_jama.2019.2210'!$E$2:$E$10,MATCH("2019::jama.2019.2210::C005",'C_jama.2019.2210'!$A$2:$A$10,0))="protocol_report"),IF(INDEX('C_jama.2019.2210'!$L$2:$L$10,MATCH("2019::jama.2019.2210::C005",'C_jama.2019.2210'!$A$2:$A$10,0))="","",INDEX('C_jama.2019.2210'!$L$2:$L$10,MATCH("2019::jama.2019.2210::C005",'C_jama.2019.2210'!$A$2:$A$10,0))),"not_applicable")</x:f>
        <x:v>not_applicable</x:v>
      </x:c>
      <x:c r="Z59" s="3" t="str">
        <x:f>IF(INDEX('C_jama.2019.2210'!$R$2:$R$10,MATCH("2019::jama.2019.2210::C005",'C_jama.2019.2210'!$A$2:$A$10,0))="","",INDEX('C_jama.2019.2210'!$R$2:$R$10,MATCH("2019::jama.2019.2210::C005",'C_jama.2019.2210'!$A$2:$A$10,0)))</x:f>
      </x:c>
      <x:c r="AA59" s="3" t="str">
        <x:f>IF(INDEX('C_jama.2019.2210'!$N$2:$N$10,MATCH("2019::jama.2019.2210::C005",'C_jama.2019.2210'!$A$2:$A$10,0))="","",INDEX('C_jama.2019.2210'!$N$2:$N$10,MATCH("2019::jama.2019.2210::C005",'C_jama.2019.2210'!$A$2:$A$10,0)))</x:f>
      </x:c>
      <x:c r="AB59" s="3" t="str">
        <x:f>IF(INDEX('C_jama.2019.2210'!$O$2:$O$10,MATCH("2019::jama.2019.2210::C005",'C_jama.2019.2210'!$A$2:$A$10,0))="","",INDEX('C_jama.2019.2210'!$O$2:$O$10,MATCH("2019::jama.2019.2210::C005",'C_jama.2019.2210'!$A$2:$A$10,0)))</x:f>
      </x:c>
      <x:c r="AC59" s="3" t="str">
        <x:f>IF(INDEX('C_jama.2019.2210'!$P$2:$P$10,MATCH("2019::jama.2019.2210::C005",'C_jama.2019.2210'!$A$2:$A$10,0))="","",INDEX('C_jama.2019.2210'!$P$2:$P$10,MATCH("2019::jama.2019.2210::C005",'C_jama.2019.2210'!$A$2:$A$10,0)))</x:f>
      </x:c>
      <x:c r="AD59" s="3" t="str">
        <x:f>IF(INDEX('C_jama.2019.2210'!$Q$2:$Q$10,MATCH("2019::jama.2019.2210::C005",'C_jama.2019.2210'!$A$2:$A$10,0))="","",INDEX('C_jama.2019.2210'!$Q$2:$Q$10,MATCH("2019::jama.2019.2210::C005",'C_jama.2019.2210'!$A$2:$A$10,0)))</x:f>
      </x:c>
    </x:row>
    <x:row r="60" ht="65" customHeight="1">
      <x:c r="A60" s="6" t="n">
        <x:v>2019</x:v>
      </x:c>
      <x:c r="B60" s="6" t="str">
        <x:v>jama.2019.2210</x:v>
      </x:c>
      <x:c r="C60" s="6" t="str">
        <x:v>2019::jama.2019.2210::C006</x:v>
      </x:c>
      <x:c r="D60" s="6" t="str">
        <x:v>S_C</x:v>
      </x:c>
      <x:c r="E60" s="6" t="n">
        <x:f>Setup!$B$2</x:f>
        <x:v>0</x:v>
      </x:c>
      <x:c r="F60" s="6" t="str">
        <x:f>IF(Setup!$B$4="","",Setup!$B$4)</x:f>
      </x:c>
      <x:c r="G60" s="6" t="str">
        <x:f>IFERROR(INDEX('C_jama.2019.2210'!$G$2:$G$10,MATCH("2019::jama.2019.2210::C006",'C_jama.2019.2210'!$A$2:$A$10,0)),"CHECK KEY")</x:f>
        <x:v>CHECK REVIEWER IDs</x:v>
      </x:c>
      <x:c r="H60" s="6" t="str">
        <x:f>IF(G60&lt;&gt;"FINAL READY","",IF(S60&lt;&gt;"retain","not_eligible",IF(D60="P_R","protocol_descriptive",IF(D60="P_P","plan_descriptive",IF(AND(T60="statistical_results",OR(U60="confirmed_issue",U60="probable_issue"),V60="substantive"),"primary_temporal",IF(AND(T60="report_internal_inconsistency",X60="substantive_inconsistency"),"secondary_temporal","not_eligible"))))))</x:f>
      </x:c>
      <x:c r="I60" s="6" t="str">
        <x:v>retain</x:v>
      </x:c>
      <x:c r="J60" s="6" t="str">
        <x:v>report_internal_inconsistency</x:v>
      </x:c>
      <x:c r="K60" s="6" t="str">
        <x:f>IF(Setup!$B$6="primary","",IFERROR(IF(INDEX('Primary_snapshot'!$B$2:$B$72,MATCH(C60,'Primary_snapshot'!$A$2:$A$72,0))="","",INDEX('Primary_snapshot'!$B$2:$B$72,MATCH(C60,'Primary_snapshot'!$A$2:$A$72,0))),"SNAPSHOT MISSING"))</x:f>
      </x:c>
      <x:c r="L60" s="6" t="str">
        <x:f>IF(Setup!$B$6="primary","",IFERROR(IF(INDEX('Primary_snapshot'!$C$2:$C$72,MATCH(C60,'Primary_snapshot'!$A$2:$A$72,0))="","",INDEX('Primary_snapshot'!$C$2:$C$72,MATCH(C60,'Primary_snapshot'!$A$2:$A$72,0))),"SNAPSHOT MISSING"))</x:f>
      </x:c>
      <x:c r="M60" s="6" t="str">
        <x:f>IF(Setup!$B$6="primary","",IFERROR(IF(INDEX('Primary_snapshot'!$D$2:$D$72,MATCH(C60,'Primary_snapshot'!$A$2:$A$72,0))="","",INDEX('Primary_snapshot'!$D$2:$D$72,MATCH(C60,'Primary_snapshot'!$A$2:$A$72,0))),"SNAPSHOT MISSING"))</x:f>
      </x:c>
      <x:c r="N60" s="6" t="str">
        <x:f>IF(Setup!$B$6="primary","",IFERROR(IF(INDEX('Primary_snapshot'!$E$2:$E$72,MATCH(C60,'Primary_snapshot'!$A$2:$A$72,0))="","",INDEX('Primary_snapshot'!$E$2:$E$72,MATCH(C60,'Primary_snapshot'!$A$2:$A$72,0))),"SNAPSHOT MISSING"))</x:f>
      </x:c>
      <x:c r="O60" s="6" t="str">
        <x:f>IF(Setup!$B$6="primary","",IFERROR(IF(INDEX('Primary_snapshot'!$F$2:$F$72,MATCH(C60,'Primary_snapshot'!$A$2:$A$72,0))="","",INDEX('Primary_snapshot'!$F$2:$F$72,MATCH(C60,'Primary_snapshot'!$A$2:$A$72,0))),"SNAPSHOT MISSING"))</x:f>
      </x:c>
      <x:c r="P60" s="6" t="str">
        <x:f>IF(Setup!$B$6="primary","",IFERROR(IF(INDEX('Primary_snapshot'!$G$2:$G$72,MATCH(C60,'Primary_snapshot'!$A$2:$A$72,0))="","",INDEX('Primary_snapshot'!$G$2:$G$72,MATCH(C60,'Primary_snapshot'!$A$2:$A$72,0))),"SNAPSHOT MISSING"))</x:f>
      </x:c>
      <x:c r="Q60" s="6" t="str">
        <x:f>IF(Setup!$B$6="primary","",IFERROR(IF(INDEX('Primary_snapshot'!$H$2:$H$72,MATCH(C60,'Primary_snapshot'!$A$2:$A$72,0))="","",INDEX('Primary_snapshot'!$H$2:$H$72,MATCH(C60,'Primary_snapshot'!$A$2:$A$72,0))),"SNAPSHOT MISSING"))</x:f>
      </x:c>
      <x:c r="R60" s="6" t="str">
        <x:f>IF(Setup!$B$6="primary","",IFERROR(IF(INDEX('Primary_snapshot'!$I$2:$I$72,MATCH(C60,'Primary_snapshot'!$A$2:$A$72,0))="","",INDEX('Primary_snapshot'!$I$2:$I$72,MATCH(C60,'Primary_snapshot'!$A$2:$A$72,0))),"SNAPSHOT MISSING"))</x:f>
      </x:c>
      <x:c r="S60" s="6" t="str">
        <x:f>IF(INDEX('C_jama.2019.2210'!$D$2:$D$10,MATCH("2019::jama.2019.2210::C006",'C_jama.2019.2210'!$A$2:$A$10,0))="","",INDEX('C_jama.2019.2210'!$D$2:$D$10,MATCH("2019::jama.2019.2210::C006",'C_jama.2019.2210'!$A$2:$A$10,0)))</x:f>
      </x:c>
      <x:c r="T60" s="6" t="str">
        <x:f>IF(INDEX('C_jama.2019.2210'!$E$2:$E$10,MATCH("2019::jama.2019.2210::C006",'C_jama.2019.2210'!$A$2:$A$10,0))="","",INDEX('C_jama.2019.2210'!$E$2:$E$10,MATCH("2019::jama.2019.2210::C006",'C_jama.2019.2210'!$A$2:$A$10,0)))</x:f>
        <x:v>report_internal_inconsistency</x:v>
      </x:c>
      <x:c r="U60" s="6" t="str">
        <x:f>IF(AND(INDEX('C_jama.2019.2210'!$D$2:$D$10,MATCH("2019::jama.2019.2210::C006",'C_jama.2019.2210'!$A$2:$A$10,0))="retain",INDEX('C_jama.2019.2210'!$E$2:$E$10,MATCH("2019::jama.2019.2210::C006",'C_jama.2019.2210'!$A$2:$A$10,0))="statistical_results"),IF(INDEX('C_jama.2019.2210'!$H$2:$H$10,MATCH("2019::jama.2019.2210::C006",'C_jama.2019.2210'!$A$2:$A$10,0))="","",INDEX('C_jama.2019.2210'!$H$2:$H$10,MATCH("2019::jama.2019.2210::C006",'C_jama.2019.2210'!$A$2:$A$10,0))),"not_applicable")</x:f>
        <x:v>not_applicable</x:v>
      </x:c>
      <x:c r="V60" s="6" t="str">
        <x:f>IF(AND(INDEX('C_jama.2019.2210'!$D$2:$D$10,MATCH("2019::jama.2019.2210::C006",'C_jama.2019.2210'!$A$2:$A$10,0))="retain",INDEX('C_jama.2019.2210'!$E$2:$E$10,MATCH("2019::jama.2019.2210::C006",'C_jama.2019.2210'!$A$2:$A$10,0))="statistical_results"),IF(INDEX('C_jama.2019.2210'!$I$2:$I$10,MATCH("2019::jama.2019.2210::C006",'C_jama.2019.2210'!$A$2:$A$10,0))="","",INDEX('C_jama.2019.2210'!$I$2:$I$10,MATCH("2019::jama.2019.2210::C006",'C_jama.2019.2210'!$A$2:$A$10,0))),"not_applicable")</x:f>
        <x:v>not_applicable</x:v>
      </x:c>
      <x:c r="W60" s="6" t="str">
        <x:f>IF(AND(INDEX('C_jama.2019.2210'!$D$2:$D$10,MATCH("2019::jama.2019.2210::C006",'C_jama.2019.2210'!$A$2:$A$10,0))="retain",INDEX('C_jama.2019.2210'!$E$2:$E$10,MATCH("2019::jama.2019.2210::C006",'C_jama.2019.2210'!$A$2:$A$10,0))="statistical_results"),IF(INDEX('C_jama.2019.2210'!$J$2:$J$10,MATCH("2019::jama.2019.2210::C006",'C_jama.2019.2210'!$A$2:$A$10,0))="","",INDEX('C_jama.2019.2210'!$J$2:$J$10,MATCH("2019::jama.2019.2210::C006",'C_jama.2019.2210'!$A$2:$A$10,0))),"not_applicable")</x:f>
        <x:v>not_applicable</x:v>
      </x:c>
      <x:c r="X60" s="6" t="str">
        <x:f>IF(AND(INDEX('C_jama.2019.2210'!$D$2:$D$10,MATCH("2019::jama.2019.2210::C006",'C_jama.2019.2210'!$A$2:$A$10,0))="retain",OR(INDEX('C_jama.2019.2210'!$E$2:$E$10,MATCH("2019::jama.2019.2210::C006",'C_jama.2019.2210'!$A$2:$A$10,0))="report_internal_inconsistency",INDEX('C_jama.2019.2210'!$E$2:$E$10,MATCH("2019::jama.2019.2210::C006",'C_jama.2019.2210'!$A$2:$A$10,0))="plan_material")),IF(INDEX('C_jama.2019.2210'!$K$2:$K$10,MATCH("2019::jama.2019.2210::C006",'C_jama.2019.2210'!$A$2:$A$10,0))="","",INDEX('C_jama.2019.2210'!$K$2:$K$10,MATCH("2019::jama.2019.2210::C006",'C_jama.2019.2210'!$A$2:$A$10,0))),"not_applicable")</x:f>
        <x:v>not_applicable</x:v>
      </x:c>
      <x:c r="Y60" s="6" t="str">
        <x:f>IF(AND(INDEX('C_jama.2019.2210'!$D$2:$D$10,MATCH("2019::jama.2019.2210::C006",'C_jama.2019.2210'!$A$2:$A$10,0))="retain",INDEX('C_jama.2019.2210'!$E$2:$E$10,MATCH("2019::jama.2019.2210::C006",'C_jama.2019.2210'!$A$2:$A$10,0))="protocol_report"),IF(INDEX('C_jama.2019.2210'!$L$2:$L$10,MATCH("2019::jama.2019.2210::C006",'C_jama.2019.2210'!$A$2:$A$10,0))="","",INDEX('C_jama.2019.2210'!$L$2:$L$10,MATCH("2019::jama.2019.2210::C006",'C_jama.2019.2210'!$A$2:$A$10,0))),"not_applicable")</x:f>
        <x:v>not_applicable</x:v>
      </x:c>
      <x:c r="Z60" s="6" t="str">
        <x:f>IF(INDEX('C_jama.2019.2210'!$R$2:$R$10,MATCH("2019::jama.2019.2210::C006",'C_jama.2019.2210'!$A$2:$A$10,0))="","",INDEX('C_jama.2019.2210'!$R$2:$R$10,MATCH("2019::jama.2019.2210::C006",'C_jama.2019.2210'!$A$2:$A$10,0)))</x:f>
      </x:c>
      <x:c r="AA60" s="6" t="str">
        <x:f>IF(INDEX('C_jama.2019.2210'!$N$2:$N$10,MATCH("2019::jama.2019.2210::C006",'C_jama.2019.2210'!$A$2:$A$10,0))="","",INDEX('C_jama.2019.2210'!$N$2:$N$10,MATCH("2019::jama.2019.2210::C006",'C_jama.2019.2210'!$A$2:$A$10,0)))</x:f>
      </x:c>
      <x:c r="AB60" s="6" t="str">
        <x:f>IF(INDEX('C_jama.2019.2210'!$O$2:$O$10,MATCH("2019::jama.2019.2210::C006",'C_jama.2019.2210'!$A$2:$A$10,0))="","",INDEX('C_jama.2019.2210'!$O$2:$O$10,MATCH("2019::jama.2019.2210::C006",'C_jama.2019.2210'!$A$2:$A$10,0)))</x:f>
      </x:c>
      <x:c r="AC60" s="6" t="str">
        <x:f>IF(INDEX('C_jama.2019.2210'!$P$2:$P$10,MATCH("2019::jama.2019.2210::C006",'C_jama.2019.2210'!$A$2:$A$10,0))="","",INDEX('C_jama.2019.2210'!$P$2:$P$10,MATCH("2019::jama.2019.2210::C006",'C_jama.2019.2210'!$A$2:$A$10,0)))</x:f>
      </x:c>
      <x:c r="AD60" s="6" t="str">
        <x:f>IF(INDEX('C_jama.2019.2210'!$Q$2:$Q$10,MATCH("2019::jama.2019.2210::C006",'C_jama.2019.2210'!$A$2:$A$10,0))="","",INDEX('C_jama.2019.2210'!$Q$2:$Q$10,MATCH("2019::jama.2019.2210::C006",'C_jama.2019.2210'!$A$2:$A$10,0)))</x:f>
      </x:c>
    </x:row>
    <x:row r="61" ht="65" customHeight="1">
      <x:c r="A61" s="3" t="n">
        <x:v>2019</x:v>
      </x:c>
      <x:c r="B61" s="3" t="str">
        <x:v>jama.2019.2210</x:v>
      </x:c>
      <x:c r="C61" s="3" t="str">
        <x:v>2019::jama.2019.2210::C007</x:v>
      </x:c>
      <x:c r="D61" s="3" t="str">
        <x:v>S_W</x:v>
      </x:c>
      <x:c r="E61" s="3" t="n">
        <x:f>Setup!$B$2</x:f>
        <x:v>0</x:v>
      </x:c>
      <x:c r="F61" s="3" t="str">
        <x:f>IF(Setup!$B$4="","",Setup!$B$4)</x:f>
      </x:c>
      <x:c r="G61" s="3" t="str">
        <x:f>IFERROR(INDEX('C_jama.2019.2210'!$G$2:$G$10,MATCH("2019::jama.2019.2210::C007",'C_jama.2019.2210'!$A$2:$A$10,0)),"CHECK KEY")</x:f>
        <x:v>CHECK REVIEWER IDs</x:v>
      </x:c>
      <x:c r="H61" s="3" t="str">
        <x:f>IF(G61&lt;&gt;"FINAL READY","",IF(S61&lt;&gt;"retain","not_eligible",IF(D61="P_R","protocol_descriptive",IF(D61="P_P","plan_descriptive",IF(AND(T61="statistical_results",OR(U61="confirmed_issue",U61="probable_issue"),V61="substantive"),"primary_temporal",IF(AND(T61="report_internal_inconsistency",X61="substantive_inconsistency"),"secondary_temporal","not_eligible"))))))</x:f>
      </x:c>
      <x:c r="I61" s="3" t="str">
        <x:v>retain</x:v>
      </x:c>
      <x:c r="J61" s="3" t="str">
        <x:v>statistical_results</x:v>
      </x:c>
      <x:c r="K61" s="3" t="str">
        <x:f>IF(Setup!$B$6="primary","",IFERROR(IF(INDEX('Primary_snapshot'!$B$2:$B$72,MATCH(C61,'Primary_snapshot'!$A$2:$A$72,0))="","",INDEX('Primary_snapshot'!$B$2:$B$72,MATCH(C61,'Primary_snapshot'!$A$2:$A$72,0))),"SNAPSHOT MISSING"))</x:f>
      </x:c>
      <x:c r="L61" s="3" t="str">
        <x:f>IF(Setup!$B$6="primary","",IFERROR(IF(INDEX('Primary_snapshot'!$C$2:$C$72,MATCH(C61,'Primary_snapshot'!$A$2:$A$72,0))="","",INDEX('Primary_snapshot'!$C$2:$C$72,MATCH(C61,'Primary_snapshot'!$A$2:$A$72,0))),"SNAPSHOT MISSING"))</x:f>
      </x:c>
      <x:c r="M61" s="3" t="str">
        <x:f>IF(Setup!$B$6="primary","",IFERROR(IF(INDEX('Primary_snapshot'!$D$2:$D$72,MATCH(C61,'Primary_snapshot'!$A$2:$A$72,0))="","",INDEX('Primary_snapshot'!$D$2:$D$72,MATCH(C61,'Primary_snapshot'!$A$2:$A$72,0))),"SNAPSHOT MISSING"))</x:f>
      </x:c>
      <x:c r="N61" s="3" t="str">
        <x:f>IF(Setup!$B$6="primary","",IFERROR(IF(INDEX('Primary_snapshot'!$E$2:$E$72,MATCH(C61,'Primary_snapshot'!$A$2:$A$72,0))="","",INDEX('Primary_snapshot'!$E$2:$E$72,MATCH(C61,'Primary_snapshot'!$A$2:$A$72,0))),"SNAPSHOT MISSING"))</x:f>
      </x:c>
      <x:c r="O61" s="3" t="str">
        <x:f>IF(Setup!$B$6="primary","",IFERROR(IF(INDEX('Primary_snapshot'!$F$2:$F$72,MATCH(C61,'Primary_snapshot'!$A$2:$A$72,0))="","",INDEX('Primary_snapshot'!$F$2:$F$72,MATCH(C61,'Primary_snapshot'!$A$2:$A$72,0))),"SNAPSHOT MISSING"))</x:f>
      </x:c>
      <x:c r="P61" s="3" t="str">
        <x:f>IF(Setup!$B$6="primary","",IFERROR(IF(INDEX('Primary_snapshot'!$G$2:$G$72,MATCH(C61,'Primary_snapshot'!$A$2:$A$72,0))="","",INDEX('Primary_snapshot'!$G$2:$G$72,MATCH(C61,'Primary_snapshot'!$A$2:$A$72,0))),"SNAPSHOT MISSING"))</x:f>
      </x:c>
      <x:c r="Q61" s="3" t="str">
        <x:f>IF(Setup!$B$6="primary","",IFERROR(IF(INDEX('Primary_snapshot'!$H$2:$H$72,MATCH(C61,'Primary_snapshot'!$A$2:$A$72,0))="","",INDEX('Primary_snapshot'!$H$2:$H$72,MATCH(C61,'Primary_snapshot'!$A$2:$A$72,0))),"SNAPSHOT MISSING"))</x:f>
      </x:c>
      <x:c r="R61" s="3" t="str">
        <x:f>IF(Setup!$B$6="primary","",IFERROR(IF(INDEX('Primary_snapshot'!$I$2:$I$72,MATCH(C61,'Primary_snapshot'!$A$2:$A$72,0))="","",INDEX('Primary_snapshot'!$I$2:$I$72,MATCH(C61,'Primary_snapshot'!$A$2:$A$72,0))),"SNAPSHOT MISSING"))</x:f>
      </x:c>
      <x:c r="S61" s="3" t="str">
        <x:f>IF(INDEX('C_jama.2019.2210'!$D$2:$D$10,MATCH("2019::jama.2019.2210::C007",'C_jama.2019.2210'!$A$2:$A$10,0))="","",INDEX('C_jama.2019.2210'!$D$2:$D$10,MATCH("2019::jama.2019.2210::C007",'C_jama.2019.2210'!$A$2:$A$10,0)))</x:f>
      </x:c>
      <x:c r="T61" s="3" t="str">
        <x:f>IF(INDEX('C_jama.2019.2210'!$E$2:$E$10,MATCH("2019::jama.2019.2210::C007",'C_jama.2019.2210'!$A$2:$A$10,0))="","",INDEX('C_jama.2019.2210'!$E$2:$E$10,MATCH("2019::jama.2019.2210::C007",'C_jama.2019.2210'!$A$2:$A$10,0)))</x:f>
        <x:v>statistical_results</x:v>
      </x:c>
      <x:c r="U61" s="3" t="str">
        <x:f>IF(AND(INDEX('C_jama.2019.2210'!$D$2:$D$10,MATCH("2019::jama.2019.2210::C007",'C_jama.2019.2210'!$A$2:$A$10,0))="retain",INDEX('C_jama.2019.2210'!$E$2:$E$10,MATCH("2019::jama.2019.2210::C007",'C_jama.2019.2210'!$A$2:$A$10,0))="statistical_results"),IF(INDEX('C_jama.2019.2210'!$H$2:$H$10,MATCH("2019::jama.2019.2210::C007",'C_jama.2019.2210'!$A$2:$A$10,0))="","",INDEX('C_jama.2019.2210'!$H$2:$H$10,MATCH("2019::jama.2019.2210::C007",'C_jama.2019.2210'!$A$2:$A$10,0))),"not_applicable")</x:f>
        <x:v>not_applicable</x:v>
      </x:c>
      <x:c r="V61" s="3" t="str">
        <x:f>IF(AND(INDEX('C_jama.2019.2210'!$D$2:$D$10,MATCH("2019::jama.2019.2210::C007",'C_jama.2019.2210'!$A$2:$A$10,0))="retain",INDEX('C_jama.2019.2210'!$E$2:$E$10,MATCH("2019::jama.2019.2210::C007",'C_jama.2019.2210'!$A$2:$A$10,0))="statistical_results"),IF(INDEX('C_jama.2019.2210'!$I$2:$I$10,MATCH("2019::jama.2019.2210::C007",'C_jama.2019.2210'!$A$2:$A$10,0))="","",INDEX('C_jama.2019.2210'!$I$2:$I$10,MATCH("2019::jama.2019.2210::C007",'C_jama.2019.2210'!$A$2:$A$10,0))),"not_applicable")</x:f>
        <x:v>not_applicable</x:v>
      </x:c>
      <x:c r="W61" s="3" t="str">
        <x:f>IF(AND(INDEX('C_jama.2019.2210'!$D$2:$D$10,MATCH("2019::jama.2019.2210::C007",'C_jama.2019.2210'!$A$2:$A$10,0))="retain",INDEX('C_jama.2019.2210'!$E$2:$E$10,MATCH("2019::jama.2019.2210::C007",'C_jama.2019.2210'!$A$2:$A$10,0))="statistical_results"),IF(INDEX('C_jama.2019.2210'!$J$2:$J$10,MATCH("2019::jama.2019.2210::C007",'C_jama.2019.2210'!$A$2:$A$10,0))="","",INDEX('C_jama.2019.2210'!$J$2:$J$10,MATCH("2019::jama.2019.2210::C007",'C_jama.2019.2210'!$A$2:$A$10,0))),"not_applicable")</x:f>
        <x:v>not_applicable</x:v>
      </x:c>
      <x:c r="X61" s="3" t="str">
        <x:f>IF(AND(INDEX('C_jama.2019.2210'!$D$2:$D$10,MATCH("2019::jama.2019.2210::C007",'C_jama.2019.2210'!$A$2:$A$10,0))="retain",OR(INDEX('C_jama.2019.2210'!$E$2:$E$10,MATCH("2019::jama.2019.2210::C007",'C_jama.2019.2210'!$A$2:$A$10,0))="report_internal_inconsistency",INDEX('C_jama.2019.2210'!$E$2:$E$10,MATCH("2019::jama.2019.2210::C007",'C_jama.2019.2210'!$A$2:$A$10,0))="plan_material")),IF(INDEX('C_jama.2019.2210'!$K$2:$K$10,MATCH("2019::jama.2019.2210::C007",'C_jama.2019.2210'!$A$2:$A$10,0))="","",INDEX('C_jama.2019.2210'!$K$2:$K$10,MATCH("2019::jama.2019.2210::C007",'C_jama.2019.2210'!$A$2:$A$10,0))),"not_applicable")</x:f>
        <x:v>not_applicable</x:v>
      </x:c>
      <x:c r="Y61" s="3" t="str">
        <x:f>IF(AND(INDEX('C_jama.2019.2210'!$D$2:$D$10,MATCH("2019::jama.2019.2210::C007",'C_jama.2019.2210'!$A$2:$A$10,0))="retain",INDEX('C_jama.2019.2210'!$E$2:$E$10,MATCH("2019::jama.2019.2210::C007",'C_jama.2019.2210'!$A$2:$A$10,0))="protocol_report"),IF(INDEX('C_jama.2019.2210'!$L$2:$L$10,MATCH("2019::jama.2019.2210::C007",'C_jama.2019.2210'!$A$2:$A$10,0))="","",INDEX('C_jama.2019.2210'!$L$2:$L$10,MATCH("2019::jama.2019.2210::C007",'C_jama.2019.2210'!$A$2:$A$10,0))),"not_applicable")</x:f>
        <x:v>not_applicable</x:v>
      </x:c>
      <x:c r="Z61" s="3" t="str">
        <x:f>IF(INDEX('C_jama.2019.2210'!$R$2:$R$10,MATCH("2019::jama.2019.2210::C007",'C_jama.2019.2210'!$A$2:$A$10,0))="","",INDEX('C_jama.2019.2210'!$R$2:$R$10,MATCH("2019::jama.2019.2210::C007",'C_jama.2019.2210'!$A$2:$A$10,0)))</x:f>
      </x:c>
      <x:c r="AA61" s="3" t="str">
        <x:f>IF(INDEX('C_jama.2019.2210'!$N$2:$N$10,MATCH("2019::jama.2019.2210::C007",'C_jama.2019.2210'!$A$2:$A$10,0))="","",INDEX('C_jama.2019.2210'!$N$2:$N$10,MATCH("2019::jama.2019.2210::C007",'C_jama.2019.2210'!$A$2:$A$10,0)))</x:f>
      </x:c>
      <x:c r="AB61" s="3" t="str">
        <x:f>IF(INDEX('C_jama.2019.2210'!$O$2:$O$10,MATCH("2019::jama.2019.2210::C007",'C_jama.2019.2210'!$A$2:$A$10,0))="","",INDEX('C_jama.2019.2210'!$O$2:$O$10,MATCH("2019::jama.2019.2210::C007",'C_jama.2019.2210'!$A$2:$A$10,0)))</x:f>
      </x:c>
      <x:c r="AC61" s="3" t="str">
        <x:f>IF(INDEX('C_jama.2019.2210'!$P$2:$P$10,MATCH("2019::jama.2019.2210::C007",'C_jama.2019.2210'!$A$2:$A$10,0))="","",INDEX('C_jama.2019.2210'!$P$2:$P$10,MATCH("2019::jama.2019.2210::C007",'C_jama.2019.2210'!$A$2:$A$10,0)))</x:f>
      </x:c>
      <x:c r="AD61" s="3" t="str">
        <x:f>IF(INDEX('C_jama.2019.2210'!$Q$2:$Q$10,MATCH("2019::jama.2019.2210::C007",'C_jama.2019.2210'!$A$2:$A$10,0))="","",INDEX('C_jama.2019.2210'!$Q$2:$Q$10,MATCH("2019::jama.2019.2210::C007",'C_jama.2019.2210'!$A$2:$A$10,0)))</x:f>
      </x:c>
    </x:row>
    <x:row r="62" ht="65" customHeight="1">
      <x:c r="A62" s="6" t="n">
        <x:v>2019</x:v>
      </x:c>
      <x:c r="B62" s="6" t="str">
        <x:v>jama.2019.2210</x:v>
      </x:c>
      <x:c r="C62" s="6" t="str">
        <x:v>2019::jama.2019.2210::C008</x:v>
      </x:c>
      <x:c r="D62" s="6" t="str">
        <x:v>P_R</x:v>
      </x:c>
      <x:c r="E62" s="6" t="n">
        <x:f>Setup!$B$2</x:f>
        <x:v>0</x:v>
      </x:c>
      <x:c r="F62" s="6" t="str">
        <x:f>IF(Setup!$B$4="","",Setup!$B$4)</x:f>
      </x:c>
      <x:c r="G62" s="6" t="str">
        <x:f>IFERROR(INDEX('C_jama.2019.2210'!$G$2:$G$10,MATCH("2019::jama.2019.2210::C008",'C_jama.2019.2210'!$A$2:$A$10,0)),"CHECK KEY")</x:f>
        <x:v>CHECK REVIEWER IDs</x:v>
      </x:c>
      <x:c r="H62" s="6" t="str">
        <x:f>IF(G62&lt;&gt;"FINAL READY","",IF(S62&lt;&gt;"retain","not_eligible",IF(D62="P_R","protocol_descriptive",IF(D62="P_P","plan_descriptive",IF(AND(T62="statistical_results",OR(U62="confirmed_issue",U62="probable_issue"),V62="substantive"),"primary_temporal",IF(AND(T62="report_internal_inconsistency",X62="substantive_inconsistency"),"secondary_temporal","not_eligible"))))))</x:f>
      </x:c>
      <x:c r="I62" s="6" t="str">
        <x:v>retain</x:v>
      </x:c>
      <x:c r="J62" s="6" t="str">
        <x:v>protocol_report</x:v>
      </x:c>
      <x:c r="K62" s="6" t="str">
        <x:f>IF(Setup!$B$6="primary","",IFERROR(IF(INDEX('Primary_snapshot'!$B$2:$B$72,MATCH(C62,'Primary_snapshot'!$A$2:$A$72,0))="","",INDEX('Primary_snapshot'!$B$2:$B$72,MATCH(C62,'Primary_snapshot'!$A$2:$A$72,0))),"SNAPSHOT MISSING"))</x:f>
      </x:c>
      <x:c r="L62" s="6" t="str">
        <x:f>IF(Setup!$B$6="primary","",IFERROR(IF(INDEX('Primary_snapshot'!$C$2:$C$72,MATCH(C62,'Primary_snapshot'!$A$2:$A$72,0))="","",INDEX('Primary_snapshot'!$C$2:$C$72,MATCH(C62,'Primary_snapshot'!$A$2:$A$72,0))),"SNAPSHOT MISSING"))</x:f>
      </x:c>
      <x:c r="M62" s="6" t="str">
        <x:f>IF(Setup!$B$6="primary","",IFERROR(IF(INDEX('Primary_snapshot'!$D$2:$D$72,MATCH(C62,'Primary_snapshot'!$A$2:$A$72,0))="","",INDEX('Primary_snapshot'!$D$2:$D$72,MATCH(C62,'Primary_snapshot'!$A$2:$A$72,0))),"SNAPSHOT MISSING"))</x:f>
      </x:c>
      <x:c r="N62" s="6" t="str">
        <x:f>IF(Setup!$B$6="primary","",IFERROR(IF(INDEX('Primary_snapshot'!$E$2:$E$72,MATCH(C62,'Primary_snapshot'!$A$2:$A$72,0))="","",INDEX('Primary_snapshot'!$E$2:$E$72,MATCH(C62,'Primary_snapshot'!$A$2:$A$72,0))),"SNAPSHOT MISSING"))</x:f>
      </x:c>
      <x:c r="O62" s="6" t="str">
        <x:f>IF(Setup!$B$6="primary","",IFERROR(IF(INDEX('Primary_snapshot'!$F$2:$F$72,MATCH(C62,'Primary_snapshot'!$A$2:$A$72,0))="","",INDEX('Primary_snapshot'!$F$2:$F$72,MATCH(C62,'Primary_snapshot'!$A$2:$A$72,0))),"SNAPSHOT MISSING"))</x:f>
      </x:c>
      <x:c r="P62" s="6" t="str">
        <x:f>IF(Setup!$B$6="primary","",IFERROR(IF(INDEX('Primary_snapshot'!$G$2:$G$72,MATCH(C62,'Primary_snapshot'!$A$2:$A$72,0))="","",INDEX('Primary_snapshot'!$G$2:$G$72,MATCH(C62,'Primary_snapshot'!$A$2:$A$72,0))),"SNAPSHOT MISSING"))</x:f>
      </x:c>
      <x:c r="Q62" s="6" t="str">
        <x:f>IF(Setup!$B$6="primary","",IFERROR(IF(INDEX('Primary_snapshot'!$H$2:$H$72,MATCH(C62,'Primary_snapshot'!$A$2:$A$72,0))="","",INDEX('Primary_snapshot'!$H$2:$H$72,MATCH(C62,'Primary_snapshot'!$A$2:$A$72,0))),"SNAPSHOT MISSING"))</x:f>
      </x:c>
      <x:c r="R62" s="6" t="str">
        <x:f>IF(Setup!$B$6="primary","",IFERROR(IF(INDEX('Primary_snapshot'!$I$2:$I$72,MATCH(C62,'Primary_snapshot'!$A$2:$A$72,0))="","",INDEX('Primary_snapshot'!$I$2:$I$72,MATCH(C62,'Primary_snapshot'!$A$2:$A$72,0))),"SNAPSHOT MISSING"))</x:f>
      </x:c>
      <x:c r="S62" s="6" t="str">
        <x:f>IF(INDEX('C_jama.2019.2210'!$D$2:$D$10,MATCH("2019::jama.2019.2210::C008",'C_jama.2019.2210'!$A$2:$A$10,0))="","",INDEX('C_jama.2019.2210'!$D$2:$D$10,MATCH("2019::jama.2019.2210::C008",'C_jama.2019.2210'!$A$2:$A$10,0)))</x:f>
      </x:c>
      <x:c r="T62" s="6" t="str">
        <x:f>IF(INDEX('C_jama.2019.2210'!$E$2:$E$10,MATCH("2019::jama.2019.2210::C008",'C_jama.2019.2210'!$A$2:$A$10,0))="","",INDEX('C_jama.2019.2210'!$E$2:$E$10,MATCH("2019::jama.2019.2210::C008",'C_jama.2019.2210'!$A$2:$A$10,0)))</x:f>
        <x:v>protocol_report</x:v>
      </x:c>
      <x:c r="U62" s="6" t="str">
        <x:f>IF(AND(INDEX('C_jama.2019.2210'!$D$2:$D$10,MATCH("2019::jama.2019.2210::C008",'C_jama.2019.2210'!$A$2:$A$10,0))="retain",INDEX('C_jama.2019.2210'!$E$2:$E$10,MATCH("2019::jama.2019.2210::C008",'C_jama.2019.2210'!$A$2:$A$10,0))="statistical_results"),IF(INDEX('C_jama.2019.2210'!$H$2:$H$10,MATCH("2019::jama.2019.2210::C008",'C_jama.2019.2210'!$A$2:$A$10,0))="","",INDEX('C_jama.2019.2210'!$H$2:$H$10,MATCH("2019::jama.2019.2210::C008",'C_jama.2019.2210'!$A$2:$A$10,0))),"not_applicable")</x:f>
        <x:v>not_applicable</x:v>
      </x:c>
      <x:c r="V62" s="6" t="str">
        <x:f>IF(AND(INDEX('C_jama.2019.2210'!$D$2:$D$10,MATCH("2019::jama.2019.2210::C008",'C_jama.2019.2210'!$A$2:$A$10,0))="retain",INDEX('C_jama.2019.2210'!$E$2:$E$10,MATCH("2019::jama.2019.2210::C008",'C_jama.2019.2210'!$A$2:$A$10,0))="statistical_results"),IF(INDEX('C_jama.2019.2210'!$I$2:$I$10,MATCH("2019::jama.2019.2210::C008",'C_jama.2019.2210'!$A$2:$A$10,0))="","",INDEX('C_jama.2019.2210'!$I$2:$I$10,MATCH("2019::jama.2019.2210::C008",'C_jama.2019.2210'!$A$2:$A$10,0))),"not_applicable")</x:f>
        <x:v>not_applicable</x:v>
      </x:c>
      <x:c r="W62" s="6" t="str">
        <x:f>IF(AND(INDEX('C_jama.2019.2210'!$D$2:$D$10,MATCH("2019::jama.2019.2210::C008",'C_jama.2019.2210'!$A$2:$A$10,0))="retain",INDEX('C_jama.2019.2210'!$E$2:$E$10,MATCH("2019::jama.2019.2210::C008",'C_jama.2019.2210'!$A$2:$A$10,0))="statistical_results"),IF(INDEX('C_jama.2019.2210'!$J$2:$J$10,MATCH("2019::jama.2019.2210::C008",'C_jama.2019.2210'!$A$2:$A$10,0))="","",INDEX('C_jama.2019.2210'!$J$2:$J$10,MATCH("2019::jama.2019.2210::C008",'C_jama.2019.2210'!$A$2:$A$10,0))),"not_applicable")</x:f>
        <x:v>not_applicable</x:v>
      </x:c>
      <x:c r="X62" s="6" t="str">
        <x:f>IF(AND(INDEX('C_jama.2019.2210'!$D$2:$D$10,MATCH("2019::jama.2019.2210::C008",'C_jama.2019.2210'!$A$2:$A$10,0))="retain",OR(INDEX('C_jama.2019.2210'!$E$2:$E$10,MATCH("2019::jama.2019.2210::C008",'C_jama.2019.2210'!$A$2:$A$10,0))="report_internal_inconsistency",INDEX('C_jama.2019.2210'!$E$2:$E$10,MATCH("2019::jama.2019.2210::C008",'C_jama.2019.2210'!$A$2:$A$10,0))="plan_material")),IF(INDEX('C_jama.2019.2210'!$K$2:$K$10,MATCH("2019::jama.2019.2210::C008",'C_jama.2019.2210'!$A$2:$A$10,0))="","",INDEX('C_jama.2019.2210'!$K$2:$K$10,MATCH("2019::jama.2019.2210::C008",'C_jama.2019.2210'!$A$2:$A$10,0))),"not_applicable")</x:f>
        <x:v>not_applicable</x:v>
      </x:c>
      <x:c r="Y62" s="6" t="str">
        <x:f>IF(AND(INDEX('C_jama.2019.2210'!$D$2:$D$10,MATCH("2019::jama.2019.2210::C008",'C_jama.2019.2210'!$A$2:$A$10,0))="retain",INDEX('C_jama.2019.2210'!$E$2:$E$10,MATCH("2019::jama.2019.2210::C008",'C_jama.2019.2210'!$A$2:$A$10,0))="protocol_report"),IF(INDEX('C_jama.2019.2210'!$L$2:$L$10,MATCH("2019::jama.2019.2210::C008",'C_jama.2019.2210'!$A$2:$A$10,0))="","",INDEX('C_jama.2019.2210'!$L$2:$L$10,MATCH("2019::jama.2019.2210::C008",'C_jama.2019.2210'!$A$2:$A$10,0))),"not_applicable")</x:f>
        <x:v>not_applicable</x:v>
      </x:c>
      <x:c r="Z62" s="6" t="str">
        <x:f>IF(INDEX('C_jama.2019.2210'!$R$2:$R$10,MATCH("2019::jama.2019.2210::C008",'C_jama.2019.2210'!$A$2:$A$10,0))="","",INDEX('C_jama.2019.2210'!$R$2:$R$10,MATCH("2019::jama.2019.2210::C008",'C_jama.2019.2210'!$A$2:$A$10,0)))</x:f>
      </x:c>
      <x:c r="AA62" s="6" t="str">
        <x:f>IF(INDEX('C_jama.2019.2210'!$N$2:$N$10,MATCH("2019::jama.2019.2210::C008",'C_jama.2019.2210'!$A$2:$A$10,0))="","",INDEX('C_jama.2019.2210'!$N$2:$N$10,MATCH("2019::jama.2019.2210::C008",'C_jama.2019.2210'!$A$2:$A$10,0)))</x:f>
      </x:c>
      <x:c r="AB62" s="6" t="str">
        <x:f>IF(INDEX('C_jama.2019.2210'!$O$2:$O$10,MATCH("2019::jama.2019.2210::C008",'C_jama.2019.2210'!$A$2:$A$10,0))="","",INDEX('C_jama.2019.2210'!$O$2:$O$10,MATCH("2019::jama.2019.2210::C008",'C_jama.2019.2210'!$A$2:$A$10,0)))</x:f>
      </x:c>
      <x:c r="AC62" s="6" t="str">
        <x:f>IF(INDEX('C_jama.2019.2210'!$P$2:$P$10,MATCH("2019::jama.2019.2210::C008",'C_jama.2019.2210'!$A$2:$A$10,0))="","",INDEX('C_jama.2019.2210'!$P$2:$P$10,MATCH("2019::jama.2019.2210::C008",'C_jama.2019.2210'!$A$2:$A$10,0)))</x:f>
      </x:c>
      <x:c r="AD62" s="6" t="str">
        <x:f>IF(INDEX('C_jama.2019.2210'!$Q$2:$Q$10,MATCH("2019::jama.2019.2210::C008",'C_jama.2019.2210'!$A$2:$A$10,0))="","",INDEX('C_jama.2019.2210'!$Q$2:$Q$10,MATCH("2019::jama.2019.2210::C008",'C_jama.2019.2210'!$A$2:$A$10,0)))</x:f>
      </x:c>
    </x:row>
    <x:row r="63" ht="65" customHeight="1">
      <x:c r="A63" s="3" t="n">
        <x:v>2019</x:v>
      </x:c>
      <x:c r="B63" s="3" t="str">
        <x:v>jama.2019.2210</x:v>
      </x:c>
      <x:c r="C63" s="3" t="str">
        <x:v>2019::jama.2019.2210::C009</x:v>
      </x:c>
      <x:c r="D63" s="3" t="str">
        <x:v>S_W</x:v>
      </x:c>
      <x:c r="E63" s="3" t="n">
        <x:f>Setup!$B$2</x:f>
        <x:v>0</x:v>
      </x:c>
      <x:c r="F63" s="3" t="str">
        <x:f>IF(Setup!$B$4="","",Setup!$B$4)</x:f>
      </x:c>
      <x:c r="G63" s="3" t="str">
        <x:f>IFERROR(INDEX('C_jama.2019.2210'!$G$2:$G$10,MATCH("2019::jama.2019.2210::C009",'C_jama.2019.2210'!$A$2:$A$10,0)),"CHECK KEY")</x:f>
        <x:v>CHECK REVIEWER IDs</x:v>
      </x:c>
      <x:c r="H63" s="3" t="str">
        <x:f>IF(G63&lt;&gt;"FINAL READY","",IF(S63&lt;&gt;"retain","not_eligible",IF(D63="P_R","protocol_descriptive",IF(D63="P_P","plan_descriptive",IF(AND(T63="statistical_results",OR(U63="confirmed_issue",U63="probable_issue"),V63="substantive"),"primary_temporal",IF(AND(T63="report_internal_inconsistency",X63="substantive_inconsistency"),"secondary_temporal","not_eligible"))))))</x:f>
      </x:c>
      <x:c r="I63" s="3" t="str">
        <x:v>retain</x:v>
      </x:c>
      <x:c r="J63" s="3" t="str">
        <x:v>report_internal_inconsistency</x:v>
      </x:c>
      <x:c r="K63" s="3" t="str">
        <x:f>IF(Setup!$B$6="primary","",IFERROR(IF(INDEX('Primary_snapshot'!$B$2:$B$72,MATCH(C63,'Primary_snapshot'!$A$2:$A$72,0))="","",INDEX('Primary_snapshot'!$B$2:$B$72,MATCH(C63,'Primary_snapshot'!$A$2:$A$72,0))),"SNAPSHOT MISSING"))</x:f>
      </x:c>
      <x:c r="L63" s="3" t="str">
        <x:f>IF(Setup!$B$6="primary","",IFERROR(IF(INDEX('Primary_snapshot'!$C$2:$C$72,MATCH(C63,'Primary_snapshot'!$A$2:$A$72,0))="","",INDEX('Primary_snapshot'!$C$2:$C$72,MATCH(C63,'Primary_snapshot'!$A$2:$A$72,0))),"SNAPSHOT MISSING"))</x:f>
      </x:c>
      <x:c r="M63" s="3" t="str">
        <x:f>IF(Setup!$B$6="primary","",IFERROR(IF(INDEX('Primary_snapshot'!$D$2:$D$72,MATCH(C63,'Primary_snapshot'!$A$2:$A$72,0))="","",INDEX('Primary_snapshot'!$D$2:$D$72,MATCH(C63,'Primary_snapshot'!$A$2:$A$72,0))),"SNAPSHOT MISSING"))</x:f>
      </x:c>
      <x:c r="N63" s="3" t="str">
        <x:f>IF(Setup!$B$6="primary","",IFERROR(IF(INDEX('Primary_snapshot'!$E$2:$E$72,MATCH(C63,'Primary_snapshot'!$A$2:$A$72,0))="","",INDEX('Primary_snapshot'!$E$2:$E$72,MATCH(C63,'Primary_snapshot'!$A$2:$A$72,0))),"SNAPSHOT MISSING"))</x:f>
      </x:c>
      <x:c r="O63" s="3" t="str">
        <x:f>IF(Setup!$B$6="primary","",IFERROR(IF(INDEX('Primary_snapshot'!$F$2:$F$72,MATCH(C63,'Primary_snapshot'!$A$2:$A$72,0))="","",INDEX('Primary_snapshot'!$F$2:$F$72,MATCH(C63,'Primary_snapshot'!$A$2:$A$72,0))),"SNAPSHOT MISSING"))</x:f>
      </x:c>
      <x:c r="P63" s="3" t="str">
        <x:f>IF(Setup!$B$6="primary","",IFERROR(IF(INDEX('Primary_snapshot'!$G$2:$G$72,MATCH(C63,'Primary_snapshot'!$A$2:$A$72,0))="","",INDEX('Primary_snapshot'!$G$2:$G$72,MATCH(C63,'Primary_snapshot'!$A$2:$A$72,0))),"SNAPSHOT MISSING"))</x:f>
      </x:c>
      <x:c r="Q63" s="3" t="str">
        <x:f>IF(Setup!$B$6="primary","",IFERROR(IF(INDEX('Primary_snapshot'!$H$2:$H$72,MATCH(C63,'Primary_snapshot'!$A$2:$A$72,0))="","",INDEX('Primary_snapshot'!$H$2:$H$72,MATCH(C63,'Primary_snapshot'!$A$2:$A$72,0))),"SNAPSHOT MISSING"))</x:f>
      </x:c>
      <x:c r="R63" s="3" t="str">
        <x:f>IF(Setup!$B$6="primary","",IFERROR(IF(INDEX('Primary_snapshot'!$I$2:$I$72,MATCH(C63,'Primary_snapshot'!$A$2:$A$72,0))="","",INDEX('Primary_snapshot'!$I$2:$I$72,MATCH(C63,'Primary_snapshot'!$A$2:$A$72,0))),"SNAPSHOT MISSING"))</x:f>
      </x:c>
      <x:c r="S63" s="3" t="str">
        <x:f>IF(INDEX('C_jama.2019.2210'!$D$2:$D$10,MATCH("2019::jama.2019.2210::C009",'C_jama.2019.2210'!$A$2:$A$10,0))="","",INDEX('C_jama.2019.2210'!$D$2:$D$10,MATCH("2019::jama.2019.2210::C009",'C_jama.2019.2210'!$A$2:$A$10,0)))</x:f>
      </x:c>
      <x:c r="T63" s="3" t="str">
        <x:f>IF(INDEX('C_jama.2019.2210'!$E$2:$E$10,MATCH("2019::jama.2019.2210::C009",'C_jama.2019.2210'!$A$2:$A$10,0))="","",INDEX('C_jama.2019.2210'!$E$2:$E$10,MATCH("2019::jama.2019.2210::C009",'C_jama.2019.2210'!$A$2:$A$10,0)))</x:f>
        <x:v>report_internal_inconsistency</x:v>
      </x:c>
      <x:c r="U63" s="3" t="str">
        <x:f>IF(AND(INDEX('C_jama.2019.2210'!$D$2:$D$10,MATCH("2019::jama.2019.2210::C009",'C_jama.2019.2210'!$A$2:$A$10,0))="retain",INDEX('C_jama.2019.2210'!$E$2:$E$10,MATCH("2019::jama.2019.2210::C009",'C_jama.2019.2210'!$A$2:$A$10,0))="statistical_results"),IF(INDEX('C_jama.2019.2210'!$H$2:$H$10,MATCH("2019::jama.2019.2210::C009",'C_jama.2019.2210'!$A$2:$A$10,0))="","",INDEX('C_jama.2019.2210'!$H$2:$H$10,MATCH("2019::jama.2019.2210::C009",'C_jama.2019.2210'!$A$2:$A$10,0))),"not_applicable")</x:f>
        <x:v>not_applicable</x:v>
      </x:c>
      <x:c r="V63" s="3" t="str">
        <x:f>IF(AND(INDEX('C_jama.2019.2210'!$D$2:$D$10,MATCH("2019::jama.2019.2210::C009",'C_jama.2019.2210'!$A$2:$A$10,0))="retain",INDEX('C_jama.2019.2210'!$E$2:$E$10,MATCH("2019::jama.2019.2210::C009",'C_jama.2019.2210'!$A$2:$A$10,0))="statistical_results"),IF(INDEX('C_jama.2019.2210'!$I$2:$I$10,MATCH("2019::jama.2019.2210::C009",'C_jama.2019.2210'!$A$2:$A$10,0))="","",INDEX('C_jama.2019.2210'!$I$2:$I$10,MATCH("2019::jama.2019.2210::C009",'C_jama.2019.2210'!$A$2:$A$10,0))),"not_applicable")</x:f>
        <x:v>not_applicable</x:v>
      </x:c>
      <x:c r="W63" s="3" t="str">
        <x:f>IF(AND(INDEX('C_jama.2019.2210'!$D$2:$D$10,MATCH("2019::jama.2019.2210::C009",'C_jama.2019.2210'!$A$2:$A$10,0))="retain",INDEX('C_jama.2019.2210'!$E$2:$E$10,MATCH("2019::jama.2019.2210::C009",'C_jama.2019.2210'!$A$2:$A$10,0))="statistical_results"),IF(INDEX('C_jama.2019.2210'!$J$2:$J$10,MATCH("2019::jama.2019.2210::C009",'C_jama.2019.2210'!$A$2:$A$10,0))="","",INDEX('C_jama.2019.2210'!$J$2:$J$10,MATCH("2019::jama.2019.2210::C009",'C_jama.2019.2210'!$A$2:$A$10,0))),"not_applicable")</x:f>
        <x:v>not_applicable</x:v>
      </x:c>
      <x:c r="X63" s="3" t="str">
        <x:f>IF(AND(INDEX('C_jama.2019.2210'!$D$2:$D$10,MATCH("2019::jama.2019.2210::C009",'C_jama.2019.2210'!$A$2:$A$10,0))="retain",OR(INDEX('C_jama.2019.2210'!$E$2:$E$10,MATCH("2019::jama.2019.2210::C009",'C_jama.2019.2210'!$A$2:$A$10,0))="report_internal_inconsistency",INDEX('C_jama.2019.2210'!$E$2:$E$10,MATCH("2019::jama.2019.2210::C009",'C_jama.2019.2210'!$A$2:$A$10,0))="plan_material")),IF(INDEX('C_jama.2019.2210'!$K$2:$K$10,MATCH("2019::jama.2019.2210::C009",'C_jama.2019.2210'!$A$2:$A$10,0))="","",INDEX('C_jama.2019.2210'!$K$2:$K$10,MATCH("2019::jama.2019.2210::C009",'C_jama.2019.2210'!$A$2:$A$10,0))),"not_applicable")</x:f>
        <x:v>not_applicable</x:v>
      </x:c>
      <x:c r="Y63" s="3" t="str">
        <x:f>IF(AND(INDEX('C_jama.2019.2210'!$D$2:$D$10,MATCH("2019::jama.2019.2210::C009",'C_jama.2019.2210'!$A$2:$A$10,0))="retain",INDEX('C_jama.2019.2210'!$E$2:$E$10,MATCH("2019::jama.2019.2210::C009",'C_jama.2019.2210'!$A$2:$A$10,0))="protocol_report"),IF(INDEX('C_jama.2019.2210'!$L$2:$L$10,MATCH("2019::jama.2019.2210::C009",'C_jama.2019.2210'!$A$2:$A$10,0))="","",INDEX('C_jama.2019.2210'!$L$2:$L$10,MATCH("2019::jama.2019.2210::C009",'C_jama.2019.2210'!$A$2:$A$10,0))),"not_applicable")</x:f>
        <x:v>not_applicable</x:v>
      </x:c>
      <x:c r="Z63" s="3" t="str">
        <x:f>IF(INDEX('C_jama.2019.2210'!$R$2:$R$10,MATCH("2019::jama.2019.2210::C009",'C_jama.2019.2210'!$A$2:$A$10,0))="","",INDEX('C_jama.2019.2210'!$R$2:$R$10,MATCH("2019::jama.2019.2210::C009",'C_jama.2019.2210'!$A$2:$A$10,0)))</x:f>
      </x:c>
      <x:c r="AA63" s="3" t="str">
        <x:f>IF(INDEX('C_jama.2019.2210'!$N$2:$N$10,MATCH("2019::jama.2019.2210::C009",'C_jama.2019.2210'!$A$2:$A$10,0))="","",INDEX('C_jama.2019.2210'!$N$2:$N$10,MATCH("2019::jama.2019.2210::C009",'C_jama.2019.2210'!$A$2:$A$10,0)))</x:f>
      </x:c>
      <x:c r="AB63" s="3" t="str">
        <x:f>IF(INDEX('C_jama.2019.2210'!$O$2:$O$10,MATCH("2019::jama.2019.2210::C009",'C_jama.2019.2210'!$A$2:$A$10,0))="","",INDEX('C_jama.2019.2210'!$O$2:$O$10,MATCH("2019::jama.2019.2210::C009",'C_jama.2019.2210'!$A$2:$A$10,0)))</x:f>
      </x:c>
      <x:c r="AC63" s="3" t="str">
        <x:f>IF(INDEX('C_jama.2019.2210'!$P$2:$P$10,MATCH("2019::jama.2019.2210::C009",'C_jama.2019.2210'!$A$2:$A$10,0))="","",INDEX('C_jama.2019.2210'!$P$2:$P$10,MATCH("2019::jama.2019.2210::C009",'C_jama.2019.2210'!$A$2:$A$10,0)))</x:f>
      </x:c>
      <x:c r="AD63" s="3" t="str">
        <x:f>IF(INDEX('C_jama.2019.2210'!$Q$2:$Q$10,MATCH("2019::jama.2019.2210::C009",'C_jama.2019.2210'!$A$2:$A$10,0))="","",INDEX('C_jama.2019.2210'!$Q$2:$Q$10,MATCH("2019::jama.2019.2210::C009",'C_jama.2019.2210'!$A$2:$A$10,0)))</x:f>
      </x:c>
    </x:row>
    <x:row r="64" ht="65" customHeight="1">
      <x:c r="A64" s="6" t="n">
        <x:v>2019</x:v>
      </x:c>
      <x:c r="B64" s="6" t="str">
        <x:v>jama.2019.4755</x:v>
      </x:c>
      <x:c r="C64" s="6" t="str">
        <x:v>2019::jama.2019.4755::C001</x:v>
      </x:c>
      <x:c r="D64" s="6" t="str">
        <x:v>S_W</x:v>
      </x:c>
      <x:c r="E64" s="6" t="n">
        <x:f>Setup!$B$2</x:f>
        <x:v>0</x:v>
      </x:c>
      <x:c r="F64" s="6" t="str">
        <x:f>IF(Setup!$B$4="","",Setup!$B$4)</x:f>
      </x:c>
      <x:c r="G64" s="6" t="str">
        <x:f>IFERROR(INDEX('C_jama.2019.4755'!$G$2:$G$6,MATCH("2019::jama.2019.4755::C001",'C_jama.2019.4755'!$A$2:$A$6,0)),"CHECK KEY")</x:f>
        <x:v>CHECK REVIEWER IDs</x:v>
      </x:c>
      <x:c r="H64" s="6" t="str">
        <x:f>IF(G64&lt;&gt;"FINAL READY","",IF(S64&lt;&gt;"retain","not_eligible",IF(D64="P_R","protocol_descriptive",IF(D64="P_P","plan_descriptive",IF(AND(T64="statistical_results",OR(U64="confirmed_issue",U64="probable_issue"),V64="substantive"),"primary_temporal",IF(AND(T64="report_internal_inconsistency",X64="substantive_inconsistency"),"secondary_temporal","not_eligible"))))))</x:f>
      </x:c>
      <x:c r="I64" s="6" t="str">
        <x:v>retain</x:v>
      </x:c>
      <x:c r="J64" s="6" t="str">
        <x:v>statistical_results</x:v>
      </x:c>
      <x:c r="K64" s="6" t="str">
        <x:f>IF(Setup!$B$6="primary","",IFERROR(IF(INDEX('Primary_snapshot'!$B$2:$B$72,MATCH(C64,'Primary_snapshot'!$A$2:$A$72,0))="","",INDEX('Primary_snapshot'!$B$2:$B$72,MATCH(C64,'Primary_snapshot'!$A$2:$A$72,0))),"SNAPSHOT MISSING"))</x:f>
      </x:c>
      <x:c r="L64" s="6" t="str">
        <x:f>IF(Setup!$B$6="primary","",IFERROR(IF(INDEX('Primary_snapshot'!$C$2:$C$72,MATCH(C64,'Primary_snapshot'!$A$2:$A$72,0))="","",INDEX('Primary_snapshot'!$C$2:$C$72,MATCH(C64,'Primary_snapshot'!$A$2:$A$72,0))),"SNAPSHOT MISSING"))</x:f>
      </x:c>
      <x:c r="M64" s="6" t="str">
        <x:f>IF(Setup!$B$6="primary","",IFERROR(IF(INDEX('Primary_snapshot'!$D$2:$D$72,MATCH(C64,'Primary_snapshot'!$A$2:$A$72,0))="","",INDEX('Primary_snapshot'!$D$2:$D$72,MATCH(C64,'Primary_snapshot'!$A$2:$A$72,0))),"SNAPSHOT MISSING"))</x:f>
      </x:c>
      <x:c r="N64" s="6" t="str">
        <x:f>IF(Setup!$B$6="primary","",IFERROR(IF(INDEX('Primary_snapshot'!$E$2:$E$72,MATCH(C64,'Primary_snapshot'!$A$2:$A$72,0))="","",INDEX('Primary_snapshot'!$E$2:$E$72,MATCH(C64,'Primary_snapshot'!$A$2:$A$72,0))),"SNAPSHOT MISSING"))</x:f>
      </x:c>
      <x:c r="O64" s="6" t="str">
        <x:f>IF(Setup!$B$6="primary","",IFERROR(IF(INDEX('Primary_snapshot'!$F$2:$F$72,MATCH(C64,'Primary_snapshot'!$A$2:$A$72,0))="","",INDEX('Primary_snapshot'!$F$2:$F$72,MATCH(C64,'Primary_snapshot'!$A$2:$A$72,0))),"SNAPSHOT MISSING"))</x:f>
      </x:c>
      <x:c r="P64" s="6" t="str">
        <x:f>IF(Setup!$B$6="primary","",IFERROR(IF(INDEX('Primary_snapshot'!$G$2:$G$72,MATCH(C64,'Primary_snapshot'!$A$2:$A$72,0))="","",INDEX('Primary_snapshot'!$G$2:$G$72,MATCH(C64,'Primary_snapshot'!$A$2:$A$72,0))),"SNAPSHOT MISSING"))</x:f>
      </x:c>
      <x:c r="Q64" s="6" t="str">
        <x:f>IF(Setup!$B$6="primary","",IFERROR(IF(INDEX('Primary_snapshot'!$H$2:$H$72,MATCH(C64,'Primary_snapshot'!$A$2:$A$72,0))="","",INDEX('Primary_snapshot'!$H$2:$H$72,MATCH(C64,'Primary_snapshot'!$A$2:$A$72,0))),"SNAPSHOT MISSING"))</x:f>
      </x:c>
      <x:c r="R64" s="6" t="str">
        <x:f>IF(Setup!$B$6="primary","",IFERROR(IF(INDEX('Primary_snapshot'!$I$2:$I$72,MATCH(C64,'Primary_snapshot'!$A$2:$A$72,0))="","",INDEX('Primary_snapshot'!$I$2:$I$72,MATCH(C64,'Primary_snapshot'!$A$2:$A$72,0))),"SNAPSHOT MISSING"))</x:f>
      </x:c>
      <x:c r="S64" s="6" t="str">
        <x:f>IF(INDEX('C_jama.2019.4755'!$D$2:$D$6,MATCH("2019::jama.2019.4755::C001",'C_jama.2019.4755'!$A$2:$A$6,0))="","",INDEX('C_jama.2019.4755'!$D$2:$D$6,MATCH("2019::jama.2019.4755::C001",'C_jama.2019.4755'!$A$2:$A$6,0)))</x:f>
      </x:c>
      <x:c r="T64" s="6" t="str">
        <x:f>IF(INDEX('C_jama.2019.4755'!$E$2:$E$6,MATCH("2019::jama.2019.4755::C001",'C_jama.2019.4755'!$A$2:$A$6,0))="","",INDEX('C_jama.2019.4755'!$E$2:$E$6,MATCH("2019::jama.2019.4755::C001",'C_jama.2019.4755'!$A$2:$A$6,0)))</x:f>
        <x:v>statistical_results</x:v>
      </x:c>
      <x:c r="U64" s="6" t="str">
        <x:f>IF(AND(INDEX('C_jama.2019.4755'!$D$2:$D$6,MATCH("2019::jama.2019.4755::C001",'C_jama.2019.4755'!$A$2:$A$6,0))="retain",INDEX('C_jama.2019.4755'!$E$2:$E$6,MATCH("2019::jama.2019.4755::C001",'C_jama.2019.4755'!$A$2:$A$6,0))="statistical_results"),IF(INDEX('C_jama.2019.4755'!$H$2:$H$6,MATCH("2019::jama.2019.4755::C001",'C_jama.2019.4755'!$A$2:$A$6,0))="","",INDEX('C_jama.2019.4755'!$H$2:$H$6,MATCH("2019::jama.2019.4755::C001",'C_jama.2019.4755'!$A$2:$A$6,0))),"not_applicable")</x:f>
        <x:v>not_applicable</x:v>
      </x:c>
      <x:c r="V64" s="6" t="str">
        <x:f>IF(AND(INDEX('C_jama.2019.4755'!$D$2:$D$6,MATCH("2019::jama.2019.4755::C001",'C_jama.2019.4755'!$A$2:$A$6,0))="retain",INDEX('C_jama.2019.4755'!$E$2:$E$6,MATCH("2019::jama.2019.4755::C001",'C_jama.2019.4755'!$A$2:$A$6,0))="statistical_results"),IF(INDEX('C_jama.2019.4755'!$I$2:$I$6,MATCH("2019::jama.2019.4755::C001",'C_jama.2019.4755'!$A$2:$A$6,0))="","",INDEX('C_jama.2019.4755'!$I$2:$I$6,MATCH("2019::jama.2019.4755::C001",'C_jama.2019.4755'!$A$2:$A$6,0))),"not_applicable")</x:f>
        <x:v>not_applicable</x:v>
      </x:c>
      <x:c r="W64" s="6" t="str">
        <x:f>IF(AND(INDEX('C_jama.2019.4755'!$D$2:$D$6,MATCH("2019::jama.2019.4755::C001",'C_jama.2019.4755'!$A$2:$A$6,0))="retain",INDEX('C_jama.2019.4755'!$E$2:$E$6,MATCH("2019::jama.2019.4755::C001",'C_jama.2019.4755'!$A$2:$A$6,0))="statistical_results"),IF(INDEX('C_jama.2019.4755'!$J$2:$J$6,MATCH("2019::jama.2019.4755::C001",'C_jama.2019.4755'!$A$2:$A$6,0))="","",INDEX('C_jama.2019.4755'!$J$2:$J$6,MATCH("2019::jama.2019.4755::C001",'C_jama.2019.4755'!$A$2:$A$6,0))),"not_applicable")</x:f>
        <x:v>not_applicable</x:v>
      </x:c>
      <x:c r="X64" s="6" t="str">
        <x:f>IF(AND(INDEX('C_jama.2019.4755'!$D$2:$D$6,MATCH("2019::jama.2019.4755::C001",'C_jama.2019.4755'!$A$2:$A$6,0))="retain",OR(INDEX('C_jama.2019.4755'!$E$2:$E$6,MATCH("2019::jama.2019.4755::C001",'C_jama.2019.4755'!$A$2:$A$6,0))="report_internal_inconsistency",INDEX('C_jama.2019.4755'!$E$2:$E$6,MATCH("2019::jama.2019.4755::C001",'C_jama.2019.4755'!$A$2:$A$6,0))="plan_material")),IF(INDEX('C_jama.2019.4755'!$K$2:$K$6,MATCH("2019::jama.2019.4755::C001",'C_jama.2019.4755'!$A$2:$A$6,0))="","",INDEX('C_jama.2019.4755'!$K$2:$K$6,MATCH("2019::jama.2019.4755::C001",'C_jama.2019.4755'!$A$2:$A$6,0))),"not_applicable")</x:f>
        <x:v>not_applicable</x:v>
      </x:c>
      <x:c r="Y64" s="6" t="str">
        <x:f>IF(AND(INDEX('C_jama.2019.4755'!$D$2:$D$6,MATCH("2019::jama.2019.4755::C001",'C_jama.2019.4755'!$A$2:$A$6,0))="retain",INDEX('C_jama.2019.4755'!$E$2:$E$6,MATCH("2019::jama.2019.4755::C001",'C_jama.2019.4755'!$A$2:$A$6,0))="protocol_report"),IF(INDEX('C_jama.2019.4755'!$L$2:$L$6,MATCH("2019::jama.2019.4755::C001",'C_jama.2019.4755'!$A$2:$A$6,0))="","",INDEX('C_jama.2019.4755'!$L$2:$L$6,MATCH("2019::jama.2019.4755::C001",'C_jama.2019.4755'!$A$2:$A$6,0))),"not_applicable")</x:f>
        <x:v>not_applicable</x:v>
      </x:c>
      <x:c r="Z64" s="6" t="str">
        <x:f>IF(INDEX('C_jama.2019.4755'!$R$2:$R$6,MATCH("2019::jama.2019.4755::C001",'C_jama.2019.4755'!$A$2:$A$6,0))="","",INDEX('C_jama.2019.4755'!$R$2:$R$6,MATCH("2019::jama.2019.4755::C001",'C_jama.2019.4755'!$A$2:$A$6,0)))</x:f>
      </x:c>
      <x:c r="AA64" s="6" t="str">
        <x:f>IF(INDEX('C_jama.2019.4755'!$N$2:$N$6,MATCH("2019::jama.2019.4755::C001",'C_jama.2019.4755'!$A$2:$A$6,0))="","",INDEX('C_jama.2019.4755'!$N$2:$N$6,MATCH("2019::jama.2019.4755::C001",'C_jama.2019.4755'!$A$2:$A$6,0)))</x:f>
      </x:c>
      <x:c r="AB64" s="6" t="str">
        <x:f>IF(INDEX('C_jama.2019.4755'!$O$2:$O$6,MATCH("2019::jama.2019.4755::C001",'C_jama.2019.4755'!$A$2:$A$6,0))="","",INDEX('C_jama.2019.4755'!$O$2:$O$6,MATCH("2019::jama.2019.4755::C001",'C_jama.2019.4755'!$A$2:$A$6,0)))</x:f>
      </x:c>
      <x:c r="AC64" s="6" t="str">
        <x:f>IF(INDEX('C_jama.2019.4755'!$P$2:$P$6,MATCH("2019::jama.2019.4755::C001",'C_jama.2019.4755'!$A$2:$A$6,0))="","",INDEX('C_jama.2019.4755'!$P$2:$P$6,MATCH("2019::jama.2019.4755::C001",'C_jama.2019.4755'!$A$2:$A$6,0)))</x:f>
      </x:c>
      <x:c r="AD64" s="6" t="str">
        <x:f>IF(INDEX('C_jama.2019.4755'!$Q$2:$Q$6,MATCH("2019::jama.2019.4755::C001",'C_jama.2019.4755'!$A$2:$A$6,0))="","",INDEX('C_jama.2019.4755'!$Q$2:$Q$6,MATCH("2019::jama.2019.4755::C001",'C_jama.2019.4755'!$A$2:$A$6,0)))</x:f>
      </x:c>
    </x:row>
    <x:row r="65" ht="65" customHeight="1">
      <x:c r="A65" s="3" t="n">
        <x:v>2019</x:v>
      </x:c>
      <x:c r="B65" s="3" t="str">
        <x:v>jama.2019.4755</x:v>
      </x:c>
      <x:c r="C65" s="3" t="str">
        <x:v>2019::jama.2019.4755::C002</x:v>
      </x:c>
      <x:c r="D65" s="3" t="str">
        <x:v>S_W</x:v>
      </x:c>
      <x:c r="E65" s="3" t="n">
        <x:f>Setup!$B$2</x:f>
        <x:v>0</x:v>
      </x:c>
      <x:c r="F65" s="3" t="str">
        <x:f>IF(Setup!$B$4="","",Setup!$B$4)</x:f>
      </x:c>
      <x:c r="G65" s="3" t="str">
        <x:f>IFERROR(INDEX('C_jama.2019.4755'!$G$2:$G$6,MATCH("2019::jama.2019.4755::C002",'C_jama.2019.4755'!$A$2:$A$6,0)),"CHECK KEY")</x:f>
        <x:v>CHECK REVIEWER IDs</x:v>
      </x:c>
      <x:c r="H65" s="3" t="str">
        <x:f>IF(G65&lt;&gt;"FINAL READY","",IF(S65&lt;&gt;"retain","not_eligible",IF(D65="P_R","protocol_descriptive",IF(D65="P_P","plan_descriptive",IF(AND(T65="statistical_results",OR(U65="confirmed_issue",U65="probable_issue"),V65="substantive"),"primary_temporal",IF(AND(T65="report_internal_inconsistency",X65="substantive_inconsistency"),"secondary_temporal","not_eligible"))))))</x:f>
      </x:c>
      <x:c r="I65" s="3" t="str">
        <x:v>retain</x:v>
      </x:c>
      <x:c r="J65" s="3" t="str">
        <x:v>statistical_results</x:v>
      </x:c>
      <x:c r="K65" s="3" t="str">
        <x:f>IF(Setup!$B$6="primary","",IFERROR(IF(INDEX('Primary_snapshot'!$B$2:$B$72,MATCH(C65,'Primary_snapshot'!$A$2:$A$72,0))="","",INDEX('Primary_snapshot'!$B$2:$B$72,MATCH(C65,'Primary_snapshot'!$A$2:$A$72,0))),"SNAPSHOT MISSING"))</x:f>
      </x:c>
      <x:c r="L65" s="3" t="str">
        <x:f>IF(Setup!$B$6="primary","",IFERROR(IF(INDEX('Primary_snapshot'!$C$2:$C$72,MATCH(C65,'Primary_snapshot'!$A$2:$A$72,0))="","",INDEX('Primary_snapshot'!$C$2:$C$72,MATCH(C65,'Primary_snapshot'!$A$2:$A$72,0))),"SNAPSHOT MISSING"))</x:f>
      </x:c>
      <x:c r="M65" s="3" t="str">
        <x:f>IF(Setup!$B$6="primary","",IFERROR(IF(INDEX('Primary_snapshot'!$D$2:$D$72,MATCH(C65,'Primary_snapshot'!$A$2:$A$72,0))="","",INDEX('Primary_snapshot'!$D$2:$D$72,MATCH(C65,'Primary_snapshot'!$A$2:$A$72,0))),"SNAPSHOT MISSING"))</x:f>
      </x:c>
      <x:c r="N65" s="3" t="str">
        <x:f>IF(Setup!$B$6="primary","",IFERROR(IF(INDEX('Primary_snapshot'!$E$2:$E$72,MATCH(C65,'Primary_snapshot'!$A$2:$A$72,0))="","",INDEX('Primary_snapshot'!$E$2:$E$72,MATCH(C65,'Primary_snapshot'!$A$2:$A$72,0))),"SNAPSHOT MISSING"))</x:f>
      </x:c>
      <x:c r="O65" s="3" t="str">
        <x:f>IF(Setup!$B$6="primary","",IFERROR(IF(INDEX('Primary_snapshot'!$F$2:$F$72,MATCH(C65,'Primary_snapshot'!$A$2:$A$72,0))="","",INDEX('Primary_snapshot'!$F$2:$F$72,MATCH(C65,'Primary_snapshot'!$A$2:$A$72,0))),"SNAPSHOT MISSING"))</x:f>
      </x:c>
      <x:c r="P65" s="3" t="str">
        <x:f>IF(Setup!$B$6="primary","",IFERROR(IF(INDEX('Primary_snapshot'!$G$2:$G$72,MATCH(C65,'Primary_snapshot'!$A$2:$A$72,0))="","",INDEX('Primary_snapshot'!$G$2:$G$72,MATCH(C65,'Primary_snapshot'!$A$2:$A$72,0))),"SNAPSHOT MISSING"))</x:f>
      </x:c>
      <x:c r="Q65" s="3" t="str">
        <x:f>IF(Setup!$B$6="primary","",IFERROR(IF(INDEX('Primary_snapshot'!$H$2:$H$72,MATCH(C65,'Primary_snapshot'!$A$2:$A$72,0))="","",INDEX('Primary_snapshot'!$H$2:$H$72,MATCH(C65,'Primary_snapshot'!$A$2:$A$72,0))),"SNAPSHOT MISSING"))</x:f>
      </x:c>
      <x:c r="R65" s="3" t="str">
        <x:f>IF(Setup!$B$6="primary","",IFERROR(IF(INDEX('Primary_snapshot'!$I$2:$I$72,MATCH(C65,'Primary_snapshot'!$A$2:$A$72,0))="","",INDEX('Primary_snapshot'!$I$2:$I$72,MATCH(C65,'Primary_snapshot'!$A$2:$A$72,0))),"SNAPSHOT MISSING"))</x:f>
      </x:c>
      <x:c r="S65" s="3" t="str">
        <x:f>IF(INDEX('C_jama.2019.4755'!$D$2:$D$6,MATCH("2019::jama.2019.4755::C002",'C_jama.2019.4755'!$A$2:$A$6,0))="","",INDEX('C_jama.2019.4755'!$D$2:$D$6,MATCH("2019::jama.2019.4755::C002",'C_jama.2019.4755'!$A$2:$A$6,0)))</x:f>
      </x:c>
      <x:c r="T65" s="3" t="str">
        <x:f>IF(INDEX('C_jama.2019.4755'!$E$2:$E$6,MATCH("2019::jama.2019.4755::C002",'C_jama.2019.4755'!$A$2:$A$6,0))="","",INDEX('C_jama.2019.4755'!$E$2:$E$6,MATCH("2019::jama.2019.4755::C002",'C_jama.2019.4755'!$A$2:$A$6,0)))</x:f>
        <x:v>statistical_results</x:v>
      </x:c>
      <x:c r="U65" s="3" t="str">
        <x:f>IF(AND(INDEX('C_jama.2019.4755'!$D$2:$D$6,MATCH("2019::jama.2019.4755::C002",'C_jama.2019.4755'!$A$2:$A$6,0))="retain",INDEX('C_jama.2019.4755'!$E$2:$E$6,MATCH("2019::jama.2019.4755::C002",'C_jama.2019.4755'!$A$2:$A$6,0))="statistical_results"),IF(INDEX('C_jama.2019.4755'!$H$2:$H$6,MATCH("2019::jama.2019.4755::C002",'C_jama.2019.4755'!$A$2:$A$6,0))="","",INDEX('C_jama.2019.4755'!$H$2:$H$6,MATCH("2019::jama.2019.4755::C002",'C_jama.2019.4755'!$A$2:$A$6,0))),"not_applicable")</x:f>
        <x:v>not_applicable</x:v>
      </x:c>
      <x:c r="V65" s="3" t="str">
        <x:f>IF(AND(INDEX('C_jama.2019.4755'!$D$2:$D$6,MATCH("2019::jama.2019.4755::C002",'C_jama.2019.4755'!$A$2:$A$6,0))="retain",INDEX('C_jama.2019.4755'!$E$2:$E$6,MATCH("2019::jama.2019.4755::C002",'C_jama.2019.4755'!$A$2:$A$6,0))="statistical_results"),IF(INDEX('C_jama.2019.4755'!$I$2:$I$6,MATCH("2019::jama.2019.4755::C002",'C_jama.2019.4755'!$A$2:$A$6,0))="","",INDEX('C_jama.2019.4755'!$I$2:$I$6,MATCH("2019::jama.2019.4755::C002",'C_jama.2019.4755'!$A$2:$A$6,0))),"not_applicable")</x:f>
        <x:v>not_applicable</x:v>
      </x:c>
      <x:c r="W65" s="3" t="str">
        <x:f>IF(AND(INDEX('C_jama.2019.4755'!$D$2:$D$6,MATCH("2019::jama.2019.4755::C002",'C_jama.2019.4755'!$A$2:$A$6,0))="retain",INDEX('C_jama.2019.4755'!$E$2:$E$6,MATCH("2019::jama.2019.4755::C002",'C_jama.2019.4755'!$A$2:$A$6,0))="statistical_results"),IF(INDEX('C_jama.2019.4755'!$J$2:$J$6,MATCH("2019::jama.2019.4755::C002",'C_jama.2019.4755'!$A$2:$A$6,0))="","",INDEX('C_jama.2019.4755'!$J$2:$J$6,MATCH("2019::jama.2019.4755::C002",'C_jama.2019.4755'!$A$2:$A$6,0))),"not_applicable")</x:f>
        <x:v>not_applicable</x:v>
      </x:c>
      <x:c r="X65" s="3" t="str">
        <x:f>IF(AND(INDEX('C_jama.2019.4755'!$D$2:$D$6,MATCH("2019::jama.2019.4755::C002",'C_jama.2019.4755'!$A$2:$A$6,0))="retain",OR(INDEX('C_jama.2019.4755'!$E$2:$E$6,MATCH("2019::jama.2019.4755::C002",'C_jama.2019.4755'!$A$2:$A$6,0))="report_internal_inconsistency",INDEX('C_jama.2019.4755'!$E$2:$E$6,MATCH("2019::jama.2019.4755::C002",'C_jama.2019.4755'!$A$2:$A$6,0))="plan_material")),IF(INDEX('C_jama.2019.4755'!$K$2:$K$6,MATCH("2019::jama.2019.4755::C002",'C_jama.2019.4755'!$A$2:$A$6,0))="","",INDEX('C_jama.2019.4755'!$K$2:$K$6,MATCH("2019::jama.2019.4755::C002",'C_jama.2019.4755'!$A$2:$A$6,0))),"not_applicable")</x:f>
        <x:v>not_applicable</x:v>
      </x:c>
      <x:c r="Y65" s="3" t="str">
        <x:f>IF(AND(INDEX('C_jama.2019.4755'!$D$2:$D$6,MATCH("2019::jama.2019.4755::C002",'C_jama.2019.4755'!$A$2:$A$6,0))="retain",INDEX('C_jama.2019.4755'!$E$2:$E$6,MATCH("2019::jama.2019.4755::C002",'C_jama.2019.4755'!$A$2:$A$6,0))="protocol_report"),IF(INDEX('C_jama.2019.4755'!$L$2:$L$6,MATCH("2019::jama.2019.4755::C002",'C_jama.2019.4755'!$A$2:$A$6,0))="","",INDEX('C_jama.2019.4755'!$L$2:$L$6,MATCH("2019::jama.2019.4755::C002",'C_jama.2019.4755'!$A$2:$A$6,0))),"not_applicable")</x:f>
        <x:v>not_applicable</x:v>
      </x:c>
      <x:c r="Z65" s="3" t="str">
        <x:f>IF(INDEX('C_jama.2019.4755'!$R$2:$R$6,MATCH("2019::jama.2019.4755::C002",'C_jama.2019.4755'!$A$2:$A$6,0))="","",INDEX('C_jama.2019.4755'!$R$2:$R$6,MATCH("2019::jama.2019.4755::C002",'C_jama.2019.4755'!$A$2:$A$6,0)))</x:f>
      </x:c>
      <x:c r="AA65" s="3" t="str">
        <x:f>IF(INDEX('C_jama.2019.4755'!$N$2:$N$6,MATCH("2019::jama.2019.4755::C002",'C_jama.2019.4755'!$A$2:$A$6,0))="","",INDEX('C_jama.2019.4755'!$N$2:$N$6,MATCH("2019::jama.2019.4755::C002",'C_jama.2019.4755'!$A$2:$A$6,0)))</x:f>
      </x:c>
      <x:c r="AB65" s="3" t="str">
        <x:f>IF(INDEX('C_jama.2019.4755'!$O$2:$O$6,MATCH("2019::jama.2019.4755::C002",'C_jama.2019.4755'!$A$2:$A$6,0))="","",INDEX('C_jama.2019.4755'!$O$2:$O$6,MATCH("2019::jama.2019.4755::C002",'C_jama.2019.4755'!$A$2:$A$6,0)))</x:f>
      </x:c>
      <x:c r="AC65" s="3" t="str">
        <x:f>IF(INDEX('C_jama.2019.4755'!$P$2:$P$6,MATCH("2019::jama.2019.4755::C002",'C_jama.2019.4755'!$A$2:$A$6,0))="","",INDEX('C_jama.2019.4755'!$P$2:$P$6,MATCH("2019::jama.2019.4755::C002",'C_jama.2019.4755'!$A$2:$A$6,0)))</x:f>
      </x:c>
      <x:c r="AD65" s="3" t="str">
        <x:f>IF(INDEX('C_jama.2019.4755'!$Q$2:$Q$6,MATCH("2019::jama.2019.4755::C002",'C_jama.2019.4755'!$A$2:$A$6,0))="","",INDEX('C_jama.2019.4755'!$Q$2:$Q$6,MATCH("2019::jama.2019.4755::C002",'C_jama.2019.4755'!$A$2:$A$6,0)))</x:f>
      </x:c>
    </x:row>
    <x:row r="66" ht="65" customHeight="1">
      <x:c r="A66" s="6" t="n">
        <x:v>2019</x:v>
      </x:c>
      <x:c r="B66" s="6" t="str">
        <x:v>jama.2019.4755</x:v>
      </x:c>
      <x:c r="C66" s="6" t="str">
        <x:v>2019::jama.2019.4755::C003</x:v>
      </x:c>
      <x:c r="D66" s="6" t="str">
        <x:v>S_W</x:v>
      </x:c>
      <x:c r="E66" s="6" t="n">
        <x:f>Setup!$B$2</x:f>
        <x:v>0</x:v>
      </x:c>
      <x:c r="F66" s="6" t="str">
        <x:f>IF(Setup!$B$4="","",Setup!$B$4)</x:f>
      </x:c>
      <x:c r="G66" s="6" t="str">
        <x:f>IFERROR(INDEX('C_jama.2019.4755'!$G$2:$G$6,MATCH("2019::jama.2019.4755::C003",'C_jama.2019.4755'!$A$2:$A$6,0)),"CHECK KEY")</x:f>
        <x:v>CHECK REVIEWER IDs</x:v>
      </x:c>
      <x:c r="H66" s="6" t="str">
        <x:f>IF(G66&lt;&gt;"FINAL READY","",IF(S66&lt;&gt;"retain","not_eligible",IF(D66="P_R","protocol_descriptive",IF(D66="P_P","plan_descriptive",IF(AND(T66="statistical_results",OR(U66="confirmed_issue",U66="probable_issue"),V66="substantive"),"primary_temporal",IF(AND(T66="report_internal_inconsistency",X66="substantive_inconsistency"),"secondary_temporal","not_eligible"))))))</x:f>
      </x:c>
      <x:c r="I66" s="6" t="str">
        <x:v>retain</x:v>
      </x:c>
      <x:c r="J66" s="6" t="str">
        <x:v>statistical_results</x:v>
      </x:c>
      <x:c r="K66" s="6" t="str">
        <x:f>IF(Setup!$B$6="primary","",IFERROR(IF(INDEX('Primary_snapshot'!$B$2:$B$72,MATCH(C66,'Primary_snapshot'!$A$2:$A$72,0))="","",INDEX('Primary_snapshot'!$B$2:$B$72,MATCH(C66,'Primary_snapshot'!$A$2:$A$72,0))),"SNAPSHOT MISSING"))</x:f>
      </x:c>
      <x:c r="L66" s="6" t="str">
        <x:f>IF(Setup!$B$6="primary","",IFERROR(IF(INDEX('Primary_snapshot'!$C$2:$C$72,MATCH(C66,'Primary_snapshot'!$A$2:$A$72,0))="","",INDEX('Primary_snapshot'!$C$2:$C$72,MATCH(C66,'Primary_snapshot'!$A$2:$A$72,0))),"SNAPSHOT MISSING"))</x:f>
      </x:c>
      <x:c r="M66" s="6" t="str">
        <x:f>IF(Setup!$B$6="primary","",IFERROR(IF(INDEX('Primary_snapshot'!$D$2:$D$72,MATCH(C66,'Primary_snapshot'!$A$2:$A$72,0))="","",INDEX('Primary_snapshot'!$D$2:$D$72,MATCH(C66,'Primary_snapshot'!$A$2:$A$72,0))),"SNAPSHOT MISSING"))</x:f>
      </x:c>
      <x:c r="N66" s="6" t="str">
        <x:f>IF(Setup!$B$6="primary","",IFERROR(IF(INDEX('Primary_snapshot'!$E$2:$E$72,MATCH(C66,'Primary_snapshot'!$A$2:$A$72,0))="","",INDEX('Primary_snapshot'!$E$2:$E$72,MATCH(C66,'Primary_snapshot'!$A$2:$A$72,0))),"SNAPSHOT MISSING"))</x:f>
      </x:c>
      <x:c r="O66" s="6" t="str">
        <x:f>IF(Setup!$B$6="primary","",IFERROR(IF(INDEX('Primary_snapshot'!$F$2:$F$72,MATCH(C66,'Primary_snapshot'!$A$2:$A$72,0))="","",INDEX('Primary_snapshot'!$F$2:$F$72,MATCH(C66,'Primary_snapshot'!$A$2:$A$72,0))),"SNAPSHOT MISSING"))</x:f>
      </x:c>
      <x:c r="P66" s="6" t="str">
        <x:f>IF(Setup!$B$6="primary","",IFERROR(IF(INDEX('Primary_snapshot'!$G$2:$G$72,MATCH(C66,'Primary_snapshot'!$A$2:$A$72,0))="","",INDEX('Primary_snapshot'!$G$2:$G$72,MATCH(C66,'Primary_snapshot'!$A$2:$A$72,0))),"SNAPSHOT MISSING"))</x:f>
      </x:c>
      <x:c r="Q66" s="6" t="str">
        <x:f>IF(Setup!$B$6="primary","",IFERROR(IF(INDEX('Primary_snapshot'!$H$2:$H$72,MATCH(C66,'Primary_snapshot'!$A$2:$A$72,0))="","",INDEX('Primary_snapshot'!$H$2:$H$72,MATCH(C66,'Primary_snapshot'!$A$2:$A$72,0))),"SNAPSHOT MISSING"))</x:f>
      </x:c>
      <x:c r="R66" s="6" t="str">
        <x:f>IF(Setup!$B$6="primary","",IFERROR(IF(INDEX('Primary_snapshot'!$I$2:$I$72,MATCH(C66,'Primary_snapshot'!$A$2:$A$72,0))="","",INDEX('Primary_snapshot'!$I$2:$I$72,MATCH(C66,'Primary_snapshot'!$A$2:$A$72,0))),"SNAPSHOT MISSING"))</x:f>
      </x:c>
      <x:c r="S66" s="6" t="str">
        <x:f>IF(INDEX('C_jama.2019.4755'!$D$2:$D$6,MATCH("2019::jama.2019.4755::C003",'C_jama.2019.4755'!$A$2:$A$6,0))="","",INDEX('C_jama.2019.4755'!$D$2:$D$6,MATCH("2019::jama.2019.4755::C003",'C_jama.2019.4755'!$A$2:$A$6,0)))</x:f>
      </x:c>
      <x:c r="T66" s="6" t="str">
        <x:f>IF(INDEX('C_jama.2019.4755'!$E$2:$E$6,MATCH("2019::jama.2019.4755::C003",'C_jama.2019.4755'!$A$2:$A$6,0))="","",INDEX('C_jama.2019.4755'!$E$2:$E$6,MATCH("2019::jama.2019.4755::C003",'C_jama.2019.4755'!$A$2:$A$6,0)))</x:f>
        <x:v>statistical_results</x:v>
      </x:c>
      <x:c r="U66" s="6" t="str">
        <x:f>IF(AND(INDEX('C_jama.2019.4755'!$D$2:$D$6,MATCH("2019::jama.2019.4755::C003",'C_jama.2019.4755'!$A$2:$A$6,0))="retain",INDEX('C_jama.2019.4755'!$E$2:$E$6,MATCH("2019::jama.2019.4755::C003",'C_jama.2019.4755'!$A$2:$A$6,0))="statistical_results"),IF(INDEX('C_jama.2019.4755'!$H$2:$H$6,MATCH("2019::jama.2019.4755::C003",'C_jama.2019.4755'!$A$2:$A$6,0))="","",INDEX('C_jama.2019.4755'!$H$2:$H$6,MATCH("2019::jama.2019.4755::C003",'C_jama.2019.4755'!$A$2:$A$6,0))),"not_applicable")</x:f>
        <x:v>not_applicable</x:v>
      </x:c>
      <x:c r="V66" s="6" t="str">
        <x:f>IF(AND(INDEX('C_jama.2019.4755'!$D$2:$D$6,MATCH("2019::jama.2019.4755::C003",'C_jama.2019.4755'!$A$2:$A$6,0))="retain",INDEX('C_jama.2019.4755'!$E$2:$E$6,MATCH("2019::jama.2019.4755::C003",'C_jama.2019.4755'!$A$2:$A$6,0))="statistical_results"),IF(INDEX('C_jama.2019.4755'!$I$2:$I$6,MATCH("2019::jama.2019.4755::C003",'C_jama.2019.4755'!$A$2:$A$6,0))="","",INDEX('C_jama.2019.4755'!$I$2:$I$6,MATCH("2019::jama.2019.4755::C003",'C_jama.2019.4755'!$A$2:$A$6,0))),"not_applicable")</x:f>
        <x:v>not_applicable</x:v>
      </x:c>
      <x:c r="W66" s="6" t="str">
        <x:f>IF(AND(INDEX('C_jama.2019.4755'!$D$2:$D$6,MATCH("2019::jama.2019.4755::C003",'C_jama.2019.4755'!$A$2:$A$6,0))="retain",INDEX('C_jama.2019.4755'!$E$2:$E$6,MATCH("2019::jama.2019.4755::C003",'C_jama.2019.4755'!$A$2:$A$6,0))="statistical_results"),IF(INDEX('C_jama.2019.4755'!$J$2:$J$6,MATCH("2019::jama.2019.4755::C003",'C_jama.2019.4755'!$A$2:$A$6,0))="","",INDEX('C_jama.2019.4755'!$J$2:$J$6,MATCH("2019::jama.2019.4755::C003",'C_jama.2019.4755'!$A$2:$A$6,0))),"not_applicable")</x:f>
        <x:v>not_applicable</x:v>
      </x:c>
      <x:c r="X66" s="6" t="str">
        <x:f>IF(AND(INDEX('C_jama.2019.4755'!$D$2:$D$6,MATCH("2019::jama.2019.4755::C003",'C_jama.2019.4755'!$A$2:$A$6,0))="retain",OR(INDEX('C_jama.2019.4755'!$E$2:$E$6,MATCH("2019::jama.2019.4755::C003",'C_jama.2019.4755'!$A$2:$A$6,0))="report_internal_inconsistency",INDEX('C_jama.2019.4755'!$E$2:$E$6,MATCH("2019::jama.2019.4755::C003",'C_jama.2019.4755'!$A$2:$A$6,0))="plan_material")),IF(INDEX('C_jama.2019.4755'!$K$2:$K$6,MATCH("2019::jama.2019.4755::C003",'C_jama.2019.4755'!$A$2:$A$6,0))="","",INDEX('C_jama.2019.4755'!$K$2:$K$6,MATCH("2019::jama.2019.4755::C003",'C_jama.2019.4755'!$A$2:$A$6,0))),"not_applicable")</x:f>
        <x:v>not_applicable</x:v>
      </x:c>
      <x:c r="Y66" s="6" t="str">
        <x:f>IF(AND(INDEX('C_jama.2019.4755'!$D$2:$D$6,MATCH("2019::jama.2019.4755::C003",'C_jama.2019.4755'!$A$2:$A$6,0))="retain",INDEX('C_jama.2019.4755'!$E$2:$E$6,MATCH("2019::jama.2019.4755::C003",'C_jama.2019.4755'!$A$2:$A$6,0))="protocol_report"),IF(INDEX('C_jama.2019.4755'!$L$2:$L$6,MATCH("2019::jama.2019.4755::C003",'C_jama.2019.4755'!$A$2:$A$6,0))="","",INDEX('C_jama.2019.4755'!$L$2:$L$6,MATCH("2019::jama.2019.4755::C003",'C_jama.2019.4755'!$A$2:$A$6,0))),"not_applicable")</x:f>
        <x:v>not_applicable</x:v>
      </x:c>
      <x:c r="Z66" s="6" t="str">
        <x:f>IF(INDEX('C_jama.2019.4755'!$R$2:$R$6,MATCH("2019::jama.2019.4755::C003",'C_jama.2019.4755'!$A$2:$A$6,0))="","",INDEX('C_jama.2019.4755'!$R$2:$R$6,MATCH("2019::jama.2019.4755::C003",'C_jama.2019.4755'!$A$2:$A$6,0)))</x:f>
      </x:c>
      <x:c r="AA66" s="6" t="str">
        <x:f>IF(INDEX('C_jama.2019.4755'!$N$2:$N$6,MATCH("2019::jama.2019.4755::C003",'C_jama.2019.4755'!$A$2:$A$6,0))="","",INDEX('C_jama.2019.4755'!$N$2:$N$6,MATCH("2019::jama.2019.4755::C003",'C_jama.2019.4755'!$A$2:$A$6,0)))</x:f>
      </x:c>
      <x:c r="AB66" s="6" t="str">
        <x:f>IF(INDEX('C_jama.2019.4755'!$O$2:$O$6,MATCH("2019::jama.2019.4755::C003",'C_jama.2019.4755'!$A$2:$A$6,0))="","",INDEX('C_jama.2019.4755'!$O$2:$O$6,MATCH("2019::jama.2019.4755::C003",'C_jama.2019.4755'!$A$2:$A$6,0)))</x:f>
      </x:c>
      <x:c r="AC66" s="6" t="str">
        <x:f>IF(INDEX('C_jama.2019.4755'!$P$2:$P$6,MATCH("2019::jama.2019.4755::C003",'C_jama.2019.4755'!$A$2:$A$6,0))="","",INDEX('C_jama.2019.4755'!$P$2:$P$6,MATCH("2019::jama.2019.4755::C003",'C_jama.2019.4755'!$A$2:$A$6,0)))</x:f>
      </x:c>
      <x:c r="AD66" s="6" t="str">
        <x:f>IF(INDEX('C_jama.2019.4755'!$Q$2:$Q$6,MATCH("2019::jama.2019.4755::C003",'C_jama.2019.4755'!$A$2:$A$6,0))="","",INDEX('C_jama.2019.4755'!$Q$2:$Q$6,MATCH("2019::jama.2019.4755::C003",'C_jama.2019.4755'!$A$2:$A$6,0)))</x:f>
      </x:c>
    </x:row>
    <x:row r="67" ht="65" customHeight="1">
      <x:c r="A67" s="3" t="n">
        <x:v>2019</x:v>
      </x:c>
      <x:c r="B67" s="3" t="str">
        <x:v>jama.2019.4755</x:v>
      </x:c>
      <x:c r="C67" s="3" t="str">
        <x:v>2019::jama.2019.4755::C004</x:v>
      </x:c>
      <x:c r="D67" s="3" t="str">
        <x:v>S_W</x:v>
      </x:c>
      <x:c r="E67" s="3" t="n">
        <x:f>Setup!$B$2</x:f>
        <x:v>0</x:v>
      </x:c>
      <x:c r="F67" s="3" t="str">
        <x:f>IF(Setup!$B$4="","",Setup!$B$4)</x:f>
      </x:c>
      <x:c r="G67" s="3" t="str">
        <x:f>IFERROR(INDEX('C_jama.2019.4755'!$G$2:$G$6,MATCH("2019::jama.2019.4755::C004",'C_jama.2019.4755'!$A$2:$A$6,0)),"CHECK KEY")</x:f>
        <x:v>CHECK REVIEWER IDs</x:v>
      </x:c>
      <x:c r="H67" s="3" t="str">
        <x:f>IF(G67&lt;&gt;"FINAL READY","",IF(S67&lt;&gt;"retain","not_eligible",IF(D67="P_R","protocol_descriptive",IF(D67="P_P","plan_descriptive",IF(AND(T67="statistical_results",OR(U67="confirmed_issue",U67="probable_issue"),V67="substantive"),"primary_temporal",IF(AND(T67="report_internal_inconsistency",X67="substantive_inconsistency"),"secondary_temporal","not_eligible"))))))</x:f>
      </x:c>
      <x:c r="I67" s="3" t="str">
        <x:v>retain</x:v>
      </x:c>
      <x:c r="J67" s="3" t="str">
        <x:v>report_internal_inconsistency</x:v>
      </x:c>
      <x:c r="K67" s="3" t="str">
        <x:f>IF(Setup!$B$6="primary","",IFERROR(IF(INDEX('Primary_snapshot'!$B$2:$B$72,MATCH(C67,'Primary_snapshot'!$A$2:$A$72,0))="","",INDEX('Primary_snapshot'!$B$2:$B$72,MATCH(C67,'Primary_snapshot'!$A$2:$A$72,0))),"SNAPSHOT MISSING"))</x:f>
      </x:c>
      <x:c r="L67" s="3" t="str">
        <x:f>IF(Setup!$B$6="primary","",IFERROR(IF(INDEX('Primary_snapshot'!$C$2:$C$72,MATCH(C67,'Primary_snapshot'!$A$2:$A$72,0))="","",INDEX('Primary_snapshot'!$C$2:$C$72,MATCH(C67,'Primary_snapshot'!$A$2:$A$72,0))),"SNAPSHOT MISSING"))</x:f>
      </x:c>
      <x:c r="M67" s="3" t="str">
        <x:f>IF(Setup!$B$6="primary","",IFERROR(IF(INDEX('Primary_snapshot'!$D$2:$D$72,MATCH(C67,'Primary_snapshot'!$A$2:$A$72,0))="","",INDEX('Primary_snapshot'!$D$2:$D$72,MATCH(C67,'Primary_snapshot'!$A$2:$A$72,0))),"SNAPSHOT MISSING"))</x:f>
      </x:c>
      <x:c r="N67" s="3" t="str">
        <x:f>IF(Setup!$B$6="primary","",IFERROR(IF(INDEX('Primary_snapshot'!$E$2:$E$72,MATCH(C67,'Primary_snapshot'!$A$2:$A$72,0))="","",INDEX('Primary_snapshot'!$E$2:$E$72,MATCH(C67,'Primary_snapshot'!$A$2:$A$72,0))),"SNAPSHOT MISSING"))</x:f>
      </x:c>
      <x:c r="O67" s="3" t="str">
        <x:f>IF(Setup!$B$6="primary","",IFERROR(IF(INDEX('Primary_snapshot'!$F$2:$F$72,MATCH(C67,'Primary_snapshot'!$A$2:$A$72,0))="","",INDEX('Primary_snapshot'!$F$2:$F$72,MATCH(C67,'Primary_snapshot'!$A$2:$A$72,0))),"SNAPSHOT MISSING"))</x:f>
      </x:c>
      <x:c r="P67" s="3" t="str">
        <x:f>IF(Setup!$B$6="primary","",IFERROR(IF(INDEX('Primary_snapshot'!$G$2:$G$72,MATCH(C67,'Primary_snapshot'!$A$2:$A$72,0))="","",INDEX('Primary_snapshot'!$G$2:$G$72,MATCH(C67,'Primary_snapshot'!$A$2:$A$72,0))),"SNAPSHOT MISSING"))</x:f>
      </x:c>
      <x:c r="Q67" s="3" t="str">
        <x:f>IF(Setup!$B$6="primary","",IFERROR(IF(INDEX('Primary_snapshot'!$H$2:$H$72,MATCH(C67,'Primary_snapshot'!$A$2:$A$72,0))="","",INDEX('Primary_snapshot'!$H$2:$H$72,MATCH(C67,'Primary_snapshot'!$A$2:$A$72,0))),"SNAPSHOT MISSING"))</x:f>
      </x:c>
      <x:c r="R67" s="3" t="str">
        <x:f>IF(Setup!$B$6="primary","",IFERROR(IF(INDEX('Primary_snapshot'!$I$2:$I$72,MATCH(C67,'Primary_snapshot'!$A$2:$A$72,0))="","",INDEX('Primary_snapshot'!$I$2:$I$72,MATCH(C67,'Primary_snapshot'!$A$2:$A$72,0))),"SNAPSHOT MISSING"))</x:f>
      </x:c>
      <x:c r="S67" s="3" t="str">
        <x:f>IF(INDEX('C_jama.2019.4755'!$D$2:$D$6,MATCH("2019::jama.2019.4755::C004",'C_jama.2019.4755'!$A$2:$A$6,0))="","",INDEX('C_jama.2019.4755'!$D$2:$D$6,MATCH("2019::jama.2019.4755::C004",'C_jama.2019.4755'!$A$2:$A$6,0)))</x:f>
      </x:c>
      <x:c r="T67" s="3" t="str">
        <x:f>IF(INDEX('C_jama.2019.4755'!$E$2:$E$6,MATCH("2019::jama.2019.4755::C004",'C_jama.2019.4755'!$A$2:$A$6,0))="","",INDEX('C_jama.2019.4755'!$E$2:$E$6,MATCH("2019::jama.2019.4755::C004",'C_jama.2019.4755'!$A$2:$A$6,0)))</x:f>
        <x:v>report_internal_inconsistency</x:v>
      </x:c>
      <x:c r="U67" s="3" t="str">
        <x:f>IF(AND(INDEX('C_jama.2019.4755'!$D$2:$D$6,MATCH("2019::jama.2019.4755::C004",'C_jama.2019.4755'!$A$2:$A$6,0))="retain",INDEX('C_jama.2019.4755'!$E$2:$E$6,MATCH("2019::jama.2019.4755::C004",'C_jama.2019.4755'!$A$2:$A$6,0))="statistical_results"),IF(INDEX('C_jama.2019.4755'!$H$2:$H$6,MATCH("2019::jama.2019.4755::C004",'C_jama.2019.4755'!$A$2:$A$6,0))="","",INDEX('C_jama.2019.4755'!$H$2:$H$6,MATCH("2019::jama.2019.4755::C004",'C_jama.2019.4755'!$A$2:$A$6,0))),"not_applicable")</x:f>
        <x:v>not_applicable</x:v>
      </x:c>
      <x:c r="V67" s="3" t="str">
        <x:f>IF(AND(INDEX('C_jama.2019.4755'!$D$2:$D$6,MATCH("2019::jama.2019.4755::C004",'C_jama.2019.4755'!$A$2:$A$6,0))="retain",INDEX('C_jama.2019.4755'!$E$2:$E$6,MATCH("2019::jama.2019.4755::C004",'C_jama.2019.4755'!$A$2:$A$6,0))="statistical_results"),IF(INDEX('C_jama.2019.4755'!$I$2:$I$6,MATCH("2019::jama.2019.4755::C004",'C_jama.2019.4755'!$A$2:$A$6,0))="","",INDEX('C_jama.2019.4755'!$I$2:$I$6,MATCH("2019::jama.2019.4755::C004",'C_jama.2019.4755'!$A$2:$A$6,0))),"not_applicable")</x:f>
        <x:v>not_applicable</x:v>
      </x:c>
      <x:c r="W67" s="3" t="str">
        <x:f>IF(AND(INDEX('C_jama.2019.4755'!$D$2:$D$6,MATCH("2019::jama.2019.4755::C004",'C_jama.2019.4755'!$A$2:$A$6,0))="retain",INDEX('C_jama.2019.4755'!$E$2:$E$6,MATCH("2019::jama.2019.4755::C004",'C_jama.2019.4755'!$A$2:$A$6,0))="statistical_results"),IF(INDEX('C_jama.2019.4755'!$J$2:$J$6,MATCH("2019::jama.2019.4755::C004",'C_jama.2019.4755'!$A$2:$A$6,0))="","",INDEX('C_jama.2019.4755'!$J$2:$J$6,MATCH("2019::jama.2019.4755::C004",'C_jama.2019.4755'!$A$2:$A$6,0))),"not_applicable")</x:f>
        <x:v>not_applicable</x:v>
      </x:c>
      <x:c r="X67" s="3" t="str">
        <x:f>IF(AND(INDEX('C_jama.2019.4755'!$D$2:$D$6,MATCH("2019::jama.2019.4755::C004",'C_jama.2019.4755'!$A$2:$A$6,0))="retain",OR(INDEX('C_jama.2019.4755'!$E$2:$E$6,MATCH("2019::jama.2019.4755::C004",'C_jama.2019.4755'!$A$2:$A$6,0))="report_internal_inconsistency",INDEX('C_jama.2019.4755'!$E$2:$E$6,MATCH("2019::jama.2019.4755::C004",'C_jama.2019.4755'!$A$2:$A$6,0))="plan_material")),IF(INDEX('C_jama.2019.4755'!$K$2:$K$6,MATCH("2019::jama.2019.4755::C004",'C_jama.2019.4755'!$A$2:$A$6,0))="","",INDEX('C_jama.2019.4755'!$K$2:$K$6,MATCH("2019::jama.2019.4755::C004",'C_jama.2019.4755'!$A$2:$A$6,0))),"not_applicable")</x:f>
        <x:v>not_applicable</x:v>
      </x:c>
      <x:c r="Y67" s="3" t="str">
        <x:f>IF(AND(INDEX('C_jama.2019.4755'!$D$2:$D$6,MATCH("2019::jama.2019.4755::C004",'C_jama.2019.4755'!$A$2:$A$6,0))="retain",INDEX('C_jama.2019.4755'!$E$2:$E$6,MATCH("2019::jama.2019.4755::C004",'C_jama.2019.4755'!$A$2:$A$6,0))="protocol_report"),IF(INDEX('C_jama.2019.4755'!$L$2:$L$6,MATCH("2019::jama.2019.4755::C004",'C_jama.2019.4755'!$A$2:$A$6,0))="","",INDEX('C_jama.2019.4755'!$L$2:$L$6,MATCH("2019::jama.2019.4755::C004",'C_jama.2019.4755'!$A$2:$A$6,0))),"not_applicable")</x:f>
        <x:v>not_applicable</x:v>
      </x:c>
      <x:c r="Z67" s="3" t="str">
        <x:f>IF(INDEX('C_jama.2019.4755'!$R$2:$R$6,MATCH("2019::jama.2019.4755::C004",'C_jama.2019.4755'!$A$2:$A$6,0))="","",INDEX('C_jama.2019.4755'!$R$2:$R$6,MATCH("2019::jama.2019.4755::C004",'C_jama.2019.4755'!$A$2:$A$6,0)))</x:f>
      </x:c>
      <x:c r="AA67" s="3" t="str">
        <x:f>IF(INDEX('C_jama.2019.4755'!$N$2:$N$6,MATCH("2019::jama.2019.4755::C004",'C_jama.2019.4755'!$A$2:$A$6,0))="","",INDEX('C_jama.2019.4755'!$N$2:$N$6,MATCH("2019::jama.2019.4755::C004",'C_jama.2019.4755'!$A$2:$A$6,0)))</x:f>
      </x:c>
      <x:c r="AB67" s="3" t="str">
        <x:f>IF(INDEX('C_jama.2019.4755'!$O$2:$O$6,MATCH("2019::jama.2019.4755::C004",'C_jama.2019.4755'!$A$2:$A$6,0))="","",INDEX('C_jama.2019.4755'!$O$2:$O$6,MATCH("2019::jama.2019.4755::C004",'C_jama.2019.4755'!$A$2:$A$6,0)))</x:f>
      </x:c>
      <x:c r="AC67" s="3" t="str">
        <x:f>IF(INDEX('C_jama.2019.4755'!$P$2:$P$6,MATCH("2019::jama.2019.4755::C004",'C_jama.2019.4755'!$A$2:$A$6,0))="","",INDEX('C_jama.2019.4755'!$P$2:$P$6,MATCH("2019::jama.2019.4755::C004",'C_jama.2019.4755'!$A$2:$A$6,0)))</x:f>
      </x:c>
      <x:c r="AD67" s="3" t="str">
        <x:f>IF(INDEX('C_jama.2019.4755'!$Q$2:$Q$6,MATCH("2019::jama.2019.4755::C004",'C_jama.2019.4755'!$A$2:$A$6,0))="","",INDEX('C_jama.2019.4755'!$Q$2:$Q$6,MATCH("2019::jama.2019.4755::C004",'C_jama.2019.4755'!$A$2:$A$6,0)))</x:f>
      </x:c>
    </x:row>
    <x:row r="68" ht="65" customHeight="1">
      <x:c r="A68" s="6" t="n">
        <x:v>2019</x:v>
      </x:c>
      <x:c r="B68" s="6" t="str">
        <x:v>jama.2019.4755</x:v>
      </x:c>
      <x:c r="C68" s="6" t="str">
        <x:v>2019::jama.2019.4755::C005</x:v>
      </x:c>
      <x:c r="D68" s="6" t="str">
        <x:v>P_P</x:v>
      </x:c>
      <x:c r="E68" s="6" t="n">
        <x:f>Setup!$B$2</x:f>
        <x:v>0</x:v>
      </x:c>
      <x:c r="F68" s="6" t="str">
        <x:f>IF(Setup!$B$4="","",Setup!$B$4)</x:f>
      </x:c>
      <x:c r="G68" s="6" t="str">
        <x:f>IFERROR(INDEX('C_jama.2019.4755'!$G$2:$G$6,MATCH("2019::jama.2019.4755::C005",'C_jama.2019.4755'!$A$2:$A$6,0)),"CHECK KEY")</x:f>
        <x:v>CHECK REVIEWER IDs</x:v>
      </x:c>
      <x:c r="H68" s="6" t="str">
        <x:f>IF(G68&lt;&gt;"FINAL READY","",IF(S68&lt;&gt;"retain","not_eligible",IF(D68="P_R","protocol_descriptive",IF(D68="P_P","plan_descriptive",IF(AND(T68="statistical_results",OR(U68="confirmed_issue",U68="probable_issue"),V68="substantive"),"primary_temporal",IF(AND(T68="report_internal_inconsistency",X68="substantive_inconsistency"),"secondary_temporal","not_eligible"))))))</x:f>
      </x:c>
      <x:c r="I68" s="6" t="str">
        <x:v>retain</x:v>
      </x:c>
      <x:c r="J68" s="6" t="str">
        <x:v>plan_material</x:v>
      </x:c>
      <x:c r="K68" s="6" t="str">
        <x:f>IF(Setup!$B$6="primary","",IFERROR(IF(INDEX('Primary_snapshot'!$B$2:$B$72,MATCH(C68,'Primary_snapshot'!$A$2:$A$72,0))="","",INDEX('Primary_snapshot'!$B$2:$B$72,MATCH(C68,'Primary_snapshot'!$A$2:$A$72,0))),"SNAPSHOT MISSING"))</x:f>
      </x:c>
      <x:c r="L68" s="6" t="str">
        <x:f>IF(Setup!$B$6="primary","",IFERROR(IF(INDEX('Primary_snapshot'!$C$2:$C$72,MATCH(C68,'Primary_snapshot'!$A$2:$A$72,0))="","",INDEX('Primary_snapshot'!$C$2:$C$72,MATCH(C68,'Primary_snapshot'!$A$2:$A$72,0))),"SNAPSHOT MISSING"))</x:f>
      </x:c>
      <x:c r="M68" s="6" t="str">
        <x:f>IF(Setup!$B$6="primary","",IFERROR(IF(INDEX('Primary_snapshot'!$D$2:$D$72,MATCH(C68,'Primary_snapshot'!$A$2:$A$72,0))="","",INDEX('Primary_snapshot'!$D$2:$D$72,MATCH(C68,'Primary_snapshot'!$A$2:$A$72,0))),"SNAPSHOT MISSING"))</x:f>
      </x:c>
      <x:c r="N68" s="6" t="str">
        <x:f>IF(Setup!$B$6="primary","",IFERROR(IF(INDEX('Primary_snapshot'!$E$2:$E$72,MATCH(C68,'Primary_snapshot'!$A$2:$A$72,0))="","",INDEX('Primary_snapshot'!$E$2:$E$72,MATCH(C68,'Primary_snapshot'!$A$2:$A$72,0))),"SNAPSHOT MISSING"))</x:f>
      </x:c>
      <x:c r="O68" s="6" t="str">
        <x:f>IF(Setup!$B$6="primary","",IFERROR(IF(INDEX('Primary_snapshot'!$F$2:$F$72,MATCH(C68,'Primary_snapshot'!$A$2:$A$72,0))="","",INDEX('Primary_snapshot'!$F$2:$F$72,MATCH(C68,'Primary_snapshot'!$A$2:$A$72,0))),"SNAPSHOT MISSING"))</x:f>
      </x:c>
      <x:c r="P68" s="6" t="str">
        <x:f>IF(Setup!$B$6="primary","",IFERROR(IF(INDEX('Primary_snapshot'!$G$2:$G$72,MATCH(C68,'Primary_snapshot'!$A$2:$A$72,0))="","",INDEX('Primary_snapshot'!$G$2:$G$72,MATCH(C68,'Primary_snapshot'!$A$2:$A$72,0))),"SNAPSHOT MISSING"))</x:f>
      </x:c>
      <x:c r="Q68" s="6" t="str">
        <x:f>IF(Setup!$B$6="primary","",IFERROR(IF(INDEX('Primary_snapshot'!$H$2:$H$72,MATCH(C68,'Primary_snapshot'!$A$2:$A$72,0))="","",INDEX('Primary_snapshot'!$H$2:$H$72,MATCH(C68,'Primary_snapshot'!$A$2:$A$72,0))),"SNAPSHOT MISSING"))</x:f>
      </x:c>
      <x:c r="R68" s="6" t="str">
        <x:f>IF(Setup!$B$6="primary","",IFERROR(IF(INDEX('Primary_snapshot'!$I$2:$I$72,MATCH(C68,'Primary_snapshot'!$A$2:$A$72,0))="","",INDEX('Primary_snapshot'!$I$2:$I$72,MATCH(C68,'Primary_snapshot'!$A$2:$A$72,0))),"SNAPSHOT MISSING"))</x:f>
      </x:c>
      <x:c r="S68" s="6" t="str">
        <x:f>IF(INDEX('C_jama.2019.4755'!$D$2:$D$6,MATCH("2019::jama.2019.4755::C005",'C_jama.2019.4755'!$A$2:$A$6,0))="","",INDEX('C_jama.2019.4755'!$D$2:$D$6,MATCH("2019::jama.2019.4755::C005",'C_jama.2019.4755'!$A$2:$A$6,0)))</x:f>
      </x:c>
      <x:c r="T68" s="6" t="str">
        <x:f>IF(INDEX('C_jama.2019.4755'!$E$2:$E$6,MATCH("2019::jama.2019.4755::C005",'C_jama.2019.4755'!$A$2:$A$6,0))="","",INDEX('C_jama.2019.4755'!$E$2:$E$6,MATCH("2019::jama.2019.4755::C005",'C_jama.2019.4755'!$A$2:$A$6,0)))</x:f>
        <x:v>plan_material</x:v>
      </x:c>
      <x:c r="U68" s="6" t="str">
        <x:f>IF(AND(INDEX('C_jama.2019.4755'!$D$2:$D$6,MATCH("2019::jama.2019.4755::C005",'C_jama.2019.4755'!$A$2:$A$6,0))="retain",INDEX('C_jama.2019.4755'!$E$2:$E$6,MATCH("2019::jama.2019.4755::C005",'C_jama.2019.4755'!$A$2:$A$6,0))="statistical_results"),IF(INDEX('C_jama.2019.4755'!$H$2:$H$6,MATCH("2019::jama.2019.4755::C005",'C_jama.2019.4755'!$A$2:$A$6,0))="","",INDEX('C_jama.2019.4755'!$H$2:$H$6,MATCH("2019::jama.2019.4755::C005",'C_jama.2019.4755'!$A$2:$A$6,0))),"not_applicable")</x:f>
        <x:v>not_applicable</x:v>
      </x:c>
      <x:c r="V68" s="6" t="str">
        <x:f>IF(AND(INDEX('C_jama.2019.4755'!$D$2:$D$6,MATCH("2019::jama.2019.4755::C005",'C_jama.2019.4755'!$A$2:$A$6,0))="retain",INDEX('C_jama.2019.4755'!$E$2:$E$6,MATCH("2019::jama.2019.4755::C005",'C_jama.2019.4755'!$A$2:$A$6,0))="statistical_results"),IF(INDEX('C_jama.2019.4755'!$I$2:$I$6,MATCH("2019::jama.2019.4755::C005",'C_jama.2019.4755'!$A$2:$A$6,0))="","",INDEX('C_jama.2019.4755'!$I$2:$I$6,MATCH("2019::jama.2019.4755::C005",'C_jama.2019.4755'!$A$2:$A$6,0))),"not_applicable")</x:f>
        <x:v>not_applicable</x:v>
      </x:c>
      <x:c r="W68" s="6" t="str">
        <x:f>IF(AND(INDEX('C_jama.2019.4755'!$D$2:$D$6,MATCH("2019::jama.2019.4755::C005",'C_jama.2019.4755'!$A$2:$A$6,0))="retain",INDEX('C_jama.2019.4755'!$E$2:$E$6,MATCH("2019::jama.2019.4755::C005",'C_jama.2019.4755'!$A$2:$A$6,0))="statistical_results"),IF(INDEX('C_jama.2019.4755'!$J$2:$J$6,MATCH("2019::jama.2019.4755::C005",'C_jama.2019.4755'!$A$2:$A$6,0))="","",INDEX('C_jama.2019.4755'!$J$2:$J$6,MATCH("2019::jama.2019.4755::C005",'C_jama.2019.4755'!$A$2:$A$6,0))),"not_applicable")</x:f>
        <x:v>not_applicable</x:v>
      </x:c>
      <x:c r="X68" s="6" t="str">
        <x:f>IF(AND(INDEX('C_jama.2019.4755'!$D$2:$D$6,MATCH("2019::jama.2019.4755::C005",'C_jama.2019.4755'!$A$2:$A$6,0))="retain",OR(INDEX('C_jama.2019.4755'!$E$2:$E$6,MATCH("2019::jama.2019.4755::C005",'C_jama.2019.4755'!$A$2:$A$6,0))="report_internal_inconsistency",INDEX('C_jama.2019.4755'!$E$2:$E$6,MATCH("2019::jama.2019.4755::C005",'C_jama.2019.4755'!$A$2:$A$6,0))="plan_material")),IF(INDEX('C_jama.2019.4755'!$K$2:$K$6,MATCH("2019::jama.2019.4755::C005",'C_jama.2019.4755'!$A$2:$A$6,0))="","",INDEX('C_jama.2019.4755'!$K$2:$K$6,MATCH("2019::jama.2019.4755::C005",'C_jama.2019.4755'!$A$2:$A$6,0))),"not_applicable")</x:f>
        <x:v>not_applicable</x:v>
      </x:c>
      <x:c r="Y68" s="6" t="str">
        <x:f>IF(AND(INDEX('C_jama.2019.4755'!$D$2:$D$6,MATCH("2019::jama.2019.4755::C005",'C_jama.2019.4755'!$A$2:$A$6,0))="retain",INDEX('C_jama.2019.4755'!$E$2:$E$6,MATCH("2019::jama.2019.4755::C005",'C_jama.2019.4755'!$A$2:$A$6,0))="protocol_report"),IF(INDEX('C_jama.2019.4755'!$L$2:$L$6,MATCH("2019::jama.2019.4755::C005",'C_jama.2019.4755'!$A$2:$A$6,0))="","",INDEX('C_jama.2019.4755'!$L$2:$L$6,MATCH("2019::jama.2019.4755::C005",'C_jama.2019.4755'!$A$2:$A$6,0))),"not_applicable")</x:f>
        <x:v>not_applicable</x:v>
      </x:c>
      <x:c r="Z68" s="6" t="str">
        <x:f>IF(INDEX('C_jama.2019.4755'!$R$2:$R$6,MATCH("2019::jama.2019.4755::C005",'C_jama.2019.4755'!$A$2:$A$6,0))="","",INDEX('C_jama.2019.4755'!$R$2:$R$6,MATCH("2019::jama.2019.4755::C005",'C_jama.2019.4755'!$A$2:$A$6,0)))</x:f>
      </x:c>
      <x:c r="AA68" s="6" t="str">
        <x:f>IF(INDEX('C_jama.2019.4755'!$N$2:$N$6,MATCH("2019::jama.2019.4755::C005",'C_jama.2019.4755'!$A$2:$A$6,0))="","",INDEX('C_jama.2019.4755'!$N$2:$N$6,MATCH("2019::jama.2019.4755::C005",'C_jama.2019.4755'!$A$2:$A$6,0)))</x:f>
      </x:c>
      <x:c r="AB68" s="6" t="str">
        <x:f>IF(INDEX('C_jama.2019.4755'!$O$2:$O$6,MATCH("2019::jama.2019.4755::C005",'C_jama.2019.4755'!$A$2:$A$6,0))="","",INDEX('C_jama.2019.4755'!$O$2:$O$6,MATCH("2019::jama.2019.4755::C005",'C_jama.2019.4755'!$A$2:$A$6,0)))</x:f>
      </x:c>
      <x:c r="AC68" s="6" t="str">
        <x:f>IF(INDEX('C_jama.2019.4755'!$P$2:$P$6,MATCH("2019::jama.2019.4755::C005",'C_jama.2019.4755'!$A$2:$A$6,0))="","",INDEX('C_jama.2019.4755'!$P$2:$P$6,MATCH("2019::jama.2019.4755::C005",'C_jama.2019.4755'!$A$2:$A$6,0)))</x:f>
      </x:c>
      <x:c r="AD68" s="6" t="str">
        <x:f>IF(INDEX('C_jama.2019.4755'!$Q$2:$Q$6,MATCH("2019::jama.2019.4755::C005",'C_jama.2019.4755'!$A$2:$A$6,0))="","",INDEX('C_jama.2019.4755'!$Q$2:$Q$6,MATCH("2019::jama.2019.4755::C005",'C_jama.2019.4755'!$A$2:$A$6,0)))</x:f>
      </x:c>
    </x:row>
    <x:row r="69" ht="65" customHeight="1">
      <x:c r="A69" s="3" t="n">
        <x:v>2019</x:v>
      </x:c>
      <x:c r="B69" s="3" t="str">
        <x:v>jama.2019.7505</x:v>
      </x:c>
      <x:c r="C69" s="3" t="str">
        <x:v>2019::jama.2019.7505::C001</x:v>
      </x:c>
      <x:c r="D69" s="3" t="str">
        <x:v>S_W</x:v>
      </x:c>
      <x:c r="E69" s="3" t="n">
        <x:f>Setup!$B$2</x:f>
        <x:v>0</x:v>
      </x:c>
      <x:c r="F69" s="3" t="str">
        <x:f>IF(Setup!$B$4="","",Setup!$B$4)</x:f>
      </x:c>
      <x:c r="G69" s="3" t="str">
        <x:f>IFERROR(INDEX('C_jama.2019.7505'!$G$2:$G$5,MATCH("2019::jama.2019.7505::C001",'C_jama.2019.7505'!$A$2:$A$5,0)),"CHECK KEY")</x:f>
        <x:v>CHECK REVIEWER IDs</x:v>
      </x:c>
      <x:c r="H69" s="3" t="str">
        <x:f>IF(G69&lt;&gt;"FINAL READY","",IF(S69&lt;&gt;"retain","not_eligible",IF(D69="P_R","protocol_descriptive",IF(D69="P_P","plan_descriptive",IF(AND(T69="statistical_results",OR(U69="confirmed_issue",U69="probable_issue"),V69="substantive"),"primary_temporal",IF(AND(T69="report_internal_inconsistency",X69="substantive_inconsistency"),"secondary_temporal","not_eligible"))))))</x:f>
      </x:c>
      <x:c r="I69" s="3" t="str">
        <x:v>retain</x:v>
      </x:c>
      <x:c r="J69" s="3" t="str">
        <x:v>report_internal_inconsistency</x:v>
      </x:c>
      <x:c r="K69" s="3" t="str">
        <x:f>IF(Setup!$B$6="primary","",IFERROR(IF(INDEX('Primary_snapshot'!$B$2:$B$72,MATCH(C69,'Primary_snapshot'!$A$2:$A$72,0))="","",INDEX('Primary_snapshot'!$B$2:$B$72,MATCH(C69,'Primary_snapshot'!$A$2:$A$72,0))),"SNAPSHOT MISSING"))</x:f>
      </x:c>
      <x:c r="L69" s="3" t="str">
        <x:f>IF(Setup!$B$6="primary","",IFERROR(IF(INDEX('Primary_snapshot'!$C$2:$C$72,MATCH(C69,'Primary_snapshot'!$A$2:$A$72,0))="","",INDEX('Primary_snapshot'!$C$2:$C$72,MATCH(C69,'Primary_snapshot'!$A$2:$A$72,0))),"SNAPSHOT MISSING"))</x:f>
      </x:c>
      <x:c r="M69" s="3" t="str">
        <x:f>IF(Setup!$B$6="primary","",IFERROR(IF(INDEX('Primary_snapshot'!$D$2:$D$72,MATCH(C69,'Primary_snapshot'!$A$2:$A$72,0))="","",INDEX('Primary_snapshot'!$D$2:$D$72,MATCH(C69,'Primary_snapshot'!$A$2:$A$72,0))),"SNAPSHOT MISSING"))</x:f>
      </x:c>
      <x:c r="N69" s="3" t="str">
        <x:f>IF(Setup!$B$6="primary","",IFERROR(IF(INDEX('Primary_snapshot'!$E$2:$E$72,MATCH(C69,'Primary_snapshot'!$A$2:$A$72,0))="","",INDEX('Primary_snapshot'!$E$2:$E$72,MATCH(C69,'Primary_snapshot'!$A$2:$A$72,0))),"SNAPSHOT MISSING"))</x:f>
      </x:c>
      <x:c r="O69" s="3" t="str">
        <x:f>IF(Setup!$B$6="primary","",IFERROR(IF(INDEX('Primary_snapshot'!$F$2:$F$72,MATCH(C69,'Primary_snapshot'!$A$2:$A$72,0))="","",INDEX('Primary_snapshot'!$F$2:$F$72,MATCH(C69,'Primary_snapshot'!$A$2:$A$72,0))),"SNAPSHOT MISSING"))</x:f>
      </x:c>
      <x:c r="P69" s="3" t="str">
        <x:f>IF(Setup!$B$6="primary","",IFERROR(IF(INDEX('Primary_snapshot'!$G$2:$G$72,MATCH(C69,'Primary_snapshot'!$A$2:$A$72,0))="","",INDEX('Primary_snapshot'!$G$2:$G$72,MATCH(C69,'Primary_snapshot'!$A$2:$A$72,0))),"SNAPSHOT MISSING"))</x:f>
      </x:c>
      <x:c r="Q69" s="3" t="str">
        <x:f>IF(Setup!$B$6="primary","",IFERROR(IF(INDEX('Primary_snapshot'!$H$2:$H$72,MATCH(C69,'Primary_snapshot'!$A$2:$A$72,0))="","",INDEX('Primary_snapshot'!$H$2:$H$72,MATCH(C69,'Primary_snapshot'!$A$2:$A$72,0))),"SNAPSHOT MISSING"))</x:f>
      </x:c>
      <x:c r="R69" s="3" t="str">
        <x:f>IF(Setup!$B$6="primary","",IFERROR(IF(INDEX('Primary_snapshot'!$I$2:$I$72,MATCH(C69,'Primary_snapshot'!$A$2:$A$72,0))="","",INDEX('Primary_snapshot'!$I$2:$I$72,MATCH(C69,'Primary_snapshot'!$A$2:$A$72,0))),"SNAPSHOT MISSING"))</x:f>
      </x:c>
      <x:c r="S69" s="3" t="str">
        <x:f>IF(INDEX('C_jama.2019.7505'!$D$2:$D$5,MATCH("2019::jama.2019.7505::C001",'C_jama.2019.7505'!$A$2:$A$5,0))="","",INDEX('C_jama.2019.7505'!$D$2:$D$5,MATCH("2019::jama.2019.7505::C001",'C_jama.2019.7505'!$A$2:$A$5,0)))</x:f>
      </x:c>
      <x:c r="T69" s="3" t="str">
        <x:f>IF(INDEX('C_jama.2019.7505'!$E$2:$E$5,MATCH("2019::jama.2019.7505::C001",'C_jama.2019.7505'!$A$2:$A$5,0))="","",INDEX('C_jama.2019.7505'!$E$2:$E$5,MATCH("2019::jama.2019.7505::C001",'C_jama.2019.7505'!$A$2:$A$5,0)))</x:f>
        <x:v>report_internal_inconsistency</x:v>
      </x:c>
      <x:c r="U69" s="3" t="str">
        <x:f>IF(AND(INDEX('C_jama.2019.7505'!$D$2:$D$5,MATCH("2019::jama.2019.7505::C001",'C_jama.2019.7505'!$A$2:$A$5,0))="retain",INDEX('C_jama.2019.7505'!$E$2:$E$5,MATCH("2019::jama.2019.7505::C001",'C_jama.2019.7505'!$A$2:$A$5,0))="statistical_results"),IF(INDEX('C_jama.2019.7505'!$H$2:$H$5,MATCH("2019::jama.2019.7505::C001",'C_jama.2019.7505'!$A$2:$A$5,0))="","",INDEX('C_jama.2019.7505'!$H$2:$H$5,MATCH("2019::jama.2019.7505::C001",'C_jama.2019.7505'!$A$2:$A$5,0))),"not_applicable")</x:f>
        <x:v>not_applicable</x:v>
      </x:c>
      <x:c r="V69" s="3" t="str">
        <x:f>IF(AND(INDEX('C_jama.2019.7505'!$D$2:$D$5,MATCH("2019::jama.2019.7505::C001",'C_jama.2019.7505'!$A$2:$A$5,0))="retain",INDEX('C_jama.2019.7505'!$E$2:$E$5,MATCH("2019::jama.2019.7505::C001",'C_jama.2019.7505'!$A$2:$A$5,0))="statistical_results"),IF(INDEX('C_jama.2019.7505'!$I$2:$I$5,MATCH("2019::jama.2019.7505::C001",'C_jama.2019.7505'!$A$2:$A$5,0))="","",INDEX('C_jama.2019.7505'!$I$2:$I$5,MATCH("2019::jama.2019.7505::C001",'C_jama.2019.7505'!$A$2:$A$5,0))),"not_applicable")</x:f>
        <x:v>not_applicable</x:v>
      </x:c>
      <x:c r="W69" s="3" t="str">
        <x:f>IF(AND(INDEX('C_jama.2019.7505'!$D$2:$D$5,MATCH("2019::jama.2019.7505::C001",'C_jama.2019.7505'!$A$2:$A$5,0))="retain",INDEX('C_jama.2019.7505'!$E$2:$E$5,MATCH("2019::jama.2019.7505::C001",'C_jama.2019.7505'!$A$2:$A$5,0))="statistical_results"),IF(INDEX('C_jama.2019.7505'!$J$2:$J$5,MATCH("2019::jama.2019.7505::C001",'C_jama.2019.7505'!$A$2:$A$5,0))="","",INDEX('C_jama.2019.7505'!$J$2:$J$5,MATCH("2019::jama.2019.7505::C001",'C_jama.2019.7505'!$A$2:$A$5,0))),"not_applicable")</x:f>
        <x:v>not_applicable</x:v>
      </x:c>
      <x:c r="X69" s="3" t="str">
        <x:f>IF(AND(INDEX('C_jama.2019.7505'!$D$2:$D$5,MATCH("2019::jama.2019.7505::C001",'C_jama.2019.7505'!$A$2:$A$5,0))="retain",OR(INDEX('C_jama.2019.7505'!$E$2:$E$5,MATCH("2019::jama.2019.7505::C001",'C_jama.2019.7505'!$A$2:$A$5,0))="report_internal_inconsistency",INDEX('C_jama.2019.7505'!$E$2:$E$5,MATCH("2019::jama.2019.7505::C001",'C_jama.2019.7505'!$A$2:$A$5,0))="plan_material")),IF(INDEX('C_jama.2019.7505'!$K$2:$K$5,MATCH("2019::jama.2019.7505::C001",'C_jama.2019.7505'!$A$2:$A$5,0))="","",INDEX('C_jama.2019.7505'!$K$2:$K$5,MATCH("2019::jama.2019.7505::C001",'C_jama.2019.7505'!$A$2:$A$5,0))),"not_applicable")</x:f>
        <x:v>not_applicable</x:v>
      </x:c>
      <x:c r="Y69" s="3" t="str">
        <x:f>IF(AND(INDEX('C_jama.2019.7505'!$D$2:$D$5,MATCH("2019::jama.2019.7505::C001",'C_jama.2019.7505'!$A$2:$A$5,0))="retain",INDEX('C_jama.2019.7505'!$E$2:$E$5,MATCH("2019::jama.2019.7505::C001",'C_jama.2019.7505'!$A$2:$A$5,0))="protocol_report"),IF(INDEX('C_jama.2019.7505'!$L$2:$L$5,MATCH("2019::jama.2019.7505::C001",'C_jama.2019.7505'!$A$2:$A$5,0))="","",INDEX('C_jama.2019.7505'!$L$2:$L$5,MATCH("2019::jama.2019.7505::C001",'C_jama.2019.7505'!$A$2:$A$5,0))),"not_applicable")</x:f>
        <x:v>not_applicable</x:v>
      </x:c>
      <x:c r="Z69" s="3" t="str">
        <x:f>IF(INDEX('C_jama.2019.7505'!$R$2:$R$5,MATCH("2019::jama.2019.7505::C001",'C_jama.2019.7505'!$A$2:$A$5,0))="","",INDEX('C_jama.2019.7505'!$R$2:$R$5,MATCH("2019::jama.2019.7505::C001",'C_jama.2019.7505'!$A$2:$A$5,0)))</x:f>
      </x:c>
      <x:c r="AA69" s="3" t="str">
        <x:f>IF(INDEX('C_jama.2019.7505'!$N$2:$N$5,MATCH("2019::jama.2019.7505::C001",'C_jama.2019.7505'!$A$2:$A$5,0))="","",INDEX('C_jama.2019.7505'!$N$2:$N$5,MATCH("2019::jama.2019.7505::C001",'C_jama.2019.7505'!$A$2:$A$5,0)))</x:f>
      </x:c>
      <x:c r="AB69" s="3" t="str">
        <x:f>IF(INDEX('C_jama.2019.7505'!$O$2:$O$5,MATCH("2019::jama.2019.7505::C001",'C_jama.2019.7505'!$A$2:$A$5,0))="","",INDEX('C_jama.2019.7505'!$O$2:$O$5,MATCH("2019::jama.2019.7505::C001",'C_jama.2019.7505'!$A$2:$A$5,0)))</x:f>
      </x:c>
      <x:c r="AC69" s="3" t="str">
        <x:f>IF(INDEX('C_jama.2019.7505'!$P$2:$P$5,MATCH("2019::jama.2019.7505::C001",'C_jama.2019.7505'!$A$2:$A$5,0))="","",INDEX('C_jama.2019.7505'!$P$2:$P$5,MATCH("2019::jama.2019.7505::C001",'C_jama.2019.7505'!$A$2:$A$5,0)))</x:f>
      </x:c>
      <x:c r="AD69" s="3" t="str">
        <x:f>IF(INDEX('C_jama.2019.7505'!$Q$2:$Q$5,MATCH("2019::jama.2019.7505::C001",'C_jama.2019.7505'!$A$2:$A$5,0))="","",INDEX('C_jama.2019.7505'!$Q$2:$Q$5,MATCH("2019::jama.2019.7505::C001",'C_jama.2019.7505'!$A$2:$A$5,0)))</x:f>
      </x:c>
    </x:row>
    <x:row r="70" ht="65" customHeight="1">
      <x:c r="A70" s="6" t="n">
        <x:v>2019</x:v>
      </x:c>
      <x:c r="B70" s="6" t="str">
        <x:v>jama.2019.7505</x:v>
      </x:c>
      <x:c r="C70" s="6" t="str">
        <x:v>2019::jama.2019.7505::C002</x:v>
      </x:c>
      <x:c r="D70" s="6" t="str">
        <x:v>S_W</x:v>
      </x:c>
      <x:c r="E70" s="6" t="n">
        <x:f>Setup!$B$2</x:f>
        <x:v>0</x:v>
      </x:c>
      <x:c r="F70" s="6" t="str">
        <x:f>IF(Setup!$B$4="","",Setup!$B$4)</x:f>
      </x:c>
      <x:c r="G70" s="6" t="str">
        <x:f>IFERROR(INDEX('C_jama.2019.7505'!$G$2:$G$5,MATCH("2019::jama.2019.7505::C002",'C_jama.2019.7505'!$A$2:$A$5,0)),"CHECK KEY")</x:f>
        <x:v>CHECK REVIEWER IDs</x:v>
      </x:c>
      <x:c r="H70" s="6" t="str">
        <x:f>IF(G70&lt;&gt;"FINAL READY","",IF(S70&lt;&gt;"retain","not_eligible",IF(D70="P_R","protocol_descriptive",IF(D70="P_P","plan_descriptive",IF(AND(T70="statistical_results",OR(U70="confirmed_issue",U70="probable_issue"),V70="substantive"),"primary_temporal",IF(AND(T70="report_internal_inconsistency",X70="substantive_inconsistency"),"secondary_temporal","not_eligible"))))))</x:f>
      </x:c>
      <x:c r="I70" s="6" t="str">
        <x:v>retain</x:v>
      </x:c>
      <x:c r="J70" s="6" t="str">
        <x:v>statistical_results</x:v>
      </x:c>
      <x:c r="K70" s="6" t="str">
        <x:f>IF(Setup!$B$6="primary","",IFERROR(IF(INDEX('Primary_snapshot'!$B$2:$B$72,MATCH(C70,'Primary_snapshot'!$A$2:$A$72,0))="","",INDEX('Primary_snapshot'!$B$2:$B$72,MATCH(C70,'Primary_snapshot'!$A$2:$A$72,0))),"SNAPSHOT MISSING"))</x:f>
      </x:c>
      <x:c r="L70" s="6" t="str">
        <x:f>IF(Setup!$B$6="primary","",IFERROR(IF(INDEX('Primary_snapshot'!$C$2:$C$72,MATCH(C70,'Primary_snapshot'!$A$2:$A$72,0))="","",INDEX('Primary_snapshot'!$C$2:$C$72,MATCH(C70,'Primary_snapshot'!$A$2:$A$72,0))),"SNAPSHOT MISSING"))</x:f>
      </x:c>
      <x:c r="M70" s="6" t="str">
        <x:f>IF(Setup!$B$6="primary","",IFERROR(IF(INDEX('Primary_snapshot'!$D$2:$D$72,MATCH(C70,'Primary_snapshot'!$A$2:$A$72,0))="","",INDEX('Primary_snapshot'!$D$2:$D$72,MATCH(C70,'Primary_snapshot'!$A$2:$A$72,0))),"SNAPSHOT MISSING"))</x:f>
      </x:c>
      <x:c r="N70" s="6" t="str">
        <x:f>IF(Setup!$B$6="primary","",IFERROR(IF(INDEX('Primary_snapshot'!$E$2:$E$72,MATCH(C70,'Primary_snapshot'!$A$2:$A$72,0))="","",INDEX('Primary_snapshot'!$E$2:$E$72,MATCH(C70,'Primary_snapshot'!$A$2:$A$72,0))),"SNAPSHOT MISSING"))</x:f>
      </x:c>
      <x:c r="O70" s="6" t="str">
        <x:f>IF(Setup!$B$6="primary","",IFERROR(IF(INDEX('Primary_snapshot'!$F$2:$F$72,MATCH(C70,'Primary_snapshot'!$A$2:$A$72,0))="","",INDEX('Primary_snapshot'!$F$2:$F$72,MATCH(C70,'Primary_snapshot'!$A$2:$A$72,0))),"SNAPSHOT MISSING"))</x:f>
      </x:c>
      <x:c r="P70" s="6" t="str">
        <x:f>IF(Setup!$B$6="primary","",IFERROR(IF(INDEX('Primary_snapshot'!$G$2:$G$72,MATCH(C70,'Primary_snapshot'!$A$2:$A$72,0))="","",INDEX('Primary_snapshot'!$G$2:$G$72,MATCH(C70,'Primary_snapshot'!$A$2:$A$72,0))),"SNAPSHOT MISSING"))</x:f>
      </x:c>
      <x:c r="Q70" s="6" t="str">
        <x:f>IF(Setup!$B$6="primary","",IFERROR(IF(INDEX('Primary_snapshot'!$H$2:$H$72,MATCH(C70,'Primary_snapshot'!$A$2:$A$72,0))="","",INDEX('Primary_snapshot'!$H$2:$H$72,MATCH(C70,'Primary_snapshot'!$A$2:$A$72,0))),"SNAPSHOT MISSING"))</x:f>
      </x:c>
      <x:c r="R70" s="6" t="str">
        <x:f>IF(Setup!$B$6="primary","",IFERROR(IF(INDEX('Primary_snapshot'!$I$2:$I$72,MATCH(C70,'Primary_snapshot'!$A$2:$A$72,0))="","",INDEX('Primary_snapshot'!$I$2:$I$72,MATCH(C70,'Primary_snapshot'!$A$2:$A$72,0))),"SNAPSHOT MISSING"))</x:f>
      </x:c>
      <x:c r="S70" s="6" t="str">
        <x:f>IF(INDEX('C_jama.2019.7505'!$D$2:$D$5,MATCH("2019::jama.2019.7505::C002",'C_jama.2019.7505'!$A$2:$A$5,0))="","",INDEX('C_jama.2019.7505'!$D$2:$D$5,MATCH("2019::jama.2019.7505::C002",'C_jama.2019.7505'!$A$2:$A$5,0)))</x:f>
      </x:c>
      <x:c r="T70" s="6" t="str">
        <x:f>IF(INDEX('C_jama.2019.7505'!$E$2:$E$5,MATCH("2019::jama.2019.7505::C002",'C_jama.2019.7505'!$A$2:$A$5,0))="","",INDEX('C_jama.2019.7505'!$E$2:$E$5,MATCH("2019::jama.2019.7505::C002",'C_jama.2019.7505'!$A$2:$A$5,0)))</x:f>
        <x:v>statistical_results</x:v>
      </x:c>
      <x:c r="U70" s="6" t="str">
        <x:f>IF(AND(INDEX('C_jama.2019.7505'!$D$2:$D$5,MATCH("2019::jama.2019.7505::C002",'C_jama.2019.7505'!$A$2:$A$5,0))="retain",INDEX('C_jama.2019.7505'!$E$2:$E$5,MATCH("2019::jama.2019.7505::C002",'C_jama.2019.7505'!$A$2:$A$5,0))="statistical_results"),IF(INDEX('C_jama.2019.7505'!$H$2:$H$5,MATCH("2019::jama.2019.7505::C002",'C_jama.2019.7505'!$A$2:$A$5,0))="","",INDEX('C_jama.2019.7505'!$H$2:$H$5,MATCH("2019::jama.2019.7505::C002",'C_jama.2019.7505'!$A$2:$A$5,0))),"not_applicable")</x:f>
        <x:v>not_applicable</x:v>
      </x:c>
      <x:c r="V70" s="6" t="str">
        <x:f>IF(AND(INDEX('C_jama.2019.7505'!$D$2:$D$5,MATCH("2019::jama.2019.7505::C002",'C_jama.2019.7505'!$A$2:$A$5,0))="retain",INDEX('C_jama.2019.7505'!$E$2:$E$5,MATCH("2019::jama.2019.7505::C002",'C_jama.2019.7505'!$A$2:$A$5,0))="statistical_results"),IF(INDEX('C_jama.2019.7505'!$I$2:$I$5,MATCH("2019::jama.2019.7505::C002",'C_jama.2019.7505'!$A$2:$A$5,0))="","",INDEX('C_jama.2019.7505'!$I$2:$I$5,MATCH("2019::jama.2019.7505::C002",'C_jama.2019.7505'!$A$2:$A$5,0))),"not_applicable")</x:f>
        <x:v>not_applicable</x:v>
      </x:c>
      <x:c r="W70" s="6" t="str">
        <x:f>IF(AND(INDEX('C_jama.2019.7505'!$D$2:$D$5,MATCH("2019::jama.2019.7505::C002",'C_jama.2019.7505'!$A$2:$A$5,0))="retain",INDEX('C_jama.2019.7505'!$E$2:$E$5,MATCH("2019::jama.2019.7505::C002",'C_jama.2019.7505'!$A$2:$A$5,0))="statistical_results"),IF(INDEX('C_jama.2019.7505'!$J$2:$J$5,MATCH("2019::jama.2019.7505::C002",'C_jama.2019.7505'!$A$2:$A$5,0))="","",INDEX('C_jama.2019.7505'!$J$2:$J$5,MATCH("2019::jama.2019.7505::C002",'C_jama.2019.7505'!$A$2:$A$5,0))),"not_applicable")</x:f>
        <x:v>not_applicable</x:v>
      </x:c>
      <x:c r="X70" s="6" t="str">
        <x:f>IF(AND(INDEX('C_jama.2019.7505'!$D$2:$D$5,MATCH("2019::jama.2019.7505::C002",'C_jama.2019.7505'!$A$2:$A$5,0))="retain",OR(INDEX('C_jama.2019.7505'!$E$2:$E$5,MATCH("2019::jama.2019.7505::C002",'C_jama.2019.7505'!$A$2:$A$5,0))="report_internal_inconsistency",INDEX('C_jama.2019.7505'!$E$2:$E$5,MATCH("2019::jama.2019.7505::C002",'C_jama.2019.7505'!$A$2:$A$5,0))="plan_material")),IF(INDEX('C_jama.2019.7505'!$K$2:$K$5,MATCH("2019::jama.2019.7505::C002",'C_jama.2019.7505'!$A$2:$A$5,0))="","",INDEX('C_jama.2019.7505'!$K$2:$K$5,MATCH("2019::jama.2019.7505::C002",'C_jama.2019.7505'!$A$2:$A$5,0))),"not_applicable")</x:f>
        <x:v>not_applicable</x:v>
      </x:c>
      <x:c r="Y70" s="6" t="str">
        <x:f>IF(AND(INDEX('C_jama.2019.7505'!$D$2:$D$5,MATCH("2019::jama.2019.7505::C002",'C_jama.2019.7505'!$A$2:$A$5,0))="retain",INDEX('C_jama.2019.7505'!$E$2:$E$5,MATCH("2019::jama.2019.7505::C002",'C_jama.2019.7505'!$A$2:$A$5,0))="protocol_report"),IF(INDEX('C_jama.2019.7505'!$L$2:$L$5,MATCH("2019::jama.2019.7505::C002",'C_jama.2019.7505'!$A$2:$A$5,0))="","",INDEX('C_jama.2019.7505'!$L$2:$L$5,MATCH("2019::jama.2019.7505::C002",'C_jama.2019.7505'!$A$2:$A$5,0))),"not_applicable")</x:f>
        <x:v>not_applicable</x:v>
      </x:c>
      <x:c r="Z70" s="6" t="str">
        <x:f>IF(INDEX('C_jama.2019.7505'!$R$2:$R$5,MATCH("2019::jama.2019.7505::C002",'C_jama.2019.7505'!$A$2:$A$5,0))="","",INDEX('C_jama.2019.7505'!$R$2:$R$5,MATCH("2019::jama.2019.7505::C002",'C_jama.2019.7505'!$A$2:$A$5,0)))</x:f>
      </x:c>
      <x:c r="AA70" s="6" t="str">
        <x:f>IF(INDEX('C_jama.2019.7505'!$N$2:$N$5,MATCH("2019::jama.2019.7505::C002",'C_jama.2019.7505'!$A$2:$A$5,0))="","",INDEX('C_jama.2019.7505'!$N$2:$N$5,MATCH("2019::jama.2019.7505::C002",'C_jama.2019.7505'!$A$2:$A$5,0)))</x:f>
      </x:c>
      <x:c r="AB70" s="6" t="str">
        <x:f>IF(INDEX('C_jama.2019.7505'!$O$2:$O$5,MATCH("2019::jama.2019.7505::C002",'C_jama.2019.7505'!$A$2:$A$5,0))="","",INDEX('C_jama.2019.7505'!$O$2:$O$5,MATCH("2019::jama.2019.7505::C002",'C_jama.2019.7505'!$A$2:$A$5,0)))</x:f>
      </x:c>
      <x:c r="AC70" s="6" t="str">
        <x:f>IF(INDEX('C_jama.2019.7505'!$P$2:$P$5,MATCH("2019::jama.2019.7505::C002",'C_jama.2019.7505'!$A$2:$A$5,0))="","",INDEX('C_jama.2019.7505'!$P$2:$P$5,MATCH("2019::jama.2019.7505::C002",'C_jama.2019.7505'!$A$2:$A$5,0)))</x:f>
      </x:c>
      <x:c r="AD70" s="6" t="str">
        <x:f>IF(INDEX('C_jama.2019.7505'!$Q$2:$Q$5,MATCH("2019::jama.2019.7505::C002",'C_jama.2019.7505'!$A$2:$A$5,0))="","",INDEX('C_jama.2019.7505'!$Q$2:$Q$5,MATCH("2019::jama.2019.7505::C002",'C_jama.2019.7505'!$A$2:$A$5,0)))</x:f>
      </x:c>
    </x:row>
    <x:row r="71" ht="65" customHeight="1">
      <x:c r="A71" s="3" t="n">
        <x:v>2019</x:v>
      </x:c>
      <x:c r="B71" s="3" t="str">
        <x:v>jama.2019.7505</x:v>
      </x:c>
      <x:c r="C71" s="3" t="str">
        <x:v>2019::jama.2019.7505::C003</x:v>
      </x:c>
      <x:c r="D71" s="3" t="str">
        <x:v>P_P</x:v>
      </x:c>
      <x:c r="E71" s="3" t="n">
        <x:f>Setup!$B$2</x:f>
        <x:v>0</x:v>
      </x:c>
      <x:c r="F71" s="3" t="str">
        <x:f>IF(Setup!$B$4="","",Setup!$B$4)</x:f>
      </x:c>
      <x:c r="G71" s="3" t="str">
        <x:f>IFERROR(INDEX('C_jama.2019.7505'!$G$2:$G$5,MATCH("2019::jama.2019.7505::C003",'C_jama.2019.7505'!$A$2:$A$5,0)),"CHECK KEY")</x:f>
        <x:v>CHECK REVIEWER IDs</x:v>
      </x:c>
      <x:c r="H71" s="3" t="str">
        <x:f>IF(G71&lt;&gt;"FINAL READY","",IF(S71&lt;&gt;"retain","not_eligible",IF(D71="P_R","protocol_descriptive",IF(D71="P_P","plan_descriptive",IF(AND(T71="statistical_results",OR(U71="confirmed_issue",U71="probable_issue"),V71="substantive"),"primary_temporal",IF(AND(T71="report_internal_inconsistency",X71="substantive_inconsistency"),"secondary_temporal","not_eligible"))))))</x:f>
      </x:c>
      <x:c r="I71" s="3" t="str">
        <x:v>retain</x:v>
      </x:c>
      <x:c r="J71" s="3" t="str">
        <x:v>plan_material</x:v>
      </x:c>
      <x:c r="K71" s="3" t="str">
        <x:f>IF(Setup!$B$6="primary","",IFERROR(IF(INDEX('Primary_snapshot'!$B$2:$B$72,MATCH(C71,'Primary_snapshot'!$A$2:$A$72,0))="","",INDEX('Primary_snapshot'!$B$2:$B$72,MATCH(C71,'Primary_snapshot'!$A$2:$A$72,0))),"SNAPSHOT MISSING"))</x:f>
      </x:c>
      <x:c r="L71" s="3" t="str">
        <x:f>IF(Setup!$B$6="primary","",IFERROR(IF(INDEX('Primary_snapshot'!$C$2:$C$72,MATCH(C71,'Primary_snapshot'!$A$2:$A$72,0))="","",INDEX('Primary_snapshot'!$C$2:$C$72,MATCH(C71,'Primary_snapshot'!$A$2:$A$72,0))),"SNAPSHOT MISSING"))</x:f>
      </x:c>
      <x:c r="M71" s="3" t="str">
        <x:f>IF(Setup!$B$6="primary","",IFERROR(IF(INDEX('Primary_snapshot'!$D$2:$D$72,MATCH(C71,'Primary_snapshot'!$A$2:$A$72,0))="","",INDEX('Primary_snapshot'!$D$2:$D$72,MATCH(C71,'Primary_snapshot'!$A$2:$A$72,0))),"SNAPSHOT MISSING"))</x:f>
      </x:c>
      <x:c r="N71" s="3" t="str">
        <x:f>IF(Setup!$B$6="primary","",IFERROR(IF(INDEX('Primary_snapshot'!$E$2:$E$72,MATCH(C71,'Primary_snapshot'!$A$2:$A$72,0))="","",INDEX('Primary_snapshot'!$E$2:$E$72,MATCH(C71,'Primary_snapshot'!$A$2:$A$72,0))),"SNAPSHOT MISSING"))</x:f>
      </x:c>
      <x:c r="O71" s="3" t="str">
        <x:f>IF(Setup!$B$6="primary","",IFERROR(IF(INDEX('Primary_snapshot'!$F$2:$F$72,MATCH(C71,'Primary_snapshot'!$A$2:$A$72,0))="","",INDEX('Primary_snapshot'!$F$2:$F$72,MATCH(C71,'Primary_snapshot'!$A$2:$A$72,0))),"SNAPSHOT MISSING"))</x:f>
      </x:c>
      <x:c r="P71" s="3" t="str">
        <x:f>IF(Setup!$B$6="primary","",IFERROR(IF(INDEX('Primary_snapshot'!$G$2:$G$72,MATCH(C71,'Primary_snapshot'!$A$2:$A$72,0))="","",INDEX('Primary_snapshot'!$G$2:$G$72,MATCH(C71,'Primary_snapshot'!$A$2:$A$72,0))),"SNAPSHOT MISSING"))</x:f>
      </x:c>
      <x:c r="Q71" s="3" t="str">
        <x:f>IF(Setup!$B$6="primary","",IFERROR(IF(INDEX('Primary_snapshot'!$H$2:$H$72,MATCH(C71,'Primary_snapshot'!$A$2:$A$72,0))="","",INDEX('Primary_snapshot'!$H$2:$H$72,MATCH(C71,'Primary_snapshot'!$A$2:$A$72,0))),"SNAPSHOT MISSING"))</x:f>
      </x:c>
      <x:c r="R71" s="3" t="str">
        <x:f>IF(Setup!$B$6="primary","",IFERROR(IF(INDEX('Primary_snapshot'!$I$2:$I$72,MATCH(C71,'Primary_snapshot'!$A$2:$A$72,0))="","",INDEX('Primary_snapshot'!$I$2:$I$72,MATCH(C71,'Primary_snapshot'!$A$2:$A$72,0))),"SNAPSHOT MISSING"))</x:f>
      </x:c>
      <x:c r="S71" s="3" t="str">
        <x:f>IF(INDEX('C_jama.2019.7505'!$D$2:$D$5,MATCH("2019::jama.2019.7505::C003",'C_jama.2019.7505'!$A$2:$A$5,0))="","",INDEX('C_jama.2019.7505'!$D$2:$D$5,MATCH("2019::jama.2019.7505::C003",'C_jama.2019.7505'!$A$2:$A$5,0)))</x:f>
      </x:c>
      <x:c r="T71" s="3" t="str">
        <x:f>IF(INDEX('C_jama.2019.7505'!$E$2:$E$5,MATCH("2019::jama.2019.7505::C003",'C_jama.2019.7505'!$A$2:$A$5,0))="","",INDEX('C_jama.2019.7505'!$E$2:$E$5,MATCH("2019::jama.2019.7505::C003",'C_jama.2019.7505'!$A$2:$A$5,0)))</x:f>
        <x:v>plan_material</x:v>
      </x:c>
      <x:c r="U71" s="3" t="str">
        <x:f>IF(AND(INDEX('C_jama.2019.7505'!$D$2:$D$5,MATCH("2019::jama.2019.7505::C003",'C_jama.2019.7505'!$A$2:$A$5,0))="retain",INDEX('C_jama.2019.7505'!$E$2:$E$5,MATCH("2019::jama.2019.7505::C003",'C_jama.2019.7505'!$A$2:$A$5,0))="statistical_results"),IF(INDEX('C_jama.2019.7505'!$H$2:$H$5,MATCH("2019::jama.2019.7505::C003",'C_jama.2019.7505'!$A$2:$A$5,0))="","",INDEX('C_jama.2019.7505'!$H$2:$H$5,MATCH("2019::jama.2019.7505::C003",'C_jama.2019.7505'!$A$2:$A$5,0))),"not_applicable")</x:f>
        <x:v>not_applicable</x:v>
      </x:c>
      <x:c r="V71" s="3" t="str">
        <x:f>IF(AND(INDEX('C_jama.2019.7505'!$D$2:$D$5,MATCH("2019::jama.2019.7505::C003",'C_jama.2019.7505'!$A$2:$A$5,0))="retain",INDEX('C_jama.2019.7505'!$E$2:$E$5,MATCH("2019::jama.2019.7505::C003",'C_jama.2019.7505'!$A$2:$A$5,0))="statistical_results"),IF(INDEX('C_jama.2019.7505'!$I$2:$I$5,MATCH("2019::jama.2019.7505::C003",'C_jama.2019.7505'!$A$2:$A$5,0))="","",INDEX('C_jama.2019.7505'!$I$2:$I$5,MATCH("2019::jama.2019.7505::C003",'C_jama.2019.7505'!$A$2:$A$5,0))),"not_applicable")</x:f>
        <x:v>not_applicable</x:v>
      </x:c>
      <x:c r="W71" s="3" t="str">
        <x:f>IF(AND(INDEX('C_jama.2019.7505'!$D$2:$D$5,MATCH("2019::jama.2019.7505::C003",'C_jama.2019.7505'!$A$2:$A$5,0))="retain",INDEX('C_jama.2019.7505'!$E$2:$E$5,MATCH("2019::jama.2019.7505::C003",'C_jama.2019.7505'!$A$2:$A$5,0))="statistical_results"),IF(INDEX('C_jama.2019.7505'!$J$2:$J$5,MATCH("2019::jama.2019.7505::C003",'C_jama.2019.7505'!$A$2:$A$5,0))="","",INDEX('C_jama.2019.7505'!$J$2:$J$5,MATCH("2019::jama.2019.7505::C003",'C_jama.2019.7505'!$A$2:$A$5,0))),"not_applicable")</x:f>
        <x:v>not_applicable</x:v>
      </x:c>
      <x:c r="X71" s="3" t="str">
        <x:f>IF(AND(INDEX('C_jama.2019.7505'!$D$2:$D$5,MATCH("2019::jama.2019.7505::C003",'C_jama.2019.7505'!$A$2:$A$5,0))="retain",OR(INDEX('C_jama.2019.7505'!$E$2:$E$5,MATCH("2019::jama.2019.7505::C003",'C_jama.2019.7505'!$A$2:$A$5,0))="report_internal_inconsistency",INDEX('C_jama.2019.7505'!$E$2:$E$5,MATCH("2019::jama.2019.7505::C003",'C_jama.2019.7505'!$A$2:$A$5,0))="plan_material")),IF(INDEX('C_jama.2019.7505'!$K$2:$K$5,MATCH("2019::jama.2019.7505::C003",'C_jama.2019.7505'!$A$2:$A$5,0))="","",INDEX('C_jama.2019.7505'!$K$2:$K$5,MATCH("2019::jama.2019.7505::C003",'C_jama.2019.7505'!$A$2:$A$5,0))),"not_applicable")</x:f>
        <x:v>not_applicable</x:v>
      </x:c>
      <x:c r="Y71" s="3" t="str">
        <x:f>IF(AND(INDEX('C_jama.2019.7505'!$D$2:$D$5,MATCH("2019::jama.2019.7505::C003",'C_jama.2019.7505'!$A$2:$A$5,0))="retain",INDEX('C_jama.2019.7505'!$E$2:$E$5,MATCH("2019::jama.2019.7505::C003",'C_jama.2019.7505'!$A$2:$A$5,0))="protocol_report"),IF(INDEX('C_jama.2019.7505'!$L$2:$L$5,MATCH("2019::jama.2019.7505::C003",'C_jama.2019.7505'!$A$2:$A$5,0))="","",INDEX('C_jama.2019.7505'!$L$2:$L$5,MATCH("2019::jama.2019.7505::C003",'C_jama.2019.7505'!$A$2:$A$5,0))),"not_applicable")</x:f>
        <x:v>not_applicable</x:v>
      </x:c>
      <x:c r="Z71" s="3" t="str">
        <x:f>IF(INDEX('C_jama.2019.7505'!$R$2:$R$5,MATCH("2019::jama.2019.7505::C003",'C_jama.2019.7505'!$A$2:$A$5,0))="","",INDEX('C_jama.2019.7505'!$R$2:$R$5,MATCH("2019::jama.2019.7505::C003",'C_jama.2019.7505'!$A$2:$A$5,0)))</x:f>
      </x:c>
      <x:c r="AA71" s="3" t="str">
        <x:f>IF(INDEX('C_jama.2019.7505'!$N$2:$N$5,MATCH("2019::jama.2019.7505::C003",'C_jama.2019.7505'!$A$2:$A$5,0))="","",INDEX('C_jama.2019.7505'!$N$2:$N$5,MATCH("2019::jama.2019.7505::C003",'C_jama.2019.7505'!$A$2:$A$5,0)))</x:f>
      </x:c>
      <x:c r="AB71" s="3" t="str">
        <x:f>IF(INDEX('C_jama.2019.7505'!$O$2:$O$5,MATCH("2019::jama.2019.7505::C003",'C_jama.2019.7505'!$A$2:$A$5,0))="","",INDEX('C_jama.2019.7505'!$O$2:$O$5,MATCH("2019::jama.2019.7505::C003",'C_jama.2019.7505'!$A$2:$A$5,0)))</x:f>
      </x:c>
      <x:c r="AC71" s="3" t="str">
        <x:f>IF(INDEX('C_jama.2019.7505'!$P$2:$P$5,MATCH("2019::jama.2019.7505::C003",'C_jama.2019.7505'!$A$2:$A$5,0))="","",INDEX('C_jama.2019.7505'!$P$2:$P$5,MATCH("2019::jama.2019.7505::C003",'C_jama.2019.7505'!$A$2:$A$5,0)))</x:f>
      </x:c>
      <x:c r="AD71" s="3" t="str">
        <x:f>IF(INDEX('C_jama.2019.7505'!$Q$2:$Q$5,MATCH("2019::jama.2019.7505::C003",'C_jama.2019.7505'!$A$2:$A$5,0))="","",INDEX('C_jama.2019.7505'!$Q$2:$Q$5,MATCH("2019::jama.2019.7505::C003",'C_jama.2019.7505'!$A$2:$A$5,0)))</x:f>
      </x:c>
    </x:row>
    <x:row r="72" ht="65" customHeight="1">
      <x:c r="A72" s="6" t="n">
        <x:v>2019</x:v>
      </x:c>
      <x:c r="B72" s="6" t="str">
        <x:v>jama.2019.7505</x:v>
      </x:c>
      <x:c r="C72" s="6" t="str">
        <x:v>2019::jama.2019.7505::C004</x:v>
      </x:c>
      <x:c r="D72" s="6" t="str">
        <x:v>S_W</x:v>
      </x:c>
      <x:c r="E72" s="6" t="n">
        <x:f>Setup!$B$2</x:f>
        <x:v>0</x:v>
      </x:c>
      <x:c r="F72" s="6" t="str">
        <x:f>IF(Setup!$B$4="","",Setup!$B$4)</x:f>
      </x:c>
      <x:c r="G72" s="6" t="str">
        <x:f>IFERROR(INDEX('C_jama.2019.7505'!$G$2:$G$5,MATCH("2019::jama.2019.7505::C004",'C_jama.2019.7505'!$A$2:$A$5,0)),"CHECK KEY")</x:f>
        <x:v>CHECK REVIEWER IDs</x:v>
      </x:c>
      <x:c r="H72" s="6" t="str">
        <x:f>IF(G72&lt;&gt;"FINAL READY","",IF(S72&lt;&gt;"retain","not_eligible",IF(D72="P_R","protocol_descriptive",IF(D72="P_P","plan_descriptive",IF(AND(T72="statistical_results",OR(U72="confirmed_issue",U72="probable_issue"),V72="substantive"),"primary_temporal",IF(AND(T72="report_internal_inconsistency",X72="substantive_inconsistency"),"secondary_temporal","not_eligible"))))))</x:f>
      </x:c>
      <x:c r="I72" s="6" t="str">
        <x:v>retain</x:v>
      </x:c>
      <x:c r="J72" s="6" t="str">
        <x:v>report_internal_inconsistency</x:v>
      </x:c>
      <x:c r="K72" s="6" t="str">
        <x:f>IF(Setup!$B$6="primary","",IFERROR(IF(INDEX('Primary_snapshot'!$B$2:$B$72,MATCH(C72,'Primary_snapshot'!$A$2:$A$72,0))="","",INDEX('Primary_snapshot'!$B$2:$B$72,MATCH(C72,'Primary_snapshot'!$A$2:$A$72,0))),"SNAPSHOT MISSING"))</x:f>
      </x:c>
      <x:c r="L72" s="6" t="str">
        <x:f>IF(Setup!$B$6="primary","",IFERROR(IF(INDEX('Primary_snapshot'!$C$2:$C$72,MATCH(C72,'Primary_snapshot'!$A$2:$A$72,0))="","",INDEX('Primary_snapshot'!$C$2:$C$72,MATCH(C72,'Primary_snapshot'!$A$2:$A$72,0))),"SNAPSHOT MISSING"))</x:f>
      </x:c>
      <x:c r="M72" s="6" t="str">
        <x:f>IF(Setup!$B$6="primary","",IFERROR(IF(INDEX('Primary_snapshot'!$D$2:$D$72,MATCH(C72,'Primary_snapshot'!$A$2:$A$72,0))="","",INDEX('Primary_snapshot'!$D$2:$D$72,MATCH(C72,'Primary_snapshot'!$A$2:$A$72,0))),"SNAPSHOT MISSING"))</x:f>
      </x:c>
      <x:c r="N72" s="6" t="str">
        <x:f>IF(Setup!$B$6="primary","",IFERROR(IF(INDEX('Primary_snapshot'!$E$2:$E$72,MATCH(C72,'Primary_snapshot'!$A$2:$A$72,0))="","",INDEX('Primary_snapshot'!$E$2:$E$72,MATCH(C72,'Primary_snapshot'!$A$2:$A$72,0))),"SNAPSHOT MISSING"))</x:f>
      </x:c>
      <x:c r="O72" s="6" t="str">
        <x:f>IF(Setup!$B$6="primary","",IFERROR(IF(INDEX('Primary_snapshot'!$F$2:$F$72,MATCH(C72,'Primary_snapshot'!$A$2:$A$72,0))="","",INDEX('Primary_snapshot'!$F$2:$F$72,MATCH(C72,'Primary_snapshot'!$A$2:$A$72,0))),"SNAPSHOT MISSING"))</x:f>
      </x:c>
      <x:c r="P72" s="6" t="str">
        <x:f>IF(Setup!$B$6="primary","",IFERROR(IF(INDEX('Primary_snapshot'!$G$2:$G$72,MATCH(C72,'Primary_snapshot'!$A$2:$A$72,0))="","",INDEX('Primary_snapshot'!$G$2:$G$72,MATCH(C72,'Primary_snapshot'!$A$2:$A$72,0))),"SNAPSHOT MISSING"))</x:f>
      </x:c>
      <x:c r="Q72" s="6" t="str">
        <x:f>IF(Setup!$B$6="primary","",IFERROR(IF(INDEX('Primary_snapshot'!$H$2:$H$72,MATCH(C72,'Primary_snapshot'!$A$2:$A$72,0))="","",INDEX('Primary_snapshot'!$H$2:$H$72,MATCH(C72,'Primary_snapshot'!$A$2:$A$72,0))),"SNAPSHOT MISSING"))</x:f>
      </x:c>
      <x:c r="R72" s="6" t="str">
        <x:f>IF(Setup!$B$6="primary","",IFERROR(IF(INDEX('Primary_snapshot'!$I$2:$I$72,MATCH(C72,'Primary_snapshot'!$A$2:$A$72,0))="","",INDEX('Primary_snapshot'!$I$2:$I$72,MATCH(C72,'Primary_snapshot'!$A$2:$A$72,0))),"SNAPSHOT MISSING"))</x:f>
      </x:c>
      <x:c r="S72" s="6" t="str">
        <x:f>IF(INDEX('C_jama.2019.7505'!$D$2:$D$5,MATCH("2019::jama.2019.7505::C004",'C_jama.2019.7505'!$A$2:$A$5,0))="","",INDEX('C_jama.2019.7505'!$D$2:$D$5,MATCH("2019::jama.2019.7505::C004",'C_jama.2019.7505'!$A$2:$A$5,0)))</x:f>
      </x:c>
      <x:c r="T72" s="6" t="str">
        <x:f>IF(INDEX('C_jama.2019.7505'!$E$2:$E$5,MATCH("2019::jama.2019.7505::C004",'C_jama.2019.7505'!$A$2:$A$5,0))="","",INDEX('C_jama.2019.7505'!$E$2:$E$5,MATCH("2019::jama.2019.7505::C004",'C_jama.2019.7505'!$A$2:$A$5,0)))</x:f>
        <x:v>report_internal_inconsistency</x:v>
      </x:c>
      <x:c r="U72" s="6" t="str">
        <x:f>IF(AND(INDEX('C_jama.2019.7505'!$D$2:$D$5,MATCH("2019::jama.2019.7505::C004",'C_jama.2019.7505'!$A$2:$A$5,0))="retain",INDEX('C_jama.2019.7505'!$E$2:$E$5,MATCH("2019::jama.2019.7505::C004",'C_jama.2019.7505'!$A$2:$A$5,0))="statistical_results"),IF(INDEX('C_jama.2019.7505'!$H$2:$H$5,MATCH("2019::jama.2019.7505::C004",'C_jama.2019.7505'!$A$2:$A$5,0))="","",INDEX('C_jama.2019.7505'!$H$2:$H$5,MATCH("2019::jama.2019.7505::C004",'C_jama.2019.7505'!$A$2:$A$5,0))),"not_applicable")</x:f>
        <x:v>not_applicable</x:v>
      </x:c>
      <x:c r="V72" s="6" t="str">
        <x:f>IF(AND(INDEX('C_jama.2019.7505'!$D$2:$D$5,MATCH("2019::jama.2019.7505::C004",'C_jama.2019.7505'!$A$2:$A$5,0))="retain",INDEX('C_jama.2019.7505'!$E$2:$E$5,MATCH("2019::jama.2019.7505::C004",'C_jama.2019.7505'!$A$2:$A$5,0))="statistical_results"),IF(INDEX('C_jama.2019.7505'!$I$2:$I$5,MATCH("2019::jama.2019.7505::C004",'C_jama.2019.7505'!$A$2:$A$5,0))="","",INDEX('C_jama.2019.7505'!$I$2:$I$5,MATCH("2019::jama.2019.7505::C004",'C_jama.2019.7505'!$A$2:$A$5,0))),"not_applicable")</x:f>
        <x:v>not_applicable</x:v>
      </x:c>
      <x:c r="W72" s="6" t="str">
        <x:f>IF(AND(INDEX('C_jama.2019.7505'!$D$2:$D$5,MATCH("2019::jama.2019.7505::C004",'C_jama.2019.7505'!$A$2:$A$5,0))="retain",INDEX('C_jama.2019.7505'!$E$2:$E$5,MATCH("2019::jama.2019.7505::C004",'C_jama.2019.7505'!$A$2:$A$5,0))="statistical_results"),IF(INDEX('C_jama.2019.7505'!$J$2:$J$5,MATCH("2019::jama.2019.7505::C004",'C_jama.2019.7505'!$A$2:$A$5,0))="","",INDEX('C_jama.2019.7505'!$J$2:$J$5,MATCH("2019::jama.2019.7505::C004",'C_jama.2019.7505'!$A$2:$A$5,0))),"not_applicable")</x:f>
        <x:v>not_applicable</x:v>
      </x:c>
      <x:c r="X72" s="6" t="str">
        <x:f>IF(AND(INDEX('C_jama.2019.7505'!$D$2:$D$5,MATCH("2019::jama.2019.7505::C004",'C_jama.2019.7505'!$A$2:$A$5,0))="retain",OR(INDEX('C_jama.2019.7505'!$E$2:$E$5,MATCH("2019::jama.2019.7505::C004",'C_jama.2019.7505'!$A$2:$A$5,0))="report_internal_inconsistency",INDEX('C_jama.2019.7505'!$E$2:$E$5,MATCH("2019::jama.2019.7505::C004",'C_jama.2019.7505'!$A$2:$A$5,0))="plan_material")),IF(INDEX('C_jama.2019.7505'!$K$2:$K$5,MATCH("2019::jama.2019.7505::C004",'C_jama.2019.7505'!$A$2:$A$5,0))="","",INDEX('C_jama.2019.7505'!$K$2:$K$5,MATCH("2019::jama.2019.7505::C004",'C_jama.2019.7505'!$A$2:$A$5,0))),"not_applicable")</x:f>
        <x:v>not_applicable</x:v>
      </x:c>
      <x:c r="Y72" s="6" t="str">
        <x:f>IF(AND(INDEX('C_jama.2019.7505'!$D$2:$D$5,MATCH("2019::jama.2019.7505::C004",'C_jama.2019.7505'!$A$2:$A$5,0))="retain",INDEX('C_jama.2019.7505'!$E$2:$E$5,MATCH("2019::jama.2019.7505::C004",'C_jama.2019.7505'!$A$2:$A$5,0))="protocol_report"),IF(INDEX('C_jama.2019.7505'!$L$2:$L$5,MATCH("2019::jama.2019.7505::C004",'C_jama.2019.7505'!$A$2:$A$5,0))="","",INDEX('C_jama.2019.7505'!$L$2:$L$5,MATCH("2019::jama.2019.7505::C004",'C_jama.2019.7505'!$A$2:$A$5,0))),"not_applicable")</x:f>
        <x:v>not_applicable</x:v>
      </x:c>
      <x:c r="Z72" s="6" t="str">
        <x:f>IF(INDEX('C_jama.2019.7505'!$R$2:$R$5,MATCH("2019::jama.2019.7505::C004",'C_jama.2019.7505'!$A$2:$A$5,0))="","",INDEX('C_jama.2019.7505'!$R$2:$R$5,MATCH("2019::jama.2019.7505::C004",'C_jama.2019.7505'!$A$2:$A$5,0)))</x:f>
      </x:c>
      <x:c r="AA72" s="6" t="str">
        <x:f>IF(INDEX('C_jama.2019.7505'!$N$2:$N$5,MATCH("2019::jama.2019.7505::C004",'C_jama.2019.7505'!$A$2:$A$5,0))="","",INDEX('C_jama.2019.7505'!$N$2:$N$5,MATCH("2019::jama.2019.7505::C004",'C_jama.2019.7505'!$A$2:$A$5,0)))</x:f>
      </x:c>
      <x:c r="AB72" s="6" t="str">
        <x:f>IF(INDEX('C_jama.2019.7505'!$O$2:$O$5,MATCH("2019::jama.2019.7505::C004",'C_jama.2019.7505'!$A$2:$A$5,0))="","",INDEX('C_jama.2019.7505'!$O$2:$O$5,MATCH("2019::jama.2019.7505::C004",'C_jama.2019.7505'!$A$2:$A$5,0)))</x:f>
      </x:c>
      <x:c r="AC72" s="6" t="str">
        <x:f>IF(INDEX('C_jama.2019.7505'!$P$2:$P$5,MATCH("2019::jama.2019.7505::C004",'C_jama.2019.7505'!$A$2:$A$5,0))="","",INDEX('C_jama.2019.7505'!$P$2:$P$5,MATCH("2019::jama.2019.7505::C004",'C_jama.2019.7505'!$A$2:$A$5,0)))</x:f>
      </x:c>
      <x:c r="AD72" s="6" t="str">
        <x:f>IF(INDEX('C_jama.2019.7505'!$Q$2:$Q$5,MATCH("2019::jama.2019.7505::C004",'C_jama.2019.7505'!$A$2:$A$5,0))="","",INDEX('C_jama.2019.7505'!$Q$2:$Q$5,MATCH("2019::jama.2019.7505::C004",'C_jama.2019.7505'!$A$2:$A$5,0)))</x:f>
      </x:c>
    </x:row>
  </x:sheetData>
  <x:pageMargins left="0.7" right="0.7" top="0.75" bottom="0.75" header="0.3" footer="0.3"/>
  <x:tableParts count="1">
    <x:tablePart xmlns:r="http://schemas.openxmlformats.org/officeDocument/2006/relationships" r:id="Rfea2c15c07454df9"/>
  </x:tableParts>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30" hidden="0" customWidth="1"/>
    <x:col min="3" max="3" width="18" hidden="0" customWidth="1"/>
    <x:col min="4" max="4" width="18" hidden="0" customWidth="1"/>
    <x:col min="5" max="5" width="18" hidden="0" customWidth="1"/>
    <x:col min="6" max="6" width="22" hidden="0" customWidth="1"/>
    <x:col min="7" max="7" width="24" hidden="0" customWidth="1"/>
    <x:col min="8" max="8" width="26" hidden="0" customWidth="1"/>
    <x:col min="9" max="9" width="26" hidden="0" customWidth="1"/>
    <x:col min="10" max="10" width="26" hidden="0" customWidth="1"/>
  </x:cols>
  <x:sheetData>
    <x:row r="1" ht="42" customHeight="1">
      <x:c r="A1" s="5" t="str">
        <x:v>year</x:v>
      </x:c>
      <x:c r="B1" s="5" t="str">
        <x:v>paper</x:v>
      </x:c>
      <x:c r="C1" s="5" t="str">
        <x:v>candidates</x:v>
      </x:c>
      <x:c r="D1" s="5" t="str">
        <x:v>pending</x:v>
      </x:c>
      <x:c r="E1" s="5" t="str">
        <x:v>unresolved</x:v>
      </x:c>
      <x:c r="F1" s="5" t="str">
        <x:v>paper_complete</x:v>
      </x:c>
      <x:c r="G1" s="5" t="str">
        <x:v>primary_temporal</x:v>
      </x:c>
      <x:c r="H1" s="5" t="str">
        <x:v>secondary_temporal</x:v>
      </x:c>
      <x:c r="I1" s="5" t="str">
        <x:v>protocol_descriptive</x:v>
      </x:c>
      <x:c r="J1" s="5" t="str">
        <x:v>plan_descriptive</x:v>
      </x:c>
    </x:row>
    <x:row r="2" ht="42" customHeight="1">
      <x:c r="A2" s="6" t="n">
        <x:v>2019</x:v>
      </x:c>
      <x:c r="B2" s="6" t="str">
        <x:v>jama.2019.0556</x:v>
      </x:c>
      <x:c r="C2" s="6" t="n">
        <x:v>9</x:v>
      </x:c>
      <x:c r="D2" s="6" t="n">
        <x:f>C2-COUNTIFS(Decisions!$B$2:$B$72,B2,Decisions!$G$2:$G$72,"FINAL READY")-E2</x:f>
        <x:v>9</x:v>
      </x:c>
      <x:c r="E2" s="6" t="n">
        <x:f>COUNTIFS(Decisions!$B$2:$B$72,B2,Decisions!$G$2:$G$72,"DISCUSS")</x:f>
        <x:v>0</x:v>
      </x:c>
      <x:c r="F2" s="6" t="str">
        <x:f>IF(D2+E2=0,"yes","no")</x:f>
        <x:v>no</x:v>
      </x:c>
      <x:c r="G2" s="6" t="str">
        <x:f>IF(F2&lt;&gt;"yes","",COUNTIFS(Decisions!$B$2:$B$72,B2,Decisions!$H$2:$H$72,"primary_temporal"))</x:f>
      </x:c>
      <x:c r="H2" s="6" t="str">
        <x:f>IF(F2&lt;&gt;"yes","",COUNTIFS(Decisions!$B$2:$B$72,B2,Decisions!$H$2:$H$72,"secondary_temporal"))</x:f>
      </x:c>
      <x:c r="I2" s="6" t="str">
        <x:f>IF(F2&lt;&gt;"yes","",COUNTIFS(Decisions!$B$2:$B$72,B2,Decisions!$H$2:$H$72,"protocol_descriptive"))</x:f>
      </x:c>
      <x:c r="J2" s="6" t="str">
        <x:f>IF(F2&lt;&gt;"yes","",COUNTIFS(Decisions!$B$2:$B$72,B2,Decisions!$H$2:$H$72,"plan_descriptive"))</x:f>
      </x:c>
    </x:row>
    <x:row r="3" ht="42" customHeight="1">
      <x:c r="A3" s="3" t="n">
        <x:v>2019</x:v>
      </x:c>
      <x:c r="B3" s="3" t="str">
        <x:v>jama.2019.10517</x:v>
      </x:c>
      <x:c r="C3" s="3" t="n">
        <x:v>3</x:v>
      </x:c>
      <x:c r="D3" s="3" t="n">
        <x:f>C3-COUNTIFS(Decisions!$B$2:$B$72,B3,Decisions!$G$2:$G$72,"FINAL READY")-E3</x:f>
        <x:v>3</x:v>
      </x:c>
      <x:c r="E3" s="3" t="n">
        <x:f>COUNTIFS(Decisions!$B$2:$B$72,B3,Decisions!$G$2:$G$72,"DISCUSS")</x:f>
        <x:v>0</x:v>
      </x:c>
      <x:c r="F3" s="3" t="str">
        <x:f>IF(D3+E3=0,"yes","no")</x:f>
        <x:v>no</x:v>
      </x:c>
      <x:c r="G3" s="3" t="str">
        <x:f>IF(F3&lt;&gt;"yes","",COUNTIFS(Decisions!$B$2:$B$72,B3,Decisions!$H$2:$H$72,"primary_temporal"))</x:f>
      </x:c>
      <x:c r="H3" s="3" t="str">
        <x:f>IF(F3&lt;&gt;"yes","",COUNTIFS(Decisions!$B$2:$B$72,B3,Decisions!$H$2:$H$72,"secondary_temporal"))</x:f>
      </x:c>
      <x:c r="I3" s="3" t="str">
        <x:f>IF(F3&lt;&gt;"yes","",COUNTIFS(Decisions!$B$2:$B$72,B3,Decisions!$H$2:$H$72,"protocol_descriptive"))</x:f>
      </x:c>
      <x:c r="J3" s="3" t="str">
        <x:f>IF(F3&lt;&gt;"yes","",COUNTIFS(Decisions!$B$2:$B$72,B3,Decisions!$H$2:$H$72,"plan_descriptive"))</x:f>
      </x:c>
    </x:row>
    <x:row r="4" ht="42" customHeight="1">
      <x:c r="A4" s="6" t="n">
        <x:v>2019</x:v>
      </x:c>
      <x:c r="B4" s="6" t="str">
        <x:v>jama.2019.12618</x:v>
      </x:c>
      <x:c r="C4" s="6" t="n">
        <x:v>8</x:v>
      </x:c>
      <x:c r="D4" s="6" t="n">
        <x:f>C4-COUNTIFS(Decisions!$B$2:$B$72,B4,Decisions!$G$2:$G$72,"FINAL READY")-E4</x:f>
        <x:v>8</x:v>
      </x:c>
      <x:c r="E4" s="6" t="n">
        <x:f>COUNTIFS(Decisions!$B$2:$B$72,B4,Decisions!$G$2:$G$72,"DISCUSS")</x:f>
        <x:v>0</x:v>
      </x:c>
      <x:c r="F4" s="6" t="str">
        <x:f>IF(D4+E4=0,"yes","no")</x:f>
        <x:v>no</x:v>
      </x:c>
      <x:c r="G4" s="6" t="str">
        <x:f>IF(F4&lt;&gt;"yes","",COUNTIFS(Decisions!$B$2:$B$72,B4,Decisions!$H$2:$H$72,"primary_temporal"))</x:f>
      </x:c>
      <x:c r="H4" s="6" t="str">
        <x:f>IF(F4&lt;&gt;"yes","",COUNTIFS(Decisions!$B$2:$B$72,B4,Decisions!$H$2:$H$72,"secondary_temporal"))</x:f>
      </x:c>
      <x:c r="I4" s="6" t="str">
        <x:f>IF(F4&lt;&gt;"yes","",COUNTIFS(Decisions!$B$2:$B$72,B4,Decisions!$H$2:$H$72,"protocol_descriptive"))</x:f>
      </x:c>
      <x:c r="J4" s="6" t="str">
        <x:f>IF(F4&lt;&gt;"yes","",COUNTIFS(Decisions!$B$2:$B$72,B4,Decisions!$H$2:$H$72,"plan_descriptive"))</x:f>
      </x:c>
    </x:row>
    <x:row r="5" ht="42" customHeight="1">
      <x:c r="A5" s="3" t="n">
        <x:v>2019</x:v>
      </x:c>
      <x:c r="B5" s="3" t="str">
        <x:v>jama.2019.14231</x:v>
      </x:c>
      <x:c r="C5" s="3" t="n">
        <x:v>11</x:v>
      </x:c>
      <x:c r="D5" s="3" t="n">
        <x:f>C5-COUNTIFS(Decisions!$B$2:$B$72,B5,Decisions!$G$2:$G$72,"FINAL READY")-E5</x:f>
        <x:v>11</x:v>
      </x:c>
      <x:c r="E5" s="3" t="n">
        <x:f>COUNTIFS(Decisions!$B$2:$B$72,B5,Decisions!$G$2:$G$72,"DISCUSS")</x:f>
        <x:v>0</x:v>
      </x:c>
      <x:c r="F5" s="3" t="str">
        <x:f>IF(D5+E5=0,"yes","no")</x:f>
        <x:v>no</x:v>
      </x:c>
      <x:c r="G5" s="3" t="str">
        <x:f>IF(F5&lt;&gt;"yes","",COUNTIFS(Decisions!$B$2:$B$72,B5,Decisions!$H$2:$H$72,"primary_temporal"))</x:f>
      </x:c>
      <x:c r="H5" s="3" t="str">
        <x:f>IF(F5&lt;&gt;"yes","",COUNTIFS(Decisions!$B$2:$B$72,B5,Decisions!$H$2:$H$72,"secondary_temporal"))</x:f>
      </x:c>
      <x:c r="I5" s="3" t="str">
        <x:f>IF(F5&lt;&gt;"yes","",COUNTIFS(Decisions!$B$2:$B$72,B5,Decisions!$H$2:$H$72,"protocol_descriptive"))</x:f>
      </x:c>
      <x:c r="J5" s="3" t="str">
        <x:f>IF(F5&lt;&gt;"yes","",COUNTIFS(Decisions!$B$2:$B$72,B5,Decisions!$H$2:$H$72,"plan_descriptive"))</x:f>
      </x:c>
    </x:row>
    <x:row r="6" ht="42" customHeight="1">
      <x:c r="A6" s="6" t="n">
        <x:v>2019</x:v>
      </x:c>
      <x:c r="B6" s="6" t="str">
        <x:v>jama.2019.14630</x:v>
      </x:c>
      <x:c r="C6" s="6" t="n">
        <x:v>9</x:v>
      </x:c>
      <x:c r="D6" s="6" t="n">
        <x:f>C6-COUNTIFS(Decisions!$B$2:$B$72,B6,Decisions!$G$2:$G$72,"FINAL READY")-E6</x:f>
        <x:v>9</x:v>
      </x:c>
      <x:c r="E6" s="6" t="n">
        <x:f>COUNTIFS(Decisions!$B$2:$B$72,B6,Decisions!$G$2:$G$72,"DISCUSS")</x:f>
        <x:v>0</x:v>
      </x:c>
      <x:c r="F6" s="6" t="str">
        <x:f>IF(D6+E6=0,"yes","no")</x:f>
        <x:v>no</x:v>
      </x:c>
      <x:c r="G6" s="6" t="str">
        <x:f>IF(F6&lt;&gt;"yes","",COUNTIFS(Decisions!$B$2:$B$72,B6,Decisions!$H$2:$H$72,"primary_temporal"))</x:f>
      </x:c>
      <x:c r="H6" s="6" t="str">
        <x:f>IF(F6&lt;&gt;"yes","",COUNTIFS(Decisions!$B$2:$B$72,B6,Decisions!$H$2:$H$72,"secondary_temporal"))</x:f>
      </x:c>
      <x:c r="I6" s="6" t="str">
        <x:f>IF(F6&lt;&gt;"yes","",COUNTIFS(Decisions!$B$2:$B$72,B6,Decisions!$H$2:$H$72,"protocol_descriptive"))</x:f>
      </x:c>
      <x:c r="J6" s="6" t="str">
        <x:f>IF(F6&lt;&gt;"yes","",COUNTIFS(Decisions!$B$2:$B$72,B6,Decisions!$H$2:$H$72,"plan_descriptive"))</x:f>
      </x:c>
    </x:row>
    <x:row r="7" ht="42" customHeight="1">
      <x:c r="A7" s="3" t="n">
        <x:v>2019</x:v>
      </x:c>
      <x:c r="B7" s="3" t="str">
        <x:v>jama.2019.14901</x:v>
      </x:c>
      <x:c r="C7" s="3" t="n">
        <x:v>6</x:v>
      </x:c>
      <x:c r="D7" s="3" t="n">
        <x:f>C7-COUNTIFS(Decisions!$B$2:$B$72,B7,Decisions!$G$2:$G$72,"FINAL READY")-E7</x:f>
        <x:v>6</x:v>
      </x:c>
      <x:c r="E7" s="3" t="n">
        <x:f>COUNTIFS(Decisions!$B$2:$B$72,B7,Decisions!$G$2:$G$72,"DISCUSS")</x:f>
        <x:v>0</x:v>
      </x:c>
      <x:c r="F7" s="3" t="str">
        <x:f>IF(D7+E7=0,"yes","no")</x:f>
        <x:v>no</x:v>
      </x:c>
      <x:c r="G7" s="3" t="str">
        <x:f>IF(F7&lt;&gt;"yes","",COUNTIFS(Decisions!$B$2:$B$72,B7,Decisions!$H$2:$H$72,"primary_temporal"))</x:f>
      </x:c>
      <x:c r="H7" s="3" t="str">
        <x:f>IF(F7&lt;&gt;"yes","",COUNTIFS(Decisions!$B$2:$B$72,B7,Decisions!$H$2:$H$72,"secondary_temporal"))</x:f>
      </x:c>
      <x:c r="I7" s="3" t="str">
        <x:f>IF(F7&lt;&gt;"yes","",COUNTIFS(Decisions!$B$2:$B$72,B7,Decisions!$H$2:$H$72,"protocol_descriptive"))</x:f>
      </x:c>
      <x:c r="J7" s="3" t="str">
        <x:f>IF(F7&lt;&gt;"yes","",COUNTIFS(Decisions!$B$2:$B$72,B7,Decisions!$H$2:$H$72,"plan_descriptive"))</x:f>
      </x:c>
    </x:row>
    <x:row r="8" ht="42" customHeight="1">
      <x:c r="A8" s="6" t="n">
        <x:v>2019</x:v>
      </x:c>
      <x:c r="B8" s="6" t="str">
        <x:v>jama.2019.17380</x:v>
      </x:c>
      <x:c r="C8" s="6" t="n">
        <x:v>7</x:v>
      </x:c>
      <x:c r="D8" s="6" t="n">
        <x:f>C8-COUNTIFS(Decisions!$B$2:$B$72,B8,Decisions!$G$2:$G$72,"FINAL READY")-E8</x:f>
        <x:v>7</x:v>
      </x:c>
      <x:c r="E8" s="6" t="n">
        <x:f>COUNTIFS(Decisions!$B$2:$B$72,B8,Decisions!$G$2:$G$72,"DISCUSS")</x:f>
        <x:v>0</x:v>
      </x:c>
      <x:c r="F8" s="6" t="str">
        <x:f>IF(D8+E8=0,"yes","no")</x:f>
        <x:v>no</x:v>
      </x:c>
      <x:c r="G8" s="6" t="str">
        <x:f>IF(F8&lt;&gt;"yes","",COUNTIFS(Decisions!$B$2:$B$72,B8,Decisions!$H$2:$H$72,"primary_temporal"))</x:f>
      </x:c>
      <x:c r="H8" s="6" t="str">
        <x:f>IF(F8&lt;&gt;"yes","",COUNTIFS(Decisions!$B$2:$B$72,B8,Decisions!$H$2:$H$72,"secondary_temporal"))</x:f>
      </x:c>
      <x:c r="I8" s="6" t="str">
        <x:f>IF(F8&lt;&gt;"yes","",COUNTIFS(Decisions!$B$2:$B$72,B8,Decisions!$H$2:$H$72,"protocol_descriptive"))</x:f>
      </x:c>
      <x:c r="J8" s="6" t="str">
        <x:f>IF(F8&lt;&gt;"yes","",COUNTIFS(Decisions!$B$2:$B$72,B8,Decisions!$H$2:$H$72,"plan_descriptive"))</x:f>
      </x:c>
    </x:row>
    <x:row r="9" ht="42" customHeight="1">
      <x:c r="A9" s="3" t="n">
        <x:v>2019</x:v>
      </x:c>
      <x:c r="B9" s="3" t="str">
        <x:v>jama.2019.2210</x:v>
      </x:c>
      <x:c r="C9" s="3" t="n">
        <x:v>9</x:v>
      </x:c>
      <x:c r="D9" s="3" t="n">
        <x:f>C9-COUNTIFS(Decisions!$B$2:$B$72,B9,Decisions!$G$2:$G$72,"FINAL READY")-E9</x:f>
        <x:v>9</x:v>
      </x:c>
      <x:c r="E9" s="3" t="n">
        <x:f>COUNTIFS(Decisions!$B$2:$B$72,B9,Decisions!$G$2:$G$72,"DISCUSS")</x:f>
        <x:v>0</x:v>
      </x:c>
      <x:c r="F9" s="3" t="str">
        <x:f>IF(D9+E9=0,"yes","no")</x:f>
        <x:v>no</x:v>
      </x:c>
      <x:c r="G9" s="3" t="str">
        <x:f>IF(F9&lt;&gt;"yes","",COUNTIFS(Decisions!$B$2:$B$72,B9,Decisions!$H$2:$H$72,"primary_temporal"))</x:f>
      </x:c>
      <x:c r="H9" s="3" t="str">
        <x:f>IF(F9&lt;&gt;"yes","",COUNTIFS(Decisions!$B$2:$B$72,B9,Decisions!$H$2:$H$72,"secondary_temporal"))</x:f>
      </x:c>
      <x:c r="I9" s="3" t="str">
        <x:f>IF(F9&lt;&gt;"yes","",COUNTIFS(Decisions!$B$2:$B$72,B9,Decisions!$H$2:$H$72,"protocol_descriptive"))</x:f>
      </x:c>
      <x:c r="J9" s="3" t="str">
        <x:f>IF(F9&lt;&gt;"yes","",COUNTIFS(Decisions!$B$2:$B$72,B9,Decisions!$H$2:$H$72,"plan_descriptive"))</x:f>
      </x:c>
    </x:row>
    <x:row r="10" ht="42" customHeight="1">
      <x:c r="A10" s="6" t="n">
        <x:v>2019</x:v>
      </x:c>
      <x:c r="B10" s="6" t="str">
        <x:v>jama.2019.4755</x:v>
      </x:c>
      <x:c r="C10" s="6" t="n">
        <x:v>5</x:v>
      </x:c>
      <x:c r="D10" s="6" t="n">
        <x:f>C10-COUNTIFS(Decisions!$B$2:$B$72,B10,Decisions!$G$2:$G$72,"FINAL READY")-E10</x:f>
        <x:v>5</x:v>
      </x:c>
      <x:c r="E10" s="6" t="n">
        <x:f>COUNTIFS(Decisions!$B$2:$B$72,B10,Decisions!$G$2:$G$72,"DISCUSS")</x:f>
        <x:v>0</x:v>
      </x:c>
      <x:c r="F10" s="6" t="str">
        <x:f>IF(D10+E10=0,"yes","no")</x:f>
        <x:v>no</x:v>
      </x:c>
      <x:c r="G10" s="6" t="str">
        <x:f>IF(F10&lt;&gt;"yes","",COUNTIFS(Decisions!$B$2:$B$72,B10,Decisions!$H$2:$H$72,"primary_temporal"))</x:f>
      </x:c>
      <x:c r="H10" s="6" t="str">
        <x:f>IF(F10&lt;&gt;"yes","",COUNTIFS(Decisions!$B$2:$B$72,B10,Decisions!$H$2:$H$72,"secondary_temporal"))</x:f>
      </x:c>
      <x:c r="I10" s="6" t="str">
        <x:f>IF(F10&lt;&gt;"yes","",COUNTIFS(Decisions!$B$2:$B$72,B10,Decisions!$H$2:$H$72,"protocol_descriptive"))</x:f>
      </x:c>
      <x:c r="J10" s="6" t="str">
        <x:f>IF(F10&lt;&gt;"yes","",COUNTIFS(Decisions!$B$2:$B$72,B10,Decisions!$H$2:$H$72,"plan_descriptive"))</x:f>
      </x:c>
    </x:row>
    <x:row r="11" ht="42" customHeight="1">
      <x:c r="A11" s="3" t="n">
        <x:v>2019</x:v>
      </x:c>
      <x:c r="B11" s="3" t="str">
        <x:v>jama.2019.7505</x:v>
      </x:c>
      <x:c r="C11" s="3" t="n">
        <x:v>4</x:v>
      </x:c>
      <x:c r="D11" s="3" t="n">
        <x:f>C11-COUNTIFS(Decisions!$B$2:$B$72,B11,Decisions!$G$2:$G$72,"FINAL READY")-E11</x:f>
        <x:v>4</x:v>
      </x:c>
      <x:c r="E11" s="3" t="n">
        <x:f>COUNTIFS(Decisions!$B$2:$B$72,B11,Decisions!$G$2:$G$72,"DISCUSS")</x:f>
        <x:v>0</x:v>
      </x:c>
      <x:c r="F11" s="3" t="str">
        <x:f>IF(D11+E11=0,"yes","no")</x:f>
        <x:v>no</x:v>
      </x:c>
      <x:c r="G11" s="3" t="str">
        <x:f>IF(F11&lt;&gt;"yes","",COUNTIFS(Decisions!$B$2:$B$72,B11,Decisions!$H$2:$H$72,"primary_temporal"))</x:f>
      </x:c>
      <x:c r="H11" s="3" t="str">
        <x:f>IF(F11&lt;&gt;"yes","",COUNTIFS(Decisions!$B$2:$B$72,B11,Decisions!$H$2:$H$72,"secondary_temporal"))</x:f>
      </x:c>
      <x:c r="I11" s="3" t="str">
        <x:f>IF(F11&lt;&gt;"yes","",COUNTIFS(Decisions!$B$2:$B$72,B11,Decisions!$H$2:$H$72,"protocol_descriptive"))</x:f>
      </x:c>
      <x:c r="J11" s="3" t="str">
        <x:f>IF(F11&lt;&gt;"yes","",COUNTIFS(Decisions!$B$2:$B$72,B11,Decisions!$H$2:$H$72,"plan_descriptive"))</x:f>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7" hidden="0" customWidth="1"/>
    <x:col min="3" max="3" width="44" hidden="0" customWidth="1"/>
    <x:col min="4" max="4" width="18" hidden="0" customWidth="1"/>
    <x:col min="5" max="5" width="60" hidden="0" customWidth="1"/>
    <x:col min="6" max="6" width="90" hidden="0" customWidth="1"/>
    <x:col min="7" max="7" width="24" hidden="0" customWidth="1"/>
    <x:col min="8" max="8" width="20" hidden="0" customWidth="1"/>
    <x:col min="9" max="9" width="28" hidden="0" customWidth="1"/>
    <x:col min="10" max="10" width="30" hidden="0" customWidth="1"/>
    <x:col min="11" max="11" width="60" hidden="0" customWidth="1"/>
  </x:cols>
  <x:sheetData>
    <x:row r="1" ht="42" customHeight="1">
      <x:c r="A1" s="5" t="str">
        <x:v>year</x:v>
      </x:c>
      <x:c r="B1" s="5" t="str">
        <x:v>paper</x:v>
      </x:c>
      <x:c r="C1" s="5" t="str">
        <x:v>key</x:v>
      </x:c>
      <x:c r="D1" s="5" t="str">
        <x:v>relationship</x:v>
      </x:c>
      <x:c r="E1" s="5" t="str">
        <x:v>title</x:v>
      </x:c>
      <x:c r="F1" s="5" t="str">
        <x:v>statement</x:v>
      </x:c>
      <x:c r="G1" s="5" t="str">
        <x:v>status</x:v>
      </x:c>
      <x:c r="H1" s="5" t="str">
        <x:v>disposition</x:v>
      </x:c>
      <x:c r="I1" s="5" t="str">
        <x:v>interpretation</x:v>
      </x:c>
      <x:c r="J1" s="5" t="str">
        <x:v>internalStatus</x:v>
      </x:c>
      <x:c r="K1" s="5" t="str">
        <x:v>notes</x:v>
      </x:c>
    </x:row>
    <x:row r="2" ht="90" customHeight="1">
      <x:c r="A2" s="6" t="n">
        <x:v>2019</x:v>
      </x:c>
      <x:c r="B2" s="6" t="str">
        <x:v>jama.2019.0556</x:v>
      </x:c>
      <x:c r="C2" s="6" t="str">
        <x:v>2019::jama.2019.0556::C006</x:v>
      </x:c>
      <x:c r="D2" s="6" t="str">
        <x:v>P_P</x:v>
      </x:c>
      <x:c r="E2" s="6" t="str">
        <x:v>Protocol calls a 30% versus 15% contrast a 25% difference</x:v>
      </x:c>
      <x:c r="F2" s="6" t="str">
        <x:v>The protocol’s stated 25% difference does not reconcile with its displayed 30% control and 15% intervention incidences under ordinary absolute or relative metrics.</x:v>
      </x:c>
      <x:c r="G2" s="6" t="str">
        <x:f>IF(INDEX('Decisions'!$G$2:$G$72,MATCH(C2,'Decisions'!$C$2:$C$72,0))="","",INDEX('Decisions'!$G$2:$G$72,MATCH(C2,'Decisions'!$C$2:$C$72,0)))</x:f>
        <x:v>CHECK REVIEWER IDs</x:v>
      </x:c>
      <x:c r="H2" s="6" t="str">
        <x:f>IF(INDEX('Decisions'!$S$2:$S$72,MATCH(C2,'Decisions'!$C$2:$C$72,0))="","",INDEX('Decisions'!$S$2:$S$72,MATCH(C2,'Decisions'!$C$2:$C$72,0)))</x:f>
      </x:c>
      <x:c r="I2" s="6" t="str">
        <x:f>IF(INDEX('Decisions'!$Y$2:$Y$72,MATCH(C2,'Decisions'!$C$2:$C$72,0))="","",INDEX('Decisions'!$Y$2:$Y$72,MATCH(C2,'Decisions'!$C$2:$C$72,0)))</x:f>
        <x:v>not_applicable</x:v>
      </x:c>
      <x:c r="J2" s="6" t="str">
        <x:f>IF(INDEX('Decisions'!$X$2:$X$72,MATCH(C2,'Decisions'!$C$2:$C$72,0))="","",INDEX('Decisions'!$X$2:$X$72,MATCH(C2,'Decisions'!$C$2:$C$72,0)))</x:f>
        <x:v>not_applicable</x:v>
      </x:c>
      <x:c r="K2" s="6" t="str">
        <x:f>IF(INDEX('Decisions'!$Z$2:$Z$72,MATCH(C2,'Decisions'!$C$2:$C$72,0))="","",INDEX('Decisions'!$Z$2:$Z$72,MATCH(C2,'Decisions'!$C$2:$C$72,0)))</x:f>
      </x:c>
    </x:row>
    <x:row r="3" ht="90" customHeight="1">
      <x:c r="A3" s="3" t="n">
        <x:v>2019</x:v>
      </x:c>
      <x:c r="B3" s="3" t="str">
        <x:v>jama.2019.0556</x:v>
      </x:c>
      <x:c r="C3" s="3" t="str">
        <x:v>2019::jama.2019.0556::C007</x:v>
      </x:c>
      <x:c r="D3" s="3" t="str">
        <x:v>P_R</x:v>
      </x:c>
      <x:c r="E3" s="3" t="str">
        <x:v>Protocol and publication state different sample-size assumptions</x:v>
      </x:c>
      <x:c r="F3" s="3" t="str">
        <x:v>Matched enrollment-planning passages report different active event rates, uninflated sample quantities, and attrition assumptions.</x:v>
      </x:c>
      <x:c r="G3" s="3" t="str">
        <x:f>IF(INDEX('Decisions'!$G$2:$G$72,MATCH(C3,'Decisions'!$C$2:$C$72,0))="","",INDEX('Decisions'!$G$2:$G$72,MATCH(C3,'Decisions'!$C$2:$C$72,0)))</x:f>
        <x:v>CHECK REVIEWER IDs</x:v>
      </x:c>
      <x:c r="H3" s="3" t="str">
        <x:f>IF(INDEX('Decisions'!$S$2:$S$72,MATCH(C3,'Decisions'!$C$2:$C$72,0))="","",INDEX('Decisions'!$S$2:$S$72,MATCH(C3,'Decisions'!$C$2:$C$72,0)))</x:f>
      </x:c>
      <x:c r="I3" s="3" t="str">
        <x:f>IF(INDEX('Decisions'!$Y$2:$Y$72,MATCH(C3,'Decisions'!$C$2:$C$72,0))="","",INDEX('Decisions'!$Y$2:$Y$72,MATCH(C3,'Decisions'!$C$2:$C$72,0)))</x:f>
        <x:v>not_applicable</x:v>
      </x:c>
      <x:c r="J3" s="3" t="str">
        <x:f>IF(INDEX('Decisions'!$X$2:$X$72,MATCH(C3,'Decisions'!$C$2:$C$72,0))="","",INDEX('Decisions'!$X$2:$X$72,MATCH(C3,'Decisions'!$C$2:$C$72,0)))</x:f>
        <x:v>not_applicable</x:v>
      </x:c>
      <x:c r="K3" s="3" t="str">
        <x:f>IF(INDEX('Decisions'!$Z$2:$Z$72,MATCH(C3,'Decisions'!$C$2:$C$72,0))="","",INDEX('Decisions'!$Z$2:$Z$72,MATCH(C3,'Decisions'!$C$2:$C$72,0)))</x:f>
      </x:c>
    </x:row>
    <x:row r="4" ht="90" customHeight="1">
      <x:c r="A4" s="6" t="n">
        <x:v>2019</x:v>
      </x:c>
      <x:c r="B4" s="6" t="str">
        <x:v>jama.2019.0556</x:v>
      </x:c>
      <x:c r="C4" s="6" t="str">
        <x:v>2019::jama.2019.0556::C008</x:v>
      </x:c>
      <x:c r="D4" s="6" t="str">
        <x:v>P_P</x:v>
      </x:c>
      <x:c r="E4" s="6" t="str">
        <x:v>Protocol uses incompatible DSM editions for the primary endpoint</x:v>
      </x:c>
      <x:c r="F4" s="6" t="str">
        <x:v>The protocol names DSM-IV and DSM-5 for the same MINI-assessed 12-month MDD endpoint and schedule.</x:v>
      </x:c>
      <x:c r="G4" s="6" t="str">
        <x:f>IF(INDEX('Decisions'!$G$2:$G$72,MATCH(C4,'Decisions'!$C$2:$C$72,0))="","",INDEX('Decisions'!$G$2:$G$72,MATCH(C4,'Decisions'!$C$2:$C$72,0)))</x:f>
        <x:v>CHECK REVIEWER IDs</x:v>
      </x:c>
      <x:c r="H4" s="6" t="str">
        <x:f>IF(INDEX('Decisions'!$S$2:$S$72,MATCH(C4,'Decisions'!$C$2:$C$72,0))="","",INDEX('Decisions'!$S$2:$S$72,MATCH(C4,'Decisions'!$C$2:$C$72,0)))</x:f>
      </x:c>
      <x:c r="I4" s="6" t="str">
        <x:f>IF(INDEX('Decisions'!$Y$2:$Y$72,MATCH(C4,'Decisions'!$C$2:$C$72,0))="","",INDEX('Decisions'!$Y$2:$Y$72,MATCH(C4,'Decisions'!$C$2:$C$72,0)))</x:f>
        <x:v>not_applicable</x:v>
      </x:c>
      <x:c r="J4" s="6" t="str">
        <x:f>IF(INDEX('Decisions'!$X$2:$X$72,MATCH(C4,'Decisions'!$C$2:$C$72,0))="","",INDEX('Decisions'!$X$2:$X$72,MATCH(C4,'Decisions'!$C$2:$C$72,0)))</x:f>
        <x:v>not_applicable</x:v>
      </x:c>
      <x:c r="K4" s="6" t="str">
        <x:f>IF(INDEX('Decisions'!$Z$2:$Z$72,MATCH(C4,'Decisions'!$C$2:$C$72,0))="","",INDEX('Decisions'!$Z$2:$Z$72,MATCH(C4,'Decisions'!$C$2:$C$72,0)))</x:f>
      </x:c>
    </x:row>
    <x:row r="5" ht="90" customHeight="1">
      <x:c r="A5" s="3" t="n">
        <x:v>2019</x:v>
      </x:c>
      <x:c r="B5" s="3" t="str">
        <x:v>jama.2019.0556</x:v>
      </x:c>
      <x:c r="C5" s="3" t="str">
        <x:v>2019::jama.2019.0556::C009</x:v>
      </x:c>
      <x:c r="D5" s="3" t="str">
        <x:v>P_P</x:v>
      </x:c>
      <x:c r="E5" s="3" t="str">
        <x:v>Analysis-plan significance threshold lacks a comparison operator</x:v>
      </x:c>
      <x:c r="F5" s="3" t="str">
        <x:v>The statistical analysis plan prints p 0.05 for the two-sided significance threshold without an operator.</x:v>
      </x:c>
      <x:c r="G5" s="3" t="str">
        <x:f>IF(INDEX('Decisions'!$G$2:$G$72,MATCH(C5,'Decisions'!$C$2:$C$72,0))="","",INDEX('Decisions'!$G$2:$G$72,MATCH(C5,'Decisions'!$C$2:$C$72,0)))</x:f>
        <x:v>CHECK REVIEWER IDs</x:v>
      </x:c>
      <x:c r="H5" s="3" t="str">
        <x:f>IF(INDEX('Decisions'!$S$2:$S$72,MATCH(C5,'Decisions'!$C$2:$C$72,0))="","",INDEX('Decisions'!$S$2:$S$72,MATCH(C5,'Decisions'!$C$2:$C$72,0)))</x:f>
      </x:c>
      <x:c r="I5" s="3" t="str">
        <x:f>IF(INDEX('Decisions'!$Y$2:$Y$72,MATCH(C5,'Decisions'!$C$2:$C$72,0))="","",INDEX('Decisions'!$Y$2:$Y$72,MATCH(C5,'Decisions'!$C$2:$C$72,0)))</x:f>
        <x:v>not_applicable</x:v>
      </x:c>
      <x:c r="J5" s="3" t="str">
        <x:f>IF(INDEX('Decisions'!$X$2:$X$72,MATCH(C5,'Decisions'!$C$2:$C$72,0))="","",INDEX('Decisions'!$X$2:$X$72,MATCH(C5,'Decisions'!$C$2:$C$72,0)))</x:f>
        <x:v>not_applicable</x:v>
      </x:c>
      <x:c r="K5" s="3" t="str">
        <x:f>IF(INDEX('Decisions'!$Z$2:$Z$72,MATCH(C5,'Decisions'!$C$2:$C$72,0))="","",INDEX('Decisions'!$Z$2:$Z$72,MATCH(C5,'Decisions'!$C$2:$C$72,0)))</x:f>
      </x:c>
    </x:row>
    <x:row r="6" ht="90" customHeight="1">
      <x:c r="A6" s="6" t="n">
        <x:v>2019</x:v>
      </x:c>
      <x:c r="B6" s="6" t="str">
        <x:v>jama.2019.10517</x:v>
      </x:c>
      <x:c r="C6" s="6" t="str">
        <x:v>2019::jama.2019.10517::C003</x:v>
      </x:c>
      <x:c r="D6" s="6" t="str">
        <x:v>P_P</x:v>
      </x:c>
      <x:c r="E6" s="6" t="str">
        <x:v>Protocol recruitment target conflicts between 82 and 98 participants per site</x:v>
      </x:c>
      <x:c r="F6" s="6" t="str">
        <x:v>Within the protocol/SAP, four sites recruiting 98 acute participants each reconcile with an acute total of 392, while another statement says each of four sites will recruit 82 patients without a stated population, phase, or version distinction. Pending Human Adjudication.</x:v>
      </x:c>
      <x:c r="G6" s="6" t="str">
        <x:f>IF(INDEX('Decisions'!$G$2:$G$72,MATCH(C6,'Decisions'!$C$2:$C$72,0))="","",INDEX('Decisions'!$G$2:$G$72,MATCH(C6,'Decisions'!$C$2:$C$72,0)))</x:f>
        <x:v>CHECK REVIEWER IDs</x:v>
      </x:c>
      <x:c r="H6" s="6" t="str">
        <x:f>IF(INDEX('Decisions'!$S$2:$S$72,MATCH(C6,'Decisions'!$C$2:$C$72,0))="","",INDEX('Decisions'!$S$2:$S$72,MATCH(C6,'Decisions'!$C$2:$C$72,0)))</x:f>
      </x:c>
      <x:c r="I6" s="6" t="str">
        <x:f>IF(INDEX('Decisions'!$Y$2:$Y$72,MATCH(C6,'Decisions'!$C$2:$C$72,0))="","",INDEX('Decisions'!$Y$2:$Y$72,MATCH(C6,'Decisions'!$C$2:$C$72,0)))</x:f>
        <x:v>not_applicable</x:v>
      </x:c>
      <x:c r="J6" s="6" t="str">
        <x:f>IF(INDEX('Decisions'!$X$2:$X$72,MATCH(C6,'Decisions'!$C$2:$C$72,0))="","",INDEX('Decisions'!$X$2:$X$72,MATCH(C6,'Decisions'!$C$2:$C$72,0)))</x:f>
        <x:v>not_applicable</x:v>
      </x:c>
      <x:c r="K6" s="6" t="str">
        <x:f>IF(INDEX('Decisions'!$Z$2:$Z$72,MATCH(C6,'Decisions'!$C$2:$C$72,0))="","",INDEX('Decisions'!$Z$2:$Z$72,MATCH(C6,'Decisions'!$C$2:$C$72,0)))</x:f>
      </x:c>
    </x:row>
    <x:row r="7" ht="90" customHeight="1">
      <x:c r="A7" s="3" t="n">
        <x:v>2019</x:v>
      </x:c>
      <x:c r="B7" s="3" t="str">
        <x:v>jama.2019.12618</x:v>
      </x:c>
      <x:c r="C7" s="3" t="str">
        <x:v>2019::jama.2019.12618::C001</x:v>
      </x:c>
      <x:c r="D7" s="3" t="str">
        <x:v>P_P</x:v>
      </x:c>
      <x:c r="E7" s="3" t="str">
        <x:v>protocol timeline end date</x:v>
      </x:c>
      <x:c r="F7" s="3" t="str">
        <x:v>Pending Human Adjudication: the printed protocol timeline has a maximum 12-month follow-up plus a one-month window ending before both the implied endpoint for the final enrollment month and the printed shorter follow-up endpoint.</x:v>
      </x:c>
      <x:c r="G7" s="3" t="str">
        <x:f>IF(INDEX('Decisions'!$G$2:$G$72,MATCH(C7,'Decisions'!$C$2:$C$72,0))="","",INDEX('Decisions'!$G$2:$G$72,MATCH(C7,'Decisions'!$C$2:$C$72,0)))</x:f>
        <x:v>CHECK REVIEWER IDs</x:v>
      </x:c>
      <x:c r="H7" s="3" t="str">
        <x:f>IF(INDEX('Decisions'!$S$2:$S$72,MATCH(C7,'Decisions'!$C$2:$C$72,0))="","",INDEX('Decisions'!$S$2:$S$72,MATCH(C7,'Decisions'!$C$2:$C$72,0)))</x:f>
      </x:c>
      <x:c r="I7" s="3" t="str">
        <x:f>IF(INDEX('Decisions'!$Y$2:$Y$72,MATCH(C7,'Decisions'!$C$2:$C$72,0))="","",INDEX('Decisions'!$Y$2:$Y$72,MATCH(C7,'Decisions'!$C$2:$C$72,0)))</x:f>
        <x:v>not_applicable</x:v>
      </x:c>
      <x:c r="J7" s="3" t="str">
        <x:f>IF(INDEX('Decisions'!$X$2:$X$72,MATCH(C7,'Decisions'!$C$2:$C$72,0))="","",INDEX('Decisions'!$X$2:$X$72,MATCH(C7,'Decisions'!$C$2:$C$72,0)))</x:f>
        <x:v>not_applicable</x:v>
      </x:c>
      <x:c r="K7" s="3" t="str">
        <x:f>IF(INDEX('Decisions'!$Z$2:$Z$72,MATCH(C7,'Decisions'!$C$2:$C$72,0))="","",INDEX('Decisions'!$Z$2:$Z$72,MATCH(C7,'Decisions'!$C$2:$C$72,0)))</x:f>
      </x:c>
    </x:row>
    <x:row r="8" ht="90" customHeight="1">
      <x:c r="A8" s="6" t="n">
        <x:v>2019</x:v>
      </x:c>
      <x:c r="B8" s="6" t="str">
        <x:v>jama.2019.12618</x:v>
      </x:c>
      <x:c r="C8" s="6" t="str">
        <x:v>2019::jama.2019.12618::C003</x:v>
      </x:c>
      <x:c r="D8" s="6" t="str">
        <x:v>P_R</x:v>
      </x:c>
      <x:c r="E8" s="6" t="str">
        <x:v>allocation block sizes</x:v>
      </x:c>
      <x:c r="F8" s="6" t="str">
        <x:v>Pending Human Adjudication: matched trial allocation descriptions list different possible block-size sets.</x:v>
      </x:c>
      <x:c r="G8" s="6" t="str">
        <x:f>IF(INDEX('Decisions'!$G$2:$G$72,MATCH(C8,'Decisions'!$C$2:$C$72,0))="","",INDEX('Decisions'!$G$2:$G$72,MATCH(C8,'Decisions'!$C$2:$C$72,0)))</x:f>
        <x:v>CHECK REVIEWER IDs</x:v>
      </x:c>
      <x:c r="H8" s="6" t="str">
        <x:f>IF(INDEX('Decisions'!$S$2:$S$72,MATCH(C8,'Decisions'!$C$2:$C$72,0))="","",INDEX('Decisions'!$S$2:$S$72,MATCH(C8,'Decisions'!$C$2:$C$72,0)))</x:f>
      </x:c>
      <x:c r="I8" s="6" t="str">
        <x:f>IF(INDEX('Decisions'!$Y$2:$Y$72,MATCH(C8,'Decisions'!$C$2:$C$72,0))="","",INDEX('Decisions'!$Y$2:$Y$72,MATCH(C8,'Decisions'!$C$2:$C$72,0)))</x:f>
        <x:v>not_applicable</x:v>
      </x:c>
      <x:c r="J8" s="6" t="str">
        <x:f>IF(INDEX('Decisions'!$X$2:$X$72,MATCH(C8,'Decisions'!$C$2:$C$72,0))="","",INDEX('Decisions'!$X$2:$X$72,MATCH(C8,'Decisions'!$C$2:$C$72,0)))</x:f>
        <x:v>not_applicable</x:v>
      </x:c>
      <x:c r="K8" s="6" t="str">
        <x:f>IF(INDEX('Decisions'!$Z$2:$Z$72,MATCH(C8,'Decisions'!$C$2:$C$72,0))="","",INDEX('Decisions'!$Z$2:$Z$72,MATCH(C8,'Decisions'!$C$2:$C$72,0)))</x:f>
      </x:c>
    </x:row>
    <x:row r="9" ht="90" customHeight="1">
      <x:c r="A9" s="3" t="n">
        <x:v>2019</x:v>
      </x:c>
      <x:c r="B9" s="3" t="str">
        <x:v>jama.2019.12618</x:v>
      </x:c>
      <x:c r="C9" s="3" t="str">
        <x:v>2019::jama.2019.12618::C004</x:v>
      </x:c>
      <x:c r="D9" s="3" t="str">
        <x:v>P_R</x:v>
      </x:c>
      <x:c r="E9" s="3" t="str">
        <x:v>six-month success injection-after-90-days criterion</x:v>
      </x:c>
      <x:c r="F9" s="3" t="str">
        <x:v>Pending Human Adjudication: the protocol manual includes a post-day-90 injection condition in six-month success, whereas the article's enumerated success definition omits it.</x:v>
      </x:c>
      <x:c r="G9" s="3" t="str">
        <x:f>IF(INDEX('Decisions'!$G$2:$G$72,MATCH(C9,'Decisions'!$C$2:$C$72,0))="","",INDEX('Decisions'!$G$2:$G$72,MATCH(C9,'Decisions'!$C$2:$C$72,0)))</x:f>
        <x:v>CHECK REVIEWER IDs</x:v>
      </x:c>
      <x:c r="H9" s="3" t="str">
        <x:f>IF(INDEX('Decisions'!$S$2:$S$72,MATCH(C9,'Decisions'!$C$2:$C$72,0))="","",INDEX('Decisions'!$S$2:$S$72,MATCH(C9,'Decisions'!$C$2:$C$72,0)))</x:f>
      </x:c>
      <x:c r="I9" s="3" t="str">
        <x:f>IF(INDEX('Decisions'!$Y$2:$Y$72,MATCH(C9,'Decisions'!$C$2:$C$72,0))="","",INDEX('Decisions'!$Y$2:$Y$72,MATCH(C9,'Decisions'!$C$2:$C$72,0)))</x:f>
        <x:v>not_applicable</x:v>
      </x:c>
      <x:c r="J9" s="3" t="str">
        <x:f>IF(INDEX('Decisions'!$X$2:$X$72,MATCH(C9,'Decisions'!$C$2:$C$72,0))="","",INDEX('Decisions'!$X$2:$X$72,MATCH(C9,'Decisions'!$C$2:$C$72,0)))</x:f>
        <x:v>not_applicable</x:v>
      </x:c>
      <x:c r="K9" s="3" t="str">
        <x:f>IF(INDEX('Decisions'!$Z$2:$Z$72,MATCH(C9,'Decisions'!$C$2:$C$72,0))="","",INDEX('Decisions'!$Z$2:$Z$72,MATCH(C9,'Decisions'!$C$2:$C$72,0)))</x:f>
      </x:c>
    </x:row>
    <x:row r="10" ht="90" customHeight="1">
      <x:c r="A10" s="6" t="n">
        <x:v>2019</x:v>
      </x:c>
      <x:c r="B10" s="6" t="str">
        <x:v>jama.2019.14231</x:v>
      </x:c>
      <x:c r="C10" s="6" t="str">
        <x:v>2019::jama.2019.14231::C001</x:v>
      </x:c>
      <x:c r="D10" s="6" t="str">
        <x:v>P_R</x:v>
      </x:c>
      <x:c r="E10" s="6" t="str">
        <x:v>Protocol matching direction conflicts with the final matched cohort</x:v>
      </x:c>
      <x:c r="F10" s="6" t="str">
        <x:v>The protocol’s sentence-level matching direction conflicts with the final article’s realized cohort counts and direction.</x:v>
      </x:c>
      <x:c r="G10" s="6" t="str">
        <x:f>IF(INDEX('Decisions'!$G$2:$G$72,MATCH(C10,'Decisions'!$C$2:$C$72,0))="","",INDEX('Decisions'!$G$2:$G$72,MATCH(C10,'Decisions'!$C$2:$C$72,0)))</x:f>
        <x:v>CHECK REVIEWER IDs</x:v>
      </x:c>
      <x:c r="H10" s="6" t="str">
        <x:f>IF(INDEX('Decisions'!$S$2:$S$72,MATCH(C10,'Decisions'!$C$2:$C$72,0))="","",INDEX('Decisions'!$S$2:$S$72,MATCH(C10,'Decisions'!$C$2:$C$72,0)))</x:f>
      </x:c>
      <x:c r="I10" s="6" t="str">
        <x:f>IF(INDEX('Decisions'!$Y$2:$Y$72,MATCH(C10,'Decisions'!$C$2:$C$72,0))="","",INDEX('Decisions'!$Y$2:$Y$72,MATCH(C10,'Decisions'!$C$2:$C$72,0)))</x:f>
        <x:v>not_applicable</x:v>
      </x:c>
      <x:c r="J10" s="6" t="str">
        <x:f>IF(INDEX('Decisions'!$X$2:$X$72,MATCH(C10,'Decisions'!$C$2:$C$72,0))="","",INDEX('Decisions'!$X$2:$X$72,MATCH(C10,'Decisions'!$C$2:$C$72,0)))</x:f>
        <x:v>not_applicable</x:v>
      </x:c>
      <x:c r="K10" s="6" t="str">
        <x:f>IF(INDEX('Decisions'!$Z$2:$Z$72,MATCH(C10,'Decisions'!$C$2:$C$72,0))="","",INDEX('Decisions'!$Z$2:$Z$72,MATCH(C10,'Decisions'!$C$2:$C$72,0)))</x:f>
      </x:c>
    </x:row>
    <x:row r="11" ht="90" customHeight="1">
      <x:c r="A11" s="3" t="n">
        <x:v>2019</x:v>
      </x:c>
      <x:c r="B11" s="3" t="str">
        <x:v>jama.2019.14901</x:v>
      </x:c>
      <x:c r="C11" s="3" t="str">
        <x:v>2019::jama.2019.14901::C002</x:v>
      </x:c>
      <x:c r="D11" s="3" t="str">
        <x:v>P_R</x:v>
      </x:c>
      <x:c r="E11" s="3" t="str">
        <x:v>Reintubation respiratory-acidosis cutoff differs between article and protocol</x:v>
      </x:c>
      <x:c r="F11" s="3"/>
      <x:c r="G11" s="3" t="str">
        <x:f>IF(INDEX('Decisions'!$G$2:$G$72,MATCH(C11,'Decisions'!$C$2:$C$72,0))="","",INDEX('Decisions'!$G$2:$G$72,MATCH(C11,'Decisions'!$C$2:$C$72,0)))</x:f>
        <x:v>CHECK REVIEWER IDs</x:v>
      </x:c>
      <x:c r="H11" s="3" t="str">
        <x:f>IF(INDEX('Decisions'!$S$2:$S$72,MATCH(C11,'Decisions'!$C$2:$C$72,0))="","",INDEX('Decisions'!$S$2:$S$72,MATCH(C11,'Decisions'!$C$2:$C$72,0)))</x:f>
      </x:c>
      <x:c r="I11" s="3" t="str">
        <x:f>IF(INDEX('Decisions'!$Y$2:$Y$72,MATCH(C11,'Decisions'!$C$2:$C$72,0))="","",INDEX('Decisions'!$Y$2:$Y$72,MATCH(C11,'Decisions'!$C$2:$C$72,0)))</x:f>
        <x:v>not_applicable</x:v>
      </x:c>
      <x:c r="J11" s="3" t="str">
        <x:f>IF(INDEX('Decisions'!$X$2:$X$72,MATCH(C11,'Decisions'!$C$2:$C$72,0))="","",INDEX('Decisions'!$X$2:$X$72,MATCH(C11,'Decisions'!$C$2:$C$72,0)))</x:f>
        <x:v>not_applicable</x:v>
      </x:c>
      <x:c r="K11" s="3" t="str">
        <x:f>IF(INDEX('Decisions'!$Z$2:$Z$72,MATCH(C11,'Decisions'!$C$2:$C$72,0))="","",INDEX('Decisions'!$Z$2:$Z$72,MATCH(C11,'Decisions'!$C$2:$C$72,0)))</x:f>
      </x:c>
    </x:row>
    <x:row r="12" ht="90" customHeight="1">
      <x:c r="A12" s="6" t="n">
        <x:v>2019</x:v>
      </x:c>
      <x:c r="B12" s="6" t="str">
        <x:v>jama.2019.14901</x:v>
      </x:c>
      <x:c r="C12" s="6" t="str">
        <x:v>2019::jama.2019.14901::C006</x:v>
      </x:c>
      <x:c r="D12" s="6" t="str">
        <x:v>P_P</x:v>
      </x:c>
      <x:c r="E12" s="6" t="str">
        <x:v>Protocol total-duration breakdown does not arithmetically reach the printed total</x:v>
      </x:c>
      <x:c r="F12" s="6"/>
      <x:c r="G12" s="6" t="str">
        <x:f>IF(INDEX('Decisions'!$G$2:$G$72,MATCH(C12,'Decisions'!$C$2:$C$72,0))="","",INDEX('Decisions'!$G$2:$G$72,MATCH(C12,'Decisions'!$C$2:$C$72,0)))</x:f>
        <x:v>CHECK REVIEWER IDs</x:v>
      </x:c>
      <x:c r="H12" s="6" t="str">
        <x:f>IF(INDEX('Decisions'!$S$2:$S$72,MATCH(C12,'Decisions'!$C$2:$C$72,0))="","",INDEX('Decisions'!$S$2:$S$72,MATCH(C12,'Decisions'!$C$2:$C$72,0)))</x:f>
      </x:c>
      <x:c r="I12" s="6" t="str">
        <x:f>IF(INDEX('Decisions'!$Y$2:$Y$72,MATCH(C12,'Decisions'!$C$2:$C$72,0))="","",INDEX('Decisions'!$Y$2:$Y$72,MATCH(C12,'Decisions'!$C$2:$C$72,0)))</x:f>
        <x:v>not_applicable</x:v>
      </x:c>
      <x:c r="J12" s="6" t="str">
        <x:f>IF(INDEX('Decisions'!$X$2:$X$72,MATCH(C12,'Decisions'!$C$2:$C$72,0))="","",INDEX('Decisions'!$X$2:$X$72,MATCH(C12,'Decisions'!$C$2:$C$72,0)))</x:f>
        <x:v>not_applicable</x:v>
      </x:c>
      <x:c r="K12" s="6" t="str">
        <x:f>IF(INDEX('Decisions'!$Z$2:$Z$72,MATCH(C12,'Decisions'!$C$2:$C$72,0))="","",INDEX('Decisions'!$Z$2:$Z$72,MATCH(C12,'Decisions'!$C$2:$C$72,0)))</x:f>
      </x:c>
    </x:row>
    <x:row r="13" ht="90" customHeight="1">
      <x:c r="A13" s="3" t="n">
        <x:v>2019</x:v>
      </x:c>
      <x:c r="B13" s="3" t="str">
        <x:v>jama.2019.17380</x:v>
      </x:c>
      <x:c r="C13" s="3" t="str">
        <x:v>2019::jama.2019.17380::C007</x:v>
      </x:c>
      <x:c r="D13" s="3" t="str">
        <x:v>P_R</x:v>
      </x:c>
      <x:c r="E13" s="3" t="str">
        <x:v>Imputation count differs between the analytic-plan addendum and article methods</x:v>
      </x:c>
      <x:c r="F13" s="3" t="str">
        <x:v>The analytic-plan addendum states 10 imputation data sets, whereas the article methods state implemented multiple imputation M=20.</x:v>
      </x:c>
      <x:c r="G13" s="3" t="str">
        <x:f>IF(INDEX('Decisions'!$G$2:$G$72,MATCH(C13,'Decisions'!$C$2:$C$72,0))="","",INDEX('Decisions'!$G$2:$G$72,MATCH(C13,'Decisions'!$C$2:$C$72,0)))</x:f>
        <x:v>CHECK REVIEWER IDs</x:v>
      </x:c>
      <x:c r="H13" s="3" t="str">
        <x:f>IF(INDEX('Decisions'!$S$2:$S$72,MATCH(C13,'Decisions'!$C$2:$C$72,0))="","",INDEX('Decisions'!$S$2:$S$72,MATCH(C13,'Decisions'!$C$2:$C$72,0)))</x:f>
      </x:c>
      <x:c r="I13" s="3" t="str">
        <x:f>IF(INDEX('Decisions'!$Y$2:$Y$72,MATCH(C13,'Decisions'!$C$2:$C$72,0))="","",INDEX('Decisions'!$Y$2:$Y$72,MATCH(C13,'Decisions'!$C$2:$C$72,0)))</x:f>
        <x:v>not_applicable</x:v>
      </x:c>
      <x:c r="J13" s="3" t="str">
        <x:f>IF(INDEX('Decisions'!$X$2:$X$72,MATCH(C13,'Decisions'!$C$2:$C$72,0))="","",INDEX('Decisions'!$X$2:$X$72,MATCH(C13,'Decisions'!$C$2:$C$72,0)))</x:f>
        <x:v>not_applicable</x:v>
      </x:c>
      <x:c r="K13" s="3" t="str">
        <x:f>IF(INDEX('Decisions'!$Z$2:$Z$72,MATCH(C13,'Decisions'!$C$2:$C$72,0))="","",INDEX('Decisions'!$Z$2:$Z$72,MATCH(C13,'Decisions'!$C$2:$C$72,0)))</x:f>
      </x:c>
    </x:row>
    <x:row r="14" ht="90" customHeight="1">
      <x:c r="A14" s="6" t="n">
        <x:v>2019</x:v>
      </x:c>
      <x:c r="B14" s="6" t="str">
        <x:v>jama.2019.2210</x:v>
      </x:c>
      <x:c r="C14" s="6" t="str">
        <x:v>2019::jama.2019.2210::C003</x:v>
      </x:c>
      <x:c r="D14" s="6" t="str">
        <x:v>P_P</x:v>
      </x:c>
      <x:c r="E14" s="6" t="str">
        <x:v>Final protocol gives different accrual stopping thresholds</x:v>
      </x:c>
      <x:c r="F14" s="6" t="str">
        <x:v>Two final-protocol passages state different literal enrollment stopping thresholds.</x:v>
      </x:c>
      <x:c r="G14" s="6" t="str">
        <x:f>IF(INDEX('Decisions'!$G$2:$G$72,MATCH(C14,'Decisions'!$C$2:$C$72,0))="","",INDEX('Decisions'!$G$2:$G$72,MATCH(C14,'Decisions'!$C$2:$C$72,0)))</x:f>
        <x:v>CHECK REVIEWER IDs</x:v>
      </x:c>
      <x:c r="H14" s="6" t="str">
        <x:f>IF(INDEX('Decisions'!$S$2:$S$72,MATCH(C14,'Decisions'!$C$2:$C$72,0))="","",INDEX('Decisions'!$S$2:$S$72,MATCH(C14,'Decisions'!$C$2:$C$72,0)))</x:f>
      </x:c>
      <x:c r="I14" s="6" t="str">
        <x:f>IF(INDEX('Decisions'!$Y$2:$Y$72,MATCH(C14,'Decisions'!$C$2:$C$72,0))="","",INDEX('Decisions'!$Y$2:$Y$72,MATCH(C14,'Decisions'!$C$2:$C$72,0)))</x:f>
        <x:v>not_applicable</x:v>
      </x:c>
      <x:c r="J14" s="6" t="str">
        <x:f>IF(INDEX('Decisions'!$X$2:$X$72,MATCH(C14,'Decisions'!$C$2:$C$72,0))="","",INDEX('Decisions'!$X$2:$X$72,MATCH(C14,'Decisions'!$C$2:$C$72,0)))</x:f>
        <x:v>not_applicable</x:v>
      </x:c>
      <x:c r="K14" s="6" t="str">
        <x:f>IF(INDEX('Decisions'!$Z$2:$Z$72,MATCH(C14,'Decisions'!$C$2:$C$72,0))="","",INDEX('Decisions'!$Z$2:$Z$72,MATCH(C14,'Decisions'!$C$2:$C$72,0)))</x:f>
      </x:c>
    </x:row>
    <x:row r="15" ht="90" customHeight="1">
      <x:c r="A15" s="3" t="n">
        <x:v>2019</x:v>
      </x:c>
      <x:c r="B15" s="3" t="str">
        <x:v>jama.2019.2210</x:v>
      </x:c>
      <x:c r="C15" s="3" t="str">
        <x:v>2019::jama.2019.2210::C004</x:v>
      </x:c>
      <x:c r="D15" s="3" t="str">
        <x:v>P_R</x:v>
      </x:c>
      <x:c r="E15" s="3" t="str">
        <x:v>Final protocol assigns de novo cancer incompatible endpoint labels</x:v>
      </x:c>
      <x:c r="F15" s="3" t="str">
        <x:v>The same de novo-cancer event is labelled not as an outcome, Tertiary outcome, and is reported in a safety-outcome table without a stated reconciliation.</x:v>
      </x:c>
      <x:c r="G15" s="3" t="str">
        <x:f>IF(INDEX('Decisions'!$G$2:$G$72,MATCH(C15,'Decisions'!$C$2:$C$72,0))="","",INDEX('Decisions'!$G$2:$G$72,MATCH(C15,'Decisions'!$C$2:$C$72,0)))</x:f>
        <x:v>CHECK REVIEWER IDs</x:v>
      </x:c>
      <x:c r="H15" s="3" t="str">
        <x:f>IF(INDEX('Decisions'!$S$2:$S$72,MATCH(C15,'Decisions'!$C$2:$C$72,0))="","",INDEX('Decisions'!$S$2:$S$72,MATCH(C15,'Decisions'!$C$2:$C$72,0)))</x:f>
      </x:c>
      <x:c r="I15" s="3" t="str">
        <x:f>IF(INDEX('Decisions'!$Y$2:$Y$72,MATCH(C15,'Decisions'!$C$2:$C$72,0))="","",INDEX('Decisions'!$Y$2:$Y$72,MATCH(C15,'Decisions'!$C$2:$C$72,0)))</x:f>
        <x:v>not_applicable</x:v>
      </x:c>
      <x:c r="J15" s="3" t="str">
        <x:f>IF(INDEX('Decisions'!$X$2:$X$72,MATCH(C15,'Decisions'!$C$2:$C$72,0))="","",INDEX('Decisions'!$X$2:$X$72,MATCH(C15,'Decisions'!$C$2:$C$72,0)))</x:f>
        <x:v>not_applicable</x:v>
      </x:c>
      <x:c r="K15" s="3" t="str">
        <x:f>IF(INDEX('Decisions'!$Z$2:$Z$72,MATCH(C15,'Decisions'!$C$2:$C$72,0))="","",INDEX('Decisions'!$Z$2:$Z$72,MATCH(C15,'Decisions'!$C$2:$C$72,0)))</x:f>
      </x:c>
    </x:row>
    <x:row r="16" ht="90" customHeight="1">
      <x:c r="A16" s="6" t="n">
        <x:v>2019</x:v>
      </x:c>
      <x:c r="B16" s="6" t="str">
        <x:v>jama.2019.2210</x:v>
      </x:c>
      <x:c r="C16" s="6" t="str">
        <x:v>2019::jama.2019.2210::C005</x:v>
      </x:c>
      <x:c r="D16" s="6" t="str">
        <x:v>P_P</x:v>
      </x:c>
      <x:c r="E16" s="6" t="str">
        <x:v>One final-protocol high-25(OH)D stratum label omits the boundary operator</x:v>
      </x:c>
      <x:c r="F16" s="6" t="str">
        <x:v>One protocol page gives high 25(OH)D as (40 ng/mL) without an operator, unlike later explicit &gt;40 ng/mL definitions.</x:v>
      </x:c>
      <x:c r="G16" s="6" t="str">
        <x:f>IF(INDEX('Decisions'!$G$2:$G$72,MATCH(C16,'Decisions'!$C$2:$C$72,0))="","",INDEX('Decisions'!$G$2:$G$72,MATCH(C16,'Decisions'!$C$2:$C$72,0)))</x:f>
        <x:v>CHECK REVIEWER IDs</x:v>
      </x:c>
      <x:c r="H16" s="6" t="str">
        <x:f>IF(INDEX('Decisions'!$S$2:$S$72,MATCH(C16,'Decisions'!$C$2:$C$72,0))="","",INDEX('Decisions'!$S$2:$S$72,MATCH(C16,'Decisions'!$C$2:$C$72,0)))</x:f>
      </x:c>
      <x:c r="I16" s="6" t="str">
        <x:f>IF(INDEX('Decisions'!$Y$2:$Y$72,MATCH(C16,'Decisions'!$C$2:$C$72,0))="","",INDEX('Decisions'!$Y$2:$Y$72,MATCH(C16,'Decisions'!$C$2:$C$72,0)))</x:f>
        <x:v>not_applicable</x:v>
      </x:c>
      <x:c r="J16" s="6" t="str">
        <x:f>IF(INDEX('Decisions'!$X$2:$X$72,MATCH(C16,'Decisions'!$C$2:$C$72,0))="","",INDEX('Decisions'!$X$2:$X$72,MATCH(C16,'Decisions'!$C$2:$C$72,0)))</x:f>
        <x:v>not_applicable</x:v>
      </x:c>
      <x:c r="K16" s="6" t="str">
        <x:f>IF(INDEX('Decisions'!$Z$2:$Z$72,MATCH(C16,'Decisions'!$C$2:$C$72,0))="","",INDEX('Decisions'!$Z$2:$Z$72,MATCH(C16,'Decisions'!$C$2:$C$72,0)))</x:f>
      </x:c>
    </x:row>
    <x:row r="17" ht="90" customHeight="1">
      <x:c r="A17" s="3" t="n">
        <x:v>2019</x:v>
      </x:c>
      <x:c r="B17" s="3" t="str">
        <x:v>jama.2019.2210</x:v>
      </x:c>
      <x:c r="C17" s="3" t="str">
        <x:v>2019::jama.2019.2210::C008</x:v>
      </x:c>
      <x:c r="D17" s="3" t="str">
        <x:v>P_R</x:v>
      </x:c>
      <x:c r="E17" s="3" t="str">
        <x:v>Report and protocol use different time-origin labels despite a same-visit equivalence statement</x:v>
      </x:c>
      <x:c r="F17" s="3" t="str">
        <x:v>The report labels survival time from randomization while the final protocol labels it from starting supplementation; the article explicitly describes these as the same visit and treats them as equivalent, so no actual date difference is claimed.</x:v>
      </x:c>
      <x:c r="G17" s="3" t="str">
        <x:f>IF(INDEX('Decisions'!$G$2:$G$72,MATCH(C17,'Decisions'!$C$2:$C$72,0))="","",INDEX('Decisions'!$G$2:$G$72,MATCH(C17,'Decisions'!$C$2:$C$72,0)))</x:f>
        <x:v>CHECK REVIEWER IDs</x:v>
      </x:c>
      <x:c r="H17" s="3" t="str">
        <x:f>IF(INDEX('Decisions'!$S$2:$S$72,MATCH(C17,'Decisions'!$C$2:$C$72,0))="","",INDEX('Decisions'!$S$2:$S$72,MATCH(C17,'Decisions'!$C$2:$C$72,0)))</x:f>
      </x:c>
      <x:c r="I17" s="3" t="str">
        <x:f>IF(INDEX('Decisions'!$Y$2:$Y$72,MATCH(C17,'Decisions'!$C$2:$C$72,0))="","",INDEX('Decisions'!$Y$2:$Y$72,MATCH(C17,'Decisions'!$C$2:$C$72,0)))</x:f>
        <x:v>not_applicable</x:v>
      </x:c>
      <x:c r="J17" s="3" t="str">
        <x:f>IF(INDEX('Decisions'!$X$2:$X$72,MATCH(C17,'Decisions'!$C$2:$C$72,0))="","",INDEX('Decisions'!$X$2:$X$72,MATCH(C17,'Decisions'!$C$2:$C$72,0)))</x:f>
        <x:v>not_applicable</x:v>
      </x:c>
      <x:c r="K17" s="3" t="str">
        <x:f>IF(INDEX('Decisions'!$Z$2:$Z$72,MATCH(C17,'Decisions'!$C$2:$C$72,0))="","",INDEX('Decisions'!$Z$2:$Z$72,MATCH(C17,'Decisions'!$C$2:$C$72,0)))</x:f>
      </x:c>
    </x:row>
    <x:row r="18" ht="90" customHeight="1">
      <x:c r="A18" s="6" t="n">
        <x:v>2019</x:v>
      </x:c>
      <x:c r="B18" s="6" t="str">
        <x:v>jama.2019.4755</x:v>
      </x:c>
      <x:c r="C18" s="6" t="str">
        <x:v>2019::jama.2019.4755::C005</x:v>
      </x:c>
      <x:c r="D18" s="6" t="str">
        <x:v>P_P</x:v>
      </x:c>
      <x:c r="E18" s="6" t="str">
        <x:v>One SAP occurrence omits the microgram prefix from the 10.2 cutoff</x:v>
      </x:c>
      <x:c r="F18" s="6" t="str">
        <x:v>One SAP sentence prints 17 μg Hb/g feces and 10.2 Hb/g feces, while matched occurrences specify the lower cutoff as 10.2 μg Hb/g feces.</x:v>
      </x:c>
      <x:c r="G18" s="6" t="str">
        <x:f>IF(INDEX('Decisions'!$G$2:$G$72,MATCH(C18,'Decisions'!$C$2:$C$72,0))="","",INDEX('Decisions'!$G$2:$G$72,MATCH(C18,'Decisions'!$C$2:$C$72,0)))</x:f>
        <x:v>CHECK REVIEWER IDs</x:v>
      </x:c>
      <x:c r="H18" s="6" t="str">
        <x:f>IF(INDEX('Decisions'!$S$2:$S$72,MATCH(C18,'Decisions'!$C$2:$C$72,0))="","",INDEX('Decisions'!$S$2:$S$72,MATCH(C18,'Decisions'!$C$2:$C$72,0)))</x:f>
      </x:c>
      <x:c r="I18" s="6" t="str">
        <x:f>IF(INDEX('Decisions'!$Y$2:$Y$72,MATCH(C18,'Decisions'!$C$2:$C$72,0))="","",INDEX('Decisions'!$Y$2:$Y$72,MATCH(C18,'Decisions'!$C$2:$C$72,0)))</x:f>
        <x:v>not_applicable</x:v>
      </x:c>
      <x:c r="J18" s="6" t="str">
        <x:f>IF(INDEX('Decisions'!$X$2:$X$72,MATCH(C18,'Decisions'!$C$2:$C$72,0))="","",INDEX('Decisions'!$X$2:$X$72,MATCH(C18,'Decisions'!$C$2:$C$72,0)))</x:f>
        <x:v>not_applicable</x:v>
      </x:c>
      <x:c r="K18" s="6" t="str">
        <x:f>IF(INDEX('Decisions'!$Z$2:$Z$72,MATCH(C18,'Decisions'!$C$2:$C$72,0))="","",INDEX('Decisions'!$Z$2:$Z$72,MATCH(C18,'Decisions'!$C$2:$C$72,0)))</x:f>
      </x:c>
    </x:row>
    <x:row r="19" ht="90" customHeight="1">
      <x:c r="A19" s="3" t="n">
        <x:v>2019</x:v>
      </x:c>
      <x:c r="B19" s="3" t="str">
        <x:v>jama.2019.7505</x:v>
      </x:c>
      <x:c r="C19" s="3" t="str">
        <x:v>2019::jama.2019.7505::C003</x:v>
      </x:c>
      <x:c r="D19" s="3" t="str">
        <x:v>P_P</x:v>
      </x:c>
      <x:c r="E19" s="3" t="str">
        <x:v>Protocol analysis sentence combines odds-ratio and relative-risk labels</x:v>
      </x:c>
      <x:c r="F19" s="3" t="str">
        <x:v>A protocol planned-analysis sentence joins “odds ratio” and “relative risks” without a separator, alternative-analysis definition, or conversion rule, while the final SAP specifies a primary risk ratio.</x:v>
      </x:c>
      <x:c r="G19" s="3" t="str">
        <x:f>IF(INDEX('Decisions'!$G$2:$G$72,MATCH(C19,'Decisions'!$C$2:$C$72,0))="","",INDEX('Decisions'!$G$2:$G$72,MATCH(C19,'Decisions'!$C$2:$C$72,0)))</x:f>
        <x:v>CHECK REVIEWER IDs</x:v>
      </x:c>
      <x:c r="H19" s="3" t="str">
        <x:f>IF(INDEX('Decisions'!$S$2:$S$72,MATCH(C19,'Decisions'!$C$2:$C$72,0))="","",INDEX('Decisions'!$S$2:$S$72,MATCH(C19,'Decisions'!$C$2:$C$72,0)))</x:f>
      </x:c>
      <x:c r="I19" s="3" t="str">
        <x:f>IF(INDEX('Decisions'!$Y$2:$Y$72,MATCH(C19,'Decisions'!$C$2:$C$72,0))="","",INDEX('Decisions'!$Y$2:$Y$72,MATCH(C19,'Decisions'!$C$2:$C$72,0)))</x:f>
        <x:v>not_applicable</x:v>
      </x:c>
      <x:c r="J19" s="3" t="str">
        <x:f>IF(INDEX('Decisions'!$X$2:$X$72,MATCH(C19,'Decisions'!$C$2:$C$72,0))="","",INDEX('Decisions'!$X$2:$X$72,MATCH(C19,'Decisions'!$C$2:$C$72,0)))</x:f>
        <x:v>not_applicable</x:v>
      </x:c>
      <x:c r="K19" s="3" t="str">
        <x:f>IF(INDEX('Decisions'!$Z$2:$Z$72,MATCH(C19,'Decisions'!$C$2:$C$72,0))="","",INDEX('Decisions'!$Z$2:$Z$72,MATCH(C19,'Decisions'!$C$2:$C$72,0)))</x:f>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44" hidden="0" customWidth="1"/>
    <x:col min="8" max="8" width="26" hidden="0" customWidth="1"/>
    <x:col min="9" max="9" width="75" hidden="0" customWidth="1"/>
    <x:col min="10" max="10" width="26" hidden="0" customWidth="1"/>
    <x:col min="11" max="11" width="26" hidden="0" customWidth="1"/>
    <x:col min="12" max="12" width="26" hidden="0" customWidth="1"/>
    <x:col min="13" max="13" width="26" hidden="0" customWidth="1"/>
    <x:col min="14" max="14" width="80" hidden="0" customWidth="1"/>
    <x:col min="15" max="15" width="26" hidden="0" customWidth="1"/>
    <x:col min="16" max="16" width="26" hidden="0" customWidth="1"/>
    <x:col min="17" max="17" width="26" hidden="0" customWidth="1"/>
    <x:col min="18" max="18" width="26" hidden="0" customWidth="1"/>
    <x:col min="19" max="19" width="90" hidden="0" customWidth="1"/>
    <x:col min="20" max="20" width="26" hidden="0" customWidth="1"/>
    <x:col min="21" max="21" width="26" hidden="0" customWidth="1"/>
    <x:col min="22" max="22" width="26" hidden="0" customWidth="1"/>
    <x:col min="23" max="23" width="65" hidden="0" customWidth="1"/>
    <x:col min="24" max="24" width="26" hidden="0" customWidth="1"/>
    <x:col min="25" max="25" width="26" hidden="0" customWidth="1"/>
    <x:col min="26" max="26" width="26" hidden="0" customWidth="1"/>
    <x:col min="27" max="27" width="26" hidden="0" customWidth="1"/>
    <x:col min="28" max="28" width="26" hidden="0" customWidth="1"/>
  </x:cols>
  <x:sheetData>
    <x:row r="1" ht="42" customHeight="1">
      <x:c r="A1" s="5" t="str">
        <x:v>additionalSensitivityExclude</x:v>
      </x:c>
      <x:c r="B1" s="5" t="str">
        <x:v>ambiguity</x:v>
      </x:c>
      <x:c r="C1" s="5" t="str">
        <x:v>broadPlanInvolved</x:v>
      </x:c>
      <x:c r="D1" s="5" t="str">
        <x:v>category</x:v>
      </x:c>
      <x:c r="E1" s="5" t="str">
        <x:v>currentReportCrossDocument</x:v>
      </x:c>
      <x:c r="F1" s="5" t="str">
        <x:v>id</x:v>
      </x:c>
      <x:c r="G1" s="5" t="str">
        <x:v>key</x:v>
      </x:c>
      <x:c r="H1" s="5" t="str">
        <x:v>legacyRelationship</x:v>
      </x:c>
      <x:c r="I1" s="5" t="str">
        <x:v>locations</x:v>
      </x:c>
      <x:c r="J1" s="5" t="str">
        <x:v>originalCrossDocument</x:v>
      </x:c>
      <x:c r="K1" s="5" t="str">
        <x:v>package</x:v>
      </x:c>
      <x:c r="L1" s="5" t="str">
        <x:v>planMechanism</x:v>
      </x:c>
      <x:c r="M1" s="5" t="str">
        <x:v>primary</x:v>
      </x:c>
      <x:c r="N1" s="5" t="str">
        <x:v>rationale</x:v>
      </x:c>
      <x:c r="O1" s="5" t="str">
        <x:v>reportHref</x:v>
      </x:c>
      <x:c r="P1" s="5" t="str">
        <x:v>reportPath</x:v>
      </x:c>
      <x:c r="Q1" s="5" t="str">
        <x:v>sourceId</x:v>
      </x:c>
      <x:c r="R1" s="5" t="str">
        <x:v>sourceStatus</x:v>
      </x:c>
      <x:c r="S1" s="5" t="str">
        <x:v>statement</x:v>
      </x:c>
      <x:c r="T1" s="5" t="str">
        <x:v>submissionInvolved</x:v>
      </x:c>
      <x:c r="U1" s="5" t="str">
        <x:v>subtype</x:v>
      </x:c>
      <x:c r="V1" s="5" t="str">
        <x:v>suggestedDomain</x:v>
      </x:c>
      <x:c r="W1" s="5" t="str">
        <x:v>title</x:v>
      </x:c>
      <x:c r="X1" s="5" t="str">
        <x:v>year</x:v>
      </x:c>
      <x:c r="Y1" s="5" t="str">
        <x:v>ai_source</x:v>
      </x:c>
      <x:c r="Z1" s="5" t="str">
        <x:v>ai_relationship</x:v>
      </x:c>
      <x:c r="AA1" s="5" t="str">
        <x:v>ai_domain</x:v>
      </x:c>
      <x:c r="AB1" s="5" t="str">
        <x:v>ai_disposition</x:v>
      </x:c>
    </x:row>
    <x:row r="2" ht="90" customHeight="1">
      <x:c r="A2" s="12" t="b">
        <x:v>0</x:v>
      </x:c>
      <x:c r="B2" s="6"/>
      <x:c r="C2" s="12" t="b">
        <x:v>0</x:v>
      </x:c>
      <x:c r="D2" s="6" t="str">
        <x:v>Measure, label, or scale inconsistency</x:v>
      </x:c>
      <x:c r="E2" s="12" t="b">
        <x:v>0</x:v>
      </x:c>
      <x:c r="F2" s="6" t="str">
        <x:v>C001</x:v>
      </x:c>
      <x:c r="G2" s="6" t="str">
        <x:v>2019::jama.2019.0556::C001</x:v>
      </x:c>
      <x:c r="H2" s="6"/>
      <x:c r="I2" s="6" t="str">
        <x:v>DOC-001 Table 2 — PDF p. 6; Figure 1 — PDF p. 3; Results — PDF p. 7.</x:v>
      </x:c>
      <x:c r="J2" s="12" t="b">
        <x:v>0</x:v>
      </x:c>
      <x:c r="K2" s="6" t="str">
        <x:v>jama.2019.0556</x:v>
      </x:c>
      <x:c r="L2" s="6"/>
      <x:c r="M2" s="6" t="str">
        <x:v>S_W</x:v>
      </x:c>
      <x:c r="N2" s="6" t="str">
        <x:v>Main Table 2 calls both 32/256 and 22/256 supplements without therapy, whereas its other footnote and Results identify 22/256 as supplements with therapy. The conflicting arm labels are within the article.</x:v>
      </x:c>
      <x:c r="O2" s="6" t="str">
        <x:v>../../2019/jama.2019.0556/.ai_paper_validation/final_report_1_4_1.html</x:v>
      </x:c>
      <x:c r="P2" s="6" t="str">
        <x:v>2019/jama.2019.0556/.ai_paper_validation/final_report_1_4_1.md</x:v>
      </x:c>
      <x:c r="Q2" s="6" t="str">
        <x:v>C001</x:v>
      </x:c>
      <x:c r="R2" s="6" t="str">
        <x:v>Pending Human Adjudication</x:v>
      </x:c>
      <x:c r="S2" s="6" t="str">
        <x:v>Table 2 footnote d assigns both event components to supplements without therapy, although the second component is elsewhere identified as supplements with therapy.</x:v>
      </x:c>
      <x:c r="T2" s="12" t="b">
        <x:v>1</x:v>
      </x:c>
      <x:c r="U2" s="6" t="str">
        <x:v>arm_label</x:v>
      </x:c>
      <x:c r="V2" s="6" t="str">
        <x:v>report_internal_inconsistency</x:v>
      </x:c>
      <x:c r="W2" s="6" t="str">
        <x:v>Table 2 footnote duplicates the supplements-without-therapy label</x:v>
      </x:c>
      <x:c r="X2" s="6" t="str">
        <x:v>2019</x:v>
      </x:c>
      <x:c r="Y2" s="6" t="str">
        <x:v>meta_report/consistency_reclassification_2026-09-04/reclassified_candidates.json</x:v>
      </x:c>
      <x:c r="Z2" s="6" t="str">
        <x:v>S_W</x:v>
      </x:c>
      <x:c r="AA2" s="6" t="str">
        <x:v>report_internal_inconsistency</x:v>
      </x:c>
      <x:c r="AB2" s="6" t="str">
        <x:v>retain</x:v>
      </x:c>
    </x:row>
    <x:row r="3" ht="90" customHeight="1">
      <x:c r="A3" s="11" t="b">
        <x:v>0</x:v>
      </x:c>
      <x:c r="B3" s="3" t="str">
        <x:v>Mixed main-versus-results-supplement and within-main relation. Results may be informal prose and there may be no observations exactly at 70%.</x:v>
      </x:c>
      <x:c r="C3" s="11" t="b">
        <x:v>0</x:v>
      </x:c>
      <x:c r="D3" s="3" t="str">
        <x:v>Measure, label, or scale inconsistency</x:v>
      </x:c>
      <x:c r="E3" s="11" t="b">
        <x:v>1</x:v>
      </x:c>
      <x:c r="F3" s="3" t="str">
        <x:v>C002</x:v>
      </x:c>
      <x:c r="G3" s="3" t="str">
        <x:v>2019::jama.2019.0556::C002</x:v>
      </x:c>
      <x:c r="H3" s="3"/>
      <x:c r="I3" s="3" t="str">
        <x:v>DOC-001 Methods — PDF p. 4; Results — PDF p. 6; DOC-004 eAppendix 8 — PDF p. 16; eAppendix 12 — PDF p. 22.</x:v>
      </x:c>
      <x:c r="J3" s="11" t="b">
        <x:v>0</x:v>
      </x:c>
      <x:c r="K3" s="3" t="str">
        <x:v>jama.2019.0556</x:v>
      </x:c>
      <x:c r="L3" s="3"/>
      <x:c r="M3" s="3" t="str">
        <x:v>S_C</x:v>
      </x:c>
      <x:c r="N3" s="3" t="str">
        <x:v>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x:v>
      </x:c>
      <x:c r="O3" s="3" t="str">
        <x:v>../../2019/jama.2019.0556/.ai_paper_validation/final_report_1_4_1.html</x:v>
      </x:c>
      <x:c r="P3" s="3" t="str">
        <x:v>2019/jama.2019.0556/.ai_paper_validation/final_report_1_4_1.md</x:v>
      </x:c>
      <x:c r="Q3" s="3" t="str">
        <x:v>C002</x:v>
      </x:c>
      <x:c r="R3" s="3" t="str">
        <x:v>Pending Human Adjudication</x:v>
      </x:c>
      <x:c r="S3" s="3" t="str">
        <x:v>The predefined and supplement cutoff is &gt;=70%, whereas Results describes adherence as “more than 70%.”</x:v>
      </x:c>
      <x:c r="T3" s="11" t="b">
        <x:v>1</x:v>
      </x:c>
      <x:c r="U3" s="3" t="str">
        <x:v>threshold_operator</x:v>
      </x:c>
      <x:c r="V3" s="3" t="str">
        <x:v>report_internal_inconsistency</x:v>
      </x:c>
      <x:c r="W3" s="3" t="str">
        <x:v>Supplement-adherence cutoff changes from inclusive to strict wording</x:v>
      </x:c>
      <x:c r="X3" s="3" t="str">
        <x:v>2019</x:v>
      </x:c>
      <x:c r="Y3" s="3" t="str">
        <x:v>meta_report/consistency_reclassification_2026-09-04/reclassified_candidates.json</x:v>
      </x:c>
      <x:c r="Z3" s="3" t="str">
        <x:v>S_C</x:v>
      </x:c>
      <x:c r="AA3" s="3" t="str">
        <x:v>report_internal_inconsistency</x:v>
      </x:c>
      <x:c r="AB3" s="3" t="str">
        <x:v>retain</x:v>
      </x:c>
    </x:row>
    <x:row r="4" ht="90" customHeight="1">
      <x:c r="A4" s="12" t="b">
        <x:v>0</x:v>
      </x:c>
      <x:c r="B4" s="6"/>
      <x:c r="C4" s="12" t="b">
        <x:v>0</x:v>
      </x:c>
      <x:c r="D4" s="6" t="str">
        <x:v>Measure, label, or scale inconsistency</x:v>
      </x:c>
      <x:c r="E4" s="12" t="b">
        <x:v>0</x:v>
      </x:c>
      <x:c r="F4" s="6" t="str">
        <x:v>C003</x:v>
      </x:c>
      <x:c r="G4" s="6" t="str">
        <x:v>2019::jama.2019.0556::C003</x:v>
      </x:c>
      <x:c r="H4" s="6"/>
      <x:c r="I4" s="6" t="str">
        <x:v>DOC-004 eAppendix 8 — PDF p. 16.</x:v>
      </x:c>
      <x:c r="J4" s="12" t="b">
        <x:v>0</x:v>
      </x:c>
      <x:c r="K4" s="6" t="str">
        <x:v>jama.2019.0556</x:v>
      </x:c>
      <x:c r="L4" s="6"/>
      <x:c r="M4" s="6" t="str">
        <x:v>S_W</x:v>
      </x:c>
      <x:c r="N4" s="6" t="str">
        <x:v>Results-supplement eAppendix 8 assigns asterisks on adherence rows to a Morisky note and leaves the kappa note without a double-marker target, all on one supplement page.</x:v>
      </x:c>
      <x:c r="O4" s="6" t="str">
        <x:v>../../2019/jama.2019.0556/.ai_paper_validation/final_report_1_4_1.html</x:v>
      </x:c>
      <x:c r="P4" s="6" t="str">
        <x:v>2019/jama.2019.0556/.ai_paper_validation/final_report_1_4_1.md</x:v>
      </x:c>
      <x:c r="Q4" s="6" t="str">
        <x:v>C003</x:v>
      </x:c>
      <x:c r="R4" s="6" t="str">
        <x:v>Pending Human Adjudication</x:v>
      </x:c>
      <x:c r="S4" s="6" t="str">
        <x:v>Visible asterisks attach to four adherence rows but the corresponding note defines Morisky score; the Morisky row is unmarked and the kappa note has no visible double-marker target.</x:v>
      </x:c>
      <x:c r="T4" s="12" t="b">
        <x:v>1</x:v>
      </x:c>
      <x:c r="U4" s="6" t="str">
        <x:v>footnote_mapping</x:v>
      </x:c>
      <x:c r="V4" s="6" t="str">
        <x:v>report_internal_inconsistency</x:v>
      </x:c>
      <x:c r="W4" s="6" t="str">
        <x:v>eAppendix 8 footnote markers point to unrelated adherence rows</x:v>
      </x:c>
      <x:c r="X4" s="6" t="str">
        <x:v>2019</x:v>
      </x:c>
      <x:c r="Y4" s="6" t="str">
        <x:v>meta_report/consistency_reclassification_2026-09-04/reclassified_candidates.json</x:v>
      </x:c>
      <x:c r="Z4" s="6" t="str">
        <x:v>S_W</x:v>
      </x:c>
      <x:c r="AA4" s="6" t="str">
        <x:v>report_internal_inconsistency</x:v>
      </x:c>
      <x:c r="AB4" s="6" t="str">
        <x:v>retain</x:v>
      </x:c>
    </x:row>
    <x:row r="5" ht="90" customHeight="1">
      <x:c r="A5" s="11" t="b">
        <x:v>0</x:v>
      </x:c>
      <x:c r="B5" s="3" t="str">
        <x:v>Zero may be fixed-precision rendering of a small positive P value; exact inferential implementation and display convention are absent.</x:v>
      </x:c>
      <x:c r="C5" s="11" t="b">
        <x:v>0</x:v>
      </x:c>
      <x:c r="D5" s="3" t="str">
        <x:v>Statistical reporting inconsistency</x:v>
      </x:c>
      <x:c r="E5" s="11" t="b">
        <x:v>0</x:v>
      </x:c>
      <x:c r="F5" s="3" t="str">
        <x:v>C004</x:v>
      </x:c>
      <x:c r="G5" s="3" t="str">
        <x:v>2019::jama.2019.0556::C004</x:v>
      </x:c>
      <x:c r="H5" s="3"/>
      <x:c r="I5" s="3" t="str">
        <x:v>DOC-004 eAppendix 10B — PDF p. 19.</x:v>
      </x:c>
      <x:c r="J5" s="11" t="b">
        <x:v>0</x:v>
      </x:c>
      <x:c r="K5" s="3" t="str">
        <x:v>jama.2019.0556</x:v>
      </x:c>
      <x:c r="L5" s="3"/>
      <x:c r="M5" s="3" t="str">
        <x:v>S_W</x:v>
      </x:c>
      <x:c r="N5" s="3" t="str">
        <x:v>The results supplement displays literal p=0 beside a nonzero coefficient and interval in its own eAppendix 10B. This is an internal statistical-display concern, with no competing protocol statement.</x:v>
      </x:c>
      <x:c r="O5" s="3" t="str">
        <x:v>../../2019/jama.2019.0556/.ai_paper_validation/final_report_1_4_1.html</x:v>
      </x:c>
      <x:c r="P5" s="3" t="str">
        <x:v>2019/jama.2019.0556/.ai_paper_validation/final_report_1_4_1.md</x:v>
      </x:c>
      <x:c r="Q5" s="3" t="str">
        <x:v>C004</x:v>
      </x:c>
      <x:c r="R5" s="3" t="str">
        <x:v>Pending Human Adjudication</x:v>
      </x:c>
      <x:c r="S5" s="3" t="str">
        <x:v>The baseline GAD-7 row displays p=0 without threshold notation or a rounding convention.</x:v>
      </x:c>
      <x:c r="T5" s="11" t="b">
        <x:v>1</x:v>
      </x:c>
      <x:c r="U5" s="3" t="str">
        <x:v>p_value_display</x:v>
      </x:c>
      <x:c r="V5" s="3" t="str">
        <x:v>statistical_results</x:v>
      </x:c>
      <x:c r="W5" s="3" t="str">
        <x:v>eAppendix 10 prints a literal P value of zero</x:v>
      </x:c>
      <x:c r="X5" s="3" t="str">
        <x:v>2019</x:v>
      </x:c>
      <x:c r="Y5" s="3" t="str">
        <x:v>meta_report/consistency_reclassification_2026-09-04/reclassified_candidates.json</x:v>
      </x:c>
      <x:c r="Z5" s="3" t="str">
        <x:v>S_W</x:v>
      </x:c>
      <x:c r="AA5" s="3" t="str">
        <x:v>statistical_results</x:v>
      </x:c>
      <x:c r="AB5" s="3" t="str">
        <x:v>retain</x:v>
      </x:c>
    </x:row>
    <x:row r="6" ht="90" customHeight="1">
      <x:c r="A6" s="12" t="b">
        <x:v>0</x:v>
      </x:c>
      <x:c r="B6" s="6" t="str">
        <x:v>392 could describe a marginal factorial quantity, but the sentence does not specify that unit.</x:v>
      </x:c>
      <x:c r="C6" s="12" t="b">
        <x:v>0</x:v>
      </x:c>
      <x:c r="D6" s="6" t="str">
        <x:v>Numeric or arithmetic inconsistency</x:v>
      </x:c>
      <x:c r="E6" s="12" t="b">
        <x:v>0</x:v>
      </x:c>
      <x:c r="F6" s="6" t="str">
        <x:v>C005</x:v>
      </x:c>
      <x:c r="G6" s="6" t="str">
        <x:v>2019::jama.2019.0556::C005</x:v>
      </x:c>
      <x:c r="H6" s="6"/>
      <x:c r="I6" s="6" t="str">
        <x:v>DOC-001 Sample Size — PDF p. 4.</x:v>
      </x:c>
      <x:c r="J6" s="12" t="b">
        <x:v>0</x:v>
      </x:c>
      <x:c r="K6" s="6" t="str">
        <x:v>jama.2019.0556</x:v>
      </x:c>
      <x:c r="L6" s="6"/>
      <x:c r="M6" s="6" t="str">
        <x:v>S_W</x:v>
      </x:c>
      <x:c r="N6" s="6" t="str">
        <x:v>The article calls 392 the required sample while saying 196 in each of four combinations (784). This is internal sample-size arithmetic, distinct from C007 comparing planning assumptions across documents.</x:v>
      </x:c>
      <x:c r="O6" s="6" t="str">
        <x:v>../../2019/jama.2019.0556/.ai_paper_validation/final_report_1_4_1.html</x:v>
      </x:c>
      <x:c r="P6" s="6" t="str">
        <x:v>2019/jama.2019.0556/.ai_paper_validation/final_report_1_4_1.md</x:v>
      </x:c>
      <x:c r="Q6" s="6" t="str">
        <x:v>C005</x:v>
      </x:c>
      <x:c r="R6" s="6" t="str">
        <x:v>Pending Human Adjudication</x:v>
      </x:c>
      <x:c r="S6" s="6" t="str">
        <x:v>The article says 392 participants were needed while parenthetically stating 196 in each of four combinations.</x:v>
      </x:c>
      <x:c r="T6" s="12" t="b">
        <x:v>1</x:v>
      </x:c>
      <x:c r="U6" s="6" t="str">
        <x:v>sample_size_arithmetic</x:v>
      </x:c>
      <x:c r="V6" s="6" t="str">
        <x:v>statistical_results</x:v>
      </x:c>
      <x:c r="W6" s="6" t="str">
        <x:v>Main-article sample-size total conflicts with four stated cell counts</x:v>
      </x:c>
      <x:c r="X6" s="6" t="str">
        <x:v>2019</x:v>
      </x:c>
      <x:c r="Y6" s="6" t="str">
        <x:v>meta_report/consistency_reclassification_2026-09-04/reclassified_candidates.json</x:v>
      </x:c>
      <x:c r="Z6" s="6" t="str">
        <x:v>S_W</x:v>
      </x:c>
      <x:c r="AA6" s="6" t="str">
        <x:v>statistical_results</x:v>
      </x:c>
      <x:c r="AB6" s="6" t="str">
        <x:v>retain</x:v>
      </x:c>
    </x:row>
    <x:row r="7" ht="90" customHeight="1">
      <x:c r="A7" s="11" t="b">
        <x:v>0</x:v>
      </x:c>
      <x:c r="B7" s="3" t="str">
        <x:v>The intended metric for 25% is not defined; C007 compares different documents and is not an exact duplicate.</x:v>
      </x:c>
      <x:c r="C7" s="11" t="b">
        <x:v>1</x:v>
      </x:c>
      <x:c r="D7" s="3" t="str">
        <x:v>Numeric or arithmetic inconsistency</x:v>
      </x:c>
      <x:c r="E7" s="11" t="b">
        <x:v>0</x:v>
      </x:c>
      <x:c r="F7" s="3" t="str">
        <x:v>C006</x:v>
      </x:c>
      <x:c r="G7" s="3" t="str">
        <x:v>2019::jama.2019.0556::C006</x:v>
      </x:c>
      <x:c r="H7" s="3"/>
      <x:c r="I7" s="3" t="str">
        <x:v>DOC-002 Sample Size — PDF p. 16.</x:v>
      </x:c>
      <x:c r="J7" s="11" t="b">
        <x:v>0</x:v>
      </x:c>
      <x:c r="K7" s="3" t="str">
        <x:v>jama.2019.0556</x:v>
      </x:c>
      <x:c r="L7" s="3"/>
      <x:c r="M7" s="3" t="str">
        <x:v>P_P</x:v>
      </x:c>
      <x:c r="N7" s="3" t="str">
        <x:v>One protocol paragraph calls 30% versus 15% incidence a 25% difference; the usual absolute and relative differences are 15 points and 50%. Both incompatible quantities are inside the protocol.</x:v>
      </x:c>
      <x:c r="O7" s="3" t="str">
        <x:v>../../2019/jama.2019.0556/.ai_paper_validation/final_report_1_4_1.html</x:v>
      </x:c>
      <x:c r="P7" s="3" t="str">
        <x:v>2019/jama.2019.0556/.ai_paper_validation/final_report_1_4_1.md</x:v>
      </x:c>
      <x:c r="Q7" s="3" t="str">
        <x:v>C006</x:v>
      </x:c>
      <x:c r="R7" s="3" t="str">
        <x:v>Pending Human Adjudication</x:v>
      </x:c>
      <x:c r="S7" s="3" t="str">
        <x:v>The protocol’s stated 25% difference does not reconcile with its displayed 30% control and 15% intervention incidences under ordinary absolute or relative metrics.</x:v>
      </x:c>
      <x:c r="T7" s="11" t="b">
        <x:v>0</x:v>
      </x:c>
      <x:c r="U7" s="3" t="str">
        <x:v>planned_effect_arithmetic</x:v>
      </x:c>
      <x:c r="V7" s="3" t="str">
        <x:v>plan_material</x:v>
      </x:c>
      <x:c r="W7" s="3" t="str">
        <x:v>Protocol calls a 30% versus 15% contrast a 25% difference</x:v>
      </x:c>
      <x:c r="X7" s="3" t="str">
        <x:v>2019</x:v>
      </x:c>
      <x:c r="Y7" s="3" t="str">
        <x:v>meta_report/consistency_reclassification_2026-09-04/reclassified_candidates.json</x:v>
      </x:c>
      <x:c r="Z7" s="3" t="str">
        <x:v>P_P</x:v>
      </x:c>
      <x:c r="AA7" s="3" t="str">
        <x:v>plan_material</x:v>
      </x:c>
      <x:c r="AB7" s="3" t="str">
        <x:v>retain</x:v>
      </x:c>
    </x:row>
    <x:row r="8" ht="90" customHeight="1">
      <x:c r="A8" s="12" t="b">
        <x:v>0</x:v>
      </x:c>
      <x:c r="B8" s="6" t="str">
        <x:v>Protocol version 7 is dated July 6, 2017; article refers to design-time assumptions. Different planning stages or an approved amendment remain possible. C005 and C006 are separate internal arithmetic defects.</x:v>
      </x:c>
      <x:c r="C8" s="12" t="b">
        <x:v>1</x:v>
      </x:c>
      <x:c r="D8" s="6" t="str">
        <x:v>Cross-document numeric inconsistency</x:v>
      </x:c>
      <x:c r="E8" s="12" t="b">
        <x:v>1</x:v>
      </x:c>
      <x:c r="F8" s="6" t="str">
        <x:v>C007</x:v>
      </x:c>
      <x:c r="G8" s="6" t="str">
        <x:v>2019::jama.2019.0556::C007</x:v>
      </x:c>
      <x:c r="H8" s="6"/>
      <x:c r="I8" s="6" t="str">
        <x:v>DOC-001 Sample Size — PDF p. 4; DOC-002 Sample Size — PDF p. 16; DOC-002 continuation — PDF p. 17.</x:v>
      </x:c>
      <x:c r="J8" s="12" t="b">
        <x:v>1</x:v>
      </x:c>
      <x:c r="K8" s="6" t="str">
        <x:v>jama.2019.0556</x:v>
      </x:c>
      <x:c r="L8" s="6" t="str">
        <x:v>analysis_specification</x:v>
      </x:c>
      <x:c r="M8" s="6" t="str">
        <x:v>P_R</x:v>
      </x:c>
      <x:c r="N8" s="6" t="str">
        <x:v>Article planning assumptions (active incidence 20%, 196 per combination, attrition 22%) differ from protocol assumptions (15%, 180 per group, dropout 20%), despite a shared 250-per-arm target. This is a direct report-versus-protocol comparison.</x:v>
      </x:c>
      <x:c r="O8" s="6" t="str">
        <x:v>../../2019/jama.2019.0556/.ai_paper_validation/final_report_1_4_1.html</x:v>
      </x:c>
      <x:c r="P8" s="6" t="str">
        <x:v>2019/jama.2019.0556/.ai_paper_validation/final_report_1_4_1.md</x:v>
      </x:c>
      <x:c r="Q8" s="6" t="str">
        <x:v>C007</x:v>
      </x:c>
      <x:c r="R8" s="6" t="str">
        <x:v>Pending Human Adjudication</x:v>
      </x:c>
      <x:c r="S8" s="6" t="str">
        <x:v>Matched enrollment-planning passages report different active event rates, uninflated sample quantities, and attrition assumptions.</x:v>
      </x:c>
      <x:c r="T8" s="12" t="b">
        <x:v>0</x:v>
      </x:c>
      <x:c r="U8" s="6" t="str">
        <x:v>sample_size_assumptions</x:v>
      </x:c>
      <x:c r="V8" s="6" t="str">
        <x:v>protocol_report</x:v>
      </x:c>
      <x:c r="W8" s="6" t="str">
        <x:v>Protocol and publication state different sample-size assumptions</x:v>
      </x:c>
      <x:c r="X8" s="6" t="str">
        <x:v>2019</x:v>
      </x:c>
      <x:c r="Y8" s="6" t="str">
        <x:v>meta_report/consistency_reclassification_2026-09-04/reclassified_candidates.json</x:v>
      </x:c>
      <x:c r="Z8" s="6" t="str">
        <x:v>P_R</x:v>
      </x:c>
      <x:c r="AA8" s="6" t="str">
        <x:v>protocol_report</x:v>
      </x:c>
      <x:c r="AB8" s="6" t="str">
        <x:v>retain</x:v>
      </x:c>
    </x:row>
    <x:row r="9" ht="90" customHeight="1">
      <x:c r="A9" s="11" t="b">
        <x:v>0</x:v>
      </x:c>
      <x:c r="B9" s="3" t="str">
        <x:v>The edition-label difference may be drafting residue without an operational diagnostic change.</x:v>
      </x:c>
      <x:c r="C9" s="11" t="b">
        <x:v>1</x:v>
      </x:c>
      <x:c r="D9" s="3" t="str">
        <x:v>Measure, label, or scale inconsistency</x:v>
      </x:c>
      <x:c r="E9" s="11" t="b">
        <x:v>0</x:v>
      </x:c>
      <x:c r="F9" s="3" t="str">
        <x:v>C008</x:v>
      </x:c>
      <x:c r="G9" s="3" t="str">
        <x:v>2019::jama.2019.0556::C008</x:v>
      </x:c>
      <x:c r="H9" s="3"/>
      <x:c r="I9" s="3" t="str">
        <x:v>DOC-002 endpoint summary — PDF p. 8; DOC-002 Methods 8.1.1 — PDF p. 28; DOC-001 Primary Outcome — PDF p. 4.</x:v>
      </x:c>
      <x:c r="J9" s="11" t="b">
        <x:v>0</x:v>
      </x:c>
      <x:c r="K9" s="3" t="str">
        <x:v>jama.2019.0556</x:v>
      </x:c>
      <x:c r="L9" s="3"/>
      <x:c r="M9" s="3" t="str">
        <x:v>P_P</x:v>
      </x:c>
      <x:c r="N9" s="3" t="str">
        <x:v>Protocol p8 specifies DSM-IV and p28 DSM-5 for the same MINI-assessed MDD endpoint and schedule. The article repeats DSM-IV as corroboration of one internal protocol label; the candidate targets the protocol internal inconsistency, not a report-versus-plan deviation.</x:v>
      </x:c>
      <x:c r="O9" s="3" t="str">
        <x:v>../../2019/jama.2019.0556/.ai_paper_validation/final_report_1_4_1.html</x:v>
      </x:c>
      <x:c r="P9" s="3" t="str">
        <x:v>2019/jama.2019.0556/.ai_paper_validation/final_report_1_4_1.md</x:v>
      </x:c>
      <x:c r="Q9" s="3" t="str">
        <x:v>C008</x:v>
      </x:c>
      <x:c r="R9" s="3" t="str">
        <x:v>Pending Human Adjudication</x:v>
      </x:c>
      <x:c r="S9" s="3" t="str">
        <x:v>The protocol names DSM-IV and DSM-5 for the same MINI-assessed 12-month MDD endpoint and schedule.</x:v>
      </x:c>
      <x:c r="T9" s="11" t="b">
        <x:v>0</x:v>
      </x:c>
      <x:c r="U9" s="3" t="str">
        <x:v>endpoint_measure_label</x:v>
      </x:c>
      <x:c r="V9" s="3" t="str">
        <x:v>plan_material</x:v>
      </x:c>
      <x:c r="W9" s="3" t="str">
        <x:v>Protocol uses incompatible DSM editions for the primary endpoint</x:v>
      </x:c>
      <x:c r="X9" s="3" t="str">
        <x:v>2019</x:v>
      </x:c>
      <x:c r="Y9" s="3" t="str">
        <x:v>meta_report/consistency_reclassification_2026-09-04/reclassified_candidates.json</x:v>
      </x:c>
      <x:c r="Z9" s="3" t="str">
        <x:v>P_P</x:v>
      </x:c>
      <x:c r="AA9" s="3" t="str">
        <x:v>plan_material</x:v>
      </x:c>
      <x:c r="AB9" s="3" t="str">
        <x:v>retain</x:v>
      </x:c>
    </x:row>
    <x:row r="10" ht="90" customHeight="1">
      <x:c r="A10" s="12" t="b">
        <x:v>0</x:v>
      </x:c>
      <x:c r="B10" s="6" t="str">
        <x:v>The local interaction rule does not establish the intended global equality boundary.</x:v>
      </x:c>
      <x:c r="C10" s="12" t="b">
        <x:v>1</x:v>
      </x:c>
      <x:c r="D10" s="6" t="str">
        <x:v>Statistical reporting inconsistency</x:v>
      </x:c>
      <x:c r="E10" s="12" t="b">
        <x:v>0</x:v>
      </x:c>
      <x:c r="F10" s="6" t="str">
        <x:v>C009</x:v>
      </x:c>
      <x:c r="G10" s="6" t="str">
        <x:v>2019::jama.2019.0556::C009</x:v>
      </x:c>
      <x:c r="H10" s="6"/>
      <x:c r="I10" s="6" t="str">
        <x:v>DOC-003 statistical analysis plan — PDF p. 3; local interaction rule — PDF p. 5.</x:v>
      </x:c>
      <x:c r="J10" s="12" t="b">
        <x:v>0</x:v>
      </x:c>
      <x:c r="K10" s="6" t="str">
        <x:v>jama.2019.0556</x:v>
      </x:c>
      <x:c r="L10" s="6"/>
      <x:c r="M10" s="6" t="str">
        <x:v>P_P</x:v>
      </x:c>
      <x:c r="N10" s="6" t="str">
        <x:v>The SAP global significance sentence prints p 0.05 without an operator, whereas a local rule in the same SAP prints p&lt;0.05. Both sides are plan text.</x:v>
      </x:c>
      <x:c r="O10" s="6" t="str">
        <x:v>../../2019/jama.2019.0556/.ai_paper_validation/final_report_1_4_1.html</x:v>
      </x:c>
      <x:c r="P10" s="6" t="str">
        <x:v>2019/jama.2019.0556/.ai_paper_validation/final_report_1_4_1.md</x:v>
      </x:c>
      <x:c r="Q10" s="6" t="str">
        <x:v>C009</x:v>
      </x:c>
      <x:c r="R10" s="6" t="str">
        <x:v>Pending Human Adjudication</x:v>
      </x:c>
      <x:c r="S10" s="6" t="str">
        <x:v>The statistical analysis plan prints p 0.05 for the two-sided significance threshold without an operator.</x:v>
      </x:c>
      <x:c r="T10" s="12" t="b">
        <x:v>0</x:v>
      </x:c>
      <x:c r="U10" s="6" t="str">
        <x:v>threshold_operator</x:v>
      </x:c>
      <x:c r="V10" s="6" t="str">
        <x:v>plan_material</x:v>
      </x:c>
      <x:c r="W10" s="6" t="str">
        <x:v>Analysis-plan significance threshold lacks a comparison operator</x:v>
      </x:c>
      <x:c r="X10" s="6" t="str">
        <x:v>2019</x:v>
      </x:c>
      <x:c r="Y10" s="6" t="str">
        <x:v>meta_report/consistency_reclassification_2026-09-04/reclassified_candidates.json</x:v>
      </x:c>
      <x:c r="Z10" s="6" t="str">
        <x:v>P_P</x:v>
      </x:c>
      <x:c r="AA10" s="6" t="str">
        <x:v>plan_material</x:v>
      </x:c>
      <x:c r="AB10" s="6" t="str">
        <x:v>retain</x:v>
      </x:c>
    </x:row>
    <x:row r="11" ht="90" customHeight="1">
      <x:c r="A11" s="11" t="b">
        <x:v>0</x:v>
      </x:c>
      <x:c r="B11" s="3" t="str">
        <x:v>Truncation, unprinted denominators, or a distinct estimator could explain the small difference.</x:v>
      </x:c>
      <x:c r="C11" s="11" t="b">
        <x:v>0</x:v>
      </x:c>
      <x:c r="D11" s="3" t="str">
        <x:v>Numeric or arithmetic inconsistency</x:v>
      </x:c>
      <x:c r="E11" s="11" t="b">
        <x:v>0</x:v>
      </x:c>
      <x:c r="F11" s="3" t="str">
        <x:v>C001</x:v>
      </x:c>
      <x:c r="G11" s="3" t="str">
        <x:v>2019::jama.2019.10517::C001</x:v>
      </x:c>
      <x:c r="H11" s="3"/>
      <x:c r="I11" s="3" t="str">
        <x:v>jama_flint_2019_oi_190079.pdf — PDF p. 9, Table 5, total-cholesterol and LDL rows.</x:v>
      </x:c>
      <x:c r="J11" s="11" t="b">
        <x:v>0</x:v>
      </x:c>
      <x:c r="K11" s="3" t="str">
        <x:v>jama.2019.10517</x:v>
      </x:c>
      <x:c r="L11" s="3"/>
      <x:c r="M11" s="3" t="str">
        <x:v>S_W</x:v>
      </x:c>
      <x:c r="N11" s="3" t="str">
        <x:v>Within main Table 5, 9/64 versus 6/62 yields 4.4 percentage points by ordinary one-decimal rounding, while two rows show 4.3. No plan comparator is involved.</x:v>
      </x:c>
      <x:c r="O11" s="3" t="str">
        <x:v>../../2019/jama.2019.10517/.ai_paper_validation/final_report_1_5_1.html</x:v>
      </x:c>
      <x:c r="P11" s="3" t="str">
        <x:v>2019/jama.2019.10517/.ai_paper_validation/final_report_1_5_1.md</x:v>
      </x:c>
      <x:c r="Q11" s="3" t="str">
        <x:v>C001</x:v>
      </x:c>
      <x:c r="R11" s="3" t="str">
        <x:v>Pending Human Adjudication</x:v>
      </x:c>
      <x:c r="S11" s="3" t="str">
        <x:v>Table 5 prints an absolute unadjusted difference of 4.3% for two rows whose displayed counts and percentages yield approximately 4.4 percentage points under the ordinary raw-proportion calculation and nearest one-decimal rounding. Pending Human Adjudication.</x:v>
      </x:c>
      <x:c r="T11" s="11" t="b">
        <x:v>1</x:v>
      </x:c>
      <x:c r="U11" s="3" t="str">
        <x:v>effect_arithmetic</x:v>
      </x:c>
      <x:c r="V11" s="3" t="str">
        <x:v>statistical_results</x:v>
      </x:c>
      <x:c r="W11" s="3" t="str">
        <x:v>Table 5 absolute difference does not reproduce from the displayed counts</x:v>
      </x:c>
      <x:c r="X11" s="3" t="str">
        <x:v>2019</x:v>
      </x:c>
      <x:c r="Y11" s="3" t="str">
        <x:v>meta_report/consistency_reclassification_2026-09-04/reclassified_candidates.json</x:v>
      </x:c>
      <x:c r="Z11" s="3" t="str">
        <x:v>S_W</x:v>
      </x:c>
      <x:c r="AA11" s="3" t="str">
        <x:v>statistical_results</x:v>
      </x:c>
      <x:c r="AB11" s="3" t="str">
        <x:v>retain</x:v>
      </x:c>
    </x:row>
    <x:row r="12" ht="90" customHeight="1">
      <x:c r="A12" s="12" t="b">
        <x:v>0</x:v>
      </x:c>
      <x:c r="B12" s="6" t="str">
        <x:v>Mixed cross-file and within-main unit comparisons; an undefined outcome transformation remains an alternative.</x:v>
      </x:c>
      <x:c r="C12" s="12" t="b">
        <x:v>0</x:v>
      </x:c>
      <x:c r="D12" s="6" t="str">
        <x:v>Measure, label, or scale inconsistency</x:v>
      </x:c>
      <x:c r="E12" s="12" t="b">
        <x:v>1</x:v>
      </x:c>
      <x:c r="F12" s="6" t="str">
        <x:v>C002</x:v>
      </x:c>
      <x:c r="G12" s="6" t="str">
        <x:v>2019::jama.2019.10517::C002</x:v>
      </x:c>
      <x:c r="H12" s="6"/>
      <x:c r="I12" s="6" t="str">
        <x:v>jama_flint_2019_oi_190079.pdf — PDF p. 1, abstract Results; jama_flint_2019_oi_190079.pdf — PDF p. 7, Secondary Outcomes; jama_flint_2019_oi_190079.pdf — PDF p. 8, Table 4; and joi190079supp2_prod.pdf — PDF p. 9, eFigure 8.</x:v>
      </x:c>
      <x:c r="J12" s="12" t="b">
        <x:v>0</x:v>
      </x:c>
      <x:c r="K12" s="6" t="str">
        <x:v>jama.2019.10517</x:v>
      </x:c>
      <x:c r="L12" s="6"/>
      <x:c r="M12" s="6" t="str">
        <x:v>S_C</x:v>
      </x:c>
      <x:c r="N12" s="6" t="str">
        <x:v>Main abstract/Results label the HbA1c interaction mg/dL while main Table 4 and the matched longitudinal figure in the results supplement label HbA1c percent. The card explicitly compares both report components, with an additional within-main unit mismatch.</x:v>
      </x:c>
      <x:c r="O12" s="6" t="str">
        <x:v>../../2019/jama.2019.10517/.ai_paper_validation/final_report_1_5_1.html</x:v>
      </x:c>
      <x:c r="P12" s="6" t="str">
        <x:v>2019/jama.2019.10517/.ai_paper_validation/final_report_1_5_1.md</x:v>
      </x:c>
      <x:c r="Q12" s="6" t="str">
        <x:v>C002</x:v>
      </x:c>
      <x:c r="R12" s="6" t="str">
        <x:v>Pending Human Adjudication</x:v>
      </x:c>
      <x:c r="S12" s="6" t="str">
        <x:v>The same HbA1c daily treatment-by-time estimate is labelled mg/dL in two main-article locations, whereas matched table and longitudinal figure displays label HbA1c as percent. Pending Human Adjudication.</x:v>
      </x:c>
      <x:c r="T12" s="12" t="b">
        <x:v>1</x:v>
      </x:c>
      <x:c r="U12" s="6" t="str">
        <x:v>unit_label</x:v>
      </x:c>
      <x:c r="V12" s="6" t="str">
        <x:v>report_internal_inconsistency</x:v>
      </x:c>
      <x:c r="W12" s="6" t="str">
        <x:v>HbA1c interaction is labelled with a concentration unit while matched displays use percent</x:v>
      </x:c>
      <x:c r="X12" s="6" t="str">
        <x:v>2019</x:v>
      </x:c>
      <x:c r="Y12" s="6" t="str">
        <x:v>meta_report/consistency_reclassification_2026-09-04/reclassified_candidates.json</x:v>
      </x:c>
      <x:c r="Z12" s="6" t="str">
        <x:v>S_C</x:v>
      </x:c>
      <x:c r="AA12" s="6" t="str">
        <x:v>report_internal_inconsistency</x:v>
      </x:c>
      <x:c r="AB12" s="6" t="str">
        <x:v>retain</x:v>
      </x:c>
    </x:row>
    <x:row r="13" ht="90" customHeight="1">
      <x:c r="A13" s="11" t="b">
        <x:v>0</x:v>
      </x:c>
      <x:c r="B13" s="3" t="str">
        <x:v>Earlier target, phase, or human-subjects subset is possible but not labelled in the compared passages.</x:v>
      </x:c>
      <x:c r="C13" s="11" t="b">
        <x:v>1</x:v>
      </x:c>
      <x:c r="D13" s="3" t="str">
        <x:v>Denominator, proportion, or total inconsistency</x:v>
      </x:c>
      <x:c r="E13" s="11" t="b">
        <x:v>0</x:v>
      </x:c>
      <x:c r="F13" s="3" t="str">
        <x:v>C003</x:v>
      </x:c>
      <x:c r="G13" s="3" t="str">
        <x:v>2019::jama.2019.10517::C003</x:v>
      </x:c>
      <x:c r="H13" s="3"/>
      <x:c r="I13" s="3" t="str">
        <x:v>joi190079supp1_prod.pdf — PDF p. 7, Figure 1 and Section 3.9.1; joi190079supp1_prod.pdf — PDF p. 17, Table 4; and joi190079supp1_prod.pdf — PDF p. 21, Section 4.2.1.</x:v>
      </x:c>
      <x:c r="J13" s="11" t="b">
        <x:v>0</x:v>
      </x:c>
      <x:c r="K13" s="3" t="str">
        <x:v>jama.2019.10517</x:v>
      </x:c>
      <x:c r="L13" s="3"/>
      <x:c r="M13" s="3" t="str">
        <x:v>P_P</x:v>
      </x:c>
      <x:c r="N13" s="3" t="str">
        <x:v>The same protocol/data-analytic-plan PDF specifies 98 acute recruits per site and 392 overall at four sites, but elsewhere says 82 per site (328). This is entirely inside the plan document.</x:v>
      </x:c>
      <x:c r="O13" s="3" t="str">
        <x:v>../../2019/jama.2019.10517/.ai_paper_validation/final_report_1_5_1.html</x:v>
      </x:c>
      <x:c r="P13" s="3" t="str">
        <x:v>2019/jama.2019.10517/.ai_paper_validation/final_report_1_5_1.md</x:v>
      </x:c>
      <x:c r="Q13" s="3" t="str">
        <x:v>C003</x:v>
      </x:c>
      <x:c r="R13" s="3" t="str">
        <x:v>Pending Human Adjudication</x:v>
      </x:c>
      <x:c r="S13" s="3" t="str">
        <x:v>Within the protocol/SAP, four sites recruiting 98 acute participants each reconcile with an acute total of 392, while another statement says each of four sites will recruit 82 patients without a stated population, phase, or version distinction. Pending Human Adjudication.</x:v>
      </x:c>
      <x:c r="T13" s="11" t="b">
        <x:v>0</x:v>
      </x:c>
      <x:c r="U13" s="3" t="str">
        <x:v>recruitment_denominator</x:v>
      </x:c>
      <x:c r="V13" s="3" t="str">
        <x:v>plan_material</x:v>
      </x:c>
      <x:c r="W13" s="3" t="str">
        <x:v>Protocol recruitment target conflicts between 82 and 98 participants per site</x:v>
      </x:c>
      <x:c r="X13" s="3" t="str">
        <x:v>2019</x:v>
      </x:c>
      <x:c r="Y13" s="3" t="str">
        <x:v>meta_report/consistency_reclassification_2026-09-04/reclassified_candidates.json</x:v>
      </x:c>
      <x:c r="Z13" s="3" t="str">
        <x:v>P_P</x:v>
      </x:c>
      <x:c r="AA13" s="3" t="str">
        <x:v>plan_material</x:v>
      </x:c>
      <x:c r="AB13" s="3" t="str">
        <x:v>retain</x:v>
      </x:c>
    </x:row>
    <x:row r="14" ht="90" customHeight="1">
      <x:c r="A14" s="12" t="b">
        <x:v>0</x:v>
      </x:c>
      <x:c r="B14" s="6" t="str">
        <x:v>Cohort applicability or an amendment could distinguish the July endpoint. Document role checked: the bundle cover explicitly identifies original protocol, final protocol, and changes; its protocols are written in MOP format and contain full trial design and endpoint definitions.</x:v>
      </x:c>
      <x:c r="C14" s="12" t="b">
        <x:v>1</x:v>
      </x:c>
      <x:c r="D14" s="6" t="str">
        <x:v>Numeric or arithmetic inconsistency</x:v>
      </x:c>
      <x:c r="E14" s="12" t="b">
        <x:v>0</x:v>
      </x:c>
      <x:c r="F14" s="6" t="str">
        <x:v>C001</x:v>
      </x:c>
      <x:c r="G14" s="6" t="str">
        <x:v>2019::jama.2019.12618::C001</x:v>
      </x:c>
      <x:c r="H14" s="6"/>
      <x:c r="I14" s="6" t="str">
        <x:v>joi190092supp2_prod.pdf — PDF p. 11, Table 1.</x:v>
      </x:c>
      <x:c r="J14" s="12" t="b">
        <x:v>0</x:v>
      </x:c>
      <x:c r="K14" s="6" t="str">
        <x:v>jama.2019.12618</x:v>
      </x:c>
      <x:c r="L14" s="6"/>
      <x:c r="M14" s="6" t="str">
        <x:v>P_P</x:v>
      </x:c>
      <x:c r="N14" s="6" t="str">
        <x:v>A protocol timeline prints final enrollment May 2015, six-month follow-up December 2015, and maximum 12-month-plus-window follow-up July 2015. The ordering and implied June 2016 end conflict inside the protocol.</x:v>
      </x:c>
      <x:c r="O14" s="6" t="str">
        <x:v>../../2019/jama.2019.12618/.ai_paper_validation/final_report_1_5_1.html</x:v>
      </x:c>
      <x:c r="P14" s="6" t="str">
        <x:v>2019/jama.2019.12618/.ai_paper_validation/final_report_1_5_1.md</x:v>
      </x:c>
      <x:c r="Q14" s="6" t="str">
        <x:v>C001</x:v>
      </x:c>
      <x:c r="R14" s="6" t="str">
        <x:v>Pending Human Adjudication</x:v>
      </x:c>
      <x:c r="S14" s="6" t="str">
        <x:v>Pending Human Adjudication: the printed protocol timeline has a maximum 12-month follow-up plus a one-month window ending before both the implied endpoint for the final enrollment month and the printed shorter follow-up endpoint.</x:v>
      </x:c>
      <x:c r="T14" s="12" t="b">
        <x:v>0</x:v>
      </x:c>
      <x:c r="U14" s="6" t="str">
        <x:v>timeline_arithmetic</x:v>
      </x:c>
      <x:c r="V14" s="6" t="str">
        <x:v>plan_material</x:v>
      </x:c>
      <x:c r="W14" s="6" t="str">
        <x:v>protocol timeline end date</x:v>
      </x:c>
      <x:c r="X14" s="6" t="str">
        <x:v>2019</x:v>
      </x:c>
      <x:c r="Y14" s="6" t="str">
        <x:v>meta_report/consistency_reclassification_2026-09-04/reclassified_candidates.json</x:v>
      </x:c>
      <x:c r="Z14" s="6" t="str">
        <x:v>P_P</x:v>
      </x:c>
      <x:c r="AA14" s="6" t="str">
        <x:v>plan_material</x:v>
      </x:c>
      <x:c r="AB14" s="6" t="str">
        <x:v>retain</x:v>
      </x:c>
    </x:row>
    <x:row r="15" ht="90" customHeight="1">
      <x:c r="A15" s="11" t="b">
        <x:v>0</x:v>
      </x:c>
      <x:c r="B15" s="3" t="str">
        <x:v>68 could be a narrower eligible subset than all 74 failures, without supplied arm-specific exclusions.</x:v>
      </x:c>
      <x:c r="C15" s="11" t="b">
        <x:v>0</x:v>
      </x:c>
      <x:c r="D15" s="3" t="str">
        <x:v>Denominator, proportion, or total inconsistency</x:v>
      </x:c>
      <x:c r="E15" s="11" t="b">
        <x:v>0</x:v>
      </x:c>
      <x:c r="F15" s="3" t="str">
        <x:v>C002</x:v>
      </x:c>
      <x:c r="G15" s="3" t="str">
        <x:v>2019::jama.2019.12618::C002</x:v>
      </x:c>
      <x:c r="H15" s="3"/>
      <x:c r="I15" s="3" t="str">
        <x:v>jama_rathinam_2019_oi_190092.pdf — PDF p. 7; jama_rathinam_2019_oi_190092.pdf — PDF p. 6, Table 2; jama_rathinam_2019_oi_190092.pdf — PDF p. 3, Figure 1.</x:v>
      </x:c>
      <x:c r="J15" s="11" t="b">
        <x:v>0</x:v>
      </x:c>
      <x:c r="K15" s="3" t="str">
        <x:v>jama.2019.12618</x:v>
      </x:c>
      <x:c r="L15" s="3"/>
      <x:c r="M15" s="3" t="str">
        <x:v>S_W</x:v>
      </x:c>
      <x:c r="N15" s="3" t="str">
        <x:v>Main Results calls 68 failures eligible while its switching fractions use 32+42=74; numerators sum correctly to 49. Article tables and flow provide the internal comparison.</x:v>
      </x:c>
      <x:c r="O15" s="3" t="str">
        <x:v>../../2019/jama.2019.12618/.ai_paper_validation/final_report_1_5_1.html</x:v>
      </x:c>
      <x:c r="P15" s="3" t="str">
        <x:v>2019/jama.2019.12618/.ai_paper_validation/final_report_1_5_1.md</x:v>
      </x:c>
      <x:c r="Q15" s="3" t="str">
        <x:v>C002</x:v>
      </x:c>
      <x:c r="R15" s="3" t="str">
        <x:v>Pending Human Adjudication</x:v>
      </x:c>
      <x:c r="S15" s="3" t="str">
        <x:v>Pending Human Adjudication: the arm-specific switching denominators total 74 while the prose reports 49 of 68 eligible failures, although the switching numerators and individual percentages reconcile.</x:v>
      </x:c>
      <x:c r="T15" s="11" t="b">
        <x:v>1</x:v>
      </x:c>
      <x:c r="U15" s="3" t="str">
        <x:v>denominator_definition</x:v>
      </x:c>
      <x:c r="V15" s="3" t="str">
        <x:v>statistical_results</x:v>
      </x:c>
      <x:c r="W15" s="3" t="str">
        <x:v>eligible failure total vs switching denominators</x:v>
      </x:c>
      <x:c r="X15" s="3" t="str">
        <x:v>2019</x:v>
      </x:c>
      <x:c r="Y15" s="3" t="str">
        <x:v>meta_report/consistency_reclassification_2026-09-04/reclassified_candidates.json</x:v>
      </x:c>
      <x:c r="Z15" s="3" t="str">
        <x:v>S_W</x:v>
      </x:c>
      <x:c r="AA15" s="3" t="str">
        <x:v>statistical_results</x:v>
      </x:c>
      <x:c r="AB15" s="3" t="str">
        <x:v>retain</x:v>
      </x:c>
    </x:row>
    <x:row r="16" ht="90" customHeight="1">
      <x:c r="A16" s="12" t="b">
        <x:v>0</x:v>
      </x:c>
      <x:c r="B16" s="6" t="str">
        <x:v>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x:v>
      </x:c>
      <x:c r="C16" s="12" t="b">
        <x:v>1</x:v>
      </x:c>
      <x:c r="D16" s="6" t="str">
        <x:v>Cross-document numeric inconsistency</x:v>
      </x:c>
      <x:c r="E16" s="12" t="b">
        <x:v>1</x:v>
      </x:c>
      <x:c r="F16" s="6" t="str">
        <x:v>C003</x:v>
      </x:c>
      <x:c r="G16" s="6" t="str">
        <x:v>2019::jama.2019.12618::C003</x:v>
      </x:c>
      <x:c r="H16" s="6"/>
      <x:c r="I16" s="6" t="str">
        <x:v>jama_rathinam_2019_oi_190092.pdf — PDF p. 2; joi190092supp2_prod.pdf — PDF p. 13; joi190092supp3_prod.pdf — PDF p. 9; joi190092supp3_prod.pdf — PDF pp. 49–50 and p. 50.</x:v>
      </x:c>
      <x:c r="J16" s="12" t="b">
        <x:v>1</x:v>
      </x:c>
      <x:c r="K16" s="6" t="str">
        <x:v>jama.2019.12618</x:v>
      </x:c>
      <x:c r="L16" s="6" t="str">
        <x:v>analysis_specification</x:v>
      </x:c>
      <x:c r="M16" s="6" t="str">
        <x:v>P_R</x:v>
      </x:c>
      <x:c r="N16" s="6" t="str">
        <x:v>Article block-size set {4,6} differs from the early protocol {4,6,8}. Later SAP 4/6 definitions support a possible version-specific explanation rather than an additional candidate discrepancy between plans.</x:v>
      </x:c>
      <x:c r="O16" s="6" t="str">
        <x:v>../../2019/jama.2019.12618/.ai_paper_validation/final_report_1_5_1.html</x:v>
      </x:c>
      <x:c r="P16" s="6" t="str">
        <x:v>2019/jama.2019.12618/.ai_paper_validation/final_report_1_5_1.md</x:v>
      </x:c>
      <x:c r="Q16" s="6" t="str">
        <x:v>C003</x:v>
      </x:c>
      <x:c r="R16" s="6" t="str">
        <x:v>Pending Human Adjudication</x:v>
      </x:c>
      <x:c r="S16" s="6" t="str">
        <x:v>Pending Human Adjudication: matched trial allocation descriptions list different possible block-size sets.</x:v>
      </x:c>
      <x:c r="T16" s="12" t="b">
        <x:v>0</x:v>
      </x:c>
      <x:c r="U16" s="6" t="str">
        <x:v>randomization_specification</x:v>
      </x:c>
      <x:c r="V16" s="6" t="str">
        <x:v>protocol_report</x:v>
      </x:c>
      <x:c r="W16" s="6" t="str">
        <x:v>allocation block sizes</x:v>
      </x:c>
      <x:c r="X16" s="6" t="str">
        <x:v>2019</x:v>
      </x:c>
      <x:c r="Y16" s="6" t="str">
        <x:v>meta_report/consistency_reclassification_2026-09-04/reclassified_candidates.json</x:v>
      </x:c>
      <x:c r="Z16" s="6" t="str">
        <x:v>P_R</x:v>
      </x:c>
      <x:c r="AA16" s="6" t="str">
        <x:v>protocol_report</x:v>
      </x:c>
      <x:c r="AB16" s="6" t="str">
        <x:v>retain</x:v>
      </x:c>
    </x:row>
    <x:row r="17" ht="90" customHeight="1">
      <x:c r="A17" s="11" t="b">
        <x:v>0</x:v>
      </x:c>
      <x:c r="B17" s="3" t="str">
        <x:v>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x:v>
      </x:c>
      <x:c r="C17" s="11" t="b">
        <x:v>1</x:v>
      </x:c>
      <x:c r="D17" s="3" t="str">
        <x:v>Cross-document numeric inconsistency</x:v>
      </x:c>
      <x:c r="E17" s="11" t="b">
        <x:v>1</x:v>
      </x:c>
      <x:c r="F17" s="3" t="str">
        <x:v>C004</x:v>
      </x:c>
      <x:c r="G17" s="3" t="str">
        <x:v>2019::jama.2019.12618::C004</x:v>
      </x:c>
      <x:c r="H17" s="3"/>
      <x:c r="I17" s="3" t="str">
        <x:v>jama_rathinam_2019_oi_190092.pdf — PDF p. 3; jama_rathinam_2019_oi_190092.pdf — PDF p. 6; joi190092supp2_prod.pdf — PDF p. 80, §2.5.1; joi190092supp3_prod.pdf — PDF p. 70.</x:v>
      </x:c>
      <x:c r="J17" s="11" t="b">
        <x:v>1</x:v>
      </x:c>
      <x:c r="K17" s="3" t="str">
        <x:v>jama.2019.12618</x:v>
      </x:c>
      <x:c r="L17" s="3" t="str">
        <x:v>endpoint_definition_window_hierarchy</x:v>
      </x:c>
      <x:c r="M17" s="3" t="str">
        <x:v>P_R</x:v>
      </x:c>
      <x:c r="N17" s="3" t="str">
        <x:v>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x:v>
      </x:c>
      <x:c r="O17" s="3" t="str">
        <x:v>../../2019/jama.2019.12618/.ai_paper_validation/final_report_1_5_1.html</x:v>
      </x:c>
      <x:c r="P17" s="3" t="str">
        <x:v>2019/jama.2019.12618/.ai_paper_validation/final_report_1_5_1.md</x:v>
      </x:c>
      <x:c r="Q17" s="3" t="str">
        <x:v>C004</x:v>
      </x:c>
      <x:c r="R17" s="3" t="str">
        <x:v>Pending Human Adjudication</x:v>
      </x:c>
      <x:c r="S17" s="3" t="str">
        <x:v>Pending Human Adjudication: the protocol manual includes a post-day-90 injection condition in six-month success, whereas the article's enumerated success definition omits it.</x:v>
      </x:c>
      <x:c r="T17" s="11" t="b">
        <x:v>0</x:v>
      </x:c>
      <x:c r="U17" s="3" t="str">
        <x:v>endpoint_criterion_omission</x:v>
      </x:c>
      <x:c r="V17" s="3" t="str">
        <x:v>protocol_report</x:v>
      </x:c>
      <x:c r="W17" s="3" t="str">
        <x:v>six-month success injection-after-90-days criterion</x:v>
      </x:c>
      <x:c r="X17" s="3" t="str">
        <x:v>2019</x:v>
      </x:c>
      <x:c r="Y17" s="3" t="str">
        <x:v>meta_report/consistency_reclassification_2026-09-04/reclassified_candidates.json</x:v>
      </x:c>
      <x:c r="Z17" s="3" t="str">
        <x:v>P_R</x:v>
      </x:c>
      <x:c r="AA17" s="3" t="str">
        <x:v>protocol_report</x:v>
      </x:c>
      <x:c r="AB17" s="3" t="str">
        <x:v>retain</x:v>
      </x:c>
    </x:row>
    <x:row r="18" ht="90" customHeight="1">
      <x:c r="A18" s="12" t="b">
        <x:v>0</x:v>
      </x:c>
      <x:c r="B18" s="6" t="str">
        <x:v>Row-specific N, SD meaning, transformation, or actual test output may differ from the reconstruction.</x:v>
      </x:c>
      <x:c r="C18" s="12" t="b">
        <x:v>0</x:v>
      </x:c>
      <x:c r="D18" s="6" t="str">
        <x:v>Statistical reporting inconsistency</x:v>
      </x:c>
      <x:c r="E18" s="12" t="b">
        <x:v>0</x:v>
      </x:c>
      <x:c r="F18" s="6" t="str">
        <x:v>C005</x:v>
      </x:c>
      <x:c r="G18" s="6" t="str">
        <x:v>2019::jama.2019.12618::C005</x:v>
      </x:c>
      <x:c r="H18" s="6"/>
      <x:c r="I18" s="6" t="str">
        <x:v>jama_rathinam_2019_oi_190092.pdf — PDF p. 4; jama_rathinam_2019_oi_190092.pdf — PDF p. 6, Table 2.</x:v>
      </x:c>
      <x:c r="J18" s="12" t="b">
        <x:v>0</x:v>
      </x:c>
      <x:c r="K18" s="6" t="str">
        <x:v>jama.2019.12618</x:v>
      </x:c>
      <x:c r="L18" s="6"/>
      <x:c r="M18" s="6" t="str">
        <x:v>S_W</x:v>
      </x:c>
      <x:c r="N18" s="6" t="str">
        <x:v>Main Table 2 missed-dose means, SDs and header Ns plus main Welch-test method produce a diagnostic P around .0094, unlike printed .87. All discrepant inputs and claimed method are within the article.</x:v>
      </x:c>
      <x:c r="O18" s="6" t="str">
        <x:v>../../2019/jama.2019.12618/.ai_paper_validation/final_report_1_5_1.html</x:v>
      </x:c>
      <x:c r="P18" s="6" t="str">
        <x:v>2019/jama.2019.12618/.ai_paper_validation/final_report_1_5_1.md</x:v>
      </x:c>
      <x:c r="Q18" s="6" t="str">
        <x:v>C005</x:v>
      </x:c>
      <x:c r="R18" s="6" t="str">
        <x:v>Pending Human Adjudication</x:v>
      </x:c>
      <x:c r="S18" s="6" t="str">
        <x:v>Pending Human Adjudication: the reported P=.87 is not compatible with a conventional two-sided Welch calculation from the displayed missed-dose summaries and header sample sizes, subject to unreported analytic details.</x:v>
      </x:c>
      <x:c r="T18" s="12" t="b">
        <x:v>1</x:v>
      </x:c>
      <x:c r="U18" s="6" t="str">
        <x:v>statistical_compatibility</x:v>
      </x:c>
      <x:c r="V18" s="6" t="str">
        <x:v>statistical_results</x:v>
      </x:c>
      <x:c r="W18" s="6" t="str">
        <x:v>missed-dose Welch P=.87 compatibility</x:v>
      </x:c>
      <x:c r="X18" s="6" t="str">
        <x:v>2019</x:v>
      </x:c>
      <x:c r="Y18" s="6" t="str">
        <x:v>meta_report/consistency_reclassification_2026-09-04/reclassified_candidates.json</x:v>
      </x:c>
      <x:c r="Z18" s="6" t="str">
        <x:v>S_W</x:v>
      </x:c>
      <x:c r="AA18" s="6" t="str">
        <x:v>statistical_results</x:v>
      </x:c>
      <x:c r="AB18" s="6" t="str">
        <x:v>retain</x:v>
      </x:c>
    </x:row>
    <x:row r="19" ht="90" customHeight="1">
      <x:c r="A19" s="11" t="b">
        <x:v>0</x:v>
      </x:c>
      <x:c r="B19" s="3" t="str">
        <x:v>The main footnote says one patient never received drug, so randomized header versus treated percentage convention may be intentional. Fatigue59(54.6) is internal only; eTable6 does not repeat it.</x:v>
      </x:c>
      <x:c r="C19" s="11" t="b">
        <x:v>0</x:v>
      </x:c>
      <x:c r="D19" s="3" t="str">
        <x:v>Cross-document numeric inconsistency</x:v>
      </x:c>
      <x:c r="E19" s="11" t="b">
        <x:v>1</x:v>
      </x:c>
      <x:c r="F19" s="3" t="str">
        <x:v>C006</x:v>
      </x:c>
      <x:c r="G19" s="3" t="str">
        <x:v>2019::jama.2019.12618::C006</x:v>
      </x:c>
      <x:c r="H19" s="3"/>
      <x:c r="I19" s="3" t="str">
        <x:v>jama_rathinam_2019_oi_190092.pdf — PDF p. 8, Table 3; joi190092supp1_prod.pdf — PDF p. 10, eTable 4; joi190092supp1_prod.pdf — PDF p. 11, eTable 5; joi190092supp1_prod.pdf — PDF p. 12, eTable 6.</x:v>
      </x:c>
      <x:c r="J19" s="11" t="b">
        <x:v>1</x:v>
      </x:c>
      <x:c r="K19" s="3" t="str">
        <x:v>jama.2019.12618</x:v>
      </x:c>
      <x:c r="L19" s="3"/>
      <x:c r="M19" s="3" t="str">
        <x:v>S_C</x:v>
      </x:c>
      <x:c r="N19" s="3" t="str">
        <x:v>Main adverse-event Table 3 labels MMF n109 whereas results-supplement eTables4–6 label treated N108; main count/percent cells also imply 108. The target includes cross-file header discrepancy and a within-main header-versus-percentage check.</x:v>
      </x:c>
      <x:c r="O19" s="3" t="str">
        <x:v>../../2019/jama.2019.12618/.ai_paper_validation/final_report_1_5_1.html</x:v>
      </x:c>
      <x:c r="P19" s="3" t="str">
        <x:v>2019/jama.2019.12618/.ai_paper_validation/final_report_1_5_1.md</x:v>
      </x:c>
      <x:c r="Q19" s="3" t="str">
        <x:v>C006</x:v>
      </x:c>
      <x:c r="R19" s="3" t="str">
        <x:v>Pending Human Adjudication</x:v>
      </x:c>
      <x:c r="S19" s="3" t="str">
        <x:v>Pending Human Adjudication: Main Table 3 uses an MMF header n=109 while its selected percentages reconcile to treated N=108, which matches Supplement 1 headers; the row-level denominator convention is implicit.</x:v>
      </x:c>
      <x:c r="T19" s="11" t="b">
        <x:v>1</x:v>
      </x:c>
      <x:c r="U19" s="3" t="str">
        <x:v>denominator_definition</x:v>
      </x:c>
      <x:c r="V19" s="3" t="str">
        <x:v>report_internal_inconsistency</x:v>
      </x:c>
      <x:c r="W19" s="3" t="str">
        <x:v>main Table 3 MMF n=109 header vs supplement N=108/percentages</x:v>
      </x:c>
      <x:c r="X19" s="3" t="str">
        <x:v>2019</x:v>
      </x:c>
      <x:c r="Y19" s="3" t="str">
        <x:v>meta_report/consistency_reclassification_2026-09-04/reclassified_candidates.json</x:v>
      </x:c>
      <x:c r="Z19" s="3" t="str">
        <x:v>S_C</x:v>
      </x:c>
      <x:c r="AA19" s="3" t="str">
        <x:v>report_internal_inconsistency</x:v>
      </x:c>
      <x:c r="AB19" s="3" t="str">
        <x:v>retain</x:v>
      </x:c>
    </x:row>
    <x:row r="20" ht="90" customHeight="1">
      <x:c r="A20" s="12" t="b">
        <x:v>0</x:v>
      </x:c>
      <x:c r="B20" s="6"/>
      <x:c r="C20" s="12" t="b">
        <x:v>0</x:v>
      </x:c>
      <x:c r="D20" s="6" t="str">
        <x:v>Denominator, proportion, or total inconsistency</x:v>
      </x:c>
      <x:c r="E20" s="12" t="b">
        <x:v>0</x:v>
      </x:c>
      <x:c r="F20" s="6" t="str">
        <x:v>C007</x:v>
      </x:c>
      <x:c r="G20" s="6" t="str">
        <x:v>2019::jama.2019.12618::C007</x:v>
      </x:c>
      <x:c r="H20" s="6"/>
      <x:c r="I20" s="6" t="str">
        <x:v>joi190092supp1_prod.pdf — PDF p. 15, eTable 9, MMF N=20, Serious Systemic diarrhea row.</x:v>
      </x:c>
      <x:c r="J20" s="12" t="b">
        <x:v>0</x:v>
      </x:c>
      <x:c r="K20" s="6" t="str">
        <x:v>jama.2019.12618</x:v>
      </x:c>
      <x:c r="L20" s="6"/>
      <x:c r="M20" s="6" t="str">
        <x:v>S_W</x:v>
      </x:c>
      <x:c r="N20" s="6" t="str">
        <x:v>One results-supplement eTable9 cell shows serious diarrhea1(3.4) in MMF N20; the same-table denominator gives5.0%. This is within one non-plan supplement.</x:v>
      </x:c>
      <x:c r="O20" s="6" t="str">
        <x:v>../../2019/jama.2019.12618/.ai_paper_validation/final_report_1_5_1.html</x:v>
      </x:c>
      <x:c r="P20" s="6" t="str">
        <x:v>2019/jama.2019.12618/.ai_paper_validation/final_report_1_5_1.md</x:v>
      </x:c>
      <x:c r="Q20" s="6" t="str">
        <x:v>C007</x:v>
      </x:c>
      <x:c r="R20" s="6" t="str">
        <x:v>Pending Human Adjudication</x:v>
      </x:c>
      <x:c r="S20" s="6" t="str">
        <x:v>Pending Human Adjudication: eTable 9 reports MMF N=20 and Serious Systemic diarrhea 1 (3.4), although the stated count-over-N rule yields 5.0% to one decimal.</x:v>
      </x:c>
      <x:c r="T20" s="12" t="b">
        <x:v>1</x:v>
      </x:c>
      <x:c r="U20" s="6" t="str">
        <x:v>count_percentage</x:v>
      </x:c>
      <x:c r="V20" s="6" t="str">
        <x:v>statistical_results</x:v>
      </x:c>
      <x:c r="W20" s="6" t="str">
        <x:v>eTable 9 MMF serious diarrhea 1 (3.4) vs N=20</x:v>
      </x:c>
      <x:c r="X20" s="6" t="str">
        <x:v>2019</x:v>
      </x:c>
      <x:c r="Y20" s="6" t="str">
        <x:v>meta_report/consistency_reclassification_2026-09-04/reclassified_candidates.json</x:v>
      </x:c>
      <x:c r="Z20" s="6" t="str">
        <x:v>S_W</x:v>
      </x:c>
      <x:c r="AA20" s="6" t="str">
        <x:v>statistical_results</x:v>
      </x:c>
      <x:c r="AB20" s="6" t="str">
        <x:v>retain</x:v>
      </x:c>
    </x:row>
    <x:row r="21" ht="90" customHeight="1">
      <x:c r="A21" s="11" t="b">
        <x:v>0</x:v>
      </x:c>
      <x:c r="B21" s="3" t="str">
        <x:v>A copied/abbreviated row label or an unprinted definition is possible; an unresolved eFigure2 footnote is not a second document.</x:v>
      </x:c>
      <x:c r="C21" s="11" t="b">
        <x:v>0</x:v>
      </x:c>
      <x:c r="D21" s="3" t="str">
        <x:v>Measure, label, or scale inconsistency</x:v>
      </x:c>
      <x:c r="E21" s="11" t="b">
        <x:v>0</x:v>
      </x:c>
      <x:c r="F21" s="3" t="str">
        <x:v>C008</x:v>
      </x:c>
      <x:c r="G21" s="3" t="str">
        <x:v>2019::jama.2019.12618::C008</x:v>
      </x:c>
      <x:c r="H21" s="3"/>
      <x:c r="I21" s="3" t="str">
        <x:v>joi190092supp1_prod.pdf — PDF p. 5, eTable 1; joi190092supp1_prod.pdf — PDF p. 14, eTable 8; joi190092supp1_prod.pdf — PDF p. 15, eTable 9.</x:v>
      </x:c>
      <x:c r="J21" s="11" t="b">
        <x:v>0</x:v>
      </x:c>
      <x:c r="K21" s="3" t="str">
        <x:v>jama.2019.12618</x:v>
      </x:c>
      <x:c r="L21" s="3"/>
      <x:c r="M21" s="3" t="str">
        <x:v>S_W</x:v>
      </x:c>
      <x:c r="N21" s="3" t="str">
        <x:v>Results-supplement eTable8 serious ocular hypertension row uses &gt;24mmHg while eTable1 defines serious cases as surgery-required and eTable9 uses that label. All compared eTables belong to the same results supplement.</x:v>
      </x:c>
      <x:c r="O21" s="3" t="str">
        <x:v>../../2019/jama.2019.12618/.ai_paper_validation/final_report_1_5_1.html</x:v>
      </x:c>
      <x:c r="P21" s="3" t="str">
        <x:v>2019/jama.2019.12618/.ai_paper_validation/final_report_1_5_1.md</x:v>
      </x:c>
      <x:c r="Q21" s="3" t="str">
        <x:v>C008</x:v>
      </x:c>
      <x:c r="R21" s="3" t="str">
        <x:v>Pending Human Adjudication</x:v>
      </x:c>
      <x:c r="S21" s="3" t="str">
        <x:v>Pending Human Adjudication: eTable 8 places “Ocular hypertension &gt;24mm Hg” in both non-serious and serious sections, whereas eTable 1 defines serious ocular hypertension as surgery required.</x:v>
      </x:c>
      <x:c r="T21" s="11" t="b">
        <x:v>1</x:v>
      </x:c>
      <x:c r="U21" s="3" t="str">
        <x:v>outcome_severity_label</x:v>
      </x:c>
      <x:c r="V21" s="3" t="str">
        <x:v>report_internal_inconsistency</x:v>
      </x:c>
      <x:c r="W21" s="3" t="str">
        <x:v>eTable 8 serious-ocular hypertension label vs eTable 1 surgery-required definition</x:v>
      </x:c>
      <x:c r="X21" s="3" t="str">
        <x:v>2019</x:v>
      </x:c>
      <x:c r="Y21" s="3" t="str">
        <x:v>meta_report/consistency_reclassification_2026-09-04/reclassified_candidates.json</x:v>
      </x:c>
      <x:c r="Z21" s="3" t="str">
        <x:v>S_W</x:v>
      </x:c>
      <x:c r="AA21" s="3" t="str">
        <x:v>report_internal_inconsistency</x:v>
      </x:c>
      <x:c r="AB21" s="3" t="str">
        <x:v>retain</x:v>
      </x:c>
    </x:row>
    <x:row r="22" ht="90" customHeight="1">
      <x:c r="A22" s="12" t="b">
        <x:v>0</x:v>
      </x:c>
      <x:c r="B22" s="6" t="str">
        <x:v>Protocol grammar may be inverted; implementation code and version history are absent.</x:v>
      </x:c>
      <x:c r="C22" s="12" t="b">
        <x:v>1</x:v>
      </x:c>
      <x:c r="D22" s="6" t="str">
        <x:v>Cross-document numeric inconsistency</x:v>
      </x:c>
      <x:c r="E22" s="12" t="b">
        <x:v>1</x:v>
      </x:c>
      <x:c r="F22" s="6" t="str">
        <x:v>C001</x:v>
      </x:c>
      <x:c r="G22" s="6" t="str">
        <x:v>2019::jama.2019.14231::C001</x:v>
      </x:c>
      <x:c r="H22" s="6"/>
      <x:c r="I22" s="6" t="str">
        <x:v>Main article — PDF p. 1, PDF p. 3, PDF p. 4; protocol — PDF p. 3.</x:v>
      </x:c>
      <x:c r="J22" s="12" t="b">
        <x:v>1</x:v>
      </x:c>
      <x:c r="K22" s="6" t="str">
        <x:v>jama.2019.14231</x:v>
      </x:c>
      <x:c r="L22" s="6" t="str">
        <x:v>analysis_specification</x:v>
      </x:c>
      <x:c r="M22" s="6" t="str">
        <x:v>P_R</x:v>
      </x:c>
      <x:c r="N22" s="6" t="str">
        <x:v>Protocol says one nonsurgical patient matched to five surgical patients; main report says the opposite, with2287 surgical and11435 nonsurgical patients confirming five controls per surgical patient.</x:v>
      </x:c>
      <x:c r="O22" s="6" t="str">
        <x:v>../../2019/jama.2019.14231/.ai_paper_validation/final_report_1_5_1.html</x:v>
      </x:c>
      <x:c r="P22" s="6" t="str">
        <x:v>2019/jama.2019.14231/.ai_paper_validation/final_report_1_5_1.md</x:v>
      </x:c>
      <x:c r="Q22" s="6" t="str">
        <x:v>C001</x:v>
      </x:c>
      <x:c r="R22" s="6" t="str">
        <x:v>Pending Human Adjudication</x:v>
      </x:c>
      <x:c r="S22" s="6" t="str">
        <x:v>The protocol’s sentence-level matching direction conflicts with the final article’s realized cohort counts and direction.</x:v>
      </x:c>
      <x:c r="T22" s="12" t="b">
        <x:v>0</x:v>
      </x:c>
      <x:c r="U22" s="6" t="str">
        <x:v>matching_direction</x:v>
      </x:c>
      <x:c r="V22" s="6" t="str">
        <x:v>protocol_report</x:v>
      </x:c>
      <x:c r="W22" s="6" t="str">
        <x:v>Protocol matching direction conflicts with the final matched cohort</x:v>
      </x:c>
      <x:c r="X22" s="6" t="str">
        <x:v>2019</x:v>
      </x:c>
      <x:c r="Y22" s="6" t="str">
        <x:v>meta_report/consistency_reclassification_2026-09-04/reclassified_candidates.json</x:v>
      </x:c>
      <x:c r="Z22" s="6" t="str">
        <x:v>P_R</x:v>
      </x:c>
      <x:c r="AA22" s="6" t="str">
        <x:v>protocol_report</x:v>
      </x:c>
      <x:c r="AB22" s="6" t="str">
        <x:v>retain</x:v>
      </x:c>
    </x:row>
    <x:row r="23" ht="90" customHeight="1">
      <x:c r="A23" s="11" t="b">
        <x:v>0</x:v>
      </x:c>
      <x:c r="B23" s="3" t="str">
        <x:v>A separate ARD point estimator may explain the discrepancy. Cross-source checker treats matching source displays as concordant; final recheck retains the internal point-estimator question, distinguishing bootstrapped CI from point estimation.</x:v>
      </x:c>
      <x:c r="C23" s="11" t="b">
        <x:v>0</x:v>
      </x:c>
      <x:c r="D23" s="3" t="str">
        <x:v>Numeric or arithmetic inconsistency</x:v>
      </x:c>
      <x:c r="E23" s="11" t="b">
        <x:v>0</x:v>
      </x:c>
      <x:c r="F23" s="3" t="str">
        <x:v>C002</x:v>
      </x:c>
      <x:c r="G23" s="3" t="str">
        <x:v>2019::jama.2019.14231::C002</x:v>
      </x:c>
      <x:c r="H23" s="3"/>
      <x:c r="I23" s="3" t="str">
        <x:v>Main article — PDF p. 4, PDF p. 7; Supplement 1 — PDF p. 7.</x:v>
      </x:c>
      <x:c r="J23" s="11" t="b">
        <x:v>0</x:v>
      </x:c>
      <x:c r="K23" s="3" t="str">
        <x:v>jama.2019.14231</x:v>
      </x:c>
      <x:c r="L23" s="3"/>
      <x:c r="M23" s="3" t="str">
        <x:v>S_W</x:v>
      </x:c>
      <x:c r="N23" s="3" t="str">
        <x:v>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x:v>
      </x:c>
      <x:c r="O23" s="3" t="str">
        <x:v>../../2019/jama.2019.14231/.ai_paper_validation/final_report_1_5_1.html</x:v>
      </x:c>
      <x:c r="P23" s="3" t="str">
        <x:v>2019/jama.2019.14231/.ai_paper_validation/final_report_1_5_1.md</x:v>
      </x:c>
      <x:c r="Q23" s="3" t="str">
        <x:v>C002</x:v>
      </x:c>
      <x:c r="R23" s="3" t="str">
        <x:v>Pending Human Adjudication</x:v>
      </x:c>
      <x:c r="S23" s="3" t="str">
        <x:v>The displayed control-minus-surgery heart-failure ARD does not reconcile with the displayed 8-year cumulative incidences.</x:v>
      </x:c>
      <x:c r="T23" s="11" t="b">
        <x:v>1</x:v>
      </x:c>
      <x:c r="U23" s="3" t="str">
        <x:v>effect_arithmetic</x:v>
      </x:c>
      <x:c r="V23" s="3" t="str">
        <x:v>statistical_results</x:v>
      </x:c>
      <x:c r="W23" s="3" t="str">
        <x:v>Heart-failure ARD does not reconcile with displayed 8-year incidences</x:v>
      </x:c>
      <x:c r="X23" s="3" t="str">
        <x:v>2019</x:v>
      </x:c>
      <x:c r="Y23" s="3" t="str">
        <x:v>meta_report/consistency_reclassification_2026-09-04/reclassified_candidates.json</x:v>
      </x:c>
      <x:c r="Z23" s="3" t="str">
        <x:v>S_W</x:v>
      </x:c>
      <x:c r="AA23" s="3" t="str">
        <x:v>statistical_results</x:v>
      </x:c>
      <x:c r="AB23" s="3" t="str">
        <x:v>retain</x:v>
      </x:c>
    </x:row>
    <x:row r="24" ht="90" customHeight="1">
      <x:c r="A24" s="12" t="b">
        <x:v>0</x:v>
      </x:c>
      <x:c r="B24" s="6" t="str">
        <x:v>A separate ARD point estimator may explain the discrepancy. Cross-source checker treats matching source displays as concordant; final recheck retains the internal point-estimator question, distinguishing bootstrapped CI from point estimation.</x:v>
      </x:c>
      <x:c r="C24" s="12" t="b">
        <x:v>0</x:v>
      </x:c>
      <x:c r="D24" s="6" t="str">
        <x:v>Numeric or arithmetic inconsistency</x:v>
      </x:c>
      <x:c r="E24" s="12" t="b">
        <x:v>0</x:v>
      </x:c>
      <x:c r="F24" s="6" t="str">
        <x:v>C003</x:v>
      </x:c>
      <x:c r="G24" s="6" t="str">
        <x:v>2019::jama.2019.14231::C003</x:v>
      </x:c>
      <x:c r="H24" s="6"/>
      <x:c r="I24" s="6" t="str">
        <x:v>Main article — PDF p. 4, PDF p. 7; Supplement 1 — PDF p. 7.</x:v>
      </x:c>
      <x:c r="J24" s="12" t="b">
        <x:v>0</x:v>
      </x:c>
      <x:c r="K24" s="6" t="str">
        <x:v>jama.2019.14231</x:v>
      </x:c>
      <x:c r="L24" s="6"/>
      <x:c r="M24" s="6" t="str">
        <x:v>S_W</x:v>
      </x:c>
      <x:c r="N24" s="6" t="str">
        <x:v>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x:v>
      </x:c>
      <x:c r="O24" s="6" t="str">
        <x:v>../../2019/jama.2019.14231/.ai_paper_validation/final_report_1_5_1.html</x:v>
      </x:c>
      <x:c r="P24" s="6" t="str">
        <x:v>2019/jama.2019.14231/.ai_paper_validation/final_report_1_5_1.md</x:v>
      </x:c>
      <x:c r="Q24" s="6" t="str">
        <x:v>C003</x:v>
      </x:c>
      <x:c r="R24" s="6" t="str">
        <x:v>Pending Human Adjudication</x:v>
      </x:c>
      <x:c r="S24" s="6" t="str">
        <x:v>The displayed control-minus-surgery coronary-disease ARD does not reconcile with the displayed 8-year cumulative incidences.</x:v>
      </x:c>
      <x:c r="T24" s="12" t="b">
        <x:v>1</x:v>
      </x:c>
      <x:c r="U24" s="6" t="str">
        <x:v>effect_arithmetic</x:v>
      </x:c>
      <x:c r="V24" s="6" t="str">
        <x:v>statistical_results</x:v>
      </x:c>
      <x:c r="W24" s="6" t="str">
        <x:v>Coronary-disease ARD does not reconcile with displayed 8-year incidences</x:v>
      </x:c>
      <x:c r="X24" s="6" t="str">
        <x:v>2019</x:v>
      </x:c>
      <x:c r="Y24" s="6" t="str">
        <x:v>meta_report/consistency_reclassification_2026-09-04/reclassified_candidates.json</x:v>
      </x:c>
      <x:c r="Z24" s="6" t="str">
        <x:v>S_W</x:v>
      </x:c>
      <x:c r="AA24" s="6" t="str">
        <x:v>statistical_results</x:v>
      </x:c>
      <x:c r="AB24" s="6" t="str">
        <x:v>retain</x:v>
      </x:c>
    </x:row>
    <x:row r="25" ht="90" customHeight="1">
      <x:c r="A25" s="11" t="b">
        <x:v>0</x:v>
      </x:c>
      <x:c r="B25" s="3" t="str">
        <x:v>A separate ARD point estimator may explain the discrepancy. Cross-source checker treats matching source displays as concordant; final recheck retains the internal point-estimator question, distinguishing bootstrapped CI from point estimation.</x:v>
      </x:c>
      <x:c r="C25" s="11" t="b">
        <x:v>0</x:v>
      </x:c>
      <x:c r="D25" s="3" t="str">
        <x:v>Numeric or arithmetic inconsistency</x:v>
      </x:c>
      <x:c r="E25" s="11" t="b">
        <x:v>0</x:v>
      </x:c>
      <x:c r="F25" s="3" t="str">
        <x:v>C004</x:v>
      </x:c>
      <x:c r="G25" s="3" t="str">
        <x:v>2019::jama.2019.14231::C004</x:v>
      </x:c>
      <x:c r="H25" s="3"/>
      <x:c r="I25" s="3" t="str">
        <x:v>Main article — PDF p. 4, PDF p. 7; Supplement 1 — PDF p. 7.</x:v>
      </x:c>
      <x:c r="J25" s="11" t="b">
        <x:v>0</x:v>
      </x:c>
      <x:c r="K25" s="3" t="str">
        <x:v>jama.2019.14231</x:v>
      </x:c>
      <x:c r="L25" s="3"/>
      <x:c r="M25" s="3" t="str">
        <x:v>S_W</x:v>
      </x:c>
      <x:c r="N25" s="3" t="str">
        <x:v>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x:v>
      </x:c>
      <x:c r="O25" s="3" t="str">
        <x:v>../../2019/jama.2019.14231/.ai_paper_validation/final_report_1_5_1.html</x:v>
      </x:c>
      <x:c r="P25" s="3" t="str">
        <x:v>2019/jama.2019.14231/.ai_paper_validation/final_report_1_5_1.md</x:v>
      </x:c>
      <x:c r="Q25" s="3" t="str">
        <x:v>C004</x:v>
      </x:c>
      <x:c r="R25" s="3" t="str">
        <x:v>Pending Human Adjudication</x:v>
      </x:c>
      <x:c r="S25" s="3" t="str">
        <x:v>The displayed control-minus-surgery cerebrovascular-disease ARD does not reconcile with the displayed 8-year cumulative incidences.</x:v>
      </x:c>
      <x:c r="T25" s="11" t="b">
        <x:v>1</x:v>
      </x:c>
      <x:c r="U25" s="3" t="str">
        <x:v>effect_arithmetic</x:v>
      </x:c>
      <x:c r="V25" s="3" t="str">
        <x:v>statistical_results</x:v>
      </x:c>
      <x:c r="W25" s="3" t="str">
        <x:v>Cerebrovascular-disease ARD does not reconcile with displayed 8-year incidences</x:v>
      </x:c>
      <x:c r="X25" s="3" t="str">
        <x:v>2019</x:v>
      </x:c>
      <x:c r="Y25" s="3" t="str">
        <x:v>meta_report/consistency_reclassification_2026-09-04/reclassified_candidates.json</x:v>
      </x:c>
      <x:c r="Z25" s="3" t="str">
        <x:v>S_W</x:v>
      </x:c>
      <x:c r="AA25" s="3" t="str">
        <x:v>statistical_results</x:v>
      </x:c>
      <x:c r="AB25" s="3" t="str">
        <x:v>retain</x:v>
      </x:c>
    </x:row>
    <x:row r="26" ht="90" customHeight="1">
      <x:c r="A26" s="12" t="b">
        <x:v>0</x:v>
      </x:c>
      <x:c r="B26" s="6" t="str">
        <x:v>A separate ARD point estimator may explain the discrepancy. Cross-source checker treats matching source displays as concordant; final recheck retains the internal point-estimator question, distinguishing bootstrapped CI from point estimation.</x:v>
      </x:c>
      <x:c r="C26" s="12" t="b">
        <x:v>0</x:v>
      </x:c>
      <x:c r="D26" s="6" t="str">
        <x:v>Numeric or arithmetic inconsistency</x:v>
      </x:c>
      <x:c r="E26" s="12" t="b">
        <x:v>0</x:v>
      </x:c>
      <x:c r="F26" s="6" t="str">
        <x:v>C005</x:v>
      </x:c>
      <x:c r="G26" s="6" t="str">
        <x:v>2019::jama.2019.14231::C005</x:v>
      </x:c>
      <x:c r="H26" s="6"/>
      <x:c r="I26" s="6" t="str">
        <x:v>Main article — PDF p. 4, PDF p. 7; Supplement 1 — PDF p. 7.</x:v>
      </x:c>
      <x:c r="J26" s="12" t="b">
        <x:v>0</x:v>
      </x:c>
      <x:c r="K26" s="6" t="str">
        <x:v>jama.2019.14231</x:v>
      </x:c>
      <x:c r="L26" s="6"/>
      <x:c r="M26" s="6" t="str">
        <x:v>S_W</x:v>
      </x:c>
      <x:c r="N26" s="6" t="str">
        <x:v>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x:v>
      </x:c>
      <x:c r="O26" s="6" t="str">
        <x:v>../../2019/jama.2019.14231/.ai_paper_validation/final_report_1_5_1.html</x:v>
      </x:c>
      <x:c r="P26" s="6" t="str">
        <x:v>2019/jama.2019.14231/.ai_paper_validation/final_report_1_5_1.md</x:v>
      </x:c>
      <x:c r="Q26" s="6" t="str">
        <x:v>C005</x:v>
      </x:c>
      <x:c r="R26" s="6" t="str">
        <x:v>Pending Human Adjudication</x:v>
      </x:c>
      <x:c r="S26" s="6" t="str">
        <x:v>The displayed control-minus-surgery nephropathy ARD does not reconcile with the displayed 8-year cumulative incidences.</x:v>
      </x:c>
      <x:c r="T26" s="12" t="b">
        <x:v>1</x:v>
      </x:c>
      <x:c r="U26" s="6" t="str">
        <x:v>effect_arithmetic</x:v>
      </x:c>
      <x:c r="V26" s="6" t="str">
        <x:v>statistical_results</x:v>
      </x:c>
      <x:c r="W26" s="6" t="str">
        <x:v>Nephropathy ARD does not reconcile with displayed 8-year incidences</x:v>
      </x:c>
      <x:c r="X26" s="6" t="str">
        <x:v>2019</x:v>
      </x:c>
      <x:c r="Y26" s="6" t="str">
        <x:v>meta_report/consistency_reclassification_2026-09-04/reclassified_candidates.json</x:v>
      </x:c>
      <x:c r="Z26" s="6" t="str">
        <x:v>S_W</x:v>
      </x:c>
      <x:c r="AA26" s="6" t="str">
        <x:v>statistical_results</x:v>
      </x:c>
      <x:c r="AB26" s="6" t="str">
        <x:v>retain</x:v>
      </x:c>
    </x:row>
    <x:row r="27" ht="90" customHeight="1">
      <x:c r="A27" s="11" t="b">
        <x:v>0</x:v>
      </x:c>
      <x:c r="B27" s="3" t="str">
        <x:v>A separate ARD point estimator may explain the discrepancy. Cross-source checker treats matching source displays as concordant; final recheck retains the internal point-estimator question, distinguishing bootstrapped CI from point estimation.</x:v>
      </x:c>
      <x:c r="C27" s="11" t="b">
        <x:v>0</x:v>
      </x:c>
      <x:c r="D27" s="3" t="str">
        <x:v>Numeric or arithmetic inconsistency</x:v>
      </x:c>
      <x:c r="E27" s="11" t="b">
        <x:v>0</x:v>
      </x:c>
      <x:c r="F27" s="3" t="str">
        <x:v>C006</x:v>
      </x:c>
      <x:c r="G27" s="3" t="str">
        <x:v>2019::jama.2019.14231::C006</x:v>
      </x:c>
      <x:c r="H27" s="3"/>
      <x:c r="I27" s="3" t="str">
        <x:v>Main article — PDF p. 4, PDF p. 7; Supplement 1 — PDF p. 7.</x:v>
      </x:c>
      <x:c r="J27" s="11" t="b">
        <x:v>0</x:v>
      </x:c>
      <x:c r="K27" s="3" t="str">
        <x:v>jama.2019.14231</x:v>
      </x:c>
      <x:c r="L27" s="3"/>
      <x:c r="M27" s="3" t="str">
        <x:v>S_W</x:v>
      </x:c>
      <x:c r="N27" s="3" t="str">
        <x:v>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x:v>
      </x:c>
      <x:c r="O27" s="3" t="str">
        <x:v>../../2019/jama.2019.14231/.ai_paper_validation/final_report_1_5_1.html</x:v>
      </x:c>
      <x:c r="P27" s="3" t="str">
        <x:v>2019/jama.2019.14231/.ai_paper_validation/final_report_1_5_1.md</x:v>
      </x:c>
      <x:c r="Q27" s="3" t="str">
        <x:v>C006</x:v>
      </x:c>
      <x:c r="R27" s="3" t="str">
        <x:v>Pending Human Adjudication</x:v>
      </x:c>
      <x:c r="S27" s="3" t="str">
        <x:v>The displayed control-minus-surgery atrial-fibrillation ARD does not reconcile with the displayed 8-year cumulative incidences.</x:v>
      </x:c>
      <x:c r="T27" s="11" t="b">
        <x:v>1</x:v>
      </x:c>
      <x:c r="U27" s="3" t="str">
        <x:v>effect_arithmetic</x:v>
      </x:c>
      <x:c r="V27" s="3" t="str">
        <x:v>statistical_results</x:v>
      </x:c>
      <x:c r="W27" s="3" t="str">
        <x:v>Atrial-fibrillation ARD does not reconcile with displayed 8-year incidences</x:v>
      </x:c>
      <x:c r="X27" s="3" t="str">
        <x:v>2019</x:v>
      </x:c>
      <x:c r="Y27" s="3" t="str">
        <x:v>meta_report/consistency_reclassification_2026-09-04/reclassified_candidates.json</x:v>
      </x:c>
      <x:c r="Z27" s="3" t="str">
        <x:v>S_W</x:v>
      </x:c>
      <x:c r="AA27" s="3" t="str">
        <x:v>statistical_results</x:v>
      </x:c>
      <x:c r="AB27" s="3" t="str">
        <x:v>retain</x:v>
      </x:c>
    </x:row>
    <x:row r="28" ht="90" customHeight="1">
      <x:c r="A28" s="12" t="b">
        <x:v>0</x:v>
      </x:c>
      <x:c r="B28" s="6" t="str">
        <x:v>Different medication availability/time-window subsets could account for two participants; the final recheck finds no explicit reconciliation rule.</x:v>
      </x:c>
      <x:c r="C28" s="12" t="b">
        <x:v>0</x:v>
      </x:c>
      <x:c r="D28" s="6" t="str">
        <x:v>Denominator, proportion, or total inconsistency</x:v>
      </x:c>
      <x:c r="E28" s="12" t="b">
        <x:v>0</x:v>
      </x:c>
      <x:c r="F28" s="6" t="str">
        <x:v>C007</x:v>
      </x:c>
      <x:c r="G28" s="6" t="str">
        <x:v>2019::jama.2019.14231::C007</x:v>
      </x:c>
      <x:c r="H28" s="6"/>
      <x:c r="I28" s="6" t="str">
        <x:v>Supplement 1 — PDF p. 5, PDF p. 14.</x:v>
      </x:c>
      <x:c r="J28" s="12" t="b">
        <x:v>0</x:v>
      </x:c>
      <x:c r="K28" s="6" t="str">
        <x:v>jama.2019.14231</x:v>
      </x:c>
      <x:c r="L28" s="6"/>
      <x:c r="M28" s="6" t="str">
        <x:v>S_W</x:v>
      </x:c>
      <x:c r="N28" s="6" t="str">
        <x:v>eTable3 baseline nonsurgical medication N11435 differs from eTable10 year0 N11433; both tables are in the same results supplement.</x:v>
      </x:c>
      <x:c r="O28" s="6" t="str">
        <x:v>../../2019/jama.2019.14231/.ai_paper_validation/final_report_1_5_1.html</x:v>
      </x:c>
      <x:c r="P28" s="6" t="str">
        <x:v>2019/jama.2019.14231/.ai_paper_validation/final_report_1_5_1.md</x:v>
      </x:c>
      <x:c r="Q28" s="6" t="str">
        <x:v>C007</x:v>
      </x:c>
      <x:c r="R28" s="6" t="str">
        <x:v>Pending Human Adjudication</x:v>
      </x:c>
      <x:c r="S28" s="6" t="str">
        <x:v>Two Supplement 1 baseline medication displays use nonsurgical denominators differing by two without a printed reconciliation rule.</x:v>
      </x:c>
      <x:c r="T28" s="12" t="b">
        <x:v>1</x:v>
      </x:c>
      <x:c r="U28" s="6" t="str">
        <x:v>denominator_definition</x:v>
      </x:c>
      <x:c r="V28" s="6" t="str">
        <x:v>statistical_results</x:v>
      </x:c>
      <x:c r="W28" s="6" t="str">
        <x:v>Supplement tables use different nonsurgical medication denominators at baseline</x:v>
      </x:c>
      <x:c r="X28" s="6" t="str">
        <x:v>2019</x:v>
      </x:c>
      <x:c r="Y28" s="6" t="str">
        <x:v>meta_report/consistency_reclassification_2026-09-04/reclassified_candidates.json</x:v>
      </x:c>
      <x:c r="Z28" s="6" t="str">
        <x:v>S_W</x:v>
      </x:c>
      <x:c r="AA28" s="6" t="str">
        <x:v>statistical_results</x:v>
      </x:c>
      <x:c r="AB28" s="6" t="str">
        <x:v>retain</x:v>
      </x:c>
    </x:row>
    <x:row r="29" ht="90" customHeight="1">
      <x:c r="A29" s="11" t="b">
        <x:v>0</x:v>
      </x:c>
      <x:c r="B29" s="3" t="str">
        <x:v>Two-sample proportions test may be generic or year8 may use a specific method; exact test settings are unavailable.</x:v>
      </x:c>
      <x:c r="C29" s="11" t="b">
        <x:v>0</x:v>
      </x:c>
      <x:c r="D29" s="3" t="str">
        <x:v>Measure, label, or scale inconsistency</x:v>
      </x:c>
      <x:c r="E29" s="11" t="b">
        <x:v>1</x:v>
      </x:c>
      <x:c r="F29" s="3" t="str">
        <x:v>C008</x:v>
      </x:c>
      <x:c r="G29" s="3" t="str">
        <x:v>2019::jama.2019.14231::C008</x:v>
      </x:c>
      <x:c r="H29" s="3"/>
      <x:c r="I29" s="3" t="str">
        <x:v>Main article — PDF p. 4, PDF p. 10; Supplement 1 — PDF p. 12.</x:v>
      </x:c>
      <x:c r="J29" s="11" t="b">
        <x:v>0</x:v>
      </x:c>
      <x:c r="K29" s="3" t="str">
        <x:v>jama.2019.14231</x:v>
      </x:c>
      <x:c r="L29" s="3"/>
      <x:c r="M29" s="3" t="str">
        <x:v>S_C</x:v>
      </x:c>
      <x:c r="N29" s="3" t="str">
        <x:v>Main Figure5 calls the matched year8 medication P values Fisher exact tests; main Methods and results-supplement eTable8 call them two-sample proportions tests. The card explicitly targets main/supplement test-label identity, with an internal main-text mismatch too.</x:v>
      </x:c>
      <x:c r="O29" s="3" t="str">
        <x:v>../../2019/jama.2019.14231/.ai_paper_validation/final_report_1_5_1.html</x:v>
      </x:c>
      <x:c r="P29" s="3" t="str">
        <x:v>2019/jama.2019.14231/.ai_paper_validation/final_report_1_5_1.md</x:v>
      </x:c>
      <x:c r="Q29" s="3" t="str">
        <x:v>C008</x:v>
      </x:c>
      <x:c r="R29" s="3" t="str">
        <x:v>Pending Human Adjudication</x:v>
      </x:c>
      <x:c r="S29" s="3" t="str">
        <x:v>Matched medication comparisons are associated with both a two-sample proportions-test label and a Fisher-exact-test label.</x:v>
      </x:c>
      <x:c r="T29" s="11" t="b">
        <x:v>1</x:v>
      </x:c>
      <x:c r="U29" s="3" t="str">
        <x:v>statistical_method_label</x:v>
      </x:c>
      <x:c r="V29" s="3" t="str">
        <x:v>report_internal_inconsistency</x:v>
      </x:c>
      <x:c r="W29" s="3" t="str">
        <x:v>Medication comparison is labeled as two different named tests</x:v>
      </x:c>
      <x:c r="X29" s="3" t="str">
        <x:v>2019</x:v>
      </x:c>
      <x:c r="Y29" s="3" t="str">
        <x:v>meta_report/consistency_reclassification_2026-09-04/reclassified_candidates.json</x:v>
      </x:c>
      <x:c r="Z29" s="3" t="str">
        <x:v>S_C</x:v>
      </x:c>
      <x:c r="AA29" s="3" t="str">
        <x:v>report_internal_inconsistency</x:v>
      </x:c>
      <x:c r="AB29" s="3" t="str">
        <x:v>retain</x:v>
      </x:c>
    </x:row>
    <x:row r="30" ht="90" customHeight="1">
      <x:c r="A30" s="12" t="b">
        <x:v>0</x:v>
      </x:c>
      <x:c r="B30" s="6"/>
      <x:c r="C30" s="12" t="b">
        <x:v>0</x:v>
      </x:c>
      <x:c r="D30" s="6" t="str">
        <x:v>Measure, label, or scale inconsistency</x:v>
      </x:c>
      <x:c r="E30" s="12" t="b">
        <x:v>0</x:v>
      </x:c>
      <x:c r="F30" s="6" t="str">
        <x:v>C009</x:v>
      </x:c>
      <x:c r="G30" s="6" t="str">
        <x:v>2019::jama.2019.14231::C009</x:v>
      </x:c>
      <x:c r="H30" s="6"/>
      <x:c r="I30" s="6" t="str">
        <x:v>Supplement 1 — PDF p. 6, PDF p. 10, PDF p. 19.</x:v>
      </x:c>
      <x:c r="J30" s="12" t="b">
        <x:v>0</x:v>
      </x:c>
      <x:c r="K30" s="6" t="str">
        <x:v>jama.2019.14231</x:v>
      </x:c>
      <x:c r="L30" s="6"/>
      <x:c r="M30" s="6" t="str">
        <x:v>S_W</x:v>
      </x:c>
      <x:c r="N30" s="6" t="str">
        <x:v>A narrative in the results supplement cites eTable4 for time-varying HRs, while its adjacent/repeated table is eTable7 and actual eTable4 gives rates. All locations are within the same supplement.</x:v>
      </x:c>
      <x:c r="O30" s="6" t="str">
        <x:v>../../2019/jama.2019.14231/.ai_paper_validation/final_report_1_5_1.html</x:v>
      </x:c>
      <x:c r="P30" s="6" t="str">
        <x:v>2019/jama.2019.14231/.ai_paper_validation/final_report_1_5_1.md</x:v>
      </x:c>
      <x:c r="Q30" s="6" t="str">
        <x:v>C009</x:v>
      </x:c>
      <x:c r="R30" s="6" t="str">
        <x:v>Pending Human Adjudication</x:v>
      </x:c>
      <x:c r="S30" s="6" t="str">
        <x:v>The time-varying-HR narrative cites eTable 4, while the adjacent and repeated display is labeled eTable 7; actual eTable 4 reports a different measure.</x:v>
      </x:c>
      <x:c r="T30" s="12" t="b">
        <x:v>1</x:v>
      </x:c>
      <x:c r="U30" s="6" t="str">
        <x:v>cross_reference</x:v>
      </x:c>
      <x:c r="V30" s="6" t="str">
        <x:v>report_internal_inconsistency</x:v>
      </x:c>
      <x:c r="W30" s="6" t="str">
        <x:v>Time-varying-HR narrative cites eTable 4 while the displayed table is eTable 7</x:v>
      </x:c>
      <x:c r="X30" s="6" t="str">
        <x:v>2019</x:v>
      </x:c>
      <x:c r="Y30" s="6" t="str">
        <x:v>meta_report/consistency_reclassification_2026-09-04/reclassified_candidates.json</x:v>
      </x:c>
      <x:c r="Z30" s="6" t="str">
        <x:v>S_W</x:v>
      </x:c>
      <x:c r="AA30" s="6" t="str">
        <x:v>report_internal_inconsistency</x:v>
      </x:c>
      <x:c r="AB30" s="6" t="str">
        <x:v>retain</x:v>
      </x:c>
    </x:row>
    <x:row r="31" ht="90" customHeight="1">
      <x:c r="A31" s="11" t="b">
        <x:v>0</x:v>
      </x:c>
      <x:c r="B31" s="3"/>
      <x:c r="C31" s="11" t="b">
        <x:v>0</x:v>
      </x:c>
      <x:c r="D31" s="3" t="str">
        <x:v>Denominator, proportion, or total inconsistency</x:v>
      </x:c>
      <x:c r="E31" s="11" t="b">
        <x:v>0</x:v>
      </x:c>
      <x:c r="F31" s="3" t="str">
        <x:v>C010</x:v>
      </x:c>
      <x:c r="G31" s="3" t="str">
        <x:v>2019::jama.2019.14231::C010</x:v>
      </x:c>
      <x:c r="H31" s="3"/>
      <x:c r="I31" s="3" t="str">
        <x:v>Supplement 1 — PDF p. 5.</x:v>
      </x:c>
      <x:c r="J31" s="11" t="b">
        <x:v>0</x:v>
      </x:c>
      <x:c r="K31" s="3" t="str">
        <x:v>jama.2019.14231</x:v>
      </x:c>
      <x:c r="L31" s="3"/>
      <x:c r="M31" s="3" t="str">
        <x:v>S_W</x:v>
      </x:c>
      <x:c r="N31" s="3" t="str">
        <x:v>Results-supplement eTable3 gives biguanides1530(67.9%) under surgeryN2287, but that fraction rounds66.9%; no cross-file comparator is required.</x:v>
      </x:c>
      <x:c r="O31" s="3" t="str">
        <x:v>../../2019/jama.2019.14231/.ai_paper_validation/final_report_1_5_1.html</x:v>
      </x:c>
      <x:c r="P31" s="3" t="str">
        <x:v>2019/jama.2019.14231/.ai_paper_validation/final_report_1_5_1.md</x:v>
      </x:c>
      <x:c r="Q31" s="3" t="str">
        <x:v>C010</x:v>
      </x:c>
      <x:c r="R31" s="3" t="str">
        <x:v>Pending Human Adjudication</x:v>
      </x:c>
      <x:c r="S31" s="3" t="str">
        <x:v>The surgery-group biguanide count, printed denominator, and printed percentage do not reconcile.</x:v>
      </x:c>
      <x:c r="T31" s="11" t="b">
        <x:v>1</x:v>
      </x:c>
      <x:c r="U31" s="3" t="str">
        <x:v>count_percentage</x:v>
      </x:c>
      <x:c r="V31" s="3" t="str">
        <x:v>statistical_results</x:v>
      </x:c>
      <x:c r="W31" s="3" t="str">
        <x:v>Biguanide count and percentage do not reconcile in eTable 3</x:v>
      </x:c>
      <x:c r="X31" s="3" t="str">
        <x:v>2019</x:v>
      </x:c>
      <x:c r="Y31" s="3" t="str">
        <x:v>meta_report/consistency_reclassification_2026-09-04/reclassified_candidates.json</x:v>
      </x:c>
      <x:c r="Z31" s="3" t="str">
        <x:v>S_W</x:v>
      </x:c>
      <x:c r="AA31" s="3" t="str">
        <x:v>statistical_results</x:v>
      </x:c>
      <x:c r="AB31" s="3" t="str">
        <x:v>retain</x:v>
      </x:c>
    </x:row>
    <x:row r="32" ht="90" customHeight="1">
      <x:c r="A32" s="12" t="b">
        <x:v>0</x:v>
      </x:c>
      <x:c r="B32" s="6"/>
      <x:c r="C32" s="12" t="b">
        <x:v>0</x:v>
      </x:c>
      <x:c r="D32" s="6" t="str">
        <x:v>Measure, label, or scale inconsistency</x:v>
      </x:c>
      <x:c r="E32" s="12" t="b">
        <x:v>0</x:v>
      </x:c>
      <x:c r="F32" s="6" t="str">
        <x:v>C011</x:v>
      </x:c>
      <x:c r="G32" s="6" t="str">
        <x:v>2019::jama.2019.14231::C011</x:v>
      </x:c>
      <x:c r="H32" s="6"/>
      <x:c r="I32" s="6" t="str">
        <x:v>Main article — PDF p. 5, PDF p. 6.</x:v>
      </x:c>
      <x:c r="J32" s="12" t="b">
        <x:v>0</x:v>
      </x:c>
      <x:c r="K32" s="6" t="str">
        <x:v>jama.2019.14231</x:v>
      </x:c>
      <x:c r="L32" s="6"/>
      <x:c r="M32" s="6" t="str">
        <x:v>S_W</x:v>
      </x:c>
      <x:c r="N32" s="6" t="str">
        <x:v>Main Table1 footnote defines absolute standardized differences but the main table prints negative values. This is an internal definition-versus-display contradiction.</x:v>
      </x:c>
      <x:c r="O32" s="6" t="str">
        <x:v>../../2019/jama.2019.14231/.ai_paper_validation/final_report_1_5_1.html</x:v>
      </x:c>
      <x:c r="P32" s="6" t="str">
        <x:v>2019/jama.2019.14231/.ai_paper_validation/final_report_1_5_1.md</x:v>
      </x:c>
      <x:c r="Q32" s="6" t="str">
        <x:v>C011</x:v>
      </x:c>
      <x:c r="R32" s="6" t="str">
        <x:v>Pending Human Adjudication</x:v>
      </x:c>
      <x:c r="S32" s="6" t="str">
        <x:v>Table 1’s footnote defines standardized differences as an absolute value, while the displayed columns include negative values.</x:v>
      </x:c>
      <x:c r="T32" s="12" t="b">
        <x:v>1</x:v>
      </x:c>
      <x:c r="U32" s="6" t="str">
        <x:v>signed_measure_definition</x:v>
      </x:c>
      <x:c r="V32" s="6" t="str">
        <x:v>report_internal_inconsistency</x:v>
      </x:c>
      <x:c r="W32" s="6" t="str">
        <x:v>Standardized-difference footnote says absolute value while columns contain negative values</x:v>
      </x:c>
      <x:c r="X32" s="6" t="str">
        <x:v>2019</x:v>
      </x:c>
      <x:c r="Y32" s="6" t="str">
        <x:v>meta_report/consistency_reclassification_2026-09-04/reclassified_candidates.json</x:v>
      </x:c>
      <x:c r="Z32" s="6" t="str">
        <x:v>S_W</x:v>
      </x:c>
      <x:c r="AA32" s="6" t="str">
        <x:v>report_internal_inconsistency</x:v>
      </x:c>
      <x:c r="AB32" s="6" t="str">
        <x:v>retain</x:v>
      </x:c>
    </x:row>
    <x:row r="33" ht="90" customHeight="1">
      <x:c r="A33" s="11" t="b">
        <x:v>0</x:v>
      </x:c>
      <x:c r="B33" s="3"/>
      <x:c r="C33" s="11" t="b">
        <x:v>0</x:v>
      </x:c>
      <x:c r="D33" s="3" t="str">
        <x:v>Measure, label, or scale inconsistency</x:v>
      </x:c>
      <x:c r="E33" s="11" t="b">
        <x:v>0</x:v>
      </x:c>
      <x:c r="F33" s="3" t="str">
        <x:v>C001</x:v>
      </x:c>
      <x:c r="G33" s="3" t="str">
        <x:v>2019::jama.2019.14630::C001</x:v>
      </x:c>
      <x:c r="H33" s="3"/>
      <x:c r="I33" s="3" t="str">
        <x:v>Supplement 3 eTable 2 opening header — PDF p. 3; Supplement 3 eTable 2 continuation — PDF p. 5; main article Table 2 — PDF p. 5.</x:v>
      </x:c>
      <x:c r="J33" s="11" t="b">
        <x:v>0</x:v>
      </x:c>
      <x:c r="K33" s="3" t="str">
        <x:v>jama.2019.14630</x:v>
      </x:c>
      <x:c r="L33" s="3"/>
      <x:c r="M33" s="3" t="str">
        <x:v>S_W</x:v>
      </x:c>
      <x:c r="N33" s="3" t="str">
        <x:v>Opening and continued pages of one results-supplement eTable2 label the same N3311 column intervention and control. Main Table2 only corroborates the continuation arm identity; the target is the internally inconsistent continued table.</x:v>
      </x:c>
      <x:c r="O33" s="3" t="str">
        <x:v>../../2019/jama.2019.14630/.ai_paper_validation/final_report_1_5_1.html</x:v>
      </x:c>
      <x:c r="P33" s="3" t="str">
        <x:v>2019/jama.2019.14630/.ai_paper_validation/final_report_1_5_1.md</x:v>
      </x:c>
      <x:c r="Q33" s="3" t="str">
        <x:v>C001</x:v>
      </x:c>
      <x:c r="R33" s="3" t="str">
        <x:v>Pending Human Adjudication</x:v>
      </x:c>
      <x:c r="S33" s="3" t="str">
        <x:v>The eTable 2 opening header assigns Intervention group to both N=3,272 and N=3,311, whereas the continuation and main Table 2 identify N=3,311 as control.</x:v>
      </x:c>
      <x:c r="T33" s="11" t="b">
        <x:v>1</x:v>
      </x:c>
      <x:c r="U33" s="3" t="str">
        <x:v>arm_label</x:v>
      </x:c>
      <x:c r="V33" s="3" t="str">
        <x:v>report_internal_inconsistency</x:v>
      </x:c>
      <x:c r="W33" s="3" t="str">
        <x:v>eTable 2 assigns the N=3,311 column a second intervention-group label</x:v>
      </x:c>
      <x:c r="X33" s="3" t="str">
        <x:v>2019</x:v>
      </x:c>
      <x:c r="Y33" s="3" t="str">
        <x:v>meta_report/consistency_reclassification_2026-09-04/reclassified_candidates.json</x:v>
      </x:c>
      <x:c r="Z33" s="3" t="str">
        <x:v>S_W</x:v>
      </x:c>
      <x:c r="AA33" s="3" t="str">
        <x:v>report_internal_inconsistency</x:v>
      </x:c>
      <x:c r="AB33" s="3" t="str">
        <x:v>retain</x:v>
      </x:c>
    </x:row>
    <x:row r="34" ht="90" customHeight="1">
      <x:c r="A34" s="12" t="b">
        <x:v>0</x:v>
      </x:c>
      <x:c r="B34" s="6" t="str">
        <x:v>Overlaps the intervention cell in C003, but C003 additionally compares both arms across tables; same underlying production cause is not established.</x:v>
      </x:c>
      <x:c r="C34" s="12" t="b">
        <x:v>0</x:v>
      </x:c>
      <x:c r="D34" s="6" t="str">
        <x:v>Numeric or arithmetic inconsistency</x:v>
      </x:c>
      <x:c r="E34" s="12" t="b">
        <x:v>0</x:v>
      </x:c>
      <x:c r="F34" s="6" t="str">
        <x:v>C002</x:v>
      </x:c>
      <x:c r="G34" s="6" t="str">
        <x:v>2019::jama.2019.14630::C002</x:v>
      </x:c>
      <x:c r="H34" s="6"/>
      <x:c r="I34" s="6" t="str">
        <x:v>Supplement 3 eTable 2 red-wine row and footnote — PDF p. 7.</x:v>
      </x:c>
      <x:c r="J34" s="12" t="b">
        <x:v>0</x:v>
      </x:c>
      <x:c r="K34" s="6" t="str">
        <x:v>jama.2019.14630</x:v>
      </x:c>
      <x:c r="L34" s="6"/>
      <x:c r="M34" s="6" t="str">
        <x:v>S_W</x:v>
      </x:c>
      <x:c r="N34" s="6" t="str">
        <x:v>Results-supplement eTable2 intervention red-wine median33 exceeds its own upper quartile29 under the local median(IQR) footnote.</x:v>
      </x:c>
      <x:c r="O34" s="6" t="str">
        <x:v>../../2019/jama.2019.14630/.ai_paper_validation/final_report_1_5_1.html</x:v>
      </x:c>
      <x:c r="P34" s="6" t="str">
        <x:v>2019/jama.2019.14630/.ai_paper_validation/final_report_1_5_1.md</x:v>
      </x:c>
      <x:c r="Q34" s="6" t="str">
        <x:v>C002</x:v>
      </x:c>
      <x:c r="R34" s="6" t="str">
        <x:v>Pending Human Adjudication</x:v>
      </x:c>
      <x:c r="S34" s="6" t="str">
        <x:v>The intervention baseline red-wine entry is printed as 33 (0, 29) g/week while the footnote defines baseline values as median (IQR).</x:v>
      </x:c>
      <x:c r="T34" s="12" t="b">
        <x:v>1</x:v>
      </x:c>
      <x:c r="U34" s="6" t="str">
        <x:v>summary_ordering</x:v>
      </x:c>
      <x:c r="V34" s="6" t="str">
        <x:v>statistical_results</x:v>
      </x:c>
      <x:c r="W34" s="6" t="str">
        <x:v>eTable 2 red-wine median lies above its printed upper quartile</x:v>
      </x:c>
      <x:c r="X34" s="6" t="str">
        <x:v>2019</x:v>
      </x:c>
      <x:c r="Y34" s="6" t="str">
        <x:v>meta_report/consistency_reclassification_2026-09-04/reclassified_candidates.json</x:v>
      </x:c>
      <x:c r="Z34" s="6" t="str">
        <x:v>S_W</x:v>
      </x:c>
      <x:c r="AA34" s="6" t="str">
        <x:v>statistical_results</x:v>
      </x:c>
      <x:c r="AB34" s="6" t="str">
        <x:v>retain</x:v>
      </x:c>
    </x:row>
    <x:row r="35" ht="90" customHeight="1">
      <x:c r="A35" s="11" t="b">
        <x:v>0</x:v>
      </x:c>
      <x:c r="B35" s="3" t="str">
        <x:v>An unstated analysis-specific baseline subset/handling path is possible. C002 tests ordering within one intervention cell, so these are related rather than exact duplicate candidates.</x:v>
      </x:c>
      <x:c r="C35" s="11" t="b">
        <x:v>0</x:v>
      </x:c>
      <x:c r="D35" s="3" t="str">
        <x:v>Cross-document numeric inconsistency</x:v>
      </x:c>
      <x:c r="E35" s="11" t="b">
        <x:v>0</x:v>
      </x:c>
      <x:c r="F35" s="3" t="str">
        <x:v>C003</x:v>
      </x:c>
      <x:c r="G35" s="3" t="str">
        <x:v>2019::jama.2019.14630::C003</x:v>
      </x:c>
      <x:c r="H35" s="3"/>
      <x:c r="I35" s="3" t="str">
        <x:v>Supplement 3 eTable 2 — PDF p. 7; Supplement 3 eTable 7 — PDF p. 19.</x:v>
      </x:c>
      <x:c r="J35" s="11" t="b">
        <x:v>1</x:v>
      </x:c>
      <x:c r="K35" s="3" t="str">
        <x:v>jama.2019.14630</x:v>
      </x:c>
      <x:c r="L35" s="3"/>
      <x:c r="M35" s="3" t="str">
        <x:v>S_W</x:v>
      </x:c>
      <x:c r="N35" s="3" t="str">
        <x:v>eTables2 and7 in the same results supplement show all-randomized red-wine baseline medians33/4 versus0/0 with identical displayed arm Ns and IQRs. Different tables in one PDF do not make this cross-document.</x:v>
      </x:c>
      <x:c r="O35" s="3" t="str">
        <x:v>../../2019/jama.2019.14630/.ai_paper_validation/final_report_1_5_1.html</x:v>
      </x:c>
      <x:c r="P35" s="3" t="str">
        <x:v>2019/jama.2019.14630/.ai_paper_validation/final_report_1_5_1.md</x:v>
      </x:c>
      <x:c r="Q35" s="3" t="str">
        <x:v>C003</x:v>
      </x:c>
      <x:c r="R35" s="3" t="str">
        <x:v>Pending Human Adjudication</x:v>
      </x:c>
      <x:c r="S35" s="3" t="str">
        <x:v>ETable 2 prints red-wine baseline medians 33 and 4, whereas eTable 7 prints 0 and 0 for the same named arms, units, displayed arm Ns, and median/IQR convention.</x:v>
      </x:c>
      <x:c r="T35" s="11" t="b">
        <x:v>1</x:v>
      </x:c>
      <x:c r="U35" s="3" t="str">
        <x:v>repeated_baseline_summary</x:v>
      </x:c>
      <x:c r="V35" s="3" t="str">
        <x:v>report_internal_inconsistency</x:v>
      </x:c>
      <x:c r="W35" s="3" t="str">
        <x:v>all-randomized red-wine baseline summaries differ between eTables 2 and 7</x:v>
      </x:c>
      <x:c r="X35" s="3" t="str">
        <x:v>2019</x:v>
      </x:c>
      <x:c r="Y35" s="3" t="str">
        <x:v>meta_report/consistency_reclassification_2026-09-04/reclassified_candidates.json</x:v>
      </x:c>
      <x:c r="Z35" s="3" t="str">
        <x:v>S_W</x:v>
      </x:c>
      <x:c r="AA35" s="3" t="str">
        <x:v>report_internal_inconsistency</x:v>
      </x:c>
      <x:c r="AB35" s="3" t="str">
        <x:v>retain</x:v>
      </x:c>
    </x:row>
    <x:row r="36" ht="90" customHeight="1">
      <x:c r="A36" s="12" t="b">
        <x:v>0</x:v>
      </x:c>
      <x:c r="B36" s="6" t="str">
        <x:v>Sensitivity-analysis baseline subset or rounding/truncation could differ despite shared displayed N.</x:v>
      </x:c>
      <x:c r="C36" s="12" t="b">
        <x:v>0</x:v>
      </x:c>
      <x:c r="D36" s="6" t="str">
        <x:v>Cross-document numeric inconsistency</x:v>
      </x:c>
      <x:c r="E36" s="12" t="b">
        <x:v>1</x:v>
      </x:c>
      <x:c r="F36" s="6" t="str">
        <x:v>C004</x:v>
      </x:c>
      <x:c r="G36" s="6" t="str">
        <x:v>2019::jama.2019.14630::C004</x:v>
      </x:c>
      <x:c r="H36" s="6"/>
      <x:c r="I36" s="6" t="str">
        <x:v>main article Table 2 — PDF p. 5; Supplement 3 eTable 6 — PDF p. 16.</x:v>
      </x:c>
      <x:c r="J36" s="12" t="b">
        <x:v>1</x:v>
      </x:c>
      <x:c r="K36" s="6" t="str">
        <x:v>jama.2019.14630</x:v>
      </x:c>
      <x:c r="L36" s="6"/>
      <x:c r="M36" s="6" t="str">
        <x:v>S_C</x:v>
      </x:c>
      <x:c r="N36" s="6" t="str">
        <x:v>Main Table2 baseline PDQS mean21.1 in each arm differs from results-supplement eTable6 mean21.0, under matched Ns and scale.</x:v>
      </x:c>
      <x:c r="O36" s="6" t="str">
        <x:v>../../2019/jama.2019.14630/.ai_paper_validation/final_report_1_5_1.html</x:v>
      </x:c>
      <x:c r="P36" s="6" t="str">
        <x:v>2019/jama.2019.14630/.ai_paper_validation/final_report_1_5_1.md</x:v>
      </x:c>
      <x:c r="Q36" s="6" t="str">
        <x:v>C004</x:v>
      </x:c>
      <x:c r="R36" s="6" t="str">
        <x:v>Pending Human Adjudication</x:v>
      </x:c>
      <x:c r="S36" s="6" t="str">
        <x:v>Main Table 2 prints baseline PDQS mean 21.1 in both arms, while eTable 6 prints 21.0 in both arms under the same displayed arm Ns and 0-42 scale.</x:v>
      </x:c>
      <x:c r="T36" s="12" t="b">
        <x:v>1</x:v>
      </x:c>
      <x:c r="U36" s="6" t="str">
        <x:v>repeated_baseline_summary</x:v>
      </x:c>
      <x:c r="V36" s="6" t="str">
        <x:v>report_internal_inconsistency</x:v>
      </x:c>
      <x:c r="W36" s="6" t="str">
        <x:v>PDQS baseline mean differs between the principal and baseline-value-carried-forward tables</x:v>
      </x:c>
      <x:c r="X36" s="6" t="str">
        <x:v>2019</x:v>
      </x:c>
      <x:c r="Y36" s="6" t="str">
        <x:v>meta_report/consistency_reclassification_2026-09-04/reclassified_candidates.json</x:v>
      </x:c>
      <x:c r="Z36" s="6" t="str">
        <x:v>S_C</x:v>
      </x:c>
      <x:c r="AA36" s="6" t="str">
        <x:v>report_internal_inconsistency</x:v>
      </x:c>
      <x:c r="AB36" s="6" t="str">
        <x:v>retain</x:v>
      </x:c>
    </x:row>
    <x:row r="37" ht="90" customHeight="1">
      <x:c r="A37" s="11" t="b">
        <x:v>0</x:v>
      </x:c>
      <x:c r="B37" s="3" t="str">
        <x:v>The record states main imputation is follow-up only; an unreported baseline subset or separate extraction remains possible.</x:v>
      </x:c>
      <x:c r="C37" s="11" t="b">
        <x:v>0</x:v>
      </x:c>
      <x:c r="D37" s="3" t="str">
        <x:v>Cross-document numeric inconsistency</x:v>
      </x:c>
      <x:c r="E37" s="11" t="b">
        <x:v>1</x:v>
      </x:c>
      <x:c r="F37" s="3" t="str">
        <x:v>C005</x:v>
      </x:c>
      <x:c r="G37" s="3" t="str">
        <x:v>2019::jama.2019.14630::C005</x:v>
      </x:c>
      <x:c r="H37" s="3"/>
      <x:c r="I37" s="3" t="str">
        <x:v>main article Statistical Analysis — PDF p. 4; main article Table 3 — PDF p. 7; Supplement 3 eTable 8 — PDF p. 21.</x:v>
      </x:c>
      <x:c r="J37" s="11" t="b">
        <x:v>1</x:v>
      </x:c>
      <x:c r="K37" s="3" t="str">
        <x:v>jama.2019.14630</x:v>
      </x:c>
      <x:c r="L37" s="3"/>
      <x:c r="M37" s="3" t="str">
        <x:v>S_C</x:v>
      </x:c>
      <x:c r="N37" s="3" t="str">
        <x:v>Main Table3 intervention baseline energySD555 differs from results-supplement eTable8 SD544 while means2355 and control summary agree.</x:v>
      </x:c>
      <x:c r="O37" s="3" t="str">
        <x:v>../../2019/jama.2019.14630/.ai_paper_validation/final_report_1_5_1.html</x:v>
      </x:c>
      <x:c r="P37" s="3" t="str">
        <x:v>2019/jama.2019.14630/.ai_paper_validation/final_report_1_5_1.md</x:v>
      </x:c>
      <x:c r="Q37" s="3" t="str">
        <x:v>C005</x:v>
      </x:c>
      <x:c r="R37" s="3" t="str">
        <x:v>Pending Human Adjudication</x:v>
      </x:c>
      <x:c r="S37" s="3" t="str">
        <x:v>Intervention baseline energy is 2355 kcal/d in both displays, but its SD is 555 in Table 3 and 544 in eTable 8; the matched control entry agrees.</x:v>
      </x:c>
      <x:c r="T37" s="11" t="b">
        <x:v>1</x:v>
      </x:c>
      <x:c r="U37" s="3" t="str">
        <x:v>repeated_baseline_summary</x:v>
      </x:c>
      <x:c r="V37" s="3" t="str">
        <x:v>report_internal_inconsistency</x:v>
      </x:c>
      <x:c r="W37" s="3" t="str">
        <x:v>intervention baseline energy SD differs between Table 3 and eTable 8</x:v>
      </x:c>
      <x:c r="X37" s="3" t="str">
        <x:v>2019</x:v>
      </x:c>
      <x:c r="Y37" s="3" t="str">
        <x:v>meta_report/consistency_reclassification_2026-09-04/reclassified_candidates.json</x:v>
      </x:c>
      <x:c r="Z37" s="3" t="str">
        <x:v>S_C</x:v>
      </x:c>
      <x:c r="AA37" s="3" t="str">
        <x:v>report_internal_inconsistency</x:v>
      </x:c>
      <x:c r="AB37" s="3" t="str">
        <x:v>retain</x:v>
      </x:c>
    </x:row>
    <x:row r="38" ht="90" customHeight="1">
      <x:c r="A38" s="12" t="b">
        <x:v>0</x:v>
      </x:c>
      <x:c r="B38" s="6" t="str">
        <x:v>Outcome-specific baseline records or processing may differ without being labelled.</x:v>
      </x:c>
      <x:c r="C38" s="12" t="b">
        <x:v>0</x:v>
      </x:c>
      <x:c r="D38" s="6" t="str">
        <x:v>Cross-document numeric inconsistency</x:v>
      </x:c>
      <x:c r="E38" s="12" t="b">
        <x:v>1</x:v>
      </x:c>
      <x:c r="F38" s="6" t="str">
        <x:v>C006</x:v>
      </x:c>
      <x:c r="G38" s="6" t="str">
        <x:v>2019::jama.2019.14630::C006</x:v>
      </x:c>
      <x:c r="H38" s="6"/>
      <x:c r="I38" s="6" t="str">
        <x:v>main article Table 1 — PDF p. 4; Supplement 3 eTable 9 — PDF p. 23.</x:v>
      </x:c>
      <x:c r="J38" s="12" t="b">
        <x:v>1</x:v>
      </x:c>
      <x:c r="K38" s="6" t="str">
        <x:v>jama.2019.14630</x:v>
      </x:c>
      <x:c r="L38" s="6"/>
      <x:c r="M38" s="6" t="str">
        <x:v>S_C</x:v>
      </x:c>
      <x:c r="N38" s="6" t="str">
        <x:v>Main Table1 baseline weight86.7/86.4 differs from results-supplement eTable9 weight86.5/86.3 and interventionSD13.0/12.9 under shared displayed Ns.</x:v>
      </x:c>
      <x:c r="O38" s="6" t="str">
        <x:v>../../2019/jama.2019.14630/.ai_paper_validation/final_report_1_5_1.html</x:v>
      </x:c>
      <x:c r="P38" s="6" t="str">
        <x:v>2019/jama.2019.14630/.ai_paper_validation/final_report_1_5_1.md</x:v>
      </x:c>
      <x:c r="Q38" s="6" t="str">
        <x:v>C006</x:v>
      </x:c>
      <x:c r="R38" s="6" t="str">
        <x:v>Pending Human Adjudication</x:v>
      </x:c>
      <x:c r="S38" s="6" t="str">
        <x:v>Table 1 and the all-randomized eTable 9 panel print different baseline weight means in both arms and a different intervention SD despite the same displayed arm Ns.</x:v>
      </x:c>
      <x:c r="T38" s="12" t="b">
        <x:v>1</x:v>
      </x:c>
      <x:c r="U38" s="6" t="str">
        <x:v>repeated_baseline_summary</x:v>
      </x:c>
      <x:c r="V38" s="6" t="str">
        <x:v>report_internal_inconsistency</x:v>
      </x:c>
      <x:c r="W38" s="6" t="str">
        <x:v>baseline body-weight summaries differ between Table 1 and eTable 9</x:v>
      </x:c>
      <x:c r="X38" s="6" t="str">
        <x:v>2019</x:v>
      </x:c>
      <x:c r="Y38" s="6" t="str">
        <x:v>meta_report/consistency_reclassification_2026-09-04/reclassified_candidates.json</x:v>
      </x:c>
      <x:c r="Z38" s="6" t="str">
        <x:v>S_C</x:v>
      </x:c>
      <x:c r="AA38" s="6" t="str">
        <x:v>report_internal_inconsistency</x:v>
      </x:c>
      <x:c r="AB38" s="6" t="str">
        <x:v>retain</x:v>
      </x:c>
    </x:row>
    <x:row r="39" ht="90" customHeight="1">
      <x:c r="A39" s="11" t="b">
        <x:v>0</x:v>
      </x:c>
      <x:c r="B39" s="3" t="str">
        <x:v>BMI derivation, records, or rounding may differ. Related weight candidate C006 concerns another statistic, not an exact duplicate.</x:v>
      </x:c>
      <x:c r="C39" s="11" t="b">
        <x:v>0</x:v>
      </x:c>
      <x:c r="D39" s="3" t="str">
        <x:v>Cross-document numeric inconsistency</x:v>
      </x:c>
      <x:c r="E39" s="11" t="b">
        <x:v>1</x:v>
      </x:c>
      <x:c r="F39" s="3" t="str">
        <x:v>C007</x:v>
      </x:c>
      <x:c r="G39" s="3" t="str">
        <x:v>2019::jama.2019.14630::C007</x:v>
      </x:c>
      <x:c r="H39" s="3"/>
      <x:c r="I39" s="3" t="str">
        <x:v>main article Table 1 — PDF p. 4; Supplement 3 eTable 9 — PDF p. 23.</x:v>
      </x:c>
      <x:c r="J39" s="11" t="b">
        <x:v>1</x:v>
      </x:c>
      <x:c r="K39" s="3" t="str">
        <x:v>jama.2019.14630</x:v>
      </x:c>
      <x:c r="L39" s="3"/>
      <x:c r="M39" s="3" t="str">
        <x:v>S_C</x:v>
      </x:c>
      <x:c r="N39" s="3" t="str">
        <x:v>Main Table1 baseline BMI32.5 differs from results-supplement eTable9 BMI32.6 in both arms, with matching SDs and displayed Ns.</x:v>
      </x:c>
      <x:c r="O39" s="3" t="str">
        <x:v>../../2019/jama.2019.14630/.ai_paper_validation/final_report_1_5_1.html</x:v>
      </x:c>
      <x:c r="P39" s="3" t="str">
        <x:v>2019/jama.2019.14630/.ai_paper_validation/final_report_1_5_1.md</x:v>
      </x:c>
      <x:c r="Q39" s="3" t="str">
        <x:v>C007</x:v>
      </x:c>
      <x:c r="R39" s="3" t="str">
        <x:v>Pending Human Adjudication</x:v>
      </x:c>
      <x:c r="S39" s="3" t="str">
        <x:v>Table 1 prints baseline BMI mean 32.5 in both arms, while the all-randomized eTable 9 panel prints 32.6 in both arms with the same displayed arm Ns and matching SDs.</x:v>
      </x:c>
      <x:c r="T39" s="11" t="b">
        <x:v>1</x:v>
      </x:c>
      <x:c r="U39" s="3" t="str">
        <x:v>repeated_baseline_summary</x:v>
      </x:c>
      <x:c r="V39" s="3" t="str">
        <x:v>report_internal_inconsistency</x:v>
      </x:c>
      <x:c r="W39" s="3" t="str">
        <x:v>baseline BMI means differ between Table 1 and eTable 9</x:v>
      </x:c>
      <x:c r="X39" s="3" t="str">
        <x:v>2019</x:v>
      </x:c>
      <x:c r="Y39" s="3" t="str">
        <x:v>meta_report/consistency_reclassification_2026-09-04/reclassified_candidates.json</x:v>
      </x:c>
      <x:c r="Z39" s="3" t="str">
        <x:v>S_C</x:v>
      </x:c>
      <x:c r="AA39" s="3" t="str">
        <x:v>report_internal_inconsistency</x:v>
      </x:c>
      <x:c r="AB39" s="3" t="str">
        <x:v>retain</x:v>
      </x:c>
    </x:row>
    <x:row r="40" ht="90" customHeight="1">
      <x:c r="A40" s="12" t="b">
        <x:v>0</x:v>
      </x:c>
      <x:c r="B40" s="6" t="str">
        <x:v>Compact figure typography or no exact-boundary observations could leave the implemented classification unchanged.</x:v>
      </x:c>
      <x:c r="C40" s="12" t="b">
        <x:v>0</x:v>
      </x:c>
      <x:c r="D40" s="6" t="str">
        <x:v>Measure, label, or scale inconsistency</x:v>
      </x:c>
      <x:c r="E40" s="12" t="b">
        <x:v>0</x:v>
      </x:c>
      <x:c r="F40" s="6" t="str">
        <x:v>C008</x:v>
      </x:c>
      <x:c r="G40" s="6" t="str">
        <x:v>2019::jama.2019.14630::C008</x:v>
      </x:c>
      <x:c r="H40" s="6"/>
      <x:c r="I40" s="6" t="str">
        <x:v>main article Outcomes — PDF p. 4; main article Figure 4 — PDF p. 10.</x:v>
      </x:c>
      <x:c r="J40" s="12" t="b">
        <x:v>0</x:v>
      </x:c>
      <x:c r="K40" s="6" t="str">
        <x:v>jama.2019.14630</x:v>
      </x:c>
      <x:c r="L40" s="6"/>
      <x:c r="M40" s="6" t="str">
        <x:v>S_W</x:v>
      </x:c>
      <x:c r="N40" s="6" t="str">
        <x:v>Main Methods inclusive clinically meaningful thresholds differ from main Figure4 strict &gt; labels and an omitted diastolic operator. All compared descriptions are in the article.</x:v>
      </x:c>
      <x:c r="O40" s="6" t="str">
        <x:v>../../2019/jama.2019.14630/.ai_paper_validation/final_report_1_5_1.html</x:v>
      </x:c>
      <x:c r="P40" s="6" t="str">
        <x:v>2019/jama.2019.14630/.ai_paper_validation/final_report_1_5_1.md</x:v>
      </x:c>
      <x:c r="Q40" s="6" t="str">
        <x:v>C008</x:v>
      </x:c>
      <x:c r="R40" s="6" t="str">
        <x:v>Pending Human Adjudication</x:v>
      </x:c>
      <x:c r="S40" s="6" t="str">
        <x:v>Methods defines clinically meaningful changes with inclusive at least boundaries, while Figure 4 prints strict greater-than signs for ten classifications and omits the diastolic operator.</x:v>
      </x:c>
      <x:c r="T40" s="12" t="b">
        <x:v>1</x:v>
      </x:c>
      <x:c r="U40" s="6" t="str">
        <x:v>threshold_operator</x:v>
      </x:c>
      <x:c r="V40" s="6" t="str">
        <x:v>report_internal_inconsistency</x:v>
      </x:c>
      <x:c r="W40" s="6" t="str">
        <x:v>Figure 4 threshold labels do not preserve the Methods boundary operators</x:v>
      </x:c>
      <x:c r="X40" s="6" t="str">
        <x:v>2019</x:v>
      </x:c>
      <x:c r="Y40" s="6" t="str">
        <x:v>meta_report/consistency_reclassification_2026-09-04/reclassified_candidates.json</x:v>
      </x:c>
      <x:c r="Z40" s="6" t="str">
        <x:v>S_W</x:v>
      </x:c>
      <x:c r="AA40" s="6" t="str">
        <x:v>report_internal_inconsistency</x:v>
      </x:c>
      <x:c r="AB40" s="6" t="str">
        <x:v>retain</x:v>
      </x:c>
    </x:row>
    <x:row r="41" ht="90" customHeight="1">
      <x:c r="A41" s="11" t="b">
        <x:v>0</x:v>
      </x:c>
      <x:c r="B41" s="3"/>
      <x:c r="C41" s="11" t="b">
        <x:v>0</x:v>
      </x:c>
      <x:c r="D41" s="3" t="str">
        <x:v>Measure, label, or scale inconsistency</x:v>
      </x:c>
      <x:c r="E41" s="11" t="b">
        <x:v>0</x:v>
      </x:c>
      <x:c r="F41" s="3" t="str">
        <x:v>C009</x:v>
      </x:c>
      <x:c r="G41" s="3" t="str">
        <x:v>2019::jama.2019.14630::C009</x:v>
      </x:c>
      <x:c r="H41" s="3"/>
      <x:c r="I41" s="3" t="str">
        <x:v>Supplement 3 eTable 4 row — PDF p. 10; Supplement 3 eTable 4 footnote — PDF p. 11; Supplement 3 eTable 2 comparator — PDF p. 3; Supplement 3 eTable 7 comparator — PDF p. 17.</x:v>
      </x:c>
      <x:c r="J41" s="11" t="b">
        <x:v>0</x:v>
      </x:c>
      <x:c r="K41" s="3" t="str">
        <x:v>jama.2019.14630</x:v>
      </x:c>
      <x:c r="L41" s="3"/>
      <x:c r="M41" s="3" t="str">
        <x:v>S_W</x:v>
      </x:c>
      <x:c r="N41" s="3" t="str">
        <x:v>Results-supplement eTable4 labels350(175,350) mean(SD), whereas its own footnote and parallel tables in that same supplement define median(IQR).</x:v>
      </x:c>
      <x:c r="O41" s="3" t="str">
        <x:v>../../2019/jama.2019.14630/.ai_paper_validation/final_report_1_5_1.html</x:v>
      </x:c>
      <x:c r="P41" s="3" t="str">
        <x:v>2019/jama.2019.14630/.ai_paper_validation/final_report_1_5_1.md</x:v>
      </x:c>
      <x:c r="Q41" s="3" t="str">
        <x:v>C009</x:v>
      </x:c>
      <x:c r="R41" s="3" t="str">
        <x:v>Pending Human Adjudication</x:v>
      </x:c>
      <x:c r="S41" s="3" t="str">
        <x:v>ETable 4 labels total-olive-oil baseline as mean (SD) but prints 350 (175, 350) while its footnote and parallel food tables define that form as median (IQR).</x:v>
      </x:c>
      <x:c r="T41" s="11" t="b">
        <x:v>1</x:v>
      </x:c>
      <x:c r="U41" s="3" t="str">
        <x:v>summary_statistic_label</x:v>
      </x:c>
      <x:c r="V41" s="3" t="str">
        <x:v>report_internal_inconsistency</x:v>
      </x:c>
      <x:c r="W41" s="3" t="str">
        <x:v>eTable 4 total-olive-oil baseline row conflicts with the table’s median/IQR convention</x:v>
      </x:c>
      <x:c r="X41" s="3" t="str">
        <x:v>2019</x:v>
      </x:c>
      <x:c r="Y41" s="3" t="str">
        <x:v>meta_report/consistency_reclassification_2026-09-04/reclassified_candidates.json</x:v>
      </x:c>
      <x:c r="Z41" s="3" t="str">
        <x:v>S_W</x:v>
      </x:c>
      <x:c r="AA41" s="3" t="str">
        <x:v>report_internal_inconsistency</x:v>
      </x:c>
      <x:c r="AB41" s="3" t="str">
        <x:v>retain</x:v>
      </x:c>
    </x:row>
    <x:row r="42" ht="90" customHeight="1">
      <x:c r="A42" s="12" t="b">
        <x:v>0</x:v>
      </x:c>
      <x:c r="B42" s="6"/>
      <x:c r="C42" s="12" t="b">
        <x:v>0</x:v>
      </x:c>
      <x:c r="D42" s="6" t="str">
        <x:v>Numeric or arithmetic inconsistency</x:v>
      </x:c>
      <x:c r="E42" s="12" t="b">
        <x:v>0</x:v>
      </x:c>
      <x:c r="F42" s="6" t="str">
        <x:v>C001</x:v>
      </x:c>
      <x:c r="G42" s="6" t="str">
        <x:v>2019::jama.2019.14901::C001</x:v>
      </x:c>
      <x:c r="H42" s="6"/>
      <x:c r="I42" s="6"/>
      <x:c r="J42" s="12" t="b">
        <x:v>0</x:v>
      </x:c>
      <x:c r="K42" s="6" t="str">
        <x:v>jama.2019.14901</x:v>
      </x:c>
      <x:c r="L42" s="6"/>
      <x:c r="M42" s="6" t="str">
        <x:v>S_W</x:v>
      </x:c>
      <x:c r="N42" s="6" t="str">
        <x:v>The main abstract/Results show day7 respiratory-failure difference-8.7 while main Table2 and its counts give-8.5 for the same interval/P/result.</x:v>
      </x:c>
      <x:c r="O42" s="6" t="str">
        <x:v>../../2019/jama.2019.14901/.ai_paper_validation/final_report_1_5_1.html</x:v>
      </x:c>
      <x:c r="P42" s="6" t="str">
        <x:v>2019/jama.2019.14901/.ai_paper_validation/final_report_1_5_1.md</x:v>
      </x:c>
      <x:c r="Q42" s="6" t="str">
        <x:v>C001</x:v>
      </x:c>
      <x:c r="R42" s="6" t="str">
        <x:v>Pending Human Adjudication</x:v>
      </x:c>
      <x:c r="S42" s="6"/>
      <x:c r="T42" s="12" t="b">
        <x:v>1</x:v>
      </x:c>
      <x:c r="U42" s="6" t="str">
        <x:v>repeated_effect</x:v>
      </x:c>
      <x:c r="V42" s="6" t="str">
        <x:v>statistical_results</x:v>
      </x:c>
      <x:c r="W42" s="6" t="str">
        <x:v>Day-7 respiratory-failure absolute difference differs across matched article locations</x:v>
      </x:c>
      <x:c r="X42" s="6" t="str">
        <x:v>2019</x:v>
      </x:c>
      <x:c r="Y42" s="6" t="str">
        <x:v>meta_report/consistency_reclassification_2026-09-04/reclassified_candidates.json</x:v>
      </x:c>
      <x:c r="Z42" s="6" t="str">
        <x:v>S_W</x:v>
      </x:c>
      <x:c r="AA42" s="6" t="str">
        <x:v>statistical_results</x:v>
      </x:c>
      <x:c r="AB42" s="6" t="str">
        <x:v>retain</x:v>
      </x:c>
    </x:row>
    <x:row r="43" ht="90" customHeight="1">
      <x:c r="A43" s="11" t="b">
        <x:v>0</x:v>
      </x:c>
      <x:c r="B43" s="3" t="str">
        <x:v>The article separately distinguishes ordinary respiratory failure pH7.35 from severe/reintubation pH7.25; later approved refinement/amendment could explain the protocol difference.</x:v>
      </x:c>
      <x:c r="C43" s="11" t="b">
        <x:v>1</x:v>
      </x:c>
      <x:c r="D43" s="3" t="str">
        <x:v>Measure, label, or scale inconsistency</x:v>
      </x:c>
      <x:c r="E43" s="11" t="b">
        <x:v>1</x:v>
      </x:c>
      <x:c r="F43" s="3" t="str">
        <x:v>C002</x:v>
      </x:c>
      <x:c r="G43" s="3" t="str">
        <x:v>2019::jama.2019.14901::C002</x:v>
      </x:c>
      <x:c r="H43" s="3"/>
      <x:c r="I43" s="3"/>
      <x:c r="J43" s="11" t="b">
        <x:v>0</x:v>
      </x:c>
      <x:c r="K43" s="3" t="str">
        <x:v>jama.2019.14901</x:v>
      </x:c>
      <x:c r="L43" s="3" t="str">
        <x:v>endpoint_definition_window_hierarchy</x:v>
      </x:c>
      <x:c r="M43" s="3" t="str">
        <x:v>P_R</x:v>
      </x:c>
      <x:c r="N43" s="3" t="str">
        <x:v>Article reintubation respiratory-acidosis pH&lt;7.25 differs from protocol v4 pH&lt;7.35 with the same PaCO2&gt;45 condition and same severe-failure decision role.</x:v>
      </x:c>
      <x:c r="O43" s="3" t="str">
        <x:v>../../2019/jama.2019.14901/.ai_paper_validation/final_report_1_5_1.html</x:v>
      </x:c>
      <x:c r="P43" s="3" t="str">
        <x:v>2019/jama.2019.14901/.ai_paper_validation/final_report_1_5_1.md</x:v>
      </x:c>
      <x:c r="Q43" s="3" t="str">
        <x:v>C002</x:v>
      </x:c>
      <x:c r="R43" s="3" t="str">
        <x:v>Pending Human Adjudication</x:v>
      </x:c>
      <x:c r="S43" s="3"/>
      <x:c r="T43" s="11" t="b">
        <x:v>0</x:v>
      </x:c>
      <x:c r="U43" s="3" t="str">
        <x:v>endpoint_threshold</x:v>
      </x:c>
      <x:c r="V43" s="3" t="str">
        <x:v>protocol_report</x:v>
      </x:c>
      <x:c r="W43" s="3" t="str">
        <x:v>Reintubation respiratory-acidosis cutoff differs between article and protocol</x:v>
      </x:c>
      <x:c r="X43" s="3" t="str">
        <x:v>2019</x:v>
      </x:c>
      <x:c r="Y43" s="3" t="str">
        <x:v>meta_report/consistency_reclassification_2026-09-04/reclassified_candidates.json</x:v>
      </x:c>
      <x:c r="Z43" s="3" t="str">
        <x:v>P_R</x:v>
      </x:c>
      <x:c r="AA43" s="3" t="str">
        <x:v>protocol_report</x:v>
      </x:c>
      <x:c r="AB43" s="3" t="str">
        <x:v>retain</x:v>
      </x:c>
    </x:row>
    <x:row r="44" ht="90" customHeight="1">
      <x:c r="A44" s="12" t="b">
        <x:v>0</x:v>
      </x:c>
      <x:c r="B44" s="6" t="str">
        <x:v>Percentages match complementary effective-cough counts; intended coding is unknown.</x:v>
      </x:c>
      <x:c r="C44" s="12" t="b">
        <x:v>0</x:v>
      </x:c>
      <x:c r="D44" s="6" t="str">
        <x:v>Denominator, proportion, or total inconsistency</x:v>
      </x:c>
      <x:c r="E44" s="12" t="b">
        <x:v>0</x:v>
      </x:c>
      <x:c r="F44" s="6" t="str">
        <x:v>C003</x:v>
      </x:c>
      <x:c r="G44" s="6" t="str">
        <x:v>2019::jama.2019.14901::C003</x:v>
      </x:c>
      <x:c r="H44" s="6"/>
      <x:c r="I44" s="6"/>
      <x:c r="J44" s="12" t="b">
        <x:v>0</x:v>
      </x:c>
      <x:c r="K44" s="6" t="str">
        <x:v>jama.2019.14901</x:v>
      </x:c>
      <x:c r="L44" s="6"/>
      <x:c r="M44" s="6" t="str">
        <x:v>S_W</x:v>
      </x:c>
      <x:c r="N44" s="6" t="str">
        <x:v>Results-supplement ineffective-cough cells14/45(69%) and16/59(73%) disagree internally; main aggregate fractions reconcile with the supplement strata and only corroborate numerators.</x:v>
      </x:c>
      <x:c r="O44" s="6" t="str">
        <x:v>../../2019/jama.2019.14901/.ai_paper_validation/final_report_1_5_1.html</x:v>
      </x:c>
      <x:c r="P44" s="6" t="str">
        <x:v>2019/jama.2019.14901/.ai_paper_validation/final_report_1_5_1.md</x:v>
      </x:c>
      <x:c r="Q44" s="6" t="str">
        <x:v>C003</x:v>
      </x:c>
      <x:c r="R44" s="6" t="str">
        <x:v>Pending Human Adjudication</x:v>
      </x:c>
      <x:c r="S44" s="6"/>
      <x:c r="T44" s="12" t="b">
        <x:v>1</x:v>
      </x:c>
      <x:c r="U44" s="6" t="str">
        <x:v>complement_percentage</x:v>
      </x:c>
      <x:c r="V44" s="6" t="str">
        <x:v>statistical_results</x:v>
      </x:c>
      <x:c r="W44" s="6" t="str">
        <x:v>Hypercapnic ineffective-cough percentages conflict with printed fractions</x:v>
      </x:c>
      <x:c r="X44" s="6" t="str">
        <x:v>2019</x:v>
      </x:c>
      <x:c r="Y44" s="6" t="str">
        <x:v>meta_report/consistency_reclassification_2026-09-04/reclassified_candidates.json</x:v>
      </x:c>
      <x:c r="Z44" s="6" t="str">
        <x:v>S_W</x:v>
      </x:c>
      <x:c r="AA44" s="6" t="str">
        <x:v>statistical_results</x:v>
      </x:c>
      <x:c r="AB44" s="6" t="str">
        <x:v>retain</x:v>
      </x:c>
    </x:row>
    <x:row r="45" ht="90" customHeight="1">
      <x:c r="A45" s="11" t="b">
        <x:v>0</x:v>
      </x:c>
      <x:c r="B45" s="3" t="str">
        <x:v>Percentages match absence-of-secretions complements; same mechanism as C003 but different outcome cells.</x:v>
      </x:c>
      <x:c r="C45" s="11" t="b">
        <x:v>0</x:v>
      </x:c>
      <x:c r="D45" s="3" t="str">
        <x:v>Denominator, proportion, or total inconsistency</x:v>
      </x:c>
      <x:c r="E45" s="11" t="b">
        <x:v>0</x:v>
      </x:c>
      <x:c r="F45" s="3" t="str">
        <x:v>C004</x:v>
      </x:c>
      <x:c r="G45" s="3" t="str">
        <x:v>2019::jama.2019.14901::C004</x:v>
      </x:c>
      <x:c r="H45" s="3"/>
      <x:c r="I45" s="3"/>
      <x:c r="J45" s="11" t="b">
        <x:v>0</x:v>
      </x:c>
      <x:c r="K45" s="3" t="str">
        <x:v>jama.2019.14901</x:v>
      </x:c>
      <x:c r="L45" s="3"/>
      <x:c r="M45" s="3" t="str">
        <x:v>S_W</x:v>
      </x:c>
      <x:c r="N45" s="3" t="str">
        <x:v>Results-supplement abundant-secretion cells20/46(57%) and23/61(62%) disagree internally; main aggregate fractions reconcile and merely corroborate the numerators.</x:v>
      </x:c>
      <x:c r="O45" s="3" t="str">
        <x:v>../../2019/jama.2019.14901/.ai_paper_validation/final_report_1_5_1.html</x:v>
      </x:c>
      <x:c r="P45" s="3" t="str">
        <x:v>2019/jama.2019.14901/.ai_paper_validation/final_report_1_5_1.md</x:v>
      </x:c>
      <x:c r="Q45" s="3" t="str">
        <x:v>C004</x:v>
      </x:c>
      <x:c r="R45" s="3" t="str">
        <x:v>Pending Human Adjudication</x:v>
      </x:c>
      <x:c r="S45" s="3"/>
      <x:c r="T45" s="11" t="b">
        <x:v>1</x:v>
      </x:c>
      <x:c r="U45" s="3" t="str">
        <x:v>complement_percentage</x:v>
      </x:c>
      <x:c r="V45" s="3" t="str">
        <x:v>statistical_results</x:v>
      </x:c>
      <x:c r="W45" s="3" t="str">
        <x:v>Hypercapnic abundant-secretion percentages conflict with printed fractions</x:v>
      </x:c>
      <x:c r="X45" s="3" t="str">
        <x:v>2019</x:v>
      </x:c>
      <x:c r="Y45" s="3" t="str">
        <x:v>meta_report/consistency_reclassification_2026-09-04/reclassified_candidates.json</x:v>
      </x:c>
      <x:c r="Z45" s="3" t="str">
        <x:v>S_W</x:v>
      </x:c>
      <x:c r="AA45" s="3" t="str">
        <x:v>statistical_results</x:v>
      </x:c>
      <x:c r="AB45" s="3" t="str">
        <x:v>retain</x:v>
      </x:c>
    </x:row>
    <x:row r="46" ht="90" customHeight="1">
      <x:c r="A46" s="12" t="b">
        <x:v>0</x:v>
      </x:c>
      <x:c r="B46" s="6" t="str">
        <x:v>Different test variants or truncation rules could explain the difference; both values exceed.05.</x:v>
      </x:c>
      <x:c r="C46" s="12" t="b">
        <x:v>0</x:v>
      </x:c>
      <x:c r="D46" s="6" t="str">
        <x:v>Cross-document numeric inconsistency</x:v>
      </x:c>
      <x:c r="E46" s="12" t="b">
        <x:v>1</x:v>
      </x:c>
      <x:c r="F46" s="6" t="str">
        <x:v>C005</x:v>
      </x:c>
      <x:c r="G46" s="6" t="str">
        <x:v>2019::jama.2019.14901::C005</x:v>
      </x:c>
      <x:c r="H46" s="6"/>
      <x:c r="I46" s="6"/>
      <x:c r="J46" s="12" t="b">
        <x:v>1</x:v>
      </x:c>
      <x:c r="K46" s="6" t="str">
        <x:v>jama.2019.14901</x:v>
      </x:c>
      <x:c r="L46" s="6"/>
      <x:c r="M46" s="6" t="str">
        <x:v>S_C</x:v>
      </x:c>
      <x:c r="N46" s="6" t="str">
        <x:v>Main subgroup Results give nonhypercapnic day7 reintubation P.10 while the matched results-supplement eTable4 gives.1057, which ordinarily rounds.11.</x:v>
      </x:c>
      <x:c r="O46" s="6" t="str">
        <x:v>../../2019/jama.2019.14901/.ai_paper_validation/final_report_1_5_1.html</x:v>
      </x:c>
      <x:c r="P46" s="6" t="str">
        <x:v>2019/jama.2019.14901/.ai_paper_validation/final_report_1_5_1.md</x:v>
      </x:c>
      <x:c r="Q46" s="6" t="str">
        <x:v>C005</x:v>
      </x:c>
      <x:c r="R46" s="6" t="str">
        <x:v>Pending Human Adjudication</x:v>
      </x:c>
      <x:c r="S46" s="6"/>
      <x:c r="T46" s="12" t="b">
        <x:v>1</x:v>
      </x:c>
      <x:c r="U46" s="6" t="str">
        <x:v>repeated_p_value</x:v>
      </x:c>
      <x:c r="V46" s="6" t="str">
        <x:v>report_internal_inconsistency</x:v>
      </x:c>
      <x:c r="W46" s="6" t="str">
        <x:v>Matched nonhypercapnic day-7 reintubation P values differ across article and supplement</x:v>
      </x:c>
      <x:c r="X46" s="6" t="str">
        <x:v>2019</x:v>
      </x:c>
      <x:c r="Y46" s="6" t="str">
        <x:v>meta_report/consistency_reclassification_2026-09-04/reclassified_candidates.json</x:v>
      </x:c>
      <x:c r="Z46" s="6" t="str">
        <x:v>S_C</x:v>
      </x:c>
      <x:c r="AA46" s="6" t="str">
        <x:v>report_internal_inconsistency</x:v>
      </x:c>
      <x:c r="AB46" s="6" t="str">
        <x:v>retain</x:v>
      </x:c>
    </x:row>
    <x:row r="47" ht="90" customHeight="1">
      <x:c r="A47" s="11" t="b">
        <x:v>0</x:v>
      </x:c>
      <x:c r="B47" s="3" t="str">
        <x:v>The extra3months may be implicit final-participant follow-up, so the issue may be incomplete wording.</x:v>
      </x:c>
      <x:c r="C47" s="11" t="b">
        <x:v>1</x:v>
      </x:c>
      <x:c r="D47" s="3" t="str">
        <x:v>Numeric or arithmetic inconsistency</x:v>
      </x:c>
      <x:c r="E47" s="11" t="b">
        <x:v>0</x:v>
      </x:c>
      <x:c r="F47" s="3" t="str">
        <x:v>C006</x:v>
      </x:c>
      <x:c r="G47" s="3" t="str">
        <x:v>2019::jama.2019.14901::C006</x:v>
      </x:c>
      <x:c r="H47" s="3"/>
      <x:c r="I47" s="3"/>
      <x:c r="J47" s="11" t="b">
        <x:v>0</x:v>
      </x:c>
      <x:c r="K47" s="3" t="str">
        <x:v>jama.2019.14901</x:v>
      </x:c>
      <x:c r="L47" s="3"/>
      <x:c r="M47" s="3" t="str">
        <x:v>P_P</x:v>
      </x:c>
      <x:c r="N47" s="3" t="str">
        <x:v>Protocol p32 says51 months but its two named components sum36+12=48, whereas protocol p11 includes39+12=51 with final3-month follow-up. Both inconsistent decompositions are within the protocol.</x:v>
      </x:c>
      <x:c r="O47" s="3" t="str">
        <x:v>../../2019/jama.2019.14901/.ai_paper_validation/final_report_1_5_1.html</x:v>
      </x:c>
      <x:c r="P47" s="3" t="str">
        <x:v>2019/jama.2019.14901/.ai_paper_validation/final_report_1_5_1.md</x:v>
      </x:c>
      <x:c r="Q47" s="3" t="str">
        <x:v>C006</x:v>
      </x:c>
      <x:c r="R47" s="3" t="str">
        <x:v>Pending Human Adjudication</x:v>
      </x:c>
      <x:c r="S47" s="3"/>
      <x:c r="T47" s="11" t="b">
        <x:v>0</x:v>
      </x:c>
      <x:c r="U47" s="3" t="str">
        <x:v>timeline_arithmetic</x:v>
      </x:c>
      <x:c r="V47" s="3" t="str">
        <x:v>plan_material</x:v>
      </x:c>
      <x:c r="W47" s="3" t="str">
        <x:v>Protocol total-duration breakdown does not arithmetically reach the printed total</x:v>
      </x:c>
      <x:c r="X47" s="3" t="str">
        <x:v>2019</x:v>
      </x:c>
      <x:c r="Y47" s="3" t="str">
        <x:v>meta_report/consistency_reclassification_2026-09-04/reclassified_candidates.json</x:v>
      </x:c>
      <x:c r="Z47" s="3" t="str">
        <x:v>P_P</x:v>
      </x:c>
      <x:c r="AA47" s="3" t="str">
        <x:v>plan_material</x:v>
      </x:c>
      <x:c r="AB47" s="3" t="str">
        <x:v>retain</x:v>
      </x:c>
    </x:row>
    <x:row r="48" ht="90" customHeight="1">
      <x:c r="A48" s="12" t="b">
        <x:v>0</x:v>
      </x:c>
      <x:c r="B48" s="6"/>
      <x:c r="C48" s="12" t="b">
        <x:v>0</x:v>
      </x:c>
      <x:c r="D48" s="6" t="str">
        <x:v>Cross-document numeric inconsistency</x:v>
      </x:c>
      <x:c r="E48" s="12" t="b">
        <x:v>0</x:v>
      </x:c>
      <x:c r="F48" s="6" t="str">
        <x:v>C001</x:v>
      </x:c>
      <x:c r="G48" s="6" t="str">
        <x:v>2019::jama.2019.17380::C001</x:v>
      </x:c>
      <x:c r="H48" s="6"/>
      <x:c r="I48" s="6" t="str">
        <x:v>Figure 2 panel B — PDF p. 7; Table 2 — PDF p. 8.</x:v>
      </x:c>
      <x:c r="J48" s="12" t="b">
        <x:v>1</x:v>
      </x:c>
      <x:c r="K48" s="6" t="str">
        <x:v>jama.2019.17380</x:v>
      </x:c>
      <x:c r="L48" s="6"/>
      <x:c r="M48" s="6" t="str">
        <x:v>S_W</x:v>
      </x:c>
      <x:c r="N48" s="6" t="str">
        <x:v>Main Figure2B omega3 eGFR contributor counts differ from main Table2 at all three times while totals match. Abstract/table/figure are sections of one article, despite original cross-document category.</x:v>
      </x:c>
      <x:c r="O48" s="6" t="str">
        <x:v>../../2019/jama.2019.17380/.ai_paper_validation/final_report_1_5_2.html</x:v>
      </x:c>
      <x:c r="P48" s="6" t="str">
        <x:v>2019/jama.2019.17380/.ai_paper_validation/final_report_1_5_2.md</x:v>
      </x:c>
      <x:c r="Q48" s="6" t="str">
        <x:v>C001</x:v>
      </x:c>
      <x:c r="R48" s="6" t="str">
        <x:v>Pending Human Adjudication</x:v>
      </x:c>
      <x:c r="S48" s="6" t="str">
        <x:v>Figure 2 panel B and Table 2 print different omega-3 arm-specific eGFR contributor counts at each matched time point.</x:v>
      </x:c>
      <x:c r="T48" s="12" t="b">
        <x:v>1</x:v>
      </x:c>
      <x:c r="U48" s="6" t="str">
        <x:v>participant_count_mapping</x:v>
      </x:c>
      <x:c r="V48" s="6" t="str">
        <x:v>report_internal_inconsistency</x:v>
      </x:c>
      <x:c r="W48" s="6" t="str">
        <x:v>Figure 2 omega-3 eGFR contributor counts conflict with Table 2</x:v>
      </x:c>
      <x:c r="X48" s="6" t="str">
        <x:v>2019</x:v>
      </x:c>
      <x:c r="Y48" s="6" t="str">
        <x:v>meta_report/consistency_reclassification_2026-09-04/reclassified_candidates.json</x:v>
      </x:c>
      <x:c r="Z48" s="6" t="str">
        <x:v>S_W</x:v>
      </x:c>
      <x:c r="AA48" s="6" t="str">
        <x:v>report_internal_inconsistency</x:v>
      </x:c>
      <x:c r="AB48" s="6" t="str">
        <x:v>retain</x:v>
      </x:c>
    </x:row>
    <x:row r="49" ht="90" customHeight="1">
      <x:c r="A49" s="11" t="b">
        <x:v>0</x:v>
      </x:c>
      <x:c r="B49" s="3"/>
      <x:c r="C49" s="11" t="b">
        <x:v>0</x:v>
      </x:c>
      <x:c r="D49" s="3" t="str">
        <x:v>Cross-document numeric inconsistency</x:v>
      </x:c>
      <x:c r="E49" s="11" t="b">
        <x:v>1</x:v>
      </x:c>
      <x:c r="F49" s="3" t="str">
        <x:v>C002</x:v>
      </x:c>
      <x:c r="G49" s="3" t="str">
        <x:v>2019::jama.2019.17380::C002</x:v>
      </x:c>
      <x:c r="H49" s="3"/>
      <x:c r="I49" s="3" t="str">
        <x:v>Figure 2 panel D — PDF p. 7; eTable 6 — PDF p. 11.</x:v>
      </x:c>
      <x:c r="J49" s="11" t="b">
        <x:v>1</x:v>
      </x:c>
      <x:c r="K49" s="3" t="str">
        <x:v>jama.2019.17380</x:v>
      </x:c>
      <x:c r="L49" s="3"/>
      <x:c r="M49" s="3" t="str">
        <x:v>S_C</x:v>
      </x:c>
      <x:c r="N49" s="3" t="str">
        <x:v>Main Figure2D omega3 urine-ACR contributor counts differ from the results-supplement eTable6 arm counts at matched times; this is an actual article-versus-results-supplement comparison.</x:v>
      </x:c>
      <x:c r="O49" s="3" t="str">
        <x:v>../../2019/jama.2019.17380/.ai_paper_validation/final_report_1_5_2.html</x:v>
      </x:c>
      <x:c r="P49" s="3" t="str">
        <x:v>2019/jama.2019.17380/.ai_paper_validation/final_report_1_5_2.md</x:v>
      </x:c>
      <x:c r="Q49" s="3" t="str">
        <x:v>C002</x:v>
      </x:c>
      <x:c r="R49" s="3" t="str">
        <x:v>Pending Human Adjudication</x:v>
      </x:c>
      <x:c r="S49" s="3" t="str">
        <x:v>Figure 2 panel D and eTable 6 print different omega-3 arm-specific urine-ACR contributor counts at all matched time points.</x:v>
      </x:c>
      <x:c r="T49" s="11" t="b">
        <x:v>1</x:v>
      </x:c>
      <x:c r="U49" s="3" t="str">
        <x:v>participant_count_mapping</x:v>
      </x:c>
      <x:c r="V49" s="3" t="str">
        <x:v>report_internal_inconsistency</x:v>
      </x:c>
      <x:c r="W49" s="3" t="str">
        <x:v>Figure 2 omega-3 urine-ACR contributor counts conflict with eTable 6</x:v>
      </x:c>
      <x:c r="X49" s="3" t="str">
        <x:v>2019</x:v>
      </x:c>
      <x:c r="Y49" s="3" t="str">
        <x:v>meta_report/consistency_reclassification_2026-09-04/reclassified_candidates.json</x:v>
      </x:c>
      <x:c r="Z49" s="3" t="str">
        <x:v>S_C</x:v>
      </x:c>
      <x:c r="AA49" s="3" t="str">
        <x:v>report_internal_inconsistency</x:v>
      </x:c>
      <x:c r="AB49" s="3" t="str">
        <x:v>retain</x:v>
      </x:c>
    </x:row>
    <x:row r="50" ht="90" customHeight="1">
      <x:c r="A50" s="12" t="b">
        <x:v>0</x:v>
      </x:c>
      <x:c r="B50" s="6"/>
      <x:c r="C50" s="12" t="b">
        <x:v>0</x:v>
      </x:c>
      <x:c r="D50" s="6" t="str">
        <x:v>Measure, label, or scale inconsistency</x:v>
      </x:c>
      <x:c r="E50" s="12" t="b">
        <x:v>0</x:v>
      </x:c>
      <x:c r="F50" s="6" t="str">
        <x:v>C003</x:v>
      </x:c>
      <x:c r="G50" s="6" t="str">
        <x:v>2019::jama.2019.17380::C003</x:v>
      </x:c>
      <x:c r="H50" s="6"/>
      <x:c r="I50" s="6" t="str">
        <x:v>Abstract — PDF p. 1; Table 2 and Figure 3 — PDF p. 8.</x:v>
      </x:c>
      <x:c r="J50" s="12" t="b">
        <x:v>0</x:v>
      </x:c>
      <x:c r="K50" s="6" t="str">
        <x:v>jama.2019.17380</x:v>
      </x:c>
      <x:c r="L50" s="6"/>
      <x:c r="M50" s="6" t="str">
        <x:v>S_W</x:v>
      </x:c>
      <x:c r="N50" s="6" t="str">
        <x:v>Main Figure3 vitaminD N703/N609 sit under opposite headings relative to the factorial allocations and Table2 inside the same article; candidate is confined to counts.</x:v>
      </x:c>
      <x:c r="O50" s="6" t="str">
        <x:v>../../2019/jama.2019.17380/.ai_paper_validation/final_report_1_5_2.html</x:v>
      </x:c>
      <x:c r="P50" s="6" t="str">
        <x:v>2019/jama.2019.17380/.ai_paper_validation/final_report_1_5_2.md</x:v>
      </x:c>
      <x:c r="Q50" s="6" t="str">
        <x:v>C003</x:v>
      </x:c>
      <x:c r="R50" s="6" t="str">
        <x:v>Pending Human Adjudication</x:v>
      </x:c>
      <x:c r="S50" s="6" t="str">
        <x:v>Figure 3 places the randomized vitamin-D participant counts under the opposite treatment headings; this candidate is confined to participant-count columns.</x:v>
      </x:c>
      <x:c r="T50" s="12" t="b">
        <x:v>1</x:v>
      </x:c>
      <x:c r="U50" s="6" t="str">
        <x:v>arm_count_transposition</x:v>
      </x:c>
      <x:c r="V50" s="6" t="str">
        <x:v>report_internal_inconsistency</x:v>
      </x:c>
      <x:c r="W50" s="6" t="str">
        <x:v>Figure 3 assigns vitamin-D arm sizes to the opposite column labels</x:v>
      </x:c>
      <x:c r="X50" s="6" t="str">
        <x:v>2019</x:v>
      </x:c>
      <x:c r="Y50" s="6" t="str">
        <x:v>meta_report/consistency_reclassification_2026-09-04/reclassified_candidates.json</x:v>
      </x:c>
      <x:c r="Z50" s="6" t="str">
        <x:v>S_W</x:v>
      </x:c>
      <x:c r="AA50" s="6" t="str">
        <x:v>report_internal_inconsistency</x:v>
      </x:c>
      <x:c r="AB50" s="6" t="str">
        <x:v>retain</x:v>
      </x:c>
    </x:row>
    <x:row r="51" ht="90" customHeight="1">
      <x:c r="A51" s="11" t="b">
        <x:v>0</x:v>
      </x:c>
      <x:c r="B51" s="3"/>
      <x:c r="C51" s="11" t="b">
        <x:v>0</x:v>
      </x:c>
      <x:c r="D51" s="3" t="str">
        <x:v>Measure, label, or scale inconsistency</x:v>
      </x:c>
      <x:c r="E51" s="11" t="b">
        <x:v>0</x:v>
      </x:c>
      <x:c r="F51" s="3" t="str">
        <x:v>C004</x:v>
      </x:c>
      <x:c r="G51" s="3" t="str">
        <x:v>2019::jama.2019.17380::C004</x:v>
      </x:c>
      <x:c r="H51" s="3"/>
      <x:c r="I51" s="3" t="str">
        <x:v>Abstract — PDF p. 1; Table 2 — PDF p. 8; Figure 4 — PDF p. 9.</x:v>
      </x:c>
      <x:c r="J51" s="11" t="b">
        <x:v>0</x:v>
      </x:c>
      <x:c r="K51" s="3" t="str">
        <x:v>jama.2019.17380</x:v>
      </x:c>
      <x:c r="L51" s="3"/>
      <x:c r="M51" s="3" t="str">
        <x:v>S_W</x:v>
      </x:c>
      <x:c r="N51" s="3" t="str">
        <x:v>Main Figure4 omega3 N659/N653 sit under opposite headings relative to main abstract factorial allocation and Table2; no cross-file source is required.</x:v>
      </x:c>
      <x:c r="O51" s="3" t="str">
        <x:v>../../2019/jama.2019.17380/.ai_paper_validation/final_report_1_5_2.html</x:v>
      </x:c>
      <x:c r="P51" s="3" t="str">
        <x:v>2019/jama.2019.17380/.ai_paper_validation/final_report_1_5_2.md</x:v>
      </x:c>
      <x:c r="Q51" s="3" t="str">
        <x:v>C004</x:v>
      </x:c>
      <x:c r="R51" s="3" t="str">
        <x:v>Pending Human Adjudication</x:v>
      </x:c>
      <x:c r="S51" s="3" t="str">
        <x:v>Figure 4 places randomized omega-3 participant counts under opposite treatment headings; this candidate is confined to participant-count columns.</x:v>
      </x:c>
      <x:c r="T51" s="11" t="b">
        <x:v>1</x:v>
      </x:c>
      <x:c r="U51" s="3" t="str">
        <x:v>arm_count_transposition</x:v>
      </x:c>
      <x:c r="V51" s="3" t="str">
        <x:v>report_internal_inconsistency</x:v>
      </x:c>
      <x:c r="W51" s="3" t="str">
        <x:v>Figure 4 assigns omega-3 arm sizes to the opposite column labels</x:v>
      </x:c>
      <x:c r="X51" s="3" t="str">
        <x:v>2019</x:v>
      </x:c>
      <x:c r="Y51" s="3" t="str">
        <x:v>meta_report/consistency_reclassification_2026-09-04/reclassified_candidates.json</x:v>
      </x:c>
      <x:c r="Z51" s="3" t="str">
        <x:v>S_W</x:v>
      </x:c>
      <x:c r="AA51" s="3" t="str">
        <x:v>report_internal_inconsistency</x:v>
      </x:c>
      <x:c r="AB51" s="3" t="str">
        <x:v>retain</x:v>
      </x:c>
    </x:row>
    <x:row r="52" ht="90" customHeight="1">
      <x:c r="A52" s="12" t="b">
        <x:v>0</x:v>
      </x:c>
      <x:c r="B52" s="6" t="str">
        <x:v>Cross-file exact randomized totals plus within-supplement arm/count compatibility. Randomized703 versus measured702 is an availability difference, not an additional discrepancy; changes/forest estimates are not claimed reversed.</x:v>
      </x:c>
      <x:c r="C52" s="12" t="b">
        <x:v>0</x:v>
      </x:c>
      <x:c r="D52" s="6" t="str">
        <x:v>Measure, label, or scale inconsistency</x:v>
      </x:c>
      <x:c r="E52" s="12" t="b">
        <x:v>1</x:v>
      </x:c>
      <x:c r="F52" s="6" t="str">
        <x:v>C005</x:v>
      </x:c>
      <x:c r="G52" s="6" t="str">
        <x:v>2019::jama.2019.17380::C005</x:v>
      </x:c>
      <x:c r="H52" s="6"/>
      <x:c r="I52" s="6" t="str">
        <x:v>Abstract — PDF p. 1; eTable 6 — PDF p. 11; eFigure 2 — PDF p. 18.</x:v>
      </x:c>
      <x:c r="J52" s="12" t="b">
        <x:v>0</x:v>
      </x:c>
      <x:c r="K52" s="6" t="str">
        <x:v>jama.2019.17380</x:v>
      </x:c>
      <x:c r="L52" s="6"/>
      <x:c r="M52" s="6" t="str">
        <x:v>S_C</x:v>
      </x:c>
      <x:c r="N52" s="6" t="str">
        <x:v>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x:v>
      </x:c>
      <x:c r="O52" s="6" t="str">
        <x:v>../../2019/jama.2019.17380/.ai_paper_validation/final_report_1_5_2.html</x:v>
      </x:c>
      <x:c r="P52" s="6" t="str">
        <x:v>2019/jama.2019.17380/.ai_paper_validation/final_report_1_5_2.md</x:v>
      </x:c>
      <x:c r="Q52" s="6" t="str">
        <x:v>C005</x:v>
      </x:c>
      <x:c r="R52" s="6" t="str">
        <x:v>Pending Human Adjudication</x:v>
      </x:c>
      <x:c r="S52" s="6" t="str">
        <x:v>eFigure 2 maps vitamin-D participant counts to opposite headings while its overall geometric-change values remain aligned with the printed headings; this candidate is count-only.</x:v>
      </x:c>
      <x:c r="T52" s="12" t="b">
        <x:v>1</x:v>
      </x:c>
      <x:c r="U52" s="6" t="str">
        <x:v>arm_count_transposition</x:v>
      </x:c>
      <x:c r="V52" s="6" t="str">
        <x:v>report_internal_inconsistency</x:v>
      </x:c>
      <x:c r="W52" s="6" t="str">
        <x:v>eFigure 2 places vitamin-D participant counts under the opposite headings</x:v>
      </x:c>
      <x:c r="X52" s="6" t="str">
        <x:v>2019</x:v>
      </x:c>
      <x:c r="Y52" s="6" t="str">
        <x:v>meta_report/consistency_reclassification_2026-09-04/reclassified_candidates.json</x:v>
      </x:c>
      <x:c r="Z52" s="6" t="str">
        <x:v>S_C</x:v>
      </x:c>
      <x:c r="AA52" s="6" t="str">
        <x:v>report_internal_inconsistency</x:v>
      </x:c>
      <x:c r="AB52" s="6" t="str">
        <x:v>retain</x:v>
      </x:c>
    </x:row>
    <x:row r="53" ht="90" customHeight="1">
      <x:c r="A53" s="11" t="b">
        <x:v>0</x:v>
      </x:c>
      <x:c r="B53" s="3" t="str">
        <x:v>Cross-file randomized totals plus within-supplement arm/count compatibility. Randomized659 versus measured658 is expected availability context, not a separate discrepancy; effect estimates are not claimed reversed.</x:v>
      </x:c>
      <x:c r="C53" s="11" t="b">
        <x:v>0</x:v>
      </x:c>
      <x:c r="D53" s="3" t="str">
        <x:v>Measure, label, or scale inconsistency</x:v>
      </x:c>
      <x:c r="E53" s="11" t="b">
        <x:v>1</x:v>
      </x:c>
      <x:c r="F53" s="3" t="str">
        <x:v>C006</x:v>
      </x:c>
      <x:c r="G53" s="3" t="str">
        <x:v>2019::jama.2019.17380::C006</x:v>
      </x:c>
      <x:c r="H53" s="3"/>
      <x:c r="I53" s="3" t="str">
        <x:v>Abstract — PDF p. 1; eTable 6 — PDF p. 11; eFigure 3 — PDF p. 19.</x:v>
      </x:c>
      <x:c r="J53" s="11" t="b">
        <x:v>0</x:v>
      </x:c>
      <x:c r="K53" s="3" t="str">
        <x:v>jama.2019.17380</x:v>
      </x:c>
      <x:c r="L53" s="3"/>
      <x:c r="M53" s="3" t="str">
        <x:v>S_C</x:v>
      </x:c>
      <x:c r="N53" s="3" t="str">
        <x:v>Results-supplement eFigure3 N659/N653 are opposite to exact omega3 randomized totals derived from main abstract allocation cells. Same-supplement eTable6 identifies active measuredN658 and matching change ratios, incompatible with figure active randomizedN653.</x:v>
      </x:c>
      <x:c r="O53" s="3" t="str">
        <x:v>../../2019/jama.2019.17380/.ai_paper_validation/final_report_1_5_2.html</x:v>
      </x:c>
      <x:c r="P53" s="3" t="str">
        <x:v>2019/jama.2019.17380/.ai_paper_validation/final_report_1_5_2.md</x:v>
      </x:c>
      <x:c r="Q53" s="3" t="str">
        <x:v>C006</x:v>
      </x:c>
      <x:c r="R53" s="3" t="str">
        <x:v>Pending Human Adjudication</x:v>
      </x:c>
      <x:c r="S53" s="3" t="str">
        <x:v>eFigure 3 maps omega-3 participant counts to opposite headings while overall geometric-change values remain aligned with their printed headings; this candidate is count-only.</x:v>
      </x:c>
      <x:c r="T53" s="11" t="b">
        <x:v>1</x:v>
      </x:c>
      <x:c r="U53" s="3" t="str">
        <x:v>arm_count_transposition</x:v>
      </x:c>
      <x:c r="V53" s="3" t="str">
        <x:v>report_internal_inconsistency</x:v>
      </x:c>
      <x:c r="W53" s="3" t="str">
        <x:v>eFigure 3 places omega-3 participant counts under the opposite headings</x:v>
      </x:c>
      <x:c r="X53" s="3" t="str">
        <x:v>2019</x:v>
      </x:c>
      <x:c r="Y53" s="3" t="str">
        <x:v>meta_report/consistency_reclassification_2026-09-04/reclassified_candidates.json</x:v>
      </x:c>
      <x:c r="Z53" s="3" t="str">
        <x:v>S_C</x:v>
      </x:c>
      <x:c r="AA53" s="3" t="str">
        <x:v>report_internal_inconsistency</x:v>
      </x:c>
      <x:c r="AB53" s="3" t="str">
        <x:v>retain</x:v>
      </x:c>
    </x:row>
    <x:row r="54" ht="90" customHeight="1">
      <x:c r="A54" s="12" t="b">
        <x:v>0</x:v>
      </x:c>
      <x:c r="B54" s="6" t="str">
        <x:v>An intentional increase and broader analytic scope are possible; governing amendment and rationale are absent.</x:v>
      </x:c>
      <x:c r="C54" s="12" t="b">
        <x:v>1</x:v>
      </x:c>
      <x:c r="D54" s="6" t="str">
        <x:v>Cross-document numeric inconsistency</x:v>
      </x:c>
      <x:c r="E54" s="12" t="b">
        <x:v>1</x:v>
      </x:c>
      <x:c r="F54" s="6" t="str">
        <x:v>C007</x:v>
      </x:c>
      <x:c r="G54" s="6" t="str">
        <x:v>2019::jama.2019.17380::C007</x:v>
      </x:c>
      <x:c r="H54" s="6"/>
      <x:c r="I54" s="6" t="str">
        <x:v>Analytic-plan addendum, Section 15c — PDF p. 32; Article Data Analysis — PDF p. 3.</x:v>
      </x:c>
      <x:c r="J54" s="12" t="b">
        <x:v>1</x:v>
      </x:c>
      <x:c r="K54" s="6" t="str">
        <x:v>jama.2019.17380</x:v>
      </x:c>
      <x:c r="L54" s="6" t="str">
        <x:v>analysis_specification</x:v>
      </x:c>
      <x:c r="M54" s="6" t="str">
        <x:v>P_R</x:v>
      </x:c>
      <x:c r="N54" s="6" t="str">
        <x:v>The analytic-plan addendum specifies10 imputation datasets but main implemented Methods reports M20; both use Rubin-rule combination for missing outcomes.</x:v>
      </x:c>
      <x:c r="O54" s="6" t="str">
        <x:v>../../2019/jama.2019.17380/.ai_paper_validation/final_report_1_5_2.html</x:v>
      </x:c>
      <x:c r="P54" s="6" t="str">
        <x:v>2019/jama.2019.17380/.ai_paper_validation/final_report_1_5_2.md</x:v>
      </x:c>
      <x:c r="Q54" s="6" t="str">
        <x:v>C007</x:v>
      </x:c>
      <x:c r="R54" s="6" t="str">
        <x:v>Pending Human Adjudication</x:v>
      </x:c>
      <x:c r="S54" s="6" t="str">
        <x:v>The analytic-plan addendum states 10 imputation data sets, whereas the article methods state implemented multiple imputation M=20.</x:v>
      </x:c>
      <x:c r="T54" s="12" t="b">
        <x:v>0</x:v>
      </x:c>
      <x:c r="U54" s="6" t="str">
        <x:v>imputation_count</x:v>
      </x:c>
      <x:c r="V54" s="6" t="str">
        <x:v>protocol_report</x:v>
      </x:c>
      <x:c r="W54" s="6" t="str">
        <x:v>Imputation count differs between the analytic-plan addendum and article methods</x:v>
      </x:c>
      <x:c r="X54" s="6" t="str">
        <x:v>2019</x:v>
      </x:c>
      <x:c r="Y54" s="6" t="str">
        <x:v>meta_report/consistency_reclassification_2026-09-04/reclassified_candidates.json</x:v>
      </x:c>
      <x:c r="Z54" s="6" t="str">
        <x:v>P_R</x:v>
      </x:c>
      <x:c r="AA54" s="6" t="str">
        <x:v>protocol_report</x:v>
      </x:c>
      <x:c r="AB54" s="6" t="str">
        <x:v>retain</x:v>
      </x:c>
    </x:row>
    <x:row r="55" ht="90" customHeight="1">
      <x:c r="A55" s="11" t="b">
        <x:v>0</x:v>
      </x:c>
      <x:c r="B55" s="3" t="str">
        <x:v>Assay availability can legitimately create varying denominators; missingness labelling is the issue.</x:v>
      </x:c>
      <x:c r="C55" s="11" t="b">
        <x:v>0</x:v>
      </x:c>
      <x:c r="D55" s="3" t="str">
        <x:v>Denominator, proportion, or total inconsistency</x:v>
      </x:c>
      <x:c r="E55" s="11" t="b">
        <x:v>0</x:v>
      </x:c>
      <x:c r="F55" s="3" t="str">
        <x:v>C001</x:v>
      </x:c>
      <x:c r="G55" s="3" t="str">
        <x:v>2019::jama.2019.2210::C001</x:v>
      </x:c>
      <x:c r="H55" s="3"/>
      <x:c r="I55" s="3" t="str">
        <x:v>main article — PDF p. 5; Supplement 2 — PDF p. 7, p. 13, and p. 27.</x:v>
      </x:c>
      <x:c r="J55" s="11" t="b">
        <x:v>0</x:v>
      </x:c>
      <x:c r="K55" s="3" t="str">
        <x:v>jama.2019.2210</x:v>
      </x:c>
      <x:c r="L55" s="3"/>
      <x:c r="M55" s="3" t="str">
        <x:v>S_W</x:v>
      </x:c>
      <x:c r="N55" s="3" t="str">
        <x:v>Main Table1 SNP category counts and percentages use variable available-case Ns smaller than its arm headers251/166. Results-supplement risk counts agree with genotype totals and corroborate internal denominator omission.</x:v>
      </x:c>
      <x:c r="O55" s="3" t="str">
        <x:v>../../2019/jama.2019.2210/.ai_paper_validation/final_report_1_5_1.html</x:v>
      </x:c>
      <x:c r="P55" s="3" t="str">
        <x:v>2019/jama.2019.2210/.ai_paper_validation/final_report_1_5_1.md</x:v>
      </x:c>
      <x:c r="Q55" s="3" t="str">
        <x:v>C001</x:v>
      </x:c>
      <x:c r="R55" s="3" t="str">
        <x:v>Pending Human Adjudication</x:v>
      </x:c>
      <x:c r="S55" s="3" t="str">
        <x:v>Table 1 percentages use SNP-specific denominators smaller than the printed arm headers without an available-case or missingness label.</x:v>
      </x:c>
      <x:c r="T55" s="11" t="b">
        <x:v>1</x:v>
      </x:c>
      <x:c r="U55" s="3" t="str">
        <x:v>denominator_definition</x:v>
      </x:c>
      <x:c r="V55" s="3" t="str">
        <x:v>statistical_results</x:v>
      </x:c>
      <x:c r="W55" s="3" t="str">
        <x:v>Table 1 SNP percentages use unlabelled, variable available-case denominators</x:v>
      </x:c>
      <x:c r="X55" s="3" t="str">
        <x:v>2019</x:v>
      </x:c>
      <x:c r="Y55" s="3" t="str">
        <x:v>meta_report/consistency_reclassification_2026-09-04/reclassified_candidates.json</x:v>
      </x:c>
      <x:c r="Z55" s="3" t="str">
        <x:v>S_W</x:v>
      </x:c>
      <x:c r="AA55" s="3" t="str">
        <x:v>statistical_results</x:v>
      </x:c>
      <x:c r="AB55" s="3" t="str">
        <x:v>retain</x:v>
      </x:c>
    </x:row>
    <x:row r="56" ht="90" customHeight="1">
      <x:c r="A56" s="12" t="b">
        <x:v>0</x:v>
      </x:c>
      <x:c r="B56" s="6" t="str">
        <x:v>Caption could refer to weighted/effective counts while plotted entries are raw, but this distinction is unstated.</x:v>
      </x:c>
      <x:c r="C56" s="12" t="b">
        <x:v>0</x:v>
      </x:c>
      <x:c r="D56" s="6" t="str">
        <x:v>Numeric or arithmetic inconsistency</x:v>
      </x:c>
      <x:c r="E56" s="12" t="b">
        <x:v>0</x:v>
      </x:c>
      <x:c r="F56" s="6" t="str">
        <x:v>C002</x:v>
      </x:c>
      <x:c r="G56" s="6" t="str">
        <x:v>2019::jama.2019.2210::C002</x:v>
      </x:c>
      <x:c r="H56" s="6"/>
      <x:c r="I56" s="6" t="str">
        <x:v>main article — PDF p. 7.</x:v>
      </x:c>
      <x:c r="J56" s="12" t="b">
        <x:v>0</x:v>
      </x:c>
      <x:c r="K56" s="6" t="str">
        <x:v>jama.2019.2210</x:v>
      </x:c>
      <x:c r="L56" s="6"/>
      <x:c r="M56" s="6" t="str">
        <x:v>S_W</x:v>
      </x:c>
      <x:c r="N56" s="6" t="str">
        <x:v>Main Figure3C visibly has14 at-risk entries while its own caption says panelC risk numbers are not given.</x:v>
      </x:c>
      <x:c r="O56" s="6" t="str">
        <x:v>../../2019/jama.2019.2210/.ai_paper_validation/final_report_1_5_1.html</x:v>
      </x:c>
      <x:c r="P56" s="6" t="str">
        <x:v>2019/jama.2019.2210/.ai_paper_validation/final_report_1_5_1.md</x:v>
      </x:c>
      <x:c r="Q56" s="6" t="str">
        <x:v>C002</x:v>
      </x:c>
      <x:c r="R56" s="6" t="str">
        <x:v>Pending Human Adjudication</x:v>
      </x:c>
      <x:c r="S56" s="6" t="str">
        <x:v>Figure 3 panel C visibly prints risk rows while its caption says that panel-C numbers at risk are not given.</x:v>
      </x:c>
      <x:c r="T56" s="12" t="b">
        <x:v>1</x:v>
      </x:c>
      <x:c r="U56" s="6" t="str">
        <x:v>caption_display</x:v>
      </x:c>
      <x:c r="V56" s="6" t="str">
        <x:v>statistical_results</x:v>
      </x:c>
      <x:c r="W56" s="6" t="str">
        <x:v>Figure 3 caption says panel-C risk numbers are absent although the panel prints them</x:v>
      </x:c>
      <x:c r="X56" s="6" t="str">
        <x:v>2019</x:v>
      </x:c>
      <x:c r="Y56" s="6" t="str">
        <x:v>meta_report/consistency_reclassification_2026-09-04/reclassified_candidates.json</x:v>
      </x:c>
      <x:c r="Z56" s="6" t="str">
        <x:v>S_W</x:v>
      </x:c>
      <x:c r="AA56" s="6" t="str">
        <x:v>statistical_results</x:v>
      </x:c>
      <x:c r="AB56" s="6" t="str">
        <x:v>retain</x:v>
      </x:c>
    </x:row>
    <x:row r="57" ht="90" customHeight="1">
      <x:c r="A57" s="11" t="b">
        <x:v>0</x:v>
      </x:c>
      <x:c r="B57" s="3" t="str">
        <x:v>Near400 target or completed-block operational shorthand is possible.</x:v>
      </x:c>
      <x:c r="C57" s="11" t="b">
        <x:v>1</x:v>
      </x:c>
      <x:c r="D57" s="3" t="str">
        <x:v>Denominator, proportion, or total inconsistency</x:v>
      </x:c>
      <x:c r="E57" s="11" t="b">
        <x:v>0</x:v>
      </x:c>
      <x:c r="F57" s="3" t="str">
        <x:v>C003</x:v>
      </x:c>
      <x:c r="G57" s="3" t="str">
        <x:v>2019::jama.2019.2210::C003</x:v>
      </x:c>
      <x:c r="H57" s="3"/>
      <x:c r="I57" s="3" t="str">
        <x:v>Supplement 1 — PDF p. 18 and Supplement 1 — PDF p. 31.</x:v>
      </x:c>
      <x:c r="J57" s="11" t="b">
        <x:v>0</x:v>
      </x:c>
      <x:c r="K57" s="3" t="str">
        <x:v>jama.2019.2210</x:v>
      </x:c>
      <x:c r="L57" s="3"/>
      <x:c r="M57" s="3" t="str">
        <x:v>P_P</x:v>
      </x:c>
      <x:c r="N57" s="3" t="str">
        <x:v>Two passages in the final protocol say stop after400 enrollment versus when enrollment&gt;400; this compares threshold definitions inside one planning document.</x:v>
      </x:c>
      <x:c r="O57" s="3" t="str">
        <x:v>../../2019/jama.2019.2210/.ai_paper_validation/final_report_1_5_1.html</x:v>
      </x:c>
      <x:c r="P57" s="3" t="str">
        <x:v>2019/jama.2019.2210/.ai_paper_validation/final_report_1_5_1.md</x:v>
      </x:c>
      <x:c r="Q57" s="3" t="str">
        <x:v>C003</x:v>
      </x:c>
      <x:c r="R57" s="3" t="str">
        <x:v>Pending Human Adjudication</x:v>
      </x:c>
      <x:c r="S57" s="3" t="str">
        <x:v>Two final-protocol passages state different literal enrollment stopping thresholds.</x:v>
      </x:c>
      <x:c r="T57" s="11" t="b">
        <x:v>0</x:v>
      </x:c>
      <x:c r="U57" s="3" t="str">
        <x:v>enrollment_threshold</x:v>
      </x:c>
      <x:c r="V57" s="3" t="str">
        <x:v>plan_material</x:v>
      </x:c>
      <x:c r="W57" s="3" t="str">
        <x:v>Final protocol gives different accrual stopping thresholds</x:v>
      </x:c>
      <x:c r="X57" s="3" t="str">
        <x:v>2019</x:v>
      </x:c>
      <x:c r="Y57" s="3" t="str">
        <x:v>meta_report/consistency_reclassification_2026-09-04/reclassified_candidates.json</x:v>
      </x:c>
      <x:c r="Z57" s="3" t="str">
        <x:v>P_P</x:v>
      </x:c>
      <x:c r="AA57" s="3" t="str">
        <x:v>plan_material</x:v>
      </x:c>
      <x:c r="AB57" s="3" t="str">
        <x:v>retain</x:v>
      </x:c>
    </x:row>
    <x:row r="58" ht="90" customHeight="1">
      <x:c r="A58" s="12" t="b">
        <x:v>0</x:v>
      </x:c>
      <x:c r="B58" s="6" t="str">
        <x:v>The ledger merges an internal numeric lead and cross-source lead for the same event. Dual clinical safety and statistical tertiary roles may coexist, but the change summary explicitly says separated from safety outcomes.</x:v>
      </x:c>
      <x:c r="C58" s="12" t="b">
        <x:v>1</x:v>
      </x:c>
      <x:c r="D58" s="6" t="str">
        <x:v>Measure, label, or scale inconsistency</x:v>
      </x:c>
      <x:c r="E58" s="12" t="b">
        <x:v>1</x:v>
      </x:c>
      <x:c r="F58" s="6" t="str">
        <x:v>C004</x:v>
      </x:c>
      <x:c r="G58" s="6" t="str">
        <x:v>2019::jama.2019.2210::C004</x:v>
      </x:c>
      <x:c r="H58" s="6"/>
      <x:c r="I58" s="6" t="str">
        <x:v>Supplement 1 — PDF p. 19, p. 25, p. 26, and p. 45; main article — PDF p. 8.</x:v>
      </x:c>
      <x:c r="J58" s="12" t="b">
        <x:v>0</x:v>
      </x:c>
      <x:c r="K58" s="6" t="str">
        <x:v>jama.2019.2210</x:v>
      </x:c>
      <x:c r="L58" s="6" t="str">
        <x:v>endpoint_definition_window_hierarchy</x:v>
      </x:c>
      <x:c r="M58" s="6" t="str">
        <x:v>P_R</x:v>
      </x:c>
      <x:c r="N58" s="6" t="str">
        <x:v>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x:v>
      </x:c>
      <x:c r="O58" s="6" t="str">
        <x:v>../../2019/jama.2019.2210/.ai_paper_validation/final_report_1_5_1.html</x:v>
      </x:c>
      <x:c r="P58" s="6" t="str">
        <x:v>2019/jama.2019.2210/.ai_paper_validation/final_report_1_5_1.md</x:v>
      </x:c>
      <x:c r="Q58" s="6" t="str">
        <x:v>C004</x:v>
      </x:c>
      <x:c r="R58" s="6" t="str">
        <x:v>Pending Human Adjudication</x:v>
      </x:c>
      <x:c r="S58" s="6" t="str">
        <x:v>The same de novo-cancer event is labelled not as an outcome, Tertiary outcome, and is reported in a safety-outcome table without a stated reconciliation.</x:v>
      </x:c>
      <x:c r="T58" s="12" t="b">
        <x:v>0</x:v>
      </x:c>
      <x:c r="U58" s="6" t="str">
        <x:v>endpoint_hierarchy</x:v>
      </x:c>
      <x:c r="V58" s="6" t="str">
        <x:v>protocol_report</x:v>
      </x:c>
      <x:c r="W58" s="6" t="str">
        <x:v>Final protocol assigns de novo cancer incompatible endpoint labels</x:v>
      </x:c>
      <x:c r="X58" s="6" t="str">
        <x:v>2019</x:v>
      </x:c>
      <x:c r="Y58" s="6" t="str">
        <x:v>meta_report/consistency_reclassification_2026-09-04/reclassified_candidates.json</x:v>
      </x:c>
      <x:c r="Z58" s="6" t="str">
        <x:v>P_R</x:v>
      </x:c>
      <x:c r="AA58" s="6" t="str">
        <x:v>protocol_report</x:v>
      </x:c>
      <x:c r="AB58" s="6" t="str">
        <x:v>retain</x:v>
      </x:c>
    </x:row>
    <x:row r="59" ht="90" customHeight="1">
      <x:c r="A59" s="11" t="b">
        <x:v>0</x:v>
      </x:c>
      <x:c r="B59" s="3" t="str">
        <x:v>40ng/mL may be shorthand for the threshold; actual subgroup assignment is unavailable.</x:v>
      </x:c>
      <x:c r="C59" s="11" t="b">
        <x:v>1</x:v>
      </x:c>
      <x:c r="D59" s="3" t="str">
        <x:v>Measure, label, or scale inconsistency</x:v>
      </x:c>
      <x:c r="E59" s="11" t="b">
        <x:v>0</x:v>
      </x:c>
      <x:c r="F59" s="3" t="str">
        <x:v>C005</x:v>
      </x:c>
      <x:c r="G59" s="3" t="str">
        <x:v>2019::jama.2019.2210::C005</x:v>
      </x:c>
      <x:c r="H59" s="3"/>
      <x:c r="I59" s="3" t="str">
        <x:v>Supplement 1 — PDF p. 23 and p. 31; main article — PDF p. 3.</x:v>
      </x:c>
      <x:c r="J59" s="11" t="b">
        <x:v>0</x:v>
      </x:c>
      <x:c r="K59" s="3" t="str">
        <x:v>jama.2019.2210</x:v>
      </x:c>
      <x:c r="L59" s="3"/>
      <x:c r="M59" s="3" t="str">
        <x:v>P_P</x:v>
      </x:c>
      <x:c r="N59" s="3" t="str">
        <x:v>One final-protocol high25(OH)D label omits its operator at40 while a later section of the same protocol specifies&gt;40. The main article repeats&gt;40 as corroboration, not as a separate plan-report deviation.</x:v>
      </x:c>
      <x:c r="O59" s="3" t="str">
        <x:v>../../2019/jama.2019.2210/.ai_paper_validation/final_report_1_5_1.html</x:v>
      </x:c>
      <x:c r="P59" s="3" t="str">
        <x:v>2019/jama.2019.2210/.ai_paper_validation/final_report_1_5_1.md</x:v>
      </x:c>
      <x:c r="Q59" s="3" t="str">
        <x:v>C005</x:v>
      </x:c>
      <x:c r="R59" s="3" t="str">
        <x:v>Pending Human Adjudication</x:v>
      </x:c>
      <x:c r="S59" s="3" t="str">
        <x:v>One protocol page gives high 25(OH)D as (40 ng/mL) without an operator, unlike later explicit &gt;40 ng/mL definitions.</x:v>
      </x:c>
      <x:c r="T59" s="11" t="b">
        <x:v>0</x:v>
      </x:c>
      <x:c r="U59" s="3" t="str">
        <x:v>threshold_operator</x:v>
      </x:c>
      <x:c r="V59" s="3" t="str">
        <x:v>plan_material</x:v>
      </x:c>
      <x:c r="W59" s="3" t="str">
        <x:v>One final-protocol high-25(OH)D stratum label omits the boundary operator</x:v>
      </x:c>
      <x:c r="X59" s="3" t="str">
        <x:v>2019</x:v>
      </x:c>
      <x:c r="Y59" s="3" t="str">
        <x:v>meta_report/consistency_reclassification_2026-09-04/reclassified_candidates.json</x:v>
      </x:c>
      <x:c r="Z59" s="3" t="str">
        <x:v>P_P</x:v>
      </x:c>
      <x:c r="AA59" s="3" t="str">
        <x:v>plan_material</x:v>
      </x:c>
      <x:c r="AB59" s="3" t="str">
        <x:v>retain</x:v>
      </x:c>
    </x:row>
    <x:row r="60" ht="90" customHeight="1">
      <x:c r="A60" s="12" t="b">
        <x:v>0</x:v>
      </x:c>
      <x:c r="B60" s="6"/>
      <x:c r="C60" s="12" t="b">
        <x:v>0</x:v>
      </x:c>
      <x:c r="D60" s="6" t="str">
        <x:v>Measure, label, or scale inconsistency</x:v>
      </x:c>
      <x:c r="E60" s="12" t="b">
        <x:v>1</x:v>
      </x:c>
      <x:c r="F60" s="6" t="str">
        <x:v>C006</x:v>
      </x:c>
      <x:c r="G60" s="6" t="str">
        <x:v>2019::jama.2019.2210::C006</x:v>
      </x:c>
      <x:c r="H60" s="6"/>
      <x:c r="I60" s="6" t="str">
        <x:v>main article — PDF p. 5; Supplement 1 — PDF p. 27; Supplement 2 — PDF p. 13, p. 14, and p. 15.</x:v>
      </x:c>
      <x:c r="J60" s="12" t="b">
        <x:v>0</x:v>
      </x:c>
      <x:c r="K60" s="6" t="str">
        <x:v>jama.2019.2210</x:v>
      </x:c>
      <x:c r="L60" s="6"/>
      <x:c r="M60" s="6" t="str">
        <x:v>S_C</x:v>
      </x:c>
      <x:c r="N60" s="6" t="str">
        <x:v>Main Table1 Cdx2 genotype label and all six arm/genotype counts match results-supplement panels titled CDK2. The protocol CDX2 rs11568820 entry corroborates subgroup identity; the substantive target is the main/results-supplement locus label mismatch.</x:v>
      </x:c>
      <x:c r="O60" s="6" t="str">
        <x:v>../../2019/jama.2019.2210/.ai_paper_validation/final_report_1_5_1.html</x:v>
      </x:c>
      <x:c r="P60" s="6" t="str">
        <x:v>2019/jama.2019.2210/.ai_paper_validation/final_report_1_5_1.md</x:v>
      </x:c>
      <x:c r="Q60" s="6" t="str">
        <x:v>C006</x:v>
      </x:c>
      <x:c r="R60" s="6" t="str">
        <x:v>Pending Human Adjudication</x:v>
      </x:c>
      <x:c r="S60" s="6" t="str">
        <x:v>Supplement 2 labels matched Cdx2 subgroup panels as CDK2 although the article and protocol identify Cdx2/CDX2 rs11568820.</x:v>
      </x:c>
      <x:c r="T60" s="12" t="b">
        <x:v>1</x:v>
      </x:c>
      <x:c r="U60" s="6" t="str">
        <x:v>genetic_locus_label</x:v>
      </x:c>
      <x:c r="V60" s="6" t="str">
        <x:v>report_internal_inconsistency</x:v>
      </x:c>
      <x:c r="W60" s="6" t="str">
        <x:v>Supplement labels Cdx2 genotype panels as CDK2</x:v>
      </x:c>
      <x:c r="X60" s="6" t="str">
        <x:v>2019</x:v>
      </x:c>
      <x:c r="Y60" s="6" t="str">
        <x:v>meta_report/consistency_reclassification_2026-09-04/reclassified_candidates.json</x:v>
      </x:c>
      <x:c r="Z60" s="6" t="str">
        <x:v>S_C</x:v>
      </x:c>
      <x:c r="AA60" s="6" t="str">
        <x:v>report_internal_inconsistency</x:v>
      </x:c>
      <x:c r="AB60" s="6" t="str">
        <x:v>retain</x:v>
      </x:c>
    </x:row>
    <x:row r="61" ht="90" customHeight="1">
      <x:c r="A61" s="11" t="b">
        <x:v>0</x:v>
      </x:c>
      <x:c r="B61" s="3" t="str">
        <x:v>BMI availability may explain the2/1 deficits; it is not a disagreement between the main and supplemental totals.</x:v>
      </x:c>
      <x:c r="C61" s="11" t="b">
        <x:v>0</x:v>
      </x:c>
      <x:c r="D61" s="3" t="str">
        <x:v>Denominator, proportion, or total inconsistency</x:v>
      </x:c>
      <x:c r="E61" s="11" t="b">
        <x:v>0</x:v>
      </x:c>
      <x:c r="F61" s="3" t="str">
        <x:v>C007</x:v>
      </x:c>
      <x:c r="G61" s="3" t="str">
        <x:v>2019::jama.2019.2210::C007</x:v>
      </x:c>
      <x:c r="H61" s="3"/>
      <x:c r="I61" s="3" t="str">
        <x:v>main article — PDF p. 5; Supplement 2 — PDF p. 32 and p. 33.</x:v>
      </x:c>
      <x:c r="J61" s="11" t="b">
        <x:v>0</x:v>
      </x:c>
      <x:c r="K61" s="3" t="str">
        <x:v>jama.2019.2210</x:v>
      </x:c>
      <x:c r="L61" s="3"/>
      <x:c r="M61" s="3" t="str">
        <x:v>S_W</x:v>
      </x:c>
      <x:c r="N61" s="3" t="str">
        <x:v>Main Table1 BMI quartiles total249/165, below its251/166 arm headers, and percentages use the smaller totals. Results supplement reproduces249/165 and corroborates the internal missing denominator statement.</x:v>
      </x:c>
      <x:c r="O61" s="3" t="str">
        <x:v>../../2019/jama.2019.2210/.ai_paper_validation/final_report_1_5_1.html</x:v>
      </x:c>
      <x:c r="P61" s="3" t="str">
        <x:v>2019/jama.2019.2210/.ai_paper_validation/final_report_1_5_1.md</x:v>
      </x:c>
      <x:c r="Q61" s="3" t="str">
        <x:v>C007</x:v>
      </x:c>
      <x:c r="R61" s="3" t="str">
        <x:v>Pending Human Adjudication</x:v>
      </x:c>
      <x:c r="S61" s="3" t="str">
        <x:v>Table 1 BMI quartiles and complementary supplement subgroups total fewer participants than the printed arm headers without a missingness or available-case label.</x:v>
      </x:c>
      <x:c r="T61" s="11" t="b">
        <x:v>1</x:v>
      </x:c>
      <x:c r="U61" s="3" t="str">
        <x:v>denominator_definition</x:v>
      </x:c>
      <x:c r="V61" s="3" t="str">
        <x:v>statistical_results</x:v>
      </x:c>
      <x:c r="W61" s="3" t="str">
        <x:v>Table 1 BMI categories use smaller, unlabelled denominators than the arm headers</x:v>
      </x:c>
      <x:c r="X61" s="3" t="str">
        <x:v>2019</x:v>
      </x:c>
      <x:c r="Y61" s="3" t="str">
        <x:v>meta_report/consistency_reclassification_2026-09-04/reclassified_candidates.json</x:v>
      </x:c>
      <x:c r="Z61" s="3" t="str">
        <x:v>S_W</x:v>
      </x:c>
      <x:c r="AA61" s="3" t="str">
        <x:v>statistical_results</x:v>
      </x:c>
      <x:c r="AB61" s="3" t="str">
        <x:v>retain</x:v>
      </x:c>
    </x:row>
    <x:row r="62" ht="90" customHeight="1">
      <x:c r="A62" s="12" t="b">
        <x:v>1</x:v>
      </x:c>
      <x:c r="B62" s="6" t="str">
        <x:v>Wording-only/equivalent: source directly states operational equivalence, so no actual time-origin discrepancy is established. Sensitivity excluding this candidate leaves7 report-versus-plan candidates out of70 total.</x:v>
      </x:c>
      <x:c r="C62" s="12" t="b">
        <x:v>1</x:v>
      </x:c>
      <x:c r="D62" s="6" t="str">
        <x:v>Measure, label, or scale inconsistency</x:v>
      </x:c>
      <x:c r="E62" s="12" t="b">
        <x:v>1</x:v>
      </x:c>
      <x:c r="F62" s="6" t="str">
        <x:v>C008</x:v>
      </x:c>
      <x:c r="G62" s="6" t="str">
        <x:v>2019::jama.2019.2210::C008</x:v>
      </x:c>
      <x:c r="H62" s="6"/>
      <x:c r="I62" s="6" t="str">
        <x:v>main article — PDF p. 2 and p. 6; Supplement 1 — PDF p. 25 and p. 29; Supplement 2 — PDF p. 2 and p. 3.</x:v>
      </x:c>
      <x:c r="J62" s="12" t="b">
        <x:v>0</x:v>
      </x:c>
      <x:c r="K62" s="6" t="str">
        <x:v>jama.2019.2210</x:v>
      </x:c>
      <x:c r="L62" s="6" t="str">
        <x:v>endpoint_definition_window_hierarchy</x:v>
      </x:c>
      <x:c r="M62" s="6" t="str">
        <x:v>P_R</x:v>
      </x:c>
      <x:c r="N62" s="6" t="str">
        <x:v>Article/results-supplement survival axes say randomization while protocol says supplementation start. Retained as the recorded report-versus-plan time-origin wording candidate, although the article explicitly equates these dates at the same visit.</x:v>
      </x:c>
      <x:c r="O62" s="6" t="str">
        <x:v>../../2019/jama.2019.2210/.ai_paper_validation/final_report_1_5_1.html</x:v>
      </x:c>
      <x:c r="P62" s="6" t="str">
        <x:v>2019/jama.2019.2210/.ai_paper_validation/final_report_1_5_1.md</x:v>
      </x:c>
      <x:c r="Q62" s="6" t="str">
        <x:v>C008</x:v>
      </x:c>
      <x:c r="R62" s="6" t="str">
        <x:v>Pending Human Adjudication</x:v>
      </x:c>
      <x:c r="S62" s="6" t="str">
        <x:v>The report labels survival time from randomization while the final protocol labels it from starting supplementation; the article explicitly describes these as the same visit and treats them as equivalent, so no actual date difference is claimed.</x:v>
      </x:c>
      <x:c r="T62" s="12" t="b">
        <x:v>0</x:v>
      </x:c>
      <x:c r="U62" s="6" t="str">
        <x:v>time_origin_wording</x:v>
      </x:c>
      <x:c r="V62" s="6" t="str">
        <x:v>protocol_report</x:v>
      </x:c>
      <x:c r="W62" s="6" t="str">
        <x:v>Report and protocol use different time-origin labels despite a same-visit equivalence statement</x:v>
      </x:c>
      <x:c r="X62" s="6" t="str">
        <x:v>2019</x:v>
      </x:c>
      <x:c r="Y62" s="6" t="str">
        <x:v>meta_report/consistency_reclassification_2026-09-04/reclassified_candidates.json</x:v>
      </x:c>
      <x:c r="Z62" s="6" t="str">
        <x:v>P_R</x:v>
      </x:c>
      <x:c r="AA62" s="6" t="str">
        <x:v>protocol_report</x:v>
      </x:c>
      <x:c r="AB62" s="6" t="str">
        <x:v>retain</x:v>
      </x:c>
    </x:row>
    <x:row r="63" ht="90" customHeight="1">
      <x:c r="A63" s="11" t="b">
        <x:v>0</x:v>
      </x:c>
      <x:c r="B63" s="3" t="str">
        <x:v>Exact event-time models are not reconstructed; no table-specific reversed contrast is stated.</x:v>
      </x:c>
      <x:c r="C63" s="11" t="b">
        <x:v>0</x:v>
      </x:c>
      <x:c r="D63" s="3" t="str">
        <x:v>Measure, label, or scale inconsistency</x:v>
      </x:c>
      <x:c r="E63" s="11" t="b">
        <x:v>0</x:v>
      </x:c>
      <x:c r="F63" s="3" t="str">
        <x:v>C009</x:v>
      </x:c>
      <x:c r="G63" s="3" t="str">
        <x:v>2019::jama.2019.2210::C009</x:v>
      </x:c>
      <x:c r="H63" s="3"/>
      <x:c r="I63" s="3" t="str">
        <x:v>main article — PDF p. 4, p. 6, and p. 7.</x:v>
      </x:c>
      <x:c r="J63" s="11" t="b">
        <x:v>0</x:v>
      </x:c>
      <x:c r="K63" s="3" t="str">
        <x:v>jama.2019.2210</x:v>
      </x:c>
      <x:c r="L63" s="3"/>
      <x:c r="M63" s="3" t="str">
        <x:v>S_W</x:v>
      </x:c>
      <x:c r="N63" s="3" t="str">
        <x:v>Main Table2 footnote says HR&gt;1 means reduced outcome with vitaminD, while main counts/curves and HRs below1 reflect lower vitaminD events. All compared direction descriptions are inside the article.</x:v>
      </x:c>
      <x:c r="O63" s="3" t="str">
        <x:v>../../2019/jama.2019.2210/.ai_paper_validation/final_report_1_5_1.html</x:v>
      </x:c>
      <x:c r="P63" s="3" t="str">
        <x:v>2019/jama.2019.2210/.ai_paper_validation/final_report_1_5_1.md</x:v>
      </x:c>
      <x:c r="Q63" s="3" t="str">
        <x:v>C009</x:v>
      </x:c>
      <x:c r="R63" s="3" t="str">
        <x:v>Pending Human Adjudication</x:v>
      </x:c>
      <x:c r="S63" s="3" t="str">
        <x:v>Table 2 says HR values greater than 1 indicate decreased outcome probability with vitamin D, whereas displayed outcome directions pair lower vitamin-D incidence with HRs below 1.</x:v>
      </x:c>
      <x:c r="T63" s="11" t="b">
        <x:v>1</x:v>
      </x:c>
      <x:c r="U63" s="3" t="str">
        <x:v>effect_direction</x:v>
      </x:c>
      <x:c r="V63" s="3" t="str">
        <x:v>report_internal_inconsistency</x:v>
      </x:c>
      <x:c r="W63" s="3" t="str">
        <x:v>Table 2 hazard-ratio direction footnote is opposite the displayed outcome direction</x:v>
      </x:c>
      <x:c r="X63" s="3" t="str">
        <x:v>2019</x:v>
      </x:c>
      <x:c r="Y63" s="3" t="str">
        <x:v>meta_report/consistency_reclassification_2026-09-04/reclassified_candidates.json</x:v>
      </x:c>
      <x:c r="Z63" s="3" t="str">
        <x:v>S_W</x:v>
      </x:c>
      <x:c r="AA63" s="3" t="str">
        <x:v>report_internal_inconsistency</x:v>
      </x:c>
      <x:c r="AB63" s="3" t="str">
        <x:v>retain</x:v>
      </x:c>
    </x:row>
    <x:row r="64" ht="90" customHeight="1">
      <x:c r="A64" s="12" t="b">
        <x:v>0</x:v>
      </x:c>
      <x:c r="B64" s="6" t="str">
        <x:v>Detached PDF numeric text may indicate clipping/displacement; a hyphen convention is not defined. Each candidate concerns a distinct test/cutoff row.</x:v>
      </x:c>
      <x:c r="C64" s="12" t="b">
        <x:v>0</x:v>
      </x:c>
      <x:c r="D64" s="6" t="str">
        <x:v>Numeric or arithmetic inconsistency</x:v>
      </x:c>
      <x:c r="E64" s="12" t="b">
        <x:v>0</x:v>
      </x:c>
      <x:c r="F64" s="6" t="str">
        <x:v>C001</x:v>
      </x:c>
      <x:c r="G64" s="6" t="str">
        <x:v>2019::jama.2019.4755::C001</x:v>
      </x:c>
      <x:c r="H64" s="6"/>
      <x:c r="I64" s="6" t="str">
        <x:v>joi190039supp3_prod.pdf — PDF p. 7, DOC-004 eTable 5, Women/Quantitative/10.2, Difference in PPV; comparator joi190039supp3_prod.pdf — PDF p. 6, DOC-004 eTable 4, same population, test, cutoff, day, and per-protocol analysis.</x:v>
      </x:c>
      <x:c r="J64" s="12" t="b">
        <x:v>0</x:v>
      </x:c>
      <x:c r="K64" s="6" t="str">
        <x:v>jama.2019.4755</x:v>
      </x:c>
      <x:c r="L64" s="6"/>
      <x:c r="M64" s="6" t="str">
        <x:v>S_W</x:v>
      </x:c>
      <x:c r="N64" s="6" t="str">
        <x:v>Results-supplement eTable5 women quantitative10.2 PPV-difference cell visibly lacks numeric magnitude despite arm PPVs and a CI; matched eTable4 diagnostic counts are in the same supplement.</x:v>
      </x:c>
      <x:c r="O64" s="6" t="str">
        <x:v>../../2019/jama.2019.4755/.ai_paper_validation/final_report_1_5_1.html</x:v>
      </x:c>
      <x:c r="P64" s="6" t="str">
        <x:v>2019/jama.2019.4755/.ai_paper_validation/final_report_1_5_1.md</x:v>
      </x:c>
      <x:c r="Q64" s="6" t="str">
        <x:v>C001</x:v>
      </x:c>
      <x:c r="R64" s="6" t="str">
        <x:v>Pending Human Adjudication</x:v>
      </x:c>
      <x:c r="S64" s="6" t="str">
        <x:v>In the Women/Quantitative/10.2 row of eTable 5, the Difference in PPV point-estimate position visibly contains only a hyphen although both arm PPVs and a negative confidence interval are printed.</x:v>
      </x:c>
      <x:c r="T64" s="12" t="b">
        <x:v>1</x:v>
      </x:c>
      <x:c r="U64" s="6" t="str">
        <x:v>missing_point_estimate</x:v>
      </x:c>
      <x:c r="V64" s="6" t="str">
        <x:v>statistical_results</x:v>
      </x:c>
      <x:c r="W64" s="6" t="str">
        <x:v>Women’s quantitative 10.2 µg Hb/g PPV difference point estimate is absent</x:v>
      </x:c>
      <x:c r="X64" s="6" t="str">
        <x:v>2019</x:v>
      </x:c>
      <x:c r="Y64" s="6" t="str">
        <x:v>meta_report/consistency_reclassification_2026-09-04/reclassified_candidates.json</x:v>
      </x:c>
      <x:c r="Z64" s="6" t="str">
        <x:v>S_W</x:v>
      </x:c>
      <x:c r="AA64" s="6" t="str">
        <x:v>statistical_results</x:v>
      </x:c>
      <x:c r="AB64" s="6" t="str">
        <x:v>retain</x:v>
      </x:c>
    </x:row>
    <x:row r="65" ht="90" customHeight="1">
      <x:c r="A65" s="11" t="b">
        <x:v>0</x:v>
      </x:c>
      <x:c r="B65" s="3" t="str">
        <x:v>Detached PDF numeric text may indicate clipping/displacement; a hyphen convention is not defined. Each candidate concerns a distinct test/cutoff row.</x:v>
      </x:c>
      <x:c r="C65" s="11" t="b">
        <x:v>0</x:v>
      </x:c>
      <x:c r="D65" s="3" t="str">
        <x:v>Numeric or arithmetic inconsistency</x:v>
      </x:c>
      <x:c r="E65" s="11" t="b">
        <x:v>0</x:v>
      </x:c>
      <x:c r="F65" s="3" t="str">
        <x:v>C002</x:v>
      </x:c>
      <x:c r="G65" s="3" t="str">
        <x:v>2019::jama.2019.4755::C002</x:v>
      </x:c>
      <x:c r="H65" s="3"/>
      <x:c r="I65" s="3" t="str">
        <x:v>joi190039supp3_prod.pdf — PDF p. 7, DOC-004 eTable 5, Women/Quantitative/17.0, Difference in PPV; comparator joi190039supp3_prod.pdf — PDF p. 6, DOC-004 eTable 4, same population, test, cutoff, day, and per-protocol analysis.</x:v>
      </x:c>
      <x:c r="J65" s="11" t="b">
        <x:v>0</x:v>
      </x:c>
      <x:c r="K65" s="3" t="str">
        <x:v>jama.2019.4755</x:v>
      </x:c>
      <x:c r="L65" s="3"/>
      <x:c r="M65" s="3" t="str">
        <x:v>S_W</x:v>
      </x:c>
      <x:c r="N65" s="3" t="str">
        <x:v>Results-supplement eTable5 women quantitative17.0 PPV-difference cell visibly lacks numeric magnitude despite arm PPVs and a CI; matched eTable4 diagnostic counts are in the same supplement.</x:v>
      </x:c>
      <x:c r="O65" s="3" t="str">
        <x:v>../../2019/jama.2019.4755/.ai_paper_validation/final_report_1_5_1.html</x:v>
      </x:c>
      <x:c r="P65" s="3" t="str">
        <x:v>2019/jama.2019.4755/.ai_paper_validation/final_report_1_5_1.md</x:v>
      </x:c>
      <x:c r="Q65" s="3" t="str">
        <x:v>C002</x:v>
      </x:c>
      <x:c r="R65" s="3" t="str">
        <x:v>Pending Human Adjudication</x:v>
      </x:c>
      <x:c r="S65" s="3" t="str">
        <x:v>In the Women/Quantitative/17.0 row of eTable 5, the Difference in PPV point-estimate position visibly contains only a hyphen although both arm PPVs and a negative confidence interval are printed.</x:v>
      </x:c>
      <x:c r="T65" s="11" t="b">
        <x:v>1</x:v>
      </x:c>
      <x:c r="U65" s="3" t="str">
        <x:v>missing_point_estimate</x:v>
      </x:c>
      <x:c r="V65" s="3" t="str">
        <x:v>statistical_results</x:v>
      </x:c>
      <x:c r="W65" s="3" t="str">
        <x:v>Women’s quantitative 17.0 µg Hb/g PPV difference point estimate is absent</x:v>
      </x:c>
      <x:c r="X65" s="3" t="str">
        <x:v>2019</x:v>
      </x:c>
      <x:c r="Y65" s="3" t="str">
        <x:v>meta_report/consistency_reclassification_2026-09-04/reclassified_candidates.json</x:v>
      </x:c>
      <x:c r="Z65" s="3" t="str">
        <x:v>S_W</x:v>
      </x:c>
      <x:c r="AA65" s="3" t="str">
        <x:v>statistical_results</x:v>
      </x:c>
      <x:c r="AB65" s="3" t="str">
        <x:v>retain</x:v>
      </x:c>
    </x:row>
    <x:row r="66" ht="90" customHeight="1">
      <x:c r="A66" s="12" t="b">
        <x:v>0</x:v>
      </x:c>
      <x:c r="B66" s="6" t="str">
        <x:v>Detached PDF numeric text may indicate clipping/displacement; a hyphen convention is not defined. Each candidate concerns a distinct test/cutoff row.</x:v>
      </x:c>
      <x:c r="C66" s="12" t="b">
        <x:v>0</x:v>
      </x:c>
      <x:c r="D66" s="6" t="str">
        <x:v>Numeric or arithmetic inconsistency</x:v>
      </x:c>
      <x:c r="E66" s="12" t="b">
        <x:v>0</x:v>
      </x:c>
      <x:c r="F66" s="6" t="str">
        <x:v>C003</x:v>
      </x:c>
      <x:c r="G66" s="6" t="str">
        <x:v>2019::jama.2019.4755::C003</x:v>
      </x:c>
      <x:c r="H66" s="6"/>
      <x:c r="I66" s="6" t="str">
        <x:v>joi190039supp3_prod.pdf — PDF p. 7, DOC-004 eTable 5, Women/Qualitative/10.2, Difference in PPV; comparator joi190039supp3_prod.pdf — PDF p. 6, DOC-004 eTable 4, same population, test, cutoff, day, and per-protocol analysis.</x:v>
      </x:c>
      <x:c r="J66" s="12" t="b">
        <x:v>0</x:v>
      </x:c>
      <x:c r="K66" s="6" t="str">
        <x:v>jama.2019.4755</x:v>
      </x:c>
      <x:c r="L66" s="6"/>
      <x:c r="M66" s="6" t="str">
        <x:v>S_W</x:v>
      </x:c>
      <x:c r="N66" s="6" t="str">
        <x:v>Results-supplement eTable5 women qualitative10.2 PPV-difference cell visibly lacks numeric magnitude despite arm PPVs and a CI; matched eTable4 diagnostic counts are in the same supplement.</x:v>
      </x:c>
      <x:c r="O66" s="6" t="str">
        <x:v>../../2019/jama.2019.4755/.ai_paper_validation/final_report_1_5_1.html</x:v>
      </x:c>
      <x:c r="P66" s="6" t="str">
        <x:v>2019/jama.2019.4755/.ai_paper_validation/final_report_1_5_1.md</x:v>
      </x:c>
      <x:c r="Q66" s="6" t="str">
        <x:v>C003</x:v>
      </x:c>
      <x:c r="R66" s="6" t="str">
        <x:v>Pending Human Adjudication</x:v>
      </x:c>
      <x:c r="S66" s="6" t="str">
        <x:v>In the Women/Qualitative/10.2 row of eTable 5, the Difference in PPV point-estimate position visibly contains only a hyphen although both arm PPVs and a negative confidence interval are printed.</x:v>
      </x:c>
      <x:c r="T66" s="12" t="b">
        <x:v>1</x:v>
      </x:c>
      <x:c r="U66" s="6" t="str">
        <x:v>missing_point_estimate</x:v>
      </x:c>
      <x:c r="V66" s="6" t="str">
        <x:v>statistical_results</x:v>
      </x:c>
      <x:c r="W66" s="6" t="str">
        <x:v>Women’s qualitative 10.2 µg Hb/g PPV difference point estimate is absent</x:v>
      </x:c>
      <x:c r="X66" s="6" t="str">
        <x:v>2019</x:v>
      </x:c>
      <x:c r="Y66" s="6" t="str">
        <x:v>meta_report/consistency_reclassification_2026-09-04/reclassified_candidates.json</x:v>
      </x:c>
      <x:c r="Z66" s="6" t="str">
        <x:v>S_W</x:v>
      </x:c>
      <x:c r="AA66" s="6" t="str">
        <x:v>statistical_results</x:v>
      </x:c>
      <x:c r="AB66" s="6" t="str">
        <x:v>retain</x:v>
      </x:c>
    </x:row>
    <x:row r="67" ht="90" customHeight="1">
      <x:c r="A67" s="11" t="b">
        <x:v>0</x:v>
      </x:c>
      <x:c r="B67" s="3" t="str">
        <x:v>A detached Hb/g] text object supports possible clipping; no unit-inheritance rule is printed.</x:v>
      </x:c>
      <x:c r="C67" s="11" t="b">
        <x:v>0</x:v>
      </x:c>
      <x:c r="D67" s="3" t="str">
        <x:v>Measure, label, or scale inconsistency</x:v>
      </x:c>
      <x:c r="E67" s="11" t="b">
        <x:v>0</x:v>
      </x:c>
      <x:c r="F67" s="3" t="str">
        <x:v>C004</x:v>
      </x:c>
      <x:c r="G67" s="3" t="str">
        <x:v>2019::jama.2019.4755::C004</x:v>
      </x:c>
      <x:c r="H67" s="3"/>
      <x:c r="I67" s="3" t="str">
        <x:v>joi190039supp3_prod.pdf — PDF p. 7, DOC-004 eTable 5 visible cutoff header; comparator joi190039supp3_prod.pdf — PDF p. 6, DOC-004 eTable 4 header Cutoff [µg Hb/g]; additional matched main-table display jama_brenner_2019_oi_190039.pdf — PDF p. 5.</x:v>
      </x:c>
      <x:c r="J67" s="11" t="b">
        <x:v>0</x:v>
      </x:c>
      <x:c r="K67" s="3" t="str">
        <x:v>jama.2019.4755</x:v>
      </x:c>
      <x:c r="L67" s="3"/>
      <x:c r="M67" s="3" t="str">
        <x:v>S_W</x:v>
      </x:c>
      <x:c r="N67" s="3" t="str">
        <x:v>Results-supplement eTable5 cutoff header truncates at[µg while adjacent eTable4 in the same file prints fullµgHb/g. Main tables corroborate the unit; the target is an incomplete internal supplemental header.</x:v>
      </x:c>
      <x:c r="O67" s="3" t="str">
        <x:v>../../2019/jama.2019.4755/.ai_paper_validation/final_report_1_5_1.html</x:v>
      </x:c>
      <x:c r="P67" s="3" t="str">
        <x:v>2019/jama.2019.4755/.ai_paper_validation/final_report_1_5_1.md</x:v>
      </x:c>
      <x:c r="Q67" s="3" t="str">
        <x:v>C004</x:v>
      </x:c>
      <x:c r="R67" s="3" t="str">
        <x:v>Pending Human Adjudication</x:v>
      </x:c>
      <x:c r="S67" s="3" t="str">
        <x:v>eTable 5 visibly renders Cutoff and a second-line [µg fragment, without visibly rendered Hb/g], while matched cutoff displays use the full µg Hb/g scale.</x:v>
      </x:c>
      <x:c r="T67" s="11" t="b">
        <x:v>1</x:v>
      </x:c>
      <x:c r="U67" s="3" t="str">
        <x:v>truncated_unit</x:v>
      </x:c>
      <x:c r="V67" s="3" t="str">
        <x:v>report_internal_inconsistency</x:v>
      </x:c>
      <x:c r="W67" s="3" t="str">
        <x:v>eTable 5 visible cutoff header truncates after [µg</x:v>
      </x:c>
      <x:c r="X67" s="3" t="str">
        <x:v>2019</x:v>
      </x:c>
      <x:c r="Y67" s="3" t="str">
        <x:v>meta_report/consistency_reclassification_2026-09-04/reclassified_candidates.json</x:v>
      </x:c>
      <x:c r="Z67" s="3" t="str">
        <x:v>S_W</x:v>
      </x:c>
      <x:c r="AA67" s="3" t="str">
        <x:v>report_internal_inconsistency</x:v>
      </x:c>
      <x:c r="AB67" s="3" t="str">
        <x:v>retain</x:v>
      </x:c>
    </x:row>
    <x:row r="68" ht="90" customHeight="1">
      <x:c r="A68" s="12" t="b">
        <x:v>0</x:v>
      </x:c>
      <x:c r="B68" s="6" t="str">
        <x:v>The firstµg in the coordinated sentence may grammatically apply to both thresholds; no inheritance convention is supplied.</x:v>
      </x:c>
      <x:c r="C68" s="12" t="b">
        <x:v>1</x:v>
      </x:c>
      <x:c r="D68" s="6" t="str">
        <x:v>Measure, label, or scale inconsistency</x:v>
      </x:c>
      <x:c r="E68" s="12" t="b">
        <x:v>0</x:v>
      </x:c>
      <x:c r="F68" s="6" t="str">
        <x:v>C005</x:v>
      </x:c>
      <x:c r="G68" s="6" t="str">
        <x:v>2019::jama.2019.4755::C005</x:v>
      </x:c>
      <x:c r="H68" s="6"/>
      <x:c r="I68" s="6" t="str">
        <x:v>joi190039supp2_prod.pdf — PDF p. 6, DOC-003 §3.2; comparator joi190039supp2_prod.pdf — PDF p. 8, DOC-003 §5.4; matched context jama_brenner_2019_oi_190039.pdf — PDF p. 1 and jama_brenner_2019_oi_190039.pdf — PDF p. 5.</x:v>
      </x:c>
      <x:c r="J68" s="12" t="b">
        <x:v>0</x:v>
      </x:c>
      <x:c r="K68" s="6" t="str">
        <x:v>jama.2019.4755</x:v>
      </x:c>
      <x:c r="L68" s="6"/>
      <x:c r="M68" s="6" t="str">
        <x:v>P_P</x:v>
      </x:c>
      <x:c r="N68" s="6" t="str">
        <x:v>SAP section3.2 omitsµg locally from10.2Hb/g while section5.4 in the same SAP prints10.2µgHb/g. The main article supplies matched context only, so this is an internal-plan unit wording issue.</x:v>
      </x:c>
      <x:c r="O68" s="6" t="str">
        <x:v>../../2019/jama.2019.4755/.ai_paper_validation/final_report_1_5_1.html</x:v>
      </x:c>
      <x:c r="P68" s="6" t="str">
        <x:v>2019/jama.2019.4755/.ai_paper_validation/final_report_1_5_1.md</x:v>
      </x:c>
      <x:c r="Q68" s="6" t="str">
        <x:v>C005</x:v>
      </x:c>
      <x:c r="R68" s="6" t="str">
        <x:v>Pending Human Adjudication</x:v>
      </x:c>
      <x:c r="S68" s="6" t="str">
        <x:v>One SAP sentence prints 17 μg Hb/g feces and 10.2 Hb/g feces, while matched occurrences specify the lower cutoff as 10.2 μg Hb/g feces.</x:v>
      </x:c>
      <x:c r="T68" s="12" t="b">
        <x:v>0</x:v>
      </x:c>
      <x:c r="U68" s="6" t="str">
        <x:v>unit_omission</x:v>
      </x:c>
      <x:c r="V68" s="6" t="str">
        <x:v>plan_material</x:v>
      </x:c>
      <x:c r="W68" s="6" t="str">
        <x:v>One SAP occurrence omits the microgram prefix from the 10.2 cutoff</x:v>
      </x:c>
      <x:c r="X68" s="6" t="str">
        <x:v>2019</x:v>
      </x:c>
      <x:c r="Y68" s="6" t="str">
        <x:v>meta_report/consistency_reclassification_2026-09-04/reclassified_candidates.json</x:v>
      </x:c>
      <x:c r="Z68" s="6" t="str">
        <x:v>P_P</x:v>
      </x:c>
      <x:c r="AA68" s="6" t="str">
        <x:v>plan_material</x:v>
      </x:c>
      <x:c r="AB68" s="6" t="str">
        <x:v>retain</x:v>
      </x:c>
    </x:row>
    <x:row r="69" ht="90" customHeight="1">
      <x:c r="A69" s="11" t="b">
        <x:v>0</x:v>
      </x:c>
      <x:c r="B69" s="3"/>
      <x:c r="C69" s="11" t="b">
        <x:v>0</x:v>
      </x:c>
      <x:c r="D69" s="3" t="str">
        <x:v>Cross-document numeric inconsistency</x:v>
      </x:c>
      <x:c r="E69" s="11" t="b">
        <x:v>0</x:v>
      </x:c>
      <x:c r="F69" s="3" t="str">
        <x:v>C001</x:v>
      </x:c>
      <x:c r="G69" s="3" t="str">
        <x:v>2019::jama.2019.7505::C001</x:v>
      </x:c>
      <x:c r="H69" s="3"/>
      <x:c r="I69" s="3" t="str">
        <x:v>DOC-001, jama_bluth_2019_oi_190055_16092.pdf — PDF p. 1, abstract and PDF p. 9, Table 3.</x:v>
      </x:c>
      <x:c r="J69" s="11" t="b">
        <x:v>1</x:v>
      </x:c>
      <x:c r="K69" s="3" t="str">
        <x:v>jama.2019.7505</x:v>
      </x:c>
      <x:c r="L69" s="3"/>
      <x:c r="M69" s="3" t="str">
        <x:v>S_W</x:v>
      </x:c>
      <x:c r="N69" s="3" t="str">
        <x:v>Main abstract hypoxemia risk-difference CI upper endpoint+6.1 conflicts with main Table3 -6.1 for the same counts, estimate and P. Both locations are in one article, despite original cross-document category.</x:v>
      </x:c>
      <x:c r="O69" s="3" t="str">
        <x:v>../../2019/jama.2019.7505/.ai_paper_validation/final_report_1_5_2.html</x:v>
      </x:c>
      <x:c r="P69" s="3" t="str">
        <x:v>2019/jama.2019.7505/.ai_paper_validation/final_report_1_5_2.md</x:v>
      </x:c>
      <x:c r="Q69" s="3" t="str">
        <x:v>C001</x:v>
      </x:c>
      <x:c r="R69" s="3" t="str">
        <x:v>Pending Human Adjudication</x:v>
      </x:c>
      <x:c r="S69" s="3" t="str">
        <x:v>The abstract and Table 3 print opposite signs for the upper endpoint of the otherwise matched high-minus-low hypoxemia risk-difference confidence interval.</x:v>
      </x:c>
      <x:c r="T69" s="11" t="b">
        <x:v>1</x:v>
      </x:c>
      <x:c r="U69" s="3" t="str">
        <x:v>ci_sign</x:v>
      </x:c>
      <x:c r="V69" s="3" t="str">
        <x:v>report_internal_inconsistency</x:v>
      </x:c>
      <x:c r="W69" s="3" t="str">
        <x:v>Hypoxemia confidence-interval endpoint sign differs between abstract and Table 3</x:v>
      </x:c>
      <x:c r="X69" s="3" t="str">
        <x:v>2019</x:v>
      </x:c>
      <x:c r="Y69" s="3" t="str">
        <x:v>meta_report/consistency_reclassification_2026-09-04/reclassified_candidates.json</x:v>
      </x:c>
      <x:c r="Z69" s="3" t="str">
        <x:v>S_W</x:v>
      </x:c>
      <x:c r="AA69" s="3" t="str">
        <x:v>report_internal_inconsistency</x:v>
      </x:c>
      <x:c r="AB69" s="3" t="str">
        <x:v>retain</x:v>
      </x:c>
    </x:row>
    <x:row r="70" ht="90" customHeight="1">
      <x:c r="A70" s="12" t="b">
        <x:v>0</x:v>
      </x:c>
      <x:c r="B70" s="6" t="str">
        <x:v>An unstated zero-cell estimator, alternate method, or cell alignment may partly explain it; no replacement RR is asserted.</x:v>
      </x:c>
      <x:c r="C70" s="12" t="b">
        <x:v>0</x:v>
      </x:c>
      <x:c r="D70" s="6" t="str">
        <x:v>Statistical reporting inconsistency</x:v>
      </x:c>
      <x:c r="E70" s="12" t="b">
        <x:v>0</x:v>
      </x:c>
      <x:c r="F70" s="6" t="str">
        <x:v>C002</x:v>
      </x:c>
      <x:c r="G70" s="6" t="str">
        <x:v>2019::jama.2019.7505::C002</x:v>
      </x:c>
      <x:c r="H70" s="6"/>
      <x:c r="I70" s="6" t="str">
        <x:v>DOC-001, jama_bluth_2019_oi_190055_16092.pdf — PDF p. 9, Table 3; PDF p. 10, continued Table 3 footnotes; and PDF p. 4, binary-outcome method.</x:v>
      </x:c>
      <x:c r="J70" s="12" t="b">
        <x:v>0</x:v>
      </x:c>
      <x:c r="K70" s="6" t="str">
        <x:v>jama.2019.7505</x:v>
      </x:c>
      <x:c r="L70" s="6"/>
      <x:c r="M70" s="6" t="str">
        <x:v>S_W</x:v>
      </x:c>
      <x:c r="N70" s="6" t="str">
        <x:v>Main Table3 DIC row shows1 versus0 events alongside finite RR2.00 and narrow CI1.91–2.09/P&gt;.99; main methods lack the zero-cell rule needed to reconcile that display.</x:v>
      </x:c>
      <x:c r="O70" s="6" t="str">
        <x:v>../../2019/jama.2019.7505/.ai_paper_validation/final_report_1_5_2.html</x:v>
      </x:c>
      <x:c r="P70" s="6" t="str">
        <x:v>2019/jama.2019.7505/.ai_paper_validation/final_report_1_5_2.md</x:v>
      </x:c>
      <x:c r="Q70" s="6" t="str">
        <x:v>C002</x:v>
      </x:c>
      <x:c r="R70" s="6" t="str">
        <x:v>Pending Human Adjudication</x:v>
      </x:c>
      <x:c r="S70" s="6" t="str">
        <x:v>The Table 3 DIC row prints 1 versus 0 events but a finite RR 2.00 with a narrow interval excluding 1; the source does not supply the estimator needed to reconcile these values.</x:v>
      </x:c>
      <x:c r="T70" s="12" t="b">
        <x:v>1</x:v>
      </x:c>
      <x:c r="U70" s="6" t="str">
        <x:v>statistical_compatibility</x:v>
      </x:c>
      <x:c r="V70" s="6" t="str">
        <x:v>statistical_results</x:v>
      </x:c>
      <x:c r="W70" s="6" t="str">
        <x:v>DIC row finite risk ratio and narrow interval do not reconcile with zero comparator events</x:v>
      </x:c>
      <x:c r="X70" s="6" t="str">
        <x:v>2019</x:v>
      </x:c>
      <x:c r="Y70" s="6" t="str">
        <x:v>meta_report/consistency_reclassification_2026-09-04/reclassified_candidates.json</x:v>
      </x:c>
      <x:c r="Z70" s="6" t="str">
        <x:v>S_W</x:v>
      </x:c>
      <x:c r="AA70" s="6" t="str">
        <x:v>statistical_results</x:v>
      </x:c>
      <x:c r="AB70" s="6" t="str">
        <x:v>retain</x:v>
      </x:c>
    </x:row>
    <x:row r="71" ht="90" customHeight="1">
      <x:c r="A71" s="11" t="b">
        <x:v>0</x:v>
      </x:c>
      <x:c r="B71" s="3" t="str">
        <x:v>Later SAP may legitimately supersede preliminary wording; the unresolved compound phrase is a planning-text issue.</x:v>
      </x:c>
      <x:c r="C71" s="11" t="b">
        <x:v>1</x:v>
      </x:c>
      <x:c r="D71" s="3" t="str">
        <x:v>Measure, label, or scale inconsistency</x:v>
      </x:c>
      <x:c r="E71" s="11" t="b">
        <x:v>0</x:v>
      </x:c>
      <x:c r="F71" s="3" t="str">
        <x:v>C003</x:v>
      </x:c>
      <x:c r="G71" s="3" t="str">
        <x:v>2019::jama.2019.7505::C003</x:v>
      </x:c>
      <x:c r="H71" s="3"/>
      <x:c r="I71" s="3" t="str">
        <x:v>DOC-002, joi190055supp1_prod_16092.pdf — physical PDF p. 23 (footer p. 22), section 8.2 Analysis; comparator definitions in DOC-004, joi190055supp3_prod_16092.pdf — PDF p. 2 and PDF p. 3.</x:v>
      </x:c>
      <x:c r="J71" s="11" t="b">
        <x:v>0</x:v>
      </x:c>
      <x:c r="K71" s="3" t="str">
        <x:v>jama.2019.7505</x:v>
      </x:c>
      <x:c r="L71" s="3"/>
      <x:c r="M71" s="3" t="str">
        <x:v>P_P</x:v>
      </x:c>
      <x:c r="N71" s="3" t="str">
        <x:v>Protocol planned-analysis sentence combines odds ratio and relative risks without separation; final SAP separately specifies primary RR and exploratory OR. Both the indeterminate sentence and comparator are prospective planning documents, not reported results.</x:v>
      </x:c>
      <x:c r="O71" s="3" t="str">
        <x:v>../../2019/jama.2019.7505/.ai_paper_validation/final_report_1_5_2.html</x:v>
      </x:c>
      <x:c r="P71" s="3" t="str">
        <x:v>2019/jama.2019.7505/.ai_paper_validation/final_report_1_5_2.md</x:v>
      </x:c>
      <x:c r="Q71" s="3" t="str">
        <x:v>C003</x:v>
      </x:c>
      <x:c r="R71" s="3" t="str">
        <x:v>Pending Human Adjudication</x:v>
      </x:c>
      <x:c r="S71" s="3" t="str">
        <x:v>A protocol planned-analysis sentence joins “odds ratio” and “relative risks” without a separator, alternative-analysis definition, or conversion rule, while the final SAP specifies a primary risk ratio.</x:v>
      </x:c>
      <x:c r="T71" s="11" t="b">
        <x:v>0</x:v>
      </x:c>
      <x:c r="U71" s="3" t="str">
        <x:v>effect_measure_label</x:v>
      </x:c>
      <x:c r="V71" s="3" t="str">
        <x:v>plan_material</x:v>
      </x:c>
      <x:c r="W71" s="3" t="str">
        <x:v>Protocol analysis sentence combines odds-ratio and relative-risk labels</x:v>
      </x:c>
      <x:c r="X71" s="3" t="str">
        <x:v>2019</x:v>
      </x:c>
      <x:c r="Y71" s="3" t="str">
        <x:v>meta_report/consistency_reclassification_2026-09-04/reclassified_candidates.json</x:v>
      </x:c>
      <x:c r="Z71" s="3" t="str">
        <x:v>P_P</x:v>
      </x:c>
      <x:c r="AA71" s="3" t="str">
        <x:v>plan_material</x:v>
      </x:c>
      <x:c r="AB71" s="3" t="str">
        <x:v>retain</x:v>
      </x:c>
    </x:row>
    <x:row r="72" ht="90" customHeight="1">
      <x:c r="A72" s="12" t="b">
        <x:v>0</x:v>
      </x:c>
      <x:c r="B72" s="6"/>
      <x:c r="C72" s="12" t="b">
        <x:v>0</x:v>
      </x:c>
      <x:c r="D72" s="6" t="str">
        <x:v>Measure, label, or scale inconsistency</x:v>
      </x:c>
      <x:c r="E72" s="12" t="b">
        <x:v>0</x:v>
      </x:c>
      <x:c r="F72" s="6" t="str">
        <x:v>C004</x:v>
      </x:c>
      <x:c r="G72" s="6" t="str">
        <x:v>2019::jama.2019.7505::C004</x:v>
      </x:c>
      <x:c r="H72" s="6"/>
      <x:c r="I72" s="6" t="str">
        <x:v>DOC-005, joi190055supp4_prod_16092.pdf — PDF p. 41, eFigure 11; comparator PDF p. 40, eFigure 10; and DOC-001, jama_bluth_2019_oi_190055_16092.pdf — PDF p. 10, Table 3.</x:v>
      </x:c>
      <x:c r="J72" s="12" t="b">
        <x:v>0</x:v>
      </x:c>
      <x:c r="K72" s="6" t="str">
        <x:v>jama.2019.7505</x:v>
      </x:c>
      <x:c r="L72" s="6"/>
      <x:c r="M72" s="6" t="str">
        <x:v>S_W</x:v>
      </x:c>
      <x:c r="N72" s="6" t="str">
        <x:v>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x:v>
      </x:c>
      <x:c r="O72" s="6" t="str">
        <x:v>../../2019/jama.2019.7505/.ai_paper_validation/final_report_1_5_2.html</x:v>
      </x:c>
      <x:c r="P72" s="6" t="str">
        <x:v>2019/jama.2019.7505/.ai_paper_validation/final_report_1_5_2.md</x:v>
      </x:c>
      <x:c r="Q72" s="6" t="str">
        <x:v>C004</x:v>
      </x:c>
      <x:c r="R72" s="6" t="str">
        <x:v>Pending Human Adjudication</x:v>
      </x:c>
      <x:c r="S72" s="6" t="str">
        <x:v>eFigure 11's narrative calls its displayed mortality values postoperative extra-pulmonary complications, although its title, axis, effect label, and matching Table 3 values identify five-day mortality.</x:v>
      </x:c>
      <x:c r="T72" s="12" t="b">
        <x:v>1</x:v>
      </x:c>
      <x:c r="U72" s="6" t="str">
        <x:v>outcome_label</x:v>
      </x:c>
      <x:c r="V72" s="6" t="str">
        <x:v>report_internal_inconsistency</x:v>
      </x:c>
      <x:c r="W72" s="6" t="str">
        <x:v>eFigure 11 mortality values are described as extra-pulmonary complications</x:v>
      </x:c>
      <x:c r="X72" s="6" t="str">
        <x:v>2019</x:v>
      </x:c>
      <x:c r="Y72" s="6" t="str">
        <x:v>meta_report/consistency_reclassification_2026-09-04/reclassified_candidates.json</x:v>
      </x:c>
      <x:c r="Z72" s="6" t="str">
        <x:v>S_W</x:v>
      </x:c>
      <x:c r="AA72" s="6" t="str">
        <x:v>report_internal_inconsistency</x:v>
      </x:c>
      <x:c r="AB72" s="6" t="str">
        <x:v>retain</x:v>
      </x:c>
    </x:row>
  </x:sheetData>
  <x:pageMargins left="0.7" right="0.7" top="0.75" bottom="0.75" header="0.3" footer="0.3"/>
  <x:tableParts count="1">
    <x:tablePart xmlns:r="http://schemas.openxmlformats.org/officeDocument/2006/relationships" r:id="R811a152af3be4235"/>
  </x:tableParts>
</x:worksheet>
</file>

<file path=xl/worksheets/sheet2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115" hidden="0" customWidth="1"/>
  </x:cols>
  <x:sheetData>
    <x:row r="1" ht="42" customHeight="1">
      <x:c r="A1" s="5" t="str">
        <x:v>key</x:v>
      </x:c>
      <x:c r="B1" s="5" t="str">
        <x:v>order</x:v>
      </x:c>
      <x:c r="C1" s="5" t="str">
        <x:v>section</x:v>
      </x:c>
      <x:c r="D1" s="5" t="str">
        <x:v>text</x:v>
      </x:c>
    </x:row>
    <x:row r="2" ht="180" customHeight="1">
      <x:c r="A2" s="6" t="str">
        <x:v>2019::jama.2019.0556::C001</x:v>
      </x:c>
      <x:c r="B2" s="6" t="n">
        <x:v>0</x:v>
      </x:c>
      <x:c r="C2" s="6" t="str">
        <x:v>Source evidence</x:v>
      </x:c>
      <x:c r="D2" s="6" t="str">
        <x:v>Footnote d prints 32/256 (12.5%) and 22/256 (8.6%) both as “supplements without therapy.” Footnote f and Results identify 22/256 (8.6%) as supplements with therapy.</x:v>
      </x:c>
    </x:row>
    <x:row r="3" ht="180" customHeight="1">
      <x:c r="A3" s="3" t="str">
        <x:v>2019::jama.2019.0556::C001</x:v>
      </x:c>
      <x:c r="B3" s="3" t="n">
        <x:v>1</x:v>
      </x:c>
      <x:c r="C3" s="3" t="str">
        <x:v>Reported-versus-comparator</x:v>
      </x:c>
      <x:c r="D3" s="3" t="str">
        <x:v>Repeated “without therapy” versus the Figure 1 allocation/Results and footnote-f “with therapy” label for 22/256.</x:v>
      </x:c>
    </x:row>
    <x:row r="4" ht="180" customHeight="1">
      <x:c r="A4" s="6" t="str">
        <x:v>2019::jama.2019.0556::C001</x:v>
      </x:c>
      <x:c r="B4" s="6" t="n">
        <x:v>2</x:v>
      </x:c>
      <x:c r="C4" s="6" t="str">
        <x:v>Calculation</x:v>
      </x:c>
      <x:c r="D4" s="6" t="str">
        <x:v>32+22=54 events and 256+256=512; 22/256=8.59375%, rounded 8.6%. The other partition is 25+32=57 without therapy and 26+22=48 with therapy.</x:v>
      </x:c>
    </x:row>
    <x:row r="5" ht="180" customHeight="1">
      <x:c r="A5" s="3" t="str">
        <x:v>2019::jama.2019.0556::C001</x:v>
      </x:c>
      <x:c r="B5" s="3" t="n">
        <x:v>3</x:v>
      </x:c>
      <x:c r="C5" s="3" t="str">
        <x:v>Alternative source-grounded interpretations</x:v>
      </x:c>
      <x:c r="D5" s="3" t="str">
        <x:v>Counts, percentages, total, OR, CI, and P value reconcile; the problem may be confined to one footnote label.</x:v>
      </x:c>
    </x:row>
    <x:row r="6" ht="180" customHeight="1">
      <x:c r="A6" s="6" t="str">
        <x:v>2019::jama.2019.0556::C002</x:v>
      </x:c>
      <x:c r="B6" s="6" t="n">
        <x:v>0</x:v>
      </x:c>
      <x:c r="C6" s="6" t="str">
        <x:v>Source evidence</x:v>
      </x:c>
      <x:c r="D6" s="6" t="str">
        <x:v>Methods/eAppendices print &gt;=70%; Results says 77% had adherence “more than 70%.”</x:v>
      </x:c>
    </x:row>
    <x:row r="7" ht="180" customHeight="1">
      <x:c r="A7" s="3" t="str">
        <x:v>2019::jama.2019.0556::C002</x:v>
      </x:c>
      <x:c r="B7" s="3" t="n">
        <x:v>1</x:v>
      </x:c>
      <x:c r="C7" s="3" t="str">
        <x:v>Reported-versus-comparator</x:v>
      </x:c>
      <x:c r="D7" s="3" t="str">
        <x:v>Strict &gt;70% prose versus inclusive &gt;=70% operational/table wording.</x:v>
      </x:c>
    </x:row>
    <x:row r="8" ht="180" customHeight="1">
      <x:c r="A8" s="6" t="str">
        <x:v>2019::jama.2019.0556::C002</x:v>
      </x:c>
      <x:c r="B8" s="6" t="n">
        <x:v>2</x:v>
      </x:c>
      <x:c r="C8" s="6" t="str">
        <x:v>Calculation</x:v>
      </x:c>
      <x:c r="D8" s="6" t="str">
        <x:v>eAppendix 8 pill-weight multinutrient counts are 135+134+126+120=515; 515/666=77.3%, compatible with the rounded 77%. &gt;=70% includes exactly 70%; &gt;70% does not.</x:v>
      </x:c>
    </x:row>
    <x:row r="9" ht="180" customHeight="1">
      <x:c r="A9" s="3" t="str">
        <x:v>2019::jama.2019.0556::C002</x:v>
      </x:c>
      <x:c r="B9" s="3" t="n">
        <x:v>3</x:v>
      </x:c>
      <x:c r="C9" s="3" t="str">
        <x:v>Alternative source-grounded interpretations</x:v>
      </x:c>
      <x:c r="D9" s="3" t="str">
        <x:v>Results may use informal prose for the inclusive criterion and no participant may lie exactly at 70%.</x:v>
      </x:c>
    </x:row>
    <x:row r="10" ht="180" customHeight="1">
      <x:c r="A10" s="6" t="str">
        <x:v>2019::jama.2019.0556::C003</x:v>
      </x:c>
      <x:c r="B10" s="6" t="n">
        <x:v>0</x:v>
      </x:c>
      <x:c r="C10" s="6" t="str">
        <x:v>Source evidence</x:v>
      </x:c>
      <x:c r="D10" s="6" t="str">
        <x:v>Four &gt;=70% rows carry *; the * note defines average Morisky score. The Morisky row has no marker. The note gives kappas 0.73/0.70 but no row visibly carries .</x:v>
      </x:c>
    </x:row>
    <x:row r="11" ht="180" customHeight="1">
      <x:c r="A11" s="3" t="str">
        <x:v>2019::jama.2019.0556::C003</x:v>
      </x:c>
      <x:c r="B11" s="3" t="n">
        <x:v>1</x:v>
      </x:c>
      <x:c r="C11" s="3" t="str">
        <x:v>Reported-versus-comparator</x:v>
      </x:c>
      <x:c r="D11" s="3" t="str">
        <x:v>Marker placements versus the content and apparent targets of the two notes.</x:v>
      </x:c>
    </x:row>
    <x:row r="12" ht="180" customHeight="1">
      <x:c r="A12" s="6" t="str">
        <x:v>2019::jama.2019.0556::C003</x:v>
      </x:c>
      <x:c r="B12" s="6" t="n">
        <x:v>2</x:v>
      </x:c>
      <x:c r="C12" s="6" t="str">
        <x:v>Calculation</x:v>
      </x:c>
      <x:c r="D12" s="6" t="str">
        <x:v>Logical reproduction: four visible * targets map to the sole Morisky note; zero visible targets map to the kappa note; no arithmetic applies.</x:v>
      </x:c>
    </x:row>
    <x:row r="13" ht="180" customHeight="1">
      <x:c r="A13" s="3" t="str">
        <x:v>2019::jama.2019.0556::C003</x:v>
      </x:c>
      <x:c r="B13" s="3" t="n">
        <x:v>3</x:v>
      </x:c>
      <x:c r="C13" s="3" t="str">
        <x:v>Alternative source-grounded interpretations</x:v>
      </x:c>
      <x:c r="D13" s="3" t="str">
        <x:v>Production may have shifted markers; the intended corrected arrangement cannot be determined from the PDF.</x:v>
      </x:c>
    </x:row>
    <x:row r="14" ht="180" customHeight="1">
      <x:c r="A14" s="6" t="str">
        <x:v>2019::jama.2019.0556::C004</x:v>
      </x:c>
      <x:c r="B14" s="6" t="n">
        <x:v>0</x:v>
      </x:c>
      <x:c r="C14" s="6" t="str">
        <x:v>Source evidence</x:v>
      </x:c>
      <x:c r="D14" s="6" t="str">
        <x:v>The row prints B=0.464, 95% CI 0.409 to 0.52, and p=0.</x:v>
      </x:c>
    </x:row>
    <x:row r="15" ht="180" customHeight="1">
      <x:c r="A15" s="3" t="str">
        <x:v>2019::jama.2019.0556::C004</x:v>
      </x:c>
      <x:c r="B15" s="3" t="n">
        <x:v>1</x:v>
      </x:c>
      <x:c r="C15" s="3" t="str">
        <x:v>Reported-versus-comparator</x:v>
      </x:c>
      <x:c r="D15" s="3" t="str">
        <x:v>Literal zero P field versus the row’s positive coefficient/wholly positive interval; no independent exact P occurrence is supplied.</x:v>
      </x:c>
    </x:row>
    <x:row r="16" ht="180" customHeight="1">
      <x:c r="A16" s="6" t="str">
        <x:v>2019::jama.2019.0556::C004</x:v>
      </x:c>
      <x:c r="B16" s="6" t="n">
        <x:v>2</x:v>
      </x:c>
      <x:c r="C16" s="6" t="str">
        <x:v>Calculation</x:v>
      </x:c>
      <x:c r="D16" s="6" t="str">
        <x:v>Diagnostic only: SE approximately (0.520-0.409)/(2x1.96)=0.0283; z approximately 0.464/0.0283=16.4, consistent with a very small positive two-sided tail probability, not an exact recovered P value.</x:v>
      </x:c>
    </x:row>
    <x:row r="17" ht="180" customHeight="1">
      <x:c r="A17" s="3" t="str">
        <x:v>2019::jama.2019.0556::C004</x:v>
      </x:c>
      <x:c r="B17" s="3" t="n">
        <x:v>3</x:v>
      </x:c>
      <x:c r="C17" s="3" t="str">
        <x:v>Alternative source-grounded interpretations</x:v>
      </x:c>
      <x:c r="D17" s="3" t="str">
        <x:v>0 may be fixed-precision software/export rendering of a very small positive P value.</x:v>
      </x:c>
    </x:row>
    <x:row r="18" ht="180" customHeight="1">
      <x:c r="A18" s="6" t="str">
        <x:v>2019::jama.2019.0556::C005</x:v>
      </x:c>
      <x:c r="B18" s="6" t="n">
        <x:v>0</x:v>
      </x:c>
      <x:c r="C18" s="6" t="str">
        <x:v>Source evidence</x:v>
      </x:c>
      <x:c r="D18" s="6" t="str">
        <x:v>It prints “392 participants (196 in each of the 4 possible intervention combinations)” and then 22% attrition with 250 per intervention combination.</x:v>
      </x:c>
    </x:row>
    <x:row r="19" ht="180" customHeight="1">
      <x:c r="A19" s="3" t="str">
        <x:v>2019::jama.2019.0556::C005</x:v>
      </x:c>
      <x:c r="B19" s="3" t="n">
        <x:v>1</x:v>
      </x:c>
      <x:c r="C19" s="3" t="str">
        <x:v>Reported-versus-comparator</x:v>
      </x:c>
      <x:c r="D19" s="3" t="str">
        <x:v>Reported total 392 versus four stated cells of 196; later four cells of 250 provide an internal comparator.</x:v>
      </x:c>
    </x:row>
    <x:row r="20" ht="180" customHeight="1">
      <x:c r="A20" s="6" t="str">
        <x:v>2019::jama.2019.0556::C005</x:v>
      </x:c>
      <x:c r="B20" s="6" t="n">
        <x:v>2</x:v>
      </x:c>
      <x:c r="C20" s="6" t="str">
        <x:v>Calculation</x:v>
      </x:c>
      <x:c r="D20" s="6" t="str">
        <x:v>4x196=784, not 392; 392/196=2. Conversely, 4x250=1000, consistent with the later per-combination statement.</x:v>
      </x:c>
    </x:row>
    <x:row r="21" ht="180" customHeight="1">
      <x:c r="A21" s="3" t="str">
        <x:v>2019::jama.2019.0556::C005</x:v>
      </x:c>
      <x:c r="B21" s="3" t="n">
        <x:v>3</x:v>
      </x:c>
      <x:c r="C21" s="3" t="str">
        <x:v>Alternative source-grounded interpretations</x:v>
      </x:c>
      <x:c r="D21" s="3" t="str">
        <x:v>392 may be a marginal two-level factorial contrast (196+196), although the sentence says 196 in each of four combinations.</x:v>
      </x:c>
    </x:row>
    <x:row r="22" ht="180" customHeight="1">
      <x:c r="A22" s="6" t="str">
        <x:v>2019::jama.2019.0556::C006</x:v>
      </x:c>
      <x:c r="B22" s="6" t="n">
        <x:v>0</x:v>
      </x:c>
      <x:c r="C22" s="6" t="str">
        <x:v>Source evidence</x:v>
      </x:c>
      <x:c r="D22" s="6" t="str">
        <x:v>The protocol prints “difference of 25%,” followed by 30% control and 15% intervention one-year incidence.</x:v>
      </x:c>
    </x:row>
    <x:row r="23" ht="180" customHeight="1">
      <x:c r="A23" s="3" t="str">
        <x:v>2019::jama.2019.0556::C006</x:v>
      </x:c>
      <x:c r="B23" s="3" t="n">
        <x:v>1</x:v>
      </x:c>
      <x:c r="C23" s="3" t="str">
        <x:v>Reported-versus-comparator</x:v>
      </x:c>
      <x:c r="D23" s="3" t="str">
        <x:v>25% wording versus the two printed incidences.</x:v>
      </x:c>
    </x:row>
    <x:row r="24" ht="180" customHeight="1">
      <x:c r="A24" s="6" t="str">
        <x:v>2019::jama.2019.0556::C006</x:v>
      </x:c>
      <x:c r="B24" s="6" t="n">
        <x:v>2</x:v>
      </x:c>
      <x:c r="C24" s="6" t="str">
        <x:v>Calculation</x:v>
      </x:c>
      <x:c r="D24" s="6" t="str">
        <x:v>30%-15%=15 percentage points; (30%-15%)/30%=50%; risk ratio=15%/30%=0.50. None equals 25%.</x:v>
      </x:c>
    </x:row>
    <x:row r="25" ht="180" customHeight="1">
      <x:c r="A25" s="3" t="str">
        <x:v>2019::jama.2019.0556::C006</x:v>
      </x:c>
      <x:c r="B25" s="3" t="n">
        <x:v>3</x:v>
      </x:c>
      <x:c r="C25" s="3" t="str">
        <x:v>Alternative source-grounded interpretations</x:v>
      </x:c>
      <x:c r="D25" s="3" t="str">
        <x:v>The 25% may refer to an unstated calculation parameter or drafting carryover.</x:v>
      </x:c>
    </x:row>
    <x:row r="26" ht="180" customHeight="1">
      <x:c r="A26" s="6" t="str">
        <x:v>2019::jama.2019.0556::C007</x:v>
      </x:c>
      <x:c r="B26" s="6" t="n">
        <x:v>0</x:v>
      </x:c>
      <x:c r="C26" s="6" t="str">
        <x:v>Source evidence</x:v>
      </x:c>
      <x:c r="D26" s="6" t="str">
        <x:v>Publication: 30% versus 20%, 33% reduction, 196 stated per combination, 22% attrition, 250 per combination. Protocol: 30% versus 15%, 180 per group, 20% dropout, 250 per arm.</x:v>
      </x:c>
    </x:row>
    <x:row r="27" ht="180" customHeight="1">
      <x:c r="A27" s="3" t="str">
        <x:v>2019::jama.2019.0556::C007</x:v>
      </x:c>
      <x:c r="B27" s="3" t="n">
        <x:v>1</x:v>
      </x:c>
      <x:c r="C27" s="3" t="str">
        <x:v>Reported-versus-comparator</x:v>
      </x:c>
      <x:c r="D27" s="3" t="str">
        <x:v>Same one-year factorial trial’s publication planning inputs versus protocol planning inputs.</x:v>
      </x:c>
    </x:row>
    <x:row r="28" ht="180" customHeight="1">
      <x:c r="A28" s="6" t="str">
        <x:v>2019::jama.2019.0556::C007</x:v>
      </x:c>
      <x:c r="B28" s="6" t="n">
        <x:v>2</x:v>
      </x:c>
      <x:c r="C28" s="6" t="str">
        <x:v>Calculation</x:v>
      </x:c>
      <x:c r="D28" s="6" t="str">
        <x:v>Protocol contrast: 15 percentage points/50% relative reduction. Publication: 10 points/33.3% relative reduction. Attrition differs by 2 points; both final targets imply 4x250=1000.</x:v>
      </x:c>
    </x:row>
    <x:row r="29" ht="180" customHeight="1">
      <x:c r="A29" s="3" t="str">
        <x:v>2019::jama.2019.0556::C007</x:v>
      </x:c>
      <x:c r="B29" s="3" t="n">
        <x:v>3</x:v>
      </x:c>
      <x:c r="C29" s="3" t="str">
        <x:v>Alternative source-grounded interpretations</x:v>
      </x:c>
      <x:c r="D29" s="3" t="str">
        <x:v>Protocol version 7 may reflect another planning stage or a legitimate amendment; the compared pages do not document the transition.</x:v>
      </x:c>
    </x:row>
    <x:row r="30" ht="180" customHeight="1">
      <x:c r="A30" s="6" t="str">
        <x:v>2019::jama.2019.0556::C008</x:v>
      </x:c>
      <x:c r="B30" s="6" t="n">
        <x:v>0</x:v>
      </x:c>
      <x:c r="C30" s="6" t="str">
        <x:v>Source evidence</x:v>
      </x:c>
      <x:c r="D30" s="6" t="str">
        <x:v>Protocol p. 8 prints DSM-IV/MINI; p. 28 prints DSM-5/MINI V5.01, both with baseline, 3-, 6-, and 12-month assessment. The article identifies DSM-IV/MINI 5.0.</x:v>
      </x:c>
    </x:row>
    <x:row r="31" ht="180" customHeight="1">
      <x:c r="A31" s="3" t="str">
        <x:v>2019::jama.2019.0556::C008</x:v>
      </x:c>
      <x:c r="B31" s="3" t="n">
        <x:v>1</x:v>
      </x:c>
      <x:c r="C31" s="3" t="str">
        <x:v>Reported-versus-comparator</x:v>
      </x:c>
      <x:c r="D31" s="3" t="str">
        <x:v>DSM-IV endpoint label versus DSM-5 label for matching endpoint/schedule.</x:v>
      </x:c>
    </x:row>
    <x:row r="32" ht="180" customHeight="1">
      <x:c r="A32" s="6" t="str">
        <x:v>2019::jama.2019.0556::C008</x:v>
      </x:c>
      <x:c r="B32" s="6" t="n">
        <x:v>2</x:v>
      </x:c>
      <x:c r="C32" s="6" t="str">
        <x:v>Calculation</x:v>
      </x:c>
      <x:c r="D32" s="6" t="str">
        <x:v>Logical comparison only: DSM-IV and DSM-5 are distinct labels; no arithmetic applies.</x:v>
      </x:c>
    </x:row>
    <x:row r="33" ht="180" customHeight="1">
      <x:c r="A33" s="3" t="str">
        <x:v>2019::jama.2019.0556::C008</x:v>
      </x:c>
      <x:c r="B33" s="3" t="n">
        <x:v>3</x:v>
      </x:c>
      <x:c r="C33" s="3" t="str">
        <x:v>Alternative source-grounded interpretations</x:v>
      </x:c>
      <x:c r="D33" s="3" t="str">
        <x:v>An unrevised section may remain, or the label difference may not have altered the operational MINI assessment.</x:v>
      </x:c>
    </x:row>
    <x:row r="34" ht="180" customHeight="1">
      <x:c r="A34" s="6" t="str">
        <x:v>2019::jama.2019.0556::C009</x:v>
      </x:c>
      <x:c r="B34" s="6" t="n">
        <x:v>0</x:v>
      </x:c>
      <x:c r="C34" s="6" t="str">
        <x:v>Source evidence</x:v>
      </x:c>
      <x:c r="D34" s="6" t="str">
        <x:v>The global sentence is the 2-sided significance threshold will be set at p 0.05. A p. 5 local modifier rule separately prints p&lt;0.05.</x:v>
      </x:c>
    </x:row>
    <x:row r="35" ht="180" customHeight="1">
      <x:c r="A35" s="3" t="str">
        <x:v>2019::jama.2019.0556::C009</x:v>
      </x:c>
      <x:c r="B35" s="3" t="n">
        <x:v>1</x:v>
      </x:c>
      <x:c r="C35" s="3" t="str">
        <x:v>Reported-versus-comparator</x:v>
      </x:c>
      <x:c r="D35" s="3" t="str">
        <x:v>Operator-free global threshold versus the locally explicit &lt; comparison.</x:v>
      </x:c>
    </x:row>
    <x:row r="36" ht="180" customHeight="1">
      <x:c r="A36" s="6" t="str">
        <x:v>2019::jama.2019.0556::C009</x:v>
      </x:c>
      <x:c r="B36" s="6" t="n">
        <x:v>2</x:v>
      </x:c>
      <x:c r="C36" s="6" t="str">
        <x:v>Calculation</x:v>
      </x:c>
      <x:c r="D36" s="6" t="str">
        <x:v>The p. 3 syntax cannot classify 0.049, 0.050, or 0.051. Under p. 5’s local p&lt;0.05, 0.049 meets that local rule; this comparator does not correct p. 3.</x:v>
      </x:c>
    </x:row>
    <x:row r="37" ht="180" customHeight="1">
      <x:c r="A37" s="3" t="str">
        <x:v>2019::jama.2019.0556::C009</x:v>
      </x:c>
      <x:c r="B37" s="3" t="n">
        <x:v>3</x:v>
      </x:c>
      <x:c r="C37" s="3" t="str">
        <x:v>Alternative source-grounded interpretations</x:v>
      </x:c>
      <x:c r="D37" s="3" t="str">
        <x:v>A less-than glyph may have been lost in production; it renders elsewhere in the same plan.</x:v>
      </x:c>
    </x:row>
    <x:row r="38" ht="180" customHeight="1">
      <x:c r="A38" s="6" t="str">
        <x:v>2019::jama.2019.10517::C001</x:v>
      </x:c>
      <x:c r="B38" s="6" t="n">
        <x:v>0</x:v>
      </x:c>
      <x:c r="C38" s="6" t="str">
        <x:v>Source evidence</x:v>
      </x:c>
      <x:c r="D38" s="6" t="str">
        <x:v>Each cited row prints 9/64 (14.1%) for sertraline plus olanzapine and 6/62 (9.7%) for sertraline plus placebo. Each prints 4.3 (-8 to 17.2) in the “Absolute Unadjusted Difference Between Groups, % (95% CI)” column.</x:v>
      </x:c>
    </x:row>
    <x:row r="39" ht="180" customHeight="1">
      <x:c r="A39" s="3" t="str">
        <x:v>2019::jama.2019.10517::C001</x:v>
      </x:c>
      <x:c r="B39" s="3" t="n">
        <x:v>1</x:v>
      </x:c>
      <x:c r="C39" s="3" t="str">
        <x:v>Reported-versus-comparator</x:v>
      </x:c>
      <x:c r="D39" s="3" t="str">
        <x:v>Reported point value: 4.3%. Comparator: the first displayed raw proportion minus the second, (9/64 − 6/62) × 100, and independently 14.1 − 9.7 percentage points.</x:v>
      </x:c>
    </x:row>
    <x:row r="40" ht="180" customHeight="1">
      <x:c r="A40" s="6" t="str">
        <x:v>2019::jama.2019.10517::C001</x:v>
      </x:c>
      <x:c r="B40" s="6" t="n">
        <x:v>2</x:v>
      </x:c>
      <x:c r="C40" s="6" t="str">
        <x:v>Calculation</x:v>
      </x:c>
      <x:c r="D40" s="6" t="str">
        <x:v>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x:v>
      </x:c>
    </x:row>
    <x:row r="41" ht="180" customHeight="1">
      <x:c r="A41" s="3" t="str">
        <x:v>2019::jama.2019.10517::C001</x:v>
      </x:c>
      <x:c r="B41" s="3" t="n">
        <x:v>3</x:v>
      </x:c>
      <x:c r="C41" s="3" t="str">
        <x:v>Alternative source-grounded interpretations</x:v>
      </x:c>
      <x:c r="D41" s="3" t="str">
        <x:v>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x:v>
      </x:c>
    </x:row>
    <x:row r="42" ht="180" customHeight="1">
      <x:c r="A42" s="6" t="str">
        <x:v>2019::jama.2019.10517::C002</x:v>
      </x:c>
      <x:c r="B42" s="6" t="n">
        <x:v>0</x:v>
      </x:c>
      <x:c r="C42" s="6" t="str">
        <x:v>Source evidence</x:v>
      </x:c>
      <x:c r="D42" s="6" t="str">
        <x:v>Main-article pages 1 and 7 print the HbA1c daily treatment-by-linear-time result as −0.0002 mg/dL (95% CI, −0.0021 to 0.0016); page 7 reports adjusted P = .99. Table 4 labels the outcome HbA1c, %, and eFigure 8 labels its axis HbA1c (%) for the matched mixed-model display.</x:v>
      </x:c>
    </x:row>
    <x:row r="43" ht="180" customHeight="1">
      <x:c r="A43" s="3" t="str">
        <x:v>2019::jama.2019.10517::C002</x:v>
      </x:c>
      <x:c r="B43" s="3" t="n">
        <x:v>1</x:v>
      </x:c>
      <x:c r="C43" s="3" t="str">
        <x:v>Reported-versus-comparator</x:v>
      </x:c>
      <x:c r="D43" s="3" t="str">
        <x:v>Reported label: mg/dL for the repeated interaction coefficient and interval. Comparator labels: % in Table 4 and HbA1c (%) in eFigure 8 for the same named outcome.</x:v>
      </x:c>
    </x:row>
    <x:row r="44" ht="180" customHeight="1">
      <x:c r="A44" s="6" t="str">
        <x:v>2019::jama.2019.10517::C002</x:v>
      </x:c>
      <x:c r="B44" s="6" t="n">
        <x:v>2</x:v>
      </x:c>
      <x:c r="C44" s="6" t="str">
        <x:v>Calculation</x:v>
      </x:c>
      <x:c r="D44" s="6" t="str">
        <x:v>This is a label comparison, not a numeric conversion. The coefficient and interval match exactly across pages 1 and 7. No conversion between mg/dL and %, or definition of a distinct transformed HbA1c variable, is supplied.</x:v>
      </x:c>
    </x:row>
    <x:row r="45" ht="180" customHeight="1">
      <x:c r="A45" s="3" t="str">
        <x:v>2019::jama.2019.10517::C002</x:v>
      </x:c>
      <x:c r="B45" s="3" t="n">
        <x:v>3</x:v>
      </x:c>
      <x:c r="C45" s="3" t="str">
        <x:v>Alternative source-grounded interpretations</x:v>
      </x:c>
      <x:c r="D45" s="3" t="str">
        <x:v>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x:v>
      </x:c>
    </x:row>
    <x:row r="46" ht="180" customHeight="1">
      <x:c r="A46" s="6" t="str">
        <x:v>2019::jama.2019.10517::C003</x:v>
      </x:c>
      <x:c r="B46" s="6" t="n">
        <x:v>0</x:v>
      </x:c>
      <x:c r="C46" s="6" t="str">
        <x:v>Source evidence</x:v>
      </x:c>
      <x:c r="D46" s="6" t="str">
        <x:v>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x:v>
      </x:c>
    </x:row>
    <x:row r="47" ht="180" customHeight="1">
      <x:c r="A47" s="3" t="str">
        <x:v>2019::jama.2019.10517::C003</x:v>
      </x:c>
      <x:c r="B47" s="3" t="n">
        <x:v>1</x:v>
      </x:c>
      <x:c r="C47" s="3" t="str">
        <x:v>Reported-versus-comparator</x:v>
      </x:c>
      <x:c r="D47" s="3" t="str">
        <x:v>Reported statement: 82 patients per site. Comparator: 98 acutely ill participants per site and total acute N=392, all within the same supplied protocol/SAP.</x:v>
      </x:c>
    </x:row>
    <x:row r="48" ht="180" customHeight="1">
      <x:c r="A48" s="6" t="str">
        <x:v>2019::jama.2019.10517::C003</x:v>
      </x:c>
      <x:c r="B48" s="6" t="n">
        <x:v>2</x:v>
      </x:c>
      <x:c r="C48" s="6" t="str">
        <x:v>Calculation</x:v>
      </x:c>
      <x:c r="D48" s="6" t="str">
        <x:v>98 × 4 = 392, reproducing the acute total. 82 × 4 = 328, 64 below 392. The per-site values differ by 98 − 82 = 16. The separate randomized target, 44 × 4 = 176, agrees with the planned discontinuation RCT total and does not resolve the acute-recruitment mismatch.</x:v>
      </x:c>
    </x:row>
    <x:row r="49" ht="180" customHeight="1">
      <x:c r="A49" s="3" t="str">
        <x:v>2019::jama.2019.10517::C003</x:v>
      </x:c>
      <x:c r="B49" s="3" t="n">
        <x:v>3</x:v>
      </x:c>
      <x:c r="C49" s="3" t="str">
        <x:v>Alternative source-grounded interpretations</x:v>
      </x:c>
      <x:c r="D49" s="3" t="str">
        <x:v>The 82/site statement may describe an earlier or amended target, a human-subjects subset, or another denominator; 98/site may represent all acutely ill participants. None of the cited passages labels a distinct version, subset, phase, or time basis that resolves the difference.</x:v>
      </x:c>
    </x:row>
    <x:row r="50" ht="180" customHeight="1">
      <x:c r="A50" s="6" t="str">
        <x:v>2019::jama.2019.12618::C001</x:v>
      </x:c>
      <x:c r="B50" s="6" t="n">
        <x:v>0</x:v>
      </x:c>
      <x:c r="C50" s="6" t="str">
        <x:v>Source evidence</x:v>
      </x:c>
      <x:c r="D50" s="6" t="str">
        <x:v>Table 1 prints enrollment through May 2015, six-month follow-up through December 2015, and maximum 12-month follow-up plus a one-month visit window through July 2015.</x:v>
      </x:c>
    </x:row>
    <x:row r="51" ht="180" customHeight="1">
      <x:c r="A51" s="3" t="str">
        <x:v>2019::jama.2019.12618::C001</x:v>
      </x:c>
      <x:c r="B51" s="3" t="n">
        <x:v>1</x:v>
      </x:c>
      <x:c r="C51" s="3" t="str">
        <x:v>Reported-versus-comparator</x:v>
      </x:c>
      <x:c r="D51" s="3" t="str">
        <x:v>The July 2015 maximum-follow-up endpoint is compared with the May 2015 last enrollment month plus the printed duration, and independently with December 2015 for the shorter follow-up phase.</x:v>
      </x:c>
    </x:row>
    <x:row r="52" ht="180" customHeight="1">
      <x:c r="A52" s="6" t="str">
        <x:v>2019::jama.2019.12618::C001</x:v>
      </x:c>
      <x:c r="B52" s="6" t="n">
        <x:v>2</x:v>
      </x:c>
      <x:c r="C52" s="6" t="str">
        <x:v>Calculation</x:v>
      </x:c>
      <x:c r="D52" s="6" t="str">
        <x:v>May 2015 + 12 months + one-month window reaches approximately June 2016. July 2015 is also five months earlier than December 2015.</x:v>
      </x:c>
    </x:row>
    <x:row r="53" ht="180" customHeight="1">
      <x:c r="A53" s="3" t="str">
        <x:v>2019::jama.2019.12618::C001</x:v>
      </x:c>
      <x:c r="B53" s="3" t="n">
        <x:v>3</x:v>
      </x:c>
      <x:c r="C53" s="3" t="str">
        <x:v>Alternative source-grounded interpretations</x:v>
      </x:c>
      <x:c r="D53" s="3" t="str">
        <x:v>July 2015 may refer to an earlier cohort, a year digit may be typographical, or an unsupplied amendment may govern the schedule.</x:v>
      </x:c>
    </x:row>
    <x:row r="54" ht="180" customHeight="1">
      <x:c r="A54" s="6" t="str">
        <x:v>2019::jama.2019.12618::C002</x:v>
      </x:c>
      <x:c r="B54" s="6" t="n">
        <x:v>0</x:v>
      </x:c>
      <x:c r="C54" s="6" t="str">
        <x:v>Source evidence</x:v>
      </x:c>
      <x:c r="D54" s="6" t="str">
        <x:v>The prose gives 49 of 68 eligible patients, then 20/32 (62.5%) and 29/42 (69.0%). Table 2 gives 32 and 42 failures; Figure 1 gives 20 and 29 switches.</x:v>
      </x:c>
    </x:row>
    <x:row r="55" ht="180" customHeight="1">
      <x:c r="A55" s="3" t="str">
        <x:v>2019::jama.2019.12618::C002</x:v>
      </x:c>
      <x:c r="B55" s="3" t="n">
        <x:v>1</x:v>
      </x:c>
      <x:c r="C55" s="3" t="str">
        <x:v>Reported-versus-comparator</x:v>
      </x:c>
      <x:c r="D55" s="3" t="str">
        <x:v>The aggregate eligible denominator (68) is compared with the sum of the two printed arm denominators (32+42).</x:v>
      </x:c>
    </x:row>
    <x:row r="56" ht="180" customHeight="1">
      <x:c r="A56" s="6" t="str">
        <x:v>2019::jama.2019.12618::C002</x:v>
      </x:c>
      <x:c r="B56" s="6" t="n">
        <x:v>2</x:v>
      </x:c>
      <x:c r="C56" s="6" t="str">
        <x:v>Calculation</x:v>
      </x:c>
      <x:c r="D56" s="6" t="str">
        <x:v>20+29=49; 32+42=74; 74−68=6. Individually, 20/32=62.5% and 29/42=69.05%, displayed as 69.0%.</x:v>
      </x:c>
    </x:row>
    <x:row r="57" ht="180" customHeight="1">
      <x:c r="A57" s="3" t="str">
        <x:v>2019::jama.2019.12618::C002</x:v>
      </x:c>
      <x:c r="B57" s="3" t="n">
        <x:v>3</x:v>
      </x:c>
      <x:c r="C57" s="3" t="str">
        <x:v>Alternative source-grounded interpretations</x:v>
      </x:c>
      <x:c r="D57" s="3" t="str">
        <x:v>The 32 and 42 may be all failures and 68 a narrower eligible subset; the original-arm allocation and reason for the six excluded failures are not supplied.</x:v>
      </x:c>
    </x:row>
    <x:row r="58" ht="180" customHeight="1">
      <x:c r="A58" s="6" t="str">
        <x:v>2019::jama.2019.12618::C003</x:v>
      </x:c>
      <x:c r="B58" s="6" t="n">
        <x:v>0</x:v>
      </x:c>
      <x:c r="C58" s="6" t="str">
        <x:v>Source evidence</x:v>
      </x:c>
      <x:c r="D58" s="6" t="str">
        <x:v>The article lists permutated block sizes 4 and 6. The protocol lists 4, 6, or 8 with equal probability. Later supplied SAP definitions specify 4 (probability 2/3) and 6 (probability 1/3).</x:v>
      </x:c>
    </x:row>
    <x:row r="59" ht="180" customHeight="1">
      <x:c r="A59" s="3" t="str">
        <x:v>2019::jama.2019.12618::C003</x:v>
      </x:c>
      <x:c r="B59" s="3" t="n">
        <x:v>1</x:v>
      </x:c>
      <x:c r="C59" s="3" t="str">
        <x:v>Reported-versus-comparator</x:v>
      </x:c>
      <x:c r="D59" s="3" t="str">
        <x:v>The article set {4,6} is compared with the protocol set {4,6,8}; the later SAP is alternative version-specific context rather than proof of the applied allocation list.</x:v>
      </x:c>
    </x:row>
    <x:row r="60" ht="180" customHeight="1">
      <x:c r="A60" s="6" t="str">
        <x:v>2019::jama.2019.12618::C003</x:v>
      </x:c>
      <x:c r="B60" s="6" t="n">
        <x:v>2</x:v>
      </x:c>
      <x:c r="C60" s="6" t="str">
        <x:v>Calculation</x:v>
      </x:c>
      <x:c r="D60" s="6" t="str">
        <x:v>{4,6} versus {4,6,8} has symmetric difference {8}.</x:v>
      </x:c>
    </x:row>
    <x:row r="61" ht="180" customHeight="1">
      <x:c r="A61" s="3" t="str">
        <x:v>2019::jama.2019.12618::C003</x:v>
      </x:c>
      <x:c r="B61" s="3" t="n">
        <x:v>3</x:v>
      </x:c>
      <x:c r="C61" s="3" t="str">
        <x:v>Alternative source-grounded interpretations</x:v>
      </x:c>
      <x:c r="D61" s="3" t="str">
        <x:v>A later amendment or implementation decision may have removed size 8, the article may describe realized rather than possible sizes, and the SAP's later 4/6 rule may govern the generated list.</x:v>
      </x:c>
    </x:row>
    <x:row r="62" ht="180" customHeight="1">
      <x:c r="A62" s="6" t="str">
        <x:v>2019::jama.2019.12618::C004</x:v>
      </x:c>
      <x:c r="B62" s="6" t="n">
        <x:v>0</x:v>
      </x:c>
      <x:c r="C62" s="6" t="str">
        <x:v>Source evidence</x:v>
      </x:c>
      <x:c r="D62" s="6" t="str">
        <x:v>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x:v>
      </x:c>
    </x:row>
    <x:row r="63" ht="180" customHeight="1">
      <x:c r="A63" s="3" t="str">
        <x:v>2019::jama.2019.12618::C004</x:v>
      </x:c>
      <x:c r="B63" s="3" t="n">
        <x:v>1</x:v>
      </x:c>
      <x:c r="C63" s="3" t="str">
        <x:v>Reported-versus-comparator</x:v>
      </x:c>
      <x:c r="D63" s="3" t="str">
        <x:v>The article's enumerated six-month success criteria are compared with the manual's explicit no-injection-after-90-days condition. The SAP text supplies context, not an established primary-analysis rule.</x:v>
      </x:c>
    </x:row>
    <x:row r="64" ht="180" customHeight="1">
      <x:c r="A64" s="6" t="str">
        <x:v>2019::jama.2019.12618::C004</x:v>
      </x:c>
      <x:c r="B64" s="6" t="n">
        <x:v>2</x:v>
      </x:c>
      <x:c r="C64" s="6" t="str">
        <x:v>Calculation</x:v>
      </x:c>
      <x:c r="D64" s="6" t="str">
        <x:v>The manual adds one explicit condition absent from the article's enumerated set. Eight reported cases are 4+4, but no revised 64/96 or 56/98 success count can be calculated.</x:v>
      </x:c>
    </x:row>
    <x:row r="65" ht="180" customHeight="1">
      <x:c r="A65" s="3" t="str">
        <x:v>2019::jama.2019.12618::C004</x:v>
      </x:c>
      <x:c r="B65" s="3" t="n">
        <x:v>3</x:v>
      </x:c>
      <x:c r="C65" s="3" t="str">
        <x:v>Alternative source-grounded interpretations</x:v>
      </x:c>
      <x:c r="D65" s="3" t="str">
        <x:v>The article may abbreviate an operational rule, protocol-deviation status may map to failure elsewhere, or an endpoint amendment may explain the difference. The SAP uses “90 days after enrollment”; a separate later deviation text uses &gt;90 days, so these are not silently normalized.</x:v>
      </x:c>
    </x:row>
    <x:row r="66" ht="180" customHeight="1">
      <x:c r="A66" s="6" t="str">
        <x:v>2019::jama.2019.12618::C005</x:v>
      </x:c>
      <x:c r="B66" s="6" t="n">
        <x:v>0</x:v>
      </x:c>
      <x:c r="C66" s="6" t="str">
        <x:v>Source evidence</x:v>
      </x:c>
      <x:c r="D66" s="6" t="str">
        <x:v>Table 2 prints MTX 4.6 (SD 1.0)% with n=96 and MMF 4.3 (SD 0.5)% with n=98, P=.87. Methods name a Welch t test for missed doses.</x:v>
      </x:c>
    </x:row>
    <x:row r="67" ht="180" customHeight="1">
      <x:c r="A67" s="3" t="str">
        <x:v>2019::jama.2019.12618::C005</x:v>
      </x:c>
      <x:c r="B67" s="3" t="n">
        <x:v>1</x:v>
      </x:c>
      <x:c r="C67" s="3" t="str">
        <x:v>Reported-versus-comparator</x:v>
      </x:c>
      <x:c r="D67" s="3" t="str">
        <x:v>The reported P=.87 is compared with a diagnostic conventional two-sample, two-sided Welch calculation using the displayed summaries and header n values.</x:v>
      </x:c>
    </x:row>
    <x:row r="68" ht="180" customHeight="1">
      <x:c r="A68" s="6" t="str">
        <x:v>2019::jama.2019.12618::C005</x:v>
      </x:c>
      <x:c r="B68" s="6" t="n">
        <x:v>2</x:v>
      </x:c>
      <x:c r="C68" s="6" t="str">
        <x:v>Calculation</x:v>
      </x:c>
      <x:c r="D68" s="6" t="str">
        <x:v>SE=sqrt(1.0²/96+0.5²/98)=0.113875753; difference =0.3; t=2.634450, approximately 139.06 Welch degrees of freedom; two-sided diagnostic P=0.009382747 (about .01), not .87.</x:v>
      </x:c>
    </x:row>
    <x:row r="69" ht="180" customHeight="1">
      <x:c r="A69" s="3" t="str">
        <x:v>2019::jama.2019.12618::C005</x:v>
      </x:c>
      <x:c r="B69" s="3" t="n">
        <x:v>3</x:v>
      </x:c>
      <x:c r="C69" s="3" t="str">
        <x:v>Alternative source-grounded interpretations</x:v>
      </x:c>
      <x:c r="D69" s="3" t="str">
        <x:v>Different analytic n, unrounded or transformed data, another summary definition, weighting, or a P value belonging to another comparison could explain the mismatch.</x:v>
      </x:c>
    </x:row>
    <x:row r="70" ht="180" customHeight="1">
      <x:c r="A70" s="6" t="str">
        <x:v>2019::jama.2019.12618::C006</x:v>
      </x:c>
      <x:c r="B70" s="6" t="n">
        <x:v>0</x:v>
      </x:c>
      <x:c r="C70" s="6" t="str">
        <x:v>Source evidence</x:v>
      </x:c>
      <x:c r="D70" s="6" t="str">
        <x:v>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x:v>
      </x:c>
    </x:row>
    <x:row r="71" ht="180" customHeight="1">
      <x:c r="A71" s="3" t="str">
        <x:v>2019::jama.2019.12618::C006</x:v>
      </x:c>
      <x:c r="B71" s="3" t="n">
        <x:v>1</x:v>
      </x:c>
      <x:c r="C71" s="3" t="str">
        <x:v>Reported-versus-comparator</x:v>
      </x:c>
      <x:c r="D71" s="3" t="str">
        <x:v>Main header n=109 and its count/percentage cells are compared with treated N=108 headers and the matched eTable 4 cell; the fatigue example is compared internally with its two possible denominators.</x:v>
      </x:c>
    </x:row>
    <x:row r="72" ht="180" customHeight="1">
      <x:c r="A72" s="6" t="str">
        <x:v>2019::jama.2019.12618::C006</x:v>
      </x:c>
      <x:c r="B72" s="6" t="n">
        <x:v>2</x:v>
      </x:c>
      <x:c r="C72" s="6" t="str">
        <x:v>Calculation</x:v>
      </x:c>
      <x:c r="D72" s="6" t="str">
        <x:v>19/108=17.5926%→17.6%, versus 19/109=17.4312%→17.4%; 59/108=54.6296%→54.6%, versus 59/109=54.1284%→54.1%.</x:v>
      </x:c>
    </x:row>
    <x:row r="73" ht="180" customHeight="1">
      <x:c r="A73" s="3" t="str">
        <x:v>2019::jama.2019.12618::C006</x:v>
      </x:c>
      <x:c r="B73" s="3" t="n">
        <x:v>3</x:v>
      </x:c>
      <x:c r="C73" s="3" t="str">
        <x:v>Alternative source-grounded interpretations</x:v>
      </x:c>
      <x:c r="D73" s="3" t="str">
        <x:v>The header may intentionally report randomized N=109 while percentages use the 108 treated participants, signaled by the footnote but not stated as a row-level denominator convention.</x:v>
      </x:c>
    </x:row>
    <x:row r="74" ht="180" customHeight="1">
      <x:c r="A74" s="6" t="str">
        <x:v>2019::jama.2019.12618::C007</x:v>
      </x:c>
      <x:c r="B74" s="6" t="n">
        <x:v>0</x:v>
      </x:c>
      <x:c r="C74" s="6" t="str">
        <x:v>Source evidence</x:v>
      </x:c>
      <x:c r="D74" s="6" t="str">
        <x:v>The table defines entries as patients reporting at least one event (%), labels MMF N=20, and prints 1 (3.4) for Serious Systemic diarrhea. Other N=20 count-one cells show 1 (5.0); N=29 MTX count-one cells show 1 (3.4).</x:v>
      </x:c>
    </x:row>
    <x:row r="75" ht="180" customHeight="1">
      <x:c r="A75" s="3" t="str">
        <x:v>2019::jama.2019.12618::C007</x:v>
      </x:c>
      <x:c r="B75" s="3" t="n">
        <x:v>1</x:v>
      </x:c>
      <x:c r="C75" s="3" t="str">
        <x:v>Reported-versus-comparator</x:v>
      </x:c>
      <x:c r="D75" s="3" t="str">
        <x:v>The displayed 3.4% is compared with the table's own N=20 denominator and count-over-denominator definition.</x:v>
      </x:c>
    </x:row>
    <x:row r="76" ht="180" customHeight="1">
      <x:c r="A76" s="6" t="str">
        <x:v>2019::jama.2019.12618::C007</x:v>
      </x:c>
      <x:c r="B76" s="6" t="n">
        <x:v>2</x:v>
      </x:c>
      <x:c r="C76" s="6" t="str">
        <x:v>Calculation</x:v>
      </x:c>
      <x:c r="D76" s="6" t="str">
        <x:v>100×1/20=5.0%; 100×1/29=3.4483%, displayed as 3.4%.</x:v>
      </x:c>
    </x:row>
    <x:row r="77" ht="180" customHeight="1">
      <x:c r="A77" s="3" t="str">
        <x:v>2019::jama.2019.12618::C007</x:v>
      </x:c>
      <x:c r="B77" s="3" t="n">
        <x:v>3</x:v>
      </x:c>
      <x:c r="C77" s="3" t="str">
        <x:v>Alternative source-grounded interpretations</x:v>
      </x:c>
      <x:c r="D77" s="3" t="str">
        <x:v>The percentage may have been transposed from the N=29 column, the header/count may be wrong, or an unprinted subset near 29 may apply.</x:v>
      </x:c>
    </x:row>
    <x:row r="78" ht="180" customHeight="1">
      <x:c r="A78" s="6" t="str">
        <x:v>2019::jama.2019.12618::C008</x:v>
      </x:c>
      <x:c r="B78" s="6" t="n">
        <x:v>0</x:v>
      </x:c>
      <x:c r="C78" s="6" t="str">
        <x:v>Source evidence</x:v>
      </x:c>
      <x:c r="D78" s="6" t="str">
        <x:v>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x:v>
      </x:c>
    </x:row>
    <x:row r="79" ht="180" customHeight="1">
      <x:c r="A79" s="3" t="str">
        <x:v>2019::jama.2019.12618::C008</x:v>
      </x:c>
      <x:c r="B79" s="3" t="n">
        <x:v>1</x:v>
      </x:c>
      <x:c r="C79" s="3" t="str">
        <x:v>Reported-versus-comparator</x:v>
      </x:c>
      <x:c r="D79" s="3" t="str">
        <x:v>The eTable 8 serious-row label is compared with eTable 1's serious surgery-required criterion, eTable 8's own non-serious label, and eTable 9's surgery-required serious label.</x:v>
      </x:c>
    </x:row>
    <x:row r="80" ht="180" customHeight="1">
      <x:c r="A80" s="6" t="str">
        <x:v>2019::jama.2019.12618::C008</x:v>
      </x:c>
      <x:c r="B80" s="6" t="n">
        <x:v>2</x:v>
      </x:c>
      <x:c r="C80" s="6" t="str">
        <x:v>Calculation</x:v>
      </x:c>
      <x:c r="D80" s="6" t="str">
        <x:v>No percentage calculation applies. The serious eTable 8 row states a threshold-only criterion, while eTable 1 assigns threshold-only ocular hypertension to non-serious and surgery-required cases to serious; eTable 8 also uses &gt;24 where eTable 1 uses at least 24.</x:v>
      </x:c>
    </x:row>
    <x:row r="81" ht="180" customHeight="1">
      <x:c r="A81" s="3" t="str">
        <x:v>2019::jama.2019.12618::C008</x:v>
      </x:c>
      <x:c r="B81" s="3" t="n">
        <x:v>3</x:v>
      </x:c>
      <x:c r="C81" s="3" t="str">
        <x:v>Alternative source-grounded interpretations</x:v>
      </x:c>
      <x:c r="D81" s="3" t="str">
        <x:v>The serious event may have required surgery but have an abbreviated/copied label, or eTable 8 may use another unprinted definition. Its footnote points to eFigure 2, not eTable 1; no eFigure 2 content appears in the supplied supplement text.</x:v>
      </x:c>
    </x:row>
    <x:row r="82" ht="180" customHeight="1">
      <x:c r="A82" s="6" t="str">
        <x:v>2019::jama.2019.14231::C001</x:v>
      </x:c>
      <x:c r="B82" s="6" t="n">
        <x:v>0</x:v>
      </x:c>
      <x:c r="C82" s="6" t="str">
        <x:v>Source evidence</x:v>
      </x:c>
      <x:c r="D82" s="6" t="str">
        <x:v>The article reports 2,287 surgical patients and 11,435 matched nonsurgical controls, stating five nonsurgical patients per surgical patient. The protocol says each nonsurgical patient will be matched to five surgical patients.</x:v>
      </x:c>
    </x:row>
    <x:row r="83" ht="180" customHeight="1">
      <x:c r="A83" s="3" t="str">
        <x:v>2019::jama.2019.14231::C001</x:v>
      </x:c>
      <x:c r="B83" s="3" t="n">
        <x:v>1</x:v>
      </x:c>
      <x:c r="C83" s="3" t="str">
        <x:v>Reported-versus-comparator</x:v>
      </x:c>
      <x:c r="D83" s="3" t="str">
        <x:v>Final direction and counts: one surgical patient to five nonsurgical controls; protocol wording: one nonsurgical patient to five surgical patients.</x:v>
      </x:c>
    </x:row>
    <x:row r="84" ht="180" customHeight="1">
      <x:c r="A84" s="6" t="str">
        <x:v>2019::jama.2019.14231::C001</x:v>
      </x:c>
      <x:c r="B84" s="6" t="n">
        <x:v>2</x:v>
      </x:c>
      <x:c r="C84" s="6" t="str">
        <x:v>Calculation</x:v>
      </x:c>
      <x:c r="D84" s="6" t="str">
        <x:v>2,287 × 5 = 11,435 nonsurgical controls.</x:v>
      </x:c>
    </x:row>
    <x:row r="85" ht="180" customHeight="1">
      <x:c r="A85" s="3" t="str">
        <x:v>2019::jama.2019.14231::C001</x:v>
      </x:c>
      <x:c r="B85" s="3" t="n">
        <x:v>3</x:v>
      </x:c>
      <x:c r="C85" s="3" t="str">
        <x:v>Alternative source-grounded interpretations</x:v>
      </x:c>
      <x:c r="D85" s="3" t="str">
        <x:v>The protocol may contain a planned-method wording inversion or use an unstated ratio convention.</x:v>
      </x:c>
    </x:row>
    <x:row r="86" ht="180" customHeight="1">
      <x:c r="A86" s="6" t="str">
        <x:v>2019::jama.2019.14231::C002</x:v>
      </x:c>
      <x:c r="B86" s="6" t="n">
        <x:v>0</x:v>
      </x:c>
      <x:c r="C86" s="6" t="str">
        <x:v>Source evidence</x:v>
      </x:c>
      <x:c r="D86" s="6" t="str">
        <x:v>Heart-failure incidence is 6.8% for surgery and 18.9% for controls; Table 2 reports ARD 12.9% (95% CI 10.4%-15.1%).</x:v>
      </x:c>
    </x:row>
    <x:row r="87" ht="180" customHeight="1">
      <x:c r="A87" s="3" t="str">
        <x:v>2019::jama.2019.14231::C002</x:v>
      </x:c>
      <x:c r="B87" s="3" t="n">
        <x:v>1</x:v>
      </x:c>
      <x:c r="C87" s="3" t="str">
        <x:v>Reported-versus-comparator</x:v>
      </x:c>
      <x:c r="D87" s="3" t="str">
        <x:v>Reported ARD 12.9% versus displayed-incidence subtraction 12.1%.</x:v>
      </x:c>
    </x:row>
    <x:row r="88" ht="180" customHeight="1">
      <x:c r="A88" s="6" t="str">
        <x:v>2019::jama.2019.14231::C002</x:v>
      </x:c>
      <x:c r="B88" s="6" t="n">
        <x:v>2</x:v>
      </x:c>
      <x:c r="C88" s="6" t="str">
        <x:v>Calculation</x:v>
      </x:c>
      <x:c r="D88" s="6" t="str">
        <x:v>18.9% − 6.8% = 12.1%; discrepancy 0.8 percentage point. The two one-decimal display ranges do not overlap a displayed 12.9%.</x:v>
      </x:c>
    </x:row>
    <x:row r="89" ht="180" customHeight="1">
      <x:c r="A89" s="3" t="str">
        <x:v>2019::jama.2019.14231::C002</x:v>
      </x:c>
      <x:c r="B89" s="3" t="n">
        <x:v>3</x:v>
      </x:c>
      <x:c r="C89" s="3" t="str">
        <x:v>Alternative source-grounded interpretations</x:v>
      </x:c>
      <x:c r="D89" s="3" t="str">
        <x:v>The ARD point estimate may be separately estimated; the source expressly describes bootstrap CI generation but not a separate ARD point-estimation rule.</x:v>
      </x:c>
    </x:row>
    <x:row r="90" ht="180" customHeight="1">
      <x:c r="A90" s="6" t="str">
        <x:v>2019::jama.2019.14231::C003</x:v>
      </x:c>
      <x:c r="B90" s="6" t="n">
        <x:v>0</x:v>
      </x:c>
      <x:c r="C90" s="6" t="str">
        <x:v>Source evidence</x:v>
      </x:c>
      <x:c r="D90" s="6" t="str">
        <x:v>Coronary-disease incidence is 7.9% for surgery and 11.6% for controls; ARD is 4.2% (1.9%-6.8%).</x:v>
      </x:c>
    </x:row>
    <x:row r="91" ht="180" customHeight="1">
      <x:c r="A91" s="3" t="str">
        <x:v>2019::jama.2019.14231::C003</x:v>
      </x:c>
      <x:c r="B91" s="3" t="n">
        <x:v>1</x:v>
      </x:c>
      <x:c r="C91" s="3" t="str">
        <x:v>Reported-versus-comparator</x:v>
      </x:c>
      <x:c r="D91" s="3" t="str">
        <x:v>Reported ARD 4.2% versus displayed-incidence subtraction 3.7%.</x:v>
      </x:c>
    </x:row>
    <x:row r="92" ht="180" customHeight="1">
      <x:c r="A92" s="6" t="str">
        <x:v>2019::jama.2019.14231::C003</x:v>
      </x:c>
      <x:c r="B92" s="6" t="n">
        <x:v>2</x:v>
      </x:c>
      <x:c r="C92" s="6" t="str">
        <x:v>Calculation</x:v>
      </x:c>
      <x:c r="D92" s="6" t="str">
        <x:v>11.6% − 7.9% = 3.7%; discrepancy 0.5 percentage point, beyond ordinary displayed rounding.</x:v>
      </x:c>
    </x:row>
    <x:row r="93" ht="180" customHeight="1">
      <x:c r="A93" s="3" t="str">
        <x:v>2019::jama.2019.14231::C003</x:v>
      </x:c>
      <x:c r="B93" s="3" t="n">
        <x:v>3</x:v>
      </x:c>
      <x:c r="C93" s="3" t="str">
        <x:v>Alternative source-grounded interpretations</x:v>
      </x:c>
      <x:c r="D93" s="3" t="str">
        <x:v>A separately bootstrapped or otherwise distinct ARD point estimator may have been used, but is not defined.</x:v>
      </x:c>
    </x:row>
    <x:row r="94" ht="180" customHeight="1">
      <x:c r="A94" s="6" t="str">
        <x:v>2019::jama.2019.14231::C004</x:v>
      </x:c>
      <x:c r="B94" s="6" t="n">
        <x:v>0</x:v>
      </x:c>
      <x:c r="C94" s="6" t="str">
        <x:v>Source evidence</x:v>
      </x:c>
      <x:c r="D94" s="6" t="str">
        <x:v>Cerebrovascular-disease incidence is 4.1% for surgery and 5.6% for controls; ARD is 1.8% (95% CI -0.03% to 3.4%).</x:v>
      </x:c>
    </x:row>
    <x:row r="95" ht="180" customHeight="1">
      <x:c r="A95" s="3" t="str">
        <x:v>2019::jama.2019.14231::C004</x:v>
      </x:c>
      <x:c r="B95" s="3" t="n">
        <x:v>1</x:v>
      </x:c>
      <x:c r="C95" s="3" t="str">
        <x:v>Reported-versus-comparator</x:v>
      </x:c>
      <x:c r="D95" s="3" t="str">
        <x:v>Reported ARD 1.8% versus displayed-incidence subtraction 1.5%.</x:v>
      </x:c>
    </x:row>
    <x:row r="96" ht="180" customHeight="1">
      <x:c r="A96" s="6" t="str">
        <x:v>2019::jama.2019.14231::C004</x:v>
      </x:c>
      <x:c r="B96" s="6" t="n">
        <x:v>2</x:v>
      </x:c>
      <x:c r="C96" s="6" t="str">
        <x:v>Calculation</x:v>
      </x:c>
      <x:c r="D96" s="6" t="str">
        <x:v>5.6% − 4.1% = 1.5%; discrepancy 0.3 percentage point, beyond the approximate 0.10-point rounding bound.</x:v>
      </x:c>
    </x:row>
    <x:row r="97" ht="180" customHeight="1">
      <x:c r="A97" s="3" t="str">
        <x:v>2019::jama.2019.14231::C004</x:v>
      </x:c>
      <x:c r="B97" s="3" t="n">
        <x:v>3</x:v>
      </x:c>
      <x:c r="C97" s="3" t="str">
        <x:v>Alternative source-grounded interpretations</x:v>
      </x:c>
      <x:c r="D97" s="3" t="str">
        <x:v>The ARD may use a distinct point estimator not stated in the supplied package.</x:v>
      </x:c>
    </x:row>
    <x:row r="98" ht="180" customHeight="1">
      <x:c r="A98" s="6" t="str">
        <x:v>2019::jama.2019.14231::C005</x:v>
      </x:c>
      <x:c r="B98" s="6" t="n">
        <x:v>0</x:v>
      </x:c>
      <x:c r="C98" s="6" t="str">
        <x:v>Source evidence</x:v>
      </x:c>
      <x:c r="D98" s="6" t="str">
        <x:v>Nephropathy incidence is 6.1% for surgery and 16.3% for controls; ARD is 11.1% (8.8%-13.6%).</x:v>
      </x:c>
    </x:row>
    <x:row r="99" ht="180" customHeight="1">
      <x:c r="A99" s="3" t="str">
        <x:v>2019::jama.2019.14231::C005</x:v>
      </x:c>
      <x:c r="B99" s="3" t="n">
        <x:v>1</x:v>
      </x:c>
      <x:c r="C99" s="3" t="str">
        <x:v>Reported-versus-comparator</x:v>
      </x:c>
      <x:c r="D99" s="3" t="str">
        <x:v>Reported ARD 11.1% versus displayed-incidence subtraction 10.2%.</x:v>
      </x:c>
    </x:row>
    <x:row r="100" ht="180" customHeight="1">
      <x:c r="A100" s="6" t="str">
        <x:v>2019::jama.2019.14231::C005</x:v>
      </x:c>
      <x:c r="B100" s="6" t="n">
        <x:v>2</x:v>
      </x:c>
      <x:c r="C100" s="6" t="str">
        <x:v>Calculation</x:v>
      </x:c>
      <x:c r="D100" s="6" t="str">
        <x:v>16.3% − 6.1% = 10.2%; discrepancy 0.9 percentage point.</x:v>
      </x:c>
    </x:row>
    <x:row r="101" ht="180" customHeight="1">
      <x:c r="A101" s="3" t="str">
        <x:v>2019::jama.2019.14231::C005</x:v>
      </x:c>
      <x:c r="B101" s="3" t="n">
        <x:v>3</x:v>
      </x:c>
      <x:c r="C101" s="3" t="str">
        <x:v>Alternative source-grounded interpretations</x:v>
      </x:c>
      <x:c r="D101" s="3" t="str">
        <x:v>The ARD may be separately estimated, but the table states only bootstrap CI generation and no separate point-estimate rule.</x:v>
      </x:c>
    </x:row>
    <x:row r="102" ht="180" customHeight="1">
      <x:c r="A102" s="6" t="str">
        <x:v>2019::jama.2019.14231::C006</x:v>
      </x:c>
      <x:c r="B102" s="6" t="n">
        <x:v>0</x:v>
      </x:c>
      <x:c r="C102" s="6" t="str">
        <x:v>Source evidence</x:v>
      </x:c>
      <x:c r="D102" s="6" t="str">
        <x:v>Atrial-fibrillation incidence is 7.9% for surgery and 13.6% for controls; ARD is 6.5% (4.4%-8.7%).</x:v>
      </x:c>
    </x:row>
    <x:row r="103" ht="180" customHeight="1">
      <x:c r="A103" s="3" t="str">
        <x:v>2019::jama.2019.14231::C006</x:v>
      </x:c>
      <x:c r="B103" s="3" t="n">
        <x:v>1</x:v>
      </x:c>
      <x:c r="C103" s="3" t="str">
        <x:v>Reported-versus-comparator</x:v>
      </x:c>
      <x:c r="D103" s="3" t="str">
        <x:v>Reported ARD 6.5% versus displayed-incidence subtraction 5.7%.</x:v>
      </x:c>
    </x:row>
    <x:row r="104" ht="180" customHeight="1">
      <x:c r="A104" s="6" t="str">
        <x:v>2019::jama.2019.14231::C006</x:v>
      </x:c>
      <x:c r="B104" s="6" t="n">
        <x:v>2</x:v>
      </x:c>
      <x:c r="C104" s="6" t="str">
        <x:v>Calculation</x:v>
      </x:c>
      <x:c r="D104" s="6" t="str">
        <x:v>13.6% − 7.9% = 5.7%; discrepancy 0.8 percentage point, beyond ordinary displayed rounding.</x:v>
      </x:c>
    </x:row>
    <x:row r="105" ht="180" customHeight="1">
      <x:c r="A105" s="3" t="str">
        <x:v>2019::jama.2019.14231::C006</x:v>
      </x:c>
      <x:c r="B105" s="3" t="n">
        <x:v>3</x:v>
      </x:c>
      <x:c r="C105" s="3" t="str">
        <x:v>Alternative source-grounded interpretations</x:v>
      </x:c>
      <x:c r="D105" s="3" t="str">
        <x:v>The ARD may be separately estimated; the package does not define that point-estimation procedure.</x:v>
      </x:c>
    </x:row>
    <x:row r="106" ht="180" customHeight="1">
      <x:c r="A106" s="6" t="str">
        <x:v>2019::jama.2019.14231::C007</x:v>
      </x:c>
      <x:c r="B106" s="6" t="n">
        <x:v>0</x:v>
      </x:c>
      <x:c r="C106" s="6" t="str">
        <x:v>Source evidence</x:v>
      </x:c>
      <x:c r="D106" s="6" t="str">
        <x:v>eTable 3 labels matched nonsurgical baseline medication data N=11,435; eTable 10 labels its nonsurgical year-0 medication-proportion sample 11,433. Both surgery values are 2,287.</x:v>
      </x:c>
    </x:row>
    <x:row r="107" ht="180" customHeight="1">
      <x:c r="A107" s="3" t="str">
        <x:v>2019::jama.2019.14231::C007</x:v>
      </x:c>
      <x:c r="B107" s="3" t="n">
        <x:v>1</x:v>
      </x:c>
      <x:c r="C107" s="3" t="str">
        <x:v>Reported-versus-comparator</x:v>
      </x:c>
      <x:c r="D107" s="3" t="str">
        <x:v>eTable 3 nonsurgical N=11,435 versus eTable 10 year-0 nonsurgical N=11,433.</x:v>
      </x:c>
    </x:row>
    <x:row r="108" ht="180" customHeight="1">
      <x:c r="A108" s="6" t="str">
        <x:v>2019::jama.2019.14231::C007</x:v>
      </x:c>
      <x:c r="B108" s="6" t="n">
        <x:v>2</x:v>
      </x:c>
      <x:c r="C108" s="6" t="str">
        <x:v>Calculation</x:v>
      </x:c>
      <x:c r="D108" s="6" t="str">
        <x:v>11,435 − 11,433 = 2 participants.</x:v>
      </x:c>
    </x:row>
    <x:row r="109" ht="180" customHeight="1">
      <x:c r="A109" s="3" t="str">
        <x:v>2019::jama.2019.14231::C007</x:v>
      </x:c>
      <x:c r="B109" s="3" t="n">
        <x:v>3</x:v>
      </x:c>
      <x:c r="C109" s="3" t="str">
        <x:v>Alternative source-grounded interpretations</x:v>
      </x:c>
      <x:c r="D109" s="3" t="str">
        <x:v>eTable 10 may be a complete-case or availability subset, while eTable 3 may classify all matched controls.</x:v>
      </x:c>
    </x:row>
    <x:row r="110" ht="180" customHeight="1">
      <x:c r="A110" s="6" t="str">
        <x:v>2019::jama.2019.14231::C008</x:v>
      </x:c>
      <x:c r="B110" s="6" t="n">
        <x:v>0</x:v>
      </x:c>
      <x:c r="C110" s="6" t="str">
        <x:v>Source evidence</x:v>
      </x:c>
      <x:c r="D110" s="6" t="str">
        <x:v>Methods and eTable 8 name a two-sample proportions test. Figure 5 labels matched 8-year P values as Fisher exact tests. The same six result-family P values appear, including insulin P=.008 and five P&lt;.001 values.</x:v>
      </x:c>
    </x:row>
    <x:row r="111" ht="180" customHeight="1">
      <x:c r="A111" s="3" t="str">
        <x:v>2019::jama.2019.14231::C008</x:v>
      </x:c>
      <x:c r="B111" s="3" t="n">
        <x:v>1</x:v>
      </x:c>
      <x:c r="C111" s="3" t="str">
        <x:v>Reported-versus-comparator</x:v>
      </x:c>
      <x:c r="D111" s="3" t="str">
        <x:v>Two-sample proportions-test label versus Fisher-exact-test label for the matched year-8 medication result family.</x:v>
      </x:c>
    </x:row>
    <x:row r="112" ht="180" customHeight="1">
      <x:c r="A112" s="6" t="str">
        <x:v>2019::jama.2019.14231::C008</x:v>
      </x:c>
      <x:c r="B112" s="6" t="n">
        <x:v>2</x:v>
      </x:c>
      <x:c r="C112" s="6" t="str">
        <x:v>Calculation</x:v>
      </x:c>
      <x:c r="D112" s="6" t="str">
        <x:v>Five matched categories show P&lt;.001 and insulin shows P=.008 in the Figure 5/eTable 8 family; no test calculation is possible from the supplied aggregate displays.</x:v>
      </x:c>
    </x:row>
    <x:row r="113" ht="180" customHeight="1">
      <x:c r="A113" s="3" t="str">
        <x:v>2019::jama.2019.14231::C008</x:v>
      </x:c>
      <x:c r="B113" s="3" t="n">
        <x:v>3</x:v>
      </x:c>
      <x:c r="C113" s="3" t="str">
        <x:v>Alternative source-grounded interpretations</x:v>
      </x:c>
      <x:c r="D113" s="3" t="str">
        <x:v>“Two-sample proportions test” may be a generic family description, or Fisher exact testing may have been used specifically at year 8.</x:v>
      </x:c>
    </x:row>
    <x:row r="114" ht="180" customHeight="1">
      <x:c r="A114" s="6" t="str">
        <x:v>2019::jama.2019.14231::C009</x:v>
      </x:c>
      <x:c r="B114" s="6" t="n">
        <x:v>0</x:v>
      </x:c>
      <x:c r="C114" s="6" t="str">
        <x:v>Source evidence</x:v>
      </x:c>
      <x:c r="D114" s="6" t="str">
        <x:v>Page 19 says eTable 4 displays adjusted HRs/CIs at 2, 5, and 8 years, whereas the adjacent and repeated table is headed eTable 7. Actual eTable 4 reports cause-specific event rates.</x:v>
      </x:c>
    </x:row>
    <x:row r="115" ht="180" customHeight="1">
      <x:c r="A115" s="3" t="str">
        <x:v>2019::jama.2019.14231::C009</x:v>
      </x:c>
      <x:c r="B115" s="3" t="n">
        <x:v>1</x:v>
      </x:c>
      <x:c r="C115" s="3" t="str">
        <x:v>Reported-versus-comparator</x:v>
      </x:c>
      <x:c r="D115" s="3" t="str">
        <x:v>Narrative reference eTable 4 versus matching HR display eTable 7; eTable 4’s displayed content is rates rather than time-varying HRs.</x:v>
      </x:c>
    </x:row>
    <x:row r="116" ht="180" customHeight="1">
      <x:c r="A116" s="6" t="str">
        <x:v>2019::jama.2019.14231::C009</x:v>
      </x:c>
      <x:c r="B116" s="6" t="n">
        <x:v>2</x:v>
      </x:c>
      <x:c r="C116" s="6" t="str">
        <x:v>Calculation</x:v>
      </x:c>
      <x:c r="D116" s="6" t="str">
        <x:v>This is a label-and-content identity comparison, not an arithmetic calculation.</x:v>
      </x:c>
    </x:row>
    <x:row r="117" ht="180" customHeight="1">
      <x:c r="A117" s="3" t="str">
        <x:v>2019::jama.2019.14231::C009</x:v>
      </x:c>
      <x:c r="B117" s="3" t="n">
        <x:v>3</x:v>
      </x:c>
      <x:c r="C117" s="3" t="str">
        <x:v>Alternative source-grounded interpretations</x:v>
      </x:c>
      <x:c r="D117" s="3" t="str">
        <x:v>The narrative may preserve numbering from an earlier supplement version; the supplied package does not establish the intended wording.</x:v>
      </x:c>
    </x:row>
    <x:row r="118" ht="180" customHeight="1">
      <x:c r="A118" s="6" t="str">
        <x:v>2019::jama.2019.14231::C010</x:v>
      </x:c>
      <x:c r="B118" s="6" t="n">
        <x:v>0</x:v>
      </x:c>
      <x:c r="C118" s="6" t="str">
        <x:v>Source evidence</x:v>
      </x:c>
      <x:c r="D118" s="6" t="str">
        <x:v>eTable 3 labels the metabolic-surgery group N=2,287 and prints biguanides as 1,530 (67.9%).</x:v>
      </x:c>
    </x:row>
    <x:row r="119" ht="180" customHeight="1">
      <x:c r="A119" s="3" t="str">
        <x:v>2019::jama.2019.14231::C010</x:v>
      </x:c>
      <x:c r="B119" s="3" t="n">
        <x:v>1</x:v>
      </x:c>
      <x:c r="C119" s="3" t="str">
        <x:v>Reported-versus-comparator</x:v>
      </x:c>
      <x:c r="D119" s="3" t="str">
        <x:v>Printed 67.9% versus 66.9% obtained from the printed count and denominator.</x:v>
      </x:c>
    </x:row>
    <x:row r="120" ht="180" customHeight="1">
      <x:c r="A120" s="6" t="str">
        <x:v>2019::jama.2019.14231::C010</x:v>
      </x:c>
      <x:c r="B120" s="6" t="n">
        <x:v>2</x:v>
      </x:c>
      <x:c r="C120" s="6" t="str">
        <x:v>Calculation</x:v>
      </x:c>
      <x:c r="D120" s="6" t="str">
        <x:v>1,530 / 2,287 × 100 = 66.8999…%, which rounds to 66.9%; conversely, 67.9% of 2,287 is approximately 1,552.6.</x:v>
      </x:c>
    </x:row>
    <x:row r="121" ht="180" customHeight="1">
      <x:c r="A121" s="3" t="str">
        <x:v>2019::jama.2019.14231::C010</x:v>
      </x:c>
      <x:c r="B121" s="3" t="n">
        <x:v>3</x:v>
      </x:c>
      <x:c r="C121" s="3" t="str">
        <x:v>Alternative source-grounded interpretations</x:v>
      </x:c>
      <x:c r="D121" s="3" t="str">
        <x:v>The count or percentage may be transcribed incorrectly, or a different unprinted denominator may have been used.</x:v>
      </x:c>
    </x:row>
    <x:row r="122" ht="180" customHeight="1">
      <x:c r="A122" s="6" t="str">
        <x:v>2019::jama.2019.14231::C011</x:v>
      </x:c>
      <x:c r="B122" s="6" t="n">
        <x:v>0</x:v>
      </x:c>
      <x:c r="C122" s="6" t="str">
        <x:v>Source evidence</x:v>
      </x:c>
      <x:c r="D122" s="6" t="str">
        <x:v>Footnote b defines standardized differences as the “absolute value” of group difference divided by pooled SD. The columns contain negative values including index date -42.6/-15.9, men -28.0/-2.9, and age -75.3/-19.9.</x:v>
      </x:c>
    </x:row>
    <x:row r="123" ht="180" customHeight="1">
      <x:c r="A123" s="3" t="str">
        <x:v>2019::jama.2019.14231::C011</x:v>
      </x:c>
      <x:c r="B123" s="3" t="n">
        <x:v>1</x:v>
      </x:c>
      <x:c r="C123" s="3" t="str">
        <x:v>Reported-versus-comparator</x:v>
      </x:c>
      <x:c r="D123" s="3" t="str">
        <x:v>Absolute-value definition versus negative standardized-difference entries.</x:v>
      </x:c>
    </x:row>
    <x:row r="124" ht="180" customHeight="1">
      <x:c r="A124" s="6" t="str">
        <x:v>2019::jama.2019.14231::C011</x:v>
      </x:c>
      <x:c r="B124" s="6" t="n">
        <x:v>2</x:v>
      </x:c>
      <x:c r="C124" s="6" t="str">
        <x:v>Calculation</x:v>
      </x:c>
      <x:c r="D124" s="6" t="str">
        <x:v>For any real value x, |x| ≥ 0; negative printed values cannot simultaneously be absolute values under the footnote. The signs follow checkable surgery-minus-control examples (for example, men 34.5% versus 48.2% and -28.0).</x:v>
      </x:c>
    </x:row>
    <x:row r="125" ht="180" customHeight="1">
      <x:c r="A125" s="3" t="str">
        <x:v>2019::jama.2019.14231::C011</x:v>
      </x:c>
      <x:c r="B125" s="3" t="n">
        <x:v>3</x:v>
      </x:c>
      <x:c r="C125" s="3" t="str">
        <x:v>Alternative source-grounded interpretations</x:v>
      </x:c>
      <x:c r="D125" s="3" t="str">
        <x:v>The columns may intentionally show signed standardized differences in surgery-minus-control direction, with “absolute value” retained in the footnote.</x:v>
      </x:c>
    </x:row>
    <x:row r="126" ht="180" customHeight="1">
      <x:c r="A126" s="6" t="str">
        <x:v>2019::jama.2019.14630::C001</x:v>
      </x:c>
      <x:c r="B126" s="6" t="n">
        <x:v>0</x:v>
      </x:c>
      <x:c r="C126" s="6" t="str">
        <x:v>Source evidence</x:v>
      </x:c>
      <x:c r="D126" s="6" t="str">
        <x:v>The opening page prints Intervention group over N=3,272 and again over N=3,311. The continued table and the main table pair N=3,311 with Control group.</x:v>
      </x:c>
    </x:row>
    <x:row r="127" ht="180" customHeight="1">
      <x:c r="A127" s="3" t="str">
        <x:v>2019::jama.2019.14630::C001</x:v>
      </x:c>
      <x:c r="B127" s="3" t="n">
        <x:v>1</x:v>
      </x:c>
      <x:c r="C127" s="3" t="str">
        <x:v>Reported-versus-comparator</x:v>
      </x:c>
      <x:c r="D127" s="3" t="str">
        <x:v>The same displayed N=3,311 column is labelled intervention on the opening page and control on the continuation and main table.</x:v>
      </x:c>
    </x:row>
    <x:row r="128" ht="180" customHeight="1">
      <x:c r="A128" s="6" t="str">
        <x:v>2019::jama.2019.14630::C001</x:v>
      </x:c>
      <x:c r="B128" s="6" t="n">
        <x:v>2</x:v>
      </x:c>
      <x:c r="C128" s="6" t="str">
        <x:v>Calculation</x:v>
      </x:c>
      <x:c r="D128" s="6" t="str">
        <x:v>This is a text-identity comparison: N=3,311 has two incompatible arm labels within a fixed two-arm display.</x:v>
      </x:c>
    </x:row>
    <x:row r="129" ht="180" customHeight="1">
      <x:c r="A129" s="3" t="str">
        <x:v>2019::jama.2019.14630::C001</x:v>
      </x:c>
      <x:c r="B129" s="3" t="n">
        <x:v>3</x:v>
      </x:c>
      <x:c r="C129" s="3" t="str">
        <x:v>Alternative source-grounded interpretations</x:v>
      </x:c>
      <x:c r="D129" s="3" t="str">
        <x:v>The opening heading may be a localized production error while the numerical column retains the control-group order. No supplied source documents a distinct N=3,311 intervention population.</x:v>
      </x:c>
    </x:row>
    <x:row r="130" ht="180" customHeight="1">
      <x:c r="A130" s="6" t="str">
        <x:v>2019::jama.2019.14630::C002</x:v>
      </x:c>
      <x:c r="B130" s="6" t="n">
        <x:v>0</x:v>
      </x:c>
      <x:c r="C130" s="6" t="str">
        <x:v>Source evidence</x:v>
      </x:c>
      <x:c r="D130" s="6" t="str">
        <x:v>The printed intervention entry is 33 (0, 29) g/week, and the page states that baseline data are median (IQR).</x:v>
      </x:c>
    </x:row>
    <x:row r="131" ht="180" customHeight="1">
      <x:c r="A131" s="3" t="str">
        <x:v>2019::jama.2019.14630::C002</x:v>
      </x:c>
      <x:c r="B131" s="3" t="n">
        <x:v>1</x:v>
      </x:c>
      <x:c r="C131" s="3" t="str">
        <x:v>Reported-versus-comparator</x:v>
      </x:c>
      <x:c r="D131" s="3" t="str">
        <x:v>Median 33 is compared with the printed upper IQR endpoint 29.</x:v>
      </x:c>
    </x:row>
    <x:row r="132" ht="180" customHeight="1">
      <x:c r="A132" s="6" t="str">
        <x:v>2019::jama.2019.14630::C002</x:v>
      </x:c>
      <x:c r="B132" s="6" t="n">
        <x:v>2</x:v>
      </x:c>
      <x:c r="C132" s="6" t="str">
        <x:v>Calculation</x:v>
      </x:c>
      <x:c r="D132" s="6" t="str">
        <x:v>0 ≤ 33 ≤ 29 is false; the median exceeds the printed upper endpoint by 33 − 29 = 4 g/week.</x:v>
      </x:c>
    </x:row>
    <x:row r="133" ht="180" customHeight="1">
      <x:c r="A133" s="3" t="str">
        <x:v>2019::jama.2019.14630::C002</x:v>
      </x:c>
      <x:c r="B133" s="3" t="n">
        <x:v>3</x:v>
      </x:c>
      <x:c r="C133" s="3" t="str">
        <x:v>Alternative source-grounded interpretations</x:v>
      </x:c>
      <x:c r="D133" s="3" t="str">
        <x:v>The median, an IQR endpoint, or row/column alignment may be a production error. The supplied PDFs do not identify the intended replacement.</x:v>
      </x:c>
    </x:row>
    <x:row r="134" ht="180" customHeight="1">
      <x:c r="A134" s="6" t="str">
        <x:v>2019::jama.2019.14630::C003</x:v>
      </x:c>
      <x:c r="B134" s="6" t="n">
        <x:v>0</x:v>
      </x:c>
      <x:c r="C134" s="6" t="str">
        <x:v>Source evidence</x:v>
      </x:c>
      <x:c r="D134" s="6" t="str">
        <x:v>ETable 2 gives intervention/control 33 (0, 29) and 4 (0, 29) g/week. ETable 7 gives 0 (0, 29) in both arms. Each table displays N=3,272/N=3,311.</x:v>
      </x:c>
    </x:row>
    <x:row r="135" ht="180" customHeight="1">
      <x:c r="A135" s="3" t="str">
        <x:v>2019::jama.2019.14630::C003</x:v>
      </x:c>
      <x:c r="B135" s="3" t="n">
        <x:v>1</x:v>
      </x:c>
      <x:c r="C135" s="3" t="str">
        <x:v>Reported-versus-comparator</x:v>
      </x:c>
      <x:c r="D135" s="3" t="str">
        <x:v>Intervention is 33 versus 0 g/week and control is 4 versus 0 g/week; IQR endpoints match.</x:v>
      </x:c>
    </x:row>
    <x:row r="136" ht="180" customHeight="1">
      <x:c r="A136" s="6" t="str">
        <x:v>2019::jama.2019.14630::C003</x:v>
      </x:c>
      <x:c r="B136" s="6" t="n">
        <x:v>2</x:v>
      </x:c>
      <x:c r="C136" s="6" t="str">
        <x:v>Calculation</x:v>
      </x:c>
      <x:c r="D136" s="6" t="str">
        <x:v>The printed median differences are 33 − 0 = 33 and 4 − 0 = 4 g/week. Integer display precision does not reconcile either difference.</x:v>
      </x:c>
    </x:row>
    <x:row r="137" ht="180" customHeight="1">
      <x:c r="A137" s="3" t="str">
        <x:v>2019::jama.2019.14630::C003</x:v>
      </x:c>
      <x:c r="B137" s="3" t="n">
        <x:v>3</x:v>
      </x:c>
      <x:c r="C137" s="3" t="str">
        <x:v>Alternative source-grounded interpretations</x:v>
      </x:c>
      <x:c r="D137" s="3" t="str">
        <x:v>ETable 7 may use an unstated analysis-specific baseline subset or handling path despite the identical displayed arm Ns.</x:v>
      </x:c>
    </x:row>
    <x:row r="138" ht="180" customHeight="1">
      <x:c r="A138" s="6" t="str">
        <x:v>2019::jama.2019.14630::C004</x:v>
      </x:c>
      <x:c r="B138" s="6" t="n">
        <x:v>0</x:v>
      </x:c>
      <x:c r="C138" s="6" t="str">
        <x:v>Source evidence</x:v>
      </x:c>
      <x:c r="D138" s="6" t="str">
        <x:v>Main Table 2 gives 21.1 (3.7) in both arms; eTable 6 gives 21.0 (3.7) in both arms with N=3,272/N=3,311.</x:v>
      </x:c>
    </x:row>
    <x:row r="139" ht="180" customHeight="1">
      <x:c r="A139" s="3" t="str">
        <x:v>2019::jama.2019.14630::C004</x:v>
      </x:c>
      <x:c r="B139" s="3" t="n">
        <x:v>1</x:v>
      </x:c>
      <x:c r="C139" s="3" t="str">
        <x:v>Reported-versus-comparator</x:v>
      </x:c>
      <x:c r="D139" s="3" t="str">
        <x:v>Each arm mean is 21.1 versus 21.0; the printed SDs and Ns match.</x:v>
      </x:c>
    </x:row>
    <x:row r="140" ht="180" customHeight="1">
      <x:c r="A140" s="6" t="str">
        <x:v>2019::jama.2019.14630::C004</x:v>
      </x:c>
      <x:c r="B140" s="6" t="n">
        <x:v>2</x:v>
      </x:c>
      <x:c r="C140" s="6" t="str">
        <x:v>Calculation</x:v>
      </x:c>
      <x:c r="D140" s="6" t="str">
        <x:v>21.1 − 21.0 = 0.1 point in each arm; SD difference is 0.0.</x:v>
      </x:c>
    </x:row>
    <x:row r="141" ht="180" customHeight="1">
      <x:c r="A141" s="3" t="str">
        <x:v>2019::jama.2019.14630::C004</x:v>
      </x:c>
      <x:c r="B141" s="3" t="n">
        <x:v>3</x:v>
      </x:c>
      <x:c r="C141" s="3" t="str">
        <x:v>Alternative source-grounded interpretations</x:v>
      </x:c>
      <x:c r="D141" s="3" t="str">
        <x:v>An unstated analysis-specific baseline set, unreported unrounded values, or different rounding/truncation may account for the difference.</x:v>
      </x:c>
    </x:row>
    <x:row r="142" ht="180" customHeight="1">
      <x:c r="A142" s="6" t="str">
        <x:v>2019::jama.2019.14630::C005</x:v>
      </x:c>
      <x:c r="B142" s="6" t="n">
        <x:v>0</x:v>
      </x:c>
      <x:c r="C142" s="6" t="str">
        <x:v>Source evidence</x:v>
      </x:c>
      <x:c r="D142" s="6" t="str">
        <x:v>Table 3 gives intervention/control 2355 (555)/2369 (555) kcal/d. ETable 8 gives 2,355 (544)/2,369 (555) under the same displayed arm Ns. The main article states that follow-up, not baseline, values were imputed in the main analysis.</x:v>
      </x:c>
    </x:row>
    <x:row r="143" ht="180" customHeight="1">
      <x:c r="A143" s="3" t="str">
        <x:v>2019::jama.2019.14630::C005</x:v>
      </x:c>
      <x:c r="B143" s="3" t="n">
        <x:v>1</x:v>
      </x:c>
      <x:c r="C143" s="3" t="str">
        <x:v>Reported-versus-comparator</x:v>
      </x:c>
      <x:c r="D143" s="3" t="str">
        <x:v>Intervention SD is 555 versus 544; intervention mean and both control fields match.</x:v>
      </x:c>
    </x:row>
    <x:row r="144" ht="180" customHeight="1">
      <x:c r="A144" s="6" t="str">
        <x:v>2019::jama.2019.14630::C005</x:v>
      </x:c>
      <x:c r="B144" s="6" t="n">
        <x:v>2</x:v>
      </x:c>
      <x:c r="C144" s="6" t="str">
        <x:v>Calculation</x:v>
      </x:c>
      <x:c r="D144" s="6" t="str">
        <x:v>555 − 544 = 11 kcal/d. Integer rounding of one common SD cannot produce both printed integers.</x:v>
      </x:c>
    </x:row>
    <x:row r="145" ht="180" customHeight="1">
      <x:c r="A145" s="3" t="str">
        <x:v>2019::jama.2019.14630::C005</x:v>
      </x:c>
      <x:c r="B145" s="3" t="n">
        <x:v>3</x:v>
      </x:c>
      <x:c r="C145" s="3" t="str">
        <x:v>Alternative source-grounded interpretations</x:v>
      </x:c>
      <x:c r="D145" s="3" t="str">
        <x:v>ETable 8 may use an unstated baseline set or separate extraction; one SD may instead be a production error.</x:v>
      </x:c>
    </x:row>
    <x:row r="146" ht="180" customHeight="1">
      <x:c r="A146" s="6" t="str">
        <x:v>2019::jama.2019.14630::C006</x:v>
      </x:c>
      <x:c r="B146" s="6" t="n">
        <x:v>0</x:v>
      </x:c>
      <x:c r="C146" s="6" t="str">
        <x:v>Source evidence</x:v>
      </x:c>
      <x:c r="D146" s="6" t="str">
        <x:v>Table 1 prints 86.7 (13.0)/86.4 (13.0) kg. ETable 9 prints 86.5 (12.9)/86.3 (13.0) kg with N=3,272/N=3,311.</x:v>
      </x:c>
    </x:row>
    <x:row r="147" ht="180" customHeight="1">
      <x:c r="A147" s="3" t="str">
        <x:v>2019::jama.2019.14630::C006</x:v>
      </x:c>
      <x:c r="B147" s="3" t="n">
        <x:v>1</x:v>
      </x:c>
      <x:c r="C147" s="3" t="str">
        <x:v>Reported-versus-comparator</x:v>
      </x:c>
      <x:c r="D147" s="3" t="str">
        <x:v>Intervention mean differs by 0.2 kg and SD by 0.1 kg; control mean differs by 0.1 kg and control SD matches.</x:v>
      </x:c>
    </x:row>
    <x:row r="148" ht="180" customHeight="1">
      <x:c r="A148" s="6" t="str">
        <x:v>2019::jama.2019.14630::C006</x:v>
      </x:c>
      <x:c r="B148" s="6" t="n">
        <x:v>2</x:v>
      </x:c>
      <x:c r="C148" s="6" t="str">
        <x:v>Calculation</x:v>
      </x:c>
      <x:c r="D148" s="6" t="str">
        <x:v>86.7 − 86.5 = 0.2, 13.0 − 12.9 = 0.1, 86.4 − 86.3 = 0.1, and 13.0 − 13.0 = 0.0 kg.</x:v>
      </x:c>
    </x:row>
    <x:row r="149" ht="180" customHeight="1">
      <x:c r="A149" s="3" t="str">
        <x:v>2019::jama.2019.14630::C006</x:v>
      </x:c>
      <x:c r="B149" s="3" t="n">
        <x:v>3</x:v>
      </x:c>
      <x:c r="C149" s="3" t="str">
        <x:v>Alternative source-grounded interpretations</x:v>
      </x:c>
      <x:c r="D149" s="3" t="str">
        <x:v>ETable 9 may use an outcome-specific baseline set or processing path while displaying the overall arm N.</x:v>
      </x:c>
    </x:row>
    <x:row r="150" ht="180" customHeight="1">
      <x:c r="A150" s="6" t="str">
        <x:v>2019::jama.2019.14630::C007</x:v>
      </x:c>
      <x:c r="B150" s="6" t="n">
        <x:v>0</x:v>
      </x:c>
      <x:c r="C150" s="6" t="str">
        <x:v>Source evidence</x:v>
      </x:c>
      <x:c r="D150" s="6" t="str">
        <x:v>Table 1 prints 32.5 (3.4)/32.5 (3.5); eTable 9 prints 32.6 (3.4)/32.6 (3.5) kg/m² under N=3,272/N=3,311.</x:v>
      </x:c>
    </x:row>
    <x:row r="151" ht="180" customHeight="1">
      <x:c r="A151" s="3" t="str">
        <x:v>2019::jama.2019.14630::C007</x:v>
      </x:c>
      <x:c r="B151" s="3" t="n">
        <x:v>1</x:v>
      </x:c>
      <x:c r="C151" s="3" t="str">
        <x:v>Reported-versus-comparator</x:v>
      </x:c>
      <x:c r="D151" s="3" t="str">
        <x:v>Each arm mean differs by 0.1 kg/m²; the SDs match.</x:v>
      </x:c>
    </x:row>
    <x:row r="152" ht="180" customHeight="1">
      <x:c r="A152" s="6" t="str">
        <x:v>2019::jama.2019.14630::C007</x:v>
      </x:c>
      <x:c r="B152" s="6" t="n">
        <x:v>2</x:v>
      </x:c>
      <x:c r="C152" s="6" t="str">
        <x:v>Calculation</x:v>
      </x:c>
      <x:c r="D152" s="6" t="str">
        <x:v>32.6 − 32.5 = 0.1 kg/m² in each arm; SD differences are zero.</x:v>
      </x:c>
    </x:row>
    <x:row r="153" ht="180" customHeight="1">
      <x:c r="A153" s="3" t="str">
        <x:v>2019::jama.2019.14630::C007</x:v>
      </x:c>
      <x:c r="B153" s="3" t="n">
        <x:v>3</x:v>
      </x:c>
      <x:c r="C153" s="3" t="str">
        <x:v>Alternative source-grounded interpretations</x:v>
      </x:c>
      <x:c r="D153" s="3" t="str">
        <x:v>Different participant records, individual-level derivation paths, or rounding conventions may have been used despite identical displayed group Ns.</x:v>
      </x:c>
    </x:row>
    <x:row r="154" ht="180" customHeight="1">
      <x:c r="A154" s="6" t="str">
        <x:v>2019::jama.2019.14630::C008</x:v>
      </x:c>
      <x:c r="B154" s="6" t="n">
        <x:v>0</x:v>
      </x:c>
      <x:c r="C154" s="6" t="str">
        <x:v>Source evidence</x:v>
      </x:c>
      <x:c r="D154" s="6" t="str">
        <x:v>Methods uses at least for 5% weight/BMI/waist/lipid thresholds, 5 mm Hg systolic, 2.5 mm Hg diastolic, and 5% HDL; it specifies a 10% triglyceride reduction. Figure 4 prints &gt;5%, &gt;10%, and &gt;5 mm Hg; the diastolic label is Reduction 2.5 mm Hg without an operator.</x:v>
      </x:c>
    </x:row>
    <x:row r="155" ht="180" customHeight="1">
      <x:c r="A155" s="3" t="str">
        <x:v>2019::jama.2019.14630::C008</x:v>
      </x:c>
      <x:c r="B155" s="3" t="n">
        <x:v>1</x:v>
      </x:c>
      <x:c r="C155" s="3" t="str">
        <x:v>Reported-versus-comparator</x:v>
      </x:c>
      <x:c r="D155" s="3" t="str">
        <x:v>Inclusive ≥ x includes equality, strict &gt; x excludes it, and the diastolic figure label states neither operator.</x:v>
      </x:c>
    </x:row>
    <x:row r="156" ht="180" customHeight="1">
      <x:c r="A156" s="6" t="str">
        <x:v>2019::jama.2019.14630::C008</x:v>
      </x:c>
      <x:c r="B156" s="6" t="n">
        <x:v>2</x:v>
      </x:c>
      <x:c r="C156" s="6" t="str">
        <x:v>Calculation</x:v>
      </x:c>
      <x:c r="D156" s="6" t="str">
        <x:v>For the percentage and systolic classifications, ≥ x and &gt; x differ at exactly x. For diastolic blood pressure, ≥ 2.5 is compared with an operator-free 2.5 label.</x:v>
      </x:c>
    </x:row>
    <x:row r="157" ht="180" customHeight="1">
      <x:c r="A157" s="3" t="str">
        <x:v>2019::jama.2019.14630::C008</x:v>
      </x:c>
      <x:c r="B157" s="3" t="n">
        <x:v>3</x:v>
      </x:c>
      <x:c r="C157" s="3" t="str">
        <x:v>Alternative source-grounded interpretations</x:v>
      </x:c>
      <x:c r="D157" s="3" t="str">
        <x:v>Figure &gt; may be compact typography for the inclusive Methods rule, and the omitted diastolic operator may be typographic. Identical percentages could occur if no observation lay exactly at a boundary.</x:v>
      </x:c>
    </x:row>
    <x:row r="158" ht="180" customHeight="1">
      <x:c r="A158" s="6" t="str">
        <x:v>2019::jama.2019.14630::C009</x:v>
      </x:c>
      <x:c r="B158" s="6" t="n">
        <x:v>0</x:v>
      </x:c>
      <x:c r="C158" s="6" t="str">
        <x:v>Source evidence</x:v>
      </x:c>
      <x:c r="D158" s="6" t="str">
        <x:v>P. 10 prints Baseline, mean (SD) and 350 (175, 350) in both arms. P. 11 says baseline food data are median (IQR); eTables 2 and 7 label matching total-olive-oil triples median (IQR).</x:v>
      </x:c>
    </x:row>
    <x:row r="159" ht="180" customHeight="1">
      <x:c r="A159" s="3" t="str">
        <x:v>2019::jama.2019.14630::C009</x:v>
      </x:c>
      <x:c r="B159" s="3" t="n">
        <x:v>1</x:v>
      </x:c>
      <x:c r="C159" s="3" t="str">
        <x:v>Reported-versus-comparator</x:v>
      </x:c>
      <x:c r="D159" s="3" t="str">
        <x:v>The row label assigns mean/SD, while the table footnote and parallel displays assign median/Q1/Q3 to the same three-value form.</x:v>
      </x:c>
    </x:row>
    <x:row r="160" ht="180" customHeight="1">
      <x:c r="A160" s="6" t="str">
        <x:v>2019::jama.2019.14630::C009</x:v>
      </x:c>
      <x:c r="B160" s="6" t="n">
        <x:v>2</x:v>
      </x:c>
      <x:c r="C160" s="6" t="str">
        <x:v>Calculation</x:v>
      </x:c>
      <x:c r="D160" s="6" t="str">
        <x:v>Under median (IQR), the triple maps to median 350, Q1 175, and Q3 350. Under mean (SD), two parenthetical values are supplied where one SD would ordinarily be defined; the statistic types do not reconcile without an explicit exception.</x:v>
      </x:c>
    </x:row>
    <x:row r="161" ht="180" customHeight="1">
      <x:c r="A161" s="3" t="str">
        <x:v>2019::jama.2019.14630::C009</x:v>
      </x:c>
      <x:c r="B161" s="3" t="n">
        <x:v>3</x:v>
      </x:c>
      <x:c r="C161" s="3" t="str">
        <x:v>Alternative source-grounded interpretations</x:v>
      </x:c>
      <x:c r="D161" s="3" t="str">
        <x:v>A row-specific convention may exist but is not printed; otherwise the row label may be localized production text inconsistent with the footnote.</x:v>
      </x:c>
    </x:row>
    <x:row r="162" ht="180" customHeight="1">
      <x:c r="A162" s="6" t="str">
        <x:v>2019::jama.2019.17380::C001</x:v>
      </x:c>
      <x:c r="B162" s="6" t="n">
        <x:v>0</x:v>
      </x:c>
      <x:c r="C162" s="6" t="str">
        <x:v>Source evidence</x:v>
      </x:c>
      <x:c r="D162" s="6" t="str">
        <x:v>Figure 2 prints omega-3 placebo 607/459/438 and omega-3 active 701/531/496 at baseline/year 2/year 5. Table 2 prints placebo 651/491/462 and active 657/499/472 for the same outcome, contrast, and time points. Panel B exactly repeats panel A's vitamin-D count sequences.</x:v>
      </x:c>
    </x:row>
    <x:row r="163" ht="180" customHeight="1">
      <x:c r="A163" s="3" t="str">
        <x:v>2019::jama.2019.17380::C001</x:v>
      </x:c>
      <x:c r="B163" s="3" t="n">
        <x:v>1</x:v>
      </x:c>
      <x:c r="C163" s="3" t="str">
        <x:v>Reported-versus-comparator</x:v>
      </x:c>
      <x:c r="D163" s="3" t="str">
        <x:v>Figure 2 panel B versus Table 2; the source supplies no distinct panel-B population definition.</x:v>
      </x:c>
    </x:row>
    <x:row r="164" ht="180" customHeight="1">
      <x:c r="A164" s="6" t="str">
        <x:v>2019::jama.2019.17380::C001</x:v>
      </x:c>
      <x:c r="B164" s="6" t="n">
        <x:v>2</x:v>
      </x:c>
      <x:c r="C164" s="6" t="str">
        <x:v>Calculation</x:v>
      </x:c>
      <x:c r="D164" s="6" t="str">
        <x:v>Figure minus Table 2 is placebo -44/-32/-24 and active +44/+32/+24; both locations total 1308/990/934 at baseline/year 2/year 5.</x:v>
      </x:c>
    </x:row>
    <x:row r="165" ht="180" customHeight="1">
      <x:c r="A165" s="3" t="str">
        <x:v>2019::jama.2019.17380::C001</x:v>
      </x:c>
      <x:c r="B165" s="3" t="n">
        <x:v>3</x:v>
      </x:c>
      <x:c r="C165" s="3" t="str">
        <x:v>Alternative source-grounded interpretations</x:v>
      </x:c>
      <x:c r="D165" s="3" t="str">
        <x:v>An unstated figure-specific subset could have been used, or panel B could retain copied count annotations; neither mechanism is stated in the package.</x:v>
      </x:c>
    </x:row>
    <x:row r="166" ht="180" customHeight="1">
      <x:c r="A166" s="6" t="str">
        <x:v>2019::jama.2019.17380::C002</x:v>
      </x:c>
      <x:c r="B166" s="6" t="n">
        <x:v>0</x:v>
      </x:c>
      <x:c r="C166" s="6" t="str">
        <x:v>Source evidence</x:v>
      </x:c>
      <x:c r="D166" s="6" t="str">
        <x:v>Figure 2 prints omega-3 placebo 609/463/440 and active 702/529/505; eTable 6 prints placebo 653/490/467 and active 658/502/478. Panel D exactly repeats panel C's vitamin-D sequences.</x:v>
      </x:c>
    </x:row>
    <x:row r="167" ht="180" customHeight="1">
      <x:c r="A167" s="3" t="str">
        <x:v>2019::jama.2019.17380::C002</x:v>
      </x:c>
      <x:c r="B167" s="3" t="n">
        <x:v>1</x:v>
      </x:c>
      <x:c r="C167" s="3" t="str">
        <x:v>Reported-versus-comparator</x:v>
      </x:c>
      <x:c r="D167" s="3" t="str">
        <x:v>Figure 2 panel D versus eTable 6 for the same urine-ACR contrast and time points.</x:v>
      </x:c>
    </x:row>
    <x:row r="168" ht="180" customHeight="1">
      <x:c r="A168" s="6" t="str">
        <x:v>2019::jama.2019.17380::C002</x:v>
      </x:c>
      <x:c r="B168" s="6" t="n">
        <x:v>2</x:v>
      </x:c>
      <x:c r="C168" s="6" t="str">
        <x:v>Calculation</x:v>
      </x:c>
      <x:c r="D168" s="6" t="str">
        <x:v>Figure minus eTable 6 is placebo -44/-27/-27 and active +44/+27/+27; both locations total 1311/992/945.</x:v>
      </x:c>
    </x:row>
    <x:row r="169" ht="180" customHeight="1">
      <x:c r="A169" s="3" t="str">
        <x:v>2019::jama.2019.17380::C002</x:v>
      </x:c>
      <x:c r="B169" s="3" t="n">
        <x:v>3</x:v>
      </x:c>
      <x:c r="C169" s="3" t="str">
        <x:v>Alternative source-grounded interpretations</x:v>
      </x:c>
      <x:c r="D169" s="3" t="str">
        <x:v>An unstated plotting subset is possible; copied panel-C count annotations are also possible but not source-established.</x:v>
      </x:c>
    </x:row>
    <x:row r="170" ht="180" customHeight="1">
      <x:c r="A170" s="6" t="str">
        <x:v>2019::jama.2019.17380::C003</x:v>
      </x:c>
      <x:c r="B170" s="6" t="n">
        <x:v>0</x:v>
      </x:c>
      <x:c r="C170" s="6" t="str">
        <x:v>Source evidence</x:v>
      </x:c>
      <x:c r="D170" s="6" t="str">
        <x:v>Factorial allocations give active vitamin D 370+333=703 and vitamin-D placebo 289+320=609. Figure 3 prints N=703 under Placebo and N=609 under Vitamin D, including the same opposite nested-count mapping.</x:v>
      </x:c>
    </x:row>
    <x:row r="171" ht="180" customHeight="1">
      <x:c r="A171" s="3" t="str">
        <x:v>2019::jama.2019.17380::C003</x:v>
      </x:c>
      <x:c r="B171" s="3" t="n">
        <x:v>1</x:v>
      </x:c>
      <x:c r="C171" s="3" t="str">
        <x:v>Reported-versus-comparator</x:v>
      </x:c>
      <x:c r="D171" s="3" t="str">
        <x:v>Figure 3 participant-count columns versus randomized factorial allocation identity and Table 2 treatment labels.</x:v>
      </x:c>
    </x:row>
    <x:row r="172" ht="180" customHeight="1">
      <x:c r="A172" s="6" t="str">
        <x:v>2019::jama.2019.17380::C003</x:v>
      </x:c>
      <x:c r="B172" s="6" t="n">
        <x:v>2</x:v>
      </x:c>
      <x:c r="C172" s="6" t="str">
        <x:v>Calculation</x:v>
      </x:c>
      <x:c r="D172" s="6" t="str">
        <x:v>Active vitamin D: 370+333=703; placebo: 289+320=609. Figure 3 assigns 703 to Placebo and 609 to Vitamin D. Its first nested count column 333+370=703 is active vitamin D.</x:v>
      </x:c>
    </x:row>
    <x:row r="173" ht="180" customHeight="1">
      <x:c r="A173" s="3" t="str">
        <x:v>2019::jama.2019.17380::C003</x:v>
      </x:c>
      <x:c r="B173" s="3" t="n">
        <x:v>3</x:v>
      </x:c>
      <x:c r="C173" s="3" t="str">
        <x:v>Alternative source-grounded interpretations</x:v>
      </x:c>
      <x:c r="D173" s="3" t="str">
        <x:v>The participant-count columns may be transposed while headings, mean changes, and forest direction remain treatment-aligned. Figure 3's overall changes (-13.1 placebo; -12.3 vitamin D) agree with Table 2 at printed precision.</x:v>
      </x:c>
    </x:row>
    <x:row r="174" ht="180" customHeight="1">
      <x:c r="A174" s="6" t="str">
        <x:v>2019::jama.2019.17380::C004</x:v>
      </x:c>
      <x:c r="B174" s="6" t="n">
        <x:v>0</x:v>
      </x:c>
      <x:c r="C174" s="6" t="str">
        <x:v>Source evidence</x:v>
      </x:c>
      <x:c r="D174" s="6" t="str">
        <x:v>Factorial allocations give active omega-3 370+289=659 and omega-3 placebo 333+320=653. Figure 4 prints N=659 under Placebo and N=653 under Omega-3 Fatty Acids.</x:v>
      </x:c>
    </x:row>
    <x:row r="175" ht="180" customHeight="1">
      <x:c r="A175" s="3" t="str">
        <x:v>2019::jama.2019.17380::C004</x:v>
      </x:c>
      <x:c r="B175" s="3" t="n">
        <x:v>1</x:v>
      </x:c>
      <x:c r="C175" s="3" t="str">
        <x:v>Reported-versus-comparator</x:v>
      </x:c>
      <x:c r="D175" s="3" t="str">
        <x:v>Figure 4 participant-count columns versus factorial allocation identities and Table 2 treatment labels.</x:v>
      </x:c>
    </x:row>
    <x:row r="176" ht="180" customHeight="1">
      <x:c r="A176" s="6" t="str">
        <x:v>2019::jama.2019.17380::C004</x:v>
      </x:c>
      <x:c r="B176" s="6" t="n">
        <x:v>2</x:v>
      </x:c>
      <x:c r="C176" s="6" t="str">
        <x:v>Calculation</x:v>
      </x:c>
      <x:c r="D176" s="6" t="str">
        <x:v>Active omega-3: 370+289=659; placebo: 333+320=653. Figure 4 places 659 under Placebo and 653 under Omega-3 Fatty Acids; first nested column 289+370=659 is active omega-3.</x:v>
      </x:c>
    </x:row>
    <x:row r="177" ht="180" customHeight="1">
      <x:c r="A177" s="3" t="str">
        <x:v>2019::jama.2019.17380::C004</x:v>
      </x:c>
      <x:c r="B177" s="3" t="n">
        <x:v>3</x:v>
      </x:c>
      <x:c r="C177" s="3" t="str">
        <x:v>Alternative source-grounded interpretations</x:v>
      </x:c>
      <x:c r="D177" s="3" t="str">
        <x:v>N columns may be transposed while headings and mean-change values remain treatment-aligned. The overall Figure 4 changes (-13.1 placebo; -12.2 omega-3) match Table 2 at printed precision.</x:v>
      </x:c>
    </x:row>
    <x:row r="178" ht="180" customHeight="1">
      <x:c r="A178" s="6" t="str">
        <x:v>2019::jama.2019.17380::C005</x:v>
      </x:c>
      <x:c r="B178" s="6" t="n">
        <x:v>0</x:v>
      </x:c>
      <x:c r="C178" s="6" t="str">
        <x:v>Source evidence</x:v>
      </x:c>
      <x:c r="D178" s="6" t="str">
        <x:v>eFigure 2 prints Placebo N=703, ratio 3.02, and Active intervention N=609, ratio 2.97. eTable 6 identifies active vitamin D baseline N=702, year-5 ratio 2.97, and placebo N=609, ratio 3.02; randomized totals are 703 active and 609 placebo.</x:v>
      </x:c>
    </x:row>
    <x:row r="179" ht="180" customHeight="1">
      <x:c r="A179" s="3" t="str">
        <x:v>2019::jama.2019.17380::C005</x:v>
      </x:c>
      <x:c r="B179" s="3" t="n">
        <x:v>1</x:v>
      </x:c>
      <x:c r="C179" s="3" t="str">
        <x:v>Reported-versus-comparator</x:v>
      </x:c>
      <x:c r="D179" s="3" t="str">
        <x:v>eFigure 2 participant-count columns versus randomized factorial totals and eTable 6 arm-specific values.</x:v>
      </x:c>
    </x:row>
    <x:row r="180" ht="180" customHeight="1">
      <x:c r="A180" s="6" t="str">
        <x:v>2019::jama.2019.17380::C005</x:v>
      </x:c>
      <x:c r="B180" s="6" t="n">
        <x:v>2</x:v>
      </x:c>
      <x:c r="C180" s="6" t="str">
        <x:v>Calculation</x:v>
      </x:c>
      <x:c r="D180" s="6" t="str">
        <x:v>Active vitamin D is 370+333=703; placebo is 289+320=609. eFigure 2 places these Ns under opposite headings, while 3.02 placebo and 2.97 active agree with eTable 6. The 703-versus-702 difference is randomized total versus measured baseline availability.</x:v>
      </x:c>
    </x:row>
    <x:row r="181" ht="180" customHeight="1">
      <x:c r="A181" s="3" t="str">
        <x:v>2019::jama.2019.17380::C005</x:v>
      </x:c>
      <x:c r="B181" s="3" t="n">
        <x:v>3</x:v>
      </x:c>
      <x:c r="C181" s="3" t="str">
        <x:v>Alternative source-grounded interpretations</x:v>
      </x:c>
      <x:c r="D181" s="3" t="str">
        <x:v>Only the N columns may be transposed; the headings, change values, and forest direction may remain as printed. The source does not establish that any subgroup estimate requires remapping.</x:v>
      </x:c>
    </x:row>
    <x:row r="182" ht="180" customHeight="1">
      <x:c r="A182" s="6" t="str">
        <x:v>2019::jama.2019.17380::C006</x:v>
      </x:c>
      <x:c r="B182" s="6" t="n">
        <x:v>0</x:v>
      </x:c>
      <x:c r="C182" s="6" t="str">
        <x:v>Source evidence</x:v>
      </x:c>
      <x:c r="D182" s="6" t="str">
        <x:v>eFigure 3 prints Placebo N=659, ratio 3.05, and Active intervention N=653, ratio 2.94. eTable 6 identifies active omega-3 baseline N=658, year-5 ratio 2.94, and placebo N=653, ratio 3.05; randomized totals are 659 active and 653 placebo.</x:v>
      </x:c>
    </x:row>
    <x:row r="183" ht="180" customHeight="1">
      <x:c r="A183" s="3" t="str">
        <x:v>2019::jama.2019.17380::C006</x:v>
      </x:c>
      <x:c r="B183" s="3" t="n">
        <x:v>1</x:v>
      </x:c>
      <x:c r="C183" s="3" t="str">
        <x:v>Reported-versus-comparator</x:v>
      </x:c>
      <x:c r="D183" s="3" t="str">
        <x:v>eFigure 3 participant-count columns versus randomized factorial totals and eTable 6 arm-specific values.</x:v>
      </x:c>
    </x:row>
    <x:row r="184" ht="180" customHeight="1">
      <x:c r="A184" s="6" t="str">
        <x:v>2019::jama.2019.17380::C006</x:v>
      </x:c>
      <x:c r="B184" s="6" t="n">
        <x:v>2</x:v>
      </x:c>
      <x:c r="C184" s="6" t="str">
        <x:v>Calculation</x:v>
      </x:c>
      <x:c r="D184" s="6" t="str">
        <x:v>Active omega-3 is 370+289=659; placebo is 333+320=653. eFigure 3 places those Ns under opposite headings, while 3.05 placebo and 2.94 active agree with eTable 6. The 659-versus-658 difference is randomized total versus measured baseline availability.</x:v>
      </x:c>
    </x:row>
    <x:row r="185" ht="180" customHeight="1">
      <x:c r="A185" s="3" t="str">
        <x:v>2019::jama.2019.17380::C006</x:v>
      </x:c>
      <x:c r="B185" s="3" t="n">
        <x:v>3</x:v>
      </x:c>
      <x:c r="C185" s="3" t="str">
        <x:v>Alternative source-grounded interpretations</x:v>
      </x:c>
      <x:c r="D185" s="3" t="str">
        <x:v>N columns may be transposed while headings, changes, and forest direction remain as printed. The supplied comparison does not establish a reversal of all values.</x:v>
      </x:c>
    </x:row>
    <x:row r="186" ht="180" customHeight="1">
      <x:c r="A186" s="6" t="str">
        <x:v>2019::jama.2019.17380::C007</x:v>
      </x:c>
      <x:c r="B186" s="6" t="n">
        <x:v>0</x:v>
      </x:c>
      <x:c r="C186" s="6" t="str">
        <x:v>Source evidence</x:v>
      </x:c>
      <x:c r="D186" s="6" t="str">
        <x:v>DOC-002 p. 32 states 10 imputation datasets combined with Rubin's rules. DOC-001 p. 3 states multiple imputation (M = 20) and Rubin-rule combination.</x:v>
      </x:c>
    </x:row>
    <x:row r="187" ht="180" customHeight="1">
      <x:c r="A187" s="3" t="str">
        <x:v>2019::jama.2019.17380::C007</x:v>
      </x:c>
      <x:c r="B187" s="3" t="n">
        <x:v>1</x:v>
      </x:c>
      <x:c r="C187" s="3" t="str">
        <x:v>Reported-versus-comparator</x:v>
      </x:c>
      <x:c r="D187" s="3" t="str">
        <x:v>The prospective analytic-plan addendum versus the article's implemented-method description for related missing-outcome analyses.</x:v>
      </x:c>
    </x:row>
    <x:row r="188" ht="180" customHeight="1">
      <x:c r="A188" s="6" t="str">
        <x:v>2019::jama.2019.17380::C007</x:v>
      </x:c>
      <x:c r="B188" s="6" t="n">
        <x:v>2</x:v>
      </x:c>
      <x:c r="C188" s="6" t="str">
        <x:v>Calculation</x:v>
      </x:c>
      <x:c r="D188" s="6" t="str">
        <x:v>20 - 10 = 10; the article reports twice the number of imputation data sets stated in the addendum.</x:v>
      </x:c>
    </x:row>
    <x:row r="189" ht="180" customHeight="1">
      <x:c r="A189" s="3" t="str">
        <x:v>2019::jama.2019.17380::C007</x:v>
      </x:c>
      <x:c r="B189" s="3" t="n">
        <x:v>3</x:v>
      </x:c>
      <x:c r="C189" s="3" t="str">
        <x:v>Alternative source-grounded interpretations</x:v>
      </x:c>
      <x:c r="D189" s="3" t="str">
        <x:v>The number of imputations may have been intentionally increased and the analytic scope broadened after the plan text was written. The package does not include a dated change record, rationale, or later governing amendment.</x:v>
      </x:c>
    </x:row>
    <x:row r="190" ht="180" customHeight="1">
      <x:c r="A190" s="6" t="str">
        <x:v>2019::jama.2019.2210::C001</x:v>
      </x:c>
      <x:c r="B190" s="6" t="n">
        <x:v>0</x:v>
      </x:c>
      <x:c r="C190" s="6" t="str">
        <x:v>Source evidence</x:v>
      </x:c>
      <x:c r="D190" s="6" t="str">
        <x:v>Table 1 heads the arms vitamin D n=251 and placebo n=166; its Cdx2 counts are 89/103/38 and 49/77/24, while the footnote addresses only percentage rounding. Supplement figures repeat the genotype-specific time-zero counts.</x:v>
      </x:c>
    </x:row>
    <x:row r="191" ht="180" customHeight="1">
      <x:c r="A191" s="3" t="str">
        <x:v>2019::jama.2019.2210::C001</x:v>
      </x:c>
      <x:c r="B191" s="3" t="n">
        <x:v>1</x:v>
      </x:c>
      <x:c r="C191" s="3" t="str">
        <x:v>Reported-versus-comparator</x:v>
      </x:c>
      <x:c r="D191" s="3" t="str">
        <x:v>The arm headers are 251/166; Cdx2 triplets total 230/150, and other SNP totals vary from 230–245 and 148–157.</x:v>
      </x:c>
    </x:row>
    <x:row r="192" ht="180" customHeight="1">
      <x:c r="A192" s="6" t="str">
        <x:v>2019::jama.2019.2210::C001</x:v>
      </x:c>
      <x:c r="B192" s="6" t="n">
        <x:v>2</x:v>
      </x:c>
      <x:c r="C192" s="6" t="str">
        <x:v>Calculation</x:v>
      </x:c>
      <x:c r="D192" s="6" t="str">
        <x:v>Cdx2: 89+103+38=230, 49+77+24=150; 89/230=38.70%, 103/230=44.78%, and 38/230=16.52%, matching printed rounded percentages. The respective deficits from headers are 21 and 16.</x:v>
      </x:c>
    </x:row>
    <x:row r="193" ht="180" customHeight="1">
      <x:c r="A193" s="3" t="str">
        <x:v>2019::jama.2019.2210::C001</x:v>
      </x:c>
      <x:c r="B193" s="3" t="n">
        <x:v>3</x:v>
      </x:c>
      <x:c r="C193" s="3" t="str">
        <x:v>Alternative source-grounded interpretations</x:v>
      </x:c>
      <x:c r="D193" s="3" t="str">
        <x:v>SNP-specific assay availability could legitimately yield variable denominators, but neither the table nor its footnote states that explanation.</x:v>
      </x:c>
    </x:row>
    <x:row r="194" ht="180" customHeight="1">
      <x:c r="A194" s="6" t="str">
        <x:v>2019::jama.2019.2210::C002</x:v>
      </x:c>
      <x:c r="B194" s="6" t="n">
        <x:v>0</x:v>
      </x:c>
      <x:c r="C194" s="6" t="str">
        <x:v>Source evidence</x:v>
      </x:c>
      <x:c r="D194" s="6" t="str">
        <x:v>Panel C prints placebo 90, 88, 70, 51, 34, 22, 11 and vitamin D 142, 139, 115, 88, 61, 41, 20 under No. at risk.</x:v>
      </x:c>
    </x:row>
    <x:row r="195" ht="180" customHeight="1">
      <x:c r="A195" s="3" t="str">
        <x:v>2019::jama.2019.2210::C002</x:v>
      </x:c>
      <x:c r="B195" s="3" t="n">
        <x:v>1</x:v>
      </x:c>
      <x:c r="C195" s="3" t="str">
        <x:v>Reported-versus-comparator</x:v>
      </x:c>
      <x:c r="D195" s="3" t="str">
        <x:v>The caption states, Numbers at risk for panel C are not given because of weighting.</x:v>
      </x:c>
    </x:row>
    <x:row r="196" ht="180" customHeight="1">
      <x:c r="A196" s="6" t="str">
        <x:v>2019::jama.2019.2210::C002</x:v>
      </x:c>
      <x:c r="B196" s="6" t="n">
        <x:v>2</x:v>
      </x:c>
      <x:c r="C196" s="6" t="str">
        <x:v>Calculation</x:v>
      </x:c>
      <x:c r="D196" s="6" t="str">
        <x:v>Seven placebo plus seven vitamin-D entries yield 14 displayed panel-C risk values, not zero.</x:v>
      </x:c>
    </x:row>
    <x:row r="197" ht="180" customHeight="1">
      <x:c r="A197" s="3" t="str">
        <x:v>2019::jama.2019.2210::C002</x:v>
      </x:c>
      <x:c r="B197" s="3" t="n">
        <x:v>3</x:v>
      </x:c>
      <x:c r="C197" s="3" t="str">
        <x:v>Alternative source-grounded interpretations</x:v>
      </x:c>
      <x:c r="D197" s="3" t="str">
        <x:v>The caption may mean weighted or effective numbers are unavailable while the panel shows raw counts; the source does not define that distinction.</x:v>
      </x:c>
    </x:row>
    <x:row r="198" ht="180" customHeight="1">
      <x:c r="A198" s="6" t="str">
        <x:v>2019::jama.2019.2210::C003</x:v>
      </x:c>
      <x:c r="B198" s="6" t="n">
        <x:v>0</x:v>
      </x:c>
      <x:c r="C198" s="6" t="str">
        <x:v>Source evidence</x:v>
      </x:c>
      <x:c r="D198" s="6" t="str">
        <x:v>Page 18 says entry stops if randomized enrollment reaches &gt;400; it also gives 240+160=400 as the target allocation.</x:v>
      </x:c>
    </x:row>
    <x:row r="199" ht="180" customHeight="1">
      <x:c r="A199" s="3" t="str">
        <x:v>2019::jama.2019.2210::C003</x:v>
      </x:c>
      <x:c r="B199" s="3" t="n">
        <x:v>1</x:v>
      </x:c>
      <x:c r="C199" s="3" t="str">
        <x:v>Reported-versus-comparator</x:v>
      </x:c>
      <x:c r="D199" s="3" t="str">
        <x:v>Page 31 says, After enrolling 400 patients, enrollment will finish.</x:v>
      </x:c>
    </x:row>
    <x:row r="200" ht="180" customHeight="1">
      <x:c r="A200" s="6" t="str">
        <x:v>2019::jama.2019.2210::C003</x:v>
      </x:c>
      <x:c r="B200" s="6" t="n">
        <x:v>2</x:v>
      </x:c>
      <x:c r="C200" s="6" t="str">
        <x:v>Calculation</x:v>
      </x:c>
      <x:c r="D200" s="6" t="str">
        <x:v>240+160=400; the smallest integer satisfying n&gt;400 is 401, whereas after enrolling 400 identifies 400.</x:v>
      </x:c>
    </x:row>
    <x:row r="201" ht="180" customHeight="1">
      <x:c r="A201" s="3" t="str">
        <x:v>2019::jama.2019.2210::C003</x:v>
      </x:c>
      <x:c r="B201" s="3" t="n">
        <x:v>3</x:v>
      </x:c>
      <x:c r="C201" s="3" t="str">
        <x:v>Alternative source-grounded interpretations</x:v>
      </x:c>
      <x:c r="D201" s="3" t="str">
        <x:v>Either statement could be shorthand for a near-400 operational target or a completed randomization block, but no cited passage says so.</x:v>
      </x:c>
    </x:row>
    <x:row r="202" ht="180" customHeight="1">
      <x:c r="A202" s="6" t="str">
        <x:v>2019::jama.2019.2210::C004</x:v>
      </x:c>
      <x:c r="B202" s="6" t="n">
        <x:v>0</x:v>
      </x:c>
      <x:c r="C202" s="6" t="str">
        <x:v>Source evidence</x:v>
      </x:c>
      <x:c r="D202" s="6" t="str">
        <x:v>The synopsis says cancer appearing de novo will be an adverse event, not as an outcome; the final body lists it as a tertiary outcome, and the change summary says it was inserted as a tertiary outcome.</x:v>
      </x:c>
    </x:row>
    <x:row r="203" ht="180" customHeight="1">
      <x:c r="A203" s="3" t="str">
        <x:v>2019::jama.2019.2210::C004</x:v>
      </x:c>
      <x:c r="B203" s="3" t="n">
        <x:v>1</x:v>
      </x:c>
      <x:c r="C203" s="3" t="str">
        <x:v>Reported-versus-comparator</x:v>
      </x:c>
      <x:c r="D203" s="3" t="str">
        <x:v>The main article places Cancer de novo in Table 3, Safety Outcomes, including randomization-group counts 16/251 and 9/166.</x:v>
      </x:c>
    </x:row>
    <x:row r="204" ht="180" customHeight="1">
      <x:c r="A204" s="6" t="str">
        <x:v>2019::jama.2019.2210::C004</x:v>
      </x:c>
      <x:c r="B204" s="6" t="n">
        <x:v>2</x:v>
      </x:c>
      <x:c r="C204" s="6" t="str">
        <x:v>Calculation</x:v>
      </x:c>
      <x:c r="D204" s="6" t="str">
        <x:v>The logical comparison reproduces three labels: adverse event/not outcome; tertiary outcome; and Safety Outcomes. The reported counts establish that this is a quantitative reporting item.</x:v>
      </x:c>
    </x:row>
    <x:row r="205" ht="180" customHeight="1">
      <x:c r="A205" s="3" t="str">
        <x:v>2019::jama.2019.2210::C004</x:v>
      </x:c>
      <x:c r="B205" s="3" t="n">
        <x:v>3</x:v>
      </x:c>
      <x:c r="C205" s="3" t="str">
        <x:v>Alternative source-grounded interpretations</x:v>
      </x:c>
      <x:c r="D205" s="3" t="str">
        <x:v>Clinical monitoring could use an adverse-event role while the statistical hierarchy uses a tertiary-outcome role, but the supplied text does not define those roles separately.</x:v>
      </x:c>
    </x:row>
    <x:row r="206" ht="180" customHeight="1">
      <x:c r="A206" s="6" t="str">
        <x:v>2019::jama.2019.2210::C005</x:v>
      </x:c>
      <x:c r="B206" s="6" t="n">
        <x:v>0</x:v>
      </x:c>
      <x:c r="C206" s="6" t="str">
        <x:v>Source evidence</x:v>
      </x:c>
      <x:c r="D206" s="6" t="str">
        <x:v>Page 23 defines low (&lt;20), middle (&gt;=20 to &lt;=40), and high (40 ng/mL).</x:v>
      </x:c>
    </x:row>
    <x:row r="207" ht="180" customHeight="1">
      <x:c r="A207" s="3" t="str">
        <x:v>2019::jama.2019.2210::C005</x:v>
      </x:c>
      <x:c r="B207" s="3" t="n">
        <x:v>1</x:v>
      </x:c>
      <x:c r="C207" s="3" t="str">
        <x:v>Reported-versus-comparator</x:v>
      </x:c>
      <x:c r="D207" s="3" t="str">
        <x:v>Page 31 and the article explicitly give high as &gt;40 ng/mL.</x:v>
      </x:c>
    </x:row>
    <x:row r="208" ht="180" customHeight="1">
      <x:c r="A208" s="6" t="str">
        <x:v>2019::jama.2019.2210::C005</x:v>
      </x:c>
      <x:c r="B208" s="6" t="n">
        <x:v>2</x:v>
      </x:c>
      <x:c r="C208" s="6" t="str">
        <x:v>Calculation</x:v>
      </x:c>
      <x:c r="D208" s="6" t="str">
        <x:v>At 40, 20&lt;=40&lt;=40 places the value in middle; 40 is not &gt;40. The page-23 text leaves whether high means =40, &gt;=40, or &gt;40 unspecified.</x:v>
      </x:c>
    </x:row>
    <x:row r="209" ht="180" customHeight="1">
      <x:c r="A209" s="3" t="str">
        <x:v>2019::jama.2019.2210::C005</x:v>
      </x:c>
      <x:c r="B209" s="3" t="n">
        <x:v>3</x:v>
      </x:c>
      <x:c r="C209" s="3" t="str">
        <x:v>Alternative source-grounded interpretations</x:v>
      </x:c>
      <x:c r="D209" s="3" t="str">
        <x:v>Page 23 may use 40 ng/mL as informal shorthand for the cutoff; the later sources make &gt;40 the likely intended explicit rule.</x:v>
      </x:c>
    </x:row>
    <x:row r="210" ht="180" customHeight="1">
      <x:c r="A210" s="6" t="str">
        <x:v>2019::jama.2019.2210::C006</x:v>
      </x:c>
      <x:c r="B210" s="6" t="n">
        <x:v>0</x:v>
      </x:c>
      <x:c r="C210" s="6" t="str">
        <x:v>Source evidence</x:v>
      </x:c>
      <x:c r="D210" s="6" t="str">
        <x:v>Table 1 gives Cdx2 GG/GA/AA vitamin-D counts 89,103,38 and placebo counts 49,77,24; the protocol lists CDX2, rs11568820.</x:v>
      </x:c>
    </x:row>
    <x:row r="211" ht="180" customHeight="1">
      <x:c r="A211" s="3" t="str">
        <x:v>2019::jama.2019.2210::C006</x:v>
      </x:c>
      <x:c r="B211" s="3" t="n">
        <x:v>1</x:v>
      </x:c>
      <x:c r="C211" s="3" t="str">
        <x:v>Reported-versus-comparator</x:v>
      </x:c>
      <x:c r="D211" s="3" t="str">
        <x:v>Supplement panels are titled CDK2 GG, CDK2 GA, and CDK2 AA and show corresponding placebo/vitamin-D counts 49/89, 77/103, and 24/38.</x:v>
      </x:c>
    </x:row>
    <x:row r="212" ht="180" customHeight="1">
      <x:c r="A212" s="6" t="str">
        <x:v>2019::jama.2019.2210::C006</x:v>
      </x:c>
      <x:c r="B212" s="6" t="n">
        <x:v>2</x:v>
      </x:c>
      <x:c r="C212" s="6" t="str">
        <x:v>Calculation</x:v>
      </x:c>
      <x:c r="D212" s="6" t="str">
        <x:v>49=49, 89=89, 77=77, 103=103, 24=24, and 38=38; labels differ at the third character after CD: X versus K.</x:v>
      </x:c>
    </x:row>
    <x:row r="213" ht="180" customHeight="1">
      <x:c r="A213" s="3" t="str">
        <x:v>2019::jama.2019.2210::C006</x:v>
      </x:c>
      <x:c r="B213" s="3" t="n">
        <x:v>3</x:v>
      </x:c>
      <x:c r="C213" s="3" t="str">
        <x:v>Alternative source-grounded interpretations</x:v>
      </x:c>
      <x:c r="D213" s="3" t="str">
        <x:v>Matching counts and absence of CDK2 from the protocol list support a possible typesetting substitution; a distinct analysis with coincident counts is not defined in the package.</x:v>
      </x:c>
    </x:row>
    <x:row r="214" ht="180" customHeight="1">
      <x:c r="A214" s="6" t="str">
        <x:v>2019::jama.2019.2210::C007</x:v>
      </x:c>
      <x:c r="B214" s="6" t="n">
        <x:v>0</x:v>
      </x:c>
      <x:c r="C214" s="6" t="str">
        <x:v>Source evidence</x:v>
      </x:c>
      <x:c r="D214" s="6" t="str">
        <x:v>Under vitamin D n=251 and placebo n=166, Table 1 gives BMI quartile counts 63,62,59,65 and 36,43,45,41.</x:v>
      </x:c>
    </x:row>
    <x:row r="215" ht="180" customHeight="1">
      <x:c r="A215" s="3" t="str">
        <x:v>2019::jama.2019.2210::C007</x:v>
      </x:c>
      <x:c r="B215" s="3" t="n">
        <x:v>1</x:v>
      </x:c>
      <x:c r="C215" s="3" t="str">
        <x:v>Reported-versus-comparator</x:v>
      </x:c>
      <x:c r="D215" s="3" t="str">
        <x:v>Supplement 2 complementary BMI risks total vitamin D 208+41 and placebo 144+21.</x:v>
      </x:c>
    </x:row>
    <x:row r="216" ht="180" customHeight="1">
      <x:c r="A216" s="6" t="str">
        <x:v>2019::jama.2019.2210::C007</x:v>
      </x:c>
      <x:c r="B216" s="6" t="n">
        <x:v>2</x:v>
      </x:c>
      <x:c r="C216" s="6" t="str">
        <x:v>Calculation</x:v>
      </x:c>
      <x:c r="D216" s="6" t="str">
        <x:v>63+62+59+65=249 and 36+43+45+41=165, deficits of 2 and 1; Supplement 2 repeats 208+41=249 and 144+21=165. Percentages also round from the smaller denominators.</x:v>
      </x:c>
    </x:row>
    <x:row r="217" ht="180" customHeight="1">
      <x:c r="A217" s="3" t="str">
        <x:v>2019::jama.2019.2210::C007</x:v>
      </x:c>
      <x:c r="B217" s="3" t="n">
        <x:v>3</x:v>
      </x:c>
      <x:c r="C217" s="3" t="str">
        <x:v>Alternative source-grounded interpretations</x:v>
      </x:c>
      <x:c r="D217" s="3" t="str">
        <x:v>BMI may be unavailable for exactly two vitamin-D and one placebo participant; a count transcription issue is another possibility. Neither explanation is stated.</x:v>
      </x:c>
    </x:row>
    <x:row r="218" ht="180" customHeight="1">
      <x:c r="A218" s="6" t="str">
        <x:v>2019::jama.2019.2210::C008</x:v>
      </x:c>
      <x:c r="B218" s="6" t="n">
        <x:v>0</x:v>
      </x:c>
      <x:c r="C218" s="6" t="str">
        <x:v>Source evidence</x:v>
      </x:c>
      <x:c r="D218" s="6" t="str">
        <x:v>The article defines RFS/OS from randomization, parenthetically as time from starting study medication, and plots years after randomization. It says participants were randomized and started supplementation at the first outpatient visit.</x:v>
      </x:c>
    </x:row>
    <x:row r="219" ht="180" customHeight="1">
      <x:c r="A219" s="3" t="str">
        <x:v>2019::jama.2019.2210::C008</x:v>
      </x:c>
      <x:c r="B219" s="3" t="n">
        <x:v>1</x:v>
      </x:c>
      <x:c r="C219" s="3" t="str">
        <x:v>Reported-versus-comparator</x:v>
      </x:c>
      <x:c r="D219" s="3" t="str">
        <x:v>The protocol defines RFS/OS and survival duration from starting supplementation or the supplement start day; Supplement 2 axes use randomization.</x:v>
      </x:c>
    </x:row>
    <x:row r="220" ht="180" customHeight="1">
      <x:c r="A220" s="6" t="str">
        <x:v>2019::jama.2019.2210::C008</x:v>
      </x:c>
      <x:c r="B220" s="6" t="n">
        <x:v>2</x:v>
      </x:c>
      <x:c r="C220" s="6" t="str">
        <x:v>Calculation</x:v>
      </x:c>
      <x:c r="D220" s="6" t="str">
        <x:v>No numeric estimate is recalculated. The wording comparison is randomization date versus supplement start day; participant-level date fields and survival-analysis code are not supplied to establish identity in every record.</x:v>
      </x:c>
    </x:row>
    <x:row r="221" ht="180" customHeight="1">
      <x:c r="A221" s="3" t="str">
        <x:v>2019::jama.2019.2210::C008</x:v>
      </x:c>
      <x:c r="B221" s="3" t="n">
        <x:v>3</x:v>
      </x:c>
      <x:c r="C221" s="3" t="str">
        <x:v>Alternative source-grounded interpretations</x:v>
      </x:c>
      <x:c r="D221" s="3" t="str">
        <x:v>The article itself supports different labels for the same operational date, rather than different numeric origins; universal participant-level identity remains unconfirmed.</x:v>
      </x:c>
    </x:row>
    <x:row r="222" ht="180" customHeight="1">
      <x:c r="A222" s="6" t="str">
        <x:v>2019::jama.2019.2210::C009</x:v>
      </x:c>
      <x:c r="B222" s="6" t="n">
        <x:v>0</x:v>
      </x:c>
      <x:c r="C222" s="6" t="str">
        <x:v>Source evidence</x:v>
      </x:c>
      <x:c r="D222" s="6" t="str">
        <x:v>Table 2 reports relapse HR 0.75 (0.48–1.17), cancer-specific-death HR 1.09 (0.58–2.01), noncancer-death HR 0.70 (0.29–1.73), and the footnote assigning decreased outcome probability to HR &gt;1.</x:v>
      </x:c>
    </x:row>
    <x:row r="223" ht="180" customHeight="1">
      <x:c r="A223" s="3" t="str">
        <x:v>2019::jama.2019.2210::C009</x:v>
      </x:c>
      <x:c r="B223" s="3" t="n">
        <x:v>1</x:v>
      </x:c>
      <x:c r="C223" s="3" t="str">
        <x:v>Reported-versus-comparator</x:v>
      </x:c>
      <x:c r="D223" s="3" t="str">
        <x:v>Page 4 gives vitamin D/placebo relapse 41/251 versus 36/166, cancer-specific death 27/251 versus 16/166, and noncancer death 10/251 versus 9/166; Figure 2C shows the vitamin-D relapse curve below placebo and prints HR 0.75.</x:v>
      </x:c>
    </x:row>
    <x:row r="224" ht="180" customHeight="1">
      <x:c r="A224" s="6" t="str">
        <x:v>2019::jama.2019.2210::C009</x:v>
      </x:c>
      <x:c r="B224" s="6" t="n">
        <x:v>2</x:v>
      </x:c>
      <x:c r="C224" s="6" t="str">
        <x:v>Calculation</x:v>
      </x:c>
      <x:c r="D224" s="6" t="str">
        <x:v>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x:v>
      </x:c>
    </x:row>
    <x:row r="225" ht="180" customHeight="1">
      <x:c r="A225" s="3" t="str">
        <x:v>2019::jama.2019.2210::C009</x:v>
      </x:c>
      <x:c r="B225" s="3" t="n">
        <x:v>3</x:v>
      </x:c>
      <x:c r="C225" s="3" t="str">
        <x:v>Alternative source-grounded interpretations</x:v>
      </x:c>
      <x:c r="D225" s="3" t="str">
        <x:v>A placebo-relative contrast could make the footnote coherent, but the plotted/narrated relapse direction and HR below 1 indicate the opposite orientation for displayed relapse results; a table-only reversed contrast is not stated.</x:v>
      </x:c>
    </x:row>
    <x:row r="226" ht="180" customHeight="1">
      <x:c r="A226" s="6" t="str">
        <x:v>2019::jama.2019.4755::C001</x:v>
      </x:c>
      <x:c r="B226" s="6" t="n">
        <x:v>0</x:v>
      </x:c>
      <x:c r="C226" s="6" t="str">
        <x:v>Source evidence</x:v>
      </x:c>
      <x:c r="D226" s="6" t="str">
        <x:v>Page 7 visibly prints aspirin PPV 15.9%, placebo PPV 34.1%, a lone hyphen in the point-estimate position, and 95% CI [-34.7, -1.3]. Page 6 prints TP/FP 11/58 for aspirin and 14/27 for placebo.</x:v>
      </x:c>
    </x:row>
    <x:row r="227" ht="180" customHeight="1">
      <x:c r="A227" s="3" t="str">
        <x:v>2019::jama.2019.4755::C001</x:v>
      </x:c>
      <x:c r="B227" s="3" t="n">
        <x:v>1</x:v>
      </x:c>
      <x:c r="C227" s="3" t="str">
        <x:v>Reported-versus-comparator</x:v>
      </x:c>
      <x:c r="D227" s="3" t="str">
        <x:v>The reported cell is - versus a numeric aspirin-minus-placebo PPV difference that is diagnostically supported by the matched counts and displayed arm PPVs; no numeric magnitude is visibly rendered in the cell.</x:v>
      </x:c>
    </x:row>
    <x:row r="228" ht="180" customHeight="1">
      <x:c r="A228" s="6" t="str">
        <x:v>2019::jama.2019.4755::C001</x:v>
      </x:c>
      <x:c r="B228" s="6" t="n">
        <x:v>2</x:v>
      </x:c>
      <x:c r="C228" s="6" t="str">
        <x:v>Calculation</x:v>
      </x:c>
      <x:c r="D228" s="6" t="str">
        <x:v>11/(11+58) × 100 = 15.9420%; 14/(14+27) × 100 = 34.1463%; aspirin minus placebo = -18.2043 percentage points, rounding to -18.2. The displayed values also give 15.9 - 34.1 = -18.2.</x:v>
      </x:c>
    </x:row>
    <x:row r="229" ht="180" customHeight="1">
      <x:c r="A229" s="3" t="str">
        <x:v>2019::jama.2019.4755::C001</x:v>
      </x:c>
      <x:c r="B229" s="3" t="n">
        <x:v>3</x:v>
      </x:c>
      <x:c r="C229" s="3" t="str">
        <x:v>Alternative source-grounded interpretations</x:v>
      </x:c>
      <x:c r="D229" s="3" t="str">
        <x:v>A detached 18.2 PDF text fragment may indicate displaced, clipped, or suppressed table content, but the direct rendering does not visibly connect it to the cell. Alternatively, an undocumented hyphen-only convention may have been intended.</x:v>
      </x:c>
    </x:row>
    <x:row r="230" ht="180" customHeight="1">
      <x:c r="A230" s="6" t="str">
        <x:v>2019::jama.2019.4755::C002</x:v>
      </x:c>
      <x:c r="B230" s="6" t="n">
        <x:v>0</x:v>
      </x:c>
      <x:c r="C230" s="6" t="str">
        <x:v>Source evidence</x:v>
      </x:c>
      <x:c r="D230" s="6" t="str">
        <x:v>Page 7 visibly prints aspirin PPV 17.1%, placebo PPV 42.9%, a lone hyphen in the point-estimate position, and 95% CI [-48.4, -0.7]. Page 6 prints TP/FP 6/29 for aspirin and 9/12 for placebo.</x:v>
      </x:c>
    </x:row>
    <x:row r="231" ht="180" customHeight="1">
      <x:c r="A231" s="3" t="str">
        <x:v>2019::jama.2019.4755::C002</x:v>
      </x:c>
      <x:c r="B231" s="3" t="n">
        <x:v>1</x:v>
      </x:c>
      <x:c r="C231" s="3" t="str">
        <x:v>Reported-versus-comparator</x:v>
      </x:c>
      <x:c r="D231" s="3" t="str">
        <x:v>The reported cell is - versus a count-derived diagnostic difference that rounds to -25.7 percentage points; subtracting the independently rounded printed PPVs gives -25.8. Neither numeric value is visibly printed in the named cell.</x:v>
      </x:c>
    </x:row>
    <x:row r="232" ht="180" customHeight="1">
      <x:c r="A232" s="6" t="str">
        <x:v>2019::jama.2019.4755::C002</x:v>
      </x:c>
      <x:c r="B232" s="6" t="n">
        <x:v>2</x:v>
      </x:c>
      <x:c r="C232" s="6" t="str">
        <x:v>Calculation</x:v>
      </x:c>
      <x:c r="D232" s="6" t="str">
        <x:v>6/(6+29) × 100 = 17.1429%; 9/(9+12) × 100 = 42.8571%; count-derived aspirin minus placebo = -25.7143, rounding to -25.7 percentage points. Displayed-value subtraction is 17.1 - 42.9 = -25.8; the 0.1-point difference is compatible with rounding paths.</x:v>
      </x:c>
    </x:row>
    <x:row r="233" ht="180" customHeight="1">
      <x:c r="A233" s="3" t="str">
        <x:v>2019::jama.2019.4755::C002</x:v>
      </x:c>
      <x:c r="B233" s="3" t="n">
        <x:v>3</x:v>
      </x:c>
      <x:c r="C233" s="3" t="str">
        <x:v>Alternative source-grounded interpretations</x:v>
      </x:c>
      <x:c r="D233" s="3" t="str">
        <x:v>A detached 25.7 PDF text fragment may indicate displaced, clipped, or suppressed content, but it is not visible in the cell. The intended display may have used unrounded proportions, or the hyphen may represent an undocumented convention.</x:v>
      </x:c>
    </x:row>
    <x:row r="234" ht="180" customHeight="1">
      <x:c r="A234" s="6" t="str">
        <x:v>2019::jama.2019.4755::C003</x:v>
      </x:c>
      <x:c r="B234" s="6" t="n">
        <x:v>0</x:v>
      </x:c>
      <x:c r="C234" s="6" t="str">
        <x:v>Source evidence</x:v>
      </x:c>
      <x:c r="D234" s="6" t="str">
        <x:v>Page 7 visibly prints aspirin PPV 9.7%, placebo PPV 31.2%, a lone hyphen in the point-estimate position, and 95% CI [-38.9, -3.9]. Page 6 prints TP/FP 6/56 for aspirin and 10/22 for placebo.</x:v>
      </x:c>
    </x:row>
    <x:row r="235" ht="180" customHeight="1">
      <x:c r="A235" s="3" t="str">
        <x:v>2019::jama.2019.4755::C003</x:v>
      </x:c>
      <x:c r="B235" s="3" t="n">
        <x:v>1</x:v>
      </x:c>
      <x:c r="C235" s="3" t="str">
        <x:v>Reported-versus-comparator</x:v>
      </x:c>
      <x:c r="D235" s="3" t="str">
        <x:v>The reported cell is - versus a count-derived diagnostic difference that rounds to -21.6 percentage points; displayed-value subtraction gives -21.5. No numeric magnitude is visibly printed in the cell.</x:v>
      </x:c>
    </x:row>
    <x:row r="236" ht="180" customHeight="1">
      <x:c r="A236" s="6" t="str">
        <x:v>2019::jama.2019.4755::C003</x:v>
      </x:c>
      <x:c r="B236" s="6" t="n">
        <x:v>2</x:v>
      </x:c>
      <x:c r="C236" s="6" t="str">
        <x:v>Calculation</x:v>
      </x:c>
      <x:c r="D236" s="6" t="str">
        <x:v>6/(6+56) × 100 = 9.6774%; 10/(10+22) × 100 = 31.2500%; count-derived aspirin minus placebo = -21.5726, rounding to -21.6 percentage points. Displayed-value subtraction is 9.7 - 31.2 = -21.5; the difference is compatible with independent rounding.</x:v>
      </x:c>
    </x:row>
    <x:row r="237" ht="180" customHeight="1">
      <x:c r="A237" s="3" t="str">
        <x:v>2019::jama.2019.4755::C003</x:v>
      </x:c>
      <x:c r="B237" s="3" t="n">
        <x:v>3</x:v>
      </x:c>
      <x:c r="C237" s="3" t="str">
        <x:v>Alternative source-grounded interpretations</x:v>
      </x:c>
      <x:c r="D237" s="3" t="str">
        <x:v>A detached 21.6 PDF text fragment may reflect displacement, clipping, or suppression during production without establishing that mechanism. The hyphen could instead be an undocumented display convention.</x:v>
      </x:c>
    </x:row>
    <x:row r="238" ht="180" customHeight="1">
      <x:c r="A238" s="6" t="str">
        <x:v>2019::jama.2019.4755::C004</x:v>
      </x:c>
      <x:c r="B238" s="6" t="n">
        <x:v>0</x:v>
      </x:c>
      <x:c r="C238" s="6" t="str">
        <x:v>Source evidence</x:v>
      </x:c>
      <x:c r="D238" s="6" t="str">
        <x:v>The direct rendering on page 7 visibly shows Cutoff and [µg; neither Hb/g nor the closing bracket is visibly rendered. The same page applies cutoff values 10.2 and 17.0. Page 6 visibly renders Cutoff [µg Hb/g] for the corresponding day-2 per-protocol FIT context.</x:v>
      </x:c>
    </x:row>
    <x:row r="239" ht="180" customHeight="1">
      <x:c r="A239" s="3" t="str">
        <x:v>2019::jama.2019.4755::C004</x:v>
      </x:c>
      <x:c r="B239" s="3" t="n">
        <x:v>1</x:v>
      </x:c>
      <x:c r="C239" s="3" t="str">
        <x:v>Reported-versus-comparator</x:v>
      </x:c>
      <x:c r="D239" s="3" t="str">
        <x:v>The visible eTable 5 label ends at [µg versus the matched eTable 4 and main-table concentration scale µg Hb/g. The incomplete string is the direct observation; the complete form is the comparator, not an asserted transcription of page 7.</x:v>
      </x:c>
    </x:row>
    <x:row r="240" ht="180" customHeight="1">
      <x:c r="A240" s="6" t="str">
        <x:v>2019::jama.2019.4755::C004</x:v>
      </x:c>
      <x:c r="B240" s="6" t="n">
        <x:v>2</x:v>
      </x:c>
      <x:c r="C240" s="6" t="str">
        <x:v>Calculation</x:v>
      </x:c>
      <x:c r="D240" s="6" t="str">
        <x:v>No arithmetic is applicable. The reproducible comparison is the visible incomplete mass-unit fragment [µg against the matched mass-per-mass scale µg Hb/g.</x:v>
      </x:c>
    </x:row>
    <x:row r="241" ht="180" customHeight="1">
      <x:c r="A241" s="3" t="str">
        <x:v>2019::jama.2019.4755::C004</x:v>
      </x:c>
      <x:c r="B241" s="3" t="n">
        <x:v>3</x:v>
      </x:c>
      <x:c r="C241" s="3" t="str">
        <x:v>Alternative source-grounded interpretations</x:v>
      </x:c>
      <x:c r="D241" s="3" t="str">
        <x:v>A detached Hb/g] PDF text fragment supports a possible layout or clipping explanation but is not visibly connected to the header. Readers may have been expected to carry the unit from adjacent tables, although the page gives no such instruction.</x:v>
      </x:c>
    </x:row>
    <x:row r="242" ht="180" customHeight="1">
      <x:c r="A242" s="6" t="str">
        <x:v>2019::jama.2019.4755::C005</x:v>
      </x:c>
      <x:c r="B242" s="6" t="n">
        <x:v>0</x:v>
      </x:c>
      <x:c r="C242" s="6" t="str">
        <x:v>Source evidence</x:v>
      </x:c>
      <x:c r="D242" s="6" t="str">
        <x:v>DOC-003 p. 6 visibly prints 17 μg Hb/g feces and 10.2 Hb/g feces. DOC-003 p. 8 prints Manufacturer’s threshold (17 μg Hb/g feces) and threshold for positivity (10.2 μg Hb/g feces). The article supplies the same two FIT-cutoff context and complete unit headers.</x:v>
      </x:c>
    </x:row>
    <x:row r="243" ht="180" customHeight="1">
      <x:c r="A243" s="3" t="str">
        <x:v>2019::jama.2019.4755::C005</x:v>
      </x:c>
      <x:c r="B243" s="3" t="n">
        <x:v>1</x:v>
      </x:c>
      <x:c r="C243" s="3" t="str">
        <x:v>Reported-versus-comparator</x:v>
      </x:c>
      <x:c r="D243" s="3" t="str">
        <x:v>The lower cutoff is printed as 10.2 Hb/g feces on p. 6 versus 10.2 μg Hb/g feces on p. 8 for the same lower quantitative-FIT threshold.</x:v>
      </x:c>
    </x:row>
    <x:row r="244" ht="180" customHeight="1">
      <x:c r="A244" s="6" t="str">
        <x:v>2019::jama.2019.4755::C005</x:v>
      </x:c>
      <x:c r="B244" s="6" t="n">
        <x:v>2</x:v>
      </x:c>
      <x:c r="C244" s="6" t="str">
        <x:v>Calculation</x:v>
      </x:c>
      <x:c r="D244" s="6" t="str">
        <x:v>No arithmetic is required. The logical comparison checks whether the same 10.2 cutoff retains its μg numerator unit across the matched SAP occurrences.</x:v>
      </x:c>
    </x:row>
    <x:row r="245" ht="180" customHeight="1">
      <x:c r="A245" s="3" t="str">
        <x:v>2019::jama.2019.4755::C005</x:v>
      </x:c>
      <x:c r="B245" s="3" t="n">
        <x:v>3</x:v>
      </x:c>
      <x:c r="C245" s="3" t="str">
        <x:v>Alternative source-grounded interpretations</x:v>
      </x:c>
      <x:c r="D245" s="3" t="str">
        <x:v>The first μg may be intended to govern both coordinated thresholds grammatically. Because Hb/g feces is repeated after both numbers, that inheritance is not explicit; the package gives no editorial rule resolving it.</x:v>
      </x:c>
    </x:row>
    <x:row r="246" ht="180" customHeight="1">
      <x:c r="A246" s="6" t="str">
        <x:v>2019::jama.2019.7505::C001</x:v>
      </x:c>
      <x:c r="B246" s="6" t="n">
        <x:v>0</x:v>
      </x:c>
      <x:c r="C246" s="6" t="str">
        <x:v>Source evidence</x:v>
      </x:c>
      <x:c r="D246" s="6" t="str">
        <x:v>Both locations report intraoperative hypoxemia of 49/989 (5.0%) versus 134/987 (13.6%), a difference of -8.6 percentage points, and P &lt; .001. The abstract prints 95% CI -11.1 to +6.1; Table 3 prints -11.1 to -6.1 and RR 0.51 (0.40 to 0.65).</x:v>
      </x:c>
    </x:row>
    <x:row r="247" ht="180" customHeight="1">
      <x:c r="A247" s="3" t="str">
        <x:v>2019::jama.2019.7505::C001</x:v>
      </x:c>
      <x:c r="B247" s="3" t="n">
        <x:v>1</x:v>
      </x:c>
      <x:c r="C247" s="3" t="str">
        <x:v>Reported-versus-comparator</x:v>
      </x:c>
      <x:c r="D247" s="3" t="str">
        <x:v>Abstract upper endpoint +6.1 versus Table 3 upper endpoint -6.1 for the same matched result.</x:v>
      </x:c>
    </x:row>
    <x:row r="248" ht="180" customHeight="1">
      <x:c r="A248" s="6" t="str">
        <x:v>2019::jama.2019.7505::C001</x:v>
      </x:c>
      <x:c r="B248" s="6" t="n">
        <x:v>2</x:v>
      </x:c>
      <x:c r="C248" s="6" t="str">
        <x:v>Calculation</x:v>
      </x:c>
      <x:c r="D248" s="6" t="str">
        <x:v>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x:v>
      </x:c>
    </x:row>
    <x:row r="249" ht="180" customHeight="1">
      <x:c r="A249" s="3" t="str">
        <x:v>2019::jama.2019.7505::C001</x:v>
      </x:c>
      <x:c r="B249" s="3" t="n">
        <x:v>3</x:v>
      </x:c>
      <x:c r="C249" s="3" t="str">
        <x:v>Alternative source-grounded interpretations</x:v>
      </x:c>
      <x:c r="D249" s="3" t="str">
        <x:v>Either the abstract or Table 3 may contain the production error. A dropped abstract minus sign is plausible, but the package does not provide an authoritative analysis-output record or designate an authoritative display.</x:v>
      </x:c>
    </x:row>
    <x:row r="250" ht="180" customHeight="1">
      <x:c r="A250" s="6" t="str">
        <x:v>2019::jama.2019.7505::C002</x:v>
      </x:c>
      <x:c r="B250" s="6" t="n">
        <x:v>0</x:v>
      </x:c>
      <x:c r="C250" s="6" t="str">
        <x:v>Source evidence</x:v>
      </x:c>
      <x:c r="D250" s="6" t="str">
        <x:v>The row prints disseminated intravascular coagulation as 1/989 (0.1%) versus 0/987, absolute difference 0.1 (95% CI -0.1 to 0.3), RR 2.00 (95% CI 1.91 to 2.09), and P &gt; .99. Table footnotes label the effect as a risk ratio and identify broad interval/test methods.</x:v>
      </x:c>
    </x:row>
    <x:row r="251" ht="180" customHeight="1">
      <x:c r="A251" s="3" t="str">
        <x:v>2019::jama.2019.7505::C002</x:v>
      </x:c>
      <x:c r="B251" s="3" t="n">
        <x:v>1</x:v>
      </x:c>
      <x:c r="C251" s="3" t="str">
        <x:v>Reported-versus-comparator</x:v>
      </x:c>
      <x:c r="D251" s="3" t="str">
        <x:v>A finite RR 2.00 with interval [1.91, 2.09] is displayed against a comparator risk of zero; the same row prints P &gt; .99.</x:v>
      </x:c>
    </x:row>
    <x:row r="252" ht="180" customHeight="1">
      <x:c r="A252" s="6" t="str">
        <x:v>2019::jama.2019.7505::C002</x:v>
      </x:c>
      <x:c r="B252" s="6" t="n">
        <x:v>2</x:v>
      </x:c>
      <x:c r="C252" s="6" t="str">
        <x:v>Calculation</x:v>
      </x:c>
      <x:c r="D252" s="6" t="str">
        <x:v>High risk = 1/989 = 0.0010111; low risk = 0/987 = 0. Thus (1/989)/(0/987) has a zero denominator and is not a finite direct RR. The printed interval excludes 1. No replacement RR, CI, or P value is calculated.</x:v>
      </x:c>
    </x:row>
    <x:row r="253" ht="180" customHeight="1">
      <x:c r="A253" s="3" t="str">
        <x:v>2019::jama.2019.7505::C002</x:v>
      </x:c>
      <x:c r="B253" s="3" t="n">
        <x:v>3</x:v>
      </x:c>
      <x:c r="C253" s="3" t="str">
        <x:v>Alternative source-grounded interpretations</x:v>
      </x:c>
      <x:c r="D253" s="3" t="str">
        <x:v>An unstated zero-cell correction, alternate estimator, cell alignment issue, or transcription error could explain part of the display. The supplied package does not identify a zero-cell rule, exact interval formula/software call, chi-square variant, or row-specific alternate population.</x:v>
      </x:c>
    </x:row>
    <x:row r="254" ht="180" customHeight="1">
      <x:c r="A254" s="6" t="str">
        <x:v>2019::jama.2019.7505::C003</x:v>
      </x:c>
      <x:c r="B254" s="6" t="n">
        <x:v>0</x:v>
      </x:c>
      <x:c r="C254" s="6" t="str">
        <x:v>Source evidence</x:v>
      </x:c>
      <x:c r="D254" s="6" t="str">
        <x:v>DOC-002 states that “the odds ratio relative risks with corresponding 95% confidence levels interval” will be calculated using logistic regression. DOC-004 identifies the primary effect as a risk ratio and separately uses odds ratios for specified exploratory analyses.</x:v>
      </x:c>
    </x:row>
    <x:row r="255" ht="180" customHeight="1">
      <x:c r="A255" s="3" t="str">
        <x:v>2019::jama.2019.7505::C003</x:v>
      </x:c>
      <x:c r="B255" s="3" t="n">
        <x:v>1</x:v>
      </x:c>
      <x:c r="C255" s="3" t="str">
        <x:v>Reported-versus-comparator</x:v>
      </x:c>
      <x:c r="D255" s="3" t="str">
        <x:v>The uninterrupted compound protocol label “odds ratio relative risks” versus the final SAP's explicit primary-outcome risk-ratio label and distinct exploratory odds-ratio contexts.</x:v>
      </x:c>
    </x:row>
    <x:row r="256" ht="180" customHeight="1">
      <x:c r="A256" s="6" t="str">
        <x:v>2019::jama.2019.7505::C003</x:v>
      </x:c>
      <x:c r="B256" s="6" t="n">
        <x:v>2</x:v>
      </x:c>
      <x:c r="C256" s="6" t="str">
        <x:v>Calculation</x:v>
      </x:c>
      <x:c r="D256" s="6" t="str">
        <x:v>No arithmetic is needed. The reproducible comparison is the uninterrupted compound label against the SAP's measure-specific wording.</x:v>
      </x:c>
    </x:row>
    <x:row r="257" ht="180" customHeight="1">
      <x:c r="A257" s="3" t="str">
        <x:v>2019::jama.2019.7505::C003</x:v>
      </x:c>
      <x:c r="B257" s="3" t="n">
        <x:v>3</x:v>
      </x:c>
      <x:c r="C257" s="3" t="str">
        <x:v>Alternative source-grounded interpretations</x:v>
      </x:c>
      <x:c r="D257" s="3" t="str">
        <x:v>The phrase may be an editing artifact; the final SAP may supersede earlier wording by selecting risk ratio for the primary outcome; or distinct analyses may have been intended. The package does not resolve which explanation applies.</x:v>
      </x:c>
    </x:row>
    <x:row r="258" ht="180" customHeight="1">
      <x:c r="A258" s="6" t="str">
        <x:v>2019::jama.2019.7505::C004</x:v>
      </x:c>
      <x:c r="B258" s="6" t="n">
        <x:v>0</x:v>
      </x:c>
      <x:c r="C258" s="6" t="str">
        <x:v>Source evidence</x:v>
      </x:c>
      <x:c r="D258" s="6" t="str">
        <x:v>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x:v>
      </x:c>
    </x:row>
    <x:row r="259" ht="180" customHeight="1">
      <x:c r="A259" s="3" t="str">
        <x:v>2019::jama.2019.7505::C004</x:v>
      </x:c>
      <x:c r="B259" s="3" t="n">
        <x:v>1</x:v>
      </x:c>
      <x:c r="C259" s="3" t="str">
        <x:v>Reported-versus-comparator</x:v>
      </x:c>
      <x:c r="D259" s="3" t="str">
        <x:v>The eFigure 11 narrative outcome noun conflicts with its mortality title, axis, effect label, and matched mortality values; eFigure 10 supplies the distinct extra-pulmonary-complication comparator.</x:v>
      </x:c>
    </x:row>
    <x:row r="260" ht="180" customHeight="1">
      <x:c r="A260" s="6" t="str">
        <x:v>2019::jama.2019.7505::C004</x:v>
      </x:c>
      <x:c r="B260" s="6" t="n">
        <x:v>2</x:v>
      </x:c>
      <x:c r="C260" s="6" t="str">
        <x:v>Calculation</x:v>
      </x:c>
      <x:c r="D260" s="6" t="str">
        <x:v>5/989 = 0.5056% and 3/987 = 0.3040%, rounding to 0.5% and 0.3%. These mortality values are not rounding variants of the separately displayed 16.9% and 15.2% extra-pulmonary-complication values.</x:v>
      </x:c>
    </x:row>
    <x:row r="261" ht="180" customHeight="1">
      <x:c r="A261" s="3" t="str">
        <x:v>2019::jama.2019.7505::C004</x:v>
      </x:c>
      <x:c r="B261" s="3" t="n">
        <x:v>3</x:v>
      </x:c>
      <x:c r="C261" s="3" t="str">
        <x:v>Alternative source-grounded interpretations</x:v>
      </x:c>
      <x:c r="D261" s="3" t="str">
        <x:v>Carry-forward wording from neighboring eFigure 10 is plausible, or the sentence may refer to a neighboring figure, but neither explanation is stated in the supplied sources.</x:v>
      </x:c>
    </x:row>
  </x:sheetData>
  <x:pageMargins left="0.7" right="0.7" top="0.75" bottom="0.75" header="0.3" footer="0.3"/>
  <x:tableParts count="1">
    <x:tablePart xmlns:r="http://schemas.openxmlformats.org/officeDocument/2006/relationships" r:id="R38d5323846ea4231"/>
  </x:tableParts>
</x:worksheet>
</file>

<file path=xl/worksheets/sheet2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 min="5" max="5" width="90" hidden="0" customWidth="1"/>
  </x:cols>
  <x:sheetData>
    <x:row r="1" ht="42" customHeight="1">
      <x:c r="A1" s="5" t="str">
        <x:v>key</x:v>
      </x:c>
      <x:c r="B1" s="5" t="str">
        <x:v>kind</x:v>
      </x:c>
      <x:c r="C1" s="5" t="str">
        <x:v>order</x:v>
      </x:c>
      <x:c r="D1" s="5" t="str">
        <x:v>label</x:v>
      </x:c>
      <x:c r="E1" s="5" t="str">
        <x:v>href</x:v>
      </x:c>
    </x:row>
    <x:row r="2" ht="90" customHeight="1">
      <x:c r="A2" s="6" t="str">
        <x:v>2019::jama.2019.0556::C001</x:v>
      </x:c>
      <x:c r="B2" s="6" t="str">
        <x:v>sourceLinks</x:v>
      </x:c>
      <x:c r="C2" s="6" t="n">
        <x:v>0</x:v>
      </x:c>
      <x:c r="D2" s="6" t="str">
        <x:v>DOC-001 Table 2 — PDF p. 6</x:v>
      </x:c>
      <x:c r="E2" s="6" t="str">
        <x:v>../../2019/jama.2019.0556/jama_bot_2019_oi_190007.pdf#page=6</x:v>
      </x:c>
    </x:row>
    <x:row r="3" ht="90" customHeight="1">
      <x:c r="A3" s="3" t="str">
        <x:v>2019::jama.2019.0556::C001</x:v>
      </x:c>
      <x:c r="B3" s="3" t="str">
        <x:v>sourceLinks</x:v>
      </x:c>
      <x:c r="C3" s="3" t="n">
        <x:v>1</x:v>
      </x:c>
      <x:c r="D3" s="3" t="str">
        <x:v>Figure 1 — PDF p. 3</x:v>
      </x:c>
      <x:c r="E3" s="3" t="str">
        <x:v>../../2019/jama.2019.0556/jama_bot_2019_oi_190007.pdf#page=3</x:v>
      </x:c>
    </x:row>
    <x:row r="4" ht="90" customHeight="1">
      <x:c r="A4" s="6" t="str">
        <x:v>2019::jama.2019.0556::C001</x:v>
      </x:c>
      <x:c r="B4" s="6" t="str">
        <x:v>sourceLinks</x:v>
      </x:c>
      <x:c r="C4" s="6" t="n">
        <x:v>2</x:v>
      </x:c>
      <x:c r="D4" s="6" t="str">
        <x:v>Results — PDF p. 7</x:v>
      </x:c>
      <x:c r="E4" s="6" t="str">
        <x:v>../../2019/jama.2019.0556/jama_bot_2019_oi_190007.pdf#page=7</x:v>
      </x:c>
    </x:row>
    <x:row r="5" ht="90" customHeight="1">
      <x:c r="A5" s="3" t="str">
        <x:v>2019::jama.2019.0556::C001</x:v>
      </x:c>
      <x:c r="B5" s="3" t="str">
        <x:v>evidencePaths</x:v>
      </x:c>
      <x:c r="C5" s="3" t="n">
        <x:v>0</x:v>
      </x:c>
      <x:c r="D5" s="3" t="str">
        <x:v>2019/jama.2019.0556/.ai_paper_validation/review_1_4_1/source_inventory.md</x:v>
      </x:c>
      <x:c r="E5" s="3" t="str">
        <x:v>../../2019/jama.2019.0556/.ai_paper_validation/review_1_4_1/source_inventory.md</x:v>
      </x:c>
    </x:row>
    <x:row r="6" ht="90" customHeight="1">
      <x:c r="A6" s="6" t="str">
        <x:v>2019::jama.2019.0556::C001</x:v>
      </x:c>
      <x:c r="B6" s="6" t="str">
        <x:v>evidencePaths</x:v>
      </x:c>
      <x:c r="C6" s="6" t="n">
        <x:v>1</x:v>
      </x:c>
      <x:c r="D6" s="6" t="str">
        <x:v>2019/jama.2019.0556/.ai_paper_validation/review_1_4_1/verification/evidence_recheck.md</x:v>
      </x:c>
      <x:c r="E6" s="6" t="str">
        <x:v>../../2019/jama.2019.0556/.ai_paper_validation/review_1_4_1/verification/evidence_recheck.md</x:v>
      </x:c>
    </x:row>
    <x:row r="7" ht="90" customHeight="1">
      <x:c r="A7" s="3" t="str">
        <x:v>2019::jama.2019.0556::C002</x:v>
      </x:c>
      <x:c r="B7" s="3" t="str">
        <x:v>sourceLinks</x:v>
      </x:c>
      <x:c r="C7" s="3" t="n">
        <x:v>0</x:v>
      </x:c>
      <x:c r="D7" s="3" t="str">
        <x:v>DOC-001 Methods — PDF p. 4</x:v>
      </x:c>
      <x:c r="E7" s="3" t="str">
        <x:v>../../2019/jama.2019.0556/jama_bot_2019_oi_190007.pdf#page=4</x:v>
      </x:c>
    </x:row>
    <x:row r="8" ht="90" customHeight="1">
      <x:c r="A8" s="6" t="str">
        <x:v>2019::jama.2019.0556::C002</x:v>
      </x:c>
      <x:c r="B8" s="6" t="str">
        <x:v>sourceLinks</x:v>
      </x:c>
      <x:c r="C8" s="6" t="n">
        <x:v>1</x:v>
      </x:c>
      <x:c r="D8" s="6" t="str">
        <x:v>Results — PDF p. 6</x:v>
      </x:c>
      <x:c r="E8" s="6" t="str">
        <x:v>../../2019/jama.2019.0556/jama_bot_2019_oi_190007.pdf#page=6</x:v>
      </x:c>
    </x:row>
    <x:row r="9" ht="90" customHeight="1">
      <x:c r="A9" s="3" t="str">
        <x:v>2019::jama.2019.0556::C002</x:v>
      </x:c>
      <x:c r="B9" s="3" t="str">
        <x:v>sourceLinks</x:v>
      </x:c>
      <x:c r="C9" s="3" t="n">
        <x:v>2</x:v>
      </x:c>
      <x:c r="D9" s="3" t="str">
        <x:v>DOC-004 eAppendix 8 — PDF p. 16</x:v>
      </x:c>
      <x:c r="E9" s="3" t="str">
        <x:v>../../2019/jama.2019.0556/joi190007supp3_prod.pdf#page=16</x:v>
      </x:c>
    </x:row>
    <x:row r="10" ht="90" customHeight="1">
      <x:c r="A10" s="6" t="str">
        <x:v>2019::jama.2019.0556::C002</x:v>
      </x:c>
      <x:c r="B10" s="6" t="str">
        <x:v>sourceLinks</x:v>
      </x:c>
      <x:c r="C10" s="6" t="n">
        <x:v>3</x:v>
      </x:c>
      <x:c r="D10" s="6" t="str">
        <x:v>eAppendix 12 — PDF p. 22</x:v>
      </x:c>
      <x:c r="E10" s="6" t="str">
        <x:v>../../2019/jama.2019.0556/joi190007supp3_prod.pdf#page=22</x:v>
      </x:c>
    </x:row>
    <x:row r="11" ht="90" customHeight="1">
      <x:c r="A11" s="3" t="str">
        <x:v>2019::jama.2019.0556::C002</x:v>
      </x:c>
      <x:c r="B11" s="3" t="str">
        <x:v>evidencePaths</x:v>
      </x:c>
      <x:c r="C11" s="3" t="n">
        <x:v>0</x:v>
      </x:c>
      <x:c r="D11" s="3" t="str">
        <x:v>2019/jama.2019.0556/.ai_paper_validation/review_1_4_1/source_inventory.md</x:v>
      </x:c>
      <x:c r="E11" s="3" t="str">
        <x:v>../../2019/jama.2019.0556/.ai_paper_validation/review_1_4_1/source_inventory.md</x:v>
      </x:c>
    </x:row>
    <x:row r="12" ht="90" customHeight="1">
      <x:c r="A12" s="6" t="str">
        <x:v>2019::jama.2019.0556::C002</x:v>
      </x:c>
      <x:c r="B12" s="6" t="str">
        <x:v>evidencePaths</x:v>
      </x:c>
      <x:c r="C12" s="6" t="n">
        <x:v>1</x:v>
      </x:c>
      <x:c r="D12" s="6" t="str">
        <x:v>2019/jama.2019.0556/.ai_paper_validation/review_1_4_1/verification/evidence_recheck.md</x:v>
      </x:c>
      <x:c r="E12" s="6" t="str">
        <x:v>../../2019/jama.2019.0556/.ai_paper_validation/review_1_4_1/verification/evidence_recheck.md</x:v>
      </x:c>
    </x:row>
    <x:row r="13" ht="90" customHeight="1">
      <x:c r="A13" s="3" t="str">
        <x:v>2019::jama.2019.0556::C003</x:v>
      </x:c>
      <x:c r="B13" s="3" t="str">
        <x:v>sourceLinks</x:v>
      </x:c>
      <x:c r="C13" s="3" t="n">
        <x:v>0</x:v>
      </x:c>
      <x:c r="D13" s="3" t="str">
        <x:v>DOC-004 eAppendix 8 — PDF p. 16</x:v>
      </x:c>
      <x:c r="E13" s="3" t="str">
        <x:v>../../2019/jama.2019.0556/joi190007supp3_prod.pdf#page=16</x:v>
      </x:c>
    </x:row>
    <x:row r="14" ht="90" customHeight="1">
      <x:c r="A14" s="6" t="str">
        <x:v>2019::jama.2019.0556::C003</x:v>
      </x:c>
      <x:c r="B14" s="6" t="str">
        <x:v>evidencePaths</x:v>
      </x:c>
      <x:c r="C14" s="6" t="n">
        <x:v>0</x:v>
      </x:c>
      <x:c r="D14" s="6" t="str">
        <x:v>2019/jama.2019.0556/.ai_paper_validation/review_1_4_1/source_inventory.md</x:v>
      </x:c>
      <x:c r="E14" s="6" t="str">
        <x:v>../../2019/jama.2019.0556/.ai_paper_validation/review_1_4_1/source_inventory.md</x:v>
      </x:c>
    </x:row>
    <x:row r="15" ht="90" customHeight="1">
      <x:c r="A15" s="3" t="str">
        <x:v>2019::jama.2019.0556::C003</x:v>
      </x:c>
      <x:c r="B15" s="3" t="str">
        <x:v>evidencePaths</x:v>
      </x:c>
      <x:c r="C15" s="3" t="n">
        <x:v>1</x:v>
      </x:c>
      <x:c r="D15" s="3" t="str">
        <x:v>2019/jama.2019.0556/.ai_paper_validation/review_1_4_1/verification/evidence_recheck.md</x:v>
      </x:c>
      <x:c r="E15" s="3" t="str">
        <x:v>../../2019/jama.2019.0556/.ai_paper_validation/review_1_4_1/verification/evidence_recheck.md</x:v>
      </x:c>
    </x:row>
    <x:row r="16" ht="90" customHeight="1">
      <x:c r="A16" s="6" t="str">
        <x:v>2019::jama.2019.0556::C004</x:v>
      </x:c>
      <x:c r="B16" s="6" t="str">
        <x:v>sourceLinks</x:v>
      </x:c>
      <x:c r="C16" s="6" t="n">
        <x:v>0</x:v>
      </x:c>
      <x:c r="D16" s="6" t="str">
        <x:v>DOC-004 eAppendix 10B — PDF p. 19</x:v>
      </x:c>
      <x:c r="E16" s="6" t="str">
        <x:v>../../2019/jama.2019.0556/joi190007supp3_prod.pdf#page=19</x:v>
      </x:c>
    </x:row>
    <x:row r="17" ht="90" customHeight="1">
      <x:c r="A17" s="3" t="str">
        <x:v>2019::jama.2019.0556::C004</x:v>
      </x:c>
      <x:c r="B17" s="3" t="str">
        <x:v>evidencePaths</x:v>
      </x:c>
      <x:c r="C17" s="3" t="n">
        <x:v>0</x:v>
      </x:c>
      <x:c r="D17" s="3" t="str">
        <x:v>2019/jama.2019.0556/.ai_paper_validation/review_1_4_1/source_inventory.md</x:v>
      </x:c>
      <x:c r="E17" s="3" t="str">
        <x:v>../../2019/jama.2019.0556/.ai_paper_validation/review_1_4_1/source_inventory.md</x:v>
      </x:c>
    </x:row>
    <x:row r="18" ht="90" customHeight="1">
      <x:c r="A18" s="6" t="str">
        <x:v>2019::jama.2019.0556::C004</x:v>
      </x:c>
      <x:c r="B18" s="6" t="str">
        <x:v>evidencePaths</x:v>
      </x:c>
      <x:c r="C18" s="6" t="n">
        <x:v>1</x:v>
      </x:c>
      <x:c r="D18" s="6" t="str">
        <x:v>2019/jama.2019.0556/.ai_paper_validation/review_1_4_1/verification/evidence_recheck.md</x:v>
      </x:c>
      <x:c r="E18" s="6" t="str">
        <x:v>../../2019/jama.2019.0556/.ai_paper_validation/review_1_4_1/verification/evidence_recheck.md</x:v>
      </x:c>
    </x:row>
    <x:row r="19" ht="90" customHeight="1">
      <x:c r="A19" s="3" t="str">
        <x:v>2019::jama.2019.0556::C005</x:v>
      </x:c>
      <x:c r="B19" s="3" t="str">
        <x:v>sourceLinks</x:v>
      </x:c>
      <x:c r="C19" s="3" t="n">
        <x:v>0</x:v>
      </x:c>
      <x:c r="D19" s="3" t="str">
        <x:v>DOC-001 Sample Size — PDF p. 4</x:v>
      </x:c>
      <x:c r="E19" s="3" t="str">
        <x:v>../../2019/jama.2019.0556/jama_bot_2019_oi_190007.pdf#page=4</x:v>
      </x:c>
    </x:row>
    <x:row r="20" ht="90" customHeight="1">
      <x:c r="A20" s="6" t="str">
        <x:v>2019::jama.2019.0556::C005</x:v>
      </x:c>
      <x:c r="B20" s="6" t="str">
        <x:v>evidencePaths</x:v>
      </x:c>
      <x:c r="C20" s="6" t="n">
        <x:v>0</x:v>
      </x:c>
      <x:c r="D20" s="6" t="str">
        <x:v>2019/jama.2019.0556/.ai_paper_validation/review_1_4_1/source_inventory.md</x:v>
      </x:c>
      <x:c r="E20" s="6" t="str">
        <x:v>../../2019/jama.2019.0556/.ai_paper_validation/review_1_4_1/source_inventory.md</x:v>
      </x:c>
    </x:row>
    <x:row r="21" ht="90" customHeight="1">
      <x:c r="A21" s="3" t="str">
        <x:v>2019::jama.2019.0556::C005</x:v>
      </x:c>
      <x:c r="B21" s="3" t="str">
        <x:v>evidencePaths</x:v>
      </x:c>
      <x:c r="C21" s="3" t="n">
        <x:v>1</x:v>
      </x:c>
      <x:c r="D21" s="3" t="str">
        <x:v>2019/jama.2019.0556/.ai_paper_validation/review_1_4_1/verification/evidence_recheck.md</x:v>
      </x:c>
      <x:c r="E21" s="3" t="str">
        <x:v>../../2019/jama.2019.0556/.ai_paper_validation/review_1_4_1/verification/evidence_recheck.md</x:v>
      </x:c>
    </x:row>
    <x:row r="22" ht="90" customHeight="1">
      <x:c r="A22" s="6" t="str">
        <x:v>2019::jama.2019.0556::C006</x:v>
      </x:c>
      <x:c r="B22" s="6" t="str">
        <x:v>sourceLinks</x:v>
      </x:c>
      <x:c r="C22" s="6" t="n">
        <x:v>0</x:v>
      </x:c>
      <x:c r="D22" s="6" t="str">
        <x:v>DOC-002 Sample Size — PDF p. 16</x:v>
      </x:c>
      <x:c r="E22" s="6" t="str">
        <x:v>../../2019/jama.2019.0556/joi190007supp1_prod.pdf#page=16</x:v>
      </x:c>
    </x:row>
    <x:row r="23" ht="90" customHeight="1">
      <x:c r="A23" s="3" t="str">
        <x:v>2019::jama.2019.0556::C006</x:v>
      </x:c>
      <x:c r="B23" s="3" t="str">
        <x:v>evidencePaths</x:v>
      </x:c>
      <x:c r="C23" s="3" t="n">
        <x:v>0</x:v>
      </x:c>
      <x:c r="D23" s="3" t="str">
        <x:v>2019/jama.2019.0556/.ai_paper_validation/review_1_4_1/source_inventory.md</x:v>
      </x:c>
      <x:c r="E23" s="3" t="str">
        <x:v>../../2019/jama.2019.0556/.ai_paper_validation/review_1_4_1/source_inventory.md</x:v>
      </x:c>
    </x:row>
    <x:row r="24" ht="90" customHeight="1">
      <x:c r="A24" s="6" t="str">
        <x:v>2019::jama.2019.0556::C006</x:v>
      </x:c>
      <x:c r="B24" s="6" t="str">
        <x:v>evidencePaths</x:v>
      </x:c>
      <x:c r="C24" s="6" t="n">
        <x:v>1</x:v>
      </x:c>
      <x:c r="D24" s="6" t="str">
        <x:v>2019/jama.2019.0556/.ai_paper_validation/review_1_4_1/verification/evidence_recheck.md</x:v>
      </x:c>
      <x:c r="E24" s="6" t="str">
        <x:v>../../2019/jama.2019.0556/.ai_paper_validation/review_1_4_1/verification/evidence_recheck.md</x:v>
      </x:c>
    </x:row>
    <x:row r="25" ht="90" customHeight="1">
      <x:c r="A25" s="3" t="str">
        <x:v>2019::jama.2019.0556::C007</x:v>
      </x:c>
      <x:c r="B25" s="3" t="str">
        <x:v>sourceLinks</x:v>
      </x:c>
      <x:c r="C25" s="3" t="n">
        <x:v>0</x:v>
      </x:c>
      <x:c r="D25" s="3" t="str">
        <x:v>DOC-001 Sample Size — PDF p. 4</x:v>
      </x:c>
      <x:c r="E25" s="3" t="str">
        <x:v>../../2019/jama.2019.0556/jama_bot_2019_oi_190007.pdf#page=4</x:v>
      </x:c>
    </x:row>
    <x:row r="26" ht="90" customHeight="1">
      <x:c r="A26" s="6" t="str">
        <x:v>2019::jama.2019.0556::C007</x:v>
      </x:c>
      <x:c r="B26" s="6" t="str">
        <x:v>sourceLinks</x:v>
      </x:c>
      <x:c r="C26" s="6" t="n">
        <x:v>1</x:v>
      </x:c>
      <x:c r="D26" s="6" t="str">
        <x:v>DOC-002 Sample Size — PDF p. 16</x:v>
      </x:c>
      <x:c r="E26" s="6" t="str">
        <x:v>../../2019/jama.2019.0556/joi190007supp1_prod.pdf#page=16</x:v>
      </x:c>
    </x:row>
    <x:row r="27" ht="90" customHeight="1">
      <x:c r="A27" s="3" t="str">
        <x:v>2019::jama.2019.0556::C007</x:v>
      </x:c>
      <x:c r="B27" s="3" t="str">
        <x:v>sourceLinks</x:v>
      </x:c>
      <x:c r="C27" s="3" t="n">
        <x:v>2</x:v>
      </x:c>
      <x:c r="D27" s="3" t="str">
        <x:v>DOC-002 continuation — PDF p. 17</x:v>
      </x:c>
      <x:c r="E27" s="3" t="str">
        <x:v>../../2019/jama.2019.0556/joi190007supp1_prod.pdf#page=17</x:v>
      </x:c>
    </x:row>
    <x:row r="28" ht="90" customHeight="1">
      <x:c r="A28" s="6" t="str">
        <x:v>2019::jama.2019.0556::C007</x:v>
      </x:c>
      <x:c r="B28" s="6" t="str">
        <x:v>evidencePaths</x:v>
      </x:c>
      <x:c r="C28" s="6" t="n">
        <x:v>0</x:v>
      </x:c>
      <x:c r="D28" s="6" t="str">
        <x:v>2019/jama.2019.0556/.ai_paper_validation/review_1_4_1/source_inventory.md</x:v>
      </x:c>
      <x:c r="E28" s="6" t="str">
        <x:v>../../2019/jama.2019.0556/.ai_paper_validation/review_1_4_1/source_inventory.md</x:v>
      </x:c>
    </x:row>
    <x:row r="29" ht="90" customHeight="1">
      <x:c r="A29" s="3" t="str">
        <x:v>2019::jama.2019.0556::C007</x:v>
      </x:c>
      <x:c r="B29" s="3" t="str">
        <x:v>evidencePaths</x:v>
      </x:c>
      <x:c r="C29" s="3" t="n">
        <x:v>1</x:v>
      </x:c>
      <x:c r="D29" s="3" t="str">
        <x:v>2019/jama.2019.0556/.ai_paper_validation/review_1_4_1/verification/evidence_recheck.md</x:v>
      </x:c>
      <x:c r="E29" s="3" t="str">
        <x:v>../../2019/jama.2019.0556/.ai_paper_validation/review_1_4_1/verification/evidence_recheck.md</x:v>
      </x:c>
    </x:row>
    <x:row r="30" ht="90" customHeight="1">
      <x:c r="A30" s="6" t="str">
        <x:v>2019::jama.2019.0556::C008</x:v>
      </x:c>
      <x:c r="B30" s="6" t="str">
        <x:v>sourceLinks</x:v>
      </x:c>
      <x:c r="C30" s="6" t="n">
        <x:v>0</x:v>
      </x:c>
      <x:c r="D30" s="6" t="str">
        <x:v>DOC-002 endpoint summary — PDF p. 8</x:v>
      </x:c>
      <x:c r="E30" s="6" t="str">
        <x:v>../../2019/jama.2019.0556/joi190007supp1_prod.pdf#page=8</x:v>
      </x:c>
    </x:row>
    <x:row r="31" ht="90" customHeight="1">
      <x:c r="A31" s="3" t="str">
        <x:v>2019::jama.2019.0556::C008</x:v>
      </x:c>
      <x:c r="B31" s="3" t="str">
        <x:v>sourceLinks</x:v>
      </x:c>
      <x:c r="C31" s="3" t="n">
        <x:v>1</x:v>
      </x:c>
      <x:c r="D31" s="3" t="str">
        <x:v>DOC-002 Methods 8.1.1 — PDF p. 28</x:v>
      </x:c>
      <x:c r="E31" s="3" t="str">
        <x:v>../../2019/jama.2019.0556/joi190007supp1_prod.pdf#page=28</x:v>
      </x:c>
    </x:row>
    <x:row r="32" ht="90" customHeight="1">
      <x:c r="A32" s="6" t="str">
        <x:v>2019::jama.2019.0556::C008</x:v>
      </x:c>
      <x:c r="B32" s="6" t="str">
        <x:v>sourceLinks</x:v>
      </x:c>
      <x:c r="C32" s="6" t="n">
        <x:v>2</x:v>
      </x:c>
      <x:c r="D32" s="6" t="str">
        <x:v>DOC-001 Primary Outcome — PDF p. 4</x:v>
      </x:c>
      <x:c r="E32" s="6" t="str">
        <x:v>../../2019/jama.2019.0556/jama_bot_2019_oi_190007.pdf#page=4</x:v>
      </x:c>
    </x:row>
    <x:row r="33" ht="90" customHeight="1">
      <x:c r="A33" s="3" t="str">
        <x:v>2019::jama.2019.0556::C008</x:v>
      </x:c>
      <x:c r="B33" s="3" t="str">
        <x:v>evidencePaths</x:v>
      </x:c>
      <x:c r="C33" s="3" t="n">
        <x:v>0</x:v>
      </x:c>
      <x:c r="D33" s="3" t="str">
        <x:v>2019/jama.2019.0556/.ai_paper_validation/review_1_4_1/source_inventory.md</x:v>
      </x:c>
      <x:c r="E33" s="3" t="str">
        <x:v>../../2019/jama.2019.0556/.ai_paper_validation/review_1_4_1/source_inventory.md</x:v>
      </x:c>
    </x:row>
    <x:row r="34" ht="90" customHeight="1">
      <x:c r="A34" s="6" t="str">
        <x:v>2019::jama.2019.0556::C008</x:v>
      </x:c>
      <x:c r="B34" s="6" t="str">
        <x:v>evidencePaths</x:v>
      </x:c>
      <x:c r="C34" s="6" t="n">
        <x:v>1</x:v>
      </x:c>
      <x:c r="D34" s="6" t="str">
        <x:v>2019/jama.2019.0556/.ai_paper_validation/review_1_4_1/verification/evidence_recheck.md</x:v>
      </x:c>
      <x:c r="E34" s="6" t="str">
        <x:v>../../2019/jama.2019.0556/.ai_paper_validation/review_1_4_1/verification/evidence_recheck.md</x:v>
      </x:c>
    </x:row>
    <x:row r="35" ht="90" customHeight="1">
      <x:c r="A35" s="3" t="str">
        <x:v>2019::jama.2019.0556::C009</x:v>
      </x:c>
      <x:c r="B35" s="3" t="str">
        <x:v>sourceLinks</x:v>
      </x:c>
      <x:c r="C35" s="3" t="n">
        <x:v>0</x:v>
      </x:c>
      <x:c r="D35" s="3" t="str">
        <x:v>DOC-003 statistical analysis plan — PDF p. 3</x:v>
      </x:c>
      <x:c r="E35" s="3" t="str">
        <x:v>../../2019/jama.2019.0556/joi190007supp2_prod.pdf#page=3</x:v>
      </x:c>
    </x:row>
    <x:row r="36" ht="90" customHeight="1">
      <x:c r="A36" s="6" t="str">
        <x:v>2019::jama.2019.0556::C009</x:v>
      </x:c>
      <x:c r="B36" s="6" t="str">
        <x:v>sourceLinks</x:v>
      </x:c>
      <x:c r="C36" s="6" t="n">
        <x:v>1</x:v>
      </x:c>
      <x:c r="D36" s="6" t="str">
        <x:v>local interaction rule — PDF p. 5</x:v>
      </x:c>
      <x:c r="E36" s="6" t="str">
        <x:v>../../2019/jama.2019.0556/joi190007supp2_prod.pdf#page=5</x:v>
      </x:c>
    </x:row>
    <x:row r="37" ht="90" customHeight="1">
      <x:c r="A37" s="3" t="str">
        <x:v>2019::jama.2019.0556::C009</x:v>
      </x:c>
      <x:c r="B37" s="3" t="str">
        <x:v>evidencePaths</x:v>
      </x:c>
      <x:c r="C37" s="3" t="n">
        <x:v>0</x:v>
      </x:c>
      <x:c r="D37" s="3" t="str">
        <x:v>2019/jama.2019.0556/.ai_paper_validation/review_1_4_1/source_inventory.md</x:v>
      </x:c>
      <x:c r="E37" s="3" t="str">
        <x:v>../../2019/jama.2019.0556/.ai_paper_validation/review_1_4_1/source_inventory.md</x:v>
      </x:c>
    </x:row>
    <x:row r="38" ht="90" customHeight="1">
      <x:c r="A38" s="6" t="str">
        <x:v>2019::jama.2019.0556::C009</x:v>
      </x:c>
      <x:c r="B38" s="6" t="str">
        <x:v>evidencePaths</x:v>
      </x:c>
      <x:c r="C38" s="6" t="n">
        <x:v>1</x:v>
      </x:c>
      <x:c r="D38" s="6" t="str">
        <x:v>2019/jama.2019.0556/.ai_paper_validation/review_1_4_1/verification/evidence_recheck.md</x:v>
      </x:c>
      <x:c r="E38" s="6" t="str">
        <x:v>../../2019/jama.2019.0556/.ai_paper_validation/review_1_4_1/verification/evidence_recheck.md</x:v>
      </x:c>
    </x:row>
    <x:row r="39" ht="90" customHeight="1">
      <x:c r="A39" s="3" t="str">
        <x:v>2019::jama.2019.10517::C001</x:v>
      </x:c>
      <x:c r="B39" s="3" t="str">
        <x:v>sourceLinks</x:v>
      </x:c>
      <x:c r="C39" s="3" t="n">
        <x:v>0</x:v>
      </x:c>
      <x:c r="D39" s="3" t="str">
        <x:v>jama_flint_2019_oi_190079.pdf — PDF p. 9</x:v>
      </x:c>
      <x:c r="E39" s="3" t="str">
        <x:v>../../2019/jama.2019.10517/jama_flint_2019_oi_190079.pdf#page=9</x:v>
      </x:c>
    </x:row>
    <x:row r="40" ht="90" customHeight="1">
      <x:c r="A40" s="6" t="str">
        <x:v>2019::jama.2019.10517::C001</x:v>
      </x:c>
      <x:c r="B40" s="6" t="str">
        <x:v>evidencePaths</x:v>
      </x:c>
      <x:c r="C40" s="6" t="n">
        <x:v>0</x:v>
      </x:c>
      <x:c r="D40" s="6" t="str">
        <x:v>2019/jama.2019.10517/.ai_paper_validation/review_1_5_1/source_inventory.md</x:v>
      </x:c>
      <x:c r="E40" s="6" t="str">
        <x:v>../../2019/jama.2019.10517/.ai_paper_validation/review_1_5_1/source_inventory.md</x:v>
      </x:c>
    </x:row>
    <x:row r="41" ht="90" customHeight="1">
      <x:c r="A41" s="3" t="str">
        <x:v>2019::jama.2019.10517::C002</x:v>
      </x:c>
      <x:c r="B41" s="3" t="str">
        <x:v>sourceLinks</x:v>
      </x:c>
      <x:c r="C41" s="3" t="n">
        <x:v>0</x:v>
      </x:c>
      <x:c r="D41" s="3" t="str">
        <x:v>jama_flint_2019_oi_190079.pdf — PDF p. 1</x:v>
      </x:c>
      <x:c r="E41" s="3" t="str">
        <x:v>../../2019/jama.2019.10517/jama_flint_2019_oi_190079.pdf#page=1</x:v>
      </x:c>
    </x:row>
    <x:row r="42" ht="90" customHeight="1">
      <x:c r="A42" s="6" t="str">
        <x:v>2019::jama.2019.10517::C002</x:v>
      </x:c>
      <x:c r="B42" s="6" t="str">
        <x:v>sourceLinks</x:v>
      </x:c>
      <x:c r="C42" s="6" t="n">
        <x:v>1</x:v>
      </x:c>
      <x:c r="D42" s="6" t="str">
        <x:v>jama_flint_2019_oi_190079.pdf — PDF p. 7</x:v>
      </x:c>
      <x:c r="E42" s="6" t="str">
        <x:v>../../2019/jama.2019.10517/jama_flint_2019_oi_190079.pdf#page=7</x:v>
      </x:c>
    </x:row>
    <x:row r="43" ht="90" customHeight="1">
      <x:c r="A43" s="3" t="str">
        <x:v>2019::jama.2019.10517::C002</x:v>
      </x:c>
      <x:c r="B43" s="3" t="str">
        <x:v>sourceLinks</x:v>
      </x:c>
      <x:c r="C43" s="3" t="n">
        <x:v>2</x:v>
      </x:c>
      <x:c r="D43" s="3" t="str">
        <x:v>jama_flint_2019_oi_190079.pdf — PDF p. 8</x:v>
      </x:c>
      <x:c r="E43" s="3" t="str">
        <x:v>../../2019/jama.2019.10517/jama_flint_2019_oi_190079.pdf#page=8</x:v>
      </x:c>
    </x:row>
    <x:row r="44" ht="90" customHeight="1">
      <x:c r="A44" s="6" t="str">
        <x:v>2019::jama.2019.10517::C002</x:v>
      </x:c>
      <x:c r="B44" s="6" t="str">
        <x:v>sourceLinks</x:v>
      </x:c>
      <x:c r="C44" s="6" t="n">
        <x:v>3</x:v>
      </x:c>
      <x:c r="D44" s="6" t="str">
        <x:v>joi190079supp2_prod.pdf — PDF p. 9</x:v>
      </x:c>
      <x:c r="E44" s="6" t="str">
        <x:v>../../2019/jama.2019.10517/joi190079supp2_prod.pdf#page=9</x:v>
      </x:c>
    </x:row>
    <x:row r="45" ht="90" customHeight="1">
      <x:c r="A45" s="3" t="str">
        <x:v>2019::jama.2019.10517::C002</x:v>
      </x:c>
      <x:c r="B45" s="3" t="str">
        <x:v>evidencePaths</x:v>
      </x:c>
      <x:c r="C45" s="3" t="n">
        <x:v>0</x:v>
      </x:c>
      <x:c r="D45" s="3" t="str">
        <x:v>2019/jama.2019.10517/.ai_paper_validation/review_1_5_1/source_inventory.md</x:v>
      </x:c>
      <x:c r="E45" s="3" t="str">
        <x:v>../../2019/jama.2019.10517/.ai_paper_validation/review_1_5_1/source_inventory.md</x:v>
      </x:c>
    </x:row>
    <x:row r="46" ht="90" customHeight="1">
      <x:c r="A46" s="6" t="str">
        <x:v>2019::jama.2019.10517::C002</x:v>
      </x:c>
      <x:c r="B46" s="6" t="str">
        <x:v>evidencePaths</x:v>
      </x:c>
      <x:c r="C46" s="6" t="n">
        <x:v>1</x:v>
      </x:c>
      <x:c r="D46" s="6" t="str">
        <x:v>2019/jama.2019.10517/.ai_paper_validation/review_1_5_1/verification/evidence_recheck.md</x:v>
      </x:c>
      <x:c r="E46" s="6" t="str">
        <x:v>../../2019/jama.2019.10517/.ai_paper_validation/review_1_5_1/verification/evidence_recheck.md</x:v>
      </x:c>
    </x:row>
    <x:row r="47" ht="90" customHeight="1">
      <x:c r="A47" s="3" t="str">
        <x:v>2019::jama.2019.10517::C003</x:v>
      </x:c>
      <x:c r="B47" s="3" t="str">
        <x:v>sourceLinks</x:v>
      </x:c>
      <x:c r="C47" s="3" t="n">
        <x:v>0</x:v>
      </x:c>
      <x:c r="D47" s="3" t="str">
        <x:v>joi190079supp1_prod.pdf — PDF p. 7</x:v>
      </x:c>
      <x:c r="E47" s="3" t="str">
        <x:v>../../2019/jama.2019.10517/joi190079supp1_prod.pdf#page=7</x:v>
      </x:c>
    </x:row>
    <x:row r="48" ht="90" customHeight="1">
      <x:c r="A48" s="6" t="str">
        <x:v>2019::jama.2019.10517::C003</x:v>
      </x:c>
      <x:c r="B48" s="6" t="str">
        <x:v>sourceLinks</x:v>
      </x:c>
      <x:c r="C48" s="6" t="n">
        <x:v>1</x:v>
      </x:c>
      <x:c r="D48" s="6" t="str">
        <x:v>joi190079supp1_prod.pdf — PDF p. 17</x:v>
      </x:c>
      <x:c r="E48" s="6" t="str">
        <x:v>../../2019/jama.2019.10517/joi190079supp1_prod.pdf#page=17</x:v>
      </x:c>
    </x:row>
    <x:row r="49" ht="90" customHeight="1">
      <x:c r="A49" s="3" t="str">
        <x:v>2019::jama.2019.10517::C003</x:v>
      </x:c>
      <x:c r="B49" s="3" t="str">
        <x:v>sourceLinks</x:v>
      </x:c>
      <x:c r="C49" s="3" t="n">
        <x:v>2</x:v>
      </x:c>
      <x:c r="D49" s="3" t="str">
        <x:v>joi190079supp1_prod.pdf — PDF p. 21</x:v>
      </x:c>
      <x:c r="E49" s="3" t="str">
        <x:v>../../2019/jama.2019.10517/joi190079supp1_prod.pdf#page=21</x:v>
      </x:c>
    </x:row>
    <x:row r="50" ht="90" customHeight="1">
      <x:c r="A50" s="6" t="str">
        <x:v>2019::jama.2019.10517::C003</x:v>
      </x:c>
      <x:c r="B50" s="6" t="str">
        <x:v>evidencePaths</x:v>
      </x:c>
      <x:c r="C50" s="6" t="n">
        <x:v>0</x:v>
      </x:c>
      <x:c r="D50" s="6" t="str">
        <x:v>2019/jama.2019.10517/.ai_paper_validation/review_1_5_1/source_inventory.md</x:v>
      </x:c>
      <x:c r="E50" s="6" t="str">
        <x:v>../../2019/jama.2019.10517/.ai_paper_validation/review_1_5_1/source_inventory.md</x:v>
      </x:c>
    </x:row>
    <x:row r="51" ht="90" customHeight="1">
      <x:c r="A51" s="3" t="str">
        <x:v>2019::jama.2019.10517::C003</x:v>
      </x:c>
      <x:c r="B51" s="3" t="str">
        <x:v>evidencePaths</x:v>
      </x:c>
      <x:c r="C51" s="3" t="n">
        <x:v>1</x:v>
      </x:c>
      <x:c r="D51" s="3" t="str">
        <x:v>2019/jama.2019.10517/.ai_paper_validation/review_1_5_1/verification/evidence_recheck.md</x:v>
      </x:c>
      <x:c r="E51" s="3" t="str">
        <x:v>../../2019/jama.2019.10517/.ai_paper_validation/review_1_5_1/verification/evidence_recheck.md</x:v>
      </x:c>
    </x:row>
    <x:row r="52" ht="90" customHeight="1">
      <x:c r="A52" s="6" t="str">
        <x:v>2019::jama.2019.12618::C001</x:v>
      </x:c>
      <x:c r="B52" s="6" t="str">
        <x:v>sourceLinks</x:v>
      </x:c>
      <x:c r="C52" s="6" t="n">
        <x:v>0</x:v>
      </x:c>
      <x:c r="D52" s="6" t="str">
        <x:v>joi190092supp2_prod.pdf — PDF p. 11, Table 1</x:v>
      </x:c>
      <x:c r="E52" s="6" t="str">
        <x:v>../../2019/jama.2019.12618/joi190092supp2_prod.pdf#page=11</x:v>
      </x:c>
    </x:row>
    <x:row r="53" ht="90" customHeight="1">
      <x:c r="A53" s="3" t="str">
        <x:v>2019::jama.2019.12618::C001</x:v>
      </x:c>
      <x:c r="B53" s="3" t="str">
        <x:v>evidencePaths</x:v>
      </x:c>
      <x:c r="C53" s="3" t="n">
        <x:v>0</x:v>
      </x:c>
      <x:c r="D53" s="3" t="str">
        <x:v>2019/jama.2019.12618/.ai_paper_validation/review_1_5_1/source_inventory.md</x:v>
      </x:c>
      <x:c r="E53" s="3" t="str">
        <x:v>../../2019/jama.2019.12618/.ai_paper_validation/review_1_5_1/source_inventory.md</x:v>
      </x:c>
    </x:row>
    <x:row r="54" ht="90" customHeight="1">
      <x:c r="A54" s="6" t="str">
        <x:v>2019::jama.2019.12618::C001</x:v>
      </x:c>
      <x:c r="B54" s="6" t="str">
        <x:v>evidencePaths</x:v>
      </x:c>
      <x:c r="C54" s="6" t="n">
        <x:v>1</x:v>
      </x:c>
      <x:c r="D54" s="6" t="str">
        <x:v>2019/jama.2019.12618/.ai_paper_validation/review_1_5_1/preprocessing/protocol_pp001_032_layout.txt</x:v>
      </x:c>
      <x:c r="E54" s="6" t="str">
        <x:v>../../2019/jama.2019.12618/.ai_paper_validation/review_1_5_1/preprocessing/protocol_pp001_032_layout.txt</x:v>
      </x:c>
    </x:row>
    <x:row r="55" ht="90" customHeight="1">
      <x:c r="A55" s="3" t="str">
        <x:v>2019::jama.2019.12618::C001</x:v>
      </x:c>
      <x:c r="B55" s="3" t="str">
        <x:v>evidencePaths</x:v>
      </x:c>
      <x:c r="C55" s="3" t="n">
        <x:v>2</x:v>
      </x:c>
      <x:c r="D55" s="3" t="str">
        <x:v>2019/jama.2019.12618/.ai_paper_validation/review_1_5_1/parts/support_protocol_pp001_032.md</x:v>
      </x:c>
      <x:c r="E55" s="3" t="str">
        <x:v>../../2019/jama.2019.12618/.ai_paper_validation/review_1_5_1/parts/support_protocol_pp001_032.md</x:v>
      </x:c>
    </x:row>
    <x:row r="56" ht="90" customHeight="1">
      <x:c r="A56" s="6" t="str">
        <x:v>2019::jama.2019.12618::C002</x:v>
      </x:c>
      <x:c r="B56" s="6" t="str">
        <x:v>sourceLinks</x:v>
      </x:c>
      <x:c r="C56" s="6" t="n">
        <x:v>0</x:v>
      </x:c>
      <x:c r="D56" s="6" t="str">
        <x:v>jama_rathinam_2019_oi_190092.pdf — PDF p. 7</x:v>
      </x:c>
      <x:c r="E56" s="6" t="str">
        <x:v>../../2019/jama.2019.12618/jama_rathinam_2019_oi_190092.pdf#page=7</x:v>
      </x:c>
    </x:row>
    <x:row r="57" ht="90" customHeight="1">
      <x:c r="A57" s="3" t="str">
        <x:v>2019::jama.2019.12618::C002</x:v>
      </x:c>
      <x:c r="B57" s="3" t="str">
        <x:v>sourceLinks</x:v>
      </x:c>
      <x:c r="C57" s="3" t="n">
        <x:v>1</x:v>
      </x:c>
      <x:c r="D57" s="3" t="str">
        <x:v>jama_rathinam_2019_oi_190092.pdf — PDF p. 6, Table 2</x:v>
      </x:c>
      <x:c r="E57" s="3" t="str">
        <x:v>../../2019/jama.2019.12618/jama_rathinam_2019_oi_190092.pdf#page=6</x:v>
      </x:c>
    </x:row>
    <x:row r="58" ht="90" customHeight="1">
      <x:c r="A58" s="6" t="str">
        <x:v>2019::jama.2019.12618::C002</x:v>
      </x:c>
      <x:c r="B58" s="6" t="str">
        <x:v>sourceLinks</x:v>
      </x:c>
      <x:c r="C58" s="6" t="n">
        <x:v>2</x:v>
      </x:c>
      <x:c r="D58" s="6" t="str">
        <x:v>jama_rathinam_2019_oi_190092.pdf — PDF p. 3, Figure 1</x:v>
      </x:c>
      <x:c r="E58" s="6" t="str">
        <x:v>../../2019/jama.2019.12618/jama_rathinam_2019_oi_190092.pdf#page=3</x:v>
      </x:c>
    </x:row>
    <x:row r="59" ht="90" customHeight="1">
      <x:c r="A59" s="3" t="str">
        <x:v>2019::jama.2019.12618::C002</x:v>
      </x:c>
      <x:c r="B59" s="3" t="str">
        <x:v>evidencePaths</x:v>
      </x:c>
      <x:c r="C59" s="3" t="n">
        <x:v>0</x:v>
      </x:c>
      <x:c r="D59" s="3" t="str">
        <x:v>2019/jama.2019.12618/.ai_paper_validation/review_1_5_1/source_inventory.md</x:v>
      </x:c>
      <x:c r="E59" s="3" t="str">
        <x:v>../../2019/jama.2019.12618/.ai_paper_validation/review_1_5_1/source_inventory.md</x:v>
      </x:c>
    </x:row>
    <x:row r="60" ht="90" customHeight="1">
      <x:c r="A60" s="6" t="str">
        <x:v>2019::jama.2019.12618::C003</x:v>
      </x:c>
      <x:c r="B60" s="6" t="str">
        <x:v>sourceLinks</x:v>
      </x:c>
      <x:c r="C60" s="6" t="n">
        <x:v>0</x:v>
      </x:c>
      <x:c r="D60" s="6" t="str">
        <x:v>jama_rathinam_2019_oi_190092.pdf — PDF p. 2</x:v>
      </x:c>
      <x:c r="E60" s="6" t="str">
        <x:v>../../2019/jama.2019.12618/jama_rathinam_2019_oi_190092.pdf#page=2</x:v>
      </x:c>
    </x:row>
    <x:row r="61" ht="90" customHeight="1">
      <x:c r="A61" s="3" t="str">
        <x:v>2019::jama.2019.12618::C003</x:v>
      </x:c>
      <x:c r="B61" s="3" t="str">
        <x:v>sourceLinks</x:v>
      </x:c>
      <x:c r="C61" s="3" t="n">
        <x:v>1</x:v>
      </x:c>
      <x:c r="D61" s="3" t="str">
        <x:v>joi190092supp2_prod.pdf — PDF p. 13</x:v>
      </x:c>
      <x:c r="E61" s="3" t="str">
        <x:v>../../2019/jama.2019.12618/joi190092supp2_prod.pdf#page=13</x:v>
      </x:c>
    </x:row>
    <x:row r="62" ht="90" customHeight="1">
      <x:c r="A62" s="6" t="str">
        <x:v>2019::jama.2019.12618::C003</x:v>
      </x:c>
      <x:c r="B62" s="6" t="str">
        <x:v>sourceLinks</x:v>
      </x:c>
      <x:c r="C62" s="6" t="n">
        <x:v>2</x:v>
      </x:c>
      <x:c r="D62" s="6" t="str">
        <x:v>joi190092supp3_prod.pdf — PDF p. 9</x:v>
      </x:c>
      <x:c r="E62" s="6" t="str">
        <x:v>../../2019/jama.2019.12618/joi190092supp3_prod.pdf#page=9</x:v>
      </x:c>
    </x:row>
    <x:row r="63" ht="90" customHeight="1">
      <x:c r="A63" s="3" t="str">
        <x:v>2019::jama.2019.12618::C003</x:v>
      </x:c>
      <x:c r="B63" s="3" t="str">
        <x:v>sourceLinks</x:v>
      </x:c>
      <x:c r="C63" s="3" t="n">
        <x:v>3</x:v>
      </x:c>
      <x:c r="D63" s="3" t="str">
        <x:v>joi190092supp3_prod.pdf — PDF pp. 49–50</x:v>
      </x:c>
      <x:c r="E63" s="3" t="str">
        <x:v>../../2019/jama.2019.12618/joi190092supp3_prod.pdf#page=49</x:v>
      </x:c>
    </x:row>
    <x:row r="64" ht="90" customHeight="1">
      <x:c r="A64" s="6" t="str">
        <x:v>2019::jama.2019.12618::C003</x:v>
      </x:c>
      <x:c r="B64" s="6" t="str">
        <x:v>sourceLinks</x:v>
      </x:c>
      <x:c r="C64" s="6" t="n">
        <x:v>4</x:v>
      </x:c>
      <x:c r="D64" s="6" t="str">
        <x:v>p. 50</x:v>
      </x:c>
      <x:c r="E64" s="6" t="str">
        <x:v>../../2019/jama.2019.12618/joi190092supp3_prod.pdf#page=50</x:v>
      </x:c>
    </x:row>
    <x:row r="65" ht="90" customHeight="1">
      <x:c r="A65" s="3" t="str">
        <x:v>2019::jama.2019.12618::C003</x:v>
      </x:c>
      <x:c r="B65" s="3" t="str">
        <x:v>evidencePaths</x:v>
      </x:c>
      <x:c r="C65" s="3" t="n">
        <x:v>0</x:v>
      </x:c>
      <x:c r="D65" s="3" t="str">
        <x:v>2019/jama.2019.12618/.ai_paper_validation/review_1_5_1/source_inventory.md</x:v>
      </x:c>
      <x:c r="E65" s="3" t="str">
        <x:v>../../2019/jama.2019.12618/.ai_paper_validation/review_1_5_1/source_inventory.md</x:v>
      </x:c>
    </x:row>
    <x:row r="66" ht="90" customHeight="1">
      <x:c r="A66" s="6" t="str">
        <x:v>2019::jama.2019.12618::C003</x:v>
      </x:c>
      <x:c r="B66" s="6" t="str">
        <x:v>evidencePaths</x:v>
      </x:c>
      <x:c r="C66" s="6" t="n">
        <x:v>1</x:v>
      </x:c>
      <x:c r="D66" s="6" t="str">
        <x:v>2019/jama.2019.12618/.ai_paper_validation/review_1_5_1/verification/evidence_recheck.md</x:v>
      </x:c>
      <x:c r="E66" s="6" t="str">
        <x:v>../../2019/jama.2019.12618/.ai_paper_validation/review_1_5_1/verification/evidence_recheck.md</x:v>
      </x:c>
    </x:row>
    <x:row r="67" ht="90" customHeight="1">
      <x:c r="A67" s="3" t="str">
        <x:v>2019::jama.2019.12618::C003</x:v>
      </x:c>
      <x:c r="B67" s="3" t="str">
        <x:v>evidencePaths</x:v>
      </x:c>
      <x:c r="C67" s="3" t="n">
        <x:v>2</x:v>
      </x:c>
      <x:c r="D67" s="3" t="str">
        <x:v>2019/jama.2019.12618/.ai_paper_validation/review_1_5_1/candidate_ledger.md</x:v>
      </x:c>
      <x:c r="E67" s="3" t="str">
        <x:v>../../2019/jama.2019.12618/.ai_paper_validation/review_1_5_1/candidate_ledger.md</x:v>
      </x:c>
    </x:row>
    <x:row r="68" ht="90" customHeight="1">
      <x:c r="A68" s="6" t="str">
        <x:v>2019::jama.2019.12618::C003</x:v>
      </x:c>
      <x:c r="B68" s="6" t="str">
        <x:v>evidencePaths</x:v>
      </x:c>
      <x:c r="C68" s="6" t="n">
        <x:v>3</x:v>
      </x:c>
      <x:c r="D68" s="6" t="str">
        <x:v>2019/jama.2019.12618/.ai_paper_validation/review_1_5_1/preprocessing/protocol_pp001_032_layout.txt</x:v>
      </x:c>
      <x:c r="E68" s="6" t="str">
        <x:v>../../2019/jama.2019.12618/.ai_paper_validation/review_1_5_1/preprocessing/protocol_pp001_032_layout.txt</x:v>
      </x:c>
    </x:row>
    <x:row r="69" ht="90" customHeight="1">
      <x:c r="A69" s="3" t="str">
        <x:v>2019::jama.2019.12618::C003</x:v>
      </x:c>
      <x:c r="B69" s="3" t="str">
        <x:v>evidencePaths</x:v>
      </x:c>
      <x:c r="C69" s="3" t="n">
        <x:v>4</x:v>
      </x:c>
      <x:c r="D69" s="3" t="str">
        <x:v>2019/jama.2019.12618/.ai_paper_validation/review_1_5_1/parts/support_protocol_pp001_032.md</x:v>
      </x:c>
      <x:c r="E69" s="3" t="str">
        <x:v>../../2019/jama.2019.12618/.ai_paper_validation/review_1_5_1/parts/support_protocol_pp001_032.md</x:v>
      </x:c>
    </x:row>
    <x:row r="70" ht="90" customHeight="1">
      <x:c r="A70" s="6" t="str">
        <x:v>2019::jama.2019.12618::C004</x:v>
      </x:c>
      <x:c r="B70" s="6" t="str">
        <x:v>sourceLinks</x:v>
      </x:c>
      <x:c r="C70" s="6" t="n">
        <x:v>0</x:v>
      </x:c>
      <x:c r="D70" s="6" t="str">
        <x:v>jama_rathinam_2019_oi_190092.pdf — PDF p. 3</x:v>
      </x:c>
      <x:c r="E70" s="6" t="str">
        <x:v>../../2019/jama.2019.12618/jama_rathinam_2019_oi_190092.pdf#page=3</x:v>
      </x:c>
    </x:row>
    <x:row r="71" ht="90" customHeight="1">
      <x:c r="A71" s="3" t="str">
        <x:v>2019::jama.2019.12618::C004</x:v>
      </x:c>
      <x:c r="B71" s="3" t="str">
        <x:v>sourceLinks</x:v>
      </x:c>
      <x:c r="C71" s="3" t="n">
        <x:v>1</x:v>
      </x:c>
      <x:c r="D71" s="3" t="str">
        <x:v>jama_rathinam_2019_oi_190092.pdf — PDF p. 6</x:v>
      </x:c>
      <x:c r="E71" s="3" t="str">
        <x:v>../../2019/jama.2019.12618/jama_rathinam_2019_oi_190092.pdf#page=6</x:v>
      </x:c>
    </x:row>
    <x:row r="72" ht="90" customHeight="1">
      <x:c r="A72" s="6" t="str">
        <x:v>2019::jama.2019.12618::C004</x:v>
      </x:c>
      <x:c r="B72" s="6" t="str">
        <x:v>sourceLinks</x:v>
      </x:c>
      <x:c r="C72" s="6" t="n">
        <x:v>2</x:v>
      </x:c>
      <x:c r="D72" s="6" t="str">
        <x:v>joi190092supp2_prod.pdf — PDF p. 80, §2.5.1</x:v>
      </x:c>
      <x:c r="E72" s="6" t="str">
        <x:v>../../2019/jama.2019.12618/joi190092supp2_prod.pdf#page=80</x:v>
      </x:c>
    </x:row>
    <x:row r="73" ht="90" customHeight="1">
      <x:c r="A73" s="3" t="str">
        <x:v>2019::jama.2019.12618::C004</x:v>
      </x:c>
      <x:c r="B73" s="3" t="str">
        <x:v>sourceLinks</x:v>
      </x:c>
      <x:c r="C73" s="3" t="n">
        <x:v>3</x:v>
      </x:c>
      <x:c r="D73" s="3" t="str">
        <x:v>joi190092supp3_prod.pdf — PDF p. 70</x:v>
      </x:c>
      <x:c r="E73" s="3" t="str">
        <x:v>../../2019/jama.2019.12618/joi190092supp3_prod.pdf#page=70</x:v>
      </x:c>
    </x:row>
    <x:row r="74" ht="90" customHeight="1">
      <x:c r="A74" s="6" t="str">
        <x:v>2019::jama.2019.12618::C004</x:v>
      </x:c>
      <x:c r="B74" s="6" t="str">
        <x:v>evidencePaths</x:v>
      </x:c>
      <x:c r="C74" s="6" t="n">
        <x:v>0</x:v>
      </x:c>
      <x:c r="D74" s="6" t="str">
        <x:v>2019/jama.2019.12618/.ai_paper_validation/review_1_5_1/source_inventory.md</x:v>
      </x:c>
      <x:c r="E74" s="6" t="str">
        <x:v>../../2019/jama.2019.12618/.ai_paper_validation/review_1_5_1/source_inventory.md</x:v>
      </x:c>
    </x:row>
    <x:row r="75" ht="90" customHeight="1">
      <x:c r="A75" s="3" t="str">
        <x:v>2019::jama.2019.12618::C004</x:v>
      </x:c>
      <x:c r="B75" s="3" t="str">
        <x:v>evidencePaths</x:v>
      </x:c>
      <x:c r="C75" s="3" t="n">
        <x:v>1</x:v>
      </x:c>
      <x:c r="D75" s="3" t="str">
        <x:v>2019/jama.2019.12618/.ai_paper_validation/review_1_5_1/verification/evidence_recheck.md</x:v>
      </x:c>
      <x:c r="E75" s="3" t="str">
        <x:v>../../2019/jama.2019.12618/.ai_paper_validation/review_1_5_1/verification/evidence_recheck.md</x:v>
      </x:c>
    </x:row>
    <x:row r="76" ht="90" customHeight="1">
      <x:c r="A76" s="6" t="str">
        <x:v>2019::jama.2019.12618::C004</x:v>
      </x:c>
      <x:c r="B76" s="6" t="str">
        <x:v>evidencePaths</x:v>
      </x:c>
      <x:c r="C76" s="6" t="n">
        <x:v>2</x:v>
      </x:c>
      <x:c r="D76" s="6" t="str">
        <x:v>2019/jama.2019.12618/.ai_paper_validation/review_1_5_1/candidate_ledger.md</x:v>
      </x:c>
      <x:c r="E76" s="6" t="str">
        <x:v>../../2019/jama.2019.12618/.ai_paper_validation/review_1_5_1/candidate_ledger.md</x:v>
      </x:c>
    </x:row>
    <x:row r="77" ht="90" customHeight="1">
      <x:c r="A77" s="3" t="str">
        <x:v>2019::jama.2019.12618::C004</x:v>
      </x:c>
      <x:c r="B77" s="3" t="str">
        <x:v>evidencePaths</x:v>
      </x:c>
      <x:c r="C77" s="3" t="n">
        <x:v>3</x:v>
      </x:c>
      <x:c r="D77" s="3" t="str">
        <x:v>2019/jama.2019.12618/.ai_paper_validation/review_1_5_1/preprocessing/protocol_pp001_032_layout.txt</x:v>
      </x:c>
      <x:c r="E77" s="3" t="str">
        <x:v>../../2019/jama.2019.12618/.ai_paper_validation/review_1_5_1/preprocessing/protocol_pp001_032_layout.txt</x:v>
      </x:c>
    </x:row>
    <x:row r="78" ht="90" customHeight="1">
      <x:c r="A78" s="6" t="str">
        <x:v>2019::jama.2019.12618::C004</x:v>
      </x:c>
      <x:c r="B78" s="6" t="str">
        <x:v>evidencePaths</x:v>
      </x:c>
      <x:c r="C78" s="6" t="n">
        <x:v>4</x:v>
      </x:c>
      <x:c r="D78" s="6" t="str">
        <x:v>2019/jama.2019.12618/.ai_paper_validation/review_1_5_1/parts/support_protocol_pp001_032.md</x:v>
      </x:c>
      <x:c r="E78" s="6" t="str">
        <x:v>../../2019/jama.2019.12618/.ai_paper_validation/review_1_5_1/parts/support_protocol_pp001_032.md</x:v>
      </x:c>
    </x:row>
    <x:row r="79" ht="90" customHeight="1">
      <x:c r="A79" s="3" t="str">
        <x:v>2019::jama.2019.12618::C004</x:v>
      </x:c>
      <x:c r="B79" s="3" t="str">
        <x:v>evidencePaths</x:v>
      </x:c>
      <x:c r="C79" s="3" t="n">
        <x:v>5</x:v>
      </x:c>
      <x:c r="D79" s="3" t="str">
        <x:v>2019/jama.2019.12618/.ai_paper_validation/review_1_5_1/preprocessing/protocol_pp065_096_layout.txt</x:v>
      </x:c>
      <x:c r="E79" s="3" t="str">
        <x:v>../../2019/jama.2019.12618/.ai_paper_validation/review_1_5_1/preprocessing/protocol_pp065_096_layout.txt</x:v>
      </x:c>
    </x:row>
    <x:row r="80" ht="90" customHeight="1">
      <x:c r="A80" s="6" t="str">
        <x:v>2019::jama.2019.12618::C004</x:v>
      </x:c>
      <x:c r="B80" s="6" t="str">
        <x:v>evidencePaths</x:v>
      </x:c>
      <x:c r="C80" s="6" t="n">
        <x:v>6</x:v>
      </x:c>
      <x:c r="D80" s="6" t="str">
        <x:v>2019/jama.2019.12618/.ai_paper_validation/review_1_5_1/parts/support_protocol_pp065_096.md</x:v>
      </x:c>
      <x:c r="E80" s="6" t="str">
        <x:v>../../2019/jama.2019.12618/.ai_paper_validation/review_1_5_1/parts/support_protocol_pp065_096.md</x:v>
      </x:c>
    </x:row>
    <x:row r="81" ht="90" customHeight="1">
      <x:c r="A81" s="3" t="str">
        <x:v>2019::jama.2019.12618::C004</x:v>
      </x:c>
      <x:c r="B81" s="3" t="str">
        <x:v>evidencePaths</x:v>
      </x:c>
      <x:c r="C81" s="3" t="n">
        <x:v>7</x:v>
      </x:c>
      <x:c r="D81" s="3" t="str">
        <x:v>2019/jama.2019.12618/.ai_paper_validation/review_1_5_1/preprocessing/evidence_recheck_protocol_p080.png</x:v>
      </x:c>
      <x:c r="E81" s="3" t="str">
        <x:v>../../2019/jama.2019.12618/.ai_paper_validation/review_1_5_1/preprocessing/evidence_recheck_protocol_p080.png</x:v>
      </x:c>
    </x:row>
    <x:row r="82" ht="90" customHeight="1">
      <x:c r="A82" s="6" t="str">
        <x:v>2019::jama.2019.12618::C005</x:v>
      </x:c>
      <x:c r="B82" s="6" t="str">
        <x:v>sourceLinks</x:v>
      </x:c>
      <x:c r="C82" s="6" t="n">
        <x:v>0</x:v>
      </x:c>
      <x:c r="D82" s="6" t="str">
        <x:v>jama_rathinam_2019_oi_190092.pdf — PDF p. 4</x:v>
      </x:c>
      <x:c r="E82" s="6" t="str">
        <x:v>../../2019/jama.2019.12618/jama_rathinam_2019_oi_190092.pdf#page=4</x:v>
      </x:c>
    </x:row>
    <x:row r="83" ht="90" customHeight="1">
      <x:c r="A83" s="3" t="str">
        <x:v>2019::jama.2019.12618::C005</x:v>
      </x:c>
      <x:c r="B83" s="3" t="str">
        <x:v>sourceLinks</x:v>
      </x:c>
      <x:c r="C83" s="3" t="n">
        <x:v>1</x:v>
      </x:c>
      <x:c r="D83" s="3" t="str">
        <x:v>jama_rathinam_2019_oi_190092.pdf — PDF p. 6, Table 2</x:v>
      </x:c>
      <x:c r="E83" s="3" t="str">
        <x:v>../../2019/jama.2019.12618/jama_rathinam_2019_oi_190092.pdf#page=6</x:v>
      </x:c>
    </x:row>
    <x:row r="84" ht="90" customHeight="1">
      <x:c r="A84" s="6" t="str">
        <x:v>2019::jama.2019.12618::C005</x:v>
      </x:c>
      <x:c r="B84" s="6" t="str">
        <x:v>evidencePaths</x:v>
      </x:c>
      <x:c r="C84" s="6" t="n">
        <x:v>0</x:v>
      </x:c>
      <x:c r="D84" s="6" t="str">
        <x:v>2019/jama.2019.12618/.ai_paper_validation/review_1_5_1/source_inventory.md</x:v>
      </x:c>
      <x:c r="E84" s="6" t="str">
        <x:v>../../2019/jama.2019.12618/.ai_paper_validation/review_1_5_1/source_inventory.md</x:v>
      </x:c>
    </x:row>
    <x:row r="85" ht="90" customHeight="1">
      <x:c r="A85" s="3" t="str">
        <x:v>2019::jama.2019.12618::C006</x:v>
      </x:c>
      <x:c r="B85" s="3" t="str">
        <x:v>sourceLinks</x:v>
      </x:c>
      <x:c r="C85" s="3" t="n">
        <x:v>0</x:v>
      </x:c>
      <x:c r="D85" s="3" t="str">
        <x:v>jama_rathinam_2019_oi_190092.pdf — PDF p. 8, Table 3</x:v>
      </x:c>
      <x:c r="E85" s="3" t="str">
        <x:v>../../2019/jama.2019.12618/jama_rathinam_2019_oi_190092.pdf#page=8</x:v>
      </x:c>
    </x:row>
    <x:row r="86" ht="90" customHeight="1">
      <x:c r="A86" s="6" t="str">
        <x:v>2019::jama.2019.12618::C006</x:v>
      </x:c>
      <x:c r="B86" s="6" t="str">
        <x:v>sourceLinks</x:v>
      </x:c>
      <x:c r="C86" s="6" t="n">
        <x:v>1</x:v>
      </x:c>
      <x:c r="D86" s="6" t="str">
        <x:v>joi190092supp1_prod.pdf — PDF p. 10, eTable 4</x:v>
      </x:c>
      <x:c r="E86" s="6" t="str">
        <x:v>../../2019/jama.2019.12618/joi190092supp1_prod.pdf#page=10</x:v>
      </x:c>
    </x:row>
    <x:row r="87" ht="90" customHeight="1">
      <x:c r="A87" s="3" t="str">
        <x:v>2019::jama.2019.12618::C006</x:v>
      </x:c>
      <x:c r="B87" s="3" t="str">
        <x:v>sourceLinks</x:v>
      </x:c>
      <x:c r="C87" s="3" t="n">
        <x:v>2</x:v>
      </x:c>
      <x:c r="D87" s="3" t="str">
        <x:v>joi190092supp1_prod.pdf — PDF p. 11, eTable 5</x:v>
      </x:c>
      <x:c r="E87" s="3" t="str">
        <x:v>../../2019/jama.2019.12618/joi190092supp1_prod.pdf#page=11</x:v>
      </x:c>
    </x:row>
    <x:row r="88" ht="90" customHeight="1">
      <x:c r="A88" s="6" t="str">
        <x:v>2019::jama.2019.12618::C006</x:v>
      </x:c>
      <x:c r="B88" s="6" t="str">
        <x:v>sourceLinks</x:v>
      </x:c>
      <x:c r="C88" s="6" t="n">
        <x:v>3</x:v>
      </x:c>
      <x:c r="D88" s="6" t="str">
        <x:v>joi190092supp1_prod.pdf — PDF p. 12, eTable 6</x:v>
      </x:c>
      <x:c r="E88" s="6" t="str">
        <x:v>../../2019/jama.2019.12618/joi190092supp1_prod.pdf#page=12</x:v>
      </x:c>
    </x:row>
    <x:row r="89" ht="90" customHeight="1">
      <x:c r="A89" s="3" t="str">
        <x:v>2019::jama.2019.12618::C006</x:v>
      </x:c>
      <x:c r="B89" s="3" t="str">
        <x:v>evidencePaths</x:v>
      </x:c>
      <x:c r="C89" s="3" t="n">
        <x:v>0</x:v>
      </x:c>
      <x:c r="D89" s="3" t="str">
        <x:v>2019/jama.2019.12618/.ai_paper_validation/review_1_5_1/source_inventory.md</x:v>
      </x:c>
      <x:c r="E89" s="3" t="str">
        <x:v>../../2019/jama.2019.12618/.ai_paper_validation/review_1_5_1/source_inventory.md</x:v>
      </x:c>
    </x:row>
    <x:row r="90" ht="90" customHeight="1">
      <x:c r="A90" s="6" t="str">
        <x:v>2019::jama.2019.12618::C006</x:v>
      </x:c>
      <x:c r="B90" s="6" t="str">
        <x:v>evidencePaths</x:v>
      </x:c>
      <x:c r="C90" s="6" t="n">
        <x:v>1</x:v>
      </x:c>
      <x:c r="D90" s="6" t="str">
        <x:v>2019/jama.2019.12618/.ai_paper_validation/review_1_5_1/verification/evidence_recheck.md</x:v>
      </x:c>
      <x:c r="E90" s="6" t="str">
        <x:v>../../2019/jama.2019.12618/.ai_paper_validation/review_1_5_1/verification/evidence_recheck.md</x:v>
      </x:c>
    </x:row>
    <x:row r="91" ht="90" customHeight="1">
      <x:c r="A91" s="3" t="str">
        <x:v>2019::jama.2019.12618::C007</x:v>
      </x:c>
      <x:c r="B91" s="3" t="str">
        <x:v>sourceLinks</x:v>
      </x:c>
      <x:c r="C91" s="3" t="n">
        <x:v>0</x:v>
      </x:c>
      <x:c r="D91" s="3" t="str">
        <x:v>joi190092supp1_prod.pdf — PDF p. 15, eTable 9</x:v>
      </x:c>
      <x:c r="E91" s="3" t="str">
        <x:v>../../2019/jama.2019.12618/joi190092supp1_prod.pdf#page=15</x:v>
      </x:c>
    </x:row>
    <x:row r="92" ht="90" customHeight="1">
      <x:c r="A92" s="6" t="str">
        <x:v>2019::jama.2019.12618::C007</x:v>
      </x:c>
      <x:c r="B92" s="6" t="str">
        <x:v>evidencePaths</x:v>
      </x:c>
      <x:c r="C92" s="6" t="n">
        <x:v>0</x:v>
      </x:c>
      <x:c r="D92" s="6" t="str">
        <x:v>2019/jama.2019.12618/.ai_paper_validation/review_1_5_1/source_inventory.md</x:v>
      </x:c>
      <x:c r="E92" s="6" t="str">
        <x:v>../../2019/jama.2019.12618/.ai_paper_validation/review_1_5_1/source_inventory.md</x:v>
      </x:c>
    </x:row>
    <x:row r="93" ht="90" customHeight="1">
      <x:c r="A93" s="3" t="str">
        <x:v>2019::jama.2019.12618::C008</x:v>
      </x:c>
      <x:c r="B93" s="3" t="str">
        <x:v>sourceLinks</x:v>
      </x:c>
      <x:c r="C93" s="3" t="n">
        <x:v>0</x:v>
      </x:c>
      <x:c r="D93" s="3" t="str">
        <x:v>joi190092supp1_prod.pdf — PDF p. 5, eTable 1</x:v>
      </x:c>
      <x:c r="E93" s="3" t="str">
        <x:v>../../2019/jama.2019.12618/joi190092supp1_prod.pdf#page=5</x:v>
      </x:c>
    </x:row>
    <x:row r="94" ht="90" customHeight="1">
      <x:c r="A94" s="6" t="str">
        <x:v>2019::jama.2019.12618::C008</x:v>
      </x:c>
      <x:c r="B94" s="6" t="str">
        <x:v>sourceLinks</x:v>
      </x:c>
      <x:c r="C94" s="6" t="n">
        <x:v>1</x:v>
      </x:c>
      <x:c r="D94" s="6" t="str">
        <x:v>joi190092supp1_prod.pdf — PDF p. 14, eTable 8</x:v>
      </x:c>
      <x:c r="E94" s="6" t="str">
        <x:v>../../2019/jama.2019.12618/joi190092supp1_prod.pdf#page=14</x:v>
      </x:c>
    </x:row>
    <x:row r="95" ht="90" customHeight="1">
      <x:c r="A95" s="3" t="str">
        <x:v>2019::jama.2019.12618::C008</x:v>
      </x:c>
      <x:c r="B95" s="3" t="str">
        <x:v>sourceLinks</x:v>
      </x:c>
      <x:c r="C95" s="3" t="n">
        <x:v>2</x:v>
      </x:c>
      <x:c r="D95" s="3" t="str">
        <x:v>joi190092supp1_prod.pdf — PDF p. 15, eTable 9</x:v>
      </x:c>
      <x:c r="E95" s="3" t="str">
        <x:v>../../2019/jama.2019.12618/joi190092supp1_prod.pdf#page=15</x:v>
      </x:c>
    </x:row>
    <x:row r="96" ht="90" customHeight="1">
      <x:c r="A96" s="6" t="str">
        <x:v>2019::jama.2019.12618::C008</x:v>
      </x:c>
      <x:c r="B96" s="6" t="str">
        <x:v>evidencePaths</x:v>
      </x:c>
      <x:c r="C96" s="6" t="n">
        <x:v>0</x:v>
      </x:c>
      <x:c r="D96" s="6" t="str">
        <x:v>2019/jama.2019.12618/.ai_paper_validation/review_1_5_1/source_inventory.md</x:v>
      </x:c>
      <x:c r="E96" s="6" t="str">
        <x:v>../../2019/jama.2019.12618/.ai_paper_validation/review_1_5_1/source_inventory.md</x:v>
      </x:c>
    </x:row>
    <x:row r="97" ht="90" customHeight="1">
      <x:c r="A97" s="3" t="str">
        <x:v>2019::jama.2019.14231::C001</x:v>
      </x:c>
      <x:c r="B97" s="3" t="str">
        <x:v>sourceLinks</x:v>
      </x:c>
      <x:c r="C97" s="3" t="n">
        <x:v>0</x:v>
      </x:c>
      <x:c r="D97" s="3" t="str">
        <x:v>Main article — PDF p. 1</x:v>
      </x:c>
      <x:c r="E97" s="3" t="str">
        <x:v>../../2019/jama.2019.14231/jama_aminian_2019_oi_190103.pdf#page=1</x:v>
      </x:c>
    </x:row>
    <x:row r="98" ht="90" customHeight="1">
      <x:c r="A98" s="6" t="str">
        <x:v>2019::jama.2019.14231::C001</x:v>
      </x:c>
      <x:c r="B98" s="6" t="str">
        <x:v>sourceLinks</x:v>
      </x:c>
      <x:c r="C98" s="6" t="n">
        <x:v>1</x:v>
      </x:c>
      <x:c r="D98" s="6" t="str">
        <x:v>PDF p. 3</x:v>
      </x:c>
      <x:c r="E98" s="6" t="str">
        <x:v>../../2019/jama.2019.14231/jama_aminian_2019_oi_190103.pdf#page=3</x:v>
      </x:c>
    </x:row>
    <x:row r="99" ht="90" customHeight="1">
      <x:c r="A99" s="3" t="str">
        <x:v>2019::jama.2019.14231::C001</x:v>
      </x:c>
      <x:c r="B99" s="3" t="str">
        <x:v>sourceLinks</x:v>
      </x:c>
      <x:c r="C99" s="3" t="n">
        <x:v>2</x:v>
      </x:c>
      <x:c r="D99" s="3" t="str">
        <x:v>PDF p. 4</x:v>
      </x:c>
      <x:c r="E99" s="3" t="str">
        <x:v>../../2019/jama.2019.14231/jama_aminian_2019_oi_190103.pdf#page=4</x:v>
      </x:c>
    </x:row>
    <x:row r="100" ht="90" customHeight="1">
      <x:c r="A100" s="6" t="str">
        <x:v>2019::jama.2019.14231::C001</x:v>
      </x:c>
      <x:c r="B100" s="6" t="str">
        <x:v>sourceLinks</x:v>
      </x:c>
      <x:c r="C100" s="6" t="n">
        <x:v>3</x:v>
      </x:c>
      <x:c r="D100" s="6" t="str">
        <x:v>protocol — PDF p. 3</x:v>
      </x:c>
      <x:c r="E100" s="6" t="str">
        <x:v>../../2019/jama.2019.14231/joi190103supp2_prod.pdf#page=3</x:v>
      </x:c>
    </x:row>
    <x:row r="101" ht="90" customHeight="1">
      <x:c r="A101" s="3" t="str">
        <x:v>2019::jama.2019.14231::C001</x:v>
      </x:c>
      <x:c r="B101" s="3" t="str">
        <x:v>evidencePaths</x:v>
      </x:c>
      <x:c r="C101" s="3" t="n">
        <x:v>0</x:v>
      </x:c>
      <x:c r="D101" s="3" t="str">
        <x:v>2019/jama.2019.14231/.ai_paper_validation/review_1_5_1/source_inventory.md</x:v>
      </x:c>
      <x:c r="E101" s="3" t="str">
        <x:v>../../2019/jama.2019.14231/.ai_paper_validation/review_1_5_1/source_inventory.md</x:v>
      </x:c>
    </x:row>
    <x:row r="102" ht="90" customHeight="1">
      <x:c r="A102" s="6" t="str">
        <x:v>2019::jama.2019.14231::C001</x:v>
      </x:c>
      <x:c r="B102" s="6" t="str">
        <x:v>evidencePaths</x:v>
      </x:c>
      <x:c r="C102" s="6" t="n">
        <x:v>1</x:v>
      </x:c>
      <x:c r="D102" s="6" t="str">
        <x:v>2019/jama.2019.14231/.ai_paper_validation/review_1_5_1/verification/evidence_recheck.md</x:v>
      </x:c>
      <x:c r="E102" s="6" t="str">
        <x:v>../../2019/jama.2019.14231/.ai_paper_validation/review_1_5_1/verification/evidence_recheck.md</x:v>
      </x:c>
    </x:row>
    <x:row r="103" ht="90" customHeight="1">
      <x:c r="A103" s="3" t="str">
        <x:v>2019::jama.2019.14231::C001</x:v>
      </x:c>
      <x:c r="B103" s="3" t="str">
        <x:v>evidencePaths</x:v>
      </x:c>
      <x:c r="C103" s="3" t="n">
        <x:v>2</x:v>
      </x:c>
      <x:c r="D103" s="3" t="str">
        <x:v>2019/jama.2019.14231/.ai_paper_validation/review_1_5_1/checkers/cross_source_consistency.md</x:v>
      </x:c>
      <x:c r="E103" s="3" t="str">
        <x:v>../../2019/jama.2019.14231/.ai_paper_validation/review_1_5_1/checkers/cross_source_consistency.md</x:v>
      </x:c>
    </x:row>
    <x:row r="104" ht="90" customHeight="1">
      <x:c r="A104" s="6" t="str">
        <x:v>2019::jama.2019.14231::C002</x:v>
      </x:c>
      <x:c r="B104" s="6" t="str">
        <x:v>sourceLinks</x:v>
      </x:c>
      <x:c r="C104" s="6" t="n">
        <x:v>0</x:v>
      </x:c>
      <x:c r="D104" s="6" t="str">
        <x:v>Main article — PDF p. 4</x:v>
      </x:c>
      <x:c r="E104" s="6" t="str">
        <x:v>../../2019/jama.2019.14231/jama_aminian_2019_oi_190103.pdf#page=4</x:v>
      </x:c>
    </x:row>
    <x:row r="105" ht="90" customHeight="1">
      <x:c r="A105" s="3" t="str">
        <x:v>2019::jama.2019.14231::C002</x:v>
      </x:c>
      <x:c r="B105" s="3" t="str">
        <x:v>sourceLinks</x:v>
      </x:c>
      <x:c r="C105" s="3" t="n">
        <x:v>1</x:v>
      </x:c>
      <x:c r="D105" s="3" t="str">
        <x:v>PDF p. 7</x:v>
      </x:c>
      <x:c r="E105" s="3" t="str">
        <x:v>../../2019/jama.2019.14231/jama_aminian_2019_oi_190103.pdf#page=7</x:v>
      </x:c>
    </x:row>
    <x:row r="106" ht="90" customHeight="1">
      <x:c r="A106" s="6" t="str">
        <x:v>2019::jama.2019.14231::C002</x:v>
      </x:c>
      <x:c r="B106" s="6" t="str">
        <x:v>sourceLinks</x:v>
      </x:c>
      <x:c r="C106" s="6" t="n">
        <x:v>2</x:v>
      </x:c>
      <x:c r="D106" s="6" t="str">
        <x:v>Supplement 1 — PDF p. 7</x:v>
      </x:c>
      <x:c r="E106" s="6" t="str">
        <x:v>../../2019/jama.2019.14231/joi190103supp1_prod.pdf#page=7</x:v>
      </x:c>
    </x:row>
    <x:row r="107" ht="90" customHeight="1">
      <x:c r="A107" s="3" t="str">
        <x:v>2019::jama.2019.14231::C002</x:v>
      </x:c>
      <x:c r="B107" s="3" t="str">
        <x:v>evidencePaths</x:v>
      </x:c>
      <x:c r="C107" s="3" t="n">
        <x:v>0</x:v>
      </x:c>
      <x:c r="D107" s="3" t="str">
        <x:v>2019/jama.2019.14231/.ai_paper_validation/review_1_5_1/source_inventory.md</x:v>
      </x:c>
      <x:c r="E107" s="3" t="str">
        <x:v>../../2019/jama.2019.14231/.ai_paper_validation/review_1_5_1/source_inventory.md</x:v>
      </x:c>
    </x:row>
    <x:row r="108" ht="90" customHeight="1">
      <x:c r="A108" s="6" t="str">
        <x:v>2019::jama.2019.14231::C002</x:v>
      </x:c>
      <x:c r="B108" s="6" t="str">
        <x:v>evidencePaths</x:v>
      </x:c>
      <x:c r="C108" s="6" t="n">
        <x:v>1</x:v>
      </x:c>
      <x:c r="D108" s="6" t="str">
        <x:v>2019/jama.2019.14231/.ai_paper_validation/review_1_5_1/verification/evidence_recheck.md</x:v>
      </x:c>
      <x:c r="E108" s="6" t="str">
        <x:v>../../2019/jama.2019.14231/.ai_paper_validation/review_1_5_1/verification/evidence_recheck.md</x:v>
      </x:c>
    </x:row>
    <x:row r="109" ht="90" customHeight="1">
      <x:c r="A109" s="3" t="str">
        <x:v>2019::jama.2019.14231::C002</x:v>
      </x:c>
      <x:c r="B109" s="3" t="str">
        <x:v>evidencePaths</x:v>
      </x:c>
      <x:c r="C109" s="3" t="n">
        <x:v>2</x:v>
      </x:c>
      <x:c r="D109" s="3" t="str">
        <x:v>2019/jama.2019.14231/.ai_paper_validation/review_1_5_1/checkers/cross_source_consistency.md</x:v>
      </x:c>
      <x:c r="E109" s="3" t="str">
        <x:v>../../2019/jama.2019.14231/.ai_paper_validation/review_1_5_1/checkers/cross_source_consistency.md</x:v>
      </x:c>
    </x:row>
    <x:row r="110" ht="90" customHeight="1">
      <x:c r="A110" s="6" t="str">
        <x:v>2019::jama.2019.14231::C003</x:v>
      </x:c>
      <x:c r="B110" s="6" t="str">
        <x:v>sourceLinks</x:v>
      </x:c>
      <x:c r="C110" s="6" t="n">
        <x:v>0</x:v>
      </x:c>
      <x:c r="D110" s="6" t="str">
        <x:v>Main article — PDF p. 4</x:v>
      </x:c>
      <x:c r="E110" s="6" t="str">
        <x:v>../../2019/jama.2019.14231/jama_aminian_2019_oi_190103.pdf#page=4</x:v>
      </x:c>
    </x:row>
    <x:row r="111" ht="90" customHeight="1">
      <x:c r="A111" s="3" t="str">
        <x:v>2019::jama.2019.14231::C003</x:v>
      </x:c>
      <x:c r="B111" s="3" t="str">
        <x:v>sourceLinks</x:v>
      </x:c>
      <x:c r="C111" s="3" t="n">
        <x:v>1</x:v>
      </x:c>
      <x:c r="D111" s="3" t="str">
        <x:v>PDF p. 7</x:v>
      </x:c>
      <x:c r="E111" s="3" t="str">
        <x:v>../../2019/jama.2019.14231/jama_aminian_2019_oi_190103.pdf#page=7</x:v>
      </x:c>
    </x:row>
    <x:row r="112" ht="90" customHeight="1">
      <x:c r="A112" s="6" t="str">
        <x:v>2019::jama.2019.14231::C003</x:v>
      </x:c>
      <x:c r="B112" s="6" t="str">
        <x:v>sourceLinks</x:v>
      </x:c>
      <x:c r="C112" s="6" t="n">
        <x:v>2</x:v>
      </x:c>
      <x:c r="D112" s="6" t="str">
        <x:v>Supplement 1 — PDF p. 7</x:v>
      </x:c>
      <x:c r="E112" s="6" t="str">
        <x:v>../../2019/jama.2019.14231/joi190103supp1_prod.pdf#page=7</x:v>
      </x:c>
    </x:row>
    <x:row r="113" ht="90" customHeight="1">
      <x:c r="A113" s="3" t="str">
        <x:v>2019::jama.2019.14231::C003</x:v>
      </x:c>
      <x:c r="B113" s="3" t="str">
        <x:v>evidencePaths</x:v>
      </x:c>
      <x:c r="C113" s="3" t="n">
        <x:v>0</x:v>
      </x:c>
      <x:c r="D113" s="3" t="str">
        <x:v>2019/jama.2019.14231/.ai_paper_validation/review_1_5_1/source_inventory.md</x:v>
      </x:c>
      <x:c r="E113" s="3" t="str">
        <x:v>../../2019/jama.2019.14231/.ai_paper_validation/review_1_5_1/source_inventory.md</x:v>
      </x:c>
    </x:row>
    <x:row r="114" ht="90" customHeight="1">
      <x:c r="A114" s="6" t="str">
        <x:v>2019::jama.2019.14231::C003</x:v>
      </x:c>
      <x:c r="B114" s="6" t="str">
        <x:v>evidencePaths</x:v>
      </x:c>
      <x:c r="C114" s="6" t="n">
        <x:v>1</x:v>
      </x:c>
      <x:c r="D114" s="6" t="str">
        <x:v>2019/jama.2019.14231/.ai_paper_validation/review_1_5_1/verification/evidence_recheck.md</x:v>
      </x:c>
      <x:c r="E114" s="6" t="str">
        <x:v>../../2019/jama.2019.14231/.ai_paper_validation/review_1_5_1/verification/evidence_recheck.md</x:v>
      </x:c>
    </x:row>
    <x:row r="115" ht="90" customHeight="1">
      <x:c r="A115" s="3" t="str">
        <x:v>2019::jama.2019.14231::C003</x:v>
      </x:c>
      <x:c r="B115" s="3" t="str">
        <x:v>evidencePaths</x:v>
      </x:c>
      <x:c r="C115" s="3" t="n">
        <x:v>2</x:v>
      </x:c>
      <x:c r="D115" s="3" t="str">
        <x:v>2019/jama.2019.14231/.ai_paper_validation/review_1_5_1/checkers/cross_source_consistency.md</x:v>
      </x:c>
      <x:c r="E115" s="3" t="str">
        <x:v>../../2019/jama.2019.14231/.ai_paper_validation/review_1_5_1/checkers/cross_source_consistency.md</x:v>
      </x:c>
    </x:row>
    <x:row r="116" ht="90" customHeight="1">
      <x:c r="A116" s="6" t="str">
        <x:v>2019::jama.2019.14231::C004</x:v>
      </x:c>
      <x:c r="B116" s="6" t="str">
        <x:v>sourceLinks</x:v>
      </x:c>
      <x:c r="C116" s="6" t="n">
        <x:v>0</x:v>
      </x:c>
      <x:c r="D116" s="6" t="str">
        <x:v>Main article — PDF p. 4</x:v>
      </x:c>
      <x:c r="E116" s="6" t="str">
        <x:v>../../2019/jama.2019.14231/jama_aminian_2019_oi_190103.pdf#page=4</x:v>
      </x:c>
    </x:row>
    <x:row r="117" ht="90" customHeight="1">
      <x:c r="A117" s="3" t="str">
        <x:v>2019::jama.2019.14231::C004</x:v>
      </x:c>
      <x:c r="B117" s="3" t="str">
        <x:v>sourceLinks</x:v>
      </x:c>
      <x:c r="C117" s="3" t="n">
        <x:v>1</x:v>
      </x:c>
      <x:c r="D117" s="3" t="str">
        <x:v>PDF p. 7</x:v>
      </x:c>
      <x:c r="E117" s="3" t="str">
        <x:v>../../2019/jama.2019.14231/jama_aminian_2019_oi_190103.pdf#page=7</x:v>
      </x:c>
    </x:row>
    <x:row r="118" ht="90" customHeight="1">
      <x:c r="A118" s="6" t="str">
        <x:v>2019::jama.2019.14231::C004</x:v>
      </x:c>
      <x:c r="B118" s="6" t="str">
        <x:v>sourceLinks</x:v>
      </x:c>
      <x:c r="C118" s="6" t="n">
        <x:v>2</x:v>
      </x:c>
      <x:c r="D118" s="6" t="str">
        <x:v>Supplement 1 — PDF p. 7</x:v>
      </x:c>
      <x:c r="E118" s="6" t="str">
        <x:v>../../2019/jama.2019.14231/joi190103supp1_prod.pdf#page=7</x:v>
      </x:c>
    </x:row>
    <x:row r="119" ht="90" customHeight="1">
      <x:c r="A119" s="3" t="str">
        <x:v>2019::jama.2019.14231::C004</x:v>
      </x:c>
      <x:c r="B119" s="3" t="str">
        <x:v>evidencePaths</x:v>
      </x:c>
      <x:c r="C119" s="3" t="n">
        <x:v>0</x:v>
      </x:c>
      <x:c r="D119" s="3" t="str">
        <x:v>2019/jama.2019.14231/.ai_paper_validation/review_1_5_1/source_inventory.md</x:v>
      </x:c>
      <x:c r="E119" s="3" t="str">
        <x:v>../../2019/jama.2019.14231/.ai_paper_validation/review_1_5_1/source_inventory.md</x:v>
      </x:c>
    </x:row>
    <x:row r="120" ht="90" customHeight="1">
      <x:c r="A120" s="6" t="str">
        <x:v>2019::jama.2019.14231::C004</x:v>
      </x:c>
      <x:c r="B120" s="6" t="str">
        <x:v>evidencePaths</x:v>
      </x:c>
      <x:c r="C120" s="6" t="n">
        <x:v>1</x:v>
      </x:c>
      <x:c r="D120" s="6" t="str">
        <x:v>2019/jama.2019.14231/.ai_paper_validation/review_1_5_1/verification/evidence_recheck.md</x:v>
      </x:c>
      <x:c r="E120" s="6" t="str">
        <x:v>../../2019/jama.2019.14231/.ai_paper_validation/review_1_5_1/verification/evidence_recheck.md</x:v>
      </x:c>
    </x:row>
    <x:row r="121" ht="90" customHeight="1">
      <x:c r="A121" s="3" t="str">
        <x:v>2019::jama.2019.14231::C004</x:v>
      </x:c>
      <x:c r="B121" s="3" t="str">
        <x:v>evidencePaths</x:v>
      </x:c>
      <x:c r="C121" s="3" t="n">
        <x:v>2</x:v>
      </x:c>
      <x:c r="D121" s="3" t="str">
        <x:v>2019/jama.2019.14231/.ai_paper_validation/review_1_5_1/checkers/cross_source_consistency.md</x:v>
      </x:c>
      <x:c r="E121" s="3" t="str">
        <x:v>../../2019/jama.2019.14231/.ai_paper_validation/review_1_5_1/checkers/cross_source_consistency.md</x:v>
      </x:c>
    </x:row>
    <x:row r="122" ht="90" customHeight="1">
      <x:c r="A122" s="6" t="str">
        <x:v>2019::jama.2019.14231::C005</x:v>
      </x:c>
      <x:c r="B122" s="6" t="str">
        <x:v>sourceLinks</x:v>
      </x:c>
      <x:c r="C122" s="6" t="n">
        <x:v>0</x:v>
      </x:c>
      <x:c r="D122" s="6" t="str">
        <x:v>Main article — PDF p. 4</x:v>
      </x:c>
      <x:c r="E122" s="6" t="str">
        <x:v>../../2019/jama.2019.14231/jama_aminian_2019_oi_190103.pdf#page=4</x:v>
      </x:c>
    </x:row>
    <x:row r="123" ht="90" customHeight="1">
      <x:c r="A123" s="3" t="str">
        <x:v>2019::jama.2019.14231::C005</x:v>
      </x:c>
      <x:c r="B123" s="3" t="str">
        <x:v>sourceLinks</x:v>
      </x:c>
      <x:c r="C123" s="3" t="n">
        <x:v>1</x:v>
      </x:c>
      <x:c r="D123" s="3" t="str">
        <x:v>PDF p. 7</x:v>
      </x:c>
      <x:c r="E123" s="3" t="str">
        <x:v>../../2019/jama.2019.14231/jama_aminian_2019_oi_190103.pdf#page=7</x:v>
      </x:c>
    </x:row>
    <x:row r="124" ht="90" customHeight="1">
      <x:c r="A124" s="6" t="str">
        <x:v>2019::jama.2019.14231::C005</x:v>
      </x:c>
      <x:c r="B124" s="6" t="str">
        <x:v>sourceLinks</x:v>
      </x:c>
      <x:c r="C124" s="6" t="n">
        <x:v>2</x:v>
      </x:c>
      <x:c r="D124" s="6" t="str">
        <x:v>Supplement 1 — PDF p. 7</x:v>
      </x:c>
      <x:c r="E124" s="6" t="str">
        <x:v>../../2019/jama.2019.14231/joi190103supp1_prod.pdf#page=7</x:v>
      </x:c>
    </x:row>
    <x:row r="125" ht="90" customHeight="1">
      <x:c r="A125" s="3" t="str">
        <x:v>2019::jama.2019.14231::C005</x:v>
      </x:c>
      <x:c r="B125" s="3" t="str">
        <x:v>evidencePaths</x:v>
      </x:c>
      <x:c r="C125" s="3" t="n">
        <x:v>0</x:v>
      </x:c>
      <x:c r="D125" s="3" t="str">
        <x:v>2019/jama.2019.14231/.ai_paper_validation/review_1_5_1/source_inventory.md</x:v>
      </x:c>
      <x:c r="E125" s="3" t="str">
        <x:v>../../2019/jama.2019.14231/.ai_paper_validation/review_1_5_1/source_inventory.md</x:v>
      </x:c>
    </x:row>
    <x:row r="126" ht="90" customHeight="1">
      <x:c r="A126" s="6" t="str">
        <x:v>2019::jama.2019.14231::C005</x:v>
      </x:c>
      <x:c r="B126" s="6" t="str">
        <x:v>evidencePaths</x:v>
      </x:c>
      <x:c r="C126" s="6" t="n">
        <x:v>1</x:v>
      </x:c>
      <x:c r="D126" s="6" t="str">
        <x:v>2019/jama.2019.14231/.ai_paper_validation/review_1_5_1/verification/evidence_recheck.md</x:v>
      </x:c>
      <x:c r="E126" s="6" t="str">
        <x:v>../../2019/jama.2019.14231/.ai_paper_validation/review_1_5_1/verification/evidence_recheck.md</x:v>
      </x:c>
    </x:row>
    <x:row r="127" ht="90" customHeight="1">
      <x:c r="A127" s="3" t="str">
        <x:v>2019::jama.2019.14231::C005</x:v>
      </x:c>
      <x:c r="B127" s="3" t="str">
        <x:v>evidencePaths</x:v>
      </x:c>
      <x:c r="C127" s="3" t="n">
        <x:v>2</x:v>
      </x:c>
      <x:c r="D127" s="3" t="str">
        <x:v>2019/jama.2019.14231/.ai_paper_validation/review_1_5_1/checkers/cross_source_consistency.md</x:v>
      </x:c>
      <x:c r="E127" s="3" t="str">
        <x:v>../../2019/jama.2019.14231/.ai_paper_validation/review_1_5_1/checkers/cross_source_consistency.md</x:v>
      </x:c>
    </x:row>
    <x:row r="128" ht="90" customHeight="1">
      <x:c r="A128" s="6" t="str">
        <x:v>2019::jama.2019.14231::C006</x:v>
      </x:c>
      <x:c r="B128" s="6" t="str">
        <x:v>sourceLinks</x:v>
      </x:c>
      <x:c r="C128" s="6" t="n">
        <x:v>0</x:v>
      </x:c>
      <x:c r="D128" s="6" t="str">
        <x:v>Main article — PDF p. 4</x:v>
      </x:c>
      <x:c r="E128" s="6" t="str">
        <x:v>../../2019/jama.2019.14231/jama_aminian_2019_oi_190103.pdf#page=4</x:v>
      </x:c>
    </x:row>
    <x:row r="129" ht="90" customHeight="1">
      <x:c r="A129" s="3" t="str">
        <x:v>2019::jama.2019.14231::C006</x:v>
      </x:c>
      <x:c r="B129" s="3" t="str">
        <x:v>sourceLinks</x:v>
      </x:c>
      <x:c r="C129" s="3" t="n">
        <x:v>1</x:v>
      </x:c>
      <x:c r="D129" s="3" t="str">
        <x:v>PDF p. 7</x:v>
      </x:c>
      <x:c r="E129" s="3" t="str">
        <x:v>../../2019/jama.2019.14231/jama_aminian_2019_oi_190103.pdf#page=7</x:v>
      </x:c>
    </x:row>
    <x:row r="130" ht="90" customHeight="1">
      <x:c r="A130" s="6" t="str">
        <x:v>2019::jama.2019.14231::C006</x:v>
      </x:c>
      <x:c r="B130" s="6" t="str">
        <x:v>sourceLinks</x:v>
      </x:c>
      <x:c r="C130" s="6" t="n">
        <x:v>2</x:v>
      </x:c>
      <x:c r="D130" s="6" t="str">
        <x:v>Supplement 1 — PDF p. 7</x:v>
      </x:c>
      <x:c r="E130" s="6" t="str">
        <x:v>../../2019/jama.2019.14231/joi190103supp1_prod.pdf#page=7</x:v>
      </x:c>
    </x:row>
    <x:row r="131" ht="90" customHeight="1">
      <x:c r="A131" s="3" t="str">
        <x:v>2019::jama.2019.14231::C006</x:v>
      </x:c>
      <x:c r="B131" s="3" t="str">
        <x:v>evidencePaths</x:v>
      </x:c>
      <x:c r="C131" s="3" t="n">
        <x:v>0</x:v>
      </x:c>
      <x:c r="D131" s="3" t="str">
        <x:v>2019/jama.2019.14231/.ai_paper_validation/review_1_5_1/source_inventory.md</x:v>
      </x:c>
      <x:c r="E131" s="3" t="str">
        <x:v>../../2019/jama.2019.14231/.ai_paper_validation/review_1_5_1/source_inventory.md</x:v>
      </x:c>
    </x:row>
    <x:row r="132" ht="90" customHeight="1">
      <x:c r="A132" s="6" t="str">
        <x:v>2019::jama.2019.14231::C006</x:v>
      </x:c>
      <x:c r="B132" s="6" t="str">
        <x:v>evidencePaths</x:v>
      </x:c>
      <x:c r="C132" s="6" t="n">
        <x:v>1</x:v>
      </x:c>
      <x:c r="D132" s="6" t="str">
        <x:v>2019/jama.2019.14231/.ai_paper_validation/review_1_5_1/verification/evidence_recheck.md</x:v>
      </x:c>
      <x:c r="E132" s="6" t="str">
        <x:v>../../2019/jama.2019.14231/.ai_paper_validation/review_1_5_1/verification/evidence_recheck.md</x:v>
      </x:c>
    </x:row>
    <x:row r="133" ht="90" customHeight="1">
      <x:c r="A133" s="3" t="str">
        <x:v>2019::jama.2019.14231::C006</x:v>
      </x:c>
      <x:c r="B133" s="3" t="str">
        <x:v>evidencePaths</x:v>
      </x:c>
      <x:c r="C133" s="3" t="n">
        <x:v>2</x:v>
      </x:c>
      <x:c r="D133" s="3" t="str">
        <x:v>2019/jama.2019.14231/.ai_paper_validation/review_1_5_1/checkers/cross_source_consistency.md</x:v>
      </x:c>
      <x:c r="E133" s="3" t="str">
        <x:v>../../2019/jama.2019.14231/.ai_paper_validation/review_1_5_1/checkers/cross_source_consistency.md</x:v>
      </x:c>
    </x:row>
    <x:row r="134" ht="90" customHeight="1">
      <x:c r="A134" s="6" t="str">
        <x:v>2019::jama.2019.14231::C007</x:v>
      </x:c>
      <x:c r="B134" s="6" t="str">
        <x:v>sourceLinks</x:v>
      </x:c>
      <x:c r="C134" s="6" t="n">
        <x:v>0</x:v>
      </x:c>
      <x:c r="D134" s="6" t="str">
        <x:v>Supplement 1 — PDF p. 5</x:v>
      </x:c>
      <x:c r="E134" s="6" t="str">
        <x:v>../../2019/jama.2019.14231/joi190103supp1_prod.pdf#page=5</x:v>
      </x:c>
    </x:row>
    <x:row r="135" ht="90" customHeight="1">
      <x:c r="A135" s="3" t="str">
        <x:v>2019::jama.2019.14231::C007</x:v>
      </x:c>
      <x:c r="B135" s="3" t="str">
        <x:v>sourceLinks</x:v>
      </x:c>
      <x:c r="C135" s="3" t="n">
        <x:v>1</x:v>
      </x:c>
      <x:c r="D135" s="3" t="str">
        <x:v>PDF p. 14</x:v>
      </x:c>
      <x:c r="E135" s="3" t="str">
        <x:v>../../2019/jama.2019.14231/joi190103supp1_prod.pdf#page=14</x:v>
      </x:c>
    </x:row>
    <x:row r="136" ht="90" customHeight="1">
      <x:c r="A136" s="6" t="str">
        <x:v>2019::jama.2019.14231::C007</x:v>
      </x:c>
      <x:c r="B136" s="6" t="str">
        <x:v>evidencePaths</x:v>
      </x:c>
      <x:c r="C136" s="6" t="n">
        <x:v>0</x:v>
      </x:c>
      <x:c r="D136" s="6" t="str">
        <x:v>2019/jama.2019.14231/.ai_paper_validation/review_1_5_1/source_inventory.md</x:v>
      </x:c>
      <x:c r="E136" s="6" t="str">
        <x:v>../../2019/jama.2019.14231/.ai_paper_validation/review_1_5_1/source_inventory.md</x:v>
      </x:c>
    </x:row>
    <x:row r="137" ht="90" customHeight="1">
      <x:c r="A137" s="3" t="str">
        <x:v>2019::jama.2019.14231::C007</x:v>
      </x:c>
      <x:c r="B137" s="3" t="str">
        <x:v>evidencePaths</x:v>
      </x:c>
      <x:c r="C137" s="3" t="n">
        <x:v>1</x:v>
      </x:c>
      <x:c r="D137" s="3" t="str">
        <x:v>2019/jama.2019.14231/.ai_paper_validation/review_1_5_1/verification/evidence_recheck.md</x:v>
      </x:c>
      <x:c r="E137" s="3" t="str">
        <x:v>../../2019/jama.2019.14231/.ai_paper_validation/review_1_5_1/verification/evidence_recheck.md</x:v>
      </x:c>
    </x:row>
    <x:row r="138" ht="90" customHeight="1">
      <x:c r="A138" s="6" t="str">
        <x:v>2019::jama.2019.14231::C007</x:v>
      </x:c>
      <x:c r="B138" s="6" t="str">
        <x:v>evidencePaths</x:v>
      </x:c>
      <x:c r="C138" s="6" t="n">
        <x:v>2</x:v>
      </x:c>
      <x:c r="D138" s="6" t="str">
        <x:v>2019/jama.2019.14231/.ai_paper_validation/review_1_5_1/checkers/cross_source_consistency.md</x:v>
      </x:c>
      <x:c r="E138" s="6" t="str">
        <x:v>../../2019/jama.2019.14231/.ai_paper_validation/review_1_5_1/checkers/cross_source_consistency.md</x:v>
      </x:c>
    </x:row>
    <x:row r="139" ht="90" customHeight="1">
      <x:c r="A139" s="3" t="str">
        <x:v>2019::jama.2019.14231::C008</x:v>
      </x:c>
      <x:c r="B139" s="3" t="str">
        <x:v>sourceLinks</x:v>
      </x:c>
      <x:c r="C139" s="3" t="n">
        <x:v>0</x:v>
      </x:c>
      <x:c r="D139" s="3" t="str">
        <x:v>Main article — PDF p. 4</x:v>
      </x:c>
      <x:c r="E139" s="3" t="str">
        <x:v>../../2019/jama.2019.14231/jama_aminian_2019_oi_190103.pdf#page=4</x:v>
      </x:c>
    </x:row>
    <x:row r="140" ht="90" customHeight="1">
      <x:c r="A140" s="6" t="str">
        <x:v>2019::jama.2019.14231::C008</x:v>
      </x:c>
      <x:c r="B140" s="6" t="str">
        <x:v>sourceLinks</x:v>
      </x:c>
      <x:c r="C140" s="6" t="n">
        <x:v>1</x:v>
      </x:c>
      <x:c r="D140" s="6" t="str">
        <x:v>PDF p. 10</x:v>
      </x:c>
      <x:c r="E140" s="6" t="str">
        <x:v>../../2019/jama.2019.14231/jama_aminian_2019_oi_190103.pdf#page=10</x:v>
      </x:c>
    </x:row>
    <x:row r="141" ht="90" customHeight="1">
      <x:c r="A141" s="3" t="str">
        <x:v>2019::jama.2019.14231::C008</x:v>
      </x:c>
      <x:c r="B141" s="3" t="str">
        <x:v>sourceLinks</x:v>
      </x:c>
      <x:c r="C141" s="3" t="n">
        <x:v>2</x:v>
      </x:c>
      <x:c r="D141" s="3" t="str">
        <x:v>Supplement 1 — PDF p. 12</x:v>
      </x:c>
      <x:c r="E141" s="3" t="str">
        <x:v>../../2019/jama.2019.14231/joi190103supp1_prod.pdf#page=12</x:v>
      </x:c>
    </x:row>
    <x:row r="142" ht="90" customHeight="1">
      <x:c r="A142" s="6" t="str">
        <x:v>2019::jama.2019.14231::C008</x:v>
      </x:c>
      <x:c r="B142" s="6" t="str">
        <x:v>evidencePaths</x:v>
      </x:c>
      <x:c r="C142" s="6" t="n">
        <x:v>0</x:v>
      </x:c>
      <x:c r="D142" s="6" t="str">
        <x:v>2019/jama.2019.14231/.ai_paper_validation/review_1_5_1/source_inventory.md</x:v>
      </x:c>
      <x:c r="E142" s="6" t="str">
        <x:v>../../2019/jama.2019.14231/.ai_paper_validation/review_1_5_1/source_inventory.md</x:v>
      </x:c>
    </x:row>
    <x:row r="143" ht="90" customHeight="1">
      <x:c r="A143" s="3" t="str">
        <x:v>2019::jama.2019.14231::C008</x:v>
      </x:c>
      <x:c r="B143" s="3" t="str">
        <x:v>evidencePaths</x:v>
      </x:c>
      <x:c r="C143" s="3" t="n">
        <x:v>1</x:v>
      </x:c>
      <x:c r="D143" s="3" t="str">
        <x:v>2019/jama.2019.14231/.ai_paper_validation/review_1_5_1/verification/evidence_recheck.md</x:v>
      </x:c>
      <x:c r="E143" s="3" t="str">
        <x:v>../../2019/jama.2019.14231/.ai_paper_validation/review_1_5_1/verification/evidence_recheck.md</x:v>
      </x:c>
    </x:row>
    <x:row r="144" ht="90" customHeight="1">
      <x:c r="A144" s="6" t="str">
        <x:v>2019::jama.2019.14231::C008</x:v>
      </x:c>
      <x:c r="B144" s="6" t="str">
        <x:v>evidencePaths</x:v>
      </x:c>
      <x:c r="C144" s="6" t="n">
        <x:v>2</x:v>
      </x:c>
      <x:c r="D144" s="6" t="str">
        <x:v>2019/jama.2019.14231/.ai_paper_validation/review_1_5_1/checkers/cross_source_consistency.md</x:v>
      </x:c>
      <x:c r="E144" s="6" t="str">
        <x:v>../../2019/jama.2019.14231/.ai_paper_validation/review_1_5_1/checkers/cross_source_consistency.md</x:v>
      </x:c>
    </x:row>
    <x:row r="145" ht="90" customHeight="1">
      <x:c r="A145" s="3" t="str">
        <x:v>2019::jama.2019.14231::C009</x:v>
      </x:c>
      <x:c r="B145" s="3" t="str">
        <x:v>sourceLinks</x:v>
      </x:c>
      <x:c r="C145" s="3" t="n">
        <x:v>0</x:v>
      </x:c>
      <x:c r="D145" s="3" t="str">
        <x:v>Supplement 1 — PDF p. 6</x:v>
      </x:c>
      <x:c r="E145" s="3" t="str">
        <x:v>../../2019/jama.2019.14231/joi190103supp1_prod.pdf#page=6</x:v>
      </x:c>
    </x:row>
    <x:row r="146" ht="90" customHeight="1">
      <x:c r="A146" s="6" t="str">
        <x:v>2019::jama.2019.14231::C009</x:v>
      </x:c>
      <x:c r="B146" s="6" t="str">
        <x:v>sourceLinks</x:v>
      </x:c>
      <x:c r="C146" s="6" t="n">
        <x:v>1</x:v>
      </x:c>
      <x:c r="D146" s="6" t="str">
        <x:v>PDF p. 10</x:v>
      </x:c>
      <x:c r="E146" s="6" t="str">
        <x:v>../../2019/jama.2019.14231/joi190103supp1_prod.pdf#page=10</x:v>
      </x:c>
    </x:row>
    <x:row r="147" ht="90" customHeight="1">
      <x:c r="A147" s="3" t="str">
        <x:v>2019::jama.2019.14231::C009</x:v>
      </x:c>
      <x:c r="B147" s="3" t="str">
        <x:v>sourceLinks</x:v>
      </x:c>
      <x:c r="C147" s="3" t="n">
        <x:v>2</x:v>
      </x:c>
      <x:c r="D147" s="3" t="str">
        <x:v>PDF p. 19</x:v>
      </x:c>
      <x:c r="E147" s="3" t="str">
        <x:v>../../2019/jama.2019.14231/joi190103supp1_prod.pdf#page=19</x:v>
      </x:c>
    </x:row>
    <x:row r="148" ht="90" customHeight="1">
      <x:c r="A148" s="6" t="str">
        <x:v>2019::jama.2019.14231::C009</x:v>
      </x:c>
      <x:c r="B148" s="6" t="str">
        <x:v>evidencePaths</x:v>
      </x:c>
      <x:c r="C148" s="6" t="n">
        <x:v>0</x:v>
      </x:c>
      <x:c r="D148" s="6" t="str">
        <x:v>2019/jama.2019.14231/.ai_paper_validation/review_1_5_1/source_inventory.md</x:v>
      </x:c>
      <x:c r="E148" s="6" t="str">
        <x:v>../../2019/jama.2019.14231/.ai_paper_validation/review_1_5_1/source_inventory.md</x:v>
      </x:c>
    </x:row>
    <x:row r="149" ht="90" customHeight="1">
      <x:c r="A149" s="3" t="str">
        <x:v>2019::jama.2019.14231::C009</x:v>
      </x:c>
      <x:c r="B149" s="3" t="str">
        <x:v>evidencePaths</x:v>
      </x:c>
      <x:c r="C149" s="3" t="n">
        <x:v>1</x:v>
      </x:c>
      <x:c r="D149" s="3" t="str">
        <x:v>2019/jama.2019.14231/.ai_paper_validation/review_1_5_1/checkers/cross_source_consistency.md</x:v>
      </x:c>
      <x:c r="E149" s="3" t="str">
        <x:v>../../2019/jama.2019.14231/.ai_paper_validation/review_1_5_1/checkers/cross_source_consistency.md</x:v>
      </x:c>
    </x:row>
    <x:row r="150" ht="90" customHeight="1">
      <x:c r="A150" s="6" t="str">
        <x:v>2019::jama.2019.14231::C010</x:v>
      </x:c>
      <x:c r="B150" s="6" t="str">
        <x:v>sourceLinks</x:v>
      </x:c>
      <x:c r="C150" s="6" t="n">
        <x:v>0</x:v>
      </x:c>
      <x:c r="D150" s="6" t="str">
        <x:v>Supplement 1 — PDF p. 5</x:v>
      </x:c>
      <x:c r="E150" s="6" t="str">
        <x:v>../../2019/jama.2019.14231/joi190103supp1_prod.pdf#page=5</x:v>
      </x:c>
    </x:row>
    <x:row r="151" ht="90" customHeight="1">
      <x:c r="A151" s="3" t="str">
        <x:v>2019::jama.2019.14231::C010</x:v>
      </x:c>
      <x:c r="B151" s="3" t="str">
        <x:v>evidencePaths</x:v>
      </x:c>
      <x:c r="C151" s="3" t="n">
        <x:v>0</x:v>
      </x:c>
      <x:c r="D151" s="3" t="str">
        <x:v>2019/jama.2019.14231/.ai_paper_validation/review_1_5_1/source_inventory.md</x:v>
      </x:c>
      <x:c r="E151" s="3" t="str">
        <x:v>../../2019/jama.2019.14231/.ai_paper_validation/review_1_5_1/source_inventory.md</x:v>
      </x:c>
    </x:row>
    <x:row r="152" ht="90" customHeight="1">
      <x:c r="A152" s="6" t="str">
        <x:v>2019::jama.2019.14231::C010</x:v>
      </x:c>
      <x:c r="B152" s="6" t="str">
        <x:v>evidencePaths</x:v>
      </x:c>
      <x:c r="C152" s="6" t="n">
        <x:v>1</x:v>
      </x:c>
      <x:c r="D152" s="6" t="str">
        <x:v>2019/jama.2019.14231/.ai_paper_validation/review_1_5_1/checkers/cross_source_consistency.md</x:v>
      </x:c>
      <x:c r="E152" s="6" t="str">
        <x:v>../../2019/jama.2019.14231/.ai_paper_validation/review_1_5_1/checkers/cross_source_consistency.md</x:v>
      </x:c>
    </x:row>
    <x:row r="153" ht="90" customHeight="1">
      <x:c r="A153" s="3" t="str">
        <x:v>2019::jama.2019.14231::C011</x:v>
      </x:c>
      <x:c r="B153" s="3" t="str">
        <x:v>sourceLinks</x:v>
      </x:c>
      <x:c r="C153" s="3" t="n">
        <x:v>0</x:v>
      </x:c>
      <x:c r="D153" s="3" t="str">
        <x:v>Main article — PDF p. 5</x:v>
      </x:c>
      <x:c r="E153" s="3" t="str">
        <x:v>../../2019/jama.2019.14231/jama_aminian_2019_oi_190103.pdf#page=5</x:v>
      </x:c>
    </x:row>
    <x:row r="154" ht="90" customHeight="1">
      <x:c r="A154" s="6" t="str">
        <x:v>2019::jama.2019.14231::C011</x:v>
      </x:c>
      <x:c r="B154" s="6" t="str">
        <x:v>sourceLinks</x:v>
      </x:c>
      <x:c r="C154" s="6" t="n">
        <x:v>1</x:v>
      </x:c>
      <x:c r="D154" s="6" t="str">
        <x:v>PDF p. 6</x:v>
      </x:c>
      <x:c r="E154" s="6" t="str">
        <x:v>../../2019/jama.2019.14231/jama_aminian_2019_oi_190103.pdf#page=6</x:v>
      </x:c>
    </x:row>
    <x:row r="155" ht="90" customHeight="1">
      <x:c r="A155" s="3" t="str">
        <x:v>2019::jama.2019.14231::C011</x:v>
      </x:c>
      <x:c r="B155" s="3" t="str">
        <x:v>evidencePaths</x:v>
      </x:c>
      <x:c r="C155" s="3" t="n">
        <x:v>0</x:v>
      </x:c>
      <x:c r="D155" s="3" t="str">
        <x:v>2019/jama.2019.14231/.ai_paper_validation/review_1_5_1/source_inventory.md</x:v>
      </x:c>
      <x:c r="E155" s="3" t="str">
        <x:v>../../2019/jama.2019.14231/.ai_paper_validation/review_1_5_1/source_inventory.md</x:v>
      </x:c>
    </x:row>
    <x:row r="156" ht="90" customHeight="1">
      <x:c r="A156" s="6" t="str">
        <x:v>2019::jama.2019.14231::C011</x:v>
      </x:c>
      <x:c r="B156" s="6" t="str">
        <x:v>evidencePaths</x:v>
      </x:c>
      <x:c r="C156" s="6" t="n">
        <x:v>1</x:v>
      </x:c>
      <x:c r="D156" s="6" t="str">
        <x:v>2019/jama.2019.14231/.ai_paper_validation/review_1_5_1/checkers/cross_source_consistency.md</x:v>
      </x:c>
      <x:c r="E156" s="6" t="str">
        <x:v>../../2019/jama.2019.14231/.ai_paper_validation/review_1_5_1/checkers/cross_source_consistency.md</x:v>
      </x:c>
    </x:row>
    <x:row r="157" ht="90" customHeight="1">
      <x:c r="A157" s="3" t="str">
        <x:v>2019::jama.2019.14630::C001</x:v>
      </x:c>
      <x:c r="B157" s="3" t="str">
        <x:v>sourceLinks</x:v>
      </x:c>
      <x:c r="C157" s="3" t="n">
        <x:v>0</x:v>
      </x:c>
      <x:c r="D157" s="3" t="str">
        <x:v>Supplement 3 eTable 2 opening header — PDF p. 3</x:v>
      </x:c>
      <x:c r="E157" s="3" t="str">
        <x:v>../../2019/jama.2019.14630/joi190106supp3_prod_1635377898.49725.pdf#page=3</x:v>
      </x:c>
    </x:row>
    <x:row r="158" ht="90" customHeight="1">
      <x:c r="A158" s="6" t="str">
        <x:v>2019::jama.2019.14630::C001</x:v>
      </x:c>
      <x:c r="B158" s="6" t="str">
        <x:v>sourceLinks</x:v>
      </x:c>
      <x:c r="C158" s="6" t="n">
        <x:v>1</x:v>
      </x:c>
      <x:c r="D158" s="6" t="str">
        <x:v>Supplement 3 eTable 2 continuation — PDF p. 5</x:v>
      </x:c>
      <x:c r="E158" s="6" t="str">
        <x:v>../../2019/jama.2019.14630/joi190106supp3_prod_1635377898.49725.pdf#page=5</x:v>
      </x:c>
    </x:row>
    <x:row r="159" ht="90" customHeight="1">
      <x:c r="A159" s="3" t="str">
        <x:v>2019::jama.2019.14630::C001</x:v>
      </x:c>
      <x:c r="B159" s="3" t="str">
        <x:v>sourceLinks</x:v>
      </x:c>
      <x:c r="C159" s="3" t="n">
        <x:v>2</x:v>
      </x:c>
      <x:c r="D159" s="3" t="str">
        <x:v>main article Table 2 — PDF p. 5</x:v>
      </x:c>
      <x:c r="E159" s="3" t="str">
        <x:v>../../2019/jama.2019.14630/jama_saynorea_2019_oi_190106_1635377898.43062.pdf#page=5</x:v>
      </x:c>
    </x:row>
    <x:row r="160" ht="90" customHeight="1">
      <x:c r="A160" s="6" t="str">
        <x:v>2019::jama.2019.14630::C001</x:v>
      </x:c>
      <x:c r="B160" s="6" t="str">
        <x:v>evidencePaths</x:v>
      </x:c>
      <x:c r="C160" s="6" t="n">
        <x:v>0</x:v>
      </x:c>
      <x:c r="D160" s="6" t="str">
        <x:v>2019/jama.2019.14630/.ai_paper_validation/review_1_5_1/source_inventory.md</x:v>
      </x:c>
      <x:c r="E160" s="6" t="str">
        <x:v>../../2019/jama.2019.14630/.ai_paper_validation/review_1_5_1/source_inventory.md</x:v>
      </x:c>
    </x:row>
    <x:row r="161" ht="90" customHeight="1">
      <x:c r="A161" s="3" t="str">
        <x:v>2019::jama.2019.14630::C001</x:v>
      </x:c>
      <x:c r="B161" s="3" t="str">
        <x:v>evidencePaths</x:v>
      </x:c>
      <x:c r="C161" s="3" t="n">
        <x:v>1</x:v>
      </x:c>
      <x:c r="D161" s="3" t="str">
        <x:v>2019/jama.2019.14630/.ai_paper_validation/review_1_5_1/verification/evidence_recheck.md</x:v>
      </x:c>
      <x:c r="E161" s="3" t="str">
        <x:v>../../2019/jama.2019.14630/.ai_paper_validation/review_1_5_1/verification/evidence_recheck.md</x:v>
      </x:c>
    </x:row>
    <x:row r="162" ht="90" customHeight="1">
      <x:c r="A162" s="6" t="str">
        <x:v>2019::jama.2019.14630::C002</x:v>
      </x:c>
      <x:c r="B162" s="6" t="str">
        <x:v>sourceLinks</x:v>
      </x:c>
      <x:c r="C162" s="6" t="n">
        <x:v>0</x:v>
      </x:c>
      <x:c r="D162" s="6" t="str">
        <x:v>Supplement 3 eTable 2 red-wine row and footnote — PDF p. 7</x:v>
      </x:c>
      <x:c r="E162" s="6" t="str">
        <x:v>../../2019/jama.2019.14630/joi190106supp3_prod_1635377898.49725.pdf#page=7</x:v>
      </x:c>
    </x:row>
    <x:row r="163" ht="90" customHeight="1">
      <x:c r="A163" s="3" t="str">
        <x:v>2019::jama.2019.14630::C002</x:v>
      </x:c>
      <x:c r="B163" s="3" t="str">
        <x:v>evidencePaths</x:v>
      </x:c>
      <x:c r="C163" s="3" t="n">
        <x:v>0</x:v>
      </x:c>
      <x:c r="D163" s="3" t="str">
        <x:v>2019/jama.2019.14630/.ai_paper_validation/review_1_5_1/source_inventory.md</x:v>
      </x:c>
      <x:c r="E163" s="3" t="str">
        <x:v>../../2019/jama.2019.14630/.ai_paper_validation/review_1_5_1/source_inventory.md</x:v>
      </x:c>
    </x:row>
    <x:row r="164" ht="90" customHeight="1">
      <x:c r="A164" s="6" t="str">
        <x:v>2019::jama.2019.14630::C002</x:v>
      </x:c>
      <x:c r="B164" s="6" t="str">
        <x:v>evidencePaths</x:v>
      </x:c>
      <x:c r="C164" s="6" t="n">
        <x:v>1</x:v>
      </x:c>
      <x:c r="D164" s="6" t="str">
        <x:v>2019/jama.2019.14630/.ai_paper_validation/review_1_5_1/verification/evidence_recheck.md</x:v>
      </x:c>
      <x:c r="E164" s="6" t="str">
        <x:v>../../2019/jama.2019.14630/.ai_paper_validation/review_1_5_1/verification/evidence_recheck.md</x:v>
      </x:c>
    </x:row>
    <x:row r="165" ht="90" customHeight="1">
      <x:c r="A165" s="3" t="str">
        <x:v>2019::jama.2019.14630::C002</x:v>
      </x:c>
      <x:c r="B165" s="3" t="str">
        <x:v>evidencePaths</x:v>
      </x:c>
      <x:c r="C165" s="3" t="n">
        <x:v>2</x:v>
      </x:c>
      <x:c r="D165" s="3" t="str">
        <x:v>2019/jama.2019.14630/.ai_paper_validation/review_1_5_1/candidate_ledger.md</x:v>
      </x:c>
      <x:c r="E165" s="3" t="str">
        <x:v>../../2019/jama.2019.14630/.ai_paper_validation/review_1_5_1/candidate_ledger.md</x:v>
      </x:c>
    </x:row>
    <x:row r="166" ht="90" customHeight="1">
      <x:c r="A166" s="6" t="str">
        <x:v>2019::jama.2019.14630::C003</x:v>
      </x:c>
      <x:c r="B166" s="6" t="str">
        <x:v>sourceLinks</x:v>
      </x:c>
      <x:c r="C166" s="6" t="n">
        <x:v>0</x:v>
      </x:c>
      <x:c r="D166" s="6" t="str">
        <x:v>Supplement 3 eTable 2 — PDF p. 7</x:v>
      </x:c>
      <x:c r="E166" s="6" t="str">
        <x:v>../../2019/jama.2019.14630/joi190106supp3_prod_1635377898.49725.pdf#page=7</x:v>
      </x:c>
    </x:row>
    <x:row r="167" ht="90" customHeight="1">
      <x:c r="A167" s="3" t="str">
        <x:v>2019::jama.2019.14630::C003</x:v>
      </x:c>
      <x:c r="B167" s="3" t="str">
        <x:v>sourceLinks</x:v>
      </x:c>
      <x:c r="C167" s="3" t="n">
        <x:v>1</x:v>
      </x:c>
      <x:c r="D167" s="3" t="str">
        <x:v>Supplement 3 eTable 7 — PDF p. 19</x:v>
      </x:c>
      <x:c r="E167" s="3" t="str">
        <x:v>../../2019/jama.2019.14630/joi190106supp3_prod_1635377898.49725.pdf#page=19</x:v>
      </x:c>
    </x:row>
    <x:row r="168" ht="90" customHeight="1">
      <x:c r="A168" s="6" t="str">
        <x:v>2019::jama.2019.14630::C003</x:v>
      </x:c>
      <x:c r="B168" s="6" t="str">
        <x:v>evidencePaths</x:v>
      </x:c>
      <x:c r="C168" s="6" t="n">
        <x:v>0</x:v>
      </x:c>
      <x:c r="D168" s="6" t="str">
        <x:v>2019/jama.2019.14630/.ai_paper_validation/review_1_5_1/source_inventory.md</x:v>
      </x:c>
      <x:c r="E168" s="6" t="str">
        <x:v>../../2019/jama.2019.14630/.ai_paper_validation/review_1_5_1/source_inventory.md</x:v>
      </x:c>
    </x:row>
    <x:row r="169" ht="90" customHeight="1">
      <x:c r="A169" s="3" t="str">
        <x:v>2019::jama.2019.14630::C003</x:v>
      </x:c>
      <x:c r="B169" s="3" t="str">
        <x:v>evidencePaths</x:v>
      </x:c>
      <x:c r="C169" s="3" t="n">
        <x:v>1</x:v>
      </x:c>
      <x:c r="D169" s="3" t="str">
        <x:v>2019/jama.2019.14630/.ai_paper_validation/review_1_5_1/verification/evidence_recheck.md</x:v>
      </x:c>
      <x:c r="E169" s="3" t="str">
        <x:v>../../2019/jama.2019.14630/.ai_paper_validation/review_1_5_1/verification/evidence_recheck.md</x:v>
      </x:c>
    </x:row>
    <x:row r="170" ht="90" customHeight="1">
      <x:c r="A170" s="6" t="str">
        <x:v>2019::jama.2019.14630::C003</x:v>
      </x:c>
      <x:c r="B170" s="6" t="str">
        <x:v>evidencePaths</x:v>
      </x:c>
      <x:c r="C170" s="6" t="n">
        <x:v>2</x:v>
      </x:c>
      <x:c r="D170" s="6" t="str">
        <x:v>2019/jama.2019.14630/.ai_paper_validation/review_1_5_1/candidate_ledger.md</x:v>
      </x:c>
      <x:c r="E170" s="6" t="str">
        <x:v>../../2019/jama.2019.14630/.ai_paper_validation/review_1_5_1/candidate_ledger.md</x:v>
      </x:c>
    </x:row>
    <x:row r="171" ht="90" customHeight="1">
      <x:c r="A171" s="3" t="str">
        <x:v>2019::jama.2019.14630::C004</x:v>
      </x:c>
      <x:c r="B171" s="3" t="str">
        <x:v>sourceLinks</x:v>
      </x:c>
      <x:c r="C171" s="3" t="n">
        <x:v>0</x:v>
      </x:c>
      <x:c r="D171" s="3" t="str">
        <x:v>main article Table 2 — PDF p. 5</x:v>
      </x:c>
      <x:c r="E171" s="3" t="str">
        <x:v>../../2019/jama.2019.14630/jama_saynorea_2019_oi_190106_1635377898.43062.pdf#page=5</x:v>
      </x:c>
    </x:row>
    <x:row r="172" ht="90" customHeight="1">
      <x:c r="A172" s="6" t="str">
        <x:v>2019::jama.2019.14630::C004</x:v>
      </x:c>
      <x:c r="B172" s="6" t="str">
        <x:v>sourceLinks</x:v>
      </x:c>
      <x:c r="C172" s="6" t="n">
        <x:v>1</x:v>
      </x:c>
      <x:c r="D172" s="6" t="str">
        <x:v>Supplement 3 eTable 6 — PDF p. 16</x:v>
      </x:c>
      <x:c r="E172" s="6" t="str">
        <x:v>../../2019/jama.2019.14630/joi190106supp3_prod_1635377898.49725.pdf#page=16</x:v>
      </x:c>
    </x:row>
    <x:row r="173" ht="90" customHeight="1">
      <x:c r="A173" s="3" t="str">
        <x:v>2019::jama.2019.14630::C004</x:v>
      </x:c>
      <x:c r="B173" s="3" t="str">
        <x:v>evidencePaths</x:v>
      </x:c>
      <x:c r="C173" s="3" t="n">
        <x:v>0</x:v>
      </x:c>
      <x:c r="D173" s="3" t="str">
        <x:v>2019/jama.2019.14630/.ai_paper_validation/review_1_5_1/source_inventory.md</x:v>
      </x:c>
      <x:c r="E173" s="3" t="str">
        <x:v>../../2019/jama.2019.14630/.ai_paper_validation/review_1_5_1/source_inventory.md</x:v>
      </x:c>
    </x:row>
    <x:row r="174" ht="90" customHeight="1">
      <x:c r="A174" s="6" t="str">
        <x:v>2019::jama.2019.14630::C004</x:v>
      </x:c>
      <x:c r="B174" s="6" t="str">
        <x:v>evidencePaths</x:v>
      </x:c>
      <x:c r="C174" s="6" t="n">
        <x:v>1</x:v>
      </x:c>
      <x:c r="D174" s="6" t="str">
        <x:v>2019/jama.2019.14630/.ai_paper_validation/review_1_5_1/verification/evidence_recheck.md</x:v>
      </x:c>
      <x:c r="E174" s="6" t="str">
        <x:v>../../2019/jama.2019.14630/.ai_paper_validation/review_1_5_1/verification/evidence_recheck.md</x:v>
      </x:c>
    </x:row>
    <x:row r="175" ht="90" customHeight="1">
      <x:c r="A175" s="3" t="str">
        <x:v>2019::jama.2019.14630::C005</x:v>
      </x:c>
      <x:c r="B175" s="3" t="str">
        <x:v>sourceLinks</x:v>
      </x:c>
      <x:c r="C175" s="3" t="n">
        <x:v>0</x:v>
      </x:c>
      <x:c r="D175" s="3" t="str">
        <x:v>main article Statistical Analysis — PDF p. 4</x:v>
      </x:c>
      <x:c r="E175" s="3" t="str">
        <x:v>../../2019/jama.2019.14630/jama_saynorea_2019_oi_190106_1635377898.43062.pdf#page=4</x:v>
      </x:c>
    </x:row>
    <x:row r="176" ht="90" customHeight="1">
      <x:c r="A176" s="6" t="str">
        <x:v>2019::jama.2019.14630::C005</x:v>
      </x:c>
      <x:c r="B176" s="6" t="str">
        <x:v>sourceLinks</x:v>
      </x:c>
      <x:c r="C176" s="6" t="n">
        <x:v>1</x:v>
      </x:c>
      <x:c r="D176" s="6" t="str">
        <x:v>main article Table 3 — PDF p. 7</x:v>
      </x:c>
      <x:c r="E176" s="6" t="str">
        <x:v>../../2019/jama.2019.14630/jama_saynorea_2019_oi_190106_1635377898.43062.pdf#page=7</x:v>
      </x:c>
    </x:row>
    <x:row r="177" ht="90" customHeight="1">
      <x:c r="A177" s="3" t="str">
        <x:v>2019::jama.2019.14630::C005</x:v>
      </x:c>
      <x:c r="B177" s="3" t="str">
        <x:v>sourceLinks</x:v>
      </x:c>
      <x:c r="C177" s="3" t="n">
        <x:v>2</x:v>
      </x:c>
      <x:c r="D177" s="3" t="str">
        <x:v>Supplement 3 eTable 8 — PDF p. 21</x:v>
      </x:c>
      <x:c r="E177" s="3" t="str">
        <x:v>../../2019/jama.2019.14630/joi190106supp3_prod_1635377898.49725.pdf#page=21</x:v>
      </x:c>
    </x:row>
    <x:row r="178" ht="90" customHeight="1">
      <x:c r="A178" s="6" t="str">
        <x:v>2019::jama.2019.14630::C005</x:v>
      </x:c>
      <x:c r="B178" s="6" t="str">
        <x:v>evidencePaths</x:v>
      </x:c>
      <x:c r="C178" s="6" t="n">
        <x:v>0</x:v>
      </x:c>
      <x:c r="D178" s="6" t="str">
        <x:v>2019/jama.2019.14630/.ai_paper_validation/review_1_5_1/source_inventory.md</x:v>
      </x:c>
      <x:c r="E178" s="6" t="str">
        <x:v>../../2019/jama.2019.14630/.ai_paper_validation/review_1_5_1/source_inventory.md</x:v>
      </x:c>
    </x:row>
    <x:row r="179" ht="90" customHeight="1">
      <x:c r="A179" s="3" t="str">
        <x:v>2019::jama.2019.14630::C006</x:v>
      </x:c>
      <x:c r="B179" s="3" t="str">
        <x:v>sourceLinks</x:v>
      </x:c>
      <x:c r="C179" s="3" t="n">
        <x:v>0</x:v>
      </x:c>
      <x:c r="D179" s="3" t="str">
        <x:v>main article Table 1 — PDF p. 4</x:v>
      </x:c>
      <x:c r="E179" s="3" t="str">
        <x:v>../../2019/jama.2019.14630/jama_saynorea_2019_oi_190106_1635377898.43062.pdf#page=4</x:v>
      </x:c>
    </x:row>
    <x:row r="180" ht="90" customHeight="1">
      <x:c r="A180" s="6" t="str">
        <x:v>2019::jama.2019.14630::C006</x:v>
      </x:c>
      <x:c r="B180" s="6" t="str">
        <x:v>sourceLinks</x:v>
      </x:c>
      <x:c r="C180" s="6" t="n">
        <x:v>1</x:v>
      </x:c>
      <x:c r="D180" s="6" t="str">
        <x:v>Supplement 3 eTable 9 — PDF p. 23</x:v>
      </x:c>
      <x:c r="E180" s="6" t="str">
        <x:v>../../2019/jama.2019.14630/joi190106supp3_prod_1635377898.49725.pdf#page=23</x:v>
      </x:c>
    </x:row>
    <x:row r="181" ht="90" customHeight="1">
      <x:c r="A181" s="3" t="str">
        <x:v>2019::jama.2019.14630::C006</x:v>
      </x:c>
      <x:c r="B181" s="3" t="str">
        <x:v>evidencePaths</x:v>
      </x:c>
      <x:c r="C181" s="3" t="n">
        <x:v>0</x:v>
      </x:c>
      <x:c r="D181" s="3" t="str">
        <x:v>2019/jama.2019.14630/.ai_paper_validation/review_1_5_1/source_inventory.md</x:v>
      </x:c>
      <x:c r="E181" s="3" t="str">
        <x:v>../../2019/jama.2019.14630/.ai_paper_validation/review_1_5_1/source_inventory.md</x:v>
      </x:c>
    </x:row>
    <x:row r="182" ht="90" customHeight="1">
      <x:c r="A182" s="6" t="str">
        <x:v>2019::jama.2019.14630::C007</x:v>
      </x:c>
      <x:c r="B182" s="6" t="str">
        <x:v>sourceLinks</x:v>
      </x:c>
      <x:c r="C182" s="6" t="n">
        <x:v>0</x:v>
      </x:c>
      <x:c r="D182" s="6" t="str">
        <x:v>main article Table 1 — PDF p. 4</x:v>
      </x:c>
      <x:c r="E182" s="6" t="str">
        <x:v>../../2019/jama.2019.14630/jama_saynorea_2019_oi_190106_1635377898.43062.pdf#page=4</x:v>
      </x:c>
    </x:row>
    <x:row r="183" ht="90" customHeight="1">
      <x:c r="A183" s="3" t="str">
        <x:v>2019::jama.2019.14630::C007</x:v>
      </x:c>
      <x:c r="B183" s="3" t="str">
        <x:v>sourceLinks</x:v>
      </x:c>
      <x:c r="C183" s="3" t="n">
        <x:v>1</x:v>
      </x:c>
      <x:c r="D183" s="3" t="str">
        <x:v>Supplement 3 eTable 9 — PDF p. 23</x:v>
      </x:c>
      <x:c r="E183" s="3" t="str">
        <x:v>../../2019/jama.2019.14630/joi190106supp3_prod_1635377898.49725.pdf#page=23</x:v>
      </x:c>
    </x:row>
    <x:row r="184" ht="90" customHeight="1">
      <x:c r="A184" s="6" t="str">
        <x:v>2019::jama.2019.14630::C007</x:v>
      </x:c>
      <x:c r="B184" s="6" t="str">
        <x:v>evidencePaths</x:v>
      </x:c>
      <x:c r="C184" s="6" t="n">
        <x:v>0</x:v>
      </x:c>
      <x:c r="D184" s="6" t="str">
        <x:v>2019/jama.2019.14630/.ai_paper_validation/review_1_5_1/source_inventory.md</x:v>
      </x:c>
      <x:c r="E184" s="6" t="str">
        <x:v>../../2019/jama.2019.14630/.ai_paper_validation/review_1_5_1/source_inventory.md</x:v>
      </x:c>
    </x:row>
    <x:row r="185" ht="90" customHeight="1">
      <x:c r="A185" s="3" t="str">
        <x:v>2019::jama.2019.14630::C008</x:v>
      </x:c>
      <x:c r="B185" s="3" t="str">
        <x:v>sourceLinks</x:v>
      </x:c>
      <x:c r="C185" s="3" t="n">
        <x:v>0</x:v>
      </x:c>
      <x:c r="D185" s="3" t="str">
        <x:v>main article Outcomes — PDF p. 4</x:v>
      </x:c>
      <x:c r="E185" s="3" t="str">
        <x:v>../../2019/jama.2019.14630/jama_saynorea_2019_oi_190106_1635377898.43062.pdf#page=4</x:v>
      </x:c>
    </x:row>
    <x:row r="186" ht="90" customHeight="1">
      <x:c r="A186" s="6" t="str">
        <x:v>2019::jama.2019.14630::C008</x:v>
      </x:c>
      <x:c r="B186" s="6" t="str">
        <x:v>sourceLinks</x:v>
      </x:c>
      <x:c r="C186" s="6" t="n">
        <x:v>1</x:v>
      </x:c>
      <x:c r="D186" s="6" t="str">
        <x:v>main article Figure 4 — PDF p. 10</x:v>
      </x:c>
      <x:c r="E186" s="6" t="str">
        <x:v>../../2019/jama.2019.14630/jama_saynorea_2019_oi_190106_1635377898.43062.pdf#page=10</x:v>
      </x:c>
    </x:row>
    <x:row r="187" ht="90" customHeight="1">
      <x:c r="A187" s="3" t="str">
        <x:v>2019::jama.2019.14630::C008</x:v>
      </x:c>
      <x:c r="B187" s="3" t="str">
        <x:v>evidencePaths</x:v>
      </x:c>
      <x:c r="C187" s="3" t="n">
        <x:v>0</x:v>
      </x:c>
      <x:c r="D187" s="3" t="str">
        <x:v>2019/jama.2019.14630/.ai_paper_validation/review_1_5_1/source_inventory.md</x:v>
      </x:c>
      <x:c r="E187" s="3" t="str">
        <x:v>../../2019/jama.2019.14630/.ai_paper_validation/review_1_5_1/source_inventory.md</x:v>
      </x:c>
    </x:row>
    <x:row r="188" ht="90" customHeight="1">
      <x:c r="A188" s="6" t="str">
        <x:v>2019::jama.2019.14630::C009</x:v>
      </x:c>
      <x:c r="B188" s="6" t="str">
        <x:v>sourceLinks</x:v>
      </x:c>
      <x:c r="C188" s="6" t="n">
        <x:v>0</x:v>
      </x:c>
      <x:c r="D188" s="6" t="str">
        <x:v>Supplement 3 eTable 4 row — PDF p. 10</x:v>
      </x:c>
      <x:c r="E188" s="6" t="str">
        <x:v>../../2019/jama.2019.14630/joi190106supp3_prod_1635377898.49725.pdf#page=10</x:v>
      </x:c>
    </x:row>
    <x:row r="189" ht="90" customHeight="1">
      <x:c r="A189" s="3" t="str">
        <x:v>2019::jama.2019.14630::C009</x:v>
      </x:c>
      <x:c r="B189" s="3" t="str">
        <x:v>sourceLinks</x:v>
      </x:c>
      <x:c r="C189" s="3" t="n">
        <x:v>1</x:v>
      </x:c>
      <x:c r="D189" s="3" t="str">
        <x:v>Supplement 3 eTable 4 footnote — PDF p. 11</x:v>
      </x:c>
      <x:c r="E189" s="3" t="str">
        <x:v>../../2019/jama.2019.14630/joi190106supp3_prod_1635377898.49725.pdf#page=11</x:v>
      </x:c>
    </x:row>
    <x:row r="190" ht="90" customHeight="1">
      <x:c r="A190" s="6" t="str">
        <x:v>2019::jama.2019.14630::C009</x:v>
      </x:c>
      <x:c r="B190" s="6" t="str">
        <x:v>sourceLinks</x:v>
      </x:c>
      <x:c r="C190" s="6" t="n">
        <x:v>2</x:v>
      </x:c>
      <x:c r="D190" s="6" t="str">
        <x:v>Supplement 3 eTable 2 comparator — PDF p. 3</x:v>
      </x:c>
      <x:c r="E190" s="6" t="str">
        <x:v>../../2019/jama.2019.14630/joi190106supp3_prod_1635377898.49725.pdf#page=3</x:v>
      </x:c>
    </x:row>
    <x:row r="191" ht="90" customHeight="1">
      <x:c r="A191" s="3" t="str">
        <x:v>2019::jama.2019.14630::C009</x:v>
      </x:c>
      <x:c r="B191" s="3" t="str">
        <x:v>sourceLinks</x:v>
      </x:c>
      <x:c r="C191" s="3" t="n">
        <x:v>3</x:v>
      </x:c>
      <x:c r="D191" s="3" t="str">
        <x:v>Supplement 3 eTable 7 comparator — PDF p. 17</x:v>
      </x:c>
      <x:c r="E191" s="3" t="str">
        <x:v>../../2019/jama.2019.14630/joi190106supp3_prod_1635377898.49725.pdf#page=17</x:v>
      </x:c>
    </x:row>
    <x:row r="192" ht="90" customHeight="1">
      <x:c r="A192" s="6" t="str">
        <x:v>2019::jama.2019.14630::C009</x:v>
      </x:c>
      <x:c r="B192" s="6" t="str">
        <x:v>evidencePaths</x:v>
      </x:c>
      <x:c r="C192" s="6" t="n">
        <x:v>0</x:v>
      </x:c>
      <x:c r="D192" s="6" t="str">
        <x:v>2019/jama.2019.14630/.ai_paper_validation/review_1_5_1/source_inventory.md</x:v>
      </x:c>
      <x:c r="E192" s="6" t="str">
        <x:v>../../2019/jama.2019.14630/.ai_paper_validation/review_1_5_1/source_inventory.md</x:v>
      </x:c>
    </x:row>
    <x:row r="193" ht="90" customHeight="1">
      <x:c r="A193" s="3" t="str">
        <x:v>2019::jama.2019.14901::C001</x:v>
      </x:c>
      <x:c r="B193" s="3" t="str">
        <x:v>evidencePaths</x:v>
      </x:c>
      <x:c r="C193" s="3" t="n">
        <x:v>0</x:v>
      </x:c>
      <x:c r="D193" s="3" t="str">
        <x:v>2019/jama.2019.14901/.ai_paper_validation/review_1_5_1/source_inventory.md</x:v>
      </x:c>
      <x:c r="E193" s="3" t="str">
        <x:v>../../2019/jama.2019.14901/.ai_paper_validation/review_1_5_1/source_inventory.md</x:v>
      </x:c>
    </x:row>
    <x:row r="194" ht="90" customHeight="1">
      <x:c r="A194" s="6" t="str">
        <x:v>2019::jama.2019.14901::C002</x:v>
      </x:c>
      <x:c r="B194" s="6" t="str">
        <x:v>evidencePaths</x:v>
      </x:c>
      <x:c r="C194" s="6" t="n">
        <x:v>0</x:v>
      </x:c>
      <x:c r="D194" s="6" t="str">
        <x:v>2019/jama.2019.14901/.ai_paper_validation/review_1_5_1/source_inventory.md</x:v>
      </x:c>
      <x:c r="E194" s="6" t="str">
        <x:v>../../2019/jama.2019.14901/.ai_paper_validation/review_1_5_1/source_inventory.md</x:v>
      </x:c>
    </x:row>
    <x:row r="195" ht="90" customHeight="1">
      <x:c r="A195" s="3" t="str">
        <x:v>2019::jama.2019.14901::C002</x:v>
      </x:c>
      <x:c r="B195" s="3" t="str">
        <x:v>evidencePaths</x:v>
      </x:c>
      <x:c r="C195" s="3" t="n">
        <x:v>1</x:v>
      </x:c>
      <x:c r="D195" s="3" t="str">
        <x:v>2019/jama.2019.14901/.ai_paper_validation/review_1_5_1/verification/evidence_recheck.md</x:v>
      </x:c>
      <x:c r="E195" s="3" t="str">
        <x:v>../../2019/jama.2019.14901/.ai_paper_validation/review_1_5_1/verification/evidence_recheck.md</x:v>
      </x:c>
    </x:row>
    <x:row r="196" ht="90" customHeight="1">
      <x:c r="A196" s="6" t="str">
        <x:v>2019::jama.2019.14901::C003</x:v>
      </x:c>
      <x:c r="B196" s="6" t="str">
        <x:v>evidencePaths</x:v>
      </x:c>
      <x:c r="C196" s="6" t="n">
        <x:v>0</x:v>
      </x:c>
      <x:c r="D196" s="6" t="str">
        <x:v>2019/jama.2019.14901/.ai_paper_validation/review_1_5_1/source_inventory.md</x:v>
      </x:c>
      <x:c r="E196" s="6" t="str">
        <x:v>../../2019/jama.2019.14901/.ai_paper_validation/review_1_5_1/source_inventory.md</x:v>
      </x:c>
    </x:row>
    <x:row r="197" ht="90" customHeight="1">
      <x:c r="A197" s="3" t="str">
        <x:v>2019::jama.2019.14901::C003</x:v>
      </x:c>
      <x:c r="B197" s="3" t="str">
        <x:v>evidencePaths</x:v>
      </x:c>
      <x:c r="C197" s="3" t="n">
        <x:v>1</x:v>
      </x:c>
      <x:c r="D197" s="3" t="str">
        <x:v>2019/jama.2019.14901/.ai_paper_validation/review_1_5_1/verification/evidence_recheck.md</x:v>
      </x:c>
      <x:c r="E197" s="3" t="str">
        <x:v>../../2019/jama.2019.14901/.ai_paper_validation/review_1_5_1/verification/evidence_recheck.md</x:v>
      </x:c>
    </x:row>
    <x:row r="198" ht="90" customHeight="1">
      <x:c r="A198" s="6" t="str">
        <x:v>2019::jama.2019.14901::C004</x:v>
      </x:c>
      <x:c r="B198" s="6" t="str">
        <x:v>evidencePaths</x:v>
      </x:c>
      <x:c r="C198" s="6" t="n">
        <x:v>0</x:v>
      </x:c>
      <x:c r="D198" s="6" t="str">
        <x:v>2019/jama.2019.14901/.ai_paper_validation/review_1_5_1/source_inventory.md</x:v>
      </x:c>
      <x:c r="E198" s="6" t="str">
        <x:v>../../2019/jama.2019.14901/.ai_paper_validation/review_1_5_1/source_inventory.md</x:v>
      </x:c>
    </x:row>
    <x:row r="199" ht="90" customHeight="1">
      <x:c r="A199" s="3" t="str">
        <x:v>2019::jama.2019.14901::C004</x:v>
      </x:c>
      <x:c r="B199" s="3" t="str">
        <x:v>evidencePaths</x:v>
      </x:c>
      <x:c r="C199" s="3" t="n">
        <x:v>1</x:v>
      </x:c>
      <x:c r="D199" s="3" t="str">
        <x:v>2019/jama.2019.14901/.ai_paper_validation/review_1_5_1/verification/evidence_recheck.md</x:v>
      </x:c>
      <x:c r="E199" s="3" t="str">
        <x:v>../../2019/jama.2019.14901/.ai_paper_validation/review_1_5_1/verification/evidence_recheck.md</x:v>
      </x:c>
    </x:row>
    <x:row r="200" ht="90" customHeight="1">
      <x:c r="A200" s="6" t="str">
        <x:v>2019::jama.2019.14901::C005</x:v>
      </x:c>
      <x:c r="B200" s="6" t="str">
        <x:v>evidencePaths</x:v>
      </x:c>
      <x:c r="C200" s="6" t="n">
        <x:v>0</x:v>
      </x:c>
      <x:c r="D200" s="6" t="str">
        <x:v>2019/jama.2019.14901/.ai_paper_validation/review_1_5_1/source_inventory.md</x:v>
      </x:c>
      <x:c r="E200" s="6" t="str">
        <x:v>../../2019/jama.2019.14901/.ai_paper_validation/review_1_5_1/source_inventory.md</x:v>
      </x:c>
    </x:row>
    <x:row r="201" ht="90" customHeight="1">
      <x:c r="A201" s="3" t="str">
        <x:v>2019::jama.2019.14901::C006</x:v>
      </x:c>
      <x:c r="B201" s="3" t="str">
        <x:v>evidencePaths</x:v>
      </x:c>
      <x:c r="C201" s="3" t="n">
        <x:v>0</x:v>
      </x:c>
      <x:c r="D201" s="3" t="str">
        <x:v>2019/jama.2019.14901/.ai_paper_validation/review_1_5_1/source_inventory.md</x:v>
      </x:c>
      <x:c r="E201" s="3" t="str">
        <x:v>../../2019/jama.2019.14901/.ai_paper_validation/review_1_5_1/source_inventory.md</x:v>
      </x:c>
    </x:row>
    <x:row r="202" ht="90" customHeight="1">
      <x:c r="A202" s="6" t="str">
        <x:v>2019::jama.2019.17380::C001</x:v>
      </x:c>
      <x:c r="B202" s="6" t="str">
        <x:v>sourceLinks</x:v>
      </x:c>
      <x:c r="C202" s="6" t="n">
        <x:v>0</x:v>
      </x:c>
      <x:c r="D202" s="6" t="str">
        <x:v>Figure 2 panel B — PDF p. 7</x:v>
      </x:c>
      <x:c r="E202" s="6" t="str">
        <x:v>../../2019/jama.2019.17380/jama_de_boer_2019_oi_190122.pdf#page=7</x:v>
      </x:c>
    </x:row>
    <x:row r="203" ht="90" customHeight="1">
      <x:c r="A203" s="3" t="str">
        <x:v>2019::jama.2019.17380::C001</x:v>
      </x:c>
      <x:c r="B203" s="3" t="str">
        <x:v>sourceLinks</x:v>
      </x:c>
      <x:c r="C203" s="3" t="n">
        <x:v>1</x:v>
      </x:c>
      <x:c r="D203" s="3" t="str">
        <x:v>Table 2 — PDF p. 8</x:v>
      </x:c>
      <x:c r="E203" s="3" t="str">
        <x:v>../../2019/jama.2019.17380/jama_de_boer_2019_oi_190122.pdf#page=8</x:v>
      </x:c>
    </x:row>
    <x:row r="204" ht="90" customHeight="1">
      <x:c r="A204" s="6" t="str">
        <x:v>2019::jama.2019.17380::C001</x:v>
      </x:c>
      <x:c r="B204" s="6" t="str">
        <x:v>evidencePaths</x:v>
      </x:c>
      <x:c r="C204" s="6" t="n">
        <x:v>0</x:v>
      </x:c>
      <x:c r="D204" s="6" t="str">
        <x:v>2019/jama.2019.17380/.ai_paper_validation/review_1_5_2/source_inventory.md</x:v>
      </x:c>
      <x:c r="E204" s="6" t="str">
        <x:v>../../2019/jama.2019.17380/.ai_paper_validation/review_1_5_2/source_inventory.md</x:v>
      </x:c>
    </x:row>
    <x:row r="205" ht="90" customHeight="1">
      <x:c r="A205" s="3" t="str">
        <x:v>2019::jama.2019.17380::C002</x:v>
      </x:c>
      <x:c r="B205" s="3" t="str">
        <x:v>sourceLinks</x:v>
      </x:c>
      <x:c r="C205" s="3" t="n">
        <x:v>0</x:v>
      </x:c>
      <x:c r="D205" s="3" t="str">
        <x:v>Figure 2 panel D — PDF p. 7</x:v>
      </x:c>
      <x:c r="E205" s="3" t="str">
        <x:v>../../2019/jama.2019.17380/jama_de_boer_2019_oi_190122.pdf#page=7</x:v>
      </x:c>
    </x:row>
    <x:row r="206" ht="90" customHeight="1">
      <x:c r="A206" s="6" t="str">
        <x:v>2019::jama.2019.17380::C002</x:v>
      </x:c>
      <x:c r="B206" s="6" t="str">
        <x:v>sourceLinks</x:v>
      </x:c>
      <x:c r="C206" s="6" t="n">
        <x:v>1</x:v>
      </x:c>
      <x:c r="D206" s="6" t="str">
        <x:v>eTable 6 — PDF p. 11</x:v>
      </x:c>
      <x:c r="E206" s="6" t="str">
        <x:v>../../2019/jama.2019.17380/joi190122supp2_prod.pdf#page=11</x:v>
      </x:c>
    </x:row>
    <x:row r="207" ht="90" customHeight="1">
      <x:c r="A207" s="3" t="str">
        <x:v>2019::jama.2019.17380::C002</x:v>
      </x:c>
      <x:c r="B207" s="3" t="str">
        <x:v>evidencePaths</x:v>
      </x:c>
      <x:c r="C207" s="3" t="n">
        <x:v>0</x:v>
      </x:c>
      <x:c r="D207" s="3" t="str">
        <x:v>2019/jama.2019.17380/.ai_paper_validation/review_1_5_2/source_inventory.md</x:v>
      </x:c>
      <x:c r="E207" s="3" t="str">
        <x:v>../../2019/jama.2019.17380/.ai_paper_validation/review_1_5_2/source_inventory.md</x:v>
      </x:c>
    </x:row>
    <x:row r="208" ht="90" customHeight="1">
      <x:c r="A208" s="6" t="str">
        <x:v>2019::jama.2019.17380::C003</x:v>
      </x:c>
      <x:c r="B208" s="6" t="str">
        <x:v>sourceLinks</x:v>
      </x:c>
      <x:c r="C208" s="6" t="n">
        <x:v>0</x:v>
      </x:c>
      <x:c r="D208" s="6" t="str">
        <x:v>Abstract — PDF p. 1</x:v>
      </x:c>
      <x:c r="E208" s="6" t="str">
        <x:v>../../2019/jama.2019.17380/jama_de_boer_2019_oi_190122.pdf#page=1</x:v>
      </x:c>
    </x:row>
    <x:row r="209" ht="90" customHeight="1">
      <x:c r="A209" s="3" t="str">
        <x:v>2019::jama.2019.17380::C003</x:v>
      </x:c>
      <x:c r="B209" s="3" t="str">
        <x:v>sourceLinks</x:v>
      </x:c>
      <x:c r="C209" s="3" t="n">
        <x:v>1</x:v>
      </x:c>
      <x:c r="D209" s="3" t="str">
        <x:v>Table 2 and Figure 3 — PDF p. 8</x:v>
      </x:c>
      <x:c r="E209" s="3" t="str">
        <x:v>../../2019/jama.2019.17380/jama_de_boer_2019_oi_190122.pdf#page=8</x:v>
      </x:c>
    </x:row>
    <x:row r="210" ht="90" customHeight="1">
      <x:c r="A210" s="6" t="str">
        <x:v>2019::jama.2019.17380::C003</x:v>
      </x:c>
      <x:c r="B210" s="6" t="str">
        <x:v>evidencePaths</x:v>
      </x:c>
      <x:c r="C210" s="6" t="n">
        <x:v>0</x:v>
      </x:c>
      <x:c r="D210" s="6" t="str">
        <x:v>2019/jama.2019.17380/.ai_paper_validation/review_1_5_2/source_inventory.md</x:v>
      </x:c>
      <x:c r="E210" s="6" t="str">
        <x:v>../../2019/jama.2019.17380/.ai_paper_validation/review_1_5_2/source_inventory.md</x:v>
      </x:c>
    </x:row>
    <x:row r="211" ht="90" customHeight="1">
      <x:c r="A211" s="3" t="str">
        <x:v>2019::jama.2019.17380::C004</x:v>
      </x:c>
      <x:c r="B211" s="3" t="str">
        <x:v>sourceLinks</x:v>
      </x:c>
      <x:c r="C211" s="3" t="n">
        <x:v>0</x:v>
      </x:c>
      <x:c r="D211" s="3" t="str">
        <x:v>Abstract — PDF p. 1</x:v>
      </x:c>
      <x:c r="E211" s="3" t="str">
        <x:v>../../2019/jama.2019.17380/jama_de_boer_2019_oi_190122.pdf#page=1</x:v>
      </x:c>
    </x:row>
    <x:row r="212" ht="90" customHeight="1">
      <x:c r="A212" s="6" t="str">
        <x:v>2019::jama.2019.17380::C004</x:v>
      </x:c>
      <x:c r="B212" s="6" t="str">
        <x:v>sourceLinks</x:v>
      </x:c>
      <x:c r="C212" s="6" t="n">
        <x:v>1</x:v>
      </x:c>
      <x:c r="D212" s="6" t="str">
        <x:v>Table 2 — PDF p. 8</x:v>
      </x:c>
      <x:c r="E212" s="6" t="str">
        <x:v>../../2019/jama.2019.17380/jama_de_boer_2019_oi_190122.pdf#page=8</x:v>
      </x:c>
    </x:row>
    <x:row r="213" ht="90" customHeight="1">
      <x:c r="A213" s="3" t="str">
        <x:v>2019::jama.2019.17380::C004</x:v>
      </x:c>
      <x:c r="B213" s="3" t="str">
        <x:v>sourceLinks</x:v>
      </x:c>
      <x:c r="C213" s="3" t="n">
        <x:v>2</x:v>
      </x:c>
      <x:c r="D213" s="3" t="str">
        <x:v>Figure 4 — PDF p. 9</x:v>
      </x:c>
      <x:c r="E213" s="3" t="str">
        <x:v>../../2019/jama.2019.17380/jama_de_boer_2019_oi_190122.pdf#page=9</x:v>
      </x:c>
    </x:row>
    <x:row r="214" ht="90" customHeight="1">
      <x:c r="A214" s="6" t="str">
        <x:v>2019::jama.2019.17380::C004</x:v>
      </x:c>
      <x:c r="B214" s="6" t="str">
        <x:v>evidencePaths</x:v>
      </x:c>
      <x:c r="C214" s="6" t="n">
        <x:v>0</x:v>
      </x:c>
      <x:c r="D214" s="6" t="str">
        <x:v>2019/jama.2019.17380/.ai_paper_validation/review_1_5_2/source_inventory.md</x:v>
      </x:c>
      <x:c r="E214" s="6" t="str">
        <x:v>../../2019/jama.2019.17380/.ai_paper_validation/review_1_5_2/source_inventory.md</x:v>
      </x:c>
    </x:row>
    <x:row r="215" ht="90" customHeight="1">
      <x:c r="A215" s="3" t="str">
        <x:v>2019::jama.2019.17380::C005</x:v>
      </x:c>
      <x:c r="B215" s="3" t="str">
        <x:v>sourceLinks</x:v>
      </x:c>
      <x:c r="C215" s="3" t="n">
        <x:v>0</x:v>
      </x:c>
      <x:c r="D215" s="3" t="str">
        <x:v>Abstract — PDF p. 1</x:v>
      </x:c>
      <x:c r="E215" s="3" t="str">
        <x:v>../../2019/jama.2019.17380/jama_de_boer_2019_oi_190122.pdf#page=1</x:v>
      </x:c>
    </x:row>
    <x:row r="216" ht="90" customHeight="1">
      <x:c r="A216" s="6" t="str">
        <x:v>2019::jama.2019.17380::C005</x:v>
      </x:c>
      <x:c r="B216" s="6" t="str">
        <x:v>sourceLinks</x:v>
      </x:c>
      <x:c r="C216" s="6" t="n">
        <x:v>1</x:v>
      </x:c>
      <x:c r="D216" s="6" t="str">
        <x:v>eTable 6 — PDF p. 11</x:v>
      </x:c>
      <x:c r="E216" s="6" t="str">
        <x:v>../../2019/jama.2019.17380/joi190122supp2_prod.pdf#page=11</x:v>
      </x:c>
    </x:row>
    <x:row r="217" ht="90" customHeight="1">
      <x:c r="A217" s="3" t="str">
        <x:v>2019::jama.2019.17380::C005</x:v>
      </x:c>
      <x:c r="B217" s="3" t="str">
        <x:v>sourceLinks</x:v>
      </x:c>
      <x:c r="C217" s="3" t="n">
        <x:v>2</x:v>
      </x:c>
      <x:c r="D217" s="3" t="str">
        <x:v>eFigure 2 — PDF p. 18</x:v>
      </x:c>
      <x:c r="E217" s="3" t="str">
        <x:v>../../2019/jama.2019.17380/joi190122supp2_prod.pdf#page=18</x:v>
      </x:c>
    </x:row>
    <x:row r="218" ht="90" customHeight="1">
      <x:c r="A218" s="6" t="str">
        <x:v>2019::jama.2019.17380::C005</x:v>
      </x:c>
      <x:c r="B218" s="6" t="str">
        <x:v>evidencePaths</x:v>
      </x:c>
      <x:c r="C218" s="6" t="n">
        <x:v>0</x:v>
      </x:c>
      <x:c r="D218" s="6" t="str">
        <x:v>2019/jama.2019.17380/.ai_paper_validation/review_1_5_2/source_inventory.md</x:v>
      </x:c>
      <x:c r="E218" s="6" t="str">
        <x:v>../../2019/jama.2019.17380/.ai_paper_validation/review_1_5_2/source_inventory.md</x:v>
      </x:c>
    </x:row>
    <x:row r="219" ht="90" customHeight="1">
      <x:c r="A219" s="3" t="str">
        <x:v>2019::jama.2019.17380::C005</x:v>
      </x:c>
      <x:c r="B219" s="3" t="str">
        <x:v>evidencePaths</x:v>
      </x:c>
      <x:c r="C219" s="3" t="n">
        <x:v>1</x:v>
      </x:c>
      <x:c r="D219" s="3" t="str">
        <x:v>2019/jama.2019.17380/.ai_paper_validation/review_1_5_2/verification/evidence_recheck.md</x:v>
      </x:c>
      <x:c r="E219" s="3" t="str">
        <x:v>../../2019/jama.2019.17380/.ai_paper_validation/review_1_5_2/verification/evidence_recheck.md</x:v>
      </x:c>
    </x:row>
    <x:row r="220" ht="90" customHeight="1">
      <x:c r="A220" s="6" t="str">
        <x:v>2019::jama.2019.17380::C006</x:v>
      </x:c>
      <x:c r="B220" s="6" t="str">
        <x:v>sourceLinks</x:v>
      </x:c>
      <x:c r="C220" s="6" t="n">
        <x:v>0</x:v>
      </x:c>
      <x:c r="D220" s="6" t="str">
        <x:v>Abstract — PDF p. 1</x:v>
      </x:c>
      <x:c r="E220" s="6" t="str">
        <x:v>../../2019/jama.2019.17380/jama_de_boer_2019_oi_190122.pdf#page=1</x:v>
      </x:c>
    </x:row>
    <x:row r="221" ht="90" customHeight="1">
      <x:c r="A221" s="3" t="str">
        <x:v>2019::jama.2019.17380::C006</x:v>
      </x:c>
      <x:c r="B221" s="3" t="str">
        <x:v>sourceLinks</x:v>
      </x:c>
      <x:c r="C221" s="3" t="n">
        <x:v>1</x:v>
      </x:c>
      <x:c r="D221" s="3" t="str">
        <x:v>eTable 6 — PDF p. 11</x:v>
      </x:c>
      <x:c r="E221" s="3" t="str">
        <x:v>../../2019/jama.2019.17380/joi190122supp2_prod.pdf#page=11</x:v>
      </x:c>
    </x:row>
    <x:row r="222" ht="90" customHeight="1">
      <x:c r="A222" s="6" t="str">
        <x:v>2019::jama.2019.17380::C006</x:v>
      </x:c>
      <x:c r="B222" s="6" t="str">
        <x:v>sourceLinks</x:v>
      </x:c>
      <x:c r="C222" s="6" t="n">
        <x:v>2</x:v>
      </x:c>
      <x:c r="D222" s="6" t="str">
        <x:v>eFigure 3 — PDF p. 19</x:v>
      </x:c>
      <x:c r="E222" s="6" t="str">
        <x:v>../../2019/jama.2019.17380/joi190122supp2_prod.pdf#page=19</x:v>
      </x:c>
    </x:row>
    <x:row r="223" ht="90" customHeight="1">
      <x:c r="A223" s="3" t="str">
        <x:v>2019::jama.2019.17380::C006</x:v>
      </x:c>
      <x:c r="B223" s="3" t="str">
        <x:v>evidencePaths</x:v>
      </x:c>
      <x:c r="C223" s="3" t="n">
        <x:v>0</x:v>
      </x:c>
      <x:c r="D223" s="3" t="str">
        <x:v>2019/jama.2019.17380/.ai_paper_validation/review_1_5_2/source_inventory.md</x:v>
      </x:c>
      <x:c r="E223" s="3" t="str">
        <x:v>../../2019/jama.2019.17380/.ai_paper_validation/review_1_5_2/source_inventory.md</x:v>
      </x:c>
    </x:row>
    <x:row r="224" ht="90" customHeight="1">
      <x:c r="A224" s="6" t="str">
        <x:v>2019::jama.2019.17380::C006</x:v>
      </x:c>
      <x:c r="B224" s="6" t="str">
        <x:v>evidencePaths</x:v>
      </x:c>
      <x:c r="C224" s="6" t="n">
        <x:v>1</x:v>
      </x:c>
      <x:c r="D224" s="6" t="str">
        <x:v>2019/jama.2019.17380/.ai_paper_validation/review_1_5_2/verification/evidence_recheck.md</x:v>
      </x:c>
      <x:c r="E224" s="6" t="str">
        <x:v>../../2019/jama.2019.17380/.ai_paper_validation/review_1_5_2/verification/evidence_recheck.md</x:v>
      </x:c>
    </x:row>
    <x:row r="225" ht="90" customHeight="1">
      <x:c r="A225" s="3" t="str">
        <x:v>2019::jama.2019.17380::C007</x:v>
      </x:c>
      <x:c r="B225" s="3" t="str">
        <x:v>sourceLinks</x:v>
      </x:c>
      <x:c r="C225" s="3" t="n">
        <x:v>0</x:v>
      </x:c>
      <x:c r="D225" s="3" t="str">
        <x:v>Analytic-plan addendum, Section 15c — PDF p. 32</x:v>
      </x:c>
      <x:c r="E225" s="3" t="str">
        <x:v>../../2019/jama.2019.17380/joi190122supp1_prod.pdf#page=32</x:v>
      </x:c>
    </x:row>
    <x:row r="226" ht="90" customHeight="1">
      <x:c r="A226" s="6" t="str">
        <x:v>2019::jama.2019.17380::C007</x:v>
      </x:c>
      <x:c r="B226" s="6" t="str">
        <x:v>sourceLinks</x:v>
      </x:c>
      <x:c r="C226" s="6" t="n">
        <x:v>1</x:v>
      </x:c>
      <x:c r="D226" s="6" t="str">
        <x:v>Article Data Analysis — PDF p. 3</x:v>
      </x:c>
      <x:c r="E226" s="6" t="str">
        <x:v>../../2019/jama.2019.17380/jama_de_boer_2019_oi_190122.pdf#page=3</x:v>
      </x:c>
    </x:row>
    <x:row r="227" ht="90" customHeight="1">
      <x:c r="A227" s="3" t="str">
        <x:v>2019::jama.2019.17380::C007</x:v>
      </x:c>
      <x:c r="B227" s="3" t="str">
        <x:v>evidencePaths</x:v>
      </x:c>
      <x:c r="C227" s="3" t="n">
        <x:v>0</x:v>
      </x:c>
      <x:c r="D227" s="3" t="str">
        <x:v>2019/jama.2019.17380/.ai_paper_validation/review_1_5_2/source_inventory.md</x:v>
      </x:c>
      <x:c r="E227" s="3" t="str">
        <x:v>../../2019/jama.2019.17380/.ai_paper_validation/review_1_5_2/source_inventory.md</x:v>
      </x:c>
    </x:row>
    <x:row r="228" ht="90" customHeight="1">
      <x:c r="A228" s="6" t="str">
        <x:v>2019::jama.2019.17380::C007</x:v>
      </x:c>
      <x:c r="B228" s="6" t="str">
        <x:v>evidencePaths</x:v>
      </x:c>
      <x:c r="C228" s="6" t="n">
        <x:v>1</x:v>
      </x:c>
      <x:c r="D228" s="6" t="str">
        <x:v>2019/jama.2019.17380/.ai_paper_validation/review_1_5_2/verification/evidence_recheck.md</x:v>
      </x:c>
      <x:c r="E228" s="6" t="str">
        <x:v>../../2019/jama.2019.17380/.ai_paper_validation/review_1_5_2/verification/evidence_recheck.md</x:v>
      </x:c>
    </x:row>
    <x:row r="229" ht="90" customHeight="1">
      <x:c r="A229" s="3" t="str">
        <x:v>2019::jama.2019.2210::C001</x:v>
      </x:c>
      <x:c r="B229" s="3" t="str">
        <x:v>sourceLinks</x:v>
      </x:c>
      <x:c r="C229" s="3" t="n">
        <x:v>0</x:v>
      </x:c>
      <x:c r="D229" s="3" t="str">
        <x:v>main article — PDF p. 5</x:v>
      </x:c>
      <x:c r="E229" s="3" t="str">
        <x:v>../../2019/jama.2019.2210/jama_urashima_2019_oi_190023.pdf#page=5</x:v>
      </x:c>
    </x:row>
    <x:row r="230" ht="90" customHeight="1">
      <x:c r="A230" s="6" t="str">
        <x:v>2019::jama.2019.2210::C001</x:v>
      </x:c>
      <x:c r="B230" s="6" t="str">
        <x:v>sourceLinks</x:v>
      </x:c>
      <x:c r="C230" s="6" t="n">
        <x:v>1</x:v>
      </x:c>
      <x:c r="D230" s="6" t="str">
        <x:v>Supplement 2 — PDF p. 7</x:v>
      </x:c>
      <x:c r="E230" s="6" t="str">
        <x:v>../../2019/jama.2019.2210/joi190023supp2_prod.pdf#page=7</x:v>
      </x:c>
    </x:row>
    <x:row r="231" ht="90" customHeight="1">
      <x:c r="A231" s="3" t="str">
        <x:v>2019::jama.2019.2210::C001</x:v>
      </x:c>
      <x:c r="B231" s="3" t="str">
        <x:v>sourceLinks</x:v>
      </x:c>
      <x:c r="C231" s="3" t="n">
        <x:v>2</x:v>
      </x:c>
      <x:c r="D231" s="3" t="str">
        <x:v>p. 13</x:v>
      </x:c>
      <x:c r="E231" s="3" t="str">
        <x:v>../../2019/jama.2019.2210/joi190023supp2_prod.pdf#page=13</x:v>
      </x:c>
    </x:row>
    <x:row r="232" ht="90" customHeight="1">
      <x:c r="A232" s="6" t="str">
        <x:v>2019::jama.2019.2210::C001</x:v>
      </x:c>
      <x:c r="B232" s="6" t="str">
        <x:v>sourceLinks</x:v>
      </x:c>
      <x:c r="C232" s="6" t="n">
        <x:v>3</x:v>
      </x:c>
      <x:c r="D232" s="6" t="str">
        <x:v>p. 27</x:v>
      </x:c>
      <x:c r="E232" s="6" t="str">
        <x:v>../../2019/jama.2019.2210/joi190023supp2_prod.pdf#page=27</x:v>
      </x:c>
    </x:row>
    <x:row r="233" ht="90" customHeight="1">
      <x:c r="A233" s="3" t="str">
        <x:v>2019::jama.2019.2210::C001</x:v>
      </x:c>
      <x:c r="B233" s="3" t="str">
        <x:v>evidencePaths</x:v>
      </x:c>
      <x:c r="C233" s="3" t="n">
        <x:v>0</x:v>
      </x:c>
      <x:c r="D233" s="3" t="str">
        <x:v>2019/jama.2019.2210/.ai_paper_validation/review_1_5_1/source_inventory.md</x:v>
      </x:c>
      <x:c r="E233" s="3" t="str">
        <x:v>../../2019/jama.2019.2210/.ai_paper_validation/review_1_5_1/source_inventory.md</x:v>
      </x:c>
    </x:row>
    <x:row r="234" ht="90" customHeight="1">
      <x:c r="A234" s="6" t="str">
        <x:v>2019::jama.2019.2210::C002</x:v>
      </x:c>
      <x:c r="B234" s="6" t="str">
        <x:v>sourceLinks</x:v>
      </x:c>
      <x:c r="C234" s="6" t="n">
        <x:v>0</x:v>
      </x:c>
      <x:c r="D234" s="6" t="str">
        <x:v>main article — PDF p. 7</x:v>
      </x:c>
      <x:c r="E234" s="6" t="str">
        <x:v>../../2019/jama.2019.2210/jama_urashima_2019_oi_190023.pdf#page=7</x:v>
      </x:c>
    </x:row>
    <x:row r="235" ht="90" customHeight="1">
      <x:c r="A235" s="3" t="str">
        <x:v>2019::jama.2019.2210::C002</x:v>
      </x:c>
      <x:c r="B235" s="3" t="str">
        <x:v>evidencePaths</x:v>
      </x:c>
      <x:c r="C235" s="3" t="n">
        <x:v>0</x:v>
      </x:c>
      <x:c r="D235" s="3" t="str">
        <x:v>2019/jama.2019.2210/.ai_paper_validation/review_1_5_1/source_inventory.md</x:v>
      </x:c>
      <x:c r="E235" s="3" t="str">
        <x:v>../../2019/jama.2019.2210/.ai_paper_validation/review_1_5_1/source_inventory.md</x:v>
      </x:c>
    </x:row>
    <x:row r="236" ht="90" customHeight="1">
      <x:c r="A236" s="6" t="str">
        <x:v>2019::jama.2019.2210::C003</x:v>
      </x:c>
      <x:c r="B236" s="6" t="str">
        <x:v>sourceLinks</x:v>
      </x:c>
      <x:c r="C236" s="6" t="n">
        <x:v>0</x:v>
      </x:c>
      <x:c r="D236" s="6" t="str">
        <x:v>Supplement 1 — PDF p. 18</x:v>
      </x:c>
      <x:c r="E236" s="6" t="str">
        <x:v>../../2019/jama.2019.2210/joi190023supp1_prod.pdf#page=18</x:v>
      </x:c>
    </x:row>
    <x:row r="237" ht="90" customHeight="1">
      <x:c r="A237" s="3" t="str">
        <x:v>2019::jama.2019.2210::C003</x:v>
      </x:c>
      <x:c r="B237" s="3" t="str">
        <x:v>sourceLinks</x:v>
      </x:c>
      <x:c r="C237" s="3" t="n">
        <x:v>1</x:v>
      </x:c>
      <x:c r="D237" s="3" t="str">
        <x:v>Supplement 1 — PDF p. 31</x:v>
      </x:c>
      <x:c r="E237" s="3" t="str">
        <x:v>../../2019/jama.2019.2210/joi190023supp1_prod.pdf#page=31</x:v>
      </x:c>
    </x:row>
    <x:row r="238" ht="90" customHeight="1">
      <x:c r="A238" s="6" t="str">
        <x:v>2019::jama.2019.2210::C003</x:v>
      </x:c>
      <x:c r="B238" s="6" t="str">
        <x:v>evidencePaths</x:v>
      </x:c>
      <x:c r="C238" s="6" t="n">
        <x:v>0</x:v>
      </x:c>
      <x:c r="D238" s="6" t="str">
        <x:v>2019/jama.2019.2210/.ai_paper_validation/review_1_5_1/source_inventory.md</x:v>
      </x:c>
      <x:c r="E238" s="6" t="str">
        <x:v>../../2019/jama.2019.2210/.ai_paper_validation/review_1_5_1/source_inventory.md</x:v>
      </x:c>
    </x:row>
    <x:row r="239" ht="90" customHeight="1">
      <x:c r="A239" s="3" t="str">
        <x:v>2019::jama.2019.2210::C004</x:v>
      </x:c>
      <x:c r="B239" s="3" t="str">
        <x:v>sourceLinks</x:v>
      </x:c>
      <x:c r="C239" s="3" t="n">
        <x:v>0</x:v>
      </x:c>
      <x:c r="D239" s="3" t="str">
        <x:v>Supplement 1 — PDF p. 19</x:v>
      </x:c>
      <x:c r="E239" s="3" t="str">
        <x:v>../../2019/jama.2019.2210/joi190023supp1_prod.pdf#page=19</x:v>
      </x:c>
    </x:row>
    <x:row r="240" ht="90" customHeight="1">
      <x:c r="A240" s="6" t="str">
        <x:v>2019::jama.2019.2210::C004</x:v>
      </x:c>
      <x:c r="B240" s="6" t="str">
        <x:v>sourceLinks</x:v>
      </x:c>
      <x:c r="C240" s="6" t="n">
        <x:v>1</x:v>
      </x:c>
      <x:c r="D240" s="6" t="str">
        <x:v>p. 25</x:v>
      </x:c>
      <x:c r="E240" s="6" t="str">
        <x:v>../../2019/jama.2019.2210/joi190023supp1_prod.pdf#page=25</x:v>
      </x:c>
    </x:row>
    <x:row r="241" ht="90" customHeight="1">
      <x:c r="A241" s="3" t="str">
        <x:v>2019::jama.2019.2210::C004</x:v>
      </x:c>
      <x:c r="B241" s="3" t="str">
        <x:v>sourceLinks</x:v>
      </x:c>
      <x:c r="C241" s="3" t="n">
        <x:v>2</x:v>
      </x:c>
      <x:c r="D241" s="3" t="str">
        <x:v>p. 26</x:v>
      </x:c>
      <x:c r="E241" s="3" t="str">
        <x:v>../../2019/jama.2019.2210/joi190023supp1_prod.pdf#page=26</x:v>
      </x:c>
    </x:row>
    <x:row r="242" ht="90" customHeight="1">
      <x:c r="A242" s="6" t="str">
        <x:v>2019::jama.2019.2210::C004</x:v>
      </x:c>
      <x:c r="B242" s="6" t="str">
        <x:v>sourceLinks</x:v>
      </x:c>
      <x:c r="C242" s="6" t="n">
        <x:v>3</x:v>
      </x:c>
      <x:c r="D242" s="6" t="str">
        <x:v>p. 45</x:v>
      </x:c>
      <x:c r="E242" s="6" t="str">
        <x:v>../../2019/jama.2019.2210/joi190023supp1_prod.pdf#page=45</x:v>
      </x:c>
    </x:row>
    <x:row r="243" ht="90" customHeight="1">
      <x:c r="A243" s="3" t="str">
        <x:v>2019::jama.2019.2210::C004</x:v>
      </x:c>
      <x:c r="B243" s="3" t="str">
        <x:v>sourceLinks</x:v>
      </x:c>
      <x:c r="C243" s="3" t="n">
        <x:v>4</x:v>
      </x:c>
      <x:c r="D243" s="3" t="str">
        <x:v>main article — PDF p. 8</x:v>
      </x:c>
      <x:c r="E243" s="3" t="str">
        <x:v>../../2019/jama.2019.2210/jama_urashima_2019_oi_190023.pdf#page=8</x:v>
      </x:c>
    </x:row>
    <x:row r="244" ht="90" customHeight="1">
      <x:c r="A244" s="6" t="str">
        <x:v>2019::jama.2019.2210::C004</x:v>
      </x:c>
      <x:c r="B244" s="6" t="str">
        <x:v>evidencePaths</x:v>
      </x:c>
      <x:c r="C244" s="6" t="n">
        <x:v>0</x:v>
      </x:c>
      <x:c r="D244" s="6" t="str">
        <x:v>2019/jama.2019.2210/.ai_paper_validation/review_1_5_1/source_inventory.md</x:v>
      </x:c>
      <x:c r="E244" s="6" t="str">
        <x:v>../../2019/jama.2019.2210/.ai_paper_validation/review_1_5_1/source_inventory.md</x:v>
      </x:c>
    </x:row>
    <x:row r="245" ht="90" customHeight="1">
      <x:c r="A245" s="3" t="str">
        <x:v>2019::jama.2019.2210::C004</x:v>
      </x:c>
      <x:c r="B245" s="3" t="str">
        <x:v>evidencePaths</x:v>
      </x:c>
      <x:c r="C245" s="3" t="n">
        <x:v>1</x:v>
      </x:c>
      <x:c r="D245" s="3" t="str">
        <x:v>2019/jama.2019.2210/.ai_paper_validation/review_1_5_1/verification/evidence_recheck.md</x:v>
      </x:c>
      <x:c r="E245" s="3" t="str">
        <x:v>../../2019/jama.2019.2210/.ai_paper_validation/review_1_5_1/verification/evidence_recheck.md</x:v>
      </x:c>
    </x:row>
    <x:row r="246" ht="90" customHeight="1">
      <x:c r="A246" s="6" t="str">
        <x:v>2019::jama.2019.2210::C004</x:v>
      </x:c>
      <x:c r="B246" s="6" t="str">
        <x:v>evidencePaths</x:v>
      </x:c>
      <x:c r="C246" s="6" t="n">
        <x:v>2</x:v>
      </x:c>
      <x:c r="D246" s="6" t="str">
        <x:v>2019/jama.2019.2210/.ai_paper_validation/review_1_5_1/candidate_ledger.md</x:v>
      </x:c>
      <x:c r="E246" s="6" t="str">
        <x:v>../../2019/jama.2019.2210/.ai_paper_validation/review_1_5_1/candidate_ledger.md</x:v>
      </x:c>
    </x:row>
    <x:row r="247" ht="90" customHeight="1">
      <x:c r="A247" s="3" t="str">
        <x:v>2019::jama.2019.2210::C005</x:v>
      </x:c>
      <x:c r="B247" s="3" t="str">
        <x:v>sourceLinks</x:v>
      </x:c>
      <x:c r="C247" s="3" t="n">
        <x:v>0</x:v>
      </x:c>
      <x:c r="D247" s="3" t="str">
        <x:v>Supplement 1 — PDF p. 23</x:v>
      </x:c>
      <x:c r="E247" s="3" t="str">
        <x:v>../../2019/jama.2019.2210/joi190023supp1_prod.pdf#page=23</x:v>
      </x:c>
    </x:row>
    <x:row r="248" ht="90" customHeight="1">
      <x:c r="A248" s="6" t="str">
        <x:v>2019::jama.2019.2210::C005</x:v>
      </x:c>
      <x:c r="B248" s="6" t="str">
        <x:v>sourceLinks</x:v>
      </x:c>
      <x:c r="C248" s="6" t="n">
        <x:v>1</x:v>
      </x:c>
      <x:c r="D248" s="6" t="str">
        <x:v>p. 31</x:v>
      </x:c>
      <x:c r="E248" s="6" t="str">
        <x:v>../../2019/jama.2019.2210/joi190023supp1_prod.pdf#page=31</x:v>
      </x:c>
    </x:row>
    <x:row r="249" ht="90" customHeight="1">
      <x:c r="A249" s="3" t="str">
        <x:v>2019::jama.2019.2210::C005</x:v>
      </x:c>
      <x:c r="B249" s="3" t="str">
        <x:v>sourceLinks</x:v>
      </x:c>
      <x:c r="C249" s="3" t="n">
        <x:v>2</x:v>
      </x:c>
      <x:c r="D249" s="3" t="str">
        <x:v>main article — PDF p. 3</x:v>
      </x:c>
      <x:c r="E249" s="3" t="str">
        <x:v>../../2019/jama.2019.2210/jama_urashima_2019_oi_190023.pdf#page=3</x:v>
      </x:c>
    </x:row>
    <x:row r="250" ht="90" customHeight="1">
      <x:c r="A250" s="6" t="str">
        <x:v>2019::jama.2019.2210::C005</x:v>
      </x:c>
      <x:c r="B250" s="6" t="str">
        <x:v>evidencePaths</x:v>
      </x:c>
      <x:c r="C250" s="6" t="n">
        <x:v>0</x:v>
      </x:c>
      <x:c r="D250" s="6" t="str">
        <x:v>2019/jama.2019.2210/.ai_paper_validation/review_1_5_1/source_inventory.md</x:v>
      </x:c>
      <x:c r="E250" s="6" t="str">
        <x:v>../../2019/jama.2019.2210/.ai_paper_validation/review_1_5_1/source_inventory.md</x:v>
      </x:c>
    </x:row>
    <x:row r="251" ht="90" customHeight="1">
      <x:c r="A251" s="3" t="str">
        <x:v>2019::jama.2019.2210::C005</x:v>
      </x:c>
      <x:c r="B251" s="3" t="str">
        <x:v>evidencePaths</x:v>
      </x:c>
      <x:c r="C251" s="3" t="n">
        <x:v>1</x:v>
      </x:c>
      <x:c r="D251" s="3" t="str">
        <x:v>2019/jama.2019.2210/.ai_paper_validation/review_1_5_1/verification/evidence_recheck.md</x:v>
      </x:c>
      <x:c r="E251" s="3" t="str">
        <x:v>../../2019/jama.2019.2210/.ai_paper_validation/review_1_5_1/verification/evidence_recheck.md</x:v>
      </x:c>
    </x:row>
    <x:row r="252" ht="90" customHeight="1">
      <x:c r="A252" s="6" t="str">
        <x:v>2019::jama.2019.2210::C006</x:v>
      </x:c>
      <x:c r="B252" s="6" t="str">
        <x:v>sourceLinks</x:v>
      </x:c>
      <x:c r="C252" s="6" t="n">
        <x:v>0</x:v>
      </x:c>
      <x:c r="D252" s="6" t="str">
        <x:v>main article — PDF p. 5</x:v>
      </x:c>
      <x:c r="E252" s="6" t="str">
        <x:v>../../2019/jama.2019.2210/jama_urashima_2019_oi_190023.pdf#page=5</x:v>
      </x:c>
    </x:row>
    <x:row r="253" ht="90" customHeight="1">
      <x:c r="A253" s="3" t="str">
        <x:v>2019::jama.2019.2210::C006</x:v>
      </x:c>
      <x:c r="B253" s="3" t="str">
        <x:v>sourceLinks</x:v>
      </x:c>
      <x:c r="C253" s="3" t="n">
        <x:v>1</x:v>
      </x:c>
      <x:c r="D253" s="3" t="str">
        <x:v>Supplement 1 — PDF p. 27</x:v>
      </x:c>
      <x:c r="E253" s="3" t="str">
        <x:v>../../2019/jama.2019.2210/joi190023supp1_prod.pdf#page=27</x:v>
      </x:c>
    </x:row>
    <x:row r="254" ht="90" customHeight="1">
      <x:c r="A254" s="6" t="str">
        <x:v>2019::jama.2019.2210::C006</x:v>
      </x:c>
      <x:c r="B254" s="6" t="str">
        <x:v>sourceLinks</x:v>
      </x:c>
      <x:c r="C254" s="6" t="n">
        <x:v>2</x:v>
      </x:c>
      <x:c r="D254" s="6" t="str">
        <x:v>Supplement 2 — PDF p. 13</x:v>
      </x:c>
      <x:c r="E254" s="6" t="str">
        <x:v>../../2019/jama.2019.2210/joi190023supp2_prod.pdf#page=13</x:v>
      </x:c>
    </x:row>
    <x:row r="255" ht="90" customHeight="1">
      <x:c r="A255" s="3" t="str">
        <x:v>2019::jama.2019.2210::C006</x:v>
      </x:c>
      <x:c r="B255" s="3" t="str">
        <x:v>sourceLinks</x:v>
      </x:c>
      <x:c r="C255" s="3" t="n">
        <x:v>3</x:v>
      </x:c>
      <x:c r="D255" s="3" t="str">
        <x:v>p. 14</x:v>
      </x:c>
      <x:c r="E255" s="3" t="str">
        <x:v>../../2019/jama.2019.2210/joi190023supp2_prod.pdf#page=14</x:v>
      </x:c>
    </x:row>
    <x:row r="256" ht="90" customHeight="1">
      <x:c r="A256" s="6" t="str">
        <x:v>2019::jama.2019.2210::C006</x:v>
      </x:c>
      <x:c r="B256" s="6" t="str">
        <x:v>sourceLinks</x:v>
      </x:c>
      <x:c r="C256" s="6" t="n">
        <x:v>4</x:v>
      </x:c>
      <x:c r="D256" s="6" t="str">
        <x:v>p. 15</x:v>
      </x:c>
      <x:c r="E256" s="6" t="str">
        <x:v>../../2019/jama.2019.2210/joi190023supp2_prod.pdf#page=15</x:v>
      </x:c>
    </x:row>
    <x:row r="257" ht="90" customHeight="1">
      <x:c r="A257" s="3" t="str">
        <x:v>2019::jama.2019.2210::C006</x:v>
      </x:c>
      <x:c r="B257" s="3" t="str">
        <x:v>evidencePaths</x:v>
      </x:c>
      <x:c r="C257" s="3" t="n">
        <x:v>0</x:v>
      </x:c>
      <x:c r="D257" s="3" t="str">
        <x:v>2019/jama.2019.2210/.ai_paper_validation/review_1_5_1/source_inventory.md</x:v>
      </x:c>
      <x:c r="E257" s="3" t="str">
        <x:v>../../2019/jama.2019.2210/.ai_paper_validation/review_1_5_1/source_inventory.md</x:v>
      </x:c>
    </x:row>
    <x:row r="258" ht="90" customHeight="1">
      <x:c r="A258" s="6" t="str">
        <x:v>2019::jama.2019.2210::C006</x:v>
      </x:c>
      <x:c r="B258" s="6" t="str">
        <x:v>evidencePaths</x:v>
      </x:c>
      <x:c r="C258" s="6" t="n">
        <x:v>1</x:v>
      </x:c>
      <x:c r="D258" s="6" t="str">
        <x:v>2019/jama.2019.2210/.ai_paper_validation/review_1_5_1/verification/evidence_recheck.md</x:v>
      </x:c>
      <x:c r="E258" s="6" t="str">
        <x:v>../../2019/jama.2019.2210/.ai_paper_validation/review_1_5_1/verification/evidence_recheck.md</x:v>
      </x:c>
    </x:row>
    <x:row r="259" ht="90" customHeight="1">
      <x:c r="A259" s="3" t="str">
        <x:v>2019::jama.2019.2210::C007</x:v>
      </x:c>
      <x:c r="B259" s="3" t="str">
        <x:v>sourceLinks</x:v>
      </x:c>
      <x:c r="C259" s="3" t="n">
        <x:v>0</x:v>
      </x:c>
      <x:c r="D259" s="3" t="str">
        <x:v>main article — PDF p. 5</x:v>
      </x:c>
      <x:c r="E259" s="3" t="str">
        <x:v>../../2019/jama.2019.2210/jama_urashima_2019_oi_190023.pdf#page=5</x:v>
      </x:c>
    </x:row>
    <x:row r="260" ht="90" customHeight="1">
      <x:c r="A260" s="6" t="str">
        <x:v>2019::jama.2019.2210::C007</x:v>
      </x:c>
      <x:c r="B260" s="6" t="str">
        <x:v>sourceLinks</x:v>
      </x:c>
      <x:c r="C260" s="6" t="n">
        <x:v>1</x:v>
      </x:c>
      <x:c r="D260" s="6" t="str">
        <x:v>Supplement 2 — PDF p. 32</x:v>
      </x:c>
      <x:c r="E260" s="6" t="str">
        <x:v>../../2019/jama.2019.2210/joi190023supp2_prod.pdf#page=32</x:v>
      </x:c>
    </x:row>
    <x:row r="261" ht="90" customHeight="1">
      <x:c r="A261" s="3" t="str">
        <x:v>2019::jama.2019.2210::C007</x:v>
      </x:c>
      <x:c r="B261" s="3" t="str">
        <x:v>sourceLinks</x:v>
      </x:c>
      <x:c r="C261" s="3" t="n">
        <x:v>2</x:v>
      </x:c>
      <x:c r="D261" s="3" t="str">
        <x:v>p. 33</x:v>
      </x:c>
      <x:c r="E261" s="3" t="str">
        <x:v>../../2019/jama.2019.2210/joi190023supp2_prod.pdf#page=33</x:v>
      </x:c>
    </x:row>
    <x:row r="262" ht="90" customHeight="1">
      <x:c r="A262" s="6" t="str">
        <x:v>2019::jama.2019.2210::C007</x:v>
      </x:c>
      <x:c r="B262" s="6" t="str">
        <x:v>evidencePaths</x:v>
      </x:c>
      <x:c r="C262" s="6" t="n">
        <x:v>0</x:v>
      </x:c>
      <x:c r="D262" s="6" t="str">
        <x:v>2019/jama.2019.2210/.ai_paper_validation/review_1_5_1/source_inventory.md</x:v>
      </x:c>
      <x:c r="E262" s="6" t="str">
        <x:v>../../2019/jama.2019.2210/.ai_paper_validation/review_1_5_1/source_inventory.md</x:v>
      </x:c>
    </x:row>
    <x:row r="263" ht="90" customHeight="1">
      <x:c r="A263" s="3" t="str">
        <x:v>2019::jama.2019.2210::C008</x:v>
      </x:c>
      <x:c r="B263" s="3" t="str">
        <x:v>sourceLinks</x:v>
      </x:c>
      <x:c r="C263" s="3" t="n">
        <x:v>0</x:v>
      </x:c>
      <x:c r="D263" s="3" t="str">
        <x:v>main article — PDF p. 2</x:v>
      </x:c>
      <x:c r="E263" s="3" t="str">
        <x:v>../../2019/jama.2019.2210/jama_urashima_2019_oi_190023.pdf#page=2</x:v>
      </x:c>
    </x:row>
    <x:row r="264" ht="90" customHeight="1">
      <x:c r="A264" s="6" t="str">
        <x:v>2019::jama.2019.2210::C008</x:v>
      </x:c>
      <x:c r="B264" s="6" t="str">
        <x:v>sourceLinks</x:v>
      </x:c>
      <x:c r="C264" s="6" t="n">
        <x:v>1</x:v>
      </x:c>
      <x:c r="D264" s="6" t="str">
        <x:v>p. 6</x:v>
      </x:c>
      <x:c r="E264" s="6" t="str">
        <x:v>../../2019/jama.2019.2210/jama_urashima_2019_oi_190023.pdf#page=6</x:v>
      </x:c>
    </x:row>
    <x:row r="265" ht="90" customHeight="1">
      <x:c r="A265" s="3" t="str">
        <x:v>2019::jama.2019.2210::C008</x:v>
      </x:c>
      <x:c r="B265" s="3" t="str">
        <x:v>sourceLinks</x:v>
      </x:c>
      <x:c r="C265" s="3" t="n">
        <x:v>2</x:v>
      </x:c>
      <x:c r="D265" s="3" t="str">
        <x:v>Supplement 1 — PDF p. 25</x:v>
      </x:c>
      <x:c r="E265" s="3" t="str">
        <x:v>../../2019/jama.2019.2210/joi190023supp1_prod.pdf#page=25</x:v>
      </x:c>
    </x:row>
    <x:row r="266" ht="90" customHeight="1">
      <x:c r="A266" s="6" t="str">
        <x:v>2019::jama.2019.2210::C008</x:v>
      </x:c>
      <x:c r="B266" s="6" t="str">
        <x:v>sourceLinks</x:v>
      </x:c>
      <x:c r="C266" s="6" t="n">
        <x:v>3</x:v>
      </x:c>
      <x:c r="D266" s="6" t="str">
        <x:v>p. 29</x:v>
      </x:c>
      <x:c r="E266" s="6" t="str">
        <x:v>../../2019/jama.2019.2210/joi190023supp1_prod.pdf#page=29</x:v>
      </x:c>
    </x:row>
    <x:row r="267" ht="90" customHeight="1">
      <x:c r="A267" s="3" t="str">
        <x:v>2019::jama.2019.2210::C008</x:v>
      </x:c>
      <x:c r="B267" s="3" t="str">
        <x:v>sourceLinks</x:v>
      </x:c>
      <x:c r="C267" s="3" t="n">
        <x:v>4</x:v>
      </x:c>
      <x:c r="D267" s="3" t="str">
        <x:v>Supplement 2 — PDF p. 2</x:v>
      </x:c>
      <x:c r="E267" s="3" t="str">
        <x:v>../../2019/jama.2019.2210/joi190023supp2_prod.pdf#page=2</x:v>
      </x:c>
    </x:row>
    <x:row r="268" ht="90" customHeight="1">
      <x:c r="A268" s="6" t="str">
        <x:v>2019::jama.2019.2210::C008</x:v>
      </x:c>
      <x:c r="B268" s="6" t="str">
        <x:v>sourceLinks</x:v>
      </x:c>
      <x:c r="C268" s="6" t="n">
        <x:v>5</x:v>
      </x:c>
      <x:c r="D268" s="6" t="str">
        <x:v>p. 3</x:v>
      </x:c>
      <x:c r="E268" s="6" t="str">
        <x:v>../../2019/jama.2019.2210/joi190023supp2_prod.pdf#page=3</x:v>
      </x:c>
    </x:row>
    <x:row r="269" ht="90" customHeight="1">
      <x:c r="A269" s="3" t="str">
        <x:v>2019::jama.2019.2210::C008</x:v>
      </x:c>
      <x:c r="B269" s="3" t="str">
        <x:v>evidencePaths</x:v>
      </x:c>
      <x:c r="C269" s="3" t="n">
        <x:v>0</x:v>
      </x:c>
      <x:c r="D269" s="3" t="str">
        <x:v>2019/jama.2019.2210/.ai_paper_validation/review_1_5_1/source_inventory.md</x:v>
      </x:c>
      <x:c r="E269" s="3" t="str">
        <x:v>../../2019/jama.2019.2210/.ai_paper_validation/review_1_5_1/source_inventory.md</x:v>
      </x:c>
    </x:row>
    <x:row r="270" ht="90" customHeight="1">
      <x:c r="A270" s="6" t="str">
        <x:v>2019::jama.2019.2210::C008</x:v>
      </x:c>
      <x:c r="B270" s="6" t="str">
        <x:v>evidencePaths</x:v>
      </x:c>
      <x:c r="C270" s="6" t="n">
        <x:v>1</x:v>
      </x:c>
      <x:c r="D270" s="6" t="str">
        <x:v>2019/jama.2019.2210/.ai_paper_validation/review_1_5_1/verification/evidence_recheck.md</x:v>
      </x:c>
      <x:c r="E270" s="6" t="str">
        <x:v>../../2019/jama.2019.2210/.ai_paper_validation/review_1_5_1/verification/evidence_recheck.md</x:v>
      </x:c>
    </x:row>
    <x:row r="271" ht="90" customHeight="1">
      <x:c r="A271" s="3" t="str">
        <x:v>2019::jama.2019.2210::C008</x:v>
      </x:c>
      <x:c r="B271" s="3" t="str">
        <x:v>evidencePaths</x:v>
      </x:c>
      <x:c r="C271" s="3" t="n">
        <x:v>2</x:v>
      </x:c>
      <x:c r="D271" s="3" t="str">
        <x:v>2019/jama.2019.2210/.ai_paper_validation/review_1_5_1/candidate_ledger.md</x:v>
      </x:c>
      <x:c r="E271" s="3" t="str">
        <x:v>../../2019/jama.2019.2210/.ai_paper_validation/review_1_5_1/candidate_ledger.md</x:v>
      </x:c>
    </x:row>
    <x:row r="272" ht="90" customHeight="1">
      <x:c r="A272" s="6" t="str">
        <x:v>2019::jama.2019.2210::C009</x:v>
      </x:c>
      <x:c r="B272" s="6" t="str">
        <x:v>sourceLinks</x:v>
      </x:c>
      <x:c r="C272" s="6" t="n">
        <x:v>0</x:v>
      </x:c>
      <x:c r="D272" s="6" t="str">
        <x:v>main article — PDF p. 4</x:v>
      </x:c>
      <x:c r="E272" s="6" t="str">
        <x:v>../../2019/jama.2019.2210/jama_urashima_2019_oi_190023.pdf#page=4</x:v>
      </x:c>
    </x:row>
    <x:row r="273" ht="90" customHeight="1">
      <x:c r="A273" s="3" t="str">
        <x:v>2019::jama.2019.2210::C009</x:v>
      </x:c>
      <x:c r="B273" s="3" t="str">
        <x:v>sourceLinks</x:v>
      </x:c>
      <x:c r="C273" s="3" t="n">
        <x:v>1</x:v>
      </x:c>
      <x:c r="D273" s="3" t="str">
        <x:v>p. 6</x:v>
      </x:c>
      <x:c r="E273" s="3" t="str">
        <x:v>../../2019/jama.2019.2210/jama_urashima_2019_oi_190023.pdf#page=6</x:v>
      </x:c>
    </x:row>
    <x:row r="274" ht="90" customHeight="1">
      <x:c r="A274" s="6" t="str">
        <x:v>2019::jama.2019.2210::C009</x:v>
      </x:c>
      <x:c r="B274" s="6" t="str">
        <x:v>sourceLinks</x:v>
      </x:c>
      <x:c r="C274" s="6" t="n">
        <x:v>2</x:v>
      </x:c>
      <x:c r="D274" s="6" t="str">
        <x:v>p. 7</x:v>
      </x:c>
      <x:c r="E274" s="6" t="str">
        <x:v>../../2019/jama.2019.2210/jama_urashima_2019_oi_190023.pdf#page=7</x:v>
      </x:c>
    </x:row>
    <x:row r="275" ht="90" customHeight="1">
      <x:c r="A275" s="3" t="str">
        <x:v>2019::jama.2019.2210::C009</x:v>
      </x:c>
      <x:c r="B275" s="3" t="str">
        <x:v>evidencePaths</x:v>
      </x:c>
      <x:c r="C275" s="3" t="n">
        <x:v>0</x:v>
      </x:c>
      <x:c r="D275" s="3" t="str">
        <x:v>2019/jama.2019.2210/.ai_paper_validation/review_1_5_1/source_inventory.md</x:v>
      </x:c>
      <x:c r="E275" s="3" t="str">
        <x:v>../../2019/jama.2019.2210/.ai_paper_validation/review_1_5_1/source_inventory.md</x:v>
      </x:c>
    </x:row>
    <x:row r="276" ht="90" customHeight="1">
      <x:c r="A276" s="6" t="str">
        <x:v>2019::jama.2019.4755::C001</x:v>
      </x:c>
      <x:c r="B276" s="6" t="str">
        <x:v>sourceLinks</x:v>
      </x:c>
      <x:c r="C276" s="6" t="n">
        <x:v>0</x:v>
      </x:c>
      <x:c r="D276" s="6" t="str">
        <x:v>joi190039supp3_prod.pdf — PDF p. 7</x:v>
      </x:c>
      <x:c r="E276" s="6" t="str">
        <x:v>../../2019/jama.2019.4755/joi190039supp3_prod.pdf#page=7</x:v>
      </x:c>
    </x:row>
    <x:row r="277" ht="90" customHeight="1">
      <x:c r="A277" s="3" t="str">
        <x:v>2019::jama.2019.4755::C001</x:v>
      </x:c>
      <x:c r="B277" s="3" t="str">
        <x:v>sourceLinks</x:v>
      </x:c>
      <x:c r="C277" s="3" t="n">
        <x:v>1</x:v>
      </x:c>
      <x:c r="D277" s="3" t="str">
        <x:v>joi190039supp3_prod.pdf — PDF p. 6</x:v>
      </x:c>
      <x:c r="E277" s="3" t="str">
        <x:v>../../2019/jama.2019.4755/joi190039supp3_prod.pdf#page=6</x:v>
      </x:c>
    </x:row>
    <x:row r="278" ht="90" customHeight="1">
      <x:c r="A278" s="6" t="str">
        <x:v>2019::jama.2019.4755::C001</x:v>
      </x:c>
      <x:c r="B278" s="6" t="str">
        <x:v>evidencePaths</x:v>
      </x:c>
      <x:c r="C278" s="6" t="n">
        <x:v>0</x:v>
      </x:c>
      <x:c r="D278" s="6" t="str">
        <x:v>2019/jama.2019.4755/.ai_paper_validation/review_1_5_1/source_inventory.md</x:v>
      </x:c>
      <x:c r="E278" s="6" t="str">
        <x:v>../../2019/jama.2019.4755/.ai_paper_validation/review_1_5_1/source_inventory.md</x:v>
      </x:c>
    </x:row>
    <x:row r="279" ht="90" customHeight="1">
      <x:c r="A279" s="3" t="str">
        <x:v>2019::jama.2019.4755::C002</x:v>
      </x:c>
      <x:c r="B279" s="3" t="str">
        <x:v>sourceLinks</x:v>
      </x:c>
      <x:c r="C279" s="3" t="n">
        <x:v>0</x:v>
      </x:c>
      <x:c r="D279" s="3" t="str">
        <x:v>joi190039supp3_prod.pdf — PDF p. 7</x:v>
      </x:c>
      <x:c r="E279" s="3" t="str">
        <x:v>../../2019/jama.2019.4755/joi190039supp3_prod.pdf#page=7</x:v>
      </x:c>
    </x:row>
    <x:row r="280" ht="90" customHeight="1">
      <x:c r="A280" s="6" t="str">
        <x:v>2019::jama.2019.4755::C002</x:v>
      </x:c>
      <x:c r="B280" s="6" t="str">
        <x:v>sourceLinks</x:v>
      </x:c>
      <x:c r="C280" s="6" t="n">
        <x:v>1</x:v>
      </x:c>
      <x:c r="D280" s="6" t="str">
        <x:v>joi190039supp3_prod.pdf — PDF p. 6</x:v>
      </x:c>
      <x:c r="E280" s="6" t="str">
        <x:v>../../2019/jama.2019.4755/joi190039supp3_prod.pdf#page=6</x:v>
      </x:c>
    </x:row>
    <x:row r="281" ht="90" customHeight="1">
      <x:c r="A281" s="3" t="str">
        <x:v>2019::jama.2019.4755::C002</x:v>
      </x:c>
      <x:c r="B281" s="3" t="str">
        <x:v>evidencePaths</x:v>
      </x:c>
      <x:c r="C281" s="3" t="n">
        <x:v>0</x:v>
      </x:c>
      <x:c r="D281" s="3" t="str">
        <x:v>2019/jama.2019.4755/.ai_paper_validation/review_1_5_1/source_inventory.md</x:v>
      </x:c>
      <x:c r="E281" s="3" t="str">
        <x:v>../../2019/jama.2019.4755/.ai_paper_validation/review_1_5_1/source_inventory.md</x:v>
      </x:c>
    </x:row>
    <x:row r="282" ht="90" customHeight="1">
      <x:c r="A282" s="6" t="str">
        <x:v>2019::jama.2019.4755::C003</x:v>
      </x:c>
      <x:c r="B282" s="6" t="str">
        <x:v>sourceLinks</x:v>
      </x:c>
      <x:c r="C282" s="6" t="n">
        <x:v>0</x:v>
      </x:c>
      <x:c r="D282" s="6" t="str">
        <x:v>joi190039supp3_prod.pdf — PDF p. 7</x:v>
      </x:c>
      <x:c r="E282" s="6" t="str">
        <x:v>../../2019/jama.2019.4755/joi190039supp3_prod.pdf#page=7</x:v>
      </x:c>
    </x:row>
    <x:row r="283" ht="90" customHeight="1">
      <x:c r="A283" s="3" t="str">
        <x:v>2019::jama.2019.4755::C003</x:v>
      </x:c>
      <x:c r="B283" s="3" t="str">
        <x:v>sourceLinks</x:v>
      </x:c>
      <x:c r="C283" s="3" t="n">
        <x:v>1</x:v>
      </x:c>
      <x:c r="D283" s="3" t="str">
        <x:v>joi190039supp3_prod.pdf — PDF p. 6</x:v>
      </x:c>
      <x:c r="E283" s="3" t="str">
        <x:v>../../2019/jama.2019.4755/joi190039supp3_prod.pdf#page=6</x:v>
      </x:c>
    </x:row>
    <x:row r="284" ht="90" customHeight="1">
      <x:c r="A284" s="6" t="str">
        <x:v>2019::jama.2019.4755::C003</x:v>
      </x:c>
      <x:c r="B284" s="6" t="str">
        <x:v>evidencePaths</x:v>
      </x:c>
      <x:c r="C284" s="6" t="n">
        <x:v>0</x:v>
      </x:c>
      <x:c r="D284" s="6" t="str">
        <x:v>2019/jama.2019.4755/.ai_paper_validation/review_1_5_1/source_inventory.md</x:v>
      </x:c>
      <x:c r="E284" s="6" t="str">
        <x:v>../../2019/jama.2019.4755/.ai_paper_validation/review_1_5_1/source_inventory.md</x:v>
      </x:c>
    </x:row>
    <x:row r="285" ht="90" customHeight="1">
      <x:c r="A285" s="3" t="str">
        <x:v>2019::jama.2019.4755::C004</x:v>
      </x:c>
      <x:c r="B285" s="3" t="str">
        <x:v>sourceLinks</x:v>
      </x:c>
      <x:c r="C285" s="3" t="n">
        <x:v>0</x:v>
      </x:c>
      <x:c r="D285" s="3" t="str">
        <x:v>joi190039supp3_prod.pdf — PDF p. 7</x:v>
      </x:c>
      <x:c r="E285" s="3" t="str">
        <x:v>../../2019/jama.2019.4755/joi190039supp3_prod.pdf#page=7</x:v>
      </x:c>
    </x:row>
    <x:row r="286" ht="90" customHeight="1">
      <x:c r="A286" s="6" t="str">
        <x:v>2019::jama.2019.4755::C004</x:v>
      </x:c>
      <x:c r="B286" s="6" t="str">
        <x:v>sourceLinks</x:v>
      </x:c>
      <x:c r="C286" s="6" t="n">
        <x:v>1</x:v>
      </x:c>
      <x:c r="D286" s="6" t="str">
        <x:v>joi190039supp3_prod.pdf — PDF p. 6</x:v>
      </x:c>
      <x:c r="E286" s="6" t="str">
        <x:v>../../2019/jama.2019.4755/joi190039supp3_prod.pdf#page=6</x:v>
      </x:c>
    </x:row>
    <x:row r="287" ht="90" customHeight="1">
      <x:c r="A287" s="3" t="str">
        <x:v>2019::jama.2019.4755::C004</x:v>
      </x:c>
      <x:c r="B287" s="3" t="str">
        <x:v>sourceLinks</x:v>
      </x:c>
      <x:c r="C287" s="3" t="n">
        <x:v>2</x:v>
      </x:c>
      <x:c r="D287" s="3" t="str">
        <x:v>jama_brenner_2019_oi_190039.pdf — PDF p. 5</x:v>
      </x:c>
      <x:c r="E287" s="3" t="str">
        <x:v>../../2019/jama.2019.4755/jama_brenner_2019_oi_190039.pdf#page=5</x:v>
      </x:c>
    </x:row>
    <x:row r="288" ht="90" customHeight="1">
      <x:c r="A288" s="6" t="str">
        <x:v>2019::jama.2019.4755::C004</x:v>
      </x:c>
      <x:c r="B288" s="6" t="str">
        <x:v>evidencePaths</x:v>
      </x:c>
      <x:c r="C288" s="6" t="n">
        <x:v>0</x:v>
      </x:c>
      <x:c r="D288" s="6" t="str">
        <x:v>2019/jama.2019.4755/.ai_paper_validation/review_1_5_1/source_inventory.md</x:v>
      </x:c>
      <x:c r="E288" s="6" t="str">
        <x:v>../../2019/jama.2019.4755/.ai_paper_validation/review_1_5_1/source_inventory.md</x:v>
      </x:c>
    </x:row>
    <x:row r="289" ht="90" customHeight="1">
      <x:c r="A289" s="3" t="str">
        <x:v>2019::jama.2019.4755::C004</x:v>
      </x:c>
      <x:c r="B289" s="3" t="str">
        <x:v>evidencePaths</x:v>
      </x:c>
      <x:c r="C289" s="3" t="n">
        <x:v>1</x:v>
      </x:c>
      <x:c r="D289" s="3" t="str">
        <x:v>2019/jama.2019.4755/.ai_paper_validation/review_1_5_1/verification/evidence_recheck.md</x:v>
      </x:c>
      <x:c r="E289" s="3" t="str">
        <x:v>../../2019/jama.2019.4755/.ai_paper_validation/review_1_5_1/verification/evidence_recheck.md</x:v>
      </x:c>
    </x:row>
    <x:row r="290" ht="90" customHeight="1">
      <x:c r="A290" s="6" t="str">
        <x:v>2019::jama.2019.4755::C005</x:v>
      </x:c>
      <x:c r="B290" s="6" t="str">
        <x:v>sourceLinks</x:v>
      </x:c>
      <x:c r="C290" s="6" t="n">
        <x:v>0</x:v>
      </x:c>
      <x:c r="D290" s="6" t="str">
        <x:v>joi190039supp2_prod.pdf — PDF p. 6</x:v>
      </x:c>
      <x:c r="E290" s="6" t="str">
        <x:v>../../2019/jama.2019.4755/joi190039supp2_prod.pdf#page=6</x:v>
      </x:c>
    </x:row>
    <x:row r="291" ht="90" customHeight="1">
      <x:c r="A291" s="3" t="str">
        <x:v>2019::jama.2019.4755::C005</x:v>
      </x:c>
      <x:c r="B291" s="3" t="str">
        <x:v>sourceLinks</x:v>
      </x:c>
      <x:c r="C291" s="3" t="n">
        <x:v>1</x:v>
      </x:c>
      <x:c r="D291" s="3" t="str">
        <x:v>joi190039supp2_prod.pdf — PDF p. 8</x:v>
      </x:c>
      <x:c r="E291" s="3" t="str">
        <x:v>../../2019/jama.2019.4755/joi190039supp2_prod.pdf#page=8</x:v>
      </x:c>
    </x:row>
    <x:row r="292" ht="90" customHeight="1">
      <x:c r="A292" s="6" t="str">
        <x:v>2019::jama.2019.4755::C005</x:v>
      </x:c>
      <x:c r="B292" s="6" t="str">
        <x:v>sourceLinks</x:v>
      </x:c>
      <x:c r="C292" s="6" t="n">
        <x:v>2</x:v>
      </x:c>
      <x:c r="D292" s="6" t="str">
        <x:v>jama_brenner_2019_oi_190039.pdf — PDF p. 1</x:v>
      </x:c>
      <x:c r="E292" s="6" t="str">
        <x:v>../../2019/jama.2019.4755/jama_brenner_2019_oi_190039.pdf#page=1</x:v>
      </x:c>
    </x:row>
    <x:row r="293" ht="90" customHeight="1">
      <x:c r="A293" s="3" t="str">
        <x:v>2019::jama.2019.4755::C005</x:v>
      </x:c>
      <x:c r="B293" s="3" t="str">
        <x:v>sourceLinks</x:v>
      </x:c>
      <x:c r="C293" s="3" t="n">
        <x:v>3</x:v>
      </x:c>
      <x:c r="D293" s="3" t="str">
        <x:v>jama_brenner_2019_oi_190039.pdf — PDF p. 5</x:v>
      </x:c>
      <x:c r="E293" s="3" t="str">
        <x:v>../../2019/jama.2019.4755/jama_brenner_2019_oi_190039.pdf#page=5</x:v>
      </x:c>
    </x:row>
    <x:row r="294" ht="90" customHeight="1">
      <x:c r="A294" s="6" t="str">
        <x:v>2019::jama.2019.4755::C005</x:v>
      </x:c>
      <x:c r="B294" s="6" t="str">
        <x:v>evidencePaths</x:v>
      </x:c>
      <x:c r="C294" s="6" t="n">
        <x:v>0</x:v>
      </x:c>
      <x:c r="D294" s="6" t="str">
        <x:v>2019/jama.2019.4755/.ai_paper_validation/review_1_5_1/source_inventory.md</x:v>
      </x:c>
      <x:c r="E294" s="6" t="str">
        <x:v>../../2019/jama.2019.4755/.ai_paper_validation/review_1_5_1/source_inventory.md</x:v>
      </x:c>
    </x:row>
    <x:row r="295" ht="90" customHeight="1">
      <x:c r="A295" s="3" t="str">
        <x:v>2019::jama.2019.4755::C005</x:v>
      </x:c>
      <x:c r="B295" s="3" t="str">
        <x:v>evidencePaths</x:v>
      </x:c>
      <x:c r="C295" s="3" t="n">
        <x:v>1</x:v>
      </x:c>
      <x:c r="D295" s="3" t="str">
        <x:v>2019/jama.2019.4755/.ai_paper_validation/review_1_5_1/verification/evidence_recheck.md</x:v>
      </x:c>
      <x:c r="E295" s="3" t="str">
        <x:v>../../2019/jama.2019.4755/.ai_paper_validation/review_1_5_1/verification/evidence_recheck.md</x:v>
      </x:c>
    </x:row>
    <x:row r="296" ht="90" customHeight="1">
      <x:c r="A296" s="6" t="str">
        <x:v>2019::jama.2019.7505::C001</x:v>
      </x:c>
      <x:c r="B296" s="6" t="str">
        <x:v>sourceLinks</x:v>
      </x:c>
      <x:c r="C296" s="6" t="n">
        <x:v>0</x:v>
      </x:c>
      <x:c r="D296" s="6" t="str">
        <x:v>jama_bluth_2019_oi_190055_16092.pdf — PDF p. 1, abstract</x:v>
      </x:c>
      <x:c r="E296" s="6" t="str">
        <x:v>../../2019/jama.2019.7505/jama_bluth_2019_oi_190055_16092.pdf#page=1</x:v>
      </x:c>
    </x:row>
    <x:row r="297" ht="90" customHeight="1">
      <x:c r="A297" s="3" t="str">
        <x:v>2019::jama.2019.7505::C001</x:v>
      </x:c>
      <x:c r="B297" s="3" t="str">
        <x:v>sourceLinks</x:v>
      </x:c>
      <x:c r="C297" s="3" t="n">
        <x:v>1</x:v>
      </x:c>
      <x:c r="D297" s="3" t="str">
        <x:v>PDF p. 9, Table 3</x:v>
      </x:c>
      <x:c r="E297" s="3" t="str">
        <x:v>../../2019/jama.2019.7505/jama_bluth_2019_oi_190055_16092.pdf#page=9</x:v>
      </x:c>
    </x:row>
    <x:row r="298" ht="90" customHeight="1">
      <x:c r="A298" s="6" t="str">
        <x:v>2019::jama.2019.7505::C001</x:v>
      </x:c>
      <x:c r="B298" s="6" t="str">
        <x:v>evidencePaths</x:v>
      </x:c>
      <x:c r="C298" s="6" t="n">
        <x:v>0</x:v>
      </x:c>
      <x:c r="D298" s="6" t="str">
        <x:v>2019/jama.2019.7505/.ai_paper_validation/review_1_5_2/source_inventory.md</x:v>
      </x:c>
      <x:c r="E298" s="6" t="str">
        <x:v>../../2019/jama.2019.7505/.ai_paper_validation/review_1_5_2/source_inventory.md</x:v>
      </x:c>
    </x:row>
    <x:row r="299" ht="90" customHeight="1">
      <x:c r="A299" s="3" t="str">
        <x:v>2019::jama.2019.7505::C002</x:v>
      </x:c>
      <x:c r="B299" s="3" t="str">
        <x:v>sourceLinks</x:v>
      </x:c>
      <x:c r="C299" s="3" t="n">
        <x:v>0</x:v>
      </x:c>
      <x:c r="D299" s="3" t="str">
        <x:v>jama_bluth_2019_oi_190055_16092.pdf — PDF p. 9, Table 3</x:v>
      </x:c>
      <x:c r="E299" s="3" t="str">
        <x:v>../../2019/jama.2019.7505/jama_bluth_2019_oi_190055_16092.pdf#page=9</x:v>
      </x:c>
    </x:row>
    <x:row r="300" ht="90" customHeight="1">
      <x:c r="A300" s="6" t="str">
        <x:v>2019::jama.2019.7505::C002</x:v>
      </x:c>
      <x:c r="B300" s="6" t="str">
        <x:v>sourceLinks</x:v>
      </x:c>
      <x:c r="C300" s="6" t="n">
        <x:v>1</x:v>
      </x:c>
      <x:c r="D300" s="6" t="str">
        <x:v>PDF p. 10, continued Table 3 footnotes</x:v>
      </x:c>
      <x:c r="E300" s="6" t="str">
        <x:v>../../2019/jama.2019.7505/jama_bluth_2019_oi_190055_16092.pdf#page=10</x:v>
      </x:c>
    </x:row>
    <x:row r="301" ht="90" customHeight="1">
      <x:c r="A301" s="3" t="str">
        <x:v>2019::jama.2019.7505::C002</x:v>
      </x:c>
      <x:c r="B301" s="3" t="str">
        <x:v>sourceLinks</x:v>
      </x:c>
      <x:c r="C301" s="3" t="n">
        <x:v>2</x:v>
      </x:c>
      <x:c r="D301" s="3" t="str">
        <x:v>PDF p. 4, binary-outcome method</x:v>
      </x:c>
      <x:c r="E301" s="3" t="str">
        <x:v>../../2019/jama.2019.7505/jama_bluth_2019_oi_190055_16092.pdf#page=4</x:v>
      </x:c>
    </x:row>
    <x:row r="302" ht="90" customHeight="1">
      <x:c r="A302" s="6" t="str">
        <x:v>2019::jama.2019.7505::C002</x:v>
      </x:c>
      <x:c r="B302" s="6" t="str">
        <x:v>evidencePaths</x:v>
      </x:c>
      <x:c r="C302" s="6" t="n">
        <x:v>0</x:v>
      </x:c>
      <x:c r="D302" s="6" t="str">
        <x:v>2019/jama.2019.7505/.ai_paper_validation/review_1_5_2/source_inventory.md</x:v>
      </x:c>
      <x:c r="E302" s="6" t="str">
        <x:v>../../2019/jama.2019.7505/.ai_paper_validation/review_1_5_2/source_inventory.md</x:v>
      </x:c>
    </x:row>
    <x:row r="303" ht="90" customHeight="1">
      <x:c r="A303" s="3" t="str">
        <x:v>2019::jama.2019.7505::C003</x:v>
      </x:c>
      <x:c r="B303" s="3" t="str">
        <x:v>sourceLinks</x:v>
      </x:c>
      <x:c r="C303" s="3" t="n">
        <x:v>0</x:v>
      </x:c>
      <x:c r="D303" s="3" t="str">
        <x:v>joi190055supp1_prod_16092.pdf — physical PDF p. 23 (footer p. 22), section 8.2 Analysis</x:v>
      </x:c>
      <x:c r="E303" s="3" t="str">
        <x:v>../../2019/jama.2019.7505/joi190055supp1_prod_16092.pdf#page=23</x:v>
      </x:c>
    </x:row>
    <x:row r="304" ht="90" customHeight="1">
      <x:c r="A304" s="6" t="str">
        <x:v>2019::jama.2019.7505::C003</x:v>
      </x:c>
      <x:c r="B304" s="6" t="str">
        <x:v>sourceLinks</x:v>
      </x:c>
      <x:c r="C304" s="6" t="n">
        <x:v>1</x:v>
      </x:c>
      <x:c r="D304" s="6" t="str">
        <x:v>joi190055supp3_prod_16092.pdf — PDF p. 2</x:v>
      </x:c>
      <x:c r="E304" s="6" t="str">
        <x:v>../../2019/jama.2019.7505/joi190055supp3_prod_16092.pdf#page=2</x:v>
      </x:c>
    </x:row>
    <x:row r="305" ht="90" customHeight="1">
      <x:c r="A305" s="3" t="str">
        <x:v>2019::jama.2019.7505::C003</x:v>
      </x:c>
      <x:c r="B305" s="3" t="str">
        <x:v>sourceLinks</x:v>
      </x:c>
      <x:c r="C305" s="3" t="n">
        <x:v>2</x:v>
      </x:c>
      <x:c r="D305" s="3" t="str">
        <x:v>PDF p. 3</x:v>
      </x:c>
      <x:c r="E305" s="3" t="str">
        <x:v>../../2019/jama.2019.7505/joi190055supp3_prod_16092.pdf#page=3</x:v>
      </x:c>
    </x:row>
    <x:row r="306" ht="90" customHeight="1">
      <x:c r="A306" s="6" t="str">
        <x:v>2019::jama.2019.7505::C003</x:v>
      </x:c>
      <x:c r="B306" s="6" t="str">
        <x:v>evidencePaths</x:v>
      </x:c>
      <x:c r="C306" s="6" t="n">
        <x:v>0</x:v>
      </x:c>
      <x:c r="D306" s="6" t="str">
        <x:v>2019/jama.2019.7505/.ai_paper_validation/review_1_5_2/source_inventory.md</x:v>
      </x:c>
      <x:c r="E306" s="6" t="str">
        <x:v>../../2019/jama.2019.7505/.ai_paper_validation/review_1_5_2/source_inventory.md</x:v>
      </x:c>
    </x:row>
    <x:row r="307" ht="90" customHeight="1">
      <x:c r="A307" s="3" t="str">
        <x:v>2019::jama.2019.7505::C003</x:v>
      </x:c>
      <x:c r="B307" s="3" t="str">
        <x:v>evidencePaths</x:v>
      </x:c>
      <x:c r="C307" s="3" t="n">
        <x:v>1</x:v>
      </x:c>
      <x:c r="D307" s="3" t="str">
        <x:v>2019/jama.2019.7505/.ai_paper_validation/review_1_5_2/verification/evidence_recheck.md</x:v>
      </x:c>
      <x:c r="E307" s="3" t="str">
        <x:v>../../2019/jama.2019.7505/.ai_paper_validation/review_1_5_2/verification/evidence_recheck.md</x:v>
      </x:c>
    </x:row>
    <x:row r="308" ht="90" customHeight="1">
      <x:c r="A308" s="6" t="str">
        <x:v>2019::jama.2019.7505::C004</x:v>
      </x:c>
      <x:c r="B308" s="6" t="str">
        <x:v>sourceLinks</x:v>
      </x:c>
      <x:c r="C308" s="6" t="n">
        <x:v>0</x:v>
      </x:c>
      <x:c r="D308" s="6" t="str">
        <x:v>joi190055supp4_prod_16092.pdf — PDF p. 41, eFigure 11</x:v>
      </x:c>
      <x:c r="E308" s="6" t="str">
        <x:v>../../2019/jama.2019.7505/joi190055supp4_prod_16092.pdf#page=41</x:v>
      </x:c>
    </x:row>
    <x:row r="309" ht="90" customHeight="1">
      <x:c r="A309" s="3" t="str">
        <x:v>2019::jama.2019.7505::C004</x:v>
      </x:c>
      <x:c r="B309" s="3" t="str">
        <x:v>sourceLinks</x:v>
      </x:c>
      <x:c r="C309" s="3" t="n">
        <x:v>1</x:v>
      </x:c>
      <x:c r="D309" s="3" t="str">
        <x:v>PDF p. 40, eFigure 10</x:v>
      </x:c>
      <x:c r="E309" s="3" t="str">
        <x:v>../../2019/jama.2019.7505/joi190055supp4_prod_16092.pdf#page=40</x:v>
      </x:c>
    </x:row>
    <x:row r="310" ht="90" customHeight="1">
      <x:c r="A310" s="6" t="str">
        <x:v>2019::jama.2019.7505::C004</x:v>
      </x:c>
      <x:c r="B310" s="6" t="str">
        <x:v>sourceLinks</x:v>
      </x:c>
      <x:c r="C310" s="6" t="n">
        <x:v>2</x:v>
      </x:c>
      <x:c r="D310" s="6" t="str">
        <x:v>jama_bluth_2019_oi_190055_16092.pdf — PDF p. 10, Table 3</x:v>
      </x:c>
      <x:c r="E310" s="6" t="str">
        <x:v>../../2019/jama.2019.7505/jama_bluth_2019_oi_190055_16092.pdf#page=10</x:v>
      </x:c>
    </x:row>
    <x:row r="311" ht="90" customHeight="1">
      <x:c r="A311" s="3" t="str">
        <x:v>2019::jama.2019.7505::C004</x:v>
      </x:c>
      <x:c r="B311" s="3" t="str">
        <x:v>evidencePaths</x:v>
      </x:c>
      <x:c r="C311" s="3" t="n">
        <x:v>0</x:v>
      </x:c>
      <x:c r="D311" s="3" t="str">
        <x:v>2019/jama.2019.7505/.ai_paper_validation/review_1_5_2/source_inventory.md</x:v>
      </x:c>
      <x:c r="E311" s="3" t="str">
        <x:v>../../2019/jama.2019.7505/.ai_paper_validation/review_1_5_2/source_inventory.md</x:v>
      </x:c>
    </x:row>
    <x:row r="312" ht="90" customHeight="1">
      <x:c r="A312" s="6" t="str">
        <x:v>2019::jama.2019.7505::C004</x:v>
      </x:c>
      <x:c r="B312" s="6" t="str">
        <x:v>evidencePaths</x:v>
      </x:c>
      <x:c r="C312" s="6" t="n">
        <x:v>1</x:v>
      </x:c>
      <x:c r="D312" s="6" t="str">
        <x:v>2019/jama.2019.7505/.ai_paper_validation/review_1_5_2/verification/evidence_recheck.md</x:v>
      </x:c>
      <x:c r="E312" s="6" t="str">
        <x:v>../../2019/jama.2019.7505/.ai_paper_validation/review_1_5_2/verification/evidence_recheck.md</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s>
  <x:sheetData>
    <x:row r="1" ht="42" customHeight="1">
      <x:c r="A1" s="5" t="str">
        <x:v>key</x:v>
      </x:c>
      <x:c r="B1" s="5" t="str">
        <x:v>kind</x:v>
      </x:c>
      <x:c r="C1" s="5" t="str">
        <x:v>order</x:v>
      </x:c>
      <x:c r="D1" s="5" t="str">
        <x:v>relationship</x:v>
      </x:c>
    </x:row>
    <x:row r="2" ht="90" customHeight="1">
      <x:c r="A2" s="6" t="str">
        <x:v>2019::jama.2019.0556::C001</x:v>
      </x:c>
      <x:c r="B2" s="6" t="str">
        <x:v>relations</x:v>
      </x:c>
      <x:c r="C2" s="6" t="n">
        <x:v>0</x:v>
      </x:c>
      <x:c r="D2" s="6" t="str">
        <x:v>S_W</x:v>
      </x:c>
    </x:row>
    <x:row r="3" ht="90" customHeight="1">
      <x:c r="A3" s="3" t="str">
        <x:v>2019::jama.2019.0556::C002</x:v>
      </x:c>
      <x:c r="B3" s="3" t="str">
        <x:v>relations</x:v>
      </x:c>
      <x:c r="C3" s="3" t="n">
        <x:v>0</x:v>
      </x:c>
      <x:c r="D3" s="3" t="str">
        <x:v>S_C</x:v>
      </x:c>
    </x:row>
    <x:row r="4" ht="90" customHeight="1">
      <x:c r="A4" s="6" t="str">
        <x:v>2019::jama.2019.0556::C002</x:v>
      </x:c>
      <x:c r="B4" s="6" t="str">
        <x:v>relations</x:v>
      </x:c>
      <x:c r="C4" s="6" t="n">
        <x:v>1</x:v>
      </x:c>
      <x:c r="D4" s="6" t="str">
        <x:v>S_W</x:v>
      </x:c>
    </x:row>
    <x:row r="5" ht="90" customHeight="1">
      <x:c r="A5" s="3" t="str">
        <x:v>2019::jama.2019.0556::C003</x:v>
      </x:c>
      <x:c r="B5" s="3" t="str">
        <x:v>relations</x:v>
      </x:c>
      <x:c r="C5" s="3" t="n">
        <x:v>0</x:v>
      </x:c>
      <x:c r="D5" s="3" t="str">
        <x:v>S_W</x:v>
      </x:c>
    </x:row>
    <x:row r="6" ht="90" customHeight="1">
      <x:c r="A6" s="6" t="str">
        <x:v>2019::jama.2019.0556::C004</x:v>
      </x:c>
      <x:c r="B6" s="6" t="str">
        <x:v>relations</x:v>
      </x:c>
      <x:c r="C6" s="6" t="n">
        <x:v>0</x:v>
      </x:c>
      <x:c r="D6" s="6" t="str">
        <x:v>S_W</x:v>
      </x:c>
    </x:row>
    <x:row r="7" ht="90" customHeight="1">
      <x:c r="A7" s="3" t="str">
        <x:v>2019::jama.2019.0556::C005</x:v>
      </x:c>
      <x:c r="B7" s="3" t="str">
        <x:v>relations</x:v>
      </x:c>
      <x:c r="C7" s="3" t="n">
        <x:v>0</x:v>
      </x:c>
      <x:c r="D7" s="3" t="str">
        <x:v>S_W</x:v>
      </x:c>
    </x:row>
    <x:row r="8" ht="90" customHeight="1">
      <x:c r="A8" s="6" t="str">
        <x:v>2019::jama.2019.0556::C006</x:v>
      </x:c>
      <x:c r="B8" s="6" t="str">
        <x:v>relations</x:v>
      </x:c>
      <x:c r="C8" s="6" t="n">
        <x:v>0</x:v>
      </x:c>
      <x:c r="D8" s="6" t="str">
        <x:v>P_P</x:v>
      </x:c>
    </x:row>
    <x:row r="9" ht="90" customHeight="1">
      <x:c r="A9" s="3" t="str">
        <x:v>2019::jama.2019.0556::C007</x:v>
      </x:c>
      <x:c r="B9" s="3" t="str">
        <x:v>relations</x:v>
      </x:c>
      <x:c r="C9" s="3" t="n">
        <x:v>0</x:v>
      </x:c>
      <x:c r="D9" s="3" t="str">
        <x:v>P_R</x:v>
      </x:c>
    </x:row>
    <x:row r="10" ht="90" customHeight="1">
      <x:c r="A10" s="6" t="str">
        <x:v>2019::jama.2019.0556::C008</x:v>
      </x:c>
      <x:c r="B10" s="6" t="str">
        <x:v>relations</x:v>
      </x:c>
      <x:c r="C10" s="6" t="n">
        <x:v>0</x:v>
      </x:c>
      <x:c r="D10" s="6" t="str">
        <x:v>P_P</x:v>
      </x:c>
    </x:row>
    <x:row r="11" ht="90" customHeight="1">
      <x:c r="A11" s="3" t="str">
        <x:v>2019::jama.2019.0556::C009</x:v>
      </x:c>
      <x:c r="B11" s="3" t="str">
        <x:v>relations</x:v>
      </x:c>
      <x:c r="C11" s="3" t="n">
        <x:v>0</x:v>
      </x:c>
      <x:c r="D11" s="3" t="str">
        <x:v>P_P</x:v>
      </x:c>
    </x:row>
    <x:row r="12" ht="90" customHeight="1">
      <x:c r="A12" s="6" t="str">
        <x:v>2019::jama.2019.10517::C001</x:v>
      </x:c>
      <x:c r="B12" s="6" t="str">
        <x:v>relations</x:v>
      </x:c>
      <x:c r="C12" s="6" t="n">
        <x:v>0</x:v>
      </x:c>
      <x:c r="D12" s="6" t="str">
        <x:v>S_W</x:v>
      </x:c>
    </x:row>
    <x:row r="13" ht="90" customHeight="1">
      <x:c r="A13" s="3" t="str">
        <x:v>2019::jama.2019.10517::C002</x:v>
      </x:c>
      <x:c r="B13" s="3" t="str">
        <x:v>relations</x:v>
      </x:c>
      <x:c r="C13" s="3" t="n">
        <x:v>0</x:v>
      </x:c>
      <x:c r="D13" s="3" t="str">
        <x:v>S_C</x:v>
      </x:c>
    </x:row>
    <x:row r="14" ht="90" customHeight="1">
      <x:c r="A14" s="6" t="str">
        <x:v>2019::jama.2019.10517::C002</x:v>
      </x:c>
      <x:c r="B14" s="6" t="str">
        <x:v>relations</x:v>
      </x:c>
      <x:c r="C14" s="6" t="n">
        <x:v>1</x:v>
      </x:c>
      <x:c r="D14" s="6" t="str">
        <x:v>S_W</x:v>
      </x:c>
    </x:row>
    <x:row r="15" ht="90" customHeight="1">
      <x:c r="A15" s="3" t="str">
        <x:v>2019::jama.2019.10517::C003</x:v>
      </x:c>
      <x:c r="B15" s="3" t="str">
        <x:v>relations</x:v>
      </x:c>
      <x:c r="C15" s="3" t="n">
        <x:v>0</x:v>
      </x:c>
      <x:c r="D15" s="3" t="str">
        <x:v>P_P</x:v>
      </x:c>
    </x:row>
    <x:row r="16" ht="90" customHeight="1">
      <x:c r="A16" s="6" t="str">
        <x:v>2019::jama.2019.12618::C001</x:v>
      </x:c>
      <x:c r="B16" s="6" t="str">
        <x:v>relations</x:v>
      </x:c>
      <x:c r="C16" s="6" t="n">
        <x:v>0</x:v>
      </x:c>
      <x:c r="D16" s="6" t="str">
        <x:v>P_P</x:v>
      </x:c>
    </x:row>
    <x:row r="17" ht="90" customHeight="1">
      <x:c r="A17" s="3" t="str">
        <x:v>2019::jama.2019.12618::C002</x:v>
      </x:c>
      <x:c r="B17" s="3" t="str">
        <x:v>relations</x:v>
      </x:c>
      <x:c r="C17" s="3" t="n">
        <x:v>0</x:v>
      </x:c>
      <x:c r="D17" s="3" t="str">
        <x:v>S_W</x:v>
      </x:c>
    </x:row>
    <x:row r="18" ht="90" customHeight="1">
      <x:c r="A18" s="6" t="str">
        <x:v>2019::jama.2019.12618::C003</x:v>
      </x:c>
      <x:c r="B18" s="6" t="str">
        <x:v>relations</x:v>
      </x:c>
      <x:c r="C18" s="6" t="n">
        <x:v>0</x:v>
      </x:c>
      <x:c r="D18" s="6" t="str">
        <x:v>P_R</x:v>
      </x:c>
    </x:row>
    <x:row r="19" ht="90" customHeight="1">
      <x:c r="A19" s="3" t="str">
        <x:v>2019::jama.2019.12618::C004</x:v>
      </x:c>
      <x:c r="B19" s="3" t="str">
        <x:v>relations</x:v>
      </x:c>
      <x:c r="C19" s="3" t="n">
        <x:v>0</x:v>
      </x:c>
      <x:c r="D19" s="3" t="str">
        <x:v>P_R</x:v>
      </x:c>
    </x:row>
    <x:row r="20" ht="90" customHeight="1">
      <x:c r="A20" s="6" t="str">
        <x:v>2019::jama.2019.12618::C005</x:v>
      </x:c>
      <x:c r="B20" s="6" t="str">
        <x:v>relations</x:v>
      </x:c>
      <x:c r="C20" s="6" t="n">
        <x:v>0</x:v>
      </x:c>
      <x:c r="D20" s="6" t="str">
        <x:v>S_W</x:v>
      </x:c>
    </x:row>
    <x:row r="21" ht="90" customHeight="1">
      <x:c r="A21" s="3" t="str">
        <x:v>2019::jama.2019.12618::C006</x:v>
      </x:c>
      <x:c r="B21" s="3" t="str">
        <x:v>relations</x:v>
      </x:c>
      <x:c r="C21" s="3" t="n">
        <x:v>0</x:v>
      </x:c>
      <x:c r="D21" s="3" t="str">
        <x:v>S_C</x:v>
      </x:c>
    </x:row>
    <x:row r="22" ht="90" customHeight="1">
      <x:c r="A22" s="6" t="str">
        <x:v>2019::jama.2019.12618::C006</x:v>
      </x:c>
      <x:c r="B22" s="6" t="str">
        <x:v>relations</x:v>
      </x:c>
      <x:c r="C22" s="6" t="n">
        <x:v>1</x:v>
      </x:c>
      <x:c r="D22" s="6" t="str">
        <x:v>S_W</x:v>
      </x:c>
    </x:row>
    <x:row r="23" ht="90" customHeight="1">
      <x:c r="A23" s="3" t="str">
        <x:v>2019::jama.2019.12618::C007</x:v>
      </x:c>
      <x:c r="B23" s="3" t="str">
        <x:v>relations</x:v>
      </x:c>
      <x:c r="C23" s="3" t="n">
        <x:v>0</x:v>
      </x:c>
      <x:c r="D23" s="3" t="str">
        <x:v>S_W</x:v>
      </x:c>
    </x:row>
    <x:row r="24" ht="90" customHeight="1">
      <x:c r="A24" s="6" t="str">
        <x:v>2019::jama.2019.12618::C008</x:v>
      </x:c>
      <x:c r="B24" s="6" t="str">
        <x:v>relations</x:v>
      </x:c>
      <x:c r="C24" s="6" t="n">
        <x:v>0</x:v>
      </x:c>
      <x:c r="D24" s="6" t="str">
        <x:v>S_W</x:v>
      </x:c>
    </x:row>
    <x:row r="25" ht="90" customHeight="1">
      <x:c r="A25" s="3" t="str">
        <x:v>2019::jama.2019.14231::C001</x:v>
      </x:c>
      <x:c r="B25" s="3" t="str">
        <x:v>relations</x:v>
      </x:c>
      <x:c r="C25" s="3" t="n">
        <x:v>0</x:v>
      </x:c>
      <x:c r="D25" s="3" t="str">
        <x:v>P_R</x:v>
      </x:c>
    </x:row>
    <x:row r="26" ht="90" customHeight="1">
      <x:c r="A26" s="6" t="str">
        <x:v>2019::jama.2019.14231::C002</x:v>
      </x:c>
      <x:c r="B26" s="6" t="str">
        <x:v>relations</x:v>
      </x:c>
      <x:c r="C26" s="6" t="n">
        <x:v>0</x:v>
      </x:c>
      <x:c r="D26" s="6" t="str">
        <x:v>S_W</x:v>
      </x:c>
    </x:row>
    <x:row r="27" ht="90" customHeight="1">
      <x:c r="A27" s="3" t="str">
        <x:v>2019::jama.2019.14231::C003</x:v>
      </x:c>
      <x:c r="B27" s="3" t="str">
        <x:v>relations</x:v>
      </x:c>
      <x:c r="C27" s="3" t="n">
        <x:v>0</x:v>
      </x:c>
      <x:c r="D27" s="3" t="str">
        <x:v>S_W</x:v>
      </x:c>
    </x:row>
    <x:row r="28" ht="90" customHeight="1">
      <x:c r="A28" s="6" t="str">
        <x:v>2019::jama.2019.14231::C004</x:v>
      </x:c>
      <x:c r="B28" s="6" t="str">
        <x:v>relations</x:v>
      </x:c>
      <x:c r="C28" s="6" t="n">
        <x:v>0</x:v>
      </x:c>
      <x:c r="D28" s="6" t="str">
        <x:v>S_W</x:v>
      </x:c>
    </x:row>
    <x:row r="29" ht="90" customHeight="1">
      <x:c r="A29" s="3" t="str">
        <x:v>2019::jama.2019.14231::C005</x:v>
      </x:c>
      <x:c r="B29" s="3" t="str">
        <x:v>relations</x:v>
      </x:c>
      <x:c r="C29" s="3" t="n">
        <x:v>0</x:v>
      </x:c>
      <x:c r="D29" s="3" t="str">
        <x:v>S_W</x:v>
      </x:c>
    </x:row>
    <x:row r="30" ht="90" customHeight="1">
      <x:c r="A30" s="6" t="str">
        <x:v>2019::jama.2019.14231::C006</x:v>
      </x:c>
      <x:c r="B30" s="6" t="str">
        <x:v>relations</x:v>
      </x:c>
      <x:c r="C30" s="6" t="n">
        <x:v>0</x:v>
      </x:c>
      <x:c r="D30" s="6" t="str">
        <x:v>S_W</x:v>
      </x:c>
    </x:row>
    <x:row r="31" ht="90" customHeight="1">
      <x:c r="A31" s="3" t="str">
        <x:v>2019::jama.2019.14231::C007</x:v>
      </x:c>
      <x:c r="B31" s="3" t="str">
        <x:v>relations</x:v>
      </x:c>
      <x:c r="C31" s="3" t="n">
        <x:v>0</x:v>
      </x:c>
      <x:c r="D31" s="3" t="str">
        <x:v>S_W</x:v>
      </x:c>
    </x:row>
    <x:row r="32" ht="90" customHeight="1">
      <x:c r="A32" s="6" t="str">
        <x:v>2019::jama.2019.14231::C008</x:v>
      </x:c>
      <x:c r="B32" s="6" t="str">
        <x:v>relations</x:v>
      </x:c>
      <x:c r="C32" s="6" t="n">
        <x:v>0</x:v>
      </x:c>
      <x:c r="D32" s="6" t="str">
        <x:v>S_C</x:v>
      </x:c>
    </x:row>
    <x:row r="33" ht="90" customHeight="1">
      <x:c r="A33" s="3" t="str">
        <x:v>2019::jama.2019.14231::C008</x:v>
      </x:c>
      <x:c r="B33" s="3" t="str">
        <x:v>relations</x:v>
      </x:c>
      <x:c r="C33" s="3" t="n">
        <x:v>1</x:v>
      </x:c>
      <x:c r="D33" s="3" t="str">
        <x:v>S_W</x:v>
      </x:c>
    </x:row>
    <x:row r="34" ht="90" customHeight="1">
      <x:c r="A34" s="6" t="str">
        <x:v>2019::jama.2019.14231::C009</x:v>
      </x:c>
      <x:c r="B34" s="6" t="str">
        <x:v>relations</x:v>
      </x:c>
      <x:c r="C34" s="6" t="n">
        <x:v>0</x:v>
      </x:c>
      <x:c r="D34" s="6" t="str">
        <x:v>S_W</x:v>
      </x:c>
    </x:row>
    <x:row r="35" ht="90" customHeight="1">
      <x:c r="A35" s="3" t="str">
        <x:v>2019::jama.2019.14231::C010</x:v>
      </x:c>
      <x:c r="B35" s="3" t="str">
        <x:v>relations</x:v>
      </x:c>
      <x:c r="C35" s="3" t="n">
        <x:v>0</x:v>
      </x:c>
      <x:c r="D35" s="3" t="str">
        <x:v>S_W</x:v>
      </x:c>
    </x:row>
    <x:row r="36" ht="90" customHeight="1">
      <x:c r="A36" s="6" t="str">
        <x:v>2019::jama.2019.14231::C011</x:v>
      </x:c>
      <x:c r="B36" s="6" t="str">
        <x:v>relations</x:v>
      </x:c>
      <x:c r="C36" s="6" t="n">
        <x:v>0</x:v>
      </x:c>
      <x:c r="D36" s="6" t="str">
        <x:v>S_W</x:v>
      </x:c>
    </x:row>
    <x:row r="37" ht="90" customHeight="1">
      <x:c r="A37" s="3" t="str">
        <x:v>2019::jama.2019.14630::C001</x:v>
      </x:c>
      <x:c r="B37" s="3" t="str">
        <x:v>relations</x:v>
      </x:c>
      <x:c r="C37" s="3" t="n">
        <x:v>0</x:v>
      </x:c>
      <x:c r="D37" s="3" t="str">
        <x:v>S_W</x:v>
      </x:c>
    </x:row>
    <x:row r="38" ht="90" customHeight="1">
      <x:c r="A38" s="6" t="str">
        <x:v>2019::jama.2019.14630::C002</x:v>
      </x:c>
      <x:c r="B38" s="6" t="str">
        <x:v>relations</x:v>
      </x:c>
      <x:c r="C38" s="6" t="n">
        <x:v>0</x:v>
      </x:c>
      <x:c r="D38" s="6" t="str">
        <x:v>S_W</x:v>
      </x:c>
    </x:row>
    <x:row r="39" ht="90" customHeight="1">
      <x:c r="A39" s="3" t="str">
        <x:v>2019::jama.2019.14630::C003</x:v>
      </x:c>
      <x:c r="B39" s="3" t="str">
        <x:v>relations</x:v>
      </x:c>
      <x:c r="C39" s="3" t="n">
        <x:v>0</x:v>
      </x:c>
      <x:c r="D39" s="3" t="str">
        <x:v>S_W</x:v>
      </x:c>
    </x:row>
    <x:row r="40" ht="90" customHeight="1">
      <x:c r="A40" s="6" t="str">
        <x:v>2019::jama.2019.14630::C004</x:v>
      </x:c>
      <x:c r="B40" s="6" t="str">
        <x:v>relations</x:v>
      </x:c>
      <x:c r="C40" s="6" t="n">
        <x:v>0</x:v>
      </x:c>
      <x:c r="D40" s="6" t="str">
        <x:v>S_C</x:v>
      </x:c>
    </x:row>
    <x:row r="41" ht="90" customHeight="1">
      <x:c r="A41" s="3" t="str">
        <x:v>2019::jama.2019.14630::C005</x:v>
      </x:c>
      <x:c r="B41" s="3" t="str">
        <x:v>relations</x:v>
      </x:c>
      <x:c r="C41" s="3" t="n">
        <x:v>0</x:v>
      </x:c>
      <x:c r="D41" s="3" t="str">
        <x:v>S_C</x:v>
      </x:c>
    </x:row>
    <x:row r="42" ht="90" customHeight="1">
      <x:c r="A42" s="6" t="str">
        <x:v>2019::jama.2019.14630::C006</x:v>
      </x:c>
      <x:c r="B42" s="6" t="str">
        <x:v>relations</x:v>
      </x:c>
      <x:c r="C42" s="6" t="n">
        <x:v>0</x:v>
      </x:c>
      <x:c r="D42" s="6" t="str">
        <x:v>S_C</x:v>
      </x:c>
    </x:row>
    <x:row r="43" ht="90" customHeight="1">
      <x:c r="A43" s="3" t="str">
        <x:v>2019::jama.2019.14630::C007</x:v>
      </x:c>
      <x:c r="B43" s="3" t="str">
        <x:v>relations</x:v>
      </x:c>
      <x:c r="C43" s="3" t="n">
        <x:v>0</x:v>
      </x:c>
      <x:c r="D43" s="3" t="str">
        <x:v>S_C</x:v>
      </x:c>
    </x:row>
    <x:row r="44" ht="90" customHeight="1">
      <x:c r="A44" s="6" t="str">
        <x:v>2019::jama.2019.14630::C008</x:v>
      </x:c>
      <x:c r="B44" s="6" t="str">
        <x:v>relations</x:v>
      </x:c>
      <x:c r="C44" s="6" t="n">
        <x:v>0</x:v>
      </x:c>
      <x:c r="D44" s="6" t="str">
        <x:v>S_W</x:v>
      </x:c>
    </x:row>
    <x:row r="45" ht="90" customHeight="1">
      <x:c r="A45" s="3" t="str">
        <x:v>2019::jama.2019.14630::C009</x:v>
      </x:c>
      <x:c r="B45" s="3" t="str">
        <x:v>relations</x:v>
      </x:c>
      <x:c r="C45" s="3" t="n">
        <x:v>0</x:v>
      </x:c>
      <x:c r="D45" s="3" t="str">
        <x:v>S_W</x:v>
      </x:c>
    </x:row>
    <x:row r="46" ht="90" customHeight="1">
      <x:c r="A46" s="6" t="str">
        <x:v>2019::jama.2019.14901::C001</x:v>
      </x:c>
      <x:c r="B46" s="6" t="str">
        <x:v>relations</x:v>
      </x:c>
      <x:c r="C46" s="6" t="n">
        <x:v>0</x:v>
      </x:c>
      <x:c r="D46" s="6" t="str">
        <x:v>S_W</x:v>
      </x:c>
    </x:row>
    <x:row r="47" ht="90" customHeight="1">
      <x:c r="A47" s="3" t="str">
        <x:v>2019::jama.2019.14901::C002</x:v>
      </x:c>
      <x:c r="B47" s="3" t="str">
        <x:v>relations</x:v>
      </x:c>
      <x:c r="C47" s="3" t="n">
        <x:v>0</x:v>
      </x:c>
      <x:c r="D47" s="3" t="str">
        <x:v>P_R</x:v>
      </x:c>
    </x:row>
    <x:row r="48" ht="90" customHeight="1">
      <x:c r="A48" s="6" t="str">
        <x:v>2019::jama.2019.14901::C003</x:v>
      </x:c>
      <x:c r="B48" s="6" t="str">
        <x:v>relations</x:v>
      </x:c>
      <x:c r="C48" s="6" t="n">
        <x:v>0</x:v>
      </x:c>
      <x:c r="D48" s="6" t="str">
        <x:v>S_W</x:v>
      </x:c>
    </x:row>
    <x:row r="49" ht="90" customHeight="1">
      <x:c r="A49" s="3" t="str">
        <x:v>2019::jama.2019.14901::C004</x:v>
      </x:c>
      <x:c r="B49" s="3" t="str">
        <x:v>relations</x:v>
      </x:c>
      <x:c r="C49" s="3" t="n">
        <x:v>0</x:v>
      </x:c>
      <x:c r="D49" s="3" t="str">
        <x:v>S_W</x:v>
      </x:c>
    </x:row>
    <x:row r="50" ht="90" customHeight="1">
      <x:c r="A50" s="6" t="str">
        <x:v>2019::jama.2019.14901::C005</x:v>
      </x:c>
      <x:c r="B50" s="6" t="str">
        <x:v>relations</x:v>
      </x:c>
      <x:c r="C50" s="6" t="n">
        <x:v>0</x:v>
      </x:c>
      <x:c r="D50" s="6" t="str">
        <x:v>S_C</x:v>
      </x:c>
    </x:row>
    <x:row r="51" ht="90" customHeight="1">
      <x:c r="A51" s="3" t="str">
        <x:v>2019::jama.2019.14901::C006</x:v>
      </x:c>
      <x:c r="B51" s="3" t="str">
        <x:v>relations</x:v>
      </x:c>
      <x:c r="C51" s="3" t="n">
        <x:v>0</x:v>
      </x:c>
      <x:c r="D51" s="3" t="str">
        <x:v>P_P</x:v>
      </x:c>
    </x:row>
    <x:row r="52" ht="90" customHeight="1">
      <x:c r="A52" s="6" t="str">
        <x:v>2019::jama.2019.17380::C001</x:v>
      </x:c>
      <x:c r="B52" s="6" t="str">
        <x:v>relations</x:v>
      </x:c>
      <x:c r="C52" s="6" t="n">
        <x:v>0</x:v>
      </x:c>
      <x:c r="D52" s="6" t="str">
        <x:v>S_W</x:v>
      </x:c>
    </x:row>
    <x:row r="53" ht="90" customHeight="1">
      <x:c r="A53" s="3" t="str">
        <x:v>2019::jama.2019.17380::C002</x:v>
      </x:c>
      <x:c r="B53" s="3" t="str">
        <x:v>relations</x:v>
      </x:c>
      <x:c r="C53" s="3" t="n">
        <x:v>0</x:v>
      </x:c>
      <x:c r="D53" s="3" t="str">
        <x:v>S_C</x:v>
      </x:c>
    </x:row>
    <x:row r="54" ht="90" customHeight="1">
      <x:c r="A54" s="6" t="str">
        <x:v>2019::jama.2019.17380::C003</x:v>
      </x:c>
      <x:c r="B54" s="6" t="str">
        <x:v>relations</x:v>
      </x:c>
      <x:c r="C54" s="6" t="n">
        <x:v>0</x:v>
      </x:c>
      <x:c r="D54" s="6" t="str">
        <x:v>S_W</x:v>
      </x:c>
    </x:row>
    <x:row r="55" ht="90" customHeight="1">
      <x:c r="A55" s="3" t="str">
        <x:v>2019::jama.2019.17380::C004</x:v>
      </x:c>
      <x:c r="B55" s="3" t="str">
        <x:v>relations</x:v>
      </x:c>
      <x:c r="C55" s="3" t="n">
        <x:v>0</x:v>
      </x:c>
      <x:c r="D55" s="3" t="str">
        <x:v>S_W</x:v>
      </x:c>
    </x:row>
    <x:row r="56" ht="90" customHeight="1">
      <x:c r="A56" s="6" t="str">
        <x:v>2019::jama.2019.17380::C005</x:v>
      </x:c>
      <x:c r="B56" s="6" t="str">
        <x:v>relations</x:v>
      </x:c>
      <x:c r="C56" s="6" t="n">
        <x:v>0</x:v>
      </x:c>
      <x:c r="D56" s="6" t="str">
        <x:v>S_C</x:v>
      </x:c>
    </x:row>
    <x:row r="57" ht="90" customHeight="1">
      <x:c r="A57" s="3" t="str">
        <x:v>2019::jama.2019.17380::C005</x:v>
      </x:c>
      <x:c r="B57" s="3" t="str">
        <x:v>relations</x:v>
      </x:c>
      <x:c r="C57" s="3" t="n">
        <x:v>1</x:v>
      </x:c>
      <x:c r="D57" s="3" t="str">
        <x:v>S_W</x:v>
      </x:c>
    </x:row>
    <x:row r="58" ht="90" customHeight="1">
      <x:c r="A58" s="6" t="str">
        <x:v>2019::jama.2019.17380::C006</x:v>
      </x:c>
      <x:c r="B58" s="6" t="str">
        <x:v>relations</x:v>
      </x:c>
      <x:c r="C58" s="6" t="n">
        <x:v>0</x:v>
      </x:c>
      <x:c r="D58" s="6" t="str">
        <x:v>S_C</x:v>
      </x:c>
    </x:row>
    <x:row r="59" ht="90" customHeight="1">
      <x:c r="A59" s="3" t="str">
        <x:v>2019::jama.2019.17380::C006</x:v>
      </x:c>
      <x:c r="B59" s="3" t="str">
        <x:v>relations</x:v>
      </x:c>
      <x:c r="C59" s="3" t="n">
        <x:v>1</x:v>
      </x:c>
      <x:c r="D59" s="3" t="str">
        <x:v>S_W</x:v>
      </x:c>
    </x:row>
    <x:row r="60" ht="90" customHeight="1">
      <x:c r="A60" s="6" t="str">
        <x:v>2019::jama.2019.17380::C007</x:v>
      </x:c>
      <x:c r="B60" s="6" t="str">
        <x:v>relations</x:v>
      </x:c>
      <x:c r="C60" s="6" t="n">
        <x:v>0</x:v>
      </x:c>
      <x:c r="D60" s="6" t="str">
        <x:v>P_R</x:v>
      </x:c>
    </x:row>
    <x:row r="61" ht="90" customHeight="1">
      <x:c r="A61" s="3" t="str">
        <x:v>2019::jama.2019.2210::C001</x:v>
      </x:c>
      <x:c r="B61" s="3" t="str">
        <x:v>relations</x:v>
      </x:c>
      <x:c r="C61" s="3" t="n">
        <x:v>0</x:v>
      </x:c>
      <x:c r="D61" s="3" t="str">
        <x:v>S_W</x:v>
      </x:c>
    </x:row>
    <x:row r="62" ht="90" customHeight="1">
      <x:c r="A62" s="6" t="str">
        <x:v>2019::jama.2019.2210::C002</x:v>
      </x:c>
      <x:c r="B62" s="6" t="str">
        <x:v>relations</x:v>
      </x:c>
      <x:c r="C62" s="6" t="n">
        <x:v>0</x:v>
      </x:c>
      <x:c r="D62" s="6" t="str">
        <x:v>S_W</x:v>
      </x:c>
    </x:row>
    <x:row r="63" ht="90" customHeight="1">
      <x:c r="A63" s="3" t="str">
        <x:v>2019::jama.2019.2210::C003</x:v>
      </x:c>
      <x:c r="B63" s="3" t="str">
        <x:v>relations</x:v>
      </x:c>
      <x:c r="C63" s="3" t="n">
        <x:v>0</x:v>
      </x:c>
      <x:c r="D63" s="3" t="str">
        <x:v>P_P</x:v>
      </x:c>
    </x:row>
    <x:row r="64" ht="90" customHeight="1">
      <x:c r="A64" s="6" t="str">
        <x:v>2019::jama.2019.2210::C004</x:v>
      </x:c>
      <x:c r="B64" s="6" t="str">
        <x:v>relations</x:v>
      </x:c>
      <x:c r="C64" s="6" t="n">
        <x:v>0</x:v>
      </x:c>
      <x:c r="D64" s="6" t="str">
        <x:v>P_R</x:v>
      </x:c>
    </x:row>
    <x:row r="65" ht="90" customHeight="1">
      <x:c r="A65" s="3" t="str">
        <x:v>2019::jama.2019.2210::C004</x:v>
      </x:c>
      <x:c r="B65" s="3" t="str">
        <x:v>relations</x:v>
      </x:c>
      <x:c r="C65" s="3" t="n">
        <x:v>1</x:v>
      </x:c>
      <x:c r="D65" s="3" t="str">
        <x:v>P_P</x:v>
      </x:c>
    </x:row>
    <x:row r="66" ht="90" customHeight="1">
      <x:c r="A66" s="6" t="str">
        <x:v>2019::jama.2019.2210::C005</x:v>
      </x:c>
      <x:c r="B66" s="6" t="str">
        <x:v>relations</x:v>
      </x:c>
      <x:c r="C66" s="6" t="n">
        <x:v>0</x:v>
      </x:c>
      <x:c r="D66" s="6" t="str">
        <x:v>P_P</x:v>
      </x:c>
    </x:row>
    <x:row r="67" ht="90" customHeight="1">
      <x:c r="A67" s="3" t="str">
        <x:v>2019::jama.2019.2210::C006</x:v>
      </x:c>
      <x:c r="B67" s="3" t="str">
        <x:v>relations</x:v>
      </x:c>
      <x:c r="C67" s="3" t="n">
        <x:v>0</x:v>
      </x:c>
      <x:c r="D67" s="3" t="str">
        <x:v>S_C</x:v>
      </x:c>
    </x:row>
    <x:row r="68" ht="90" customHeight="1">
      <x:c r="A68" s="6" t="str">
        <x:v>2019::jama.2019.2210::C007</x:v>
      </x:c>
      <x:c r="B68" s="6" t="str">
        <x:v>relations</x:v>
      </x:c>
      <x:c r="C68" s="6" t="n">
        <x:v>0</x:v>
      </x:c>
      <x:c r="D68" s="6" t="str">
        <x:v>S_W</x:v>
      </x:c>
    </x:row>
    <x:row r="69" ht="90" customHeight="1">
      <x:c r="A69" s="3" t="str">
        <x:v>2019::jama.2019.2210::C008</x:v>
      </x:c>
      <x:c r="B69" s="3" t="str">
        <x:v>relations</x:v>
      </x:c>
      <x:c r="C69" s="3" t="n">
        <x:v>0</x:v>
      </x:c>
      <x:c r="D69" s="3" t="str">
        <x:v>P_R</x:v>
      </x:c>
    </x:row>
    <x:row r="70" ht="90" customHeight="1">
      <x:c r="A70" s="6" t="str">
        <x:v>2019::jama.2019.2210::C009</x:v>
      </x:c>
      <x:c r="B70" s="6" t="str">
        <x:v>relations</x:v>
      </x:c>
      <x:c r="C70" s="6" t="n">
        <x:v>0</x:v>
      </x:c>
      <x:c r="D70" s="6" t="str">
        <x:v>S_W</x:v>
      </x:c>
    </x:row>
    <x:row r="71" ht="90" customHeight="1">
      <x:c r="A71" s="3" t="str">
        <x:v>2019::jama.2019.4755::C001</x:v>
      </x:c>
      <x:c r="B71" s="3" t="str">
        <x:v>relations</x:v>
      </x:c>
      <x:c r="C71" s="3" t="n">
        <x:v>0</x:v>
      </x:c>
      <x:c r="D71" s="3" t="str">
        <x:v>S_W</x:v>
      </x:c>
    </x:row>
    <x:row r="72" ht="90" customHeight="1">
      <x:c r="A72" s="6" t="str">
        <x:v>2019::jama.2019.4755::C002</x:v>
      </x:c>
      <x:c r="B72" s="6" t="str">
        <x:v>relations</x:v>
      </x:c>
      <x:c r="C72" s="6" t="n">
        <x:v>0</x:v>
      </x:c>
      <x:c r="D72" s="6" t="str">
        <x:v>S_W</x:v>
      </x:c>
    </x:row>
    <x:row r="73" ht="90" customHeight="1">
      <x:c r="A73" s="3" t="str">
        <x:v>2019::jama.2019.4755::C003</x:v>
      </x:c>
      <x:c r="B73" s="3" t="str">
        <x:v>relations</x:v>
      </x:c>
      <x:c r="C73" s="3" t="n">
        <x:v>0</x:v>
      </x:c>
      <x:c r="D73" s="3" t="str">
        <x:v>S_W</x:v>
      </x:c>
    </x:row>
    <x:row r="74" ht="90" customHeight="1">
      <x:c r="A74" s="6" t="str">
        <x:v>2019::jama.2019.4755::C004</x:v>
      </x:c>
      <x:c r="B74" s="6" t="str">
        <x:v>relations</x:v>
      </x:c>
      <x:c r="C74" s="6" t="n">
        <x:v>0</x:v>
      </x:c>
      <x:c r="D74" s="6" t="str">
        <x:v>S_W</x:v>
      </x:c>
    </x:row>
    <x:row r="75" ht="90" customHeight="1">
      <x:c r="A75" s="3" t="str">
        <x:v>2019::jama.2019.4755::C005</x:v>
      </x:c>
      <x:c r="B75" s="3" t="str">
        <x:v>relations</x:v>
      </x:c>
      <x:c r="C75" s="3" t="n">
        <x:v>0</x:v>
      </x:c>
      <x:c r="D75" s="3" t="str">
        <x:v>P_P</x:v>
      </x:c>
    </x:row>
    <x:row r="76" ht="90" customHeight="1">
      <x:c r="A76" s="6" t="str">
        <x:v>2019::jama.2019.7505::C001</x:v>
      </x:c>
      <x:c r="B76" s="6" t="str">
        <x:v>relations</x:v>
      </x:c>
      <x:c r="C76" s="6" t="n">
        <x:v>0</x:v>
      </x:c>
      <x:c r="D76" s="6" t="str">
        <x:v>S_W</x:v>
      </x:c>
    </x:row>
    <x:row r="77" ht="90" customHeight="1">
      <x:c r="A77" s="3" t="str">
        <x:v>2019::jama.2019.7505::C002</x:v>
      </x:c>
      <x:c r="B77" s="3" t="str">
        <x:v>relations</x:v>
      </x:c>
      <x:c r="C77" s="3" t="n">
        <x:v>0</x:v>
      </x:c>
      <x:c r="D77" s="3" t="str">
        <x:v>S_W</x:v>
      </x:c>
    </x:row>
    <x:row r="78" ht="90" customHeight="1">
      <x:c r="A78" s="6" t="str">
        <x:v>2019::jama.2019.7505::C003</x:v>
      </x:c>
      <x:c r="B78" s="6" t="str">
        <x:v>relations</x:v>
      </x:c>
      <x:c r="C78" s="6" t="n">
        <x:v>0</x:v>
      </x:c>
      <x:c r="D78" s="6" t="str">
        <x:v>P_P</x:v>
      </x:c>
    </x:row>
    <x:row r="79" ht="90" customHeight="1">
      <x:c r="A79" s="3" t="str">
        <x:v>2019::jama.2019.7505::C004</x:v>
      </x:c>
      <x:c r="B79" s="3" t="str">
        <x:v>relations</x:v>
      </x:c>
      <x:c r="C79" s="3" t="n">
        <x:v>0</x:v>
      </x:c>
      <x:c r="D79" s="3" t="str">
        <x:v>S_W</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8" hidden="0" customWidth="1"/>
    <x:col min="3" max="3" width="38" hidden="0" customWidth="1"/>
    <x:col min="4" max="4" width="92" hidden="0" customWidth="1"/>
    <x:col min="5" max="5" width="26" hidden="0" customWidth="1"/>
  </x:cols>
  <x:sheetData>
    <x:row r="1" ht="42" customHeight="1">
      <x:c r="A1" s="5" t="str">
        <x:v>Field name</x:v>
      </x:c>
      <x:c r="B1" s="5" t="str">
        <x:v>Option / value</x:v>
      </x:c>
      <x:c r="C1" s="5" t="str">
        <x:v>Requirement / scope</x:v>
      </x:c>
      <x:c r="D1" s="5" t="str">
        <x:v>Explanation and example</x:v>
      </x:c>
      <x:c r="E1" s="5" t="str">
        <x:v>Internal key</x:v>
      </x:c>
    </x:row>
    <x:row r="2" ht="86" customHeight="1">
      <x:c r="A2" s="6" t="str">
        <x:v>Working method</x:v>
      </x:c>
      <x:c r="B2" s="6" t="str">
        <x:v>GUIDE</x:v>
      </x:c>
      <x:c r="C2" s="6" t="str">
        <x:v>Both stages</x:v>
      </x:c>
      <x:c r="D2" s="6" t="str">
        <x:v>No inherited blanks or control words. Keep the existing answers; edit directly. Blank = no answer; indeterminate/unknown = uncertain; not_applicable = inactive. Clear obsolete answers after changing a branch.</x:v>
      </x:c>
      <x:c r="E2" s="6" t="str"/>
    </x:row>
    <x:row r="3" ht="86" customHeight="1">
      <x:c r="A3" s="3" t="str">
        <x:v>Required judgments</x:v>
      </x:c>
      <x:c r="B3" s="3" t="str">
        <x:v>GUIDE</x:v>
      </x:c>
      <x:c r="C3" s="3" t="str">
        <x:v>Retain only</x:v>
      </x:c>
      <x:c r="D3" s="3" t="str">
        <x:v>statistical_results: issue + substantiveness; report_internal_inconsistency or plan_material: internalStatus. protocol_report: no extra required judgment; interpretation is optional.</x:v>
      </x:c>
      <x:c r="E3" s="3" t="str"/>
    </x:row>
    <x:row r="4" ht="86" customHeight="1">
      <x:c r="A4" s="6" t="str">
        <x:v>How to read this Codebook</x:v>
      </x:c>
      <x:c r="B4" s="6"/>
      <x:c r="C4" s="6"/>
      <x:c r="D4" s="6"/>
      <x:c r="E4" s="6"/>
    </x:row>
    <x:row r="5" ht="86" customHeight="1">
      <x:c r="A5" s="3" t="str">
        <x:v>1  |  Common decisions and optional notes</x:v>
      </x:c>
      <x:c r="B5" s="3"/>
      <x:c r="C5" s="3"/>
      <x:c r="D5" s="3"/>
      <x:c r="E5" s="3"/>
    </x:row>
    <x:row r="6" ht="86" customHeight="1">
      <x:c r="A6" s="6" t="str">
        <x:v>Disposition</x:v>
      </x:c>
      <x:c r="B6" s="6" t="str">
        <x:v>FIELD</x:v>
      </x:c>
      <x:c r="C6" s="6" t="str">
        <x:v>Required; all domains</x:v>
      </x:c>
      <x:c r="D6" s="6" t="str">
        <x:v>Keep, exclude, or defer for discussion. Blank means untouched, not discuss. No AI disposition is preselected. Checker edits the existing answer directly.</x:v>
      </x:c>
      <x:c r="E6" s="6" t="str">
        <x:v>disposition</x:v>
      </x:c>
    </x:row>
    <x:row r="7" ht="86" customHeight="1">
      <x:c r="A7" s="3"/>
      <x:c r="B7" s="3" t="str">
        <x:v>retain</x:v>
      </x:c>
      <x:c r="C7" s="3" t="str">
        <x:v>Option</x:v>
      </x:c>
      <x:c r="D7" s="3" t="str">
        <x:v>Retain candidate. After human review, keep this finding in the applicable review results; retaining a protocol discrepancy does not automatically confirm an issue.</x:v>
      </x:c>
      <x:c r="E7" s="3"/>
    </x:row>
    <x:row r="8" ht="86" customHeight="1">
      <x:c r="A8" s="6"/>
      <x:c r="B8" s="6" t="str">
        <x:v>exclude</x:v>
      </x:c>
      <x:c r="C8" s="6" t="str">
        <x:v>Option</x:v>
      </x:c>
      <x:c r="D8" s="6" t="str">
        <x:v>Do not retain. The candidate has been assessed and should not remain as a finding, for example because the apparent mismatch has a satisfactory explanation.</x:v>
      </x:c>
      <x:c r="E8" s="6"/>
    </x:row>
    <x:row r="9" ht="86" customHeight="1">
      <x:c r="A9" s="3"/>
      <x:c r="B9" s="3" t="str">
        <x:v>discuss</x:v>
      </x:c>
      <x:c r="C9" s="3" t="str">
        <x:v>Option</x:v>
      </x:c>
      <x:c r="D9" s="3" t="str">
        <x:v>Needs discussion. The reviewer has considered the candidate but cannot settle the disposition without further discussion. This is a decision to defer, not an untouched blank.</x:v>
      </x:c>
      <x:c r="E9" s="3"/>
    </x:row>
    <x:row r="10" ht="86" customHeight="1">
      <x:c r="A10" s="6" t="str">
        <x:v>Review domain</x:v>
      </x:c>
      <x:c r="B10" s="6" t="str">
        <x:v>FIELD</x:v>
      </x:c>
      <x:c r="C10" s="6" t="str">
        <x:v>Required; all domains</x:v>
      </x:c>
      <x:c r="D10" s="6" t="str">
        <x:v>Choose the assessment branch first. It controls automatic not_applicable defaults and which judgments are required. All four choices are available; the frozen document relationship code does not change.</x:v>
      </x:c>
      <x:c r="E10" s="6" t="str">
        <x:v>domain</x:v>
      </x:c>
    </x:row>
    <x:row r="11" ht="86" customHeight="1">
      <x:c r="A11" s="3"/>
      <x:c r="B11" s="3" t="str">
        <x:v>statistical_results</x:v>
      </x:c>
      <x:c r="C11" s="3" t="str">
        <x:v>Option</x:v>
      </x:c>
      <x:c r="D11" s="3" t="str">
        <x:v>Statistical results (S_C / S_W). Assess reported numbers, estimates, intervals, denominators or statistical claims in the current report materials.</x:v>
      </x:c>
      <x:c r="E11" s="3"/>
    </x:row>
    <x:row r="12" ht="86" customHeight="1">
      <x:c r="A12" s="6"/>
      <x:c r="B12" s="6" t="str">
        <x:v>report_internal_inconsistency</x:v>
      </x:c>
      <x:c r="C12" s="6" t="str">
        <x:v>Option</x:v>
      </x:c>
      <x:c r="D12" s="6" t="str">
        <x:v>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x:v>
      </x:c>
      <x:c r="E12" s="6"/>
    </x:row>
    <x:row r="13" ht="86" customHeight="1">
      <x:c r="A13" s="3"/>
      <x:c r="B13" s="3" t="str">
        <x:v>protocol_report</x:v>
      </x:c>
      <x:c r="C13" s="3" t="str">
        <x:v>Option</x:v>
      </x:c>
      <x:c r="D13" s="3" t="str">
        <x:v>Protocol-report (P_R). Assess whether planned and reported conduct or analyses meaningfully differ, using the compared materials. No search for acknowledgment or reasons for changes is required.</x:v>
      </x:c>
      <x:c r="E13" s="3"/>
    </x:row>
    <x:row r="14" ht="86" customHeight="1">
      <x:c r="A14" s="6"/>
      <x:c r="B14" s="6" t="str">
        <x:v>plan_material</x:v>
      </x:c>
      <x:c r="C14" s="6" t="str">
        <x:v>Option</x:v>
      </x:c>
      <x:c r="D14" s="6" t="str">
        <x:v>Plan material (P_P). Assess an inconsistency involving planning materials themselves rather than a planned-versus-reported result. The original relationship code remains unchanged.</x:v>
      </x:c>
      <x:c r="E14" s="6"/>
    </x:row>
    <x:row r="15" ht="86" customHeight="1">
      <x:c r="A15" s="3" t="str">
        <x:v>Complete</x:v>
      </x:c>
      <x:c r="B15" s="3" t="str">
        <x:v>FIELD</x:v>
      </x:c>
      <x:c r="C15" s="3" t="str">
        <x:v>Required; each stage</x:v>
      </x:c>
      <x:c r="D15" s="3" t="str">
        <x:v>Use no while drafting, primary_done after primary review, checker_done after checking. Reset to no after editing a completed row; then review again. Initial completion never implies checker completion.</x:v>
      </x:c>
      <x:c r="E15" s="3" t="str">
        <x:v>reviewComplete</x:v>
      </x:c>
    </x:row>
    <x:row r="16" ht="86" customHeight="1">
      <x:c r="A16" s="6"/>
      <x:c r="B16" s="6" t="str">
        <x:v>no</x:v>
      </x:c>
      <x:c r="C16" s="6" t="str">
        <x:v>Option</x:v>
      </x:c>
      <x:c r="D16" s="6" t="str">
        <x:v>Draft. This review stage is not yet confirmed complete; AI suggestions or partially filled fields do not count as completed human review.</x:v>
      </x:c>
      <x:c r="E16" s="6"/>
    </x:row>
    <x:row r="17" ht="86" customHeight="1">
      <x:c r="A17" s="3" t="str">
        <x:v>Validation hint</x:v>
      </x:c>
      <x:c r="B17" s="3" t="str">
        <x:v>FIELD</x:v>
      </x:c>
      <x:c r="C17" s="3" t="str">
        <x:v>Calculated</x:v>
      </x:c>
      <x:c r="D17" s="3" t="str">
        <x:v>Calculated entry checks for the current stage. PRIMARY READY allows handoff; FINAL READY allows final delivery. Other messages identify missing inputs or unresolved discussion. Checks does not establish scientific accuracy or prevent edits to source/formula cells.</x:v>
      </x:c>
      <x:c r="E17" s="3" t="str">
        <x:v>readiness</x:v>
      </x:c>
    </x:row>
    <x:row r="18" ht="86" customHeight="1">
      <x:c r="A18" s="6" t="str">
        <x:v>Notes (optional)</x:v>
      </x:c>
      <x:c r="B18" s="6" t="str">
        <x:v>FIELD</x:v>
      </x:c>
      <x:c r="C18" s="6" t="str">
        <x:v>Optional</x:v>
      </x:c>
      <x:c r="D18" s="6" t="str">
        <x:v>Optional English context. Clearing removes the text; no inheritance and no control words.</x:v>
      </x:c>
      <x:c r="E18" s="6" t="str">
        <x:v>notes</x:v>
      </x:c>
    </x:row>
    <x:row r="19" ht="86" customHeight="1">
      <x:c r="A19" s="3" t="str">
        <x:v>2  |  Statistical results: two required judgments</x:v>
      </x:c>
      <x:c r="B19" s="3"/>
      <x:c r="C19" s="3"/>
      <x:c r="D19" s="3"/>
      <x:c r="E19" s="3"/>
    </x:row>
    <x:row r="20" ht="86" customHeight="1">
      <x:c r="A20" s="6" t="str">
        <x:v>Statistcal_or_numerical issue</x:v>
      </x:c>
      <x:c r="B20" s="6" t="str">
        <x:v>FIELD</x:v>
      </x:c>
      <x:c r="C20" s="6" t="str">
        <x:v>Required; retained statistical_results</x:v>
      </x:c>
      <x:c r="D20" s="6" t="str">
        <x:v>Does a statistical or numerical reporting issue exist? Example: a reported percentage conflicts with its stated numerator and denominator after checking definitions. Certainty is separate from importance.</x:v>
      </x:c>
      <x:c r="E20" s="6" t="str">
        <x:v>statisticalIssueStatus</x:v>
      </x:c>
    </x:row>
    <x:row r="21" ht="86" customHeight="1">
      <x:c r="A21" s="3"/>
      <x:c r="B21" s="3" t="str">
        <x:v>confirmed_issue</x:v>
      </x:c>
      <x:c r="C21" s="3" t="str">
        <x:v>Option</x:v>
      </x:c>
      <x:c r="D21" s="3" t="str">
        <x:v>Confirmed statistical or numerical reporting issue. The available evidence establishes a reporting issue or contradiction, even if the correct replacement value is not known.</x:v>
      </x:c>
      <x:c r="E21" s="3"/>
    </x:row>
    <x:row r="22" ht="86" customHeight="1">
      <x:c r="A22" s="6"/>
      <x:c r="B22" s="6" t="str">
        <x:v>probable_issue</x:v>
      </x:c>
      <x:c r="C22" s="6" t="str">
        <x:v>Option</x:v>
      </x:c>
      <x:c r="D22" s="6" t="str">
        <x:v>Probable statistical or numerical reporting issue. The evidence favors a reporting issue, but an unresolved limitation or plausible alternative prevents confirmation.</x:v>
      </x:c>
      <x:c r="E22" s="6"/>
    </x:row>
    <x:row r="23" ht="86" customHeight="1">
      <x:c r="A23" s="3"/>
      <x:c r="B23" s="3" t="str">
        <x:v>not_issue</x:v>
      </x:c>
      <x:c r="C23" s="3" t="str">
        <x:v>Option</x:v>
      </x:c>
      <x:c r="D23" s="3" t="str">
        <x:v>Not a statistical or numerical issue. The apparent discrepancy is consistent with a valid calculation, definition, analysis method or reporting context.</x:v>
      </x:c>
      <x:c r="E23" s="3"/>
    </x:row>
    <x:row r="24" ht="86" customHeight="1">
      <x:c r="A24" s="6"/>
      <x:c r="B24" s="6" t="str">
        <x:v>indeterminate</x:v>
      </x:c>
      <x:c r="C24" s="6" t="str">
        <x:v>Option</x:v>
      </x:c>
      <x:c r="D24" s="6" t="str">
        <x:v>Indeterminate. The available evidence does not support deciding whether a statistical or numerical reporting issue exists; neither confirmation nor dismissal is justified.</x:v>
      </x:c>
      <x:c r="E24" s="6"/>
    </x:row>
    <x:row r="25" ht="86" customHeight="1">
      <x:c r="A25" s="3"/>
      <x:c r="B25" s="3" t="str">
        <x:v>not_applicable</x:v>
      </x:c>
      <x:c r="C25" s="3" t="str">
        <x:v>Option</x:v>
      </x:c>
      <x:c r="D25" s="3" t="str">
        <x:v>Automatic default outside this field's review domain or for a non-retained candidate. It is not an issue verdict, missing evidence, or an unanswered applicable question. Do not choose it for an applicable field.</x:v>
      </x:c>
      <x:c r="E25" s="3"/>
    </x:row>
    <x:row r="26" ht="86" customHeight="1">
      <x:c r="A26" s="6" t="str">
        <x:v>Substantiveness</x:v>
      </x:c>
      <x:c r="B26" s="6" t="str">
        <x:v>FIELD</x:v>
      </x:c>
      <x:c r="C26" s="6" t="str">
        <x:v>Required; retained statistical_results</x:v>
      </x:c>
      <x:c r="D26" s="6" t="str">
        <x:v>Could the issue meaningfully affect interpretation or data use? A harmless spacing typo is minor_presentation; an ambiguous extractable effect estimate may be substantive. An issue can be confirmed yet minor.</x:v>
      </x:c>
      <x:c r="E26" s="6" t="str">
        <x:v>substantiveStatus</x:v>
      </x:c>
    </x:row>
    <x:row r="27" ht="86" customHeight="1">
      <x:c r="A27" s="3"/>
      <x:c r="B27" s="3" t="str">
        <x:v>substantive</x:v>
      </x:c>
      <x:c r="C27" s="3" t="str">
        <x:v>Option</x:v>
      </x:c>
      <x:c r="D27" s="3" t="str">
        <x:v>Substantive. The issue could meaningfully change interpretation, data extraction or downstream analysis, rather than only the presentation of the result.</x:v>
      </x:c>
      <x:c r="E27" s="3"/>
    </x:row>
    <x:row r="28" ht="86" customHeight="1">
      <x:c r="A28" s="6"/>
      <x:c r="B28" s="6" t="str">
        <x:v>minor_presentation</x:v>
      </x:c>
      <x:c r="C28" s="6" t="str">
        <x:v>Option</x:v>
      </x:c>
      <x:c r="D28" s="6" t="str">
        <x:v>Minor or presentation only. The intended result remains clear and the issue is a small formatting, labeling or typographic problem without a meaningful change in interpretation.</x:v>
      </x:c>
      <x:c r="E28" s="6"/>
    </x:row>
    <x:row r="29" ht="86" customHeight="1">
      <x:c r="A29" s="3"/>
      <x:c r="B29" s="3" t="str">
        <x:v>indeterminate</x:v>
      </x:c>
      <x:c r="C29" s="3" t="str">
        <x:v>Option</x:v>
      </x:c>
      <x:c r="D29" s="3" t="str">
        <x:v>Indeterminate. There is not enough information to decide whether the issue is substantive or limited to presentation.</x:v>
      </x:c>
      <x:c r="E29" s="3"/>
    </x:row>
    <x:row r="30" ht="86" customHeight="1">
      <x:c r="A30" s="6"/>
      <x:c r="B30" s="6" t="str">
        <x:v>not_applicable</x:v>
      </x:c>
      <x:c r="C30" s="6" t="str">
        <x:v>Option</x:v>
      </x:c>
      <x:c r="D30" s="6" t="str">
        <x:v>Automatic default outside this field's review domain or for a non-retained candidate. It is not an issue verdict, missing evidence, or an unanswered applicable question. Do not choose it for an applicable field.</x:v>
      </x:c>
      <x:c r="E30" s="6"/>
    </x:row>
    <x:row r="31" ht="86" customHeight="1">
      <x:c r="A31" s="3" t="str">
        <x:v>Downstream impact</x:v>
      </x:c>
      <x:c r="B31" s="3" t="str">
        <x:v>FIELD</x:v>
      </x:c>
      <x:c r="C31" s="3" t="str">
        <x:v>Optional; retained statistical_results</x:v>
      </x:c>
      <x:c r="D31" s="3" t="str">
        <x:v>Add only useful information about later extraction or analysis. direct means the affected value itself may be extracted, not that harm has occurred. Blank is allowed and means not assessed; it is not unlikely or not_applicable. This field does not determine temporal eligibility.</x:v>
      </x:c>
      <x:c r="E31" s="3" t="str">
        <x:v>downstreamImpact</x:v>
      </x:c>
    </x:row>
    <x:row r="32" ht="86" customHeight="1">
      <x:c r="A32" s="6"/>
      <x:c r="B32" s="6" t="str">
        <x:v>direct</x:v>
      </x:c>
      <x:c r="C32" s="6" t="str">
        <x:v>Option</x:v>
      </x:c>
      <x:c r="D32" s="6" t="str">
        <x:v>Direct extraction or analysis impact. The affected value or definition is itself an input to data extraction or subsequent analysis; this describes potential impact, not proven downstream harm.</x:v>
      </x:c>
      <x:c r="E32" s="6"/>
    </x:row>
    <x:row r="33" ht="86" customHeight="1">
      <x:c r="A33" s="3"/>
      <x:c r="B33" s="3" t="str">
        <x:v>possible</x:v>
      </x:c>
      <x:c r="C33" s="3" t="str">
        <x:v>Option</x:v>
      </x:c>
      <x:c r="D33" s="3" t="str">
        <x:v>Possible downstream impact. A plausible route to affecting later interpretation, extraction or analysis exists, but the connection is indirect or uncertain.</x:v>
      </x:c>
      <x:c r="E33" s="3"/>
    </x:row>
    <x:row r="34" ht="86" customHeight="1">
      <x:c r="A34" s="6"/>
      <x:c r="B34" s="6" t="str">
        <x:v>unlikely</x:v>
      </x:c>
      <x:c r="C34" s="6" t="str">
        <x:v>Option</x:v>
      </x:c>
      <x:c r="D34" s="6" t="str">
        <x:v>Unlikely downstream impact. The issue is unlikely to change extracted information or later analysis because the relevant result remains clear and usable.</x:v>
      </x:c>
      <x:c r="E34" s="6"/>
    </x:row>
    <x:row r="35" ht="86" customHeight="1">
      <x:c r="A35" s="3"/>
      <x:c r="B35" s="3" t="str">
        <x:v>unknown</x:v>
      </x:c>
      <x:c r="C35" s="3" t="str">
        <x:v>Option</x:v>
      </x:c>
      <x:c r="D35" s="3" t="str">
        <x:v>Unable to assess. The materials do not establish enough about the affected information or its likely use to judge downstream impact.</x:v>
      </x:c>
      <x:c r="E35" s="3"/>
    </x:row>
    <x:row r="36" ht="86" customHeight="1">
      <x:c r="A36" s="6"/>
      <x:c r="B36" s="6" t="str">
        <x:v>not_applicable</x:v>
      </x:c>
      <x:c r="C36" s="6" t="str">
        <x:v>Option</x:v>
      </x:c>
      <x:c r="D36" s="6" t="str">
        <x:v>Automatic default outside this field's review domain or for a non-retained candidate. It is not an issue verdict, missing evidence, or an unanswered applicable question. Do not choose it for an applicable field.</x:v>
      </x:c>
      <x:c r="E36" s="6"/>
    </x:row>
    <x:row r="37" ht="86" customHeight="1">
      <x:c r="A37" s="3" t="str">
        <x:v>3  |  Report internal or planning-material inconsistency</x:v>
      </x:c>
      <x:c r="B37" s="3"/>
      <x:c r="C37" s="3"/>
      <x:c r="D37" s="3"/>
      <x:c r="E37" s="3"/>
    </x:row>
    <x:row r="38" ht="86" customHeight="1">
      <x:c r="A38" s="6" t="str">
        <x:v>Report-internal or planning-material inconsistency</x:v>
      </x:c>
      <x:c r="B38" s="6" t="str">
        <x:v>FIELD</x:v>
      </x:c>
      <x:c r="C38" s="6" t="str">
        <x:v>Required; retained report_internal_inconsistency or plan_material</x:v>
      </x:c>
      <x:c r="D38" s="6" t="str">
        <x:v>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x:v>
      </x:c>
      <x:c r="E38" s="6" t="str">
        <x:v>internalStatus</x:v>
      </x:c>
    </x:row>
    <x:row r="39" ht="86" customHeight="1">
      <x:c r="A39" s="3"/>
      <x:c r="B39" s="3" t="str">
        <x:v>substantive_inconsistency</x:v>
      </x:c>
      <x:c r="C39" s="3" t="str">
        <x:v>Option</x:v>
      </x:c>
      <x:c r="D39" s="3" t="str">
        <x:v>Substantive inconsistency. Conflicting statements, values, labels, or descriptions in the compared report or planning materials could materially change how the study, population, procedures or results are understood.</x:v>
      </x:c>
      <x:c r="E39" s="3"/>
    </x:row>
    <x:row r="40" ht="86" customHeight="1">
      <x:c r="A40" s="6"/>
      <x:c r="B40" s="6" t="str">
        <x:v>minor_presentation</x:v>
      </x:c>
      <x:c r="C40" s="6" t="str">
        <x:v>Option</x:v>
      </x:c>
      <x:c r="D40" s="6" t="str">
        <x:v>Minor presentation inconsistency. A real discrepancy exists, but it mainly affects presentation, including minor wording or labeling problems, and the intended meaning remains clear. Example: an imprecise label whose intended meaning is clear from context.</x:v>
      </x:c>
      <x:c r="E40" s="6"/>
    </x:row>
    <x:row r="41" ht="86" customHeight="1">
      <x:c r="A41" s="3"/>
      <x:c r="B41" s="3" t="str">
        <x:v>non_inconsistency</x:v>
      </x:c>
      <x:c r="C41" s="3" t="str">
        <x:v>Option</x:v>
      </x:c>
      <x:c r="D41" s="3" t="str">
        <x:v>Not an inconsistency. The statements are compatible once their definitions, populations, time points or other context are taken into account. This includes different wording with the same substantive meaning. Example: participants and study participants refer to the same group.</x:v>
      </x:c>
      <x:c r="E41" s="3"/>
    </x:row>
    <x:row r="42" ht="86" customHeight="1">
      <x:c r="A42" s="6"/>
      <x:c r="B42" s="6" t="str">
        <x:v>indeterminate</x:v>
      </x:c>
      <x:c r="C42" s="6" t="str">
        <x:v>Option</x:v>
      </x:c>
      <x:c r="D42" s="6" t="str">
        <x:v>Indeterminate. The available material is insufficient to establish whether the statements conflict or how important any conflict is.</x:v>
      </x:c>
      <x:c r="E42" s="6"/>
    </x:row>
    <x:row r="43" ht="86" customHeight="1">
      <x:c r="A43" s="3"/>
      <x:c r="B43" s="3" t="str">
        <x:v>not_applicable</x:v>
      </x:c>
      <x:c r="C43" s="3" t="str">
        <x:v>Option</x:v>
      </x:c>
      <x:c r="D43" s="3" t="str">
        <x:v>Automatic default outside this field's review domain or for a non-retained candidate. It is not an issue verdict, missing evidence, or an unanswered applicable question. Do not choose it for an applicable field.</x:v>
      </x:c>
      <x:c r="E43" s="3"/>
    </x:row>
    <x:row r="44" ht="86" customHeight="1">
      <x:c r="A44" s="6" t="str">
        <x:v>4  |  Protocol versus report: optional description only</x:v>
      </x:c>
      <x:c r="B44" s="6"/>
      <x:c r="C44" s="6"/>
      <x:c r="D44" s="6"/>
      <x:c r="E44" s="6"/>
    </x:row>
    <x:row r="45" ht="86" customHeight="1">
      <x:c r="A45" s="3" t="str">
        <x:v>Protocol interpretation</x:v>
      </x:c>
      <x:c r="B45" s="3" t="str">
        <x:v>FIELD</x:v>
      </x:c>
      <x:c r="C45" s="3" t="str">
        <x:v>Optional; retained protocol_report</x:v>
      </x:c>
      <x:c r="D45" s="3" t="str">
        <x:v>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x:v>
      </x:c>
      <x:c r="E45" s="3" t="str">
        <x:v>protocolInterpretation</x:v>
      </x:c>
    </x:row>
    <x:row r="46" ht="86" customHeight="1">
      <x:c r="A46" s="6"/>
      <x:c r="B46" s="6" t="str">
        <x:v>substantive_difference</x:v>
      </x:c>
      <x:c r="C46" s="6" t="str">
        <x:v>Option</x:v>
      </x:c>
      <x:c r="D46" s="6" t="str">
        <x:v>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x:v>
      </x:c>
      <x:c r="E46" s="6"/>
    </x:row>
    <x:row r="47" ht="86" customHeight="1">
      <x:c r="A47" s="3"/>
      <x:c r="B47" s="3" t="str">
        <x:v>minor_presentation</x:v>
      </x:c>
      <x:c r="C47" s="3" t="str">
        <x:v>Option</x:v>
      </x:c>
      <x:c r="D47" s="3" t="str">
        <x:v>Minor presentation difference. A minor wording, labeling or presentation problem exists, but the intended planned and reported meaning or conduct remains clear. Example: an imprecise outcome label clarified by the same definition in both documents.</x:v>
      </x:c>
      <x:c r="E47" s="3"/>
    </x:row>
    <x:row r="48" ht="86" customHeight="1">
      <x:c r="A48" s="6"/>
      <x:c r="B48" s="6" t="str">
        <x:v>version_timing</x:v>
      </x:c>
      <x:c r="C48" s="6" t="str">
        <x:v>Option</x:v>
      </x:c>
      <x:c r="D48" s="6" t="str">
        <x:v>Version or timing ambiguity. The difference may reflect which protocol version or date is being compared; the sequence cannot be resolved from the available material.</x:v>
      </x:c>
      <x:c r="E48" s="6"/>
    </x:row>
    <x:row r="49" ht="86" customHeight="1">
      <x:c r="A49" s="3"/>
      <x:c r="B49" s="3" t="str">
        <x:v>non_inconsistency</x:v>
      </x:c>
      <x:c r="C49" s="3" t="str">
        <x:v>Option</x:v>
      </x:c>
      <x:c r="D49" s="3" t="str">
        <x:v>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x:v>
      </x:c>
      <x:c r="E49" s="3"/>
    </x:row>
    <x:row r="50" ht="86" customHeight="1">
      <x:c r="A50" s="6"/>
      <x:c r="B50" s="6" t="str">
        <x:v>indeterminate</x:v>
      </x:c>
      <x:c r="C50" s="6" t="str">
        <x:v>Option</x:v>
      </x:c>
      <x:c r="D50" s="6" t="str">
        <x:v>Indeterminate. The available evidence cannot support a more specific interpretation of the planned-versus-reported difference.</x:v>
      </x:c>
      <x:c r="E50" s="6"/>
    </x:row>
    <x:row r="51" ht="86" customHeight="1">
      <x:c r="A51" s="3"/>
      <x:c r="B51" s="3" t="str">
        <x:v>not_applicable</x:v>
      </x:c>
      <x:c r="C51" s="3" t="str">
        <x:v>Option</x:v>
      </x:c>
      <x:c r="D51" s="3" t="str">
        <x:v>Automatic default outside this field's review domain or for a non-retained candidate. It is not an issue verdict, missing evidence, or an unanswered applicable question. Do not choose it for an applicable field.</x:v>
      </x:c>
      <x:c r="E51" s="3"/>
    </x:row>
    <x:row r="52" ht="86" customHeight="1">
      <x:c r="A52" s="6" t="str">
        <x:v>5  |  Second-person checking and discussion</x:v>
      </x:c>
      <x:c r="B52" s="6"/>
      <x:c r="C52" s="6"/>
      <x:c r="D52" s="6"/>
      <x:c r="E52" s="6"/>
    </x:row>
    <x:row r="53" ht="86" customHeight="1">
      <x:c r="A53" s="3" t="str">
        <x:v>Checker result</x:v>
      </x:c>
      <x:c r="B53" s="3" t="str">
        <x:v>FIELD</x:v>
      </x:c>
      <x:c r="C53" s="3" t="str">
        <x:v>Required; completed Checker</x:v>
      </x:c>
      <x:c r="D53" s="3" t="str">
        <x:v>Required in checker stage. Keep answers unchanged for agree. Every other result needs a comment; disagreements or uncertainty also require resolved discussion before final delivery.</x:v>
      </x:c>
      <x:c r="E53" s="3" t="str">
        <x:v>checkStatus</x:v>
      </x:c>
    </x:row>
    <x:row r="54" ht="86" customHeight="1">
      <x:c r="A54" s="6"/>
      <x:c r="B54" s="6" t="str">
        <x:v>agree</x:v>
      </x:c>
      <x:c r="C54" s="6" t="str">
        <x:v>Option</x:v>
      </x:c>
      <x:c r="D54" s="6" t="str">
        <x:v>Accept the unchanged primary assessment. Keep the existing answers; select agree and checker_done. No comment is required.</x:v>
      </x:c>
      <x:c r="E54" s="6"/>
    </x:row>
    <x:row r="55" ht="86" customHeight="1">
      <x:c r="A55" s="3"/>
      <x:c r="B55" s="3" t="str">
        <x:v>agree_clarification</x:v>
      </x:c>
      <x:c r="C55" s="3" t="str">
        <x:v>Option</x:v>
      </x:c>
      <x:c r="D55" s="3" t="str">
        <x:v>Accept the main assessment with clarification. Edit relevant answers directly and explain in Checker comment.</x:v>
      </x:c>
      <x:c r="E55" s="3"/>
    </x:row>
    <x:row r="56" ht="86" customHeight="1">
      <x:c r="A56" s="6"/>
      <x:c r="B56" s="6" t="str">
        <x:v>disagree</x:v>
      </x:c>
      <x:c r="C56" s="6" t="str">
        <x:v>Option</x:v>
      </x:c>
      <x:c r="D56" s="6" t="str">
        <x:v>Disagree, proposal pending discussion. Recommend a different assessment, explain why in a comment, and enter proposed changes. The proposal is not final consensus until discussion is resolved.</x:v>
      </x:c>
      <x:c r="E56" s="6"/>
    </x:row>
    <x:row r="57" ht="86" customHeight="1">
      <x:c r="A57" s="3"/>
      <x:c r="B57" s="3" t="str">
        <x:v>unable</x:v>
      </x:c>
      <x:c r="C57" s="3" t="str">
        <x:v>Option</x:v>
      </x:c>
      <x:c r="D57" s="3" t="str">
        <x:v>Unable to resolve. The checker cannot settle the issue from the available information. State what remains uncertain in a comment and refer it for discussion.</x:v>
      </x:c>
      <x:c r="E57" s="3"/>
    </x:row>
    <x:row r="58" ht="86" customHeight="1">
      <x:c r="A58" s="6" t="str">
        <x:v>Checker comment</x:v>
      </x:c>
      <x:c r="B58" s="6" t="str">
        <x:v>FIELD</x:v>
      </x:c>
      <x:c r="C58" s="6" t="str">
        <x:v>Required unless Checker result is agree</x:v>
      </x:c>
      <x:c r="D58" s="6" t="str">
        <x:v>Explain the clarification, disagreement, or uncertainty in English. An unchanged agreement does not require a comment.</x:v>
      </x:c>
      <x:c r="E58" s="6" t="str">
        <x:v>checkerComment</x:v>
      </x:c>
    </x:row>
    <x:row r="59" ht="86" customHeight="1">
      <x:c r="A59" s="3" t="str">
        <x:v>Discussion resolution</x:v>
      </x:c>
      <x:c r="B59" s="3" t="str">
        <x:v>FIELD</x:v>
      </x:c>
      <x:c r="C59" s="3" t="str">
        <x:v>Conditional; discussion</x:v>
      </x:c>
      <x:c r="D59" s="3" t="str">
        <x:v>For disagree, unable, or any primary discuss, discuss together and select resolved. Record participants and the conclusion in Resolution note; update the final assessment.</x:v>
      </x:c>
      <x:c r="E59" s="3" t="str">
        <x:v>resolutionStatus</x:v>
      </x:c>
    </x:row>
    <x:row r="60" ht="86" customHeight="1">
      <x:c r="A60" s="6"/>
      <x:c r="B60" s="6" t="str">
        <x:v>pending</x:v>
      </x:c>
      <x:c r="C60" s="6" t="str">
        <x:v>Option</x:v>
      </x:c>
      <x:c r="D60" s="6" t="str">
        <x:v>Discussion not resolved. A required discussion is not yet settled. For an unchanged agreement this default can be left as-is because no separate resolution is required.</x:v>
      </x:c>
      <x:c r="E60" s="6"/>
    </x:row>
    <x:row r="61" ht="86" customHeight="1">
      <x:c r="A61" s="3"/>
      <x:c r="B61" s="3" t="str">
        <x:v>resolved</x:v>
      </x:c>
      <x:c r="C61" s="3" t="str">
        <x:v>Option</x:v>
      </x:c>
      <x:c r="D61" s="3" t="str">
        <x:v>Joint discussion resolved. Record the participants and agreed conclusion in Resolution note, update the proposed assessment, and do not leave disposition as discuss.</x:v>
      </x:c>
      <x:c r="E61" s="3"/>
    </x:row>
    <x:row r="62" ht="86" customHeight="1">
      <x:c r="A62" s="6" t="str">
        <x:v>Resolution note</x:v>
      </x:c>
      <x:c r="B62" s="6" t="str">
        <x:v>FIELD</x:v>
      </x:c>
      <x:c r="C62" s="6" t="str">
        <x:v>Required when resolved</x:v>
      </x:c>
      <x:c r="D62" s="6" t="str">
        <x:v>Record participants and the agreed conclusion in English. Update proposed judgments and do not leave Disposition=discuss. Checker completion alone does not settle disagreement.</x:v>
      </x:c>
      <x:c r="E62" s="6" t="str">
        <x:v>resolutionNote</x:v>
      </x:c>
    </x:row>
    <x:row r="63" ht="86" customHeight="1">
      <x:c r="A63" s="3" t="str">
        <x:v>6  |  Candidate context</x:v>
      </x:c>
      <x:c r="B63" s="3"/>
      <x:c r="C63" s="3"/>
      <x:c r="D63" s="3"/>
      <x:c r="E63" s="3"/>
    </x:row>
    <x:row r="64" ht="86" customHeight="1">
      <x:c r="A64" s="6" t="str">
        <x:v>Candidate key</x:v>
      </x:c>
      <x:c r="B64" s="6" t="str">
        <x:v>FIELD</x:v>
      </x:c>
      <x:c r="C64" s="6" t="str">
        <x:v>Reference</x:v>
      </x:c>
      <x:c r="D64" s="6" t="str">
        <x:v>Unique candidate identity used for matching, even after complete rows are reordered. Never edit this value.</x:v>
      </x:c>
      <x:c r="E64" s="6" t="str">
        <x:v>key</x:v>
      </x:c>
    </x:row>
    <x:row r="65" ht="86" customHeight="1">
      <x:c r="A65" s="3" t="str">
        <x:v>Candidate title</x:v>
      </x:c>
      <x:c r="B65" s="3" t="str">
        <x:v>FIELD</x:v>
      </x:c>
      <x:c r="C65" s="3" t="str">
        <x:v>Reference</x:v>
      </x:c>
      <x:c r="D65" s="3" t="str">
        <x:v>Short candidate title. A candidate is an AI flag for human assessment, not a confirmed issue.</x:v>
      </x:c>
      <x:c r="E65" s="3" t="str">
        <x:v>title</x:v>
      </x:c>
    </x:row>
    <x:row r="66" ht="86" customHeight="1">
      <x:c r="A66" s="6" t="str">
        <x:v>Source location</x:v>
      </x:c>
      <x:c r="B66" s="6" t="str">
        <x:v>FIELD</x:v>
      </x:c>
      <x:c r="C66" s="6" t="str">
        <x:v>Source reference; both roles</x:v>
      </x:c>
      <x:c r="D66" s="6" t="str">
        <x:v>Where to check the source claim. Both Primary and Checker show this column in the same position. Use Candidates and Evidence for context and the shared paper folders for originals.</x:v>
      </x:c>
      <x:c r="E66" s="6" t="str">
        <x:v>locations</x:v>
      </x:c>
    </x:row>
    <x:row r="67" ht="86" customHeight="1">
      <x:c r="A67" s="3" t="str">
        <x:v>Primary assessment</x:v>
      </x:c>
      <x:c r="B67" s="3" t="str">
        <x:v>FIELD</x:v>
      </x:c>
      <x:c r="C67" s="3" t="str">
        <x:v>Reference</x:v>
      </x:c>
      <x:c r="D67" s="3" t="str">
        <x:v>Blank during primary review. In checker stage, shows the saved initial assessment matched by Candidate key. Current answers remain in the editable fields; blanks do not inherit.</x:v>
      </x:c>
      <x:c r="E67" s="3" t="str">
        <x:v>primarySummary</x:v>
      </x:c>
    </x:row>
    <x:row r="68" ht="86" customHeight="1">
      <x:c r="A68" s="6" t="str">
        <x:v>Complete</x:v>
      </x:c>
      <x:c r="B68" s="6" t="str">
        <x:v>primary_done</x:v>
      </x:c>
      <x:c r="C68" s="6" t="str">
        <x:v>Primary only</x:v>
      </x:c>
      <x:c r="D68" s="6" t="str">
        <x:v>Human reviewed; initial stage complete. This never counts as checker completion.</x:v>
      </x:c>
      <x:c r="E68" s="6" t="str">
        <x:v>reviewComplete</x:v>
      </x:c>
    </x:row>
    <x:row r="69" ht="86" customHeight="1">
      <x:c r="A69" s="3" t="str">
        <x:v>Complete</x:v>
      </x:c>
      <x:c r="B69" s="3" t="str">
        <x:v>checker_done</x:v>
      </x:c>
      <x:c r="C69" s="3" t="str">
        <x:v>Checker only</x:v>
      </x:c>
      <x:c r="D69" s="3" t="str">
        <x:v>Second person reviewed; checker stage complete. Required discussion must also be resolved.</x:v>
      </x:c>
      <x:c r="E69" s="3" t="str">
        <x:v>reviewComplete</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00" hidden="0" customWidth="1"/>
  </x:cols>
  <x:sheetData>
    <x:row r="1" ht="42" customHeight="1">
      <x:c r="A1" s="5" t="str">
        <x:v>field</x:v>
      </x:c>
      <x:c r="B1" s="5" t="str">
        <x:v>value</x:v>
      </x:c>
    </x:row>
    <x:row r="2" ht="44" customHeight="1">
      <x:c r="A2" s="6" t="str">
        <x:v>version</x:v>
      </x:c>
      <x:c r="B2" s="6" t="str">
        <x:v>v.2.1.5.3</x:v>
      </x:c>
    </x:row>
    <x:row r="3" ht="44" customHeight="1">
      <x:c r="A3" s="3" t="str">
        <x:v>schema</x:v>
      </x:c>
      <x:c r="B3" s="3" t="str">
        <x:v>xlsx-adjudication-excel-9</x:v>
      </x:c>
    </x:row>
    <x:row r="4" ht="44" customHeight="1">
      <x:c r="A4" s="6" t="str">
        <x:v>workflow</x:v>
      </x:c>
      <x:c r="B4" s="6" t="str">
        <x:v>Excel-only; Setup stage is authoritative</x:v>
      </x:c>
    </x:row>
    <x:row r="5" ht="44" customHeight="1">
      <x:c r="A5" s="3" t="str">
        <x:v>year</x:v>
      </x:c>
      <x:c r="B5" s="3" t="n">
        <x:v>2019</x:v>
      </x:c>
    </x:row>
    <x:row r="6" ht="44" customHeight="1">
      <x:c r="A6" s="6" t="str">
        <x:v>provenance</x:v>
      </x:c>
      <x:c r="B6" s="6" t="str">
        <x:v>Frozen source catalog; candidate content unchanged. Primary backup plus value snapshot preserve original review.</x:v>
      </x:c>
    </x:row>
    <x:row r="7" ht="44" customHeight="1">
      <x:c r="A7" s="3" t="str">
        <x:v>protection</x:v>
      </x:c>
      <x:c r="B7" s="3" t="str">
        <x:v>None: all sheets, cells and workbook structure are unprotected.</x:v>
      </x:c>
    </x:row>
  </x:sheetData>
  <x:pageMargins left="0.7" right="0.7" top="0.75" bottom="0.75" header="0.3" footer="0.3"/>
</x:worksheet>
</file>