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'C_jama.2024.24764'!$A$1:$R$9</definedName>
    <definedName name="_xlnm._FilterDatabase" localSheetId="4" hidden="1">'C_jama.2024.27643'!$A$1:$R$9</definedName>
    <definedName name="_xlnm._FilterDatabase" localSheetId="5" hidden="1">'C_jama.2025.11178'!$A$1:$R$38</definedName>
    <definedName name="_xlnm._FilterDatabase" localSheetId="6" hidden="1">'C_jama.2025.15185'!$A$1:$R$13</definedName>
    <definedName name="_xlnm._FilterDatabase" localSheetId="7" hidden="1">'C_jama.2025.15440'!$A$1:$R$3</definedName>
    <definedName name="_xlnm._FilterDatabase" localSheetId="8" hidden="1">'C_jama.2025.16450'!$A$1:$R$11</definedName>
    <definedName name="_xlnm._FilterDatabase" localSheetId="9" hidden="1">'C_jama.2025.19563'!$A$1:$R$8</definedName>
    <definedName name="_xlnm._FilterDatabase" localSheetId="10" hidden="1">'C_jama.2025.19843'!$A$1:$R$2</definedName>
    <definedName name="_xlnm._FilterDatabase" localSheetId="11" hidden="1">'C_jama.2025.20765'!$A$1:$R$14</definedName>
    <definedName name="_xlnm._FilterDatabase" localSheetId="12" hidden="1">'C_jama.2025.24175'!$A$1:$R$15</definedName>
    <definedName name="_xlnm._FilterDatabase" localSheetId="13" hidden="1">'C_jama.2025.4390'!$A$1:$R$4</definedName>
    <definedName name="_xlnm._FilterDatabase" localSheetId="14" hidden="1">'C_jama.2025.7583'!$A$1:$R$4</definedName>
    <definedName name="_xlnm._FilterDatabase" localSheetId="15" hidden="1">'C_jama.2025.7710'!$A$1:$R$5</definedName>
    <definedName name="_xlnm._FilterDatabase" localSheetId="16" hidden="1">'C_jama.2025.9110'!$A$1:$R$7</definedName>
    <definedName name="_xlnm._FilterDatabase" localSheetId="17" hidden="1">'C_jama.2025.9663'!$A$1:$R$4</definedName>
    <definedName name="_xlnm._FilterDatabase" localSheetId="18"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AI-sim-ClaudeOpus5.5-2025-R_A</t>
        </is>
      </c>
    </row>
    <row r="3" ht="42" customFormat="1" customHeight="1" s="8">
      <c r="A3" s="16" t="inlineStr">
        <is>
          <t>reviewerName (optional)</t>
        </is>
      </c>
      <c r="B3" s="17" t="inlineStr">
        <is>
          <t>AI-simulated reviewer (Claude Opus 5.5 agent), not a human adjudicator</t>
        </is>
      </c>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COUNTIF('C_jama.2024.24764'!$G$2:$G$9,"PRIMARY READY")+COUNTIF('C_jama.2024.27643'!$G$2:$G$9,"PRIMARY READY")+COUNTIF('C_jama.2025.11178'!$G$2:$G$38,"PRIMARY READY")+COUNTIF('C_jama.2025.15185'!$G$2:$G$13,"PRIMARY READY")+COUNTIF('C_jama.2025.15440'!$G$2:$G$3,"PRIMARY READY")+COUNTIF('C_jama.2025.16450'!$G$2:$G$11,"PRIMARY READY")+COUNTIF('C_jama.2025.19563'!$G$2:$G$8,"PRIMARY READY")+COUNTIF('C_jama.2025.19843'!$G$2:$G$2,"PRIMARY READY")+COUNTIF('C_jama.2025.20765'!$G$2:$G$14,"PRIMARY READY")+COUNTIF('C_jama.2025.24175'!$G$2:$G$15,"PRIMARY READY")+COUNTIF('C_jama.2025.4390'!$G$2:$G$4,"PRIMARY READY")+COUNTIF('C_jama.2025.7583'!$G$2:$G$4,"PRIMARY READY")+COUNTIF('C_jama.2025.7710'!$G$2:$G$5,"PRIMARY READY")+COUNTIF('C_jama.2025.9110'!$G$2:$G$7,"PRIMARY READY")+COUNTIF('C_jama.2025.9663'!$G$2:$G$4,"PRIMARY READY")</f>
        <v/>
      </c>
    </row>
    <row r="5" ht="60" customFormat="1" customHeight="1" s="8">
      <c r="A5" s="16" t="inlineStr">
        <is>
          <t>Unfinished rows</t>
        </is>
      </c>
      <c r="B5" s="16">
        <f>B3-B4</f>
        <v/>
      </c>
    </row>
    <row r="6" ht="60" customFormat="1" customHeight="1" s="8">
      <c r="A6" s="15" t="inlineStr">
        <is>
          <t>Discuss / unresolved rows</t>
        </is>
      </c>
      <c r="B6" s="15">
        <f>COUNTIF('C_jama.2024.24764'!$D$2:$D$9,"discuss")+COUNTIF('C_jama.2024.27643'!$D$2:$D$9,"discuss")+COUNTIF('C_jama.2025.11178'!$D$2:$D$38,"discuss")+COUNTIF('C_jama.2025.15185'!$D$2:$D$13,"discuss")+COUNTIF('C_jama.2025.15440'!$D$2:$D$3,"discuss")+COUNTIF('C_jama.2025.16450'!$D$2:$D$11,"discuss")+COUNTIF('C_jama.2025.19563'!$D$2:$D$8,"discuss")+COUNTIF('C_jama.2025.19843'!$D$2:$D$2,"discuss")+COUNTIF('C_jama.2025.20765'!$D$2:$D$14,"discuss")+COUNTIF('C_jama.2025.24175'!$D$2:$D$15,"discuss")+COUNTIF('C_jama.2025.4390'!$D$2:$D$4,"discuss")+COUNTIF('C_jama.2025.7583'!$D$2:$D$4,"discuss")+COUNTIF('C_jama.2025.7710'!$D$2:$D$5,"discuss")+COUNTIF('C_jama.2025.9110'!$D$2:$D$7,"discuss")+COUNTIF('C_jama.2025.9663'!$D$2:$D$4,"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t>
        </is>
      </c>
    </row>
    <row r="9" ht="60" customFormat="1" customHeight="1" s="8">
      <c r="A9" s="16" t="inlineStr">
        <is>
          <t>Next action</t>
        </is>
      </c>
      <c r="B9" s="16" t="inlineStr">
        <is>
          <t>Inspect G on the C_ sheets. When primary-ready, save and deliver this file.</t>
        </is>
      </c>
    </row>
    <row r="10" ht="60" customFormat="1" customHeight="1" s="8">
      <c r="A10" s="15" t="inlineStr">
        <is>
          <t>Ready discuss rows</t>
        </is>
      </c>
      <c r="B10" s="15">
        <f>COUNTIFS('C_jama.2024.24764'!$G$2:$G$9,"PRIMARY READY",'C_jama.2024.24764'!$D$2:$D$9,"discuss")+COUNTIFS('C_jama.2024.27643'!$G$2:$G$9,"PRIMARY READY",'C_jama.2024.27643'!$D$2:$D$9,"discuss")+COUNTIFS('C_jama.2025.11178'!$G$2:$G$38,"PRIMARY READY",'C_jama.2025.11178'!$D$2:$D$38,"discuss")+COUNTIFS('C_jama.2025.15185'!$G$2:$G$13,"PRIMARY READY",'C_jama.2025.15185'!$D$2:$D$13,"discuss")+COUNTIFS('C_jama.2025.15440'!$G$2:$G$3,"PRIMARY READY",'C_jama.2025.15440'!$D$2:$D$3,"discuss")+COUNTIFS('C_jama.2025.16450'!$G$2:$G$11,"PRIMARY READY",'C_jama.2025.16450'!$D$2:$D$11,"discuss")+COUNTIFS('C_jama.2025.19563'!$G$2:$G$8,"PRIMARY READY",'C_jama.2025.19563'!$D$2:$D$8,"discuss")+COUNTIFS('C_jama.2025.19843'!$G$2:$G$2,"PRIMARY READY",'C_jama.2025.19843'!$D$2:$D$2,"discuss")+COUNTIFS('C_jama.2025.20765'!$G$2:$G$14,"PRIMARY READY",'C_jama.2025.20765'!$D$2:$D$14,"discuss")+COUNTIFS('C_jama.2025.24175'!$G$2:$G$15,"PRIMARY READY",'C_jama.2025.24175'!$D$2:$D$15,"discuss")+COUNTIFS('C_jama.2025.4390'!$G$2:$G$4,"PRIMARY READY",'C_jama.2025.4390'!$D$2:$D$4,"discuss")+COUNTIFS('C_jama.2025.7583'!$G$2:$G$4,"PRIMARY READY",'C_jama.2025.7583'!$D$2:$D$4,"discuss")+COUNTIFS('C_jama.2025.7710'!$G$2:$G$5,"PRIMARY READY",'C_jama.2025.7710'!$D$2:$D$5,"discuss")+COUNTIFS('C_jama.2025.9110'!$G$2:$G$7,"PRIMARY READY",'C_jama.2025.9110'!$D$2:$D$7,"discuss")+COUNTIFS('C_jama.2025.9663'!$G$2:$G$4,"PRIMARY READY",'C_jama.2025.9663'!$D$2:$D$4,"discuss")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2024.24764::"))&lt;&gt;"2025::jama.2024.24764::"),"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Confirmed: smoking row prints Total No. 405/402 but all six percentages use 411/410 (e.g., 220/411=53.5% vs 220/405=54.3%). Same convention in skin-prep (409) and blood-loss (407/406) rows. Percentages of all randomized with missing not shown; baseline only, no effect on interpretation.</t>
        </is>
      </c>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inlineStr">
        <is>
          <t>exclude</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2024.24764::"))&lt;&gt;"2025::jama.2024.24764::"),"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 more than one grade of surgeon can operate on one patient (e.g., consultant with registrar), so 'level of operating surgeon' is evidently a multiple-response item; percentages reproduce from 411/410 (319/411=77.6%). Lack of an explicit 'may exceed 100%' note is cosmetic, not a numeric error.</t>
        </is>
      </c>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inlineStr">
        <is>
          <t>exclude</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2024.24764::"))&lt;&gt;"2025::jama.2024.24764::"),"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 same as C002. Fascia closure can involve more than one surgeon grade; 201+218+26=445 vs 411 and 193+225+15=433 vs 410 reflect a multiple-response item, with each percentage correct for the arm n (218/411=53.0%). No numeric error.</t>
        </is>
      </c>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inlineStr">
        <is>
          <t>exclude</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2024.24764::"))&lt;&gt;"2025::jama.2024.24764::"),"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 same as C002/C003. Skin closure surgeon grade is a multiple-response item (115+214+96=425 vs 411; 102+241+73=416 vs 410); each percentage is correct for the arm n. Not a numeric error.</t>
        </is>
      </c>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inlineStr">
        <is>
          <t>exclude</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2024.24764::"))&lt;&gt;"2025::jama.2024.24764::"),"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 Figure 1 footnote counts all deaths reported during follow-up (25: 10 vs 15); text and Table 3 report mortality within 30 days of operation (24: 10 vs 14). The day-30 assessment window ran to day 44, so one control death after day 30 reconciles the counts. Different time windows, not a contradiction.</t>
        </is>
      </c>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inlineStr">
        <is>
          <t>retain</t>
        </is>
      </c>
      <c r="E7" s="7" t="inlineStr">
        <is>
          <t>protocol_report</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2024.24764::"))&lt;&gt;"2025::jama.2024.24764::"),"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t="inlineStr">
        <is>
          <t>substantive_difference</t>
        </is>
      </c>
      <c r="M7" s="19" t="n"/>
      <c r="N7" s="19" t="n"/>
      <c r="O7" s="19" t="n"/>
      <c r="P7" s="19" t="n"/>
      <c r="Q7" s="19" t="n"/>
      <c r="R7" s="13" t="inlineStr">
        <is>
          <t>Confirmed: SAP v1.0 specifies an unstructured covariance with robust sandwich SEs for the SF-12/EQ-5D repeated-measures models; the article states an independent covariance structure was assumed. A real analysis-specification difference for secondary QoL outcomes; no explanation given.</t>
        </is>
      </c>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2024.24764::"))&lt;&gt;"2025::jama.2024.24764::"),"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t="inlineStr">
        <is>
          <t>substantive_difference</t>
        </is>
      </c>
      <c r="M8" s="19" t="n"/>
      <c r="N8" s="19" t="n"/>
      <c r="O8" s="19" t="n"/>
      <c r="P8" s="19" t="n"/>
      <c r="Q8" s="19" t="n"/>
      <c r="R8" s="13" t="inlineStr">
        <is>
          <t>Confirmed: SAP plans an adjusted mean difference for length of stay (log transformation only as a sensitivity analysis); protocol v4.0 adds an unadjusted median difference if skewed. The article reports only an adjusted ratio of geometric means from a log-transformed model. Effect measure changed.</t>
        </is>
      </c>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2024.24764::"))&lt;&gt;"2025::jama.2024.24764::"),"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t="inlineStr">
        <is>
          <t>substantive_difference</t>
        </is>
      </c>
      <c r="M9" s="19" t="n"/>
      <c r="N9" s="19" t="n"/>
      <c r="O9" s="19" t="n"/>
      <c r="P9" s="19" t="n"/>
      <c r="Q9" s="19" t="n"/>
      <c r="R9" s="13" t="inlineStr">
        <is>
          <t>Confirmed: SAP and protocol restrict length of stay to UK patients. The article reports the UK-only result (0.91, 0.82-1.02) but also a UK+Australia result (0.96, 0.88-1.06), and the abstract presents only the unplanned UK+Australia estimate. Population differs from plan.</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2024.27643::"))&lt;&gt;"2025::jama.2024.27643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Confirmed: shared placebo n=164, race rows use denominator 160 (2+6+151+1=160), so 4 lack race, but footnote b says race was unknown for 3. One-participant accounting slip in a baseline table; percentages and interpretation unaffected.</t>
        </is>
      </c>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2024.27643::"))&lt;&gt;"2025::jama.2024.27643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Confirmed: article calls SVC values -9.32 vs -8.53 (difference -0.78) 'PPN per month', but eTable 3A gives them as 24-week change estimates. -9.32 over ~5.5 months is ~-1.7/month, matching the NfL-adjusted sensitivity (-1.73/month), so the main-text unit is wrong by a factor of ~5.5 and is juxtaposed with true per-month values.</t>
        </is>
      </c>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2024.27643::"))&lt;&gt;"2025::jama.2024.27643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Confirmed but trivial: shared-placebo ALSFRS-R slope -1.03 has 95% CrI -1.176 to -0.892 in the text vs (-1.181, -0.894) in eTable 2. Endpoints differ by 0.005 and 0.002, likely different posterior runs or outputs; no effect on interpretation.</t>
        </is>
      </c>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2024.27643::"))&lt;&gt;"2025::jama.2024.27643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Confirmed but trivial: pooled CNM-Au8 slope -1.00 has CrI -1.153 to -0.858 in the text vs (-1.143, -0.847) in eTable 2; endpoints differ by about 0.01. Same model; does not change interpretation.</t>
        </is>
      </c>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2024.27643::"))&lt;&gt;"2025::jama.2024.27643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substantive_inconsistency</t>
        </is>
      </c>
      <c r="L6" s="13">
        <f>IF(AND(OR(D6="retain",D6=""),E6="protocol_report"),"","not_applicable")</f>
        <v/>
      </c>
      <c r="M6" s="19" t="n"/>
      <c r="N6" s="19" t="n"/>
      <c r="O6" s="19" t="n"/>
      <c r="P6" s="19" t="n"/>
      <c r="Q6" s="19" t="n"/>
      <c r="R6" s="13" t="inlineStr">
        <is>
          <t>Confirmed: text gives model mortality rates 0.007 (shared placebo) and 0.006 (pooled active) events/month and cites eTable 2, which gives 0.010 and 0.009 (median and mean). About 30-40% relative difference. Crude 9/(162 x 5.5 mo)=0.010 supports the eTable for placebo.</t>
        </is>
      </c>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inlineStr">
        <is>
          <t>exclude</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2024.27643::"))&lt;&gt;"2025::jama.2024.27643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 plasma NfL difference -9.5% (P=.04) shown with CI -17.8 to -0.5 (Figure 3), -17.8 to -0.4 (text) and -18.0, 0 (eTable 3B). eTable 3B rounds NfL CIs to integers (e.g., -18, 2; -20, 0); an upper bound near -0.45 gives -0.4/-0.5/0 under different rounding. Rounding, not conflicting results.</t>
        </is>
      </c>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2024.27643::"))&lt;&gt;"2025::jama.2024.27643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substantive_inconsistency</t>
        </is>
      </c>
      <c r="L8" s="13">
        <f>IF(AND(OR(D8="retain",D8=""),E8="protocol_report"),"","not_applicable")</f>
        <v/>
      </c>
      <c r="M8" s="19" t="n"/>
      <c r="N8" s="19" t="n"/>
      <c r="O8" s="19" t="n"/>
      <c r="P8" s="19" t="n"/>
      <c r="Q8" s="19" t="n"/>
      <c r="R8" s="13" t="inlineStr">
        <is>
          <t>Confirmed: serum NfL, ERO comparison. Article: placebo +30.8%, active +0.4%, difference -23.2% (95% CI -39.5 to -2.5). eTable 3B: placebo +26.8%, difference -26.4% (-50.3 to -2.6). Same P=.03. Effect estimate and CI differ materially; eTable values are also internally incoherent (1.004/1.268-1=-20.8%).</t>
        </is>
      </c>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2024.27643::"))&lt;&gt;"2025::jama.2024.27643::"),"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probable_issue</t>
        </is>
      </c>
      <c r="I9" s="7" t="inlineStr">
        <is>
          <t>minor_presentation</t>
        </is>
      </c>
      <c r="J9" s="13" t="inlineStr">
        <is>
          <t>unlikely</t>
        </is>
      </c>
      <c r="K9" s="7">
        <f>IF(AND(OR(D9="retain",D9=""),OR(E9="report_internal_inconsistency",E9="plan_material")),"","not_applicable")</f>
        <v/>
      </c>
      <c r="L9" s="13">
        <f>IF(AND(OR(D9="retain",D9=""),E9="protocol_report"),"","not_applicable")</f>
        <v/>
      </c>
      <c r="M9" s="19" t="n"/>
      <c r="N9" s="19" t="n"/>
      <c r="O9" s="19" t="n"/>
      <c r="P9" s="19" t="n"/>
      <c r="Q9" s="19" t="n"/>
      <c r="R9" s="13" t="inlineStr">
        <is>
          <t>Probable labeling slip: Results say death/PAV 'to week 24' was 1/59, 4/61 and 9/162 (14 events), and Table 2 gives 5/120 and 9/162; Discussion says 13 events in the RCT period. Figure 2B shows 8 placebo events through week 24 plus 1 after week 24, so 13 fits through week 24 and 14 includes the later event. One label is wrong; HRs unaffected.</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3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2025.11178::"))&lt;&gt;"2025::jama.2025.11178::"),"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unlikely</t>
        </is>
      </c>
      <c r="K2" s="7">
        <f>IF(AND(OR(D2="retain",D2=""),OR(E2="report_internal_inconsistency",E2="plan_material")),"","not_applicable")</f>
        <v/>
      </c>
      <c r="L2" s="13">
        <f>IF(AND(OR(D2="retain",D2=""),E2="protocol_report"),"","not_applicable")</f>
        <v/>
      </c>
      <c r="M2" s="19" t="n"/>
      <c r="N2" s="19" t="n"/>
      <c r="O2" s="19" t="n"/>
      <c r="P2" s="19" t="n"/>
      <c r="Q2" s="19" t="n"/>
      <c r="R2" s="13" t="inlineStr">
        <is>
          <t>Confirmed: Figure 1 lists 1243 ineligible for 'one or more of' six reasons, but the reason counts sum to 411+273+189+121+95+34=1123, 120 fewer than 1243. With overlap the sum must be &gt;=1243, so a count is wrong or reasons are omitted. Pre-randomization screening only; no effect on trial estimates.</t>
        </is>
      </c>
    </row>
    <row r="3" ht="92" customFormat="1" customHeight="1" s="8">
      <c r="A3" s="11" t="inlineStr">
        <is>
          <t>2025::jama.2025.11178::C002</t>
        </is>
      </c>
      <c r="B3" s="11" t="inlineStr">
        <is>
          <t>Overall eTable 1 follow-up-pattern partition</t>
        </is>
      </c>
      <c r="C3" s="11" t="inlineStr">
        <is>
          <t>results supplement — PDF p. 7, eTable 1, Overall column.</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2025.11178::"))&lt;&gt;"2025::jama.2025.11178::"),"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Confirmed: eTable 1 Overall one/two/three follow-up patterns sum to 188+283+1568=2039, not the printed at-least-1 follow-up total 2036. Totals agree with Figure 1, so the pattern rows are off. Affects description of missingness patterns, not outcome estimates.</t>
        </is>
      </c>
    </row>
    <row r="4" ht="92" customFormat="1" customHeight="1" s="8">
      <c r="A4" s="12" t="inlineStr">
        <is>
          <t>2025::jama.2025.11178::C003</t>
        </is>
      </c>
      <c r="B4" s="12" t="inlineStr">
        <is>
          <t>painTRAINER eTable 1 follow-up-pattern partition</t>
        </is>
      </c>
      <c r="C4" s="12" t="inlineStr">
        <is>
          <t>results supplement — PDF p. 7, eTable 1, painTRAINER column.</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2025.11178::"))&lt;&gt;"2025::jama.2025.11178::"),"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Confirmed: eTable 1 painTRAINER one/two/three follow-up patterns sum to 77+103+464=644, not the printed at-least-1 follow-up total 643. Totals agree with Figure 1, so the pattern rows are off. Affects description of missingness patterns, not outcome estimates.</t>
        </is>
      </c>
    </row>
    <row r="5" ht="92" customFormat="1" customHeight="1" s="8">
      <c r="A5" s="11" t="inlineStr">
        <is>
          <t>2025::jama.2025.11178::C004</t>
        </is>
      </c>
      <c r="B5" s="11" t="inlineStr">
        <is>
          <t>Health Coach eTable 1 follow-up-pattern partition</t>
        </is>
      </c>
      <c r="C5" s="11" t="inlineStr">
        <is>
          <t>results supplement — PDF p. 7, eTable 1, Health Coach column.</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2025.11178::"))&lt;&gt;"2025::jama.2025.11178::"),"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Confirmed: eTable 1 Health Coach one/two/three follow-up patterns sum to 47+81+564=692, not the printed at-least-1 follow-up total 690. Totals agree with Figure 1, so the pattern rows are off. Affects description of missingness patterns, not outcome estimates.</t>
        </is>
      </c>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2025.11178::"))&lt;&gt;"2025::jama.2025.11178::"),"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inlineStr">
        <is>
          <t>possible</t>
        </is>
      </c>
      <c r="K6" s="7">
        <f>IF(AND(OR(D6="retain",D6=""),OR(E6="report_internal_inconsistency",E6="plan_material")),"","not_applicable")</f>
        <v/>
      </c>
      <c r="L6" s="13">
        <f>IF(AND(OR(D6="retain",D6=""),E6="protocol_report"),"","not_applicable")</f>
        <v/>
      </c>
      <c r="M6" s="19" t="n"/>
      <c r="N6" s="19" t="n"/>
      <c r="O6" s="19" t="n"/>
      <c r="P6" s="19" t="n"/>
      <c r="Q6" s="19" t="n"/>
      <c r="R6" s="13" t="inlineStr">
        <is>
          <t>Confirmed: workbook eTable 3 All Observed column gives current depression 711 (73.2%); with 2 missing, 711/1566=45.4%. Other columns reproduce (162/295=54.9%, 243/468=51.9%, 1116/2329=47.9%). The misprint reverses the apparent depression gradient across completion groups in a missingness table.</t>
        </is>
      </c>
    </row>
    <row r="7" ht="92" customFormat="1" customHeight="1" s="8">
      <c r="A7" s="11" t="inlineStr">
        <is>
          <t>2025::jama.2025.11178::C006</t>
        </is>
      </c>
      <c r="B7" s="11" t="inlineStr">
        <is>
          <t>Workbook social-role cutoff labeled as mean (SD)</t>
        </is>
      </c>
      <c r="C7" s="11" t="inlineStr">
        <is>
          <t>workbook, worksheet eTable 3, cells A103:E104.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2025.11178::"))&lt;&gt;"2025::jama.2025.11178::"),"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Confirmed label error: workbook row 'PROMIS Social role functioning &lt;=40' is labeled 'mean (sd)' but its cells are N (%) (525/(1568-31)=34.2%). Intended meaning is clear from values and the matching Table 1 counts.</t>
        </is>
      </c>
    </row>
    <row r="8" ht="92" customFormat="1" customHeight="1" s="8">
      <c r="A8" s="12" t="inlineStr">
        <is>
          <t>2025::jama.2025.11178::C007</t>
        </is>
      </c>
      <c r="B8" s="12" t="inlineStr">
        <is>
          <t>Workbook physical-function cutoff labeled as mean (SD)</t>
        </is>
      </c>
      <c r="C8" s="12" t="inlineStr">
        <is>
          <t>workbook, worksheet eTable 3, cells A106:E107.</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2025.11178::"))&lt;&gt;"2025::jama.2025.11178::"),"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Confirmed label error: workbook row 'PROMIS Physical functioning &lt;=40' is labeled 'mean (sd)' but its cells are N (%) (1143/(1568-14)=73.6%). Intended meaning is clear from values and the matching Table 1 counts.</t>
        </is>
      </c>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2025.11178::"))&lt;&gt;"2025::jama.2025.11178::"),"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inlineStr">
        <is>
          <t>direct</t>
        </is>
      </c>
      <c r="K9" s="7">
        <f>IF(AND(OR(D9="retain",D9=""),OR(E9="report_internal_inconsistency",E9="plan_material")),"","not_applicable")</f>
        <v/>
      </c>
      <c r="L9" s="13">
        <f>IF(AND(OR(D9="retain",D9=""),E9="protocol_report"),"","not_applicable")</f>
        <v/>
      </c>
      <c r="M9" s="19" t="n"/>
      <c r="N9" s="19" t="n"/>
      <c r="O9" s="19" t="n"/>
      <c r="P9" s="19" t="n"/>
      <c r="Q9" s="19" t="n"/>
      <c r="R9" s="13" t="inlineStr">
        <is>
          <t>Confirmed: Table 3 SMD for pain severity 12 mo, painTRAINER vs UC+ is printed -0.25 (-0.24 to 0.01) (estimate below lower bound). Adjusted MD -0.4 (-0.6 to -0.2). The SMD CI column is internally impossible here and cannot be extracted; SMDs are commonly pooled in meta-analyses.</t>
        </is>
      </c>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2025.11178::"))&lt;&gt;"2025::jama.2025.11178::"),"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inlineStr">
        <is>
          <t>direct</t>
        </is>
      </c>
      <c r="K10" s="7">
        <f>IF(AND(OR(D10="retain",D10=""),OR(E10="report_internal_inconsistency",E10="plan_material")),"","not_applicable")</f>
        <v/>
      </c>
      <c r="L10" s="13">
        <f>IF(AND(OR(D10="retain",D10=""),E10="protocol_report"),"","not_applicable")</f>
        <v/>
      </c>
      <c r="M10" s="19" t="n"/>
      <c r="N10" s="19" t="n"/>
      <c r="O10" s="19" t="n"/>
      <c r="P10" s="19" t="n"/>
      <c r="Q10" s="19" t="n"/>
      <c r="R10" s="13" t="inlineStr">
        <is>
          <t>Confirmed: Table 3 SMD for pain severity 12 mo, health coach vs UC+ is printed -0.36 (-0.35 to -0.12) (estimate below lower bound). Adjusted MD -0.4 (-0.6 to -0.2). The SMD CI column is internally impossible here and cannot be extracted; SMDs are commonly pooled in meta-analyses.</t>
        </is>
      </c>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2025.11178::"))&lt;&gt;"2025::jama.2025.11178::"),"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inlineStr">
        <is>
          <t>direct</t>
        </is>
      </c>
      <c r="K11" s="7">
        <f>IF(AND(OR(D11="retain",D11=""),OR(E11="report_internal_inconsistency",E11="plan_material")),"","not_applicable")</f>
        <v/>
      </c>
      <c r="L11" s="13">
        <f>IF(AND(OR(D11="retain",D11=""),E11="protocol_report"),"","not_applicable")</f>
        <v/>
      </c>
      <c r="M11" s="19" t="n"/>
      <c r="N11" s="19" t="n"/>
      <c r="O11" s="19" t="n"/>
      <c r="P11" s="19" t="n"/>
      <c r="Q11" s="19" t="n"/>
      <c r="R11" s="13" t="inlineStr">
        <is>
          <t>Confirmed: Table 3 SMD for pain intensity 12 mo, health coach vs UC+ is printed -0.27 (-0.26 to -0.12) (estimate below lower bound). Adjusted MD -0.2 (-0.4 to -0.1). The SMD CI column is internally impossible here and cannot be extracted; SMDs are commonly pooled in meta-analyses.</t>
        </is>
      </c>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2025.11178::"))&lt;&gt;"2025::jama.2025.11178::"),"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inlineStr">
        <is>
          <t>direct</t>
        </is>
      </c>
      <c r="K12" s="7">
        <f>IF(AND(OR(D12="retain",D12=""),OR(E12="report_internal_inconsistency",E12="plan_material")),"","not_applicable")</f>
        <v/>
      </c>
      <c r="L12" s="13">
        <f>IF(AND(OR(D12="retain",D12=""),E12="protocol_report"),"","not_applicable")</f>
        <v/>
      </c>
      <c r="M12" s="19" t="n"/>
      <c r="N12" s="19" t="n"/>
      <c r="O12" s="19" t="n"/>
      <c r="P12" s="19" t="n"/>
      <c r="Q12" s="19" t="n"/>
      <c r="R12" s="13" t="inlineStr">
        <is>
          <t>Confirmed: Table 3 SMD for pain interference 12 mo, painTRAINER vs UC+ is printed -0.26 (-0.25 to 0.01) (estimate below lower bound). Adjusted MD -0.5 (-0.7 to -0.3). The SMD CI column is internally impossible here and cannot be extracted; SMDs are commonly pooled in meta-analyses.</t>
        </is>
      </c>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2025.11178::"))&lt;&gt;"2025::jama.2025.11178::"),"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inlineStr">
        <is>
          <t>direct</t>
        </is>
      </c>
      <c r="K13" s="7">
        <f>IF(AND(OR(D13="retain",D13=""),OR(E13="report_internal_inconsistency",E13="plan_material")),"","not_applicable")</f>
        <v/>
      </c>
      <c r="L13" s="13">
        <f>IF(AND(OR(D13="retain",D13=""),E13="protocol_report"),"","not_applicable")</f>
        <v/>
      </c>
      <c r="M13" s="19" t="n"/>
      <c r="N13" s="19" t="n"/>
      <c r="O13" s="19" t="n"/>
      <c r="P13" s="19" t="n"/>
      <c r="Q13" s="19" t="n"/>
      <c r="R13" s="13" t="inlineStr">
        <is>
          <t>Confirmed: Table 3 SMD for pain interference 12 mo, health coach vs UC+ is printed -0.37 (-0.36 to -0.11) (estimate below lower bound). Adjusted MD -0.5 (-0.7 to -0.3). The SMD CI column is internally impossible here and cannot be extracted; SMDs are commonly pooled in meta-analyses.</t>
        </is>
      </c>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2025.11178::"))&lt;&gt;"2025::jama.2025.11178::"),"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inlineStr">
        <is>
          <t>direct</t>
        </is>
      </c>
      <c r="K14" s="7">
        <f>IF(AND(OR(D14="retain",D14=""),OR(E14="report_internal_inconsistency",E14="plan_material")),"","not_applicable")</f>
        <v/>
      </c>
      <c r="L14" s="13">
        <f>IF(AND(OR(D14="retain",D14=""),E14="protocol_report"),"","not_applicable")</f>
        <v/>
      </c>
      <c r="M14" s="19" t="n"/>
      <c r="N14" s="19" t="n"/>
      <c r="O14" s="19" t="n"/>
      <c r="P14" s="19" t="n"/>
      <c r="Q14" s="19" t="n"/>
      <c r="R14" s="13" t="inlineStr">
        <is>
          <t>Confirmed: Table 3 SMD for social role 3 mo, painTRAINER vs UC+ is printed 0.12 (0.23 to 0.11) (endpoints reversed). Adjusted MD 0.8 (0.0 to 1.5). The SMD CI column is internally impossible here and cannot be extracted; SMDs are commonly pooled in meta-analyses.</t>
        </is>
      </c>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inlineStr">
        <is>
          <t>retain</t>
        </is>
      </c>
      <c r="E15" s="7" t="inlineStr">
        <is>
          <t>statistical_results</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2025.11178::"))&lt;&gt;"2025::jama.2025.11178::"),"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inlineStr">
        <is>
          <t>confirmed_issue</t>
        </is>
      </c>
      <c r="I15" s="7" t="inlineStr">
        <is>
          <t>substantive</t>
        </is>
      </c>
      <c r="J15" s="13" t="inlineStr">
        <is>
          <t>direct</t>
        </is>
      </c>
      <c r="K15" s="7">
        <f>IF(AND(OR(D15="retain",D15=""),OR(E15="report_internal_inconsistency",E15="plan_material")),"","not_applicable")</f>
        <v/>
      </c>
      <c r="L15" s="13">
        <f>IF(AND(OR(D15="retain",D15=""),E15="protocol_report"),"","not_applicable")</f>
        <v/>
      </c>
      <c r="M15" s="19" t="n"/>
      <c r="N15" s="19" t="n"/>
      <c r="O15" s="19" t="n"/>
      <c r="P15" s="19" t="n"/>
      <c r="Q15" s="19" t="n"/>
      <c r="R15" s="13" t="inlineStr">
        <is>
          <t>Confirmed: Table 3 SMD for social role 3 mo, health coach vs UC+ is printed 0.01 (0.12 to -0.00) (endpoints reversed). Adjusted MD 1.5 (0.8 to 2.2). The SMD CI column is internally impossible here and cannot be extracted; SMDs are commonly pooled in meta-analyses.</t>
        </is>
      </c>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inlineStr">
        <is>
          <t>retain</t>
        </is>
      </c>
      <c r="E16" s="7" t="inlineStr">
        <is>
          <t>statistical_results</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LEFT(A16,LEN("2025::jama.2025.11178::"))&lt;&gt;"2025::jama.2025.11178::"),"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inlineStr">
        <is>
          <t>confirmed_issue</t>
        </is>
      </c>
      <c r="I16" s="7" t="inlineStr">
        <is>
          <t>substantive</t>
        </is>
      </c>
      <c r="J16" s="13" t="inlineStr">
        <is>
          <t>direct</t>
        </is>
      </c>
      <c r="K16" s="7">
        <f>IF(AND(OR(D16="retain",D16=""),OR(E16="report_internal_inconsistency",E16="plan_material")),"","not_applicable")</f>
        <v/>
      </c>
      <c r="L16" s="13">
        <f>IF(AND(OR(D16="retain",D16=""),E16="protocol_report"),"","not_applicable")</f>
        <v/>
      </c>
      <c r="M16" s="19" t="n"/>
      <c r="N16" s="19" t="n"/>
      <c r="O16" s="19" t="n"/>
      <c r="P16" s="19" t="n"/>
      <c r="Q16" s="19" t="n"/>
      <c r="R16" s="13" t="inlineStr">
        <is>
          <t>Confirmed: Table 3 SMD for social role 3 mo, health coach vs painTRAINER is printed 0.20 (0.29 to 0.19) (endpoints reversed). Adjusted MD 0.7 (-0.0 to 1.4). The SMD CI column is internally impossible here and cannot be extracted; SMDs are commonly pooled in meta-analyses.</t>
        </is>
      </c>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inlineStr">
        <is>
          <t>retain</t>
        </is>
      </c>
      <c r="E17" s="7" t="inlineStr">
        <is>
          <t>statistical_results</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LEFT(A17,LEN("2025::jama.2025.11178::"))&lt;&gt;"2025::jama.2025.11178::"),"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inlineStr">
        <is>
          <t>confirmed_issue</t>
        </is>
      </c>
      <c r="I17" s="7" t="inlineStr">
        <is>
          <t>substantive</t>
        </is>
      </c>
      <c r="J17" s="13" t="inlineStr">
        <is>
          <t>direct</t>
        </is>
      </c>
      <c r="K17" s="7">
        <f>IF(AND(OR(D17="retain",D17=""),OR(E17="report_internal_inconsistency",E17="plan_material")),"","not_applicable")</f>
        <v/>
      </c>
      <c r="L17" s="13">
        <f>IF(AND(OR(D17="retain",D17=""),E17="protocol_report"),"","not_applicable")</f>
        <v/>
      </c>
      <c r="M17" s="19" t="n"/>
      <c r="N17" s="19" t="n"/>
      <c r="O17" s="19" t="n"/>
      <c r="P17" s="19" t="n"/>
      <c r="Q17" s="19" t="n"/>
      <c r="R17" s="13" t="inlineStr">
        <is>
          <t>Confirmed: Table 3 SMD for social role 6 mo, painTRAINER vs UC+ is printed 0.18 (0.23 to 0.05) (endpoints reversed). Adjusted MD 1.2 (0.4 to 1.9). The SMD CI column is internally impossible here and cannot be extracted; SMDs are commonly pooled in meta-analyses.</t>
        </is>
      </c>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inlineStr">
        <is>
          <t>retain</t>
        </is>
      </c>
      <c r="E18" s="7" t="inlineStr">
        <is>
          <t>statistical_results</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LEFT(A18,LEN("2025::jama.2025.11178::"))&lt;&gt;"2025::jama.2025.11178::"),"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inlineStr">
        <is>
          <t>confirmed_issue</t>
        </is>
      </c>
      <c r="I18" s="7" t="inlineStr">
        <is>
          <t>substantive</t>
        </is>
      </c>
      <c r="J18" s="13" t="inlineStr">
        <is>
          <t>direct</t>
        </is>
      </c>
      <c r="K18" s="7">
        <f>IF(AND(OR(D18="retain",D18=""),OR(E18="report_internal_inconsistency",E18="plan_material")),"","not_applicable")</f>
        <v/>
      </c>
      <c r="L18" s="13">
        <f>IF(AND(OR(D18="retain",D18=""),E18="protocol_report"),"","not_applicable")</f>
        <v/>
      </c>
      <c r="M18" s="19" t="n"/>
      <c r="N18" s="19" t="n"/>
      <c r="O18" s="19" t="n"/>
      <c r="P18" s="19" t="n"/>
      <c r="Q18" s="19" t="n"/>
      <c r="R18" s="13" t="inlineStr">
        <is>
          <t>Confirmed: Table 3 SMD for social role 6 mo, health coach vs UC+ is printed 0.06 (0.11 to -0.06) (endpoints reversed). Adjusted MD 1.5 (0.8 to 2.2). The SMD CI column is internally impossible here and cannot be extracted; SMDs are commonly pooled in meta-analyses.</t>
        </is>
      </c>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inlineStr">
        <is>
          <t>retain</t>
        </is>
      </c>
      <c r="E19" s="7" t="inlineStr">
        <is>
          <t>statistical_results</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LEFT(A19,LEN("2025::jama.2025.11178::"))&lt;&gt;"2025::jama.2025.11178::"),"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inlineStr">
        <is>
          <t>confirmed_issue</t>
        </is>
      </c>
      <c r="I19" s="7" t="inlineStr">
        <is>
          <t>substantive</t>
        </is>
      </c>
      <c r="J19" s="13" t="inlineStr">
        <is>
          <t>direct</t>
        </is>
      </c>
      <c r="K19" s="7">
        <f>IF(AND(OR(D19="retain",D19=""),OR(E19="report_internal_inconsistency",E19="plan_material")),"","not_applicable")</f>
        <v/>
      </c>
      <c r="L19" s="13">
        <f>IF(AND(OR(D19="retain",D19=""),E19="protocol_report"),"","not_applicable")</f>
        <v/>
      </c>
      <c r="M19" s="19" t="n"/>
      <c r="N19" s="19" t="n"/>
      <c r="O19" s="19" t="n"/>
      <c r="P19" s="19" t="n"/>
      <c r="Q19" s="19" t="n"/>
      <c r="R19" s="13" t="inlineStr">
        <is>
          <t>Confirmed: Table 3 SMD for social role 6 mo, health coach vs painTRAINER is printed 0.26 (0.30 to 0.15) (endpoints reversed). Adjusted MD 0.3 (-0.4 to 1.1). The SMD CI column is internally impossible here and cannot be extracted; SMDs are commonly pooled in meta-analyses.</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statistical_results</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LEFT(A20,LEN("2025::jama.2025.11178::"))&lt;&gt;"2025::jama.2025.11178::"),"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inlineStr">
        <is>
          <t>confirmed_issue</t>
        </is>
      </c>
      <c r="I20" s="7" t="inlineStr">
        <is>
          <t>substantive</t>
        </is>
      </c>
      <c r="J20" s="13" t="inlineStr">
        <is>
          <t>direct</t>
        </is>
      </c>
      <c r="K20" s="7">
        <f>IF(AND(OR(D20="retain",D20=""),OR(E20="report_internal_inconsistency",E20="plan_material")),"","not_applicable")</f>
        <v/>
      </c>
      <c r="L20" s="13">
        <f>IF(AND(OR(D20="retain",D20=""),E20="protocol_report"),"","not_applicable")</f>
        <v/>
      </c>
      <c r="M20" s="19" t="n"/>
      <c r="N20" s="19" t="n"/>
      <c r="O20" s="19" t="n"/>
      <c r="P20" s="19" t="n"/>
      <c r="Q20" s="19" t="n"/>
      <c r="R20" s="13" t="inlineStr">
        <is>
          <t>Confirmed: Table 3 SMD for social role 12 mo, painTRAINER vs UC+ is printed 0.19 (0.21 to 0.01) (endpoints reversed). Adjusted MD 1.3 (0.5 to 2.1). The SMD CI column is internally impossible here and cannot be extracted; SMDs are commonly pooled in meta-analyses.</t>
        </is>
      </c>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inlineStr">
        <is>
          <t>retain</t>
        </is>
      </c>
      <c r="E21" s="7" t="inlineStr">
        <is>
          <t>statistical_results</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LEFT(A21,LEN("2025::jama.2025.11178::"))&lt;&gt;"2025::jama.2025.11178::"),"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inlineStr">
        <is>
          <t>confirmed_issue</t>
        </is>
      </c>
      <c r="I21" s="7" t="inlineStr">
        <is>
          <t>substantive</t>
        </is>
      </c>
      <c r="J21" s="13" t="inlineStr">
        <is>
          <t>direct</t>
        </is>
      </c>
      <c r="K21" s="7">
        <f>IF(AND(OR(D21="retain",D21=""),OR(E21="report_internal_inconsistency",E21="plan_material")),"","not_applicable")</f>
        <v/>
      </c>
      <c r="L21" s="13">
        <f>IF(AND(OR(D21="retain",D21=""),E21="protocol_report"),"","not_applicable")</f>
        <v/>
      </c>
      <c r="M21" s="19" t="n"/>
      <c r="N21" s="19" t="n"/>
      <c r="O21" s="19" t="n"/>
      <c r="P21" s="19" t="n"/>
      <c r="Q21" s="19" t="n"/>
      <c r="R21" s="13" t="inlineStr">
        <is>
          <t>Confirmed: Table 3 SMD for social role 12 mo, health coach vs UC+ is printed 0.07 (0.09 to -0.10) (endpoints reversed). Adjusted MD 1.4 (0.6 to 2.1). The SMD CI column is internally impossible here and cannot be extracted; SMDs are commonly pooled in meta-analyses.</t>
        </is>
      </c>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inlineStr">
        <is>
          <t>retain</t>
        </is>
      </c>
      <c r="E22" s="7" t="inlineStr">
        <is>
          <t>statistical_results</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LEFT(A22,LEN("2025::jama.2025.11178::"))&lt;&gt;"2025::jama.2025.11178::"),"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inlineStr">
        <is>
          <t>confirmed_issue</t>
        </is>
      </c>
      <c r="I22" s="7" t="inlineStr">
        <is>
          <t>substantive</t>
        </is>
      </c>
      <c r="J22" s="13" t="inlineStr">
        <is>
          <t>direct</t>
        </is>
      </c>
      <c r="K22" s="7">
        <f>IF(AND(OR(D22="retain",D22=""),OR(E22="report_internal_inconsistency",E22="plan_material")),"","not_applicable")</f>
        <v/>
      </c>
      <c r="L22" s="13">
        <f>IF(AND(OR(D22="retain",D22=""),E22="protocol_report"),"","not_applicable")</f>
        <v/>
      </c>
      <c r="M22" s="19" t="n"/>
      <c r="N22" s="19" t="n"/>
      <c r="O22" s="19" t="n"/>
      <c r="P22" s="19" t="n"/>
      <c r="Q22" s="19" t="n"/>
      <c r="R22" s="13" t="inlineStr">
        <is>
          <t>Confirmed: Table 3 SMD for social role 12 mo, health coach vs painTRAINER is printed 0.27 (0.28 to 0.12) (endpoints reversed). Adjusted MD 0.1 (-0.7 to 0.9). The SMD CI column is internally impossible here and cannot be extracted; SMDs are commonly pooled in meta-analyses.</t>
        </is>
      </c>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inlineStr">
        <is>
          <t>retain</t>
        </is>
      </c>
      <c r="E23" s="7" t="inlineStr">
        <is>
          <t>statistical_results</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LEFT(A23,LEN("2025::jama.2025.11178::"))&lt;&gt;"2025::jama.2025.11178::"),"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inlineStr">
        <is>
          <t>confirmed_issue</t>
        </is>
      </c>
      <c r="I23" s="7" t="inlineStr">
        <is>
          <t>substantive</t>
        </is>
      </c>
      <c r="J23" s="13" t="inlineStr">
        <is>
          <t>direct</t>
        </is>
      </c>
      <c r="K23" s="7">
        <f>IF(AND(OR(D23="retain",D23=""),OR(E23="report_internal_inconsistency",E23="plan_material")),"","not_applicable")</f>
        <v/>
      </c>
      <c r="L23" s="13">
        <f>IF(AND(OR(D23="retain",D23=""),E23="protocol_report"),"","not_applicable")</f>
        <v/>
      </c>
      <c r="M23" s="19" t="n"/>
      <c r="N23" s="19" t="n"/>
      <c r="O23" s="19" t="n"/>
      <c r="P23" s="19" t="n"/>
      <c r="Q23" s="19" t="n"/>
      <c r="R23" s="13" t="inlineStr">
        <is>
          <t>Confirmed: Table 3 SMD for physical function 3 mo, painTRAINER vs UC+ is printed 0.09 (0.16 to 0.07) (endpoints reversed; sorted [0.07, 0.16] still holds 0.09). Adjusted MD 0.4 (-0.1 to 0.9). The SMD CI column is internally impossible here and cannot be extracted; SMDs are commonly pooled in meta-analyses.</t>
        </is>
      </c>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inlineStr">
        <is>
          <t>retain</t>
        </is>
      </c>
      <c r="E24" s="7" t="inlineStr">
        <is>
          <t>statistical_results</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LEFT(A24,LEN("2025::jama.2025.11178::"))&lt;&gt;"2025::jama.2025.11178::"),"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inlineStr">
        <is>
          <t>confirmed_issue</t>
        </is>
      </c>
      <c r="I24" s="7" t="inlineStr">
        <is>
          <t>substantive</t>
        </is>
      </c>
      <c r="J24" s="13" t="inlineStr">
        <is>
          <t>direct</t>
        </is>
      </c>
      <c r="K24" s="7">
        <f>IF(AND(OR(D24="retain",D24=""),OR(E24="report_internal_inconsistency",E24="plan_material")),"","not_applicable")</f>
        <v/>
      </c>
      <c r="L24" s="13">
        <f>IF(AND(OR(D24="retain",D24=""),E24="protocol_report"),"","not_applicable")</f>
        <v/>
      </c>
      <c r="M24" s="19" t="n"/>
      <c r="N24" s="19" t="n"/>
      <c r="O24" s="19" t="n"/>
      <c r="P24" s="19" t="n"/>
      <c r="Q24" s="19" t="n"/>
      <c r="R24" s="13" t="inlineStr">
        <is>
          <t>Confirmed: Table 3 SMD for physical function 3 mo, health coach vs UC+ is printed -0.02 (0.05 to -0.04) (endpoints reversed). Adjusted MD 0.7 (0.2 to 1.2). The SMD CI column is internally impossible here and cannot be extracted; SMDs are commonly pooled in meta-analyses.</t>
        </is>
      </c>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inlineStr">
        <is>
          <t>retain</t>
        </is>
      </c>
      <c r="E25" s="7" t="inlineStr">
        <is>
          <t>statistical_results</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LEFT(A25,LEN("2025::jama.2025.11178::"))&lt;&gt;"2025::jama.2025.11178::"),"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inlineStr">
        <is>
          <t>confirmed_issue</t>
        </is>
      </c>
      <c r="I25" s="7" t="inlineStr">
        <is>
          <t>substantive</t>
        </is>
      </c>
      <c r="J25" s="13" t="inlineStr">
        <is>
          <t>direct</t>
        </is>
      </c>
      <c r="K25" s="7">
        <f>IF(AND(OR(D25="retain",D25=""),OR(E25="report_internal_inconsistency",E25="plan_material")),"","not_applicable")</f>
        <v/>
      </c>
      <c r="L25" s="13">
        <f>IF(AND(OR(D25="retain",D25=""),E25="protocol_report"),"","not_applicable")</f>
        <v/>
      </c>
      <c r="M25" s="19" t="n"/>
      <c r="N25" s="19" t="n"/>
      <c r="O25" s="19" t="n"/>
      <c r="P25" s="19" t="n"/>
      <c r="Q25" s="19" t="n"/>
      <c r="R25" s="13" t="inlineStr">
        <is>
          <t>Confirmed: Table 3 SMD for physical function 3 mo, health coach vs painTRAINER is printed 0.16 (0.22 to 0.15) (endpoints reversed). Adjusted MD 0.3 (-0.2 to 0.8). The SMD CI column is internally impossible here and cannot be extracted; SMDs are commonly pooled in meta-analyses.</t>
        </is>
      </c>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inlineStr">
        <is>
          <t>retain</t>
        </is>
      </c>
      <c r="E26" s="7" t="inlineStr">
        <is>
          <t>statistical_results</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LEFT(A26,LEN("2025::jama.2025.11178::"))&lt;&gt;"2025::jama.2025.11178::"),"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inlineStr">
        <is>
          <t>confirmed_issue</t>
        </is>
      </c>
      <c r="I26" s="7" t="inlineStr">
        <is>
          <t>substantive</t>
        </is>
      </c>
      <c r="J26" s="13" t="inlineStr">
        <is>
          <t>direct</t>
        </is>
      </c>
      <c r="K26" s="7">
        <f>IF(AND(OR(D26="retain",D26=""),OR(E26="report_internal_inconsistency",E26="plan_material")),"","not_applicable")</f>
        <v/>
      </c>
      <c r="L26" s="13">
        <f>IF(AND(OR(D26="retain",D26=""),E26="protocol_report"),"","not_applicable")</f>
        <v/>
      </c>
      <c r="M26" s="19" t="n"/>
      <c r="N26" s="19" t="n"/>
      <c r="O26" s="19" t="n"/>
      <c r="P26" s="19" t="n"/>
      <c r="Q26" s="19" t="n"/>
      <c r="R26" s="13" t="inlineStr">
        <is>
          <t>Confirmed: Table 3 SMD for physical function 6 mo, painTRAINER vs UC+ is printed 0.15 (0.09 to -0.06) (endpoints reversed and sorted interval [-0.06, 0.09] excludes 0.15). Adjusted MD 0.6 (0.1 to 1.2). The SMD CI column is internally impossible here and cannot be extracted; SMDs are commonly pooled in meta-analyses.</t>
        </is>
      </c>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inlineStr">
        <is>
          <t>retain</t>
        </is>
      </c>
      <c r="E27" s="7" t="inlineStr">
        <is>
          <t>statistical_results</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LEFT(A27,LEN("2025::jama.2025.11178::"))&lt;&gt;"2025::jama.2025.11178::"),"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inlineStr">
        <is>
          <t>confirmed_issue</t>
        </is>
      </c>
      <c r="I27" s="7" t="inlineStr">
        <is>
          <t>substantive</t>
        </is>
      </c>
      <c r="J27" s="13" t="inlineStr">
        <is>
          <t>direct</t>
        </is>
      </c>
      <c r="K27" s="7">
        <f>IF(AND(OR(D27="retain",D27=""),OR(E27="report_internal_inconsistency",E27="plan_material")),"","not_applicable")</f>
        <v/>
      </c>
      <c r="L27" s="13">
        <f>IF(AND(OR(D27="retain",D27=""),E27="protocol_report"),"","not_applicable")</f>
        <v/>
      </c>
      <c r="M27" s="19" t="n"/>
      <c r="N27" s="19" t="n"/>
      <c r="O27" s="19" t="n"/>
      <c r="P27" s="19" t="n"/>
      <c r="Q27" s="19" t="n"/>
      <c r="R27" s="13" t="inlineStr">
        <is>
          <t>Confirmed: Table 3 SMD for physical function 6 mo, health coach vs UC+ is printed 0.02 (0.03 to -0.18) (endpoints reversed). Adjusted MD 0.4 (-0.1 to 0.9). The SMD CI column is internally impossible here and cannot be extracted; SMDs are commonly pooled in meta-analyses.</t>
        </is>
      </c>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inlineStr">
        <is>
          <t>retain</t>
        </is>
      </c>
      <c r="E28" s="7" t="inlineStr">
        <is>
          <t>statistical_results</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LEFT(A28,LEN("2025::jama.2025.11178::"))&lt;&gt;"2025::jama.2025.11178::"),"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inlineStr">
        <is>
          <t>confirmed_issue</t>
        </is>
      </c>
      <c r="I28" s="7" t="inlineStr">
        <is>
          <t>substantive</t>
        </is>
      </c>
      <c r="J28" s="13" t="inlineStr">
        <is>
          <t>direct</t>
        </is>
      </c>
      <c r="K28" s="7">
        <f>IF(AND(OR(D28="retain",D28=""),OR(E28="report_internal_inconsistency",E28="plan_material")),"","not_applicable")</f>
        <v/>
      </c>
      <c r="L28" s="13">
        <f>IF(AND(OR(D28="retain",D28=""),E28="protocol_report"),"","not_applicable")</f>
        <v/>
      </c>
      <c r="M28" s="19" t="n"/>
      <c r="N28" s="19" t="n"/>
      <c r="O28" s="19" t="n"/>
      <c r="P28" s="19" t="n"/>
      <c r="Q28" s="19" t="n"/>
      <c r="R28" s="13" t="inlineStr">
        <is>
          <t>Confirmed: Table 3 SMD for physical function 6 mo, health coach vs painTRAINER is printed 0.22 (0.16 to 0.05) (endpoints reversed and sorted interval [0.05, 0.16] excludes 0.22). Adjusted MD -0.3 (-0.8 to 0.3). The SMD CI column is internally impossible here and cannot be extracted; SMDs are commonly pooled in meta-analyses.</t>
        </is>
      </c>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inlineStr">
        <is>
          <t>retain</t>
        </is>
      </c>
      <c r="E29" s="7" t="inlineStr">
        <is>
          <t>statistical_results</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LEFT(A29,LEN("2025::jama.2025.11178::"))&lt;&gt;"2025::jama.2025.11178::"),"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inlineStr">
        <is>
          <t>confirmed_issue</t>
        </is>
      </c>
      <c r="I29" s="7" t="inlineStr">
        <is>
          <t>substantive</t>
        </is>
      </c>
      <c r="J29" s="13" t="inlineStr">
        <is>
          <t>direct</t>
        </is>
      </c>
      <c r="K29" s="7">
        <f>IF(AND(OR(D29="retain",D29=""),OR(E29="report_internal_inconsistency",E29="plan_material")),"","not_applicable")</f>
        <v/>
      </c>
      <c r="L29" s="13">
        <f>IF(AND(OR(D29="retain",D29=""),E29="protocol_report"),"","not_applicable")</f>
        <v/>
      </c>
      <c r="M29" s="19" t="n"/>
      <c r="N29" s="19" t="n"/>
      <c r="O29" s="19" t="n"/>
      <c r="P29" s="19" t="n"/>
      <c r="Q29" s="19" t="n"/>
      <c r="R29" s="13" t="inlineStr">
        <is>
          <t>Confirmed: Table 3 SMD for physical function 12 mo, painTRAINER vs UC+ is printed 0.20 (0.18 to -0.03) (endpoints reversed and sorted interval [-0.03, 0.18] excludes 0.20). Adjusted MD 0.9 (0.3 to 1.5). The SMD CI column is internally impossible here and cannot be extracted; SMDs are commonly pooled in meta-analyses.</t>
        </is>
      </c>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inlineStr">
        <is>
          <t>retain</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LEFT(A30,LEN("2025::jama.2025.11178::"))&lt;&gt;"2025::jama.2025.11178::"),"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inlineStr">
        <is>
          <t>confirmed_issue</t>
        </is>
      </c>
      <c r="I30" s="7" t="inlineStr">
        <is>
          <t>substantive</t>
        </is>
      </c>
      <c r="J30" s="13" t="inlineStr">
        <is>
          <t>direct</t>
        </is>
      </c>
      <c r="K30" s="7">
        <f>IF(AND(OR(D30="retain",D30=""),OR(E30="report_internal_inconsistency",E30="plan_material")),"","not_applicable")</f>
        <v/>
      </c>
      <c r="L30" s="13">
        <f>IF(AND(OR(D30="retain",D30=""),E30="protocol_report"),"","not_applicable")</f>
        <v/>
      </c>
      <c r="M30" s="19" t="n"/>
      <c r="N30" s="19" t="n"/>
      <c r="O30" s="19" t="n"/>
      <c r="P30" s="19" t="n"/>
      <c r="Q30" s="19" t="n"/>
      <c r="R30" s="13" t="inlineStr">
        <is>
          <t>Confirmed: Table 3 SMD for physical function 12 mo, health coach vs UC+ is printed 0.07 (0.04 to -0.16) (endpoints reversed and sorted interval [-0.16, 0.04] excludes 0.07). Adjusted MD 0.8 (0.2 to 1.4). The SMD CI column is internally impossible here and cannot be extracted; SMDs are commonly pooled in meta-analyses.</t>
        </is>
      </c>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inlineStr">
        <is>
          <t>retain</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LEFT(A31,LEN("2025::jama.2025.11178::"))&lt;&gt;"2025::jama.2025.11178::"),"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inlineStr">
        <is>
          <t>direct</t>
        </is>
      </c>
      <c r="K31" s="7">
        <f>IF(AND(OR(D31="retain",D31=""),OR(E31="report_internal_inconsistency",E31="plan_material")),"","not_applicable")</f>
        <v/>
      </c>
      <c r="L31" s="13">
        <f>IF(AND(OR(D31="retain",D31=""),E31="protocol_report"),"","not_applicable")</f>
        <v/>
      </c>
      <c r="M31" s="19" t="n"/>
      <c r="N31" s="19" t="n"/>
      <c r="O31" s="19" t="n"/>
      <c r="P31" s="19" t="n"/>
      <c r="Q31" s="19" t="n"/>
      <c r="R31" s="13" t="inlineStr">
        <is>
          <t>Confirmed: Table 3 SMD for physical function 12 mo, health coach vs painTRAINER is printed 0.27 (0.25 to 0.09) (endpoints reversed and sorted interval [0.09, 0.25] excludes 0.27). Adjusted MD -0.1 (-0.7 to 0.5). The SMD CI column is internally impossible here and cannot be extracted; SMDs are commonly pooled in meta-analyses.</t>
        </is>
      </c>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inlineStr">
        <is>
          <t>retain</t>
        </is>
      </c>
      <c r="E32" s="7" t="inlineStr">
        <is>
          <t>statistical_results</t>
        </is>
      </c>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LEFT(A32,LEN("2025::jama.2025.11178::"))&lt;&gt;"2025::jama.2025.11178::"),"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inlineStr">
        <is>
          <t>confirmed_issue</t>
        </is>
      </c>
      <c r="I32" s="7" t="inlineStr">
        <is>
          <t>substantive</t>
        </is>
      </c>
      <c r="J32" s="13" t="inlineStr">
        <is>
          <t>direct</t>
        </is>
      </c>
      <c r="K32" s="7">
        <f>IF(AND(OR(D32="retain",D32=""),OR(E32="report_internal_inconsistency",E32="plan_material")),"","not_applicable")</f>
        <v/>
      </c>
      <c r="L32" s="13">
        <f>IF(AND(OR(D32="retain",D32=""),E32="protocol_report"),"","not_applicable")</f>
        <v/>
      </c>
      <c r="M32" s="19" t="n"/>
      <c r="N32" s="19" t="n"/>
      <c r="O32" s="19" t="n"/>
      <c r="P32" s="19" t="n"/>
      <c r="Q32" s="19" t="n"/>
      <c r="R32" s="13" t="inlineStr">
        <is>
          <t>Confirmed: Table 3 SMD for PGIC-pain 12 mo, painTRAINER vs UC+ is printed -0.55 (-0.50 to 0.05) (estimate below lower bound). Adjusted MD -0.6 (-0.8 to -0.5). The SMD CI column is internally impossible here and cannot be extracted; SMDs are commonly pooled in meta-analyses.</t>
        </is>
      </c>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inlineStr">
        <is>
          <t>retain</t>
        </is>
      </c>
      <c r="E33" s="7" t="inlineStr">
        <is>
          <t>statistical_results</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LEFT(A33,LEN("2025::jama.2025.11178::"))&lt;&gt;"2025::jama.2025.11178::"),"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inlineStr">
        <is>
          <t>confirmed_issue</t>
        </is>
      </c>
      <c r="I33" s="7" t="inlineStr">
        <is>
          <t>substantive</t>
        </is>
      </c>
      <c r="J33" s="13" t="inlineStr">
        <is>
          <t>direct</t>
        </is>
      </c>
      <c r="K33" s="7">
        <f>IF(AND(OR(D33="retain",D33=""),OR(E33="report_internal_inconsistency",E33="plan_material")),"","not_applicable")</f>
        <v/>
      </c>
      <c r="L33" s="13">
        <f>IF(AND(OR(D33="retain",D33=""),E33="protocol_report"),"","not_applicable")</f>
        <v/>
      </c>
      <c r="M33" s="19" t="n"/>
      <c r="N33" s="19" t="n"/>
      <c r="O33" s="19" t="n"/>
      <c r="P33" s="19" t="n"/>
      <c r="Q33" s="19" t="n"/>
      <c r="R33" s="13" t="inlineStr">
        <is>
          <t>Confirmed: Table 3 SMD for PGIC-pain 12 mo, health coach vs UC+ is printed -0.57 (-0.54 to -0.08) (estimate below lower bound). Adjusted MD -0.6 (-0.7 to -0.4). The SMD CI column is internally impossible here and cannot be extracted; SMDs are commonly pooled in meta-analyses.</t>
        </is>
      </c>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inlineStr">
        <is>
          <t>retain</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LEFT(A34,LEN("2025::jama.2025.11178::"))&lt;&gt;"2025::jama.2025.11178::"),"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inlineStr">
        <is>
          <t>direct</t>
        </is>
      </c>
      <c r="K34" s="7">
        <f>IF(AND(OR(D34="retain",D34=""),OR(E34="report_internal_inconsistency",E34="plan_material")),"","not_applicable")</f>
        <v/>
      </c>
      <c r="L34" s="13">
        <f>IF(AND(OR(D34="retain",D34=""),E34="protocol_report"),"","not_applicable")</f>
        <v/>
      </c>
      <c r="M34" s="19" t="n"/>
      <c r="N34" s="19" t="n"/>
      <c r="O34" s="19" t="n"/>
      <c r="P34" s="19" t="n"/>
      <c r="Q34" s="19" t="n"/>
      <c r="R34" s="13" t="inlineStr">
        <is>
          <t>Confirmed: Table 3 SMD for PGIC-pain 12 mo, health coach vs painTRAINER is printed -0.29 (-0.25 to 0.14) (estimate below lower bound). Adjusted MD 0.1 (-0.1 to 0.2). The SMD CI column is internally impossible here and cannot be extracted; SMDs are commonly pooled in meta-analyses.</t>
        </is>
      </c>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inlineStr">
        <is>
          <t>retain</t>
        </is>
      </c>
      <c r="E35" s="7" t="inlineStr">
        <is>
          <t>report_internal_inconsistency</t>
        </is>
      </c>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LEFT(A35,LEN("2025::jama.2025.11178::"))&lt;&gt;"2025::jama.2025.11178::"),"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t="inlineStr">
        <is>
          <t>minor_presentation</t>
        </is>
      </c>
      <c r="L35" s="13">
        <f>IF(AND(OR(D35="retain",D35=""),E35="protocol_report"),"","not_applicable")</f>
        <v/>
      </c>
      <c r="M35" s="19" t="n"/>
      <c r="N35" s="19" t="n"/>
      <c r="O35" s="19" t="n"/>
      <c r="P35" s="19" t="n"/>
      <c r="Q35" s="19" t="n"/>
      <c r="R35" s="13" t="inlineStr">
        <is>
          <t>Confirmed one-count discrepancy: Table 1 female 571+572+569=1712 (abstract 1712) vs workbook eTable 3 overall 1713 (73.5%). Both use the same derivation (self-reported sex, EHR if missing), so they should match. 1712/2331=73.4%. Trivial effect.</t>
        </is>
      </c>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inlineStr">
        <is>
          <t>retain</t>
        </is>
      </c>
      <c r="E36" s="7" t="inlineStr">
        <is>
          <t>report_internal_inconsistency</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LEFT(A36,LEN("2025::jama.2025.11178::"))&lt;&gt;"2025::jama.2025.11178::"),"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t="inlineStr">
        <is>
          <t>minor_presentation</t>
        </is>
      </c>
      <c r="L36" s="13">
        <f>IF(AND(OR(D36="retain",D36=""),E36="protocol_report"),"","not_applicable")</f>
        <v/>
      </c>
      <c r="M36" s="19" t="n"/>
      <c r="N36" s="19" t="n"/>
      <c r="O36" s="19" t="n"/>
      <c r="P36" s="19" t="n"/>
      <c r="Q36" s="19" t="n"/>
      <c r="R36" s="13" t="inlineStr">
        <is>
          <t>Confirmed small discrepancy: Results text says 47.8% had current depression (PHQ-8 &gt;=10); Table 1 gives 373/775+373/777+370/777=1116/2329=47.9%, matching the workbook 1116 (47.9). 47.92% does not round to 47.8% under any convention.</t>
        </is>
      </c>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inlineStr">
        <is>
          <t>retain</t>
        </is>
      </c>
      <c r="E37" s="7" t="inlineStr">
        <is>
          <t>report_internal_inconsistency</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LEFT(A37,LEN("2025::jama.2025.11178::"))&lt;&gt;"2025::jama.2025.11178::"),"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t="inlineStr">
        <is>
          <t>minor_presentation</t>
        </is>
      </c>
      <c r="L37" s="13">
        <f>IF(AND(OR(D37="retain",D37=""),E37="protocol_report"),"","not_applicable")</f>
        <v/>
      </c>
      <c r="M37" s="19" t="n"/>
      <c r="N37" s="19" t="n"/>
      <c r="O37" s="19" t="n"/>
      <c r="P37" s="19" t="n"/>
      <c r="Q37" s="19" t="n"/>
      <c r="R37" s="13" t="inlineStr">
        <is>
          <t>Confirmed: Secondary Outcomes text gives painTRAINER 3-month pain-severity SMD -0.26; Table 3 3-month value is -0.25 (-0.28 to -0.02). The text value equals the Table 3 6-month SMD (-0.26), so the narrative likely cites the wrong time point. Size is small and 'modest' still holds.</t>
        </is>
      </c>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inlineStr">
        <is>
          <t>retain</t>
        </is>
      </c>
      <c r="E38" s="7" t="inlineStr">
        <is>
          <t>report_internal_inconsistency</t>
        </is>
      </c>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LEFT(A38,LEN("2025::jama.2025.11178::"))&lt;&gt;"2025::jama.2025.11178::"),"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t="inlineStr">
        <is>
          <t>minor_presentation</t>
        </is>
      </c>
      <c r="L38" s="13">
        <f>IF(AND(OR(D38="retain",D38=""),E38="protocol_report"),"","not_applicable")</f>
        <v/>
      </c>
      <c r="M38" s="19" t="n"/>
      <c r="N38" s="19" t="n"/>
      <c r="O38" s="19" t="n"/>
      <c r="P38" s="19" t="n"/>
      <c r="Q38" s="19" t="n"/>
      <c r="R38" s="13" t="inlineStr">
        <is>
          <t>Confirmed: Secondary Outcomes text gives health coach 3-month pain-severity SMD -0.36; Table 3 3-month value is -0.34 (-0.36 to -0.13). The text value equals the Table 3 6-month SMD (-0.36), so the narrative likely cites the wrong time point. Size is small and 'modest' still holds.</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2025.15185::"))&lt;&gt;"2025::jama.2025.15185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levodopa index stroke is 260 ischemic/47 hemorrhagic in main Table 1 but 263/44 in eTable 1. eTable 1's own overall column (519/91) reconciles only with 260/47 (259+260=519; 44+47=91), so the eTable levodopa cells are wrong. Baseline only; minor.</t>
        </is>
      </c>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2025.15185::"))&lt;&gt;"2025::jama.2025.15185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Confirmed label error: eTable 1 row 'Median NIHSS at randomization [IQR]' prints 8.2 (3.9), 8.3 (3.8), 8.2 (3.9), which are mean (SD)-form values; main Table 1 and text give medians 7 (5-11), 8 (5-10), overall 7 (5-10). Statistic mislabeled; magnitude similar; minor.</t>
        </is>
      </c>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2025.15185::"))&lt;&gt;"2025::jama.2025.15185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substantive_inconsistency</t>
        </is>
      </c>
      <c r="L4" s="13">
        <f>IF(AND(OR(D4="retain",D4=""),E4="protocol_report"),"","not_applicable")</f>
        <v/>
      </c>
      <c r="M4" s="19" t="n"/>
      <c r="N4" s="19" t="n"/>
      <c r="O4" s="19" t="n"/>
      <c r="P4" s="19" t="n"/>
      <c r="Q4" s="19" t="n"/>
      <c r="R4" s="13" t="inlineStr">
        <is>
          <t>Confirmed: main Table 1 gives onset-to-randomization median 3.0 (2.0-5.0) days in both arms; eTable 1 gives 7 [5,10] overall, 8 [5,10] placebo, 7 [5-11] levodopa, which are exactly the NIHSS medians/IQRs from the main report. The eTable row appears shifted; a reader of eTable 1 would get a wrong time to treatment (7-8 vs 3 days).</t>
        </is>
      </c>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2025.15185::"))&lt;&gt;"2025::jama.2025.15185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minor_presentation</t>
        </is>
      </c>
      <c r="J5" s="13" t="inlineStr">
        <is>
          <t>unlikely</t>
        </is>
      </c>
      <c r="K5" s="7">
        <f>IF(AND(OR(D5="retain",D5=""),OR(E5="report_internal_inconsistency",E5="plan_material")),"","not_applicable")</f>
        <v/>
      </c>
      <c r="L5" s="13">
        <f>IF(AND(OR(D5="retain",D5=""),E5="protocol_report"),"","not_applicable")</f>
        <v/>
      </c>
      <c r="M5" s="19" t="n"/>
      <c r="N5" s="19" t="n"/>
      <c r="O5" s="19" t="n"/>
      <c r="P5" s="19" t="n"/>
      <c r="Q5" s="19" t="n"/>
      <c r="R5" s="13" t="inlineStr">
        <is>
          <t>Confirmed but trivial: Estimand 4 win ratio is 1.06 (95% CI 0.86 to 1.25) in the eTable 2 narrative and 1.06 [0.86-1.26] in the eTable 2 row. Upper bound differs by 0.01; sensitivity estimand; no interpretive change.</t>
        </is>
      </c>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2025.15185::"))&lt;&gt;"2025::jama.2025.15185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Confirmed: main text gives 3-month PROMIS-29 mean (SD) 66 (14) levodopa vs 65 (14) placebo; eTable 4 gives 64.74 (14.33) vs 65.11 (13.79). 64.74 rounds to 65, not 66, and the main text reverses the arm ordering of the means. Adjusted difference (-0.37) is identical; minor.</t>
        </is>
      </c>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2025.15185::"))&lt;&gt;"2025::jama.2025.15185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Confirmed: main text gives PROMIS-10 mean (SD) 28 (6) in both arms; eTable 4 gives 29.87 (5.74) placebo and 30.04 (5.73) levodopa (both round to 30). A 2-point (~0.35 SD) arm-level misprint; the adjusted difference 0.18 (-0.98 to 1.33) matches, so the comparison is unaffected.</t>
        </is>
      </c>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2025.15185::"))&lt;&gt;"2025::jama.2025.15185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Confirmed but trivial: placebo 5-week FMA SD is 26 in main text vs 25.20 in eTable 4 (rounds to 25). Means and adjusted difference (0.02) agree. One-unit SD misprint; minor.</t>
        </is>
      </c>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2025.15185::"))&lt;&gt;"2025::jama.2025.15185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Confirmed: placebo patients reporting no (relevant) improvement are 52/270 (19%) in the main text but 51 (18.89%) of 270 in eTable 4; levodopa 51/276 agrees. One-count discrepancy in a descriptive secondary outcome; minor.</t>
        </is>
      </c>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2025.15185::"))&lt;&gt;"2025::jama.2025.15185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minor_presentation</t>
        </is>
      </c>
      <c r="J10" s="13" t="inlineStr">
        <is>
          <t>unlikely</t>
        </is>
      </c>
      <c r="K10" s="7">
        <f>IF(AND(OR(D10="retain",D10=""),OR(E10="report_internal_inconsistency",E10="plan_material")),"","not_applicable")</f>
        <v/>
      </c>
      <c r="L10" s="13">
        <f>IF(AND(OR(D10="retain",D10=""),E10="protocol_report"),"","not_applicable")</f>
        <v/>
      </c>
      <c r="M10" s="19" t="n"/>
      <c r="N10" s="19" t="n"/>
      <c r="O10" s="19" t="n"/>
      <c r="P10" s="19" t="n"/>
      <c r="Q10" s="19" t="n"/>
      <c r="R10" s="13" t="inlineStr">
        <is>
          <t>Confirmed: eTable 6 header gives overall n=145, but arms are 67+79=146 and every classification block sums to 146; main text reports 146 events. Header typo; intended total clear.</t>
        </is>
      </c>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2025.15185::"))&lt;&gt;"2025::jama.2025.15185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 FMA and FMMA name the same instrument. eTable legends define FMA as 'Fugl-Meyer Motor Assessment' and the SAP uses FMMA for the same Fugl-Meyer Motor Assessment; the eFigure 4 axis label is a synonym, not a conflicting measure.</t>
        </is>
      </c>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2025.15185::"))&lt;&gt;"2025::jama.2025.15185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Real but minor: the eTable 2 effect column is headed 'Mean Difference on FMA' while the Estimand 4 row reports a win ratio 1.06 [0.86-1.26]. The row's own summary cell says 'win ratio [95% CI]', so the intended measure is recoverable.</t>
        </is>
      </c>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2025.15185::"))&lt;&gt;"2025::jama.2025.15185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minor_presentation</t>
        </is>
      </c>
      <c r="L13" s="13">
        <f>IF(AND(OR(D13="retain",D13=""),E13="protocol_report"),"","not_applicable")</f>
        <v/>
      </c>
      <c r="M13" s="19" t="n"/>
      <c r="N13" s="19" t="n"/>
      <c r="O13" s="19" t="n"/>
      <c r="P13" s="19" t="n"/>
      <c r="Q13" s="19" t="n"/>
      <c r="R13" s="13" t="inlineStr">
        <is>
          <t>Real but minor: eTable 2 narrative says estimand 4 used 'win-ratios resulting in an odds ratio of 1.06', while the table row calls 1.06 a win ratio. Odds ratio and win ratio are different measures; the table and method name make win ratio the evident intent.</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3"/>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2025.15440::"))&lt;&gt;"2025::jama.2025.15440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abstract gives any-stroke RR 1.08 (95% CI 0.76-1.53); Results text and Figure 4B give 1.08 (0.77-1.51) for the same 69 vs 64 events. One interval is misprinted. Difference is 0.01-0.02 at each bound, both intervals span 1, exploratory outcome; interpretation unchanged.</t>
        </is>
      </c>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inlineStr">
        <is>
          <t>exclude</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2025.15440::"))&lt;&gt;"2025::jama.2025.15440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 Figure 4B rows are separate time-to-first-event analyses (log-rank RRs). A participant with both an ischemic and a hemorrhagic stroke counts once in Any stroke (text: 'Stroke occurred in 69 participants') but in each subtype row. 60+12=72 vs 69 implies 3 such participants; this is expected, not an error.</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1"/>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2025.16450::"))&lt;&gt;"2025::jama.2025.16450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eTable 4 header reads 'Relative Risk (RR) or Mean Difference (MD)' and the footnote says binary outcomes report relative risks, but the abbreviation line defines 'RR = risk difference'. Values are ratio-scale (PDA 0.86; crude 0.877). A copyediting slip; intended measure is clear from header and footnote.</t>
        </is>
      </c>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2025.16450::"))&lt;&gt;"2025::jama.2025.16450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 no discrepancy. Protocol p. 4 prints 22 0/7 - 28 6/7 weeks; SAP p. 8 prints 22 0/7 - 28 6/7; the article states 22 weeks 0 days to 28 weeks 6 days. The earlier 27 6/7 reading was an extraction error, as the AI itself notes.</t>
        </is>
      </c>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2025.16450::"))&lt;&gt;"2025::jama.2025.16450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 no discrepancy. Protocol p. 4 and SAP p. 8 give 2.5 mL/kg surfactant for the first dose; the article gives 2.5 mL/kg first dose and 1.25 mL/kg surfactant for the second dose. The 1.25 mL/kg first-dose reading was an extraction error.</t>
        </is>
      </c>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2025.16450::"))&lt;&gt;"2025::jama.2025.16450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substantive_inconsistency</t>
        </is>
      </c>
      <c r="L5" s="13">
        <f>IF(AND(OR(D5="retain",D5=""),E5="protocol_report"),"","not_applicable")</f>
        <v/>
      </c>
      <c r="M5" s="19" t="n"/>
      <c r="N5" s="19" t="n"/>
      <c r="O5" s="19" t="n"/>
      <c r="P5" s="19" t="n"/>
      <c r="Q5" s="19" t="n"/>
      <c r="R5" s="13" t="inlineStr">
        <is>
          <t>Confirmed plan-material conflict: Manual of Procedures (p. 8 and NDI table p. 10, version dated through Sept 2023) defines severe NDI with GMFCS level 3-5; SAP v1.3 (2024) uses GMFCS 4-5 and adds BSID-IV motor &lt;70. The manual hedges that the definition would be fixed at first follow-up. Affects a prespecified secondary outcome not yet reported here.</t>
        </is>
      </c>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inlineStr">
        <is>
          <t>exclude</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2025.16450::"))&lt;&gt;"2025::jama.2025.16450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 no edition conflict. Manual p. 8 and p. 10 and SAP p. 3 and p. 26 all specify BSID-IV (4th edition) with cognitive score &lt;70; Bayley-III does not appear in the cited passages.</t>
        </is>
      </c>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inlineStr">
        <is>
          <t>exclude</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2025.16450::"))&lt;&gt;"2025::jama.2025.16450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 protocol p. 29 and SAP p. 26 (SAP page 19) both print first-look efficacy alpha 0.000015, then 0.0030, 0.0183 and 0.0440. No tenfold mismatch exists.</t>
        </is>
      </c>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inlineStr">
        <is>
          <t>exclude</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2025.16450::"))&lt;&gt;"2025::jama.2025.16450::"),"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inlineStr">
        <is>
          <t>Exclude: the .0440 final alpha assumed 3 interim looks. The trial stopped after the 50% look, and the SAP states that alpha allocated to interim analyses not performed may be recovered for the final analysis. With looks at .000015 and .003, a final nominal .049 keeps overall alpha below .05 (simulated 0.0488-0.0498).</t>
        </is>
      </c>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2025.16450::"))&lt;&gt;"2025::jama.2025.16450::"),"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t="inlineStr">
        <is>
          <t>minor_presentation</t>
        </is>
      </c>
      <c r="M9" s="19" t="n"/>
      <c r="N9" s="19" t="n"/>
      <c r="O9" s="19" t="n"/>
      <c r="P9" s="19" t="n"/>
      <c r="Q9" s="19" t="n"/>
      <c r="R9" s="13" t="inlineStr">
        <is>
          <t>Real but minor difference: article says the trial ran in the 17 NRN centers; SAP v1.3 (dated after enrollment ended) still says 'All 15 NRN centers plan to participate', and protocol p. 29 says 'there are 15 centers in the NRN'. Likely a network-composition change not updated in plan text; analyses adjust for pooled center, so no effect on estimates.</t>
        </is>
      </c>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inlineStr">
        <is>
          <t>exclude</t>
        </is>
      </c>
      <c r="E10" s="7" t="inlineStr">
        <is>
          <t>report_internal_inconsistency</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2025.16450::"))&lt;&gt;"2025::jama.2025.16450::"),"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inlineStr">
        <is>
          <t>Exclude: the RR label with footnote g ('Relative risk was estimated by Mantel-Haenszel methods, approximated by the common OR, due to convergence issues') is a disclosed estimator choice that matches the Methods (p. 3). Crude RR 0.692 vs crude OR 0.679 with 4-6% event rates; the label is not misleading.</t>
        </is>
      </c>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inlineStr">
        <is>
          <t>exclude</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2025.16450::"))&lt;&gt;"2025::jama.2025.16450::"),"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 eTable 3 header names relative risk as the target, and footnote b discloses that for marked low-prevalence rows the RR was approximated by the crude OR with exact CI. Recomputed ORs 0.727, 0.646, 2.633 match the printed .73, .65, 2.64 (rounding). Disclosed approximation consistent with Methods.</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2025.19563::"))&lt;&gt;"2025::jama.2025.19563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substantive_difference</t>
        </is>
      </c>
      <c r="M2" s="19" t="n"/>
      <c r="N2" s="19" t="n"/>
      <c r="O2" s="19" t="n"/>
      <c r="P2" s="19" t="n"/>
      <c r="Q2" s="19" t="n"/>
      <c r="R2" s="13" t="inlineStr">
        <is>
          <t>Real plan-report difference in the primary endpoint: protocol v1.1 (p. 6, p. 15) defines success as any of 3 components; the report adds 'maintaining HbA1c &lt;6.5% throughout' as a global failure condition. Supplement 1's Summary of Changes to SAP (PDF p. 86) acknowledges incident diabetes 'was not prespecified' as grounds for failure. Count of reclassified participants not given.</t>
        </is>
      </c>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2025.19563::"))&lt;&gt;"2025::jama.2025.19563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minor_presentation</t>
        </is>
      </c>
      <c r="J3" s="13" t="inlineStr">
        <is>
          <t>unlikely</t>
        </is>
      </c>
      <c r="K3" s="7">
        <f>IF(AND(OR(D3="retain",D3=""),OR(E3="report_internal_inconsistency",E3="plan_material")),"","not_applicable")</f>
        <v/>
      </c>
      <c r="L3" s="13">
        <f>IF(AND(OR(D3="retain",D3=""),E3="protocol_report"),"","not_applicable")</f>
        <v/>
      </c>
      <c r="M3" s="19" t="n"/>
      <c r="N3" s="19" t="n"/>
      <c r="O3" s="19" t="n"/>
      <c r="P3" s="19" t="n"/>
      <c r="Q3" s="19" t="n"/>
      <c r="R3" s="13" t="inlineStr">
        <is>
          <t>The A1C device table (Suppl. 2 p. 8) totals 282+30+0=312 at 12 months, but 313 completers all had A1C (main p. 4; eTable 8c: 368-26-29=313, no missing among completers). The text names Siemens DCA Vantage as a device used but the table has no row for it, so one measurement is unaccounted for. Methods-table omission; no effect on outcomes.</t>
        </is>
      </c>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2025.19563::"))&lt;&gt;"2025::jama.2025.19563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Confirmed mislabel: Figure 3 footnote a reads 'Baseline median (IQR) weight: 32.2 (28.2-35.9) kg/m2 ... and 32.5 (29.3-37.7) kg/m2', identical to the Table BMI row. The kg/m2 unit makes clear these are BMI values, so the meaning is recoverable.</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2025.19563::"))&lt;&gt;"2025::jama.2025.19563::"),"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Copied footnote: 'Age differed between study groups (p = 0.014)' is attached to the Age row of eTable 3 (single overall column), eTable 5 (by site; its own note gives age p=0.017), eTable 6 (by A1C status) and eTable 7 (completers vs dropouts; its own note says no differences). It refers to the randomized-arm comparison (main Table P=.01) but is misplaced. Meaning recoverable.</t>
        </is>
      </c>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inlineStr">
        <is>
          <t>exclude</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2025.19563::"))&lt;&gt;"2025::jama.2025.19563::"),"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 'No baseline characteristics were statistically significant different between groups (p&lt;0.05)' uses the parenthesis to state the significance criterion, a common shorthand, not a reported P value. The p=0.014 sentence on the same page is the copied randomized-arm footnote already captured in C004.</t>
        </is>
      </c>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2025.19563::"))&lt;&gt;"2025::jama.2025.19563::"),"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minor_presentation</t>
        </is>
      </c>
      <c r="J7" s="13" t="inlineStr">
        <is>
          <t>unlikely</t>
        </is>
      </c>
      <c r="K7" s="7">
        <f>IF(AND(OR(D7="retain",D7=""),OR(E7="report_internal_inconsistency",E7="plan_material")),"","not_applicable")</f>
        <v/>
      </c>
      <c r="L7" s="13">
        <f>IF(AND(OR(D7="retain",D7=""),E7="protocol_report"),"","not_applicable")</f>
        <v/>
      </c>
      <c r="M7" s="19" t="n"/>
      <c r="N7" s="19" t="n"/>
      <c r="O7" s="19" t="n"/>
      <c r="P7" s="19" t="n"/>
      <c r="Q7" s="19" t="n"/>
      <c r="R7" s="13" t="inlineStr">
        <is>
          <t>Two supplement locations name different tests for the same comparison: eTable 10 methods say chi-squared; eTable 10b footnote says Wilcoxon rank-sum. Recomputed for 6/183 vs 7/185: Pearson chi-squared P=0.7930 (matches printed 0.793); rank-sum normal approximation P=0.7944. The footnote label looks wrong; the P value and conclusion are unaffected.</t>
        </is>
      </c>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2025.19563::"))&lt;&gt;"2025::jama.2025.19563::"),"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probable_issue</t>
        </is>
      </c>
      <c r="I8" s="7" t="inlineStr">
        <is>
          <t>substantive</t>
        </is>
      </c>
      <c r="J8" s="13" t="inlineStr">
        <is>
          <t>possible</t>
        </is>
      </c>
      <c r="K8" s="7">
        <f>IF(AND(OR(D8="retain",D8=""),OR(E8="report_internal_inconsistency",E8="plan_material")),"","not_applicable")</f>
        <v/>
      </c>
      <c r="L8" s="13">
        <f>IF(AND(OR(D8="retain",D8=""),E8="protocol_report"),"","not_applicable")</f>
        <v/>
      </c>
      <c r="M8" s="19" t="n"/>
      <c r="N8" s="19" t="n"/>
      <c r="O8" s="19" t="n"/>
      <c r="P8" s="19" t="n"/>
      <c r="Q8" s="19" t="n"/>
      <c r="R8" s="13" t="inlineStr">
        <is>
          <t>eTable 16 (MI sensitivity analysis) prints pooled 32.2% (AI) vs 31.9% (human) but RD -1.1 points (one-sided lower bound -11.5). For an unadjusted RD, Rubin-pooled RD equals the difference of pooled proportions (about +0.3). No adjustment is described, so the RD/bound or the percentages are probably wrong. Noninferiority conclusion unchanged, but the extractable estimate is unreliable.</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2"/>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exclude</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2025.19843::"))&lt;&gt;"2025::jama.2025.19843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inlineStr">
        <is>
          <t>Exclude: the two P values come from different, valid tests. P=.78 reproduces a continuity-corrected chi-square test of 28/101 vs 26/104 (p=0.777), matching the stated chi-square method for categorical outcomes; eFigure 2's p=0.56 is the log-rank test of the time-to-death curves. Counts agree. (The SAP planned log-rank; the article's headline P uses chi-square.)</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2025.20765::"))&lt;&gt;"2025::jama.2025.20765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minor_presentation</t>
        </is>
      </c>
      <c r="J2" s="13" t="inlineStr">
        <is>
          <t>direct</t>
        </is>
      </c>
      <c r="K2" s="7">
        <f>IF(AND(OR(D2="retain",D2=""),OR(E2="report_internal_inconsistency",E2="plan_material")),"","not_applicable")</f>
        <v/>
      </c>
      <c r="L2" s="13">
        <f>IF(AND(OR(D2="retain",D2=""),E2="protocol_report"),"","not_applicable")</f>
        <v/>
      </c>
      <c r="M2" s="19" t="n"/>
      <c r="N2" s="19" t="n"/>
      <c r="O2" s="19" t="n"/>
      <c r="P2" s="19" t="n"/>
      <c r="Q2" s="19" t="n"/>
      <c r="R2" s="13" t="inlineStr">
        <is>
          <t>Table 2, self-reported continuous abstinence (ITT), adjusted RR printed 2.8 (1.9 to 42). Upper bound is almost certainly 4.2 (dropped decimal): a log-symmetric interval from 2.8 and 1.9 gives about 4.1, and the crude RR in the same row is 2.7 (1.8-4.1). Intended value is evident, but an extractor would copy 42.</t>
        </is>
      </c>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2025.20765::"))&lt;&gt;"2025::jama.2025.20765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substantive_inconsistency</t>
        </is>
      </c>
      <c r="L3" s="13">
        <f>IF(AND(OR(D3="retain",D3=""),E3="protocol_report"),"","not_applicable")</f>
        <v/>
      </c>
      <c r="M3" s="19" t="n"/>
      <c r="N3" s="19" t="n"/>
      <c r="O3" s="19" t="n"/>
      <c r="P3" s="19" t="n"/>
      <c r="Q3" s="19" t="n"/>
      <c r="R3" s="13" t="inlineStr">
        <is>
          <t>Discussion says 4.8% of participants 'died of TB' within 6 months. 4.8% is all-cause mortality (52/1080). eTable 4 attributes 32 of 52 deaths to TB, i.e., 3.0% of 1080. The Discussion overstates TB-specific mortality by about 60% and uses it for comparison with a prior trial.</t>
        </is>
      </c>
    </row>
    <row r="4" ht="92" customFormat="1" customHeight="1" s="8">
      <c r="A4" s="12" t="inlineStr">
        <is>
          <t>2025::jama.2025.20765::C003</t>
        </is>
      </c>
      <c r="B4" s="12" t="inlineStr">
        <is>
          <t>178-message total conflicts with its printed frequency schedule</t>
        </is>
      </c>
      <c r="C4" s="12" t="inlineStr">
        <is>
          <t>DOC-002 Supplement 1 — PDF p. 16.</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2025.20765::"))&lt;&gt;"2025::jama.2025.20765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Protocol v4.0 text says each participant receives a total of 178 SMS over 6 months, yet its schedule (4-5/day for 2 months, 2-3/day for 2 months, 1-2/week for 2 months) implies roughly 340+ sends. Total and schedule cannot both hold unless 178 means unique messages, which is not stated. Planning-document wording; does not affect reported results.</t>
        </is>
      </c>
    </row>
    <row r="5" ht="92" customFormat="1" customHeight="1" s="8">
      <c r="A5" s="11" t="inlineStr">
        <is>
          <t>2025::jama.2025.20765::C004</t>
        </is>
      </c>
      <c r="B5" s="11" t="inlineStr">
        <is>
          <t>Repeated 2,384-participant plan names 44 and 48 facilities</t>
        </is>
      </c>
      <c r="C5" s="11" t="inlineStr">
        <is>
          <t>DOC-002 Supplement 1 — PDF p. 10 and PDF p. 26.</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2025.20765::"))&lt;&gt;"2025::jama.2025.20765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Same protocol version gives the 2,384-participant sample size as about 50 recruits from 44 facilities (section 4.2) and from 48 clinics (section 11.1). 2384/48=49.7 fits 'about 50'; 2384/44=54.2 does not. 16 A + 8 C in Phase 3 plus 20 A/20 B in Phase 4 gives 48 if A grows to 20. Likely stale number; planning text only.</t>
        </is>
      </c>
    </row>
    <row r="6" ht="92" customFormat="1" customHeight="1" s="8">
      <c r="A6" s="12" t="inlineStr">
        <is>
          <t>2025::jama.2025.20765::C005</t>
        </is>
      </c>
      <c r="B6" s="12" t="inlineStr">
        <is>
          <t>134-message total conflicts with its printed frequency schedule</t>
        </is>
      </c>
      <c r="C6" s="12" t="inlineStr">
        <is>
          <t>DOC-002 Supplement 1 — PDF p. 53.</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2025.20765::"))&lt;&gt;"2025::jama.2025.20765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Protocol v6.0 says each participant receives 134 SMS over 6 months, but its schedule (4-5/day for 2 months, 1-2/day for 2 months, 1/week for 2 months) implies about 290+ sends. The SAP and main article give a different schedule (100 in month 1, 30 in month 2, 4 over months 3-6) that does sum to 134. Stale schedule text in the protocol.</t>
        </is>
      </c>
    </row>
    <row r="7" ht="92" customFormat="1" customHeight="1" s="8">
      <c r="A7" s="11" t="inlineStr">
        <is>
          <t>2025::jama.2025.20765::C006</t>
        </is>
      </c>
      <c r="B7" s="11" t="inlineStr">
        <is>
          <t>TAM sampling header conflicts with contemporaneous narrative and equations</t>
        </is>
      </c>
      <c r="C7" s="11" t="inlineStr">
        <is>
          <t>DOC-002 Supplement 1 — PDF p. 55.</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2025.20765::"))&lt;&gt;"2025::jama.2025.20765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Assessment schedule row says TAM questionnaire for 30% of mTB-Tobacco participants. The narrative below says 20%, and the table applies 20% in Phase 3 (144) but all participants in Phase 4 (810). The v4-to-v6 change log confirms 20% in Phase 3 and all in Phase 4, so the 30% label is wrong. Sub-study only.</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2025.20765::"))&lt;&gt;"2025::jama.2025.20765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minor_presentation</t>
        </is>
      </c>
      <c r="L8" s="13">
        <f>IF(AND(OR(D8="retain",D8=""),E8="protocol_report"),"","not_applicable")</f>
        <v/>
      </c>
      <c r="M8" s="19" t="n"/>
      <c r="N8" s="19" t="n"/>
      <c r="O8" s="19" t="n"/>
      <c r="P8" s="19" t="n"/>
      <c r="Q8" s="19" t="n"/>
      <c r="R8" s="13" t="inlineStr">
        <is>
          <t>Protocol v6.0 states 2,716 participants as about 43 recruits from 63 facilities (section 21.2, consistent with 27 Phase 3 + 36 Phase 4 sites), but section 28.1 states about 50 recruits from 48 clinics for the same 2,716. 2716/48=56.6, so the 48/50 sentence is carried over from the earlier plan. Planning text only.</t>
        </is>
      </c>
    </row>
    <row r="9" ht="92" customFormat="1" customHeight="1" s="8">
      <c r="A9" s="11" t="inlineStr">
        <is>
          <t>2025::jama.2025.20765::C008</t>
        </is>
      </c>
      <c r="B9" s="11" t="inlineStr">
        <is>
          <t>Phase-4 design-effect equality does not reproduce from printed inputs</t>
        </is>
      </c>
      <c r="C9" s="11" t="inlineStr">
        <is>
          <t>DOC-002 Supplement 1 — PDF p. 64.</t>
        </is>
      </c>
      <c r="D9" s="7" t="inlineStr">
        <is>
          <t>exclude</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2025.20765::"))&lt;&gt;"2025::jama.2025.20765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inlineStr">
        <is>
          <t>Exclude: 1036 x 1.56 = 1616.2, i.e., 44.9 per site over 36 sites; rounding up to whole participants per cluster gives 45 x 36 = 1620, the figure used. Writing '=' instead of 'approximately' and calling the inflated n an 'effective sample size' are loose notation, not a planning error.</t>
        </is>
      </c>
    </row>
    <row r="10" ht="92" customFormat="1" customHeight="1" s="8">
      <c r="A10" s="12" t="inlineStr">
        <is>
          <t>2025::jama.2025.20765::C009</t>
        </is>
      </c>
      <c r="B10" s="12" t="inlineStr">
        <is>
          <t>Phase-4 diagram is labelled Phase 3/Superiority</t>
        </is>
      </c>
      <c r="C10" s="12" t="inlineStr">
        <is>
          <t>DOC-002 Supplement 1 — PDF p. 64.</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2025.20765::"))&lt;&gt;"2025::jama.2025.20765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t="inlineStr">
        <is>
          <t>minor_presentation</t>
        </is>
      </c>
      <c r="L10" s="13">
        <f>IF(AND(OR(D10="retain",D10=""),E10="protocol_report"),"","not_applicable")</f>
        <v/>
      </c>
      <c r="M10" s="19" t="n"/>
      <c r="N10" s="19" t="n"/>
      <c r="O10" s="19" t="n"/>
      <c r="P10" s="19" t="n"/>
      <c r="Q10" s="19" t="n"/>
      <c r="R10" s="13" t="inlineStr">
        <is>
          <t>In the Phase 4 (noninferiority, A vs face-to-face) sample-size section, the diagram box reads 'Total clusters in Phase 3 (Superiority trial) = 36 sites'. Phase 3 has 27 sites; 36 sites and 1620 participants are Phase 4. Copy-paste label error; meaning is clear from context.</t>
        </is>
      </c>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inlineStr">
        <is>
          <t>exclude</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2025.20765::"))&lt;&gt;"2025::jama.2025.20765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inlineStr">
        <is>
          <t>Exclude: 704 x 1.50 = 1056, i.e., 39.1 per site over 27 sites; rounding up to 40 per site gives 1080, and both the protocol ('approximately 1080 (40 subjects for each site)') and SAP ('around 1080 people (or 40 subjects per site)') state the per-site figure. Standard cluster-size rounding, not an error.</t>
        </is>
      </c>
    </row>
    <row r="12" ht="92" customFormat="1" customHeight="1" s="8">
      <c r="A12" s="12" t="inlineStr">
        <is>
          <t>2025::jama.2025.20765::C011</t>
        </is>
      </c>
      <c r="B12" s="12" t="inlineStr">
        <is>
          <t>MPSS score range conflicts with stated item scale</t>
        </is>
      </c>
      <c r="C12" s="12" t="inlineStr">
        <is>
          <t>DOC-002 Supplement 1 — PDF p. 85.</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2025.20765::"))&lt;&gt;"2025::jama.2025.20765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t="inlineStr">
        <is>
          <t>minor_presentation</t>
        </is>
      </c>
      <c r="L12" s="13">
        <f>IF(AND(OR(D12="retain",D12=""),E12="protocol_report"),"","not_applicable")</f>
        <v/>
      </c>
      <c r="M12" s="19" t="n"/>
      <c r="N12" s="19" t="n"/>
      <c r="O12" s="19" t="n"/>
      <c r="P12" s="19" t="n"/>
      <c r="Q12" s="19" t="n"/>
      <c r="R12" s="13" t="inlineStr">
        <is>
          <t>SAP describes the MPSS as five domains each rated on a 5-point scale, summed to a total of 5 to 35. Five 1-5 items give 5 to 25. Either the item count, the scale points, or the range is misstated. Withdrawal-symptom measure not among reported main outcomes.</t>
        </is>
      </c>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2025.20765::"))&lt;&gt;"2025::jama.2025.20765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minor_presentation</t>
        </is>
      </c>
      <c r="J13" s="13" t="inlineStr">
        <is>
          <t>unlikely</t>
        </is>
      </c>
      <c r="K13" s="7">
        <f>IF(AND(OR(D13="retain",D13=""),OR(E13="report_internal_inconsistency",E13="plan_material")),"","not_applicable")</f>
        <v/>
      </c>
      <c r="L13" s="13">
        <f>IF(AND(OR(D13="retain",D13=""),E13="protocol_report"),"","not_applicable")</f>
        <v/>
      </c>
      <c r="M13" s="19" t="n"/>
      <c r="N13" s="19" t="n"/>
      <c r="O13" s="19" t="n"/>
      <c r="P13" s="19" t="n"/>
      <c r="Q13" s="19" t="n"/>
      <c r="R13" s="13" t="inlineStr">
        <is>
          <t>eTable 6 gives control site 2008 deaths as 5 (7.5%). Every site randomized 40 participants (eTable 5) and all other rows use /40; 5/40 = 12.5%. The count 5 is correct (control site deaths sum to 27, matching Table 2), so only the percentage is wrong.</t>
        </is>
      </c>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2025.20765::"))&lt;&gt;"2025::jama.2025.20765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t="inlineStr">
        <is>
          <t>substantive_difference</t>
        </is>
      </c>
      <c r="M14" s="19" t="n"/>
      <c r="N14" s="19" t="n"/>
      <c r="O14" s="19" t="n"/>
      <c r="P14" s="19" t="n"/>
      <c r="Q14" s="19" t="n"/>
      <c r="R14" s="13" t="inlineStr">
        <is>
          <t>Protocol v4.0 plans 178 SMS (4-5/day months 1-2, 2-3/day months 3-4, 1-2/week months 5-6); v6.0 says 134 with a similar front-loaded 2-month schedule. The article reports 134 unique messages: 100 in month 1, 30 in month 2, 4 over months 3-6 (as in the SAP). The v4-to-v6 change log does not mention the message dose. Planned and delivered intervention intensity differ.</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2025.24175::"))&lt;&gt;"2025::jama.2025.24175::"),"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Day-15 responder count: Table 2 gives 52/131 (39.7%); Results text gives '39.7%; 51 of 131'. 52/131=39.7% and 51/131=38.9%, and eTable 10 subgroup counts (12+40=52) confirm 52. The narrative count is a typo; percentage and table are correct.</t>
        </is>
      </c>
    </row>
    <row r="3" ht="92" customFormat="1" customHeight="1" s="8">
      <c r="A3" s="11" t="inlineStr">
        <is>
          <t>2025::jama.2025.24175::C002</t>
        </is>
      </c>
      <c r="B3" s="11" t="inlineStr">
        <is>
          <t>Protocol and report IFN-gamma dose comparison</t>
        </is>
      </c>
      <c r="C3" s="11" t="inlineStr">
        <is>
          <t>DOC-002 protocol, PDF p. 6; DOC-001 regimen, PDF p. 2.</t>
        </is>
      </c>
      <c r="D3" s="7" t="inlineStr">
        <is>
          <t>exclude</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2025.24175::"))&lt;&gt;"2025::jama.2025.24175::"),"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 protocol synopsis prints sc rhIFN-gamma 100 micrograms once every other day; the article reports 100 micrograms every 48 hours for 15 days. No dose difference exists; the earlier 20-microgram premise is not in the source.</t>
        </is>
      </c>
    </row>
    <row r="4" ht="92" customFormat="1" customHeight="1" s="8">
      <c r="A4" s="12" t="inlineStr">
        <is>
          <t>2025::jama.2025.24175::C003</t>
        </is>
      </c>
      <c r="B4" s="12" t="inlineStr">
        <is>
          <t>Primary responder cutoff comparison</t>
        </is>
      </c>
      <c r="C4" s="12" t="inlineStr">
        <is>
          <t>DOC-002 protocol, PDF p. 7; DOC-001 report, PDF p. 1; DOC-002 SAP, PDF p. 66.</t>
        </is>
      </c>
      <c r="D4" s="7" t="inlineStr">
        <is>
          <t>exclude</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2025.24175::"))&lt;&gt;"2025::jama.2025.24175::"),"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inlineStr">
        <is>
          <t>Exclude: protocol, SAP and article all use a 1.4-point SOFA decrease by day 9. SAP wording '&gt;1.4' versus article 'at least 1.4' cannot misclassify anyone: day-1 SOFA minus the mean of 8 integer scores is a multiple of 0.125, so exactly 1.4 is impossible. No 1.5 cutoff appears.</t>
        </is>
      </c>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inlineStr">
        <is>
          <t>exclude</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2025.24175::"))&lt;&gt;"2025::jama.2025.24175::"),"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inlineStr">
        <is>
          <t>Exclude: entry definition of immunoparalysis is ferritin &lt;=4420 ng/mL with HLA-DR &lt;5000 molecules/monocyte in protocol and article. The 8000 threshold belongs to the separate day-15 reversal endpoint (protocol p. 25, SAP p. 69). No entry-threshold conflict.</t>
        </is>
      </c>
    </row>
    <row r="6" ht="92" customFormat="1" customHeight="1" s="8">
      <c r="A6" s="12" t="inlineStr">
        <is>
          <t>2025::jama.2025.24175::C005</t>
        </is>
      </c>
      <c r="B6" s="12" t="inlineStr">
        <is>
          <t>Protocol sample-size, dropout, and total-target arithmetic</t>
        </is>
      </c>
      <c r="C6" s="12" t="inlineStr">
        <is>
          <t>DOC-002 protocol, PDF p. 25 and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2025.24175::"))&lt;&gt;"2025::jama.2025.24175::"),"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t="inlineStr">
        <is>
          <t>minor_presentation</t>
        </is>
      </c>
      <c r="L6" s="13">
        <f>IF(AND(OR(D6="retain",D6=""),E6="protocol_report"),"","not_applicable")</f>
        <v/>
      </c>
      <c r="M6" s="19" t="n"/>
      <c r="N6" s="19" t="n"/>
      <c r="O6" s="19" t="n"/>
      <c r="P6" s="19" t="n"/>
      <c r="Q6" s="19" t="n"/>
      <c r="R6" s="13" t="inlineStr">
        <is>
          <t>Dropout step is fine: 2x117=234, /0.85=275.3, rounded up to 280 (about 16% dropout). But 117 per arm does not follow from the stated inputs (difference 1.4, SD 3.2, 90% power, 2-sided alpha .05): z-approximation gives 110, t-based 111; SD 3.3 would give 117. Minor planning arithmetic slip; conservative.</t>
        </is>
      </c>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2025.24175::"))&lt;&gt;"2025::jama.2025.24175::"),"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t="inlineStr">
        <is>
          <t>minor_presentation</t>
        </is>
      </c>
      <c r="L7" s="13">
        <f>IF(AND(OR(D7="retain",D7=""),E7="protocol_report"),"","not_applicable")</f>
        <v/>
      </c>
      <c r="M7" s="19" t="n"/>
      <c r="N7" s="19" t="n"/>
      <c r="O7" s="19" t="n"/>
      <c r="P7" s="19" t="n"/>
      <c r="Q7" s="19" t="n"/>
      <c r="R7" s="13" t="inlineStr">
        <is>
          <t>Historical PROVIDE results in the protocol appendix: narrative gives 14/15 (93.3%) 28-day deaths with immunotherapy and 18/21 placebo; flow Figure 1 shows 'early termination because of death' 11 and 18. A shorter window does not fit, since the placebo count matches 28-day deaths and day-7 survival figures exclude 11 deaths by day 7. Background data only.</t>
        </is>
      </c>
    </row>
    <row r="8" ht="92" customFormat="1" customHeight="1" s="8">
      <c r="A8" s="12" t="inlineStr">
        <is>
          <t>2025::jama.2025.24175::C007</t>
        </is>
      </c>
      <c r="B8" s="12" t="inlineStr">
        <is>
          <t>APACHE II Table 2 P value versus displayed t-test inputs</t>
        </is>
      </c>
      <c r="C8" s="12" t="inlineStr">
        <is>
          <t>DOC-002 Table 2, PDF p. 48.</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LEFT(A8,LEN("2025::jama.2025.24175::"))&lt;&gt;"2025::jama.2025.24175::"),"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t="inlineStr">
        <is>
          <t>substantive_inconsistency</t>
        </is>
      </c>
      <c r="L8" s="13">
        <f>IF(AND(OR(D8="retain",D8=""),E8="protocol_report"),"","not_applicable")</f>
        <v/>
      </c>
      <c r="M8" s="19" t="n"/>
      <c r="N8" s="19" t="n"/>
      <c r="O8" s="19" t="n"/>
      <c r="P8" s="19" t="n"/>
      <c r="Q8" s="19" t="n"/>
      <c r="R8" s="13" t="inlineStr">
        <is>
          <t>PROVIDE baseline table in the protocol: APACHE II 18.2 +/- 8.7 (n=21) vs 30.5 +/- 9.4 (n=15), P=.376 by Student t test. These summaries give t=4.04, df 34, P=.0003. Either a mean or the P value is wrong; if the means are right, the arms were badly imbalanced on severity, which matters for interpreting PROVIDE mortality.</t>
        </is>
      </c>
    </row>
    <row r="9" ht="92" customFormat="1" customHeight="1" s="8">
      <c r="A9" s="11" t="inlineStr">
        <is>
          <t>2025::jama.2025.24175::C008</t>
        </is>
      </c>
      <c r="B9" s="11" t="inlineStr">
        <is>
          <t>Figure 1 septic-shock classification children exceed their parent total</t>
        </is>
      </c>
      <c r="C9" s="11" t="inlineStr">
        <is>
          <t>DOC-002 Figure 1, PDF p. 50.</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LEFT(A9,LEN("2025::jama.2025.24175::"))&lt;&gt;"2025::jama.2025.24175::"),"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t="inlineStr">
        <is>
          <t>minor_presentation</t>
        </is>
      </c>
      <c r="L9" s="13">
        <f>IF(AND(OR(D9="retain",D9=""),E9="protocol_report"),"","not_applicable")</f>
        <v/>
      </c>
      <c r="M9" s="19" t="n"/>
      <c r="N9" s="19" t="n"/>
      <c r="O9" s="19" t="n"/>
      <c r="P9" s="19" t="n"/>
      <c r="Q9" s="19" t="n"/>
      <c r="R9" s="13" t="inlineStr">
        <is>
          <t>PROVIDE flow Figure 1: septic shock = 177, but MALS 44 + immunoparalysis 2 + intermediate 132 = 178. The printed 74.0% fits 131/177 (74.0%), not 132/177 (74.6%), so 132 is likely a typo. Other branches reconcile (177+63=240; 4+0+59=63). Historical background only.</t>
        </is>
      </c>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LEFT(A10,LEN("2025::jama.2025.24175::"))&lt;&gt;"2025::jama.2025.24175::"),"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t="inlineStr">
        <is>
          <t>version_timing</t>
        </is>
      </c>
      <c r="M10" s="19" t="n"/>
      <c r="N10" s="19" t="n"/>
      <c r="O10" s="19" t="n"/>
      <c r="P10" s="19" t="n"/>
      <c r="Q10" s="19" t="n"/>
      <c r="R10" s="13" t="inlineStr">
        <is>
          <t>Protocol v1.0 (Dec 2020) and SAP design: 24 sites; SAP model text: 31 sites participated; article: 33 sites. Site additions over time could explain plan vs report, but chronology is not documented. Note: the article's own eTable 1 lists only 29 sites (28 randomizing; 672 screened, 281 randomized), which does not support 33.</t>
        </is>
      </c>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LEFT(A11,LEN("2025::jama.2025.24175::"))&lt;&gt;"2025::jama.2025.24175::"),"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t="inlineStr">
        <is>
          <t>minor_presentation</t>
        </is>
      </c>
      <c r="L11" s="13">
        <f>IF(AND(OR(D11="retain",D11=""),E11="protocol_report"),"","not_applicable")</f>
        <v/>
      </c>
      <c r="M11" s="19" t="n"/>
      <c r="N11" s="19" t="n"/>
      <c r="O11" s="19" t="n"/>
      <c r="P11" s="19" t="n"/>
      <c r="Q11" s="19" t="n"/>
      <c r="R11" s="13" t="inlineStr">
        <is>
          <t>PROVIDE Figure 2C labels 'RR death' 2.82 (1.58-5.14) for &lt;5000 vs &gt;=5000 HLA-DR, but its own 2x2 counts (69/103 vs 37/89) give a crude risk ratio of 1.61 (OR 2.85). The identical 2.82 (1.58-5.14) is the univariate Cox HR for the same groups in Figure 3B. Mislabeled HR; background material.</t>
        </is>
      </c>
    </row>
    <row r="12" ht="92" customFormat="1" customHeight="1" s="8">
      <c r="A12" s="12" t="inlineStr">
        <is>
          <t>2025::jama.2025.24175::C011</t>
        </is>
      </c>
      <c r="B12" s="12" t="inlineStr">
        <is>
          <t>eTable 10 SII day-15 OR versus counts, CI, and P value</t>
        </is>
      </c>
      <c r="C12" s="12" t="inlineStr">
        <is>
          <t>DOC-003 eTable 10, PDF p. 22.</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LEFT(A12,LEN("2025::jama.2025.24175::"))&lt;&gt;"2025::jama.2025.24175::"),"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inlineStr">
        <is>
          <t>direct</t>
        </is>
      </c>
      <c r="K12" s="7">
        <f>IF(AND(OR(D12="retain",D12=""),OR(E12="report_internal_inconsistency",E12="plan_material")),"","not_applicable")</f>
        <v/>
      </c>
      <c r="L12" s="13">
        <f>IF(AND(OR(D12="retain",D12=""),E12="protocol_report"),"","not_applicable")</f>
        <v/>
      </c>
      <c r="M12" s="19" t="n"/>
      <c r="N12" s="19" t="n"/>
      <c r="O12" s="19" t="n"/>
      <c r="P12" s="19" t="n"/>
      <c r="Q12" s="19" t="n"/>
      <c r="R12" s="13" t="inlineStr">
        <is>
          <t>eTable 10, immunoparalysis, &gt;=1.4-point SOFA decrease by day 15: 40/106 vs 29/122, OR printed 1.194 (1.09-3.45), P=.030. Counts give OR 1.94, and the CI's geometric midpoint is 1.94, so 1.194 is a transposition of 1.94. Because 1.194 lies inside its own CI, the error is not self-evident and could be extracted unnoticed.</t>
        </is>
      </c>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LEFT(A13,LEN("2025::jama.2025.24175::"))&lt;&gt;"2025::jama.2025.24175::"),"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t="inlineStr">
        <is>
          <t>substantive_inconsistency</t>
        </is>
      </c>
      <c r="L13" s="13">
        <f>IF(AND(OR(D13="retain",D13=""),E13="protocol_report"),"","not_applicable")</f>
        <v/>
      </c>
      <c r="M13" s="19" t="n"/>
      <c r="N13" s="19" t="n"/>
      <c r="O13" s="19" t="n"/>
      <c r="P13" s="19" t="n"/>
      <c r="Q13" s="19" t="n"/>
      <c r="R13" s="13" t="inlineStr">
        <is>
          <t>eFigure 8B (interaction tests for 28-day mortality) reproduces eFigure 7B (interaction tests for the primary endpoint) exactly in all six rows (ORs, CIs, P values). Panel 8A has different mortality counts. The 28-day mortality interaction results are therefore missing or mislabeled.</t>
        </is>
      </c>
    </row>
    <row r="14" ht="92" customFormat="1" customHeight="1" s="8">
      <c r="A14" s="12" t="inlineStr">
        <is>
          <t>2025::jama.2025.24175::C013</t>
        </is>
      </c>
      <c r="B14" s="12" t="inlineStr">
        <is>
          <t>eFigure 9B APACHE interaction point estimate outside its CI</t>
        </is>
      </c>
      <c r="C14" s="12" t="inlineStr">
        <is>
          <t>DOC-003 eFigure 9B, PDF p. 53.</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LEFT(A14,LEN("2025::jama.2025.24175::"))&lt;&gt;"2025::jama.2025.24175::"),"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minor_presentation</t>
        </is>
      </c>
      <c r="J14" s="13" t="inlineStr">
        <is>
          <t>direct</t>
        </is>
      </c>
      <c r="K14" s="7">
        <f>IF(AND(OR(D14="retain",D14=""),OR(E14="report_internal_inconsistency",E14="plan_material")),"","not_applicable")</f>
        <v/>
      </c>
      <c r="L14" s="13">
        <f>IF(AND(OR(D14="retain",D14=""),E14="protocol_report"),"","not_applicable")</f>
        <v/>
      </c>
      <c r="M14" s="19" t="n"/>
      <c r="N14" s="19" t="n"/>
      <c r="O14" s="19" t="n"/>
      <c r="P14" s="19" t="n"/>
      <c r="Q14" s="19" t="n"/>
      <c r="R14" s="13" t="inlineStr">
        <is>
          <t>eFigure 9B, APACHE II &gt;=25 x precision immunotherapy (90-day mortality): OR 0.11, 95% CI 0.36-3.42, P=.86. The point estimate lies outside its CI. The CI midpoint (1.11) and P=.86 both point to OR 1.11, so 0.11 is a dropped digit. Evident from context; extractable value is wrong.</t>
        </is>
      </c>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inlineStr">
        <is>
          <t>exclude</t>
        </is>
      </c>
      <c r="E15" s="7" t="inlineStr">
        <is>
          <t>plan_material</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LEFT(A15,LEN("2025::jama.2025.24175::"))&lt;&gt;"2025::jama.2025.24175::"),"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inlineStr">
        <is>
          <t>Exclude: the protocol's PROVIDE narrative prints 18/21 (85.7%) and 14/15 (93.3%) 28-day deaths, both arithmetically correct. The mismatched count/percentage pairs alleged by the original flag are not printed anywhere; the Figure 1 count conflict is handled under C006.</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2025.4390::"))&lt;&gt;"2025::jama.2025.4390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substantive_inconsistency</t>
        </is>
      </c>
      <c r="L2" s="13">
        <f>IF(AND(OR(D2="retain",D2=""),E2="protocol_report"),"","not_applicable")</f>
        <v/>
      </c>
      <c r="M2" s="19" t="n"/>
      <c r="N2" s="19" t="n"/>
      <c r="O2" s="19" t="n"/>
      <c r="P2" s="19" t="n"/>
      <c r="Q2" s="19" t="n"/>
      <c r="R2" s="13" t="inlineStr">
        <is>
          <t>Confirmed and broader than flagged: the whole Figure 3 'Rate per 100 patient-years' column holds person-time in hundreds of patient-years, not rates. All patients 71.0/71.0; every subgroup pair sums to 71.0 (eg, male 30.5 + female 40.5). 163/7100x100=2.30 and 173/7100x100=2.44 match Table 2 rates. Subgroup 'rates' would be misread or misextracted.</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2025.4390::"))&lt;&gt;"2025::jama.2025.4390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Confirmed: bedtime diuretic timing at 6 months is 278/138/8 in eFigure 4 but 277/139/8 of 424 in eTable 6 (table percentages 65.3/32.8/1.9 match 277/139/8). One medication is classified differently. Descriptive adherence data; no effect on conclusions.</t>
        </is>
      </c>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2025.4390::"))&lt;&gt;"2025::jama.2025.4390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Confirmed: in eTable 5 the ethnicity 'Other' row (40 [90.9%], 53 [93.0%]) duplicates White/Caucasian and is impossible given 5 and 9 'Other' participants in the whole randomized arms (eTable 3). True values unknown. Table describes the 101 participants not followed; no bearing on trial estimates.</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2025.7583::"))&lt;&gt;"2025::jama.2025.7583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t="inlineStr">
        <is>
          <t>minor_presentation</t>
        </is>
      </c>
      <c r="M2" s="19" t="n"/>
      <c r="N2" s="19" t="n"/>
      <c r="O2" s="19" t="n"/>
      <c r="P2" s="19" t="n"/>
      <c r="Q2" s="19" t="n"/>
      <c r="R2" s="13" t="inlineStr">
        <is>
          <t>Real wording difference: SAP (20/03/2024) defines the primary-endpoint imaging component as midline shift &gt;5 mm, while the protocol, main article and eMethods use &gt;=5 mm. Affects only a shift of exactly 5 mm; the protocol and report agree, so the SAP is likely a typographic slip. No evidence any case was at the boundary.</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exclude</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2025.7583::"))&lt;&gt;"2025::jama.2025.7583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inlineStr">
        <is>
          <t>Exclude: 342 reconciles with 142 per group under the common convention of inflating by 20% (142x1.2=170.4, rounded up to 171 per group). Protocol, SAP and article agree on 142, 20%, and 342. Dividing by 0.8 (178 per group) would be more conservative, but the convention is a design choice, not an inconsistency between plan documents.</t>
        </is>
      </c>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2025.7583::"))&lt;&gt;"2025::jama.2025.7583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probable_issue</t>
        </is>
      </c>
      <c r="I4" s="7" t="inlineStr">
        <is>
          <t>minor_presentation</t>
        </is>
      </c>
      <c r="J4" s="13" t="inlineStr">
        <is>
          <t>unlikely</t>
        </is>
      </c>
      <c r="K4" s="7">
        <f>IF(AND(OR(D4="retain",D4=""),OR(E4="report_internal_inconsistency",E4="plan_material")),"","not_applicable")</f>
        <v/>
      </c>
      <c r="L4" s="13">
        <f>IF(AND(OR(D4="retain",D4=""),E4="protocol_report"),"","not_applicable")</f>
        <v/>
      </c>
      <c r="M4" s="19" t="n"/>
      <c r="N4" s="19" t="n"/>
      <c r="O4" s="19" t="n"/>
      <c r="P4" s="19" t="n"/>
      <c r="Q4" s="19" t="n"/>
      <c r="R4" s="13" t="inlineStr">
        <is>
          <t>Table 1 standard care: burr hole 146/163 + trephine 18/163 = 164 &gt; 163 (percentages sum to 100.6%), while the embolization column sums exactly (150+17=167). A bilateral patient treated with both techniques could explain it (26 bilateral surgeries), but no footnote says so. Baseline descriptor; no effect on outcomes.</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2025.7710::"))&lt;&gt;"2025::jama.2025.7710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protocol V2.1 section 7.2.3 says costs in 2024/25 dollars; section 8.2 says 2023/24 dollars for the same payer-perspective cost-utility analysis. Real internal conflict; the economic evaluation is not reported in this article, so it has no bearing on the reported results.</t>
        </is>
      </c>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2025.7710::"))&lt;&gt;"2025::jama.2025.7710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Confirmed: section 7.1 lists ten separate composite components, but 7.2.1 explains 'There are ten items because outcomes (i) and (viii) each contain two individual components', which fits an older 9-item list (7.1.1 still pairs stillbirth with neonatal death). The component list itself is unambiguous.</t>
        </is>
      </c>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2025.7710::"))&lt;&gt;"2025::jama.2025.7710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Confirmed: section 7.2.3 describes cost-effectiveness of 'CS vs standard care', but CS is the protocol's abbreviation for cesarean section; section 8.2 and the synopsis identify the comparison as sildenafil citrate (SC) vs placebo. Evident transposition of SC; meaning clear from context.</t>
        </is>
      </c>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2025.7710::"))&lt;&gt;"2025::jama.2025.7710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t="inlineStr">
        <is>
          <t>substantive_difference</t>
        </is>
      </c>
      <c r="M5" s="19" t="n"/>
      <c r="N5" s="19" t="n"/>
      <c r="O5" s="19" t="n"/>
      <c r="P5" s="19" t="n"/>
      <c r="Q5" s="19" t="n"/>
      <c r="R5" s="13" t="inlineStr">
        <is>
          <t>Protocol 13.2 and SAP (approved as final despite 'Draft Version 1.2' label) plan Benjamini-Hochberg-adjusted P values for the ten composite components; the article states 'There was no adjustment for multiple testing' and Table 3 shows unadjusted P only. No component had P&lt;.05, so conclusions would not change, but the planned analysis was not reported.</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2025.9110::"))&lt;&gt;"2025::jama.2025.9110::"),"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mislabel: Table 2 'Duration of invasive ventilation, mean (SD), h' shows 84.0 (35.0 to 178.9) vs 78.0 (33.2 to 161.0), which are median (IQR)-style displays; eTable 10 gives per-period values of the same outcome as median (IQR). The effect (tobit difference in means 6.8 h, -3.0 to 16.5) is correctly labeled. An extractor could misread the group summaries as means.</t>
        </is>
      </c>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2025.9110::"))&lt;&gt;"2025::jama.2025.9110::"),"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Typographic slip: eTable 10 Period 2 usual protein 'Alive at day 90' prints 383 (72, 3%) where the rest of the table uses decimal points. 383/530 = 72.26%, so the intended 72.3% is clear.</t>
        </is>
      </c>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2025.9110::"))&lt;&gt;"2025::jama.2025.9110::"),"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Confirmed mislabel: Table 2 Bayesian quantile row is labeled 'mean (SD)' but shows 62.0 (0 to 77) vs 64.0 (0 to 77), identical to the primary median (IQR) row, and reports a median difference (-1.50; 95% CrI -3.86 to 0.90). Likely a label carried over from the linear-model row; meaning recoverable.</t>
        </is>
      </c>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LEFT(A5,LEN("2025::jama.2025.9110::"))&lt;&gt;"2025::jama.2025.9110::"),"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t="inlineStr">
        <is>
          <t>minor_presentation</t>
        </is>
      </c>
      <c r="L5" s="13">
        <f>IF(AND(OR(D5="retain",D5=""),E5="protocol_report"),"","not_applicable")</f>
        <v/>
      </c>
      <c r="M5" s="19" t="n"/>
      <c r="N5" s="19" t="n"/>
      <c r="O5" s="19" t="n"/>
      <c r="P5" s="19" t="n"/>
      <c r="Q5" s="19" t="n"/>
      <c r="R5" s="13" t="inlineStr">
        <is>
          <t>Discussion says 'mean urea concentrations at day 10 were higher in the augmented protein group', but Results and eTable 11 report only medians (IQR): 13.0 (8.2-18.8) vs 10.6 (7.1-15.4) mmol/L. No means are reported anywhere. Wording slip; the direction is correct and no estimate depends on it.</t>
        </is>
      </c>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inlineStr">
        <is>
          <t>exclude</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LEFT(A6,LEN("2025::jama.2025.9110::"))&lt;&gt;"2025::jama.2025.9110::"),"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inlineStr">
        <is>
          <t>Exclude: in the eTable 10 tracheostomy row, some cells print '(5.6)' and others '(6.4%)'. Under the '[n (%)]' row header both forms mean the same thing, and all 8 percentages reproduce from the counts and period n. Typographic style variation only, with no ambiguity.</t>
        </is>
      </c>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inlineStr">
        <is>
          <t>exclude</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LEFT(A7,LEN("2025::jama.2025.9110::"))&lt;&gt;"2025::jama.2025.9110::"),"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inlineStr">
        <is>
          <t>Exclude: in the eTable 10 new-KRT row, some cells print the percentage without '%' and others with it. The values are unambiguous under the '[n (%)]' convention and all 8 reproduce from counts. Period sums match Table 2 (122/1681, 127/1716). Notation style only.</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LEFT(A2,LEN("2025::jama.2025.9663::"))&lt;&gt;"2025::jama.2025.9663::"),"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t="inlineStr">
        <is>
          <t>minor_presentation</t>
        </is>
      </c>
      <c r="L2" s="13">
        <f>IF(AND(OR(D2="retain",D2=""),E2="protocol_report"),"","not_applicable")</f>
        <v/>
      </c>
      <c r="M2" s="19" t="n"/>
      <c r="N2" s="19" t="n"/>
      <c r="O2" s="19" t="n"/>
      <c r="P2" s="19" t="n"/>
      <c r="Q2" s="19" t="n"/>
      <c r="R2" s="13" t="inlineStr">
        <is>
          <t>Confirmed typo: the Oxygen Exposure paragraph prints usual-care SpO2 as '95.1% (2.4%) mm Hg'. The stray mm Hg conflicts with the percent sign and with eTable 5 (SpO2 in %, PaO2 in mm Hg). Intended meaning is clear from the sentence's pairing.</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LEFT(A3,LEN("2025::jama.2025.9663::"))&lt;&gt;"2025::jama.2025.9663::"),"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t="inlineStr">
        <is>
          <t>minor_presentation</t>
        </is>
      </c>
      <c r="L3" s="13">
        <f>IF(AND(OR(D3="retain",D3=""),E3="protocol_report"),"","not_applicable")</f>
        <v/>
      </c>
      <c r="M3" s="19" t="n"/>
      <c r="N3" s="19" t="n"/>
      <c r="O3" s="19" t="n"/>
      <c r="P3" s="19" t="n"/>
      <c r="Q3" s="19" t="n"/>
      <c r="R3" s="13" t="inlineStr">
        <is>
          <t>Confirmed: the Supplement 2 contents list eTable 1 'Results of quality assessment per study' and eTable 2 'Diagnostic performance of serological tests', which are not in this supplement (apparently from another document); actual eTables 1-4 are site randomization, additional characteristics, representativeness, and baseline by data-collection group. Navigation only.</t>
        </is>
      </c>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LEFT(A4,LEN("2025::jama.2025.9663::"))&lt;&gt;"2025::jama.2025.9663::"),"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t="inlineStr">
        <is>
          <t>minor_presentation</t>
        </is>
      </c>
      <c r="L4" s="13">
        <f>IF(AND(OR(D4="retain",D4=""),E4="protocol_report"),"","not_applicable")</f>
        <v/>
      </c>
      <c r="M4" s="19" t="n"/>
      <c r="N4" s="19" t="n"/>
      <c r="O4" s="19" t="n"/>
      <c r="P4" s="19" t="n"/>
      <c r="Q4" s="19" t="n"/>
      <c r="R4" s="13" t="inlineStr">
        <is>
          <t>Confirmed: SAP section 2.5 (internal pilot) reads 'See Section 3.2 and Error! Reference source not found. for further details'. One cross-reference target is lost. It concerns pilot progression criteria, and the rules themselves are fully stated in Table 1 and the footnote, so the defect is presentational.</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check the source claim. Open the original documents named here (file and PDF page).</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2026-10-10T23:06:11Z</dcterms:modified>
</cp:coreProperties>
</file>