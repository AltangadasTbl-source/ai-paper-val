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9.10517" sheetId="4" state="visible" r:id="rId4"/>
    <sheet name="C_jama.2019.12618" sheetId="5" state="visible" r:id="rId5"/>
    <sheet name="C_jama.2019.14231" sheetId="6" state="visible" r:id="rId6"/>
    <sheet name="C_jama.2019.14630" sheetId="7" state="visible" r:id="rId7"/>
    <sheet name="C_jama.2019.14901" sheetId="8" state="visible" r:id="rId8"/>
    <sheet name="C_jama.2019.17380" sheetId="9" state="visible" r:id="rId9"/>
    <sheet name="C_jama.2019.2210" sheetId="10" state="visible" r:id="rId10"/>
    <sheet name="C_jama.2019.4755" sheetId="11" state="visible" r:id="rId11"/>
    <sheet name="C_jama.2019.7505" sheetId="12" state="visible" r:id="rId12"/>
    <sheet name="Codebook" sheetId="13" state="visible" r:id="rId13"/>
  </sheets>
  <definedNames>
    <definedName name="_xlnm._FilterDatabase" localSheetId="3" hidden="1">'C_jama.2019.10517'!$A$1:$R$4</definedName>
    <definedName name="_xlnm._FilterDatabase" localSheetId="4" hidden="1">'C_jama.2019.12618'!$A$1:$R$9</definedName>
    <definedName name="_xlnm._FilterDatabase" localSheetId="5" hidden="1">'C_jama.2019.14231'!$A$1:$R$12</definedName>
    <definedName name="_xlnm._FilterDatabase" localSheetId="6" hidden="1">'C_jama.2019.14630'!$A$1:$R$10</definedName>
    <definedName name="_xlnm._FilterDatabase" localSheetId="7" hidden="1">'C_jama.2019.14901'!$A$1:$R$7</definedName>
    <definedName name="_xlnm._FilterDatabase" localSheetId="8" hidden="1">'C_jama.2019.17380'!$A$1:$R$8</definedName>
    <definedName name="_xlnm._FilterDatabase" localSheetId="9" hidden="1">'C_jama.2019.2210'!$A$1:$R$10</definedName>
    <definedName name="_xlnm._FilterDatabase" localSheetId="10" hidden="1">'C_jama.2019.4755'!$A$1:$R$6</definedName>
    <definedName name="_xlnm._FilterDatabase" localSheetId="11" hidden="1">'C_jama.2019.7505'!$A$1:$R$5</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7"/>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AI-sim-ClaudeOpus5.5-2019-R_B</t>
        </is>
      </c>
    </row>
    <row r="3" ht="45" customFormat="1" customHeight="1" s="14">
      <c r="A3" s="17" t="inlineStr">
        <is>
          <t>Reviewer name (optional)</t>
        </is>
      </c>
      <c r="B3" s="18" t="inlineStr">
        <is>
          <t>AI-simulated reviewer (Claude Opus 5.5 agent), not a human adjudicator</t>
        </is>
      </c>
    </row>
    <row r="4" ht="45" customFormat="1" customHeight="1" s="14">
      <c r="A4" s="16" t="inlineStr">
        <is>
          <t>Reviewer role</t>
        </is>
      </c>
      <c r="B4" s="16" t="inlineStr">
        <is>
          <t>R_B</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f>Setup!$B$4</f>
        <v/>
      </c>
    </row>
    <row r="3" ht="53" customFormat="1" customHeight="1" s="14">
      <c r="A3" s="17" t="inlineStr">
        <is>
          <t>Total candidates</t>
        </is>
      </c>
      <c r="B3" s="17" t="n">
        <v>62</v>
      </c>
    </row>
    <row r="4" ht="53" customFormat="1" customHeight="1" s="14">
      <c r="A4" s="16" t="inlineStr">
        <is>
          <t>Primary ready</t>
        </is>
      </c>
      <c r="B4" s="16">
        <f>COUNTIF('C_jama.2019.10517'!$G$2:$G$4,"PRIMARY READY")+COUNTIF('C_jama.2019.12618'!$G$2:$G$9,"PRIMARY READY")+COUNTIF('C_jama.2019.14231'!$G$2:$G$12,"PRIMARY READY")+COUNTIF('C_jama.2019.14630'!$G$2:$G$10,"PRIMARY READY")+COUNTIF('C_jama.2019.14901'!$G$2:$G$7,"PRIMARY READY")+COUNTIF('C_jama.2019.17380'!$G$2:$G$8,"PRIMARY READY")+COUNTIF('C_jama.2019.2210'!$G$2:$G$10,"PRIMARY READY")+COUNTIF('C_jama.2019.4755'!$G$2:$G$6,"PRIMARY READY")+COUNTIF('C_jama.2019.7505'!$G$2:$G$5,"PRIMARY READY")</f>
        <v/>
      </c>
    </row>
    <row r="5" ht="53" customFormat="1" customHeight="1" s="14">
      <c r="A5" s="17" t="inlineStr">
        <is>
          <t>Unfinished</t>
        </is>
      </c>
      <c r="B5" s="17">
        <f>B3-B4</f>
        <v/>
      </c>
    </row>
    <row r="6" ht="53" customFormat="1" customHeight="1" s="14">
      <c r="A6" s="16" t="inlineStr">
        <is>
          <t>Discuss / unresolved</t>
        </is>
      </c>
      <c r="B6" s="19">
        <f>COUNTIF('C_jama.2019.10517'!$D$2:$D$4,"discuss")+COUNTIF('C_jama.2019.12618'!$D$2:$D$9,"discuss")+COUNTIF('C_jama.2019.14231'!$D$2:$D$12,"discuss")+COUNTIF('C_jama.2019.14630'!$D$2:$D$10,"discuss")+COUNTIF('C_jama.2019.14901'!$D$2:$D$7,"discuss")+COUNTIF('C_jama.2019.17380'!$D$2:$D$8,"discuss")+COUNTIF('C_jama.2019.2210'!$D$2:$D$10,"discuss")+COUNTIF('C_jama.2019.4755'!$D$2:$D$6,"discuss")+COUNTIF('C_jama.2019.7505'!$D$2:$D$5,"discuss")</f>
        <v/>
      </c>
    </row>
    <row r="7" ht="53" customFormat="1" customHeight="1" s="14">
      <c r="A7" s="17" t="inlineStr">
        <is>
          <t>Workflow status</t>
        </is>
      </c>
      <c r="B7" s="17">
        <f>IF(B4=B3,"PRIMARY READY","ACTION NEEDED")</f>
        <v/>
      </c>
    </row>
    <row r="8" ht="53" customFormat="1" customHeight="1" s="14">
      <c r="A8" s="16" t="inlineStr">
        <is>
          <t>Ready discuss rows</t>
        </is>
      </c>
      <c r="B8" s="16">
        <f>COUNTIFS('C_jama.2019.10517'!$G$2:$G$4,"PRIMARY READY",'C_jama.2019.10517'!$D$2:$D$4,"discuss")+COUNTIFS('C_jama.2019.12618'!$G$2:$G$9,"PRIMARY READY",'C_jama.2019.12618'!$D$2:$D$9,"discuss")+COUNTIFS('C_jama.2019.14231'!$G$2:$G$12,"PRIMARY READY",'C_jama.2019.14231'!$D$2:$D$12,"discuss")+COUNTIFS('C_jama.2019.14630'!$G$2:$G$10,"PRIMARY READY",'C_jama.2019.14630'!$D$2:$D$10,"discuss")+COUNTIFS('C_jama.2019.14901'!$G$2:$G$7,"PRIMARY READY",'C_jama.2019.14901'!$D$2:$D$7,"discuss")+COUNTIFS('C_jama.2019.17380'!$G$2:$G$8,"PRIMARY READY",'C_jama.2019.17380'!$D$2:$D$8,"discuss")+COUNTIFS('C_jama.2019.2210'!$G$2:$G$10,"PRIMARY READY",'C_jama.2019.2210'!$D$2:$D$10,"discuss")+COUNTIFS('C_jama.2019.4755'!$G$2:$G$6,"PRIMARY READY",'C_jama.2019.4755'!$D$2:$D$6,"discuss")+COUNTIFS('C_jama.2019.7505'!$G$2:$G$5,"PRIMARY READY",'C_jama.2019.7505'!$D$2:$D$5,"discuss")</f>
        <v/>
      </c>
    </row>
    <row r="9" ht="53" customFormat="1" customHeight="1" s="14">
      <c r="A9" s="16" t="inlineStr">
        <is>
          <t>Next action</t>
        </is>
      </c>
      <c r="B9" s="16">
        <f>IF(B7="PRIMARY READY",IF(B6&gt;0,"Save and deliver this independent review. Discuss rows remain unresolved.","Save and deliver this independent review."),"Inspect G on each C_ sheet, correct entries and manually confirm F.")</f>
        <v/>
      </c>
    </row>
    <row r="10" ht="76" customFormat="1" customHeight="1" s="14">
      <c r="A10" s="17" t="inlineStr">
        <is>
          <t>Scope</t>
        </is>
      </c>
      <c r="B10" s="17" t="inlineStr">
        <is>
          <t>Entry checks and independent completion only. Discuss is not a confirmed absence of error. Review the evidence; preserve ordinary Excel backups.</t>
        </is>
      </c>
    </row>
    <row r="11" ht="53" customFormat="1" customHeight="1" s="14"/>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0" tabSelected="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3</v>
      </c>
    </row>
    <row r="3" ht="36" customFormat="1" customHeight="1" s="14">
      <c r="A3" s="12" t="inlineStr">
        <is>
          <t>jama.2019.12618</t>
        </is>
      </c>
      <c r="B3" s="21" t="inlineStr">
        <is>
          <t>C_jama.2019.12618</t>
        </is>
      </c>
      <c r="C3" s="12" t="n">
        <v>8</v>
      </c>
    </row>
    <row r="4" ht="36" customFormat="1" customHeight="1" s="14">
      <c r="A4" s="11" t="inlineStr">
        <is>
          <t>jama.2019.14231</t>
        </is>
      </c>
      <c r="B4" s="20" t="inlineStr">
        <is>
          <t>C_jama.2019.14231</t>
        </is>
      </c>
      <c r="C4" s="11" t="n">
        <v>11</v>
      </c>
    </row>
    <row r="5" ht="36" customFormat="1" customHeight="1" s="14">
      <c r="A5" s="12" t="inlineStr">
        <is>
          <t>jama.2019.14630</t>
        </is>
      </c>
      <c r="B5" s="21" t="inlineStr">
        <is>
          <t>C_jama.2019.14630</t>
        </is>
      </c>
      <c r="C5" s="12" t="n">
        <v>9</v>
      </c>
    </row>
    <row r="6" ht="36" customFormat="1" customHeight="1" s="14">
      <c r="A6" s="11" t="inlineStr">
        <is>
          <t>jama.2019.14901</t>
        </is>
      </c>
      <c r="B6" s="20" t="inlineStr">
        <is>
          <t>C_jama.2019.14901</t>
        </is>
      </c>
      <c r="C6" s="11" t="n">
        <v>6</v>
      </c>
    </row>
    <row r="7" ht="36" customFormat="1" customHeight="1" s="14">
      <c r="A7" s="12" t="inlineStr">
        <is>
          <t>jama.2019.17380</t>
        </is>
      </c>
      <c r="B7" s="21" t="inlineStr">
        <is>
          <t>C_jama.2019.17380</t>
        </is>
      </c>
      <c r="C7" s="12" t="n">
        <v>7</v>
      </c>
    </row>
    <row r="8" ht="36" customFormat="1" customHeight="1" s="14">
      <c r="A8" s="11" t="inlineStr">
        <is>
          <t>jama.2019.2210</t>
        </is>
      </c>
      <c r="B8" s="20" t="inlineStr">
        <is>
          <t>C_jama.2019.2210</t>
        </is>
      </c>
      <c r="C8" s="11" t="n">
        <v>9</v>
      </c>
    </row>
    <row r="9" ht="36" customFormat="1" customHeight="1" s="14">
      <c r="A9" s="12" t="inlineStr">
        <is>
          <t>jama.2019.4755</t>
        </is>
      </c>
      <c r="B9" s="21" t="inlineStr">
        <is>
          <t>C_jama.2019.4755</t>
        </is>
      </c>
      <c r="C9" s="12" t="n">
        <v>5</v>
      </c>
    </row>
    <row r="10" ht="36" customFormat="1" customHeight="1" s="14">
      <c r="A10" s="11" t="inlineStr">
        <is>
          <t>jama.2019.7505</t>
        </is>
      </c>
      <c r="B10" s="20" t="inlineStr">
        <is>
          <t>C_jama.2019.7505</t>
        </is>
      </c>
      <c r="C10" s="11" t="n">
        <v>4</v>
      </c>
    </row>
    <row r="11" ht="36" customFormat="1"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2019::jama.2019.10517::C001</t>
        </is>
      </c>
      <c r="B2" s="12" t="inlineStr">
        <is>
          <t>Table 5 absolute difference does not reproduce from the displayed counts</t>
        </is>
      </c>
      <c r="C2" s="12" t="inlineStr">
        <is>
          <t>jama_flint_2019_oi_190079.pdf — PDF p. 9, Table 5, total-cholesterol and LDL rows.</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ID",IF(OR(A2="",COUNTIF($A$2:$A$4,A2)&lt;&gt;1,LEFT(A2,LEN("2019::jama.2019.10517::"))&lt;&gt;"2019::jama.2019.10517::"),"CHECK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unlikely</t>
        </is>
      </c>
      <c r="K2" s="23">
        <f>IF(AND(OR(D2="retain",D2=""),OR(E2="report_internal_inconsistency",E2="plan_material")),"","not_applicable")</f>
        <v/>
      </c>
      <c r="L2" s="24">
        <f>IF(AND(OR(D2="retain",D2=""),E2="protocol_report"),"","not_applicable")</f>
        <v/>
      </c>
      <c r="M2" s="11" t="n"/>
      <c r="N2" s="11" t="n"/>
      <c r="O2" s="11" t="n"/>
      <c r="P2" s="11" t="n"/>
      <c r="Q2" s="11" t="n"/>
      <c r="R2" s="24" t="inlineStr">
        <is>
          <t>Confirmed: 9/64 - 6/62 = 4.385 pp, which rounds to 4.4, not the printed 4.3 (both cholesterol rows). Triglyceride (3.0) and glucose (-0.2) rows reproduce. Off by 0.1 pp in a post hoc table; interpretation unchanged. The printed CI (-8 to 17.2) also does not match Wald or Newcombe intervals and its method is not stated.</t>
        </is>
      </c>
    </row>
    <row r="3" ht="176" customFormat="1" customHeight="1" s="14">
      <c r="A3" s="11"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inlineStr">
        <is>
          <t>retain</t>
        </is>
      </c>
      <c r="E3" s="23" t="inlineStr">
        <is>
          <t>report_internal_inconsistency</t>
        </is>
      </c>
      <c r="F3" s="23" t="inlineStr">
        <is>
          <t>primary_done</t>
        </is>
      </c>
      <c r="G3" s="11">
        <f>IFERROR(IF(OR(NOT(EXACT(Setup!$B$4,"R_B")),Setup!$B$5&lt;&gt;2019),"CHECK SETUP",IF(OR(LEN(TRIM(CLEAN(SUBSTITUTE(Setup!$B$2,CHAR(160)," "))))=0,Setup!$B$2&lt;&gt;TRIM(CLEAN(SUBSTITUTE(Setup!$B$2,CHAR(160)," ")))),"CHECK REVIEWER ID",IF(OR(A3="",COUNTIF($A$2:$A$4,A3)&lt;&gt;1,LEFT(A3,LEN("2019::jama.2019.10517::"))&lt;&gt;"2019::jama.2019.10517::"),"CHECK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Confirmed: abstract and Secondary Outcomes give the HbA1c daily treatment-by-time estimate as -0.0002 mg/dL (95% CI -0.0021 to 0.0016), while Table 4 labels HbA1c in % and eFigure 8 uses HbA1c (%). mg/dL is not a valid HbA1c unit; the label looks carried over from the lipid estimates. The value itself is consistent with a % scale.</t>
        </is>
      </c>
    </row>
    <row r="4" ht="134" customFormat="1" customHeight="1" s="14">
      <c r="A4" s="12"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inlineStr">
        <is>
          <t>retain</t>
        </is>
      </c>
      <c r="E4" s="23" t="inlineStr">
        <is>
          <t>plan_material</t>
        </is>
      </c>
      <c r="F4" s="23" t="inlineStr">
        <is>
          <t>primary_done</t>
        </is>
      </c>
      <c r="G4" s="12">
        <f>IFERROR(IF(OR(NOT(EXACT(Setup!$B$4,"R_B")),Setup!$B$5&lt;&gt;2019),"CHECK SETUP",IF(OR(LEN(TRIM(CLEAN(SUBSTITUTE(Setup!$B$2,CHAR(160)," "))))=0,Setup!$B$2&lt;&gt;TRIM(CLEAN(SUBSTITUTE(Setup!$B$2,CHAR(160)," ")))),"CHECK REVIEWER ID",IF(OR(A4="",COUNTIF($A$2:$A$4,A4)&lt;&gt;1,LEFT(A4,LEN("2019::jama.2019.10517::"))&lt;&gt;"2019::jama.2019.10517::"),"CHECK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within the protocol/data-analytic plan: section 4.2.1 says each of four sites will recruit 82 patients (=328), while Figure 1/3.9.1 (N=392), the text 'we plan to recruit 392 patients' and site Table 4 (98 per site; 98x4=392) agree on 392. The 82 is an isolated stray value; the intended target is clear and the RCT target (44/site, 176) is unaffected.</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2019::jama.2019.12618::C001</t>
        </is>
      </c>
      <c r="B2" s="12" t="inlineStr">
        <is>
          <t>protocol timeline end date</t>
        </is>
      </c>
      <c r="C2" s="12" t="inlineStr">
        <is>
          <t>joi190092supp2_prod.pdf — PDF p. 11, Table 1.</t>
        </is>
      </c>
      <c r="D2" s="23" t="inlineStr">
        <is>
          <t>retain</t>
        </is>
      </c>
      <c r="E2" s="23" t="inlineStr">
        <is>
          <t>plan_material</t>
        </is>
      </c>
      <c r="F2" s="23" t="inlineStr">
        <is>
          <t>primary_done</t>
        </is>
      </c>
      <c r="G2" s="12">
        <f>IFERROR(IF(OR(NOT(EXACT(Setup!$B$4,"R_B")),Setup!$B$5&lt;&gt;2019),"CHECK SETUP",IF(OR(LEN(TRIM(CLEAN(SUBSTITUTE(Setup!$B$2,CHAR(160)," "))))=0,Setup!$B$2&lt;&gt;TRIM(CLEAN(SUBSTITUTE(Setup!$B$2,CHAR(160)," ")))),"CHECK REVIEWER ID",IF(OR(A2="",COUNTIF($A$2:$A$9,A2)&lt;&gt;1,LEFT(A2,LEN("2019::jama.2019.12618::"))&lt;&gt;"2019::jama.2019.12618::"),"CHECK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Confirmed in the original MOP (Sept 2012) Table 1: enrollment through May 2015, 6-month follow-up through Dec 2015, but full 12-month follow-up 'through July 2015', earlier than both. May 2015 + 12 + 1 months is about June 2016; the April 2016 database lock is also earlier than that. Administrative projection only; no effect on trial conduct or results.</t>
        </is>
      </c>
    </row>
    <row r="3" ht="120" customFormat="1" customHeight="1" s="14">
      <c r="A3" s="11"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ID",IF(OR(A3="",COUNTIF($A$2:$A$9,A3)&lt;&gt;1,LEFT(A3,LEN("2019::jama.2019.12618::"))&lt;&gt;"2019::jama.2019.12618::"),"CHECK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probable_issue</t>
        </is>
      </c>
      <c r="I3" s="23" t="inlineStr">
        <is>
          <t>minor_presentation</t>
        </is>
      </c>
      <c r="J3" s="24" t="inlineStr">
        <is>
          <t>unlikely</t>
        </is>
      </c>
      <c r="K3" s="23">
        <f>IF(AND(OR(D3="retain",D3=""),OR(E3="report_internal_inconsistency",E3="plan_material")),"","not_applicable")</f>
        <v/>
      </c>
      <c r="L3" s="24">
        <f>IF(AND(OR(D3="retain",D3=""),E3="protocol_report"),"","not_applicable")</f>
        <v/>
      </c>
      <c r="M3" s="11" t="n"/>
      <c r="N3" s="11" t="n"/>
      <c r="O3" s="11" t="n"/>
      <c r="P3" s="11" t="n"/>
      <c r="Q3" s="11" t="n"/>
      <c r="R3" s="24" t="inlineStr">
        <is>
          <t>The 12-month paragraph says 49 of 68 eligible failures switched, then gives 20/32 and 29/42, i.e., all 6-month failures (Table 2: 32+42=74). Excluding the 3+2 safety failures (eligibility criterion stated) gives 69, not 68. Mixed denominators and an unreconciled 68; numerators and arm percentages are correct. Descriptive, not an outcome estimate.</t>
        </is>
      </c>
    </row>
    <row r="4" ht="134" customFormat="1" customHeight="1" s="14">
      <c r="A4" s="12"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inlineStr">
        <is>
          <t>exclude</t>
        </is>
      </c>
      <c r="E4" s="23" t="inlineStr">
        <is>
          <t>protocol_report</t>
        </is>
      </c>
      <c r="F4" s="23" t="inlineStr">
        <is>
          <t>primary_done</t>
        </is>
      </c>
      <c r="G4" s="12">
        <f>IFERROR(IF(OR(NOT(EXACT(Setup!$B$4,"R_B")),Setup!$B$5&lt;&gt;2019),"CHECK SETUP",IF(OR(LEN(TRIM(CLEAN(SUBSTITUTE(Setup!$B$2,CHAR(160)," "))))=0,Setup!$B$2&lt;&gt;TRIM(CLEAN(SUBSTITUTE(Setup!$B$2,CHAR(160)," ")))),"CHECK REVIEWER ID",IF(OR(A4="",COUNTIF($A$2:$A$9,A4)&lt;&gt;1,LEFT(A4,LEN("2019::jama.2019.12618::"))&lt;&gt;"2019::jama.2019.12618::"),"CHECK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Exclude. Article: permuted blocks of 4 and 6. Only the Sept 2012 MOP says 4, 6 or 8; the original SAP (29 Jan 2013) and final SAP v1.5 (Mar 2017) both specify blocks of 4 (p=2/3) and 6 (p=1/3), matching the article; the final protocol v4.5 gives no sizes. The difference is a superseded early-draft detail with no bearing on validity.</t>
        </is>
      </c>
    </row>
    <row r="5" ht="134" customFormat="1" customHeight="1" s="14">
      <c r="A5" s="11"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inlineStr">
        <is>
          <t>retain</t>
        </is>
      </c>
      <c r="E5" s="23" t="inlineStr">
        <is>
          <t>protocol_report</t>
        </is>
      </c>
      <c r="F5" s="23" t="inlineStr">
        <is>
          <t>primary_done</t>
        </is>
      </c>
      <c r="G5" s="11">
        <f>IFERROR(IF(OR(NOT(EXACT(Setup!$B$4,"R_B")),Setup!$B$5&lt;&gt;2019),"CHECK SETUP",IF(OR(LEN(TRIM(CLEAN(SUBSTITUTE(Setup!$B$2,CHAR(160)," "))))=0,Setup!$B$2&lt;&gt;TRIM(CLEAN(SUBSTITUTE(Setup!$B$2,CHAR(160)," ")))),"CHECK REVIEWER ID",IF(OR(A5="",COUNTIF($A$2:$A$9,A5)&lt;&gt;1,LEFT(A5,LEN("2019::jama.2019.12618::"))&lt;&gt;"2019::jama.2019.12618::"),"CHECK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t="inlineStr">
        <is>
          <t>substantive_difference</t>
        </is>
      </c>
      <c r="M5" s="11" t="n"/>
      <c r="N5" s="11" t="n"/>
      <c r="O5" s="11" t="n"/>
      <c r="P5" s="11" t="n"/>
      <c r="Q5" s="11" t="n"/>
      <c r="R5" s="24" t="inlineStr">
        <is>
          <t>Confirmed. Final MOP v4.5 2.5.1 (referenced by the SAP as the success definition) requires no periocular/intravitreal corticosteroid injection after day 90. The article's 3-part success definition omits it and calls such injections protocol deviations; 4 MTX and 4 MMF patients had them. How these 8 were classified is not stated. Primary-endpoint definition difference.</t>
        </is>
      </c>
    </row>
    <row r="6" ht="92" customFormat="1" customHeight="1" s="14">
      <c r="A6" s="12" t="inlineStr">
        <is>
          <t>2019::jama.2019.12618::C005</t>
        </is>
      </c>
      <c r="B6" s="12" t="inlineStr">
        <is>
          <t>missed-dose Welch P=.87 compatibility</t>
        </is>
      </c>
      <c r="C6" s="12" t="inlineStr">
        <is>
          <t>jama_rathinam_2019_oi_190092.pdf — PDF p. 4; jama_rathinam_2019_oi_190092.pdf — PDF p. 6, Table 2.</t>
        </is>
      </c>
      <c r="D6" s="23" t="inlineStr">
        <is>
          <t>retain</t>
        </is>
      </c>
      <c r="E6" s="23" t="inlineStr">
        <is>
          <t>statistical_results</t>
        </is>
      </c>
      <c r="F6" s="23" t="inlineStr">
        <is>
          <t>primary_done</t>
        </is>
      </c>
      <c r="G6" s="12">
        <f>IFERROR(IF(OR(NOT(EXACT(Setup!$B$4,"R_B")),Setup!$B$5&lt;&gt;2019),"CHECK SETUP",IF(OR(LEN(TRIM(CLEAN(SUBSTITUTE(Setup!$B$2,CHAR(160)," "))))=0,Setup!$B$2&lt;&gt;TRIM(CLEAN(SUBSTITUTE(Setup!$B$2,CHAR(160)," ")))),"CHECK REVIEWER ID",IF(OR(A6="",COUNTIF($A$2:$A$9,A6)&lt;&gt;1,LEFT(A6,LEN("2019::jama.2019.12618::"))&lt;&gt;"2019::jama.2019.12618::"),"CHECK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t="inlineStr">
        <is>
          <t>direct</t>
        </is>
      </c>
      <c r="K6" s="23">
        <f>IF(AND(OR(D6="retain",D6=""),OR(E6="report_internal_inconsistency",E6="plan_material")),"","not_applicable")</f>
        <v/>
      </c>
      <c r="L6" s="24">
        <f>IF(AND(OR(D6="retain",D6=""),E6="protocol_report"),"","not_applicable")</f>
        <v/>
      </c>
      <c r="M6" s="11" t="n"/>
      <c r="N6" s="11" t="n"/>
      <c r="O6" s="11" t="n"/>
      <c r="P6" s="11" t="n"/>
      <c r="Q6" s="11" t="n"/>
      <c r="R6" s="24" t="inlineStr">
        <is>
          <t>Missed doses 4.6% (SD 1.0) vs 4.3% (SD 0.5), Welch test, P=.87 cannot all be right: Welch P is .009 with n=96/98 and .006 with 107/108. 10 of 194 patients missed &gt;=20% (sensitivity n=184), which needs an SD of at least about 3.5, so the 'SD' values cannot be SDs. If they are SEs, P is about .86-.87. The dispersion label (or P) is wrong; extracted SDs would be off about 10-fold.</t>
        </is>
      </c>
    </row>
    <row r="7" ht="148" customFormat="1" customHeight="1" s="14">
      <c r="A7" s="11"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ID",IF(OR(A7="",COUNTIF($A$2:$A$9,A7)&lt;&gt;1,LEFT(A7,LEN("2019::jama.2019.12618::"))&lt;&gt;"2019::jama.2019.12618::"),"CHECK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Main Table 3 heads the MMF column n=109 (randomized), but all 30 MMF percentages reproduce with 108 (only 9 also reproduce with 109), and eTables 4-6 label MMF N=108. Footnote b says one MMF patient never received drug, so the intended treated denominator is inferable, but the header does not match the percentages.</t>
        </is>
      </c>
    </row>
    <row r="8" ht="92" customFormat="1" customHeight="1" s="14">
      <c r="A8" s="12" t="inlineStr">
        <is>
          <t>2019::jama.2019.12618::C007</t>
        </is>
      </c>
      <c r="B8" s="12" t="inlineStr">
        <is>
          <t>eTable 9 MMF serious diarrhea 1 (3.4) vs N=20</t>
        </is>
      </c>
      <c r="C8" s="12" t="inlineStr">
        <is>
          <t>joi190092supp1_prod.pdf — PDF p. 15, eTable 9, MMF N=20, Serious Systemic diarrhea row.</t>
        </is>
      </c>
      <c r="D8" s="23" t="inlineStr">
        <is>
          <t>retain</t>
        </is>
      </c>
      <c r="E8" s="23" t="inlineStr">
        <is>
          <t>statistical_results</t>
        </is>
      </c>
      <c r="F8" s="23" t="inlineStr">
        <is>
          <t>primary_done</t>
        </is>
      </c>
      <c r="G8" s="12">
        <f>IFERROR(IF(OR(NOT(EXACT(Setup!$B$4,"R_B")),Setup!$B$5&lt;&gt;2019),"CHECK SETUP",IF(OR(LEN(TRIM(CLEAN(SUBSTITUTE(Setup!$B$2,CHAR(160)," "))))=0,Setup!$B$2&lt;&gt;TRIM(CLEAN(SUBSTITUTE(Setup!$B$2,CHAR(160)," ")))),"CHECK REVIEWER ID",IF(OR(A8="",COUNTIF($A$2:$A$9,A8)&lt;&gt;1,LEFT(A8,LEN("2019::jama.2019.12618::"))&lt;&gt;"2019::jama.2019.12618::"),"CHECK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minor_presentation</t>
        </is>
      </c>
      <c r="J8" s="24" t="inlineStr">
        <is>
          <t>unlikely</t>
        </is>
      </c>
      <c r="K8" s="23">
        <f>IF(AND(OR(D8="retain",D8=""),OR(E8="report_internal_inconsistency",E8="plan_material")),"","not_applicable")</f>
        <v/>
      </c>
      <c r="L8" s="24">
        <f>IF(AND(OR(D8="retain",D8=""),E8="protocol_report"),"","not_applicable")</f>
        <v/>
      </c>
      <c r="M8" s="11" t="n"/>
      <c r="N8" s="11" t="n"/>
      <c r="O8" s="11" t="n"/>
      <c r="P8" s="11" t="n"/>
      <c r="Q8" s="11" t="n"/>
      <c r="R8" s="24" t="inlineStr">
        <is>
          <t>Confirmed. eTable 9 (switchers) MMF N=20, serious systemic diarrhea 1 (3.4); 1/20 = 5.0%. 3.4% is 1/29, the MTX column denominator, and other MMF count-1 cells in the same table show 5.0. Single-cell percentage error; the count is clear.</t>
        </is>
      </c>
    </row>
    <row r="9" ht="120" customFormat="1" customHeight="1" s="14">
      <c r="A9" s="11"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inlineStr">
        <is>
          <t>retain</t>
        </is>
      </c>
      <c r="E9" s="23" t="inlineStr">
        <is>
          <t>report_internal_inconsistency</t>
        </is>
      </c>
      <c r="F9" s="23" t="inlineStr">
        <is>
          <t>primary_done</t>
        </is>
      </c>
      <c r="G9" s="11">
        <f>IFERROR(IF(OR(NOT(EXACT(Setup!$B$4,"R_B")),Setup!$B$5&lt;&gt;2019),"CHECK SETUP",IF(OR(LEN(TRIM(CLEAN(SUBSTITUTE(Setup!$B$2,CHAR(160)," "))))=0,Setup!$B$2&lt;&gt;TRIM(CLEAN(SUBSTITUTE(Setup!$B$2,CHAR(160)," ")))),"CHECK REVIEWER ID",IF(OR(A9="",COUNTIF($A$2:$A$9,A9)&lt;&gt;1,LEFT(A9,LEN("2019::jama.2019.12618::"))&lt;&gt;"2019::jama.2019.12618::"),"CHECK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Confirmed. eTable 1 defines ocular hypertension &gt;=24 mm Hg as nonserious and 'surgery required' as serious. eTable 8 lists 'Ocular hypertension &gt;24mm Hg' under both Non-Serious and Serious Ocular (serious row MTX 1, MMF 0); eTable 9 labels the serious row 'surgery required'. Likely a copied label; one event, and the section header shows it was classed serious.</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12"/>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2019::jama.2019.14231::C001</t>
        </is>
      </c>
      <c r="B2" s="12" t="inlineStr">
        <is>
          <t>Protocol matching direction conflicts with the final matched cohort</t>
        </is>
      </c>
      <c r="C2" s="12" t="inlineStr">
        <is>
          <t>Main article — PDF p. 1, PDF p. 3, PDF p. 4; protocol — PDF p. 3.</t>
        </is>
      </c>
      <c r="D2" s="23" t="inlineStr">
        <is>
          <t>retain</t>
        </is>
      </c>
      <c r="E2" s="23" t="inlineStr">
        <is>
          <t>protocol_report</t>
        </is>
      </c>
      <c r="F2" s="23" t="inlineStr">
        <is>
          <t>primary_done</t>
        </is>
      </c>
      <c r="G2" s="12">
        <f>IFERROR(IF(OR(NOT(EXACT(Setup!$B$4,"R_B")),Setup!$B$5&lt;&gt;2019),"CHECK SETUP",IF(OR(LEN(TRIM(CLEAN(SUBSTITUTE(Setup!$B$2,CHAR(160)," "))))=0,Setup!$B$2&lt;&gt;TRIM(CLEAN(SUBSTITUTE(Setup!$B$2,CHAR(160)," ")))),"CHECK REVIEWER ID",IF(OR(A2="",COUNTIF($A$2:$A$12,A2)&lt;&gt;1,LEFT(A2,LEN("2019::jama.2019.14231::"))&lt;&gt;"2019::jama.2019.14231::"),"CHECK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t="inlineStr">
        <is>
          <t>minor_presentation</t>
        </is>
      </c>
      <c r="M2" s="11" t="n"/>
      <c r="N2" s="11" t="n"/>
      <c r="O2" s="11" t="n"/>
      <c r="P2" s="11" t="n"/>
      <c r="Q2" s="11" t="n"/>
      <c r="R2" s="24" t="inlineStr">
        <is>
          <t>Protocol (6 Jan 2019) Matching Process says each nonsurgical patient will be matched to five surgical patients, but its own sensitivity section specifies 1:5 matching on nonsurgical index dates. The article matches each surgical patient to 5 controls (2287 x 5 = 11,435). The protocol sentence is inverted wording; planned and reported design are the same.</t>
        </is>
      </c>
    </row>
    <row r="3" ht="92" customFormat="1" customHeight="1" s="14">
      <c r="A3" s="11" t="inlineStr">
        <is>
          <t>2019::jama.2019.14231::C002</t>
        </is>
      </c>
      <c r="B3" s="11" t="inlineStr">
        <is>
          <t>Heart-failure ARD does not reconcile with displayed 8-year incidences</t>
        </is>
      </c>
      <c r="C3" s="11" t="inlineStr">
        <is>
          <t>Main article — PDF p. 4, PDF p. 7; Supplement 1 — PDF p. 7.</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ID",IF(OR(A3="",COUNTIF($A$2:$A$12,A3)&lt;&gt;1,LEFT(A3,LEN("2019::jama.2019.14231::"))&lt;&gt;"2019::jama.2019.14231::"),"CHECK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t="inlineStr">
        <is>
          <t>direct</t>
        </is>
      </c>
      <c r="K3" s="23">
        <f>IF(AND(OR(D3="retain",D3=""),OR(E3="report_internal_inconsistency",E3="plan_material")),"","not_applicable")</f>
        <v/>
      </c>
      <c r="L3" s="24">
        <f>IF(AND(OR(D3="retain",D3=""),E3="protocol_report"),"","not_applicable")</f>
        <v/>
      </c>
      <c r="M3" s="11" t="n"/>
      <c r="N3" s="11" t="n"/>
      <c r="O3" s="11" t="n"/>
      <c r="P3" s="11" t="n"/>
      <c r="Q3" s="11" t="n"/>
      <c r="R3" s="24" t="inlineStr">
        <is>
          <t>Table 2 heart failure: 8-year KM incidence 18.9% (controls) - 6.8% (surgery) = 12.1 pp, but the ARD is printed as 12.9 (95% CI 10.4-15.1); the gap (0.8) exceeds rounding (possible 12.0-12.2). Composite and mortality rows reproduce exactly; all 5 component rows are larger by 0.3-0.9 and sit near their bootstrap-CI midpoints, which suggests a different estimand or population.</t>
        </is>
      </c>
    </row>
    <row r="4" ht="92" customFormat="1" customHeight="1" s="14">
      <c r="A4" s="12" t="inlineStr">
        <is>
          <t>2019::jama.2019.14231::C003</t>
        </is>
      </c>
      <c r="B4" s="12" t="inlineStr">
        <is>
          <t>Coronary-disease ARD does not reconcile with displayed 8-year incidences</t>
        </is>
      </c>
      <c r="C4" s="12" t="inlineStr">
        <is>
          <t>Main article — PDF p. 4, PDF p. 7; Supplement 1 — PDF p. 7.</t>
        </is>
      </c>
      <c r="D4" s="23" t="inlineStr">
        <is>
          <t>retain</t>
        </is>
      </c>
      <c r="E4" s="23" t="inlineStr">
        <is>
          <t>statistical_results</t>
        </is>
      </c>
      <c r="F4" s="23" t="inlineStr">
        <is>
          <t>primary_done</t>
        </is>
      </c>
      <c r="G4" s="12">
        <f>IFERROR(IF(OR(NOT(EXACT(Setup!$B$4,"R_B")),Setup!$B$5&lt;&gt;2019),"CHECK SETUP",IF(OR(LEN(TRIM(CLEAN(SUBSTITUTE(Setup!$B$2,CHAR(160)," "))))=0,Setup!$B$2&lt;&gt;TRIM(CLEAN(SUBSTITUTE(Setup!$B$2,CHAR(160)," ")))),"CHECK REVIEWER ID",IF(OR(A4="",COUNTIF($A$2:$A$12,A4)&lt;&gt;1,LEFT(A4,LEN("2019::jama.2019.14231::"))&lt;&gt;"2019::jama.2019.14231::"),"CHECK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t="inlineStr">
        <is>
          <t>direct</t>
        </is>
      </c>
      <c r="K4" s="23">
        <f>IF(AND(OR(D4="retain",D4=""),OR(E4="report_internal_inconsistency",E4="plan_material")),"","not_applicable")</f>
        <v/>
      </c>
      <c r="L4" s="24">
        <f>IF(AND(OR(D4="retain",D4=""),E4="protocol_report"),"","not_applicable")</f>
        <v/>
      </c>
      <c r="M4" s="11" t="n"/>
      <c r="N4" s="11" t="n"/>
      <c r="O4" s="11" t="n"/>
      <c r="P4" s="11" t="n"/>
      <c r="Q4" s="11" t="n"/>
      <c r="R4" s="24" t="inlineStr">
        <is>
          <t>Table 2 coronary artery disease: 11.6% - 7.9% = 3.7 pp vs printed ARD 4.2 (1.9-6.8); the gap of 0.5 exceeds rounding (3.6-3.8 possible). This is part of a systematic pattern across all 5 component outcomes (printed ARD exceeds the displayed incidence difference), while composite and mortality rows reproduce. The extractable ARD is ambiguous (about 14% relative).</t>
        </is>
      </c>
    </row>
    <row r="5" ht="92" customFormat="1" customHeight="1" s="14">
      <c r="A5" s="11" t="inlineStr">
        <is>
          <t>2019::jama.2019.14231::C004</t>
        </is>
      </c>
      <c r="B5" s="11" t="inlineStr">
        <is>
          <t>Cerebrovascular-disease ARD does not reconcile with displayed 8-year incidences</t>
        </is>
      </c>
      <c r="C5" s="11" t="inlineStr">
        <is>
          <t>Main article — PDF p. 4, PDF p. 7; Supplement 1 — PDF p. 7.</t>
        </is>
      </c>
      <c r="D5" s="23" t="inlineStr">
        <is>
          <t>retain</t>
        </is>
      </c>
      <c r="E5" s="23" t="inlineStr">
        <is>
          <t>statistical_results</t>
        </is>
      </c>
      <c r="F5" s="23" t="inlineStr">
        <is>
          <t>primary_done</t>
        </is>
      </c>
      <c r="G5" s="11">
        <f>IFERROR(IF(OR(NOT(EXACT(Setup!$B$4,"R_B")),Setup!$B$5&lt;&gt;2019),"CHECK SETUP",IF(OR(LEN(TRIM(CLEAN(SUBSTITUTE(Setup!$B$2,CHAR(160)," "))))=0,Setup!$B$2&lt;&gt;TRIM(CLEAN(SUBSTITUTE(Setup!$B$2,CHAR(160)," ")))),"CHECK REVIEWER ID",IF(OR(A5="",COUNTIF($A$2:$A$12,A5)&lt;&gt;1,LEFT(A5,LEN("2019::jama.2019.14231::"))&lt;&gt;"2019::jama.2019.14231::"),"CHECK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t="inlineStr">
        <is>
          <t>direct</t>
        </is>
      </c>
      <c r="K5" s="23">
        <f>IF(AND(OR(D5="retain",D5=""),OR(E5="report_internal_inconsistency",E5="plan_material")),"","not_applicable")</f>
        <v/>
      </c>
      <c r="L5" s="24">
        <f>IF(AND(OR(D5="retain",D5=""),E5="protocol_report"),"","not_applicable")</f>
        <v/>
      </c>
      <c r="M5" s="11" t="n"/>
      <c r="N5" s="11" t="n"/>
      <c r="O5" s="11" t="n"/>
      <c r="P5" s="11" t="n"/>
      <c r="Q5" s="11" t="n"/>
      <c r="R5" s="24" t="inlineStr">
        <is>
          <t>Table 2 cerebrovascular disease: 5.6% - 4.1% = 1.5 pp vs printed ARD 1.8 (-0.03 to 3.4); the difference can only be 1.4-1.6 from the displayed values. Same systematic pattern as the other component outcomes. 1.5 vs 1.8 is a 20% relative difference in an extractable estimate whose CI touches zero.</t>
        </is>
      </c>
    </row>
    <row r="6" ht="92" customFormat="1" customHeight="1" s="14">
      <c r="A6" s="12" t="inlineStr">
        <is>
          <t>2019::jama.2019.14231::C005</t>
        </is>
      </c>
      <c r="B6" s="12" t="inlineStr">
        <is>
          <t>Nephropathy ARD does not reconcile with displayed 8-year incidences</t>
        </is>
      </c>
      <c r="C6" s="12" t="inlineStr">
        <is>
          <t>Main article — PDF p. 4, PDF p. 7; Supplement 1 — PDF p. 7.</t>
        </is>
      </c>
      <c r="D6" s="23" t="inlineStr">
        <is>
          <t>retain</t>
        </is>
      </c>
      <c r="E6" s="23" t="inlineStr">
        <is>
          <t>statistical_results</t>
        </is>
      </c>
      <c r="F6" s="23" t="inlineStr">
        <is>
          <t>primary_done</t>
        </is>
      </c>
      <c r="G6" s="12">
        <f>IFERROR(IF(OR(NOT(EXACT(Setup!$B$4,"R_B")),Setup!$B$5&lt;&gt;2019),"CHECK SETUP",IF(OR(LEN(TRIM(CLEAN(SUBSTITUTE(Setup!$B$2,CHAR(160)," "))))=0,Setup!$B$2&lt;&gt;TRIM(CLEAN(SUBSTITUTE(Setup!$B$2,CHAR(160)," ")))),"CHECK REVIEWER ID",IF(OR(A6="",COUNTIF($A$2:$A$12,A6)&lt;&gt;1,LEFT(A6,LEN("2019::jama.2019.14231::"))&lt;&gt;"2019::jama.2019.14231::"),"CHECK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t="inlineStr">
        <is>
          <t>direct</t>
        </is>
      </c>
      <c r="K6" s="23">
        <f>IF(AND(OR(D6="retain",D6=""),OR(E6="report_internal_inconsistency",E6="plan_material")),"","not_applicable")</f>
        <v/>
      </c>
      <c r="L6" s="24">
        <f>IF(AND(OR(D6="retain",D6=""),E6="protocol_report"),"","not_applicable")</f>
        <v/>
      </c>
      <c r="M6" s="11" t="n"/>
      <c r="N6" s="11" t="n"/>
      <c r="O6" s="11" t="n"/>
      <c r="P6" s="11" t="n"/>
      <c r="Q6" s="11" t="n"/>
      <c r="R6" s="24" t="inlineStr">
        <is>
          <t>Table 2 nephropathy: 16.3% - 6.1% = 10.2 pp vs printed ARD 11.1 (8.8-13.6); the gap of 0.9 is far beyond rounding. It belongs to the systematic component-outcome pattern (printed ARDs near bootstrap-CI midpoints, not the KM incidence difference). The extractable ARD is ambiguous.</t>
        </is>
      </c>
    </row>
    <row r="7" ht="92" customFormat="1" customHeight="1" s="14">
      <c r="A7" s="11" t="inlineStr">
        <is>
          <t>2019::jama.2019.14231::C006</t>
        </is>
      </c>
      <c r="B7" s="11" t="inlineStr">
        <is>
          <t>Atrial-fibrillation ARD does not reconcile with displayed 8-year incidences</t>
        </is>
      </c>
      <c r="C7" s="11" t="inlineStr">
        <is>
          <t>Main article — PDF p. 4, PDF p. 7; Supplement 1 — PDF p. 7.</t>
        </is>
      </c>
      <c r="D7" s="23" t="inlineStr">
        <is>
          <t>retain</t>
        </is>
      </c>
      <c r="E7" s="23" t="inlineStr">
        <is>
          <t>statistical_results</t>
        </is>
      </c>
      <c r="F7" s="23" t="inlineStr">
        <is>
          <t>primary_done</t>
        </is>
      </c>
      <c r="G7" s="11">
        <f>IFERROR(IF(OR(NOT(EXACT(Setup!$B$4,"R_B")),Setup!$B$5&lt;&gt;2019),"CHECK SETUP",IF(OR(LEN(TRIM(CLEAN(SUBSTITUTE(Setup!$B$2,CHAR(160)," "))))=0,Setup!$B$2&lt;&gt;TRIM(CLEAN(SUBSTITUTE(Setup!$B$2,CHAR(160)," ")))),"CHECK REVIEWER ID",IF(OR(A7="",COUNTIF($A$2:$A$12,A7)&lt;&gt;1,LEFT(A7,LEN("2019::jama.2019.14231::"))&lt;&gt;"2019::jama.2019.14231::"),"CHECK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t="inlineStr">
        <is>
          <t>confirmed_issue</t>
        </is>
      </c>
      <c r="I7" s="23" t="inlineStr">
        <is>
          <t>substantive</t>
        </is>
      </c>
      <c r="J7" s="24" t="inlineStr">
        <is>
          <t>direct</t>
        </is>
      </c>
      <c r="K7" s="23">
        <f>IF(AND(OR(D7="retain",D7=""),OR(E7="report_internal_inconsistency",E7="plan_material")),"","not_applicable")</f>
        <v/>
      </c>
      <c r="L7" s="24">
        <f>IF(AND(OR(D7="retain",D7=""),E7="protocol_report"),"","not_applicable")</f>
        <v/>
      </c>
      <c r="M7" s="11" t="n"/>
      <c r="N7" s="11" t="n"/>
      <c r="O7" s="11" t="n"/>
      <c r="P7" s="11" t="n"/>
      <c r="Q7" s="11" t="n"/>
      <c r="R7" s="24" t="inlineStr">
        <is>
          <t>Table 2 atrial fibrillation: 13.6% - 7.9% = 5.7 pp vs printed ARD 6.5 (4.4-8.7); the gap of 0.8 is beyond rounding (5.6-5.8 possible). Same systematic pattern across component outcomes. AF also violated proportional hazards per the text, so the 8-year ARD is the more interpretable summary, which makes the ambiguity matter more.</t>
        </is>
      </c>
    </row>
    <row r="8" ht="92" customFormat="1" customHeight="1" s="14">
      <c r="A8" s="12" t="inlineStr">
        <is>
          <t>2019::jama.2019.14231::C007</t>
        </is>
      </c>
      <c r="B8" s="12" t="inlineStr">
        <is>
          <t>Supplement tables use different nonsurgical medication denominators at baseline</t>
        </is>
      </c>
      <c r="C8" s="12" t="inlineStr">
        <is>
          <t>Supplement 1 — PDF p. 5, PDF p. 14.</t>
        </is>
      </c>
      <c r="D8" s="23" t="inlineStr">
        <is>
          <t>exclude</t>
        </is>
      </c>
      <c r="E8" s="23" t="inlineStr">
        <is>
          <t>statistical_results</t>
        </is>
      </c>
      <c r="F8" s="23" t="inlineStr">
        <is>
          <t>primary_done</t>
        </is>
      </c>
      <c r="G8" s="12">
        <f>IFERROR(IF(OR(NOT(EXACT(Setup!$B$4,"R_B")),Setup!$B$5&lt;&gt;2019),"CHECK SETUP",IF(OR(LEN(TRIM(CLEAN(SUBSTITUTE(Setup!$B$2,CHAR(160)," "))))=0,Setup!$B$2&lt;&gt;TRIM(CLEAN(SUBSTITUTE(Setup!$B$2,CHAR(160)," ")))),"CHECK REVIEWER ID",IF(OR(A8="",COUNTIF($A$2:$A$12,A8)&lt;&gt;1,LEFT(A8,LEN("2019::jama.2019.14231::"))&lt;&gt;"2019::jama.2019.14231::"),"CHECK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Exclude. eTable 3 (medication class at index date) uses matched control N=11,435; eTable 10 is explicitly a table of sample sizes 'for computing proportions ... over time' and gives 11,433 at year 0. The two tables serve different computations, and every eTable 3 control percentage is identical to one decimal under either denominator. Not a reporting error of consequence.</t>
        </is>
      </c>
    </row>
    <row r="9" ht="92" customFormat="1" customHeight="1" s="14">
      <c r="A9" s="11" t="inlineStr">
        <is>
          <t>2019::jama.2019.14231::C008</t>
        </is>
      </c>
      <c r="B9" s="11" t="inlineStr">
        <is>
          <t>Medication comparison is labeled as two different named tests</t>
        </is>
      </c>
      <c r="C9" s="11" t="inlineStr">
        <is>
          <t>Main article — PDF p. 4, PDF p. 10; Supplement 1 — PDF p. 12.</t>
        </is>
      </c>
      <c r="D9" s="23" t="inlineStr">
        <is>
          <t>retain</t>
        </is>
      </c>
      <c r="E9" s="23" t="inlineStr">
        <is>
          <t>report_internal_inconsistency</t>
        </is>
      </c>
      <c r="F9" s="23" t="inlineStr">
        <is>
          <t>primary_done</t>
        </is>
      </c>
      <c r="G9" s="11">
        <f>IFERROR(IF(OR(NOT(EXACT(Setup!$B$4,"R_B")),Setup!$B$5&lt;&gt;2019),"CHECK SETUP",IF(OR(LEN(TRIM(CLEAN(SUBSTITUTE(Setup!$B$2,CHAR(160)," "))))=0,Setup!$B$2&lt;&gt;TRIM(CLEAN(SUBSTITUTE(Setup!$B$2,CHAR(160)," ")))),"CHECK REVIEWER ID",IF(OR(A9="",COUNTIF($A$2:$A$12,A9)&lt;&gt;1,LEFT(A9,LEN("2019::jama.2019.14231::"))&lt;&gt;"2019::jama.2019.14231::"),"CHECK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Confirmed. Main Methods and the eTable 8 note say a 2-sample proportions test compared medication proportions at 1, 2, 5 and 8 years; the Figure 5 legend says the displayed 8-year P values come from a Fisher exact test. With 348 vs 1219 patients at year 8 and P&lt;.001/.008, the choice is unlikely to change conclusions, but the named test conflicts.</t>
        </is>
      </c>
    </row>
    <row r="10" ht="92" customFormat="1" customHeight="1" s="14">
      <c r="A10" s="12" t="inlineStr">
        <is>
          <t>2019::jama.2019.14231::C009</t>
        </is>
      </c>
      <c r="B10" s="12" t="inlineStr">
        <is>
          <t>Time-varying-HR narrative cites eTable 4 while the displayed table is eTable 7</t>
        </is>
      </c>
      <c r="C10" s="12" t="inlineStr">
        <is>
          <t>Supplement 1 — PDF p. 6, PDF p. 10, PDF p. 19.</t>
        </is>
      </c>
      <c r="D10" s="23" t="inlineStr">
        <is>
          <t>retain</t>
        </is>
      </c>
      <c r="E10" s="23" t="inlineStr">
        <is>
          <t>report_internal_inconsistency</t>
        </is>
      </c>
      <c r="F10" s="23" t="inlineStr">
        <is>
          <t>primary_done</t>
        </is>
      </c>
      <c r="G10" s="12">
        <f>IFERROR(IF(OR(NOT(EXACT(Setup!$B$4,"R_B")),Setup!$B$5&lt;&gt;2019),"CHECK SETUP",IF(OR(LEN(TRIM(CLEAN(SUBSTITUTE(Setup!$B$2,CHAR(160)," "))))=0,Setup!$B$2&lt;&gt;TRIM(CLEAN(SUBSTITUTE(Setup!$B$2,CHAR(160)," ")))),"CHECK REVIEWER ID",IF(OR(A10="",COUNTIF($A$2:$A$12,A10)&lt;&gt;1,LEFT(A10,LEN("2019::jama.2019.14231::"))&lt;&gt;"2019::jama.2019.14231::"),"CHECK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minor_presentation</t>
        </is>
      </c>
      <c r="L10" s="24">
        <f>IF(AND(OR(D10="retain",D10=""),E10="protocol_report"),"","not_applicable")</f>
        <v/>
      </c>
      <c r="M10" s="11" t="n"/>
      <c r="N10" s="11" t="n"/>
      <c r="O10" s="11" t="n"/>
      <c r="P10" s="11" t="n"/>
      <c r="Q10" s="11" t="n"/>
      <c r="R10" s="24" t="inlineStr">
        <is>
          <t>Confirmed. Supplement section B (p.19) says 'eTable 4 displays adjusted hazard ratios ... at 2, 5, and 8 years', but the table directly below (and on p.10) is eTable 7, while eTable 4 (p.6) shows cause-specific event rates per 100 patient-years. Wrong cross-reference; the intended table is obvious from adjacency.</t>
        </is>
      </c>
    </row>
    <row r="11" ht="92" customFormat="1" customHeight="1" s="14">
      <c r="A11" s="11" t="inlineStr">
        <is>
          <t>2019::jama.2019.14231::C010</t>
        </is>
      </c>
      <c r="B11" s="11" t="inlineStr">
        <is>
          <t>Biguanide count and percentage do not reconcile in eTable 3</t>
        </is>
      </c>
      <c r="C11" s="11" t="inlineStr">
        <is>
          <t>Supplement 1 — PDF p. 5.</t>
        </is>
      </c>
      <c r="D11" s="23" t="inlineStr">
        <is>
          <t>retain</t>
        </is>
      </c>
      <c r="E11" s="23" t="inlineStr">
        <is>
          <t>statistical_results</t>
        </is>
      </c>
      <c r="F11" s="23" t="inlineStr">
        <is>
          <t>primary_done</t>
        </is>
      </c>
      <c r="G11" s="11">
        <f>IFERROR(IF(OR(NOT(EXACT(Setup!$B$4,"R_B")),Setup!$B$5&lt;&gt;2019),"CHECK SETUP",IF(OR(LEN(TRIM(CLEAN(SUBSTITUTE(Setup!$B$2,CHAR(160)," "))))=0,Setup!$B$2&lt;&gt;TRIM(CLEAN(SUBSTITUTE(Setup!$B$2,CHAR(160)," ")))),"CHECK REVIEWER ID",IF(OR(A11="",COUNTIF($A$2:$A$12,A11)&lt;&gt;1,LEFT(A11,LEN("2019::jama.2019.14231::"))&lt;&gt;"2019::jama.2019.14231::"),"CHECK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t="inlineStr">
        <is>
          <t>confirmed_issue</t>
        </is>
      </c>
      <c r="I11" s="23" t="inlineStr">
        <is>
          <t>minor_presentation</t>
        </is>
      </c>
      <c r="J11" s="24" t="inlineStr">
        <is>
          <t>unlikely</t>
        </is>
      </c>
      <c r="K11" s="23">
        <f>IF(AND(OR(D11="retain",D11=""),OR(E11="report_internal_inconsistency",E11="plan_material")),"","not_applicable")</f>
        <v/>
      </c>
      <c r="L11" s="24">
        <f>IF(AND(OR(D11="retain",D11=""),E11="protocol_report"),"","not_applicable")</f>
        <v/>
      </c>
      <c r="M11" s="11" t="n"/>
      <c r="N11" s="11" t="n"/>
      <c r="O11" s="11" t="n"/>
      <c r="P11" s="11" t="n"/>
      <c r="Q11" s="11" t="n"/>
      <c r="R11" s="24" t="inlineStr">
        <is>
          <t>Confirmed. eTable 3 surgery group (N=2287): biguanides 1530 (67.9%); 1530/2287 = 66.9%, and 67.9% would need about 1553. The other 11 surgery-group and 12 control-group percentages in the table reproduce. Probably a one-digit typo in a supplementary baseline table; the surgery-control comparison (66.9 vs 66.5) is unaffected in substance.</t>
        </is>
      </c>
    </row>
    <row r="12" ht="92" customFormat="1" customHeight="1" s="14">
      <c r="A12" s="12" t="inlineStr">
        <is>
          <t>2019::jama.2019.14231::C011</t>
        </is>
      </c>
      <c r="B12" s="12" t="inlineStr">
        <is>
          <t>Standardized-difference footnote says absolute value while columns contain negative values</t>
        </is>
      </c>
      <c r="C12" s="12" t="inlineStr">
        <is>
          <t>Main article — PDF p. 5, PDF p. 6.</t>
        </is>
      </c>
      <c r="D12" s="23" t="inlineStr">
        <is>
          <t>retain</t>
        </is>
      </c>
      <c r="E12" s="23" t="inlineStr">
        <is>
          <t>report_internal_inconsistency</t>
        </is>
      </c>
      <c r="F12" s="23" t="inlineStr">
        <is>
          <t>primary_done</t>
        </is>
      </c>
      <c r="G12" s="12">
        <f>IFERROR(IF(OR(NOT(EXACT(Setup!$B$4,"R_B")),Setup!$B$5&lt;&gt;2019),"CHECK SETUP",IF(OR(LEN(TRIM(CLEAN(SUBSTITUTE(Setup!$B$2,CHAR(160)," "))))=0,Setup!$B$2&lt;&gt;TRIM(CLEAN(SUBSTITUTE(Setup!$B$2,CHAR(160)," ")))),"CHECK REVIEWER ID",IF(OR(A12="",COUNTIF($A$2:$A$12,A12)&lt;&gt;1,LEFT(A12,LEN("2019::jama.2019.14231::"))&lt;&gt;"2019::jama.2019.14231::"),"CHECK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t="inlineStr">
        <is>
          <t>minor_presentation</t>
        </is>
      </c>
      <c r="L12" s="24">
        <f>IF(AND(OR(D12="retain",D12=""),E12="protocol_report"),"","not_applicable")</f>
        <v/>
      </c>
      <c r="M12" s="11" t="n"/>
      <c r="N12" s="11" t="n"/>
      <c r="O12" s="11" t="n"/>
      <c r="P12" s="11" t="n"/>
      <c r="Q12" s="11" t="n"/>
      <c r="R12" s="24" t="inlineStr">
        <is>
          <t>Confirmed. Table 1 footnote b defines standardized differences as 'the absolute value' of (surgery - control)/pooled SD, yet the columns are signed (e.g., age -75.3/-19.9, men -28.0/-2.9). The signs follow the stated surgery-minus-control direction (women +28.0, men -28.0), so the values are interpretable; the word 'absolute' is wrong.</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Format="1" customHeight="1" s="14">
      <c r="A2" s="12"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inlineStr">
        <is>
          <t>retain</t>
        </is>
      </c>
      <c r="E2" s="23" t="inlineStr">
        <is>
          <t>report_internal_inconsistency</t>
        </is>
      </c>
      <c r="F2" s="23" t="inlineStr">
        <is>
          <t>primary_done</t>
        </is>
      </c>
      <c r="G2" s="12">
        <f>IFERROR(IF(OR(NOT(EXACT(Setup!$B$4,"R_B")),Setup!$B$5&lt;&gt;2019),"CHECK SETUP",IF(OR(LEN(TRIM(CLEAN(SUBSTITUTE(Setup!$B$2,CHAR(160)," "))))=0,Setup!$B$2&lt;&gt;TRIM(CLEAN(SUBSTITUTE(Setup!$B$2,CHAR(160)," ")))),"CHECK REVIEWER ID",IF(OR(A2="",COUNTIF($A$2:$A$10,A2)&lt;&gt;1,LEFT(A2,LEN("2019::jama.2019.14630::"))&lt;&gt;"2019::jama.2019.14630::"),"CHECK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Confirmed. The opening page of Supplement 3 eTable 2 heads both columns 'Intervention group' (N=3,272 and N=3,311); the continuation pages and main Table 2 label N=3,311 as Control. The N values and column order identify the arms, so the meaning is recoverable, but the first page alone mislabels the control column.</t>
        </is>
      </c>
    </row>
    <row r="3" ht="92" customFormat="1" customHeight="1" s="14">
      <c r="A3" s="11" t="inlineStr">
        <is>
          <t>2019::jama.2019.14630::C002</t>
        </is>
      </c>
      <c r="B3" s="11" t="inlineStr">
        <is>
          <t>eTable 2 red-wine median lies above its printed upper quartile</t>
        </is>
      </c>
      <c r="C3" s="11" t="inlineStr">
        <is>
          <t>Supplement 3 eTable 2 red-wine row and footnote — PDF p. 7.</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ID",IF(OR(A3="",COUNTIF($A$2:$A$10,A3)&lt;&gt;1,LEFT(A3,LEN("2019::jama.2019.14630::"))&lt;&gt;"2019::jama.2019.14630::"),"CHECK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minor_presentation</t>
        </is>
      </c>
      <c r="J3" s="24" t="inlineStr">
        <is>
          <t>possible</t>
        </is>
      </c>
      <c r="K3" s="23">
        <f>IF(AND(OR(D3="retain",D3=""),OR(E3="report_internal_inconsistency",E3="plan_material")),"","not_applicable")</f>
        <v/>
      </c>
      <c r="L3" s="24">
        <f>IF(AND(OR(D3="retain",D3=""),E3="protocol_report"),"","not_applicable")</f>
        <v/>
      </c>
      <c r="M3" s="11" t="n"/>
      <c r="N3" s="11" t="n"/>
      <c r="O3" s="11" t="n"/>
      <c r="P3" s="11" t="n"/>
      <c r="Q3" s="11" t="n"/>
      <c r="R3" s="24" t="inlineStr">
        <is>
          <t>Confirmed impossible value: eTable 2 (MI, all randomized) intervention red wine baseline 33 (0, 29) g/week under a 'median (IQR)' footnote; a median cannot exceed Q3. The same baseline appears as 0 (0, 29) in eTable 7 and 4 (0, 29) in completers' eTable 4. Baseline descriptive in a supplement; trial outcomes unaffected, but the extracted value would be wrong.</t>
        </is>
      </c>
    </row>
    <row r="4" ht="92" customFormat="1" customHeight="1" s="14">
      <c r="A4" s="12" t="inlineStr">
        <is>
          <t>2019::jama.2019.14630::C003</t>
        </is>
      </c>
      <c r="B4" s="12" t="inlineStr">
        <is>
          <t>all-randomized red-wine baseline summaries differ between eTables 2 and 7</t>
        </is>
      </c>
      <c r="C4" s="12" t="inlineStr">
        <is>
          <t>Supplement 3 eTable 2 — PDF p. 7; Supplement 3 eTable 7 — PDF p. 19.</t>
        </is>
      </c>
      <c r="D4" s="23" t="inlineStr">
        <is>
          <t>retain</t>
        </is>
      </c>
      <c r="E4" s="23" t="inlineStr">
        <is>
          <t>report_internal_inconsistency</t>
        </is>
      </c>
      <c r="F4" s="23" t="inlineStr">
        <is>
          <t>primary_done</t>
        </is>
      </c>
      <c r="G4" s="12">
        <f>IFERROR(IF(OR(NOT(EXACT(Setup!$B$4,"R_B")),Setup!$B$5&lt;&gt;2019),"CHECK SETUP",IF(OR(LEN(TRIM(CLEAN(SUBSTITUTE(Setup!$B$2,CHAR(160)," "))))=0,Setup!$B$2&lt;&gt;TRIM(CLEAN(SUBSTITUTE(Setup!$B$2,CHAR(160)," ")))),"CHECK REVIEWER ID",IF(OR(A4="",COUNTIF($A$2:$A$10,A4)&lt;&gt;1,LEFT(A4,LEN("2019::jama.2019.14630::"))&lt;&gt;"2019::jama.2019.14630::"),"CHECK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Baseline red wine (all randomized, same Ns 3,272/3,311, median (IQR)): eTable 2 gives 33 (0, 29) / 4 (0, 29), eTable 7 gives 0 (0, 29) / 0 (0, 29). The main Methods state that baseline values were not imputed, so the two all-randomized baseline summaries should be identical. Overlaps C002; low materiality (baseline descriptor only).</t>
        </is>
      </c>
    </row>
    <row r="5" ht="92" customFormat="1" customHeight="1" s="14">
      <c r="A5" s="11" t="inlineStr">
        <is>
          <t>2019::jama.2019.14630::C004</t>
        </is>
      </c>
      <c r="B5" s="11" t="inlineStr">
        <is>
          <t>PDQS baseline mean differs between the principal and baseline-value-carried-forward tables</t>
        </is>
      </c>
      <c r="C5" s="11" t="inlineStr">
        <is>
          <t>main article Table 2 — PDF p. 5; Supplement 3 eTable 6 — PDF p. 16.</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ID",IF(OR(A5="",COUNTIF($A$2:$A$10,A5)&lt;&gt;1,LEFT(A5,LEN("2019::jama.2019.14630::"))&lt;&gt;"2019::jama.2019.14630::"),"CHECK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but trivial. Baseline PDQS mean (SD) is 21.1 (3.7) in both arms in main Table 2 and the Results text, and 21.0 (3.7) in both arms in eTable 6 (same all-randomized Ns) and eTable 3. Baseline was not imputed, so the values should match; an identical 0.1 shift in both arms points to a rounding or truncation difference around 21.05.</t>
        </is>
      </c>
    </row>
    <row r="6" ht="106" customFormat="1" customHeight="1" s="14">
      <c r="A6" s="12"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inlineStr">
        <is>
          <t>retain</t>
        </is>
      </c>
      <c r="E6" s="23" t="inlineStr">
        <is>
          <t>report_internal_inconsistency</t>
        </is>
      </c>
      <c r="F6" s="23" t="inlineStr">
        <is>
          <t>primary_done</t>
        </is>
      </c>
      <c r="G6" s="12">
        <f>IFERROR(IF(OR(NOT(EXACT(Setup!$B$4,"R_B")),Setup!$B$5&lt;&gt;2019),"CHECK SETUP",IF(OR(LEN(TRIM(CLEAN(SUBSTITUTE(Setup!$B$2,CHAR(160)," "))))=0,Setup!$B$2&lt;&gt;TRIM(CLEAN(SUBSTITUTE(Setup!$B$2,CHAR(160)," ")))),"CHECK REVIEWER ID",IF(OR(A6="",COUNTIF($A$2:$A$10,A6)&lt;&gt;1,LEFT(A6,LEN("2019::jama.2019.14630::"))&lt;&gt;"2019::jama.2019.14630::"),"CHECK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Intervention baseline energy is 2355 (SD 555) kcal/d in main Table 3 and the Results text, but 2,355 (544) in eTable 8 (all randomized) and eTable 5 (completers); the control is 2369 (555) everywhere. Main's intervention SD likely duplicates the control SD. A 2% SD difference; no interpretive effect.</t>
        </is>
      </c>
    </row>
    <row r="7" ht="92" customFormat="1" customHeight="1" s="14">
      <c r="A7" s="11" t="inlineStr">
        <is>
          <t>2019::jama.2019.14630::C006</t>
        </is>
      </c>
      <c r="B7" s="11" t="inlineStr">
        <is>
          <t>baseline body-weight summaries differ between Table 1 and eTable 9</t>
        </is>
      </c>
      <c r="C7" s="11" t="inlineStr">
        <is>
          <t>main article Table 1 — PDF p. 4; Supplement 3 eTable 9 — PDF p. 23.</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ID",IF(OR(A7="",COUNTIF($A$2:$A$10,A7)&lt;&gt;1,LEFT(A7,LEN("2019::jama.2019.14630::"))&lt;&gt;"2019::jama.2019.14630::"),"CHECK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Baseline weight is 86.7 (13.0) / 86.4 (13.0) kg in Table 1 but 86.5 (12.9) / 86.3 (13.0) in eTable 9's all-randomized MI panel with the same Ns. eTable 9 is labelled multiple imputation and it is not stated whether baseline risk factors were imputed, which could explain the difference. Differences of 0.1-0.2 kg do not affect interpretation.</t>
        </is>
      </c>
    </row>
    <row r="8" ht="92" customFormat="1" customHeight="1" s="14">
      <c r="A8" s="12" t="inlineStr">
        <is>
          <t>2019::jama.2019.14630::C007</t>
        </is>
      </c>
      <c r="B8" s="12" t="inlineStr">
        <is>
          <t>baseline BMI means differ between Table 1 and eTable 9</t>
        </is>
      </c>
      <c r="C8" s="12" t="inlineStr">
        <is>
          <t>main article Table 1 — PDF p. 4; Supplement 3 eTable 9 — PDF p. 23.</t>
        </is>
      </c>
      <c r="D8" s="23" t="inlineStr">
        <is>
          <t>retain</t>
        </is>
      </c>
      <c r="E8" s="23" t="inlineStr">
        <is>
          <t>report_internal_inconsistency</t>
        </is>
      </c>
      <c r="F8" s="23" t="inlineStr">
        <is>
          <t>primary_done</t>
        </is>
      </c>
      <c r="G8" s="12">
        <f>IFERROR(IF(OR(NOT(EXACT(Setup!$B$4,"R_B")),Setup!$B$5&lt;&gt;2019),"CHECK SETUP",IF(OR(LEN(TRIM(CLEAN(SUBSTITUTE(Setup!$B$2,CHAR(160)," "))))=0,Setup!$B$2&lt;&gt;TRIM(CLEAN(SUBSTITUTE(Setup!$B$2,CHAR(160)," ")))),"CHECK REVIEWER ID",IF(OR(A8="",COUNTIF($A$2:$A$10,A8)&lt;&gt;1,LEFT(A8,LEN("2019::jama.2019.14630::"))&lt;&gt;"2019::jama.2019.14630::"),"CHECK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t="inlineStr">
        <is>
          <t>minor_presentation</t>
        </is>
      </c>
      <c r="L8" s="24">
        <f>IF(AND(OR(D8="retain",D8=""),E8="protocol_report"),"","not_applicable")</f>
        <v/>
      </c>
      <c r="M8" s="11" t="n"/>
      <c r="N8" s="11" t="n"/>
      <c r="O8" s="11" t="n"/>
      <c r="P8" s="11" t="n"/>
      <c r="Q8" s="11" t="n"/>
      <c r="R8" s="24" t="inlineStr">
        <is>
          <t>Confirmed. Baseline BMI is 32.5 (3.4/3.5) in Table 1 and 32.6 (3.4/3.5) in eTable 9's all-randomized MI panel (same Ns); eTable 9's completers panel shows 32.5. Weight moves the other way (C006), so a single rounding convention does not explain both. Undocumented baseline imputation may contribute. A 0.1 kg/m2 difference is immaterial.</t>
        </is>
      </c>
    </row>
    <row r="9" ht="92" customFormat="1" customHeight="1" s="14">
      <c r="A9" s="11" t="inlineStr">
        <is>
          <t>2019::jama.2019.14630::C008</t>
        </is>
      </c>
      <c r="B9" s="11" t="inlineStr">
        <is>
          <t>Figure 4 threshold labels do not preserve the Methods boundary operators</t>
        </is>
      </c>
      <c r="C9" s="11" t="inlineStr">
        <is>
          <t>main article Outcomes — PDF p. 4; main article Figure 4 — PDF p. 10.</t>
        </is>
      </c>
      <c r="D9" s="23" t="inlineStr">
        <is>
          <t>retain</t>
        </is>
      </c>
      <c r="E9" s="23" t="inlineStr">
        <is>
          <t>report_internal_inconsistency</t>
        </is>
      </c>
      <c r="F9" s="23" t="inlineStr">
        <is>
          <t>primary_done</t>
        </is>
      </c>
      <c r="G9" s="11">
        <f>IFERROR(IF(OR(NOT(EXACT(Setup!$B$4,"R_B")),Setup!$B$5&lt;&gt;2019),"CHECK SETUP",IF(OR(LEN(TRIM(CLEAN(SUBSTITUTE(Setup!$B$2,CHAR(160)," "))))=0,Setup!$B$2&lt;&gt;TRIM(CLEAN(SUBSTITUTE(Setup!$B$2,CHAR(160)," ")))),"CHECK REVIEWER ID",IF(OR(A9="",COUNTIF($A$2:$A$10,A9)&lt;&gt;1,LEFT(A9,LEN("2019::jama.2019.14630::"))&lt;&gt;"2019::jama.2019.14630::"),"CHECK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Confirmed. Methods define clinically meaningful change as reductions of 'at least' 5% (weight, BMI, waist, lipids), at least 5 mm Hg SBP or 2.5 mm Hg DBP, and an HDL increase of at least 5%; Figure 4 panels say '&gt;5%', '&gt;10%', '&gt;5 mm Hg', and 'Reduction 2.5 mm Hg' with no operator. Probably loose figure typography; for integer-valued BP, &gt;= and &gt; could classify differently.</t>
        </is>
      </c>
    </row>
    <row r="10" ht="148" customFormat="1" customHeight="1" s="14">
      <c r="A10" s="12"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inlineStr">
        <is>
          <t>retain</t>
        </is>
      </c>
      <c r="E10" s="23" t="inlineStr">
        <is>
          <t>report_internal_inconsistency</t>
        </is>
      </c>
      <c r="F10" s="23" t="inlineStr">
        <is>
          <t>primary_done</t>
        </is>
      </c>
      <c r="G10" s="12">
        <f>IFERROR(IF(OR(NOT(EXACT(Setup!$B$4,"R_B")),Setup!$B$5&lt;&gt;2019),"CHECK SETUP",IF(OR(LEN(TRIM(CLEAN(SUBSTITUTE(Setup!$B$2,CHAR(160)," "))))=0,Setup!$B$2&lt;&gt;TRIM(CLEAN(SUBSTITUTE(Setup!$B$2,CHAR(160)," ")))),"CHECK REVIEWER ID",IF(OR(A10="",COUNTIF($A$2:$A$10,A10)&lt;&gt;1,LEFT(A10,LEN("2019::jama.2019.14630::"))&lt;&gt;"2019::jama.2019.14630::"),"CHECK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minor_presentation</t>
        </is>
      </c>
      <c r="L10" s="24">
        <f>IF(AND(OR(D10="retain",D10=""),E10="protocol_report"),"","not_applicable")</f>
        <v/>
      </c>
      <c r="M10" s="11" t="n"/>
      <c r="N10" s="11" t="n"/>
      <c r="O10" s="11" t="n"/>
      <c r="P10" s="11" t="n"/>
      <c r="Q10" s="11" t="n"/>
      <c r="R10" s="24" t="inlineStr">
        <is>
          <t>Confirmed. eTable 4 (completers) labels total olive oil 'Baseline, mean (SD)' but prints 350 (175, 350), a 3-value median (Q1, Q3) form; its own footnote and eTables 2 and 7 call baseline food data median (IQR). The row label is wrong; the meaning is clear from the footnote and parallel tables.</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2019::jama.2019.14901::C001</t>
        </is>
      </c>
      <c r="B2" s="12" t="inlineStr">
        <is>
          <t>Day-7 respiratory-failure absolute difference differs across matched article locations</t>
        </is>
      </c>
      <c r="C2" s="12" t="n"/>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ID",IF(OR(A2="",COUNTIF($A$2:$A$7,A2)&lt;&gt;1,LEFT(A2,LEN("2019::jama.2019.14901::"))&lt;&gt;"2019::jama.2019.14901::"),"CHECK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possible</t>
        </is>
      </c>
      <c r="K2" s="23">
        <f>IF(AND(OR(D2="retain",D2=""),OR(E2="report_internal_inconsistency",E2="plan_material")),"","not_applicable")</f>
        <v/>
      </c>
      <c r="L2" s="24">
        <f>IF(AND(OR(D2="retain",D2=""),E2="protocol_report"),"","not_applicable")</f>
        <v/>
      </c>
      <c r="M2" s="11" t="n"/>
      <c r="N2" s="11" t="n"/>
      <c r="O2" s="11" t="n"/>
      <c r="P2" s="11" t="n"/>
      <c r="Q2" s="11" t="n"/>
      <c r="R2" s="24" t="inlineStr">
        <is>
          <t>Confirmed. Day-7 postextubation respiratory failure: Table 2 gives 70/339 vs 88/302, difference -8.5 (-15.2 to -1.8), P=.01; the abstract and Results text print -8.7 with the same CI and P. Recomputed: 20.65% - 29.14% = -8.49 pp, Wald CI -15.19 to -1.79, so -8.5 is correct and -8.7 is a transcription error. 0.2 pp; inference unchanged.</t>
        </is>
      </c>
    </row>
    <row r="3" ht="92" customFormat="1" customHeight="1" s="14">
      <c r="A3" s="11" t="inlineStr">
        <is>
          <t>2019::jama.2019.14901::C002</t>
        </is>
      </c>
      <c r="B3" s="11" t="inlineStr">
        <is>
          <t>Reintubation respiratory-acidosis cutoff differs between article and protocol</t>
        </is>
      </c>
      <c r="C3" s="11" t="n"/>
      <c r="D3" s="23" t="inlineStr">
        <is>
          <t>retain</t>
        </is>
      </c>
      <c r="E3" s="23" t="inlineStr">
        <is>
          <t>protocol_report</t>
        </is>
      </c>
      <c r="F3" s="23" t="inlineStr">
        <is>
          <t>primary_done</t>
        </is>
      </c>
      <c r="G3" s="11">
        <f>IFERROR(IF(OR(NOT(EXACT(Setup!$B$4,"R_B")),Setup!$B$5&lt;&gt;2019),"CHECK SETUP",IF(OR(LEN(TRIM(CLEAN(SUBSTITUTE(Setup!$B$2,CHAR(160)," "))))=0,Setup!$B$2&lt;&gt;TRIM(CLEAN(SUBSTITUTE(Setup!$B$2,CHAR(160)," ")))),"CHECK REVIEWER ID",IF(OR(A3="",COUNTIF($A$2:$A$7,A3)&lt;&gt;1,LEFT(A3,LEN("2019::jama.2019.14901::"))&lt;&gt;"2019::jama.2019.14901::"),"CHECK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t="inlineStr">
        <is>
          <t>substantive_difference</t>
        </is>
      </c>
      <c r="M3" s="11" t="n"/>
      <c r="N3" s="11" t="n"/>
      <c r="O3" s="11" t="n"/>
      <c r="P3" s="11" t="n"/>
      <c r="Q3" s="11" t="n"/>
      <c r="R3" s="24" t="inlineStr">
        <is>
          <t>Confirmed. Protocol v4 (17 Oct 2017) section 5.4 reintubation criteria include respiratory acidosis 'pH &lt; 7.35 and PaCO2 &gt; 45 mm Hg'; the article's reintubation (primary-outcome) criteria say 'pH below 7.25 and PaCO2 &gt; 45', while it keeps pH &lt; 7.35 for postextubation respiratory failure. A different operational threshold in the criteria governing the primary outcome; no amended protocol supplied.</t>
        </is>
      </c>
    </row>
    <row r="4" ht="92" customFormat="1" customHeight="1" s="14">
      <c r="A4" s="12" t="inlineStr">
        <is>
          <t>2019::jama.2019.14901::C003</t>
        </is>
      </c>
      <c r="B4" s="12" t="inlineStr">
        <is>
          <t>Hypercapnic ineffective-cough percentages conflict with printed fractions</t>
        </is>
      </c>
      <c r="C4" s="12" t="n"/>
      <c r="D4" s="23" t="inlineStr">
        <is>
          <t>retain</t>
        </is>
      </c>
      <c r="E4" s="23" t="inlineStr">
        <is>
          <t>statistical_results</t>
        </is>
      </c>
      <c r="F4" s="23" t="inlineStr">
        <is>
          <t>primary_done</t>
        </is>
      </c>
      <c r="G4" s="12">
        <f>IFERROR(IF(OR(NOT(EXACT(Setup!$B$4,"R_B")),Setup!$B$5&lt;&gt;2019),"CHECK SETUP",IF(OR(LEN(TRIM(CLEAN(SUBSTITUTE(Setup!$B$2,CHAR(160)," "))))=0,Setup!$B$2&lt;&gt;TRIM(CLEAN(SUBSTITUTE(Setup!$B$2,CHAR(160)," ")))),"CHECK REVIEWER ID",IF(OR(A4="",COUNTIF($A$2:$A$7,A4)&lt;&gt;1,LEFT(A4,LEN("2019::jama.2019.14901::"))&lt;&gt;"2019::jama.2019.14901::"),"CHECK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t="inlineStr">
        <is>
          <t>possible</t>
        </is>
      </c>
      <c r="K4" s="23">
        <f>IF(AND(OR(D4="retain",D4=""),OR(E4="report_internal_inconsistency",E4="plan_material")),"","not_applicable")</f>
        <v/>
      </c>
      <c r="L4" s="24">
        <f>IF(AND(OR(D4="retain",D4=""),E4="protocol_report"),"","not_applicable")</f>
        <v/>
      </c>
      <c r="M4" s="11" t="n"/>
      <c r="N4" s="11" t="n"/>
      <c r="O4" s="11" t="n"/>
      <c r="P4" s="11" t="n"/>
      <c r="Q4" s="11" t="n"/>
      <c r="R4" s="24" t="inlineStr">
        <is>
          <t>Confirmed. Supplement 2 hypercapnic strata: ineffective cough 14/45 (69) and 16/59 (73); 14/45 = 31.1% and 16/59 = 27.1%, so the printed percentages are the complements. The counts are right (they sum with the nonhypercapnic strata to main Table 1: 65/284, 86/322). The printed % inverts the characteristic (31% shown as 69%).</t>
        </is>
      </c>
    </row>
    <row r="5" ht="92" customFormat="1" customHeight="1" s="14">
      <c r="A5" s="11" t="inlineStr">
        <is>
          <t>2019::jama.2019.14901::C004</t>
        </is>
      </c>
      <c r="B5" s="11" t="inlineStr">
        <is>
          <t>Hypercapnic abundant-secretion percentages conflict with printed fractions</t>
        </is>
      </c>
      <c r="C5" s="11" t="n"/>
      <c r="D5" s="23" t="inlineStr">
        <is>
          <t>retain</t>
        </is>
      </c>
      <c r="E5" s="23" t="inlineStr">
        <is>
          <t>statistical_results</t>
        </is>
      </c>
      <c r="F5" s="23" t="inlineStr">
        <is>
          <t>primary_done</t>
        </is>
      </c>
      <c r="G5" s="11">
        <f>IFERROR(IF(OR(NOT(EXACT(Setup!$B$4,"R_B")),Setup!$B$5&lt;&gt;2019),"CHECK SETUP",IF(OR(LEN(TRIM(CLEAN(SUBSTITUTE(Setup!$B$2,CHAR(160)," "))))=0,Setup!$B$2&lt;&gt;TRIM(CLEAN(SUBSTITUTE(Setup!$B$2,CHAR(160)," ")))),"CHECK REVIEWER ID",IF(OR(A5="",COUNTIF($A$2:$A$7,A5)&lt;&gt;1,LEFT(A5,LEN("2019::jama.2019.14901::"))&lt;&gt;"2019::jama.2019.14901::"),"CHECK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t="inlineStr">
        <is>
          <t>possible</t>
        </is>
      </c>
      <c r="K5" s="23">
        <f>IF(AND(OR(D5="retain",D5=""),OR(E5="report_internal_inconsistency",E5="plan_material")),"","not_applicable")</f>
        <v/>
      </c>
      <c r="L5" s="24">
        <f>IF(AND(OR(D5="retain",D5=""),E5="protocol_report"),"","not_applicable")</f>
        <v/>
      </c>
      <c r="M5" s="11" t="n"/>
      <c r="N5" s="11" t="n"/>
      <c r="O5" s="11" t="n"/>
      <c r="P5" s="11" t="n"/>
      <c r="Q5" s="11" t="n"/>
      <c r="R5" s="24" t="inlineStr">
        <is>
          <t>Confirmed. Supplement 2 hypercapnic strata: abundant secretions 20/46 (57) and 23/61 (62); 20/46 = 43.5% and 23/61 = 37.7%, so the printed values are the complements (56.5, 62.3). Counts reconcile with main Table 1 (121/288, 114/326). Same complement error as C003, separate cells; misstates the prevalence (minority shown as majority).</t>
        </is>
      </c>
    </row>
    <row r="6" ht="92" customFormat="1" customHeight="1" s="14">
      <c r="A6" s="12" t="inlineStr">
        <is>
          <t>2019::jama.2019.14901::C005</t>
        </is>
      </c>
      <c r="B6" s="12" t="inlineStr">
        <is>
          <t>Matched nonhypercapnic day-7 reintubation P values differ across article and supplement</t>
        </is>
      </c>
      <c r="C6" s="12" t="n"/>
      <c r="D6" s="23" t="inlineStr">
        <is>
          <t>retain</t>
        </is>
      </c>
      <c r="E6" s="23" t="inlineStr">
        <is>
          <t>report_internal_inconsistency</t>
        </is>
      </c>
      <c r="F6" s="23" t="inlineStr">
        <is>
          <t>primary_done</t>
        </is>
      </c>
      <c r="G6" s="12">
        <f>IFERROR(IF(OR(NOT(EXACT(Setup!$B$4,"R_B")),Setup!$B$5&lt;&gt;2019),"CHECK SETUP",IF(OR(LEN(TRIM(CLEAN(SUBSTITUTE(Setup!$B$2,CHAR(160)," "))))=0,Setup!$B$2&lt;&gt;TRIM(CLEAN(SUBSTITUTE(Setup!$B$2,CHAR(160)," ")))),"CHECK REVIEWER ID",IF(OR(A6="",COUNTIF($A$2:$A$7,A6)&lt;&gt;1,LEFT(A6,LEN("2019::jama.2019.14901::"))&lt;&gt;"2019::jama.2019.14901::"),"CHECK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but trivial. Nonhypercapnic day-7 reintubation: main Results give P=.10; eTable 4 gives P=.1057, which rounds to .11. Recomputed uncorrected chi-square for 45/254 vs 35/276: P=0.1057, so the supplement is exact and the main text truncated. Both are clearly nonsignificant, with identical difference and CI.</t>
        </is>
      </c>
    </row>
    <row r="7" ht="92" customFormat="1" customHeight="1" s="14">
      <c r="A7" s="11" t="inlineStr">
        <is>
          <t>2019::jama.2019.14901::C006</t>
        </is>
      </c>
      <c r="B7" s="11" t="inlineStr">
        <is>
          <t>Protocol total-duration breakdown does not arithmetically reach the printed total</t>
        </is>
      </c>
      <c r="C7" s="11" t="n"/>
      <c r="D7" s="23" t="inlineStr">
        <is>
          <t>retain</t>
        </is>
      </c>
      <c r="E7" s="23" t="inlineStr">
        <is>
          <t>plan_material</t>
        </is>
      </c>
      <c r="F7" s="23" t="inlineStr">
        <is>
          <t>primary_done</t>
        </is>
      </c>
      <c r="G7" s="11">
        <f>IFERROR(IF(OR(NOT(EXACT(Setup!$B$4,"R_B")),Setup!$B$5&lt;&gt;2019),"CHECK SETUP",IF(OR(LEN(TRIM(CLEAN(SUBSTITUTE(Setup!$B$2,CHAR(160)," "))))=0,Setup!$B$2&lt;&gt;TRIM(CLEAN(SUBSTITUTE(Setup!$B$2,CHAR(160)," ")))),"CHECK REVIEWER ID",IF(OR(A7="",COUNTIF($A$2:$A$7,A7)&lt;&gt;1,LEFT(A7,LEN("2019::jama.2019.14901::"))&lt;&gt;"2019::jama.2019.14901::"),"CHECK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Protocol v4 French summary (p.11): total duration 51 months = 39 months study + 12 analysis, with 36 months inclusion and 3 months per patient (36+3+12=51). The English section (p.32) says 51 months 'with 36 months for the study and 12 months for analysis' (=48). The English text omits the 3-month follow-up; the intended timeline is clear.</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2019::jama.2019.17380::C001</t>
        </is>
      </c>
      <c r="B2" s="12" t="inlineStr">
        <is>
          <t>Figure 2 omega-3 eGFR contributor counts conflict with Table 2</t>
        </is>
      </c>
      <c r="C2" s="12" t="inlineStr">
        <is>
          <t>Figure 2 panel B — PDF p. 7; Table 2 — PDF p. 8.</t>
        </is>
      </c>
      <c r="D2" s="23" t="inlineStr">
        <is>
          <t>retain</t>
        </is>
      </c>
      <c r="E2" s="23" t="inlineStr">
        <is>
          <t>report_internal_inconsistency</t>
        </is>
      </c>
      <c r="F2" s="23" t="inlineStr">
        <is>
          <t>primary_done</t>
        </is>
      </c>
      <c r="G2" s="12">
        <f>IFERROR(IF(OR(NOT(EXACT(Setup!$B$4,"R_B")),Setup!$B$5&lt;&gt;2019),"CHECK SETUP",IF(OR(LEN(TRIM(CLEAN(SUBSTITUTE(Setup!$B$2,CHAR(160)," "))))=0,Setup!$B$2&lt;&gt;TRIM(CLEAN(SUBSTITUTE(Setup!$B$2,CHAR(160)," ")))),"CHECK REVIEWER ID",IF(OR(A2="",COUNTIF($A$2:$A$8,A2)&lt;&gt;1,LEFT(A2,LEN("2019::jama.2019.17380::"))&lt;&gt;"2019::jama.2019.17380::"),"CHECK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Confirmed. Figure 2B (eGFR, omega-3 vs placebo) prints participant counts 607/459/438 (placebo) and 701/531/496 (omega-3), identical to panel A's vitamin D counts. Table 2 gives omega-3 eGFR counts 651/491/462 (placebo) and 657/499/472 (active); totals match (1308/990/934). Copied count annotations in the figure; the correct Ns are in Table 2.</t>
        </is>
      </c>
    </row>
    <row r="3" ht="92" customFormat="1" customHeight="1" s="14">
      <c r="A3" s="11" t="inlineStr">
        <is>
          <t>2019::jama.2019.17380::C002</t>
        </is>
      </c>
      <c r="B3" s="11" t="inlineStr">
        <is>
          <t>Figure 2 omega-3 urine-ACR contributor counts conflict with eTable 6</t>
        </is>
      </c>
      <c r="C3" s="11" t="inlineStr">
        <is>
          <t>Figure 2 panel D — PDF p. 7; eTable 6 — PDF p. 11.</t>
        </is>
      </c>
      <c r="D3" s="23" t="inlineStr">
        <is>
          <t>retain</t>
        </is>
      </c>
      <c r="E3" s="23" t="inlineStr">
        <is>
          <t>report_internal_inconsistency</t>
        </is>
      </c>
      <c r="F3" s="23" t="inlineStr">
        <is>
          <t>primary_done</t>
        </is>
      </c>
      <c r="G3" s="11">
        <f>IFERROR(IF(OR(NOT(EXACT(Setup!$B$4,"R_B")),Setup!$B$5&lt;&gt;2019),"CHECK SETUP",IF(OR(LEN(TRIM(CLEAN(SUBSTITUTE(Setup!$B$2,CHAR(160)," "))))=0,Setup!$B$2&lt;&gt;TRIM(CLEAN(SUBSTITUTE(Setup!$B$2,CHAR(160)," ")))),"CHECK REVIEWER ID",IF(OR(A3="",COUNTIF($A$2:$A$8,A3)&lt;&gt;1,LEFT(A3,LEN("2019::jama.2019.17380::"))&lt;&gt;"2019::jama.2019.17380::"),"CHECK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Confirmed. Figure 2D (urine ACR, omega-3 vs placebo) repeats panel C's vitamin D counts: 609/463/440 (placebo) and 702/529/505 (omega-3). eTable 6 gives omega-3 ACR counts 653/490/467 (placebo) and 658/502/478 (active); totals agree (1311/992/945). Same copied-annotation error as C001, in a different panel.</t>
        </is>
      </c>
    </row>
    <row r="4" ht="92" customFormat="1" customHeight="1" s="14">
      <c r="A4" s="12" t="inlineStr">
        <is>
          <t>2019::jama.2019.17380::C003</t>
        </is>
      </c>
      <c r="B4" s="12" t="inlineStr">
        <is>
          <t>Figure 3 assigns vitamin-D arm sizes to the opposite column labels</t>
        </is>
      </c>
      <c r="C4" s="12" t="inlineStr">
        <is>
          <t>Abstract — PDF p. 1; Table 2 and Figure 3 — PDF p. 8.</t>
        </is>
      </c>
      <c r="D4" s="23" t="inlineStr">
        <is>
          <t>retain</t>
        </is>
      </c>
      <c r="E4" s="23" t="inlineStr">
        <is>
          <t>report_internal_inconsistency</t>
        </is>
      </c>
      <c r="F4" s="23" t="inlineStr">
        <is>
          <t>primary_done</t>
        </is>
      </c>
      <c r="G4" s="12">
        <f>IFERROR(IF(OR(NOT(EXACT(Setup!$B$4,"R_B")),Setup!$B$5&lt;&gt;2019),"CHECK SETUP",IF(OR(LEN(TRIM(CLEAN(SUBSTITUTE(Setup!$B$2,CHAR(160)," "))))=0,Setup!$B$2&lt;&gt;TRIM(CLEAN(SUBSTITUTE(Setup!$B$2,CHAR(160)," ")))),"CHECK REVIEWER ID",IF(OR(A4="",COUNTIF($A$2:$A$8,A4)&lt;&gt;1,LEFT(A4,LEN("2019::jama.2019.17380::"))&lt;&gt;"2019::jama.2019.17380::"),"CHECK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Figure 3 (vitamin D subgroups) puts N=703 under Placebo and 609 under Vitamin D; randomized vitamin D = 370+333 = 703 and placebo = 289+320 = 609. Every subgroup N is transposed the same way (omega-3 rows: 333/370 under Placebo are vitamin D cells). Mean changes (-13.1 placebo, -12.3 vitamin D) match Table 2 under the printed headings, so only the N columns are swapped.</t>
        </is>
      </c>
    </row>
    <row r="5" ht="92" customFormat="1" customHeight="1" s="14">
      <c r="A5" s="11" t="inlineStr">
        <is>
          <t>2019::jama.2019.17380::C004</t>
        </is>
      </c>
      <c r="B5" s="11" t="inlineStr">
        <is>
          <t>Figure 4 assigns omega-3 arm sizes to the opposite column labels</t>
        </is>
      </c>
      <c r="C5" s="11" t="inlineStr">
        <is>
          <t>Abstract — PDF p. 1; Table 2 — PDF p. 8; Figure 4 — PDF p. 9.</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ID",IF(OR(A5="",COUNTIF($A$2:$A$8,A5)&lt;&gt;1,LEFT(A5,LEN("2019::jama.2019.17380::"))&lt;&gt;"2019::jama.2019.17380::"),"CHECK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Figure 4 (omega-3 subgroups) puts N=659 under Placebo and 653 under Omega-3; randomized omega-3 = 370+289 = 659 and omega-3 placebo = 333+320 = 653. Mean changes (-13.1 placebo, -12.2 omega-3) agree with Table 2 by heading, so the N columns are transposed while estimates are aligned. Same pattern as C003.</t>
        </is>
      </c>
    </row>
    <row r="6" ht="92" customFormat="1" customHeight="1" s="14">
      <c r="A6" s="12" t="inlineStr">
        <is>
          <t>2019::jama.2019.17380::C005</t>
        </is>
      </c>
      <c r="B6" s="12" t="inlineStr">
        <is>
          <t>eFigure 2 places vitamin-D participant counts under the opposite headings</t>
        </is>
      </c>
      <c r="C6" s="12" t="inlineStr">
        <is>
          <t>Abstract — PDF p. 1; eTable 6 — PDF p. 11; eFigure 2 — PDF p. 18.</t>
        </is>
      </c>
      <c r="D6" s="23" t="inlineStr">
        <is>
          <t>retain</t>
        </is>
      </c>
      <c r="E6" s="23" t="inlineStr">
        <is>
          <t>report_internal_inconsistency</t>
        </is>
      </c>
      <c r="F6" s="23" t="inlineStr">
        <is>
          <t>primary_done</t>
        </is>
      </c>
      <c r="G6" s="12">
        <f>IFERROR(IF(OR(NOT(EXACT(Setup!$B$4,"R_B")),Setup!$B$5&lt;&gt;2019),"CHECK SETUP",IF(OR(LEN(TRIM(CLEAN(SUBSTITUTE(Setup!$B$2,CHAR(160)," "))))=0,Setup!$B$2&lt;&gt;TRIM(CLEAN(SUBSTITUTE(Setup!$B$2,CHAR(160)," ")))),"CHECK REVIEWER ID",IF(OR(A6="",COUNTIF($A$2:$A$8,A6)&lt;&gt;1,LEFT(A6,LEN("2019::jama.2019.17380::"))&lt;&gt;"2019::jama.2019.17380::"),"CHECK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eFigure 2 (urine ACR, vitamin D subgroups) prints Placebo N=703, ratio 3.02 and Active N=609, ratio 2.97. eTable 6 gives active vitamin D baseline N=702 with year-5 ratio 2.97 and placebo N=609 with 3.02, and randomized totals are 703 active / 609 placebo. Ratios are aligned with the headings; the N columns are transposed throughout.</t>
        </is>
      </c>
    </row>
    <row r="7" ht="92" customFormat="1" customHeight="1" s="14">
      <c r="A7" s="11" t="inlineStr">
        <is>
          <t>2019::jama.2019.17380::C006</t>
        </is>
      </c>
      <c r="B7" s="11" t="inlineStr">
        <is>
          <t>eFigure 3 places omega-3 participant counts under the opposite headings</t>
        </is>
      </c>
      <c r="C7" s="11" t="inlineStr">
        <is>
          <t>Abstract — PDF p. 1; eTable 6 — PDF p. 11; eFigure 3 — PDF p. 19.</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ID",IF(OR(A7="",COUNTIF($A$2:$A$8,A7)&lt;&gt;1,LEFT(A7,LEN("2019::jama.2019.17380::"))&lt;&gt;"2019::jama.2019.17380::"),"CHECK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eFigure 3 (urine ACR, omega-3 subgroups) prints Placebo N=659, ratio 3.05 and Active N=653, ratio 2.94; eTable 6 gives omega-3 placebo N=653 (3.05) and active N=658 (2.94); randomized omega-3 = 659. Its vitamin D randomization rows (Placebo column 289/370; Active 320/333) are the opposite factorial cells. Ns are transposed; ratios are aligned.</t>
        </is>
      </c>
    </row>
    <row r="8" ht="92" customFormat="1" customHeight="1" s="14">
      <c r="A8" s="12" t="inlineStr">
        <is>
          <t>2019::jama.2019.17380::C007</t>
        </is>
      </c>
      <c r="B8" s="12" t="inlineStr">
        <is>
          <t>Imputation count differs between the analytic-plan addendum and article methods</t>
        </is>
      </c>
      <c r="C8" s="12" t="inlineStr">
        <is>
          <t>Analytic-plan addendum, Section 15c — PDF p. 32; Article Data Analysis — PDF p. 3.</t>
        </is>
      </c>
      <c r="D8" s="23" t="inlineStr">
        <is>
          <t>retain</t>
        </is>
      </c>
      <c r="E8" s="23" t="inlineStr">
        <is>
          <t>protocol_report</t>
        </is>
      </c>
      <c r="F8" s="23" t="inlineStr">
        <is>
          <t>primary_done</t>
        </is>
      </c>
      <c r="G8" s="12">
        <f>IFERROR(IF(OR(NOT(EXACT(Setup!$B$4,"R_B")),Setup!$B$5&lt;&gt;2019),"CHECK SETUP",IF(OR(LEN(TRIM(CLEAN(SUBSTITUTE(Setup!$B$2,CHAR(160)," "))))=0,Setup!$B$2&lt;&gt;TRIM(CLEAN(SUBSTITUTE(Setup!$B$2,CHAR(160)," ")))),"CHECK REVIEWER ID",IF(OR(A8="",COUNTIF($A$2:$A$8,A8)&lt;&gt;1,LEFT(A8,LEN("2019::jama.2019.17380::"))&lt;&gt;"2019::jama.2019.17380::"),"CHECK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Confirmed difference, immaterial. The analytic plan (section 15c) says results from 10 imputation datasets (chained equations) will be combined with Rubin's rules; the article reports multiple imputation with M=20 and Rubin's rules. More imputations only reduce Monte Carlo error; the estimand and method are unchanged. L left blank: a real difference that is neither wording-only nor meaningful.</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2019::jama.2019.2210::C001</t>
        </is>
      </c>
      <c r="B2" s="12" t="inlineStr">
        <is>
          <t>Table 1 SNP percentages use unlabelled, variable available-case denominators</t>
        </is>
      </c>
      <c r="C2" s="12" t="inlineStr">
        <is>
          <t>main article — PDF p. 5; Supplement 2 — PDF p. 7, p. 13, and p. 27.</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ID",IF(OR(A2="",COUNTIF($A$2:$A$10,A2)&lt;&gt;1,LEFT(A2,LEN("2019::jama.2019.2210::"))&lt;&gt;"2019::jama.2019.2210::"),"CHECK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unlikely</t>
        </is>
      </c>
      <c r="K2" s="23">
        <f>IF(AND(OR(D2="retain",D2=""),OR(E2="report_internal_inconsistency",E2="plan_material")),"","not_applicable")</f>
        <v/>
      </c>
      <c r="L2" s="24">
        <f>IF(AND(OR(D2="retain",D2=""),E2="protocol_report"),"","not_applicable")</f>
        <v/>
      </c>
      <c r="M2" s="11" t="n"/>
      <c r="N2" s="11" t="n"/>
      <c r="O2" s="11" t="n"/>
      <c r="P2" s="11" t="n"/>
      <c r="Q2" s="11" t="n"/>
      <c r="R2" s="24" t="inlineStr">
        <is>
          <t>Confirmed. Table 1 heads arms n=251/166, but SNP genotype counts total 230-245 (vitamin D) and 148-157 (placebo); all percentages are computed on these available-case totals, not the headers. Missing genotypes (up to 21 and 18 per arm) are not stated anywhere in the table. Values are correct for available cases; the omission is a reporting gap.</t>
        </is>
      </c>
    </row>
    <row r="3" ht="92" customFormat="1" customHeight="1" s="14">
      <c r="A3" s="11" t="inlineStr">
        <is>
          <t>2019::jama.2019.2210::C002</t>
        </is>
      </c>
      <c r="B3" s="11" t="inlineStr">
        <is>
          <t>Figure 3 caption says panel-C risk numbers are absent although the panel prints them</t>
        </is>
      </c>
      <c r="C3" s="11" t="inlineStr">
        <is>
          <t>main article — PDF p. 7.</t>
        </is>
      </c>
      <c r="D3" s="23" t="inlineStr">
        <is>
          <t>retain</t>
        </is>
      </c>
      <c r="E3" s="23" t="inlineStr">
        <is>
          <t>report_internal_inconsistency</t>
        </is>
      </c>
      <c r="F3" s="23" t="inlineStr">
        <is>
          <t>primary_done</t>
        </is>
      </c>
      <c r="G3" s="11">
        <f>IFERROR(IF(OR(NOT(EXACT(Setup!$B$4,"R_B")),Setup!$B$5&lt;&gt;2019),"CHECK SETUP",IF(OR(LEN(TRIM(CLEAN(SUBSTITUTE(Setup!$B$2,CHAR(160)," "))))=0,Setup!$B$2&lt;&gt;TRIM(CLEAN(SUBSTITUTE(Setup!$B$2,CHAR(160)," ")))),"CHECK REVIEWER ID",IF(OR(A3="",COUNTIF($A$2:$A$10,A3)&lt;&gt;1,LEFT(A3,LEN("2019::jama.2019.2210::"))&lt;&gt;"2019::jama.2019.2210::"),"CHECK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Confirmed. The Figure 3 caption says 'Numbers at risk for panel C are not given because of weighting', yet Figure 3C (overall death, middle 25(OH)D subgroup) prints numbers at risk (90...11; 142...20). Figure 2C, the competing-risk relapse panel, is the one with no at-risk table, so the sentence appears to belong to the Figure 2 caption. Caption misplacement; no numbers affected.</t>
        </is>
      </c>
    </row>
    <row r="4" ht="92" customFormat="1" customHeight="1" s="14">
      <c r="A4" s="12" t="inlineStr">
        <is>
          <t>2019::jama.2019.2210::C003</t>
        </is>
      </c>
      <c r="B4" s="12" t="inlineStr">
        <is>
          <t>Final protocol gives different accrual stopping thresholds</t>
        </is>
      </c>
      <c r="C4" s="12" t="inlineStr">
        <is>
          <t>Supplement 1 — PDF p. 18 and Supplement 1 — PDF p. 31.</t>
        </is>
      </c>
      <c r="D4" s="23" t="inlineStr">
        <is>
          <t>retain</t>
        </is>
      </c>
      <c r="E4" s="23" t="inlineStr">
        <is>
          <t>plan_material</t>
        </is>
      </c>
      <c r="F4" s="23" t="inlineStr">
        <is>
          <t>primary_done</t>
        </is>
      </c>
      <c r="G4" s="12">
        <f>IFERROR(IF(OR(NOT(EXACT(Setup!$B$4,"R_B")),Setup!$B$5&lt;&gt;2019),"CHECK SETUP",IF(OR(LEN(TRIM(CLEAN(SUBSTITUTE(Setup!$B$2,CHAR(160)," "))))=0,Setup!$B$2&lt;&gt;TRIM(CLEAN(SUBSTITUTE(Setup!$B$2,CHAR(160)," ")))),"CHECK REVIEWER ID",IF(OR(A4="",COUNTIF($A$2:$A$10,A4)&lt;&gt;1,LEFT(A4,LEN("2019::jama.2019.2210::"))&lt;&gt;"2019::jama.2019.2210::"),"CHECK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but trivial. The final protocol synopsis says entry stops 'if the number of randomized patients reaches &gt;400', and the study-design section says 'after enrolling 400 patients, enrollment will finish'; the target is 240+160=400 in both places. Two loose wordings of the same ~400 stopping rule. (The trial actually randomized 417.)</t>
        </is>
      </c>
    </row>
    <row r="5" ht="92" customFormat="1" customHeight="1" s="14">
      <c r="A5" s="11" t="inlineStr">
        <is>
          <t>2019::jama.2019.2210::C004</t>
        </is>
      </c>
      <c r="B5" s="11" t="inlineStr">
        <is>
          <t>Final protocol assigns de novo cancer incompatible endpoint labels</t>
        </is>
      </c>
      <c r="C5" s="11" t="inlineStr">
        <is>
          <t>Supplement 1 — PDF p. 19, p. 25, p. 26, and p. 45; main article — PDF p. 8.</t>
        </is>
      </c>
      <c r="D5" s="23" t="inlineStr">
        <is>
          <t>retain</t>
        </is>
      </c>
      <c r="E5" s="23" t="inlineStr">
        <is>
          <t>protocol_report</t>
        </is>
      </c>
      <c r="F5" s="23" t="inlineStr">
        <is>
          <t>primary_done</t>
        </is>
      </c>
      <c r="G5" s="11">
        <f>IFERROR(IF(OR(NOT(EXACT(Setup!$B$4,"R_B")),Setup!$B$5&lt;&gt;2019),"CHECK SETUP",IF(OR(LEN(TRIM(CLEAN(SUBSTITUTE(Setup!$B$2,CHAR(160)," "))))=0,Setup!$B$2&lt;&gt;TRIM(CLEAN(SUBSTITUTE(Setup!$B$2,CHAR(160)," ")))),"CHECK REVIEWER ID",IF(OR(A5="",COUNTIF($A$2:$A$10,A5)&lt;&gt;1,LEFT(A5,LEN("2019::jama.2019.2210::"))&lt;&gt;"2019::jama.2019.2210::"),"CHECK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t="inlineStr">
        <is>
          <t>substantive_difference</t>
        </is>
      </c>
      <c r="M5" s="11" t="n"/>
      <c r="N5" s="11" t="n"/>
      <c r="O5" s="11" t="n"/>
      <c r="P5" s="11" t="n"/>
      <c r="Q5" s="11" t="n"/>
      <c r="R5" s="24" t="inlineStr">
        <is>
          <t>Confirmed. Final protocol body lists de novo cancer as a Tertiary outcome, and the change summary says it was separated from secondary and safety outcomes (2012); the synopsis still says 'adverse event, not as an outcome' (stale carry-over). The article reports it under Safety Outcomes (Table 3, per protocol) with no tertiary-outcome analysis.</t>
        </is>
      </c>
    </row>
    <row r="6" ht="92" customFormat="1" customHeight="1" s="14">
      <c r="A6" s="12" t="inlineStr">
        <is>
          <t>2019::jama.2019.2210::C005</t>
        </is>
      </c>
      <c r="B6" s="12" t="inlineStr">
        <is>
          <t>One final-protocol high-25(OH)D stratum label omits the boundary operator</t>
        </is>
      </c>
      <c r="C6" s="12" t="inlineStr">
        <is>
          <t>Supplement 1 — PDF p. 23 and p. 31; main article — PDF p. 3.</t>
        </is>
      </c>
      <c r="D6" s="23" t="inlineStr">
        <is>
          <t>retain</t>
        </is>
      </c>
      <c r="E6" s="23" t="inlineStr">
        <is>
          <t>plan_material</t>
        </is>
      </c>
      <c r="F6" s="23" t="inlineStr">
        <is>
          <t>primary_done</t>
        </is>
      </c>
      <c r="G6" s="12">
        <f>IFERROR(IF(OR(NOT(EXACT(Setup!$B$4,"R_B")),Setup!$B$5&lt;&gt;2019),"CHECK SETUP",IF(OR(LEN(TRIM(CLEAN(SUBSTITUTE(Setup!$B$2,CHAR(160)," "))))=0,Setup!$B$2&lt;&gt;TRIM(CLEAN(SUBSTITUTE(Setup!$B$2,CHAR(160)," ")))),"CHECK REVIEWER ID",IF(OR(A6="",COUNTIF($A$2:$A$10,A6)&lt;&gt;1,LEFT(A6,LEN("2019::jama.2019.2210::"))&lt;&gt;"2019::jama.2019.2210::"),"CHECK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Final protocol p.23 defines low (&lt;20), middle (&gt;=20 to &lt;=40) and high '(40 ng/mL)' 25(OH)D with no operator; p.31 gives high as &gt;40 ng/mL, as does the article. The missing operator is a typographic omission; since middle already includes 40, the only coherent reading of 'high' is &gt;40.</t>
        </is>
      </c>
    </row>
    <row r="7" ht="92" customFormat="1" customHeight="1" s="14">
      <c r="A7" s="11" t="inlineStr">
        <is>
          <t>2019::jama.2019.2210::C006</t>
        </is>
      </c>
      <c r="B7" s="11" t="inlineStr">
        <is>
          <t>Supplement labels Cdx2 genotype panels as CDK2</t>
        </is>
      </c>
      <c r="C7" s="11" t="inlineStr">
        <is>
          <t>main article — PDF p. 5; Supplement 1 — PDF p. 27; Supplement 2 — PDF p. 13, p. 14, and p. 15.</t>
        </is>
      </c>
      <c r="D7" s="23" t="inlineStr">
        <is>
          <t>retain</t>
        </is>
      </c>
      <c r="E7" s="23" t="inlineStr">
        <is>
          <t>report_internal_inconsistency</t>
        </is>
      </c>
      <c r="F7" s="23" t="inlineStr">
        <is>
          <t>primary_done</t>
        </is>
      </c>
      <c r="G7" s="11">
        <f>IFERROR(IF(OR(NOT(EXACT(Setup!$B$4,"R_B")),Setup!$B$5&lt;&gt;2019),"CHECK SETUP",IF(OR(LEN(TRIM(CLEAN(SUBSTITUTE(Setup!$B$2,CHAR(160)," "))))=0,Setup!$B$2&lt;&gt;TRIM(CLEAN(SUBSTITUTE(Setup!$B$2,CHAR(160)," ")))),"CHECK REVIEWER ID",IF(OR(A7="",COUNTIF($A$2:$A$10,A7)&lt;&gt;1,LEFT(A7,LEN("2019::jama.2019.2210::"))&lt;&gt;"2019::jama.2019.2210::"),"CHECK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Confirmed. Supplement 2 eFigures 3G-3I are titled 'CDK2 GG/GA/AA', but the article, protocol and primer appendix identify the VDR polymorphism Cdx2/CDX2 (rs11568820), and the time-zero at-risk counts match Table 1's Cdx2 rows (e.g., GG 89 vitamin D / 49 placebo). CDK2 is a different gene; this is a label typo with the intended SNP clear from context.</t>
        </is>
      </c>
    </row>
    <row r="8" ht="92" customFormat="1" customHeight="1" s="14">
      <c r="A8" s="12" t="inlineStr">
        <is>
          <t>2019::jama.2019.2210::C007</t>
        </is>
      </c>
      <c r="B8" s="12" t="inlineStr">
        <is>
          <t>Table 1 BMI categories use smaller, unlabelled denominators than the arm headers</t>
        </is>
      </c>
      <c r="C8" s="12" t="inlineStr">
        <is>
          <t>main article — PDF p. 5; Supplement 2 — PDF p. 32 and p. 33.</t>
        </is>
      </c>
      <c r="D8" s="23" t="inlineStr">
        <is>
          <t>retain</t>
        </is>
      </c>
      <c r="E8" s="23" t="inlineStr">
        <is>
          <t>statistical_results</t>
        </is>
      </c>
      <c r="F8" s="23" t="inlineStr">
        <is>
          <t>primary_done</t>
        </is>
      </c>
      <c r="G8" s="12">
        <f>IFERROR(IF(OR(NOT(EXACT(Setup!$B$4,"R_B")),Setup!$B$5&lt;&gt;2019),"CHECK SETUP",IF(OR(LEN(TRIM(CLEAN(SUBSTITUTE(Setup!$B$2,CHAR(160)," "))))=0,Setup!$B$2&lt;&gt;TRIM(CLEAN(SUBSTITUTE(Setup!$B$2,CHAR(160)," ")))),"CHECK REVIEWER ID",IF(OR(A8="",COUNTIF($A$2:$A$10,A8)&lt;&gt;1,LEFT(A8,LEN("2019::jama.2019.2210::"))&lt;&gt;"2019::jama.2019.2210::"),"CHECK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minor_presentation</t>
        </is>
      </c>
      <c r="J8" s="24" t="inlineStr">
        <is>
          <t>unlikely</t>
        </is>
      </c>
      <c r="K8" s="23">
        <f>IF(AND(OR(D8="retain",D8=""),OR(E8="report_internal_inconsistency",E8="plan_material")),"","not_applicable")</f>
        <v/>
      </c>
      <c r="L8" s="24">
        <f>IF(AND(OR(D8="retain",D8=""),E8="protocol_report"),"","not_applicable")</f>
        <v/>
      </c>
      <c r="M8" s="11" t="n"/>
      <c r="N8" s="11" t="n"/>
      <c r="O8" s="11" t="n"/>
      <c r="P8" s="11" t="n"/>
      <c r="Q8" s="11" t="n"/>
      <c r="R8" s="24" t="inlineStr">
        <is>
          <t>Confirmed. Table 1 BMI quartile counts total 249 (vitamin D) and 165 (placebo) under headers 251/166; 2 and 1 participants are unaccounted for with no missing-data note. Supplement 2 BMI subgroups repeat 249/165. Percentages round identically with either denominator. Same unlabeled-denominator pattern as C001 but smaller.</t>
        </is>
      </c>
    </row>
    <row r="9" ht="92" customFormat="1" customHeight="1" s="14">
      <c r="A9" s="11"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inlineStr">
        <is>
          <t>exclude</t>
        </is>
      </c>
      <c r="E9" s="23" t="inlineStr">
        <is>
          <t>protocol_report</t>
        </is>
      </c>
      <c r="F9" s="23" t="inlineStr">
        <is>
          <t>primary_done</t>
        </is>
      </c>
      <c r="G9" s="11">
        <f>IFERROR(IF(OR(NOT(EXACT(Setup!$B$4,"R_B")),Setup!$B$5&lt;&gt;2019),"CHECK SETUP",IF(OR(LEN(TRIM(CLEAN(SUBSTITUTE(Setup!$B$2,CHAR(160)," "))))=0,Setup!$B$2&lt;&gt;TRIM(CLEAN(SUBSTITUTE(Setup!$B$2,CHAR(160)," ")))),"CHECK REVIEWER ID",IF(OR(A9="",COUNTIF($A$2:$A$10,A9)&lt;&gt;1,LEFT(A9,LEN("2019::jama.2019.2210::"))&lt;&gt;"2019::jama.2019.2210::"),"CHECK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inlineStr">
        <is>
          <t>Exclude. The protocol times RFS/OS from starting supplementation; the article times them from randomization 'ie, time from starting the study medication' and states patients were randomized at the first postoperative outpatient visit and took study medication from that day. The article explicitly equates the two origins; no actual difference in time origin is shown.</t>
        </is>
      </c>
    </row>
    <row r="10" ht="92" customFormat="1" customHeight="1" s="14">
      <c r="A10" s="12" t="inlineStr">
        <is>
          <t>2019::jama.2019.2210::C009</t>
        </is>
      </c>
      <c r="B10" s="12" t="inlineStr">
        <is>
          <t>Table 2 hazard-ratio direction footnote is opposite the displayed outcome direction</t>
        </is>
      </c>
      <c r="C10" s="12" t="inlineStr">
        <is>
          <t>main article — PDF p. 4, p. 6, and p. 7.</t>
        </is>
      </c>
      <c r="D10" s="23" t="inlineStr">
        <is>
          <t>retain</t>
        </is>
      </c>
      <c r="E10" s="23" t="inlineStr">
        <is>
          <t>report_internal_inconsistency</t>
        </is>
      </c>
      <c r="F10" s="23" t="inlineStr">
        <is>
          <t>primary_done</t>
        </is>
      </c>
      <c r="G10" s="12">
        <f>IFERROR(IF(OR(NOT(EXACT(Setup!$B$4,"R_B")),Setup!$B$5&lt;&gt;2019),"CHECK SETUP",IF(OR(LEN(TRIM(CLEAN(SUBSTITUTE(Setup!$B$2,CHAR(160)," "))))=0,Setup!$B$2&lt;&gt;TRIM(CLEAN(SUBSTITUTE(Setup!$B$2,CHAR(160)," ")))),"CHECK REVIEWER ID",IF(OR(A10="",COUNTIF($A$2:$A$10,A10)&lt;&gt;1,LEFT(A10,LEN("2019::jama.2019.2210::"))&lt;&gt;"2019::jama.2019.2210::"),"CHECK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Confirmed. Table 2 footnote: 'HR values greater than 1 indicate that vitamin D ... was associated with a decreased probability of the outcome.' Elsewhere HR&lt;1 means fewer events with vitamin D (relapse 41/251 vs 36/166, HR 0.75; middle-subgroup HR 0.44 described as lower with vitamin D). The footnote reverses the direction of the main subgroup results.</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Format="1" customHeight="1" s="14">
      <c r="A2" s="12"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ID",IF(OR(A2="",COUNTIF($A$2:$A$6,A2)&lt;&gt;1,LEFT(A2,LEN("2019::jama.2019.4755::"))&lt;&gt;"2019::jama.2019.4755::"),"CHECK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possible</t>
        </is>
      </c>
      <c r="K2" s="23">
        <f>IF(AND(OR(D2="retain",D2=""),OR(E2="report_internal_inconsistency",E2="plan_material")),"","not_applicable")</f>
        <v/>
      </c>
      <c r="L2" s="24">
        <f>IF(AND(OR(D2="retain",D2=""),E2="protocol_report"),"","not_applicable")</f>
        <v/>
      </c>
      <c r="M2" s="11" t="n"/>
      <c r="N2" s="11" t="n"/>
      <c r="O2" s="11" t="n"/>
      <c r="P2" s="11" t="n"/>
      <c r="Q2" s="11" t="n"/>
      <c r="R2" s="24" t="inlineStr">
        <is>
          <t>Confirmed. eTable 5, women, quantitative FIT 10.2: the PPV-difference point estimate shows only '-' with CI [-34.7, -1.3]. From eTable 4, aspirin 11/(11+58)=15.9% and placebo 14/(14+27)=34.1%, difference -18.2 pp. All three missing women's values are two-digit negatives, which suggests clipping in a narrow column. Recoverable from the arm PPVs.</t>
        </is>
      </c>
    </row>
    <row r="3" ht="190" customFormat="1" customHeight="1" s="14">
      <c r="A3" s="11"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ID",IF(OR(A3="",COUNTIF($A$2:$A$6,A3)&lt;&gt;1,LEFT(A3,LEN("2019::jama.2019.4755::"))&lt;&gt;"2019::jama.2019.4755::"),"CHECK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minor_presentation</t>
        </is>
      </c>
      <c r="J3" s="24" t="inlineStr">
        <is>
          <t>possible</t>
        </is>
      </c>
      <c r="K3" s="23">
        <f>IF(AND(OR(D3="retain",D3=""),OR(E3="report_internal_inconsistency",E3="plan_material")),"","not_applicable")</f>
        <v/>
      </c>
      <c r="L3" s="24">
        <f>IF(AND(OR(D3="retain",D3=""),E3="protocol_report"),"","not_applicable")</f>
        <v/>
      </c>
      <c r="M3" s="11" t="n"/>
      <c r="N3" s="11" t="n"/>
      <c r="O3" s="11" t="n"/>
      <c r="P3" s="11" t="n"/>
      <c r="Q3" s="11" t="n"/>
      <c r="R3" s="24" t="inlineStr">
        <is>
          <t>Confirmed. eTable 5, women, quantitative FIT 17.0: the PPV-difference point estimate shows only '-' with CI [-48.4, -0.7]. From eTable 4, aspirin 6/35 = 17.1% and placebo 9/21 = 42.9%; difference -25.7 pp (count-based; -25.8 from the rounded PPVs). Same apparent clipping defect as C001; recoverable from the arm values.</t>
        </is>
      </c>
    </row>
    <row r="4" ht="176" customFormat="1" customHeight="1" s="14">
      <c r="A4" s="12"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inlineStr">
        <is>
          <t>retain</t>
        </is>
      </c>
      <c r="E4" s="23" t="inlineStr">
        <is>
          <t>statistical_results</t>
        </is>
      </c>
      <c r="F4" s="23" t="inlineStr">
        <is>
          <t>primary_done</t>
        </is>
      </c>
      <c r="G4" s="12">
        <f>IFERROR(IF(OR(NOT(EXACT(Setup!$B$4,"R_B")),Setup!$B$5&lt;&gt;2019),"CHECK SETUP",IF(OR(LEN(TRIM(CLEAN(SUBSTITUTE(Setup!$B$2,CHAR(160)," "))))=0,Setup!$B$2&lt;&gt;TRIM(CLEAN(SUBSTITUTE(Setup!$B$2,CHAR(160)," ")))),"CHECK REVIEWER ID",IF(OR(A4="",COUNTIF($A$2:$A$6,A4)&lt;&gt;1,LEFT(A4,LEN("2019::jama.2019.4755::"))&lt;&gt;"2019::jama.2019.4755::"),"CHECK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minor_presentation</t>
        </is>
      </c>
      <c r="J4" s="24" t="inlineStr">
        <is>
          <t>possible</t>
        </is>
      </c>
      <c r="K4" s="23">
        <f>IF(AND(OR(D4="retain",D4=""),OR(E4="report_internal_inconsistency",E4="plan_material")),"","not_applicable")</f>
        <v/>
      </c>
      <c r="L4" s="24">
        <f>IF(AND(OR(D4="retain",D4=""),E4="protocol_report"),"","not_applicable")</f>
        <v/>
      </c>
      <c r="M4" s="11" t="n"/>
      <c r="N4" s="11" t="n"/>
      <c r="O4" s="11" t="n"/>
      <c r="P4" s="11" t="n"/>
      <c r="Q4" s="11" t="n"/>
      <c r="R4" s="24" t="inlineStr">
        <is>
          <t>Confirmed. eTable 5, women, qualitative FIT 10.2: the PPV-difference point estimate shows only '-' with CI [-38.9, -3.9]. From eTable 4, aspirin 6/62 = 9.7% and placebo 10/32 = 31.25% (printed 31.2); difference -21.6 pp. Same clipping pattern as C001/C002; recoverable from the arm PPVs.</t>
        </is>
      </c>
    </row>
    <row r="5" ht="204" customFormat="1" customHeight="1" s="14">
      <c r="A5" s="11"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ID",IF(OR(A5="",COUNTIF($A$2:$A$6,A5)&lt;&gt;1,LEFT(A5,LEN("2019::jama.2019.4755::"))&lt;&gt;"2019::jama.2019.4755::"),"CHECK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The eTable 5 column header shows 'Cutoff [µg' with the remainder of the unit ('Hb/g]') not rendered, whereas eTable 4 on the previous page and the main tables print 'Cutoff [µg Hb/g]'. A truncated unit label; the values 10.2 and 17.0 match the µg Hb/g cutoffs used throughout.</t>
        </is>
      </c>
    </row>
    <row r="6" ht="176" customFormat="1" customHeight="1" s="14">
      <c r="A6" s="12"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inlineStr">
        <is>
          <t>retain</t>
        </is>
      </c>
      <c r="E6" s="23" t="inlineStr">
        <is>
          <t>plan_material</t>
        </is>
      </c>
      <c r="F6" s="23" t="inlineStr">
        <is>
          <t>primary_done</t>
        </is>
      </c>
      <c r="G6" s="12">
        <f>IFERROR(IF(OR(NOT(EXACT(Setup!$B$4,"R_B")),Setup!$B$5&lt;&gt;2019),"CHECK SETUP",IF(OR(LEN(TRIM(CLEAN(SUBSTITUTE(Setup!$B$2,CHAR(160)," "))))=0,Setup!$B$2&lt;&gt;TRIM(CLEAN(SUBSTITUTE(Setup!$B$2,CHAR(160)," ")))),"CHECK REVIEWER ID",IF(OR(A6="",COUNTIF($A$2:$A$6,A6)&lt;&gt;1,LEFT(A6,LEN("2019::jama.2019.4755::"))&lt;&gt;"2019::jama.2019.4755::"),"CHECK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Confirmed but trivial. SAP section 3 (p.6) defines positivity at '17 μg Hb/g feces and 10.2 Hb/g feces', omitting μg for the lower cutoff; section 5.4 (p.8) gives '10.2 μg Hb/g feces'. A dropped unit prefix in a coordinated phrase; the intended unit is clear.</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2019::jama.2019.7505::C001</t>
        </is>
      </c>
      <c r="B2" s="12" t="inlineStr">
        <is>
          <t>Hypoxemia confidence-interval endpoint sign differs between abstract and Table 3</t>
        </is>
      </c>
      <c r="C2" s="12" t="inlineStr">
        <is>
          <t>DOC-001, jama_bluth_2019_oi_190055_16092.pdf — PDF p. 1, abstract and PDF p. 9, Table 3.</t>
        </is>
      </c>
      <c r="D2" s="23" t="inlineStr">
        <is>
          <t>retain</t>
        </is>
      </c>
      <c r="E2" s="23" t="inlineStr">
        <is>
          <t>statistical_results</t>
        </is>
      </c>
      <c r="F2" s="23" t="inlineStr">
        <is>
          <t>primary_done</t>
        </is>
      </c>
      <c r="G2" s="12">
        <f>IFERROR(IF(OR(NOT(EXACT(Setup!$B$4,"R_B")),Setup!$B$5&lt;&gt;2019),"CHECK SETUP",IF(OR(LEN(TRIM(CLEAN(SUBSTITUTE(Setup!$B$2,CHAR(160)," "))))=0,Setup!$B$2&lt;&gt;TRIM(CLEAN(SUBSTITUTE(Setup!$B$2,CHAR(160)," ")))),"CHECK REVIEWER ID",IF(OR(A2="",COUNTIF($A$2:$A$5,A2)&lt;&gt;1,LEFT(A2,LEN("2019::jama.2019.7505::"))&lt;&gt;"2019::jama.2019.7505::"),"CHECK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t="inlineStr">
        <is>
          <t>direct</t>
        </is>
      </c>
      <c r="K2" s="23">
        <f>IF(AND(OR(D2="retain",D2=""),OR(E2="report_internal_inconsistency",E2="plan_material")),"","not_applicable")</f>
        <v/>
      </c>
      <c r="L2" s="24">
        <f>IF(AND(OR(D2="retain",D2=""),E2="protocol_report"),"","not_applicable")</f>
        <v/>
      </c>
      <c r="M2" s="11" t="n"/>
      <c r="N2" s="11" t="n"/>
      <c r="O2" s="11" t="n"/>
      <c r="P2" s="11" t="n"/>
      <c r="Q2" s="11" t="n"/>
      <c r="R2" s="24" t="inlineStr">
        <is>
          <t>Confirmed. Hypoxemia, 49/989 (5.0%) vs 134/987 (13.6%): the abstract prints difference -8.6% (95% CI -11.1% to 6.1%), P&lt;.001; Table 3 prints -8.6 (-11.1 to -6.1). Recomputed Wald CI: -11.15 to -6.09, so Table 3 is right and the abstract dropped a minus sign. As printed, the abstract CI crosses 0 and contradicts its own P&lt;.001.</t>
        </is>
      </c>
    </row>
    <row r="3" ht="120" customFormat="1" customHeight="1" s="14">
      <c r="A3" s="11"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inlineStr">
        <is>
          <t>retain</t>
        </is>
      </c>
      <c r="E3" s="23" t="inlineStr">
        <is>
          <t>statistical_results</t>
        </is>
      </c>
      <c r="F3" s="23" t="inlineStr">
        <is>
          <t>primary_done</t>
        </is>
      </c>
      <c r="G3" s="11">
        <f>IFERROR(IF(OR(NOT(EXACT(Setup!$B$4,"R_B")),Setup!$B$5&lt;&gt;2019),"CHECK SETUP",IF(OR(LEN(TRIM(CLEAN(SUBSTITUTE(Setup!$B$2,CHAR(160)," "))))=0,Setup!$B$2&lt;&gt;TRIM(CLEAN(SUBSTITUTE(Setup!$B$2,CHAR(160)," ")))),"CHECK REVIEWER ID",IF(OR(A3="",COUNTIF($A$2:$A$5,A3)&lt;&gt;1,LEFT(A3,LEN("2019::jama.2019.7505::"))&lt;&gt;"2019::jama.2019.7505::"),"CHECK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t="inlineStr">
        <is>
          <t>possible</t>
        </is>
      </c>
      <c r="K3" s="23">
        <f>IF(AND(OR(D3="retain",D3=""),OR(E3="report_internal_inconsistency",E3="plan_material")),"","not_applicable")</f>
        <v/>
      </c>
      <c r="L3" s="24">
        <f>IF(AND(OR(D3="retain",D3=""),E3="protocol_report"),"","not_applicable")</f>
        <v/>
      </c>
      <c r="M3" s="11" t="n"/>
      <c r="N3" s="11" t="n"/>
      <c r="O3" s="11" t="n"/>
      <c r="P3" s="11" t="n"/>
      <c r="Q3" s="11" t="n"/>
      <c r="R3" s="24" t="inlineStr">
        <is>
          <t>Confirmed. DIC: 1/989 vs 0/987 with RR 2.00 (95% CI 1.91-2.09) and P&gt;.99. A ratio with zero comparator events is undefined; zero-cell corrections give about 3.0 with a CI spanning about 0.12-73. The printed CI excludes 1 and implies a precise doubling, contradicting P&gt;.99 (Fisher P=1.0). 2.00 equals p_high/mean(p_high,p_low) exactly; other Table 3 RRs also differ from crude risk ratios.</t>
        </is>
      </c>
    </row>
    <row r="4" ht="162" customFormat="1" customHeight="1" s="14">
      <c r="A4" s="12"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inlineStr">
        <is>
          <t>retain</t>
        </is>
      </c>
      <c r="E4" s="23" t="inlineStr">
        <is>
          <t>plan_material</t>
        </is>
      </c>
      <c r="F4" s="23" t="inlineStr">
        <is>
          <t>primary_done</t>
        </is>
      </c>
      <c r="G4" s="12">
        <f>IFERROR(IF(OR(NOT(EXACT(Setup!$B$4,"R_B")),Setup!$B$5&lt;&gt;2019),"CHECK SETUP",IF(OR(LEN(TRIM(CLEAN(SUBSTITUTE(Setup!$B$2,CHAR(160)," "))))=0,Setup!$B$2&lt;&gt;TRIM(CLEAN(SUBSTITUTE(Setup!$B$2,CHAR(160)," ")))),"CHECK REVIEWER ID",IF(OR(A4="",COUNTIF($A$2:$A$5,A4)&lt;&gt;1,LEFT(A4,LEN("2019::jama.2019.7505::"))&lt;&gt;"2019::jama.2019.7505::"),"CHECK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Confirmed. Protocol v2.6 section 8.2: PPC rates 'will be compared ... and the odds ratio relative risks with corresponding 95% confidence levels interval will be calculated using logistic regression', an unresolved edit. The updated SAP (finalized 20 Jan 2018, before database lock) specifies risk ratios with Wald/chi-square for the primary outcome and ORs only for named exploratory analyses.</t>
        </is>
      </c>
    </row>
    <row r="5" ht="134" customFormat="1" customHeight="1" s="14">
      <c r="A5" s="11"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inlineStr">
        <is>
          <t>retain</t>
        </is>
      </c>
      <c r="E5" s="23" t="inlineStr">
        <is>
          <t>report_internal_inconsistency</t>
        </is>
      </c>
      <c r="F5" s="23" t="inlineStr">
        <is>
          <t>primary_done</t>
        </is>
      </c>
      <c r="G5" s="11">
        <f>IFERROR(IF(OR(NOT(EXACT(Setup!$B$4,"R_B")),Setup!$B$5&lt;&gt;2019),"CHECK SETUP",IF(OR(LEN(TRIM(CLEAN(SUBSTITUTE(Setup!$B$2,CHAR(160)," "))))=0,Setup!$B$2&lt;&gt;TRIM(CLEAN(SUBSTITUTE(Setup!$B$2,CHAR(160)," ")))),"CHECK REVIEWER ID",IF(OR(A5="",COUNTIF($A$2:$A$5,A5)&lt;&gt;1,LEFT(A5,LEN("2019::jama.2019.7505::"))&lt;&gt;"2019::jama.2019.7505::"),"CHECK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Confirmed. eFigure 11 is titled 'Probability of death in the first 5 postoperative days' and reports 0.5% vs 0.3%, HR for 5-day mortality 1.67 (0.40-6.97), but its narrative calls these 'the rate of postoperative extra-pulmonary complications', text copied from eFigure 10 (16.9% vs 15.2%). Table 3 mortality at 5 days is 5 (0.5) vs 3 (0.3). Copied label; meaning clear from title and HR label.</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Protection</t>
        </is>
      </c>
      <c r="B59" s="17" t="inlineStr">
        <is>
          <t>GUIDE</t>
        </is>
      </c>
      <c r="C59" s="17" t="inlineStr">
        <is>
          <t>All cells</t>
        </is>
      </c>
      <c r="D59" s="17" t="inlineStr">
        <is>
          <t>Protected ranges: none. Every style and cell, including unused cells, is explicitly unlocked. Preserve reference and calculation cells; undo accidental edits or use backups.</t>
        </is>
      </c>
      <c r="E59" s="17" t="n"/>
    </row>
    <row r="60" customFormat="1" s="14"/>
    <row r="61" customFormat="1" s="1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R_B v.2.3.1</dc:title>
  <dc:description>xlsx-adjudication-independent-primary-2.3.1</dc:description>
  <dc:subject>Blank independent primary assessment template</dc:subject>
  <dcterms:created xsi:type="dcterms:W3CDTF">2026-10-10T17:56:13Z</dcterms:created>
  <dcterms:modified xsi:type="dcterms:W3CDTF">2026-10-10T23:23:55Z</dcterms:modified>
</cp:coreProperties>
</file>