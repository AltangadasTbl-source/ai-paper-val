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9.10517" sheetId="4" state="visible" r:id="rId4"/>
    <sheet name="C_jama.2019.12618" sheetId="5" state="visible" r:id="rId5"/>
    <sheet name="C_jama.2019.14231" sheetId="6" state="visible" r:id="rId6"/>
    <sheet name="C_jama.2019.14630" sheetId="7" state="visible" r:id="rId7"/>
    <sheet name="C_jama.2019.14901" sheetId="8" state="visible" r:id="rId8"/>
    <sheet name="C_jama.2019.17380" sheetId="9" state="visible" r:id="rId9"/>
    <sheet name="C_jama.2019.2210" sheetId="10" state="visible" r:id="rId10"/>
    <sheet name="C_jama.2019.4755" sheetId="11" state="visible" r:id="rId11"/>
    <sheet name="C_jama.2019.7505" sheetId="12" state="visible" r:id="rId12"/>
    <sheet name="Codebook" sheetId="13" state="visible" r:id="rId13"/>
  </sheets>
  <definedNames>
    <definedName name="_xlnm._FilterDatabase" localSheetId="3" hidden="1">'C_jama.2019.10517'!$A$1:$R$4</definedName>
    <definedName name="_xlnm._FilterDatabase" localSheetId="4" hidden="1">'C_jama.2019.12618'!$A$1:$R$9</definedName>
    <definedName name="_xlnm._FilterDatabase" localSheetId="5" hidden="1">'C_jama.2019.14231'!$A$1:$R$12</definedName>
    <definedName name="_xlnm._FilterDatabase" localSheetId="6" hidden="1">'C_jama.2019.14630'!$A$1:$R$10</definedName>
    <definedName name="_xlnm._FilterDatabase" localSheetId="7" hidden="1">'C_jama.2019.14901'!$A$1:$R$7</definedName>
    <definedName name="_xlnm._FilterDatabase" localSheetId="8" hidden="1">'C_jama.2019.17380'!$A$1:$R$8</definedName>
    <definedName name="_xlnm._FilterDatabase" localSheetId="9" hidden="1">'C_jama.2019.2210'!$A$1:$R$10</definedName>
    <definedName name="_xlnm._FilterDatabase" localSheetId="10" hidden="1">'C_jama.2019.4755'!$A$1:$R$6</definedName>
    <definedName name="_xlnm._FilterDatabase" localSheetId="11" hidden="1">'C_jama.2019.7505'!$A$1:$R$5</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sheetPr>
  <dimension ref="A1:B7"/>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AI-sim-ClaudeOpus5.5-2019-R_A</t>
        </is>
      </c>
    </row>
    <row r="3" ht="45" customFormat="1" customHeight="1" s="14">
      <c r="A3" s="17" t="inlineStr">
        <is>
          <t>Reviewer name (optional)</t>
        </is>
      </c>
      <c r="B3" s="18" t="inlineStr">
        <is>
          <t>AI-simulated reviewer (Claude Opus 5.5 agent), not a human adjudicator</t>
        </is>
      </c>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0"/>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Setup!$B$4</f>
        <v/>
      </c>
    </row>
    <row r="3" ht="53" customFormat="1" customHeight="1" s="14">
      <c r="A3" s="17" t="inlineStr">
        <is>
          <t>Total candidates</t>
        </is>
      </c>
      <c r="B3" s="17" t="n">
        <v>62</v>
      </c>
    </row>
    <row r="4" ht="53" customFormat="1" customHeight="1" s="14">
      <c r="A4" s="16" t="inlineStr">
        <is>
          <t>Primary ready</t>
        </is>
      </c>
      <c r="B4" s="16">
        <f>COUNTIF('C_jama.2019.10517'!$G$2:$G$4,"PRIMARY READY")+COUNTIF('C_jama.2019.12618'!$G$2:$G$9,"PRIMARY READY")+COUNTIF('C_jama.2019.14231'!$G$2:$G$12,"PRIMARY READY")+COUNTIF('C_jama.2019.14630'!$G$2:$G$10,"PRIMARY READY")+COUNTIF('C_jama.2019.14901'!$G$2:$G$7,"PRIMARY READY")+COUNTIF('C_jama.2019.17380'!$G$2:$G$8,"PRIMARY READY")+COUNTIF('C_jama.2019.2210'!$G$2:$G$10,"PRIMARY READY")+COUNTIF('C_jama.2019.4755'!$G$2:$G$6,"PRIMARY READY")+COUNTIF('C_jama.2019.7505'!$G$2:$G$5,"PRIMARY READY")</f>
        <v/>
      </c>
    </row>
    <row r="5" ht="53" customFormat="1" customHeight="1" s="14">
      <c r="A5" s="17" t="inlineStr">
        <is>
          <t>Unfinished</t>
        </is>
      </c>
      <c r="B5" s="17">
        <f>B3-B4</f>
        <v/>
      </c>
    </row>
    <row r="6" ht="53" customFormat="1" customHeight="1" s="14">
      <c r="A6" s="16" t="inlineStr">
        <is>
          <t>Discuss / unresolved</t>
        </is>
      </c>
      <c r="B6" s="19">
        <f>COUNTIF('C_jama.2019.10517'!$D$2:$D$4,"discuss")+COUNTIF('C_jama.2019.12618'!$D$2:$D$9,"discuss")+COUNTIF('C_jama.2019.14231'!$D$2:$D$12,"discuss")+COUNTIF('C_jama.2019.14630'!$D$2:$D$10,"discuss")+COUNTIF('C_jama.2019.14901'!$D$2:$D$7,"discuss")+COUNTIF('C_jama.2019.17380'!$D$2:$D$8,"discuss")+COUNTIF('C_jama.2019.2210'!$D$2:$D$10,"discuss")+COUNTIF('C_jama.2019.4755'!$D$2:$D$6,"discuss")+COUNTIF('C_jama.2019.7505'!$D$2:$D$5,"discuss")</f>
        <v/>
      </c>
    </row>
    <row r="7" ht="53" customFormat="1" customHeight="1" s="14">
      <c r="A7" s="17" t="inlineStr">
        <is>
          <t>Workflow status</t>
        </is>
      </c>
      <c r="B7" s="17">
        <f>IF(B4=B3,"PRIMARY READY","ACTION NEEDED")</f>
        <v/>
      </c>
    </row>
    <row r="8" ht="53" customFormat="1" customHeight="1" s="14">
      <c r="A8" s="16" t="inlineStr">
        <is>
          <t>Ready discuss rows</t>
        </is>
      </c>
      <c r="B8" s="16">
        <f>COUNTIFS('C_jama.2019.10517'!$G$2:$G$4,"PRIMARY READY",'C_jama.2019.10517'!$D$2:$D$4,"discuss")+COUNTIFS('C_jama.2019.12618'!$G$2:$G$9,"PRIMARY READY",'C_jama.2019.12618'!$D$2:$D$9,"discuss")+COUNTIFS('C_jama.2019.14231'!$G$2:$G$12,"PRIMARY READY",'C_jama.2019.14231'!$D$2:$D$12,"discuss")+COUNTIFS('C_jama.2019.14630'!$G$2:$G$10,"PRIMARY READY",'C_jama.2019.14630'!$D$2:$D$10,"discuss")+COUNTIFS('C_jama.2019.14901'!$G$2:$G$7,"PRIMARY READY",'C_jama.2019.14901'!$D$2:$D$7,"discuss")+COUNTIFS('C_jama.2019.17380'!$G$2:$G$8,"PRIMARY READY",'C_jama.2019.17380'!$D$2:$D$8,"discuss")+COUNTIFS('C_jama.2019.2210'!$G$2:$G$10,"PRIMARY READY",'C_jama.2019.2210'!$D$2:$D$10,"discuss")+COUNTIFS('C_jama.2019.4755'!$G$2:$G$6,"PRIMARY READY",'C_jama.2019.4755'!$D$2:$D$6,"discuss")+COUNTIFS('C_jama.2019.7505'!$G$2:$G$5,"PRIMARY READY",'C_jama.2019.7505'!$D$2:$D$5,"discuss")</f>
        <v/>
      </c>
    </row>
    <row r="9" ht="53" customFormat="1" customHeight="1" s="14">
      <c r="A9" s="16" t="inlineStr">
        <is>
          <t>Next action</t>
        </is>
      </c>
      <c r="B9" s="16">
        <f>IF(B7="PRIMARY READY",IF(B6&gt;0,"Save and deliver this independent review. Discuss rows remain unresolved.","Save and deliver this independent review."),"Inspect G on each C_ sheet, correct entries and manually confirm F.")</f>
        <v/>
      </c>
    </row>
    <row r="10" ht="76" customFormat="1" customHeight="1" s="14">
      <c r="A10" s="17" t="inlineStr">
        <is>
          <t>Scope</t>
        </is>
      </c>
      <c r="B10" s="17" t="inlineStr">
        <is>
          <t>Entry checks and independent completion only. Discuss is not a confirmed absence of error. Review the evidence; preserve ordinary Excel backups.</t>
        </is>
      </c>
    </row>
    <row r="11" ht="53" customFormat="1" customHeight="1" s="14"/>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0" tabSelected="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3</v>
      </c>
    </row>
    <row r="3" ht="36" customFormat="1" customHeight="1" s="14">
      <c r="A3" s="12" t="inlineStr">
        <is>
          <t>jama.2019.12618</t>
        </is>
      </c>
      <c r="B3" s="21" t="inlineStr">
        <is>
          <t>C_jama.2019.12618</t>
        </is>
      </c>
      <c r="C3" s="12" t="n">
        <v>8</v>
      </c>
    </row>
    <row r="4" ht="36" customFormat="1" customHeight="1" s="14">
      <c r="A4" s="11" t="inlineStr">
        <is>
          <t>jama.2019.14231</t>
        </is>
      </c>
      <c r="B4" s="20" t="inlineStr">
        <is>
          <t>C_jama.2019.14231</t>
        </is>
      </c>
      <c r="C4" s="11" t="n">
        <v>11</v>
      </c>
    </row>
    <row r="5" ht="36" customFormat="1" customHeight="1" s="14">
      <c r="A5" s="12" t="inlineStr">
        <is>
          <t>jama.2019.14630</t>
        </is>
      </c>
      <c r="B5" s="21" t="inlineStr">
        <is>
          <t>C_jama.2019.14630</t>
        </is>
      </c>
      <c r="C5" s="12" t="n">
        <v>9</v>
      </c>
    </row>
    <row r="6" ht="36" customFormat="1" customHeight="1" s="14">
      <c r="A6" s="11" t="inlineStr">
        <is>
          <t>jama.2019.14901</t>
        </is>
      </c>
      <c r="B6" s="20" t="inlineStr">
        <is>
          <t>C_jama.2019.14901</t>
        </is>
      </c>
      <c r="C6" s="11" t="n">
        <v>6</v>
      </c>
    </row>
    <row r="7" ht="36" customFormat="1" customHeight="1" s="14">
      <c r="A7" s="12" t="inlineStr">
        <is>
          <t>jama.2019.17380</t>
        </is>
      </c>
      <c r="B7" s="21" t="inlineStr">
        <is>
          <t>C_jama.2019.17380</t>
        </is>
      </c>
      <c r="C7" s="12" t="n">
        <v>7</v>
      </c>
    </row>
    <row r="8" ht="36" customFormat="1" customHeight="1" s="14">
      <c r="A8" s="11" t="inlineStr">
        <is>
          <t>jama.2019.2210</t>
        </is>
      </c>
      <c r="B8" s="20" t="inlineStr">
        <is>
          <t>C_jama.2019.2210</t>
        </is>
      </c>
      <c r="C8" s="11" t="n">
        <v>9</v>
      </c>
    </row>
    <row r="9" ht="36" customFormat="1" customHeight="1" s="14">
      <c r="A9" s="12" t="inlineStr">
        <is>
          <t>jama.2019.4755</t>
        </is>
      </c>
      <c r="B9" s="21" t="inlineStr">
        <is>
          <t>C_jama.2019.4755</t>
        </is>
      </c>
      <c r="C9" s="12" t="n">
        <v>5</v>
      </c>
    </row>
    <row r="10" ht="36" customFormat="1" customHeight="1" s="14">
      <c r="A10" s="11" t="inlineStr">
        <is>
          <t>jama.2019.7505</t>
        </is>
      </c>
      <c r="B10" s="20" t="inlineStr">
        <is>
          <t>C_jama.2019.7505</t>
        </is>
      </c>
      <c r="C10" s="11" t="n">
        <v>4</v>
      </c>
    </row>
    <row r="11" ht="36" customFormat="1"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R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ID",IF(OR(A2="",COUNTIF($A$2:$A$4,A2)&lt;&gt;1,LEFT(A2,LEN("2019::jama.2019.10517::"))&lt;&gt;"2019::jama.2019.10517::"),"CHECK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Table 5 total and LDL rows: (9/64 - 6/62) x 100 = 4.385, which rounds to 4.4, not the printed 4.3 (truncation would give 4.3). The CI (-8 to 17.2) also does not match Wald (-6.9 to 15.6) or Newcombe (-7.4 to 16.1) intervals, and the CI method for these rows is not stated. Small, does not change interpretation.</t>
        </is>
      </c>
    </row>
    <row r="3" ht="176" customFormat="1" customHeight="1" s="14">
      <c r="A3" s="11"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ID",IF(OR(A3="",COUNTIF($A$2:$A$4,A3)&lt;&gt;1,LEFT(A3,LEN("2019::jama.2019.10517::"))&lt;&gt;"2019::jama.2019.10517::"),"CHECK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Abstract and Results (p. 1, p. 7) give the HbA1c treatment x time coefficient as -0.0002 mg/dL; Table 4 and eFigure 8 report HbA1c in %. HbA1c is not measured in mg/dL, so the label is wrong (should be % per day). Meaning is recoverable from context; minor labeling error.</t>
        </is>
      </c>
    </row>
    <row r="4" ht="134" customFormat="1" customHeight="1" s="14">
      <c r="A4" s="12"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ID",IF(OR(A4="",COUNTIF($A$2:$A$4,A4)&lt;&gt;1,LEFT(A4,LEN("2019::jama.2019.10517::"))&lt;&gt;"2019::jama.2019.10517::"),"CHECK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Within the protocol/data-analytic plan: Sec 3.9.1 and Fig 1 give an acute-phase N of 392 (196 + 196), and the leadership table gives 98 per site, consistent with 4 x 98 = 392. Sec 4.2.1 says each of 4 sites recruits 82 (4 x 82 = 328). A real conflict, but an isolated one. The RCT target (176 = 4 x 44) is consistent throughout.</t>
        </is>
      </c>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2019::jama.2019.12618::C001</t>
        </is>
      </c>
      <c r="B2" s="12" t="inlineStr">
        <is>
          <t>protocol timeline end date</t>
        </is>
      </c>
      <c r="C2" s="12" t="inlineStr">
        <is>
          <t>joi190092supp2_prod.pdf — PDF p. 11, Table 1.</t>
        </is>
      </c>
      <c r="D2" s="23" t="inlineStr">
        <is>
          <t>retain</t>
        </is>
      </c>
      <c r="E2" s="23" t="inlineStr">
        <is>
          <t>plan_material</t>
        </is>
      </c>
      <c r="F2" s="23" t="inlineStr">
        <is>
          <t>primary_done</t>
        </is>
      </c>
      <c r="G2" s="12">
        <f>IFERROR(IF(OR(NOT(EXACT(Setup!$B$4,"R_A")),Setup!$B$5&lt;&gt;2019),"CHECK SETUP",IF(OR(LEN(TRIM(CLEAN(SUBSTITUTE(Setup!$B$2,CHAR(160)," "))))=0,Setup!$B$2&lt;&gt;TRIM(CLEAN(SUBSTITUTE(Setup!$B$2,CHAR(160)," ")))),"CHECK REVIEWER ID",IF(OR(A2="",COUNTIF($A$2:$A$9,A2)&lt;&gt;1,LEFT(A2,LEN("2019::jama.2019.12618::"))&lt;&gt;"2019::jama.2019.12618::"),"CHECK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Original MOP (Sept 2012) Table 1 timeline: enrollment Nov 2012-May 2015, 6-month follow-up through Dec 2015, but maximum 12-month follow-up 'through July 2015', before enrollment ends and before the 6-month phase ends (May 2015 + 13 mo is about June 2016). Internally impossible, almost certainly a year typo; operational timeline only.</t>
        </is>
      </c>
    </row>
    <row r="3" ht="120" customFormat="1" customHeight="1" s="14">
      <c r="A3" s="11"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ID",IF(OR(A3="",COUNTIF($A$2:$A$9,A3)&lt;&gt;1,LEFT(A3,LEN("2019::jama.2019.12618::"))&lt;&gt;"2019::jama.2019.12618::"),"CHECK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unlikely</t>
        </is>
      </c>
      <c r="K3" s="23">
        <f>IF(AND(OR(D3="retain",D3=""),OR(E3="report_internal_inconsistency",E3="plan_material")),"","not_applicable")</f>
        <v/>
      </c>
      <c r="L3" s="24">
        <f>IF(AND(OR(D3="retain",D3=""),E3="protocol_report"),"","not_applicable")</f>
        <v/>
      </c>
      <c r="M3" s="11" t="n"/>
      <c r="N3" s="11" t="n"/>
      <c r="O3" s="11" t="n"/>
      <c r="P3" s="11" t="n"/>
      <c r="Q3" s="11" t="n"/>
      <c r="R3" s="24" t="inlineStr">
        <is>
          <t>Text: '49 of the 68 eligible' failures switched, with 20/32 and 29/42. Failures were 32 + 42 = 74, and excluding the 3 + 2 safety failures (ineligible per Fig 1) gives 69, not 68. So 68 does not reconcile, and the arm percentages use all failures rather than eligible ones. The 12-month switched outcomes (20/29, 7/20) are unaffected.</t>
        </is>
      </c>
    </row>
    <row r="4" ht="134" customFormat="1" customHeight="1" s="14">
      <c r="A4" s="12"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inlineStr">
        <is>
          <t>exclude</t>
        </is>
      </c>
      <c r="E4" s="23" t="inlineStr">
        <is>
          <t>protocol_report</t>
        </is>
      </c>
      <c r="F4" s="23" t="inlineStr">
        <is>
          <t>primary_done</t>
        </is>
      </c>
      <c r="G4" s="12">
        <f>IFERROR(IF(OR(NOT(EXACT(Setup!$B$4,"R_A")),Setup!$B$5&lt;&gt;2019),"CHECK SETUP",IF(OR(LEN(TRIM(CLEAN(SUBSTITUTE(Setup!$B$2,CHAR(160)," "))))=0,Setup!$B$2&lt;&gt;TRIM(CLEAN(SUBSTITUTE(Setup!$B$2,CHAR(160)," ")))),"CHECK REVIEWER ID",IF(OR(A4="",COUNTIF($A$2:$A$9,A4)&lt;&gt;1,LEFT(A4,LEN("2019::jama.2019.12618::"))&lt;&gt;"2019::jama.2019.12618::"),"CHECK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inlineStr">
        <is>
          <t>The article says permuted blocks of 4 and 6. The original 2012 MOP said 4, 6 or 8 with equal probability, but both the original SAP (Jan 2013) and final SAP (Mar 2017) specify 4 (p = 2/3) and 6 (p = 1/3), and the final MOP v4.5 drops the block-size statement. The report matches the governing analysis plan, so I see no meaningful discrepancy.</t>
        </is>
      </c>
    </row>
    <row r="5" ht="134" customFormat="1" customHeight="1" s="14">
      <c r="A5" s="11"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ID",IF(OR(A5="",COUNTIF($A$2:$A$9,A5)&lt;&gt;1,LEFT(A5,LEN("2019::jama.2019.12618::"))&lt;&gt;"2019::jama.2019.12618::"),"CHECK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substantive_difference</t>
        </is>
      </c>
      <c r="M5" s="11" t="n"/>
      <c r="N5" s="11" t="n"/>
      <c r="O5" s="11" t="n"/>
      <c r="P5" s="11" t="n"/>
      <c r="Q5" s="11" t="n"/>
      <c r="R5" s="24" t="inlineStr">
        <is>
          <t>The final MOP v4.5 section 2.5.1 defines 6-month success as also requiring no periocular or intravitreal corticosteroid injection after the first 90 days. The article's 3-part definition omits this and calls such injections protocol deviations (4 per arm). How these 8 patients were classified in the primary analysis is not reported. The final SAP adds only a sensitivity rule.</t>
        </is>
      </c>
    </row>
    <row r="6" ht="92" customFormat="1" customHeight="1" s="14">
      <c r="A6" s="12" t="inlineStr">
        <is>
          <t>2019::jama.2019.12618::C005</t>
        </is>
      </c>
      <c r="B6" s="12" t="inlineStr">
        <is>
          <t>missed-dose Welch P=.87 compatibility</t>
        </is>
      </c>
      <c r="C6" s="12" t="inlineStr">
        <is>
          <t>jama_rathinam_2019_oi_190092.pdf — PDF p. 4; jama_rathinam_2019_oi_190092.pdf — PDF p. 6, Table 2.</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ID",IF(OR(A6="",COUNTIF($A$2:$A$9,A6)&lt;&gt;1,LEFT(A6,LEN("2019::jama.2019.12618::"))&lt;&gt;"2019::jama.2019.12618::"),"CHECK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Missed doses 4.6% (SD 1.0, n = 96) vs 4.3% (SD 0.5, n = 98), with P = .87 by Welch t test. A Welch test on these summaries gives t = 2.63, P = .009 (n = 107/108: P = .006). P = .87 would need an SE of about 1.8, roughly 16 times larger. Either the SDs or the P value is wrong, and the reader cannot tell which. The SDs look implausibly small.</t>
        </is>
      </c>
    </row>
    <row r="7" ht="148" customFormat="1" customHeight="1" s="14">
      <c r="A7" s="11"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ID",IF(OR(A7="",COUNTIF($A$2:$A$9,A7)&lt;&gt;1,LEFT(A7,LEN("2019::jama.2019.12618::"))&lt;&gt;"2019::jama.2019.12618::"),"CHECK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Main Table 3 heads the MMF column n = 109, but every MMF percentage reproduces with 108 and none uniquely with 109 (eg, 19/108 = 17.6 vs 19/109 = 17.4; 59/108 = 54.6). Supplement eTables use N = 108. Footnote b notes that one randomized patient never received MMF, so intent is recoverable, but the header misstates the denominator.</t>
        </is>
      </c>
    </row>
    <row r="8" ht="92" customFormat="1" customHeight="1" s="14">
      <c r="A8" s="12" t="inlineStr">
        <is>
          <t>2019::jama.2019.12618::C007</t>
        </is>
      </c>
      <c r="B8" s="12" t="inlineStr">
        <is>
          <t>eTable 9 MMF serious diarrhea 1 (3.4) vs N=20</t>
        </is>
      </c>
      <c r="C8" s="12" t="inlineStr">
        <is>
          <t>joi190092supp1_prod.pdf — PDF p. 15, eTable 9, MMF N=20, Serious Systemic diarrhea row.</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ID",IF(OR(A8="",COUNTIF($A$2:$A$9,A8)&lt;&gt;1,LEFT(A8,LEN("2019::jama.2019.12618::"))&lt;&gt;"2019::jama.2019.12618::"),"CHECK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eTable 9, MMF switch group (N = 20), serious systemic diarrhea is printed 1 (3.4), but 1/20 = 5.0%. 3.4% is 1/29, the methotrexate column denominator, so it was probably copied across. Other count-1 MMF cells in the same table show 5.0. Count is clear; percentage is wrong.</t>
        </is>
      </c>
    </row>
    <row r="9" ht="120" customFormat="1" customHeight="1" s="14">
      <c r="A9" s="11"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ID",IF(OR(A9="",COUNTIF($A$2:$A$9,A9)&lt;&gt;1,LEFT(A9,LEN("2019::jama.2019.12618::"))&lt;&gt;"2019::jama.2019.12618::"),"CHECK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eTable 1 defines serious ocular hypertension as 'surgery required' (&gt;=24 mm Hg is nonserious). eTable 8 labels its serious-ocular row 'Ocular hypertension &gt;24mm Hg', the same as its nonserious row, while eTable 9 uses 'Ocular hypertension, surgery required'. Most likely a copied label, but the event definition shown is wrong.</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12"/>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2019::jama.2019.14231::C001</t>
        </is>
      </c>
      <c r="B2" s="12" t="inlineStr">
        <is>
          <t>Protocol matching direction conflicts with the final matched cohort</t>
        </is>
      </c>
      <c r="C2" s="12" t="inlineStr">
        <is>
          <t>Main article — PDF p. 1, PDF p. 3, PDF p. 4; protocol — PDF p. 3.</t>
        </is>
      </c>
      <c r="D2" s="23" t="inlineStr">
        <is>
          <t>retain</t>
        </is>
      </c>
      <c r="E2" s="23" t="inlineStr">
        <is>
          <t>protocol_report</t>
        </is>
      </c>
      <c r="F2" s="23" t="inlineStr">
        <is>
          <t>primary_done</t>
        </is>
      </c>
      <c r="G2" s="12">
        <f>IFERROR(IF(OR(NOT(EXACT(Setup!$B$4,"R_A")),Setup!$B$5&lt;&gt;2019),"CHECK SETUP",IF(OR(LEN(TRIM(CLEAN(SUBSTITUTE(Setup!$B$2,CHAR(160)," "))))=0,Setup!$B$2&lt;&gt;TRIM(CLEAN(SUBSTITUTE(Setup!$B$2,CHAR(160)," ")))),"CHECK REVIEWER ID",IF(OR(A2="",COUNTIF($A$2:$A$12,A2)&lt;&gt;1,LEFT(A2,LEN("2019::jama.2019.14231::"))&lt;&gt;"2019::jama.2019.14231::"),"CHECK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t="inlineStr">
        <is>
          <t>minor_presentation</t>
        </is>
      </c>
      <c r="M2" s="11" t="n"/>
      <c r="N2" s="11" t="n"/>
      <c r="O2" s="11" t="n"/>
      <c r="P2" s="11" t="n"/>
      <c r="Q2" s="11" t="n"/>
      <c r="R2" s="24" t="inlineStr">
        <is>
          <t>The protocol (Jan 6, 2019) says 'Each non-surgical patient will be matched ... to five surgical patients'; the article matched each surgical patient to 5 nonsurgical controls (2287 x 5 = 11 435). The same protocol's sensitivity section samples index dates for nonsurgical patients and uses 1:5 matching, so the planned direction is clear. This is a wording inversion, not a design change.</t>
        </is>
      </c>
    </row>
    <row r="3" ht="92" customFormat="1" customHeight="1" s="14">
      <c r="A3" s="11" t="inlineStr">
        <is>
          <t>2019::jama.2019.14231::C002</t>
        </is>
      </c>
      <c r="B3" s="11" t="inlineStr">
        <is>
          <t>Heart-failure ARD does not reconcile with displayed 8-year incidences</t>
        </is>
      </c>
      <c r="C3" s="11" t="inlineStr">
        <is>
          <t>Main article — PDF p. 4, PDF p. 7; Supplement 1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ID",IF(OR(A3="",COUNTIF($A$2:$A$12,A3)&lt;&gt;1,LEFT(A3,LEN("2019::jama.2019.14231::"))&lt;&gt;"2019::jama.2019.14231::"),"CHECK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direct</t>
        </is>
      </c>
      <c r="K3" s="23">
        <f>IF(AND(OR(D3="retain",D3=""),OR(E3="report_internal_inconsistency",E3="plan_material")),"","not_applicable")</f>
        <v/>
      </c>
      <c r="L3" s="24">
        <f>IF(AND(OR(D3="retain",D3=""),E3="protocol_report"),"","not_applicable")</f>
        <v/>
      </c>
      <c r="M3" s="11" t="n"/>
      <c r="N3" s="11" t="n"/>
      <c r="O3" s="11" t="n"/>
      <c r="P3" s="11" t="n"/>
      <c r="Q3" s="11" t="n"/>
      <c r="R3" s="24" t="inlineStr">
        <is>
          <t>Table 2, heart failure: 8-year KM incidence 18.9% (control) - 6.8% (surgery) = 12.1, but the ARD is printed 12.9 (CI 10.4-15.1, centred on 12.9). The gap of 0.8 pp exceeds rounding (max about 0.1). The same pattern affects all 5 single nonfatal outcomes, while the composites and mortality reconcile exactly. This suggests a different (unstated) estimator, eg 1-KM vs competing-risk incidence.</t>
        </is>
      </c>
    </row>
    <row r="4" ht="92" customFormat="1" customHeight="1" s="14">
      <c r="A4" s="12" t="inlineStr">
        <is>
          <t>2019::jama.2019.14231::C003</t>
        </is>
      </c>
      <c r="B4" s="12" t="inlineStr">
        <is>
          <t>Coronary-disease ARD does not reconcile with displayed 8-year incidences</t>
        </is>
      </c>
      <c r="C4" s="12" t="inlineStr">
        <is>
          <t>Main article — PDF p. 4, PDF p. 7; Supplement 1 — PDF p. 7.</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ID",IF(OR(A4="",COUNTIF($A$2:$A$12,A4)&lt;&gt;1,LEFT(A4,LEN("2019::jama.2019.14231::"))&lt;&gt;"2019::jama.2019.14231::"),"CHECK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direct</t>
        </is>
      </c>
      <c r="K4" s="23">
        <f>IF(AND(OR(D4="retain",D4=""),OR(E4="report_internal_inconsistency",E4="plan_material")),"","not_applicable")</f>
        <v/>
      </c>
      <c r="L4" s="24">
        <f>IF(AND(OR(D4="retain",D4=""),E4="protocol_report"),"","not_applicable")</f>
        <v/>
      </c>
      <c r="M4" s="11" t="n"/>
      <c r="N4" s="11" t="n"/>
      <c r="O4" s="11" t="n"/>
      <c r="P4" s="11" t="n"/>
      <c r="Q4" s="11" t="n"/>
      <c r="R4" s="24" t="inlineStr">
        <is>
          <t>Table 2, coronary artery disease: 11.6% - 7.9% = 3.7, but ARD printed 4.2 (CI 1.9-6.8). The gap of 0.5 pp is beyond rounding and is about 14% of the estimate. This is the same systematic mismatch seen for all nonfatal single outcomes (see C002). The estimator for the ARD is not stated.</t>
        </is>
      </c>
    </row>
    <row r="5" ht="92" customFormat="1" customHeight="1" s="14">
      <c r="A5" s="11" t="inlineStr">
        <is>
          <t>2019::jama.2019.14231::C004</t>
        </is>
      </c>
      <c r="B5" s="11" t="inlineStr">
        <is>
          <t>Cerebrovascular-disease ARD does not reconcile with displayed 8-year incidences</t>
        </is>
      </c>
      <c r="C5" s="11" t="inlineStr">
        <is>
          <t>Main article — PDF p. 4, PDF p. 7; Supplement 1 — PDF p. 7.</t>
        </is>
      </c>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ID",IF(OR(A5="",COUNTIF($A$2:$A$12,A5)&lt;&gt;1,LEFT(A5,LEN("2019::jama.2019.14231::"))&lt;&gt;"2019::jama.2019.14231::"),"CHECK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direct</t>
        </is>
      </c>
      <c r="K5" s="23">
        <f>IF(AND(OR(D5="retain",D5=""),OR(E5="report_internal_inconsistency",E5="plan_material")),"","not_applicable")</f>
        <v/>
      </c>
      <c r="L5" s="24">
        <f>IF(AND(OR(D5="retain",D5=""),E5="protocol_report"),"","not_applicable")</f>
        <v/>
      </c>
      <c r="M5" s="11" t="n"/>
      <c r="N5" s="11" t="n"/>
      <c r="O5" s="11" t="n"/>
      <c r="P5" s="11" t="n"/>
      <c r="Q5" s="11" t="n"/>
      <c r="R5" s="24" t="inlineStr">
        <is>
          <t>Table 2, cerebrovascular disease: 5.6% - 4.1% = 1.5, but ARD printed 1.8 (CI -0.03 to 3.4). The gap of 0.3 pp exceeds rounding and is about 20% of the estimate. This is the same systematic mismatch as C002/C003. Here the CI includes 0, so the size of the point estimate matters for interpretation.</t>
        </is>
      </c>
    </row>
    <row r="6" ht="92" customFormat="1" customHeight="1" s="14">
      <c r="A6" s="12" t="inlineStr">
        <is>
          <t>2019::jama.2019.14231::C005</t>
        </is>
      </c>
      <c r="B6" s="12" t="inlineStr">
        <is>
          <t>Nephropathy ARD does not reconcile with displayed 8-year incidences</t>
        </is>
      </c>
      <c r="C6" s="12" t="inlineStr">
        <is>
          <t>Main article — PDF p. 4, PDF p. 7; Supplement 1 — PDF p. 7.</t>
        </is>
      </c>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ID",IF(OR(A6="",COUNTIF($A$2:$A$12,A6)&lt;&gt;1,LEFT(A6,LEN("2019::jama.2019.14231::"))&lt;&gt;"2019::jama.2019.14231::"),"CHECK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substantive</t>
        </is>
      </c>
      <c r="J6" s="24" t="inlineStr">
        <is>
          <t>direct</t>
        </is>
      </c>
      <c r="K6" s="23">
        <f>IF(AND(OR(D6="retain",D6=""),OR(E6="report_internal_inconsistency",E6="plan_material")),"","not_applicable")</f>
        <v/>
      </c>
      <c r="L6" s="24">
        <f>IF(AND(OR(D6="retain",D6=""),E6="protocol_report"),"","not_applicable")</f>
        <v/>
      </c>
      <c r="M6" s="11" t="n"/>
      <c r="N6" s="11" t="n"/>
      <c r="O6" s="11" t="n"/>
      <c r="P6" s="11" t="n"/>
      <c r="Q6" s="11" t="n"/>
      <c r="R6" s="24" t="inlineStr">
        <is>
          <t>Table 2, nephropathy: 16.3% - 6.1% = 10.2, but ARD printed 11.1 (CI 8.8-13.6). The gap of 0.9 pp, the largest in the table, is far beyond rounding. This is the same systematic mismatch as the other nonfatal outcomes. The estimator is undocumented.</t>
        </is>
      </c>
    </row>
    <row r="7" ht="92" customFormat="1" customHeight="1" s="14">
      <c r="A7" s="11" t="inlineStr">
        <is>
          <t>2019::jama.2019.14231::C006</t>
        </is>
      </c>
      <c r="B7" s="11" t="inlineStr">
        <is>
          <t>Atrial-fibrillation ARD does not reconcile with displayed 8-year incidences</t>
        </is>
      </c>
      <c r="C7" s="11" t="inlineStr">
        <is>
          <t>Main article — PDF p. 4, PDF p. 7; Supplement 1 — PDF p. 7.</t>
        </is>
      </c>
      <c r="D7" s="23" t="inlineStr">
        <is>
          <t>retain</t>
        </is>
      </c>
      <c r="E7" s="23" t="inlineStr">
        <is>
          <t>statistical_results</t>
        </is>
      </c>
      <c r="F7" s="23" t="inlineStr">
        <is>
          <t>primary_done</t>
        </is>
      </c>
      <c r="G7" s="11">
        <f>IFERROR(IF(OR(NOT(EXACT(Setup!$B$4,"R_A")),Setup!$B$5&lt;&gt;2019),"CHECK SETUP",IF(OR(LEN(TRIM(CLEAN(SUBSTITUTE(Setup!$B$2,CHAR(160)," "))))=0,Setup!$B$2&lt;&gt;TRIM(CLEAN(SUBSTITUTE(Setup!$B$2,CHAR(160)," ")))),"CHECK REVIEWER ID",IF(OR(A7="",COUNTIF($A$2:$A$12,A7)&lt;&gt;1,LEFT(A7,LEN("2019::jama.2019.14231::"))&lt;&gt;"2019::jama.2019.14231::"),"CHECK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t="inlineStr">
        <is>
          <t>confirmed_issue</t>
        </is>
      </c>
      <c r="I7" s="23" t="inlineStr">
        <is>
          <t>substantive</t>
        </is>
      </c>
      <c r="J7" s="24" t="inlineStr">
        <is>
          <t>direct</t>
        </is>
      </c>
      <c r="K7" s="23">
        <f>IF(AND(OR(D7="retain",D7=""),OR(E7="report_internal_inconsistency",E7="plan_material")),"","not_applicable")</f>
        <v/>
      </c>
      <c r="L7" s="24">
        <f>IF(AND(OR(D7="retain",D7=""),E7="protocol_report"),"","not_applicable")</f>
        <v/>
      </c>
      <c r="M7" s="11" t="n"/>
      <c r="N7" s="11" t="n"/>
      <c r="O7" s="11" t="n"/>
      <c r="P7" s="11" t="n"/>
      <c r="Q7" s="11" t="n"/>
      <c r="R7" s="24" t="inlineStr">
        <is>
          <t>Table 2, atrial fibrillation: 13.6% - 7.9% = 5.7, but ARD printed 6.5 (CI 4.4-8.7). The gap of 0.8 pp is beyond rounding. This is the same systematic mismatch as the other nonfatal single outcomes. AF is also the outcome with a proportional hazards violation.</t>
        </is>
      </c>
    </row>
    <row r="8" ht="92" customFormat="1" customHeight="1" s="14">
      <c r="A8" s="12" t="inlineStr">
        <is>
          <t>2019::jama.2019.14231::C007</t>
        </is>
      </c>
      <c r="B8" s="12" t="inlineStr">
        <is>
          <t>Supplement tables use different nonsurgical medication denominators at baseline</t>
        </is>
      </c>
      <c r="C8" s="12" t="inlineStr">
        <is>
          <t>Supplement 1 — PDF p. 5, PDF p. 14.</t>
        </is>
      </c>
      <c r="D8" s="23" t="inlineStr">
        <is>
          <t>exclude</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ID",IF(OR(A8="",COUNTIF($A$2:$A$12,A8)&lt;&gt;1,LEFT(A8,LEN("2019::jama.2019.14231::"))&lt;&gt;"2019::jama.2019.14231::"),"CHECK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eTable 3 (medication classes at index date, nonsurgical N = 11 435) vs eTable 10 (sample size used to compute medication proportions, year 0: 11 433). eTable 10 reports analytic sample sizes over time, so a 2-patient difference at year 0 fits an availability-based analytic sample. It changes no displayed proportion (eg 7606/11 435 and 7606/11 433 are both 66.5%).</t>
        </is>
      </c>
    </row>
    <row r="9" ht="92" customFormat="1" customHeight="1" s="14">
      <c r="A9" s="11" t="inlineStr">
        <is>
          <t>2019::jama.2019.14231::C008</t>
        </is>
      </c>
      <c r="B9" s="11" t="inlineStr">
        <is>
          <t>Medication comparison is labeled as two different named tests</t>
        </is>
      </c>
      <c r="C9" s="11" t="inlineStr">
        <is>
          <t>Main article — PDF p. 4, PDF p. 10; Supplement 1 — PDF p. 12.</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ID",IF(OR(A9="",COUNTIF($A$2:$A$12,A9)&lt;&gt;1,LEFT(A9,LEN("2019::jama.2019.14231::"))&lt;&gt;"2019::jama.2019.14231::"),"CHECK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Methods and the eTable 8 note say medication proportions were compared with a 2-sample proportions test. The Figure 5 legend says the 8-year P values are from a Fisher exact test. These are different tests for the same displayed P values. With year-8 samples of 348 and 1219, conclusions would not differ, but the reported method is inconsistent.</t>
        </is>
      </c>
    </row>
    <row r="10" ht="92" customFormat="1" customHeight="1" s="14">
      <c r="A10" s="12" t="inlineStr">
        <is>
          <t>2019::jama.2019.14231::C009</t>
        </is>
      </c>
      <c r="B10" s="12" t="inlineStr">
        <is>
          <t>Time-varying-HR narrative cites eTable 4 while the displayed table is eTable 7</t>
        </is>
      </c>
      <c r="C10" s="12" t="inlineStr">
        <is>
          <t>Supplement 1 — PDF p. 6, PDF p. 10, PDF p. 19.</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ID",IF(OR(A10="",COUNTIF($A$2:$A$12,A10)&lt;&gt;1,LEFT(A10,LEN("2019::jama.2019.14231::"))&lt;&gt;"2019::jama.2019.14231::"),"CHECK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Supplement section B says 'eTable 4 displays adjusted hazard ratios ... at 2, 5, and 8 years', but the table that follows is eTable 7 (time-varying HRs), and eTable 4 reports cause-specific event rates. This is a wrong cross-reference. The main text correctly cites eTable 7.</t>
        </is>
      </c>
    </row>
    <row r="11" ht="92" customFormat="1" customHeight="1" s="14">
      <c r="A11" s="11" t="inlineStr">
        <is>
          <t>2019::jama.2019.14231::C010</t>
        </is>
      </c>
      <c r="B11" s="11" t="inlineStr">
        <is>
          <t>Biguanide count and percentage do not reconcile in eTable 3</t>
        </is>
      </c>
      <c r="C11" s="11" t="inlineStr">
        <is>
          <t>Supplement 1 — PDF p. 5.</t>
        </is>
      </c>
      <c r="D11" s="23" t="inlineStr">
        <is>
          <t>retain</t>
        </is>
      </c>
      <c r="E11" s="23" t="inlineStr">
        <is>
          <t>statistical_results</t>
        </is>
      </c>
      <c r="F11" s="23" t="inlineStr">
        <is>
          <t>primary_done</t>
        </is>
      </c>
      <c r="G11" s="11">
        <f>IFERROR(IF(OR(NOT(EXACT(Setup!$B$4,"R_A")),Setup!$B$5&lt;&gt;2019),"CHECK SETUP",IF(OR(LEN(TRIM(CLEAN(SUBSTITUTE(Setup!$B$2,CHAR(160)," "))))=0,Setup!$B$2&lt;&gt;TRIM(CLEAN(SUBSTITUTE(Setup!$B$2,CHAR(160)," ")))),"CHECK REVIEWER ID",IF(OR(A11="",COUNTIF($A$2:$A$12,A11)&lt;&gt;1,LEFT(A11,LEN("2019::jama.2019.14231::"))&lt;&gt;"2019::jama.2019.14231::"),"CHECK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t="inlineStr">
        <is>
          <t>confirmed_issue</t>
        </is>
      </c>
      <c r="I11" s="23" t="inlineStr">
        <is>
          <t>minor_presentation</t>
        </is>
      </c>
      <c r="J11" s="24" t="inlineStr">
        <is>
          <t>unlikely</t>
        </is>
      </c>
      <c r="K11" s="23">
        <f>IF(AND(OR(D11="retain",D11=""),OR(E11="report_internal_inconsistency",E11="plan_material")),"","not_applicable")</f>
        <v/>
      </c>
      <c r="L11" s="24">
        <f>IF(AND(OR(D11="retain",D11=""),E11="protocol_report"),"","not_applicable")</f>
        <v/>
      </c>
      <c r="M11" s="11" t="n"/>
      <c r="N11" s="11" t="n"/>
      <c r="O11" s="11" t="n"/>
      <c r="P11" s="11" t="n"/>
      <c r="Q11" s="11" t="n"/>
      <c r="R11" s="24" t="inlineStr">
        <is>
          <t>eTable 3, surgery group: biguanides 1530 (67.9%) with N = 2287, but 1530/2287 = 66.9%. 67.9% of 2287 would be about 1553. Either the count or the percentage is mistyped (looks like a one-digit slip). This is a baseline descriptive value in a supplement; the comparison with the controls (66.5%) is barely affected.</t>
        </is>
      </c>
    </row>
    <row r="12" ht="92" customFormat="1" customHeight="1" s="14">
      <c r="A12" s="12" t="inlineStr">
        <is>
          <t>2019::jama.2019.14231::C011</t>
        </is>
      </c>
      <c r="B12" s="12" t="inlineStr">
        <is>
          <t>Standardized-difference footnote says absolute value while columns contain negative values</t>
        </is>
      </c>
      <c r="C12" s="12" t="inlineStr">
        <is>
          <t>Main article — PDF p. 5, PDF p. 6.</t>
        </is>
      </c>
      <c r="D12" s="23" t="inlineStr">
        <is>
          <t>retain</t>
        </is>
      </c>
      <c r="E12" s="23" t="inlineStr">
        <is>
          <t>report_internal_inconsistency</t>
        </is>
      </c>
      <c r="F12" s="23" t="inlineStr">
        <is>
          <t>primary_done</t>
        </is>
      </c>
      <c r="G12" s="12">
        <f>IFERROR(IF(OR(NOT(EXACT(Setup!$B$4,"R_A")),Setup!$B$5&lt;&gt;2019),"CHECK SETUP",IF(OR(LEN(TRIM(CLEAN(SUBSTITUTE(Setup!$B$2,CHAR(160)," "))))=0,Setup!$B$2&lt;&gt;TRIM(CLEAN(SUBSTITUTE(Setup!$B$2,CHAR(160)," ")))),"CHECK REVIEWER ID",IF(OR(A12="",COUNTIF($A$2:$A$12,A12)&lt;&gt;1,LEFT(A12,LEN("2019::jama.2019.14231::"))&lt;&gt;"2019::jama.2019.14231::"),"CHECK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t="inlineStr">
        <is>
          <t>minor_presentation</t>
        </is>
      </c>
      <c r="L12" s="24">
        <f>IF(AND(OR(D12="retain",D12=""),E12="protocol_report"),"","not_applicable")</f>
        <v/>
      </c>
      <c r="M12" s="11" t="n"/>
      <c r="N12" s="11" t="n"/>
      <c r="O12" s="11" t="n"/>
      <c r="P12" s="11" t="n"/>
      <c r="Q12" s="11" t="n"/>
      <c r="R12" s="24" t="inlineStr">
        <is>
          <t>Table 1 footnote b defines standardized differences as 'the absolute value of the difference ... (metabolic surgery - nonsurgical control group) divided by pooled SD', yet the columns are signed (eg men -28.0, diastolic BP -44.2). Signs follow surgery minus control. The values are also x100, which is not stated. Wording error; values interpretable.</t>
        </is>
      </c>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Format="1" customHeight="1" s="14">
      <c r="A2" s="12"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ID",IF(OR(A2="",COUNTIF($A$2:$A$10,A2)&lt;&gt;1,LEFT(A2,LEN("2019::jama.2019.14630::"))&lt;&gt;"2019::jama.2019.14630::"),"CHECK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eTable 2 first page heads both columns 'Intervention group' (N = 3272 and N = 3311). The continuation page and main Table 2 label N = 3311 as the control group. This is a header typo; the N identifies the arm.</t>
        </is>
      </c>
    </row>
    <row r="3" ht="92" customFormat="1" customHeight="1" s="14">
      <c r="A3" s="11" t="inlineStr">
        <is>
          <t>2019::jama.2019.14630::C002</t>
        </is>
      </c>
      <c r="B3" s="11" t="inlineStr">
        <is>
          <t>eTable 2 red-wine median lies above its printed upper quartile</t>
        </is>
      </c>
      <c r="C3" s="11" t="inlineStr">
        <is>
          <t>Supplement 3 eTable 2 red-wine row and footnote — PDF p. 7.</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ID",IF(OR(A3="",COUNTIF($A$2:$A$10,A3)&lt;&gt;1,LEFT(A3,LEN("2019::jama.2019.14630::"))&lt;&gt;"2019::jama.2019.14630::"),"CHECK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unlikely</t>
        </is>
      </c>
      <c r="K3" s="23">
        <f>IF(AND(OR(D3="retain",D3=""),OR(E3="report_internal_inconsistency",E3="plan_material")),"","not_applicable")</f>
        <v/>
      </c>
      <c r="L3" s="24">
        <f>IF(AND(OR(D3="retain",D3=""),E3="protocol_report"),"","not_applicable")</f>
        <v/>
      </c>
      <c r="M3" s="11" t="n"/>
      <c r="N3" s="11" t="n"/>
      <c r="O3" s="11" t="n"/>
      <c r="P3" s="11" t="n"/>
      <c r="Q3" s="11" t="n"/>
      <c r="R3" s="24" t="inlineStr">
        <is>
          <t>eTable 2, red wine baseline (intervention): '33 (0, 29)' g/week, under the footnote 'Baseline data are median (IQR)'. A median cannot exceed Q3, so the cell is impossible. eTable 7 gives 0 (0, 29) for the same baseline (see C003). This is a baseline descriptive for one food item, so minor.</t>
        </is>
      </c>
    </row>
    <row r="4" ht="92" customFormat="1" customHeight="1" s="14">
      <c r="A4" s="12" t="inlineStr">
        <is>
          <t>2019::jama.2019.14630::C003</t>
        </is>
      </c>
      <c r="B4" s="12" t="inlineStr">
        <is>
          <t>all-randomized red-wine baseline summaries differ between eTables 2 and 7</t>
        </is>
      </c>
      <c r="C4" s="12" t="inlineStr">
        <is>
          <t>Supplement 3 eTable 2 — PDF p. 7; Supplement 3 eTable 7 — PDF p. 19.</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ID",IF(OR(A4="",COUNTIF($A$2:$A$10,A4)&lt;&gt;1,LEFT(A4,LEN("2019::jama.2019.14630::"))&lt;&gt;"2019::jama.2019.14630::"),"CHECK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Red wine baseline median (IQR): eTable 2 gives 33 (0, 29) intervention / 4 (0, 29) control; eTable 7 gives 0 (0, 29) in both arms. Both tables cover all randomized participants (3272/3311), and baseline values were not imputed. Other baseline rows (eg low-fat dairy, total alcohol) agree across the two tables, so the red-wine row in eTable 2 is wrong.</t>
        </is>
      </c>
    </row>
    <row r="5" ht="92" customFormat="1" customHeight="1" s="14">
      <c r="A5" s="11" t="inlineStr">
        <is>
          <t>2019::jama.2019.14630::C004</t>
        </is>
      </c>
      <c r="B5" s="11" t="inlineStr">
        <is>
          <t>PDQS baseline mean differs between the principal and baseline-value-carried-forward tables</t>
        </is>
      </c>
      <c r="C5" s="11" t="inlineStr">
        <is>
          <t>main article Table 2 — PDF p. 5; Supplement 3 eTable 6 — PDF p. 16.</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ID",IF(OR(A5="",COUNTIF($A$2:$A$10,A5)&lt;&gt;1,LEFT(A5,LEN("2019::jama.2019.14630::"))&lt;&gt;"2019::jama.2019.14630::"),"CHECK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Baseline PDQS is 21.1 (3.7) in both arms in main Table 2 and 21.0 (3.7) in both arms in eTable 6, with the same Ns, and baseline was not imputed. The other three scores' baselines match exactly across the tables. A 0.1 shift in both arms suggests different rounding of a mean near 21.05. Trivial on a 0-42 scale.</t>
        </is>
      </c>
    </row>
    <row r="6" ht="106" customFormat="1" customHeight="1" s="14">
      <c r="A6" s="12"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ID",IF(OR(A6="",COUNTIF($A$2:$A$10,A6)&lt;&gt;1,LEFT(A6,LEN("2019::jama.2019.14630::"))&lt;&gt;"2019::jama.2019.14630::"),"CHECK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Intervention baseline energy is 2355 (SD 555) kcal/d in main Table 3 but 2355 (544) in eTable 8 (same population and N) and also in eTable 5 (completers). The control values agree (2369 (555)). Table 3's 555 looks like a copy of the control SD. SD only; negligible impact.</t>
        </is>
      </c>
    </row>
    <row r="7" ht="92" customFormat="1" customHeight="1" s="14">
      <c r="A7" s="11" t="inlineStr">
        <is>
          <t>2019::jama.2019.14630::C006</t>
        </is>
      </c>
      <c r="B7" s="11" t="inlineStr">
        <is>
          <t>baseline body-weight summaries differ between Table 1 and eTable 9</t>
        </is>
      </c>
      <c r="C7" s="11" t="inlineStr">
        <is>
          <t>main article Table 1 — PDF p. 4; Supplement 3 eTable 9 — PDF p. 23.</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ID",IF(OR(A7="",COUNTIF($A$2:$A$10,A7)&lt;&gt;1,LEFT(A7,LEN("2019::jama.2019.14630::"))&lt;&gt;"2019::jama.2019.14630::"),"CHECK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Baseline weight is 86.7 (13.0) / 86.4 (13.0) kg in main Table 1 and 86.5 (12.9) / 86.3 (13.0) in eTable 9 (MI, all randomized; same Ns 3272/3311). The eTable 9 completers panel repeats 86.5/86.3. Differences of 0.1-0.2 kg have no source explanation. Trivial relative to a 12-month between-group difference of -2.9 kg.</t>
        </is>
      </c>
    </row>
    <row r="8" ht="92" customFormat="1" customHeight="1" s="14">
      <c r="A8" s="12" t="inlineStr">
        <is>
          <t>2019::jama.2019.14630::C007</t>
        </is>
      </c>
      <c r="B8" s="12" t="inlineStr">
        <is>
          <t>baseline BMI means differ between Table 1 and eTable 9</t>
        </is>
      </c>
      <c r="C8" s="12" t="inlineStr">
        <is>
          <t>main article Table 1 — PDF p. 4; Supplement 3 eTable 9 — PDF p. 23.</t>
        </is>
      </c>
      <c r="D8" s="23" t="inlineStr">
        <is>
          <t>retain</t>
        </is>
      </c>
      <c r="E8" s="23" t="inlineStr">
        <is>
          <t>report_internal_inconsistency</t>
        </is>
      </c>
      <c r="F8" s="23" t="inlineStr">
        <is>
          <t>primary_done</t>
        </is>
      </c>
      <c r="G8" s="12">
        <f>IFERROR(IF(OR(NOT(EXACT(Setup!$B$4,"R_A")),Setup!$B$5&lt;&gt;2019),"CHECK SETUP",IF(OR(LEN(TRIM(CLEAN(SUBSTITUTE(Setup!$B$2,CHAR(160)," "))))=0,Setup!$B$2&lt;&gt;TRIM(CLEAN(SUBSTITUTE(Setup!$B$2,CHAR(160)," ")))),"CHECK REVIEWER ID",IF(OR(A8="",COUNTIF($A$2:$A$10,A8)&lt;&gt;1,LEFT(A8,LEN("2019::jama.2019.14630::"))&lt;&gt;"2019::jama.2019.14630::"),"CHECK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t="inlineStr">
        <is>
          <t>minor_presentation</t>
        </is>
      </c>
      <c r="L8" s="24">
        <f>IF(AND(OR(D8="retain",D8=""),E8="protocol_report"),"","not_applicable")</f>
        <v/>
      </c>
      <c r="M8" s="11" t="n"/>
      <c r="N8" s="11" t="n"/>
      <c r="O8" s="11" t="n"/>
      <c r="P8" s="11" t="n"/>
      <c r="Q8" s="11" t="n"/>
      <c r="R8" s="24" t="inlineStr">
        <is>
          <t>Baseline BMI is 32.5 in both arms in Table 1 but 32.6 in both arms in the eTable 9 MI all-randomized panel (same Ns, same SDs). The eTable 9 completers panel shows 32.5. This is a 0.1 kg/m2 inconsistency, related to C006. Negligible for interpretation.</t>
        </is>
      </c>
    </row>
    <row r="9" ht="92" customFormat="1" customHeight="1" s="14">
      <c r="A9" s="11" t="inlineStr">
        <is>
          <t>2019::jama.2019.14630::C008</t>
        </is>
      </c>
      <c r="B9" s="11" t="inlineStr">
        <is>
          <t>Figure 4 threshold labels do not preserve the Methods boundary operators</t>
        </is>
      </c>
      <c r="C9" s="11" t="inlineStr">
        <is>
          <t>main article Outcomes — PDF p. 4; main article Figure 4 — PDF p. 10.</t>
        </is>
      </c>
      <c r="D9" s="23" t="inlineStr">
        <is>
          <t>retain</t>
        </is>
      </c>
      <c r="E9" s="23" t="inlineStr">
        <is>
          <t>report_internal_inconsistency</t>
        </is>
      </c>
      <c r="F9" s="23" t="inlineStr">
        <is>
          <t>primary_done</t>
        </is>
      </c>
      <c r="G9" s="11">
        <f>IFERROR(IF(OR(NOT(EXACT(Setup!$B$4,"R_A")),Setup!$B$5&lt;&gt;2019),"CHECK SETUP",IF(OR(LEN(TRIM(CLEAN(SUBSTITUTE(Setup!$B$2,CHAR(160)," "))))=0,Setup!$B$2&lt;&gt;TRIM(CLEAN(SUBSTITUTE(Setup!$B$2,CHAR(160)," ")))),"CHECK REVIEWER ID",IF(OR(A9="",COUNTIF($A$2:$A$10,A9)&lt;&gt;1,LEFT(A9,LEN("2019::jama.2019.14630::"))&lt;&gt;"2019::jama.2019.14630::"),"CHECK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t="inlineStr">
        <is>
          <t>minor_presentation</t>
        </is>
      </c>
      <c r="L9" s="24">
        <f>IF(AND(OR(D9="retain",D9=""),E9="protocol_report"),"","not_applicable")</f>
        <v/>
      </c>
      <c r="M9" s="11" t="n"/>
      <c r="N9" s="11" t="n"/>
      <c r="O9" s="11" t="n"/>
      <c r="P9" s="11" t="n"/>
      <c r="Q9" s="11" t="n"/>
      <c r="R9" s="24" t="inlineStr">
        <is>
          <t>Methods define clinically meaningful change as reductions of 'at least' 5% (weight, BMI, waist, lipids), 5 mm Hg systolic and 2.5 mm Hg diastolic. The Figure 4 labels use '&gt;5%', '&gt;10%', '&gt;5 mm Hg' and 'Reduction 2.5 mm Hg' with no operator. For integer-recorded BP an exact 5 mm Hg change is possible, so the operators are not strictly equivalent, but this is very likely figure shorthand.</t>
        </is>
      </c>
    </row>
    <row r="10" ht="148" customFormat="1" customHeight="1" s="14">
      <c r="A10" s="12"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ID",IF(OR(A10="",COUNTIF($A$2:$A$10,A10)&lt;&gt;1,LEFT(A10,LEN("2019::jama.2019.14630::"))&lt;&gt;"2019::jama.2019.14630::"),"CHECK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minor_presentation</t>
        </is>
      </c>
      <c r="L10" s="24">
        <f>IF(AND(OR(D10="retain",D10=""),E10="protocol_report"),"","not_applicable")</f>
        <v/>
      </c>
      <c r="M10" s="11" t="n"/>
      <c r="N10" s="11" t="n"/>
      <c r="O10" s="11" t="n"/>
      <c r="P10" s="11" t="n"/>
      <c r="Q10" s="11" t="n"/>
      <c r="R10" s="24" t="inlineStr">
        <is>
          <t>eTable 4 (completers) labels total olive oil 'Baseline, mean (SD)' but prints 350 (175, 350), a median (IQR) triple. The table footnote and every other baseline row, and the same row in eTables 2 and 7, use median (IQR). This is a row-label error; the values are interpretable.</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2019::jama.2019.14901::C001</t>
        </is>
      </c>
      <c r="B2" s="12" t="inlineStr">
        <is>
          <t>Day-7 respiratory-failure absolute difference differs across matched article locations</t>
        </is>
      </c>
      <c r="C2" s="12" t="n"/>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ID",IF(OR(A2="",COUNTIF($A$2:$A$7,A2)&lt;&gt;1,LEFT(A2,LEN("2019::jama.2019.14901::"))&lt;&gt;"2019::jama.2019.14901::"),"CHECK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Postextubation respiratory failure at day 7: Table 2 gives 70/339 vs 88/302 and a difference of -8.5 (-15.2 to -1.8). The abstract and Results text give -8.7 with the same CI and P. Recomputed: 70/339 - 88/302 = -8.49 pp, so Table 2 is right and the abstract/text value is wrong by 0.2 pp. Inference unchanged; the abstract value may be extracted.</t>
        </is>
      </c>
    </row>
    <row r="3" ht="92" customFormat="1" customHeight="1" s="14">
      <c r="A3" s="11" t="inlineStr">
        <is>
          <t>2019::jama.2019.14901::C002</t>
        </is>
      </c>
      <c r="B3" s="11" t="inlineStr">
        <is>
          <t>Reintubation respiratory-acidosis cutoff differs between article and protocol</t>
        </is>
      </c>
      <c r="C3" s="11" t="n"/>
      <c r="D3" s="23" t="inlineStr">
        <is>
          <t>retain</t>
        </is>
      </c>
      <c r="E3" s="23" t="inlineStr">
        <is>
          <t>protocol_report</t>
        </is>
      </c>
      <c r="F3" s="23" t="inlineStr">
        <is>
          <t>primary_done</t>
        </is>
      </c>
      <c r="G3" s="11">
        <f>IFERROR(IF(OR(NOT(EXACT(Setup!$B$4,"R_A")),Setup!$B$5&lt;&gt;2019),"CHECK SETUP",IF(OR(LEN(TRIM(CLEAN(SUBSTITUTE(Setup!$B$2,CHAR(160)," "))))=0,Setup!$B$2&lt;&gt;TRIM(CLEAN(SUBSTITUTE(Setup!$B$2,CHAR(160)," ")))),"CHECK REVIEWER ID",IF(OR(A3="",COUNTIF($A$2:$A$7,A3)&lt;&gt;1,LEFT(A3,LEN("2019::jama.2019.14901::"))&lt;&gt;"2019::jama.2019.14901::"),"CHECK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t="inlineStr">
        <is>
          <t>substantive_difference</t>
        </is>
      </c>
      <c r="M3" s="11" t="n"/>
      <c r="N3" s="11" t="n"/>
      <c r="O3" s="11" t="n"/>
      <c r="P3" s="11" t="n"/>
      <c r="Q3" s="11" t="n"/>
      <c r="R3" s="24" t="inlineStr">
        <is>
          <t>Protocol v4 (Oct 17, 2017) section 5.4 reintubation criteria: respiratory acidosis pH &lt; 7.35 with PaCO2 &gt; 45 (the same as its ARF criterion). The article's severe respiratory failure leading to reintubation uses pH &lt; 7.25. The article's other reintubation thresholds (RR &gt; 35, FIO2 &gt;= 80%, P/F &lt;= 100) match the protocol. Protocol 7.35 may copy the ARF criterion; still a difference.</t>
        </is>
      </c>
    </row>
    <row r="4" ht="92" customFormat="1" customHeight="1" s="14">
      <c r="A4" s="12" t="inlineStr">
        <is>
          <t>2019::jama.2019.14901::C003</t>
        </is>
      </c>
      <c r="B4" s="12" t="inlineStr">
        <is>
          <t>Hypercapnic ineffective-cough percentages conflict with printed fractions</t>
        </is>
      </c>
      <c r="C4" s="12" t="n"/>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ID",IF(OR(A4="",COUNTIF($A$2:$A$7,A4)&lt;&gt;1,LEFT(A4,LEN("2019::jama.2019.14901::"))&lt;&gt;"2019::jama.2019.14901::"),"CHECK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substantive</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eTable 2, hypercapnic patients: ineffective cough 14/45 (69) and 16/59 (73), but 14/45 = 31.1% and 16/59 = 27.1%. The printed percentages are the complements (31/45 = 68.9%, 43/59 = 72.9%). The counts are right: they sum with the nonhypercapnic counts to main Table 1 (65/284, 86/322). The printed prevalence is more than doubled.</t>
        </is>
      </c>
    </row>
    <row r="5" ht="92" customFormat="1" customHeight="1" s="14">
      <c r="A5" s="11" t="inlineStr">
        <is>
          <t>2019::jama.2019.14901::C004</t>
        </is>
      </c>
      <c r="B5" s="11" t="inlineStr">
        <is>
          <t>Hypercapnic abundant-secretion percentages conflict with printed fractions</t>
        </is>
      </c>
      <c r="C5" s="11" t="n"/>
      <c r="D5" s="23" t="inlineStr">
        <is>
          <t>retain</t>
        </is>
      </c>
      <c r="E5" s="23" t="inlineStr">
        <is>
          <t>statistical_results</t>
        </is>
      </c>
      <c r="F5" s="23" t="inlineStr">
        <is>
          <t>primary_done</t>
        </is>
      </c>
      <c r="G5" s="11">
        <f>IFERROR(IF(OR(NOT(EXACT(Setup!$B$4,"R_A")),Setup!$B$5&lt;&gt;2019),"CHECK SETUP",IF(OR(LEN(TRIM(CLEAN(SUBSTITUTE(Setup!$B$2,CHAR(160)," "))))=0,Setup!$B$2&lt;&gt;TRIM(CLEAN(SUBSTITUTE(Setup!$B$2,CHAR(160)," ")))),"CHECK REVIEWER ID",IF(OR(A5="",COUNTIF($A$2:$A$7,A5)&lt;&gt;1,LEFT(A5,LEN("2019::jama.2019.14901::"))&lt;&gt;"2019::jama.2019.14901::"),"CHECK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t="inlineStr">
        <is>
          <t>confirmed_issue</t>
        </is>
      </c>
      <c r="I5" s="23" t="inlineStr">
        <is>
          <t>substantive</t>
        </is>
      </c>
      <c r="J5" s="24" t="inlineStr">
        <is>
          <t>possible</t>
        </is>
      </c>
      <c r="K5" s="23">
        <f>IF(AND(OR(D5="retain",D5=""),OR(E5="report_internal_inconsistency",E5="plan_material")),"","not_applicable")</f>
        <v/>
      </c>
      <c r="L5" s="24">
        <f>IF(AND(OR(D5="retain",D5=""),E5="protocol_report"),"","not_applicable")</f>
        <v/>
      </c>
      <c r="M5" s="11" t="n"/>
      <c r="N5" s="11" t="n"/>
      <c r="O5" s="11" t="n"/>
      <c r="P5" s="11" t="n"/>
      <c r="Q5" s="11" t="n"/>
      <c r="R5" s="24" t="inlineStr">
        <is>
          <t>eTable 2, hypercapnic patients: abundant secretions 20/46 (57) and 23/61 (62), but 20/46 = 43.5% and 23/61 = 37.7%. The printed values are the complements (56.5%, 62.3%). The counts reconcile with main Table 1 (121/288, 114/326), so the percentages are wrong. This is the same error as C003 in a different row.</t>
        </is>
      </c>
    </row>
    <row r="6" ht="92" customFormat="1" customHeight="1" s="14">
      <c r="A6" s="12" t="inlineStr">
        <is>
          <t>2019::jama.2019.14901::C005</t>
        </is>
      </c>
      <c r="B6" s="12" t="inlineStr">
        <is>
          <t>Matched nonhypercapnic day-7 reintubation P values differ across article and supplement</t>
        </is>
      </c>
      <c r="C6" s="12" t="n"/>
      <c r="D6" s="23" t="inlineStr">
        <is>
          <t>retain</t>
        </is>
      </c>
      <c r="E6" s="23" t="inlineStr">
        <is>
          <t>statistical_results</t>
        </is>
      </c>
      <c r="F6" s="23" t="inlineStr">
        <is>
          <t>primary_done</t>
        </is>
      </c>
      <c r="G6" s="12">
        <f>IFERROR(IF(OR(NOT(EXACT(Setup!$B$4,"R_A")),Setup!$B$5&lt;&gt;2019),"CHECK SETUP",IF(OR(LEN(TRIM(CLEAN(SUBSTITUTE(Setup!$B$2,CHAR(160)," "))))=0,Setup!$B$2&lt;&gt;TRIM(CLEAN(SUBSTITUTE(Setup!$B$2,CHAR(160)," ")))),"CHECK REVIEWER ID",IF(OR(A6="",COUNTIF($A$2:$A$7,A6)&lt;&gt;1,LEFT(A6,LEN("2019::jama.2019.14901::"))&lt;&gt;"2019::jama.2019.14901::"),"CHECK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t="inlineStr">
        <is>
          <t>confirmed_issue</t>
        </is>
      </c>
      <c r="I6" s="23" t="inlineStr">
        <is>
          <t>minor_presentation</t>
        </is>
      </c>
      <c r="J6" s="24" t="inlineStr">
        <is>
          <t>unlikely</t>
        </is>
      </c>
      <c r="K6" s="23">
        <f>IF(AND(OR(D6="retain",D6=""),OR(E6="report_internal_inconsistency",E6="plan_material")),"","not_applicable")</f>
        <v/>
      </c>
      <c r="L6" s="24">
        <f>IF(AND(OR(D6="retain",D6=""),E6="protocol_report"),"","not_applicable")</f>
        <v/>
      </c>
      <c r="M6" s="11" t="n"/>
      <c r="N6" s="11" t="n"/>
      <c r="O6" s="11" t="n"/>
      <c r="P6" s="11" t="n"/>
      <c r="Q6" s="11" t="n"/>
      <c r="R6" s="24" t="inlineStr">
        <is>
          <t>Nonhypercapnic day-7 reintubation: eTable 4 gives P = .1057, and the main text gives P = .10. Recomputed: uncorrected chi-square on 45/254 vs 35/276 gives P = 0.1057, which rounds to .11 (Figure 3 log-rank also .11). The text truncated rather than rounded. Inference unchanged. I changed E to statistical_results because this is a numeric rounding question.</t>
        </is>
      </c>
    </row>
    <row r="7" ht="92" customFormat="1" customHeight="1" s="14">
      <c r="A7" s="11" t="inlineStr">
        <is>
          <t>2019::jama.2019.14901::C006</t>
        </is>
      </c>
      <c r="B7" s="11" t="inlineStr">
        <is>
          <t>Protocol total-duration breakdown does not arithmetically reach the printed total</t>
        </is>
      </c>
      <c r="C7" s="11" t="n"/>
      <c r="D7" s="23" t="inlineStr">
        <is>
          <t>retain</t>
        </is>
      </c>
      <c r="E7" s="23" t="inlineStr">
        <is>
          <t>plan_material</t>
        </is>
      </c>
      <c r="F7" s="23" t="inlineStr">
        <is>
          <t>primary_done</t>
        </is>
      </c>
      <c r="G7" s="11">
        <f>IFERROR(IF(OR(NOT(EXACT(Setup!$B$4,"R_A")),Setup!$B$5&lt;&gt;2019),"CHECK SETUP",IF(OR(LEN(TRIM(CLEAN(SUBSTITUTE(Setup!$B$2,CHAR(160)," "))))=0,Setup!$B$2&lt;&gt;TRIM(CLEAN(SUBSTITUTE(Setup!$B$2,CHAR(160)," ")))),"CHECK REVIEWER ID",IF(OR(A7="",COUNTIF($A$2:$A$7,A7)&lt;&gt;1,LEFT(A7,LEN("2019::jama.2019.14901::"))&lt;&gt;"2019::jama.2019.14901::"),"CHECK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Protocol section 5.6: 'Total study duration: 51 months with 36 months for the study and 12 months for analysis' (36 + 12 = 48). The French synopsis gives 51 months with 39 for the study (36 recruitment + 3 follow-up) and 12 for analysis (39 + 12 = 51). The English sentence omits the 3-month follow-up. Trivial administrative arithmetic.</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2019::jama.2019.17380::C001</t>
        </is>
      </c>
      <c r="B2" s="12" t="inlineStr">
        <is>
          <t>Figure 2 omega-3 eGFR contributor counts conflict with Table 2</t>
        </is>
      </c>
      <c r="C2" s="12" t="inlineStr">
        <is>
          <t>Figure 2 panel B — PDF p. 7; Table 2 — PDF p. 8.</t>
        </is>
      </c>
      <c r="D2" s="23" t="inlineStr">
        <is>
          <t>retain</t>
        </is>
      </c>
      <c r="E2" s="23" t="inlineStr">
        <is>
          <t>report_internal_inconsistency</t>
        </is>
      </c>
      <c r="F2" s="23" t="inlineStr">
        <is>
          <t>primary_done</t>
        </is>
      </c>
      <c r="G2" s="12">
        <f>IFERROR(IF(OR(NOT(EXACT(Setup!$B$4,"R_A")),Setup!$B$5&lt;&gt;2019),"CHECK SETUP",IF(OR(LEN(TRIM(CLEAN(SUBSTITUTE(Setup!$B$2,CHAR(160)," "))))=0,Setup!$B$2&lt;&gt;TRIM(CLEAN(SUBSTITUTE(Setup!$B$2,CHAR(160)," ")))),"CHECK REVIEWER ID",IF(OR(A2="",COUNTIF($A$2:$A$8,A2)&lt;&gt;1,LEFT(A2,LEN("2019::jama.2019.17380::"))&lt;&gt;"2019::jama.2019.17380::"),"CHECK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t="inlineStr">
        <is>
          <t>minor_presentation</t>
        </is>
      </c>
      <c r="L2" s="24">
        <f>IF(AND(OR(D2="retain",D2=""),E2="protocol_report"),"","not_applicable")</f>
        <v/>
      </c>
      <c r="M2" s="11" t="n"/>
      <c r="N2" s="11" t="n"/>
      <c r="O2" s="11" t="n"/>
      <c r="P2" s="11" t="n"/>
      <c r="Q2" s="11" t="n"/>
      <c r="R2" s="24" t="inlineStr">
        <is>
          <t>Figure 2B (eGFR, omega-3 vs placebo) prints participant counts 607/459/438 (placebo) and 701/531/496 (omega-3). These are identical to panel A (vitamin D). Table 2 gives omega-3 counts 651/491/462 (placebo) and 657/499/472 (active), with the same totals. The panel B count annotations were copied from panel A. The plotted distributions look distinct.</t>
        </is>
      </c>
    </row>
    <row r="3" ht="92" customFormat="1" customHeight="1" s="14">
      <c r="A3" s="11" t="inlineStr">
        <is>
          <t>2019::jama.2019.17380::C002</t>
        </is>
      </c>
      <c r="B3" s="11" t="inlineStr">
        <is>
          <t>Figure 2 omega-3 urine-ACR contributor counts conflict with eTable 6</t>
        </is>
      </c>
      <c r="C3" s="11" t="inlineStr">
        <is>
          <t>Figure 2 panel D — PDF p. 7; eTable 6 — PDF p. 11.</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ID",IF(OR(A3="",COUNTIF($A$2:$A$8,A3)&lt;&gt;1,LEFT(A3,LEN("2019::jama.2019.17380::"))&lt;&gt;"2019::jama.2019.17380::"),"CHECK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Figure 2D (urine ACR, omega-3 vs placebo) prints counts 609/463/440 (placebo) and 702/529/505 (omega-3), identical to panel C (vitamin D). eTable 6 omega-3 counts are 653/490/467 (placebo) and 658/502/478 (active), with the same totals (1311/992/945). The panel D counts were copied from panel C. This is the same mechanism as C001.</t>
        </is>
      </c>
    </row>
    <row r="4" ht="92" customFormat="1" customHeight="1" s="14">
      <c r="A4" s="12" t="inlineStr">
        <is>
          <t>2019::jama.2019.17380::C003</t>
        </is>
      </c>
      <c r="B4" s="12" t="inlineStr">
        <is>
          <t>Figure 3 assigns vitamin-D arm sizes to the opposite column labels</t>
        </is>
      </c>
      <c r="C4" s="12" t="inlineStr">
        <is>
          <t>Abstract — PDF p. 1; Table 2 and Figure 3 — PDF p. 8.</t>
        </is>
      </c>
      <c r="D4" s="23" t="inlineStr">
        <is>
          <t>retain</t>
        </is>
      </c>
      <c r="E4" s="23" t="inlineStr">
        <is>
          <t>report_internal_inconsistency</t>
        </is>
      </c>
      <c r="F4" s="23" t="inlineStr">
        <is>
          <t>primary_done</t>
        </is>
      </c>
      <c r="G4" s="12">
        <f>IFERROR(IF(OR(NOT(EXACT(Setup!$B$4,"R_A")),Setup!$B$5&lt;&gt;2019),"CHECK SETUP",IF(OR(LEN(TRIM(CLEAN(SUBSTITUTE(Setup!$B$2,CHAR(160)," "))))=0,Setup!$B$2&lt;&gt;TRIM(CLEAN(SUBSTITUTE(Setup!$B$2,CHAR(160)," ")))),"CHECK REVIEWER ID",IF(OR(A4="",COUNTIF($A$2:$A$8,A4)&lt;&gt;1,LEFT(A4,LEN("2019::jama.2019.17380::"))&lt;&gt;"2019::jama.2019.17380::"),"CHECK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Figure 3 (vitamin D subgroups) puts N = 703 under Placebo and 609 under Vitamin D, but the factorial cells give vitamin D 370 + 333 = 703 and placebo 289 + 320 = 609. All subgroup N columns are transposed. The means are aligned with the headings: overall -13.1/-12.3 match Table 2, and the factorial cell means agree with Figure 4. Only the N labels are swapped.</t>
        </is>
      </c>
    </row>
    <row r="5" ht="92" customFormat="1" customHeight="1" s="14">
      <c r="A5" s="11" t="inlineStr">
        <is>
          <t>2019::jama.2019.17380::C004</t>
        </is>
      </c>
      <c r="B5" s="11" t="inlineStr">
        <is>
          <t>Figure 4 assigns omega-3 arm sizes to the opposite column labels</t>
        </is>
      </c>
      <c r="C5" s="11" t="inlineStr">
        <is>
          <t>Abstract — PDF p. 1; Table 2 — PDF p. 8; Figure 4 — PDF p. 9.</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ID",IF(OR(A5="",COUNTIF($A$2:$A$8,A5)&lt;&gt;1,LEFT(A5,LEN("2019::jama.2019.17380::"))&lt;&gt;"2019::jama.2019.17380::"),"CHECK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Figure 4 (omega-3 subgroups) puts N = 659 under Placebo and 653 under Omega-3, but omega-3 arms are 370 + 289 = 659 active and 333 + 320 = 653 placebo. The N columns are transposed; the means match Table 2 (-13.1 placebo, -12.2 omega-3) and the factorial-cell cross-check with Figure 3. This is the same error as C003.</t>
        </is>
      </c>
    </row>
    <row r="6" ht="92" customFormat="1" customHeight="1" s="14">
      <c r="A6" s="12" t="inlineStr">
        <is>
          <t>2019::jama.2019.17380::C005</t>
        </is>
      </c>
      <c r="B6" s="12" t="inlineStr">
        <is>
          <t>eFigure 2 places vitamin-D participant counts under the opposite headings</t>
        </is>
      </c>
      <c r="C6" s="12" t="inlineStr">
        <is>
          <t>Abstract — PDF p. 1; eTable 6 — PDF p. 11; eFigure 2 — PDF p. 18.</t>
        </is>
      </c>
      <c r="D6" s="23" t="inlineStr">
        <is>
          <t>retain</t>
        </is>
      </c>
      <c r="E6" s="23" t="inlineStr">
        <is>
          <t>report_internal_inconsistency</t>
        </is>
      </c>
      <c r="F6" s="23" t="inlineStr">
        <is>
          <t>primary_done</t>
        </is>
      </c>
      <c r="G6" s="12">
        <f>IFERROR(IF(OR(NOT(EXACT(Setup!$B$4,"R_A")),Setup!$B$5&lt;&gt;2019),"CHECK SETUP",IF(OR(LEN(TRIM(CLEAN(SUBSTITUTE(Setup!$B$2,CHAR(160)," "))))=0,Setup!$B$2&lt;&gt;TRIM(CLEAN(SUBSTITUTE(Setup!$B$2,CHAR(160)," ")))),"CHECK REVIEWER ID",IF(OR(A6="",COUNTIF($A$2:$A$8,A6)&lt;&gt;1,LEFT(A6,LEN("2019::jama.2019.17380::"))&lt;&gt;"2019::jama.2019.17380::"),"CHECK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eFigure 2 (urine ACR, vitamin D subgroups) puts N = 703 under Placebo and 609 under Active, but eTable 6 gives vitamin D active N = 702 (randomized 703) and placebo 609. The geometric-change ratios follow the headings (placebo 3.02, active 2.97, matching eTable 6). Only the N columns are transposed, the same error as Figure 3.</t>
        </is>
      </c>
    </row>
    <row r="7" ht="92" customFormat="1" customHeight="1" s="14">
      <c r="A7" s="11" t="inlineStr">
        <is>
          <t>2019::jama.2019.17380::C006</t>
        </is>
      </c>
      <c r="B7" s="11" t="inlineStr">
        <is>
          <t>eFigure 3 places omega-3 participant counts under the opposite headings</t>
        </is>
      </c>
      <c r="C7" s="11" t="inlineStr">
        <is>
          <t>Abstract — PDF p. 1; eTable 6 — PDF p. 11; eFigure 3 — PDF p. 19.</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ID",IF(OR(A7="",COUNTIF($A$2:$A$8,A7)&lt;&gt;1,LEFT(A7,LEN("2019::jama.2019.17380::"))&lt;&gt;"2019::jama.2019.17380::"),"CHECK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eFigure 3 (urine ACR, omega-3 subgroups) puts N = 659 under Placebo and 653 under Active, but omega-3 active is 659 randomized (658 measured, eTable 6) and placebo 653. The change ratios follow the headings (placebo 3.05, active 2.94, matching eTable 6). Only the N columns are transposed.</t>
        </is>
      </c>
    </row>
    <row r="8" ht="92" customFormat="1" customHeight="1" s="14">
      <c r="A8" s="12" t="inlineStr">
        <is>
          <t>2019::jama.2019.17380::C007</t>
        </is>
      </c>
      <c r="B8" s="12" t="inlineStr">
        <is>
          <t>Imputation count differs between the analytic-plan addendum and article methods</t>
        </is>
      </c>
      <c r="C8" s="12" t="inlineStr">
        <is>
          <t>Analytic-plan addendum, Section 15c — PDF p. 32; Article Data Analysis — PDF p. 3.</t>
        </is>
      </c>
      <c r="D8" s="23" t="inlineStr">
        <is>
          <t>exclude</t>
        </is>
      </c>
      <c r="E8" s="23" t="inlineStr">
        <is>
          <t>protocol_report</t>
        </is>
      </c>
      <c r="F8" s="23" t="inlineStr">
        <is>
          <t>primary_done</t>
        </is>
      </c>
      <c r="G8" s="12">
        <f>IFERROR(IF(OR(NOT(EXACT(Setup!$B$4,"R_A")),Setup!$B$5&lt;&gt;2019),"CHECK SETUP",IF(OR(LEN(TRIM(CLEAN(SUBSTITUTE(Setup!$B$2,CHAR(160)," "))))=0,Setup!$B$2&lt;&gt;TRIM(CLEAN(SUBSTITUTE(Setup!$B$2,CHAR(160)," ")))),"CHECK REVIEWER ID",IF(OR(A8="",COUNTIF($A$2:$A$8,A8)&lt;&gt;1,LEFT(A8,LEN("2019::jama.2019.17380::"))&lt;&gt;"2019::jama.2019.17380::"),"CHECK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inlineStr">
        <is>
          <t>The protocol addendum (submitted 3/2015) specifies MICE with 10 imputed data sets combined by Rubin's rules; the article reports M = 20 with Rubin's rules. The method is as planned. Doubling M only reduces Monte Carlo error and cannot bias estimates or change interpretation. This is a real but immaterial implementation difference, so I do not retain it.</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10"/>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2019::jama.2019.2210::C001</t>
        </is>
      </c>
      <c r="B2" s="12" t="inlineStr">
        <is>
          <t>Table 1 SNP percentages use unlabelled, variable available-case denominators</t>
        </is>
      </c>
      <c r="C2" s="12" t="inlineStr">
        <is>
          <t>main article — PDF p. 5; Supplement 2 — PDF p. 7, p. 13, and p. 27.</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ID",IF(OR(A2="",COUNTIF($A$2:$A$10,A2)&lt;&gt;1,LEFT(A2,LEN("2019::jama.2019.2210::"))&lt;&gt;"2019::jama.2019.2210::"),"CHECK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unlikely</t>
        </is>
      </c>
      <c r="K2" s="23">
        <f>IF(AND(OR(D2="retain",D2=""),OR(E2="report_internal_inconsistency",E2="plan_material")),"","not_applicable")</f>
        <v/>
      </c>
      <c r="L2" s="24">
        <f>IF(AND(OR(D2="retain",D2=""),E2="protocol_report"),"","not_applicable")</f>
        <v/>
      </c>
      <c r="M2" s="11" t="n"/>
      <c r="N2" s="11" t="n"/>
      <c r="O2" s="11" t="n"/>
      <c r="P2" s="11" t="n"/>
      <c r="Q2" s="11" t="n"/>
      <c r="R2" s="24" t="inlineStr">
        <is>
          <t>Table 1 SNP rows sum to fewer than the arm headers (n = 251/166). Vitamin D totals are 230-245 and placebo 148-157 (eg Cdx2 230/150), and the percentages use these available-case totals. Missing genotypes are not shown or footnoted. A valid calculation with an undocumented denominator. Also ApaI placebo GT 61/150 = 40.7% is printed 40.</t>
        </is>
      </c>
    </row>
    <row r="3" ht="92" customFormat="1" customHeight="1" s="14">
      <c r="A3" s="11" t="inlineStr">
        <is>
          <t>2019::jama.2019.2210::C002</t>
        </is>
      </c>
      <c r="B3" s="11" t="inlineStr">
        <is>
          <t>Figure 3 caption says panel-C risk numbers are absent although the panel prints them</t>
        </is>
      </c>
      <c r="C3" s="11" t="inlineStr">
        <is>
          <t>main article — PDF p. 7.</t>
        </is>
      </c>
      <c r="D3" s="23" t="inlineStr">
        <is>
          <t>retain</t>
        </is>
      </c>
      <c r="E3" s="23" t="inlineStr">
        <is>
          <t>report_internal_inconsistency</t>
        </is>
      </c>
      <c r="F3" s="23" t="inlineStr">
        <is>
          <t>primary_done</t>
        </is>
      </c>
      <c r="G3" s="11">
        <f>IFERROR(IF(OR(NOT(EXACT(Setup!$B$4,"R_A")),Setup!$B$5&lt;&gt;2019),"CHECK SETUP",IF(OR(LEN(TRIM(CLEAN(SUBSTITUTE(Setup!$B$2,CHAR(160)," "))))=0,Setup!$B$2&lt;&gt;TRIM(CLEAN(SUBSTITUTE(Setup!$B$2,CHAR(160)," ")))),"CHECK REVIEWER ID",IF(OR(A3="",COUNTIF($A$2:$A$10,A3)&lt;&gt;1,LEFT(A3,LEN("2019::jama.2019.2210::"))&lt;&gt;"2019::jama.2019.2210::"),"CHECK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t="inlineStr">
        <is>
          <t>minor_presentation</t>
        </is>
      </c>
      <c r="L3" s="24">
        <f>IF(AND(OR(D3="retain",D3=""),E3="protocol_report"),"","not_applicable")</f>
        <v/>
      </c>
      <c r="M3" s="11" t="n"/>
      <c r="N3" s="11" t="n"/>
      <c r="O3" s="11" t="n"/>
      <c r="P3" s="11" t="n"/>
      <c r="Q3" s="11" t="n"/>
      <c r="R3" s="24" t="inlineStr">
        <is>
          <t>The Figure 3 caption says 'Numbers at risk for panel C are not given because of weighting', yet Figure 3C prints numbers at risk. Figure 2C (competing-risk cumulative incidence) is the panel that has no at-risk row, so the sentence most likely belongs to the Figure 2 caption. Domain changed: this is a caption-display mismatch, not a numeric error.</t>
        </is>
      </c>
    </row>
    <row r="4" ht="92" customFormat="1" customHeight="1" s="14">
      <c r="A4" s="12" t="inlineStr">
        <is>
          <t>2019::jama.2019.2210::C003</t>
        </is>
      </c>
      <c r="B4" s="12" t="inlineStr">
        <is>
          <t>Final protocol gives different accrual stopping thresholds</t>
        </is>
      </c>
      <c r="C4" s="12" t="inlineStr">
        <is>
          <t>Supplement 1 — PDF p. 18 and Supplement 1 — PDF p. 31.</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ID",IF(OR(A4="",COUNTIF($A$2:$A$10,A4)&lt;&gt;1,LEFT(A4,LEN("2019::jama.2019.2210::"))&lt;&gt;"2019::jama.2019.2210::"),"CHECK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Final protocol synopsis (p. 18): 'if the number of randomized patients reaches &gt;400, then entry is stopped' (target 240 + 160 = 400). Statistical section (p. 31): 'After enrolling 400 patients, enrollment will finish.' The literal thresholds differ by one patient, but both describe a 400 target. The trial randomized 417. Trivial wording difference.</t>
        </is>
      </c>
    </row>
    <row r="5" ht="92" customFormat="1" customHeight="1" s="14">
      <c r="A5" s="11" t="inlineStr">
        <is>
          <t>2019::jama.2019.2210::C004</t>
        </is>
      </c>
      <c r="B5" s="11" t="inlineStr">
        <is>
          <t>Final protocol assigns de novo cancer incompatible endpoint labels</t>
        </is>
      </c>
      <c r="C5" s="11" t="inlineStr">
        <is>
          <t>Supplement 1 — PDF p. 19, p. 25, p. 26, and p. 45; main article — PDF p. 8.</t>
        </is>
      </c>
      <c r="D5" s="23" t="inlineStr">
        <is>
          <t>retain</t>
        </is>
      </c>
      <c r="E5" s="23" t="inlineStr">
        <is>
          <t>protocol_report</t>
        </is>
      </c>
      <c r="F5" s="23" t="inlineStr">
        <is>
          <t>primary_done</t>
        </is>
      </c>
      <c r="G5" s="11">
        <f>IFERROR(IF(OR(NOT(EXACT(Setup!$B$4,"R_A")),Setup!$B$5&lt;&gt;2019),"CHECK SETUP",IF(OR(LEN(TRIM(CLEAN(SUBSTITUTE(Setup!$B$2,CHAR(160)," "))))=0,Setup!$B$2&lt;&gt;TRIM(CLEAN(SUBSTITUTE(Setup!$B$2,CHAR(160)," ")))),"CHECK REVIEWER ID",IF(OR(A5="",COUNTIF($A$2:$A$10,A5)&lt;&gt;1,LEFT(A5,LEN("2019::jama.2019.2210::"))&lt;&gt;"2019::jama.2019.2210::"),"CHECK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t="inlineStr">
        <is>
          <t>minor_presentation</t>
        </is>
      </c>
      <c r="M5" s="11" t="n"/>
      <c r="N5" s="11" t="n"/>
      <c r="O5" s="11" t="n"/>
      <c r="P5" s="11" t="n"/>
      <c r="Q5" s="11" t="n"/>
      <c r="R5" s="24" t="inlineStr">
        <is>
          <t>De novo cancer is labeled 'an adverse event, not ... an outcome' in the final-protocol synopsis, a 'Tertiary outcome' in the protocol body, and moved from safety to tertiary in 2012 per the change summary. The article lists it under safety outcomes (Table 3), but reports it both per protocol and by randomization group (16/251 vs 9/166). Classification differs; the data are fully reported.</t>
        </is>
      </c>
    </row>
    <row r="6" ht="92" customFormat="1" customHeight="1" s="14">
      <c r="A6" s="12" t="inlineStr">
        <is>
          <t>2019::jama.2019.2210::C005</t>
        </is>
      </c>
      <c r="B6" s="12" t="inlineStr">
        <is>
          <t>One final-protocol high-25(OH)D stratum label omits the boundary operator</t>
        </is>
      </c>
      <c r="C6" s="12" t="inlineStr">
        <is>
          <t>Supplement 1 — PDF p. 23 and p. 31; main article — PDF p. 3.</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ID",IF(OR(A6="",COUNTIF($A$2:$A$10,A6)&lt;&gt;1,LEFT(A6,LEN("2019::jama.2019.2210::"))&lt;&gt;"2019::jama.2019.2210::"),"CHECK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Final protocol p. 23: 'low (&lt; 20 ng/mL), middle, (&gt;= 20 to &lt;= 40 ng/mL) or high (40 ng/mL)'. The operator for 'high' is missing. Because 'middle' explicitly includes 40, 'high' can only mean &gt; 40, which p. 31 and the article state. A typographic omission with clear intended meaning.</t>
        </is>
      </c>
    </row>
    <row r="7" ht="92" customFormat="1" customHeight="1" s="14">
      <c r="A7" s="11" t="inlineStr">
        <is>
          <t>2019::jama.2019.2210::C006</t>
        </is>
      </c>
      <c r="B7" s="11" t="inlineStr">
        <is>
          <t>Supplement labels Cdx2 genotype panels as CDK2</t>
        </is>
      </c>
      <c r="C7" s="11" t="inlineStr">
        <is>
          <t>main article — PDF p. 5; Supplement 1 — PDF p. 27; Supplement 2 — PDF p. 13, p. 14, and p. 15.</t>
        </is>
      </c>
      <c r="D7" s="23" t="inlineStr">
        <is>
          <t>retain</t>
        </is>
      </c>
      <c r="E7" s="23" t="inlineStr">
        <is>
          <t>report_internal_inconsistency</t>
        </is>
      </c>
      <c r="F7" s="23" t="inlineStr">
        <is>
          <t>primary_done</t>
        </is>
      </c>
      <c r="G7" s="11">
        <f>IFERROR(IF(OR(NOT(EXACT(Setup!$B$4,"R_A")),Setup!$B$5&lt;&gt;2019),"CHECK SETUP",IF(OR(LEN(TRIM(CLEAN(SUBSTITUTE(Setup!$B$2,CHAR(160)," "))))=0,Setup!$B$2&lt;&gt;TRIM(CLEAN(SUBSTITUTE(Setup!$B$2,CHAR(160)," ")))),"CHECK REVIEWER ID",IF(OR(A7="",COUNTIF($A$2:$A$10,A7)&lt;&gt;1,LEFT(A7,LEN("2019::jama.2019.2210::"))&lt;&gt;"2019::jama.2019.2210::"),"CHECK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t="inlineStr">
        <is>
          <t>minor_presentation</t>
        </is>
      </c>
      <c r="L7" s="24">
        <f>IF(AND(OR(D7="retain",D7=""),E7="protocol_report"),"","not_applicable")</f>
        <v/>
      </c>
      <c r="M7" s="11" t="n"/>
      <c r="N7" s="11" t="n"/>
      <c r="O7" s="11" t="n"/>
      <c r="P7" s="11" t="n"/>
      <c r="Q7" s="11" t="n"/>
      <c r="R7" s="24" t="inlineStr">
        <is>
          <t>Supplement 2 eFigures 3G-3I title and caption the Cdx2 genotype panels 'CDK2 GG/GA/AA'. The article and protocol use Cdx2/CDX2 (rs11568820). The at-risk counts match Table 1 Cdx2 counts exactly (eg GG 49/89), so this is a typographic mislabel. CDK2 is a different gene, which a reader could find confusing.</t>
        </is>
      </c>
    </row>
    <row r="8" ht="92" customFormat="1" customHeight="1" s="14">
      <c r="A8" s="12" t="inlineStr">
        <is>
          <t>2019::jama.2019.2210::C007</t>
        </is>
      </c>
      <c r="B8" s="12" t="inlineStr">
        <is>
          <t>Table 1 BMI categories use smaller, unlabelled denominators than the arm headers</t>
        </is>
      </c>
      <c r="C8" s="12" t="inlineStr">
        <is>
          <t>main article — PDF p. 5; Supplement 2 — PDF p. 32 and p. 33.</t>
        </is>
      </c>
      <c r="D8" s="23" t="inlineStr">
        <is>
          <t>retain</t>
        </is>
      </c>
      <c r="E8" s="23" t="inlineStr">
        <is>
          <t>statistical_results</t>
        </is>
      </c>
      <c r="F8" s="23" t="inlineStr">
        <is>
          <t>primary_done</t>
        </is>
      </c>
      <c r="G8" s="12">
        <f>IFERROR(IF(OR(NOT(EXACT(Setup!$B$4,"R_A")),Setup!$B$5&lt;&gt;2019),"CHECK SETUP",IF(OR(LEN(TRIM(CLEAN(SUBSTITUTE(Setup!$B$2,CHAR(160)," "))))=0,Setup!$B$2&lt;&gt;TRIM(CLEAN(SUBSTITUTE(Setup!$B$2,CHAR(160)," ")))),"CHECK REVIEWER ID",IF(OR(A8="",COUNTIF($A$2:$A$10,A8)&lt;&gt;1,LEFT(A8,LEN("2019::jama.2019.2210::"))&lt;&gt;"2019::jama.2019.2210::"),"CHECK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t="inlineStr">
        <is>
          <t>confirmed_issue</t>
        </is>
      </c>
      <c r="I8" s="23" t="inlineStr">
        <is>
          <t>minor_presentation</t>
        </is>
      </c>
      <c r="J8" s="24" t="inlineStr">
        <is>
          <t>unlikely</t>
        </is>
      </c>
      <c r="K8" s="23">
        <f>IF(AND(OR(D8="retain",D8=""),OR(E8="report_internal_inconsistency",E8="plan_material")),"","not_applicable")</f>
        <v/>
      </c>
      <c r="L8" s="24">
        <f>IF(AND(OR(D8="retain",D8=""),E8="protocol_report"),"","not_applicable")</f>
        <v/>
      </c>
      <c r="M8" s="11" t="n"/>
      <c r="N8" s="11" t="n"/>
      <c r="O8" s="11" t="n"/>
      <c r="P8" s="11" t="n"/>
      <c r="Q8" s="11" t="n"/>
      <c r="R8" s="24" t="inlineStr">
        <is>
          <t>Table 1 BMI quartile counts total 249 (63 + 62 + 59 + 65) and 165 (36 + 43 + 45 + 41) against headers of 251/166, and the missing 2 + 1 are not noted. eFigure 6 repeats 208 + 41 and 144 + 21. Unlike the SNP rows, the BMI percentages round identically with either denominator, so they do not show which was used. Undocumented missingness; minor.</t>
        </is>
      </c>
    </row>
    <row r="9" ht="92" customFormat="1" customHeight="1" s="14">
      <c r="A9" s="11"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inlineStr">
        <is>
          <t>exclude</t>
        </is>
      </c>
      <c r="E9" s="23" t="inlineStr">
        <is>
          <t>protocol_report</t>
        </is>
      </c>
      <c r="F9" s="23" t="inlineStr">
        <is>
          <t>primary_done</t>
        </is>
      </c>
      <c r="G9" s="11">
        <f>IFERROR(IF(OR(NOT(EXACT(Setup!$B$4,"R_A")),Setup!$B$5&lt;&gt;2019),"CHECK SETUP",IF(OR(LEN(TRIM(CLEAN(SUBSTITUTE(Setup!$B$2,CHAR(160)," "))))=0,Setup!$B$2&lt;&gt;TRIM(CLEAN(SUBSTITUTE(Setup!$B$2,CHAR(160)," ")))),"CHECK REVIEWER ID",IF(OR(A9="",COUNTIF($A$2:$A$10,A9)&lt;&gt;1,LEFT(A9,LEN("2019::jama.2019.2210::"))&lt;&gt;"2019::jama.2019.2210::"),"CHECK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inlineStr">
        <is>
          <t>The protocol times RFS/OS from 'starting supplementation'; the article times them from 'the date of randomization (ie, time from starting the study medication)' and states that patients were randomized and began medication at the same first postoperative outpatient visit. The two labels name the same date by design. No inconsistency.</t>
        </is>
      </c>
    </row>
    <row r="10" ht="92" customFormat="1" customHeight="1" s="14">
      <c r="A10" s="12" t="inlineStr">
        <is>
          <t>2019::jama.2019.2210::C009</t>
        </is>
      </c>
      <c r="B10" s="12" t="inlineStr">
        <is>
          <t>Table 2 hazard-ratio direction footnote is opposite the displayed outcome direction</t>
        </is>
      </c>
      <c r="C10" s="12" t="inlineStr">
        <is>
          <t>main article — PDF p. 4, p. 6, and p. 7.</t>
        </is>
      </c>
      <c r="D10" s="23" t="inlineStr">
        <is>
          <t>retain</t>
        </is>
      </c>
      <c r="E10" s="23" t="inlineStr">
        <is>
          <t>report_internal_inconsistency</t>
        </is>
      </c>
      <c r="F10" s="23" t="inlineStr">
        <is>
          <t>primary_done</t>
        </is>
      </c>
      <c r="G10" s="12">
        <f>IFERROR(IF(OR(NOT(EXACT(Setup!$B$4,"R_A")),Setup!$B$5&lt;&gt;2019),"CHECK SETUP",IF(OR(LEN(TRIM(CLEAN(SUBSTITUTE(Setup!$B$2,CHAR(160)," "))))=0,Setup!$B$2&lt;&gt;TRIM(CLEAN(SUBSTITUTE(Setup!$B$2,CHAR(160)," ")))),"CHECK REVIEWER ID",IF(OR(A10="",COUNTIF($A$2:$A$10,A10)&lt;&gt;1,LEFT(A10,LEN("2019::jama.2019.2210::"))&lt;&gt;"2019::jama.2019.2210::"),"CHECK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t="inlineStr">
        <is>
          <t>substantive_inconsistency</t>
        </is>
      </c>
      <c r="L10" s="24">
        <f>IF(AND(OR(D10="retain",D10=""),E10="protocol_report"),"","not_applicable")</f>
        <v/>
      </c>
      <c r="M10" s="11" t="n"/>
      <c r="N10" s="11" t="n"/>
      <c r="O10" s="11" t="n"/>
      <c r="P10" s="11" t="n"/>
      <c r="Q10" s="11" t="n"/>
      <c r="R10" s="24" t="inlineStr">
        <is>
          <t>Table 2 footnote: 'HR values greater than 1 indicate that vitamin D ... was associated with a decreased probability of the outcome.' Everywhere else, HR &lt; 1 means benefit: relapse 41/251 (16.3%) vs 36/166 (21.7%) with sHR 0.75; text calls middle-subgroup sHR 0.44 'significantly lower'; Figure 3A shows vitamin D below placebo with HR 0.46. The footnote reverses the direction.</t>
        </is>
      </c>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6"/>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Format="1" customHeight="1" s="14">
      <c r="A2" s="12"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ID",IF(OR(A2="",COUNTIF($A$2:$A$6,A2)&lt;&gt;1,LEFT(A2,LEN("2019::jama.2019.4755::"))&lt;&gt;"2019::jama.2019.4755::"),"CHECK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eTable 5 (per protocol), Women/Quantitative/10.2: the PPV-difference point estimate is printed as '-' while the arm PPVs (15.9, 34.1) and CI [-34.7, -1.3] are shown. From eTable 4: 11/69 = 15.9%, 14/41 = 34.1%, difference -18.2 pp. All three women rows (the only negative two-digit values) lost their magnitude, which suggests column clipping. Recoverable, but missing.</t>
        </is>
      </c>
    </row>
    <row r="3" ht="190" customFormat="1" customHeight="1" s="14">
      <c r="A3" s="11"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ID",IF(OR(A3="",COUNTIF($A$2:$A$6,A3)&lt;&gt;1,LEFT(A3,LEN("2019::jama.2019.4755::"))&lt;&gt;"2019::jama.2019.4755::"),"CHECK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minor_presentation</t>
        </is>
      </c>
      <c r="J3" s="24" t="inlineStr">
        <is>
          <t>possible</t>
        </is>
      </c>
      <c r="K3" s="23">
        <f>IF(AND(OR(D3="retain",D3=""),OR(E3="report_internal_inconsistency",E3="plan_material")),"","not_applicable")</f>
        <v/>
      </c>
      <c r="L3" s="24">
        <f>IF(AND(OR(D3="retain",D3=""),E3="protocol_report"),"","not_applicable")</f>
        <v/>
      </c>
      <c r="M3" s="11" t="n"/>
      <c r="N3" s="11" t="n"/>
      <c r="O3" s="11" t="n"/>
      <c r="P3" s="11" t="n"/>
      <c r="Q3" s="11" t="n"/>
      <c r="R3" s="24" t="inlineStr">
        <is>
          <t>eTable 5, Women/Quantitative/17.0: PPV-difference point estimate printed as '-' with PPVs 17.1 vs 42.9 and CI [-48.4, -0.7]. From eTable 4: 6/35 = 17.1%, 9/21 = 42.9%, difference -25.7 pp (-25.8 from the rounded PPVs). Same clipping pattern as C001. Recoverable but missing.</t>
        </is>
      </c>
    </row>
    <row r="4" ht="176" customFormat="1" customHeight="1" s="14">
      <c r="A4" s="12"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inlineStr">
        <is>
          <t>retain</t>
        </is>
      </c>
      <c r="E4" s="23" t="inlineStr">
        <is>
          <t>statistical_results</t>
        </is>
      </c>
      <c r="F4" s="23" t="inlineStr">
        <is>
          <t>primary_done</t>
        </is>
      </c>
      <c r="G4" s="12">
        <f>IFERROR(IF(OR(NOT(EXACT(Setup!$B$4,"R_A")),Setup!$B$5&lt;&gt;2019),"CHECK SETUP",IF(OR(LEN(TRIM(CLEAN(SUBSTITUTE(Setup!$B$2,CHAR(160)," "))))=0,Setup!$B$2&lt;&gt;TRIM(CLEAN(SUBSTITUTE(Setup!$B$2,CHAR(160)," ")))),"CHECK REVIEWER ID",IF(OR(A4="",COUNTIF($A$2:$A$6,A4)&lt;&gt;1,LEFT(A4,LEN("2019::jama.2019.4755::"))&lt;&gt;"2019::jama.2019.4755::"),"CHECK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t="inlineStr">
        <is>
          <t>confirmed_issue</t>
        </is>
      </c>
      <c r="I4" s="23" t="inlineStr">
        <is>
          <t>minor_presentation</t>
        </is>
      </c>
      <c r="J4" s="24" t="inlineStr">
        <is>
          <t>possible</t>
        </is>
      </c>
      <c r="K4" s="23">
        <f>IF(AND(OR(D4="retain",D4=""),OR(E4="report_internal_inconsistency",E4="plan_material")),"","not_applicable")</f>
        <v/>
      </c>
      <c r="L4" s="24">
        <f>IF(AND(OR(D4="retain",D4=""),E4="protocol_report"),"","not_applicable")</f>
        <v/>
      </c>
      <c r="M4" s="11" t="n"/>
      <c r="N4" s="11" t="n"/>
      <c r="O4" s="11" t="n"/>
      <c r="P4" s="11" t="n"/>
      <c r="Q4" s="11" t="n"/>
      <c r="R4" s="24" t="inlineStr">
        <is>
          <t>eTable 5, Women/Qualitative/10.2: PPV-difference point estimate printed as '-' with PPVs 9.7 vs 31.2 and CI [-38.9, -3.9]. From eTable 4: 6/62 = 9.7%, 10/32 = 31.3%, difference -21.6 pp (-21.5 from the rounded PPVs). Same clipping pattern as C001-C002.</t>
        </is>
      </c>
    </row>
    <row r="5" ht="204" customFormat="1" customHeight="1" s="14">
      <c r="A5" s="11"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ID",IF(OR(A5="",COUNTIF($A$2:$A$6,A5)&lt;&gt;1,LEFT(A5,LEN("2019::jama.2019.4755::"))&lt;&gt;"2019::jama.2019.4755::"),"CHECK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The eTable 5 column header reads 'Cutoff [µg' with the rest of the unit ('Hb/g]') not rendered. eTable 4 and main Table 3 print 'µg Hb/g'. Same layout clipping as the missing women's PPV differences. The unit is obvious from the cutoff values (10.2, 17.0) and adjacent tables.</t>
        </is>
      </c>
    </row>
    <row r="6" ht="176" customFormat="1" customHeight="1" s="14">
      <c r="A6" s="12"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inlineStr">
        <is>
          <t>retain</t>
        </is>
      </c>
      <c r="E6" s="23" t="inlineStr">
        <is>
          <t>plan_material</t>
        </is>
      </c>
      <c r="F6" s="23" t="inlineStr">
        <is>
          <t>primary_done</t>
        </is>
      </c>
      <c r="G6" s="12">
        <f>IFERROR(IF(OR(NOT(EXACT(Setup!$B$4,"R_A")),Setup!$B$5&lt;&gt;2019),"CHECK SETUP",IF(OR(LEN(TRIM(CLEAN(SUBSTITUTE(Setup!$B$2,CHAR(160)," "))))=0,Setup!$B$2&lt;&gt;TRIM(CLEAN(SUBSTITUTE(Setup!$B$2,CHAR(160)," ")))),"CHECK REVIEWER ID",IF(OR(A6="",COUNTIF($A$2:$A$6,A6)&lt;&gt;1,LEFT(A6,LEN("2019::jama.2019.4755::"))&lt;&gt;"2019::jama.2019.4755::"),"CHECK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t="inlineStr">
        <is>
          <t>minor_presentation</t>
        </is>
      </c>
      <c r="L6" s="24">
        <f>IF(AND(OR(D6="retain",D6=""),E6="protocol_report"),"","not_applicable")</f>
        <v/>
      </c>
      <c r="M6" s="11" t="n"/>
      <c r="N6" s="11" t="n"/>
      <c r="O6" s="11" t="n"/>
      <c r="P6" s="11" t="n"/>
      <c r="Q6" s="11" t="n"/>
      <c r="R6" s="24" t="inlineStr">
        <is>
          <t>SAP section 3.2: 'manufacturer's threshold and a lower threshold (17 μg Hb/g feces and 10.2 Hb/g feces)'. The μg is missing from the second value. SAP section 5.4 and the article give 10.2 μg Hb/g. A typographic omission with no ambiguity in context.</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12" t="inlineStr">
        <is>
          <t>2019::jama.2019.7505::C001</t>
        </is>
      </c>
      <c r="B2" s="12" t="inlineStr">
        <is>
          <t>Hypoxemia confidence-interval endpoint sign differs between abstract and Table 3</t>
        </is>
      </c>
      <c r="C2" s="12" t="inlineStr">
        <is>
          <t>DOC-001, jama_bluth_2019_oi_190055_16092.pdf — PDF p. 1, abstract and PDF p. 9, Table 3.</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ID",IF(OR(A2="",COUNTIF($A$2:$A$5,A2)&lt;&gt;1,LEFT(A2,LEN("2019::jama.2019.7505::"))&lt;&gt;"2019::jama.2019.7505::"),"CHECK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minor_presentation</t>
        </is>
      </c>
      <c r="J2" s="24" t="inlineStr">
        <is>
          <t>possible</t>
        </is>
      </c>
      <c r="K2" s="23">
        <f>IF(AND(OR(D2="retain",D2=""),OR(E2="report_internal_inconsistency",E2="plan_material")),"","not_applicable")</f>
        <v/>
      </c>
      <c r="L2" s="24">
        <f>IF(AND(OR(D2="retain",D2=""),E2="protocol_report"),"","not_applicable")</f>
        <v/>
      </c>
      <c r="M2" s="11" t="n"/>
      <c r="N2" s="11" t="n"/>
      <c r="O2" s="11" t="n"/>
      <c r="P2" s="11" t="n"/>
      <c r="Q2" s="11" t="n"/>
      <c r="R2" s="24" t="inlineStr">
        <is>
          <t>Abstract: hypoxemia difference -8.6% (95% CI, -11.1% to 6.1%), P &lt; .001. Table 3: -8.6 (-11.1 to -6.1). A Wald interval from 49/989 vs 134/987 is -11.15 to -6.09, so the abstract dropped a minus sign. As printed, the abstract CI includes 0, contradicting P &lt; .001. I changed E to statistical_results because the correct value is recomputable.</t>
        </is>
      </c>
    </row>
    <row r="3" ht="120" customFormat="1" customHeight="1" s="14">
      <c r="A3" s="11"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inlineStr">
        <is>
          <t>retain</t>
        </is>
      </c>
      <c r="E3" s="23" t="inlineStr">
        <is>
          <t>statistical_results</t>
        </is>
      </c>
      <c r="F3" s="23" t="inlineStr">
        <is>
          <t>primary_done</t>
        </is>
      </c>
      <c r="G3" s="11">
        <f>IFERROR(IF(OR(NOT(EXACT(Setup!$B$4,"R_A")),Setup!$B$5&lt;&gt;2019),"CHECK SETUP",IF(OR(LEN(TRIM(CLEAN(SUBSTITUTE(Setup!$B$2,CHAR(160)," "))))=0,Setup!$B$2&lt;&gt;TRIM(CLEAN(SUBSTITUTE(Setup!$B$2,CHAR(160)," ")))),"CHECK REVIEWER ID",IF(OR(A3="",COUNTIF($A$2:$A$5,A3)&lt;&gt;1,LEFT(A3,LEN("2019::jama.2019.7505::"))&lt;&gt;"2019::jama.2019.7505::"),"CHECK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t="inlineStr">
        <is>
          <t>confirmed_issue</t>
        </is>
      </c>
      <c r="I3" s="23" t="inlineStr">
        <is>
          <t>substantive</t>
        </is>
      </c>
      <c r="J3" s="24" t="inlineStr">
        <is>
          <t>direct</t>
        </is>
      </c>
      <c r="K3" s="23">
        <f>IF(AND(OR(D3="retain",D3=""),OR(E3="report_internal_inconsistency",E3="plan_material")),"","not_applicable")</f>
        <v/>
      </c>
      <c r="L3" s="24">
        <f>IF(AND(OR(D3="retain",D3=""),E3="protocol_report"),"","not_applicable")</f>
        <v/>
      </c>
      <c r="M3" s="11" t="n"/>
      <c r="N3" s="11" t="n"/>
      <c r="O3" s="11" t="n"/>
      <c r="P3" s="11" t="n"/>
      <c r="Q3" s="11" t="n"/>
      <c r="R3" s="24" t="inlineStr">
        <is>
          <t>DIC: 1/989 vs 0/987 with RR 2.00 (1.91-2.09) and P &gt; .99. A high-vs-low RR is undefined with 0 events, and a CI excluding 1 contradicts P &gt; .99. 2.00 equals the high-PEEP risk divided by the pooled risk: (1/989)/(1/1976) = 2.00. That ratio also reproduces many Table 3 RRs (pleural effusion 1.34, crude 2.04; mortality 1.41, crude 2.40). The whole RR column needs checking.</t>
        </is>
      </c>
    </row>
    <row r="4" ht="162" customFormat="1" customHeight="1" s="14">
      <c r="A4" s="12"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inlineStr">
        <is>
          <t>retain</t>
        </is>
      </c>
      <c r="E4" s="23" t="inlineStr">
        <is>
          <t>plan_material</t>
        </is>
      </c>
      <c r="F4" s="23" t="inlineStr">
        <is>
          <t>primary_done</t>
        </is>
      </c>
      <c r="G4" s="12">
        <f>IFERROR(IF(OR(NOT(EXACT(Setup!$B$4,"R_A")),Setup!$B$5&lt;&gt;2019),"CHECK SETUP",IF(OR(LEN(TRIM(CLEAN(SUBSTITUTE(Setup!$B$2,CHAR(160)," "))))=0,Setup!$B$2&lt;&gt;TRIM(CLEAN(SUBSTITUTE(Setup!$B$2,CHAR(160)," ")))),"CHECK REVIEWER ID",IF(OR(A4="",COUNTIF($A$2:$A$5,A4)&lt;&gt;1,LEFT(A4,LEN("2019::jama.2019.7505::"))&lt;&gt;"2019::jama.2019.7505::"),"CHECK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t="inlineStr">
        <is>
          <t>minor_presentation</t>
        </is>
      </c>
      <c r="L4" s="24">
        <f>IF(AND(OR(D4="retain",D4=""),E4="protocol_report"),"","not_applicable")</f>
        <v/>
      </c>
      <c r="M4" s="11" t="n"/>
      <c r="N4" s="11" t="n"/>
      <c r="O4" s="11" t="n"/>
      <c r="P4" s="11" t="n"/>
      <c r="Q4" s="11" t="n"/>
      <c r="R4" s="24" t="inlineStr">
        <is>
          <t>Protocol v2.6 section 8.2: 'the odds ratio relative risks with corresponding 95% confidence levels interval will be calculated using logistic regression'. The effect measure is garbled (logistic regression implies an OR). The updated SAP (finalized January 20, 2018, before database lock) specifies risk ratios for the primary and binary outcomes. The SAP resolves the ambiguity before analysis.</t>
        </is>
      </c>
    </row>
    <row r="5" ht="134" customFormat="1" customHeight="1" s="14">
      <c r="A5" s="11"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inlineStr">
        <is>
          <t>retain</t>
        </is>
      </c>
      <c r="E5" s="23" t="inlineStr">
        <is>
          <t>report_internal_inconsistency</t>
        </is>
      </c>
      <c r="F5" s="23" t="inlineStr">
        <is>
          <t>primary_done</t>
        </is>
      </c>
      <c r="G5" s="11">
        <f>IFERROR(IF(OR(NOT(EXACT(Setup!$B$4,"R_A")),Setup!$B$5&lt;&gt;2019),"CHECK SETUP",IF(OR(LEN(TRIM(CLEAN(SUBSTITUTE(Setup!$B$2,CHAR(160)," "))))=0,Setup!$B$2&lt;&gt;TRIM(CLEAN(SUBSTITUTE(Setup!$B$2,CHAR(160)," ")))),"CHECK REVIEWER ID",IF(OR(A5="",COUNTIF($A$2:$A$5,A5)&lt;&gt;1,LEFT(A5,LEN("2019::jama.2019.7505::"))&lt;&gt;"2019::jama.2019.7505::"),"CHECK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t="inlineStr">
        <is>
          <t>minor_presentation</t>
        </is>
      </c>
      <c r="L5" s="24">
        <f>IF(AND(OR(D5="retain",D5=""),E5="protocol_report"),"","not_applicable")</f>
        <v/>
      </c>
      <c r="M5" s="11" t="n"/>
      <c r="N5" s="11" t="n"/>
      <c r="O5" s="11" t="n"/>
      <c r="P5" s="11" t="n"/>
      <c r="Q5" s="11" t="n"/>
      <c r="R5" s="24" t="inlineStr">
        <is>
          <t>eFigure 11 is titled 'Probability of death in the first 5 postoperative days', with an HR for 5-day mortality of 1.67, but its narrative calls the 0.5% vs 0.3% values 'the rate of postoperative extra-pulmonary complications'. That wording is copied from eFigure 10 (16.9% vs 15.2%). The values (5/989, 3/987) are mortality. Copy-paste label error.</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Protection</t>
        </is>
      </c>
      <c r="B59" s="17" t="inlineStr">
        <is>
          <t>GUIDE</t>
        </is>
      </c>
      <c r="C59" s="17" t="inlineStr">
        <is>
          <t>All cells</t>
        </is>
      </c>
      <c r="D59" s="17" t="inlineStr">
        <is>
          <t>Protected ranges: none. Every style and cell, including unused cells, is explicitly unlocked. Preserve reference and calculation cells; undo accidental edits or use backups.</t>
        </is>
      </c>
      <c r="E59" s="17" t="n"/>
    </row>
    <row r="60" customFormat="1" s="14"/>
    <row r="61" customFormat="1" s="1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2026-10-10T23:23:54Z</dcterms:modified>
</cp:coreProperties>
</file>