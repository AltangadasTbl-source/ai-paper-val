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odebook" sheetId="14" state="visible" r:id="rId14"/>
  </sheets>
  <definedNames>
    <definedName name="_xlnm._FilterDatabase" localSheetId="3" hidden="1">'C_jama.2024.0318'!$A$1:$R$7</definedName>
    <definedName name="_xlnm._FilterDatabase" localSheetId="4" hidden="1">'C_jama.2024.0572'!$A$1:$R$3</definedName>
    <definedName name="_xlnm._FilterDatabase" localSheetId="5" hidden="1">'C_jama.2024.11057'!$A$1:$R$4</definedName>
    <definedName name="_xlnm._FilterDatabase" localSheetId="6" hidden="1">'C_jama.2024.12829'!$A$1:$R$18</definedName>
    <definedName name="_xlnm._FilterDatabase" localSheetId="7" hidden="1">'C_jama.2024.19585'!$A$1:$R$4</definedName>
    <definedName name="_xlnm._FilterDatabase" localSheetId="8" hidden="1">'C_jama.2024.2302'!$A$1:$R$6</definedName>
    <definedName name="_xlnm._FilterDatabase" localSheetId="9" hidden="1">'C_jama.2024.23898'!$A$1:$R$8</definedName>
    <definedName name="_xlnm._FilterDatabase" localSheetId="10" hidden="1">'C_jama.2024.25786'!$A$1:$R$9</definedName>
    <definedName name="_xlnm._FilterDatabase" localSheetId="11" hidden="1">'C_jama.2024.4183'!$A$1:$R$25</definedName>
    <definedName name="_xlnm._FilterDatabase" localSheetId="12" hidden="1">'C_jama.2024.6063'!$A$1:$R$17</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4.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AI-sim-ClaudeOpus5.5-2024-R_A</t>
        </is>
      </c>
    </row>
    <row r="3" ht="42" customFormat="1" customHeight="1" s="8">
      <c r="A3" s="16" t="inlineStr">
        <is>
          <t>Full name (optional)</t>
        </is>
      </c>
      <c r="B3" s="17" t="inlineStr">
        <is>
          <t>AI-simulated reviewer (Claude Opus 5.5 agent), not a human adjudicator</t>
        </is>
      </c>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COUNTIF('C_jama.2024.0318'!$G$2:$G$7,"PRIMARY READY")+COUNTIF('C_jama.2024.0572'!$G$2:$G$3,"PRIMARY READY")+COUNTIF('C_jama.2024.11057'!$G$2:$G$4,"PRIMARY READY")+COUNTIF('C_jama.2024.12829'!$G$2:$G$18,"PRIMARY READY")+COUNTIF('C_jama.2024.19585'!$G$2:$G$4,"PRIMARY READY")+COUNTIF('C_jama.2024.2302'!$G$2:$G$6,"PRIMARY READY")+COUNTIF('C_jama.2024.23898'!$G$2:$G$8,"PRIMARY READY")+COUNTIF('C_jama.2024.25786'!$G$2:$G$9,"PRIMARY READY")+COUNTIF('C_jama.2024.4183'!$G$2:$G$25,"PRIMARY READY")+COUNTIF('C_jama.2024.6063'!$G$2:$G$17,"PRIMARY READY")</f>
        <v/>
      </c>
    </row>
    <row r="4" ht="60" customFormat="1" customHeight="1" s="8">
      <c r="A4" s="15" t="inlineStr">
        <is>
          <t>Unfinished</t>
        </is>
      </c>
      <c r="B4" s="15">
        <f>B2-B3</f>
        <v/>
      </c>
    </row>
    <row r="5" ht="60" customFormat="1" customHeight="1" s="8">
      <c r="A5" s="16" t="inlineStr">
        <is>
          <t>Discuss / unresolved</t>
        </is>
      </c>
      <c r="B5" s="16">
        <f>COUNTIF('C_jama.2024.0318'!$D$2:$D$7,"discuss")+COUNTIF('C_jama.2024.0572'!$D$2:$D$3,"discuss")+COUNTIF('C_jama.2024.11057'!$D$2:$D$4,"discuss")+COUNTIF('C_jama.2024.12829'!$D$2:$D$18,"discuss")+COUNTIF('C_jama.2024.19585'!$D$2:$D$4,"discuss")+COUNTIF('C_jama.2024.2302'!$D$2:$D$6,"discuss")+COUNTIF('C_jama.2024.23898'!$D$2:$D$8,"discuss")+COUNTIF('C_jama.2024.25786'!$D$2:$D$9,"discuss")+COUNTIF('C_jama.2024.4183'!$D$2:$D$25,"discuss")+COUNTIF('C_jama.2024.6063'!$D$2:$D$17,"discuss")</f>
        <v/>
      </c>
    </row>
    <row r="6" ht="60" customFormat="1" customHeight="1" s="8">
      <c r="A6" s="15" t="inlineStr">
        <is>
          <t>Workflow status</t>
        </is>
      </c>
      <c r="B6" s="15">
        <f>IF(B3=B2,"PRIMARY READY","ACTION NEEDED")</f>
        <v/>
      </c>
    </row>
    <row r="7" ht="60" customFormat="1" customHeight="1" s="8">
      <c r="A7" s="16" t="inlineStr">
        <is>
          <t>Ready with discuss</t>
        </is>
      </c>
      <c r="B7" s="16">
        <f>COUNTIFS('C_jama.2024.0318'!$G$2:$G$7,"PRIMARY READY",'C_jama.2024.0318'!$D$2:$D$7,"discuss")+COUNTIFS('C_jama.2024.0572'!$G$2:$G$3,"PRIMARY READY",'C_jama.2024.0572'!$D$2:$D$3,"discuss")+COUNTIFS('C_jama.2024.11057'!$G$2:$G$4,"PRIMARY READY",'C_jama.2024.11057'!$D$2:$D$4,"discuss")+COUNTIFS('C_jama.2024.12829'!$G$2:$G$18,"PRIMARY READY",'C_jama.2024.12829'!$D$2:$D$18,"discuss")+COUNTIFS('C_jama.2024.19585'!$G$2:$G$4,"PRIMARY READY",'C_jama.2024.19585'!$D$2:$D$4,"discuss")+COUNTIFS('C_jama.2024.2302'!$G$2:$G$6,"PRIMARY READY",'C_jama.2024.2302'!$D$2:$D$6,"discuss")+COUNTIFS('C_jama.2024.23898'!$G$2:$G$8,"PRIMARY READY",'C_jama.2024.23898'!$D$2:$D$8,"discuss")+COUNTIFS('C_jama.2024.25786'!$G$2:$G$9,"PRIMARY READY",'C_jama.2024.25786'!$D$2:$D$9,"discuss")+COUNTIFS('C_jama.2024.4183'!$G$2:$G$25,"PRIMARY READY",'C_jama.2024.4183'!$D$2:$D$25,"discuss")+COUNTIFS('C_jama.2024.6063'!$G$2:$G$17,"PRIMARY READY",'C_jama.2024.6063'!$D$2:$D$17,"discuss")</f>
        <v/>
      </c>
    </row>
    <row r="8" ht="60" customFormat="1" customHeight="1" s="8">
      <c r="A8" s="15" t="inlineStr">
        <is>
          <t>Meaning</t>
        </is>
      </c>
      <c r="B8" s="15" t="inlineStr">
        <is>
          <t>PRIMARY READY means independent data entry is complete; discuss remains unresolved.</t>
        </is>
      </c>
    </row>
    <row r="9" ht="60" customFormat="1" customHeight="1" s="8">
      <c r="A9" s="16" t="inlineStr">
        <is>
          <t>Next action</t>
        </is>
      </c>
      <c r="B9" s="16" t="inlineStr">
        <is>
          <t>Inspect G on the C_ sheets. Save the completed file and deliver it; preserve normal Excel backups.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inlineStr">
        <is>
          <t>retain</t>
        </is>
      </c>
      <c r="E2" s="18" t="inlineStr">
        <is>
          <t>statistical_results</t>
        </is>
      </c>
      <c r="F2" s="18" t="inlineStr">
        <is>
          <t>primary_done</t>
        </is>
      </c>
      <c r="G2" s="12">
        <f>IFERROR(IF(LEN(TRIM(CLEAN(SUBSTITUTE(Setup!$B$2,CHAR(160)," "))))=0,"ENTER REVIEWER ID",IF(OR(A2="",COUNTIF($A$2:$A$7,A2)&lt;&gt;1,LEFT(A2,LEN("2024::jama.2024.0318::"))&lt;&gt;"2024::jama.2024.0318::"),"CHECK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places 193 (surgery) + 122 (medical/lifestyle) = 315 under the 305 'available for long-term follow-up and randomized' box; 315 matches neither 305 nor 316 eligible. Enrolled 166/96 are clear, but arm-level available/randomized denominators (and arm-specific attrition) cannot be recovered.</t>
        </is>
      </c>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inlineStr">
        <is>
          <t>retain</t>
        </is>
      </c>
      <c r="E3" s="18" t="inlineStr">
        <is>
          <t>report_internal_inconsistency</t>
        </is>
      </c>
      <c r="F3" s="18" t="inlineStr">
        <is>
          <t>primary_done</t>
        </is>
      </c>
      <c r="G3" s="11">
        <f>IFERROR(IF(LEN(TRIM(CLEAN(SUBSTITUTE(Setup!$B$2,CHAR(160)," "))))=0,"ENTER REVIEWER ID",IF(OR(A3="",COUNTIF($A$2:$A$7,A3)&lt;&gt;1,LEFT(A3,LEN("2024::jama.2024.0318::"))&lt;&gt;"2024::jama.2024.0318::"),"CHECK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eTable 2 title and columns say year 12 (values match the main-text 12-year HbA1c difference), but footnotes a-c define baseline/year-7 data, 7-year changes and odds at year 7. Residual year-7 footnote text; the year-12 estimand is clear from title, columns, footnote e and main text.</t>
        </is>
      </c>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inlineStr">
        <is>
          <t>retain</t>
        </is>
      </c>
      <c r="E4" s="18" t="inlineStr">
        <is>
          <t>statistical_results</t>
        </is>
      </c>
      <c r="F4" s="18" t="inlineStr">
        <is>
          <t>primary_done</t>
        </is>
      </c>
      <c r="G4" s="12">
        <f>IFERROR(IF(LEN(TRIM(CLEAN(SUBSTITUTE(Setup!$B$2,CHAR(160)," "))))=0,"ENTER REVIEWER ID",IF(OR(A4="",COUNTIF($A$2:$A$7,A4)&lt;&gt;1,LEFT(A4,LEN("2024::jama.2024.0318::"))&lt;&gt;"2024::jama.2024.0318::"),"CHECK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Same 12-year HbA1c difference -1.1% (95% CI -1.7 to -0.5) has P=.002 in abstract/Results but P&lt;.001 in eTable 2. Under a symmetric Wald interval the largest P compatible with the displayed estimate/CI after rounding is about 0.0009, so .002 is the inconsistent value. Estimate and CI agree; inference unchanged.</t>
        </is>
      </c>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inlineStr">
        <is>
          <t>retain</t>
        </is>
      </c>
      <c r="E5" s="18" t="inlineStr">
        <is>
          <t>report_internal_inconsistency</t>
        </is>
      </c>
      <c r="F5" s="18" t="inlineStr">
        <is>
          <t>primary_done</t>
        </is>
      </c>
      <c r="G5" s="11">
        <f>IFERROR(IF(LEN(TRIM(CLEAN(SUBSTITUTE(Setup!$B$2,CHAR(160)," "))))=0,"ENTER REVIEWER ID",IF(OR(A5="",COUNTIF($A$2:$A$7,A5)&lt;&gt;1,LEFT(A5,LEN("2024::jama.2024.0318::"))&lt;&gt;"2024::jama.2024.0318::"),"CHECK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narrative (p.4) says 'HbA1c less than or equal to 6.5% (P = .002; Table 2)', but the cited Table 2 row is 'HbA1c &lt;6.5%' with P=.002. Real operator mismatch, but the referenced result is unambiguous via the Table 2 citation and matching P value.</t>
        </is>
      </c>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inlineStr">
        <is>
          <t>retain</t>
        </is>
      </c>
      <c r="E6" s="18" t="inlineStr">
        <is>
          <t>statistical_results</t>
        </is>
      </c>
      <c r="F6" s="18" t="inlineStr">
        <is>
          <t>primary_done</t>
        </is>
      </c>
      <c r="G6" s="12">
        <f>IFERROR(IF(LEN(TRIM(CLEAN(SUBSTITUTE(Setup!$B$2,CHAR(160)," "))))=0,"ENTER REVIEWER ID",IF(OR(A6="",COUNTIF($A$2:$A$7,A6)&lt;&gt;1,LEFT(A6,LEN("2024::jama.2024.0318::"))&lt;&gt;"2024::jama.2024.0318::"),"CHECK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unlikely</t>
        </is>
      </c>
      <c r="K6" s="18">
        <f>IF(AND(OR(D6="retain",D6=""),OR(E6="report_internal_inconsistency",E6="plan_material")),"","not_applicable")</f>
        <v/>
      </c>
      <c r="L6" s="19">
        <f>IF(AND(OR(D6="retain",D6=""),E6="protocol_report"),"","not_applicable")</f>
        <v/>
      </c>
      <c r="M6" s="12" t="n"/>
      <c r="N6" s="7" t="n"/>
      <c r="O6" s="7" t="n"/>
      <c r="P6" s="7" t="n"/>
      <c r="Q6" s="7" t="n"/>
      <c r="R6" s="19" t="inlineStr">
        <is>
          <t>Abstract: '4 deaths (2.2%), 2 in each group'. Table 3: 2/96 (2.1%) and 2/166 (1.2%); 4/262 = 1.5% (4/305 = 1.3%). No reported denominator gives 2.2%. Counts are correct and explicit, so the abstract percentage is wrong but the death data remain extractable.</t>
        </is>
      </c>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inlineStr">
        <is>
          <t>retain</t>
        </is>
      </c>
      <c r="E7" s="18" t="inlineStr">
        <is>
          <t>report_internal_inconsistency</t>
        </is>
      </c>
      <c r="F7" s="18" t="inlineStr">
        <is>
          <t>primary_done</t>
        </is>
      </c>
      <c r="G7" s="11">
        <f>IFERROR(IF(LEN(TRIM(CLEAN(SUBSTITUTE(Setup!$B$2,CHAR(160)," "))))=0,"ENTER REVIEWER ID",IF(OR(A7="",COUNTIF($A$2:$A$7,A7)&lt;&gt;1,LEFT(A7,LEN("2024::jama.2024.0318::"))&lt;&gt;"2024::jama.2024.0318::"),"CHECK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minor_presentation</t>
        </is>
      </c>
      <c r="L7" s="19">
        <f>IF(AND(OR(D7="retain",D7=""),E7="protocol_report"),"","not_applicable")</f>
        <v/>
      </c>
      <c r="M7" s="11" t="n"/>
      <c r="N7" s="7" t="n"/>
      <c r="O7" s="7" t="n"/>
      <c r="P7" s="7" t="n"/>
      <c r="Q7" s="7" t="n"/>
      <c r="R7" s="19" t="inlineStr">
        <is>
          <t>Main Results (p.7) describe the exploratory subgroups as BMI 27 to &lt;35 vs BMI &gt;=35; eFigure 6 title, legends and text say BMI &lt;35 and &gt;35, which would leave BMI exactly 35 unassigned. Intended split (complement of &lt;35) is clear; minor label inconsistency.</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statistical_results</t>
        </is>
      </c>
      <c r="F2" s="18" t="inlineStr">
        <is>
          <t>primary_done</t>
        </is>
      </c>
      <c r="G2" s="12">
        <f>IFERROR(IF(LEN(TRIM(CLEAN(SUBSTITUTE(Setup!$B$2,CHAR(160)," "))))=0,"ENTER REVIEWER ID",IF(OR(A2="",COUNTIF($A$2:$A$3,A2)&lt;&gt;1,LEFT(A2,LEN("2024::jama.2024.0572::"))&lt;&gt;"2024::jama.2024.0572::"),"CHECK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direct</t>
        </is>
      </c>
      <c r="K2" s="18">
        <f>IF(AND(OR(D2="retain",D2=""),OR(E2="report_internal_inconsistency",E2="plan_material")),"","not_applicable")</f>
        <v/>
      </c>
      <c r="L2" s="19">
        <f>IF(AND(OR(D2="retain",D2=""),E2="protocol_report"),"","not_applicable")</f>
        <v/>
      </c>
      <c r="M2" s="12" t="n"/>
      <c r="N2" s="7" t="n"/>
      <c r="O2" s="7" t="n"/>
      <c r="P2" s="7" t="n"/>
      <c r="Q2" s="7" t="n"/>
      <c r="R2" s="19" t="inlineStr">
        <is>
          <t>Figure 2 (ITT, 117+51 EVT, 119+49 MM) implies mRS 0-2 = 39 vs 14 and mRS 0-3 = 75 vs 39, but ITT eTable 2 gives 34/168 vs 12/168 and 65/168 vs 31/168. mRS 5-6 (76/102) and deaths (62/70) agree. Tables 2 and eTable 2 agree with each other, so Figure 2 is the outlier. Affects the main ordinal-outcome display.</t>
        </is>
      </c>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statistical_results</t>
        </is>
      </c>
      <c r="F3" s="18" t="inlineStr">
        <is>
          <t>primary_done</t>
        </is>
      </c>
      <c r="G3" s="11">
        <f>IFERROR(IF(LEN(TRIM(CLEAN(SUBSTITUTE(Setup!$B$2,CHAR(160)," "))))=0,"ENTER REVIEWER ID",IF(OR(A3="",COUNTIF($A$2:$A$3,A3)&lt;&gt;1,LEFT(A3,LEN("2024::jama.2024.0572::"))&lt;&gt;"2024::jama.2024.0572::"),"CHECK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aRR is expanded as 'absolute risk reduction' in the Results text and Table 2/3 abbreviation keys, but all aRR values are ratio-scale (null 1; e.g., 0.89, 0.84-0.95), Table 2 footnote calls aRR &gt;1 a 'higher rate ratio', Table 3 reports aRD separately, and the SAP specifies modified Poisson models. Mislabeled effect measure; ratio meaning recoverable.</t>
        </is>
      </c>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report_internal_inconsistency</t>
        </is>
      </c>
      <c r="F2" s="18" t="inlineStr">
        <is>
          <t>primary_done</t>
        </is>
      </c>
      <c r="G2" s="12">
        <f>IFERROR(IF(LEN(TRIM(CLEAN(SUBSTITUTE(Setup!$B$2,CHAR(160)," "))))=0,"ENTER REVIEWER ID",IF(OR(A2="",COUNTIF($A$2:$A$4,A2)&lt;&gt;1,LEFT(A2,LEN("2024::jama.2024.11057::"))&lt;&gt;"2024::jama.2024.11057::"),"CHECK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inlineStr">
        <is>
          <t>Main Methods: quit-date users get messages '6 weeks before and 8 weeks after' the quit date. Results supplement eAppendix A: '1 week preceding their quit date and 8 weeks afterward'; protocol: 'a week before and 8 weeks afterward'. The two report documents conflict on the delivered intervention's pre-quit phase (6 vs 1 week); not resolvable from the package.</t>
        </is>
      </c>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statistical_results</t>
        </is>
      </c>
      <c r="F3" s="18" t="inlineStr">
        <is>
          <t>primary_done</t>
        </is>
      </c>
      <c r="G3" s="11">
        <f>IFERROR(IF(LEN(TRIM(CLEAN(SUBSTITUTE(Setup!$B$2,CHAR(160)," "))))=0,"ENTER REVIEWER ID",IF(OR(A3="",COUNTIF($A$2:$A$4,A3)&lt;&gt;1,LEFT(A3,LEN("2024::jama.2024.11057::"))&lt;&gt;"2024::jama.2024.11057::"),"CHECK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4 labels motivation and confidence (1-5 integer scales) as median (IQR) but prints 4.1 (0.8), 4.1 (0.8), 3.2 (1.1), 3.5 (1.1). A median of integer responses cannot be 4.1, and one value cannot be an IQR; these look like mean (SD). Main Table 1 gives true medians (IQR) 4.0 (4.0-5.0) and 3.0 (3.0-4.0). Mislabel in a supplementary attrition table.</t>
        </is>
      </c>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ID",IF(OR(A4="",COUNTIF($A$2:$A$4,A4)&lt;&gt;1,LEFT(A4,LEN("2024::jama.2024.11057::"))&lt;&gt;"2024::jama.2024.11057::"),"CHECK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minor_presentation</t>
        </is>
      </c>
      <c r="L4" s="19">
        <f>IF(AND(OR(D4="retain",D4=""),E4="protocol_report"),"","not_applicable")</f>
        <v/>
      </c>
      <c r="M4" s="12" t="n"/>
      <c r="N4" s="7" t="n"/>
      <c r="O4" s="7" t="n"/>
      <c r="P4" s="7" t="n"/>
      <c r="Q4" s="7" t="n"/>
      <c r="R4" s="19" t="inlineStr">
        <is>
          <t>eAppendix C defines and uses IPRW (inverse probability of retention weighting) but once prints 'IPWR' for the repeated-ppa result RR 2.21 (95% CI 1.67-2.93), which eTable 5 labels IPRW. Typographical transposition; the method and result are unambiguous.</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ID",IF(OR(A2="",COUNTIF($A$2:$A$18,A2)&lt;&gt;1,LEFT(A2,LEN("2024::jama.2024.12829::"))&lt;&gt;"2024::jama.2024.12829::"),"CHECK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unlikely</t>
        </is>
      </c>
      <c r="K2" s="18">
        <f>IF(AND(OR(D2="retain",D2=""),OR(E2="report_internal_inconsistency",E2="plan_material")),"","not_applicable")</f>
        <v/>
      </c>
      <c r="L2" s="19">
        <f>IF(AND(OR(D2="retain",D2=""),E2="protocol_report"),"","not_applicable")</f>
        <v/>
      </c>
      <c r="M2" s="12" t="n"/>
      <c r="N2" s="7" t="n"/>
      <c r="O2" s="7" t="n"/>
      <c r="P2" s="7" t="n"/>
      <c r="Q2" s="7" t="n"/>
      <c r="R2" s="19" t="inlineStr">
        <is>
          <t>Table 1 (corrected version) BA female 77 (30.1): 77/249 = 30.9%. Male 172 (69.1) is correct and 172+77 = 249, so the female percentage is a typo; sex percentages sum to 99.2%. Count is unambiguous.</t>
        </is>
      </c>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ID",IF(OR(A3="",COUNTIF($A$2:$A$18,A3)&lt;&gt;1,LEFT(A3,LEN("2024::jama.2024.12829::"))&lt;&gt;"2024::jama.2024.12829::"),"CHECK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BA ischemic stroke 215 (86.4) in Table 1 and Table S1; 215/249 = 86.35%, which rounds to 86.3 (TIA complement 34/249 = 13.7% is printed correctly, so the pair sums to 100.1%). Likely double rounding (86.345 -&gt; 86.35 -&gt; 86.4). 0.1-point error; no interpretive effect.</t>
        </is>
      </c>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exclude</t>
        </is>
      </c>
      <c r="E4" s="18" t="inlineStr">
        <is>
          <t>statistical_results</t>
        </is>
      </c>
      <c r="F4" s="18" t="inlineStr">
        <is>
          <t>primary_done</t>
        </is>
      </c>
      <c r="G4" s="12">
        <f>IFERROR(IF(LEN(TRIM(CLEAN(SUBSTITUTE(Setup!$B$2,CHAR(160)," "))))=0,"ENTER REVIEWER ID",IF(OR(A4="",COUNTIF($A$2:$A$18,A4)&lt;&gt;1,LEFT(A4,LEN("2024::jama.2024.12829::"))&lt;&gt;"2024::jama.2024.12829::"),"CHECK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inlineStr">
        <is>
          <t>Table S4 header n=249 but footnote a states 241 of 249 underwent BA (7 crossover, 1 direct stenting); every procedure-row percentage reproduces with 241. The denominator is explicitly disclosed, so no error.</t>
        </is>
      </c>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ID",IF(OR(A5="",COUNTIF($A$2:$A$18,A5)&lt;&gt;1,LEFT(A5,LEN("2024::jama.2024.12829::"))&lt;&gt;"2024::jama.2024.12829::"),"CHECK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unlikely</t>
        </is>
      </c>
      <c r="K5" s="18">
        <f>IF(AND(OR(D5="retain",D5=""),OR(E5="report_internal_inconsistency",E5="plan_material")),"","not_applicable")</f>
        <v/>
      </c>
      <c r="L5" s="19">
        <f>IF(AND(OR(D5="retain",D5=""),E5="protocol_report"),"","not_applicable")</f>
        <v/>
      </c>
      <c r="M5" s="11" t="n"/>
      <c r="N5" s="7" t="n"/>
      <c r="O5" s="7" t="n"/>
      <c r="P5" s="7" t="n"/>
      <c r="Q5" s="7" t="n"/>
      <c r="R5" s="19" t="inlineStr">
        <is>
          <t>Table S6 (center-adjusted, n=249) prints BA 9 (3.9); 9/249 = 3.6%. 9 (3.9) is exactly the per-protocol cell of Table S8 (9/233 = 3.9%), so the cell appears copied from the PPS table. Same defective cell as C016 (count facet); here the percentage/denominator facet.</t>
        </is>
      </c>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ID",IF(OR(A6="",COUNTIF($A$2:$A$18,A6)&lt;&gt;1,LEFT(A6,LEN("2024::jama.2024.12829::"))&lt;&gt;"2024::jama.2024.12829::"),"CHECK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Table S7 headers say BA N=233, AMM N=238 (per-protocol), but site totals 256+245 = 501 and event counts 4+7 = 11 and 19+15 = 34 are ITT values; cell percentages fit ITT site-by-arm denominators (138/111 and 118/134, summing to 249/252). Population label is wrong for this post hoc site table.</t>
        </is>
      </c>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ID",IF(OR(A7="",COUNTIF($A$2:$A$18,A7)&lt;&gt;1,LEFT(A7,LEN("2024::jama.2024.12829::"))&lt;&gt;"2024::jama.2024.12829::"),"CHECK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Table S8 is titled per-protocol but its headers print n=249/252 (ITT). All percentages reproduce with PPS 233/238 (9 -&gt; 3.9, 33 -&gt; 13.9, 6 -&gt; 2.6, 4 -&gt; 1.7, 1 -&gt; 0.4, 18 -&gt; 7.6, 3 -&gt; 1.3, 20 -&gt; 8.4). Header N copied from ITT; title and Figure 1 make the PPS population clear.</t>
        </is>
      </c>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ID",IF(OR(A8="",COUNTIF($A$2:$A$18,A8)&lt;&gt;1,LEFT(A8,LEN("2024::jama.2024.12829::"))&lt;&gt;"2024::jama.2024.12829::"),"CHECK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unlikely</t>
        </is>
      </c>
      <c r="K8" s="18">
        <f>IF(AND(OR(D8="retain",D8=""),OR(E8="report_internal_inconsistency",E8="plan_material")),"","not_applicable")</f>
        <v/>
      </c>
      <c r="L8" s="19">
        <f>IF(AND(OR(D8="retain",D8=""),E8="protocol_report"),"","not_applicable")</f>
        <v/>
      </c>
      <c r="M8" s="12" t="n"/>
      <c r="N8" s="7" t="n"/>
      <c r="O8" s="7" t="n"/>
      <c r="P8" s="7" t="n"/>
      <c r="Q8" s="7" t="n"/>
      <c r="R8" s="19" t="inlineStr">
        <is>
          <t>Table S9 is titled as-treated but headers print n=249/252. Percentages fit ATS 247/254 from Table S10 (11 -&gt; 4.5, 34 -&gt; 13.4, 4 -&gt; 1.6, 19 -&gt; 7.5, 3 -&gt; 1.2, 21 -&gt; 8.3), and 247/254 = 249-7+5 and 252+7-5 per Figure 1 crossovers. Header N wrong; population clear from title.</t>
        </is>
      </c>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exclude</t>
        </is>
      </c>
      <c r="E9" s="18" t="inlineStr">
        <is>
          <t>statistical_results</t>
        </is>
      </c>
      <c r="F9" s="18" t="inlineStr">
        <is>
          <t>primary_done</t>
        </is>
      </c>
      <c r="G9" s="11">
        <f>IFERROR(IF(LEN(TRIM(CLEAN(SUBSTITUTE(Setup!$B$2,CHAR(160)," "))))=0,"ENTER REVIEWER ID",IF(OR(A9="",COUNTIF($A$2:$A$18,A9)&lt;&gt;1,LEFT(A9,LEN("2024::jama.2024.12829::"))&lt;&gt;"2024::jama.2024.12829::"),"CHECK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inlineStr">
        <is>
          <t>Table 1 shows 2 AMM patients at 60%-69% and 1 per arm at 100%, outside the 70%-99% eligibility range. Figure 1 lists exactly these as post-randomization adjudication exclusions from the per-protocol set (AMM: 2 stenosis &lt;70%, 1 occlusion; BA: 1 occlusion), retained in the ITT Table 1. Consistent; not an error.</t>
        </is>
      </c>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report_internal_inconsistency</t>
        </is>
      </c>
      <c r="F10" s="18" t="inlineStr">
        <is>
          <t>primary_done</t>
        </is>
      </c>
      <c r="G10" s="12">
        <f>IFERROR(IF(LEN(TRIM(CLEAN(SUBSTITUTE(Setup!$B$2,CHAR(160)," "))))=0,"ENTER REVIEWER ID",IF(OR(A10="",COUNTIF($A$2:$A$18,A10)&lt;&gt;1,LEFT(A10,LEN("2024::jama.2024.12829::"))&lt;&gt;"2024::jama.2024.12829::"),"CHECK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t="inlineStr">
        <is>
          <t>minor_presentation</t>
        </is>
      </c>
      <c r="L10" s="19">
        <f>IF(AND(OR(D10="retain",D10=""),E10="protocol_report"),"","not_applicable")</f>
        <v/>
      </c>
      <c r="M10" s="12" t="n"/>
      <c r="N10" s="7" t="n"/>
      <c r="O10" s="7" t="n"/>
      <c r="P10" s="7" t="n"/>
      <c r="Q10" s="7" t="n"/>
      <c r="R10" s="19" t="inlineStr">
        <is>
          <t>Results-supplement study-design graphic labels the 30-day visit '30±3d', whereas the main Methods and protocol schedule (all versions checked) give 30±7 days. Other windows in the graphic (90±7d, 180±14d, 1y±30d) match. Isolated graphic error; intended window clear.</t>
        </is>
      </c>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ID",IF(OR(A11="",COUNTIF($A$2:$A$18,A11)&lt;&gt;1,LEFT(A11,LEN("2024::jama.2024.12829::"))&lt;&gt;"2024::jama.2024.12829::"),"CHECK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inlineStr">
        <is>
          <t>Protocol V2.0 synopsis says ischemic stroke 21-90 days and body exclusion 4 says stroke within 21 days, but V2.0 body inclusion 2 says 14-90 days. The change log says V2.1 (Apr 2020) introduced 14-90, so V2.0's body text conflicts with its own version. V2.0 governed enrollment from Nov 2018; eligibility window is a core criterion.</t>
        </is>
      </c>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ID",IF(OR(A12="",COUNTIF($A$2:$A$18,A12)&lt;&gt;1,LEFT(A12,LEN("2024::jama.2024.12829::"))&lt;&gt;"2024::jama.2024.12829::"),"CHECK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minor_presentation</t>
        </is>
      </c>
      <c r="J12" s="19" t="inlineStr">
        <is>
          <t>unlikely</t>
        </is>
      </c>
      <c r="K12" s="18">
        <f>IF(AND(OR(D12="retain",D12=""),OR(E12="report_internal_inconsistency",E12="plan_material")),"","not_applicable")</f>
        <v/>
      </c>
      <c r="L12" s="19">
        <f>IF(AND(OR(D12="retain",D12=""),E12="protocol_report"),"","not_applicable")</f>
        <v/>
      </c>
      <c r="M12" s="12" t="n"/>
      <c r="N12" s="7" t="n"/>
      <c r="O12" s="7" t="n"/>
      <c r="P12" s="7" t="n"/>
      <c r="Q12" s="7" t="n"/>
      <c r="R12" s="19" t="inlineStr">
        <is>
          <t>Table S3 BA 3-month aspirin 234 (93.9): 234/249 = 93.98%, rounds to 94.0. The same table rounds rather than truncates elsewhere (238/249 -&gt; 95.6, 236/252 -&gt; 93.7, 191/252 -&gt; 75.8), so truncation does not explain it. 0.1-point error.</t>
        </is>
      </c>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ID",IF(OR(A13="",COUNTIF($A$2:$A$18,A13)&lt;&gt;1,LEFT(A13,LEN("2024::jama.2024.12829::"))&lt;&gt;"2024::jama.2024.12829::"),"CHECK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Figure S1 labels the CEC meetings '1st' (2021/05/30) then '2nd' three times (2021/11/20, 2022/09/07, 2023/04/10). Ordinal labels are wrong for meetings 3 and 4; dates and case arithmetic (10+6+3=19, 24+1+2=27, 23+2+1=26, 13+1+1=15) are coherent.</t>
        </is>
      </c>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exclude</t>
        </is>
      </c>
      <c r="E14" s="18" t="inlineStr">
        <is>
          <t>plan_material</t>
        </is>
      </c>
      <c r="F14" s="18" t="inlineStr">
        <is>
          <t>primary_done</t>
        </is>
      </c>
      <c r="G14" s="12">
        <f>IFERROR(IF(LEN(TRIM(CLEAN(SUBSTITUTE(Setup!$B$2,CHAR(160)," "))))=0,"ENTER REVIEWER ID",IF(OR(A14="",COUNTIF($A$2:$A$18,A14)&lt;&gt;1,LEFT(A14,LEN("2024::jama.2024.12829::"))&lt;&gt;"2024::jama.2024.12829::"),"CHECK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inlineStr">
        <is>
          <t>Protocol sentence 'Follow-up every 6 months (visit 8, visit 9, visit 10, visit 11, visit 9, and visit 11 require ... face-to-face follow-up)' is missing punctuation: it lists visits 8-11, then says visits 9 and 11 are face-to-face, followed by telephone-visit content. Consistent with the 4-visit schedule; no real conflict.</t>
        </is>
      </c>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ID",IF(OR(A15="",COUNTIF($A$2:$A$18,A15)&lt;&gt;1,LEFT(A15,LEN("2024::jama.2024.12829::"))&lt;&gt;"2024::jama.2024.12829::"),"CHECK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unlikely</t>
        </is>
      </c>
      <c r="K15" s="18">
        <f>IF(AND(OR(D15="retain",D15=""),OR(E15="report_internal_inconsistency",E15="plan_material")),"","not_applicable")</f>
        <v/>
      </c>
      <c r="L15" s="19">
        <f>IF(AND(OR(D15="retain",D15=""),E15="protocol_report"),"","not_applicable")</f>
        <v/>
      </c>
      <c r="M15" s="11" t="n"/>
      <c r="N15" s="7" t="n"/>
      <c r="O15" s="7" t="n"/>
      <c r="P15" s="7" t="n"/>
      <c r="Q15" s="7" t="n"/>
      <c r="R15" s="19" t="inlineStr">
        <is>
          <t>Table S9 (as-treated) BA 30-day stroke/death 8 (3.3): 8/247 = 3.24% and 8/249 = 3.21%, both 3.2. Every other Table S9 cell rounds correctly with 247/254. 0.1-point error.</t>
        </is>
      </c>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ID",IF(OR(A16="",COUNTIF($A$2:$A$18,A16)&lt;&gt;1,LEFT(A16,LEN("2024::jama.2024.12829::"))&lt;&gt;"2024::jama.2024.12829::"),"CHECK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Results text: 'Eleven patients were excluded due to consent withdrawal'. Figure 1: 7 (BA) + 3 (AMM) withdrew consent and 1 AMM 'not successfully recruited but assigned a randomization number in error'. Totals reconcile (512-11 = 501); only the reason for 1 exclusion is misstated in the text.</t>
        </is>
      </c>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statistical_results</t>
        </is>
      </c>
      <c r="F17" s="18" t="inlineStr">
        <is>
          <t>primary_done</t>
        </is>
      </c>
      <c r="G17" s="11">
        <f>IFERROR(IF(LEN(TRIM(CLEAN(SUBSTITUTE(Setup!$B$2,CHAR(160)," "))))=0,"ENTER REVIEWER ID",IF(OR(A17="",COUNTIF($A$2:$A$18,A17)&lt;&gt;1,LEFT(A17,LEN("2024::jama.2024.12829::"))&lt;&gt;"2024::jama.2024.12829::"),"CHECK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minor_presentation</t>
        </is>
      </c>
      <c r="J17" s="19" t="inlineStr">
        <is>
          <t>possible</t>
        </is>
      </c>
      <c r="K17" s="18">
        <f>IF(AND(OR(D17="retain",D17=""),OR(E17="report_internal_inconsistency",E17="plan_material")),"","not_applicable")</f>
        <v/>
      </c>
      <c r="L17" s="19">
        <f>IF(AND(OR(D17="retain",D17=""),E17="protocol_report"),"","not_applicable")</f>
        <v/>
      </c>
      <c r="M17" s="11" t="n"/>
      <c r="N17" s="7" t="n"/>
      <c r="O17" s="7" t="n"/>
      <c r="P17" s="7" t="n"/>
      <c r="Q17" s="7" t="n"/>
      <c r="R17" s="19" t="inlineStr">
        <is>
          <t>Center-adjusted Table S6 repeats the primary composite with n=249/252 but prints BA 9 events vs 11 in Table 2 and the main text (AMM 34 in both). Adjustment cannot change observed counts; 9 (3.9) equals the PPS cell in Table S8. The HR 0.32 (0.16-0.62) is consistent with 11 events, so likely a display error.</t>
        </is>
      </c>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ID",IF(OR(A18="",COUNTIF($A$2:$A$18,A18)&lt;&gt;1,LEFT(A18,LEN("2024::jama.2024.12829::"))&lt;&gt;"2024::jama.2024.12829::"),"CHECK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minor_presentation</t>
        </is>
      </c>
      <c r="J18" s="19" t="inlineStr">
        <is>
          <t>direct</t>
        </is>
      </c>
      <c r="K18" s="18">
        <f>IF(AND(OR(D18="retain",D18=""),OR(E18="report_internal_inconsistency",E18="plan_material")),"","not_applicable")</f>
        <v/>
      </c>
      <c r="L18" s="19">
        <f>IF(AND(OR(D18="retain",D18=""),E18="protocol_report"),"","not_applicable")</f>
        <v/>
      </c>
      <c r="M18" s="12" t="n"/>
      <c r="N18" s="7" t="n"/>
      <c r="O18" s="7" t="n"/>
      <c r="P18" s="7" t="n"/>
      <c r="Q18" s="7" t="n"/>
      <c r="R18" s="19" t="inlineStr">
        <is>
          <t>Table 2, stroke outside qualifying-artery territory within 1 y: 3 (1.2) vs 4 (1.6), difference -0.4 with 95% CI '-2.4 to -1.7', which excludes the estimate and contradicts P=.72. A Wald interval from the counts is -2.4 to 1.7, so the upper limit's sign is wrong.</t>
        </is>
      </c>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exclude</t>
        </is>
      </c>
      <c r="E2" s="18" t="inlineStr">
        <is>
          <t>statistical_results</t>
        </is>
      </c>
      <c r="F2" s="18" t="inlineStr">
        <is>
          <t>primary_done</t>
        </is>
      </c>
      <c r="G2" s="12">
        <f>IFERROR(IF(LEN(TRIM(CLEAN(SUBSTITUTE(Setup!$B$2,CHAR(160)," "))))=0,"ENTER REVIEWER ID",IF(OR(A2="",COUNTIF($A$2:$A$4,A2)&lt;&gt;1,LEFT(A2,LEN("2024::jama.2024.19585::"))&lt;&gt;"2024::jama.2024.19585::"),"CHECK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inlineStr">
        <is>
          <t>Figure 1 usual-care branch reconciles: physician preference 13 = 7 + 4 + 2 (indented subreasons), and top-level reasons 13 + 15 + 14 + 7 + 4 + 3 + 2 = 58; 323 - 58 = 265 and 265 - 41 = 224. The intervention branch uses the same nesting (42 = 32 + 4 + 2 + 4; total 99). No error.</t>
        </is>
      </c>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statistical_results</t>
        </is>
      </c>
      <c r="F3" s="18" t="inlineStr">
        <is>
          <t>primary_done</t>
        </is>
      </c>
      <c r="G3" s="11">
        <f>IFERROR(IF(LEN(TRIM(CLEAN(SUBSTITUTE(Setup!$B$2,CHAR(160)," "))))=0,"ENTER REVIEWER ID",IF(OR(A3="",COUNTIF($A$2:$A$4,A3)&lt;&gt;1,LEFT(A3,LEN("2024::jama.2024.19585::"))&lt;&gt;"2024::jama.2024.19585::"),"CHECK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Main text: 40.8% adopted, 48.7% adapted, 6.4% rejected across intervention sites (sums to 95.9%). eTable 3 (10 sites x 135 statements): keep 551, adapt 657, reject 142 of 1,350, i.e., 40.8%, 48.7% and 10.5% (sums to 100%). The rejection rate in the main text is understated by about 4 points.</t>
        </is>
      </c>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statistical_results</t>
        </is>
      </c>
      <c r="F4" s="18" t="inlineStr">
        <is>
          <t>primary_done</t>
        </is>
      </c>
      <c r="G4" s="12">
        <f>IFERROR(IF(LEN(TRIM(CLEAN(SUBSTITUTE(Setup!$B$2,CHAR(160)," "))))=0,"ENTER REVIEWER ID",IF(OR(A4="",COUNTIF($A$2:$A$4,A4)&lt;&gt;1,LEFT(A4,LEN("2024::jama.2024.19585::"))&lt;&gt;"2024::jama.2024.19585::"),"CHECK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eTable 10 headers say 'Difference (95% CI)', but eMethods states these analyses estimate odds ratios by mixed or fixed effects logistic regression, footnote b cites logistic models, and values are ratio-scale (e.g., 16/220 vs 28/224 -&gt; 0.53 (0.28, 1.01); crude OR 0.55). Effect measure mislabeled; OR meaning recoverable.</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protocol_report</t>
        </is>
      </c>
      <c r="F2" s="18" t="inlineStr">
        <is>
          <t>primary_done</t>
        </is>
      </c>
      <c r="G2" s="12">
        <f>IFERROR(IF(LEN(TRIM(CLEAN(SUBSTITUTE(Setup!$B$2,CHAR(160)," "))))=0,"ENTER REVIEWER ID",IF(OR(A2="",COUNTIF($A$2:$A$6,A2)&lt;&gt;1,LEFT(A2,LEN("2024::jama.2024.2302::"))&lt;&gt;"2024::jama.2024.2302::"),"CHECK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t="inlineStr">
        <is>
          <t>minor_presentation</t>
        </is>
      </c>
      <c r="M2" s="12" t="n"/>
      <c r="N2" s="7" t="n"/>
      <c r="O2" s="7" t="n"/>
      <c r="P2" s="7" t="n"/>
      <c r="Q2" s="7" t="n"/>
      <c r="R2" s="19" t="inlineStr">
        <is>
          <t>Protocol defines the primary outcome as the proportion with '&gt;1 SAE' (repeatedly) and results eTable 2 says 'Infant had &gt; 1 SAE'; the main article and SAP say '≥1'/'at least 1'/'any'. Same counts (44/159, 27/149) appear under both labels. The SAP uses '&gt;1' and 'at least one' in the same hypothesis passage, so '&gt;1' is most likely a lost ≥ glyph.</t>
        </is>
      </c>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ID",IF(OR(A3="",COUNTIF($A$2:$A$6,A3)&lt;&gt;1,LEFT(A3,LEN("2024::jama.2024.2302::"))&lt;&gt;"2024::jama.2024.2302::"),"CHECK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Protocol p.3 hypothesizes median hospital days 18 (early) vs 15 (late); protocol p.12 power text assumes median 8/mean 18 vs median 5/mean 13. The SAP explicitly flags the p.3 values as incorrect and adopts 8 vs 5. Real but disclosed planning inconsistency; the 3-day hypothesized difference is unchanged.</t>
        </is>
      </c>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ID",IF(OR(A4="",COUNTIF($A$2:$A$6,A4)&lt;&gt;1,LEFT(A4,LEN("2024::jama.2024.2302::"))&lt;&gt;"2024::jama.2024.2302::"),"CHECK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t="inlineStr">
        <is>
          <t>substantive_difference</t>
        </is>
      </c>
      <c r="M4" s="12" t="n"/>
      <c r="N4" s="7" t="n"/>
      <c r="O4" s="7" t="n"/>
      <c r="P4" s="7" t="n"/>
      <c r="Q4" s="7" t="n"/>
      <c r="R4" s="19" t="inlineStr">
        <is>
          <t>SAP: categorical-outcome intervention prior OR 95% CrI 0.2-4, Normal(0, SD 0.7) on log-OR; count outcomes RR 0.33-3.3. Article: one prior for categorical and count outcomes with 95% CrI 0.33-3.0 (implies SD about 0.56). For the primary (binary) outcome, the reported prior is tighter than planned; no amendment is supplied.</t>
        </is>
      </c>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ID",IF(OR(A5="",COUNTIF($A$2:$A$6,A5)&lt;&gt;1,LEFT(A5,LEN("2024::jama.2024.2302::"))&lt;&gt;"2024::jama.2024.2302::"),"CHECK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t="inlineStr">
        <is>
          <t>minor_presentation</t>
        </is>
      </c>
      <c r="M5" s="11" t="n"/>
      <c r="N5" s="7" t="n"/>
      <c r="O5" s="7" t="n"/>
      <c r="P5" s="7" t="n"/>
      <c r="Q5" s="7" t="n"/>
      <c r="R5" s="19" t="inlineStr">
        <is>
          <t>Figure 3 and Methods use GA &lt;28 wk vs ≥28 wk; SAP randomization strata and moderator text say '&lt;28 weeks and &gt;28 weeks', while the SAP covariate text says '≥ 28'. The two-group partition (&lt;28 vs the rest) is clear; '&gt;28' omits the boundary and reads as a notational slip.</t>
        </is>
      </c>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exclude</t>
        </is>
      </c>
      <c r="E6" s="18" t="inlineStr">
        <is>
          <t>protocol_report</t>
        </is>
      </c>
      <c r="F6" s="18" t="inlineStr">
        <is>
          <t>primary_done</t>
        </is>
      </c>
      <c r="G6" s="12">
        <f>IFERROR(IF(LEN(TRIM(CLEAN(SUBSTITUTE(Setup!$B$2,CHAR(160)," "))))=0,"ENTER REVIEWER ID",IF(OR(A6="",COUNTIF($A$2:$A$6,A6)&lt;&gt;1,LEFT(A6,LEN("2024::jama.2024.2302::"))&lt;&gt;"2024::jama.2024.2302::"),"CHECK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inlineStr">
        <is>
          <t>All documents use enrollment and randomization interchangeably as time zero: the protocol says both '10 months after randomization' and '10 months after enrollment', the SAP says both, and the main article says data were collected '10 months after randomization' and families contacted '10 months after enrollment'. Randomization occurred at consent/enrollment.</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exclude</t>
        </is>
      </c>
      <c r="E2" s="18" t="inlineStr">
        <is>
          <t>protocol_report</t>
        </is>
      </c>
      <c r="F2" s="18" t="inlineStr">
        <is>
          <t>primary_done</t>
        </is>
      </c>
      <c r="G2" s="12">
        <f>IFERROR(IF(LEN(TRIM(CLEAN(SUBSTITUTE(Setup!$B$2,CHAR(160)," "))))=0,"ENTER REVIEWER ID",IF(OR(A2="",COUNTIF($A$2:$A$8,A2)&lt;&gt;1,LEFT(A2,LEN("2024::jama.2024.23898::"))&lt;&gt;"2024::jama.2024.23898::"),"CHECK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inlineStr">
        <is>
          <t>Article says GI-3 at '72 hours after surgery/operation'; SAP and protocol define '72 hours after the start of operation'. The planning documents themselves use 'after surgery' as shorthand (e.g., PPOI 'by 120 hours after surgery' in both protocol and SAP, defined elsewhere from start of operation). No evidence of a different time zero.</t>
        </is>
      </c>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ID",IF(OR(A3="",COUNTIF($A$2:$A$8,A3)&lt;&gt;1,LEFT(A3,LEN("2024::jama.2024.23898::"))&lt;&gt;"2024::jama.2024.23898::"),"CHECK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t="inlineStr">
        <is>
          <t>substantive_difference</t>
        </is>
      </c>
      <c r="M3" s="11" t="n"/>
      <c r="N3" s="7" t="n"/>
      <c r="O3" s="7" t="n"/>
      <c r="P3" s="7" t="n"/>
      <c r="Q3" s="7" t="n"/>
      <c r="R3" s="19" t="inlineStr">
        <is>
          <t>Protocol: total postoperative opioid consumption as cumulative morphine equivalents until 72 hours after start of operation; SAP: total in-hospital opioid consumption up to 72 hours. Article lists and reports postoperative opioid consumption up to 24 hours (median OME 70.6 vs 45.0 mg, n=210 each). No amendment or explanation is given.</t>
        </is>
      </c>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report_internal_inconsistency</t>
        </is>
      </c>
      <c r="F4" s="18" t="inlineStr">
        <is>
          <t>primary_done</t>
        </is>
      </c>
      <c r="G4" s="12">
        <f>IFERROR(IF(LEN(TRIM(CLEAN(SUBSTITUTE(Setup!$B$2,CHAR(160)," "))))=0,"ENTER REVIEWER ID",IF(OR(A4="",COUNTIF($A$2:$A$8,A4)&lt;&gt;1,LEFT(A4,LEN("2024::jama.2024.23898::"))&lt;&gt;"2024::jama.2024.23898::"),"CHECK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inlineStr">
        <is>
          <t>Article Methods define the tertiary outcome as 'unplanned readmission within 30 days of surgery' (as do the protocol and SAP, including the SAP table shell), but Table 3 reports 'Unplanned readmission after discharge and within 90 d of operation' 31 (11.1) vs 34 (12.2). Hospital records were checked at days 30 and 90, so either window is possible.</t>
        </is>
      </c>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exclude</t>
        </is>
      </c>
      <c r="E5" s="18" t="inlineStr">
        <is>
          <t>protocol_report</t>
        </is>
      </c>
      <c r="F5" s="18" t="inlineStr">
        <is>
          <t>primary_done</t>
        </is>
      </c>
      <c r="G5" s="11">
        <f>IFERROR(IF(LEN(TRIM(CLEAN(SUBSTITUTE(Setup!$B$2,CHAR(160)," "))))=0,"ENTER REVIEWER ID",IF(OR(A5="",COUNTIF($A$2:$A$8,A5)&lt;&gt;1,LEFT(A5,LEN("2024::jama.2024.23898::"))&lt;&gt;"2024::jama.2024.23898::"),"CHECK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inlineStr">
        <is>
          <t>Protocol gives ERAS compliance bands only as an example ('e.g. 0-30%, 30-60%, &gt;60%'); the SAP names high/moderate/low without cut points; the eFigure footnote states the subgroup was preplanned but the category definitions were not predefined, and gives them (high &gt;=7/10, low &lt;5/10). Disclosed; no fixed plan was contradicted.</t>
        </is>
      </c>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ID",IF(OR(A6="",COUNTIF($A$2:$A$8,A6)&lt;&gt;1,LEFT(A6,LEN("2024::jama.2024.23898::"))&lt;&gt;"2024::jama.2024.23898::"),"CHECK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eFigure legend labels the subgroup interval lines '99% CI'; the caption says the right-hand numbers are '95% confidence interval'. The plotted lines match the printed numbers (e.g., low adherence 0.49-2.08), and the overall row 0.97 (0.88, 1.07) equals the main-text 95% CI. The SAP planned 99% CIs for subgroups. Interval level is ambiguous.</t>
        </is>
      </c>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ID",IF(OR(A7="",COUNTIF($A$2:$A$8,A7)&lt;&gt;1,LEFT(A7,LEN("2024::jama.2024.23898::"))&lt;&gt;"2024::jama.2024.23898::"),"CHECK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probable_issue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Results state there was no significant difference in quality of life (EQ-5D-5L), but Table 2 gives day 5 difference -0.057 (95% CI -0.111 to -0.003), P=.04 (favoring placebo; n=89 vs 96). One of 9 unadjusted time points; the blanket statement is literally inaccurate though the overall pattern is null.</t>
        </is>
      </c>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report_internal_inconsistency</t>
        </is>
      </c>
      <c r="F8" s="18" t="inlineStr">
        <is>
          <t>primary_done</t>
        </is>
      </c>
      <c r="G8" s="12">
        <f>IFERROR(IF(LEN(TRIM(CLEAN(SUBSTITUTE(Setup!$B$2,CHAR(160)," "))))=0,"ENTER REVIEWER ID",IF(OR(A8="",COUNTIF($A$2:$A$8,A8)&lt;&gt;1,LEFT(A8,LEN("2024::jama.2024.23898::"))&lt;&gt;"2024::jama.2024.23898::"),"CHECK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minor_presentation</t>
        </is>
      </c>
      <c r="L8" s="19">
        <f>IF(AND(OR(D8="retain",D8=""),E8="protocol_report"),"","not_applicable")</f>
        <v/>
      </c>
      <c r="M8" s="12" t="n"/>
      <c r="N8" s="7" t="n"/>
      <c r="O8" s="7" t="n"/>
      <c r="P8" s="7" t="n"/>
      <c r="Q8" s="7" t="n"/>
      <c r="R8" s="19" t="inlineStr">
        <is>
          <t>Article Methods list the preplanned subgroup as 'high vs low enhanced recovery protocol adherence', but the eFigure (and SAP) analyze three levels: high n=191, moderate n=274, low n=92 (sum 557), with one interaction P=.966. Two-level wording is shorthand for the three-level factor actually analyzed.</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ID",IF(OR(A2="",COUNTIF($A$2:$A$9,A2)&lt;&gt;1,LEFT(A2,LEN("2024::jama.2024.25786::"))&lt;&gt;"2024::jama.2024.25786::"),"CHECK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unlikely</t>
        </is>
      </c>
      <c r="K2" s="18">
        <f>IF(AND(OR(D2="retain",D2=""),OR(E2="report_internal_inconsistency",E2="plan_material")),"","not_applicable")</f>
        <v/>
      </c>
      <c r="L2" s="19">
        <f>IF(AND(OR(D2="retain",D2=""),E2="protocol_report"),"","not_applicable")</f>
        <v/>
      </c>
      <c r="M2" s="12" t="n"/>
      <c r="N2" s="7" t="n"/>
      <c r="O2" s="7" t="n"/>
      <c r="P2" s="7" t="n"/>
      <c r="Q2" s="7" t="n"/>
      <c r="R2" s="19" t="inlineStr">
        <is>
          <t>eTable 2 liberal walk-in transport 4/743 (5.3); 4/743 = 0.5%. The liberal transport counts sum to 743 (585+141+9+3+4+1) and the other percentages are correct, so the count is right and 5.3 is a misplaced-decimal error (column percentages sum to 104.7%).</t>
        </is>
      </c>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ID",IF(OR(A3="",COUNTIF($A$2:$A$9,A3)&lt;&gt;1,LEFT(A3,LEN("2024::jama.2024.25786::"))&lt;&gt;"2024::jama.2024.25786::"),"CHECK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liberal vascular surgery in the resuscitation room 0/747 (1.1). A zero count cannot give 1.1% (which would correspond to about 8/747). Which field is wrong cannot be determined from the package; it is a rare baseline procedure frequency.</t>
        </is>
      </c>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statistical_results</t>
        </is>
      </c>
      <c r="F4" s="18" t="inlineStr">
        <is>
          <t>primary_done</t>
        </is>
      </c>
      <c r="G4" s="12">
        <f>IFERROR(IF(LEN(TRIM(CLEAN(SUBSTITUTE(Setup!$B$2,CHAR(160)," "))))=0,"ENTER REVIEWER ID",IF(OR(A4="",COUNTIF($A$2:$A$9,A4)&lt;&gt;1,LEFT(A4,LEN("2024::jama.2024.25786::"))&lt;&gt;"2024::jama.2024.25786::"),"CHECK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probable_issue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The further-adjusted primary-outcome OR for all patients is 0.98 (0.68 to 1.41) in eTable 4 but 0.98 (0.68 to 1.39) in eTable 7, with identical counts. The article describes a single additional adjusted model, so the intervals should match; the 0.02 difference does not affect interpretation.</t>
        </is>
      </c>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statistical_results</t>
        </is>
      </c>
      <c r="F5" s="18" t="inlineStr">
        <is>
          <t>primary_done</t>
        </is>
      </c>
      <c r="G5" s="11">
        <f>IFERROR(IF(LEN(TRIM(CLEAN(SUBSTITUTE(Setup!$B$2,CHAR(160)," "))))=0,"ENTER REVIEWER ID",IF(OR(A5="",COUNTIF($A$2:$A$9,A5)&lt;&gt;1,LEFT(A5,LEN("2024::jama.2024.25786::"))&lt;&gt;"2024::jama.2024.25786::"),"CHECK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unlikely</t>
        </is>
      </c>
      <c r="K5" s="18">
        <f>IF(AND(OR(D5="retain",D5=""),OR(E5="report_internal_inconsistency",E5="plan_material")),"","not_applicable")</f>
        <v/>
      </c>
      <c r="L5" s="19">
        <f>IF(AND(OR(D5="retain",D5=""),E5="protocol_report"),"","not_applicable")</f>
        <v/>
      </c>
      <c r="M5" s="11" t="n"/>
      <c r="N5" s="7" t="n"/>
      <c r="O5" s="7" t="n"/>
      <c r="P5" s="7" t="n"/>
      <c r="Q5" s="7" t="n"/>
      <c r="R5" s="19" t="inlineStr">
        <is>
          <t>AIS &lt;3 subgroup, liberal arm: Figure 4 prints 48/473 (10.1) and eTable 7 prints 48/473 (9.2). 48/473 = 10.1%, so eTable 7 is wrong; 9.2 matches the liberal value in the row above (50/543), suggesting a copy error.</t>
        </is>
      </c>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statistical_results</t>
        </is>
      </c>
      <c r="F6" s="18" t="inlineStr">
        <is>
          <t>primary_done</t>
        </is>
      </c>
      <c r="G6" s="12">
        <f>IFERROR(IF(LEN(TRIM(CLEAN(SUBSTITUTE(Setup!$B$2,CHAR(160)," "))))=0,"ENTER REVIEWER ID",IF(OR(A6="",COUNTIF($A$2:$A$9,A6)&lt;&gt;1,LEFT(A6,LEN("2024::jama.2024.25786::"))&lt;&gt;"2024::jama.2024.25786::"),"CHECK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unlikely</t>
        </is>
      </c>
      <c r="K6" s="18">
        <f>IF(AND(OR(D6="retain",D6=""),OR(E6="report_internal_inconsistency",E6="plan_material")),"","not_applicable")</f>
        <v/>
      </c>
      <c r="L6" s="19">
        <f>IF(AND(OR(D6="retain",D6=""),E6="protocol_report"),"","not_applicable")</f>
        <v/>
      </c>
      <c r="M6" s="12" t="n"/>
      <c r="N6" s="7" t="n"/>
      <c r="O6" s="7" t="n"/>
      <c r="P6" s="7" t="n"/>
      <c r="Q6" s="7" t="n"/>
      <c r="R6" s="19" t="inlineStr">
        <is>
          <t>Known lung disease, liberal arm: Figure 4 14/69 (20.3) vs eTable 7 14/69 (20.2). 14/69 = 20.29%, so 20.3 is correct. eTable 7 otherwise rounds (e.g., 68/238 -&gt; 28.6, 70/430 -&gt; 16.3), so truncation does not explain it. 0.1-point error.</t>
        </is>
      </c>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statistical_results</t>
        </is>
      </c>
      <c r="F7" s="18" t="inlineStr">
        <is>
          <t>primary_done</t>
        </is>
      </c>
      <c r="G7" s="11">
        <f>IFERROR(IF(LEN(TRIM(CLEAN(SUBSTITUTE(Setup!$B$2,CHAR(160)," "))))=0,"ENTER REVIEWER ID",IF(OR(A7="",COUNTIF($A$2:$A$9,A7)&lt;&gt;1,LEFT(A7,LEN("2024::jama.2024.25786::"))&lt;&gt;"2024::jama.2024.25786::"),"CHECK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eTable 10 row 'Exclusion after randomization (N=130)' prints 55 and 67 (sum 122), and its percentages 45/55 are shares of 122. Figure 1 gives 59 and 71 (sum 130). Each arm differs by 4, matching the 4 per arm 'omitted according to Swiss law due to withdrawn consent', but eTable 10 does not say so.</t>
        </is>
      </c>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ID",IF(OR(A8="",COUNTIF($A$2:$A$9,A8)&lt;&gt;1,LEFT(A8,LEN("2024::jama.2024.25786::"))&lt;&gt;"2024::jama.2024.25786::"),"CHECK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unlikely</t>
        </is>
      </c>
      <c r="K8" s="18">
        <f>IF(AND(OR(D8="retain",D8=""),OR(E8="report_internal_inconsistency",E8="plan_material")),"","not_applicable")</f>
        <v/>
      </c>
      <c r="L8" s="19">
        <f>IF(AND(OR(D8="retain",D8=""),E8="protocol_report"),"","not_applicable")</f>
        <v/>
      </c>
      <c r="M8" s="12" t="n"/>
      <c r="N8" s="7" t="n"/>
      <c r="O8" s="7" t="n"/>
      <c r="P8" s="7" t="n"/>
      <c r="Q8" s="7" t="n"/>
      <c r="R8" s="19" t="inlineStr">
        <is>
          <t>eTable 10 secondary exclusions printed as 174/750 (51) and 165/758 (49): 174/750 = 23.2% and 165/758 = 21.8%, while 51%/49% are shares of the 339 classified exclusions. Also, 750/758 are the analyzed patients who received oxygen, of whom excluded patients are not a subset. Counts match Figure 1.</t>
        </is>
      </c>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ID",IF(OR(A9="",COUNTIF($A$2:$A$9,A9)&lt;&gt;1,LEFT(A9,LEN("2024::jama.2024.25786::"))&lt;&gt;"2024::jama.2024.25786::"),"CHECK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minor_presentation</t>
        </is>
      </c>
      <c r="L9" s="19">
        <f>IF(AND(OR(D9="retain",D9=""),E9="protocol_report"),"","not_applicable")</f>
        <v/>
      </c>
      <c r="M9" s="11" t="n"/>
      <c r="N9" s="7" t="n"/>
      <c r="O9" s="7" t="n"/>
      <c r="P9" s="7" t="n"/>
      <c r="Q9" s="7" t="n"/>
      <c r="R9" s="19" t="inlineStr">
        <is>
          <t>eTable 11 prints the restrictive missing-as-event primary count as '135//750 (18.0)' with a doubled slash. 135/750 = 18.0% reconciles; typographic defect only.</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2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ID",IF(OR(A2="",COUNTIF($A$2:$A$25,A2)&lt;&gt;1,LEFT(A2,LEN("2024::jama.2024.4183::"))&lt;&gt;"2024::jama.2024.4183::"),"CHECK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unlikely</t>
        </is>
      </c>
      <c r="K2" s="18">
        <f>IF(AND(OR(D2="retain",D2=""),OR(E2="report_internal_inconsistency",E2="plan_material")),"","not_applicable")</f>
        <v/>
      </c>
      <c r="L2" s="19">
        <f>IF(AND(OR(D2="retain",D2=""),E2="protocol_report"),"","not_applicable")</f>
        <v/>
      </c>
      <c r="M2" s="12" t="n"/>
      <c r="N2" s="7" t="n"/>
      <c r="O2" s="7" t="n"/>
      <c r="P2" s="7" t="n"/>
      <c r="Q2" s="7" t="n"/>
      <c r="R2" s="19" t="inlineStr">
        <is>
          <t>Abstract phase-2 allocations mix denominators: CNRT 90 (47%) = 90/191 but 50 (33%) and 51 (34%) = /151; varenicline 39 (32%) and 41 (34%) = /122 but 77 (49%) = /157. Percentages sum to 114% and 115%. Counts are correct (90+50+51 = 191; 39+41+77 = 157).</t>
        </is>
      </c>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ID",IF(OR(A3="",COUNTIF($A$2:$A$25,A3)&lt;&gt;1,LEFT(A3,LEN("2024::jama.2024.4183::"))&lt;&gt;"2024::jama.2024.4183::"),"CHECK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Main Table: each arm (n = 245) shows female 105 (42.9) and male 145 (57.1); 105 + 145 = 250. 57.1% of 245 is 140, and eTable 3 phase-2 subgroups sum to 140 males per arm (CNRT 33+30+49+28; varenicline 50+19+44+27). Male count should be 140.</t>
        </is>
      </c>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ID",IF(OR(A4="",COUNTIF($A$2:$A$25,A4)&lt;&gt;1,LEFT(A4,LEN("2024::jama.2024.4183::"))&lt;&gt;"2024::jama.2024.4183::"),"CHECK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Figure 2 shows 491 randomized but branches of 245 + 245 = 490; the CNRT box says 245 randomized, 245 received treatment, 1 did not (footnote b: assigned to wrong phase-2 condition, excluded from all analyses), i.e., 246. Results text explains one CNRT participant was eliminated after randomization; the abstract says 490 were randomized.</t>
        </is>
      </c>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report_internal_inconsistency</t>
        </is>
      </c>
      <c r="F5" s="18" t="inlineStr">
        <is>
          <t>primary_done</t>
        </is>
      </c>
      <c r="G5" s="11">
        <f>IFERROR(IF(LEN(TRIM(CLEAN(SUBSTITUTE(Setup!$B$2,CHAR(160)," "))))=0,"ENTER REVIEWER ID",IF(OR(A5="",COUNTIF($A$2:$A$25,A5)&lt;&gt;1,LEFT(A5,LEN("2024::jama.2024.4183::"))&lt;&gt;"2024::jama.2024.4183::"),"CHECK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'the 40 participants in the phase 1 CNRT group and the 35 in the varenicline group who did attend rerandomization were assigned to continue'. Abstract and Figure 2: these 40 and 35 did not return/attend and were assigned (imputed) to continuation. A missing 'not'; the counts match.</t>
        </is>
      </c>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ID",IF(OR(A6="",COUNTIF($A$2:$A$25,A6)&lt;&gt;1,LEFT(A6,LEN("2024::jama.2024.4183::"))&lt;&gt;"2024::jama.2024.4183::"),"CHECK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probable_issue</t>
        </is>
      </c>
      <c r="I6" s="18" t="inlineStr">
        <is>
          <t>substantive</t>
        </is>
      </c>
      <c r="J6" s="19" t="inlineStr">
        <is>
          <t>direct</t>
        </is>
      </c>
      <c r="K6" s="18">
        <f>IF(AND(OR(D6="retain",D6=""),OR(E6="report_internal_inconsistency",E6="plan_material")),"","not_applicable")</f>
        <v/>
      </c>
      <c r="L6" s="19">
        <f>IF(AND(OR(D6="retain",D6=""),E6="protocol_report"),"","not_applicable")</f>
        <v/>
      </c>
      <c r="M6" s="12" t="n"/>
      <c r="N6" s="7" t="n"/>
      <c r="O6" s="7" t="n"/>
      <c r="P6" s="7" t="n"/>
      <c r="Q6" s="7" t="n"/>
      <c r="R6" s="19" t="inlineStr">
        <is>
          <t>Abstract gives 'RD, 6%; 95% CrI, 6% to 11%' after listing both CNRT rescue arms; Results say both increase and switch had RD 6% (95% CrI 2%-11%), and eTable 4 gives increase vs stay 6% (2%, 11%). A CrI whose lower limit equals the estimate is implausible; for the increased-dose contrast the abstract interval is wrong if the parenthetical covers it.</t>
        </is>
      </c>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ID",IF(OR(A7="",COUNTIF($A$2:$A$25,A7)&lt;&gt;1,LEFT(A7,LEN("2024::jama.2024.4183::"))&lt;&gt;"2024::jama.2024.4183::"),"CHECK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t="inlineStr">
        <is>
          <t>direct</t>
        </is>
      </c>
      <c r="K7" s="18">
        <f>IF(AND(OR(D7="retain",D7=""),OR(E7="report_internal_inconsistency",E7="plan_material")),"","not_applicable")</f>
        <v/>
      </c>
      <c r="L7" s="19">
        <f>IF(AND(OR(D7="retain",D7=""),E7="protocol_report"),"","not_applicable")</f>
        <v/>
      </c>
      <c r="M7" s="11" t="n"/>
      <c r="N7" s="7" t="n"/>
      <c r="O7" s="7" t="n"/>
      <c r="P7" s="7" t="n"/>
      <c r="Q7" s="7" t="n"/>
      <c r="R7" s="19" t="inlineStr">
        <is>
          <t>CNRT switch-to-varenicline vs continuation, primary outcome: abstract RD 6% (95% CrI 6%-11%); Results 6% (2%-11%); eTable 4 6% (2%, 10%). The abstract lower limit equals the point estimate and conflicts with both other sources; Results and eTable also differ in the upper limit.</t>
        </is>
      </c>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statistical_results</t>
        </is>
      </c>
      <c r="F8" s="18" t="inlineStr">
        <is>
          <t>primary_done</t>
        </is>
      </c>
      <c r="G8" s="12">
        <f>IFERROR(IF(LEN(TRIM(CLEAN(SUBSTITUTE(Setup!$B$2,CHAR(160)," "))))=0,"ENTER REVIEWER ID",IF(OR(A8="",COUNTIF($A$2:$A$25,A8)&lt;&gt;1,LEFT(A8,LEN("2024::jama.2024.4183::"))&lt;&gt;"2024::jama.2024.4183::"),"CHECK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Varenicline nonabstainers: switch to CNRT 0% (0/41) vs continuation 3% (2/77). Results give RD -3% (-4% to -1%) yet say there was &gt;99% probability 'that continuing was worse than switching'; eTable 4 labels the contrast switch vs stay but prints +3% (1%, 4%). The data show switching was worse; the narrative and eTable sign are reversed.</t>
        </is>
      </c>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ID",IF(OR(A9="",COUNTIF($A$2:$A$25,A9)&lt;&gt;1,LEFT(A9,LEN("2024::jama.2024.4183::"))&lt;&gt;"2024::jama.2024.4183::"),"CHECK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unlikely</t>
        </is>
      </c>
      <c r="K9" s="18">
        <f>IF(AND(OR(D9="retain",D9=""),OR(E9="report_internal_inconsistency",E9="plan_material")),"","not_applicable")</f>
        <v/>
      </c>
      <c r="L9" s="19">
        <f>IF(AND(OR(D9="retain",D9=""),E9="protocol_report"),"","not_applicable")</f>
        <v/>
      </c>
      <c r="M9" s="11" t="n"/>
      <c r="N9" s="7" t="n"/>
      <c r="O9" s="7" t="n"/>
      <c r="P9" s="7" t="n"/>
      <c r="Q9" s="7" t="n"/>
      <c r="R9" s="19" t="inlineStr">
        <is>
          <t>Increased varenicline vs continuation, primary outcome: abstract and Results give RD 18% (95% CrI 13%-24%); eTable 4 gives 18% (13%, 23%). One-point difference in the upper limit; point estimate consistent with 8/39 vs 2/77 (20.5% - 2.6% = 17.9 points).</t>
        </is>
      </c>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ID",IF(OR(A10="",COUNTIF($A$2:$A$25,A10)&lt;&gt;1,LEFT(A10,LEN("2024::jama.2024.4183::"))&lt;&gt;"2024::jama.2024.4183::"),"CHECK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minor_presentation</t>
        </is>
      </c>
      <c r="J10" s="19" t="inlineStr">
        <is>
          <t>unlikely</t>
        </is>
      </c>
      <c r="K10" s="18">
        <f>IF(AND(OR(D10="retain",D10=""),OR(E10="report_internal_inconsistency",E10="plan_material")),"","not_applicable")</f>
        <v/>
      </c>
      <c r="L10" s="19">
        <f>IF(AND(OR(D10="retain",D10=""),E10="protocol_report"),"","not_applicable")</f>
        <v/>
      </c>
      <c r="M10" s="12" t="n"/>
      <c r="N10" s="7" t="n"/>
      <c r="O10" s="7" t="n"/>
      <c r="P10" s="7" t="n"/>
      <c r="Q10" s="7" t="n"/>
      <c r="R10" s="19" t="inlineStr">
        <is>
          <t>Phase-1 abstainers, CNRT vs varenicline at week 12: Results give RD 6% (95% CrI -5% to 16%); eTable 4 gives 6% (-4%, 16%). One-point difference in the lower limit (cells 42/54 = 78% vs 63/88 = 72%).</t>
        </is>
      </c>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ID",IF(OR(A11="",COUNTIF($A$2:$A$25,A11)&lt;&gt;1,LEFT(A11,LEN("2024::jama.2024.4183::"))&lt;&gt;"2024::jama.2024.4183::"),"CHECK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minor_presentation</t>
        </is>
      </c>
      <c r="L11" s="19">
        <f>IF(AND(OR(D11="retain",D11=""),E11="protocol_report"),"","not_applicable")</f>
        <v/>
      </c>
      <c r="M11" s="11" t="n"/>
      <c r="N11" s="7" t="n"/>
      <c r="O11" s="7" t="n"/>
      <c r="P11" s="7" t="n"/>
      <c r="Q11" s="7" t="n"/>
      <c r="R11" s="19" t="inlineStr">
        <is>
          <t>Protocol Figure 2 labels varenicline week-6 response '0.50, 0.40-0.60 ~Beta(785, 869)', but Beta(785, 869) has mean 0.475 and 95% interval 0.451-0.499. The NRT response Beta(193, 210) also gives 0.430-0.528, not 0.38-0.58. All eight phase-2 outcome Betas reproduce their printed summaries. Simulation-input documentation error.</t>
        </is>
      </c>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ID",IF(OR(A12="",COUNTIF($A$2:$A$25,A12)&lt;&gt;1,LEFT(A12,LEN("2024::jama.2024.4183::"))&lt;&gt;"2024::jama.2024.4183::"),"CHECK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minor_presentation</t>
        </is>
      </c>
      <c r="L12" s="19">
        <f>IF(AND(OR(D12="retain",D12=""),E12="protocol_report"),"","not_applicable")</f>
        <v/>
      </c>
      <c r="M12" s="12" t="n"/>
      <c r="N12" s="7" t="n"/>
      <c r="O12" s="7" t="n"/>
      <c r="P12" s="7" t="n"/>
      <c r="Q12" s="7" t="n"/>
      <c r="R12" s="19" t="inlineStr">
        <is>
          <t>Protocol Table 3, Aim 1: power to detect posterior probability &gt;0.80, 0.85, 0.90, 0.95 is 0.948, 0.980, 0.974, 0.963. Power cannot increase as the threshold tightens on the same simulations; every other block in the table is monotone. With K = 1,000 runs (Monte Carlo SE about 0.007), a 0.032 rise is implausible as noise.</t>
        </is>
      </c>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ID",IF(OR(A13="",COUNTIF($A$2:$A$25,A13)&lt;&gt;1,LEFT(A13,LEN("2024::jama.2024.4183::"))&lt;&gt;"2024::jama.2024.4183::"),"CHECK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Protocol Table 3 Aim 2 lists 'VAR vs. NPL' twice (0.370 and 0.195). From Table 2 cell estimates: VAR - NPL = 0.399 - 0.029 = 0.370; NPL+ - NPL = 0.175; VAR - NPL+ = 0.399 - 0.204 = 0.195. The third row should be 'VAR vs. NPL+', as specified in the Aim 2 contrasts.</t>
        </is>
      </c>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ID",IF(OR(A14="",COUNTIF($A$2:$A$25,A14)&lt;&gt;1,LEFT(A14,LEN("2024::jama.2024.4183::"))&lt;&gt;"2024::jama.2024.4183::"),"CHECK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minor_presentation</t>
        </is>
      </c>
      <c r="L14" s="19">
        <f>IF(AND(OR(D14="retain",D14=""),E14="protocol_report"),"","not_applicable")</f>
        <v/>
      </c>
      <c r="M14" s="12" t="n"/>
      <c r="N14" s="7" t="n"/>
      <c r="O14" s="7" t="n"/>
      <c r="P14" s="7" t="n"/>
      <c r="Q14" s="7" t="n"/>
      <c r="R14" s="19" t="inlineStr">
        <is>
          <t>eTable 3 (n (%) heading) race 'Other' for varenicline nonabstainers switched to CNRT (N = 41) prints '4.9 (2)'; 2/41 = 4.9%, so count and percentage are reversed. Values are correct and recoverable.</t>
        </is>
      </c>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ID",IF(OR(A15="",COUNTIF($A$2:$A$25,A15)&lt;&gt;1,LEFT(A15,LEN("2024::jama.2024.4183::"))&lt;&gt;"2024::jama.2024.4183::"),"CHECK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unlikely</t>
        </is>
      </c>
      <c r="K15" s="18">
        <f>IF(AND(OR(D15="retain",D15=""),OR(E15="report_internal_inconsistency",E15="plan_material")),"","not_applicable")</f>
        <v/>
      </c>
      <c r="L15" s="19">
        <f>IF(AND(OR(D15="retain",D15=""),E15="protocol_report"),"","not_applicable")</f>
        <v/>
      </c>
      <c r="M15" s="11" t="n"/>
      <c r="N15" s="7" t="n"/>
      <c r="O15" s="7" t="n"/>
      <c r="P15" s="7" t="n"/>
      <c r="Q15" s="7" t="n"/>
      <c r="R15" s="19" t="inlineStr">
        <is>
          <t>eAppendix 4 narrative gives the EOT+30 continuous-abstinence probability for CNRT nonabstainers switched to varenicline as '1.0% (7.0%-1.3%)'; eFigure 2 gives 5/51, 10% (7%-13%). Decimal-formatting error (10 -&gt; 1.0, 13 -&gt; 1.3); the estimate lies outside its printed interval.</t>
        </is>
      </c>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ID",IF(OR(A16="",COUNTIF($A$2:$A$25,A16)&lt;&gt;1,LEFT(A16,LEN("2024::jama.2024.4183::"))&lt;&gt;"2024::jama.2024.4183::"),"CHECK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minor_presentation</t>
        </is>
      </c>
      <c r="J16" s="19" t="inlineStr">
        <is>
          <t>unlikely</t>
        </is>
      </c>
      <c r="K16" s="18">
        <f>IF(AND(OR(D16="retain",D16=""),OR(E16="report_internal_inconsistency",E16="plan_material")),"","not_applicable")</f>
        <v/>
      </c>
      <c r="L16" s="19">
        <f>IF(AND(OR(D16="retain",D16=""),E16="protocol_report"),"","not_applicable")</f>
        <v/>
      </c>
      <c r="M16" s="12" t="n"/>
      <c r="N16" s="7" t="n"/>
      <c r="O16" s="7" t="n"/>
      <c r="P16" s="7" t="n"/>
      <c r="Q16" s="7" t="n"/>
      <c r="R16" s="19" t="inlineStr">
        <is>
          <t>Narrative EOT+30 probability for CNRT nonabstainers with increased dose: '8.0% (5.0%-1.1%)'; eFigure 2: 4/50, 8% (5%-11%). Upper limit misformatted (11 -&gt; 1.1).</t>
        </is>
      </c>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ID",IF(OR(A17="",COUNTIF($A$2:$A$25,A17)&lt;&gt;1,LEFT(A17,LEN("2024::jama.2024.4183::"))&lt;&gt;"2024::jama.2024.4183::"),"CHECK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Narrative EOT+30 ARD for CNRT switch vs continuation: '6.0% (3.0%-1.0%)'; eTable 9: 6% (3%-10%). Upper limit misformatted (10 -&gt; 1.0); as printed the interval excludes the estimate.</t>
        </is>
      </c>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ID",IF(OR(A18="",COUNTIF($A$2:$A$25,A18)&lt;&gt;1,LEFT(A18,LEN("2024::jama.2024.4183::"))&lt;&gt;"2024::jama.2024.4183::"),"CHECK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minor_presentation</t>
        </is>
      </c>
      <c r="J18" s="19" t="inlineStr">
        <is>
          <t>unlikely</t>
        </is>
      </c>
      <c r="K18" s="18">
        <f>IF(AND(OR(D18="retain",D18=""),OR(E18="report_internal_inconsistency",E18="plan_material")),"","not_applicable")</f>
        <v/>
      </c>
      <c r="L18" s="19">
        <f>IF(AND(OR(D18="retain",D18=""),E18="protocol_report"),"","not_applicable")</f>
        <v/>
      </c>
      <c r="M18" s="12" t="n"/>
      <c r="N18" s="7" t="n"/>
      <c r="O18" s="7" t="n"/>
      <c r="P18" s="7" t="n"/>
      <c r="Q18" s="7" t="n"/>
      <c r="R18" s="19" t="inlineStr">
        <is>
          <t>Narrative prints '8.0% (5.0%-1.1%)' three times for varenicline+ at EOT+30 (arm probability and ARDs vs continuation and vs switch); eFigure 2 and eTables 9-10 give 8% (5%-11%).</t>
        </is>
      </c>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ID",IF(OR(A19="",COUNTIF($A$2:$A$25,A19)&lt;&gt;1,LEFT(A19,LEN("2024::jama.2024.4183::"))&lt;&gt;"2024::jama.2024.4183::"),"CHECK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minor_presentation</t>
        </is>
      </c>
      <c r="J19" s="19" t="inlineStr">
        <is>
          <t>unlikely</t>
        </is>
      </c>
      <c r="K19" s="18">
        <f>IF(AND(OR(D19="retain",D19=""),OR(E19="report_internal_inconsistency",E19="plan_material")),"","not_applicable")</f>
        <v/>
      </c>
      <c r="L19" s="19">
        <f>IF(AND(OR(D19="retain",D19=""),E19="protocol_report"),"","not_applicable")</f>
        <v/>
      </c>
      <c r="M19" s="11" t="n"/>
      <c r="N19" s="7" t="n"/>
      <c r="O19" s="7" t="n"/>
      <c r="P19" s="7" t="n"/>
      <c r="Q19" s="7" t="n"/>
      <c r="R19" s="19" t="inlineStr">
        <is>
          <t>Narrative EOT+30 ARD for phase-1 abstainers (CNRT vs varenicline): '1.1% (-1.0%-22%)', probability 97%; eTable 11: 11% (-1%-22%); eFigure 2 cells 67% vs 56%. The narrative understates the ARD tenfold; the same paragraph's cell values show 11 points.</t>
        </is>
      </c>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ID",IF(OR(A20="",COUNTIF($A$2:$A$25,A20)&lt;&gt;1,LEFT(A20,LEN("2024::jama.2024.4183::"))&lt;&gt;"2024::jama.2024.4183::"),"CHECK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minor_presentation</t>
        </is>
      </c>
      <c r="L20" s="19">
        <f>IF(AND(OR(D20="retain",D20=""),E20="protocol_report"),"","not_applicable")</f>
        <v/>
      </c>
      <c r="M20" s="12" t="n"/>
      <c r="N20" s="7" t="n"/>
      <c r="O20" s="7" t="n"/>
      <c r="P20" s="7" t="n"/>
      <c r="Q20" s="7" t="n"/>
      <c r="R20" s="19" t="inlineStr">
        <is>
          <t>Narrative for 6-month CNRT switch vs continuation (ARD 1.0% (-2.0%-3.0%), probability 66%) cites 'E-Table 7', which is Phase 1 visit and medication compliance; the matching result is in eTable 9 (1% (-2%-3%), 66%). Wrong cross-reference.</t>
        </is>
      </c>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ID",IF(OR(A21="",COUNTIF($A$2:$A$25,A21)&lt;&gt;1,LEFT(A21,LEN("2024::jama.2024.4183::"))&lt;&gt;"2024::jama.2024.4183::"),"CHECK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minor_presentation</t>
        </is>
      </c>
      <c r="J21" s="19" t="inlineStr">
        <is>
          <t>unlikely</t>
        </is>
      </c>
      <c r="K21" s="18">
        <f>IF(AND(OR(D21="retain",D21=""),OR(E21="report_internal_inconsistency",E21="plan_material")),"","not_applicable")</f>
        <v/>
      </c>
      <c r="L21" s="19">
        <f>IF(AND(OR(D21="retain",D21=""),E21="protocol_report"),"","not_applicable")</f>
        <v/>
      </c>
      <c r="M21" s="11" t="n"/>
      <c r="N21" s="7" t="n"/>
      <c r="O21" s="7" t="n"/>
      <c r="P21" s="7" t="n"/>
      <c r="Q21" s="7" t="n"/>
      <c r="R21" s="19" t="inlineStr">
        <is>
          <t>6-month abstainers: narrative gives CNRT 39% vs varenicline 40%, probability 55%, 'ARD = 1.0% (-1.3%-1.1%)' favoring varenicline; eTable 11 ('ARD for CNRT vs VAR') gives +1% (-11%-12%), 56%. The narrative interval excludes its estimate (formatting), and the eTable sign implies CNRT higher, contrary to the cell values.</t>
        </is>
      </c>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ID",IF(OR(A22="",COUNTIF($A$2:$A$25,A22)&lt;&gt;1,LEFT(A22,LEN("2024::jama.2024.4183::"))&lt;&gt;"2024::jama.2024.4183::"),"CHECK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minor_presentation</t>
        </is>
      </c>
      <c r="L22" s="19">
        <f>IF(AND(OR(D22="retain",D22=""),E22="protocol_report"),"","not_applicable")</f>
        <v/>
      </c>
      <c r="M22" s="12" t="n"/>
      <c r="N22" s="7" t="n"/>
      <c r="O22" s="7" t="n"/>
      <c r="P22" s="7" t="n"/>
      <c r="Q22" s="7" t="n"/>
      <c r="R22" s="19" t="inlineStr">
        <is>
          <t>eAppendix 4 summary of phase-1 abstainers (EOT+30 probability 97%; no 6-month difference) cites 'E-Table 10', which reports increase-vs-switch contrasts among nonabstainers; the abstainer results are in eTable 11.</t>
        </is>
      </c>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ID",IF(OR(A23="",COUNTIF($A$2:$A$25,A23)&lt;&gt;1,LEFT(A23,LEN("2024::jama.2024.4183::"))&lt;&gt;"2024::jama.2024.4183::"),"CHECK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minor_presentation</t>
        </is>
      </c>
      <c r="L23" s="19">
        <f>IF(AND(OR(D23="retain",D23=""),E23="protocol_report"),"","not_applicable")</f>
        <v/>
      </c>
      <c r="M23" s="11" t="n"/>
      <c r="N23" s="7" t="n"/>
      <c r="O23" s="7" t="n"/>
      <c r="P23" s="7" t="n"/>
      <c r="Q23" s="7" t="n"/>
      <c r="R23" s="19" t="inlineStr">
        <is>
          <t>6-month varenicline+ narrative cites eTable 9 for both the comparison with continuation and with switching to CNRT; eTable 9 has only continuation-referenced contrasts, and the switch-referenced result (2% (1%-5%), &gt;99%) is in eTable 10.</t>
        </is>
      </c>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ID",IF(OR(A24="",COUNTIF($A$2:$A$25,A24)&lt;&gt;1,LEFT(A24,LEN("2024::jama.2024.4183::"))&lt;&gt;"2024::jama.2024.4183::"),"CHECK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minor_presentation</t>
        </is>
      </c>
      <c r="L24" s="19">
        <f>IF(AND(OR(D24="retain",D24=""),E24="protocol_report"),"","not_applicable")</f>
        <v/>
      </c>
      <c r="M24" s="12" t="n"/>
      <c r="N24" s="7" t="n"/>
      <c r="O24" s="7" t="n"/>
      <c r="P24" s="7" t="n"/>
      <c r="Q24" s="7" t="n"/>
      <c r="R24" s="19" t="inlineStr">
        <is>
          <t>eTable 3 employment block is headed 'n (%)' but all 16 cells print percentage first, count second (e.g., 72.2 (39) under N = 54; 39/54 = 72.2%). Other blocks follow n (%). Format inconsistency; values decodable.</t>
        </is>
      </c>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ID",IF(OR(A25="",COUNTIF($A$2:$A$25,A25)&lt;&gt;1,LEFT(A25,LEN("2024::jama.2024.4183::"))&lt;&gt;"2024::jama.2024.4183::"),"CHECK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minor_presentation</t>
        </is>
      </c>
      <c r="J25" s="19" t="inlineStr">
        <is>
          <t>unlikely</t>
        </is>
      </c>
      <c r="K25" s="18">
        <f>IF(AND(OR(D25="retain",D25=""),OR(E25="report_internal_inconsistency",E25="plan_material")),"","not_applicable")</f>
        <v/>
      </c>
      <c r="L25" s="19">
        <f>IF(AND(OR(D25="retain",D25=""),E25="protocol_report"),"","not_applicable")</f>
        <v/>
      </c>
      <c r="M25" s="11" t="n"/>
      <c r="N25" s="7" t="n"/>
      <c r="O25" s="7" t="n"/>
      <c r="P25" s="7" t="n"/>
      <c r="Q25" s="7" t="n"/>
      <c r="R25" s="19" t="inlineStr">
        <is>
          <t>eTable 3 employment counts sum to 49 in the CNRT+ column (N = 50; 40 + 9) and 38 in the VAR+ column (N = 39; 27 + 11); percentages use the full N (80 + 18 = 98%; 69.2 + 28.2 = 97.4%). One participant per column is unaccounted for, with no missing category or footnote. Other columns close.</t>
        </is>
      </c>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1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ID",IF(OR(A2="",COUNTIF($A$2:$A$17,A2)&lt;&gt;1,LEFT(A2,LEN("2024::jama.2024.6063::"))&lt;&gt;"2024::jama.2024.6063::"),"CHECK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probable_issue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placebo: 111 completed 24 wk, 21 discontinued (8+6+6+1); krill 113 and 17 (total completed 224). Results and abstract: 40 withdrew or were lost, 17 krill and 23 (17.4%) placebo; 222 (84.7%) completed. Placebo attrition 21 vs 23; 'completed treatment' vs 'completed the trial' may differ, but no definition reconciles them.</t>
        </is>
      </c>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ID",IF(OR(A3="",COUNTIF($A$2:$A$17,A3)&lt;&gt;1,LEFT(A3,LEN("2024::jama.2024.6063::"))&lt;&gt;"2024::jama.2024.6063::"),"CHECK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overall adherence row is labeled n = 167 and its percentages fit 82/83 (98.8%) and 81/84 (96.4%), i.e., 167; the footnote says adherence was calculated for n = 165 [75%]. 167/222 = 75.2% and 165/222 = 74.3%, so the footnote count looks wrong.</t>
        </is>
      </c>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ID",IF(OR(A4="",COUNTIF($A$2:$A$17,A4)&lt;&gt;1,LEFT(A4,LEN("2024::jama.2024.6063::"))&lt;&gt;"2024::jama.2024.6063::"),"CHECK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eTable 5 krill 'Smaller - 1 unit' 10 (12%) of 107: 10/107 = 9.3%. Both arms print the identical percentage column (1.9, 12, 72, 12, 2.8), which equals the pooled distribution of both arms (4, 26, 155, 25, 6 of 216). Counts are correct; per-arm percentages are not.</t>
        </is>
      </c>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ID",IF(OR(A5="",COUNTIF($A$2:$A$17,A5)&lt;&gt;1,LEFT(A5,LEN("2024::jama.2024.6063::"))&lt;&gt;"2024::jama.2024.6063::"),"CHECK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eTable 5 krill 'No change' 80 (72%) of 107: 80/107 = 74.8%. 72% is the pooled value 155/216 = 71.8% printed in both arms.</t>
        </is>
      </c>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ID",IF(OR(A6="",COUNTIF($A$2:$A$17,A6)&lt;&gt;1,LEFT(A6,LEN("2024::jama.2024.6063::"))&lt;&gt;"2024::jama.2024.6063::"),"CHECK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eTable 5 krill 'Larger - 1 unit' 12 (12%) of 107: 12/107 = 11.2%. 12% is the pooled value 25/216 = 11.6% printed in both arms.</t>
        </is>
      </c>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ID",IF(OR(A7="",COUNTIF($A$2:$A$17,A7)&lt;&gt;1,LEFT(A7,LEN("2024::jama.2024.6063::"))&lt;&gt;"2024::jama.2024.6063::"),"CHECK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eTable 5 placebo 'Smaller - 2 units' 2 (1.9%) of 109: 2/109 = 1.8%. 1.9% is the pooled 4/216 = 1.85% (and the krill value 2/107 = 1.9%). Same pooled-column defect; 0.1-point difference.</t>
        </is>
      </c>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ID",IF(OR(A8="",COUNTIF($A$2:$A$17,A8)&lt;&gt;1,LEFT(A8,LEN("2024::jama.2024.6063::"))&lt;&gt;"2024::jama.2024.6063::"),"CHECK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eTable 5 placebo 'Smaller - 1 unit' 16 (12%) of 109: 16/109 = 14.7%. 12% is the pooled value 26/216 = 12.0%; the printed percentages hide a 9.3% vs 14.7% between-arm difference.</t>
        </is>
      </c>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ID",IF(OR(A9="",COUNTIF($A$2:$A$17,A9)&lt;&gt;1,LEFT(A9,LEN("2024::jama.2024.6063::"))&lt;&gt;"2024::jama.2024.6063::"),"CHECK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possible</t>
        </is>
      </c>
      <c r="K9" s="18">
        <f>IF(AND(OR(D9="retain",D9=""),OR(E9="report_internal_inconsistency",E9="plan_material")),"","not_applicable")</f>
        <v/>
      </c>
      <c r="L9" s="19">
        <f>IF(AND(OR(D9="retain",D9=""),E9="protocol_report"),"","not_applicable")</f>
        <v/>
      </c>
      <c r="M9" s="11" t="n"/>
      <c r="N9" s="7" t="n"/>
      <c r="O9" s="7" t="n"/>
      <c r="P9" s="7" t="n"/>
      <c r="Q9" s="7" t="n"/>
      <c r="R9" s="19" t="inlineStr">
        <is>
          <t>eTable 5 placebo 'No change' 75 (72%) of 109: 75/109 = 68.8%. 72% is the pooled value 155/216 = 71.8%.</t>
        </is>
      </c>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ID",IF(OR(A10="",COUNTIF($A$2:$A$17,A10)&lt;&gt;1,LEFT(A10,LEN("2024::jama.2024.6063::"))&lt;&gt;"2024::jama.2024.6063::"),"CHECK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t="inlineStr">
        <is>
          <t>direct</t>
        </is>
      </c>
      <c r="K10" s="18">
        <f>IF(AND(OR(D10="retain",D10=""),OR(E10="report_internal_inconsistency",E10="plan_material")),"","not_applicable")</f>
        <v/>
      </c>
      <c r="L10" s="19">
        <f>IF(AND(OR(D10="retain",D10=""),E10="protocol_report"),"","not_applicable")</f>
        <v/>
      </c>
      <c r="M10" s="12" t="n"/>
      <c r="N10" s="7" t="n"/>
      <c r="O10" s="7" t="n"/>
      <c r="P10" s="7" t="n"/>
      <c r="Q10" s="7" t="n"/>
      <c r="R10" s="19" t="inlineStr">
        <is>
          <t>eTable 4 week-4 WOMAC weight-bearing pain (0-300) prints arm changes -84 (-122 to -46) and -103 (-141 to -65), identical to week-4 WOMAC function (0-1700). Its own final and baseline means (100 vs 127; 108 vs 141) imply changes near -27 and -33. The arm changes were copied from the function row; true values are not recoverable.</t>
        </is>
      </c>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ID",IF(OR(A11="",COUNTIF($A$2:$A$17,A11)&lt;&gt;1,LEFT(A11,LEN("2024::jama.2024.6063::"))&lt;&gt;"2024::jama.2024.6063::"),"CHECK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t="inlineStr">
        <is>
          <t>direct</t>
        </is>
      </c>
      <c r="K11" s="18">
        <f>IF(AND(OR(D11="retain",D11=""),OR(E11="report_internal_inconsistency",E11="plan_material")),"","not_applicable")</f>
        <v/>
      </c>
      <c r="L11" s="19">
        <f>IF(AND(OR(D11="retain",D11=""),E11="protocol_report"),"","not_applicable")</f>
        <v/>
      </c>
      <c r="M11" s="11" t="n"/>
      <c r="N11" s="7" t="n"/>
      <c r="O11" s="7" t="n"/>
      <c r="P11" s="7" t="n"/>
      <c r="Q11" s="7" t="n"/>
      <c r="R11" s="19" t="inlineStr">
        <is>
          <t>eTable 4 week-12 lower-leg strength (N) prints arm changes -2.8 (-6.0 to 0.4) and -4.2 (-7.4 to -1.1), between-group -1.4 (-5.9 to 3.0), P = .53, identical to week-4 back pain VAS. Its final/baseline means (72.6 vs 66.5; 70.2 vs 65.9) imply gains of about +6.1 and +4.3. The week-12 strength result is missing.</t>
        </is>
      </c>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ID",IF(OR(A12="",COUNTIF($A$2:$A$17,A12)&lt;&gt;1,LEFT(A12,LEN("2024::jama.2024.6063::"))&lt;&gt;"2024::jama.2024.6063::"),"CHECK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t="inlineStr">
        <is>
          <t>direct</t>
        </is>
      </c>
      <c r="K12" s="18">
        <f>IF(AND(OR(D12="retain",D12=""),OR(E12="report_internal_inconsistency",E12="plan_material")),"","not_applicable")</f>
        <v/>
      </c>
      <c r="L12" s="19">
        <f>IF(AND(OR(D12="retain",D12=""),E12="protocol_report"),"","not_applicable")</f>
        <v/>
      </c>
      <c r="M12" s="12" t="n"/>
      <c r="N12" s="7" t="n"/>
      <c r="O12" s="7" t="n"/>
      <c r="P12" s="7" t="n"/>
      <c r="Q12" s="7" t="n"/>
      <c r="R12" s="19" t="inlineStr">
        <is>
          <t>eTable 4 week-12 fasting glucose between-group difference 0.07 (-1.19 to 1.33), P = .92 is identical to week-12 hsCRP. Glucose arm changes 0.09 (-0.07 to 0.24) and 0.15 (-0.01 to 0.31) imply a difference near -0.06 with a CI roughly ±0.2, not a 2.5-unit-wide interval. The true glucose contrast is not reported.</t>
        </is>
      </c>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statistical_results</t>
        </is>
      </c>
      <c r="F13" s="18" t="inlineStr">
        <is>
          <t>primary_done</t>
        </is>
      </c>
      <c r="G13" s="11">
        <f>IFERROR(IF(LEN(TRIM(CLEAN(SUBSTITUTE(Setup!$B$2,CHAR(160)," "))))=0,"ENTER REVIEWER ID",IF(OR(A13="",COUNTIF($A$2:$A$17,A13)&lt;&gt;1,LEFT(A13,LEN("2024::jama.2024.6063::"))&lt;&gt;"2024::jama.2024.6063::"),"CHECK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t="inlineStr">
        <is>
          <t>confirmed_issue</t>
        </is>
      </c>
      <c r="I13" s="18" t="inlineStr">
        <is>
          <t>minor_presentation</t>
        </is>
      </c>
      <c r="J13" s="19" t="inlineStr">
        <is>
          <t>unlikely</t>
        </is>
      </c>
      <c r="K13" s="18">
        <f>IF(AND(OR(D13="retain",D13=""),OR(E13="report_internal_inconsistency",E13="plan_material")),"","not_applicable")</f>
        <v/>
      </c>
      <c r="L13" s="19">
        <f>IF(AND(OR(D13="retain",D13=""),E13="protocol_report"),"","not_applicable")</f>
        <v/>
      </c>
      <c r="M13" s="11" t="n"/>
      <c r="N13" s="7" t="n"/>
      <c r="O13" s="7" t="n"/>
      <c r="P13" s="7" t="n"/>
      <c r="Q13" s="7" t="n"/>
      <c r="R13" s="19" t="inlineStr">
        <is>
          <t>Key Points report the primary between-group difference as 0.30 (95% CI -6.9 to 6.4; P = .94); abstract, Table 2 and Results give -0.3 and eTable 1 gives -0.27 (-6.92 to 6.38). The Key Points sign is dropped; the CI and P value are the same.</t>
        </is>
      </c>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statistical_results</t>
        </is>
      </c>
      <c r="F14" s="18" t="inlineStr">
        <is>
          <t>primary_done</t>
        </is>
      </c>
      <c r="G14" s="12">
        <f>IFERROR(IF(LEN(TRIM(CLEAN(SUBSTITUTE(Setup!$B$2,CHAR(160)," "))))=0,"ENTER REVIEWER ID",IF(OR(A14="",COUNTIF($A$2:$A$17,A14)&lt;&gt;1,LEFT(A14,LEN("2024::jama.2024.6063::"))&lt;&gt;"2024::jama.2024.6063::"),"CHECK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t="inlineStr">
        <is>
          <t>confirmed_issue</t>
        </is>
      </c>
      <c r="I14" s="18" t="inlineStr">
        <is>
          <t>minor_presentation</t>
        </is>
      </c>
      <c r="J14" s="19" t="inlineStr">
        <is>
          <t>unlikely</t>
        </is>
      </c>
      <c r="K14" s="18">
        <f>IF(AND(OR(D14="retain",D14=""),OR(E14="report_internal_inconsistency",E14="plan_material")),"","not_applicable")</f>
        <v/>
      </c>
      <c r="L14" s="19">
        <f>IF(AND(OR(D14="retain",D14=""),E14="protocol_report"),"","not_applicable")</f>
        <v/>
      </c>
      <c r="M14" s="12" t="n"/>
      <c r="N14" s="7" t="n"/>
      <c r="O14" s="7" t="n"/>
      <c r="P14" s="7" t="n"/>
      <c r="Q14" s="7" t="n"/>
      <c r="R14" s="19" t="inlineStr">
        <is>
          <t>Table 3 lists 'Pain in extremity' 1 (krill) vs 6 (placebo); the abstract, Results narrative ('lower extremity pain ... 5 events with placebo') and eTable 7 ('Pain in extremity' 1 vs 5) give 5. One-event discrepancy in an adverse-event count.</t>
        </is>
      </c>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ID",IF(OR(A15="",COUNTIF($A$2:$A$17,A15)&lt;&gt;1,LEFT(A15,LEN("2024::jama.2024.6063::"))&lt;&gt;"2024::jama.2024.6063::"),"CHECK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minor_presentation</t>
        </is>
      </c>
      <c r="L15" s="19">
        <f>IF(AND(OR(D15="retain",D15=""),E15="protocol_report"),"","not_applicable")</f>
        <v/>
      </c>
      <c r="M15" s="11" t="n"/>
      <c r="N15" s="7" t="n"/>
      <c r="O15" s="7" t="n"/>
      <c r="P15" s="7" t="n"/>
      <c r="Q15" s="7" t="n"/>
      <c r="R15" s="19" t="inlineStr">
        <is>
          <t>Table 3 footnote a refers readers to 'eTable 4 in Supplement 3' for detailed adverse-event information, but eTable 4 is the secondary-endpoint table; adverse events are in eTable 7, which the Results text cites. Wrong cross-reference.</t>
        </is>
      </c>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ID",IF(OR(A16="",COUNTIF($A$2:$A$17,A16)&lt;&gt;1,LEFT(A16,LEN("2024::jama.2024.6063::"))&lt;&gt;"2024::jama.2024.6063::"),"CHECK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Table 3 footnote c refers to 'eTables 5 and 6' for serious adverse event details, but eTable 5 is WORMS effusion and eTable 6 analgesic use; serious adverse events are in eTable 8, which the Results text cites.</t>
        </is>
      </c>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statistical_results</t>
        </is>
      </c>
      <c r="F17" s="18" t="inlineStr">
        <is>
          <t>primary_done</t>
        </is>
      </c>
      <c r="G17" s="11">
        <f>IFERROR(IF(LEN(TRIM(CLEAN(SUBSTITUTE(Setup!$B$2,CHAR(160)," "))))=0,"ENTER REVIEWER ID",IF(OR(A17="",COUNTIF($A$2:$A$17,A17)&lt;&gt;1,LEFT(A17,LEN("2024::jama.2024.6063::"))&lt;&gt;"2024::jama.2024.6063::"),"CHECK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Results: '95% of participants consumed at least 80% of softgels over the 24-week study period (eTable 2)'. eTable 2 overall 0-24 weeks: 82/83 (98.8%) krill and 81/84 (96.4%) placebo, i.e., 163/167 = 97.6%. No row of eTable 2 gives 95% (12-24 weeks: 164/176 = 93.2%).</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E54"/>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Open the original documents named here (file and PDF page).</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2026-10-10T23:06:09Z</dcterms:modified>
</cp:coreProperties>
</file>