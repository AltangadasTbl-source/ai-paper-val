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odebook" sheetId="14" state="visible" r:id="rId14"/>
  </sheets>
  <definedNames>
    <definedName name="_xlnm._FilterDatabase" localSheetId="3" hidden="1">'C_jama.2017.21906'!$A$1:$R$7</definedName>
    <definedName name="_xlnm._FilterDatabase" localSheetId="4" hidden="1">'C_jama.2018.0156'!$A$1:$R$9</definedName>
    <definedName name="_xlnm._FilterDatabase" localSheetId="5" hidden="1">'C_jama.2018.0948'!$A$1:$R$8</definedName>
    <definedName name="_xlnm._FilterDatabase" localSheetId="6" hidden="1">'C_jama.2018.14280'!$A$1:$R$24</definedName>
    <definedName name="_xlnm._FilterDatabase" localSheetId="7" hidden="1">'C_jama.2018.14282'!$A$1:$R$29</definedName>
    <definedName name="_xlnm._FilterDatabase" localSheetId="8" hidden="1">'C_jama.2018.17075'!$A$1:$R$9</definedName>
    <definedName name="_xlnm._FilterDatabase" localSheetId="9" hidden="1">'C_jama.2018.18020'!$A$1:$R$15</definedName>
    <definedName name="_xlnm._FilterDatabase" localSheetId="10" hidden="1">'C_jama.2018.6496'!$A$1:$R$5</definedName>
    <definedName name="_xlnm._FilterDatabase" localSheetId="11" hidden="1">'C_jama.2018.8802'!$A$1:$R$9</definedName>
    <definedName name="_xlnm._FilterDatabase" localSheetId="12" hidden="1">'C_jama.2018.9128'!$A$1:$R$14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AI-sim-ClaudeOpus5.5-2018-R_A</t>
        </is>
      </c>
    </row>
    <row r="3" ht="42" customFormat="1" customHeight="1" s="14">
      <c r="A3" s="17" t="inlineStr">
        <is>
          <t>reviewerName (optional)</t>
        </is>
      </c>
      <c r="B3" s="18" t="inlineStr">
        <is>
          <t>AI-simulated reviewer (Claude Opus 5.5 agent), not a human adjudicator</t>
        </is>
      </c>
    </row>
    <row r="4" ht="42" customFormat="1" customHeight="1" s="14">
      <c r="A4" s="16" t="inlineStr">
        <is>
          <t>reviewerRole</t>
        </is>
      </c>
      <c r="B4" s="16" t="inlineStr">
        <is>
          <t>R_A</t>
        </is>
      </c>
    </row>
    <row r="5" ht="42" customFormat="1" customHeight="1" s="14">
      <c r="A5" s="17" t="inlineStr">
        <is>
          <t>year</t>
        </is>
      </c>
      <c r="B5" s="17" t="n">
        <v>2018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COUNTIF('C_jama.2017.21906'!$G$2:$G$7,"PRIMARY READY")+COUNTIF('C_jama.2018.0156'!$G$2:$G$9,"PRIMARY READY")+COUNTIF('C_jama.2018.0948'!$G$2:$G$8,"PRIMARY READY")+COUNTIF('C_jama.2018.14280'!$G$2:$G$24,"PRIMARY READY")+COUNTIF('C_jama.2018.14282'!$G$2:$G$29,"PRIMARY READY")+COUNTIF('C_jama.2018.17075'!$G$2:$G$9,"PRIMARY READY")+COUNTIF('C_jama.2018.18020'!$G$2:$G$15,"PRIMARY READY")+COUNTIF('C_jama.2018.6496'!$G$2:$G$5,"PRIMARY READY")+COUNTIF('C_jama.2018.8802'!$G$2:$G$9,"PRIMARY READY")+COUNTIF('C_jama.2018.9128'!$G$2:$G$14,"PRIMARY READY")</f>
        <v/>
      </c>
    </row>
    <row r="5" ht="55" customFormat="1" customHeight="1" s="14">
      <c r="A5" s="17" t="inlineStr">
        <is>
          <t>Discuss / unresolved rows</t>
        </is>
      </c>
      <c r="B5" s="17">
        <f>COUNTIF('C_jama.2017.21906'!$D$2:$D$7,"discuss")+COUNTIF('C_jama.2018.0156'!$D$2:$D$9,"discuss")+COUNTIF('C_jama.2018.0948'!$D$2:$D$8,"discuss")+COUNTIF('C_jama.2018.14280'!$D$2:$D$24,"discuss")+COUNTIF('C_jama.2018.14282'!$D$2:$D$29,"discuss")+COUNTIF('C_jama.2018.17075'!$D$2:$D$9,"discuss")+COUNTIF('C_jama.2018.18020'!$D$2:$D$15,"discuss")+COUNTIF('C_jama.2018.6496'!$D$2:$D$5,"discuss")+COUNTIF('C_jama.2018.8802'!$D$2:$D$9,"discuss")+COUNTIF('C_jama.2018.9128'!$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inlineStr">
        <is>
          <t>retain</t>
        </is>
      </c>
      <c r="E2" s="21" t="inlineStr">
        <is>
          <t>statistical_results</t>
        </is>
      </c>
      <c r="F2" s="21" t="inlineStr">
        <is>
          <t>primary_done</t>
        </is>
      </c>
      <c r="G2" s="20">
        <f>IFERROR(IF(LEN(TRIM(CLEAN(SUBSTITUTE(Setup!$B$2,CHAR(160)," "))))=0,"CHECK REVIEWER ID",IF(OR(A2="",COUNTIF($A$2:$A$7,A2)&lt;&gt;1,LEFT(A2,LEN("2018::jama.2017.21906::"))&lt;&gt;"2018::jama.2017.21906::"),"CHECK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Confirmed: Table 2 prints 6.25 (4.10 to 8.40), narrative 6.25% (4.10%-8.10%). Table CI is symmetric about 6.25 (half-width 2.15 each side); narrative upper limit breaks symmetry, so the narrative is the likely typo. Both intervals exclude 0; interpretation unchanged, but a wrong CI limit is extractable.</t>
        </is>
      </c>
    </row>
    <row r="3" ht="92" customFormat="1"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inlineStr">
        <is>
          <t>retain</t>
        </is>
      </c>
      <c r="E3" s="21" t="inlineStr">
        <is>
          <t>statistical_results</t>
        </is>
      </c>
      <c r="F3" s="21" t="inlineStr">
        <is>
          <t>primary_done</t>
        </is>
      </c>
      <c r="G3" s="24">
        <f>IFERROR(IF(LEN(TRIM(CLEAN(SUBSTITUTE(Setup!$B$2,CHAR(160)," "))))=0,"CHECK REVIEWER ID",IF(OR(A3="",COUNTIF($A$2:$A$7,A3)&lt;&gt;1,LEFT(A3,LEN("2018::jama.2017.21906::"))&lt;&gt;"2018::jama.2017.21906::"),"CHECK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Confirmed: Table 2 discharge beta-blocker RD 6.69 (4.43 to 8.95), OR 1.48 (1.30-1.68); narrative RD 6.63%, OR 1.47 with the same intervals. Table values match the CI midpoint (6.69) and geometric midpoint (1.478); narrative values are the likely errors. Small magnitude. Domain changed to statistical_results.</t>
        </is>
      </c>
    </row>
    <row r="4" ht="92" customFormat="1"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inlineStr">
        <is>
          <t>retain</t>
        </is>
      </c>
      <c r="E4" s="21" t="inlineStr">
        <is>
          <t>report_internal_inconsistency</t>
        </is>
      </c>
      <c r="F4" s="21" t="inlineStr">
        <is>
          <t>primary_done</t>
        </is>
      </c>
      <c r="G4" s="20">
        <f>IFERROR(IF(LEN(TRIM(CLEAN(SUBSTITUTE(Setup!$B$2,CHAR(160)," "))))=0,"CHECK REVIEWER ID",IF(OR(A4="",COUNTIF($A$2:$A$7,A4)&lt;&gt;1,LEFT(A4,LEN("2018::jama.2017.21906::"))&lt;&gt;"2018::jama.2017.21906::"),"CHECK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eTable 1 compares complete (n=21079) vs missing follow-up (n=295) but footnote a says Difference = intervention minus control. Values show missing minus complete (e.g., 60.0-60.6=-0.6; 4.6-1.3=3.3). Footnote is wrong, apparently carried over from Table 1, but the direction is recoverable from the printed values.</t>
        </is>
      </c>
    </row>
    <row r="5" ht="92" customFormat="1"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inlineStr">
        <is>
          <t>retain</t>
        </is>
      </c>
      <c r="E5" s="21" t="inlineStr">
        <is>
          <t>protocol_report</t>
        </is>
      </c>
      <c r="F5" s="21" t="inlineStr">
        <is>
          <t>primary_done</t>
        </is>
      </c>
      <c r="G5" s="24">
        <f>IFERROR(IF(LEN(TRIM(CLEAN(SUBSTITUTE(Setup!$B$2,CHAR(160)," "))))=0,"CHECK REVIEWER ID",IF(OR(A5="",COUNTIF($A$2:$A$7,A5)&lt;&gt;1,LEFT(A5,LEN("2018::jama.2017.21906::"))&lt;&gt;"2018::jama.2017.21906::"),"CHECK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(revised 17 June 2015) sec 7.5.2 lists a priori age subgroups &lt;65 and &gt;65 years. The article calls its subgroups prespecified, but Figure 3 uses &lt;50, 50-69 and &gt;=70. The protocol has no subgroup list. Different cutpoints and number of groups for a subgroup labeled prespecified.</t>
        </is>
      </c>
    </row>
    <row r="6" ht="92" customFormat="1"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inlineStr">
        <is>
          <t>retain</t>
        </is>
      </c>
      <c r="E6" s="21" t="inlineStr">
        <is>
          <t>report_internal_inconsistency</t>
        </is>
      </c>
      <c r="F6" s="21" t="inlineStr">
        <is>
          <t>primary_done</t>
        </is>
      </c>
      <c r="G6" s="20">
        <f>IFERROR(IF(LEN(TRIM(CLEAN(SUBSTITUTE(Setup!$B$2,CHAR(160)," "))))=0,"CHECK REVIEWER ID",IF(OR(A6="",COUNTIF($A$2:$A$7,A6)&lt;&gt;1,LEFT(A6,LEN("2018::jama.2017.21906::"))&lt;&gt;"2018::jama.2017.21906::"),"CHECK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Optimal in-hospital medication composite: article Outcomes, Table 3 note c and eTable 5 note c list 'anticoagulant'; eTable 6 note b lists 'heparin'. The SAP definition used 'heparin'. Likely label carry-over for the same composite; heparin is an anticoagulant, so the intended outcome is clear. Not shown to be a different definition.</t>
        </is>
      </c>
    </row>
    <row r="7" ht="92" customFormat="1"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inlineStr">
        <is>
          <t>retain</t>
        </is>
      </c>
      <c r="E7" s="21" t="inlineStr">
        <is>
          <t>protocol_report</t>
        </is>
      </c>
      <c r="F7" s="21" t="inlineStr">
        <is>
          <t>primary_done</t>
        </is>
      </c>
      <c r="G7" s="24">
        <f>IFERROR(IF(LEN(TRIM(CLEAN(SUBSTITUTE(Setup!$B$2,CHAR(160)," "))))=0,"CHECK REVIEWER ID",IF(OR(A7="",COUNTIF($A$2:$A$7,A7)&lt;&gt;1,LEFT(A7,LEN("2018::jama.2017.21906::"))&lt;&gt;"2018::jama.2017.21906::"),"CHECK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Article and Figure 3 call hospital type (government 9, nonprofit 12, private 42) a prespecified subgroup; the SAP's a priori site-level subgroups are hospital size and use of QI toolkit components only. Hospital type is not in the supplied plan, and the planned toolkit-use subgroup is not reported.</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ID",IF(OR(A2="",COUNTIF($A$2:$A$9,A2)&lt;&gt;1,LEFT(A2,LEN("2018::jama.2018.0156::"))&lt;&gt;"2018::jama.2018.0156::"),"CHECK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Results say the lower CI limit (-1.64%) 'was greater than the threshold' (-1%), yet -1.64 &lt; -1.00. The rule (lower limit must exceed -1%) and the conclusion (noninferiority not shown) are correct; only the direction word is wrong. Wald recomputation of 44/1018 vs 43/1022 gives a lower limit of -1.64.</t>
        </is>
      </c>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ID",IF(OR(A3="",COUNTIF($A$2:$A$9,A3)&lt;&gt;1,LEFT(A3,LEN("2018::jama.2018.0156::"))&lt;&gt;"2018::jama.2018.0156::"),"CHECK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Center 5 post hoc analysis: outcome is the number of pauses &gt;2 s (27 BMV vs 16 ETI), but the difference is labeled '11 seconds (95% CI, 7 to 15)'. 27-16=11 pauses, so the unit is mislabeled. The summary statistic (total, mean or median per patient) is also unstated. The intended meaning is recoverable from the outcome definition.</t>
        </is>
      </c>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ID",IF(OR(A4="",COUNTIF($A$2:$A$9,A4)&lt;&gt;1,LEFT(A4,LEN("2018::jama.2018.0156::"))&lt;&gt;"2018::jama.2018.0156::"),"CHECK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Table 2 per-protocol survival at 28 d: 54/995 (5.4%) vs 51/943 (5.4%), difference printed 0.1. 100*(54/995-51/943)=0.019, which rounds to 0.0; the rounded percentages also give 0.0. The ITT row (55/1018 vs 54/1022) gives 0.119, so 0.1 may have been carried over from it. Small absolute error.</t>
        </is>
      </c>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ID",IF(OR(A5="",COUNTIF($A$2:$A$9,A5)&lt;&gt;1,LEFT(A5,LEN("2018::jama.2018.0156::"))&lt;&gt;"2018::jama.2018.0156::"),"CHECK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2 PP survival at 28 d prints 95% CI -10 to 9.7 points for 54/995 vs 51/943. The Wald interval is -2.00 to 2.04. The same method reproduces the ITT survival CI (-1.83 to 2.07; printed -1.8 to 2.1) and the PP ROSC CI (-9.91 to -1.31; printed -9.9 to -1.3). The printed interval overstates imprecision about fivefold.</t>
        </is>
      </c>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ID",IF(OR(A6="",COUNTIF($A$2:$A$9,A6)&lt;&gt;1,LEFT(A6,LEN("2018::jama.2018.0156::"))&lt;&gt;"2018::jama.2018.0156::"),"CHECK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direct</t>
        </is>
      </c>
      <c r="K6" s="21">
        <f>IF(AND(OR(D6="retain",D6=""),OR(E6="report_internal_inconsistency",E6="plan_material")),"","not_applicable")</f>
        <v/>
      </c>
      <c r="L6" s="22">
        <f>IF(AND(OR(D6="retain",D6=""),E6="protocol_report"),"","not_applicable")</f>
        <v/>
      </c>
      <c r="M6" s="20" t="n"/>
      <c r="N6" s="23" t="n"/>
      <c r="O6" s="23" t="n"/>
      <c r="P6" s="23" t="n"/>
      <c r="Q6" s="23" t="n"/>
      <c r="R6" s="22" t="inlineStr">
        <is>
          <t>Table 2 PP ROSC: ETI 377/943 printed as 30.0%; 377/943 = 39.98% (40.0%). Difference -5.6 (-9.9 to -1.3) matches the counts (-5.607; Wald CI -9.91 to -1.31), so the 30.0% is a typo. As printed, the percentages (34.4 vs 30.0) point the wrong way relative to the signed difference.</t>
        </is>
      </c>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ID",IF(OR(A7="",COUNTIF($A$2:$A$9,A7)&lt;&gt;1,LEFT(A7,LEN("2018::jama.2018.0156::"))&lt;&gt;"2018::jama.2018.0156::"),"CHECK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Article: 20 EMS centers (15 France, 5 Belgium), the same figure as the protocol's planned 20 centres. eTable 1 lists 21 investigator centres with enrolled patients (sums 1018/1022 reconcile); centre N2 has 0 BMV and 3 ETI. The article seems to restate the planned number. Possibly a unit difference (EMS center vs investigator centre); it does not affect estimates.</t>
        </is>
      </c>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ID",IF(OR(A8="",COUNTIF($A$2:$A$9,A8)&lt;&gt;1,LEFT(A8,LEN("2018::jama.2018.0156::"))&lt;&gt;"2018::jama.2018.0156::"),"CHECK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v1.4 (22/09/2015) and the V2 text add to the primary endpoint that survivors with pre-arrest neurologic disability who survive with the same degree of disability count as favorable. The article defines success as CPC 1-2 only, and Table 2 note b says CPCs 1 and 2 were counted as success. Primary endpoint coding differs from the amended plan; affected count unknown.</t>
        </is>
      </c>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ID",IF(OR(A9="",COUNTIF($A$2:$A$9,A9)&lt;&gt;1,LEFT(A9,LEN("2018::jama.2018.0156::"))&lt;&gt;"2018::jama.2018.0156::"),"CHECK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Protocol (v1.3 and v1.4/V2) secondary endpoint 'technique's failure' = 28-day mortality OR regurgitation OR procedural failure. The article's 'rate of BMV or ETI failure' (69/1028 vs 21/996) is procedural failure only; with 28-day deaths of 94.7% (968/1022), the composite could not be 2.1%. The planned composite is not reported. The AI's 27&gt;21 bound used survivors as deaths.</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ID",IF(OR(A2="",COUNTIF($A$2:$A$8,A2)&lt;&gt;1,LEFT(A2,LEN("2018::jama.2018.0948::"))&lt;&gt;"2018::jama.2018.0948::"),"CHECK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SCDE fluid component: article says fluid boluses of 60 mL/kg or greater; protocol Table 5 and eTable 1 say &gt;60 mL/kg. The plan also requires fluid AND inotrope (Table 5 category 4), whereas the article lists them as separate components and eTable 1 says 'and/or'. Exactly 60 mL/kg (3 x 20 mL/kg boluses) is clinically plausible, so the boundary may matter.</t>
        </is>
      </c>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ID",IF(OR(A3="",COUNTIF($A$2:$A$8,A3)&lt;&gt;1,LEFT(A3,LEN("2018::jama.2018.0948::"))&lt;&gt;"2018::jama.2018.0948::"),"CHECK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Protocol power appendix (p.29) says the 18% RRR 'corresponds to an absolute risk reduction of 0.9%'. The summary (p.1: 0.9 deaths/1000) and sec 2.11 (p.14: ARR 0.09%) give the correct value: 5.1/1000 x 0.178 = 0.91/1000 = 0.09%. p.29 overstates the ARR tenfold, but the intended value is clear from the other passages and the article.</t>
        </is>
      </c>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ID",IF(OR(A4="",COUNTIF($A$2:$A$8,A4)&lt;&gt;1,LEFT(A4,LEN("2018::jama.2018.0948::"))&lt;&gt;"2018::jama.2018.0948::"),"CHECK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Protocol p.11 says cardiac arrests are events rated 6 or 7 on the Children's Resuscitation Intensity Scale, and Table 5 maps 6 = CPR and 7 = death. The Table 6 (CRF) legend says events 'that include a cardiac arrest (scale rating 4 or 5)'. In Table 5, 4 and 5 are circulatory/late transfer. The legend contradicts the scale; text and Table 5 are consistent with each other.</t>
        </is>
      </c>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ID",IF(OR(A5="",COUNTIF($A$2:$A$8,A5)&lt;&gt;1,LEFT(A5,LEN("2018::jama.2018.0948::"))&lt;&gt;"2018::jama.2018.0948::"),"CHECK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Protocol p.11 says events with a consensus rating of '&gt;4' are potentially preventable, then lists ratings 4, 5 and 6 as preventable; Table 7 says 'a rating of 4 or more'. eTable 1 and the article (rating 4 = more than likely preventable) use &gt;=4. The '&gt;' sign is a typo contradicted in the next sentence; the intended rule is clear.</t>
        </is>
      </c>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ID",IF(OR(A6="",COUNTIF($A$2:$A$8,A6)&lt;&gt;1,LEFT(A6,LEN("2018::jama.2018.0948::"))&lt;&gt;"2018::jama.2018.0948::"),"CHECK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Protocol p.14 says Ontario data show '1052 Urgent ICU admissions/ year'; the appendix (p.30) says 1052 urgent PICU admissions in the two years after 31 Jan 2007. The derived SCDE rate is unaffected because the 55963 discharges are also a 2-year total: 1052 x 0.40/(55963 x 4) x 1000 = 1.88, about 2 per 1000 patient-days. Mislabeled period, minor.</t>
        </is>
      </c>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ID",IF(OR(A7="",COUNTIF($A$2:$A$8,A7)&lt;&gt;1,LEFT(A7,LEN("2018::jama.2018.0948::"))&lt;&gt;"2018::jama.2018.0948::"),"CHECK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Protocol appendix, stat calls: 8.13/1000 patient-days x maximum RRR 0.181 = 1.47, but 1.45 is printed. 1.45 corresponds to RRR 0.178 (8.13 x 0.178 = 1.447), the mortality RRR from the previous page, which suggests a carry-over. Small arithmetic inconsistency in a process-outcome power statement.</t>
        </is>
      </c>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ID",IF(OR(A8="",COUNTIF($A$2:$A$8,A8)&lt;&gt;1,LEFT(A8,LEN("2018::jama.2018.0948::"))&lt;&gt;"2018::jama.2018.0948::"),"CHECK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Protocol appendix table (Ontario 2007-8 historical data): 1052/7300 = 14.41% (printed 14.5%); 1052/55963 x 1000 = 18.80 (printed 18). The other rates in the same table reproduce (65/1052 = 6.2%; 65/55963 x 1000 = 1.2). Background data copied from an external report; small, with no effect on the trial's planning conclusions.</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2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ID",IF(OR(A2="",COUNTIF($A$2:$A$24,A2)&lt;&gt;1,LEFT(A2,LEN("2018::jama.2018.14280::"))&lt;&gt;"2018::jama.2018.14280::"),"CHECK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eTable 2, Other Mode of Ventilation, after titration, intermediate arm: PEEP 8 (5-1) cm H2O. A median of 8 cannot have an upper quartile of 1; probably a truncated '5-10'. Supplementary ventilator-setting descriptive for a small nonprotocol-mode subgroup; no inference depends on it.</t>
        </is>
      </c>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ID",IF(OR(A3="",COUNTIF($A$2:$A$24,A3)&lt;&gt;1,LEFT(A3,LEN("2018::jama.2018.14280::"))&lt;&gt;"2018::jama.2018.14280::"),"CHECK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'Patients at risk for ARDS': 292 (61.6) and 290 (60.3) under column headers n=477/484. Recomputed 292/477=61.2% and 290/484=59.9%; the printed percentages reproduce only with n=474 and n=481. Available-case denominators are not shown, so missingness is undisclosed. Valid for available cases; the comparison is unaffected.</t>
        </is>
      </c>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ID",IF(OR(A4="",COUNTIF($A$2:$A$24,A4)&lt;&gt;1,LEFT(A4,LEN("2018::jama.2018.14280::"))&lt;&gt;"2018::jama.2018.14280::"),"CHECK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'Septic shock': 82 (17.6) and 74 (15.5) under column headers n=477/484. Recomputed 82/477=17.2% and 74/484=15.3%; the printed percentages reproduce with n=465-467 and n=476-478. Available-case denominators are not shown, so missingness is undisclosed. Valid for available cases; the comparison is unaffected.</t>
        </is>
      </c>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ID",IF(OR(A5="",COUNTIF($A$2:$A$24,A5)&lt;&gt;1,LEFT(A5,LEN("2018::jama.2018.14280::"))&lt;&gt;"2018::jama.2018.14280::"),"CHECK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'Patient tobacco use': never/current/previous/unknown counts sum to 106+97+75+197=475 and 111+97+80+194=482, not the column n=477/484, and the percentages are computed on 475/482. Two patients per arm are missing for this variable without disclosure. The categories still sum to 100% of the available cases.</t>
        </is>
      </c>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ID",IF(OR(A6="",COUNTIF($A$2:$A$24,A6)&lt;&gt;1,LEFT(A6,LEN("2018::jama.2018.14280::"))&lt;&gt;"2018::jama.2018.14280::"),"CHECK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Table 1 'Patient alcohol use': five category counts sum to 121+47+26+59+222=475 and 92+61+30+56+243=482, not the column n=477/484, and the percentages are computed on 475/482. Two patients per arm are missing for this variable without disclosure. The categories still sum to 100% of the available cases.</t>
        </is>
      </c>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ID",IF(OR(A7="",COUNTIF($A$2:$A$24,A7)&lt;&gt;1,LEFT(A7,LEN("2018::jama.2018.14280::"))&lt;&gt;"2018::jama.2018.14280::"),"CHECK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'Reason for ICU admission': surgical+medical sum to 82+393=475 and 79+403=482, not the column n=477/484, and the percentages are computed on 475/482. Two patients per arm are missing for this variable without disclosure. The categories still sum to 100% of the available cases.</t>
        </is>
      </c>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ID",IF(OR(A8="",COUNTIF($A$2:$A$24,A8)&lt;&gt;1,LEFT(A8,LEN("2018::jama.2018.14280::"))&lt;&gt;"2018::jama.2018.14280::"),"CHECK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4 'Sedative infusion': 320 (70.6) and 333 (72.1) under headers n=477/484. 320/477=67.1%, 333/484=68.8%; the printed values reproduce only with n=453 and n=462. The note says 'number / total (%)' and other rows print /454 and /464, but this row's denominator is omitted and differs. Exploratory data; comparison unaffected.</t>
        </is>
      </c>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ID",IF(OR(A9="",COUNTIF($A$2:$A$24,A9)&lt;&gt;1,LEFT(A9,LEN("2018::jama.2018.14280::"))&lt;&gt;"2018::jama.2018.14280::"),"CHECK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4 'Analgesic infusion': 277 (61.1) and 273 (59.1) under headers n=477/484. 277/477=58.1%, 273/484=56.4%; the printed values reproduce only with n=453 and n=462. The note says 'number / total (%)' and other rows print /454 and /464, but this row's denominator is omitted and differs. Exploratory data; comparison unaffected.</t>
        </is>
      </c>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ID",IF(OR(A10="",COUNTIF($A$2:$A$24,A10)&lt;&gt;1,LEFT(A10,LEN("2018::jama.2018.14280::"))&lt;&gt;"2018::jama.2018.14280::"),"CHECK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4 'Neuromuscular blockade': 53 (11.7) and 60 (13.0) under headers n=477/484. 53/477=11.1%, 60/484=12.4%; the printed values reproduce with n=452-454 and n=460-463. The note says 'number / total (%)' and other rows print /454 and /464, but this row's denominator is omitted and differs. Exploratory data; comparison unaffected.</t>
        </is>
      </c>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ID",IF(OR(A11="",COUNTIF($A$2:$A$24,A11)&lt;&gt;1,LEFT(A11,LEN("2018::jama.2018.14280::"))&lt;&gt;"2018::jama.2018.14280::"),"CHECK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'Use of vasopressors': 363 (80.0) and 353 (76.4) under headers n=477/484. 363/477=76.1%, 353/484=72.9%; the printed values reproduce only with n=454 and n=462. The note says 'number / total (%)' and other rows print /454 and /464, but this row's denominator is omitted and differs. Exploratory data; comparison unaffected.</t>
        </is>
      </c>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ID",IF(OR(A12="",COUNTIF($A$2:$A$24,A12)&lt;&gt;1,LEFT(A12,LEN("2018::jama.2018.14280::"))&lt;&gt;"2018::jama.2018.14280::"),"CHECK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Methods: 'ICU and hospital length of stay and mortality rates were compared using Kaplan-Meier ... and reported as hazard ratios (Cox)'. Table 2 reports ICU and hospital mortality as RRs (footnote c) and LOS as GLM mean differences; only 28/90-day mortality use HRs, as the SAP specifies. The Methods sentence overgeneralizes; the table footnotes make the estimators clear.</t>
        </is>
      </c>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ID",IF(OR(A13="",COUNTIF($A$2:$A$24,A13)&lt;&gt;1,LEFT(A13,LEN("2018::jama.2018.14280::"))&lt;&gt;"2018::jama.2018.14280::"),"CHECK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t="inlineStr">
        <is>
          <t>direct</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ICU mortality: 132/450 vs 115/458, printed RR 1.11 (0.96-1.27). Correct RR with Wald CI is 1.17 (0.94-1.45). The printed value equals the RR of a transposed 2x2 table, P(low arm|event)/P(low arm|no event) = 1.111 (0.96-1.28). All 10 binary RRs in Table 2 show this pattern; the chi-square p-values are correct. Wrong effect estimate and CI.</t>
        </is>
      </c>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ID",IF(OR(A14="",COUNTIF($A$2:$A$24,A14)&lt;&gt;1,LEFT(A14,LEN("2018::jama.2018.14280::"))&lt;&gt;"2018::jama.2018.14280::"),"CHECK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Hospital mortality: 151/477 vs 140/484, printed RR 1.06 (0.93-1.22). Correct RR with Wald CI is 1.09 (0.90-1.33). The printed value equals the RR of a transposed 2x2 table, P(low arm|event)/P(low arm|no event) = 1.066 (0.93-1.22). All 10 binary RRs in Table 2 show this pattern; the chi-square p-values are correct. Wrong effect estimate and CI.</t>
        </is>
      </c>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ID",IF(OR(A15="",COUNTIF($A$2:$A$24,A15)&lt;&gt;1,LEFT(A15,LEN("2018::jama.2018.14280::"))&lt;&gt;"2018::jama.2018.14280::"),"CHECK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t="inlineStr">
        <is>
          <t>direct</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Development of ARDS: 17/448 vs 23/462, printed RR 0.86 (0.59-1.24). Correct RR with Wald CI is 0.76 (0.41-1.41). The printed value equals the RR of a transposed 2x2 table, P(low arm|event)/P(low arm|no event) = 0.858 (0.59-1.24). All 10 binary RRs in Table 2 show this pattern; the chi-square p-values are correct. Wrong effect estimate and CI.</t>
        </is>
      </c>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ID",IF(OR(A16="",COUNTIF($A$2:$A$24,A16)&lt;&gt;1,LEFT(A16,LEN("2018::jama.2018.14280::"))&lt;&gt;"2018::jama.2018.14280::"),"CHECK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t="inlineStr">
        <is>
          <t>direct</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Development of pneumonia: 19/450 vs 17/462, printed RR 1.07 (0.78-1.47). Correct RR with Wald CI is 1.15 (0.60-2.18). The printed value equals the RR of a transposed 2x2 table, P(low arm|event)/P(low arm|no event) = 1.073 (0.78-1.47). All 10 binary RRs in Table 2 show this pattern; the chi-square p-values are correct. Wrong effect estimate and CI.</t>
        </is>
      </c>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ID",IF(OR(A17="",COUNTIF($A$2:$A$24,A17)&lt;&gt;1,LEFT(A17,LEN("2018::jama.2018.14280::"))&lt;&gt;"2018::jama.2018.14280::"),"CHECK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t="inlineStr">
        <is>
          <t>direct</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Pneumothorax: 8/448 vs 6/462, printed RR 1.16 (0.73-1.84). Correct RR with Wald CI is 1.38 (0.48-3.93). The printed value equals the RR of a transposed 2x2 table, P(low arm|event)/P(low arm|no event) = 1.164 (0.74-1.84). All 10 binary RRs in Table 2 show this pattern; the chi-square p-values are correct. Wrong effect estimate and CI.</t>
        </is>
      </c>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ID",IF(OR(A18="",COUNTIF($A$2:$A$24,A18)&lt;&gt;1,LEFT(A18,LEN("2018::jama.2018.14280::"))&lt;&gt;"2018::jama.2018.14280::"),"CHECK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t="inlineStr">
        <is>
          <t>direct</t>
        </is>
      </c>
      <c r="K18" s="21">
        <f>IF(AND(OR(D18="retain",D18=""),OR(E18="report_internal_inconsistency",E18="plan_material")),"","not_applicable")</f>
        <v/>
      </c>
      <c r="L18" s="22">
        <f>IF(AND(OR(D18="retain",D18=""),E18="protocol_report"),"","not_applicable")</f>
        <v/>
      </c>
      <c r="M18" s="20" t="n"/>
      <c r="N18" s="23" t="n"/>
      <c r="O18" s="23" t="n"/>
      <c r="P18" s="23" t="n"/>
      <c r="Q18" s="23" t="n"/>
      <c r="R18" s="22" t="inlineStr">
        <is>
          <t>Table 2 Atelectasis: 51/449 vs 52/464, printed RR 1.00 (0.81-1.23). Correct RR with Wald CI is 1.01 (0.70-1.46). The printed value equals the RR of a transposed 2x2 table, P(low arm|event)/P(low arm|no event) = 1.008 (0.82-1.24). All 10 binary RRs in Table 2 show this pattern; the chi-square p-values are correct. Wrong effect estimate and CI.</t>
        </is>
      </c>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ID",IF(OR(A19="",COUNTIF($A$2:$A$24,A19)&lt;&gt;1,LEFT(A19,LEN("2018::jama.2018.14280::"))&lt;&gt;"2018::jama.2018.14280::"),"CHECK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direct</t>
        </is>
      </c>
      <c r="K19" s="21">
        <f>IF(AND(OR(D19="retain",D19=""),OR(E19="report_internal_inconsistency",E19="plan_material")),"","not_applicable")</f>
        <v/>
      </c>
      <c r="L19" s="22">
        <f>IF(AND(OR(D19="retain",D19=""),E19="protocol_report"),"","not_applicable")</f>
        <v/>
      </c>
      <c r="M19" s="24" t="n"/>
      <c r="N19" s="23" t="n"/>
      <c r="O19" s="23" t="n"/>
      <c r="P19" s="23" t="n"/>
      <c r="Q19" s="23" t="n"/>
      <c r="R19" s="22" t="inlineStr">
        <is>
          <t>Table 2 Extrapulmonary infection: 20/448 vs 28/463, printed RR 0.84 (0.60-1.18). Correct RR with Wald CI is 0.74 (0.42-1.29). The printed value equals the RR of a transposed 2x2 table, P(low arm|event)/P(low arm|no event) = 0.840 (0.60-1.18). All 10 binary RRs in Table 2 show this pattern; the chi-square p-values are correct. Wrong effect estimate and CI.</t>
        </is>
      </c>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ID",IF(OR(A20="",COUNTIF($A$2:$A$24,A20)&lt;&gt;1,LEFT(A20,LEN("2018::jama.2018.14280::"))&lt;&gt;"2018::jama.2018.14280::"),"CHECK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t="inlineStr">
        <is>
          <t>direct</t>
        </is>
      </c>
      <c r="K20" s="21">
        <f>IF(AND(OR(D20="retain",D20=""),OR(E20="report_internal_inconsistency",E20="plan_material")),"","not_applicable")</f>
        <v/>
      </c>
      <c r="L20" s="22">
        <f>IF(AND(OR(D20="retain",D20=""),E20="protocol_report"),"","not_applicable")</f>
        <v/>
      </c>
      <c r="M20" s="20" t="n"/>
      <c r="N20" s="23" t="n"/>
      <c r="O20" s="23" t="n"/>
      <c r="P20" s="23" t="n"/>
      <c r="Q20" s="23" t="n"/>
      <c r="R20" s="22" t="inlineStr">
        <is>
          <t>Table 2 Extrapulmonary sepsis: 12/448 vs 16/463, printed RR 0.87 (0.56-1.33). Correct RR with Wald CI is 0.78 (0.37-1.62). The printed value equals the RR of a transposed 2x2 table, P(low arm|event)/P(low arm|no event) = 0.868 (0.56-1.34). All 10 binary RRs in Table 2 show this pattern; the chi-square p-values are correct. Wrong effect estimate and CI.</t>
        </is>
      </c>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ID",IF(OR(A21="",COUNTIF($A$2:$A$24,A21)&lt;&gt;1,LEFT(A21,LEN("2018::jama.2018.14280::"))&lt;&gt;"2018::jama.2018.14280::"),"CHECK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t="inlineStr">
        <is>
          <t>direct</t>
        </is>
      </c>
      <c r="K21" s="21">
        <f>IF(AND(OR(D21="retain",D21=""),OR(E21="report_internal_inconsistency",E21="plan_material")),"","not_applicable")</f>
        <v/>
      </c>
      <c r="L21" s="22">
        <f>IF(AND(OR(D21="retain",D21=""),E21="protocol_report"),"","not_applicable")</f>
        <v/>
      </c>
      <c r="M21" s="24" t="n"/>
      <c r="N21" s="23" t="n"/>
      <c r="O21" s="23" t="n"/>
      <c r="P21" s="23" t="n"/>
      <c r="Q21" s="23" t="n"/>
      <c r="R21" s="22" t="inlineStr">
        <is>
          <t>Table 2 Delirium: 149/343 vs 132/361, printed RR 1.15 (0.99-1.34). Correct RR with Wald CI is 1.19 (0.99-1.42). The printed value equals the RR of a transposed 2x2 table, P(low arm|event)/P(low arm|no event) = 1.156 (0.99-1.34). All 10 binary RRs in Table 2 show this pattern; the chi-square p-values are correct. Wrong effect estimate and CI.</t>
        </is>
      </c>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ID",IF(OR(A22="",COUNTIF($A$2:$A$24,A22)&lt;&gt;1,LEFT(A22,LEN("2018::jama.2018.14280::"))&lt;&gt;"2018::jama.2018.14280::"),"CHECK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t="inlineStr">
        <is>
          <t>direct</t>
        </is>
      </c>
      <c r="K22" s="21">
        <f>IF(AND(OR(D22="retain",D22=""),OR(E22="report_internal_inconsistency",E22="plan_material")),"","not_applicable")</f>
        <v/>
      </c>
      <c r="L22" s="22">
        <f>IF(AND(OR(D22="retain",D22=""),E22="protocol_report"),"","not_applicable")</f>
        <v/>
      </c>
      <c r="M22" s="20" t="n"/>
      <c r="N22" s="23" t="n"/>
      <c r="O22" s="23" t="n"/>
      <c r="P22" s="23" t="n"/>
      <c r="Q22" s="23" t="n"/>
      <c r="R22" s="22" t="inlineStr">
        <is>
          <t>Table 2 Need for tracheostomy: 54/477 vs 52/484, printed RR 1.03 (0.84-1.26). Correct RR with Wald CI is 1.05 (0.74-1.51). The printed value equals the RR of a transposed 2x2 table, P(low arm|event)/P(low arm|no event) = 1.030 (0.84-1.26). All 10 binary RRs in Table 2 show this pattern; the chi-square p-values are correct. Wrong effect estimate and CI.</t>
        </is>
      </c>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ID",IF(OR(A23="",COUNTIF($A$2:$A$24,A23)&lt;&gt;1,LEFT(A23,LEN("2018::jama.2018.14280::"))&lt;&gt;"2018::jama.2018.14280::"),"CHECK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minor_presentation</t>
        </is>
      </c>
      <c r="L23" s="22">
        <f>IF(AND(OR(D23="retain",D23=""),E23="protocol_report"),"","not_applicable")</f>
        <v/>
      </c>
      <c r="M23" s="24" t="n"/>
      <c r="N23" s="23" t="n"/>
      <c r="O23" s="23" t="n"/>
      <c r="P23" s="23" t="n"/>
      <c r="Q23" s="23" t="n"/>
      <c r="R23" s="22" t="inlineStr">
        <is>
          <t>Main text gives subgroup mean differences as -2.50 [IQR, -4.63 to -0.36] and 1.45 [IQR -0.52 to 3.43]; eTable 5 labels the identical values 'Mean Difference (95% CI)'. These are CIs of mean differences mislabeled as IQRs in the text. The values agree and the intended meaning is recoverable from eTable 5.</t>
        </is>
      </c>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ID",IF(OR(A24="",COUNTIF($A$2:$A$24,A24)&lt;&gt;1,LEFT(A24,LEN("2018::jama.2018.14280::"))&lt;&gt;"2018::jama.2018.14280::"),"CHECK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t="inlineStr">
        <is>
          <t>minor_presentation</t>
        </is>
      </c>
      <c r="M24" s="20" t="n"/>
      <c r="N24" s="23" t="n"/>
      <c r="O24" s="23" t="n"/>
      <c r="P24" s="23" t="n"/>
      <c r="Q24" s="23" t="n"/>
      <c r="R24" s="22" t="inlineStr">
        <is>
          <t>Article: enrollment from Sept 1, 2014 through August 20, 2017; the updated SAP (v1.0, Nov 24, 2017) says enrollment was complete on August 22, 2017. A 2-day difference, possibly last randomization vs administrative closure. No effect on any analysis.</t>
        </is>
      </c>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ID",IF(OR(A2="",COUNTIF($A$2:$A$29,A2)&lt;&gt;1,LEFT(A2,LEN("2018::jama.2018.14282::"))&lt;&gt;"2018::jama.2018.14282::"),"CHECK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Men, standard arm: 247 (63.6); 247/388 = 63.66%, which rounds to 63.7. Off by 0.1 point. The same table rounds other cells conventionally, so neither truncation nor rounding explains all cells. A trivial display inconsistency with no effect on interpretation.</t>
        </is>
      </c>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ID",IF(OR(A3="",COUNTIF($A$2:$A$29,A3)&lt;&gt;1,LEFT(A3,LEN("2018::jama.2018.14282::"))&lt;&gt;"2018::jama.2018.14282::"),"CHECK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Women, standard arm: 141 (36.4); 141/388 = 36.34%, which rounds to 36.3 (complement of men 63.6%). Off by 0.1 point. The same table rounds other cells conventionally, so neither truncation nor rounding explains all cells. A trivial display inconsistency with no effect on interpretation.</t>
        </is>
      </c>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ID",IF(OR(A4="",COUNTIF($A$2:$A$29,A4)&lt;&gt;1,LEFT(A4,LEN("2018::jama.2018.14282::"))&lt;&gt;"2018::jama.2018.14282::"),"CHECK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Heart failure, standard arm: 27 (6.9); 27/388 = 6.96%, which rounds to 7.0. Off by 0.1 point. The same table rounds other cells conventionally, so neither truncation nor rounding explains all cells. A trivial display inconsistency with no effect on interpretation.</t>
        </is>
      </c>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ID",IF(OR(A5="",COUNTIF($A$2:$A$29,A5)&lt;&gt;1,LEFT(A5,LEN("2018::jama.2018.14282::"))&lt;&gt;"2018::jama.2018.14282::"),"CHECK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1 liver disease, high-flow arm: 45 (13.3). 45/388 = 11.6%, whereas 13.3% corresponds to about 52 patients. The count or the percentage is wrong (1.7 points apart) and the paper does not say which. The standard-arm cell (56, 14.4%) reconciles. Baseline only, so trial inference is unaffected.</t>
        </is>
      </c>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ID",IF(OR(A6="",COUNTIF($A$2:$A$29,A6)&lt;&gt;1,LEFT(A6,LEN("2018::jama.2018.14282::"))&lt;&gt;"2018::jama.2018.14282::"),"CHECK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direct</t>
        </is>
      </c>
      <c r="K6" s="21">
        <f>IF(AND(OR(D6="retain",D6=""),OR(E6="report_internal_inconsistency",E6="plan_material")),"","not_applicable")</f>
        <v/>
      </c>
      <c r="L6" s="22">
        <f>IF(AND(OR(D6="retain",D6=""),E6="protocol_report"),"","not_applicable")</f>
        <v/>
      </c>
      <c r="M6" s="20" t="n"/>
      <c r="N6" s="23" t="n"/>
      <c r="O6" s="23" t="n"/>
      <c r="P6" s="23" t="n"/>
      <c r="Q6" s="23" t="n"/>
      <c r="R6" s="22" t="inlineStr">
        <is>
          <t>Table 1 kidney disease, standard arm: 69 (20.4). 69/388 = 17.8%, whereas 20.4% corresponds to about 79 patients. The count or the percentage is wrong (2.6 points apart). The high-flow cell (73, 18.8%) reconciles. Baseline only; the correct value is not recoverable from the paper.</t>
        </is>
      </c>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ID",IF(OR(A7="",COUNTIF($A$2:$A$29,A7)&lt;&gt;1,LEFT(A7,LEN("2018::jama.2018.14282::"))&lt;&gt;"2018::jama.2018.14282::"),"CHECK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Non-transplant immunosuppression, standard arm: 98 (25.2); 98/388 = 25.26%, which rounds to 25.3. Off by 0.1 point. The same table rounds other cells conventionally, so neither truncation nor rounding explains all cells. A trivial display inconsistency with no effect on interpretation.</t>
        </is>
      </c>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ID",IF(OR(A8="",COUNTIF($A$2:$A$29,A8)&lt;&gt;1,LEFT(A8,LEN("2018::jama.2018.14282::"))&lt;&gt;"2018::jama.2018.14282::"),"CHECK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Table 1 Randomized &gt;=3 days after ICU admission, high-flow arm: 20 (5.1); 20/388 = 5.15%, which rounds to 5.2. Off by 0.1 point. The same table rounds other cells conventionally, so neither truncation nor rounding explains all cells. A trivial display inconsistency with no effect on interpretation.</t>
        </is>
      </c>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ID",IF(OR(A9="",COUNTIF($A$2:$A$29,A9)&lt;&gt;1,LEFT(A9,LEN("2018::jama.2018.14282::"))&lt;&gt;"2018::jama.2018.14282::"),"CHECK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Table 1 Randomized &gt;=3 days after ICU admission, standard arm: 20 (5.1); 20/388 = 5.15%, which rounds to 5.2. Off by 0.1 point. The same table rounds other cells conventionally, so neither truncation nor rounding explains all cells. A trivial display inconsistency with no effect on interpretation.</t>
        </is>
      </c>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ID",IF(OR(A10="",COUNTIF($A$2:$A$29,A10)&lt;&gt;1,LEFT(A10,LEN("2018::jama.2018.14282::"))&lt;&gt;"2018::jama.2018.14282::"),"CHECK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1 Vasopressors at randomization, standard arm: 39 (10.0); 39/388 = 10.05%, which rounds to 10.1. Off by 0.1 point. The same table rounds other cells conventionally, so neither truncation nor rounding explains all cells. A trivial display inconsistency with no effect on interpretation.</t>
        </is>
      </c>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ID",IF(OR(A11="",COUNTIF($A$2:$A$29,A11)&lt;&gt;1,LEFT(A11,LEN("2018::jama.2018.14282::"))&lt;&gt;"2018::jama.2018.14282::"),"CHECK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Table 1 Do not intubate, high-flow arm: 13 (3.3); 13/388 = 3.35%, which rounds to 3.4. Off by 0.1 point. The same table rounds other cells conventionally, so neither truncation nor rounding explains all cells. A trivial display inconsistency with no effect on interpretation.</t>
        </is>
      </c>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ID",IF(OR(A12="",COUNTIF($A$2:$A$29,A12)&lt;&gt;1,LEFT(A12,LEN("2018::jama.2018.14282::"))&lt;&gt;"2018::jama.2018.14282::"),"CHECK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Table 1 Do not resuscitate, high-flow arm: 3 (0.7); 3/388 = 0.77%, which rounds to 0.8. Off by 0.1 point. The same table rounds other cells conventionally, so neither truncation nor rounding explains all cells. A trivial display inconsistency with no effect on interpretation.</t>
        </is>
      </c>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ID",IF(OR(A13="",COUNTIF($A$2:$A$29,A13)&lt;&gt;1,LEFT(A13,LEN("2018::jama.2018.14282::"))&lt;&gt;"2018::jama.2018.14282::"),"CHECK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Table 1 Do not resuscitate, standard arm: 1 (0.2); 1/388 = 0.26%, which rounds to 0.3. Off by 0.1 point. The same table rounds other cells conventionally, so neither truncation nor rounding explains all cells. A trivial display inconsistency with no effect on interpretation.</t>
        </is>
      </c>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ID",IF(OR(A14="",COUNTIF($A$2:$A$29,A14)&lt;&gt;1,LEFT(A14,LEN("2018::jama.2018.14282::"))&lt;&gt;"2018::jama.2018.14282::"),"CHECK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1 Unknown goals of care, standard arm: 27 (6.9); 27/388 = 6.96%, which rounds to 7.0. Off by 0.1 point. The same table rounds other cells conventionally, so neither truncation nor rounding explains all cells. A trivial display inconsistency with no effect on interpretation.</t>
        </is>
      </c>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ID",IF(OR(A15="",COUNTIF($A$2:$A$29,A15)&lt;&gt;1,LEFT(A15,LEN("2018::jama.2018.14282::"))&lt;&gt;"2018::jama.2018.14282::"),"CHECK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1 Received standard oxygen before randomization, high-flow arm: 311 (80.1); 311/388 = 80.15%, which rounds to 80.2. Off by 0.1 point. The same table rounds other cells conventionally, so neither truncation nor rounding explains all cells. A trivial display inconsistency with no effect on interpretation.</t>
        </is>
      </c>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ID",IF(OR(A16="",COUNTIF($A$2:$A$29,A16)&lt;&gt;1,LEFT(A16,LEN("2018::jama.2018.14282::"))&lt;&gt;"2018::jama.2018.14282::"),"CHECK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ICU-acquired infection, high-flow arm: 39 (10.0); 39/388 = 10.05%, which rounds to 10.1. Off by 0.1 point. The same table rounds other cells conventionally, so neither truncation nor rounding explains all cells. A trivial display inconsistency with no effect on interpretation.</t>
        </is>
      </c>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ID",IF(OR(A17="",COUNTIF($A$2:$A$29,A17)&lt;&gt;1,LEFT(A17,LEN("2018::jama.2018.14282::"))&lt;&gt;"2018::jama.2018.14282::"),"CHECK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minor_presentation</t>
        </is>
      </c>
      <c r="J17" s="22" t="inlineStr">
        <is>
          <t>unlikely</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Hospital mortality, standard arm: 162 (41.7); 162/388 = 41.75%, which rounds to 41.8. Off by 0.1 point. The same table rounds other cells conventionally, so neither truncation nor rounding explains all cells. A trivial display inconsistency with no effect on interpretation.</t>
        </is>
      </c>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statistical_results</t>
        </is>
      </c>
      <c r="F18" s="21" t="inlineStr">
        <is>
          <t>primary_done</t>
        </is>
      </c>
      <c r="G18" s="20">
        <f>IFERROR(IF(LEN(TRIM(CLEAN(SUBSTITUTE(Setup!$B$2,CHAR(160)," "))))=0,"CHECK REVIEWER ID",IF(OR(A18="",COUNTIF($A$2:$A$29,A18)&lt;&gt;1,LEFT(A18,LEN("2018::jama.2018.14282::"))&lt;&gt;"2018::jama.2018.14282::"),"CHECK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direct</t>
        </is>
      </c>
      <c r="K18" s="21">
        <f>IF(AND(OR(D18="retain",D18=""),OR(E18="report_internal_inconsistency",E18="plan_material")),"","not_applicable")</f>
        <v/>
      </c>
      <c r="L18" s="22">
        <f>IF(AND(OR(D18="retain",D18=""),E18="protocol_report"),"","not_applicable")</f>
        <v/>
      </c>
      <c r="M18" s="20" t="n"/>
      <c r="N18" s="23" t="n"/>
      <c r="O18" s="23" t="n"/>
      <c r="P18" s="23" t="n"/>
      <c r="Q18" s="23" t="n"/>
      <c r="R18" s="22" t="inlineStr">
        <is>
          <t>Respiratory rate at 6 h: abstract gives mean difference -1.8/min (95% CI -3.2 to -0.2), Results give -1.8 (95% CI -3.2 to -0.3). Same comparison, upper limits differ by 0.1. Neither interval includes 0, so interpretation is unchanged. Domain changed to statistical_results (numerical CI discrepancy).</t>
        </is>
      </c>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ID",IF(OR(A19="",COUNTIF($A$2:$A$29,A19)&lt;&gt;1,LEFT(A19,LEN("2018::jama.2018.14282::"))&lt;&gt;"2018::jama.2018.14282::"),"CHECK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possible</t>
        </is>
      </c>
      <c r="K19" s="21">
        <f>IF(AND(OR(D19="retain",D19=""),OR(E19="report_internal_inconsistency",E19="plan_material")),"","not_applicable")</f>
        <v/>
      </c>
      <c r="L19" s="22">
        <f>IF(AND(OR(D19="retain",D19=""),E19="protocol_report"),"","not_applicable")</f>
        <v/>
      </c>
      <c r="M19" s="24" t="n"/>
      <c r="N19" s="23" t="n"/>
      <c r="O19" s="23" t="n"/>
      <c r="P19" s="23" t="n"/>
      <c r="Q19" s="23" t="n"/>
      <c r="R19" s="22" t="inlineStr">
        <is>
          <t>Post hoc: 'vasopressors and RRT were needed in 153 patients (19.7%) randomized to high-flow ... and 31 patients (4%) randomized to standard oxygen, with no statistical difference'. 19.7% and 4.0% are of all 776, not of each arm. 153/388 vs 31/388 would be a large difference (39.4% vs 8.0%), contradicting 'no difference'. Likely 153 = vasopressors and 31 = RRT overall.</t>
        </is>
      </c>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ID",IF(OR(A20="",COUNTIF($A$2:$A$29,A20)&lt;&gt;1,LEFT(A20,LEN("2018::jama.2018.14282::"))&lt;&gt;"2018::jama.2018.14282::"),"CHECK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(6 h after randomization) Invasive mechanical ventilation at 6 h, high-flow arm: 39 (10.0); 39/388 = 10.05%, which rounds to 10.1. Off by 0.1 point, the same mixed rounding pattern as Table 1. Immaterial.</t>
        </is>
      </c>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ID",IF(OR(A21="",COUNTIF($A$2:$A$29,A21)&lt;&gt;1,LEFT(A21,LEN("2018::jama.2018.14282::"))&lt;&gt;"2018::jama.2018.14282::"),"CHECK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minor_presentation</t>
        </is>
      </c>
      <c r="J21" s="22" t="inlineStr">
        <is>
          <t>unlikely</t>
        </is>
      </c>
      <c r="K21" s="21">
        <f>IF(AND(OR(D21="retain",D21=""),OR(E21="report_internal_inconsistency",E21="plan_material")),"","not_applicable")</f>
        <v/>
      </c>
      <c r="L21" s="22">
        <f>IF(AND(OR(D21="retain",D21=""),E21="protocol_report"),"","not_applicable")</f>
        <v/>
      </c>
      <c r="M21" s="24" t="n"/>
      <c r="N21" s="23" t="n"/>
      <c r="O21" s="23" t="n"/>
      <c r="P21" s="23" t="n"/>
      <c r="Q21" s="23" t="n"/>
      <c r="R21" s="22" t="inlineStr">
        <is>
          <t>eTable (6 h after randomization) Invasive mechanical ventilation at 6 h, standard arm: 46 (11.8); 46/388 = 11.86%, which rounds to 11.9. Off by 0.1 point, the same mixed rounding pattern as Table 1. Immaterial.</t>
        </is>
      </c>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ID",IF(OR(A22="",COUNTIF($A$2:$A$29,A22)&lt;&gt;1,LEFT(A22,LEN("2018::jama.2018.14282::"))&lt;&gt;"2018::jama.2018.14282::"),"CHECK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minor_presentation</t>
        </is>
      </c>
      <c r="J22" s="22" t="inlineStr">
        <is>
          <t>unlikely</t>
        </is>
      </c>
      <c r="K22" s="21">
        <f>IF(AND(OR(D22="retain",D22=""),OR(E22="report_internal_inconsistency",E22="plan_material")),"","not_applicable")</f>
        <v/>
      </c>
      <c r="L22" s="22">
        <f>IF(AND(OR(D22="retain",D22=""),E22="protocol_report"),"","not_applicable")</f>
        <v/>
      </c>
      <c r="M22" s="20" t="n"/>
      <c r="N22" s="23" t="n"/>
      <c r="O22" s="23" t="n"/>
      <c r="P22" s="23" t="n"/>
      <c r="Q22" s="23" t="n"/>
      <c r="R22" s="22" t="inlineStr">
        <is>
          <t>eTable (6 h after randomization) Standard oxygen only at 6 h, standard arm: 342 (88.2); 342/388 = 88.14%, which rounds to 88.1. Off by 0.1 point, the same mixed rounding pattern as Table 1 (88.2 = 100 - 11.8 forced complement). Immaterial.</t>
        </is>
      </c>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ID",IF(OR(A23="",COUNTIF($A$2:$A$29,A23)&lt;&gt;1,LEFT(A23,LEN("2018::jama.2018.14282::"))&lt;&gt;"2018::jama.2018.14282::"),"CHECK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minor_presentation</t>
        </is>
      </c>
      <c r="J23" s="22" t="inlineStr">
        <is>
          <t>unlikely</t>
        </is>
      </c>
      <c r="K23" s="21">
        <f>IF(AND(OR(D23="retain",D23=""),OR(E23="report_internal_inconsistency",E23="plan_material")),"","not_applicable")</f>
        <v/>
      </c>
      <c r="L23" s="22">
        <f>IF(AND(OR(D23="retain",D23=""),E23="protocol_report"),"","not_applicable")</f>
        <v/>
      </c>
      <c r="M23" s="24" t="n"/>
      <c r="N23" s="23" t="n"/>
      <c r="O23" s="23" t="n"/>
      <c r="P23" s="23" t="n"/>
      <c r="Q23" s="23" t="n"/>
      <c r="R23" s="22" t="inlineStr">
        <is>
          <t>Methods: the cumulative incidence of intubation was compared with the Gray test (death/discharge as competing events). eFigure 1 labels the same comparison 'P (log Rank test) = 0.17', which matches the main-text P = .17. The test behind P = .17 is therefore ambiguous (Gray, log-rank, or cause-specific Cox). Conclusion unchanged.</t>
        </is>
      </c>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statistical_results</t>
        </is>
      </c>
      <c r="F24" s="21" t="inlineStr">
        <is>
          <t>primary_done</t>
        </is>
      </c>
      <c r="G24" s="20">
        <f>IFERROR(IF(LEN(TRIM(CLEAN(SUBSTITUTE(Setup!$B$2,CHAR(160)," "))))=0,"CHECK REVIEWER ID",IF(OR(A24="",COUNTIF($A$2:$A$29,A24)&lt;&gt;1,LEFT(A24,LEN("2018::jama.2018.14282::"))&lt;&gt;"2018::jama.2018.14282::"),"CHECK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t="inlineStr">
        <is>
          <t>confirmed_issue</t>
        </is>
      </c>
      <c r="I24" s="21" t="inlineStr">
        <is>
          <t>substantive</t>
        </is>
      </c>
      <c r="J24" s="22" t="inlineStr">
        <is>
          <t>direct</t>
        </is>
      </c>
      <c r="K24" s="21">
        <f>IF(AND(OR(D24="retain",D24=""),OR(E24="report_internal_inconsistency",E24="plan_material")),"","not_applicable")</f>
        <v/>
      </c>
      <c r="L24" s="22">
        <f>IF(AND(OR(D24="retain",D24=""),E24="protocol_report"),"","not_applicable")</f>
        <v/>
      </c>
      <c r="M24" s="20" t="n"/>
      <c r="N24" s="23" t="n"/>
      <c r="O24" s="23" t="n"/>
      <c r="P24" s="23" t="n"/>
      <c r="Q24" s="23" t="n"/>
      <c r="R24" s="22" t="inlineStr">
        <is>
          <t>Figure 3A overall HR 1.02 (0.81-1.29) with 138/388 HF vs 140/388 SO deaths; Table 2 HR 0.98 (0.77-1.24). 1/0.98 = 1.02, 1/1.24 = 0.81, 1/0.77 = 1.30. All 13 Fig 3A HRs point in the SO-vs-HF direction (checked against the counts), yet the axis says HR&lt;1 favors high-flow. Subgroup effects read in reverse. Domain changed to statistical_results.</t>
        </is>
      </c>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statistical_results</t>
        </is>
      </c>
      <c r="F25" s="21" t="inlineStr">
        <is>
          <t>primary_done</t>
        </is>
      </c>
      <c r="G25" s="24">
        <f>IFERROR(IF(LEN(TRIM(CLEAN(SUBSTITUTE(Setup!$B$2,CHAR(160)," "))))=0,"CHECK REVIEWER ID",IF(OR(A25="",COUNTIF($A$2:$A$29,A25)&lt;&gt;1,LEFT(A25,LEN("2018::jama.2018.14282::"))&lt;&gt;"2018::jama.2018.14282::"),"CHECK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t="inlineStr">
        <is>
          <t>confirmed_issue</t>
        </is>
      </c>
      <c r="I25" s="21" t="inlineStr">
        <is>
          <t>substantive</t>
        </is>
      </c>
      <c r="J25" s="22" t="inlineStr">
        <is>
          <t>direct</t>
        </is>
      </c>
      <c r="K25" s="21">
        <f>IF(AND(OR(D25="retain",D25=""),OR(E25="report_internal_inconsistency",E25="plan_material")),"","not_applicable")</f>
        <v/>
      </c>
      <c r="L25" s="22">
        <f>IF(AND(OR(D25="retain",D25=""),E25="protocol_report"),"","not_applicable")</f>
        <v/>
      </c>
      <c r="M25" s="24" t="n"/>
      <c r="N25" s="23" t="n"/>
      <c r="O25" s="23" t="n"/>
      <c r="P25" s="23" t="n"/>
      <c r="Q25" s="23" t="n"/>
      <c r="R25" s="22" t="inlineStr">
        <is>
          <t>Figure 3B overall IMV HR 1.17 (0.94-1.46) with 150/388 HF vs 170/388 SO; Table 2 cause-specific HR 0.85 (0.68-1.06), whose reciprocal is 1.18 (0.94-1.47). All 13 rows are SO-vs-HF under HF-favoring labels, including the only significant interaction (hematologic malignancy No: HF 61/199 vs SO 89/198, HR 1.61 shown as favoring standard). Domain changed.</t>
        </is>
      </c>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ID",IF(OR(A26="",COUNTIF($A$2:$A$29,A26)&lt;&gt;1,LEFT(A26,LEN("2018::jama.2018.14282::"))&lt;&gt;"2018::jama.2018.14282::"),"CHECK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minor_presentation</t>
        </is>
      </c>
      <c r="J26" s="22" t="inlineStr">
        <is>
          <t>unlikely</t>
        </is>
      </c>
      <c r="K26" s="21">
        <f>IF(AND(OR(D26="retain",D26=""),OR(E26="report_internal_inconsistency",E26="plan_material")),"","not_applicable")</f>
        <v/>
      </c>
      <c r="L26" s="22">
        <f>IF(AND(OR(D26="retain",D26=""),E26="protocol_report"),"","not_applicable")</f>
        <v/>
      </c>
      <c r="M26" s="20" t="n"/>
      <c r="N26" s="23" t="n"/>
      <c r="O26" s="23" t="n"/>
      <c r="P26" s="23" t="n"/>
      <c r="Q26" s="23" t="n"/>
      <c r="R26" s="22" t="inlineStr">
        <is>
          <t>Methods: 779 patients (389 in each group) were required; 389 + 389 = 778. The published protocol abstract and the revised statistical plan both say 778 patients (389 per group). Arithmetic/typographic error; the per-group target is consistent everywhere.</t>
        </is>
      </c>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ID",IF(OR(A27="",COUNTIF($A$2:$A$29,A27)&lt;&gt;1,LEFT(A27,LEN("2018::jama.2018.14282::"))&lt;&gt;"2018::jama.2018.14282::"),"CHECK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minor_presentation</t>
        </is>
      </c>
      <c r="L27" s="22">
        <f>IF(AND(OR(D27="retain",D27=""),E27="protocol_report"),"","not_applicable")</f>
        <v/>
      </c>
      <c r="M27" s="24" t="n"/>
      <c r="N27" s="23" t="n"/>
      <c r="O27" s="23" t="n"/>
      <c r="P27" s="23" t="n"/>
      <c r="Q27" s="23" t="n"/>
      <c r="R27" s="22" t="inlineStr">
        <is>
          <t>Original noninferiority plan: Figure 4 frames efficacy as new minus control with the margin on the negative side, but the text says noninferiority of HFNO is shown 'if the lower boundary of the 95% CI is less than 9%'. For a mortality difference the rule should involve the upper bound below +9% (or efficacy lower bound above -9%). The NI design was later replaced by superiority.</t>
        </is>
      </c>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ID",IF(OR(A28="",COUNTIF($A$2:$A$29,A28)&lt;&gt;1,LEFT(A28,LEN("2018::jama.2018.14282::"))&lt;&gt;"2018::jama.2018.14282::"),"CHECK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minor_presentation</t>
        </is>
      </c>
      <c r="L28" s="22">
        <f>IF(AND(OR(D28="retain",D28=""),E28="protocol_report"),"","not_applicable")</f>
        <v/>
      </c>
      <c r="M28" s="20" t="n"/>
      <c r="N28" s="23" t="n"/>
      <c r="O28" s="23" t="n"/>
      <c r="P28" s="23" t="n"/>
      <c r="Q28" s="23" t="n"/>
      <c r="R28" s="22" t="inlineStr">
        <is>
          <t>Plan text says 'The primary hypothesis is non inferiority of the NIV' (original plan, p.52) and 'superiority of the NIV' (revised plan, p.104), while the next sentence and the rest of the plans identify HFNO vs standard oxygen. NIV appears to be a copy-paste error from a related protocol; the intended intervention is unambiguous.</t>
        </is>
      </c>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ID",IF(OR(A29="",COUNTIF($A$2:$A$29,A29)&lt;&gt;1,LEFT(A29,LEN("2018::jama.2018.14282::"))&lt;&gt;"2018::jama.2018.14282::"),"CHECK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minor_presentation</t>
        </is>
      </c>
      <c r="L29" s="22">
        <f>IF(AND(OR(D29="retain",D29=""),E29="protocol_report"),"","not_applicable")</f>
        <v/>
      </c>
      <c r="M29" s="24" t="n"/>
      <c r="N29" s="23" t="n"/>
      <c r="O29" s="23" t="n"/>
      <c r="P29" s="23" t="n"/>
      <c r="Q29" s="23" t="n"/>
      <c r="R29" s="22" t="inlineStr">
        <is>
          <t>Plans (p.54, p.82, p.104): 'all patients will be followed until day 28 ... classified as alive or dead. The relative risk of hospital death ... will be estimated.' Day-28 vital status and hospital death are different endpoints. The primary endpoint is consistently named day-28 mortality elsewhere; the article reports day-28 mortality (HR) and hospital mortality separately.</t>
        </is>
      </c>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ID",IF(OR(A2="",COUNTIF($A$2:$A$9,A2)&lt;&gt;1,LEFT(A2,LEN("2018::jama.2018.17075::"))&lt;&gt;"2018::jama.2018.17075::"),"CHECK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Table 1 Injury Severity Score, normothermia: median 20.0 (IQR 20.5-35.0). A median below Q1 is impossible, so the median or Q1 is wrong. Hypothermia is 26.0 (18.0-34.0). If 20.0 is the true median, the arms differ by 6 points on a baseline severity measure; if not, the true value is unknown. Not recoverable from the paper.</t>
        </is>
      </c>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statistical_results</t>
        </is>
      </c>
      <c r="F3" s="21" t="inlineStr">
        <is>
          <t>primary_done</t>
        </is>
      </c>
      <c r="G3" s="24">
        <f>IFERROR(IF(LEN(TRIM(CLEAN(SUBSTITUTE(Setup!$B$2,CHAR(160)," "))))=0,"CHECK REVIEWER ID",IF(OR(A3="",COUNTIF($A$2:$A$9,A3)&lt;&gt;1,LEFT(A3,LEN("2018::jama.2018.17075::"))&lt;&gt;"2018::jama.2018.17075::"),"CHECK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Primary outcome risk difference: the abstract prints +0.4% (95% CI -9.4% to 8.7%); Results and Table 2 print -0.4. From 117/240 vs 111/226, RD = -0.37 points, so the abstract sign is wrong. RR 0.99 is consistent with a negative RD. Null result unchanged; the abstract value would be mis-extracted. Domain changed to statistical_results.</t>
        </is>
      </c>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ID",IF(OR(A4="",COUNTIF($A$2:$A$9,A4)&lt;&gt;1,LEFT(A4,LEN("2018::jama.2018.17075::"))&lt;&gt;"2018::jama.2018.17075::"),"CHECK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Table 2 intracranial bleeding 47/260 vs 37/240 prints RR 1.23 (0.43-3.5), P=.70. From the counts: RR 1.17 (0.79-1.74), chi-square P=.43, which matches eTable 6 (.43). The printed RR/CI/P belong to the extracranial row: effect columns swapped between adjacent rows. The CI shown is about 3 times too wide.</t>
        </is>
      </c>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ID",IF(OR(A5="",COUNTIF($A$2:$A$9,A5)&lt;&gt;1,LEFT(A5,LEN("2018::jama.2018.17075::"))&lt;&gt;"2018::jama.2018.17075::"),"CHECK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2 extracranial bleeding 8/260 vs 6/240 prints RR 1.17 (0.79-1.74), P=.43. From the counts: RR 1.23 (0.43-3.50), P=.70, matching eTable 6 (.70). This is the mirror of C003: the two rows' RR/CI/P are swapped. The printed CI greatly understates the uncertainty for a rare event.</t>
        </is>
      </c>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statistical_results</t>
        </is>
      </c>
      <c r="F6" s="21" t="inlineStr">
        <is>
          <t>primary_done</t>
        </is>
      </c>
      <c r="G6" s="20">
        <f>IFERROR(IF(LEN(TRIM(CLEAN(SUBSTITUTE(Setup!$B$2,CHAR(160)," "))))=0,"CHECK REVIEWER ID",IF(OR(A6="",COUNTIF($A$2:$A$9,A6)&lt;&gt;1,LEFT(A6,LEN("2018::jama.2018.17075::"))&lt;&gt;"2018::jama.2018.17075::"),"CHECK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10 (as-treated baseline), CT Marshall V, normothermia (n=196): printed '34.7 (68)' under a No. (%) header, so count and percentage are reversed. 68/196 = 34.7%. Recoverable; supplementary as-treated descriptive. Domain changed to statistical_results.</t>
        </is>
      </c>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statistical_results</t>
        </is>
      </c>
      <c r="F7" s="21" t="inlineStr">
        <is>
          <t>primary_done</t>
        </is>
      </c>
      <c r="G7" s="24">
        <f>IFERROR(IF(LEN(TRIM(CLEAN(SUBSTITUTE(Setup!$B$2,CHAR(160)," "))))=0,"CHECK REVIEWER ID",IF(OR(A7="",COUNTIF($A$2:$A$9,A7)&lt;&gt;1,LEFT(A7,LEN("2018::jama.2018.17075::"))&lt;&gt;"2018::jama.2018.17075::"),"CHECK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10 CT Marshall VI, normothermia (n=196): printed '1 (2)'. 1/196 = 0.5%, not 2%; reading count 2 and 1.0% gives 2/196 = 1.0% and the categories sum to 3+108+15+68+2 = 196. Count and percentage reversed (percentage shown as 1). Minor. Domain changed to statistical_results.</t>
        </is>
      </c>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ID",IF(OR(A8="",COUNTIF($A$2:$A$9,A8)&lt;&gt;1,LEFT(A8,LEN("2018::jama.2018.17075::"))&lt;&gt;"2018::jama.2018.17075::"),"CHECK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Post hoc adequate-cooling analysis: 'adjusted odds ratio ... 0.95 (0.55-275 1.64) P = .84'. The '275' is almost certainly a stray manuscript line number, so the intended CI 0.55-1.64 brackets 0.95 and is plausible with P = .84. Typographic; post hoc supplementary result.</t>
        </is>
      </c>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ID",IF(OR(A9="",COUNTIF($A$2:$A$9,A9)&lt;&gt;1,LEFT(A9,LEN("2018::jama.2018.17075::"))&lt;&gt;"2018::jama.2018.17075::"),"CHECK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Abstract: 500 patients, '402 men [80.2%]'. Table 1 men = 207 + 194 = 401, and 401/500 = 80.2%; 402/500 would be 80.4%. Women 53 + 46 = 99 closes to 500 with 401. The abstract count is off by one.</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ID",IF(OR(A2="",COUNTIF($A$2:$A$15,A2)&lt;&gt;1,LEFT(A2,LEN("2018::jama.2018.18020::"))&lt;&gt;"2018::jama.2018.18020::"),"CHECK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Abstract: 30 enrolled, '22% men'. Baseline Data: 22 men and 8 women, so 22/30 = 73% men. Table 1 (completers) also shows a male majority (13/16 and 7/11). The abstract figure misstates the sex distribution (22% vs 73%); probably the count was printed as a percentage.</t>
        </is>
      </c>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report_internal_inconsistency</t>
        </is>
      </c>
      <c r="F3" s="21" t="inlineStr">
        <is>
          <t>primary_done</t>
        </is>
      </c>
      <c r="G3" s="24">
        <f>IFERROR(IF(LEN(TRIM(CLEAN(SUBSTITUTE(Setup!$B$2,CHAR(160)," "))))=0,"CHECK REVIEWER ID",IF(OR(A3="",COUNTIF($A$2:$A$15,A3)&lt;&gt;1,LEFT(A3,LEN("2018::jama.2018.18020::"))&lt;&gt;"2018::jama.2018.18020::"),"CHECK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inlineStr">
        <is>
          <t>INQoL composite: Table 1 footnote f and Table 2 footnote g say 'Scale, 0 to 100', but Table 1 IQR upper limits are 110.3 (CLCN1) and 120.0 (SCN4A), and Table 2 baseline is 96.89 (SD 38.49), implying many values above 100. The stated scale is wrong or a different scoring was used, so the INQoL effect (-14.22) cannot be read against the stated range.</t>
        </is>
      </c>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ID",IF(OR(A4="",COUNTIF($A$2:$A$15,A4)&lt;&gt;1,LEFT(A4,LEN("2018::jama.2018.18020::"))&lt;&gt;"2018::jama.2018.18020::"),"CHECK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inlineStr">
        <is>
          <t>Table 2 lower section header: 'Treatment Effect (Placebo-Mexiletine)'. Row arithmetic shows mexiletine minus placebo: INQoL -21.44 - (-7.22) = -14.22; handgrip first -2.39 - 0.46 = -2.85; SF-36 PCS positive = mexiletine better. The upper IVR section uses placebo minus mexiletine (5.55 - 2.42 = 3.13). So the two sections use opposite sign conventions and the lower one is mislabeled.</t>
        </is>
      </c>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ID",IF(OR(A5="",COUNTIF($A$2:$A$15,A5)&lt;&gt;1,LEFT(A5,LEN("2018::jama.2018.18020::"))&lt;&gt;"2018::jama.2018.18020::"),"CHECK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placebo 'Any' adverse reaction: 2 (6%). Every other cell uses n=30 with whole-percent rounding (2 = 7%, 1 = 3%, 27 = 90%); 2/30 = 6.7%, which rounds to 7%. 6% fits only a denominator of 31 (treatment sets), which the table does not state. Trivial.</t>
        </is>
      </c>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ID",IF(OR(A6="",COUNTIF($A$2:$A$15,A6)&lt;&gt;1,LEFT(A6,LEN("2018::jama.2018.18020::"))&lt;&gt;"2018::jama.2018.18020::"),"CHECK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eMethods 2 and 3 code: Stiff_Plac ~ dnorm(mu_plac[i]) and Stiff_Mex ~ dnorm(mu_mex[i]). Both parameter dictionaries define mu_mex[i] as the placebo-period mean and mu_plac[i] as the mexiletine-period mean, which is swapped. The code is unambiguous, so the prose glossary is wrong.</t>
        </is>
      </c>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ID",IF(OR(A7="",COUNTIF($A$2:$A$15,A7)&lt;&gt;1,LEFT(A7,LEN("2018::jama.2018.18020::"))&lt;&gt;"2018::jama.2018.18020::"),"CHECK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eMethods 3: code defines diff_CLCN1 &lt;- mu.plac_CLCN1 - mu.mex_CLCN1, but the dictionary describes diff_CLCN1 as 'mu.plac - mu.mex for SCN4A patients' (copy of the diff_SCN4A line). The following P2/P3_CLCN1 entries are labeled correctly. Glossary typo.</t>
        </is>
      </c>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ID",IF(OR(A8="",COUNTIF($A$2:$A$15,A8)&lt;&gt;1,LEFT(A8,LEN("2018::jama.2018.18020::"))&lt;&gt;"2018::jama.2018.18020::"),"CHECK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sigma.mex sets the precision tau.mex for mu_mex (the mexiletine branch), but both dictionaries describe sigma.mex as SD of individual means 'during placebo treatment', duplicating the sigma.plac text. Glossary error; the code is unambiguous.</t>
        </is>
      </c>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ID",IF(OR(A9="",COUNTIF($A$2:$A$15,A9)&lt;&gt;1,LEFT(A9,LEN("2018::jama.2018.18020::"))&lt;&gt;"2018::jama.2018.18020::"),"CHECK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Primary outcome text: '3.84 (95% CrI, 2.52 to 5.16) for the CLNC1 genotype subgroup (n = 16)'. Everywhere else the gene is CLCN1. Transposed letters; the estimate, interval and n identify the CLCN1 subgroup unambiguously.</t>
        </is>
      </c>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ID",IF(OR(A10="",COUNTIF($A$2:$A$15,A10)&lt;&gt;1,LEFT(A10,LEN("2018::jama.2018.18020::"))&lt;&gt;"2018::jama.2018.18020::"),"CHECK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indeterminate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Table 2 SF-36 mental component: effect 6.78 (95% CI 1.64 to 11.92), P = .001. Paired t with n=27 (df 26): SE = 5.14/2.056 = 2.50, t = 2.71, P = .012. P = .001 would need t of about 3.7. The CI and P cannot both be correct; which one is wrong is unknown. Significance at .05 is unchanged.</t>
        </is>
      </c>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ID",IF(OR(A11="",COUNTIF($A$2:$A$15,A11)&lt;&gt;1,LEFT(A11,LEN("2018::jama.2018.18020::"))&lt;&gt;"2018::jama.2018.18020::"),"CHECK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2 and text, SCN4A fifth handgrip action myotonia: -1.96 (95% CI -3.41 to 0.51), P = .009. The interval crosses 0 and is not centered on -1.96 (midpoint -1.45). With an upper limit of -0.51 it is centered (-1.96) and gives t = 3.01, P = .013 (df 10). Probably a dropped minus sign, which makes the printed CI look nonsignificant.</t>
        </is>
      </c>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ID",IF(OR(A12="",COUNTIF($A$2:$A$15,A12)&lt;&gt;1,LEFT(A12,LEN("2018::jama.2018.18020::"))&lt;&gt;"2018::jama.2018.18020::"),"CHECK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t="inlineStr">
        <is>
          <t>direct</t>
        </is>
      </c>
      <c r="K12" s="21">
        <f>IF(AND(OR(D12="retain",D12=""),OR(E12="report_internal_inconsistency",E12="plan_material")),"","not_applicable")</f>
        <v/>
      </c>
      <c r="L12" s="22">
        <f>IF(AND(OR(D12="retain",D12=""),E12="protocol_report"),"","not_applicable")</f>
        <v/>
      </c>
      <c r="M12" s="20" t="n"/>
      <c r="N12" s="23" t="n"/>
      <c r="O12" s="23" t="n"/>
      <c r="P12" s="23" t="n"/>
      <c r="Q12" s="23" t="n"/>
      <c r="R12" s="22" t="inlineStr">
        <is>
          <t>SCN4A fifth transient paresis: 13.71 (95% CI -1.96 to 25.47), P = .02, in Table 2 and text. The midpoint is 11.76, not 13.71, and the CI crosses 0 despite P = .02. With a lower limit of +1.96 the midpoint is 13.715 and t = 2.60, P = .027 (df 10). Probably a spurious minus sign on the lower limit.</t>
        </is>
      </c>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ID",IF(OR(A13="",COUNTIF($A$2:$A$15,A13)&lt;&gt;1,LEFT(A13,LEN("2018::jama.2018.18020::"))&lt;&gt;"2018::jama.2018.18020::"),"CHECK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indeterminate</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myotonic discharges (EMG grade): effect 0.67 (95% CI 0.23 to 1.11), P &lt; .001. Paired t, df 26: SE = 0.214, t = 3.13, P = .004. P &lt; .001 would need t &gt; 3.71. The CI and P are incompatible under the stated test; both indicate P &lt; .05.</t>
        </is>
      </c>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ID",IF(OR(A14="",COUNTIF($A$2:$A$15,A14)&lt;&gt;1,LEFT(A14,LEN("2018::jama.2018.18020::"))&lt;&gt;"2018::jama.2018.18020::"),"CHECK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handgrip action myotonia, first attempt, placebo-period change: 0.46 (-0.30 to -1.23). The limits are reversed and exclude the estimate. An upper limit of +1.23 would center the interval on 0.465, which suggests a sign typo. Period-specific change; the treatment-effect CI in the same row is coherent.</t>
        </is>
      </c>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ID",IF(OR(A15="",COUNTIF($A$2:$A$15,A15)&lt;&gt;1,LEFT(A15,LEN("2018::jama.2018.18020::"))&lt;&gt;"2018::jama.2018.18020::"),"CHECK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Timed Up&amp;Go, mean, placebo-period change: 0.07 (-0.67 to 0.01). The estimate exceeds the upper limit. The intended upper limit is not recoverable (0.81 would center the interval on 0.07, but that is conjecture). Descriptive within-period interval; the treatment effect -1.12 = -1.05 - 0.07 is coherent.</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ID",IF(OR(A2="",COUNTIF($A$2:$A$5,A2)&lt;&gt;1,LEFT(A2,LEN("2018::jama.2018.6496::"))&lt;&gt;"2018::jama.2018.6496::"),"CHECK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Table 3, all patients, first-attempt duration: difference 1 s (95% CI 4 to -1), P = .24. Limits printed in descending order. Read as -1 to 4, the interval contains the estimate and equals the physician-clustered eTable 1 interval (-1 to 4, P = .95). Whether the unclustered limits are exactly -1 and 4 cannot be confirmed.</t>
        </is>
      </c>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exclude</t>
        </is>
      </c>
      <c r="E3" s="21" t="inlineStr">
        <is>
          <t>statistical_results</t>
        </is>
      </c>
      <c r="F3" s="21" t="inlineStr">
        <is>
          <t>primary_done</t>
        </is>
      </c>
      <c r="G3" s="24">
        <f>IFERROR(IF(LEN(TRIM(CLEAN(SUBSTITUTE(Setup!$B$2,CHAR(160)," "))))=0,"CHECK REVIEWER ID",IF(OR(A3="",COUNTIF($A$2:$A$5,A3)&lt;&gt;1,LEFT(A3,LEN("2018::jama.2018.6496::"))&lt;&gt;"2018::jama.2018.6496::"),"CHECK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Excluded: ETT+stylet denominators 366 (success without hypoxemia) vs 364 (hypoxemia) are explained by the composite definition. A first-attempt failure is a composite failure even without a valid SpO2 waveform, so 2 failed attempts with missing waveforms enter the composite denominator only. Bougie has 8 failures and equal denominators (371).</t>
        </is>
      </c>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ID",IF(OR(A4="",COUNTIF($A$2:$A$5,A4)&lt;&gt;1,LEFT(A4,LEN("2018::jama.2018.6496::"))&lt;&gt;"2018::jama.2018.6496::"),"CHECK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hypoxemia recorded from start of the first attempt until 1 minute after ETT cuff inflation (SpO2 every 20 s). Article: hypoxemia 'during or within 1 min after completion of the intubation attempt', with attempt end defined as blade removal. The end event differs, and the report's window can end before cuff inflation. Expected impact on counts is probably small; no amendment given.</t>
        </is>
      </c>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ID",IF(OR(A5="",COUNTIF($A$2:$A$5,A5)&lt;&gt;1,LEFT(A5,LEN("2018::jama.2018.6496::"))&lt;&gt;"2018::jama.2018.6496::"),"CHECK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time to intubation (first attempt) runs from start of attempt to inflation of the ETT cuff with the tube in the trachea. Article: duration from blade entering to blade leaving the mouth, defined also for failed attempts. The end event changed. Post-blade steps (e.g., bougie withdrawal, cuff inflation) may differ by arm, so between-group duration comparisons could be affected.</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ID",IF(OR(A2="",COUNTIF($A$2:$A$9,A2)&lt;&gt;1,LEFT(A2,LEN("2018::jama.2018.8802::"))&lt;&gt;"2018::jama.2018.8802::"),"CHECK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CAD/previous MI, intervention arm: 311 (13.05) under n=2400. 311/2400 = 12.96%, which rounds to 13.0 (one decimal) or 12.96 (two decimals). The cell also uses two decimals where the table otherwise uses one. Trivial.</t>
        </is>
      </c>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ID",IF(OR(A3="",COUNTIF($A$2:$A$9,A3)&lt;&gt;1,LEFT(A3,LEN("2018::jama.2018.8802::"))&lt;&gt;"2018::jama.2018.8802::"),"CHECK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Results label the measure 'Lipid-lowering for LDL &gt;100 mg/dL' (Table 2, eTable 4). The protocol and eTable 1 define it as lipid-lowering at discharge if LDL &gt;= 100 mg/dL, or treated before admission, or LDL not documented. The label is shorthand for a broader inclusive definition; nothing suggests the analysis used a strict &gt;100 cutoff.</t>
        </is>
      </c>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ID",IF(OR(A4="",COUNTIF($A$2:$A$9,A4)&lt;&gt;1,LEFT(A4,LEN("2018::jama.2018.8802::"))&lt;&gt;"2018::jama.2018.8802::"),"CHECK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eTable 4 Discharge antithrombotics, control: 2141/2400 (89.3); 2141/2400 = 89.21%, which rounds to 89.2. Off by 0.1 point. The intervention cells in the same rows reproduce exactly, and four control cells are each 0.1 high. Display inconsistency; no inferential impact.</t>
        </is>
      </c>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ID",IF(OR(A5="",COUNTIF($A$2:$A$9,A5)&lt;&gt;1,LEFT(A5,LEN("2018::jama.2018.8802::"))&lt;&gt;"2018::jama.2018.8802::"),"CHECK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Anticoagulation for AF, control: 39/174 (22.5); 39/174 = 22.41%, which rounds to 22.4. Off by 0.1 point. The intervention cells in the same rows reproduce exactly, and four control cells are each 0.1 high. Display inconsistency; no inferential impact.</t>
        </is>
      </c>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ID",IF(OR(A6="",COUNTIF($A$2:$A$9,A6)&lt;&gt;1,LEFT(A6,LEN("2018::jama.2018.8802::"))&lt;&gt;"2018::jama.2018.8802::"),"CHECK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4 Lipid-lowering for LDL &gt;100, control: 1439/1586 (90.8); 1439/1586 = 90.73%, which rounds to 90.7. Off by 0.1 point. The intervention cells in the same rows reproduce exactly, and four control cells are each 0.1 high. Display inconsistency; no inferential impact.</t>
        </is>
      </c>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ID",IF(OR(A7="",COUNTIF($A$2:$A$9,A7)&lt;&gt;1,LEFT(A7,LEN("2018::jama.2018.8802::"))&lt;&gt;"2018::jama.2018.8802::"),"CHECK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4 Antidiabetic medication, control: 557/688 (81.1); 557/688 = 80.96%, which rounds to 81.0. Off by 0.1 point. The intervention cells in the same rows reproduce exactly, and four control cells are each 0.1 high. Display inconsistency; no inferential impact.</t>
        </is>
      </c>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ID",IF(OR(A8="",COUNTIF($A$2:$A$9,A8)&lt;&gt;1,LEFT(A8,LEN("2018::jama.2018.8802::"))&lt;&gt;"2018::jama.2018.8802::"),"CHECK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Table 1 baseline survey: 40 hospitals and 801 patients. The eAppendix says '20 patients per cluster were prospectively included', implying 800. Off by one, presumably one cluster enrolled 21 or 20 was a target. No effect on trial analyses (pre-randomization survey).</t>
        </is>
      </c>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ID",IF(OR(A9="",COUNTIF($A$2:$A$9,A9)&lt;&gt;1,LEFT(A9,LEN("2018::jama.2018.8802::"))&lt;&gt;"2018::jama.2018.8802::"),"CHECK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t="inlineStr">
        <is>
          <t>direct</t>
        </is>
      </c>
      <c r="K9" s="21">
        <f>IF(AND(OR(D9="retain",D9=""),OR(E9="report_internal_inconsistency",E9="plan_material")),"","not_applicable")</f>
        <v/>
      </c>
      <c r="L9" s="22">
        <f>IF(AND(OR(D9="retain",D9=""),E9="protocol_report"),"","not_applicable")</f>
        <v/>
      </c>
      <c r="M9" s="24" t="n"/>
      <c r="N9" s="23" t="n"/>
      <c r="O9" s="23" t="n"/>
      <c r="P9" s="23" t="n"/>
      <c r="Q9" s="23" t="n"/>
      <c r="R9" s="22" t="inlineStr">
        <is>
          <t>Table 3 in-hospital death: adjusted absolute difference -0.7% (95% CI -1.1 to 0.2), P = .009. The CI includes 0 and is not centered on -0.7 (midpoint -0.45), while P &lt; .05. An upper limit of -0.2 would center it (-0.65) and exclude 0, so a dropped minus sign is likely. Also, 11 vs 23 deaths with HR 0.96 (0.90-1.02) looks implausible, though this is not part of the candidate.</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ID",IF(OR(A2="",COUNTIF($A$2:$A$14,A2)&lt;&gt;1,LEFT(A2,LEN("2018::jama.2018.9128::"))&lt;&gt;"2018::jama.2018.9128::"),"CHECK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Figure 1 (CONSORT) gives 288 children with BMI measured at 3 mo (intervention); Figure 2 and eTable 1 give 279 at the same visit (9 fewer). The flow note defines the number as children for whom BMI was collected. An unexplained, small difference that recurs across visits; it does not affect the ITT mixed model (all 304/306 analyzed).</t>
        </is>
      </c>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ID",IF(OR(A3="",COUNTIF($A$2:$A$14,A3)&lt;&gt;1,LEFT(A3,LEN("2018::jama.2018.9128::"))&lt;&gt;"2018::jama.2018.9128::"),"CHECK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Figure 1 (CONSORT) gives 277 children with BMI measured at 3 mo (control); Figure 2 and eTable 1 give 271 at the same visit (6 fewer). The flow note defines the number as children for whom BMI was collected. An unexplained, small difference that recurs across visits; it does not affect the ITT mixed model (all 304/306 analyzed).</t>
        </is>
      </c>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ID",IF(OR(A4="",COUNTIF($A$2:$A$14,A4)&lt;&gt;1,LEFT(A4,LEN("2018::jama.2018.9128::"))&lt;&gt;"2018::jama.2018.9128::"),"CHECK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Figure 1 (CONSORT) gives 282 children with BMI measured at 9 mo (intervention); Figure 2 and eTable 1 give 280 at the same visit (2 fewer). The flow note defines the number as children for whom BMI was collected. An unexplained, small difference that recurs across visits; it does not affect the ITT mixed model (all 304/306 analyzed).</t>
        </is>
      </c>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ID",IF(OR(A5="",COUNTIF($A$2:$A$14,A5)&lt;&gt;1,LEFT(A5,LEN("2018::jama.2018.9128::"))&lt;&gt;"2018::jama.2018.9128::"),"CHECK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Figure 1 (CONSORT) gives 275 children with BMI measured at 12 mo (intervention); Figure 2 and eTable 1 give 274 at the same visit (1 fewer). The flow note defines the number as children for whom BMI was collected. An unexplained, small difference that recurs across visits; it does not affect the ITT mixed model (all 304/306 analyzed).</t>
        </is>
      </c>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ID",IF(OR(A6="",COUNTIF($A$2:$A$14,A6)&lt;&gt;1,LEFT(A6,LEN("2018::jama.2018.9128::"))&lt;&gt;"2018::jama.2018.9128::"),"CHECK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Figure 1 (CONSORT) gives 276 children with BMI measured at 12 mo (control); Figure 2 and eTable 1 give 275 at the same visit (1 fewer). The flow note defines the number as children for whom BMI was collected. An unexplained, small difference that recurs across visits; it does not affect the ITT mixed model (all 304/306 analyzed).</t>
        </is>
      </c>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ID",IF(OR(A7="",COUNTIF($A$2:$A$14,A7)&lt;&gt;1,LEFT(A7,LEN("2018::jama.2018.9128::"))&lt;&gt;"2018::jama.2018.9128::"),"CHECK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Figure 1 (CONSORT) gives 280 children with BMI measured at 24 mo (intervention); Figure 2 and eTable 1 give 278 at the same visit (2 fewer). The flow note defines the number as children for whom BMI was collected. An unexplained, small difference that recurs across visits; it does not affect the ITT mixed model (all 304/306 analyzed).</t>
        </is>
      </c>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ID",IF(OR(A8="",COUNTIF($A$2:$A$14,A8)&lt;&gt;1,LEFT(A8,LEN("2018::jama.2018.9128::"))&lt;&gt;"2018::jama.2018.9128::"),"CHECK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Figure 1 (CONSORT) gives 267 children with BMI measured at 24 mo (control); Figure 2 and eTable 1 give 266 at the same visit (1 fewer). The flow note defines the number as children for whom BMI was collected. An unexplained, small difference that recurs across visits; it does not affect the ITT mixed model (all 304/306 analyzed).</t>
        </is>
      </c>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ID",IF(OR(A9="",COUNTIF($A$2:$A$14,A9)&lt;&gt;1,LEFT(A9,LEN("2018::jama.2018.9128::"))&lt;&gt;"2018::jama.2018.9128::"),"CHECK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Figure 1 (CONSORT) gives 278 children with BMI measured at 36 mo (intervention); Figure 2 and eTable 1 give 276 at the same visit (2 fewer). The flow note defines the number as children for whom BMI was collected. An unexplained, small difference that recurs across visits; it does not affect the ITT mixed model (all 304/306 analyzed).</t>
        </is>
      </c>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ID",IF(OR(A10="",COUNTIF($A$2:$A$14,A10)&lt;&gt;1,LEFT(A10,LEN("2018::jama.2018.9128::"))&lt;&gt;"2018::jama.2018.9128::"),"CHECK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Final SAP: 'Assessments will occur over 6 time points ... beginning at baseline and including assessments ... at 12 weeks/3 months, and at 9, 12, and 36 months'; five occasions are listed and 24 months is omitted. The SAP later refers to 6 repeated measurements, and the protocols list 24 months. Omission in the enumerated list; intended schedule clear.</t>
        </is>
      </c>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ID",IF(OR(A11="",COUNTIF($A$2:$A$14,A11)&lt;&gt;1,LEFT(A11,LEN("2018::jama.2018.9128::"))&lt;&gt;"2018::jama.2018.9128::"),"CHECK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minor_presentation</t>
        </is>
      </c>
      <c r="L11" s="22">
        <f>IF(AND(OR(D11="retain",D11=""),E11="protocol_report"),"","not_applicable")</f>
        <v/>
      </c>
      <c r="M11" s="24" t="n"/>
      <c r="N11" s="23" t="n"/>
      <c r="O11" s="23" t="n"/>
      <c r="P11" s="23" t="n"/>
      <c r="Q11" s="23" t="n"/>
      <c r="R11" s="22" t="inlineStr">
        <is>
          <t>Revised protocol: 'Data collection sessions ... at 6-points in time (T1-T6): baseline, 3, 9, 12, 24, 36-months, and one at 48-months. Each of the six data collection points...' Seven occasions are listed, and the same page refers to '7 data collection points'. The 48-month visit looks like an added extension not reflected in the T1-T6 wording. The report covers 36 months.</t>
        </is>
      </c>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ID",IF(OR(A12="",COUNTIF($A$2:$A$14,A12)&lt;&gt;1,LEFT(A12,LEN("2018::jama.2018.9128::"))&lt;&gt;"2018::jama.2018.9128::"),"CHECK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minor_presentation</t>
        </is>
      </c>
      <c r="M12" s="20" t="n"/>
      <c r="N12" s="23" t="n"/>
      <c r="O12" s="23" t="n"/>
      <c r="P12" s="23" t="n"/>
      <c r="Q12" s="23" t="n"/>
      <c r="R12" s="22" t="inlineStr">
        <is>
          <t>Original protocol p.16 says the primary outcome is 'the child's BMI Percentile' and 'change of BMI%', but its table gives weight (kg)/height (m2), and the original SAP section of the same protocol (p.37-38), the DSMB-approved SAP (p.108), the revised protocol (p.67) and the final SAP all model raw BMI, as reported. The label looks loose rather than a changed outcome.</t>
        </is>
      </c>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ID",IF(OR(A13="",COUNTIF($A$2:$A$14,A13)&lt;&gt;1,LEFT(A13,LEN("2018::jama.2018.9128::"))&lt;&gt;"2018::jama.2018.9128::"),"CHECK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t="inlineStr">
        <is>
          <t>substantive_difference</t>
        </is>
      </c>
      <c r="M13" s="24" t="n"/>
      <c r="N13" s="23" t="n"/>
      <c r="O13" s="23" t="n"/>
      <c r="P13" s="23" t="n"/>
      <c r="Q13" s="23" t="n"/>
      <c r="R13" s="22" t="inlineStr">
        <is>
          <t>Control (GROW Smarter) exposure: original protocol = 12 quarterly 60-min sessions over 3 years; revised protocol = a 45-min school-readiness program at each of 7 data-collection points plus a quarterly newsletter; article = six 30-min group activities concurrent with data collection. The original-to-revised change reflects a protocol revision; the report vs revised (30 vs 45 min) is unexplained.</t>
        </is>
      </c>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ID",IF(OR(A14="",COUNTIF($A$2:$A$14,A14)&lt;&gt;1,LEFT(A14,LEN("2018::jama.2018.9128::"))&lt;&gt;"2018::jama.2018.9128::"),"CHECK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Figure 1 (CONSORT) gives 282 children with BMI measured at 9 mo (control); Figure 2 and eTable 1 give 280 at the same visit (2 fewer). The flow note defines the number as children for whom BMI was collected. An unexplained, small difference that recurs across visits; it does not affect the ITT mixed model (all 304/306 analyzed).</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2026-10-10T23:06:06Z</dcterms:modified>
</cp:coreProperties>
</file>