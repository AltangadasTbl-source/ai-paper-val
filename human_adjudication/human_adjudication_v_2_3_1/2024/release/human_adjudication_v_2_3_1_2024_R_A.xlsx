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tup" sheetId="1" state="visible" r:id="rId1"/>
    <sheet name="Checks" sheetId="2" state="visible" r:id="rId2"/>
    <sheet name="Papers" sheetId="3" state="visible" r:id="rId3"/>
    <sheet name="C_jama.2024.0318" sheetId="4" state="visible" r:id="rId4"/>
    <sheet name="C_jama.2024.0572" sheetId="5" state="visible" r:id="rId5"/>
    <sheet name="C_jama.2024.11057" sheetId="6" state="visible" r:id="rId6"/>
    <sheet name="C_jama.2024.12829" sheetId="7" state="visible" r:id="rId7"/>
    <sheet name="C_jama.2024.19585" sheetId="8" state="visible" r:id="rId8"/>
    <sheet name="C_jama.2024.2302" sheetId="9" state="visible" r:id="rId9"/>
    <sheet name="C_jama.2024.23898" sheetId="10" state="visible" r:id="rId10"/>
    <sheet name="C_jama.2024.25786" sheetId="11" state="visible" r:id="rId11"/>
    <sheet name="C_jama.2024.4183" sheetId="12" state="visible" r:id="rId12"/>
    <sheet name="C_jama.2024.6063" sheetId="13" state="visible" r:id="rId13"/>
    <sheet name="Codebook" sheetId="14" state="visible" r:id="rId14"/>
  </sheets>
  <definedNames>
    <definedName name="_xlnm._FilterDatabase" localSheetId="3" hidden="1">'C_jama.2024.0318'!$A$1:$R$7</definedName>
    <definedName name="_xlnm._FilterDatabase" localSheetId="4" hidden="1">'C_jama.2024.0572'!$A$1:$R$3</definedName>
    <definedName name="_xlnm._FilterDatabase" localSheetId="5" hidden="1">'C_jama.2024.11057'!$A$1:$R$4</definedName>
    <definedName name="_xlnm._FilterDatabase" localSheetId="6" hidden="1">'C_jama.2024.12829'!$A$1:$R$18</definedName>
    <definedName name="_xlnm._FilterDatabase" localSheetId="7" hidden="1">'C_jama.2024.19585'!$A$1:$R$4</definedName>
    <definedName name="_xlnm._FilterDatabase" localSheetId="8" hidden="1">'C_jama.2024.2302'!$A$1:$R$6</definedName>
    <definedName name="_xlnm._FilterDatabase" localSheetId="9" hidden="1">'C_jama.2024.23898'!$A$1:$R$8</definedName>
    <definedName name="_xlnm._FilterDatabase" localSheetId="10" hidden="1">'C_jama.2024.25786'!$A$1:$R$9</definedName>
    <definedName name="_xlnm._FilterDatabase" localSheetId="11" hidden="1">'C_jama.2024.4183'!$A$1:$R$25</definedName>
    <definedName name="_xlnm._FilterDatabase" localSheetId="12" hidden="1">'C_jama.2024.6063'!$A$1:$R$17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color rgb="FF173F57"/>
      <sz val="11"/>
    </font>
    <font>
      <name val="Calibri"/>
      <b val="1"/>
      <color rgb="FFFFFFFF"/>
      <sz val="11"/>
    </font>
    <font>
      <name val="Calibri"/>
      <color rgb="00173F57"/>
      <sz val="11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FF173F57"/>
      </patternFill>
    </fill>
    <fill>
      <patternFill patternType="solid">
        <fgColor rgb="FFF4F8FA"/>
      </patternFill>
    </fill>
    <fill>
      <patternFill patternType="solid">
        <fgColor rgb="FFFFF2CC"/>
      </patternFill>
    </fill>
    <fill>
      <patternFill patternType="solid">
        <fgColor rgb="FFEAF3FC"/>
      </patternFill>
    </fill>
    <fill>
      <patternFill patternType="solid">
        <fgColor rgb="00173F57"/>
      </patternFill>
    </fill>
    <fill>
      <patternFill patternType="solid">
        <fgColor rgb="00F4F8FA"/>
      </patternFill>
    </fill>
    <fill>
      <patternFill patternType="solid">
        <fgColor rgb="00FFF2CC"/>
      </patternFill>
    </fill>
    <fill>
      <patternFill patternType="solid">
        <fgColor rgb="00EAF3FC"/>
      </patternFill>
    </fill>
  </fills>
  <borders count="1">
    <border/>
  </borders>
  <cellStyleXfs count="1">
    <xf numFmtId="0" fontId="0" fillId="0" borderId="0" applyProtection="1">
      <protection locked="0" hidden="0"/>
    </xf>
  </cellStyleXfs>
  <cellXfs count="20"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2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5" borderId="0" applyAlignment="1" applyProtection="1" pivotButton="0" quotePrefix="0" xfId="0">
      <alignment vertical="center" wrapText="1"/>
      <protection locked="0" hidden="0"/>
    </xf>
    <xf numFmtId="0" fontId="4" fillId="6" borderId="0" applyAlignment="1" applyProtection="1" pivotButton="0" quotePrefix="0" xfId="0">
      <alignment vertical="center" wrapText="1"/>
      <protection locked="0" hidden="0"/>
    </xf>
    <xf numFmtId="0" fontId="3" fillId="7" borderId="0" applyAlignment="1" applyProtection="1" pivotButton="0" quotePrefix="0" xfId="0">
      <alignment vertical="center" wrapText="1"/>
      <protection locked="0" hidden="0"/>
    </xf>
    <xf numFmtId="0" fontId="3" fillId="0" borderId="0" applyAlignment="1" applyProtection="1" pivotButton="0" quotePrefix="0" xfId="0">
      <alignment vertical="center" wrapText="1"/>
      <protection locked="0" hidden="0"/>
    </xf>
    <xf numFmtId="0" fontId="3" fillId="8" borderId="0" applyAlignment="1" applyProtection="1" pivotButton="0" quotePrefix="0" xfId="0">
      <alignment vertical="center" wrapText="1"/>
      <protection locked="0" hidden="0"/>
    </xf>
    <xf numFmtId="0" fontId="1" fillId="8" borderId="0" applyAlignment="1" applyProtection="1" pivotButton="0" quotePrefix="0" xfId="0">
      <alignment vertical="center" wrapText="1"/>
      <protection locked="0" hidden="0"/>
    </xf>
    <xf numFmtId="0" fontId="1" fillId="9" borderId="0" applyAlignment="1" applyProtection="1" pivotButton="0" quotePrefix="0" xfId="0">
      <alignment vertical="center" wrapText="1"/>
      <protection locked="0" hidden="0"/>
    </xf>
  </cellXfs>
  <cellStyles count="1">
    <cellStyle name="Normal" xfId="0"/>
  </cellStyles>
  <dxfs count="72"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00687783"/>
      </font>
      <fill>
        <patternFill patternType="solid">
          <fgColor rgb="00EDF2F5"/>
        </patternFill>
      </fill>
    </dxf>
    <dxf>
      <font>
        <color rgb="009C0006"/>
      </font>
      <fill>
        <patternFill patternType="solid">
          <fgColor rgb="00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Construction</author>
  </authors>
  <commentList>
    <comment ref="E1" authorId="0" shapeId="0">
      <text>
        <t>AI-suggested starting domain; confirm or edit after reviewing the evidence.</t>
      </text>
    </comment>
  </commentList>
</comments>
</file>

<file path=xl/comments/comment2.xml><?xml version="1.0" encoding="utf-8"?>
<comments xmlns="http://schemas.openxmlformats.org/spreadsheetml/2006/main">
  <authors>
    <author>Construction</author>
  </authors>
  <commentList>
    <comment ref="E1" authorId="0" shapeId="0">
      <text>
        <t>AI-suggested starting domain; confirm or edit after reviewing the evidence.</t>
      </text>
    </comment>
  </commentList>
</comments>
</file>

<file path=xl/comments/comment3.xml><?xml version="1.0" encoding="utf-8"?>
<comments xmlns="http://schemas.openxmlformats.org/spreadsheetml/2006/main">
  <authors>
    <author>Construction</author>
  </authors>
  <commentList>
    <comment ref="E1" authorId="0" shapeId="0">
      <text>
        <t>AI-suggested starting domain; confirm or edit after reviewing the evidence.</t>
      </text>
    </comment>
  </commentList>
</comments>
</file>

<file path=xl/comments/comment4.xml><?xml version="1.0" encoding="utf-8"?>
<comments xmlns="http://schemas.openxmlformats.org/spreadsheetml/2006/main">
  <authors>
    <author>Construction</author>
  </authors>
  <commentList>
    <comment ref="E1" authorId="0" shapeId="0">
      <text>
        <t>AI-suggested starting domain; confirm or edit after reviewing the evidence.</t>
      </text>
    </comment>
  </commentList>
</comments>
</file>

<file path=xl/comments/comment5.xml><?xml version="1.0" encoding="utf-8"?>
<comments xmlns="http://schemas.openxmlformats.org/spreadsheetml/2006/main">
  <authors>
    <author>Construction</author>
  </authors>
  <commentList>
    <comment ref="E1" authorId="0" shapeId="0">
      <text>
        <t>AI-suggested starting domain; confirm or edit after reviewing the evidence.</t>
      </text>
    </comment>
  </commentList>
</comments>
</file>

<file path=xl/comments/comment6.xml><?xml version="1.0" encoding="utf-8"?>
<comments xmlns="http://schemas.openxmlformats.org/spreadsheetml/2006/main">
  <authors>
    <author>Construction</author>
  </authors>
  <commentList>
    <comment ref="E1" authorId="0" shapeId="0">
      <text>
        <t>AI-suggested starting domain; confirm or edit after reviewing the evidence.</t>
      </text>
    </comment>
  </commentList>
</comments>
</file>

<file path=xl/comments/comment7.xml><?xml version="1.0" encoding="utf-8"?>
<comments xmlns="http://schemas.openxmlformats.org/spreadsheetml/2006/main">
  <authors>
    <author>Construction</author>
  </authors>
  <commentList>
    <comment ref="E1" authorId="0" shapeId="0">
      <text>
        <t>AI-suggested starting domain; confirm or edit after reviewing the evidence.</t>
      </text>
    </comment>
  </commentList>
</comments>
</file>

<file path=xl/comments/comment8.xml><?xml version="1.0" encoding="utf-8"?>
<comments xmlns="http://schemas.openxmlformats.org/spreadsheetml/2006/main">
  <authors>
    <author>Construction</author>
  </authors>
  <commentList>
    <comment ref="E1" authorId="0" shapeId="0">
      <text>
        <t>AI-suggested starting domain; confirm or edit after reviewing the evidence.</t>
      </text>
    </comment>
  </commentList>
</comments>
</file>

<file path=xl/comments/comment9.xml><?xml version="1.0" encoding="utf-8"?>
<comments xmlns="http://schemas.openxmlformats.org/spreadsheetml/2006/main">
  <authors>
    <author>Construction</author>
  </authors>
  <commentList>
    <comment ref="E1" authorId="0" shapeId="0">
      <text>
        <t>AI-suggested starting domain; confirm or edit after reviewing the evidence.</t>
      </text>
    </comment>
  </commentList>
</comments>
</file>

<file path=xl/comments/comment10.xml><?xml version="1.0" encoding="utf-8"?>
<comments xmlns="http://schemas.openxmlformats.org/spreadsheetml/2006/main">
  <authors>
    <author>Construction</author>
  </authors>
  <commentList>
    <comment ref="E1" authorId="0" shapeId="0">
      <text>
        <t>AI-suggested starting domain; confirm or edit after reviewing the evidence.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#'C_jama.2024.0318'!A1" TargetMode="External" Id="rId1" /><Relationship Type="http://schemas.openxmlformats.org/officeDocument/2006/relationships/hyperlink" Target="#'C_jama.2024.0572'!A1" TargetMode="External" Id="rId2" /><Relationship Type="http://schemas.openxmlformats.org/officeDocument/2006/relationships/hyperlink" Target="#'C_jama.2024.11057'!A1" TargetMode="External" Id="rId3" /><Relationship Type="http://schemas.openxmlformats.org/officeDocument/2006/relationships/hyperlink" Target="#'C_jama.2024.12829'!A1" TargetMode="External" Id="rId4" /><Relationship Type="http://schemas.openxmlformats.org/officeDocument/2006/relationships/hyperlink" Target="#'C_jama.2024.19585'!A1" TargetMode="External" Id="rId5" /><Relationship Type="http://schemas.openxmlformats.org/officeDocument/2006/relationships/hyperlink" Target="#'C_jama.2024.2302'!A1" TargetMode="External" Id="rId6" /><Relationship Type="http://schemas.openxmlformats.org/officeDocument/2006/relationships/hyperlink" Target="#'C_jama.2024.23898'!A1" TargetMode="External" Id="rId7" /><Relationship Type="http://schemas.openxmlformats.org/officeDocument/2006/relationships/hyperlink" Target="#'C_jama.2024.25786'!A1" TargetMode="External" Id="rId8" /><Relationship Type="http://schemas.openxmlformats.org/officeDocument/2006/relationships/hyperlink" Target="#'C_jama.2024.4183'!A1" TargetMode="External" Id="rId9" /><Relationship Type="http://schemas.openxmlformats.org/officeDocument/2006/relationships/hyperlink" Target="#'C_jama.2024.6063'!A1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#'Evidence'!A2" TargetMode="External" Id="rId1" /><Relationship Type="http://schemas.openxmlformats.org/officeDocument/2006/relationships/hyperlink" Target="#'Evidence'!A6" TargetMode="External" Id="rId2" /><Relationship Type="http://schemas.openxmlformats.org/officeDocument/2006/relationships/hyperlink" Target="#'Evidence'!A10" TargetMode="External" Id="rId3" /><Relationship Type="http://schemas.openxmlformats.org/officeDocument/2006/relationships/hyperlink" Target="#'Evidence'!A14" TargetMode="External" Id="rId4" /><Relationship Type="http://schemas.openxmlformats.org/officeDocument/2006/relationships/hyperlink" Target="#'Evidence'!A18" TargetMode="External" Id="rId5" /><Relationship Type="http://schemas.openxmlformats.org/officeDocument/2006/relationships/hyperlink" Target="#'Evidence'!A22" TargetMode="External" Id="rId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#'Evidence'!A26" TargetMode="External" Id="rId1" /><Relationship Type="http://schemas.openxmlformats.org/officeDocument/2006/relationships/hyperlink" Target="#'Evidence'!A30" TargetMode="External" Id="rId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#'Evidence'!A34" TargetMode="External" Id="rId1" /><Relationship Type="http://schemas.openxmlformats.org/officeDocument/2006/relationships/hyperlink" Target="#'Evidence'!A38" TargetMode="External" Id="rId2" /><Relationship Type="http://schemas.openxmlformats.org/officeDocument/2006/relationships/hyperlink" Target="#'Evidence'!A42" TargetMode="External" Id="rId3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hyperlink" Target="#'Evidence'!A46" TargetMode="External" Id="rId1" /><Relationship Type="http://schemas.openxmlformats.org/officeDocument/2006/relationships/hyperlink" Target="#'Evidence'!A50" TargetMode="External" Id="rId2" /><Relationship Type="http://schemas.openxmlformats.org/officeDocument/2006/relationships/hyperlink" Target="#'Evidence'!A54" TargetMode="External" Id="rId3" /><Relationship Type="http://schemas.openxmlformats.org/officeDocument/2006/relationships/hyperlink" Target="#'Evidence'!A58" TargetMode="External" Id="rId4" /><Relationship Type="http://schemas.openxmlformats.org/officeDocument/2006/relationships/hyperlink" Target="#'Evidence'!A62" TargetMode="External" Id="rId5" /><Relationship Type="http://schemas.openxmlformats.org/officeDocument/2006/relationships/hyperlink" Target="#'Evidence'!A66" TargetMode="External" Id="rId6" /><Relationship Type="http://schemas.openxmlformats.org/officeDocument/2006/relationships/hyperlink" Target="#'Evidence'!A70" TargetMode="External" Id="rId7" /><Relationship Type="http://schemas.openxmlformats.org/officeDocument/2006/relationships/hyperlink" Target="#'Evidence'!A74" TargetMode="External" Id="rId8" /><Relationship Type="http://schemas.openxmlformats.org/officeDocument/2006/relationships/hyperlink" Target="#'Evidence'!A78" TargetMode="External" Id="rId9" /><Relationship Type="http://schemas.openxmlformats.org/officeDocument/2006/relationships/hyperlink" Target="#'Evidence'!A82" TargetMode="External" Id="rId10" /><Relationship Type="http://schemas.openxmlformats.org/officeDocument/2006/relationships/hyperlink" Target="#'Evidence'!A86" TargetMode="External" Id="rId11" /><Relationship Type="http://schemas.openxmlformats.org/officeDocument/2006/relationships/hyperlink" Target="#'Evidence'!A90" TargetMode="External" Id="rId12" /><Relationship Type="http://schemas.openxmlformats.org/officeDocument/2006/relationships/hyperlink" Target="#'Evidence'!A94" TargetMode="External" Id="rId13" /><Relationship Type="http://schemas.openxmlformats.org/officeDocument/2006/relationships/hyperlink" Target="#'Evidence'!A98" TargetMode="External" Id="rId14" /><Relationship Type="http://schemas.openxmlformats.org/officeDocument/2006/relationships/hyperlink" Target="#'Evidence'!A102" TargetMode="External" Id="rId15" /><Relationship Type="http://schemas.openxmlformats.org/officeDocument/2006/relationships/hyperlink" Target="#'Evidence'!A106" TargetMode="External" Id="rId16" /><Relationship Type="http://schemas.openxmlformats.org/officeDocument/2006/relationships/hyperlink" Target="#'Evidence'!A110" TargetMode="External" Id="rId17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hyperlink" Target="#'Evidence'!A114" TargetMode="External" Id="rId1" /><Relationship Type="http://schemas.openxmlformats.org/officeDocument/2006/relationships/hyperlink" Target="#'Evidence'!A118" TargetMode="External" Id="rId2" /><Relationship Type="http://schemas.openxmlformats.org/officeDocument/2006/relationships/hyperlink" Target="#'Evidence'!A122" TargetMode="External" Id="rId3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#'Evidence'!A126" TargetMode="External" Id="rId1" /><Relationship Type="http://schemas.openxmlformats.org/officeDocument/2006/relationships/hyperlink" Target="#'Evidence'!A130" TargetMode="External" Id="rId2" /><Relationship Type="http://schemas.openxmlformats.org/officeDocument/2006/relationships/hyperlink" Target="#'Evidence'!A134" TargetMode="External" Id="rId3" /><Relationship Type="http://schemas.openxmlformats.org/officeDocument/2006/relationships/hyperlink" Target="#'Evidence'!A138" TargetMode="External" Id="rId4" /><Relationship Type="http://schemas.openxmlformats.org/officeDocument/2006/relationships/hyperlink" Target="#'Evidence'!A142" TargetMode="External" Id="rId5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hyperlink" Target="#'Evidence'!A146" TargetMode="External" Id="rId1" /><Relationship Type="http://schemas.openxmlformats.org/officeDocument/2006/relationships/hyperlink" Target="#'Evidence'!A150" TargetMode="External" Id="rId2" /><Relationship Type="http://schemas.openxmlformats.org/officeDocument/2006/relationships/hyperlink" Target="#'Evidence'!A154" TargetMode="External" Id="rId3" /><Relationship Type="http://schemas.openxmlformats.org/officeDocument/2006/relationships/hyperlink" Target="#'Evidence'!A158" TargetMode="External" Id="rId4" /><Relationship Type="http://schemas.openxmlformats.org/officeDocument/2006/relationships/hyperlink" Target="#'Evidence'!A162" TargetMode="External" Id="rId5" /><Relationship Type="http://schemas.openxmlformats.org/officeDocument/2006/relationships/hyperlink" Target="#'Evidence'!A166" TargetMode="External" Id="rId6" /><Relationship Type="http://schemas.openxmlformats.org/officeDocument/2006/relationships/hyperlink" Target="#'Evidence'!A170" TargetMode="External" Id="rId7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1.xml.rels><Relationships xmlns="http://schemas.openxmlformats.org/package/2006/relationships"><Relationship Type="http://schemas.openxmlformats.org/officeDocument/2006/relationships/hyperlink" Target="#'Evidence'!A174" TargetMode="External" Id="rId1" /><Relationship Type="http://schemas.openxmlformats.org/officeDocument/2006/relationships/hyperlink" Target="#'Evidence'!A178" TargetMode="External" Id="rId2" /><Relationship Type="http://schemas.openxmlformats.org/officeDocument/2006/relationships/hyperlink" Target="#'Evidence'!A182" TargetMode="External" Id="rId3" /><Relationship Type="http://schemas.openxmlformats.org/officeDocument/2006/relationships/hyperlink" Target="#'Evidence'!A186" TargetMode="External" Id="rId4" /><Relationship Type="http://schemas.openxmlformats.org/officeDocument/2006/relationships/hyperlink" Target="#'Evidence'!A190" TargetMode="External" Id="rId5" /><Relationship Type="http://schemas.openxmlformats.org/officeDocument/2006/relationships/hyperlink" Target="#'Evidence'!A194" TargetMode="External" Id="rId6" /><Relationship Type="http://schemas.openxmlformats.org/officeDocument/2006/relationships/hyperlink" Target="#'Evidence'!A198" TargetMode="External" Id="rId7" /><Relationship Type="http://schemas.openxmlformats.org/officeDocument/2006/relationships/hyperlink" Target="#'Evidence'!A202" TargetMode="External" Id="rId8" /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2.xml.rels><Relationships xmlns="http://schemas.openxmlformats.org/package/2006/relationships"><Relationship Type="http://schemas.openxmlformats.org/officeDocument/2006/relationships/hyperlink" Target="#'Evidence'!A206" TargetMode="External" Id="rId1" /><Relationship Type="http://schemas.openxmlformats.org/officeDocument/2006/relationships/hyperlink" Target="#'Evidence'!A210" TargetMode="External" Id="rId2" /><Relationship Type="http://schemas.openxmlformats.org/officeDocument/2006/relationships/hyperlink" Target="#'Evidence'!A214" TargetMode="External" Id="rId3" /><Relationship Type="http://schemas.openxmlformats.org/officeDocument/2006/relationships/hyperlink" Target="#'Evidence'!A218" TargetMode="External" Id="rId4" /><Relationship Type="http://schemas.openxmlformats.org/officeDocument/2006/relationships/hyperlink" Target="#'Evidence'!A222" TargetMode="External" Id="rId5" /><Relationship Type="http://schemas.openxmlformats.org/officeDocument/2006/relationships/hyperlink" Target="#'Evidence'!A226" TargetMode="External" Id="rId6" /><Relationship Type="http://schemas.openxmlformats.org/officeDocument/2006/relationships/hyperlink" Target="#'Evidence'!A230" TargetMode="External" Id="rId7" /><Relationship Type="http://schemas.openxmlformats.org/officeDocument/2006/relationships/hyperlink" Target="#'Evidence'!A234" TargetMode="External" Id="rId8" /><Relationship Type="http://schemas.openxmlformats.org/officeDocument/2006/relationships/hyperlink" Target="#'Evidence'!A238" TargetMode="External" Id="rId9" /><Relationship Type="http://schemas.openxmlformats.org/officeDocument/2006/relationships/hyperlink" Target="#'Evidence'!A242" TargetMode="External" Id="rId10" /><Relationship Type="http://schemas.openxmlformats.org/officeDocument/2006/relationships/hyperlink" Target="#'Evidence'!A246" TargetMode="External" Id="rId11" /><Relationship Type="http://schemas.openxmlformats.org/officeDocument/2006/relationships/hyperlink" Target="#'Evidence'!A250" TargetMode="External" Id="rId12" /><Relationship Type="http://schemas.openxmlformats.org/officeDocument/2006/relationships/hyperlink" Target="#'Evidence'!A254" TargetMode="External" Id="rId13" /><Relationship Type="http://schemas.openxmlformats.org/officeDocument/2006/relationships/hyperlink" Target="#'Evidence'!A258" TargetMode="External" Id="rId14" /><Relationship Type="http://schemas.openxmlformats.org/officeDocument/2006/relationships/hyperlink" Target="#'Evidence'!A262" TargetMode="External" Id="rId15" /><Relationship Type="http://schemas.openxmlformats.org/officeDocument/2006/relationships/hyperlink" Target="#'Evidence'!A266" TargetMode="External" Id="rId16" /><Relationship Type="http://schemas.openxmlformats.org/officeDocument/2006/relationships/hyperlink" Target="#'Evidence'!A270" TargetMode="External" Id="rId17" /><Relationship Type="http://schemas.openxmlformats.org/officeDocument/2006/relationships/hyperlink" Target="#'Evidence'!A274" TargetMode="External" Id="rId18" /><Relationship Type="http://schemas.openxmlformats.org/officeDocument/2006/relationships/hyperlink" Target="#'Evidence'!A278" TargetMode="External" Id="rId19" /><Relationship Type="http://schemas.openxmlformats.org/officeDocument/2006/relationships/hyperlink" Target="#'Evidence'!A282" TargetMode="External" Id="rId20" /><Relationship Type="http://schemas.openxmlformats.org/officeDocument/2006/relationships/hyperlink" Target="#'Evidence'!A286" TargetMode="External" Id="rId21" /><Relationship Type="http://schemas.openxmlformats.org/officeDocument/2006/relationships/hyperlink" Target="#'Evidence'!A290" TargetMode="External" Id="rId22" /><Relationship Type="http://schemas.openxmlformats.org/officeDocument/2006/relationships/hyperlink" Target="#'Evidence'!A294" TargetMode="External" Id="rId23" /><Relationship Type="http://schemas.openxmlformats.org/officeDocument/2006/relationships/hyperlink" Target="#'Evidence'!A298" TargetMode="External" Id="rId24" /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3.xml.rels><Relationships xmlns="http://schemas.openxmlformats.org/package/2006/relationships"><Relationship Type="http://schemas.openxmlformats.org/officeDocument/2006/relationships/hyperlink" Target="#'Evidence'!A302" TargetMode="External" Id="rId1" /><Relationship Type="http://schemas.openxmlformats.org/officeDocument/2006/relationships/hyperlink" Target="#'Evidence'!A306" TargetMode="External" Id="rId2" /><Relationship Type="http://schemas.openxmlformats.org/officeDocument/2006/relationships/hyperlink" Target="#'Evidence'!A310" TargetMode="External" Id="rId3" /><Relationship Type="http://schemas.openxmlformats.org/officeDocument/2006/relationships/hyperlink" Target="#'Evidence'!A314" TargetMode="External" Id="rId4" /><Relationship Type="http://schemas.openxmlformats.org/officeDocument/2006/relationships/hyperlink" Target="#'Evidence'!A318" TargetMode="External" Id="rId5" /><Relationship Type="http://schemas.openxmlformats.org/officeDocument/2006/relationships/hyperlink" Target="#'Evidence'!A322" TargetMode="External" Id="rId6" /><Relationship Type="http://schemas.openxmlformats.org/officeDocument/2006/relationships/hyperlink" Target="#'Evidence'!A326" TargetMode="External" Id="rId7" /><Relationship Type="http://schemas.openxmlformats.org/officeDocument/2006/relationships/hyperlink" Target="#'Evidence'!A330" TargetMode="External" Id="rId8" /><Relationship Type="http://schemas.openxmlformats.org/officeDocument/2006/relationships/hyperlink" Target="#'Evidence'!A334" TargetMode="External" Id="rId9" /><Relationship Type="http://schemas.openxmlformats.org/officeDocument/2006/relationships/hyperlink" Target="#'Evidence'!A338" TargetMode="External" Id="rId10" /><Relationship Type="http://schemas.openxmlformats.org/officeDocument/2006/relationships/hyperlink" Target="#'Evidence'!A342" TargetMode="External" Id="rId11" /><Relationship Type="http://schemas.openxmlformats.org/officeDocument/2006/relationships/hyperlink" Target="#'Evidence'!A346" TargetMode="External" Id="rId12" /><Relationship Type="http://schemas.openxmlformats.org/officeDocument/2006/relationships/hyperlink" Target="#'Evidence'!A350" TargetMode="External" Id="rId13" /><Relationship Type="http://schemas.openxmlformats.org/officeDocument/2006/relationships/hyperlink" Target="#'Evidence'!A354" TargetMode="External" Id="rId14" /><Relationship Type="http://schemas.openxmlformats.org/officeDocument/2006/relationships/hyperlink" Target="#'Evidence'!A358" TargetMode="External" Id="rId15" /><Relationship Type="http://schemas.openxmlformats.org/officeDocument/2006/relationships/hyperlink" Target="#'Evidence'!A362" TargetMode="External" Id="rId16" /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8" min="1" max="1"/>
    <col width="70" customWidth="1" style="8" min="2" max="2"/>
  </cols>
  <sheetData>
    <row r="1" ht="42" customFormat="1" customHeight="1" s="8">
      <c r="A1" s="14" t="inlineStr">
        <is>
          <t>Field</t>
        </is>
      </c>
      <c r="B1" s="14" t="inlineStr">
        <is>
          <t>Value</t>
        </is>
      </c>
    </row>
    <row r="2" ht="42" customFormat="1" customHeight="1" s="8">
      <c r="A2" s="15" t="inlineStr">
        <is>
          <t>Reviewer ID / name</t>
        </is>
      </c>
      <c r="B2" s="17" t="n"/>
    </row>
    <row r="3" ht="42" customFormat="1" customHeight="1" s="8">
      <c r="A3" s="16" t="inlineStr">
        <is>
          <t>Full name (optional)</t>
        </is>
      </c>
      <c r="B3" s="17" t="n"/>
    </row>
    <row r="4" ht="42" customFormat="1" customHeight="1" s="8">
      <c r="A4" s="15" t="inlineStr">
        <is>
          <t>Reviewer role</t>
        </is>
      </c>
      <c r="B4" s="15" t="inlineStr">
        <is>
          <t>R_A</t>
        </is>
      </c>
    </row>
    <row r="5" ht="42" customFormat="1" customHeight="1" s="8">
      <c r="A5" s="16" t="inlineStr">
        <is>
          <t>Year</t>
        </is>
      </c>
      <c r="B5" s="16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8" min="1" max="1"/>
    <col width="105" customWidth="1" style="8" min="2" max="2"/>
  </cols>
  <sheetData>
    <row r="1" ht="42" customFormat="1" customHeight="1" s="8">
      <c r="A1" s="14" t="inlineStr">
        <is>
          <t>Check</t>
        </is>
      </c>
      <c r="B1" s="14" t="inlineStr">
        <is>
          <t>Result</t>
        </is>
      </c>
    </row>
    <row r="2" ht="60" customFormat="1" customHeight="1" s="8">
      <c r="A2" s="15" t="inlineStr">
        <is>
          <t>Candidates</t>
        </is>
      </c>
      <c r="B2" s="15" t="n">
        <v>91</v>
      </c>
    </row>
    <row r="3" ht="60" customFormat="1" customHeight="1" s="8">
      <c r="A3" s="16" t="inlineStr">
        <is>
          <t>Primary ready</t>
        </is>
      </c>
      <c r="B3" s="16">
        <f>COUNTIF('C_jama.2024.0318'!$G$2:$G$7,"PRIMARY READY")+COUNTIF('C_jama.2024.0572'!$G$2:$G$3,"PRIMARY READY")+COUNTIF('C_jama.2024.11057'!$G$2:$G$4,"PRIMARY READY")+COUNTIF('C_jama.2024.12829'!$G$2:$G$18,"PRIMARY READY")+COUNTIF('C_jama.2024.19585'!$G$2:$G$4,"PRIMARY READY")+COUNTIF('C_jama.2024.2302'!$G$2:$G$6,"PRIMARY READY")+COUNTIF('C_jama.2024.23898'!$G$2:$G$8,"PRIMARY READY")+COUNTIF('C_jama.2024.25786'!$G$2:$G$9,"PRIMARY READY")+COUNTIF('C_jama.2024.4183'!$G$2:$G$25,"PRIMARY READY")+COUNTIF('C_jama.2024.6063'!$G$2:$G$17,"PRIMARY READY")</f>
        <v/>
      </c>
    </row>
    <row r="4" ht="60" customFormat="1" customHeight="1" s="8">
      <c r="A4" s="15" t="inlineStr">
        <is>
          <t>Unfinished</t>
        </is>
      </c>
      <c r="B4" s="15">
        <f>B2-B3</f>
        <v/>
      </c>
    </row>
    <row r="5" ht="60" customFormat="1" customHeight="1" s="8">
      <c r="A5" s="16" t="inlineStr">
        <is>
          <t>Discuss / unresolved</t>
        </is>
      </c>
      <c r="B5" s="16">
        <f>COUNTIF('C_jama.2024.0318'!$D$2:$D$7,"discuss")+COUNTIF('C_jama.2024.0572'!$D$2:$D$3,"discuss")+COUNTIF('C_jama.2024.11057'!$D$2:$D$4,"discuss")+COUNTIF('C_jama.2024.12829'!$D$2:$D$18,"discuss")+COUNTIF('C_jama.2024.19585'!$D$2:$D$4,"discuss")+COUNTIF('C_jama.2024.2302'!$D$2:$D$6,"discuss")+COUNTIF('C_jama.2024.23898'!$D$2:$D$8,"discuss")+COUNTIF('C_jama.2024.25786'!$D$2:$D$9,"discuss")+COUNTIF('C_jama.2024.4183'!$D$2:$D$25,"discuss")+COUNTIF('C_jama.2024.6063'!$D$2:$D$17,"discuss")</f>
        <v/>
      </c>
    </row>
    <row r="6" ht="60" customFormat="1" customHeight="1" s="8">
      <c r="A6" s="15" t="inlineStr">
        <is>
          <t>Workflow status</t>
        </is>
      </c>
      <c r="B6" s="15">
        <f>IF(B3=B2,"PRIMARY READY","ACTION NEEDED")</f>
        <v/>
      </c>
    </row>
    <row r="7" ht="60" customFormat="1" customHeight="1" s="8">
      <c r="A7" s="16" t="inlineStr">
        <is>
          <t>Ready with discuss</t>
        </is>
      </c>
      <c r="B7" s="16">
        <f>COUNTIFS('C_jama.2024.0318'!$G$2:$G$7,"PRIMARY READY",'C_jama.2024.0318'!$D$2:$D$7,"discuss")+COUNTIFS('C_jama.2024.0572'!$G$2:$G$3,"PRIMARY READY",'C_jama.2024.0572'!$D$2:$D$3,"discuss")+COUNTIFS('C_jama.2024.11057'!$G$2:$G$4,"PRIMARY READY",'C_jama.2024.11057'!$D$2:$D$4,"discuss")+COUNTIFS('C_jama.2024.12829'!$G$2:$G$18,"PRIMARY READY",'C_jama.2024.12829'!$D$2:$D$18,"discuss")+COUNTIFS('C_jama.2024.19585'!$G$2:$G$4,"PRIMARY READY",'C_jama.2024.19585'!$D$2:$D$4,"discuss")+COUNTIFS('C_jama.2024.2302'!$G$2:$G$6,"PRIMARY READY",'C_jama.2024.2302'!$D$2:$D$6,"discuss")+COUNTIFS('C_jama.2024.23898'!$G$2:$G$8,"PRIMARY READY",'C_jama.2024.23898'!$D$2:$D$8,"discuss")+COUNTIFS('C_jama.2024.25786'!$G$2:$G$9,"PRIMARY READY",'C_jama.2024.25786'!$D$2:$D$9,"discuss")+COUNTIFS('C_jama.2024.4183'!$G$2:$G$25,"PRIMARY READY",'C_jama.2024.4183'!$D$2:$D$25,"discuss")+COUNTIFS('C_jama.2024.6063'!$G$2:$G$17,"PRIMARY READY",'C_jama.2024.6063'!$D$2:$D$17,"discuss")</f>
        <v/>
      </c>
    </row>
    <row r="8" ht="60" customFormat="1" customHeight="1" s="8">
      <c r="A8" s="15" t="inlineStr">
        <is>
          <t>Meaning</t>
        </is>
      </c>
      <c r="B8" s="15" t="inlineStr">
        <is>
          <t>PRIMARY READY means independent data entry is complete; discuss remains unresolved.</t>
        </is>
      </c>
    </row>
    <row r="9" ht="60" customFormat="1" customHeight="1" s="8">
      <c r="A9" s="16" t="inlineStr">
        <is>
          <t>Next action</t>
        </is>
      </c>
      <c r="B9" s="16" t="inlineStr">
        <is>
          <t>Inspect G on the C_ sheets. Save the completed file and deliver it; preserve normal Excel backups.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8" min="1" max="1"/>
    <col width="34" customWidth="1" style="8" min="2" max="2"/>
    <col width="18" customWidth="1" style="8" min="3" max="3"/>
  </cols>
  <sheetData>
    <row r="1" ht="42" customFormat="1" customHeight="1" s="8">
      <c r="A1" s="14" t="inlineStr">
        <is>
          <t>Paper</t>
        </is>
      </c>
      <c r="B1" s="14" t="inlineStr">
        <is>
          <t>Review worksheet</t>
        </is>
      </c>
      <c r="C1" s="14" t="inlineStr">
        <is>
          <t>Candidates</t>
        </is>
      </c>
    </row>
    <row r="2" ht="36" customFormat="1" customHeight="1" s="8">
      <c r="A2" s="15" t="inlineStr">
        <is>
          <t>jama.2024.0318</t>
        </is>
      </c>
      <c r="B2" s="15" t="inlineStr">
        <is>
          <t>C_jama.2024.0318</t>
        </is>
      </c>
      <c r="C2" s="15" t="n">
        <v>6</v>
      </c>
    </row>
    <row r="3" ht="36" customFormat="1" customHeight="1" s="8">
      <c r="A3" s="16" t="inlineStr">
        <is>
          <t>jama.2024.0572</t>
        </is>
      </c>
      <c r="B3" s="16" t="inlineStr">
        <is>
          <t>C_jama.2024.0572</t>
        </is>
      </c>
      <c r="C3" s="16" t="n">
        <v>2</v>
      </c>
    </row>
    <row r="4" ht="36" customFormat="1" customHeight="1" s="8">
      <c r="A4" s="15" t="inlineStr">
        <is>
          <t>jama.2024.11057</t>
        </is>
      </c>
      <c r="B4" s="15" t="inlineStr">
        <is>
          <t>C_jama.2024.11057</t>
        </is>
      </c>
      <c r="C4" s="15" t="n">
        <v>3</v>
      </c>
    </row>
    <row r="5" ht="36" customFormat="1" customHeight="1" s="8">
      <c r="A5" s="16" t="inlineStr">
        <is>
          <t>jama.2024.12829</t>
        </is>
      </c>
      <c r="B5" s="16" t="inlineStr">
        <is>
          <t>C_jama.2024.12829</t>
        </is>
      </c>
      <c r="C5" s="16" t="n">
        <v>17</v>
      </c>
    </row>
    <row r="6" ht="36" customFormat="1" customHeight="1" s="8">
      <c r="A6" s="15" t="inlineStr">
        <is>
          <t>jama.2024.19585</t>
        </is>
      </c>
      <c r="B6" s="15" t="inlineStr">
        <is>
          <t>C_jama.2024.19585</t>
        </is>
      </c>
      <c r="C6" s="15" t="n">
        <v>3</v>
      </c>
    </row>
    <row r="7" ht="36" customFormat="1" customHeight="1" s="8">
      <c r="A7" s="16" t="inlineStr">
        <is>
          <t>jama.2024.2302</t>
        </is>
      </c>
      <c r="B7" s="16" t="inlineStr">
        <is>
          <t>C_jama.2024.2302</t>
        </is>
      </c>
      <c r="C7" s="16" t="n">
        <v>5</v>
      </c>
    </row>
    <row r="8" ht="36" customFormat="1" customHeight="1" s="8">
      <c r="A8" s="15" t="inlineStr">
        <is>
          <t>jama.2024.23898</t>
        </is>
      </c>
      <c r="B8" s="15" t="inlineStr">
        <is>
          <t>C_jama.2024.23898</t>
        </is>
      </c>
      <c r="C8" s="15" t="n">
        <v>7</v>
      </c>
    </row>
    <row r="9" ht="36" customFormat="1" customHeight="1" s="8">
      <c r="A9" s="16" t="inlineStr">
        <is>
          <t>jama.2024.25786</t>
        </is>
      </c>
      <c r="B9" s="16" t="inlineStr">
        <is>
          <t>C_jama.2024.25786</t>
        </is>
      </c>
      <c r="C9" s="16" t="n">
        <v>8</v>
      </c>
    </row>
    <row r="10" ht="36" customFormat="1" customHeight="1" s="8">
      <c r="A10" s="15" t="inlineStr">
        <is>
          <t>jama.2024.4183</t>
        </is>
      </c>
      <c r="B10" s="15" t="inlineStr">
        <is>
          <t>C_jama.2024.4183</t>
        </is>
      </c>
      <c r="C10" s="15" t="n">
        <v>24</v>
      </c>
    </row>
    <row r="11" ht="36" customFormat="1" customHeight="1" s="8">
      <c r="A11" s="16" t="inlineStr">
        <is>
          <t>jama.2024.6063</t>
        </is>
      </c>
      <c r="B11" s="16" t="inlineStr">
        <is>
          <t>C_jama.2024.6063</t>
        </is>
      </c>
      <c r="C11" s="16" t="n">
        <v>16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6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6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5" t="n"/>
      <c r="N1" s="5" t="n"/>
      <c r="O1" s="5" t="n"/>
      <c r="P1" s="5" t="n"/>
      <c r="Q1" s="5" t="n"/>
      <c r="R1" s="5" t="inlineStr">
        <is>
          <t>Notes (optional)</t>
        </is>
      </c>
    </row>
    <row r="2" ht="92" customFormat="1" customHeight="1" s="8">
      <c r="A2" s="12" t="inlineStr">
        <is>
          <t>2024::jama.2024.0318::C001</t>
        </is>
      </c>
      <c r="B2" s="12" t="inlineStr">
        <is>
          <t>Figure 1 allocation branches exceed the displayed available cohort by 10 participants</t>
        </is>
      </c>
      <c r="C2" s="12" t="inlineStr">
        <is>
          <t>jama_courcoulas_2024_oi_240004_1721756962.76052.pdf — PDF p. 3, Figure 1 and adjoining Results text.</t>
        </is>
      </c>
      <c r="D2" s="18" t="n"/>
      <c r="E2" s="18" t="inlineStr">
        <is>
          <t>statistical_results</t>
        </is>
      </c>
      <c r="F2" s="18" t="inlineStr">
        <is>
          <t>no</t>
        </is>
      </c>
      <c r="G2" s="12">
        <f>IFERROR(IF(LEN(TRIM(CLEAN(SUBSTITUTE(Setup!$B$2,CHAR(160)," "))))=0,"ENTER REVIEWER ID",IF(OR(A2="",COUNTIF($A$2:$A$7,A2)&lt;&gt;1,LEFT(A2,LEN("2024::jama.2024.0318::"))&lt;&gt;"2024::jama.2024.0318::"),"CHECK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COMPLETE",IF(F2&lt;&gt;"primary_done","PRIMARY DRAFT","PRIMARY READY")))))),"CHECK KEY / INPUT")</f>
        <v/>
      </c>
      <c r="H2" s="18">
        <f>IF(AND(OR(D2="retain",D2=""),E2="statistical_results"),"","not_applicable")</f>
        <v/>
      </c>
      <c r="I2" s="18">
        <f>IF(AND(OR(D2="retain",D2=""),E2="statistical_results"),"","not_applicable")</f>
        <v/>
      </c>
      <c r="J2" s="19">
        <f>IF(AND(OR(D2="retain",D2=""),E2="statistical_results"),"","not_applicable")</f>
        <v/>
      </c>
      <c r="K2" s="18">
        <f>IF(AND(OR(D2="retain",D2=""),OR(E2="report_internal_inconsistency",E2="plan_material")),"","not_applicable")</f>
        <v/>
      </c>
      <c r="L2" s="19">
        <f>IF(AND(OR(D2="retain",D2=""),E2="protocol_report"),"","not_applicable")</f>
        <v/>
      </c>
      <c r="M2" s="12" t="n"/>
      <c r="N2" s="7" t="n"/>
      <c r="O2" s="7" t="n"/>
      <c r="P2" s="7" t="n"/>
      <c r="Q2" s="7" t="n"/>
      <c r="R2" s="19" t="n"/>
    </row>
    <row r="3" ht="92" customFormat="1" customHeight="1" s="8">
      <c r="A3" s="11" t="inlineStr">
        <is>
          <t>2024::jama.2024.0318::C002</t>
        </is>
      </c>
      <c r="B3" s="11" t="inlineStr">
        <is>
          <t>Supplement eTable 2 mixes year-12 headings with year-7 quantitative footnote definitions</t>
        </is>
      </c>
      <c r="C3" s="11" t="inlineStr">
        <is>
          <t>joi240004supp2_prod_1721756962.82552.pdf — PDF p. 15, eTable 2 title, columns, rows, and footnotes a-b; joi240004supp2_prod_1721756962.82552.pdf — PDF p. 16, footnotes c-e; jama_courcoulas_2024_oi_240004_1721756962.76052.pdf — PDF p. 3, Results pointer to eTable 2.</t>
        </is>
      </c>
      <c r="D3" s="18" t="n"/>
      <c r="E3" s="18" t="inlineStr">
        <is>
          <t>report_internal_inconsistency</t>
        </is>
      </c>
      <c r="F3" s="18" t="inlineStr">
        <is>
          <t>no</t>
        </is>
      </c>
      <c r="G3" s="11">
        <f>IFERROR(IF(LEN(TRIM(CLEAN(SUBSTITUTE(Setup!$B$2,CHAR(160)," "))))=0,"ENTER REVIEWER ID",IF(OR(A3="",COUNTIF($A$2:$A$7,A3)&lt;&gt;1,LEFT(A3,LEN("2024::jama.2024.0318::"))&lt;&gt;"2024::jama.2024.0318::"),"CHECK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COMPLETE",IF(F3&lt;&gt;"primary_done","PRIMARY DRAFT","PRIMARY READY")))))),"CHECK KEY / INPUT")</f>
        <v/>
      </c>
      <c r="H3" s="18">
        <f>IF(AND(OR(D3="retain",D3=""),E3="statistical_results"),"","not_applicable")</f>
        <v/>
      </c>
      <c r="I3" s="18">
        <f>IF(AND(OR(D3="retain",D3=""),E3="statistical_results"),"","not_applicable")</f>
        <v/>
      </c>
      <c r="J3" s="19">
        <f>IF(AND(OR(D3="retain",D3=""),E3="statistical_results"),"","not_applicable")</f>
        <v/>
      </c>
      <c r="K3" s="18">
        <f>IF(AND(OR(D3="retain",D3=""),OR(E3="report_internal_inconsistency",E3="plan_material")),"","not_applicable")</f>
        <v/>
      </c>
      <c r="L3" s="19">
        <f>IF(AND(OR(D3="retain",D3=""),E3="protocol_report"),"","not_applicable")</f>
        <v/>
      </c>
      <c r="M3" s="11" t="n"/>
      <c r="N3" s="7" t="n"/>
      <c r="O3" s="7" t="n"/>
      <c r="P3" s="7" t="n"/>
      <c r="Q3" s="7" t="n"/>
      <c r="R3" s="19" t="n"/>
    </row>
    <row r="4" ht="92" customFormat="1" customHeight="1" s="8">
      <c r="A4" s="12" t="inlineStr">
        <is>
          <t>2024::jama.2024.0318::C003</t>
        </is>
      </c>
      <c r="B4" s="12" t="inlineStr">
        <is>
          <t>Matched 12-year HbA1c result has incompatible printed P values</t>
        </is>
      </c>
      <c r="C4" s="12" t="inlineStr">
        <is>
          <t>jama_courcoulas_2024_oi_240004_1721756962.76052.pdf — PDF p. 1, Abstract Results; jama_courcoulas_2024_oi_240004_1721756962.76052.pdf — PDF p. 3, Results; joi240004supp2_prod_1721756962.82552.pdf — PDF p. 15, eTable 2 HbA1c row.</t>
        </is>
      </c>
      <c r="D4" s="18" t="n"/>
      <c r="E4" s="18" t="inlineStr">
        <is>
          <t>report_internal_inconsistency</t>
        </is>
      </c>
      <c r="F4" s="18" t="inlineStr">
        <is>
          <t>no</t>
        </is>
      </c>
      <c r="G4" s="12">
        <f>IFERROR(IF(LEN(TRIM(CLEAN(SUBSTITUTE(Setup!$B$2,CHAR(160)," "))))=0,"ENTER REVIEWER ID",IF(OR(A4="",COUNTIF($A$2:$A$7,A4)&lt;&gt;1,LEFT(A4,LEN("2024::jama.2024.0318::"))&lt;&gt;"2024::jama.2024.0318::"),"CHECK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COMPLETE",IF(F4&lt;&gt;"primary_done","PRIMARY DRAFT","PRIMARY READY")))))),"CHECK KEY / INPUT")</f>
        <v/>
      </c>
      <c r="H4" s="18">
        <f>IF(AND(OR(D4="retain",D4=""),E4="statistical_results"),"","not_applicable")</f>
        <v/>
      </c>
      <c r="I4" s="18">
        <f>IF(AND(OR(D4="retain",D4=""),E4="statistical_results"),"","not_applicable")</f>
        <v/>
      </c>
      <c r="J4" s="19">
        <f>IF(AND(OR(D4="retain",D4=""),E4="statistical_results"),"","not_applicable")</f>
        <v/>
      </c>
      <c r="K4" s="18">
        <f>IF(AND(OR(D4="retain",D4=""),OR(E4="report_internal_inconsistency",E4="plan_material")),"","not_applicable")</f>
        <v/>
      </c>
      <c r="L4" s="19">
        <f>IF(AND(OR(D4="retain",D4=""),E4="protocol_report"),"","not_applicable")</f>
        <v/>
      </c>
      <c r="M4" s="12" t="n"/>
      <c r="N4" s="7" t="n"/>
      <c r="O4" s="7" t="n"/>
      <c r="P4" s="7" t="n"/>
      <c r="Q4" s="7" t="n"/>
      <c r="R4" s="19" t="n"/>
    </row>
    <row r="5" ht="92" customFormat="1" customHeight="1" s="8">
      <c r="A5" s="11" t="inlineStr">
        <is>
          <t>2024::jama.2024.0318::C004</t>
        </is>
      </c>
      <c r="B5" s="11" t="inlineStr">
        <is>
          <t>The same year-7 glycemic outcome is labeled as both HbA1c less than or equal to 6.5% and HbA1c below 6.5%</t>
        </is>
      </c>
      <c r="C5" s="11" t="inlineStr">
        <is>
          <t>jama_courcoulas_2024_oi_240004_1721756962.76052.pdf — PDF p. 4, Results narrative; jama_courcoulas_2024_oi_240004_1721756962.76052.pdf — PDF p. 6, Table 2; joi240004supp2_prod_1721756962.82552.pdf — PDF p. 4, binary-analysis context.</t>
        </is>
      </c>
      <c r="D5" s="18" t="n"/>
      <c r="E5" s="18" t="inlineStr">
        <is>
          <t>report_internal_inconsistency</t>
        </is>
      </c>
      <c r="F5" s="18" t="inlineStr">
        <is>
          <t>no</t>
        </is>
      </c>
      <c r="G5" s="11">
        <f>IFERROR(IF(LEN(TRIM(CLEAN(SUBSTITUTE(Setup!$B$2,CHAR(160)," "))))=0,"ENTER REVIEWER ID",IF(OR(A5="",COUNTIF($A$2:$A$7,A5)&lt;&gt;1,LEFT(A5,LEN("2024::jama.2024.0318::"))&lt;&gt;"2024::jama.2024.0318::"),"CHECK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COMPLETE",IF(F5&lt;&gt;"primary_done","PRIMARY DRAFT","PRIMARY READY")))))),"CHECK KEY / INPUT")</f>
        <v/>
      </c>
      <c r="H5" s="18">
        <f>IF(AND(OR(D5="retain",D5=""),E5="statistical_results"),"","not_applicable")</f>
        <v/>
      </c>
      <c r="I5" s="18">
        <f>IF(AND(OR(D5="retain",D5=""),E5="statistical_results"),"","not_applicable")</f>
        <v/>
      </c>
      <c r="J5" s="19">
        <f>IF(AND(OR(D5="retain",D5=""),E5="statistical_results"),"","not_applicable")</f>
        <v/>
      </c>
      <c r="K5" s="18">
        <f>IF(AND(OR(D5="retain",D5=""),OR(E5="report_internal_inconsistency",E5="plan_material")),"","not_applicable")</f>
        <v/>
      </c>
      <c r="L5" s="19">
        <f>IF(AND(OR(D5="retain",D5=""),E5="protocol_report"),"","not_applicable")</f>
        <v/>
      </c>
      <c r="M5" s="11" t="n"/>
      <c r="N5" s="7" t="n"/>
      <c r="O5" s="7" t="n"/>
      <c r="P5" s="7" t="n"/>
      <c r="Q5" s="7" t="n"/>
      <c r="R5" s="19" t="n"/>
    </row>
    <row r="6" ht="92" customFormat="1" customHeight="1" s="8">
      <c r="A6" s="12" t="inlineStr">
        <is>
          <t>2024::jama.2024.0318::C005</t>
        </is>
      </c>
      <c r="B6" s="12" t="inlineStr">
        <is>
          <t>Abstract percentage for four deaths does not reconcile with displayed group counts and denominators</t>
        </is>
      </c>
      <c r="C6" s="12" t="inlineStr">
        <is>
          <t>jama_courcoulas_2024_oi_240004_1721756962.76052.pdf — PDF p. 1, Abstract Results; jama_courcoulas_2024_oi_240004_1721756962.76052.pdf — PDF p. 3, enrolled groups; jama_courcoulas_2024_oi_240004_1721756962.76052.pdf — PDF p. 7, death narrative; jama_courcoulas_2024_oi_240004_1721756962.76052.pdf — PDF p. 8, Table 3.</t>
        </is>
      </c>
      <c r="D6" s="18" t="n"/>
      <c r="E6" s="18" t="inlineStr">
        <is>
          <t>statistical_results</t>
        </is>
      </c>
      <c r="F6" s="18" t="inlineStr">
        <is>
          <t>no</t>
        </is>
      </c>
      <c r="G6" s="12">
        <f>IFERROR(IF(LEN(TRIM(CLEAN(SUBSTITUTE(Setup!$B$2,CHAR(160)," "))))=0,"ENTER REVIEWER ID",IF(OR(A6="",COUNTIF($A$2:$A$7,A6)&lt;&gt;1,LEFT(A6,LEN("2024::jama.2024.0318::"))&lt;&gt;"2024::jama.2024.0318::"),"CHECK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COMPLETE",IF(F6&lt;&gt;"primary_done","PRIMARY DRAFT","PRIMARY READY")))))),"CHECK KEY / INPUT")</f>
        <v/>
      </c>
      <c r="H6" s="18">
        <f>IF(AND(OR(D6="retain",D6=""),E6="statistical_results"),"","not_applicable")</f>
        <v/>
      </c>
      <c r="I6" s="18">
        <f>IF(AND(OR(D6="retain",D6=""),E6="statistical_results"),"","not_applicable")</f>
        <v/>
      </c>
      <c r="J6" s="19">
        <f>IF(AND(OR(D6="retain",D6=""),E6="statistical_results"),"","not_applicable")</f>
        <v/>
      </c>
      <c r="K6" s="18">
        <f>IF(AND(OR(D6="retain",D6=""),OR(E6="report_internal_inconsistency",E6="plan_material")),"","not_applicable")</f>
        <v/>
      </c>
      <c r="L6" s="19">
        <f>IF(AND(OR(D6="retain",D6=""),E6="protocol_report"),"","not_applicable")</f>
        <v/>
      </c>
      <c r="M6" s="12" t="n"/>
      <c r="N6" s="7" t="n"/>
      <c r="O6" s="7" t="n"/>
      <c r="P6" s="7" t="n"/>
      <c r="Q6" s="7" t="n"/>
      <c r="R6" s="19" t="n"/>
    </row>
    <row r="7" ht="92" customFormat="1" customHeight="1" s="8">
      <c r="A7" s="11" t="inlineStr">
        <is>
          <t>2024::jama.2024.0318::C006</t>
        </is>
      </c>
      <c r="B7" s="11" t="inlineStr">
        <is>
          <t>The same exploratory BMI subgroup boundary is labeled as both 35 or greater and greater than 35</t>
        </is>
      </c>
      <c r="C7" s="11" t="inlineStr">
        <is>
          <t>jama_courcoulas_2024_oi_240004_1721756962.76052.pdf — PDF p. 7, Results narrative; joi240004supp2_prod_1721756962.82552.pdf — PDF p. 13, eFigure 6 title, legends, and explanatory text.</t>
        </is>
      </c>
      <c r="D7" s="18" t="n"/>
      <c r="E7" s="18" t="inlineStr">
        <is>
          <t>report_internal_inconsistency</t>
        </is>
      </c>
      <c r="F7" s="18" t="inlineStr">
        <is>
          <t>no</t>
        </is>
      </c>
      <c r="G7" s="11">
        <f>IFERROR(IF(LEN(TRIM(CLEAN(SUBSTITUTE(Setup!$B$2,CHAR(160)," "))))=0,"ENTER REVIEWER ID",IF(OR(A7="",COUNTIF($A$2:$A$7,A7)&lt;&gt;1,LEFT(A7,LEN("2024::jama.2024.0318::"))&lt;&gt;"2024::jama.2024.0318::"),"CHECK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COMPLETE",IF(F7&lt;&gt;"primary_done","PRIMARY DRAFT","PRIMARY READY")))))),"CHECK KEY / INPUT")</f>
        <v/>
      </c>
      <c r="H7" s="18">
        <f>IF(AND(OR(D7="retain",D7=""),E7="statistical_results"),"","not_applicable")</f>
        <v/>
      </c>
      <c r="I7" s="18">
        <f>IF(AND(OR(D7="retain",D7=""),E7="statistical_results"),"","not_applicable")</f>
        <v/>
      </c>
      <c r="J7" s="19">
        <f>IF(AND(OR(D7="retain",D7=""),E7="statistical_results"),"","not_applicable")</f>
        <v/>
      </c>
      <c r="K7" s="18">
        <f>IF(AND(OR(D7="retain",D7=""),OR(E7="report_internal_inconsistency",E7="plan_material")),"","not_applicable")</f>
        <v/>
      </c>
      <c r="L7" s="19">
        <f>IF(AND(OR(D7="retain",D7=""),E7="protocol_report"),"","not_applicable")</f>
        <v/>
      </c>
      <c r="M7" s="11" t="n"/>
      <c r="N7" s="7" t="n"/>
      <c r="O7" s="7" t="n"/>
      <c r="P7" s="7" t="n"/>
      <c r="Q7" s="7" t="n"/>
      <c r="R7" s="19" t="n"/>
    </row>
  </sheetData>
  <autoFilter ref="A1:R7"/>
  <conditionalFormatting sqref="H2:H7">
    <cfRule type="expression" priority="8" dxfId="70">
      <formula>NOT(AND(OR($D2="retain",$D2=""),$E2="statistical_results"))</formula>
    </cfRule>
  </conditionalFormatting>
  <conditionalFormatting sqref="I2:I7">
    <cfRule type="expression" priority="9" dxfId="70">
      <formula>NOT(AND(OR($D2="retain",$D2=""),$E2="statistical_results"))</formula>
    </cfRule>
  </conditionalFormatting>
  <conditionalFormatting sqref="J2:J7">
    <cfRule type="expression" priority="10" dxfId="70">
      <formula>NOT(AND(OR($D2="retain",$D2=""),$E2="statistical_results"))</formula>
    </cfRule>
  </conditionalFormatting>
  <conditionalFormatting sqref="K2:K7">
    <cfRule type="expression" priority="11" dxfId="70">
      <formula>NOT(AND(OR($D2="retain",$D2=""),OR($E2="report_internal_inconsistency",$E2="plan_material")))</formula>
    </cfRule>
  </conditionalFormatting>
  <conditionalFormatting sqref="L2:L7">
    <cfRule type="expression" priority="12" dxfId="70">
      <formula>NOT(AND(OR($D2="retain",$D2=""),$E2="protocol_report"))</formula>
    </cfRule>
  </conditionalFormatting>
  <conditionalFormatting sqref="G2:G7">
    <cfRule type="expression" priority="13" dxfId="71">
      <formula>G2&lt;&gt;"PRIMARY READY"</formula>
    </cfRule>
  </conditionalFormatting>
  <dataValidations count="8">
    <dataValidation sqref="D2:D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"retain,exclude,discuss"</formula1>
    </dataValidation>
    <dataValidation sqref="E2:E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"statistical_results,report_internal_inconsistency,plan_material,protocol_report"</formula1>
    </dataValidation>
    <dataValidation sqref="F2:F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"no,primary_done"</formula1>
    </dataValidation>
    <dataValidation sqref="H2:H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"confirmed_issue,probable_issue,not_issue,indeterminate,not_applicable"</formula1>
    </dataValidation>
    <dataValidation sqref="I2:I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"substantive,minor_presentation,indeterminate,not_applicable"</formula1>
    </dataValidation>
    <dataValidation sqref="J2:J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"direct,possible,unlikely,unknown,not_applicable"</formula1>
    </dataValidation>
    <dataValidation sqref="K2:K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"substantive_inconsistency,minor_presentation,non_inconsistency,indeterminate,not_applicable"</formula1>
    </dataValidation>
    <dataValidation sqref="L2:L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"substantive_difference,minor_presentation,version_timing,non_inconsistency,indeterminate,not_applicable"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</hyperlink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6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6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5" t="n"/>
      <c r="N1" s="5" t="n"/>
      <c r="O1" s="5" t="n"/>
      <c r="P1" s="5" t="n"/>
      <c r="Q1" s="5" t="n"/>
      <c r="R1" s="5" t="inlineStr">
        <is>
          <t>Notes (optional)</t>
        </is>
      </c>
    </row>
    <row r="2" ht="92" customFormat="1" customHeight="1" s="8">
      <c r="A2" s="12" t="inlineStr">
        <is>
          <t>2024::jama.2024.0572::C001</t>
        </is>
      </c>
      <c r="B2" s="12" t="inlineStr">
        <is>
          <t>ITT Figure 2 mRS distributions conflict with ITT eTable 2 threshold counts</t>
        </is>
      </c>
      <c r="C2" s="12" t="inlineStr">
        <is>
          <t>Main article Figure 2 — PDF p. 7; Supplement 5 eTable 2 — PDF p. 38; main Results population statement — PDF p. 4; and Supplement 5 eFigure 3 — PDF p. 8.</t>
        </is>
      </c>
      <c r="D2" s="18" t="n"/>
      <c r="E2" s="18" t="inlineStr">
        <is>
          <t>report_internal_inconsistency</t>
        </is>
      </c>
      <c r="F2" s="18" t="inlineStr">
        <is>
          <t>no</t>
        </is>
      </c>
      <c r="G2" s="12">
        <f>IFERROR(IF(LEN(TRIM(CLEAN(SUBSTITUTE(Setup!$B$2,CHAR(160)," "))))=0,"ENTER REVIEWER ID",IF(OR(A2="",COUNTIF($A$2:$A$3,A2)&lt;&gt;1,LEFT(A2,LEN("2024::jama.2024.0572::"))&lt;&gt;"2024::jama.2024.0572::"),"CHECK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COMPLETE",IF(F2&lt;&gt;"primary_done","PRIMARY DRAFT","PRIMARY READY")))))),"CHECK KEY / INPUT")</f>
        <v/>
      </c>
      <c r="H2" s="18">
        <f>IF(AND(OR(D2="retain",D2=""),E2="statistical_results"),"","not_applicable")</f>
        <v/>
      </c>
      <c r="I2" s="18">
        <f>IF(AND(OR(D2="retain",D2=""),E2="statistical_results"),"","not_applicable")</f>
        <v/>
      </c>
      <c r="J2" s="19">
        <f>IF(AND(OR(D2="retain",D2=""),E2="statistical_results"),"","not_applicable")</f>
        <v/>
      </c>
      <c r="K2" s="18">
        <f>IF(AND(OR(D2="retain",D2=""),OR(E2="report_internal_inconsistency",E2="plan_material")),"","not_applicable")</f>
        <v/>
      </c>
      <c r="L2" s="19">
        <f>IF(AND(OR(D2="retain",D2=""),E2="protocol_report"),"","not_applicable")</f>
        <v/>
      </c>
      <c r="M2" s="12" t="n"/>
      <c r="N2" s="7" t="n"/>
      <c r="O2" s="7" t="n"/>
      <c r="P2" s="7" t="n"/>
      <c r="Q2" s="7" t="n"/>
      <c r="R2" s="19" t="n"/>
    </row>
    <row r="3" ht="92" customFormat="1" customHeight="1" s="8">
      <c r="A3" s="11" t="inlineStr">
        <is>
          <t>2024::jama.2024.0572::C002</t>
        </is>
      </c>
      <c r="B3" s="11" t="inlineStr">
        <is>
          <t>aRR is labeled as an absolute risk reduction but displayed and interpreted as a ratio</t>
        </is>
      </c>
      <c r="C3" s="11" t="inlineStr">
        <is>
          <t>Main narrative — PDF p. 6; Main Table 2 — PDF p. 7; Main Table 3 — PDF p. 9; trial SAP — PDF p. 17; secondary-analysis SAP — PDF p. 4; and Supplement 5 eTable 7 — PDF p. 43.</t>
        </is>
      </c>
      <c r="D3" s="18" t="n"/>
      <c r="E3" s="18" t="inlineStr">
        <is>
          <t>report_internal_inconsistency</t>
        </is>
      </c>
      <c r="F3" s="18" t="inlineStr">
        <is>
          <t>no</t>
        </is>
      </c>
      <c r="G3" s="11">
        <f>IFERROR(IF(LEN(TRIM(CLEAN(SUBSTITUTE(Setup!$B$2,CHAR(160)," "))))=0,"ENTER REVIEWER ID",IF(OR(A3="",COUNTIF($A$2:$A$3,A3)&lt;&gt;1,LEFT(A3,LEN("2024::jama.2024.0572::"))&lt;&gt;"2024::jama.2024.0572::"),"CHECK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COMPLETE",IF(F3&lt;&gt;"primary_done","PRIMARY DRAFT","PRIMARY READY")))))),"CHECK KEY / INPUT")</f>
        <v/>
      </c>
      <c r="H3" s="18">
        <f>IF(AND(OR(D3="retain",D3=""),E3="statistical_results"),"","not_applicable")</f>
        <v/>
      </c>
      <c r="I3" s="18">
        <f>IF(AND(OR(D3="retain",D3=""),E3="statistical_results"),"","not_applicable")</f>
        <v/>
      </c>
      <c r="J3" s="19">
        <f>IF(AND(OR(D3="retain",D3=""),E3="statistical_results"),"","not_applicable")</f>
        <v/>
      </c>
      <c r="K3" s="18">
        <f>IF(AND(OR(D3="retain",D3=""),OR(E3="report_internal_inconsistency",E3="plan_material")),"","not_applicable")</f>
        <v/>
      </c>
      <c r="L3" s="19">
        <f>IF(AND(OR(D3="retain",D3=""),E3="protocol_report"),"","not_applicable")</f>
        <v/>
      </c>
      <c r="M3" s="11" t="n"/>
      <c r="N3" s="7" t="n"/>
      <c r="O3" s="7" t="n"/>
      <c r="P3" s="7" t="n"/>
      <c r="Q3" s="7" t="n"/>
      <c r="R3" s="19" t="n"/>
    </row>
  </sheetData>
  <autoFilter ref="A1:R3"/>
  <conditionalFormatting sqref="H2:H3">
    <cfRule type="expression" priority="8" dxfId="70">
      <formula>NOT(AND(OR($D2="retain",$D2=""),$E2="statistical_results"))</formula>
    </cfRule>
  </conditionalFormatting>
  <conditionalFormatting sqref="I2:I3">
    <cfRule type="expression" priority="9" dxfId="70">
      <formula>NOT(AND(OR($D2="retain",$D2=""),$E2="statistical_results"))</formula>
    </cfRule>
  </conditionalFormatting>
  <conditionalFormatting sqref="J2:J3">
    <cfRule type="expression" priority="10" dxfId="70">
      <formula>NOT(AND(OR($D2="retain",$D2=""),$E2="statistical_results"))</formula>
    </cfRule>
  </conditionalFormatting>
  <conditionalFormatting sqref="K2:K3">
    <cfRule type="expression" priority="11" dxfId="70">
      <formula>NOT(AND(OR($D2="retain",$D2=""),OR($E2="report_internal_inconsistency",$E2="plan_material")))</formula>
    </cfRule>
  </conditionalFormatting>
  <conditionalFormatting sqref="L2:L3">
    <cfRule type="expression" priority="12" dxfId="70">
      <formula>NOT(AND(OR($D2="retain",$D2=""),$E2="protocol_report"))</formula>
    </cfRule>
  </conditionalFormatting>
  <conditionalFormatting sqref="G2:G3">
    <cfRule type="expression" priority="13" dxfId="71">
      <formula>G2&lt;&gt;"PRIMARY READY"</formula>
    </cfRule>
  </conditionalFormatting>
  <dataValidations count="8">
    <dataValidation sqref="D2:D3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"retain,exclude,discuss"</formula1>
    </dataValidation>
    <dataValidation sqref="E2:E3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"statistical_results,report_internal_inconsistency,plan_material,protocol_report"</formula1>
    </dataValidation>
    <dataValidation sqref="F2:F3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"no,primary_done"</formula1>
    </dataValidation>
    <dataValidation sqref="H2:H3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"confirmed_issue,probable_issue,not_issue,indeterminate,not_applicable"</formula1>
    </dataValidation>
    <dataValidation sqref="I2:I3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"substantive,minor_presentation,indeterminate,not_applicable"</formula1>
    </dataValidation>
    <dataValidation sqref="J2:J3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"direct,possible,unlikely,unknown,not_applicable"</formula1>
    </dataValidation>
    <dataValidation sqref="K2:K3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"substantive_inconsistency,minor_presentation,non_inconsistency,indeterminate,not_applicable"</formula1>
    </dataValidation>
    <dataValidation sqref="L2:L3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"substantive_difference,minor_presentation,version_timing,non_inconsistency,indeterminate,not_applicable"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6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6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5" t="n"/>
      <c r="N1" s="5" t="n"/>
      <c r="O1" s="5" t="n"/>
      <c r="P1" s="5" t="n"/>
      <c r="Q1" s="5" t="n"/>
      <c r="R1" s="5" t="inlineStr">
        <is>
          <t>Notes (optional)</t>
        </is>
      </c>
    </row>
    <row r="2" ht="92" customFormat="1" customHeight="1" s="8">
      <c r="A2" s="12" t="inlineStr">
        <is>
          <t>2024::jama.2024.11057::C001</t>
        </is>
      </c>
      <c r="B2" s="12" t="inlineStr">
        <is>
          <t>Quit-date pre-message duration conflicts between the main article and both support documents</t>
        </is>
      </c>
      <c r="C2" s="12" t="inlineStr">
        <is>
          <t>jama_graham_2024_oi_240078_1739900423.19074.pdf — PDF p. 3; joi240078supp1_prod_1739900423.22574.pdf — PDF p. 2; joi240078supp2_prod_1739900423.24574.pdf — PDF p. 2.</t>
        </is>
      </c>
      <c r="D2" s="18" t="n"/>
      <c r="E2" s="18" t="inlineStr">
        <is>
          <t>protocol_report</t>
        </is>
      </c>
      <c r="F2" s="18" t="inlineStr">
        <is>
          <t>no</t>
        </is>
      </c>
      <c r="G2" s="12">
        <f>IFERROR(IF(LEN(TRIM(CLEAN(SUBSTITUTE(Setup!$B$2,CHAR(160)," "))))=0,"ENTER REVIEWER ID",IF(OR(A2="",COUNTIF($A$2:$A$4,A2)&lt;&gt;1,LEFT(A2,LEN("2024::jama.2024.11057::"))&lt;&gt;"2024::jama.2024.11057::"),"CHECK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COMPLETE",IF(F2&lt;&gt;"primary_done","PRIMARY DRAFT","PRIMARY READY")))))),"CHECK KEY / INPUT")</f>
        <v/>
      </c>
      <c r="H2" s="18">
        <f>IF(AND(OR(D2="retain",D2=""),E2="statistical_results"),"","not_applicable")</f>
        <v/>
      </c>
      <c r="I2" s="18">
        <f>IF(AND(OR(D2="retain",D2=""),E2="statistical_results"),"","not_applicable")</f>
        <v/>
      </c>
      <c r="J2" s="19">
        <f>IF(AND(OR(D2="retain",D2=""),E2="statistical_results"),"","not_applicable")</f>
        <v/>
      </c>
      <c r="K2" s="18">
        <f>IF(AND(OR(D2="retain",D2=""),OR(E2="report_internal_inconsistency",E2="plan_material")),"","not_applicable")</f>
        <v/>
      </c>
      <c r="L2" s="19">
        <f>IF(AND(OR(D2="retain",D2=""),E2="protocol_report"),"","not_applicable")</f>
        <v/>
      </c>
      <c r="M2" s="12" t="n"/>
      <c r="N2" s="7" t="n"/>
      <c r="O2" s="7" t="n"/>
      <c r="P2" s="7" t="n"/>
      <c r="Q2" s="7" t="n"/>
      <c r="R2" s="19" t="n"/>
    </row>
    <row r="3" ht="92" customFormat="1" customHeight="1" s="8">
      <c r="A3" s="11" t="inlineStr">
        <is>
          <t>2024::jama.2024.11057::C002</t>
        </is>
      </c>
      <c r="B3" s="11" t="inlineStr">
        <is>
          <t>eTable 4 labels motivation and confidence as median (IQR) but prints single parenthetical dispersion values</t>
        </is>
      </c>
      <c r="C3" s="11" t="inlineStr">
        <is>
          <t>joi240078supp2_prod_1739900423.24574.pdf — PDF p. 12, eTable 4; joi240078supp2_prod_1739900423.24574.pdf — PDF p. 13, scale footnote; jama_graham_2024_oi_240078_1739900423.19074.pdf — PDF p. 4, Table 1 comparator.</t>
        </is>
      </c>
      <c r="D3" s="18" t="n"/>
      <c r="E3" s="18" t="inlineStr">
        <is>
          <t>report_internal_inconsistency</t>
        </is>
      </c>
      <c r="F3" s="18" t="inlineStr">
        <is>
          <t>no</t>
        </is>
      </c>
      <c r="G3" s="11">
        <f>IFERROR(IF(LEN(TRIM(CLEAN(SUBSTITUTE(Setup!$B$2,CHAR(160)," "))))=0,"ENTER REVIEWER ID",IF(OR(A3="",COUNTIF($A$2:$A$4,A3)&lt;&gt;1,LEFT(A3,LEN("2024::jama.2024.11057::"))&lt;&gt;"2024::jama.2024.11057::"),"CHECK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COMPLETE",IF(F3&lt;&gt;"primary_done","PRIMARY DRAFT","PRIMARY READY")))))),"CHECK KEY / INPUT")</f>
        <v/>
      </c>
      <c r="H3" s="18">
        <f>IF(AND(OR(D3="retain",D3=""),E3="statistical_results"),"","not_applicable")</f>
        <v/>
      </c>
      <c r="I3" s="18">
        <f>IF(AND(OR(D3="retain",D3=""),E3="statistical_results"),"","not_applicable")</f>
        <v/>
      </c>
      <c r="J3" s="19">
        <f>IF(AND(OR(D3="retain",D3=""),E3="statistical_results"),"","not_applicable")</f>
        <v/>
      </c>
      <c r="K3" s="18">
        <f>IF(AND(OR(D3="retain",D3=""),OR(E3="report_internal_inconsistency",E3="plan_material")),"","not_applicable")</f>
        <v/>
      </c>
      <c r="L3" s="19">
        <f>IF(AND(OR(D3="retain",D3=""),E3="protocol_report"),"","not_applicable")</f>
        <v/>
      </c>
      <c r="M3" s="11" t="n"/>
      <c r="N3" s="7" t="n"/>
      <c r="O3" s="7" t="n"/>
      <c r="P3" s="7" t="n"/>
      <c r="Q3" s="7" t="n"/>
      <c r="R3" s="19" t="n"/>
    </row>
    <row r="4" ht="92" customFormat="1" customHeight="1" s="8">
      <c r="A4" s="12" t="inlineStr">
        <is>
          <t>2024::jama.2024.11057::C003</t>
        </is>
      </c>
      <c r="B4" s="12" t="inlineStr">
        <is>
          <t>eAppendix C prints IPWR once for a result otherwise defined and labelled as IPRW</t>
        </is>
      </c>
      <c r="C4" s="12" t="inlineStr">
        <is>
          <t>joi240078supp2_prod_1739900423.24574.pdf — PDF p. 5, eAppendix C; joi240078supp2_prod_1739900423.24574.pdf — PDF p. 14, eTable 5; jama_graham_2024_oi_240078_1739900423.19074.pdf — PDF p. 4, Statistical Methods.</t>
        </is>
      </c>
      <c r="D4" s="18" t="n"/>
      <c r="E4" s="18" t="inlineStr">
        <is>
          <t>report_internal_inconsistency</t>
        </is>
      </c>
      <c r="F4" s="18" t="inlineStr">
        <is>
          <t>no</t>
        </is>
      </c>
      <c r="G4" s="12">
        <f>IFERROR(IF(LEN(TRIM(CLEAN(SUBSTITUTE(Setup!$B$2,CHAR(160)," "))))=0,"ENTER REVIEWER ID",IF(OR(A4="",COUNTIF($A$2:$A$4,A4)&lt;&gt;1,LEFT(A4,LEN("2024::jama.2024.11057::"))&lt;&gt;"2024::jama.2024.11057::"),"CHECK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COMPLETE",IF(F4&lt;&gt;"primary_done","PRIMARY DRAFT","PRIMARY READY")))))),"CHECK KEY / INPUT")</f>
        <v/>
      </c>
      <c r="H4" s="18">
        <f>IF(AND(OR(D4="retain",D4=""),E4="statistical_results"),"","not_applicable")</f>
        <v/>
      </c>
      <c r="I4" s="18">
        <f>IF(AND(OR(D4="retain",D4=""),E4="statistical_results"),"","not_applicable")</f>
        <v/>
      </c>
      <c r="J4" s="19">
        <f>IF(AND(OR(D4="retain",D4=""),E4="statistical_results"),"","not_applicable")</f>
        <v/>
      </c>
      <c r="K4" s="18">
        <f>IF(AND(OR(D4="retain",D4=""),OR(E4="report_internal_inconsistency",E4="plan_material")),"","not_applicable")</f>
        <v/>
      </c>
      <c r="L4" s="19">
        <f>IF(AND(OR(D4="retain",D4=""),E4="protocol_report"),"","not_applicable")</f>
        <v/>
      </c>
      <c r="M4" s="12" t="n"/>
      <c r="N4" s="7" t="n"/>
      <c r="O4" s="7" t="n"/>
      <c r="P4" s="7" t="n"/>
      <c r="Q4" s="7" t="n"/>
      <c r="R4" s="19" t="n"/>
    </row>
  </sheetData>
  <autoFilter ref="A1:R4"/>
  <conditionalFormatting sqref="H2:H4">
    <cfRule type="expression" priority="8" dxfId="70">
      <formula>NOT(AND(OR($D2="retain",$D2=""),$E2="statistical_results"))</formula>
    </cfRule>
  </conditionalFormatting>
  <conditionalFormatting sqref="I2:I4">
    <cfRule type="expression" priority="9" dxfId="70">
      <formula>NOT(AND(OR($D2="retain",$D2=""),$E2="statistical_results"))</formula>
    </cfRule>
  </conditionalFormatting>
  <conditionalFormatting sqref="J2:J4">
    <cfRule type="expression" priority="10" dxfId="70">
      <formula>NOT(AND(OR($D2="retain",$D2=""),$E2="statistical_results"))</formula>
    </cfRule>
  </conditionalFormatting>
  <conditionalFormatting sqref="K2:K4">
    <cfRule type="expression" priority="11" dxfId="70">
      <formula>NOT(AND(OR($D2="retain",$D2=""),OR($E2="report_internal_inconsistency",$E2="plan_material")))</formula>
    </cfRule>
  </conditionalFormatting>
  <conditionalFormatting sqref="L2:L4">
    <cfRule type="expression" priority="12" dxfId="70">
      <formula>NOT(AND(OR($D2="retain",$D2=""),$E2="protocol_report"))</formula>
    </cfRule>
  </conditionalFormatting>
  <conditionalFormatting sqref="G2:G4">
    <cfRule type="expression" priority="13" dxfId="71">
      <formula>G2&lt;&gt;"PRIMARY READY"</formula>
    </cfRule>
  </conditionalFormatting>
  <dataValidations count="8">
    <dataValidation sqref="D2:D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"retain,exclude,discuss"</formula1>
    </dataValidation>
    <dataValidation sqref="E2:E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"statistical_results,report_internal_inconsistency,plan_material,protocol_report"</formula1>
    </dataValidation>
    <dataValidation sqref="F2:F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"no,primary_done"</formula1>
    </dataValidation>
    <dataValidation sqref="H2:H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"confirmed_issue,probable_issue,not_issue,indeterminate,not_applicable"</formula1>
    </dataValidation>
    <dataValidation sqref="I2:I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"substantive,minor_presentation,indeterminate,not_applicable"</formula1>
    </dataValidation>
    <dataValidation sqref="J2:J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"direct,possible,unlikely,unknown,not_applicable"</formula1>
    </dataValidation>
    <dataValidation sqref="K2:K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"substantive_inconsistency,minor_presentation,non_inconsistency,indeterminate,not_applicable"</formula1>
    </dataValidation>
    <dataValidation sqref="L2:L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"substantive_difference,minor_presentation,version_timing,non_inconsistency,indeterminate,not_applicable"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</hyperlink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8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6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6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5" t="n"/>
      <c r="N1" s="5" t="n"/>
      <c r="O1" s="5" t="n"/>
      <c r="P1" s="5" t="n"/>
      <c r="Q1" s="5" t="n"/>
      <c r="R1" s="5" t="inlineStr">
        <is>
          <t>Notes (optional)</t>
        </is>
      </c>
    </row>
    <row r="2" ht="92" customFormat="1" customHeight="1" s="8">
      <c r="A2" s="12" t="inlineStr">
        <is>
          <t>2024::jama.2024.12829::C001</t>
        </is>
      </c>
      <c r="B2" s="12" t="inlineStr">
        <is>
          <t>Balloon-angioplasty female percentage does not reconcile with count and denominator</t>
        </is>
      </c>
      <c r="C2" s="12" t="inlineStr">
        <is>
          <t>DOC-001 Table 1, PDF p. 6</t>
        </is>
      </c>
      <c r="D2" s="18" t="n"/>
      <c r="E2" s="18" t="inlineStr">
        <is>
          <t>statistical_results</t>
        </is>
      </c>
      <c r="F2" s="18" t="inlineStr">
        <is>
          <t>no</t>
        </is>
      </c>
      <c r="G2" s="12">
        <f>IFERROR(IF(LEN(TRIM(CLEAN(SUBSTITUTE(Setup!$B$2,CHAR(160)," "))))=0,"ENTER REVIEWER ID",IF(OR(A2="",COUNTIF($A$2:$A$18,A2)&lt;&gt;1,LEFT(A2,LEN("2024::jama.2024.12829::"))&lt;&gt;"2024::jama.2024.12829::"),"CHECK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COMPLETE",IF(F2&lt;&gt;"primary_done","PRIMARY DRAFT","PRIMARY READY")))))),"CHECK KEY / INPUT")</f>
        <v/>
      </c>
      <c r="H2" s="18">
        <f>IF(AND(OR(D2="retain",D2=""),E2="statistical_results"),"","not_applicable")</f>
        <v/>
      </c>
      <c r="I2" s="18">
        <f>IF(AND(OR(D2="retain",D2=""),E2="statistical_results"),"","not_applicable")</f>
        <v/>
      </c>
      <c r="J2" s="19">
        <f>IF(AND(OR(D2="retain",D2=""),E2="statistical_results"),"","not_applicable")</f>
        <v/>
      </c>
      <c r="K2" s="18">
        <f>IF(AND(OR(D2="retain",D2=""),OR(E2="report_internal_inconsistency",E2="plan_material")),"","not_applicable")</f>
        <v/>
      </c>
      <c r="L2" s="19">
        <f>IF(AND(OR(D2="retain",D2=""),E2="protocol_report"),"","not_applicable")</f>
        <v/>
      </c>
      <c r="M2" s="12" t="n"/>
      <c r="N2" s="7" t="n"/>
      <c r="O2" s="7" t="n"/>
      <c r="P2" s="7" t="n"/>
      <c r="Q2" s="7" t="n"/>
      <c r="R2" s="19" t="n"/>
    </row>
    <row r="3" ht="92" customFormat="1" customHeight="1" s="8">
      <c r="A3" s="11" t="inlineStr">
        <is>
          <t>2024::jama.2024.12829::C002</t>
        </is>
      </c>
      <c r="B3" s="11" t="inlineStr">
        <is>
          <t>Balloon-angioplasty ischemic-stroke percentage is outside ordinary one-decimal rounding</t>
        </is>
      </c>
      <c r="C3" s="11" t="inlineStr">
        <is>
          <t>DOC-001 Table 1, PDF p. 6; DOC-002 Table S1, PDF p. 14</t>
        </is>
      </c>
      <c r="D3" s="18" t="n"/>
      <c r="E3" s="18" t="inlineStr">
        <is>
          <t>statistical_results</t>
        </is>
      </c>
      <c r="F3" s="18" t="inlineStr">
        <is>
          <t>no</t>
        </is>
      </c>
      <c r="G3" s="11">
        <f>IFERROR(IF(LEN(TRIM(CLEAN(SUBSTITUTE(Setup!$B$2,CHAR(160)," "))))=0,"ENTER REVIEWER ID",IF(OR(A3="",COUNTIF($A$2:$A$18,A3)&lt;&gt;1,LEFT(A3,LEN("2024::jama.2024.12829::"))&lt;&gt;"2024::jama.2024.12829::"),"CHECK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COMPLETE",IF(F3&lt;&gt;"primary_done","PRIMARY DRAFT","PRIMARY READY")))))),"CHECK KEY / INPUT")</f>
        <v/>
      </c>
      <c r="H3" s="18">
        <f>IF(AND(OR(D3="retain",D3=""),E3="statistical_results"),"","not_applicable")</f>
        <v/>
      </c>
      <c r="I3" s="18">
        <f>IF(AND(OR(D3="retain",D3=""),E3="statistical_results"),"","not_applicable")</f>
        <v/>
      </c>
      <c r="J3" s="19">
        <f>IF(AND(OR(D3="retain",D3=""),E3="statistical_results"),"","not_applicable")</f>
        <v/>
      </c>
      <c r="K3" s="18">
        <f>IF(AND(OR(D3="retain",D3=""),OR(E3="report_internal_inconsistency",E3="plan_material")),"","not_applicable")</f>
        <v/>
      </c>
      <c r="L3" s="19">
        <f>IF(AND(OR(D3="retain",D3=""),E3="protocol_report"),"","not_applicable")</f>
        <v/>
      </c>
      <c r="M3" s="11" t="n"/>
      <c r="N3" s="7" t="n"/>
      <c r="O3" s="7" t="n"/>
      <c r="P3" s="7" t="n"/>
      <c r="Q3" s="7" t="n"/>
      <c r="R3" s="19" t="n"/>
    </row>
    <row r="4" ht="92" customFormat="1" customHeight="1" s="8">
      <c r="A4" s="12" t="inlineStr">
        <is>
          <t>2024::jama.2024.12829::C003</t>
        </is>
      </c>
      <c r="B4" s="12" t="inlineStr">
        <is>
          <t>Table S4 procedure rows use 241 while the column header states 249</t>
        </is>
      </c>
      <c r="C4" s="12" t="inlineStr">
        <is>
          <t>DOC-002 Table S4, PDF p. 17</t>
        </is>
      </c>
      <c r="D4" s="18" t="n"/>
      <c r="E4" s="18" t="inlineStr">
        <is>
          <t>statistical_results</t>
        </is>
      </c>
      <c r="F4" s="18" t="inlineStr">
        <is>
          <t>no</t>
        </is>
      </c>
      <c r="G4" s="12">
        <f>IFERROR(IF(LEN(TRIM(CLEAN(SUBSTITUTE(Setup!$B$2,CHAR(160)," "))))=0,"ENTER REVIEWER ID",IF(OR(A4="",COUNTIF($A$2:$A$18,A4)&lt;&gt;1,LEFT(A4,LEN("2024::jama.2024.12829::"))&lt;&gt;"2024::jama.2024.12829::"),"CHECK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COMPLETE",IF(F4&lt;&gt;"primary_done","PRIMARY DRAFT","PRIMARY READY")))))),"CHECK KEY / INPUT")</f>
        <v/>
      </c>
      <c r="H4" s="18">
        <f>IF(AND(OR(D4="retain",D4=""),E4="statistical_results"),"","not_applicable")</f>
        <v/>
      </c>
      <c r="I4" s="18">
        <f>IF(AND(OR(D4="retain",D4=""),E4="statistical_results"),"","not_applicable")</f>
        <v/>
      </c>
      <c r="J4" s="19">
        <f>IF(AND(OR(D4="retain",D4=""),E4="statistical_results"),"","not_applicable")</f>
        <v/>
      </c>
      <c r="K4" s="18">
        <f>IF(AND(OR(D4="retain",D4=""),OR(E4="report_internal_inconsistency",E4="plan_material")),"","not_applicable")</f>
        <v/>
      </c>
      <c r="L4" s="19">
        <f>IF(AND(OR(D4="retain",D4=""),E4="protocol_report"),"","not_applicable")</f>
        <v/>
      </c>
      <c r="M4" s="12" t="n"/>
      <c r="N4" s="7" t="n"/>
      <c r="O4" s="7" t="n"/>
      <c r="P4" s="7" t="n"/>
      <c r="Q4" s="7" t="n"/>
      <c r="R4" s="19" t="n"/>
    </row>
    <row r="5" ht="92" customFormat="1" customHeight="1" s="8">
      <c r="A5" s="11" t="inlineStr">
        <is>
          <t>2024::jama.2024.12829::C004</t>
        </is>
      </c>
      <c r="B5" s="11" t="inlineStr">
        <is>
          <t>Table S6 BA 9 (3.9) conflicts with its displayed denominator 249</t>
        </is>
      </c>
      <c r="C5" s="11" t="inlineStr">
        <is>
          <t>DOC-002 Table S6, PDF p. 19</t>
        </is>
      </c>
      <c r="D5" s="18" t="n"/>
      <c r="E5" s="18" t="inlineStr">
        <is>
          <t>statistical_results</t>
        </is>
      </c>
      <c r="F5" s="18" t="inlineStr">
        <is>
          <t>no</t>
        </is>
      </c>
      <c r="G5" s="11">
        <f>IFERROR(IF(LEN(TRIM(CLEAN(SUBSTITUTE(Setup!$B$2,CHAR(160)," "))))=0,"ENTER REVIEWER ID",IF(OR(A5="",COUNTIF($A$2:$A$18,A5)&lt;&gt;1,LEFT(A5,LEN("2024::jama.2024.12829::"))&lt;&gt;"2024::jama.2024.12829::"),"CHECK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COMPLETE",IF(F5&lt;&gt;"primary_done","PRIMARY DRAFT","PRIMARY READY")))))),"CHECK KEY / INPUT")</f>
        <v/>
      </c>
      <c r="H5" s="18">
        <f>IF(AND(OR(D5="retain",D5=""),E5="statistical_results"),"","not_applicable")</f>
        <v/>
      </c>
      <c r="I5" s="18">
        <f>IF(AND(OR(D5="retain",D5=""),E5="statistical_results"),"","not_applicable")</f>
        <v/>
      </c>
      <c r="J5" s="19">
        <f>IF(AND(OR(D5="retain",D5=""),E5="statistical_results"),"","not_applicable")</f>
        <v/>
      </c>
      <c r="K5" s="18">
        <f>IF(AND(OR(D5="retain",D5=""),OR(E5="report_internal_inconsistency",E5="plan_material")),"","not_applicable")</f>
        <v/>
      </c>
      <c r="L5" s="19">
        <f>IF(AND(OR(D5="retain",D5=""),E5="protocol_report"),"","not_applicable")</f>
        <v/>
      </c>
      <c r="M5" s="11" t="n"/>
      <c r="N5" s="7" t="n"/>
      <c r="O5" s="7" t="n"/>
      <c r="P5" s="7" t="n"/>
      <c r="Q5" s="7" t="n"/>
      <c r="R5" s="19" t="n"/>
    </row>
    <row r="6" ht="92" customFormat="1" customHeight="1" s="8">
      <c r="A6" s="12" t="inlineStr">
        <is>
          <t>2024::jama.2024.12829::C005</t>
        </is>
      </c>
      <c r="B6" s="12" t="inlineStr">
        <is>
          <t>Table S7 group headers conflict with site totals and displayed site percentages</t>
        </is>
      </c>
      <c r="C6" s="12" t="inlineStr">
        <is>
          <t>DOC-002 Table S7, PDF p. 20; DOC-001 Figure 1, PDF p. 5; DOC-002 Table S10, PDF p. 23</t>
        </is>
      </c>
      <c r="D6" s="18" t="n"/>
      <c r="E6" s="18" t="inlineStr">
        <is>
          <t>statistical_results</t>
        </is>
      </c>
      <c r="F6" s="18" t="inlineStr">
        <is>
          <t>no</t>
        </is>
      </c>
      <c r="G6" s="12">
        <f>IFERROR(IF(LEN(TRIM(CLEAN(SUBSTITUTE(Setup!$B$2,CHAR(160)," "))))=0,"ENTER REVIEWER ID",IF(OR(A6="",COUNTIF($A$2:$A$18,A6)&lt;&gt;1,LEFT(A6,LEN("2024::jama.2024.12829::"))&lt;&gt;"2024::jama.2024.12829::"),"CHECK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COMPLETE",IF(F6&lt;&gt;"primary_done","PRIMARY DRAFT","PRIMARY READY")))))),"CHECK KEY / INPUT")</f>
        <v/>
      </c>
      <c r="H6" s="18">
        <f>IF(AND(OR(D6="retain",D6=""),E6="statistical_results"),"","not_applicable")</f>
        <v/>
      </c>
      <c r="I6" s="18">
        <f>IF(AND(OR(D6="retain",D6=""),E6="statistical_results"),"","not_applicable")</f>
        <v/>
      </c>
      <c r="J6" s="19">
        <f>IF(AND(OR(D6="retain",D6=""),E6="statistical_results"),"","not_applicable")</f>
        <v/>
      </c>
      <c r="K6" s="18">
        <f>IF(AND(OR(D6="retain",D6=""),OR(E6="report_internal_inconsistency",E6="plan_material")),"","not_applicable")</f>
        <v/>
      </c>
      <c r="L6" s="19">
        <f>IF(AND(OR(D6="retain",D6=""),E6="protocol_report"),"","not_applicable")</f>
        <v/>
      </c>
      <c r="M6" s="12" t="n"/>
      <c r="N6" s="7" t="n"/>
      <c r="O6" s="7" t="n"/>
      <c r="P6" s="7" t="n"/>
      <c r="Q6" s="7" t="n"/>
      <c r="R6" s="19" t="n"/>
    </row>
    <row r="7" ht="92" customFormat="1" customHeight="1" s="8">
      <c r="A7" s="11" t="inlineStr">
        <is>
          <t>2024::jama.2024.12829::C006</t>
        </is>
      </c>
      <c r="B7" s="11" t="inlineStr">
        <is>
          <t>Table S8 per-protocol percentages conflict with headers 249/252</t>
        </is>
      </c>
      <c r="C7" s="11" t="inlineStr">
        <is>
          <t>DOC-002 Table S8, PDF p. 21; DOC-001 Figure 1, PDF p. 5; DOC-002 Table S10, PDF p. 23</t>
        </is>
      </c>
      <c r="D7" s="18" t="n"/>
      <c r="E7" s="18" t="inlineStr">
        <is>
          <t>statistical_results</t>
        </is>
      </c>
      <c r="F7" s="18" t="inlineStr">
        <is>
          <t>no</t>
        </is>
      </c>
      <c r="G7" s="11">
        <f>IFERROR(IF(LEN(TRIM(CLEAN(SUBSTITUTE(Setup!$B$2,CHAR(160)," "))))=0,"ENTER REVIEWER ID",IF(OR(A7="",COUNTIF($A$2:$A$18,A7)&lt;&gt;1,LEFT(A7,LEN("2024::jama.2024.12829::"))&lt;&gt;"2024::jama.2024.12829::"),"CHECK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COMPLETE",IF(F7&lt;&gt;"primary_done","PRIMARY DRAFT","PRIMARY READY")))))),"CHECK KEY / INPUT")</f>
        <v/>
      </c>
      <c r="H7" s="18">
        <f>IF(AND(OR(D7="retain",D7=""),E7="statistical_results"),"","not_applicable")</f>
        <v/>
      </c>
      <c r="I7" s="18">
        <f>IF(AND(OR(D7="retain",D7=""),E7="statistical_results"),"","not_applicable")</f>
        <v/>
      </c>
      <c r="J7" s="19">
        <f>IF(AND(OR(D7="retain",D7=""),E7="statistical_results"),"","not_applicable")</f>
        <v/>
      </c>
      <c r="K7" s="18">
        <f>IF(AND(OR(D7="retain",D7=""),OR(E7="report_internal_inconsistency",E7="plan_material")),"","not_applicable")</f>
        <v/>
      </c>
      <c r="L7" s="19">
        <f>IF(AND(OR(D7="retain",D7=""),E7="protocol_report"),"","not_applicable")</f>
        <v/>
      </c>
      <c r="M7" s="11" t="n"/>
      <c r="N7" s="7" t="n"/>
      <c r="O7" s="7" t="n"/>
      <c r="P7" s="7" t="n"/>
      <c r="Q7" s="7" t="n"/>
      <c r="R7" s="19" t="n"/>
    </row>
    <row r="8" ht="92" customFormat="1" customHeight="1" s="8">
      <c r="A8" s="12" t="inlineStr">
        <is>
          <t>2024::jama.2024.12829::C007</t>
        </is>
      </c>
      <c r="B8" s="12" t="inlineStr">
        <is>
          <t>Table S9 as-treated percentages conflict with headers 249/252</t>
        </is>
      </c>
      <c r="C8" s="12" t="inlineStr">
        <is>
          <t>DOC-002 Table S9, PDF p. 22; DOC-002 Table S10, PDF p. 23</t>
        </is>
      </c>
      <c r="D8" s="18" t="n"/>
      <c r="E8" s="18" t="inlineStr">
        <is>
          <t>statistical_results</t>
        </is>
      </c>
      <c r="F8" s="18" t="inlineStr">
        <is>
          <t>no</t>
        </is>
      </c>
      <c r="G8" s="12">
        <f>IFERROR(IF(LEN(TRIM(CLEAN(SUBSTITUTE(Setup!$B$2,CHAR(160)," "))))=0,"ENTER REVIEWER ID",IF(OR(A8="",COUNTIF($A$2:$A$18,A8)&lt;&gt;1,LEFT(A8,LEN("2024::jama.2024.12829::"))&lt;&gt;"2024::jama.2024.12829::"),"CHECK KEY",IF(OR(AND(NOT(AND(D8="retain",E8="statistical_results")),H8&lt;&gt;"",H8&lt;&gt;"not_applicable"),AND(NOT(AND(D8="retain",E8="statistical_results")),I8&lt;&gt;"",I8&lt;&gt;"not_applicable"),AND(NOT(AND(D8="retain",E8="statistical_results")),J8&lt;&gt;"",J8&lt;&gt;"not_applicable"),AND(NOT(AND(D8="retain",OR(E8="report_internal_inconsistency",E8="plan_material"))),K8&lt;&gt;"",K8&lt;&gt;"not_applicable"),AND(NOT(AND(D8="retain",E8="protocol_report")),L8&lt;&gt;"",L8&lt;&gt;"not_applicable")),"CLEAR INACTIVE VALUES",IF(OR(NOT(OR(D8="retain",D8="exclude",D8="discuss")),NOT(OR(E8="statistical_results",E8="report_internal_inconsistency",E8="plan_material",E8="protocol_report")),AND(AND(D8="retain",E8="statistical_results"),NOT(OR(H8="confirmed_issue",H8="probable_issue",H8="not_issue",H8="indeterminate"))),AND(AND(D8="retain",E8="statistical_results"),NOT(OR(I8="substantive",I8="minor_presentation",I8="indeterminate"))),AND(AND(D8="retain",E8="statistical_results"),J8&lt;&gt;"",NOT(OR(J8="direct",J8="possible",J8="unlikely",J8="unknown"))),AND(AND(D8="retain",OR(E8="report_internal_inconsistency",E8="plan_material")),NOT(OR(K8="substantive_inconsistency",K8="minor_presentation",K8="non_inconsistency",K8="indeterminate"))),AND(AND(D8="retain",E8="protocol_report"),L8&lt;&gt;"",NOT(OR(L8="substantive_difference",L8="minor_presentation",L8="version_timing",L8="non_inconsistency",L8="indeterminate")))),"CHECK FIELDS",IF(AND(F8&lt;&gt;"",NOT(OR(F8="no",F8="primary_done"))),"CHECK COMPLETE",IF(F8&lt;&gt;"primary_done","PRIMARY DRAFT","PRIMARY READY")))))),"CHECK KEY / INPUT")</f>
        <v/>
      </c>
      <c r="H8" s="18">
        <f>IF(AND(OR(D8="retain",D8=""),E8="statistical_results"),"","not_applicable")</f>
        <v/>
      </c>
      <c r="I8" s="18">
        <f>IF(AND(OR(D8="retain",D8=""),E8="statistical_results"),"","not_applicable")</f>
        <v/>
      </c>
      <c r="J8" s="19">
        <f>IF(AND(OR(D8="retain",D8=""),E8="statistical_results"),"","not_applicable")</f>
        <v/>
      </c>
      <c r="K8" s="18">
        <f>IF(AND(OR(D8="retain",D8=""),OR(E8="report_internal_inconsistency",E8="plan_material")),"","not_applicable")</f>
        <v/>
      </c>
      <c r="L8" s="19">
        <f>IF(AND(OR(D8="retain",D8=""),E8="protocol_report"),"","not_applicable")</f>
        <v/>
      </c>
      <c r="M8" s="12" t="n"/>
      <c r="N8" s="7" t="n"/>
      <c r="O8" s="7" t="n"/>
      <c r="P8" s="7" t="n"/>
      <c r="Q8" s="7" t="n"/>
      <c r="R8" s="19" t="n"/>
    </row>
    <row r="9" ht="92" customFormat="1" customHeight="1" s="8">
      <c r="A9" s="11" t="inlineStr">
        <is>
          <t>2024::jama.2024.12829::C008</t>
        </is>
      </c>
      <c r="B9" s="11" t="inlineStr">
        <is>
          <t>Baseline stenosis categories include values outside the stated 70%-99% eligibility range</t>
        </is>
      </c>
      <c r="C9" s="11" t="inlineStr">
        <is>
          <t>DOC-001 eligibility, PDF p. 2; DOC-001 Figure 1, PDF p. 5; DOC-001 Table 1, PDF p. 6</t>
        </is>
      </c>
      <c r="D9" s="18" t="n"/>
      <c r="E9" s="18" t="inlineStr">
        <is>
          <t>statistical_results</t>
        </is>
      </c>
      <c r="F9" s="18" t="inlineStr">
        <is>
          <t>no</t>
        </is>
      </c>
      <c r="G9" s="11">
        <f>IFERROR(IF(LEN(TRIM(CLEAN(SUBSTITUTE(Setup!$B$2,CHAR(160)," "))))=0,"ENTER REVIEWER ID",IF(OR(A9="",COUNTIF($A$2:$A$18,A9)&lt;&gt;1,LEFT(A9,LEN("2024::jama.2024.12829::"))&lt;&gt;"2024::jama.2024.12829::"),"CHECK KEY",IF(OR(AND(NOT(AND(D9="retain",E9="statistical_results")),H9&lt;&gt;"",H9&lt;&gt;"not_applicable"),AND(NOT(AND(D9="retain",E9="statistical_results")),I9&lt;&gt;"",I9&lt;&gt;"not_applicable"),AND(NOT(AND(D9="retain",E9="statistical_results")),J9&lt;&gt;"",J9&lt;&gt;"not_applicable"),AND(NOT(AND(D9="retain",OR(E9="report_internal_inconsistency",E9="plan_material"))),K9&lt;&gt;"",K9&lt;&gt;"not_applicable"),AND(NOT(AND(D9="retain",E9="protocol_report")),L9&lt;&gt;"",L9&lt;&gt;"not_applicable")),"CLEAR INACTIVE VALUES",IF(OR(NOT(OR(D9="retain",D9="exclude",D9="discuss")),NOT(OR(E9="statistical_results",E9="report_internal_inconsistency",E9="plan_material",E9="protocol_report")),AND(AND(D9="retain",E9="statistical_results"),NOT(OR(H9="confirmed_issue",H9="probable_issue",H9="not_issue",H9="indeterminate"))),AND(AND(D9="retain",E9="statistical_results"),NOT(OR(I9="substantive",I9="minor_presentation",I9="indeterminate"))),AND(AND(D9="retain",E9="statistical_results"),J9&lt;&gt;"",NOT(OR(J9="direct",J9="possible",J9="unlikely",J9="unknown"))),AND(AND(D9="retain",OR(E9="report_internal_inconsistency",E9="plan_material")),NOT(OR(K9="substantive_inconsistency",K9="minor_presentation",K9="non_inconsistency",K9="indeterminate"))),AND(AND(D9="retain",E9="protocol_report"),L9&lt;&gt;"",NOT(OR(L9="substantive_difference",L9="minor_presentation",L9="version_timing",L9="non_inconsistency",L9="indeterminate")))),"CHECK FIELDS",IF(AND(F9&lt;&gt;"",NOT(OR(F9="no",F9="primary_done"))),"CHECK COMPLETE",IF(F9&lt;&gt;"primary_done","PRIMARY DRAFT","PRIMARY READY")))))),"CHECK KEY / INPUT")</f>
        <v/>
      </c>
      <c r="H9" s="18">
        <f>IF(AND(OR(D9="retain",D9=""),E9="statistical_results"),"","not_applicable")</f>
        <v/>
      </c>
      <c r="I9" s="18">
        <f>IF(AND(OR(D9="retain",D9=""),E9="statistical_results"),"","not_applicable")</f>
        <v/>
      </c>
      <c r="J9" s="19">
        <f>IF(AND(OR(D9="retain",D9=""),E9="statistical_results"),"","not_applicable")</f>
        <v/>
      </c>
      <c r="K9" s="18">
        <f>IF(AND(OR(D9="retain",D9=""),OR(E9="report_internal_inconsistency",E9="plan_material")),"","not_applicable")</f>
        <v/>
      </c>
      <c r="L9" s="19">
        <f>IF(AND(OR(D9="retain",D9=""),E9="protocol_report"),"","not_applicable")</f>
        <v/>
      </c>
      <c r="M9" s="11" t="n"/>
      <c r="N9" s="7" t="n"/>
      <c r="O9" s="7" t="n"/>
      <c r="P9" s="7" t="n"/>
      <c r="Q9" s="7" t="n"/>
      <c r="R9" s="19" t="n"/>
    </row>
    <row r="10" ht="92" customFormat="1" customHeight="1" s="8">
      <c r="A10" s="12" t="inlineStr">
        <is>
          <t>2024::jama.2024.12829::C009</t>
        </is>
      </c>
      <c r="B10" s="12" t="inlineStr">
        <is>
          <t>Thirty-day follow-up tolerance is plus or minus 3 days in the supplement but plus or minus 7 days elsewhere</t>
        </is>
      </c>
      <c r="C10" s="12" t="inlineStr">
        <is>
          <t>DOC-002 study-design graphic, PDF p. 6; DOC-001 schedule, PDF p. 3; DOC-003 schedule, PDF p. 15</t>
        </is>
      </c>
      <c r="D10" s="18" t="n"/>
      <c r="E10" s="18" t="inlineStr">
        <is>
          <t>protocol_report</t>
        </is>
      </c>
      <c r="F10" s="18" t="inlineStr">
        <is>
          <t>no</t>
        </is>
      </c>
      <c r="G10" s="12">
        <f>IFERROR(IF(LEN(TRIM(CLEAN(SUBSTITUTE(Setup!$B$2,CHAR(160)," "))))=0,"ENTER REVIEWER ID",IF(OR(A10="",COUNTIF($A$2:$A$18,A10)&lt;&gt;1,LEFT(A10,LEN("2024::jama.2024.12829::"))&lt;&gt;"2024::jama.2024.12829::"),"CHECK KEY",IF(OR(AND(NOT(AND(D10="retain",E10="statistical_results")),H10&lt;&gt;"",H10&lt;&gt;"not_applicable"),AND(NOT(AND(D10="retain",E10="statistical_results")),I10&lt;&gt;"",I10&lt;&gt;"not_applicable"),AND(NOT(AND(D10="retain",E10="statistical_results")),J10&lt;&gt;"",J10&lt;&gt;"not_applicable"),AND(NOT(AND(D10="retain",OR(E10="report_internal_inconsistency",E10="plan_material"))),K10&lt;&gt;"",K10&lt;&gt;"not_applicable"),AND(NOT(AND(D10="retain",E10="protocol_report")),L10&lt;&gt;"",L10&lt;&gt;"not_applicable")),"CLEAR INACTIVE VALUES",IF(OR(NOT(OR(D10="retain",D10="exclude",D10="discuss")),NOT(OR(E10="statistical_results",E10="report_internal_inconsistency",E10="plan_material",E10="protocol_report")),AND(AND(D10="retain",E10="statistical_results"),NOT(OR(H10="confirmed_issue",H10="probable_issue",H10="not_issue",H10="indeterminate"))),AND(AND(D10="retain",E10="statistical_results"),NOT(OR(I10="substantive",I10="minor_presentation",I10="indeterminate"))),AND(AND(D10="retain",E10="statistical_results"),J10&lt;&gt;"",NOT(OR(J10="direct",J10="possible",J10="unlikely",J10="unknown"))),AND(AND(D10="retain",OR(E10="report_internal_inconsistency",E10="plan_material")),NOT(OR(K10="substantive_inconsistency",K10="minor_presentation",K10="non_inconsistency",K10="indeterminate"))),AND(AND(D10="retain",E10="protocol_report"),L10&lt;&gt;"",NOT(OR(L10="substantive_difference",L10="minor_presentation",L10="version_timing",L10="non_inconsistency",L10="indeterminate")))),"CHECK FIELDS",IF(AND(F10&lt;&gt;"",NOT(OR(F10="no",F10="primary_done"))),"CHECK COMPLETE",IF(F10&lt;&gt;"primary_done","PRIMARY DRAFT","PRIMARY READY")))))),"CHECK KEY / INPUT")</f>
        <v/>
      </c>
      <c r="H10" s="18">
        <f>IF(AND(OR(D10="retain",D10=""),E10="statistical_results"),"","not_applicable")</f>
        <v/>
      </c>
      <c r="I10" s="18">
        <f>IF(AND(OR(D10="retain",D10=""),E10="statistical_results"),"","not_applicable")</f>
        <v/>
      </c>
      <c r="J10" s="19">
        <f>IF(AND(OR(D10="retain",D10=""),E10="statistical_results"),"","not_applicable")</f>
        <v/>
      </c>
      <c r="K10" s="18">
        <f>IF(AND(OR(D10="retain",D10=""),OR(E10="report_internal_inconsistency",E10="plan_material")),"","not_applicable")</f>
        <v/>
      </c>
      <c r="L10" s="19">
        <f>IF(AND(OR(D10="retain",D10=""),E10="protocol_report"),"","not_applicable")</f>
        <v/>
      </c>
      <c r="M10" s="12" t="n"/>
      <c r="N10" s="7" t="n"/>
      <c r="O10" s="7" t="n"/>
      <c r="P10" s="7" t="n"/>
      <c r="Q10" s="7" t="n"/>
      <c r="R10" s="19" t="n"/>
    </row>
    <row r="11" ht="92" customFormat="1" customHeight="1" s="8">
      <c r="A11" s="11" t="inlineStr">
        <is>
          <t>2024::jama.2024.12829::C010</t>
        </is>
      </c>
      <c r="B11" s="11" t="inlineStr">
        <is>
          <t>Protocol V2.0 gives 21-day and 14-day lower bounds for the same stroke criterion</t>
        </is>
      </c>
      <c r="C11" s="11" t="inlineStr">
        <is>
          <t>DOC-003 synopsis, PDF p. 7; DOC-003 body eligibility, PDF p. 21</t>
        </is>
      </c>
      <c r="D11" s="18" t="n"/>
      <c r="E11" s="18" t="inlineStr">
        <is>
          <t>plan_material</t>
        </is>
      </c>
      <c r="F11" s="18" t="inlineStr">
        <is>
          <t>no</t>
        </is>
      </c>
      <c r="G11" s="11">
        <f>IFERROR(IF(LEN(TRIM(CLEAN(SUBSTITUTE(Setup!$B$2,CHAR(160)," "))))=0,"ENTER REVIEWER ID",IF(OR(A11="",COUNTIF($A$2:$A$18,A11)&lt;&gt;1,LEFT(A11,LEN("2024::jama.2024.12829::"))&lt;&gt;"2024::jama.2024.12829::"),"CHECK KEY",IF(OR(AND(NOT(AND(D11="retain",E11="statistical_results")),H11&lt;&gt;"",H11&lt;&gt;"not_applicable"),AND(NOT(AND(D11="retain",E11="statistical_results")),I11&lt;&gt;"",I11&lt;&gt;"not_applicable"),AND(NOT(AND(D11="retain",E11="statistical_results")),J11&lt;&gt;"",J11&lt;&gt;"not_applicable"),AND(NOT(AND(D11="retain",OR(E11="report_internal_inconsistency",E11="plan_material"))),K11&lt;&gt;"",K11&lt;&gt;"not_applicable"),AND(NOT(AND(D11="retain",E11="protocol_report")),L11&lt;&gt;"",L11&lt;&gt;"not_applicable")),"CLEAR INACTIVE VALUES",IF(OR(NOT(OR(D11="retain",D11="exclude",D11="discuss")),NOT(OR(E11="statistical_results",E11="report_internal_inconsistency",E11="plan_material",E11="protocol_report")),AND(AND(D11="retain",E11="statistical_results"),NOT(OR(H11="confirmed_issue",H11="probable_issue",H11="not_issue",H11="indeterminate"))),AND(AND(D11="retain",E11="statistical_results"),NOT(OR(I11="substantive",I11="minor_presentation",I11="indeterminate"))),AND(AND(D11="retain",E11="statistical_results"),J11&lt;&gt;"",NOT(OR(J11="direct",J11="possible",J11="unlikely",J11="unknown"))),AND(AND(D11="retain",OR(E11="report_internal_inconsistency",E11="plan_material")),NOT(OR(K11="substantive_inconsistency",K11="minor_presentation",K11="non_inconsistency",K11="indeterminate"))),AND(AND(D11="retain",E11="protocol_report"),L11&lt;&gt;"",NOT(OR(L11="substantive_difference",L11="minor_presentation",L11="version_timing",L11="non_inconsistency",L11="indeterminate")))),"CHECK FIELDS",IF(AND(F11&lt;&gt;"",NOT(OR(F11="no",F11="primary_done"))),"CHECK COMPLETE",IF(F11&lt;&gt;"primary_done","PRIMARY DRAFT","PRIMARY READY")))))),"CHECK KEY / INPUT")</f>
        <v/>
      </c>
      <c r="H11" s="18">
        <f>IF(AND(OR(D11="retain",D11=""),E11="statistical_results"),"","not_applicable")</f>
        <v/>
      </c>
      <c r="I11" s="18">
        <f>IF(AND(OR(D11="retain",D11=""),E11="statistical_results"),"","not_applicable")</f>
        <v/>
      </c>
      <c r="J11" s="19">
        <f>IF(AND(OR(D11="retain",D11=""),E11="statistical_results"),"","not_applicable")</f>
        <v/>
      </c>
      <c r="K11" s="18">
        <f>IF(AND(OR(D11="retain",D11=""),OR(E11="report_internal_inconsistency",E11="plan_material")),"","not_applicable")</f>
        <v/>
      </c>
      <c r="L11" s="19">
        <f>IF(AND(OR(D11="retain",D11=""),E11="protocol_report"),"","not_applicable")</f>
        <v/>
      </c>
      <c r="M11" s="11" t="n"/>
      <c r="N11" s="7" t="n"/>
      <c r="O11" s="7" t="n"/>
      <c r="P11" s="7" t="n"/>
      <c r="Q11" s="7" t="n"/>
      <c r="R11" s="19" t="n"/>
    </row>
    <row r="12" ht="92" customFormat="1" customHeight="1" s="8">
      <c r="A12" s="12" t="inlineStr">
        <is>
          <t>2024::jama.2024.12829::C011</t>
        </is>
      </c>
      <c r="B12" s="12" t="inlineStr">
        <is>
          <t>BA 3-month aspirin percentage does not reconcile with count and displayed arm denominator</t>
        </is>
      </c>
      <c r="C12" s="12" t="inlineStr">
        <is>
          <t>DOC-002 Table S3, PDF p. 16</t>
        </is>
      </c>
      <c r="D12" s="18" t="n"/>
      <c r="E12" s="18" t="inlineStr">
        <is>
          <t>statistical_results</t>
        </is>
      </c>
      <c r="F12" s="18" t="inlineStr">
        <is>
          <t>no</t>
        </is>
      </c>
      <c r="G12" s="12">
        <f>IFERROR(IF(LEN(TRIM(CLEAN(SUBSTITUTE(Setup!$B$2,CHAR(160)," "))))=0,"ENTER REVIEWER ID",IF(OR(A12="",COUNTIF($A$2:$A$18,A12)&lt;&gt;1,LEFT(A12,LEN("2024::jama.2024.12829::"))&lt;&gt;"2024::jama.2024.12829::"),"CHECK KEY",IF(OR(AND(NOT(AND(D12="retain",E12="statistical_results")),H12&lt;&gt;"",H12&lt;&gt;"not_applicable"),AND(NOT(AND(D12="retain",E12="statistical_results")),I12&lt;&gt;"",I12&lt;&gt;"not_applicable"),AND(NOT(AND(D12="retain",E12="statistical_results")),J12&lt;&gt;"",J12&lt;&gt;"not_applicable"),AND(NOT(AND(D12="retain",OR(E12="report_internal_inconsistency",E12="plan_material"))),K12&lt;&gt;"",K12&lt;&gt;"not_applicable"),AND(NOT(AND(D12="retain",E12="protocol_report")),L12&lt;&gt;"",L12&lt;&gt;"not_applicable")),"CLEAR INACTIVE VALUES",IF(OR(NOT(OR(D12="retain",D12="exclude",D12="discuss")),NOT(OR(E12="statistical_results",E12="report_internal_inconsistency",E12="plan_material",E12="protocol_report")),AND(AND(D12="retain",E12="statistical_results"),NOT(OR(H12="confirmed_issue",H12="probable_issue",H12="not_issue",H12="indeterminate"))),AND(AND(D12="retain",E12="statistical_results"),NOT(OR(I12="substantive",I12="minor_presentation",I12="indeterminate"))),AND(AND(D12="retain",E12="statistical_results"),J12&lt;&gt;"",NOT(OR(J12="direct",J12="possible",J12="unlikely",J12="unknown"))),AND(AND(D12="retain",OR(E12="report_internal_inconsistency",E12="plan_material")),NOT(OR(K12="substantive_inconsistency",K12="minor_presentation",K12="non_inconsistency",K12="indeterminate"))),AND(AND(D12="retain",E12="protocol_report"),L12&lt;&gt;"",NOT(OR(L12="substantive_difference",L12="minor_presentation",L12="version_timing",L12="non_inconsistency",L12="indeterminate")))),"CHECK FIELDS",IF(AND(F12&lt;&gt;"",NOT(OR(F12="no",F12="primary_done"))),"CHECK COMPLETE",IF(F12&lt;&gt;"primary_done","PRIMARY DRAFT","PRIMARY READY")))))),"CHECK KEY / INPUT")</f>
        <v/>
      </c>
      <c r="H12" s="18">
        <f>IF(AND(OR(D12="retain",D12=""),E12="statistical_results"),"","not_applicable")</f>
        <v/>
      </c>
      <c r="I12" s="18">
        <f>IF(AND(OR(D12="retain",D12=""),E12="statistical_results"),"","not_applicable")</f>
        <v/>
      </c>
      <c r="J12" s="19">
        <f>IF(AND(OR(D12="retain",D12=""),E12="statistical_results"),"","not_applicable")</f>
        <v/>
      </c>
      <c r="K12" s="18">
        <f>IF(AND(OR(D12="retain",D12=""),OR(E12="report_internal_inconsistency",E12="plan_material")),"","not_applicable")</f>
        <v/>
      </c>
      <c r="L12" s="19">
        <f>IF(AND(OR(D12="retain",D12=""),E12="protocol_report"),"","not_applicable")</f>
        <v/>
      </c>
      <c r="M12" s="12" t="n"/>
      <c r="N12" s="7" t="n"/>
      <c r="O12" s="7" t="n"/>
      <c r="P12" s="7" t="n"/>
      <c r="Q12" s="7" t="n"/>
      <c r="R12" s="19" t="n"/>
    </row>
    <row r="13" ht="92" customFormat="1" customHeight="1" s="8">
      <c r="A13" s="11" t="inlineStr">
        <is>
          <t>2024::jama.2024.12829::C012</t>
        </is>
      </c>
      <c r="B13" s="11" t="inlineStr">
        <is>
          <t>Figure S1 repeats “2nd meeting” for three chronologically distinct meetings</t>
        </is>
      </c>
      <c r="C13" s="11" t="inlineStr">
        <is>
          <t>DOC-002 Figure S1, PDF p. 10</t>
        </is>
      </c>
      <c r="D13" s="18" t="n"/>
      <c r="E13" s="18" t="inlineStr">
        <is>
          <t>report_internal_inconsistency</t>
        </is>
      </c>
      <c r="F13" s="18" t="inlineStr">
        <is>
          <t>no</t>
        </is>
      </c>
      <c r="G13" s="11">
        <f>IFERROR(IF(LEN(TRIM(CLEAN(SUBSTITUTE(Setup!$B$2,CHAR(160)," "))))=0,"ENTER REVIEWER ID",IF(OR(A13="",COUNTIF($A$2:$A$18,A13)&lt;&gt;1,LEFT(A13,LEN("2024::jama.2024.12829::"))&lt;&gt;"2024::jama.2024.12829::"),"CHECK KEY",IF(OR(AND(NOT(AND(D13="retain",E13="statistical_results")),H13&lt;&gt;"",H13&lt;&gt;"not_applicable"),AND(NOT(AND(D13="retain",E13="statistical_results")),I13&lt;&gt;"",I13&lt;&gt;"not_applicable"),AND(NOT(AND(D13="retain",E13="statistical_results")),J13&lt;&gt;"",J13&lt;&gt;"not_applicable"),AND(NOT(AND(D13="retain",OR(E13="report_internal_inconsistency",E13="plan_material"))),K13&lt;&gt;"",K13&lt;&gt;"not_applicable"),AND(NOT(AND(D13="retain",E13="protocol_report")),L13&lt;&gt;"",L13&lt;&gt;"not_applicable")),"CLEAR INACTIVE VALUES",IF(OR(NOT(OR(D13="retain",D13="exclude",D13="discuss")),NOT(OR(E13="statistical_results",E13="report_internal_inconsistency",E13="plan_material",E13="protocol_report")),AND(AND(D13="retain",E13="statistical_results"),NOT(OR(H13="confirmed_issue",H13="probable_issue",H13="not_issue",H13="indeterminate"))),AND(AND(D13="retain",E13="statistical_results"),NOT(OR(I13="substantive",I13="minor_presentation",I13="indeterminate"))),AND(AND(D13="retain",E13="statistical_results"),J13&lt;&gt;"",NOT(OR(J13="direct",J13="possible",J13="unlikely",J13="unknown"))),AND(AND(D13="retain",OR(E13="report_internal_inconsistency",E13="plan_material")),NOT(OR(K13="substantive_inconsistency",K13="minor_presentation",K13="non_inconsistency",K13="indeterminate"))),AND(AND(D13="retain",E13="protocol_report"),L13&lt;&gt;"",NOT(OR(L13="substantive_difference",L13="minor_presentation",L13="version_timing",L13="non_inconsistency",L13="indeterminate")))),"CHECK FIELDS",IF(AND(F13&lt;&gt;"",NOT(OR(F13="no",F13="primary_done"))),"CHECK COMPLETE",IF(F13&lt;&gt;"primary_done","PRIMARY DRAFT","PRIMARY READY")))))),"CHECK KEY / INPUT")</f>
        <v/>
      </c>
      <c r="H13" s="18">
        <f>IF(AND(OR(D13="retain",D13=""),E13="statistical_results"),"","not_applicable")</f>
        <v/>
      </c>
      <c r="I13" s="18">
        <f>IF(AND(OR(D13="retain",D13=""),E13="statistical_results"),"","not_applicable")</f>
        <v/>
      </c>
      <c r="J13" s="19">
        <f>IF(AND(OR(D13="retain",D13=""),E13="statistical_results"),"","not_applicable")</f>
        <v/>
      </c>
      <c r="K13" s="18">
        <f>IF(AND(OR(D13="retain",D13=""),OR(E13="report_internal_inconsistency",E13="plan_material")),"","not_applicable")</f>
        <v/>
      </c>
      <c r="L13" s="19">
        <f>IF(AND(OR(D13="retain",D13=""),E13="protocol_report"),"","not_applicable")</f>
        <v/>
      </c>
      <c r="M13" s="11" t="n"/>
      <c r="N13" s="7" t="n"/>
      <c r="O13" s="7" t="n"/>
      <c r="P13" s="7" t="n"/>
      <c r="Q13" s="7" t="n"/>
      <c r="R13" s="19" t="n"/>
    </row>
    <row r="14" ht="92" customFormat="1" customHeight="1" s="8">
      <c r="A14" s="12" t="inlineStr">
        <is>
          <t>2024::jama.2024.12829::C013</t>
        </is>
      </c>
      <c r="B14" s="12" t="inlineStr">
        <is>
          <t>Recurring-visit sentence ambiguously repeats visit numbers 9 and 11</t>
        </is>
      </c>
      <c r="C14" s="12" t="inlineStr">
        <is>
          <t>DOC-003 Protocol V2.0 paragraph, PDF p. 35; DOC-003 Protocol V2.3 paragraph, PDF p. 96; DOC-003 schedule, PDF p. 15</t>
        </is>
      </c>
      <c r="D14" s="18" t="n"/>
      <c r="E14" s="18" t="inlineStr">
        <is>
          <t>plan_material</t>
        </is>
      </c>
      <c r="F14" s="18" t="inlineStr">
        <is>
          <t>no</t>
        </is>
      </c>
      <c r="G14" s="12">
        <f>IFERROR(IF(LEN(TRIM(CLEAN(SUBSTITUTE(Setup!$B$2,CHAR(160)," "))))=0,"ENTER REVIEWER ID",IF(OR(A14="",COUNTIF($A$2:$A$18,A14)&lt;&gt;1,LEFT(A14,LEN("2024::jama.2024.12829::"))&lt;&gt;"2024::jama.2024.12829::"),"CHECK KEY",IF(OR(AND(NOT(AND(D14="retain",E14="statistical_results")),H14&lt;&gt;"",H14&lt;&gt;"not_applicable"),AND(NOT(AND(D14="retain",E14="statistical_results")),I14&lt;&gt;"",I14&lt;&gt;"not_applicable"),AND(NOT(AND(D14="retain",E14="statistical_results")),J14&lt;&gt;"",J14&lt;&gt;"not_applicable"),AND(NOT(AND(D14="retain",OR(E14="report_internal_inconsistency",E14="plan_material"))),K14&lt;&gt;"",K14&lt;&gt;"not_applicable"),AND(NOT(AND(D14="retain",E14="protocol_report")),L14&lt;&gt;"",L14&lt;&gt;"not_applicable")),"CLEAR INACTIVE VALUES",IF(OR(NOT(OR(D14="retain",D14="exclude",D14="discuss")),NOT(OR(E14="statistical_results",E14="report_internal_inconsistency",E14="plan_material",E14="protocol_report")),AND(AND(D14="retain",E14="statistical_results"),NOT(OR(H14="confirmed_issue",H14="probable_issue",H14="not_issue",H14="indeterminate"))),AND(AND(D14="retain",E14="statistical_results"),NOT(OR(I14="substantive",I14="minor_presentation",I14="indeterminate"))),AND(AND(D14="retain",E14="statistical_results"),J14&lt;&gt;"",NOT(OR(J14="direct",J14="possible",J14="unlikely",J14="unknown"))),AND(AND(D14="retain",OR(E14="report_internal_inconsistency",E14="plan_material")),NOT(OR(K14="substantive_inconsistency",K14="minor_presentation",K14="non_inconsistency",K14="indeterminate"))),AND(AND(D14="retain",E14="protocol_report"),L14&lt;&gt;"",NOT(OR(L14="substantive_difference",L14="minor_presentation",L14="version_timing",L14="non_inconsistency",L14="indeterminate")))),"CHECK FIELDS",IF(AND(F14&lt;&gt;"",NOT(OR(F14="no",F14="primary_done"))),"CHECK COMPLETE",IF(F14&lt;&gt;"primary_done","PRIMARY DRAFT","PRIMARY READY")))))),"CHECK KEY / INPUT")</f>
        <v/>
      </c>
      <c r="H14" s="18">
        <f>IF(AND(OR(D14="retain",D14=""),E14="statistical_results"),"","not_applicable")</f>
        <v/>
      </c>
      <c r="I14" s="18">
        <f>IF(AND(OR(D14="retain",D14=""),E14="statistical_results"),"","not_applicable")</f>
        <v/>
      </c>
      <c r="J14" s="19">
        <f>IF(AND(OR(D14="retain",D14=""),E14="statistical_results"),"","not_applicable")</f>
        <v/>
      </c>
      <c r="K14" s="18">
        <f>IF(AND(OR(D14="retain",D14=""),OR(E14="report_internal_inconsistency",E14="plan_material")),"","not_applicable")</f>
        <v/>
      </c>
      <c r="L14" s="19">
        <f>IF(AND(OR(D14="retain",D14=""),E14="protocol_report"),"","not_applicable")</f>
        <v/>
      </c>
      <c r="M14" s="12" t="n"/>
      <c r="N14" s="7" t="n"/>
      <c r="O14" s="7" t="n"/>
      <c r="P14" s="7" t="n"/>
      <c r="Q14" s="7" t="n"/>
      <c r="R14" s="19" t="n"/>
    </row>
    <row r="15" ht="92" customFormat="1" customHeight="1" s="8">
      <c r="A15" s="11" t="inlineStr">
        <is>
          <t>2024::jama.2024.12829::C014</t>
        </is>
      </c>
      <c r="B15" s="11" t="inlineStr">
        <is>
          <t>Table S9 BA 8 (3.3) does not round from either supplied ATS or displayed denominator</t>
        </is>
      </c>
      <c r="C15" s="11" t="inlineStr">
        <is>
          <t>DOC-002 Table S9, PDF p. 22; DOC-002 Table S10, PDF p. 23</t>
        </is>
      </c>
      <c r="D15" s="18" t="n"/>
      <c r="E15" s="18" t="inlineStr">
        <is>
          <t>statistical_results</t>
        </is>
      </c>
      <c r="F15" s="18" t="inlineStr">
        <is>
          <t>no</t>
        </is>
      </c>
      <c r="G15" s="11">
        <f>IFERROR(IF(LEN(TRIM(CLEAN(SUBSTITUTE(Setup!$B$2,CHAR(160)," "))))=0,"ENTER REVIEWER ID",IF(OR(A15="",COUNTIF($A$2:$A$18,A15)&lt;&gt;1,LEFT(A15,LEN("2024::jama.2024.12829::"))&lt;&gt;"2024::jama.2024.12829::"),"CHECK KEY",IF(OR(AND(NOT(AND(D15="retain",E15="statistical_results")),H15&lt;&gt;"",H15&lt;&gt;"not_applicable"),AND(NOT(AND(D15="retain",E15="statistical_results")),I15&lt;&gt;"",I15&lt;&gt;"not_applicable"),AND(NOT(AND(D15="retain",E15="statistical_results")),J15&lt;&gt;"",J15&lt;&gt;"not_applicable"),AND(NOT(AND(D15="retain",OR(E15="report_internal_inconsistency",E15="plan_material"))),K15&lt;&gt;"",K15&lt;&gt;"not_applicable"),AND(NOT(AND(D15="retain",E15="protocol_report")),L15&lt;&gt;"",L15&lt;&gt;"not_applicable")),"CLEAR INACTIVE VALUES",IF(OR(NOT(OR(D15="retain",D15="exclude",D15="discuss")),NOT(OR(E15="statistical_results",E15="report_internal_inconsistency",E15="plan_material",E15="protocol_report")),AND(AND(D15="retain",E15="statistical_results"),NOT(OR(H15="confirmed_issue",H15="probable_issue",H15="not_issue",H15="indeterminate"))),AND(AND(D15="retain",E15="statistical_results"),NOT(OR(I15="substantive",I15="minor_presentation",I15="indeterminate"))),AND(AND(D15="retain",E15="statistical_results"),J15&lt;&gt;"",NOT(OR(J15="direct",J15="possible",J15="unlikely",J15="unknown"))),AND(AND(D15="retain",OR(E15="report_internal_inconsistency",E15="plan_material")),NOT(OR(K15="substantive_inconsistency",K15="minor_presentation",K15="non_inconsistency",K15="indeterminate"))),AND(AND(D15="retain",E15="protocol_report"),L15&lt;&gt;"",NOT(OR(L15="substantive_difference",L15="minor_presentation",L15="version_timing",L15="non_inconsistency",L15="indeterminate")))),"CHECK FIELDS",IF(AND(F15&lt;&gt;"",NOT(OR(F15="no",F15="primary_done"))),"CHECK COMPLETE",IF(F15&lt;&gt;"primary_done","PRIMARY DRAFT","PRIMARY READY")))))),"CHECK KEY / INPUT")</f>
        <v/>
      </c>
      <c r="H15" s="18">
        <f>IF(AND(OR(D15="retain",D15=""),E15="statistical_results"),"","not_applicable")</f>
        <v/>
      </c>
      <c r="I15" s="18">
        <f>IF(AND(OR(D15="retain",D15=""),E15="statistical_results"),"","not_applicable")</f>
        <v/>
      </c>
      <c r="J15" s="19">
        <f>IF(AND(OR(D15="retain",D15=""),E15="statistical_results"),"","not_applicable")</f>
        <v/>
      </c>
      <c r="K15" s="18">
        <f>IF(AND(OR(D15="retain",D15=""),OR(E15="report_internal_inconsistency",E15="plan_material")),"","not_applicable")</f>
        <v/>
      </c>
      <c r="L15" s="19">
        <f>IF(AND(OR(D15="retain",D15=""),E15="protocol_report"),"","not_applicable")</f>
        <v/>
      </c>
      <c r="M15" s="11" t="n"/>
      <c r="N15" s="7" t="n"/>
      <c r="O15" s="7" t="n"/>
      <c r="P15" s="7" t="n"/>
      <c r="Q15" s="7" t="n"/>
      <c r="R15" s="19" t="n"/>
    </row>
    <row r="16" ht="92" customFormat="1" customHeight="1" s="8">
      <c r="A16" s="12" t="inlineStr">
        <is>
          <t>2024::jama.2024.12829::C015</t>
        </is>
      </c>
      <c r="B16" s="12" t="inlineStr">
        <is>
          <t>Narrative assigns all 11 pre-analysis exclusions to consent withdrawal while Figure 1 assigns only 10</t>
        </is>
      </c>
      <c r="C16" s="12" t="inlineStr">
        <is>
          <t>DOC-001 narrative, PDF p. 4; DOC-001 Figure 1, PDF p. 5</t>
        </is>
      </c>
      <c r="D16" s="18" t="n"/>
      <c r="E16" s="18" t="inlineStr">
        <is>
          <t>report_internal_inconsistency</t>
        </is>
      </c>
      <c r="F16" s="18" t="inlineStr">
        <is>
          <t>no</t>
        </is>
      </c>
      <c r="G16" s="12">
        <f>IFERROR(IF(LEN(TRIM(CLEAN(SUBSTITUTE(Setup!$B$2,CHAR(160)," "))))=0,"ENTER REVIEWER ID",IF(OR(A16="",COUNTIF($A$2:$A$18,A16)&lt;&gt;1,LEFT(A16,LEN("2024::jama.2024.12829::"))&lt;&gt;"2024::jama.2024.12829::"),"CHECK KEY",IF(OR(AND(NOT(AND(D16="retain",E16="statistical_results")),H16&lt;&gt;"",H16&lt;&gt;"not_applicable"),AND(NOT(AND(D16="retain",E16="statistical_results")),I16&lt;&gt;"",I16&lt;&gt;"not_applicable"),AND(NOT(AND(D16="retain",E16="statistical_results")),J16&lt;&gt;"",J16&lt;&gt;"not_applicable"),AND(NOT(AND(D16="retain",OR(E16="report_internal_inconsistency",E16="plan_material"))),K16&lt;&gt;"",K16&lt;&gt;"not_applicable"),AND(NOT(AND(D16="retain",E16="protocol_report")),L16&lt;&gt;"",L16&lt;&gt;"not_applicable")),"CLEAR INACTIVE VALUES",IF(OR(NOT(OR(D16="retain",D16="exclude",D16="discuss")),NOT(OR(E16="statistical_results",E16="report_internal_inconsistency",E16="plan_material",E16="protocol_report")),AND(AND(D16="retain",E16="statistical_results"),NOT(OR(H16="confirmed_issue",H16="probable_issue",H16="not_issue",H16="indeterminate"))),AND(AND(D16="retain",E16="statistical_results"),NOT(OR(I16="substantive",I16="minor_presentation",I16="indeterminate"))),AND(AND(D16="retain",E16="statistical_results"),J16&lt;&gt;"",NOT(OR(J16="direct",J16="possible",J16="unlikely",J16="unknown"))),AND(AND(D16="retain",OR(E16="report_internal_inconsistency",E16="plan_material")),NOT(OR(K16="substantive_inconsistency",K16="minor_presentation",K16="non_inconsistency",K16="indeterminate"))),AND(AND(D16="retain",E16="protocol_report"),L16&lt;&gt;"",NOT(OR(L16="substantive_difference",L16="minor_presentation",L16="version_timing",L16="non_inconsistency",L16="indeterminate")))),"CHECK FIELDS",IF(AND(F16&lt;&gt;"",NOT(OR(F16="no",F16="primary_done"))),"CHECK COMPLETE",IF(F16&lt;&gt;"primary_done","PRIMARY DRAFT","PRIMARY READY")))))),"CHECK KEY / INPUT")</f>
        <v/>
      </c>
      <c r="H16" s="18">
        <f>IF(AND(OR(D16="retain",D16=""),E16="statistical_results"),"","not_applicable")</f>
        <v/>
      </c>
      <c r="I16" s="18">
        <f>IF(AND(OR(D16="retain",D16=""),E16="statistical_results"),"","not_applicable")</f>
        <v/>
      </c>
      <c r="J16" s="19">
        <f>IF(AND(OR(D16="retain",D16=""),E16="statistical_results"),"","not_applicable")</f>
        <v/>
      </c>
      <c r="K16" s="18">
        <f>IF(AND(OR(D16="retain",D16=""),OR(E16="report_internal_inconsistency",E16="plan_material")),"","not_applicable")</f>
        <v/>
      </c>
      <c r="L16" s="19">
        <f>IF(AND(OR(D16="retain",D16=""),E16="protocol_report"),"","not_applicable")</f>
        <v/>
      </c>
      <c r="M16" s="12" t="n"/>
      <c r="N16" s="7" t="n"/>
      <c r="O16" s="7" t="n"/>
      <c r="P16" s="7" t="n"/>
      <c r="Q16" s="7" t="n"/>
      <c r="R16" s="19" t="n"/>
    </row>
    <row r="17" ht="92" customFormat="1" customHeight="1" s="8">
      <c r="A17" s="11" t="inlineStr">
        <is>
          <t>2024::jama.2024.12829::C016</t>
        </is>
      </c>
      <c r="B17" s="11" t="inlineStr">
        <is>
          <t>Table S6 BA event count 9 conflicts with the matched primary-analysis count 11</t>
        </is>
      </c>
      <c r="C17" s="11" t="inlineStr">
        <is>
          <t>DOC-001 primary narrative, PDF p. 5; DOC-001 Table 2, PDF p. 8; DOC-002 Table S6, PDF p. 19</t>
        </is>
      </c>
      <c r="D17" s="18" t="n"/>
      <c r="E17" s="18" t="inlineStr">
        <is>
          <t>report_internal_inconsistency</t>
        </is>
      </c>
      <c r="F17" s="18" t="inlineStr">
        <is>
          <t>no</t>
        </is>
      </c>
      <c r="G17" s="11">
        <f>IFERROR(IF(LEN(TRIM(CLEAN(SUBSTITUTE(Setup!$B$2,CHAR(160)," "))))=0,"ENTER REVIEWER ID",IF(OR(A17="",COUNTIF($A$2:$A$18,A17)&lt;&gt;1,LEFT(A17,LEN("2024::jama.2024.12829::"))&lt;&gt;"2024::jama.2024.12829::"),"CHECK KEY",IF(OR(AND(NOT(AND(D17="retain",E17="statistical_results")),H17&lt;&gt;"",H17&lt;&gt;"not_applicable"),AND(NOT(AND(D17="retain",E17="statistical_results")),I17&lt;&gt;"",I17&lt;&gt;"not_applicable"),AND(NOT(AND(D17="retain",E17="statistical_results")),J17&lt;&gt;"",J17&lt;&gt;"not_applicable"),AND(NOT(AND(D17="retain",OR(E17="report_internal_inconsistency",E17="plan_material"))),K17&lt;&gt;"",K17&lt;&gt;"not_applicable"),AND(NOT(AND(D17="retain",E17="protocol_report")),L17&lt;&gt;"",L17&lt;&gt;"not_applicable")),"CLEAR INACTIVE VALUES",IF(OR(NOT(OR(D17="retain",D17="exclude",D17="discuss")),NOT(OR(E17="statistical_results",E17="report_internal_inconsistency",E17="plan_material",E17="protocol_report")),AND(AND(D17="retain",E17="statistical_results"),NOT(OR(H17="confirmed_issue",H17="probable_issue",H17="not_issue",H17="indeterminate"))),AND(AND(D17="retain",E17="statistical_results"),NOT(OR(I17="substantive",I17="minor_presentation",I17="indeterminate"))),AND(AND(D17="retain",E17="statistical_results"),J17&lt;&gt;"",NOT(OR(J17="direct",J17="possible",J17="unlikely",J17="unknown"))),AND(AND(D17="retain",OR(E17="report_internal_inconsistency",E17="plan_material")),NOT(OR(K17="substantive_inconsistency",K17="minor_presentation",K17="non_inconsistency",K17="indeterminate"))),AND(AND(D17="retain",E17="protocol_report"),L17&lt;&gt;"",NOT(OR(L17="substantive_difference",L17="minor_presentation",L17="version_timing",L17="non_inconsistency",L17="indeterminate")))),"CHECK FIELDS",IF(AND(F17&lt;&gt;"",NOT(OR(F17="no",F17="primary_done"))),"CHECK COMPLETE",IF(F17&lt;&gt;"primary_done","PRIMARY DRAFT","PRIMARY READY")))))),"CHECK KEY / INPUT")</f>
        <v/>
      </c>
      <c r="H17" s="18">
        <f>IF(AND(OR(D17="retain",D17=""),E17="statistical_results"),"","not_applicable")</f>
        <v/>
      </c>
      <c r="I17" s="18">
        <f>IF(AND(OR(D17="retain",D17=""),E17="statistical_results"),"","not_applicable")</f>
        <v/>
      </c>
      <c r="J17" s="19">
        <f>IF(AND(OR(D17="retain",D17=""),E17="statistical_results"),"","not_applicable")</f>
        <v/>
      </c>
      <c r="K17" s="18">
        <f>IF(AND(OR(D17="retain",D17=""),OR(E17="report_internal_inconsistency",E17="plan_material")),"","not_applicable")</f>
        <v/>
      </c>
      <c r="L17" s="19">
        <f>IF(AND(OR(D17="retain",D17=""),E17="protocol_report"),"","not_applicable")</f>
        <v/>
      </c>
      <c r="M17" s="11" t="n"/>
      <c r="N17" s="7" t="n"/>
      <c r="O17" s="7" t="n"/>
      <c r="P17" s="7" t="n"/>
      <c r="Q17" s="7" t="n"/>
      <c r="R17" s="19" t="n"/>
    </row>
    <row r="18" ht="92" customFormat="1" customHeight="1" s="8">
      <c r="A18" s="12" t="inlineStr">
        <is>
          <t>2024::jama.2024.12829::C017</t>
        </is>
      </c>
      <c r="B18" s="12" t="inlineStr">
        <is>
          <t>One-year incidence-difference point estimate lies outside its confidence interval</t>
        </is>
      </c>
      <c r="C18" s="12" t="inlineStr">
        <is>
          <t>DOC-001 Table 2, PDF p. 8</t>
        </is>
      </c>
      <c r="D18" s="18" t="n"/>
      <c r="E18" s="18" t="inlineStr">
        <is>
          <t>statistical_results</t>
        </is>
      </c>
      <c r="F18" s="18" t="inlineStr">
        <is>
          <t>no</t>
        </is>
      </c>
      <c r="G18" s="12">
        <f>IFERROR(IF(LEN(TRIM(CLEAN(SUBSTITUTE(Setup!$B$2,CHAR(160)," "))))=0,"ENTER REVIEWER ID",IF(OR(A18="",COUNTIF($A$2:$A$18,A18)&lt;&gt;1,LEFT(A18,LEN("2024::jama.2024.12829::"))&lt;&gt;"2024::jama.2024.12829::"),"CHECK KEY",IF(OR(AND(NOT(AND(D18="retain",E18="statistical_results")),H18&lt;&gt;"",H18&lt;&gt;"not_applicable"),AND(NOT(AND(D18="retain",E18="statistical_results")),I18&lt;&gt;"",I18&lt;&gt;"not_applicable"),AND(NOT(AND(D18="retain",E18="statistical_results")),J18&lt;&gt;"",J18&lt;&gt;"not_applicable"),AND(NOT(AND(D18="retain",OR(E18="report_internal_inconsistency",E18="plan_material"))),K18&lt;&gt;"",K18&lt;&gt;"not_applicable"),AND(NOT(AND(D18="retain",E18="protocol_report")),L18&lt;&gt;"",L18&lt;&gt;"not_applicable")),"CLEAR INACTIVE VALUES",IF(OR(NOT(OR(D18="retain",D18="exclude",D18="discuss")),NOT(OR(E18="statistical_results",E18="report_internal_inconsistency",E18="plan_material",E18="protocol_report")),AND(AND(D18="retain",E18="statistical_results"),NOT(OR(H18="confirmed_issue",H18="probable_issue",H18="not_issue",H18="indeterminate"))),AND(AND(D18="retain",E18="statistical_results"),NOT(OR(I18="substantive",I18="minor_presentation",I18="indeterminate"))),AND(AND(D18="retain",E18="statistical_results"),J18&lt;&gt;"",NOT(OR(J18="direct",J18="possible",J18="unlikely",J18="unknown"))),AND(AND(D18="retain",OR(E18="report_internal_inconsistency",E18="plan_material")),NOT(OR(K18="substantive_inconsistency",K18="minor_presentation",K18="non_inconsistency",K18="indeterminate"))),AND(AND(D18="retain",E18="protocol_report"),L18&lt;&gt;"",NOT(OR(L18="substantive_difference",L18="minor_presentation",L18="version_timing",L18="non_inconsistency",L18="indeterminate")))),"CHECK FIELDS",IF(AND(F18&lt;&gt;"",NOT(OR(F18="no",F18="primary_done"))),"CHECK COMPLETE",IF(F18&lt;&gt;"primary_done","PRIMARY DRAFT","PRIMARY READY")))))),"CHECK KEY / INPUT")</f>
        <v/>
      </c>
      <c r="H18" s="18">
        <f>IF(AND(OR(D18="retain",D18=""),E18="statistical_results"),"","not_applicable")</f>
        <v/>
      </c>
      <c r="I18" s="18">
        <f>IF(AND(OR(D18="retain",D18=""),E18="statistical_results"),"","not_applicable")</f>
        <v/>
      </c>
      <c r="J18" s="19">
        <f>IF(AND(OR(D18="retain",D18=""),E18="statistical_results"),"","not_applicable")</f>
        <v/>
      </c>
      <c r="K18" s="18">
        <f>IF(AND(OR(D18="retain",D18=""),OR(E18="report_internal_inconsistency",E18="plan_material")),"","not_applicable")</f>
        <v/>
      </c>
      <c r="L18" s="19">
        <f>IF(AND(OR(D18="retain",D18=""),E18="protocol_report"),"","not_applicable")</f>
        <v/>
      </c>
      <c r="M18" s="12" t="n"/>
      <c r="N18" s="7" t="n"/>
      <c r="O18" s="7" t="n"/>
      <c r="P18" s="7" t="n"/>
      <c r="Q18" s="7" t="n"/>
      <c r="R18" s="19" t="n"/>
    </row>
  </sheetData>
  <autoFilter ref="A1:R18"/>
  <conditionalFormatting sqref="H2:H18">
    <cfRule type="expression" priority="8" dxfId="70">
      <formula>NOT(AND(OR($D2="retain",$D2=""),$E2="statistical_results"))</formula>
    </cfRule>
  </conditionalFormatting>
  <conditionalFormatting sqref="I2:I18">
    <cfRule type="expression" priority="9" dxfId="70">
      <formula>NOT(AND(OR($D2="retain",$D2=""),$E2="statistical_results"))</formula>
    </cfRule>
  </conditionalFormatting>
  <conditionalFormatting sqref="J2:J18">
    <cfRule type="expression" priority="10" dxfId="70">
      <formula>NOT(AND(OR($D2="retain",$D2=""),$E2="statistical_results"))</formula>
    </cfRule>
  </conditionalFormatting>
  <conditionalFormatting sqref="K2:K18">
    <cfRule type="expression" priority="11" dxfId="70">
      <formula>NOT(AND(OR($D2="retain",$D2=""),OR($E2="report_internal_inconsistency",$E2="plan_material")))</formula>
    </cfRule>
  </conditionalFormatting>
  <conditionalFormatting sqref="L2:L18">
    <cfRule type="expression" priority="12" dxfId="70">
      <formula>NOT(AND(OR($D2="retain",$D2=""),$E2="protocol_report"))</formula>
    </cfRule>
  </conditionalFormatting>
  <conditionalFormatting sqref="G2:G18">
    <cfRule type="expression" priority="13" dxfId="71">
      <formula>G2&lt;&gt;"PRIMARY READY"</formula>
    </cfRule>
  </conditionalFormatting>
  <dataValidations count="8">
    <dataValidation sqref="D2:D1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"retain,exclude,discuss"</formula1>
    </dataValidation>
    <dataValidation sqref="E2:E1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"statistical_results,report_internal_inconsistency,plan_material,protocol_report"</formula1>
    </dataValidation>
    <dataValidation sqref="F2:F1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"no,primary_done"</formula1>
    </dataValidation>
    <dataValidation sqref="H2:H1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"confirmed_issue,probable_issue,not_issue,indeterminate,not_applicable"</formula1>
    </dataValidation>
    <dataValidation sqref="I2:I1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"substantive,minor_presentation,indeterminate,not_applicable"</formula1>
    </dataValidation>
    <dataValidation sqref="J2:J1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"direct,possible,unlikely,unknown,not_applicable"</formula1>
    </dataValidation>
    <dataValidation sqref="K2:K1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"substantive_inconsistency,minor_presentation,non_inconsistency,indeterminate,not_applicable"</formula1>
    </dataValidation>
    <dataValidation sqref="L2:L1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"substantive_difference,minor_presentation,version_timing,non_inconsistency,indeterminate,not_applicable"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</hyperlink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6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6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5" t="n"/>
      <c r="N1" s="5" t="n"/>
      <c r="O1" s="5" t="n"/>
      <c r="P1" s="5" t="n"/>
      <c r="Q1" s="5" t="n"/>
      <c r="R1" s="5" t="inlineStr">
        <is>
          <t>Notes (optional)</t>
        </is>
      </c>
    </row>
    <row r="2" ht="92" customFormat="1" customHeight="1" s="8">
      <c r="A2" s="12" t="inlineStr">
        <is>
          <t>2024::jama.2024.19585::C001</t>
        </is>
      </c>
      <c r="B2" s="12" t="inlineStr">
        <is>
          <t>Usual-care exclusion hierarchy requires source-layout confirmation</t>
        </is>
      </c>
      <c r="C2" s="12" t="inlineStr">
        <is>
          <t>jama_dupuis_2024_oi_240111_1733431204.38761.pdf — Figure 1, PDF p. 5, usual-care branch.</t>
        </is>
      </c>
      <c r="D2" s="18" t="n"/>
      <c r="E2" s="18" t="inlineStr">
        <is>
          <t>statistical_results</t>
        </is>
      </c>
      <c r="F2" s="18" t="inlineStr">
        <is>
          <t>no</t>
        </is>
      </c>
      <c r="G2" s="12">
        <f>IFERROR(IF(LEN(TRIM(CLEAN(SUBSTITUTE(Setup!$B$2,CHAR(160)," "))))=0,"ENTER REVIEWER ID",IF(OR(A2="",COUNTIF($A$2:$A$4,A2)&lt;&gt;1,LEFT(A2,LEN("2024::jama.2024.19585::"))&lt;&gt;"2024::jama.2024.19585::"),"CHECK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COMPLETE",IF(F2&lt;&gt;"primary_done","PRIMARY DRAFT","PRIMARY READY")))))),"CHECK KEY / INPUT")</f>
        <v/>
      </c>
      <c r="H2" s="18">
        <f>IF(AND(OR(D2="retain",D2=""),E2="statistical_results"),"","not_applicable")</f>
        <v/>
      </c>
      <c r="I2" s="18">
        <f>IF(AND(OR(D2="retain",D2=""),E2="statistical_results"),"","not_applicable")</f>
        <v/>
      </c>
      <c r="J2" s="19">
        <f>IF(AND(OR(D2="retain",D2=""),E2="statistical_results"),"","not_applicable")</f>
        <v/>
      </c>
      <c r="K2" s="18">
        <f>IF(AND(OR(D2="retain",D2=""),OR(E2="report_internal_inconsistency",E2="plan_material")),"","not_applicable")</f>
        <v/>
      </c>
      <c r="L2" s="19">
        <f>IF(AND(OR(D2="retain",D2=""),E2="protocol_report"),"","not_applicable")</f>
        <v/>
      </c>
      <c r="M2" s="12" t="n"/>
      <c r="N2" s="7" t="n"/>
      <c r="O2" s="7" t="n"/>
      <c r="P2" s="7" t="n"/>
      <c r="Q2" s="7" t="n"/>
      <c r="R2" s="19" t="n"/>
    </row>
    <row r="3" ht="92" customFormat="1" customHeight="1" s="8">
      <c r="A3" s="11" t="inlineStr">
        <is>
          <t>2024::jama.2024.19585::C002</t>
        </is>
      </c>
      <c r="B3" s="11" t="inlineStr">
        <is>
          <t>Main-text rejected-statement percentage conflicts with the supplement counts</t>
        </is>
      </c>
      <c r="C3" s="11" t="inlineStr">
        <is>
          <t>jama_dupuis_2024_oi_240111_1733431204.38761.pdf — narrative, PDF p. 2 and joi240111supp2_prod_1733431204.76024.pdf — eTable 3, PDF p. 6.</t>
        </is>
      </c>
      <c r="D3" s="18" t="n"/>
      <c r="E3" s="18" t="inlineStr">
        <is>
          <t>report_internal_inconsistency</t>
        </is>
      </c>
      <c r="F3" s="18" t="inlineStr">
        <is>
          <t>no</t>
        </is>
      </c>
      <c r="G3" s="11">
        <f>IFERROR(IF(LEN(TRIM(CLEAN(SUBSTITUTE(Setup!$B$2,CHAR(160)," "))))=0,"ENTER REVIEWER ID",IF(OR(A3="",COUNTIF($A$2:$A$4,A3)&lt;&gt;1,LEFT(A3,LEN("2024::jama.2024.19585::"))&lt;&gt;"2024::jama.2024.19585::"),"CHECK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COMPLETE",IF(F3&lt;&gt;"primary_done","PRIMARY DRAFT","PRIMARY READY")))))),"CHECK KEY / INPUT")</f>
        <v/>
      </c>
      <c r="H3" s="18">
        <f>IF(AND(OR(D3="retain",D3=""),E3="statistical_results"),"","not_applicable")</f>
        <v/>
      </c>
      <c r="I3" s="18">
        <f>IF(AND(OR(D3="retain",D3=""),E3="statistical_results"),"","not_applicable")</f>
        <v/>
      </c>
      <c r="J3" s="19">
        <f>IF(AND(OR(D3="retain",D3=""),E3="statistical_results"),"","not_applicable")</f>
        <v/>
      </c>
      <c r="K3" s="18">
        <f>IF(AND(OR(D3="retain",D3=""),OR(E3="report_internal_inconsistency",E3="plan_material")),"","not_applicable")</f>
        <v/>
      </c>
      <c r="L3" s="19">
        <f>IF(AND(OR(D3="retain",D3=""),E3="protocol_report"),"","not_applicable")</f>
        <v/>
      </c>
      <c r="M3" s="11" t="n"/>
      <c r="N3" s="7" t="n"/>
      <c r="O3" s="7" t="n"/>
      <c r="P3" s="7" t="n"/>
      <c r="Q3" s="7" t="n"/>
      <c r="R3" s="19" t="n"/>
    </row>
    <row r="4" ht="92" customFormat="1" customHeight="1" s="8">
      <c r="A4" s="12" t="inlineStr">
        <is>
          <t>2024::jama.2024.19585::C003</t>
        </is>
      </c>
      <c r="B4" s="12" t="inlineStr">
        <is>
          <t>eTable 10 labels logistic-regression odds ratios as differences</t>
        </is>
      </c>
      <c r="C4" s="12" t="inlineStr">
        <is>
          <t>joi240111supp2_prod_1733431204.76024.pdf — eTable 10 start, PDF p. 13; joi240111supp2_prod_1733431204.76024.pdf — eTable 10 continued values, PDF p. 14; joi240111supp2_prod_1733431204.76024.pdf — eTable 10 footnote, PDF p. 15; and joi240111supp2_prod_1733431204.76024.pdf — eMethods, PDF p. 22.</t>
        </is>
      </c>
      <c r="D4" s="18" t="n"/>
      <c r="E4" s="18" t="inlineStr">
        <is>
          <t>report_internal_inconsistency</t>
        </is>
      </c>
      <c r="F4" s="18" t="inlineStr">
        <is>
          <t>no</t>
        </is>
      </c>
      <c r="G4" s="12">
        <f>IFERROR(IF(LEN(TRIM(CLEAN(SUBSTITUTE(Setup!$B$2,CHAR(160)," "))))=0,"ENTER REVIEWER ID",IF(OR(A4="",COUNTIF($A$2:$A$4,A4)&lt;&gt;1,LEFT(A4,LEN("2024::jama.2024.19585::"))&lt;&gt;"2024::jama.2024.19585::"),"CHECK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COMPLETE",IF(F4&lt;&gt;"primary_done","PRIMARY DRAFT","PRIMARY READY")))))),"CHECK KEY / INPUT")</f>
        <v/>
      </c>
      <c r="H4" s="18">
        <f>IF(AND(OR(D4="retain",D4=""),E4="statistical_results"),"","not_applicable")</f>
        <v/>
      </c>
      <c r="I4" s="18">
        <f>IF(AND(OR(D4="retain",D4=""),E4="statistical_results"),"","not_applicable")</f>
        <v/>
      </c>
      <c r="J4" s="19">
        <f>IF(AND(OR(D4="retain",D4=""),E4="statistical_results"),"","not_applicable")</f>
        <v/>
      </c>
      <c r="K4" s="18">
        <f>IF(AND(OR(D4="retain",D4=""),OR(E4="report_internal_inconsistency",E4="plan_material")),"","not_applicable")</f>
        <v/>
      </c>
      <c r="L4" s="19">
        <f>IF(AND(OR(D4="retain",D4=""),E4="protocol_report"),"","not_applicable")</f>
        <v/>
      </c>
      <c r="M4" s="12" t="n"/>
      <c r="N4" s="7" t="n"/>
      <c r="O4" s="7" t="n"/>
      <c r="P4" s="7" t="n"/>
      <c r="Q4" s="7" t="n"/>
      <c r="R4" s="19" t="n"/>
    </row>
  </sheetData>
  <autoFilter ref="A1:R4"/>
  <conditionalFormatting sqref="H2:H4">
    <cfRule type="expression" priority="8" dxfId="70">
      <formula>NOT(AND(OR($D2="retain",$D2=""),$E2="statistical_results"))</formula>
    </cfRule>
  </conditionalFormatting>
  <conditionalFormatting sqref="I2:I4">
    <cfRule type="expression" priority="9" dxfId="70">
      <formula>NOT(AND(OR($D2="retain",$D2=""),$E2="statistical_results"))</formula>
    </cfRule>
  </conditionalFormatting>
  <conditionalFormatting sqref="J2:J4">
    <cfRule type="expression" priority="10" dxfId="70">
      <formula>NOT(AND(OR($D2="retain",$D2=""),$E2="statistical_results"))</formula>
    </cfRule>
  </conditionalFormatting>
  <conditionalFormatting sqref="K2:K4">
    <cfRule type="expression" priority="11" dxfId="70">
      <formula>NOT(AND(OR($D2="retain",$D2=""),OR($E2="report_internal_inconsistency",$E2="plan_material")))</formula>
    </cfRule>
  </conditionalFormatting>
  <conditionalFormatting sqref="L2:L4">
    <cfRule type="expression" priority="12" dxfId="70">
      <formula>NOT(AND(OR($D2="retain",$D2=""),$E2="protocol_report"))</formula>
    </cfRule>
  </conditionalFormatting>
  <conditionalFormatting sqref="G2:G4">
    <cfRule type="expression" priority="13" dxfId="71">
      <formula>G2&lt;&gt;"PRIMARY READY"</formula>
    </cfRule>
  </conditionalFormatting>
  <dataValidations count="8">
    <dataValidation sqref="D2:D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"retain,exclude,discuss"</formula1>
    </dataValidation>
    <dataValidation sqref="E2:E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"statistical_results,report_internal_inconsistency,plan_material,protocol_report"</formula1>
    </dataValidation>
    <dataValidation sqref="F2:F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"no,primary_done"</formula1>
    </dataValidation>
    <dataValidation sqref="H2:H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"confirmed_issue,probable_issue,not_issue,indeterminate,not_applicable"</formula1>
    </dataValidation>
    <dataValidation sqref="I2:I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"substantive,minor_presentation,indeterminate,not_applicable"</formula1>
    </dataValidation>
    <dataValidation sqref="J2:J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"direct,possible,unlikely,unknown,not_applicable"</formula1>
    </dataValidation>
    <dataValidation sqref="K2:K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"substantive_inconsistency,minor_presentation,non_inconsistency,indeterminate,not_applicable"</formula1>
    </dataValidation>
    <dataValidation sqref="L2:L4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"substantive_difference,minor_presentation,version_timing,non_inconsistency,indeterminate,not_applicable"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</hyperlink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6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6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5" t="n"/>
      <c r="N1" s="5" t="n"/>
      <c r="O1" s="5" t="n"/>
      <c r="P1" s="5" t="n"/>
      <c r="Q1" s="5" t="n"/>
      <c r="R1" s="5" t="inlineStr">
        <is>
          <t>Notes (optional)</t>
        </is>
      </c>
    </row>
    <row r="2" ht="92" customFormat="1" customHeight="1" s="8">
      <c r="A2" s="12" t="inlineStr">
        <is>
          <t>2024::jama.2024.2302::C001</t>
        </is>
      </c>
      <c r="B2" s="12" t="inlineStr">
        <is>
          <t>Primary SAE endpoint threshold label</t>
        </is>
      </c>
      <c r="C2" s="12" t="inlineStr">
        <is>
          <t>main article — PDF p. 6, Table 2; results supplement — PDF p. 5, eTable 2; protocol — PDF p. 2; SAP — PDF p. 4.</t>
        </is>
      </c>
      <c r="D2" s="18" t="n"/>
      <c r="E2" s="18" t="inlineStr">
        <is>
          <t>protocol_report</t>
        </is>
      </c>
      <c r="F2" s="18" t="inlineStr">
        <is>
          <t>no</t>
        </is>
      </c>
      <c r="G2" s="12">
        <f>IFERROR(IF(LEN(TRIM(CLEAN(SUBSTITUTE(Setup!$B$2,CHAR(160)," "))))=0,"ENTER REVIEWER ID",IF(OR(A2="",COUNTIF($A$2:$A$6,A2)&lt;&gt;1,LEFT(A2,LEN("2024::jama.2024.2302::"))&lt;&gt;"2024::jama.2024.2302::"),"CHECK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COMPLETE",IF(F2&lt;&gt;"primary_done","PRIMARY DRAFT","PRIMARY READY")))))),"CHECK KEY / INPUT")</f>
        <v/>
      </c>
      <c r="H2" s="18">
        <f>IF(AND(OR(D2="retain",D2=""),E2="statistical_results"),"","not_applicable")</f>
        <v/>
      </c>
      <c r="I2" s="18">
        <f>IF(AND(OR(D2="retain",D2=""),E2="statistical_results"),"","not_applicable")</f>
        <v/>
      </c>
      <c r="J2" s="19">
        <f>IF(AND(OR(D2="retain",D2=""),E2="statistical_results"),"","not_applicable")</f>
        <v/>
      </c>
      <c r="K2" s="18">
        <f>IF(AND(OR(D2="retain",D2=""),OR(E2="report_internal_inconsistency",E2="plan_material")),"","not_applicable")</f>
        <v/>
      </c>
      <c r="L2" s="19">
        <f>IF(AND(OR(D2="retain",D2=""),E2="protocol_report"),"","not_applicable")</f>
        <v/>
      </c>
      <c r="M2" s="12" t="n"/>
      <c r="N2" s="7" t="n"/>
      <c r="O2" s="7" t="n"/>
      <c r="P2" s="7" t="n"/>
      <c r="Q2" s="7" t="n"/>
      <c r="R2" s="19" t="n"/>
    </row>
    <row r="3" ht="92" customFormat="1" customHeight="1" s="8">
      <c r="A3" s="11" t="inlineStr">
        <is>
          <t>2024::jama.2024.2302::C002</t>
        </is>
      </c>
      <c r="B3" s="11" t="inlineStr">
        <is>
          <t>Planned hospital-day medians</t>
        </is>
      </c>
      <c r="C3" s="11" t="inlineStr">
        <is>
          <t>protocol — PDF p. 3; protocol — PDF p. 12; SAP — PDF p. 3.</t>
        </is>
      </c>
      <c r="D3" s="18" t="n"/>
      <c r="E3" s="18" t="inlineStr">
        <is>
          <t>plan_material</t>
        </is>
      </c>
      <c r="F3" s="18" t="inlineStr">
        <is>
          <t>no</t>
        </is>
      </c>
      <c r="G3" s="11">
        <f>IFERROR(IF(LEN(TRIM(CLEAN(SUBSTITUTE(Setup!$B$2,CHAR(160)," "))))=0,"ENTER REVIEWER ID",IF(OR(A3="",COUNTIF($A$2:$A$6,A3)&lt;&gt;1,LEFT(A3,LEN("2024::jama.2024.2302::"))&lt;&gt;"2024::jama.2024.2302::"),"CHECK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COMPLETE",IF(F3&lt;&gt;"primary_done","PRIMARY DRAFT","PRIMARY READY")))))),"CHECK KEY / INPUT")</f>
        <v/>
      </c>
      <c r="H3" s="18">
        <f>IF(AND(OR(D3="retain",D3=""),E3="statistical_results"),"","not_applicable")</f>
        <v/>
      </c>
      <c r="I3" s="18">
        <f>IF(AND(OR(D3="retain",D3=""),E3="statistical_results"),"","not_applicable")</f>
        <v/>
      </c>
      <c r="J3" s="19">
        <f>IF(AND(OR(D3="retain",D3=""),E3="statistical_results"),"","not_applicable")</f>
        <v/>
      </c>
      <c r="K3" s="18">
        <f>IF(AND(OR(D3="retain",D3=""),OR(E3="report_internal_inconsistency",E3="plan_material")),"","not_applicable")</f>
        <v/>
      </c>
      <c r="L3" s="19">
        <f>IF(AND(OR(D3="retain",D3=""),E3="protocol_report"),"","not_applicable")</f>
        <v/>
      </c>
      <c r="M3" s="11" t="n"/>
      <c r="N3" s="7" t="n"/>
      <c r="O3" s="7" t="n"/>
      <c r="P3" s="7" t="n"/>
      <c r="Q3" s="7" t="n"/>
      <c r="R3" s="19" t="n"/>
    </row>
    <row r="4" ht="92" customFormat="1" customHeight="1" s="8">
      <c r="A4" s="12" t="inlineStr">
        <is>
          <t>2024::jama.2024.2302::C003</t>
        </is>
      </c>
      <c r="B4" s="12" t="inlineStr">
        <is>
          <t>Bayesian intervention priors</t>
        </is>
      </c>
      <c r="C4" s="12" t="inlineStr">
        <is>
          <t>main article — PDF p. 4; SAP — PDF p. 8.</t>
        </is>
      </c>
      <c r="D4" s="18" t="n"/>
      <c r="E4" s="18" t="inlineStr">
        <is>
          <t>protocol_report</t>
        </is>
      </c>
      <c r="F4" s="18" t="inlineStr">
        <is>
          <t>no</t>
        </is>
      </c>
      <c r="G4" s="12">
        <f>IFERROR(IF(LEN(TRIM(CLEAN(SUBSTITUTE(Setup!$B$2,CHAR(160)," "))))=0,"ENTER REVIEWER ID",IF(OR(A4="",COUNTIF($A$2:$A$6,A4)&lt;&gt;1,LEFT(A4,LEN("2024::jama.2024.2302::"))&lt;&gt;"2024::jama.2024.2302::"),"CHECK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COMPLETE",IF(F4&lt;&gt;"primary_done","PRIMARY DRAFT","PRIMARY READY")))))),"CHECK KEY / INPUT")</f>
        <v/>
      </c>
      <c r="H4" s="18">
        <f>IF(AND(OR(D4="retain",D4=""),E4="statistical_results"),"","not_applicable")</f>
        <v/>
      </c>
      <c r="I4" s="18">
        <f>IF(AND(OR(D4="retain",D4=""),E4="statistical_results"),"","not_applicable")</f>
        <v/>
      </c>
      <c r="J4" s="19">
        <f>IF(AND(OR(D4="retain",D4=""),E4="statistical_results"),"","not_applicable")</f>
        <v/>
      </c>
      <c r="K4" s="18">
        <f>IF(AND(OR(D4="retain",D4=""),OR(E4="report_internal_inconsistency",E4="plan_material")),"","not_applicable")</f>
        <v/>
      </c>
      <c r="L4" s="19">
        <f>IF(AND(OR(D4="retain",D4=""),E4="protocol_report"),"","not_applicable")</f>
        <v/>
      </c>
      <c r="M4" s="12" t="n"/>
      <c r="N4" s="7" t="n"/>
      <c r="O4" s="7" t="n"/>
      <c r="P4" s="7" t="n"/>
      <c r="Q4" s="7" t="n"/>
      <c r="R4" s="19" t="n"/>
    </row>
    <row r="5" ht="92" customFormat="1" customHeight="1" s="8">
      <c r="A5" s="11" t="inlineStr">
        <is>
          <t>2024::jama.2024.2302::C004</t>
        </is>
      </c>
      <c r="B5" s="11" t="inlineStr">
        <is>
          <t>Gestational-age boundary</t>
        </is>
      </c>
      <c r="C5" s="11" t="inlineStr">
        <is>
          <t>main article — PDF p. 8, Figure 3; SAP — PDF p. 3; SAP — PDF p. 8; SAP — PDF p. 9.</t>
        </is>
      </c>
      <c r="D5" s="18" t="n"/>
      <c r="E5" s="18" t="inlineStr">
        <is>
          <t>protocol_report</t>
        </is>
      </c>
      <c r="F5" s="18" t="inlineStr">
        <is>
          <t>no</t>
        </is>
      </c>
      <c r="G5" s="11">
        <f>IFERROR(IF(LEN(TRIM(CLEAN(SUBSTITUTE(Setup!$B$2,CHAR(160)," "))))=0,"ENTER REVIEWER ID",IF(OR(A5="",COUNTIF($A$2:$A$6,A5)&lt;&gt;1,LEFT(A5,LEN("2024::jama.2024.2302::"))&lt;&gt;"2024::jama.2024.2302::"),"CHECK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COMPLETE",IF(F5&lt;&gt;"primary_done","PRIMARY DRAFT","PRIMARY READY")))))),"CHECK KEY / INPUT")</f>
        <v/>
      </c>
      <c r="H5" s="18">
        <f>IF(AND(OR(D5="retain",D5=""),E5="statistical_results"),"","not_applicable")</f>
        <v/>
      </c>
      <c r="I5" s="18">
        <f>IF(AND(OR(D5="retain",D5=""),E5="statistical_results"),"","not_applicable")</f>
        <v/>
      </c>
      <c r="J5" s="19">
        <f>IF(AND(OR(D5="retain",D5=""),E5="statistical_results"),"","not_applicable")</f>
        <v/>
      </c>
      <c r="K5" s="18">
        <f>IF(AND(OR(D5="retain",D5=""),OR(E5="report_internal_inconsistency",E5="plan_material")),"","not_applicable")</f>
        <v/>
      </c>
      <c r="L5" s="19">
        <f>IF(AND(OR(D5="retain",D5=""),E5="protocol_report"),"","not_applicable")</f>
        <v/>
      </c>
      <c r="M5" s="11" t="n"/>
      <c r="N5" s="7" t="n"/>
      <c r="O5" s="7" t="n"/>
      <c r="P5" s="7" t="n"/>
      <c r="Q5" s="7" t="n"/>
      <c r="R5" s="19" t="n"/>
    </row>
    <row r="6" ht="92" customFormat="1" customHeight="1" s="8">
      <c r="A6" s="12" t="inlineStr">
        <is>
          <t>2024::jama.2024.2302::C005</t>
        </is>
      </c>
      <c r="B6" s="12" t="inlineStr">
        <is>
          <t>Primary-outcome time origin</t>
        </is>
      </c>
      <c r="C6" s="12" t="inlineStr">
        <is>
          <t>protocol — PDF p. 3; protocol — PDF p. 11; SAP — PDF p. 7; main article — PDF p. 3. Main article — PDF p. 6 footnote g is secondary-outcome context only, as it attaches to the hospital-stay row.</t>
        </is>
      </c>
      <c r="D6" s="18" t="n"/>
      <c r="E6" s="18" t="inlineStr">
        <is>
          <t>protocol_report</t>
        </is>
      </c>
      <c r="F6" s="18" t="inlineStr">
        <is>
          <t>no</t>
        </is>
      </c>
      <c r="G6" s="12">
        <f>IFERROR(IF(LEN(TRIM(CLEAN(SUBSTITUTE(Setup!$B$2,CHAR(160)," "))))=0,"ENTER REVIEWER ID",IF(OR(A6="",COUNTIF($A$2:$A$6,A6)&lt;&gt;1,LEFT(A6,LEN("2024::jama.2024.2302::"))&lt;&gt;"2024::jama.2024.2302::"),"CHECK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COMPLETE",IF(F6&lt;&gt;"primary_done","PRIMARY DRAFT","PRIMARY READY")))))),"CHECK KEY / INPUT")</f>
        <v/>
      </c>
      <c r="H6" s="18">
        <f>IF(AND(OR(D6="retain",D6=""),E6="statistical_results"),"","not_applicable")</f>
        <v/>
      </c>
      <c r="I6" s="18">
        <f>IF(AND(OR(D6="retain",D6=""),E6="statistical_results"),"","not_applicable")</f>
        <v/>
      </c>
      <c r="J6" s="19">
        <f>IF(AND(OR(D6="retain",D6=""),E6="statistical_results"),"","not_applicable")</f>
        <v/>
      </c>
      <c r="K6" s="18">
        <f>IF(AND(OR(D6="retain",D6=""),OR(E6="report_internal_inconsistency",E6="plan_material")),"","not_applicable")</f>
        <v/>
      </c>
      <c r="L6" s="19">
        <f>IF(AND(OR(D6="retain",D6=""),E6="protocol_report"),"","not_applicable")</f>
        <v/>
      </c>
      <c r="M6" s="12" t="n"/>
      <c r="N6" s="7" t="n"/>
      <c r="O6" s="7" t="n"/>
      <c r="P6" s="7" t="n"/>
      <c r="Q6" s="7" t="n"/>
      <c r="R6" s="19" t="n"/>
    </row>
  </sheetData>
  <autoFilter ref="A1:R6"/>
  <conditionalFormatting sqref="H2:H6">
    <cfRule type="expression" priority="8" dxfId="70">
      <formula>NOT(AND(OR($D2="retain",$D2=""),$E2="statistical_results"))</formula>
    </cfRule>
  </conditionalFormatting>
  <conditionalFormatting sqref="I2:I6">
    <cfRule type="expression" priority="9" dxfId="70">
      <formula>NOT(AND(OR($D2="retain",$D2=""),$E2="statistical_results"))</formula>
    </cfRule>
  </conditionalFormatting>
  <conditionalFormatting sqref="J2:J6">
    <cfRule type="expression" priority="10" dxfId="70">
      <formula>NOT(AND(OR($D2="retain",$D2=""),$E2="statistical_results"))</formula>
    </cfRule>
  </conditionalFormatting>
  <conditionalFormatting sqref="K2:K6">
    <cfRule type="expression" priority="11" dxfId="70">
      <formula>NOT(AND(OR($D2="retain",$D2=""),OR($E2="report_internal_inconsistency",$E2="plan_material")))</formula>
    </cfRule>
  </conditionalFormatting>
  <conditionalFormatting sqref="L2:L6">
    <cfRule type="expression" priority="12" dxfId="70">
      <formula>NOT(AND(OR($D2="retain",$D2=""),$E2="protocol_report"))</formula>
    </cfRule>
  </conditionalFormatting>
  <conditionalFormatting sqref="G2:G6">
    <cfRule type="expression" priority="13" dxfId="71">
      <formula>G2&lt;&gt;"PRIMARY READY"</formula>
    </cfRule>
  </conditionalFormatting>
  <dataValidations count="8">
    <dataValidation sqref="D2:D6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"retain,exclude,discuss"</formula1>
    </dataValidation>
    <dataValidation sqref="E2:E6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"statistical_results,report_internal_inconsistency,plan_material,protocol_report"</formula1>
    </dataValidation>
    <dataValidation sqref="F2:F6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"no,primary_done"</formula1>
    </dataValidation>
    <dataValidation sqref="H2:H6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"confirmed_issue,probable_issue,not_issue,indeterminate,not_applicable"</formula1>
    </dataValidation>
    <dataValidation sqref="I2:I6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"substantive,minor_presentation,indeterminate,not_applicable"</formula1>
    </dataValidation>
    <dataValidation sqref="J2:J6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"direct,possible,unlikely,unknown,not_applicable"</formula1>
    </dataValidation>
    <dataValidation sqref="K2:K6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"substantive_inconsistency,minor_presentation,non_inconsistency,indeterminate,not_applicable"</formula1>
    </dataValidation>
    <dataValidation sqref="L2:L6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"substantive_difference,minor_presentation,version_timing,non_inconsistency,indeterminate,not_applicable"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6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6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5" t="n"/>
      <c r="N1" s="5" t="n"/>
      <c r="O1" s="5" t="n"/>
      <c r="P1" s="5" t="n"/>
      <c r="Q1" s="5" t="n"/>
      <c r="R1" s="5" t="inlineStr">
        <is>
          <t>Notes (optional)</t>
        </is>
      </c>
    </row>
    <row r="2" ht="92" customFormat="1" customHeight="1" s="8">
      <c r="A2" s="12" t="inlineStr">
        <is>
          <t>2024::jama.2024.23898::C001</t>
        </is>
      </c>
      <c r="B2" s="12" t="inlineStr">
        <is>
          <t>Primary-outcome 72-hour clock origin is not stated consistently</t>
        </is>
      </c>
      <c r="C2" s="12" t="inlineStr">
        <is>
          <t>main article — PDF p. 1; main article — PDF p. 5; main article — PDF p. 6; SAP — PDF p. 9.</t>
        </is>
      </c>
      <c r="D2" s="18" t="n"/>
      <c r="E2" s="18" t="inlineStr">
        <is>
          <t>protocol_report</t>
        </is>
      </c>
      <c r="F2" s="18" t="inlineStr">
        <is>
          <t>no</t>
        </is>
      </c>
      <c r="G2" s="12">
        <f>IFERROR(IF(LEN(TRIM(CLEAN(SUBSTITUTE(Setup!$B$2,CHAR(160)," "))))=0,"ENTER REVIEWER ID",IF(OR(A2="",COUNTIF($A$2:$A$8,A2)&lt;&gt;1,LEFT(A2,LEN("2024::jama.2024.23898::"))&lt;&gt;"2024::jama.2024.23898::"),"CHECK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COMPLETE",IF(F2&lt;&gt;"primary_done","PRIMARY DRAFT","PRIMARY READY")))))),"CHECK KEY / INPUT")</f>
        <v/>
      </c>
      <c r="H2" s="18">
        <f>IF(AND(OR(D2="retain",D2=""),E2="statistical_results"),"","not_applicable")</f>
        <v/>
      </c>
      <c r="I2" s="18">
        <f>IF(AND(OR(D2="retain",D2=""),E2="statistical_results"),"","not_applicable")</f>
        <v/>
      </c>
      <c r="J2" s="19">
        <f>IF(AND(OR(D2="retain",D2=""),E2="statistical_results"),"","not_applicable")</f>
        <v/>
      </c>
      <c r="K2" s="18">
        <f>IF(AND(OR(D2="retain",D2=""),OR(E2="report_internal_inconsistency",E2="plan_material")),"","not_applicable")</f>
        <v/>
      </c>
      <c r="L2" s="19">
        <f>IF(AND(OR(D2="retain",D2=""),E2="protocol_report"),"","not_applicable")</f>
        <v/>
      </c>
      <c r="M2" s="12" t="n"/>
      <c r="N2" s="7" t="n"/>
      <c r="O2" s="7" t="n"/>
      <c r="P2" s="7" t="n"/>
      <c r="Q2" s="7" t="n"/>
      <c r="R2" s="19" t="n"/>
    </row>
    <row r="3" ht="92" customFormat="1" customHeight="1" s="8">
      <c r="A3" s="11" t="inlineStr">
        <is>
          <t>2024::jama.2024.23898::C002</t>
        </is>
      </c>
      <c r="B3" s="11" t="inlineStr">
        <is>
          <t>Postoperative opioid-consumption window is 24 hours versus 72 hours</t>
        </is>
      </c>
      <c r="C3" s="11" t="inlineStr">
        <is>
          <t>main article — PDF p. 4; main article — PDF p. 6; protocol — PDF p. 17; SAP — PDF p. 11.</t>
        </is>
      </c>
      <c r="D3" s="18" t="n"/>
      <c r="E3" s="18" t="inlineStr">
        <is>
          <t>protocol_report</t>
        </is>
      </c>
      <c r="F3" s="18" t="inlineStr">
        <is>
          <t>no</t>
        </is>
      </c>
      <c r="G3" s="11">
        <f>IFERROR(IF(LEN(TRIM(CLEAN(SUBSTITUTE(Setup!$B$2,CHAR(160)," "))))=0,"ENTER REVIEWER ID",IF(OR(A3="",COUNTIF($A$2:$A$8,A3)&lt;&gt;1,LEFT(A3,LEN("2024::jama.2024.23898::"))&lt;&gt;"2024::jama.2024.23898::"),"CHECK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COMPLETE",IF(F3&lt;&gt;"primary_done","PRIMARY DRAFT","PRIMARY READY")))))),"CHECK KEY / INPUT")</f>
        <v/>
      </c>
      <c r="H3" s="18">
        <f>IF(AND(OR(D3="retain",D3=""),E3="statistical_results"),"","not_applicable")</f>
        <v/>
      </c>
      <c r="I3" s="18">
        <f>IF(AND(OR(D3="retain",D3=""),E3="statistical_results"),"","not_applicable")</f>
        <v/>
      </c>
      <c r="J3" s="19">
        <f>IF(AND(OR(D3="retain",D3=""),E3="statistical_results"),"","not_applicable")</f>
        <v/>
      </c>
      <c r="K3" s="18">
        <f>IF(AND(OR(D3="retain",D3=""),OR(E3="report_internal_inconsistency",E3="plan_material")),"","not_applicable")</f>
        <v/>
      </c>
      <c r="L3" s="19">
        <f>IF(AND(OR(D3="retain",D3=""),E3="protocol_report"),"","not_applicable")</f>
        <v/>
      </c>
      <c r="M3" s="11" t="n"/>
      <c r="N3" s="7" t="n"/>
      <c r="O3" s="7" t="n"/>
      <c r="P3" s="7" t="n"/>
      <c r="Q3" s="7" t="n"/>
      <c r="R3" s="19" t="n"/>
    </row>
    <row r="4" ht="92" customFormat="1" customHeight="1" s="8">
      <c r="A4" s="12" t="inlineStr">
        <is>
          <t>2024::jama.2024.23898::C003</t>
        </is>
      </c>
      <c r="B4" s="12" t="inlineStr">
        <is>
          <t>Unplanned-readmission window is 90 days versus 30 days</t>
        </is>
      </c>
      <c r="C4" s="12" t="inlineStr">
        <is>
          <t>main article — PDF p. 4; main article — PDF p. 8; protocol — PDF p. 18; SAP — PDF p. 10; SAP — PDF p. 27.</t>
        </is>
      </c>
      <c r="D4" s="18" t="n"/>
      <c r="E4" s="18" t="inlineStr">
        <is>
          <t>protocol_report</t>
        </is>
      </c>
      <c r="F4" s="18" t="inlineStr">
        <is>
          <t>no</t>
        </is>
      </c>
      <c r="G4" s="12">
        <f>IFERROR(IF(LEN(TRIM(CLEAN(SUBSTITUTE(Setup!$B$2,CHAR(160)," "))))=0,"ENTER REVIEWER ID",IF(OR(A4="",COUNTIF($A$2:$A$8,A4)&lt;&gt;1,LEFT(A4,LEN("2024::jama.2024.23898::"))&lt;&gt;"2024::jama.2024.23898::"),"CHECK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COMPLETE",IF(F4&lt;&gt;"primary_done","PRIMARY DRAFT","PRIMARY READY")))))),"CHECK KEY / INPUT")</f>
        <v/>
      </c>
      <c r="H4" s="18">
        <f>IF(AND(OR(D4="retain",D4=""),E4="statistical_results"),"","not_applicable")</f>
        <v/>
      </c>
      <c r="I4" s="18">
        <f>IF(AND(OR(D4="retain",D4=""),E4="statistical_results"),"","not_applicable")</f>
        <v/>
      </c>
      <c r="J4" s="19">
        <f>IF(AND(OR(D4="retain",D4=""),E4="statistical_results"),"","not_applicable")</f>
        <v/>
      </c>
      <c r="K4" s="18">
        <f>IF(AND(OR(D4="retain",D4=""),OR(E4="report_internal_inconsistency",E4="plan_material")),"","not_applicable")</f>
        <v/>
      </c>
      <c r="L4" s="19">
        <f>IF(AND(OR(D4="retain",D4=""),E4="protocol_report"),"","not_applicable")</f>
        <v/>
      </c>
      <c r="M4" s="12" t="n"/>
      <c r="N4" s="7" t="n"/>
      <c r="O4" s="7" t="n"/>
      <c r="P4" s="7" t="n"/>
      <c r="Q4" s="7" t="n"/>
      <c r="R4" s="19" t="n"/>
    </row>
    <row r="5" ht="92" customFormat="1" customHeight="1" s="8">
      <c r="A5" s="11" t="inlineStr">
        <is>
          <t>2024::jama.2024.23898::C004</t>
        </is>
      </c>
      <c r="B5" s="11" t="inlineStr">
        <is>
          <t>ERAS subgroup cut points differ from the protocol bands</t>
        </is>
      </c>
      <c r="C5" s="11" t="inlineStr">
        <is>
          <t>protocol — PDF p. 17; protocol — PDF p. 18; SAP — PDF p. 15; results supplement — PDF p. 2.</t>
        </is>
      </c>
      <c r="D5" s="18" t="n"/>
      <c r="E5" s="18" t="inlineStr">
        <is>
          <t>protocol_report</t>
        </is>
      </c>
      <c r="F5" s="18" t="inlineStr">
        <is>
          <t>no</t>
        </is>
      </c>
      <c r="G5" s="11">
        <f>IFERROR(IF(LEN(TRIM(CLEAN(SUBSTITUTE(Setup!$B$2,CHAR(160)," "))))=0,"ENTER REVIEWER ID",IF(OR(A5="",COUNTIF($A$2:$A$8,A5)&lt;&gt;1,LEFT(A5,LEN("2024::jama.2024.23898::"))&lt;&gt;"2024::jama.2024.23898::"),"CHECK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COMPLETE",IF(F5&lt;&gt;"primary_done","PRIMARY DRAFT","PRIMARY READY")))))),"CHECK KEY / INPUT")</f>
        <v/>
      </c>
      <c r="H5" s="18">
        <f>IF(AND(OR(D5="retain",D5=""),E5="statistical_results"),"","not_applicable")</f>
        <v/>
      </c>
      <c r="I5" s="18">
        <f>IF(AND(OR(D5="retain",D5=""),E5="statistical_results"),"","not_applicable")</f>
        <v/>
      </c>
      <c r="J5" s="19">
        <f>IF(AND(OR(D5="retain",D5=""),E5="statistical_results"),"","not_applicable")</f>
        <v/>
      </c>
      <c r="K5" s="18">
        <f>IF(AND(OR(D5="retain",D5=""),OR(E5="report_internal_inconsistency",E5="plan_material")),"","not_applicable")</f>
        <v/>
      </c>
      <c r="L5" s="19">
        <f>IF(AND(OR(D5="retain",D5=""),E5="protocol_report"),"","not_applicable")</f>
        <v/>
      </c>
      <c r="M5" s="11" t="n"/>
      <c r="N5" s="7" t="n"/>
      <c r="O5" s="7" t="n"/>
      <c r="P5" s="7" t="n"/>
      <c r="Q5" s="7" t="n"/>
      <c r="R5" s="19" t="n"/>
    </row>
    <row r="6" ht="92" customFormat="1" customHeight="1" s="8">
      <c r="A6" s="12" t="inlineStr">
        <is>
          <t>2024::jama.2024.23898::C005</t>
        </is>
      </c>
      <c r="B6" s="12" t="inlineStr">
        <is>
          <t>The eFigure assigns both 99% and 95% labels to the same intervals</t>
        </is>
      </c>
      <c r="C6" s="12" t="inlineStr">
        <is>
          <t>results supplement — PDF p. 2; SAP — PDF p. 15.</t>
        </is>
      </c>
      <c r="D6" s="18" t="n"/>
      <c r="E6" s="18" t="inlineStr">
        <is>
          <t>statistical_results</t>
        </is>
      </c>
      <c r="F6" s="18" t="inlineStr">
        <is>
          <t>no</t>
        </is>
      </c>
      <c r="G6" s="12">
        <f>IFERROR(IF(LEN(TRIM(CLEAN(SUBSTITUTE(Setup!$B$2,CHAR(160)," "))))=0,"ENTER REVIEWER ID",IF(OR(A6="",COUNTIF($A$2:$A$8,A6)&lt;&gt;1,LEFT(A6,LEN("2024::jama.2024.23898::"))&lt;&gt;"2024::jama.2024.23898::"),"CHECK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COMPLETE",IF(F6&lt;&gt;"primary_done","PRIMARY DRAFT","PRIMARY READY")))))),"CHECK KEY / INPUT")</f>
        <v/>
      </c>
      <c r="H6" s="18">
        <f>IF(AND(OR(D6="retain",D6=""),E6="statistical_results"),"","not_applicable")</f>
        <v/>
      </c>
      <c r="I6" s="18">
        <f>IF(AND(OR(D6="retain",D6=""),E6="statistical_results"),"","not_applicable")</f>
        <v/>
      </c>
      <c r="J6" s="19">
        <f>IF(AND(OR(D6="retain",D6=""),E6="statistical_results"),"","not_applicable")</f>
        <v/>
      </c>
      <c r="K6" s="18">
        <f>IF(AND(OR(D6="retain",D6=""),OR(E6="report_internal_inconsistency",E6="plan_material")),"","not_applicable")</f>
        <v/>
      </c>
      <c r="L6" s="19">
        <f>IF(AND(OR(D6="retain",D6=""),E6="protocol_report"),"","not_applicable")</f>
        <v/>
      </c>
      <c r="M6" s="12" t="n"/>
      <c r="N6" s="7" t="n"/>
      <c r="O6" s="7" t="n"/>
      <c r="P6" s="7" t="n"/>
      <c r="Q6" s="7" t="n"/>
      <c r="R6" s="19" t="n"/>
    </row>
    <row r="7" ht="92" customFormat="1" customHeight="1" s="8">
      <c r="A7" s="11" t="inlineStr">
        <is>
          <t>2024::jama.2024.23898::C006</t>
        </is>
      </c>
      <c r="B7" s="11" t="inlineStr">
        <is>
          <t>Day-5 EQ-5D inference conflicts with blanket no-difference prose</t>
        </is>
      </c>
      <c r="C7" s="11" t="inlineStr">
        <is>
          <t>main article — PDF p. 5; main article — PDF p. 6; SAP — PDF p. 13; SAP — PDF p. 14.</t>
        </is>
      </c>
      <c r="D7" s="18" t="n"/>
      <c r="E7" s="18" t="inlineStr">
        <is>
          <t>statistical_results</t>
        </is>
      </c>
      <c r="F7" s="18" t="inlineStr">
        <is>
          <t>no</t>
        </is>
      </c>
      <c r="G7" s="11">
        <f>IFERROR(IF(LEN(TRIM(CLEAN(SUBSTITUTE(Setup!$B$2,CHAR(160)," "))))=0,"ENTER REVIEWER ID",IF(OR(A7="",COUNTIF($A$2:$A$8,A7)&lt;&gt;1,LEFT(A7,LEN("2024::jama.2024.23898::"))&lt;&gt;"2024::jama.2024.23898::"),"CHECK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COMPLETE",IF(F7&lt;&gt;"primary_done","PRIMARY DRAFT","PRIMARY READY")))))),"CHECK KEY / INPUT")</f>
        <v/>
      </c>
      <c r="H7" s="18">
        <f>IF(AND(OR(D7="retain",D7=""),E7="statistical_results"),"","not_applicable")</f>
        <v/>
      </c>
      <c r="I7" s="18">
        <f>IF(AND(OR(D7="retain",D7=""),E7="statistical_results"),"","not_applicable")</f>
        <v/>
      </c>
      <c r="J7" s="19">
        <f>IF(AND(OR(D7="retain",D7=""),E7="statistical_results"),"","not_applicable")</f>
        <v/>
      </c>
      <c r="K7" s="18">
        <f>IF(AND(OR(D7="retain",D7=""),OR(E7="report_internal_inconsistency",E7="plan_material")),"","not_applicable")</f>
        <v/>
      </c>
      <c r="L7" s="19">
        <f>IF(AND(OR(D7="retain",D7=""),E7="protocol_report"),"","not_applicable")</f>
        <v/>
      </c>
      <c r="M7" s="11" t="n"/>
      <c r="N7" s="7" t="n"/>
      <c r="O7" s="7" t="n"/>
      <c r="P7" s="7" t="n"/>
      <c r="Q7" s="7" t="n"/>
      <c r="R7" s="19" t="n"/>
    </row>
    <row r="8" ht="92" customFormat="1" customHeight="1" s="8">
      <c r="A8" s="12" t="inlineStr">
        <is>
          <t>2024::jama.2024.23898::C007</t>
        </is>
      </c>
      <c r="B8" s="12" t="inlineStr">
        <is>
          <t>ERAS subgroup is labeled as two levels versus three levels</t>
        </is>
      </c>
      <c r="C8" s="12" t="inlineStr">
        <is>
          <t>main article — PDF p. 5; SAP — PDF p. 15; results supplement — PDF p. 2.</t>
        </is>
      </c>
      <c r="D8" s="18" t="n"/>
      <c r="E8" s="18" t="inlineStr">
        <is>
          <t>protocol_report</t>
        </is>
      </c>
      <c r="F8" s="18" t="inlineStr">
        <is>
          <t>no</t>
        </is>
      </c>
      <c r="G8" s="12">
        <f>IFERROR(IF(LEN(TRIM(CLEAN(SUBSTITUTE(Setup!$B$2,CHAR(160)," "))))=0,"ENTER REVIEWER ID",IF(OR(A8="",COUNTIF($A$2:$A$8,A8)&lt;&gt;1,LEFT(A8,LEN("2024::jama.2024.23898::"))&lt;&gt;"2024::jama.2024.23898::"),"CHECK KEY",IF(OR(AND(NOT(AND(D8="retain",E8="statistical_results")),H8&lt;&gt;"",H8&lt;&gt;"not_applicable"),AND(NOT(AND(D8="retain",E8="statistical_results")),I8&lt;&gt;"",I8&lt;&gt;"not_applicable"),AND(NOT(AND(D8="retain",E8="statistical_results")),J8&lt;&gt;"",J8&lt;&gt;"not_applicable"),AND(NOT(AND(D8="retain",OR(E8="report_internal_inconsistency",E8="plan_material"))),K8&lt;&gt;"",K8&lt;&gt;"not_applicable"),AND(NOT(AND(D8="retain",E8="protocol_report")),L8&lt;&gt;"",L8&lt;&gt;"not_applicable")),"CLEAR INACTIVE VALUES",IF(OR(NOT(OR(D8="retain",D8="exclude",D8="discuss")),NOT(OR(E8="statistical_results",E8="report_internal_inconsistency",E8="plan_material",E8="protocol_report")),AND(AND(D8="retain",E8="statistical_results"),NOT(OR(H8="confirmed_issue",H8="probable_issue",H8="not_issue",H8="indeterminate"))),AND(AND(D8="retain",E8="statistical_results"),NOT(OR(I8="substantive",I8="minor_presentation",I8="indeterminate"))),AND(AND(D8="retain",E8="statistical_results"),J8&lt;&gt;"",NOT(OR(J8="direct",J8="possible",J8="unlikely",J8="unknown"))),AND(AND(D8="retain",OR(E8="report_internal_inconsistency",E8="plan_material")),NOT(OR(K8="substantive_inconsistency",K8="minor_presentation",K8="non_inconsistency",K8="indeterminate"))),AND(AND(D8="retain",E8="protocol_report"),L8&lt;&gt;"",NOT(OR(L8="substantive_difference",L8="minor_presentation",L8="version_timing",L8="non_inconsistency",L8="indeterminate")))),"CHECK FIELDS",IF(AND(F8&lt;&gt;"",NOT(OR(F8="no",F8="primary_done"))),"CHECK COMPLETE",IF(F8&lt;&gt;"primary_done","PRIMARY DRAFT","PRIMARY READY")))))),"CHECK KEY / INPUT")</f>
        <v/>
      </c>
      <c r="H8" s="18">
        <f>IF(AND(OR(D8="retain",D8=""),E8="statistical_results"),"","not_applicable")</f>
        <v/>
      </c>
      <c r="I8" s="18">
        <f>IF(AND(OR(D8="retain",D8=""),E8="statistical_results"),"","not_applicable")</f>
        <v/>
      </c>
      <c r="J8" s="19">
        <f>IF(AND(OR(D8="retain",D8=""),E8="statistical_results"),"","not_applicable")</f>
        <v/>
      </c>
      <c r="K8" s="18">
        <f>IF(AND(OR(D8="retain",D8=""),OR(E8="report_internal_inconsistency",E8="plan_material")),"","not_applicable")</f>
        <v/>
      </c>
      <c r="L8" s="19">
        <f>IF(AND(OR(D8="retain",D8=""),E8="protocol_report"),"","not_applicable")</f>
        <v/>
      </c>
      <c r="M8" s="12" t="n"/>
      <c r="N8" s="7" t="n"/>
      <c r="O8" s="7" t="n"/>
      <c r="P8" s="7" t="n"/>
      <c r="Q8" s="7" t="n"/>
      <c r="R8" s="19" t="n"/>
    </row>
  </sheetData>
  <autoFilter ref="A1:R8"/>
  <conditionalFormatting sqref="H2:H8">
    <cfRule type="expression" priority="8" dxfId="70">
      <formula>NOT(AND(OR($D2="retain",$D2=""),$E2="statistical_results"))</formula>
    </cfRule>
  </conditionalFormatting>
  <conditionalFormatting sqref="I2:I8">
    <cfRule type="expression" priority="9" dxfId="70">
      <formula>NOT(AND(OR($D2="retain",$D2=""),$E2="statistical_results"))</formula>
    </cfRule>
  </conditionalFormatting>
  <conditionalFormatting sqref="J2:J8">
    <cfRule type="expression" priority="10" dxfId="70">
      <formula>NOT(AND(OR($D2="retain",$D2=""),$E2="statistical_results"))</formula>
    </cfRule>
  </conditionalFormatting>
  <conditionalFormatting sqref="K2:K8">
    <cfRule type="expression" priority="11" dxfId="70">
      <formula>NOT(AND(OR($D2="retain",$D2=""),OR($E2="report_internal_inconsistency",$E2="plan_material")))</formula>
    </cfRule>
  </conditionalFormatting>
  <conditionalFormatting sqref="L2:L8">
    <cfRule type="expression" priority="12" dxfId="70">
      <formula>NOT(AND(OR($D2="retain",$D2=""),$E2="protocol_report"))</formula>
    </cfRule>
  </conditionalFormatting>
  <conditionalFormatting sqref="G2:G8">
    <cfRule type="expression" priority="13" dxfId="71">
      <formula>G2&lt;&gt;"PRIMARY READY"</formula>
    </cfRule>
  </conditionalFormatting>
  <dataValidations count="8">
    <dataValidation sqref="D2:D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"retain,exclude,discuss"</formula1>
    </dataValidation>
    <dataValidation sqref="E2:E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"statistical_results,report_internal_inconsistency,plan_material,protocol_report"</formula1>
    </dataValidation>
    <dataValidation sqref="F2:F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"no,primary_done"</formula1>
    </dataValidation>
    <dataValidation sqref="H2:H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"confirmed_issue,probable_issue,not_issue,indeterminate,not_applicable"</formula1>
    </dataValidation>
    <dataValidation sqref="I2:I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"substantive,minor_presentation,indeterminate,not_applicable"</formula1>
    </dataValidation>
    <dataValidation sqref="J2:J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"direct,possible,unlikely,unknown,not_applicable"</formula1>
    </dataValidation>
    <dataValidation sqref="K2:K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"substantive_inconsistency,minor_presentation,non_inconsistency,indeterminate,not_applicable"</formula1>
    </dataValidation>
    <dataValidation sqref="L2:L8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"substantive_difference,minor_presentation,version_timing,non_inconsistency,indeterminate,not_applicable"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</hyperlink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6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6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5" t="n"/>
      <c r="N1" s="5" t="n"/>
      <c r="O1" s="5" t="n"/>
      <c r="P1" s="5" t="n"/>
      <c r="Q1" s="5" t="n"/>
      <c r="R1" s="5" t="inlineStr">
        <is>
          <t>Notes (optional)</t>
        </is>
      </c>
    </row>
    <row r="2" ht="92" customFormat="1" customHeight="1" s="8">
      <c r="A2" s="12" t="inlineStr">
        <is>
          <t>2024::jama.2024.25786::C001</t>
        </is>
      </c>
      <c r="B2" s="12" t="inlineStr">
        <is>
          <t>Liberal walk-in transport percentage does not reconcile with 4/743</t>
        </is>
      </c>
      <c r="C2" s="12" t="inlineStr">
        <is>
          <t>Supplement 2, eTable 2, PDF p. 15, liberal oxygen group, walk-in transport row.</t>
        </is>
      </c>
      <c r="D2" s="18" t="n"/>
      <c r="E2" s="18" t="inlineStr">
        <is>
          <t>statistical_results</t>
        </is>
      </c>
      <c r="F2" s="18" t="inlineStr">
        <is>
          <t>no</t>
        </is>
      </c>
      <c r="G2" s="12">
        <f>IFERROR(IF(LEN(TRIM(CLEAN(SUBSTITUTE(Setup!$B$2,CHAR(160)," "))))=0,"ENTER REVIEWER ID",IF(OR(A2="",COUNTIF($A$2:$A$9,A2)&lt;&gt;1,LEFT(A2,LEN("2024::jama.2024.25786::"))&lt;&gt;"2024::jama.2024.25786::"),"CHECK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COMPLETE",IF(F2&lt;&gt;"primary_done","PRIMARY DRAFT","PRIMARY READY")))))),"CHECK KEY / INPUT")</f>
        <v/>
      </c>
      <c r="H2" s="18">
        <f>IF(AND(OR(D2="retain",D2=""),E2="statistical_results"),"","not_applicable")</f>
        <v/>
      </c>
      <c r="I2" s="18">
        <f>IF(AND(OR(D2="retain",D2=""),E2="statistical_results"),"","not_applicable")</f>
        <v/>
      </c>
      <c r="J2" s="19">
        <f>IF(AND(OR(D2="retain",D2=""),E2="statistical_results"),"","not_applicable")</f>
        <v/>
      </c>
      <c r="K2" s="18">
        <f>IF(AND(OR(D2="retain",D2=""),OR(E2="report_internal_inconsistency",E2="plan_material")),"","not_applicable")</f>
        <v/>
      </c>
      <c r="L2" s="19">
        <f>IF(AND(OR(D2="retain",D2=""),E2="protocol_report"),"","not_applicable")</f>
        <v/>
      </c>
      <c r="M2" s="12" t="n"/>
      <c r="N2" s="7" t="n"/>
      <c r="O2" s="7" t="n"/>
      <c r="P2" s="7" t="n"/>
      <c r="Q2" s="7" t="n"/>
      <c r="R2" s="19" t="n"/>
    </row>
    <row r="3" ht="92" customFormat="1" customHeight="1" s="8">
      <c r="A3" s="11" t="inlineStr">
        <is>
          <t>2024::jama.2024.25786::C002</t>
        </is>
      </c>
      <c r="B3" s="11" t="inlineStr">
        <is>
          <t>Liberal vascular-surgery percentage is nonzero with a printed zero numerator</t>
        </is>
      </c>
      <c r="C3" s="11" t="inlineStr">
        <is>
          <t>Supplement 2, eTable 2, PDF p. 15, liberal oxygen group, vascular surgery row.</t>
        </is>
      </c>
      <c r="D3" s="18" t="n"/>
      <c r="E3" s="18" t="inlineStr">
        <is>
          <t>statistical_results</t>
        </is>
      </c>
      <c r="F3" s="18" t="inlineStr">
        <is>
          <t>no</t>
        </is>
      </c>
      <c r="G3" s="11">
        <f>IFERROR(IF(LEN(TRIM(CLEAN(SUBSTITUTE(Setup!$B$2,CHAR(160)," "))))=0,"ENTER REVIEWER ID",IF(OR(A3="",COUNTIF($A$2:$A$9,A3)&lt;&gt;1,LEFT(A3,LEN("2024::jama.2024.25786::"))&lt;&gt;"2024::jama.2024.25786::"),"CHECK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COMPLETE",IF(F3&lt;&gt;"primary_done","PRIMARY DRAFT","PRIMARY READY")))))),"CHECK KEY / INPUT")</f>
        <v/>
      </c>
      <c r="H3" s="18">
        <f>IF(AND(OR(D3="retain",D3=""),E3="statistical_results"),"","not_applicable")</f>
        <v/>
      </c>
      <c r="I3" s="18">
        <f>IF(AND(OR(D3="retain",D3=""),E3="statistical_results"),"","not_applicable")</f>
        <v/>
      </c>
      <c r="J3" s="19">
        <f>IF(AND(OR(D3="retain",D3=""),E3="statistical_results"),"","not_applicable")</f>
        <v/>
      </c>
      <c r="K3" s="18">
        <f>IF(AND(OR(D3="retain",D3=""),OR(E3="report_internal_inconsistency",E3="plan_material")),"","not_applicable")</f>
        <v/>
      </c>
      <c r="L3" s="19">
        <f>IF(AND(OR(D3="retain",D3=""),E3="protocol_report"),"","not_applicable")</f>
        <v/>
      </c>
      <c r="M3" s="11" t="n"/>
      <c r="N3" s="7" t="n"/>
      <c r="O3" s="7" t="n"/>
      <c r="P3" s="7" t="n"/>
      <c r="Q3" s="7" t="n"/>
      <c r="R3" s="19" t="n"/>
    </row>
    <row r="4" ht="92" customFormat="1" customHeight="1" s="8">
      <c r="A4" s="12" t="inlineStr">
        <is>
          <t>2024::jama.2024.25786::C003</t>
        </is>
      </c>
      <c r="B4" s="12" t="inlineStr">
        <is>
          <t>Matched all-patient adjusted confidence-interval upper limit differs between eTables 4 and 7</t>
        </is>
      </c>
      <c r="C4" s="12" t="inlineStr">
        <is>
          <t>Supplement 2, eTable 4, PDF p. 17, further-adjusted primary outcome; Supplement 2, eTable 7, PDF p. 20, all-patient adjusted odds ratio; relevant methods Main article, PDF p. 5.</t>
        </is>
      </c>
      <c r="D4" s="18" t="n"/>
      <c r="E4" s="18" t="inlineStr">
        <is>
          <t>report_internal_inconsistency</t>
        </is>
      </c>
      <c r="F4" s="18" t="inlineStr">
        <is>
          <t>no</t>
        </is>
      </c>
      <c r="G4" s="12">
        <f>IFERROR(IF(LEN(TRIM(CLEAN(SUBSTITUTE(Setup!$B$2,CHAR(160)," "))))=0,"ENTER REVIEWER ID",IF(OR(A4="",COUNTIF($A$2:$A$9,A4)&lt;&gt;1,LEFT(A4,LEN("2024::jama.2024.25786::"))&lt;&gt;"2024::jama.2024.25786::"),"CHECK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COMPLETE",IF(F4&lt;&gt;"primary_done","PRIMARY DRAFT","PRIMARY READY")))))),"CHECK KEY / INPUT")</f>
        <v/>
      </c>
      <c r="H4" s="18">
        <f>IF(AND(OR(D4="retain",D4=""),E4="statistical_results"),"","not_applicable")</f>
        <v/>
      </c>
      <c r="I4" s="18">
        <f>IF(AND(OR(D4="retain",D4=""),E4="statistical_results"),"","not_applicable")</f>
        <v/>
      </c>
      <c r="J4" s="19">
        <f>IF(AND(OR(D4="retain",D4=""),E4="statistical_results"),"","not_applicable")</f>
        <v/>
      </c>
      <c r="K4" s="18">
        <f>IF(AND(OR(D4="retain",D4=""),OR(E4="report_internal_inconsistency",E4="plan_material")),"","not_applicable")</f>
        <v/>
      </c>
      <c r="L4" s="19">
        <f>IF(AND(OR(D4="retain",D4=""),E4="protocol_report"),"","not_applicable")</f>
        <v/>
      </c>
      <c r="M4" s="12" t="n"/>
      <c r="N4" s="7" t="n"/>
      <c r="O4" s="7" t="n"/>
      <c r="P4" s="7" t="n"/>
      <c r="Q4" s="7" t="n"/>
      <c r="R4" s="19" t="n"/>
    </row>
    <row r="5" ht="92" customFormat="1" customHeight="1" s="8">
      <c r="A5" s="11" t="inlineStr">
        <is>
          <t>2024::jama.2024.25786::C004</t>
        </is>
      </c>
      <c r="B5" s="11" t="inlineStr">
        <is>
          <t>AIS less-than-3 subgroup percentage conflicts with its count and matched Figure 4</t>
        </is>
      </c>
      <c r="C5" s="11" t="inlineStr">
        <is>
          <t>Main article, Figure 4, PDF p. 8, AIS score less than 3; Supplement 2, eTable 7, PDF p. 20, AIS less than 3.</t>
        </is>
      </c>
      <c r="D5" s="18" t="n"/>
      <c r="E5" s="18" t="inlineStr">
        <is>
          <t>report_internal_inconsistency</t>
        </is>
      </c>
      <c r="F5" s="18" t="inlineStr">
        <is>
          <t>no</t>
        </is>
      </c>
      <c r="G5" s="11">
        <f>IFERROR(IF(LEN(TRIM(CLEAN(SUBSTITUTE(Setup!$B$2,CHAR(160)," "))))=0,"ENTER REVIEWER ID",IF(OR(A5="",COUNTIF($A$2:$A$9,A5)&lt;&gt;1,LEFT(A5,LEN("2024::jama.2024.25786::"))&lt;&gt;"2024::jama.2024.25786::"),"CHECK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COMPLETE",IF(F5&lt;&gt;"primary_done","PRIMARY DRAFT","PRIMARY READY")))))),"CHECK KEY / INPUT")</f>
        <v/>
      </c>
      <c r="H5" s="18">
        <f>IF(AND(OR(D5="retain",D5=""),E5="statistical_results"),"","not_applicable")</f>
        <v/>
      </c>
      <c r="I5" s="18">
        <f>IF(AND(OR(D5="retain",D5=""),E5="statistical_results"),"","not_applicable")</f>
        <v/>
      </c>
      <c r="J5" s="19">
        <f>IF(AND(OR(D5="retain",D5=""),E5="statistical_results"),"","not_applicable")</f>
        <v/>
      </c>
      <c r="K5" s="18">
        <f>IF(AND(OR(D5="retain",D5=""),OR(E5="report_internal_inconsistency",E5="plan_material")),"","not_applicable")</f>
        <v/>
      </c>
      <c r="L5" s="19">
        <f>IF(AND(OR(D5="retain",D5=""),E5="protocol_report"),"","not_applicable")</f>
        <v/>
      </c>
      <c r="M5" s="11" t="n"/>
      <c r="N5" s="7" t="n"/>
      <c r="O5" s="7" t="n"/>
      <c r="P5" s="7" t="n"/>
      <c r="Q5" s="7" t="n"/>
      <c r="R5" s="19" t="n"/>
    </row>
    <row r="6" ht="92" customFormat="1" customHeight="1" s="8">
      <c r="A6" s="12" t="inlineStr">
        <is>
          <t>2024::jama.2024.25786::C005</t>
        </is>
      </c>
      <c r="B6" s="12" t="inlineStr">
        <is>
          <t>Known-lung-disease subgroup percentage conflicts with its count and matched Figure 4</t>
        </is>
      </c>
      <c r="C6" s="12" t="inlineStr">
        <is>
          <t>Main article, Figure 4, PDF p. 8, known lung disease, yes; Supplement 2, eTable 7, PDF p. 20, known lung disease, yes.</t>
        </is>
      </c>
      <c r="D6" s="18" t="n"/>
      <c r="E6" s="18" t="inlineStr">
        <is>
          <t>report_internal_inconsistency</t>
        </is>
      </c>
      <c r="F6" s="18" t="inlineStr">
        <is>
          <t>no</t>
        </is>
      </c>
      <c r="G6" s="12">
        <f>IFERROR(IF(LEN(TRIM(CLEAN(SUBSTITUTE(Setup!$B$2,CHAR(160)," "))))=0,"ENTER REVIEWER ID",IF(OR(A6="",COUNTIF($A$2:$A$9,A6)&lt;&gt;1,LEFT(A6,LEN("2024::jama.2024.25786::"))&lt;&gt;"2024::jama.2024.25786::"),"CHECK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COMPLETE",IF(F6&lt;&gt;"primary_done","PRIMARY DRAFT","PRIMARY READY")))))),"CHECK KEY / INPUT")</f>
        <v/>
      </c>
      <c r="H6" s="18">
        <f>IF(AND(OR(D6="retain",D6=""),E6="statistical_results"),"","not_applicable")</f>
        <v/>
      </c>
      <c r="I6" s="18">
        <f>IF(AND(OR(D6="retain",D6=""),E6="statistical_results"),"","not_applicable")</f>
        <v/>
      </c>
      <c r="J6" s="19">
        <f>IF(AND(OR(D6="retain",D6=""),E6="statistical_results"),"","not_applicable")</f>
        <v/>
      </c>
      <c r="K6" s="18">
        <f>IF(AND(OR(D6="retain",D6=""),OR(E6="report_internal_inconsistency",E6="plan_material")),"","not_applicable")</f>
        <v/>
      </c>
      <c r="L6" s="19">
        <f>IF(AND(OR(D6="retain",D6=""),E6="protocol_report"),"","not_applicable")</f>
        <v/>
      </c>
      <c r="M6" s="12" t="n"/>
      <c r="N6" s="7" t="n"/>
      <c r="O6" s="7" t="n"/>
      <c r="P6" s="7" t="n"/>
      <c r="Q6" s="7" t="n"/>
      <c r="R6" s="19" t="n"/>
    </row>
    <row r="7" ht="92" customFormat="1" customHeight="1" s="8">
      <c r="A7" s="11" t="inlineStr">
        <is>
          <t>2024::jama.2024.25786::C006</t>
        </is>
      </c>
      <c r="B7" s="11" t="inlineStr">
        <is>
          <t>Postrandomization-exclusion total and group counts do not reconcile across eTable 10 and Figure 1</t>
        </is>
      </c>
      <c r="C7" s="11" t="inlineStr">
        <is>
          <t>Supplement 2, eTable 10, PDF p. 24, exclusion after randomization; Main article, Figure 1, PDF p. 3, excluded after randomization.</t>
        </is>
      </c>
      <c r="D7" s="18" t="n"/>
      <c r="E7" s="18" t="inlineStr">
        <is>
          <t>report_internal_inconsistency</t>
        </is>
      </c>
      <c r="F7" s="18" t="inlineStr">
        <is>
          <t>no</t>
        </is>
      </c>
      <c r="G7" s="11">
        <f>IFERROR(IF(LEN(TRIM(CLEAN(SUBSTITUTE(Setup!$B$2,CHAR(160)," "))))=0,"ENTER REVIEWER ID",IF(OR(A7="",COUNTIF($A$2:$A$9,A7)&lt;&gt;1,LEFT(A7,LEN("2024::jama.2024.25786::"))&lt;&gt;"2024::jama.2024.25786::"),"CHECK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COMPLETE",IF(F7&lt;&gt;"primary_done","PRIMARY DRAFT","PRIMARY READY")))))),"CHECK KEY / INPUT")</f>
        <v/>
      </c>
      <c r="H7" s="18">
        <f>IF(AND(OR(D7="retain",D7=""),E7="statistical_results"),"","not_applicable")</f>
        <v/>
      </c>
      <c r="I7" s="18">
        <f>IF(AND(OR(D7="retain",D7=""),E7="statistical_results"),"","not_applicable")</f>
        <v/>
      </c>
      <c r="J7" s="19">
        <f>IF(AND(OR(D7="retain",D7=""),E7="statistical_results"),"","not_applicable")</f>
        <v/>
      </c>
      <c r="K7" s="18">
        <f>IF(AND(OR(D7="retain",D7=""),OR(E7="report_internal_inconsistency",E7="plan_material")),"","not_applicable")</f>
        <v/>
      </c>
      <c r="L7" s="19">
        <f>IF(AND(OR(D7="retain",D7=""),E7="protocol_report"),"","not_applicable")</f>
        <v/>
      </c>
      <c r="M7" s="11" t="n"/>
      <c r="N7" s="7" t="n"/>
      <c r="O7" s="7" t="n"/>
      <c r="P7" s="7" t="n"/>
      <c r="Q7" s="7" t="n"/>
      <c r="R7" s="19" t="n"/>
    </row>
    <row r="8" ht="92" customFormat="1" customHeight="1" s="8">
      <c r="A8" s="12" t="inlineStr">
        <is>
          <t>2024::jama.2024.25786::C007</t>
        </is>
      </c>
      <c r="B8" s="12" t="inlineStr">
        <is>
          <t>Secondary-exclusion cells pair within-group denominators with cross-group partition percentages</t>
        </is>
      </c>
      <c r="C8" s="12" t="inlineStr">
        <is>
          <t>Supplement 2, eTable 10, PDF p. 24, secondary exclusion; count comparator Main article, Figure 1, PDF p. 3.</t>
        </is>
      </c>
      <c r="D8" s="18" t="n"/>
      <c r="E8" s="18" t="inlineStr">
        <is>
          <t>statistical_results</t>
        </is>
      </c>
      <c r="F8" s="18" t="inlineStr">
        <is>
          <t>no</t>
        </is>
      </c>
      <c r="G8" s="12">
        <f>IFERROR(IF(LEN(TRIM(CLEAN(SUBSTITUTE(Setup!$B$2,CHAR(160)," "))))=0,"ENTER REVIEWER ID",IF(OR(A8="",COUNTIF($A$2:$A$9,A8)&lt;&gt;1,LEFT(A8,LEN("2024::jama.2024.25786::"))&lt;&gt;"2024::jama.2024.25786::"),"CHECK KEY",IF(OR(AND(NOT(AND(D8="retain",E8="statistical_results")),H8&lt;&gt;"",H8&lt;&gt;"not_applicable"),AND(NOT(AND(D8="retain",E8="statistical_results")),I8&lt;&gt;"",I8&lt;&gt;"not_applicable"),AND(NOT(AND(D8="retain",E8="statistical_results")),J8&lt;&gt;"",J8&lt;&gt;"not_applicable"),AND(NOT(AND(D8="retain",OR(E8="report_internal_inconsistency",E8="plan_material"))),K8&lt;&gt;"",K8&lt;&gt;"not_applicable"),AND(NOT(AND(D8="retain",E8="protocol_report")),L8&lt;&gt;"",L8&lt;&gt;"not_applicable")),"CLEAR INACTIVE VALUES",IF(OR(NOT(OR(D8="retain",D8="exclude",D8="discuss")),NOT(OR(E8="statistical_results",E8="report_internal_inconsistency",E8="plan_material",E8="protocol_report")),AND(AND(D8="retain",E8="statistical_results"),NOT(OR(H8="confirmed_issue",H8="probable_issue",H8="not_issue",H8="indeterminate"))),AND(AND(D8="retain",E8="statistical_results"),NOT(OR(I8="substantive",I8="minor_presentation",I8="indeterminate"))),AND(AND(D8="retain",E8="statistical_results"),J8&lt;&gt;"",NOT(OR(J8="direct",J8="possible",J8="unlikely",J8="unknown"))),AND(AND(D8="retain",OR(E8="report_internal_inconsistency",E8="plan_material")),NOT(OR(K8="substantive_inconsistency",K8="minor_presentation",K8="non_inconsistency",K8="indeterminate"))),AND(AND(D8="retain",E8="protocol_report"),L8&lt;&gt;"",NOT(OR(L8="substantive_difference",L8="minor_presentation",L8="version_timing",L8="non_inconsistency",L8="indeterminate")))),"CHECK FIELDS",IF(AND(F8&lt;&gt;"",NOT(OR(F8="no",F8="primary_done"))),"CHECK COMPLETE",IF(F8&lt;&gt;"primary_done","PRIMARY DRAFT","PRIMARY READY")))))),"CHECK KEY / INPUT")</f>
        <v/>
      </c>
      <c r="H8" s="18">
        <f>IF(AND(OR(D8="retain",D8=""),E8="statistical_results"),"","not_applicable")</f>
        <v/>
      </c>
      <c r="I8" s="18">
        <f>IF(AND(OR(D8="retain",D8=""),E8="statistical_results"),"","not_applicable")</f>
        <v/>
      </c>
      <c r="J8" s="19">
        <f>IF(AND(OR(D8="retain",D8=""),E8="statistical_results"),"","not_applicable")</f>
        <v/>
      </c>
      <c r="K8" s="18">
        <f>IF(AND(OR(D8="retain",D8=""),OR(E8="report_internal_inconsistency",E8="plan_material")),"","not_applicable")</f>
        <v/>
      </c>
      <c r="L8" s="19">
        <f>IF(AND(OR(D8="retain",D8=""),E8="protocol_report"),"","not_applicable")</f>
        <v/>
      </c>
      <c r="M8" s="12" t="n"/>
      <c r="N8" s="7" t="n"/>
      <c r="O8" s="7" t="n"/>
      <c r="P8" s="7" t="n"/>
      <c r="Q8" s="7" t="n"/>
      <c r="R8" s="19" t="n"/>
    </row>
    <row r="9" ht="92" customFormat="1" customHeight="1" s="8">
      <c r="A9" s="11" t="inlineStr">
        <is>
          <t>2024::jama.2024.25786::C008</t>
        </is>
      </c>
      <c r="B9" s="11" t="inlineStr">
        <is>
          <t>Missing-as-event primary count uses a doubled numerator/denominator separator</t>
        </is>
      </c>
      <c r="C9" s="11" t="inlineStr">
        <is>
          <t>Supplement 2, eTable 11, PDF p. 25, primary outcome with missing counted as event.</t>
        </is>
      </c>
      <c r="D9" s="18" t="n"/>
      <c r="E9" s="18" t="inlineStr">
        <is>
          <t>report_internal_inconsistency</t>
        </is>
      </c>
      <c r="F9" s="18" t="inlineStr">
        <is>
          <t>no</t>
        </is>
      </c>
      <c r="G9" s="11">
        <f>IFERROR(IF(LEN(TRIM(CLEAN(SUBSTITUTE(Setup!$B$2,CHAR(160)," "))))=0,"ENTER REVIEWER ID",IF(OR(A9="",COUNTIF($A$2:$A$9,A9)&lt;&gt;1,LEFT(A9,LEN("2024::jama.2024.25786::"))&lt;&gt;"2024::jama.2024.25786::"),"CHECK KEY",IF(OR(AND(NOT(AND(D9="retain",E9="statistical_results")),H9&lt;&gt;"",H9&lt;&gt;"not_applicable"),AND(NOT(AND(D9="retain",E9="statistical_results")),I9&lt;&gt;"",I9&lt;&gt;"not_applicable"),AND(NOT(AND(D9="retain",E9="statistical_results")),J9&lt;&gt;"",J9&lt;&gt;"not_applicable"),AND(NOT(AND(D9="retain",OR(E9="report_internal_inconsistency",E9="plan_material"))),K9&lt;&gt;"",K9&lt;&gt;"not_applicable"),AND(NOT(AND(D9="retain",E9="protocol_report")),L9&lt;&gt;"",L9&lt;&gt;"not_applicable")),"CLEAR INACTIVE VALUES",IF(OR(NOT(OR(D9="retain",D9="exclude",D9="discuss")),NOT(OR(E9="statistical_results",E9="report_internal_inconsistency",E9="plan_material",E9="protocol_report")),AND(AND(D9="retain",E9="statistical_results"),NOT(OR(H9="confirmed_issue",H9="probable_issue",H9="not_issue",H9="indeterminate"))),AND(AND(D9="retain",E9="statistical_results"),NOT(OR(I9="substantive",I9="minor_presentation",I9="indeterminate"))),AND(AND(D9="retain",E9="statistical_results"),J9&lt;&gt;"",NOT(OR(J9="direct",J9="possible",J9="unlikely",J9="unknown"))),AND(AND(D9="retain",OR(E9="report_internal_inconsistency",E9="plan_material")),NOT(OR(K9="substantive_inconsistency",K9="minor_presentation",K9="non_inconsistency",K9="indeterminate"))),AND(AND(D9="retain",E9="protocol_report"),L9&lt;&gt;"",NOT(OR(L9="substantive_difference",L9="minor_presentation",L9="version_timing",L9="non_inconsistency",L9="indeterminate")))),"CHECK FIELDS",IF(AND(F9&lt;&gt;"",NOT(OR(F9="no",F9="primary_done"))),"CHECK COMPLETE",IF(F9&lt;&gt;"primary_done","PRIMARY DRAFT","PRIMARY READY")))))),"CHECK KEY / INPUT")</f>
        <v/>
      </c>
      <c r="H9" s="18">
        <f>IF(AND(OR(D9="retain",D9=""),E9="statistical_results"),"","not_applicable")</f>
        <v/>
      </c>
      <c r="I9" s="18">
        <f>IF(AND(OR(D9="retain",D9=""),E9="statistical_results"),"","not_applicable")</f>
        <v/>
      </c>
      <c r="J9" s="19">
        <f>IF(AND(OR(D9="retain",D9=""),E9="statistical_results"),"","not_applicable")</f>
        <v/>
      </c>
      <c r="K9" s="18">
        <f>IF(AND(OR(D9="retain",D9=""),OR(E9="report_internal_inconsistency",E9="plan_material")),"","not_applicable")</f>
        <v/>
      </c>
      <c r="L9" s="19">
        <f>IF(AND(OR(D9="retain",D9=""),E9="protocol_report"),"","not_applicable")</f>
        <v/>
      </c>
      <c r="M9" s="11" t="n"/>
      <c r="N9" s="7" t="n"/>
      <c r="O9" s="7" t="n"/>
      <c r="P9" s="7" t="n"/>
      <c r="Q9" s="7" t="n"/>
      <c r="R9" s="19" t="n"/>
    </row>
  </sheetData>
  <autoFilter ref="A1:R9"/>
  <conditionalFormatting sqref="H2:H9">
    <cfRule type="expression" priority="8" dxfId="70">
      <formula>NOT(AND(OR($D2="retain",$D2=""),$E2="statistical_results"))</formula>
    </cfRule>
  </conditionalFormatting>
  <conditionalFormatting sqref="I2:I9">
    <cfRule type="expression" priority="9" dxfId="70">
      <formula>NOT(AND(OR($D2="retain",$D2=""),$E2="statistical_results"))</formula>
    </cfRule>
  </conditionalFormatting>
  <conditionalFormatting sqref="J2:J9">
    <cfRule type="expression" priority="10" dxfId="70">
      <formula>NOT(AND(OR($D2="retain",$D2=""),$E2="statistical_results"))</formula>
    </cfRule>
  </conditionalFormatting>
  <conditionalFormatting sqref="K2:K9">
    <cfRule type="expression" priority="11" dxfId="70">
      <formula>NOT(AND(OR($D2="retain",$D2=""),OR($E2="report_internal_inconsistency",$E2="plan_material")))</formula>
    </cfRule>
  </conditionalFormatting>
  <conditionalFormatting sqref="L2:L9">
    <cfRule type="expression" priority="12" dxfId="70">
      <formula>NOT(AND(OR($D2="retain",$D2=""),$E2="protocol_report"))</formula>
    </cfRule>
  </conditionalFormatting>
  <conditionalFormatting sqref="G2:G9">
    <cfRule type="expression" priority="13" dxfId="71">
      <formula>G2&lt;&gt;"PRIMARY READY"</formula>
    </cfRule>
  </conditionalFormatting>
  <dataValidations count="8">
    <dataValidation sqref="D2:D9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"retain,exclude,discuss"</formula1>
    </dataValidation>
    <dataValidation sqref="E2:E9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"statistical_results,report_internal_inconsistency,plan_material,protocol_report"</formula1>
    </dataValidation>
    <dataValidation sqref="F2:F9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"no,primary_done"</formula1>
    </dataValidation>
    <dataValidation sqref="H2:H9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"confirmed_issue,probable_issue,not_issue,indeterminate,not_applicable"</formula1>
    </dataValidation>
    <dataValidation sqref="I2:I9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"substantive,minor_presentation,indeterminate,not_applicable"</formula1>
    </dataValidation>
    <dataValidation sqref="J2:J9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"direct,possible,unlikely,unknown,not_applicable"</formula1>
    </dataValidation>
    <dataValidation sqref="K2:K9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"substantive_inconsistency,minor_presentation,non_inconsistency,indeterminate,not_applicable"</formula1>
    </dataValidation>
    <dataValidation sqref="L2:L9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"substantive_difference,minor_presentation,version_timing,non_inconsistency,indeterminate,not_applicable"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</hyperlink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5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6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6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5" t="n"/>
      <c r="N1" s="5" t="n"/>
      <c r="O1" s="5" t="n"/>
      <c r="P1" s="5" t="n"/>
      <c r="Q1" s="5" t="n"/>
      <c r="R1" s="5" t="inlineStr">
        <is>
          <t>Notes (optional)</t>
        </is>
      </c>
    </row>
    <row r="2" ht="92" customFormat="1" customHeight="1" s="8">
      <c r="A2" s="12" t="inlineStr">
        <is>
          <t>2024::jama.2024.4183::C001</t>
        </is>
      </c>
      <c r="B2" s="12" t="inlineStr">
        <is>
          <t>Abstract phase-2 allocation percentages mix incompatible denominators</t>
        </is>
      </c>
      <c r="C2" s="12" t="inlineStr">
        <is>
          <t>Main article p. 1; Main article p. 6.</t>
        </is>
      </c>
      <c r="D2" s="18" t="n"/>
      <c r="E2" s="18" t="inlineStr">
        <is>
          <t>statistical_results</t>
        </is>
      </c>
      <c r="F2" s="18" t="inlineStr">
        <is>
          <t>no</t>
        </is>
      </c>
      <c r="G2" s="12">
        <f>IFERROR(IF(LEN(TRIM(CLEAN(SUBSTITUTE(Setup!$B$2,CHAR(160)," "))))=0,"ENTER REVIEWER ID",IF(OR(A2="",COUNTIF($A$2:$A$25,A2)&lt;&gt;1,LEFT(A2,LEN("2024::jama.2024.4183::"))&lt;&gt;"2024::jama.2024.4183::"),"CHECK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COMPLETE",IF(F2&lt;&gt;"primary_done","PRIMARY DRAFT","PRIMARY READY")))))),"CHECK KEY / INPUT")</f>
        <v/>
      </c>
      <c r="H2" s="18">
        <f>IF(AND(OR(D2="retain",D2=""),E2="statistical_results"),"","not_applicable")</f>
        <v/>
      </c>
      <c r="I2" s="18">
        <f>IF(AND(OR(D2="retain",D2=""),E2="statistical_results"),"","not_applicable")</f>
        <v/>
      </c>
      <c r="J2" s="19">
        <f>IF(AND(OR(D2="retain",D2=""),E2="statistical_results"),"","not_applicable")</f>
        <v/>
      </c>
      <c r="K2" s="18">
        <f>IF(AND(OR(D2="retain",D2=""),OR(E2="report_internal_inconsistency",E2="plan_material")),"","not_applicable")</f>
        <v/>
      </c>
      <c r="L2" s="19">
        <f>IF(AND(OR(D2="retain",D2=""),E2="protocol_report"),"","not_applicable")</f>
        <v/>
      </c>
      <c r="M2" s="12" t="n"/>
      <c r="N2" s="7" t="n"/>
      <c r="O2" s="7" t="n"/>
      <c r="P2" s="7" t="n"/>
      <c r="Q2" s="7" t="n"/>
      <c r="R2" s="19" t="n"/>
    </row>
    <row r="3" ht="92" customFormat="1" customHeight="1" s="8">
      <c r="A3" s="11" t="inlineStr">
        <is>
          <t>2024::jama.2024.4183::C002</t>
        </is>
      </c>
      <c r="B3" s="11" t="inlineStr">
        <is>
          <t>Main baseline sex counts exceed both printed arm denominators</t>
        </is>
      </c>
      <c r="C3" s="11" t="inlineStr">
        <is>
          <t>Main article p. 5, baseline Table.</t>
        </is>
      </c>
      <c r="D3" s="18" t="n"/>
      <c r="E3" s="18" t="inlineStr">
        <is>
          <t>statistical_results</t>
        </is>
      </c>
      <c r="F3" s="18" t="inlineStr">
        <is>
          <t>no</t>
        </is>
      </c>
      <c r="G3" s="11">
        <f>IFERROR(IF(LEN(TRIM(CLEAN(SUBSTITUTE(Setup!$B$2,CHAR(160)," "))))=0,"ENTER REVIEWER ID",IF(OR(A3="",COUNTIF($A$2:$A$25,A3)&lt;&gt;1,LEFT(A3,LEN("2024::jama.2024.4183::"))&lt;&gt;"2024::jama.2024.4183::"),"CHECK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COMPLETE",IF(F3&lt;&gt;"primary_done","PRIMARY DRAFT","PRIMARY READY")))))),"CHECK KEY / INPUT")</f>
        <v/>
      </c>
      <c r="H3" s="18">
        <f>IF(AND(OR(D3="retain",D3=""),E3="statistical_results"),"","not_applicable")</f>
        <v/>
      </c>
      <c r="I3" s="18">
        <f>IF(AND(OR(D3="retain",D3=""),E3="statistical_results"),"","not_applicable")</f>
        <v/>
      </c>
      <c r="J3" s="19">
        <f>IF(AND(OR(D3="retain",D3=""),E3="statistical_results"),"","not_applicable")</f>
        <v/>
      </c>
      <c r="K3" s="18">
        <f>IF(AND(OR(D3="retain",D3=""),OR(E3="report_internal_inconsistency",E3="plan_material")),"","not_applicable")</f>
        <v/>
      </c>
      <c r="L3" s="19">
        <f>IF(AND(OR(D3="retain",D3=""),E3="protocol_report"),"","not_applicable")</f>
        <v/>
      </c>
      <c r="M3" s="11" t="n"/>
      <c r="N3" s="7" t="n"/>
      <c r="O3" s="7" t="n"/>
      <c r="P3" s="7" t="n"/>
      <c r="Q3" s="7" t="n"/>
      <c r="R3" s="19" t="n"/>
    </row>
    <row r="4" ht="92" customFormat="1" customHeight="1" s="8">
      <c r="A4" s="12" t="inlineStr">
        <is>
          <t>2024::jama.2024.4183::C003</t>
        </is>
      </c>
      <c r="B4" s="12" t="inlineStr">
        <is>
          <t>Displayed randomization total does not equal its two initial branches</t>
        </is>
      </c>
      <c r="C4" s="12" t="inlineStr">
        <is>
          <t>Main article p. 4; Main article p. 6.</t>
        </is>
      </c>
      <c r="D4" s="18" t="n"/>
      <c r="E4" s="18" t="inlineStr">
        <is>
          <t>statistical_results</t>
        </is>
      </c>
      <c r="F4" s="18" t="inlineStr">
        <is>
          <t>no</t>
        </is>
      </c>
      <c r="G4" s="12">
        <f>IFERROR(IF(LEN(TRIM(CLEAN(SUBSTITUTE(Setup!$B$2,CHAR(160)," "))))=0,"ENTER REVIEWER ID",IF(OR(A4="",COUNTIF($A$2:$A$25,A4)&lt;&gt;1,LEFT(A4,LEN("2024::jama.2024.4183::"))&lt;&gt;"2024::jama.2024.4183::"),"CHECK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COMPLETE",IF(F4&lt;&gt;"primary_done","PRIMARY DRAFT","PRIMARY READY")))))),"CHECK KEY / INPUT")</f>
        <v/>
      </c>
      <c r="H4" s="18">
        <f>IF(AND(OR(D4="retain",D4=""),E4="statistical_results"),"","not_applicable")</f>
        <v/>
      </c>
      <c r="I4" s="18">
        <f>IF(AND(OR(D4="retain",D4=""),E4="statistical_results"),"","not_applicable")</f>
        <v/>
      </c>
      <c r="J4" s="19">
        <f>IF(AND(OR(D4="retain",D4=""),E4="statistical_results"),"","not_applicable")</f>
        <v/>
      </c>
      <c r="K4" s="18">
        <f>IF(AND(OR(D4="retain",D4=""),OR(E4="report_internal_inconsistency",E4="plan_material")),"","not_applicable")</f>
        <v/>
      </c>
      <c r="L4" s="19">
        <f>IF(AND(OR(D4="retain",D4=""),E4="protocol_report"),"","not_applicable")</f>
        <v/>
      </c>
      <c r="M4" s="12" t="n"/>
      <c r="N4" s="7" t="n"/>
      <c r="O4" s="7" t="n"/>
      <c r="P4" s="7" t="n"/>
      <c r="Q4" s="7" t="n"/>
      <c r="R4" s="19" t="n"/>
    </row>
    <row r="5" ht="92" customFormat="1" customHeight="1" s="8">
      <c r="A5" s="11" t="inlineStr">
        <is>
          <t>2024::jama.2024.4183::C004</t>
        </is>
      </c>
      <c r="B5" s="11" t="inlineStr">
        <is>
          <t>Results reverses attendance status for continuation assignments</t>
        </is>
      </c>
      <c r="C5" s="11" t="inlineStr">
        <is>
          <t>Main article p. 1; Main article p. 4; Main article p. 6.</t>
        </is>
      </c>
      <c r="D5" s="18" t="n"/>
      <c r="E5" s="18" t="inlineStr">
        <is>
          <t>statistical_results</t>
        </is>
      </c>
      <c r="F5" s="18" t="inlineStr">
        <is>
          <t>no</t>
        </is>
      </c>
      <c r="G5" s="11">
        <f>IFERROR(IF(LEN(TRIM(CLEAN(SUBSTITUTE(Setup!$B$2,CHAR(160)," "))))=0,"ENTER REVIEWER ID",IF(OR(A5="",COUNTIF($A$2:$A$25,A5)&lt;&gt;1,LEFT(A5,LEN("2024::jama.2024.4183::"))&lt;&gt;"2024::jama.2024.4183::"),"CHECK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COMPLETE",IF(F5&lt;&gt;"primary_done","PRIMARY DRAFT","PRIMARY READY")))))),"CHECK KEY / INPUT")</f>
        <v/>
      </c>
      <c r="H5" s="18">
        <f>IF(AND(OR(D5="retain",D5=""),E5="statistical_results"),"","not_applicable")</f>
        <v/>
      </c>
      <c r="I5" s="18">
        <f>IF(AND(OR(D5="retain",D5=""),E5="statistical_results"),"","not_applicable")</f>
        <v/>
      </c>
      <c r="J5" s="19">
        <f>IF(AND(OR(D5="retain",D5=""),E5="statistical_results"),"","not_applicable")</f>
        <v/>
      </c>
      <c r="K5" s="18">
        <f>IF(AND(OR(D5="retain",D5=""),OR(E5="report_internal_inconsistency",E5="plan_material")),"","not_applicable")</f>
        <v/>
      </c>
      <c r="L5" s="19">
        <f>IF(AND(OR(D5="retain",D5=""),E5="protocol_report"),"","not_applicable")</f>
        <v/>
      </c>
      <c r="M5" s="11" t="n"/>
      <c r="N5" s="7" t="n"/>
      <c r="O5" s="7" t="n"/>
      <c r="P5" s="7" t="n"/>
      <c r="Q5" s="7" t="n"/>
      <c r="R5" s="19" t="n"/>
    </row>
    <row r="6" ht="92" customFormat="1" customHeight="1" s="8">
      <c r="A6" s="12" t="inlineStr">
        <is>
          <t>2024::jama.2024.4183::C005</t>
        </is>
      </c>
      <c r="B6" s="12" t="inlineStr">
        <is>
          <t>CNRT dose-increase primary CrI differs between abstract and matched results</t>
        </is>
      </c>
      <c r="C6" s="12" t="inlineStr">
        <is>
          <t>Main article p. 1; Main article p. 5; Supplement 2 p. 21.</t>
        </is>
      </c>
      <c r="D6" s="18" t="n"/>
      <c r="E6" s="18" t="inlineStr">
        <is>
          <t>statistical_results</t>
        </is>
      </c>
      <c r="F6" s="18" t="inlineStr">
        <is>
          <t>no</t>
        </is>
      </c>
      <c r="G6" s="12">
        <f>IFERROR(IF(LEN(TRIM(CLEAN(SUBSTITUTE(Setup!$B$2,CHAR(160)," "))))=0,"ENTER REVIEWER ID",IF(OR(A6="",COUNTIF($A$2:$A$25,A6)&lt;&gt;1,LEFT(A6,LEN("2024::jama.2024.4183::"))&lt;&gt;"2024::jama.2024.4183::"),"CHECK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COMPLETE",IF(F6&lt;&gt;"primary_done","PRIMARY DRAFT","PRIMARY READY")))))),"CHECK KEY / INPUT")</f>
        <v/>
      </c>
      <c r="H6" s="18">
        <f>IF(AND(OR(D6="retain",D6=""),E6="statistical_results"),"","not_applicable")</f>
        <v/>
      </c>
      <c r="I6" s="18">
        <f>IF(AND(OR(D6="retain",D6=""),E6="statistical_results"),"","not_applicable")</f>
        <v/>
      </c>
      <c r="J6" s="19">
        <f>IF(AND(OR(D6="retain",D6=""),E6="statistical_results"),"","not_applicable")</f>
        <v/>
      </c>
      <c r="K6" s="18">
        <f>IF(AND(OR(D6="retain",D6=""),OR(E6="report_internal_inconsistency",E6="plan_material")),"","not_applicable")</f>
        <v/>
      </c>
      <c r="L6" s="19">
        <f>IF(AND(OR(D6="retain",D6=""),E6="protocol_report"),"","not_applicable")</f>
        <v/>
      </c>
      <c r="M6" s="12" t="n"/>
      <c r="N6" s="7" t="n"/>
      <c r="O6" s="7" t="n"/>
      <c r="P6" s="7" t="n"/>
      <c r="Q6" s="7" t="n"/>
      <c r="R6" s="19" t="n"/>
    </row>
    <row r="7" ht="92" customFormat="1" customHeight="1" s="8">
      <c r="A7" s="11" t="inlineStr">
        <is>
          <t>2024::jama.2024.4183::C006</t>
        </is>
      </c>
      <c r="B7" s="11" t="inlineStr">
        <is>
          <t>CNRT switch primary CrI differs across abstract, Results, and eTable</t>
        </is>
      </c>
      <c r="C7" s="11" t="inlineStr">
        <is>
          <t>Main article p. 1; Main article p. 5; Supplement 2 p. 21.</t>
        </is>
      </c>
      <c r="D7" s="18" t="n"/>
      <c r="E7" s="18" t="inlineStr">
        <is>
          <t>statistical_results</t>
        </is>
      </c>
      <c r="F7" s="18" t="inlineStr">
        <is>
          <t>no</t>
        </is>
      </c>
      <c r="G7" s="11">
        <f>IFERROR(IF(LEN(TRIM(CLEAN(SUBSTITUTE(Setup!$B$2,CHAR(160)," "))))=0,"ENTER REVIEWER ID",IF(OR(A7="",COUNTIF($A$2:$A$25,A7)&lt;&gt;1,LEFT(A7,LEN("2024::jama.2024.4183::"))&lt;&gt;"2024::jama.2024.4183::"),"CHECK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COMPLETE",IF(F7&lt;&gt;"primary_done","PRIMARY DRAFT","PRIMARY READY")))))),"CHECK KEY / INPUT")</f>
        <v/>
      </c>
      <c r="H7" s="18">
        <f>IF(AND(OR(D7="retain",D7=""),E7="statistical_results"),"","not_applicable")</f>
        <v/>
      </c>
      <c r="I7" s="18">
        <f>IF(AND(OR(D7="retain",D7=""),E7="statistical_results"),"","not_applicable")</f>
        <v/>
      </c>
      <c r="J7" s="19">
        <f>IF(AND(OR(D7="retain",D7=""),E7="statistical_results"),"","not_applicable")</f>
        <v/>
      </c>
      <c r="K7" s="18">
        <f>IF(AND(OR(D7="retain",D7=""),OR(E7="report_internal_inconsistency",E7="plan_material")),"","not_applicable")</f>
        <v/>
      </c>
      <c r="L7" s="19">
        <f>IF(AND(OR(D7="retain",D7=""),E7="protocol_report"),"","not_applicable")</f>
        <v/>
      </c>
      <c r="M7" s="11" t="n"/>
      <c r="N7" s="7" t="n"/>
      <c r="O7" s="7" t="n"/>
      <c r="P7" s="7" t="n"/>
      <c r="Q7" s="7" t="n"/>
      <c r="R7" s="19" t="n"/>
    </row>
    <row r="8" ht="92" customFormat="1" customHeight="1" s="8">
      <c r="A8" s="12" t="inlineStr">
        <is>
          <t>2024::jama.2024.4183::C007</t>
        </is>
      </c>
      <c r="B8" s="12" t="inlineStr">
        <is>
          <t>Varenicline-to-CNRT switch contrast has inconsistent sign and reference</t>
        </is>
      </c>
      <c r="C8" s="12" t="inlineStr">
        <is>
          <t>Main article p. 1; Main article p. 5; Main article p. 7; Supplement 2 p. 21.</t>
        </is>
      </c>
      <c r="D8" s="18" t="n"/>
      <c r="E8" s="18" t="inlineStr">
        <is>
          <t>report_internal_inconsistency</t>
        </is>
      </c>
      <c r="F8" s="18" t="inlineStr">
        <is>
          <t>no</t>
        </is>
      </c>
      <c r="G8" s="12">
        <f>IFERROR(IF(LEN(TRIM(CLEAN(SUBSTITUTE(Setup!$B$2,CHAR(160)," "))))=0,"ENTER REVIEWER ID",IF(OR(A8="",COUNTIF($A$2:$A$25,A8)&lt;&gt;1,LEFT(A8,LEN("2024::jama.2024.4183::"))&lt;&gt;"2024::jama.2024.4183::"),"CHECK KEY",IF(OR(AND(NOT(AND(D8="retain",E8="statistical_results")),H8&lt;&gt;"",H8&lt;&gt;"not_applicable"),AND(NOT(AND(D8="retain",E8="statistical_results")),I8&lt;&gt;"",I8&lt;&gt;"not_applicable"),AND(NOT(AND(D8="retain",E8="statistical_results")),J8&lt;&gt;"",J8&lt;&gt;"not_applicable"),AND(NOT(AND(D8="retain",OR(E8="report_internal_inconsistency",E8="plan_material"))),K8&lt;&gt;"",K8&lt;&gt;"not_applicable"),AND(NOT(AND(D8="retain",E8="protocol_report")),L8&lt;&gt;"",L8&lt;&gt;"not_applicable")),"CLEAR INACTIVE VALUES",IF(OR(NOT(OR(D8="retain",D8="exclude",D8="discuss")),NOT(OR(E8="statistical_results",E8="report_internal_inconsistency",E8="plan_material",E8="protocol_report")),AND(AND(D8="retain",E8="statistical_results"),NOT(OR(H8="confirmed_issue",H8="probable_issue",H8="not_issue",H8="indeterminate"))),AND(AND(D8="retain",E8="statistical_results"),NOT(OR(I8="substantive",I8="minor_presentation",I8="indeterminate"))),AND(AND(D8="retain",E8="statistical_results"),J8&lt;&gt;"",NOT(OR(J8="direct",J8="possible",J8="unlikely",J8="unknown"))),AND(AND(D8="retain",OR(E8="report_internal_inconsistency",E8="plan_material")),NOT(OR(K8="substantive_inconsistency",K8="minor_presentation",K8="non_inconsistency",K8="indeterminate"))),AND(AND(D8="retain",E8="protocol_report"),L8&lt;&gt;"",NOT(OR(L8="substantive_difference",L8="minor_presentation",L8="version_timing",L8="non_inconsistency",L8="indeterminate")))),"CHECK FIELDS",IF(AND(F8&lt;&gt;"",NOT(OR(F8="no",F8="primary_done"))),"CHECK COMPLETE",IF(F8&lt;&gt;"primary_done","PRIMARY DRAFT","PRIMARY READY")))))),"CHECK KEY / INPUT")</f>
        <v/>
      </c>
      <c r="H8" s="18">
        <f>IF(AND(OR(D8="retain",D8=""),E8="statistical_results"),"","not_applicable")</f>
        <v/>
      </c>
      <c r="I8" s="18">
        <f>IF(AND(OR(D8="retain",D8=""),E8="statistical_results"),"","not_applicable")</f>
        <v/>
      </c>
      <c r="J8" s="19">
        <f>IF(AND(OR(D8="retain",D8=""),E8="statistical_results"),"","not_applicable")</f>
        <v/>
      </c>
      <c r="K8" s="18">
        <f>IF(AND(OR(D8="retain",D8=""),OR(E8="report_internal_inconsistency",E8="plan_material")),"","not_applicable")</f>
        <v/>
      </c>
      <c r="L8" s="19">
        <f>IF(AND(OR(D8="retain",D8=""),E8="protocol_report"),"","not_applicable")</f>
        <v/>
      </c>
      <c r="M8" s="12" t="n"/>
      <c r="N8" s="7" t="n"/>
      <c r="O8" s="7" t="n"/>
      <c r="P8" s="7" t="n"/>
      <c r="Q8" s="7" t="n"/>
      <c r="R8" s="19" t="n"/>
    </row>
    <row r="9" ht="92" customFormat="1" customHeight="1" s="8">
      <c r="A9" s="11" t="inlineStr">
        <is>
          <t>2024::jama.2024.4183::C008</t>
        </is>
      </c>
      <c r="B9" s="11" t="inlineStr">
        <is>
          <t>Increased-varenicline primary CrI upper endpoint differs</t>
        </is>
      </c>
      <c r="C9" s="11" t="inlineStr">
        <is>
          <t>Main article p. 1; Main article p. 5; Supplement 2 p. 21.</t>
        </is>
      </c>
      <c r="D9" s="18" t="n"/>
      <c r="E9" s="18" t="inlineStr">
        <is>
          <t>statistical_results</t>
        </is>
      </c>
      <c r="F9" s="18" t="inlineStr">
        <is>
          <t>no</t>
        </is>
      </c>
      <c r="G9" s="11">
        <f>IFERROR(IF(LEN(TRIM(CLEAN(SUBSTITUTE(Setup!$B$2,CHAR(160)," "))))=0,"ENTER REVIEWER ID",IF(OR(A9="",COUNTIF($A$2:$A$25,A9)&lt;&gt;1,LEFT(A9,LEN("2024::jama.2024.4183::"))&lt;&gt;"2024::jama.2024.4183::"),"CHECK KEY",IF(OR(AND(NOT(AND(D9="retain",E9="statistical_results")),H9&lt;&gt;"",H9&lt;&gt;"not_applicable"),AND(NOT(AND(D9="retain",E9="statistical_results")),I9&lt;&gt;"",I9&lt;&gt;"not_applicable"),AND(NOT(AND(D9="retain",E9="statistical_results")),J9&lt;&gt;"",J9&lt;&gt;"not_applicable"),AND(NOT(AND(D9="retain",OR(E9="report_internal_inconsistency",E9="plan_material"))),K9&lt;&gt;"",K9&lt;&gt;"not_applicable"),AND(NOT(AND(D9="retain",E9="protocol_report")),L9&lt;&gt;"",L9&lt;&gt;"not_applicable")),"CLEAR INACTIVE VALUES",IF(OR(NOT(OR(D9="retain",D9="exclude",D9="discuss")),NOT(OR(E9="statistical_results",E9="report_internal_inconsistency",E9="plan_material",E9="protocol_report")),AND(AND(D9="retain",E9="statistical_results"),NOT(OR(H9="confirmed_issue",H9="probable_issue",H9="not_issue",H9="indeterminate"))),AND(AND(D9="retain",E9="statistical_results"),NOT(OR(I9="substantive",I9="minor_presentation",I9="indeterminate"))),AND(AND(D9="retain",E9="statistical_results"),J9&lt;&gt;"",NOT(OR(J9="direct",J9="possible",J9="unlikely",J9="unknown"))),AND(AND(D9="retain",OR(E9="report_internal_inconsistency",E9="plan_material")),NOT(OR(K9="substantive_inconsistency",K9="minor_presentation",K9="non_inconsistency",K9="indeterminate"))),AND(AND(D9="retain",E9="protocol_report"),L9&lt;&gt;"",NOT(OR(L9="substantive_difference",L9="minor_presentation",L9="version_timing",L9="non_inconsistency",L9="indeterminate")))),"CHECK FIELDS",IF(AND(F9&lt;&gt;"",NOT(OR(F9="no",F9="primary_done"))),"CHECK COMPLETE",IF(F9&lt;&gt;"primary_done","PRIMARY DRAFT","PRIMARY READY")))))),"CHECK KEY / INPUT")</f>
        <v/>
      </c>
      <c r="H9" s="18">
        <f>IF(AND(OR(D9="retain",D9=""),E9="statistical_results"),"","not_applicable")</f>
        <v/>
      </c>
      <c r="I9" s="18">
        <f>IF(AND(OR(D9="retain",D9=""),E9="statistical_results"),"","not_applicable")</f>
        <v/>
      </c>
      <c r="J9" s="19">
        <f>IF(AND(OR(D9="retain",D9=""),E9="statistical_results"),"","not_applicable")</f>
        <v/>
      </c>
      <c r="K9" s="18">
        <f>IF(AND(OR(D9="retain",D9=""),OR(E9="report_internal_inconsistency",E9="plan_material")),"","not_applicable")</f>
        <v/>
      </c>
      <c r="L9" s="19">
        <f>IF(AND(OR(D9="retain",D9=""),E9="protocol_report"),"","not_applicable")</f>
        <v/>
      </c>
      <c r="M9" s="11" t="n"/>
      <c r="N9" s="7" t="n"/>
      <c r="O9" s="7" t="n"/>
      <c r="P9" s="7" t="n"/>
      <c r="Q9" s="7" t="n"/>
      <c r="R9" s="19" t="n"/>
    </row>
    <row r="10" ht="92" customFormat="1" customHeight="1" s="8">
      <c r="A10" s="12" t="inlineStr">
        <is>
          <t>2024::jama.2024.4183::C009</t>
        </is>
      </c>
      <c r="B10" s="12" t="inlineStr">
        <is>
          <t>Phase-1 abstainer primary CrI lower endpoint differs</t>
        </is>
      </c>
      <c r="C10" s="12" t="inlineStr">
        <is>
          <t>Main article p. 7; Supplement 2 p. 21.</t>
        </is>
      </c>
      <c r="D10" s="18" t="n"/>
      <c r="E10" s="18" t="inlineStr">
        <is>
          <t>statistical_results</t>
        </is>
      </c>
      <c r="F10" s="18" t="inlineStr">
        <is>
          <t>no</t>
        </is>
      </c>
      <c r="G10" s="12">
        <f>IFERROR(IF(LEN(TRIM(CLEAN(SUBSTITUTE(Setup!$B$2,CHAR(160)," "))))=0,"ENTER REVIEWER ID",IF(OR(A10="",COUNTIF($A$2:$A$25,A10)&lt;&gt;1,LEFT(A10,LEN("2024::jama.2024.4183::"))&lt;&gt;"2024::jama.2024.4183::"),"CHECK KEY",IF(OR(AND(NOT(AND(D10="retain",E10="statistical_results")),H10&lt;&gt;"",H10&lt;&gt;"not_applicable"),AND(NOT(AND(D10="retain",E10="statistical_results")),I10&lt;&gt;"",I10&lt;&gt;"not_applicable"),AND(NOT(AND(D10="retain",E10="statistical_results")),J10&lt;&gt;"",J10&lt;&gt;"not_applicable"),AND(NOT(AND(D10="retain",OR(E10="report_internal_inconsistency",E10="plan_material"))),K10&lt;&gt;"",K10&lt;&gt;"not_applicable"),AND(NOT(AND(D10="retain",E10="protocol_report")),L10&lt;&gt;"",L10&lt;&gt;"not_applicable")),"CLEAR INACTIVE VALUES",IF(OR(NOT(OR(D10="retain",D10="exclude",D10="discuss")),NOT(OR(E10="statistical_results",E10="report_internal_inconsistency",E10="plan_material",E10="protocol_report")),AND(AND(D10="retain",E10="statistical_results"),NOT(OR(H10="confirmed_issue",H10="probable_issue",H10="not_issue",H10="indeterminate"))),AND(AND(D10="retain",E10="statistical_results"),NOT(OR(I10="substantive",I10="minor_presentation",I10="indeterminate"))),AND(AND(D10="retain",E10="statistical_results"),J10&lt;&gt;"",NOT(OR(J10="direct",J10="possible",J10="unlikely",J10="unknown"))),AND(AND(D10="retain",OR(E10="report_internal_inconsistency",E10="plan_material")),NOT(OR(K10="substantive_inconsistency",K10="minor_presentation",K10="non_inconsistency",K10="indeterminate"))),AND(AND(D10="retain",E10="protocol_report"),L10&lt;&gt;"",NOT(OR(L10="substantive_difference",L10="minor_presentation",L10="version_timing",L10="non_inconsistency",L10="indeterminate")))),"CHECK FIELDS",IF(AND(F10&lt;&gt;"",NOT(OR(F10="no",F10="primary_done"))),"CHECK COMPLETE",IF(F10&lt;&gt;"primary_done","PRIMARY DRAFT","PRIMARY READY")))))),"CHECK KEY / INPUT")</f>
        <v/>
      </c>
      <c r="H10" s="18">
        <f>IF(AND(OR(D10="retain",D10=""),E10="statistical_results"),"","not_applicable")</f>
        <v/>
      </c>
      <c r="I10" s="18">
        <f>IF(AND(OR(D10="retain",D10=""),E10="statistical_results"),"","not_applicable")</f>
        <v/>
      </c>
      <c r="J10" s="19">
        <f>IF(AND(OR(D10="retain",D10=""),E10="statistical_results"),"","not_applicable")</f>
        <v/>
      </c>
      <c r="K10" s="18">
        <f>IF(AND(OR(D10="retain",D10=""),OR(E10="report_internal_inconsistency",E10="plan_material")),"","not_applicable")</f>
        <v/>
      </c>
      <c r="L10" s="19">
        <f>IF(AND(OR(D10="retain",D10=""),E10="protocol_report"),"","not_applicable")</f>
        <v/>
      </c>
      <c r="M10" s="12" t="n"/>
      <c r="N10" s="7" t="n"/>
      <c r="O10" s="7" t="n"/>
      <c r="P10" s="7" t="n"/>
      <c r="Q10" s="7" t="n"/>
      <c r="R10" s="19" t="n"/>
    </row>
    <row r="11" ht="92" customFormat="1" customHeight="1" s="8">
      <c r="A11" s="11" t="inlineStr">
        <is>
          <t>2024::jama.2024.4183::C010</t>
        </is>
      </c>
      <c r="B11" s="11" t="inlineStr">
        <is>
          <t>Protocol beta parameters do not reproduce the paired varenicline response probability</t>
        </is>
      </c>
      <c r="C11" s="11" t="inlineStr">
        <is>
          <t>Protocol p. 32, Figure 2.</t>
        </is>
      </c>
      <c r="D11" s="18" t="n"/>
      <c r="E11" s="18" t="inlineStr">
        <is>
          <t>plan_material</t>
        </is>
      </c>
      <c r="F11" s="18" t="inlineStr">
        <is>
          <t>no</t>
        </is>
      </c>
      <c r="G11" s="11">
        <f>IFERROR(IF(LEN(TRIM(CLEAN(SUBSTITUTE(Setup!$B$2,CHAR(160)," "))))=0,"ENTER REVIEWER ID",IF(OR(A11="",COUNTIF($A$2:$A$25,A11)&lt;&gt;1,LEFT(A11,LEN("2024::jama.2024.4183::"))&lt;&gt;"2024::jama.2024.4183::"),"CHECK KEY",IF(OR(AND(NOT(AND(D11="retain",E11="statistical_results")),H11&lt;&gt;"",H11&lt;&gt;"not_applicable"),AND(NOT(AND(D11="retain",E11="statistical_results")),I11&lt;&gt;"",I11&lt;&gt;"not_applicable"),AND(NOT(AND(D11="retain",E11="statistical_results")),J11&lt;&gt;"",J11&lt;&gt;"not_applicable"),AND(NOT(AND(D11="retain",OR(E11="report_internal_inconsistency",E11="plan_material"))),K11&lt;&gt;"",K11&lt;&gt;"not_applicable"),AND(NOT(AND(D11="retain",E11="protocol_report")),L11&lt;&gt;"",L11&lt;&gt;"not_applicable")),"CLEAR INACTIVE VALUES",IF(OR(NOT(OR(D11="retain",D11="exclude",D11="discuss")),NOT(OR(E11="statistical_results",E11="report_internal_inconsistency",E11="plan_material",E11="protocol_report")),AND(AND(D11="retain",E11="statistical_results"),NOT(OR(H11="confirmed_issue",H11="probable_issue",H11="not_issue",H11="indeterminate"))),AND(AND(D11="retain",E11="statistical_results"),NOT(OR(I11="substantive",I11="minor_presentation",I11="indeterminate"))),AND(AND(D11="retain",E11="statistical_results"),J11&lt;&gt;"",NOT(OR(J11="direct",J11="possible",J11="unlikely",J11="unknown"))),AND(AND(D11="retain",OR(E11="report_internal_inconsistency",E11="plan_material")),NOT(OR(K11="substantive_inconsistency",K11="minor_presentation",K11="non_inconsistency",K11="indeterminate"))),AND(AND(D11="retain",E11="protocol_report"),L11&lt;&gt;"",NOT(OR(L11="substantive_difference",L11="minor_presentation",L11="version_timing",L11="non_inconsistency",L11="indeterminate")))),"CHECK FIELDS",IF(AND(F11&lt;&gt;"",NOT(OR(F11="no",F11="primary_done"))),"CHECK COMPLETE",IF(F11&lt;&gt;"primary_done","PRIMARY DRAFT","PRIMARY READY")))))),"CHECK KEY / INPUT")</f>
        <v/>
      </c>
      <c r="H11" s="18">
        <f>IF(AND(OR(D11="retain",D11=""),E11="statistical_results"),"","not_applicable")</f>
        <v/>
      </c>
      <c r="I11" s="18">
        <f>IF(AND(OR(D11="retain",D11=""),E11="statistical_results"),"","not_applicable")</f>
        <v/>
      </c>
      <c r="J11" s="19">
        <f>IF(AND(OR(D11="retain",D11=""),E11="statistical_results"),"","not_applicable")</f>
        <v/>
      </c>
      <c r="K11" s="18">
        <f>IF(AND(OR(D11="retain",D11=""),OR(E11="report_internal_inconsistency",E11="plan_material")),"","not_applicable")</f>
        <v/>
      </c>
      <c r="L11" s="19">
        <f>IF(AND(OR(D11="retain",D11=""),E11="protocol_report"),"","not_applicable")</f>
        <v/>
      </c>
      <c r="M11" s="11" t="n"/>
      <c r="N11" s="7" t="n"/>
      <c r="O11" s="7" t="n"/>
      <c r="P11" s="7" t="n"/>
      <c r="Q11" s="7" t="n"/>
      <c r="R11" s="19" t="n"/>
    </row>
    <row r="12" ht="92" customFormat="1" customHeight="1" s="8">
      <c r="A12" s="12" t="inlineStr">
        <is>
          <t>2024::jama.2024.4183::C011</t>
        </is>
      </c>
      <c r="B12" s="12" t="inlineStr">
        <is>
          <t>Protocol Aim-1 power increases at a stricter nested threshold</t>
        </is>
      </c>
      <c r="C12" s="12" t="inlineStr">
        <is>
          <t>Protocol p. 34, Table 3.</t>
        </is>
      </c>
      <c r="D12" s="18" t="n"/>
      <c r="E12" s="18" t="inlineStr">
        <is>
          <t>plan_material</t>
        </is>
      </c>
      <c r="F12" s="18" t="inlineStr">
        <is>
          <t>no</t>
        </is>
      </c>
      <c r="G12" s="12">
        <f>IFERROR(IF(LEN(TRIM(CLEAN(SUBSTITUTE(Setup!$B$2,CHAR(160)," "))))=0,"ENTER REVIEWER ID",IF(OR(A12="",COUNTIF($A$2:$A$25,A12)&lt;&gt;1,LEFT(A12,LEN("2024::jama.2024.4183::"))&lt;&gt;"2024::jama.2024.4183::"),"CHECK KEY",IF(OR(AND(NOT(AND(D12="retain",E12="statistical_results")),H12&lt;&gt;"",H12&lt;&gt;"not_applicable"),AND(NOT(AND(D12="retain",E12="statistical_results")),I12&lt;&gt;"",I12&lt;&gt;"not_applicable"),AND(NOT(AND(D12="retain",E12="statistical_results")),J12&lt;&gt;"",J12&lt;&gt;"not_applicable"),AND(NOT(AND(D12="retain",OR(E12="report_internal_inconsistency",E12="plan_material"))),K12&lt;&gt;"",K12&lt;&gt;"not_applicable"),AND(NOT(AND(D12="retain",E12="protocol_report")),L12&lt;&gt;"",L12&lt;&gt;"not_applicable")),"CLEAR INACTIVE VALUES",IF(OR(NOT(OR(D12="retain",D12="exclude",D12="discuss")),NOT(OR(E12="statistical_results",E12="report_internal_inconsistency",E12="plan_material",E12="protocol_report")),AND(AND(D12="retain",E12="statistical_results"),NOT(OR(H12="confirmed_issue",H12="probable_issue",H12="not_issue",H12="indeterminate"))),AND(AND(D12="retain",E12="statistical_results"),NOT(OR(I12="substantive",I12="minor_presentation",I12="indeterminate"))),AND(AND(D12="retain",E12="statistical_results"),J12&lt;&gt;"",NOT(OR(J12="direct",J12="possible",J12="unlikely",J12="unknown"))),AND(AND(D12="retain",OR(E12="report_internal_inconsistency",E12="plan_material")),NOT(OR(K12="substantive_inconsistency",K12="minor_presentation",K12="non_inconsistency",K12="indeterminate"))),AND(AND(D12="retain",E12="protocol_report"),L12&lt;&gt;"",NOT(OR(L12="substantive_difference",L12="minor_presentation",L12="version_timing",L12="non_inconsistency",L12="indeterminate")))),"CHECK FIELDS",IF(AND(F12&lt;&gt;"",NOT(OR(F12="no",F12="primary_done"))),"CHECK COMPLETE",IF(F12&lt;&gt;"primary_done","PRIMARY DRAFT","PRIMARY READY")))))),"CHECK KEY / INPUT")</f>
        <v/>
      </c>
      <c r="H12" s="18">
        <f>IF(AND(OR(D12="retain",D12=""),E12="statistical_results"),"","not_applicable")</f>
        <v/>
      </c>
      <c r="I12" s="18">
        <f>IF(AND(OR(D12="retain",D12=""),E12="statistical_results"),"","not_applicable")</f>
        <v/>
      </c>
      <c r="J12" s="19">
        <f>IF(AND(OR(D12="retain",D12=""),E12="statistical_results"),"","not_applicable")</f>
        <v/>
      </c>
      <c r="K12" s="18">
        <f>IF(AND(OR(D12="retain",D12=""),OR(E12="report_internal_inconsistency",E12="plan_material")),"","not_applicable")</f>
        <v/>
      </c>
      <c r="L12" s="19">
        <f>IF(AND(OR(D12="retain",D12=""),E12="protocol_report"),"","not_applicable")</f>
        <v/>
      </c>
      <c r="M12" s="12" t="n"/>
      <c r="N12" s="7" t="n"/>
      <c r="O12" s="7" t="n"/>
      <c r="P12" s="7" t="n"/>
      <c r="Q12" s="7" t="n"/>
      <c r="R12" s="19" t="n"/>
    </row>
    <row r="13" ht="92" customFormat="1" customHeight="1" s="8">
      <c r="A13" s="11" t="inlineStr">
        <is>
          <t>2024::jama.2024.4183::C012</t>
        </is>
      </c>
      <c r="B13" s="11" t="inlineStr">
        <is>
          <t>Protocol Table 3 duplicates an Aim-2 comparator label</t>
        </is>
      </c>
      <c r="C13" s="11" t="inlineStr">
        <is>
          <t>Protocol p. 29; Protocol p. 33; Protocol p. 34.</t>
        </is>
      </c>
      <c r="D13" s="18" t="n"/>
      <c r="E13" s="18" t="inlineStr">
        <is>
          <t>plan_material</t>
        </is>
      </c>
      <c r="F13" s="18" t="inlineStr">
        <is>
          <t>no</t>
        </is>
      </c>
      <c r="G13" s="11">
        <f>IFERROR(IF(LEN(TRIM(CLEAN(SUBSTITUTE(Setup!$B$2,CHAR(160)," "))))=0,"ENTER REVIEWER ID",IF(OR(A13="",COUNTIF($A$2:$A$25,A13)&lt;&gt;1,LEFT(A13,LEN("2024::jama.2024.4183::"))&lt;&gt;"2024::jama.2024.4183::"),"CHECK KEY",IF(OR(AND(NOT(AND(D13="retain",E13="statistical_results")),H13&lt;&gt;"",H13&lt;&gt;"not_applicable"),AND(NOT(AND(D13="retain",E13="statistical_results")),I13&lt;&gt;"",I13&lt;&gt;"not_applicable"),AND(NOT(AND(D13="retain",E13="statistical_results")),J13&lt;&gt;"",J13&lt;&gt;"not_applicable"),AND(NOT(AND(D13="retain",OR(E13="report_internal_inconsistency",E13="plan_material"))),K13&lt;&gt;"",K13&lt;&gt;"not_applicable"),AND(NOT(AND(D13="retain",E13="protocol_report")),L13&lt;&gt;"",L13&lt;&gt;"not_applicable")),"CLEAR INACTIVE VALUES",IF(OR(NOT(OR(D13="retain",D13="exclude",D13="discuss")),NOT(OR(E13="statistical_results",E13="report_internal_inconsistency",E13="plan_material",E13="protocol_report")),AND(AND(D13="retain",E13="statistical_results"),NOT(OR(H13="confirmed_issue",H13="probable_issue",H13="not_issue",H13="indeterminate"))),AND(AND(D13="retain",E13="statistical_results"),NOT(OR(I13="substantive",I13="minor_presentation",I13="indeterminate"))),AND(AND(D13="retain",E13="statistical_results"),J13&lt;&gt;"",NOT(OR(J13="direct",J13="possible",J13="unlikely",J13="unknown"))),AND(AND(D13="retain",OR(E13="report_internal_inconsistency",E13="plan_material")),NOT(OR(K13="substantive_inconsistency",K13="minor_presentation",K13="non_inconsistency",K13="indeterminate"))),AND(AND(D13="retain",E13="protocol_report"),L13&lt;&gt;"",NOT(OR(L13="substantive_difference",L13="minor_presentation",L13="version_timing",L13="non_inconsistency",L13="indeterminate")))),"CHECK FIELDS",IF(AND(F13&lt;&gt;"",NOT(OR(F13="no",F13="primary_done"))),"CHECK COMPLETE",IF(F13&lt;&gt;"primary_done","PRIMARY DRAFT","PRIMARY READY")))))),"CHECK KEY / INPUT")</f>
        <v/>
      </c>
      <c r="H13" s="18">
        <f>IF(AND(OR(D13="retain",D13=""),E13="statistical_results"),"","not_applicable")</f>
        <v/>
      </c>
      <c r="I13" s="18">
        <f>IF(AND(OR(D13="retain",D13=""),E13="statistical_results"),"","not_applicable")</f>
        <v/>
      </c>
      <c r="J13" s="19">
        <f>IF(AND(OR(D13="retain",D13=""),E13="statistical_results"),"","not_applicable")</f>
        <v/>
      </c>
      <c r="K13" s="18">
        <f>IF(AND(OR(D13="retain",D13=""),OR(E13="report_internal_inconsistency",E13="plan_material")),"","not_applicable")</f>
        <v/>
      </c>
      <c r="L13" s="19">
        <f>IF(AND(OR(D13="retain",D13=""),E13="protocol_report"),"","not_applicable")</f>
        <v/>
      </c>
      <c r="M13" s="11" t="n"/>
      <c r="N13" s="7" t="n"/>
      <c r="O13" s="7" t="n"/>
      <c r="P13" s="7" t="n"/>
      <c r="Q13" s="7" t="n"/>
      <c r="R13" s="19" t="n"/>
    </row>
    <row r="14" ht="92" customFormat="1" customHeight="1" s="8">
      <c r="A14" s="12" t="inlineStr">
        <is>
          <t>2024::jama.2024.4183::C013</t>
        </is>
      </c>
      <c r="B14" s="12" t="inlineStr">
        <is>
          <t>ETable 3 reverses count and percentage in one n (%) cell</t>
        </is>
      </c>
      <c r="C14" s="12" t="inlineStr">
        <is>
          <t>Supplement 2 p. 19, ETable 3.</t>
        </is>
      </c>
      <c r="D14" s="18" t="n"/>
      <c r="E14" s="18" t="inlineStr">
        <is>
          <t>report_internal_inconsistency</t>
        </is>
      </c>
      <c r="F14" s="18" t="inlineStr">
        <is>
          <t>no</t>
        </is>
      </c>
      <c r="G14" s="12">
        <f>IFERROR(IF(LEN(TRIM(CLEAN(SUBSTITUTE(Setup!$B$2,CHAR(160)," "))))=0,"ENTER REVIEWER ID",IF(OR(A14="",COUNTIF($A$2:$A$25,A14)&lt;&gt;1,LEFT(A14,LEN("2024::jama.2024.4183::"))&lt;&gt;"2024::jama.2024.4183::"),"CHECK KEY",IF(OR(AND(NOT(AND(D14="retain",E14="statistical_results")),H14&lt;&gt;"",H14&lt;&gt;"not_applicable"),AND(NOT(AND(D14="retain",E14="statistical_results")),I14&lt;&gt;"",I14&lt;&gt;"not_applicable"),AND(NOT(AND(D14="retain",E14="statistical_results")),J14&lt;&gt;"",J14&lt;&gt;"not_applicable"),AND(NOT(AND(D14="retain",OR(E14="report_internal_inconsistency",E14="plan_material"))),K14&lt;&gt;"",K14&lt;&gt;"not_applicable"),AND(NOT(AND(D14="retain",E14="protocol_report")),L14&lt;&gt;"",L14&lt;&gt;"not_applicable")),"CLEAR INACTIVE VALUES",IF(OR(NOT(OR(D14="retain",D14="exclude",D14="discuss")),NOT(OR(E14="statistical_results",E14="report_internal_inconsistency",E14="plan_material",E14="protocol_report")),AND(AND(D14="retain",E14="statistical_results"),NOT(OR(H14="confirmed_issue",H14="probable_issue",H14="not_issue",H14="indeterminate"))),AND(AND(D14="retain",E14="statistical_results"),NOT(OR(I14="substantive",I14="minor_presentation",I14="indeterminate"))),AND(AND(D14="retain",E14="statistical_results"),J14&lt;&gt;"",NOT(OR(J14="direct",J14="possible",J14="unlikely",J14="unknown"))),AND(AND(D14="retain",OR(E14="report_internal_inconsistency",E14="plan_material")),NOT(OR(K14="substantive_inconsistency",K14="minor_presentation",K14="non_inconsistency",K14="indeterminate"))),AND(AND(D14="retain",E14="protocol_report"),L14&lt;&gt;"",NOT(OR(L14="substantive_difference",L14="minor_presentation",L14="version_timing",L14="non_inconsistency",L14="indeterminate")))),"CHECK FIELDS",IF(AND(F14&lt;&gt;"",NOT(OR(F14="no",F14="primary_done"))),"CHECK COMPLETE",IF(F14&lt;&gt;"primary_done","PRIMARY DRAFT","PRIMARY READY")))))),"CHECK KEY / INPUT")</f>
        <v/>
      </c>
      <c r="H14" s="18">
        <f>IF(AND(OR(D14="retain",D14=""),E14="statistical_results"),"","not_applicable")</f>
        <v/>
      </c>
      <c r="I14" s="18">
        <f>IF(AND(OR(D14="retain",D14=""),E14="statistical_results"),"","not_applicable")</f>
        <v/>
      </c>
      <c r="J14" s="19">
        <f>IF(AND(OR(D14="retain",D14=""),E14="statistical_results"),"","not_applicable")</f>
        <v/>
      </c>
      <c r="K14" s="18">
        <f>IF(AND(OR(D14="retain",D14=""),OR(E14="report_internal_inconsistency",E14="plan_material")),"","not_applicable")</f>
        <v/>
      </c>
      <c r="L14" s="19">
        <f>IF(AND(OR(D14="retain",D14=""),E14="protocol_report"),"","not_applicable")</f>
        <v/>
      </c>
      <c r="M14" s="12" t="n"/>
      <c r="N14" s="7" t="n"/>
      <c r="O14" s="7" t="n"/>
      <c r="P14" s="7" t="n"/>
      <c r="Q14" s="7" t="n"/>
      <c r="R14" s="19" t="n"/>
    </row>
    <row r="15" ht="92" customFormat="1" customHeight="1" s="8">
      <c r="A15" s="11" t="inlineStr">
        <is>
          <t>2024::jama.2024.4183::C014</t>
        </is>
      </c>
      <c r="B15" s="11" t="inlineStr">
        <is>
          <t>EOT+30 CNRT-switch cell estimate and CrI do not reconcile with matched figure as printed</t>
        </is>
      </c>
      <c r="C15" s="11" t="inlineStr">
        <is>
          <t>Supplement 2 p. 10; Supplement 2 p. 15.</t>
        </is>
      </c>
      <c r="D15" s="18" t="n"/>
      <c r="E15" s="18" t="inlineStr">
        <is>
          <t>statistical_results</t>
        </is>
      </c>
      <c r="F15" s="18" t="inlineStr">
        <is>
          <t>no</t>
        </is>
      </c>
      <c r="G15" s="11">
        <f>IFERROR(IF(LEN(TRIM(CLEAN(SUBSTITUTE(Setup!$B$2,CHAR(160)," "))))=0,"ENTER REVIEWER ID",IF(OR(A15="",COUNTIF($A$2:$A$25,A15)&lt;&gt;1,LEFT(A15,LEN("2024::jama.2024.4183::"))&lt;&gt;"2024::jama.2024.4183::"),"CHECK KEY",IF(OR(AND(NOT(AND(D15="retain",E15="statistical_results")),H15&lt;&gt;"",H15&lt;&gt;"not_applicable"),AND(NOT(AND(D15="retain",E15="statistical_results")),I15&lt;&gt;"",I15&lt;&gt;"not_applicable"),AND(NOT(AND(D15="retain",E15="statistical_results")),J15&lt;&gt;"",J15&lt;&gt;"not_applicable"),AND(NOT(AND(D15="retain",OR(E15="report_internal_inconsistency",E15="plan_material"))),K15&lt;&gt;"",K15&lt;&gt;"not_applicable"),AND(NOT(AND(D15="retain",E15="protocol_report")),L15&lt;&gt;"",L15&lt;&gt;"not_applicable")),"CLEAR INACTIVE VALUES",IF(OR(NOT(OR(D15="retain",D15="exclude",D15="discuss")),NOT(OR(E15="statistical_results",E15="report_internal_inconsistency",E15="plan_material",E15="protocol_report")),AND(AND(D15="retain",E15="statistical_results"),NOT(OR(H15="confirmed_issue",H15="probable_issue",H15="not_issue",H15="indeterminate"))),AND(AND(D15="retain",E15="statistical_results"),NOT(OR(I15="substantive",I15="minor_presentation",I15="indeterminate"))),AND(AND(D15="retain",E15="statistical_results"),J15&lt;&gt;"",NOT(OR(J15="direct",J15="possible",J15="unlikely",J15="unknown"))),AND(AND(D15="retain",OR(E15="report_internal_inconsistency",E15="plan_material")),NOT(OR(K15="substantive_inconsistency",K15="minor_presentation",K15="non_inconsistency",K15="indeterminate"))),AND(AND(D15="retain",E15="protocol_report"),L15&lt;&gt;"",NOT(OR(L15="substantive_difference",L15="minor_presentation",L15="version_timing",L15="non_inconsistency",L15="indeterminate")))),"CHECK FIELDS",IF(AND(F15&lt;&gt;"",NOT(OR(F15="no",F15="primary_done"))),"CHECK COMPLETE",IF(F15&lt;&gt;"primary_done","PRIMARY DRAFT","PRIMARY READY")))))),"CHECK KEY / INPUT")</f>
        <v/>
      </c>
      <c r="H15" s="18">
        <f>IF(AND(OR(D15="retain",D15=""),E15="statistical_results"),"","not_applicable")</f>
        <v/>
      </c>
      <c r="I15" s="18">
        <f>IF(AND(OR(D15="retain",D15=""),E15="statistical_results"),"","not_applicable")</f>
        <v/>
      </c>
      <c r="J15" s="19">
        <f>IF(AND(OR(D15="retain",D15=""),E15="statistical_results"),"","not_applicable")</f>
        <v/>
      </c>
      <c r="K15" s="18">
        <f>IF(AND(OR(D15="retain",D15=""),OR(E15="report_internal_inconsistency",E15="plan_material")),"","not_applicable")</f>
        <v/>
      </c>
      <c r="L15" s="19">
        <f>IF(AND(OR(D15="retain",D15=""),E15="protocol_report"),"","not_applicable")</f>
        <v/>
      </c>
      <c r="M15" s="11" t="n"/>
      <c r="N15" s="7" t="n"/>
      <c r="O15" s="7" t="n"/>
      <c r="P15" s="7" t="n"/>
      <c r="Q15" s="7" t="n"/>
      <c r="R15" s="19" t="n"/>
    </row>
    <row r="16" ht="92" customFormat="1" customHeight="1" s="8">
      <c r="A16" s="12" t="inlineStr">
        <is>
          <t>2024::jama.2024.4183::C015</t>
        </is>
      </c>
      <c r="B16" s="12" t="inlineStr">
        <is>
          <t>EOT+30 increased-CNRT cell CrI upper endpoint does not reconcile with matched figure as printed</t>
        </is>
      </c>
      <c r="C16" s="12" t="inlineStr">
        <is>
          <t>Supplement 2 p. 10; Supplement 2 p. 15.</t>
        </is>
      </c>
      <c r="D16" s="18" t="n"/>
      <c r="E16" s="18" t="inlineStr">
        <is>
          <t>statistical_results</t>
        </is>
      </c>
      <c r="F16" s="18" t="inlineStr">
        <is>
          <t>no</t>
        </is>
      </c>
      <c r="G16" s="12">
        <f>IFERROR(IF(LEN(TRIM(CLEAN(SUBSTITUTE(Setup!$B$2,CHAR(160)," "))))=0,"ENTER REVIEWER ID",IF(OR(A16="",COUNTIF($A$2:$A$25,A16)&lt;&gt;1,LEFT(A16,LEN("2024::jama.2024.4183::"))&lt;&gt;"2024::jama.2024.4183::"),"CHECK KEY",IF(OR(AND(NOT(AND(D16="retain",E16="statistical_results")),H16&lt;&gt;"",H16&lt;&gt;"not_applicable"),AND(NOT(AND(D16="retain",E16="statistical_results")),I16&lt;&gt;"",I16&lt;&gt;"not_applicable"),AND(NOT(AND(D16="retain",E16="statistical_results")),J16&lt;&gt;"",J16&lt;&gt;"not_applicable"),AND(NOT(AND(D16="retain",OR(E16="report_internal_inconsistency",E16="plan_material"))),K16&lt;&gt;"",K16&lt;&gt;"not_applicable"),AND(NOT(AND(D16="retain",E16="protocol_report")),L16&lt;&gt;"",L16&lt;&gt;"not_applicable")),"CLEAR INACTIVE VALUES",IF(OR(NOT(OR(D16="retain",D16="exclude",D16="discuss")),NOT(OR(E16="statistical_results",E16="report_internal_inconsistency",E16="plan_material",E16="protocol_report")),AND(AND(D16="retain",E16="statistical_results"),NOT(OR(H16="confirmed_issue",H16="probable_issue",H16="not_issue",H16="indeterminate"))),AND(AND(D16="retain",E16="statistical_results"),NOT(OR(I16="substantive",I16="minor_presentation",I16="indeterminate"))),AND(AND(D16="retain",E16="statistical_results"),J16&lt;&gt;"",NOT(OR(J16="direct",J16="possible",J16="unlikely",J16="unknown"))),AND(AND(D16="retain",OR(E16="report_internal_inconsistency",E16="plan_material")),NOT(OR(K16="substantive_inconsistency",K16="minor_presentation",K16="non_inconsistency",K16="indeterminate"))),AND(AND(D16="retain",E16="protocol_report"),L16&lt;&gt;"",NOT(OR(L16="substantive_difference",L16="minor_presentation",L16="version_timing",L16="non_inconsistency",L16="indeterminate")))),"CHECK FIELDS",IF(AND(F16&lt;&gt;"",NOT(OR(F16="no",F16="primary_done"))),"CHECK COMPLETE",IF(F16&lt;&gt;"primary_done","PRIMARY DRAFT","PRIMARY READY")))))),"CHECK KEY / INPUT")</f>
        <v/>
      </c>
      <c r="H16" s="18">
        <f>IF(AND(OR(D16="retain",D16=""),E16="statistical_results"),"","not_applicable")</f>
        <v/>
      </c>
      <c r="I16" s="18">
        <f>IF(AND(OR(D16="retain",D16=""),E16="statistical_results"),"","not_applicable")</f>
        <v/>
      </c>
      <c r="J16" s="19">
        <f>IF(AND(OR(D16="retain",D16=""),E16="statistical_results"),"","not_applicable")</f>
        <v/>
      </c>
      <c r="K16" s="18">
        <f>IF(AND(OR(D16="retain",D16=""),OR(E16="report_internal_inconsistency",E16="plan_material")),"","not_applicable")</f>
        <v/>
      </c>
      <c r="L16" s="19">
        <f>IF(AND(OR(D16="retain",D16=""),E16="protocol_report"),"","not_applicable")</f>
        <v/>
      </c>
      <c r="M16" s="12" t="n"/>
      <c r="N16" s="7" t="n"/>
      <c r="O16" s="7" t="n"/>
      <c r="P16" s="7" t="n"/>
      <c r="Q16" s="7" t="n"/>
      <c r="R16" s="19" t="n"/>
    </row>
    <row r="17" ht="92" customFormat="1" customHeight="1" s="8">
      <c r="A17" s="11" t="inlineStr">
        <is>
          <t>2024::jama.2024.4183::C016</t>
        </is>
      </c>
      <c r="B17" s="11" t="inlineStr">
        <is>
          <t>EOT+30 CNRT-switch ARD CrI upper endpoint does not reconcile with matched table as printed</t>
        </is>
      </c>
      <c r="C17" s="11" t="inlineStr">
        <is>
          <t>Supplement 2 p. 10; Supplement 2 p. 33.</t>
        </is>
      </c>
      <c r="D17" s="18" t="n"/>
      <c r="E17" s="18" t="inlineStr">
        <is>
          <t>statistical_results</t>
        </is>
      </c>
      <c r="F17" s="18" t="inlineStr">
        <is>
          <t>no</t>
        </is>
      </c>
      <c r="G17" s="11">
        <f>IFERROR(IF(LEN(TRIM(CLEAN(SUBSTITUTE(Setup!$B$2,CHAR(160)," "))))=0,"ENTER REVIEWER ID",IF(OR(A17="",COUNTIF($A$2:$A$25,A17)&lt;&gt;1,LEFT(A17,LEN("2024::jama.2024.4183::"))&lt;&gt;"2024::jama.2024.4183::"),"CHECK KEY",IF(OR(AND(NOT(AND(D17="retain",E17="statistical_results")),H17&lt;&gt;"",H17&lt;&gt;"not_applicable"),AND(NOT(AND(D17="retain",E17="statistical_results")),I17&lt;&gt;"",I17&lt;&gt;"not_applicable"),AND(NOT(AND(D17="retain",E17="statistical_results")),J17&lt;&gt;"",J17&lt;&gt;"not_applicable"),AND(NOT(AND(D17="retain",OR(E17="report_internal_inconsistency",E17="plan_material"))),K17&lt;&gt;"",K17&lt;&gt;"not_applicable"),AND(NOT(AND(D17="retain",E17="protocol_report")),L17&lt;&gt;"",L17&lt;&gt;"not_applicable")),"CLEAR INACTIVE VALUES",IF(OR(NOT(OR(D17="retain",D17="exclude",D17="discuss")),NOT(OR(E17="statistical_results",E17="report_internal_inconsistency",E17="plan_material",E17="protocol_report")),AND(AND(D17="retain",E17="statistical_results"),NOT(OR(H17="confirmed_issue",H17="probable_issue",H17="not_issue",H17="indeterminate"))),AND(AND(D17="retain",E17="statistical_results"),NOT(OR(I17="substantive",I17="minor_presentation",I17="indeterminate"))),AND(AND(D17="retain",E17="statistical_results"),J17&lt;&gt;"",NOT(OR(J17="direct",J17="possible",J17="unlikely",J17="unknown"))),AND(AND(D17="retain",OR(E17="report_internal_inconsistency",E17="plan_material")),NOT(OR(K17="substantive_inconsistency",K17="minor_presentation",K17="non_inconsistency",K17="indeterminate"))),AND(AND(D17="retain",E17="protocol_report"),L17&lt;&gt;"",NOT(OR(L17="substantive_difference",L17="minor_presentation",L17="version_timing",L17="non_inconsistency",L17="indeterminate")))),"CHECK FIELDS",IF(AND(F17&lt;&gt;"",NOT(OR(F17="no",F17="primary_done"))),"CHECK COMPLETE",IF(F17&lt;&gt;"primary_done","PRIMARY DRAFT","PRIMARY READY")))))),"CHECK KEY / INPUT")</f>
        <v/>
      </c>
      <c r="H17" s="18">
        <f>IF(AND(OR(D17="retain",D17=""),E17="statistical_results"),"","not_applicable")</f>
        <v/>
      </c>
      <c r="I17" s="18">
        <f>IF(AND(OR(D17="retain",D17=""),E17="statistical_results"),"","not_applicable")</f>
        <v/>
      </c>
      <c r="J17" s="19">
        <f>IF(AND(OR(D17="retain",D17=""),E17="statistical_results"),"","not_applicable")</f>
        <v/>
      </c>
      <c r="K17" s="18">
        <f>IF(AND(OR(D17="retain",D17=""),OR(E17="report_internal_inconsistency",E17="plan_material")),"","not_applicable")</f>
        <v/>
      </c>
      <c r="L17" s="19">
        <f>IF(AND(OR(D17="retain",D17=""),E17="protocol_report"),"","not_applicable")</f>
        <v/>
      </c>
      <c r="M17" s="11" t="n"/>
      <c r="N17" s="7" t="n"/>
      <c r="O17" s="7" t="n"/>
      <c r="P17" s="7" t="n"/>
      <c r="Q17" s="7" t="n"/>
      <c r="R17" s="19" t="n"/>
    </row>
    <row r="18" ht="92" customFormat="1" customHeight="1" s="8">
      <c r="A18" s="12" t="inlineStr">
        <is>
          <t>2024::jama.2024.4183::C017</t>
        </is>
      </c>
      <c r="B18" s="12" t="inlineStr">
        <is>
          <t>EOT+30 increased-varenicline narrative has repeated intervals that do not reconcile as printed</t>
        </is>
      </c>
      <c r="C18" s="12" t="inlineStr">
        <is>
          <t>Supplement 2 p. 10; Supplement 2 p. 11; Supplement 2 p. 15; Supplement 2 p. 33; Supplement 2 p. 34.</t>
        </is>
      </c>
      <c r="D18" s="18" t="n"/>
      <c r="E18" s="18" t="inlineStr">
        <is>
          <t>statistical_results</t>
        </is>
      </c>
      <c r="F18" s="18" t="inlineStr">
        <is>
          <t>no</t>
        </is>
      </c>
      <c r="G18" s="12">
        <f>IFERROR(IF(LEN(TRIM(CLEAN(SUBSTITUTE(Setup!$B$2,CHAR(160)," "))))=0,"ENTER REVIEWER ID",IF(OR(A18="",COUNTIF($A$2:$A$25,A18)&lt;&gt;1,LEFT(A18,LEN("2024::jama.2024.4183::"))&lt;&gt;"2024::jama.2024.4183::"),"CHECK KEY",IF(OR(AND(NOT(AND(D18="retain",E18="statistical_results")),H18&lt;&gt;"",H18&lt;&gt;"not_applicable"),AND(NOT(AND(D18="retain",E18="statistical_results")),I18&lt;&gt;"",I18&lt;&gt;"not_applicable"),AND(NOT(AND(D18="retain",E18="statistical_results")),J18&lt;&gt;"",J18&lt;&gt;"not_applicable"),AND(NOT(AND(D18="retain",OR(E18="report_internal_inconsistency",E18="plan_material"))),K18&lt;&gt;"",K18&lt;&gt;"not_applicable"),AND(NOT(AND(D18="retain",E18="protocol_report")),L18&lt;&gt;"",L18&lt;&gt;"not_applicable")),"CLEAR INACTIVE VALUES",IF(OR(NOT(OR(D18="retain",D18="exclude",D18="discuss")),NOT(OR(E18="statistical_results",E18="report_internal_inconsistency",E18="plan_material",E18="protocol_report")),AND(AND(D18="retain",E18="statistical_results"),NOT(OR(H18="confirmed_issue",H18="probable_issue",H18="not_issue",H18="indeterminate"))),AND(AND(D18="retain",E18="statistical_results"),NOT(OR(I18="substantive",I18="minor_presentation",I18="indeterminate"))),AND(AND(D18="retain",E18="statistical_results"),J18&lt;&gt;"",NOT(OR(J18="direct",J18="possible",J18="unlikely",J18="unknown"))),AND(AND(D18="retain",OR(E18="report_internal_inconsistency",E18="plan_material")),NOT(OR(K18="substantive_inconsistency",K18="minor_presentation",K18="non_inconsistency",K18="indeterminate"))),AND(AND(D18="retain",E18="protocol_report"),L18&lt;&gt;"",NOT(OR(L18="substantive_difference",L18="minor_presentation",L18="version_timing",L18="non_inconsistency",L18="indeterminate")))),"CHECK FIELDS",IF(AND(F18&lt;&gt;"",NOT(OR(F18="no",F18="primary_done"))),"CHECK COMPLETE",IF(F18&lt;&gt;"primary_done","PRIMARY DRAFT","PRIMARY READY")))))),"CHECK KEY / INPUT")</f>
        <v/>
      </c>
      <c r="H18" s="18">
        <f>IF(AND(OR(D18="retain",D18=""),E18="statistical_results"),"","not_applicable")</f>
        <v/>
      </c>
      <c r="I18" s="18">
        <f>IF(AND(OR(D18="retain",D18=""),E18="statistical_results"),"","not_applicable")</f>
        <v/>
      </c>
      <c r="J18" s="19">
        <f>IF(AND(OR(D18="retain",D18=""),E18="statistical_results"),"","not_applicable")</f>
        <v/>
      </c>
      <c r="K18" s="18">
        <f>IF(AND(OR(D18="retain",D18=""),OR(E18="report_internal_inconsistency",E18="plan_material")),"","not_applicable")</f>
        <v/>
      </c>
      <c r="L18" s="19">
        <f>IF(AND(OR(D18="retain",D18=""),E18="protocol_report"),"","not_applicable")</f>
        <v/>
      </c>
      <c r="M18" s="12" t="n"/>
      <c r="N18" s="7" t="n"/>
      <c r="O18" s="7" t="n"/>
      <c r="P18" s="7" t="n"/>
      <c r="Q18" s="7" t="n"/>
      <c r="R18" s="19" t="n"/>
    </row>
    <row r="19" ht="92" customFormat="1" customHeight="1" s="8">
      <c r="A19" s="11" t="inlineStr">
        <is>
          <t>2024::jama.2024.4183::C018</t>
        </is>
      </c>
      <c r="B19" s="11" t="inlineStr">
        <is>
          <t>EOT+30 abstainer ARD is 1.1% in narrative but 11% in eTable</t>
        </is>
      </c>
      <c r="C19" s="11" t="inlineStr">
        <is>
          <t>Supplement 2 p. 11; Supplement 2 p. 15; Supplement 2 p. 35.</t>
        </is>
      </c>
      <c r="D19" s="18" t="n"/>
      <c r="E19" s="18" t="inlineStr">
        <is>
          <t>statistical_results</t>
        </is>
      </c>
      <c r="F19" s="18" t="inlineStr">
        <is>
          <t>no</t>
        </is>
      </c>
      <c r="G19" s="11">
        <f>IFERROR(IF(LEN(TRIM(CLEAN(SUBSTITUTE(Setup!$B$2,CHAR(160)," "))))=0,"ENTER REVIEWER ID",IF(OR(A19="",COUNTIF($A$2:$A$25,A19)&lt;&gt;1,LEFT(A19,LEN("2024::jama.2024.4183::"))&lt;&gt;"2024::jama.2024.4183::"),"CHECK KEY",IF(OR(AND(NOT(AND(D19="retain",E19="statistical_results")),H19&lt;&gt;"",H19&lt;&gt;"not_applicable"),AND(NOT(AND(D19="retain",E19="statistical_results")),I19&lt;&gt;"",I19&lt;&gt;"not_applicable"),AND(NOT(AND(D19="retain",E19="statistical_results")),J19&lt;&gt;"",J19&lt;&gt;"not_applicable"),AND(NOT(AND(D19="retain",OR(E19="report_internal_inconsistency",E19="plan_material"))),K19&lt;&gt;"",K19&lt;&gt;"not_applicable"),AND(NOT(AND(D19="retain",E19="protocol_report")),L19&lt;&gt;"",L19&lt;&gt;"not_applicable")),"CLEAR INACTIVE VALUES",IF(OR(NOT(OR(D19="retain",D19="exclude",D19="discuss")),NOT(OR(E19="statistical_results",E19="report_internal_inconsistency",E19="plan_material",E19="protocol_report")),AND(AND(D19="retain",E19="statistical_results"),NOT(OR(H19="confirmed_issue",H19="probable_issue",H19="not_issue",H19="indeterminate"))),AND(AND(D19="retain",E19="statistical_results"),NOT(OR(I19="substantive",I19="minor_presentation",I19="indeterminate"))),AND(AND(D19="retain",E19="statistical_results"),J19&lt;&gt;"",NOT(OR(J19="direct",J19="possible",J19="unlikely",J19="unknown"))),AND(AND(D19="retain",OR(E19="report_internal_inconsistency",E19="plan_material")),NOT(OR(K19="substantive_inconsistency",K19="minor_presentation",K19="non_inconsistency",K19="indeterminate"))),AND(AND(D19="retain",E19="protocol_report"),L19&lt;&gt;"",NOT(OR(L19="substantive_difference",L19="minor_presentation",L19="version_timing",L19="non_inconsistency",L19="indeterminate")))),"CHECK FIELDS",IF(AND(F19&lt;&gt;"",NOT(OR(F19="no",F19="primary_done"))),"CHECK COMPLETE",IF(F19&lt;&gt;"primary_done","PRIMARY DRAFT","PRIMARY READY")))))),"CHECK KEY / INPUT")</f>
        <v/>
      </c>
      <c r="H19" s="18">
        <f>IF(AND(OR(D19="retain",D19=""),E19="statistical_results"),"","not_applicable")</f>
        <v/>
      </c>
      <c r="I19" s="18">
        <f>IF(AND(OR(D19="retain",D19=""),E19="statistical_results"),"","not_applicable")</f>
        <v/>
      </c>
      <c r="J19" s="19">
        <f>IF(AND(OR(D19="retain",D19=""),E19="statistical_results"),"","not_applicable")</f>
        <v/>
      </c>
      <c r="K19" s="18">
        <f>IF(AND(OR(D19="retain",D19=""),OR(E19="report_internal_inconsistency",E19="plan_material")),"","not_applicable")</f>
        <v/>
      </c>
      <c r="L19" s="19">
        <f>IF(AND(OR(D19="retain",D19=""),E19="protocol_report"),"","not_applicable")</f>
        <v/>
      </c>
      <c r="M19" s="11" t="n"/>
      <c r="N19" s="7" t="n"/>
      <c r="O19" s="7" t="n"/>
      <c r="P19" s="7" t="n"/>
      <c r="Q19" s="7" t="n"/>
      <c r="R19" s="19" t="n"/>
    </row>
    <row r="20" ht="92" customFormat="1" customHeight="1" s="8">
      <c r="A20" s="12" t="inlineStr">
        <is>
          <t>2024::jama.2024.4183::C019</t>
        </is>
      </c>
      <c r="B20" s="12" t="inlineStr">
        <is>
          <t>Six-month CNRT-switch cross-reference does not directly identify the matched table</t>
        </is>
      </c>
      <c r="C20" s="12" t="inlineStr">
        <is>
          <t>Supplement 2 p. 11; Supplement 2 p. 31; Supplement 2 p. 33.</t>
        </is>
      </c>
      <c r="D20" s="18" t="n"/>
      <c r="E20" s="18" t="inlineStr">
        <is>
          <t>report_internal_inconsistency</t>
        </is>
      </c>
      <c r="F20" s="18" t="inlineStr">
        <is>
          <t>no</t>
        </is>
      </c>
      <c r="G20" s="12">
        <f>IFERROR(IF(LEN(TRIM(CLEAN(SUBSTITUTE(Setup!$B$2,CHAR(160)," "))))=0,"ENTER REVIEWER ID",IF(OR(A20="",COUNTIF($A$2:$A$25,A20)&lt;&gt;1,LEFT(A20,LEN("2024::jama.2024.4183::"))&lt;&gt;"2024::jama.2024.4183::"),"CHECK KEY",IF(OR(AND(NOT(AND(D20="retain",E20="statistical_results")),H20&lt;&gt;"",H20&lt;&gt;"not_applicable"),AND(NOT(AND(D20="retain",E20="statistical_results")),I20&lt;&gt;"",I20&lt;&gt;"not_applicable"),AND(NOT(AND(D20="retain",E20="statistical_results")),J20&lt;&gt;"",J20&lt;&gt;"not_applicable"),AND(NOT(AND(D20="retain",OR(E20="report_internal_inconsistency",E20="plan_material"))),K20&lt;&gt;"",K20&lt;&gt;"not_applicable"),AND(NOT(AND(D20="retain",E20="protocol_report")),L20&lt;&gt;"",L20&lt;&gt;"not_applicable")),"CLEAR INACTIVE VALUES",IF(OR(NOT(OR(D20="retain",D20="exclude",D20="discuss")),NOT(OR(E20="statistical_results",E20="report_internal_inconsistency",E20="plan_material",E20="protocol_report")),AND(AND(D20="retain",E20="statistical_results"),NOT(OR(H20="confirmed_issue",H20="probable_issue",H20="not_issue",H20="indeterminate"))),AND(AND(D20="retain",E20="statistical_results"),NOT(OR(I20="substantive",I20="minor_presentation",I20="indeterminate"))),AND(AND(D20="retain",E20="statistical_results"),J20&lt;&gt;"",NOT(OR(J20="direct",J20="possible",J20="unlikely",J20="unknown"))),AND(AND(D20="retain",OR(E20="report_internal_inconsistency",E20="plan_material")),NOT(OR(K20="substantive_inconsistency",K20="minor_presentation",K20="non_inconsistency",K20="indeterminate"))),AND(AND(D20="retain",E20="protocol_report"),L20&lt;&gt;"",NOT(OR(L20="substantive_difference",L20="minor_presentation",L20="version_timing",L20="non_inconsistency",L20="indeterminate")))),"CHECK FIELDS",IF(AND(F20&lt;&gt;"",NOT(OR(F20="no",F20="primary_done"))),"CHECK COMPLETE",IF(F20&lt;&gt;"primary_done","PRIMARY DRAFT","PRIMARY READY")))))),"CHECK KEY / INPUT")</f>
        <v/>
      </c>
      <c r="H20" s="18">
        <f>IF(AND(OR(D20="retain",D20=""),E20="statistical_results"),"","not_applicable")</f>
        <v/>
      </c>
      <c r="I20" s="18">
        <f>IF(AND(OR(D20="retain",D20=""),E20="statistical_results"),"","not_applicable")</f>
        <v/>
      </c>
      <c r="J20" s="19">
        <f>IF(AND(OR(D20="retain",D20=""),E20="statistical_results"),"","not_applicable")</f>
        <v/>
      </c>
      <c r="K20" s="18">
        <f>IF(AND(OR(D20="retain",D20=""),OR(E20="report_internal_inconsistency",E20="plan_material")),"","not_applicable")</f>
        <v/>
      </c>
      <c r="L20" s="19">
        <f>IF(AND(OR(D20="retain",D20=""),E20="protocol_report"),"","not_applicable")</f>
        <v/>
      </c>
      <c r="M20" s="12" t="n"/>
      <c r="N20" s="7" t="n"/>
      <c r="O20" s="7" t="n"/>
      <c r="P20" s="7" t="n"/>
      <c r="Q20" s="7" t="n"/>
      <c r="R20" s="19" t="n"/>
    </row>
    <row r="21" ht="92" customFormat="1" customHeight="1" s="8">
      <c r="A21" s="11" t="inlineStr">
        <is>
          <t>2024::jama.2024.4183::C020</t>
        </is>
      </c>
      <c r="B21" s="11" t="inlineStr">
        <is>
          <t>Six-month abstainer narrative interval and direction do not reconcile with matched sources</t>
        </is>
      </c>
      <c r="C21" s="11" t="inlineStr">
        <is>
          <t>Supplement 2 p. 12; Supplement 2 p. 16; Supplement 2 p. 35.</t>
        </is>
      </c>
      <c r="D21" s="18" t="n"/>
      <c r="E21" s="18" t="inlineStr">
        <is>
          <t>statistical_results</t>
        </is>
      </c>
      <c r="F21" s="18" t="inlineStr">
        <is>
          <t>no</t>
        </is>
      </c>
      <c r="G21" s="11">
        <f>IFERROR(IF(LEN(TRIM(CLEAN(SUBSTITUTE(Setup!$B$2,CHAR(160)," "))))=0,"ENTER REVIEWER ID",IF(OR(A21="",COUNTIF($A$2:$A$25,A21)&lt;&gt;1,LEFT(A21,LEN("2024::jama.2024.4183::"))&lt;&gt;"2024::jama.2024.4183::"),"CHECK KEY",IF(OR(AND(NOT(AND(D21="retain",E21="statistical_results")),H21&lt;&gt;"",H21&lt;&gt;"not_applicable"),AND(NOT(AND(D21="retain",E21="statistical_results")),I21&lt;&gt;"",I21&lt;&gt;"not_applicable"),AND(NOT(AND(D21="retain",E21="statistical_results")),J21&lt;&gt;"",J21&lt;&gt;"not_applicable"),AND(NOT(AND(D21="retain",OR(E21="report_internal_inconsistency",E21="plan_material"))),K21&lt;&gt;"",K21&lt;&gt;"not_applicable"),AND(NOT(AND(D21="retain",E21="protocol_report")),L21&lt;&gt;"",L21&lt;&gt;"not_applicable")),"CLEAR INACTIVE VALUES",IF(OR(NOT(OR(D21="retain",D21="exclude",D21="discuss")),NOT(OR(E21="statistical_results",E21="report_internal_inconsistency",E21="plan_material",E21="protocol_report")),AND(AND(D21="retain",E21="statistical_results"),NOT(OR(H21="confirmed_issue",H21="probable_issue",H21="not_issue",H21="indeterminate"))),AND(AND(D21="retain",E21="statistical_results"),NOT(OR(I21="substantive",I21="minor_presentation",I21="indeterminate"))),AND(AND(D21="retain",E21="statistical_results"),J21&lt;&gt;"",NOT(OR(J21="direct",J21="possible",J21="unlikely",J21="unknown"))),AND(AND(D21="retain",OR(E21="report_internal_inconsistency",E21="plan_material")),NOT(OR(K21="substantive_inconsistency",K21="minor_presentation",K21="non_inconsistency",K21="indeterminate"))),AND(AND(D21="retain",E21="protocol_report"),L21&lt;&gt;"",NOT(OR(L21="substantive_difference",L21="minor_presentation",L21="version_timing",L21="non_inconsistency",L21="indeterminate")))),"CHECK FIELDS",IF(AND(F21&lt;&gt;"",NOT(OR(F21="no",F21="primary_done"))),"CHECK COMPLETE",IF(F21&lt;&gt;"primary_done","PRIMARY DRAFT","PRIMARY READY")))))),"CHECK KEY / INPUT")</f>
        <v/>
      </c>
      <c r="H21" s="18">
        <f>IF(AND(OR(D21="retain",D21=""),E21="statistical_results"),"","not_applicable")</f>
        <v/>
      </c>
      <c r="I21" s="18">
        <f>IF(AND(OR(D21="retain",D21=""),E21="statistical_results"),"","not_applicable")</f>
        <v/>
      </c>
      <c r="J21" s="19">
        <f>IF(AND(OR(D21="retain",D21=""),E21="statistical_results"),"","not_applicable")</f>
        <v/>
      </c>
      <c r="K21" s="18">
        <f>IF(AND(OR(D21="retain",D21=""),OR(E21="report_internal_inconsistency",E21="plan_material")),"","not_applicable")</f>
        <v/>
      </c>
      <c r="L21" s="19">
        <f>IF(AND(OR(D21="retain",D21=""),E21="protocol_report"),"","not_applicable")</f>
        <v/>
      </c>
      <c r="M21" s="11" t="n"/>
      <c r="N21" s="7" t="n"/>
      <c r="O21" s="7" t="n"/>
      <c r="P21" s="7" t="n"/>
      <c r="Q21" s="7" t="n"/>
      <c r="R21" s="19" t="n"/>
    </row>
    <row r="22" ht="92" customFormat="1" customHeight="1" s="8">
      <c r="A22" s="12" t="inlineStr">
        <is>
          <t>2024::jama.2024.4183::C021</t>
        </is>
      </c>
      <c r="B22" s="12" t="inlineStr">
        <is>
          <t>Phase-1-abstainer summary cross-reference does not directly identify the matched table</t>
        </is>
      </c>
      <c r="C22" s="12" t="inlineStr">
        <is>
          <t>Supplement 2 p. 10; Supplement 2 p. 34; Supplement 2 p. 35.</t>
        </is>
      </c>
      <c r="D22" s="18" t="n"/>
      <c r="E22" s="18" t="inlineStr">
        <is>
          <t>report_internal_inconsistency</t>
        </is>
      </c>
      <c r="F22" s="18" t="inlineStr">
        <is>
          <t>no</t>
        </is>
      </c>
      <c r="G22" s="12">
        <f>IFERROR(IF(LEN(TRIM(CLEAN(SUBSTITUTE(Setup!$B$2,CHAR(160)," "))))=0,"ENTER REVIEWER ID",IF(OR(A22="",COUNTIF($A$2:$A$25,A22)&lt;&gt;1,LEFT(A22,LEN("2024::jama.2024.4183::"))&lt;&gt;"2024::jama.2024.4183::"),"CHECK KEY",IF(OR(AND(NOT(AND(D22="retain",E22="statistical_results")),H22&lt;&gt;"",H22&lt;&gt;"not_applicable"),AND(NOT(AND(D22="retain",E22="statistical_results")),I22&lt;&gt;"",I22&lt;&gt;"not_applicable"),AND(NOT(AND(D22="retain",E22="statistical_results")),J22&lt;&gt;"",J22&lt;&gt;"not_applicable"),AND(NOT(AND(D22="retain",OR(E22="report_internal_inconsistency",E22="plan_material"))),K22&lt;&gt;"",K22&lt;&gt;"not_applicable"),AND(NOT(AND(D22="retain",E22="protocol_report")),L22&lt;&gt;"",L22&lt;&gt;"not_applicable")),"CLEAR INACTIVE VALUES",IF(OR(NOT(OR(D22="retain",D22="exclude",D22="discuss")),NOT(OR(E22="statistical_results",E22="report_internal_inconsistency",E22="plan_material",E22="protocol_report")),AND(AND(D22="retain",E22="statistical_results"),NOT(OR(H22="confirmed_issue",H22="probable_issue",H22="not_issue",H22="indeterminate"))),AND(AND(D22="retain",E22="statistical_results"),NOT(OR(I22="substantive",I22="minor_presentation",I22="indeterminate"))),AND(AND(D22="retain",E22="statistical_results"),J22&lt;&gt;"",NOT(OR(J22="direct",J22="possible",J22="unlikely",J22="unknown"))),AND(AND(D22="retain",OR(E22="report_internal_inconsistency",E22="plan_material")),NOT(OR(K22="substantive_inconsistency",K22="minor_presentation",K22="non_inconsistency",K22="indeterminate"))),AND(AND(D22="retain",E22="protocol_report"),L22&lt;&gt;"",NOT(OR(L22="substantive_difference",L22="minor_presentation",L22="version_timing",L22="non_inconsistency",L22="indeterminate")))),"CHECK FIELDS",IF(AND(F22&lt;&gt;"",NOT(OR(F22="no",F22="primary_done"))),"CHECK COMPLETE",IF(F22&lt;&gt;"primary_done","PRIMARY DRAFT","PRIMARY READY")))))),"CHECK KEY / INPUT")</f>
        <v/>
      </c>
      <c r="H22" s="18">
        <f>IF(AND(OR(D22="retain",D22=""),E22="statistical_results"),"","not_applicable")</f>
        <v/>
      </c>
      <c r="I22" s="18">
        <f>IF(AND(OR(D22="retain",D22=""),E22="statistical_results"),"","not_applicable")</f>
        <v/>
      </c>
      <c r="J22" s="19">
        <f>IF(AND(OR(D22="retain",D22=""),E22="statistical_results"),"","not_applicable")</f>
        <v/>
      </c>
      <c r="K22" s="18">
        <f>IF(AND(OR(D22="retain",D22=""),OR(E22="report_internal_inconsistency",E22="plan_material")),"","not_applicable")</f>
        <v/>
      </c>
      <c r="L22" s="19">
        <f>IF(AND(OR(D22="retain",D22=""),E22="protocol_report"),"","not_applicable")</f>
        <v/>
      </c>
      <c r="M22" s="12" t="n"/>
      <c r="N22" s="7" t="n"/>
      <c r="O22" s="7" t="n"/>
      <c r="P22" s="7" t="n"/>
      <c r="Q22" s="7" t="n"/>
      <c r="R22" s="19" t="n"/>
    </row>
    <row r="23" ht="92" customFormat="1" customHeight="1" s="8">
      <c r="A23" s="11" t="inlineStr">
        <is>
          <t>2024::jama.2024.4183::C022</t>
        </is>
      </c>
      <c r="B23" s="11" t="inlineStr">
        <is>
          <t>Six-month VAR-plus-versus-switch cross-reference does not directly identify the matched table</t>
        </is>
      </c>
      <c r="C23" s="11" t="inlineStr">
        <is>
          <t>Supplement 2 p. 12; Supplement 2 p. 33; Supplement 2 p. 34.</t>
        </is>
      </c>
      <c r="D23" s="18" t="n"/>
      <c r="E23" s="18" t="inlineStr">
        <is>
          <t>report_internal_inconsistency</t>
        </is>
      </c>
      <c r="F23" s="18" t="inlineStr">
        <is>
          <t>no</t>
        </is>
      </c>
      <c r="G23" s="11">
        <f>IFERROR(IF(LEN(TRIM(CLEAN(SUBSTITUTE(Setup!$B$2,CHAR(160)," "))))=0,"ENTER REVIEWER ID",IF(OR(A23="",COUNTIF($A$2:$A$25,A23)&lt;&gt;1,LEFT(A23,LEN("2024::jama.2024.4183::"))&lt;&gt;"2024::jama.2024.4183::"),"CHECK KEY",IF(OR(AND(NOT(AND(D23="retain",E23="statistical_results")),H23&lt;&gt;"",H23&lt;&gt;"not_applicable"),AND(NOT(AND(D23="retain",E23="statistical_results")),I23&lt;&gt;"",I23&lt;&gt;"not_applicable"),AND(NOT(AND(D23="retain",E23="statistical_results")),J23&lt;&gt;"",J23&lt;&gt;"not_applicable"),AND(NOT(AND(D23="retain",OR(E23="report_internal_inconsistency",E23="plan_material"))),K23&lt;&gt;"",K23&lt;&gt;"not_applicable"),AND(NOT(AND(D23="retain",E23="protocol_report")),L23&lt;&gt;"",L23&lt;&gt;"not_applicable")),"CLEAR INACTIVE VALUES",IF(OR(NOT(OR(D23="retain",D23="exclude",D23="discuss")),NOT(OR(E23="statistical_results",E23="report_internal_inconsistency",E23="plan_material",E23="protocol_report")),AND(AND(D23="retain",E23="statistical_results"),NOT(OR(H23="confirmed_issue",H23="probable_issue",H23="not_issue",H23="indeterminate"))),AND(AND(D23="retain",E23="statistical_results"),NOT(OR(I23="substantive",I23="minor_presentation",I23="indeterminate"))),AND(AND(D23="retain",E23="statistical_results"),J23&lt;&gt;"",NOT(OR(J23="direct",J23="possible",J23="unlikely",J23="unknown"))),AND(AND(D23="retain",OR(E23="report_internal_inconsistency",E23="plan_material")),NOT(OR(K23="substantive_inconsistency",K23="minor_presentation",K23="non_inconsistency",K23="indeterminate"))),AND(AND(D23="retain",E23="protocol_report"),L23&lt;&gt;"",NOT(OR(L23="substantive_difference",L23="minor_presentation",L23="version_timing",L23="non_inconsistency",L23="indeterminate")))),"CHECK FIELDS",IF(AND(F23&lt;&gt;"",NOT(OR(F23="no",F23="primary_done"))),"CHECK COMPLETE",IF(F23&lt;&gt;"primary_done","PRIMARY DRAFT","PRIMARY READY")))))),"CHECK KEY / INPUT")</f>
        <v/>
      </c>
      <c r="H23" s="18">
        <f>IF(AND(OR(D23="retain",D23=""),E23="statistical_results"),"","not_applicable")</f>
        <v/>
      </c>
      <c r="I23" s="18">
        <f>IF(AND(OR(D23="retain",D23=""),E23="statistical_results"),"","not_applicable")</f>
        <v/>
      </c>
      <c r="J23" s="19">
        <f>IF(AND(OR(D23="retain",D23=""),E23="statistical_results"),"","not_applicable")</f>
        <v/>
      </c>
      <c r="K23" s="18">
        <f>IF(AND(OR(D23="retain",D23=""),OR(E23="report_internal_inconsistency",E23="plan_material")),"","not_applicable")</f>
        <v/>
      </c>
      <c r="L23" s="19">
        <f>IF(AND(OR(D23="retain",D23=""),E23="protocol_report"),"","not_applicable")</f>
        <v/>
      </c>
      <c r="M23" s="11" t="n"/>
      <c r="N23" s="7" t="n"/>
      <c r="O23" s="7" t="n"/>
      <c r="P23" s="7" t="n"/>
      <c r="Q23" s="7" t="n"/>
      <c r="R23" s="19" t="n"/>
    </row>
    <row r="24" ht="92" customFormat="1" customHeight="1" s="8">
      <c r="A24" s="12" t="inlineStr">
        <is>
          <t>2024::jama.2024.4183::C023</t>
        </is>
      </c>
      <c r="B24" s="12" t="inlineStr">
        <is>
          <t>ETable 3 employment value order differs from declared n (%)</t>
        </is>
      </c>
      <c r="C24" s="12" t="inlineStr">
        <is>
          <t>Supplement 2 p. 19, ETable 3.</t>
        </is>
      </c>
      <c r="D24" s="18" t="n"/>
      <c r="E24" s="18" t="inlineStr">
        <is>
          <t>report_internal_inconsistency</t>
        </is>
      </c>
      <c r="F24" s="18" t="inlineStr">
        <is>
          <t>no</t>
        </is>
      </c>
      <c r="G24" s="12">
        <f>IFERROR(IF(LEN(TRIM(CLEAN(SUBSTITUTE(Setup!$B$2,CHAR(160)," "))))=0,"ENTER REVIEWER ID",IF(OR(A24="",COUNTIF($A$2:$A$25,A24)&lt;&gt;1,LEFT(A24,LEN("2024::jama.2024.4183::"))&lt;&gt;"2024::jama.2024.4183::"),"CHECK KEY",IF(OR(AND(NOT(AND(D24="retain",E24="statistical_results")),H24&lt;&gt;"",H24&lt;&gt;"not_applicable"),AND(NOT(AND(D24="retain",E24="statistical_results")),I24&lt;&gt;"",I24&lt;&gt;"not_applicable"),AND(NOT(AND(D24="retain",E24="statistical_results")),J24&lt;&gt;"",J24&lt;&gt;"not_applicable"),AND(NOT(AND(D24="retain",OR(E24="report_internal_inconsistency",E24="plan_material"))),K24&lt;&gt;"",K24&lt;&gt;"not_applicable"),AND(NOT(AND(D24="retain",E24="protocol_report")),L24&lt;&gt;"",L24&lt;&gt;"not_applicable")),"CLEAR INACTIVE VALUES",IF(OR(NOT(OR(D24="retain",D24="exclude",D24="discuss")),NOT(OR(E24="statistical_results",E24="report_internal_inconsistency",E24="plan_material",E24="protocol_report")),AND(AND(D24="retain",E24="statistical_results"),NOT(OR(H24="confirmed_issue",H24="probable_issue",H24="not_issue",H24="indeterminate"))),AND(AND(D24="retain",E24="statistical_results"),NOT(OR(I24="substantive",I24="minor_presentation",I24="indeterminate"))),AND(AND(D24="retain",E24="statistical_results"),J24&lt;&gt;"",NOT(OR(J24="direct",J24="possible",J24="unlikely",J24="unknown"))),AND(AND(D24="retain",OR(E24="report_internal_inconsistency",E24="plan_material")),NOT(OR(K24="substantive_inconsistency",K24="minor_presentation",K24="non_inconsistency",K24="indeterminate"))),AND(AND(D24="retain",E24="protocol_report"),L24&lt;&gt;"",NOT(OR(L24="substantive_difference",L24="minor_presentation",L24="version_timing",L24="non_inconsistency",L24="indeterminate")))),"CHECK FIELDS",IF(AND(F24&lt;&gt;"",NOT(OR(F24="no",F24="primary_done"))),"CHECK COMPLETE",IF(F24&lt;&gt;"primary_done","PRIMARY DRAFT","PRIMARY READY")))))),"CHECK KEY / INPUT")</f>
        <v/>
      </c>
      <c r="H24" s="18">
        <f>IF(AND(OR(D24="retain",D24=""),E24="statistical_results"),"","not_applicable")</f>
        <v/>
      </c>
      <c r="I24" s="18">
        <f>IF(AND(OR(D24="retain",D24=""),E24="statistical_results"),"","not_applicable")</f>
        <v/>
      </c>
      <c r="J24" s="19">
        <f>IF(AND(OR(D24="retain",D24=""),E24="statistical_results"),"","not_applicable")</f>
        <v/>
      </c>
      <c r="K24" s="18">
        <f>IF(AND(OR(D24="retain",D24=""),OR(E24="report_internal_inconsistency",E24="plan_material")),"","not_applicable")</f>
        <v/>
      </c>
      <c r="L24" s="19">
        <f>IF(AND(OR(D24="retain",D24=""),E24="protocol_report"),"","not_applicable")</f>
        <v/>
      </c>
      <c r="M24" s="12" t="n"/>
      <c r="N24" s="7" t="n"/>
      <c r="O24" s="7" t="n"/>
      <c r="P24" s="7" t="n"/>
      <c r="Q24" s="7" t="n"/>
      <c r="R24" s="19" t="n"/>
    </row>
    <row r="25" ht="92" customFormat="1" customHeight="1" s="8">
      <c r="A25" s="11" t="inlineStr">
        <is>
          <t>2024::jama.2024.4183::C024</t>
        </is>
      </c>
      <c r="B25" s="11" t="inlineStr">
        <is>
          <t>ETable 3 employment totals do not close to two printed column Ns</t>
        </is>
      </c>
      <c r="C25" s="11" t="inlineStr">
        <is>
          <t>Supplement 2 p. 19, ETable 3.</t>
        </is>
      </c>
      <c r="D25" s="18" t="n"/>
      <c r="E25" s="18" t="inlineStr">
        <is>
          <t>statistical_results</t>
        </is>
      </c>
      <c r="F25" s="18" t="inlineStr">
        <is>
          <t>no</t>
        </is>
      </c>
      <c r="G25" s="11">
        <f>IFERROR(IF(LEN(TRIM(CLEAN(SUBSTITUTE(Setup!$B$2,CHAR(160)," "))))=0,"ENTER REVIEWER ID",IF(OR(A25="",COUNTIF($A$2:$A$25,A25)&lt;&gt;1,LEFT(A25,LEN("2024::jama.2024.4183::"))&lt;&gt;"2024::jama.2024.4183::"),"CHECK KEY",IF(OR(AND(NOT(AND(D25="retain",E25="statistical_results")),H25&lt;&gt;"",H25&lt;&gt;"not_applicable"),AND(NOT(AND(D25="retain",E25="statistical_results")),I25&lt;&gt;"",I25&lt;&gt;"not_applicable"),AND(NOT(AND(D25="retain",E25="statistical_results")),J25&lt;&gt;"",J25&lt;&gt;"not_applicable"),AND(NOT(AND(D25="retain",OR(E25="report_internal_inconsistency",E25="plan_material"))),K25&lt;&gt;"",K25&lt;&gt;"not_applicable"),AND(NOT(AND(D25="retain",E25="protocol_report")),L25&lt;&gt;"",L25&lt;&gt;"not_applicable")),"CLEAR INACTIVE VALUES",IF(OR(NOT(OR(D25="retain",D25="exclude",D25="discuss")),NOT(OR(E25="statistical_results",E25="report_internal_inconsistency",E25="plan_material",E25="protocol_report")),AND(AND(D25="retain",E25="statistical_results"),NOT(OR(H25="confirmed_issue",H25="probable_issue",H25="not_issue",H25="indeterminate"))),AND(AND(D25="retain",E25="statistical_results"),NOT(OR(I25="substantive",I25="minor_presentation",I25="indeterminate"))),AND(AND(D25="retain",E25="statistical_results"),J25&lt;&gt;"",NOT(OR(J25="direct",J25="possible",J25="unlikely",J25="unknown"))),AND(AND(D25="retain",OR(E25="report_internal_inconsistency",E25="plan_material")),NOT(OR(K25="substantive_inconsistency",K25="minor_presentation",K25="non_inconsistency",K25="indeterminate"))),AND(AND(D25="retain",E25="protocol_report"),L25&lt;&gt;"",NOT(OR(L25="substantive_difference",L25="minor_presentation",L25="version_timing",L25="non_inconsistency",L25="indeterminate")))),"CHECK FIELDS",IF(AND(F25&lt;&gt;"",NOT(OR(F25="no",F25="primary_done"))),"CHECK COMPLETE",IF(F25&lt;&gt;"primary_done","PRIMARY DRAFT","PRIMARY READY")))))),"CHECK KEY / INPUT")</f>
        <v/>
      </c>
      <c r="H25" s="18">
        <f>IF(AND(OR(D25="retain",D25=""),E25="statistical_results"),"","not_applicable")</f>
        <v/>
      </c>
      <c r="I25" s="18">
        <f>IF(AND(OR(D25="retain",D25=""),E25="statistical_results"),"","not_applicable")</f>
        <v/>
      </c>
      <c r="J25" s="19">
        <f>IF(AND(OR(D25="retain",D25=""),E25="statistical_results"),"","not_applicable")</f>
        <v/>
      </c>
      <c r="K25" s="18">
        <f>IF(AND(OR(D25="retain",D25=""),OR(E25="report_internal_inconsistency",E25="plan_material")),"","not_applicable")</f>
        <v/>
      </c>
      <c r="L25" s="19">
        <f>IF(AND(OR(D25="retain",D25=""),E25="protocol_report"),"","not_applicable")</f>
        <v/>
      </c>
      <c r="M25" s="11" t="n"/>
      <c r="N25" s="7" t="n"/>
      <c r="O25" s="7" t="n"/>
      <c r="P25" s="7" t="n"/>
      <c r="Q25" s="7" t="n"/>
      <c r="R25" s="19" t="n"/>
    </row>
  </sheetData>
  <autoFilter ref="A1:R25"/>
  <conditionalFormatting sqref="H2:H25">
    <cfRule type="expression" priority="8" dxfId="70">
      <formula>NOT(AND(OR($D2="retain",$D2=""),$E2="statistical_results"))</formula>
    </cfRule>
  </conditionalFormatting>
  <conditionalFormatting sqref="I2:I25">
    <cfRule type="expression" priority="9" dxfId="70">
      <formula>NOT(AND(OR($D2="retain",$D2=""),$E2="statistical_results"))</formula>
    </cfRule>
  </conditionalFormatting>
  <conditionalFormatting sqref="J2:J25">
    <cfRule type="expression" priority="10" dxfId="70">
      <formula>NOT(AND(OR($D2="retain",$D2=""),$E2="statistical_results"))</formula>
    </cfRule>
  </conditionalFormatting>
  <conditionalFormatting sqref="K2:K25">
    <cfRule type="expression" priority="11" dxfId="70">
      <formula>NOT(AND(OR($D2="retain",$D2=""),OR($E2="report_internal_inconsistency",$E2="plan_material")))</formula>
    </cfRule>
  </conditionalFormatting>
  <conditionalFormatting sqref="L2:L25">
    <cfRule type="expression" priority="12" dxfId="70">
      <formula>NOT(AND(OR($D2="retain",$D2=""),$E2="protocol_report"))</formula>
    </cfRule>
  </conditionalFormatting>
  <conditionalFormatting sqref="G2:G25">
    <cfRule type="expression" priority="13" dxfId="71">
      <formula>G2&lt;&gt;"PRIMARY READY"</formula>
    </cfRule>
  </conditionalFormatting>
  <dataValidations count="8">
    <dataValidation sqref="D2:D25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"retain,exclude,discuss"</formula1>
    </dataValidation>
    <dataValidation sqref="E2:E25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"statistical_results,report_internal_inconsistency,plan_material,protocol_report"</formula1>
    </dataValidation>
    <dataValidation sqref="F2:F25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"no,primary_done"</formula1>
    </dataValidation>
    <dataValidation sqref="H2:H25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"confirmed_issue,probable_issue,not_issue,indeterminate,not_applicable"</formula1>
    </dataValidation>
    <dataValidation sqref="I2:I25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"substantive,minor_presentation,indeterminate,not_applicable"</formula1>
    </dataValidation>
    <dataValidation sqref="J2:J25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"direct,possible,unlikely,unknown,not_applicable"</formula1>
    </dataValidation>
    <dataValidation sqref="K2:K25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"substantive_inconsistency,minor_presentation,non_inconsistency,indeterminate,not_applicable"</formula1>
    </dataValidation>
    <dataValidation sqref="L2:L25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"substantive_difference,minor_presentation,version_timing,non_inconsistency,indeterminate,not_applicable"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</hyperlink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6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6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5" t="n"/>
      <c r="N1" s="5" t="n"/>
      <c r="O1" s="5" t="n"/>
      <c r="P1" s="5" t="n"/>
      <c r="Q1" s="5" t="n"/>
      <c r="R1" s="5" t="inlineStr">
        <is>
          <t>Notes (optional)</t>
        </is>
      </c>
    </row>
    <row r="2" ht="92" customFormat="1" customHeight="1" s="8">
      <c r="A2" s="12" t="inlineStr">
        <is>
          <t>2024::jama.2024.6063::C001</t>
        </is>
      </c>
      <c r="B2" s="12" t="inlineStr">
        <is>
          <t>Placebo discontinuation counts differ between Figure 1 and the Results text</t>
        </is>
      </c>
      <c r="C2" s="12" t="inlineStr">
        <is>
          <t>Main article — PDF p. 3; Main article — PDF p. 7.</t>
        </is>
      </c>
      <c r="D2" s="18" t="n"/>
      <c r="E2" s="18" t="inlineStr">
        <is>
          <t>statistical_results</t>
        </is>
      </c>
      <c r="F2" s="18" t="inlineStr">
        <is>
          <t>no</t>
        </is>
      </c>
      <c r="G2" s="12">
        <f>IFERROR(IF(LEN(TRIM(CLEAN(SUBSTITUTE(Setup!$B$2,CHAR(160)," "))))=0,"ENTER REVIEWER ID",IF(OR(A2="",COUNTIF($A$2:$A$17,A2)&lt;&gt;1,LEFT(A2,LEN("2024::jama.2024.6063::"))&lt;&gt;"2024::jama.2024.6063::"),"CHECK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COMPLETE",IF(F2&lt;&gt;"primary_done","PRIMARY DRAFT","PRIMARY READY")))))),"CHECK KEY / INPUT")</f>
        <v/>
      </c>
      <c r="H2" s="18">
        <f>IF(AND(OR(D2="retain",D2=""),E2="statistical_results"),"","not_applicable")</f>
        <v/>
      </c>
      <c r="I2" s="18">
        <f>IF(AND(OR(D2="retain",D2=""),E2="statistical_results"),"","not_applicable")</f>
        <v/>
      </c>
      <c r="J2" s="19">
        <f>IF(AND(OR(D2="retain",D2=""),E2="statistical_results"),"","not_applicable")</f>
        <v/>
      </c>
      <c r="K2" s="18">
        <f>IF(AND(OR(D2="retain",D2=""),OR(E2="report_internal_inconsistency",E2="plan_material")),"","not_applicable")</f>
        <v/>
      </c>
      <c r="L2" s="19">
        <f>IF(AND(OR(D2="retain",D2=""),E2="protocol_report"),"","not_applicable")</f>
        <v/>
      </c>
      <c r="M2" s="12" t="n"/>
      <c r="N2" s="7" t="n"/>
      <c r="O2" s="7" t="n"/>
      <c r="P2" s="7" t="n"/>
      <c r="Q2" s="7" t="n"/>
      <c r="R2" s="19" t="n"/>
    </row>
    <row r="3" ht="92" customFormat="1" customHeight="1" s="8">
      <c r="A3" s="11" t="inlineStr">
        <is>
          <t>2024::jama.2024.6063::C002</t>
        </is>
      </c>
      <c r="B3" s="11" t="inlineStr">
        <is>
          <t>eTable 2 names 167 and 165 for the overall adherence population</t>
        </is>
      </c>
      <c r="C3" s="11" t="inlineStr">
        <is>
          <t>Supplement 3 — PDF p. 3.</t>
        </is>
      </c>
      <c r="D3" s="18" t="n"/>
      <c r="E3" s="18" t="inlineStr">
        <is>
          <t>statistical_results</t>
        </is>
      </c>
      <c r="F3" s="18" t="inlineStr">
        <is>
          <t>no</t>
        </is>
      </c>
      <c r="G3" s="11">
        <f>IFERROR(IF(LEN(TRIM(CLEAN(SUBSTITUTE(Setup!$B$2,CHAR(160)," "))))=0,"ENTER REVIEWER ID",IF(OR(A3="",COUNTIF($A$2:$A$17,A3)&lt;&gt;1,LEFT(A3,LEN("2024::jama.2024.6063::"))&lt;&gt;"2024::jama.2024.6063::"),"CHECK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COMPLETE",IF(F3&lt;&gt;"primary_done","PRIMARY DRAFT","PRIMARY READY")))))),"CHECK KEY / INPUT")</f>
        <v/>
      </c>
      <c r="H3" s="18">
        <f>IF(AND(OR(D3="retain",D3=""),E3="statistical_results"),"","not_applicable")</f>
        <v/>
      </c>
      <c r="I3" s="18">
        <f>IF(AND(OR(D3="retain",D3=""),E3="statistical_results"),"","not_applicable")</f>
        <v/>
      </c>
      <c r="J3" s="19">
        <f>IF(AND(OR(D3="retain",D3=""),E3="statistical_results"),"","not_applicable")</f>
        <v/>
      </c>
      <c r="K3" s="18">
        <f>IF(AND(OR(D3="retain",D3=""),OR(E3="report_internal_inconsistency",E3="plan_material")),"","not_applicable")</f>
        <v/>
      </c>
      <c r="L3" s="19">
        <f>IF(AND(OR(D3="retain",D3=""),E3="protocol_report"),"","not_applicable")</f>
        <v/>
      </c>
      <c r="M3" s="11" t="n"/>
      <c r="N3" s="7" t="n"/>
      <c r="O3" s="7" t="n"/>
      <c r="P3" s="7" t="n"/>
      <c r="Q3" s="7" t="n"/>
      <c r="R3" s="19" t="n"/>
    </row>
    <row r="4" ht="92" customFormat="1" customHeight="1" s="8">
      <c r="A4" s="12" t="inlineStr">
        <is>
          <t>2024::jama.2024.6063::C003</t>
        </is>
      </c>
      <c r="B4" s="12" t="inlineStr">
        <is>
          <t>eTable 5 krill “Smaller by 1 unit” percentage conflicts with 10 of 107</t>
        </is>
      </c>
      <c r="C4" s="12" t="inlineStr">
        <is>
          <t>Supplement 3 — PDF p. 8.</t>
        </is>
      </c>
      <c r="D4" s="18" t="n"/>
      <c r="E4" s="18" t="inlineStr">
        <is>
          <t>statistical_results</t>
        </is>
      </c>
      <c r="F4" s="18" t="inlineStr">
        <is>
          <t>no</t>
        </is>
      </c>
      <c r="G4" s="12">
        <f>IFERROR(IF(LEN(TRIM(CLEAN(SUBSTITUTE(Setup!$B$2,CHAR(160)," "))))=0,"ENTER REVIEWER ID",IF(OR(A4="",COUNTIF($A$2:$A$17,A4)&lt;&gt;1,LEFT(A4,LEN("2024::jama.2024.6063::"))&lt;&gt;"2024::jama.2024.6063::"),"CHECK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COMPLETE",IF(F4&lt;&gt;"primary_done","PRIMARY DRAFT","PRIMARY READY")))))),"CHECK KEY / INPUT")</f>
        <v/>
      </c>
      <c r="H4" s="18">
        <f>IF(AND(OR(D4="retain",D4=""),E4="statistical_results"),"","not_applicable")</f>
        <v/>
      </c>
      <c r="I4" s="18">
        <f>IF(AND(OR(D4="retain",D4=""),E4="statistical_results"),"","not_applicable")</f>
        <v/>
      </c>
      <c r="J4" s="19">
        <f>IF(AND(OR(D4="retain",D4=""),E4="statistical_results"),"","not_applicable")</f>
        <v/>
      </c>
      <c r="K4" s="18">
        <f>IF(AND(OR(D4="retain",D4=""),OR(E4="report_internal_inconsistency",E4="plan_material")),"","not_applicable")</f>
        <v/>
      </c>
      <c r="L4" s="19">
        <f>IF(AND(OR(D4="retain",D4=""),E4="protocol_report"),"","not_applicable")</f>
        <v/>
      </c>
      <c r="M4" s="12" t="n"/>
      <c r="N4" s="7" t="n"/>
      <c r="O4" s="7" t="n"/>
      <c r="P4" s="7" t="n"/>
      <c r="Q4" s="7" t="n"/>
      <c r="R4" s="19" t="n"/>
    </row>
    <row r="5" ht="92" customFormat="1" customHeight="1" s="8">
      <c r="A5" s="11" t="inlineStr">
        <is>
          <t>2024::jama.2024.6063::C004</t>
        </is>
      </c>
      <c r="B5" s="11" t="inlineStr">
        <is>
          <t>eTable 5 krill “No change” percentage conflicts with 80 of 107</t>
        </is>
      </c>
      <c r="C5" s="11" t="inlineStr">
        <is>
          <t>Supplement 3 — PDF p. 8.</t>
        </is>
      </c>
      <c r="D5" s="18" t="n"/>
      <c r="E5" s="18" t="inlineStr">
        <is>
          <t>statistical_results</t>
        </is>
      </c>
      <c r="F5" s="18" t="inlineStr">
        <is>
          <t>no</t>
        </is>
      </c>
      <c r="G5" s="11">
        <f>IFERROR(IF(LEN(TRIM(CLEAN(SUBSTITUTE(Setup!$B$2,CHAR(160)," "))))=0,"ENTER REVIEWER ID",IF(OR(A5="",COUNTIF($A$2:$A$17,A5)&lt;&gt;1,LEFT(A5,LEN("2024::jama.2024.6063::"))&lt;&gt;"2024::jama.2024.6063::"),"CHECK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COMPLETE",IF(F5&lt;&gt;"primary_done","PRIMARY DRAFT","PRIMARY READY")))))),"CHECK KEY / INPUT")</f>
        <v/>
      </c>
      <c r="H5" s="18">
        <f>IF(AND(OR(D5="retain",D5=""),E5="statistical_results"),"","not_applicable")</f>
        <v/>
      </c>
      <c r="I5" s="18">
        <f>IF(AND(OR(D5="retain",D5=""),E5="statistical_results"),"","not_applicable")</f>
        <v/>
      </c>
      <c r="J5" s="19">
        <f>IF(AND(OR(D5="retain",D5=""),E5="statistical_results"),"","not_applicable")</f>
        <v/>
      </c>
      <c r="K5" s="18">
        <f>IF(AND(OR(D5="retain",D5=""),OR(E5="report_internal_inconsistency",E5="plan_material")),"","not_applicable")</f>
        <v/>
      </c>
      <c r="L5" s="19">
        <f>IF(AND(OR(D5="retain",D5=""),E5="protocol_report"),"","not_applicable")</f>
        <v/>
      </c>
      <c r="M5" s="11" t="n"/>
      <c r="N5" s="7" t="n"/>
      <c r="O5" s="7" t="n"/>
      <c r="P5" s="7" t="n"/>
      <c r="Q5" s="7" t="n"/>
      <c r="R5" s="19" t="n"/>
    </row>
    <row r="6" ht="92" customFormat="1" customHeight="1" s="8">
      <c r="A6" s="12" t="inlineStr">
        <is>
          <t>2024::jama.2024.6063::C005</t>
        </is>
      </c>
      <c r="B6" s="12" t="inlineStr">
        <is>
          <t>eTable 5 krill “Larger by 1 unit” percentage conflicts with 12 of 107</t>
        </is>
      </c>
      <c r="C6" s="12" t="inlineStr">
        <is>
          <t>Supplement 3 — PDF p. 8.</t>
        </is>
      </c>
      <c r="D6" s="18" t="n"/>
      <c r="E6" s="18" t="inlineStr">
        <is>
          <t>statistical_results</t>
        </is>
      </c>
      <c r="F6" s="18" t="inlineStr">
        <is>
          <t>no</t>
        </is>
      </c>
      <c r="G6" s="12">
        <f>IFERROR(IF(LEN(TRIM(CLEAN(SUBSTITUTE(Setup!$B$2,CHAR(160)," "))))=0,"ENTER REVIEWER ID",IF(OR(A6="",COUNTIF($A$2:$A$17,A6)&lt;&gt;1,LEFT(A6,LEN("2024::jama.2024.6063::"))&lt;&gt;"2024::jama.2024.6063::"),"CHECK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COMPLETE",IF(F6&lt;&gt;"primary_done","PRIMARY DRAFT","PRIMARY READY")))))),"CHECK KEY / INPUT")</f>
        <v/>
      </c>
      <c r="H6" s="18">
        <f>IF(AND(OR(D6="retain",D6=""),E6="statistical_results"),"","not_applicable")</f>
        <v/>
      </c>
      <c r="I6" s="18">
        <f>IF(AND(OR(D6="retain",D6=""),E6="statistical_results"),"","not_applicable")</f>
        <v/>
      </c>
      <c r="J6" s="19">
        <f>IF(AND(OR(D6="retain",D6=""),E6="statistical_results"),"","not_applicable")</f>
        <v/>
      </c>
      <c r="K6" s="18">
        <f>IF(AND(OR(D6="retain",D6=""),OR(E6="report_internal_inconsistency",E6="plan_material")),"","not_applicable")</f>
        <v/>
      </c>
      <c r="L6" s="19">
        <f>IF(AND(OR(D6="retain",D6=""),E6="protocol_report"),"","not_applicable")</f>
        <v/>
      </c>
      <c r="M6" s="12" t="n"/>
      <c r="N6" s="7" t="n"/>
      <c r="O6" s="7" t="n"/>
      <c r="P6" s="7" t="n"/>
      <c r="Q6" s="7" t="n"/>
      <c r="R6" s="19" t="n"/>
    </row>
    <row r="7" ht="92" customFormat="1" customHeight="1" s="8">
      <c r="A7" s="11" t="inlineStr">
        <is>
          <t>2024::jama.2024.6063::C006</t>
        </is>
      </c>
      <c r="B7" s="11" t="inlineStr">
        <is>
          <t>eTable 5 placebo “Smaller by 2 units” percentage conflicts with 2 of 109</t>
        </is>
      </c>
      <c r="C7" s="11" t="inlineStr">
        <is>
          <t>Supplement 3 — PDF p. 8.</t>
        </is>
      </c>
      <c r="D7" s="18" t="n"/>
      <c r="E7" s="18" t="inlineStr">
        <is>
          <t>statistical_results</t>
        </is>
      </c>
      <c r="F7" s="18" t="inlineStr">
        <is>
          <t>no</t>
        </is>
      </c>
      <c r="G7" s="11">
        <f>IFERROR(IF(LEN(TRIM(CLEAN(SUBSTITUTE(Setup!$B$2,CHAR(160)," "))))=0,"ENTER REVIEWER ID",IF(OR(A7="",COUNTIF($A$2:$A$17,A7)&lt;&gt;1,LEFT(A7,LEN("2024::jama.2024.6063::"))&lt;&gt;"2024::jama.2024.6063::"),"CHECK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COMPLETE",IF(F7&lt;&gt;"primary_done","PRIMARY DRAFT","PRIMARY READY")))))),"CHECK KEY / INPUT")</f>
        <v/>
      </c>
      <c r="H7" s="18">
        <f>IF(AND(OR(D7="retain",D7=""),E7="statistical_results"),"","not_applicable")</f>
        <v/>
      </c>
      <c r="I7" s="18">
        <f>IF(AND(OR(D7="retain",D7=""),E7="statistical_results"),"","not_applicable")</f>
        <v/>
      </c>
      <c r="J7" s="19">
        <f>IF(AND(OR(D7="retain",D7=""),E7="statistical_results"),"","not_applicable")</f>
        <v/>
      </c>
      <c r="K7" s="18">
        <f>IF(AND(OR(D7="retain",D7=""),OR(E7="report_internal_inconsistency",E7="plan_material")),"","not_applicable")</f>
        <v/>
      </c>
      <c r="L7" s="19">
        <f>IF(AND(OR(D7="retain",D7=""),E7="protocol_report"),"","not_applicable")</f>
        <v/>
      </c>
      <c r="M7" s="11" t="n"/>
      <c r="N7" s="7" t="n"/>
      <c r="O7" s="7" t="n"/>
      <c r="P7" s="7" t="n"/>
      <c r="Q7" s="7" t="n"/>
      <c r="R7" s="19" t="n"/>
    </row>
    <row r="8" ht="92" customFormat="1" customHeight="1" s="8">
      <c r="A8" s="12" t="inlineStr">
        <is>
          <t>2024::jama.2024.6063::C007</t>
        </is>
      </c>
      <c r="B8" s="12" t="inlineStr">
        <is>
          <t>eTable 5 placebo “Smaller by 1 unit” percentage conflicts with 16 of 109</t>
        </is>
      </c>
      <c r="C8" s="12" t="inlineStr">
        <is>
          <t>Supplement 3 — PDF p. 8.</t>
        </is>
      </c>
      <c r="D8" s="18" t="n"/>
      <c r="E8" s="18" t="inlineStr">
        <is>
          <t>statistical_results</t>
        </is>
      </c>
      <c r="F8" s="18" t="inlineStr">
        <is>
          <t>no</t>
        </is>
      </c>
      <c r="G8" s="12">
        <f>IFERROR(IF(LEN(TRIM(CLEAN(SUBSTITUTE(Setup!$B$2,CHAR(160)," "))))=0,"ENTER REVIEWER ID",IF(OR(A8="",COUNTIF($A$2:$A$17,A8)&lt;&gt;1,LEFT(A8,LEN("2024::jama.2024.6063::"))&lt;&gt;"2024::jama.2024.6063::"),"CHECK KEY",IF(OR(AND(NOT(AND(D8="retain",E8="statistical_results")),H8&lt;&gt;"",H8&lt;&gt;"not_applicable"),AND(NOT(AND(D8="retain",E8="statistical_results")),I8&lt;&gt;"",I8&lt;&gt;"not_applicable"),AND(NOT(AND(D8="retain",E8="statistical_results")),J8&lt;&gt;"",J8&lt;&gt;"not_applicable"),AND(NOT(AND(D8="retain",OR(E8="report_internal_inconsistency",E8="plan_material"))),K8&lt;&gt;"",K8&lt;&gt;"not_applicable"),AND(NOT(AND(D8="retain",E8="protocol_report")),L8&lt;&gt;"",L8&lt;&gt;"not_applicable")),"CLEAR INACTIVE VALUES",IF(OR(NOT(OR(D8="retain",D8="exclude",D8="discuss")),NOT(OR(E8="statistical_results",E8="report_internal_inconsistency",E8="plan_material",E8="protocol_report")),AND(AND(D8="retain",E8="statistical_results"),NOT(OR(H8="confirmed_issue",H8="probable_issue",H8="not_issue",H8="indeterminate"))),AND(AND(D8="retain",E8="statistical_results"),NOT(OR(I8="substantive",I8="minor_presentation",I8="indeterminate"))),AND(AND(D8="retain",E8="statistical_results"),J8&lt;&gt;"",NOT(OR(J8="direct",J8="possible",J8="unlikely",J8="unknown"))),AND(AND(D8="retain",OR(E8="report_internal_inconsistency",E8="plan_material")),NOT(OR(K8="substantive_inconsistency",K8="minor_presentation",K8="non_inconsistency",K8="indeterminate"))),AND(AND(D8="retain",E8="protocol_report"),L8&lt;&gt;"",NOT(OR(L8="substantive_difference",L8="minor_presentation",L8="version_timing",L8="non_inconsistency",L8="indeterminate")))),"CHECK FIELDS",IF(AND(F8&lt;&gt;"",NOT(OR(F8="no",F8="primary_done"))),"CHECK COMPLETE",IF(F8&lt;&gt;"primary_done","PRIMARY DRAFT","PRIMARY READY")))))),"CHECK KEY / INPUT")</f>
        <v/>
      </c>
      <c r="H8" s="18">
        <f>IF(AND(OR(D8="retain",D8=""),E8="statistical_results"),"","not_applicable")</f>
        <v/>
      </c>
      <c r="I8" s="18">
        <f>IF(AND(OR(D8="retain",D8=""),E8="statistical_results"),"","not_applicable")</f>
        <v/>
      </c>
      <c r="J8" s="19">
        <f>IF(AND(OR(D8="retain",D8=""),E8="statistical_results"),"","not_applicable")</f>
        <v/>
      </c>
      <c r="K8" s="18">
        <f>IF(AND(OR(D8="retain",D8=""),OR(E8="report_internal_inconsistency",E8="plan_material")),"","not_applicable")</f>
        <v/>
      </c>
      <c r="L8" s="19">
        <f>IF(AND(OR(D8="retain",D8=""),E8="protocol_report"),"","not_applicable")</f>
        <v/>
      </c>
      <c r="M8" s="12" t="n"/>
      <c r="N8" s="7" t="n"/>
      <c r="O8" s="7" t="n"/>
      <c r="P8" s="7" t="n"/>
      <c r="Q8" s="7" t="n"/>
      <c r="R8" s="19" t="n"/>
    </row>
    <row r="9" ht="92" customFormat="1" customHeight="1" s="8">
      <c r="A9" s="11" t="inlineStr">
        <is>
          <t>2024::jama.2024.6063::C008</t>
        </is>
      </c>
      <c r="B9" s="11" t="inlineStr">
        <is>
          <t>eTable 5 placebo “No change” percentage conflicts with 75 of 109</t>
        </is>
      </c>
      <c r="C9" s="11" t="inlineStr">
        <is>
          <t>Supplement 3 — PDF p. 8.</t>
        </is>
      </c>
      <c r="D9" s="18" t="n"/>
      <c r="E9" s="18" t="inlineStr">
        <is>
          <t>statistical_results</t>
        </is>
      </c>
      <c r="F9" s="18" t="inlineStr">
        <is>
          <t>no</t>
        </is>
      </c>
      <c r="G9" s="11">
        <f>IFERROR(IF(LEN(TRIM(CLEAN(SUBSTITUTE(Setup!$B$2,CHAR(160)," "))))=0,"ENTER REVIEWER ID",IF(OR(A9="",COUNTIF($A$2:$A$17,A9)&lt;&gt;1,LEFT(A9,LEN("2024::jama.2024.6063::"))&lt;&gt;"2024::jama.2024.6063::"),"CHECK KEY",IF(OR(AND(NOT(AND(D9="retain",E9="statistical_results")),H9&lt;&gt;"",H9&lt;&gt;"not_applicable"),AND(NOT(AND(D9="retain",E9="statistical_results")),I9&lt;&gt;"",I9&lt;&gt;"not_applicable"),AND(NOT(AND(D9="retain",E9="statistical_results")),J9&lt;&gt;"",J9&lt;&gt;"not_applicable"),AND(NOT(AND(D9="retain",OR(E9="report_internal_inconsistency",E9="plan_material"))),K9&lt;&gt;"",K9&lt;&gt;"not_applicable"),AND(NOT(AND(D9="retain",E9="protocol_report")),L9&lt;&gt;"",L9&lt;&gt;"not_applicable")),"CLEAR INACTIVE VALUES",IF(OR(NOT(OR(D9="retain",D9="exclude",D9="discuss")),NOT(OR(E9="statistical_results",E9="report_internal_inconsistency",E9="plan_material",E9="protocol_report")),AND(AND(D9="retain",E9="statistical_results"),NOT(OR(H9="confirmed_issue",H9="probable_issue",H9="not_issue",H9="indeterminate"))),AND(AND(D9="retain",E9="statistical_results"),NOT(OR(I9="substantive",I9="minor_presentation",I9="indeterminate"))),AND(AND(D9="retain",E9="statistical_results"),J9&lt;&gt;"",NOT(OR(J9="direct",J9="possible",J9="unlikely",J9="unknown"))),AND(AND(D9="retain",OR(E9="report_internal_inconsistency",E9="plan_material")),NOT(OR(K9="substantive_inconsistency",K9="minor_presentation",K9="non_inconsistency",K9="indeterminate"))),AND(AND(D9="retain",E9="protocol_report"),L9&lt;&gt;"",NOT(OR(L9="substantive_difference",L9="minor_presentation",L9="version_timing",L9="non_inconsistency",L9="indeterminate")))),"CHECK FIELDS",IF(AND(F9&lt;&gt;"",NOT(OR(F9="no",F9="primary_done"))),"CHECK COMPLETE",IF(F9&lt;&gt;"primary_done","PRIMARY DRAFT","PRIMARY READY")))))),"CHECK KEY / INPUT")</f>
        <v/>
      </c>
      <c r="H9" s="18">
        <f>IF(AND(OR(D9="retain",D9=""),E9="statistical_results"),"","not_applicable")</f>
        <v/>
      </c>
      <c r="I9" s="18">
        <f>IF(AND(OR(D9="retain",D9=""),E9="statistical_results"),"","not_applicable")</f>
        <v/>
      </c>
      <c r="J9" s="19">
        <f>IF(AND(OR(D9="retain",D9=""),E9="statistical_results"),"","not_applicable")</f>
        <v/>
      </c>
      <c r="K9" s="18">
        <f>IF(AND(OR(D9="retain",D9=""),OR(E9="report_internal_inconsistency",E9="plan_material")),"","not_applicable")</f>
        <v/>
      </c>
      <c r="L9" s="19">
        <f>IF(AND(OR(D9="retain",D9=""),E9="protocol_report"),"","not_applicable")</f>
        <v/>
      </c>
      <c r="M9" s="11" t="n"/>
      <c r="N9" s="7" t="n"/>
      <c r="O9" s="7" t="n"/>
      <c r="P9" s="7" t="n"/>
      <c r="Q9" s="7" t="n"/>
      <c r="R9" s="19" t="n"/>
    </row>
    <row r="10" ht="92" customFormat="1" customHeight="1" s="8">
      <c r="A10" s="12" t="inlineStr">
        <is>
          <t>2024::jama.2024.6063::C009</t>
        </is>
      </c>
      <c r="B10" s="12" t="inlineStr">
        <is>
          <t>eTable 4 repeats week-4 function changes in the weight-bearing-pain row</t>
        </is>
      </c>
      <c r="C10" s="12" t="inlineStr">
        <is>
          <t>Supplement 3 — PDF p. 5.</t>
        </is>
      </c>
      <c r="D10" s="18" t="n"/>
      <c r="E10" s="18" t="inlineStr">
        <is>
          <t>statistical_results</t>
        </is>
      </c>
      <c r="F10" s="18" t="inlineStr">
        <is>
          <t>no</t>
        </is>
      </c>
      <c r="G10" s="12">
        <f>IFERROR(IF(LEN(TRIM(CLEAN(SUBSTITUTE(Setup!$B$2,CHAR(160)," "))))=0,"ENTER REVIEWER ID",IF(OR(A10="",COUNTIF($A$2:$A$17,A10)&lt;&gt;1,LEFT(A10,LEN("2024::jama.2024.6063::"))&lt;&gt;"2024::jama.2024.6063::"),"CHECK KEY",IF(OR(AND(NOT(AND(D10="retain",E10="statistical_results")),H10&lt;&gt;"",H10&lt;&gt;"not_applicable"),AND(NOT(AND(D10="retain",E10="statistical_results")),I10&lt;&gt;"",I10&lt;&gt;"not_applicable"),AND(NOT(AND(D10="retain",E10="statistical_results")),J10&lt;&gt;"",J10&lt;&gt;"not_applicable"),AND(NOT(AND(D10="retain",OR(E10="report_internal_inconsistency",E10="plan_material"))),K10&lt;&gt;"",K10&lt;&gt;"not_applicable"),AND(NOT(AND(D10="retain",E10="protocol_report")),L10&lt;&gt;"",L10&lt;&gt;"not_applicable")),"CLEAR INACTIVE VALUES",IF(OR(NOT(OR(D10="retain",D10="exclude",D10="discuss")),NOT(OR(E10="statistical_results",E10="report_internal_inconsistency",E10="plan_material",E10="protocol_report")),AND(AND(D10="retain",E10="statistical_results"),NOT(OR(H10="confirmed_issue",H10="probable_issue",H10="not_issue",H10="indeterminate"))),AND(AND(D10="retain",E10="statistical_results"),NOT(OR(I10="substantive",I10="minor_presentation",I10="indeterminate"))),AND(AND(D10="retain",E10="statistical_results"),J10&lt;&gt;"",NOT(OR(J10="direct",J10="possible",J10="unlikely",J10="unknown"))),AND(AND(D10="retain",OR(E10="report_internal_inconsistency",E10="plan_material")),NOT(OR(K10="substantive_inconsistency",K10="minor_presentation",K10="non_inconsistency",K10="indeterminate"))),AND(AND(D10="retain",E10="protocol_report"),L10&lt;&gt;"",NOT(OR(L10="substantive_difference",L10="minor_presentation",L10="version_timing",L10="non_inconsistency",L10="indeterminate")))),"CHECK FIELDS",IF(AND(F10&lt;&gt;"",NOT(OR(F10="no",F10="primary_done"))),"CHECK COMPLETE",IF(F10&lt;&gt;"primary_done","PRIMARY DRAFT","PRIMARY READY")))))),"CHECK KEY / INPUT")</f>
        <v/>
      </c>
      <c r="H10" s="18">
        <f>IF(AND(OR(D10="retain",D10=""),E10="statistical_results"),"","not_applicable")</f>
        <v/>
      </c>
      <c r="I10" s="18">
        <f>IF(AND(OR(D10="retain",D10=""),E10="statistical_results"),"","not_applicable")</f>
        <v/>
      </c>
      <c r="J10" s="19">
        <f>IF(AND(OR(D10="retain",D10=""),E10="statistical_results"),"","not_applicable")</f>
        <v/>
      </c>
      <c r="K10" s="18">
        <f>IF(AND(OR(D10="retain",D10=""),OR(E10="report_internal_inconsistency",E10="plan_material")),"","not_applicable")</f>
        <v/>
      </c>
      <c r="L10" s="19">
        <f>IF(AND(OR(D10="retain",D10=""),E10="protocol_report"),"","not_applicable")</f>
        <v/>
      </c>
      <c r="M10" s="12" t="n"/>
      <c r="N10" s="7" t="n"/>
      <c r="O10" s="7" t="n"/>
      <c r="P10" s="7" t="n"/>
      <c r="Q10" s="7" t="n"/>
      <c r="R10" s="19" t="n"/>
    </row>
    <row r="11" ht="92" customFormat="1" customHeight="1" s="8">
      <c r="A11" s="11" t="inlineStr">
        <is>
          <t>2024::jama.2024.6063::C010</t>
        </is>
      </c>
      <c r="B11" s="11" t="inlineStr">
        <is>
          <t>eTable 4 repeats week-4 back-pain results in week-12 lower-leg strength</t>
        </is>
      </c>
      <c r="C11" s="11" t="inlineStr">
        <is>
          <t>Supplement 3 — PDF p. 6.</t>
        </is>
      </c>
      <c r="D11" s="18" t="n"/>
      <c r="E11" s="18" t="inlineStr">
        <is>
          <t>statistical_results</t>
        </is>
      </c>
      <c r="F11" s="18" t="inlineStr">
        <is>
          <t>no</t>
        </is>
      </c>
      <c r="G11" s="11">
        <f>IFERROR(IF(LEN(TRIM(CLEAN(SUBSTITUTE(Setup!$B$2,CHAR(160)," "))))=0,"ENTER REVIEWER ID",IF(OR(A11="",COUNTIF($A$2:$A$17,A11)&lt;&gt;1,LEFT(A11,LEN("2024::jama.2024.6063::"))&lt;&gt;"2024::jama.2024.6063::"),"CHECK KEY",IF(OR(AND(NOT(AND(D11="retain",E11="statistical_results")),H11&lt;&gt;"",H11&lt;&gt;"not_applicable"),AND(NOT(AND(D11="retain",E11="statistical_results")),I11&lt;&gt;"",I11&lt;&gt;"not_applicable"),AND(NOT(AND(D11="retain",E11="statistical_results")),J11&lt;&gt;"",J11&lt;&gt;"not_applicable"),AND(NOT(AND(D11="retain",OR(E11="report_internal_inconsistency",E11="plan_material"))),K11&lt;&gt;"",K11&lt;&gt;"not_applicable"),AND(NOT(AND(D11="retain",E11="protocol_report")),L11&lt;&gt;"",L11&lt;&gt;"not_applicable")),"CLEAR INACTIVE VALUES",IF(OR(NOT(OR(D11="retain",D11="exclude",D11="discuss")),NOT(OR(E11="statistical_results",E11="report_internal_inconsistency",E11="plan_material",E11="protocol_report")),AND(AND(D11="retain",E11="statistical_results"),NOT(OR(H11="confirmed_issue",H11="probable_issue",H11="not_issue",H11="indeterminate"))),AND(AND(D11="retain",E11="statistical_results"),NOT(OR(I11="substantive",I11="minor_presentation",I11="indeterminate"))),AND(AND(D11="retain",E11="statistical_results"),J11&lt;&gt;"",NOT(OR(J11="direct",J11="possible",J11="unlikely",J11="unknown"))),AND(AND(D11="retain",OR(E11="report_internal_inconsistency",E11="plan_material")),NOT(OR(K11="substantive_inconsistency",K11="minor_presentation",K11="non_inconsistency",K11="indeterminate"))),AND(AND(D11="retain",E11="protocol_report"),L11&lt;&gt;"",NOT(OR(L11="substantive_difference",L11="minor_presentation",L11="version_timing",L11="non_inconsistency",L11="indeterminate")))),"CHECK FIELDS",IF(AND(F11&lt;&gt;"",NOT(OR(F11="no",F11="primary_done"))),"CHECK COMPLETE",IF(F11&lt;&gt;"primary_done","PRIMARY DRAFT","PRIMARY READY")))))),"CHECK KEY / INPUT")</f>
        <v/>
      </c>
      <c r="H11" s="18">
        <f>IF(AND(OR(D11="retain",D11=""),E11="statistical_results"),"","not_applicable")</f>
        <v/>
      </c>
      <c r="I11" s="18">
        <f>IF(AND(OR(D11="retain",D11=""),E11="statistical_results"),"","not_applicable")</f>
        <v/>
      </c>
      <c r="J11" s="19">
        <f>IF(AND(OR(D11="retain",D11=""),E11="statistical_results"),"","not_applicable")</f>
        <v/>
      </c>
      <c r="K11" s="18">
        <f>IF(AND(OR(D11="retain",D11=""),OR(E11="report_internal_inconsistency",E11="plan_material")),"","not_applicable")</f>
        <v/>
      </c>
      <c r="L11" s="19">
        <f>IF(AND(OR(D11="retain",D11=""),E11="protocol_report"),"","not_applicable")</f>
        <v/>
      </c>
      <c r="M11" s="11" t="n"/>
      <c r="N11" s="7" t="n"/>
      <c r="O11" s="7" t="n"/>
      <c r="P11" s="7" t="n"/>
      <c r="Q11" s="7" t="n"/>
      <c r="R11" s="19" t="n"/>
    </row>
    <row r="12" ht="92" customFormat="1" customHeight="1" s="8">
      <c r="A12" s="12" t="inlineStr">
        <is>
          <t>2024::jama.2024.6063::C011</t>
        </is>
      </c>
      <c r="B12" s="12" t="inlineStr">
        <is>
          <t>eTable 4 repeats the week-12 hsCRP result in fasting glucose</t>
        </is>
      </c>
      <c r="C12" s="12" t="inlineStr">
        <is>
          <t>Supplement 3 — PDF p. 6.</t>
        </is>
      </c>
      <c r="D12" s="18" t="n"/>
      <c r="E12" s="18" t="inlineStr">
        <is>
          <t>statistical_results</t>
        </is>
      </c>
      <c r="F12" s="18" t="inlineStr">
        <is>
          <t>no</t>
        </is>
      </c>
      <c r="G12" s="12">
        <f>IFERROR(IF(LEN(TRIM(CLEAN(SUBSTITUTE(Setup!$B$2,CHAR(160)," "))))=0,"ENTER REVIEWER ID",IF(OR(A12="",COUNTIF($A$2:$A$17,A12)&lt;&gt;1,LEFT(A12,LEN("2024::jama.2024.6063::"))&lt;&gt;"2024::jama.2024.6063::"),"CHECK KEY",IF(OR(AND(NOT(AND(D12="retain",E12="statistical_results")),H12&lt;&gt;"",H12&lt;&gt;"not_applicable"),AND(NOT(AND(D12="retain",E12="statistical_results")),I12&lt;&gt;"",I12&lt;&gt;"not_applicable"),AND(NOT(AND(D12="retain",E12="statistical_results")),J12&lt;&gt;"",J12&lt;&gt;"not_applicable"),AND(NOT(AND(D12="retain",OR(E12="report_internal_inconsistency",E12="plan_material"))),K12&lt;&gt;"",K12&lt;&gt;"not_applicable"),AND(NOT(AND(D12="retain",E12="protocol_report")),L12&lt;&gt;"",L12&lt;&gt;"not_applicable")),"CLEAR INACTIVE VALUES",IF(OR(NOT(OR(D12="retain",D12="exclude",D12="discuss")),NOT(OR(E12="statistical_results",E12="report_internal_inconsistency",E12="plan_material",E12="protocol_report")),AND(AND(D12="retain",E12="statistical_results"),NOT(OR(H12="confirmed_issue",H12="probable_issue",H12="not_issue",H12="indeterminate"))),AND(AND(D12="retain",E12="statistical_results"),NOT(OR(I12="substantive",I12="minor_presentation",I12="indeterminate"))),AND(AND(D12="retain",E12="statistical_results"),J12&lt;&gt;"",NOT(OR(J12="direct",J12="possible",J12="unlikely",J12="unknown"))),AND(AND(D12="retain",OR(E12="report_internal_inconsistency",E12="plan_material")),NOT(OR(K12="substantive_inconsistency",K12="minor_presentation",K12="non_inconsistency",K12="indeterminate"))),AND(AND(D12="retain",E12="protocol_report"),L12&lt;&gt;"",NOT(OR(L12="substantive_difference",L12="minor_presentation",L12="version_timing",L12="non_inconsistency",L12="indeterminate")))),"CHECK FIELDS",IF(AND(F12&lt;&gt;"",NOT(OR(F12="no",F12="primary_done"))),"CHECK COMPLETE",IF(F12&lt;&gt;"primary_done","PRIMARY DRAFT","PRIMARY READY")))))),"CHECK KEY / INPUT")</f>
        <v/>
      </c>
      <c r="H12" s="18">
        <f>IF(AND(OR(D12="retain",D12=""),E12="statistical_results"),"","not_applicable")</f>
        <v/>
      </c>
      <c r="I12" s="18">
        <f>IF(AND(OR(D12="retain",D12=""),E12="statistical_results"),"","not_applicable")</f>
        <v/>
      </c>
      <c r="J12" s="19">
        <f>IF(AND(OR(D12="retain",D12=""),E12="statistical_results"),"","not_applicable")</f>
        <v/>
      </c>
      <c r="K12" s="18">
        <f>IF(AND(OR(D12="retain",D12=""),OR(E12="report_internal_inconsistency",E12="plan_material")),"","not_applicable")</f>
        <v/>
      </c>
      <c r="L12" s="19">
        <f>IF(AND(OR(D12="retain",D12=""),E12="protocol_report"),"","not_applicable")</f>
        <v/>
      </c>
      <c r="M12" s="12" t="n"/>
      <c r="N12" s="7" t="n"/>
      <c r="O12" s="7" t="n"/>
      <c r="P12" s="7" t="n"/>
      <c r="Q12" s="7" t="n"/>
      <c r="R12" s="19" t="n"/>
    </row>
    <row r="13" ht="92" customFormat="1" customHeight="1" s="8">
      <c r="A13" s="11" t="inlineStr">
        <is>
          <t>2024::jama.2024.6063::C012</t>
        </is>
      </c>
      <c r="B13" s="11" t="inlineStr">
        <is>
          <t>Key Points and other matched primary-result displays use opposite signs</t>
        </is>
      </c>
      <c r="C13" s="11" t="inlineStr">
        <is>
          <t>Main article — PDF p. 2; Main article — PDF p. 1; Main article — PDF p. 6; Main article — PDF p. 7; Supplement 3 — PDF p. 2.</t>
        </is>
      </c>
      <c r="D13" s="18" t="n"/>
      <c r="E13" s="18" t="inlineStr">
        <is>
          <t>report_internal_inconsistency</t>
        </is>
      </c>
      <c r="F13" s="18" t="inlineStr">
        <is>
          <t>no</t>
        </is>
      </c>
      <c r="G13" s="11">
        <f>IFERROR(IF(LEN(TRIM(CLEAN(SUBSTITUTE(Setup!$B$2,CHAR(160)," "))))=0,"ENTER REVIEWER ID",IF(OR(A13="",COUNTIF($A$2:$A$17,A13)&lt;&gt;1,LEFT(A13,LEN("2024::jama.2024.6063::"))&lt;&gt;"2024::jama.2024.6063::"),"CHECK KEY",IF(OR(AND(NOT(AND(D13="retain",E13="statistical_results")),H13&lt;&gt;"",H13&lt;&gt;"not_applicable"),AND(NOT(AND(D13="retain",E13="statistical_results")),I13&lt;&gt;"",I13&lt;&gt;"not_applicable"),AND(NOT(AND(D13="retain",E13="statistical_results")),J13&lt;&gt;"",J13&lt;&gt;"not_applicable"),AND(NOT(AND(D13="retain",OR(E13="report_internal_inconsistency",E13="plan_material"))),K13&lt;&gt;"",K13&lt;&gt;"not_applicable"),AND(NOT(AND(D13="retain",E13="protocol_report")),L13&lt;&gt;"",L13&lt;&gt;"not_applicable")),"CLEAR INACTIVE VALUES",IF(OR(NOT(OR(D13="retain",D13="exclude",D13="discuss")),NOT(OR(E13="statistical_results",E13="report_internal_inconsistency",E13="plan_material",E13="protocol_report")),AND(AND(D13="retain",E13="statistical_results"),NOT(OR(H13="confirmed_issue",H13="probable_issue",H13="not_issue",H13="indeterminate"))),AND(AND(D13="retain",E13="statistical_results"),NOT(OR(I13="substantive",I13="minor_presentation",I13="indeterminate"))),AND(AND(D13="retain",E13="statistical_results"),J13&lt;&gt;"",NOT(OR(J13="direct",J13="possible",J13="unlikely",J13="unknown"))),AND(AND(D13="retain",OR(E13="report_internal_inconsistency",E13="plan_material")),NOT(OR(K13="substantive_inconsistency",K13="minor_presentation",K13="non_inconsistency",K13="indeterminate"))),AND(AND(D13="retain",E13="protocol_report"),L13&lt;&gt;"",NOT(OR(L13="substantive_difference",L13="minor_presentation",L13="version_timing",L13="non_inconsistency",L13="indeterminate")))),"CHECK FIELDS",IF(AND(F13&lt;&gt;"",NOT(OR(F13="no",F13="primary_done"))),"CHECK COMPLETE",IF(F13&lt;&gt;"primary_done","PRIMARY DRAFT","PRIMARY READY")))))),"CHECK KEY / INPUT")</f>
        <v/>
      </c>
      <c r="H13" s="18">
        <f>IF(AND(OR(D13="retain",D13=""),E13="statistical_results"),"","not_applicable")</f>
        <v/>
      </c>
      <c r="I13" s="18">
        <f>IF(AND(OR(D13="retain",D13=""),E13="statistical_results"),"","not_applicable")</f>
        <v/>
      </c>
      <c r="J13" s="19">
        <f>IF(AND(OR(D13="retain",D13=""),E13="statistical_results"),"","not_applicable")</f>
        <v/>
      </c>
      <c r="K13" s="18">
        <f>IF(AND(OR(D13="retain",D13=""),OR(E13="report_internal_inconsistency",E13="plan_material")),"","not_applicable")</f>
        <v/>
      </c>
      <c r="L13" s="19">
        <f>IF(AND(OR(D13="retain",D13=""),E13="protocol_report"),"","not_applicable")</f>
        <v/>
      </c>
      <c r="M13" s="11" t="n"/>
      <c r="N13" s="7" t="n"/>
      <c r="O13" s="7" t="n"/>
      <c r="P13" s="7" t="n"/>
      <c r="Q13" s="7" t="n"/>
      <c r="R13" s="19" t="n"/>
    </row>
    <row r="14" ht="92" customFormat="1" customHeight="1" s="8">
      <c r="A14" s="12" t="inlineStr">
        <is>
          <t>2024::jama.2024.6063::C013</t>
        </is>
      </c>
      <c r="B14" s="12" t="inlineStr">
        <is>
          <t>Placebo extremity-pain event count is 6 in Table 3 and 5 elsewhere</t>
        </is>
      </c>
      <c r="C14" s="12" t="inlineStr">
        <is>
          <t>Main article — PDF p. 1; Main article — PDF p. 8; Supplement 3 — PDF p. 10.</t>
        </is>
      </c>
      <c r="D14" s="18" t="n"/>
      <c r="E14" s="18" t="inlineStr">
        <is>
          <t>report_internal_inconsistency</t>
        </is>
      </c>
      <c r="F14" s="18" t="inlineStr">
        <is>
          <t>no</t>
        </is>
      </c>
      <c r="G14" s="12">
        <f>IFERROR(IF(LEN(TRIM(CLEAN(SUBSTITUTE(Setup!$B$2,CHAR(160)," "))))=0,"ENTER REVIEWER ID",IF(OR(A14="",COUNTIF($A$2:$A$17,A14)&lt;&gt;1,LEFT(A14,LEN("2024::jama.2024.6063::"))&lt;&gt;"2024::jama.2024.6063::"),"CHECK KEY",IF(OR(AND(NOT(AND(D14="retain",E14="statistical_results")),H14&lt;&gt;"",H14&lt;&gt;"not_applicable"),AND(NOT(AND(D14="retain",E14="statistical_results")),I14&lt;&gt;"",I14&lt;&gt;"not_applicable"),AND(NOT(AND(D14="retain",E14="statistical_results")),J14&lt;&gt;"",J14&lt;&gt;"not_applicable"),AND(NOT(AND(D14="retain",OR(E14="report_internal_inconsistency",E14="plan_material"))),K14&lt;&gt;"",K14&lt;&gt;"not_applicable"),AND(NOT(AND(D14="retain",E14="protocol_report")),L14&lt;&gt;"",L14&lt;&gt;"not_applicable")),"CLEAR INACTIVE VALUES",IF(OR(NOT(OR(D14="retain",D14="exclude",D14="discuss")),NOT(OR(E14="statistical_results",E14="report_internal_inconsistency",E14="plan_material",E14="protocol_report")),AND(AND(D14="retain",E14="statistical_results"),NOT(OR(H14="confirmed_issue",H14="probable_issue",H14="not_issue",H14="indeterminate"))),AND(AND(D14="retain",E14="statistical_results"),NOT(OR(I14="substantive",I14="minor_presentation",I14="indeterminate"))),AND(AND(D14="retain",E14="statistical_results"),J14&lt;&gt;"",NOT(OR(J14="direct",J14="possible",J14="unlikely",J14="unknown"))),AND(AND(D14="retain",OR(E14="report_internal_inconsistency",E14="plan_material")),NOT(OR(K14="substantive_inconsistency",K14="minor_presentation",K14="non_inconsistency",K14="indeterminate"))),AND(AND(D14="retain",E14="protocol_report"),L14&lt;&gt;"",NOT(OR(L14="substantive_difference",L14="minor_presentation",L14="version_timing",L14="non_inconsistency",L14="indeterminate")))),"CHECK FIELDS",IF(AND(F14&lt;&gt;"",NOT(OR(F14="no",F14="primary_done"))),"CHECK COMPLETE",IF(F14&lt;&gt;"primary_done","PRIMARY DRAFT","PRIMARY READY")))))),"CHECK KEY / INPUT")</f>
        <v/>
      </c>
      <c r="H14" s="18">
        <f>IF(AND(OR(D14="retain",D14=""),E14="statistical_results"),"","not_applicable")</f>
        <v/>
      </c>
      <c r="I14" s="18">
        <f>IF(AND(OR(D14="retain",D14=""),E14="statistical_results"),"","not_applicable")</f>
        <v/>
      </c>
      <c r="J14" s="19">
        <f>IF(AND(OR(D14="retain",D14=""),E14="statistical_results"),"","not_applicable")</f>
        <v/>
      </c>
      <c r="K14" s="18">
        <f>IF(AND(OR(D14="retain",D14=""),OR(E14="report_internal_inconsistency",E14="plan_material")),"","not_applicable")</f>
        <v/>
      </c>
      <c r="L14" s="19">
        <f>IF(AND(OR(D14="retain",D14=""),E14="protocol_report"),"","not_applicable")</f>
        <v/>
      </c>
      <c r="M14" s="12" t="n"/>
      <c r="N14" s="7" t="n"/>
      <c r="O14" s="7" t="n"/>
      <c r="P14" s="7" t="n"/>
      <c r="Q14" s="7" t="n"/>
      <c r="R14" s="19" t="n"/>
    </row>
    <row r="15" ht="92" customFormat="1" customHeight="1" s="8">
      <c r="A15" s="11" t="inlineStr">
        <is>
          <t>2024::jama.2024.6063::C014</t>
        </is>
      </c>
      <c r="B15" s="11" t="inlineStr">
        <is>
          <t>Table 3 regular-adverse-event footnote points to eTable 4 instead of eTable 7</t>
        </is>
      </c>
      <c r="C15" s="11" t="inlineStr">
        <is>
          <t>Main article — PDF p. 8; Supplement 3 — PDF p. 5; Supplement 3 — PDF p. 10.</t>
        </is>
      </c>
      <c r="D15" s="18" t="n"/>
      <c r="E15" s="18" t="inlineStr">
        <is>
          <t>report_internal_inconsistency</t>
        </is>
      </c>
      <c r="F15" s="18" t="inlineStr">
        <is>
          <t>no</t>
        </is>
      </c>
      <c r="G15" s="11">
        <f>IFERROR(IF(LEN(TRIM(CLEAN(SUBSTITUTE(Setup!$B$2,CHAR(160)," "))))=0,"ENTER REVIEWER ID",IF(OR(A15="",COUNTIF($A$2:$A$17,A15)&lt;&gt;1,LEFT(A15,LEN("2024::jama.2024.6063::"))&lt;&gt;"2024::jama.2024.6063::"),"CHECK KEY",IF(OR(AND(NOT(AND(D15="retain",E15="statistical_results")),H15&lt;&gt;"",H15&lt;&gt;"not_applicable"),AND(NOT(AND(D15="retain",E15="statistical_results")),I15&lt;&gt;"",I15&lt;&gt;"not_applicable"),AND(NOT(AND(D15="retain",E15="statistical_results")),J15&lt;&gt;"",J15&lt;&gt;"not_applicable"),AND(NOT(AND(D15="retain",OR(E15="report_internal_inconsistency",E15="plan_material"))),K15&lt;&gt;"",K15&lt;&gt;"not_applicable"),AND(NOT(AND(D15="retain",E15="protocol_report")),L15&lt;&gt;"",L15&lt;&gt;"not_applicable")),"CLEAR INACTIVE VALUES",IF(OR(NOT(OR(D15="retain",D15="exclude",D15="discuss")),NOT(OR(E15="statistical_results",E15="report_internal_inconsistency",E15="plan_material",E15="protocol_report")),AND(AND(D15="retain",E15="statistical_results"),NOT(OR(H15="confirmed_issue",H15="probable_issue",H15="not_issue",H15="indeterminate"))),AND(AND(D15="retain",E15="statistical_results"),NOT(OR(I15="substantive",I15="minor_presentation",I15="indeterminate"))),AND(AND(D15="retain",E15="statistical_results"),J15&lt;&gt;"",NOT(OR(J15="direct",J15="possible",J15="unlikely",J15="unknown"))),AND(AND(D15="retain",OR(E15="report_internal_inconsistency",E15="plan_material")),NOT(OR(K15="substantive_inconsistency",K15="minor_presentation",K15="non_inconsistency",K15="indeterminate"))),AND(AND(D15="retain",E15="protocol_report"),L15&lt;&gt;"",NOT(OR(L15="substantive_difference",L15="minor_presentation",L15="version_timing",L15="non_inconsistency",L15="indeterminate")))),"CHECK FIELDS",IF(AND(F15&lt;&gt;"",NOT(OR(F15="no",F15="primary_done"))),"CHECK COMPLETE",IF(F15&lt;&gt;"primary_done","PRIMARY DRAFT","PRIMARY READY")))))),"CHECK KEY / INPUT")</f>
        <v/>
      </c>
      <c r="H15" s="18">
        <f>IF(AND(OR(D15="retain",D15=""),E15="statistical_results"),"","not_applicable")</f>
        <v/>
      </c>
      <c r="I15" s="18">
        <f>IF(AND(OR(D15="retain",D15=""),E15="statistical_results"),"","not_applicable")</f>
        <v/>
      </c>
      <c r="J15" s="19">
        <f>IF(AND(OR(D15="retain",D15=""),E15="statistical_results"),"","not_applicable")</f>
        <v/>
      </c>
      <c r="K15" s="18">
        <f>IF(AND(OR(D15="retain",D15=""),OR(E15="report_internal_inconsistency",E15="plan_material")),"","not_applicable")</f>
        <v/>
      </c>
      <c r="L15" s="19">
        <f>IF(AND(OR(D15="retain",D15=""),E15="protocol_report"),"","not_applicable")</f>
        <v/>
      </c>
      <c r="M15" s="11" t="n"/>
      <c r="N15" s="7" t="n"/>
      <c r="O15" s="7" t="n"/>
      <c r="P15" s="7" t="n"/>
      <c r="Q15" s="7" t="n"/>
      <c r="R15" s="19" t="n"/>
    </row>
    <row r="16" ht="92" customFormat="1" customHeight="1" s="8">
      <c r="A16" s="12" t="inlineStr">
        <is>
          <t>2024::jama.2024.6063::C015</t>
        </is>
      </c>
      <c r="B16" s="12" t="inlineStr">
        <is>
          <t>Table 3 serious-adverse-event footnote points to eTables 5 and 6 instead of eTable 8</t>
        </is>
      </c>
      <c r="C16" s="12" t="inlineStr">
        <is>
          <t>Main article — PDF p. 8; Supplement 3 — PDF p. 8; Supplement 3 — PDF p. 9; Supplement 3 — PDF p. 14.</t>
        </is>
      </c>
      <c r="D16" s="18" t="n"/>
      <c r="E16" s="18" t="inlineStr">
        <is>
          <t>report_internal_inconsistency</t>
        </is>
      </c>
      <c r="F16" s="18" t="inlineStr">
        <is>
          <t>no</t>
        </is>
      </c>
      <c r="G16" s="12">
        <f>IFERROR(IF(LEN(TRIM(CLEAN(SUBSTITUTE(Setup!$B$2,CHAR(160)," "))))=0,"ENTER REVIEWER ID",IF(OR(A16="",COUNTIF($A$2:$A$17,A16)&lt;&gt;1,LEFT(A16,LEN("2024::jama.2024.6063::"))&lt;&gt;"2024::jama.2024.6063::"),"CHECK KEY",IF(OR(AND(NOT(AND(D16="retain",E16="statistical_results")),H16&lt;&gt;"",H16&lt;&gt;"not_applicable"),AND(NOT(AND(D16="retain",E16="statistical_results")),I16&lt;&gt;"",I16&lt;&gt;"not_applicable"),AND(NOT(AND(D16="retain",E16="statistical_results")),J16&lt;&gt;"",J16&lt;&gt;"not_applicable"),AND(NOT(AND(D16="retain",OR(E16="report_internal_inconsistency",E16="plan_material"))),K16&lt;&gt;"",K16&lt;&gt;"not_applicable"),AND(NOT(AND(D16="retain",E16="protocol_report")),L16&lt;&gt;"",L16&lt;&gt;"not_applicable")),"CLEAR INACTIVE VALUES",IF(OR(NOT(OR(D16="retain",D16="exclude",D16="discuss")),NOT(OR(E16="statistical_results",E16="report_internal_inconsistency",E16="plan_material",E16="protocol_report")),AND(AND(D16="retain",E16="statistical_results"),NOT(OR(H16="confirmed_issue",H16="probable_issue",H16="not_issue",H16="indeterminate"))),AND(AND(D16="retain",E16="statistical_results"),NOT(OR(I16="substantive",I16="minor_presentation",I16="indeterminate"))),AND(AND(D16="retain",E16="statistical_results"),J16&lt;&gt;"",NOT(OR(J16="direct",J16="possible",J16="unlikely",J16="unknown"))),AND(AND(D16="retain",OR(E16="report_internal_inconsistency",E16="plan_material")),NOT(OR(K16="substantive_inconsistency",K16="minor_presentation",K16="non_inconsistency",K16="indeterminate"))),AND(AND(D16="retain",E16="protocol_report"),L16&lt;&gt;"",NOT(OR(L16="substantive_difference",L16="minor_presentation",L16="version_timing",L16="non_inconsistency",L16="indeterminate")))),"CHECK FIELDS",IF(AND(F16&lt;&gt;"",NOT(OR(F16="no",F16="primary_done"))),"CHECK COMPLETE",IF(F16&lt;&gt;"primary_done","PRIMARY DRAFT","PRIMARY READY")))))),"CHECK KEY / INPUT")</f>
        <v/>
      </c>
      <c r="H16" s="18">
        <f>IF(AND(OR(D16="retain",D16=""),E16="statistical_results"),"","not_applicable")</f>
        <v/>
      </c>
      <c r="I16" s="18">
        <f>IF(AND(OR(D16="retain",D16=""),E16="statistical_results"),"","not_applicable")</f>
        <v/>
      </c>
      <c r="J16" s="19">
        <f>IF(AND(OR(D16="retain",D16=""),E16="statistical_results"),"","not_applicable")</f>
        <v/>
      </c>
      <c r="K16" s="18">
        <f>IF(AND(OR(D16="retain",D16=""),OR(E16="report_internal_inconsistency",E16="plan_material")),"","not_applicable")</f>
        <v/>
      </c>
      <c r="L16" s="19">
        <f>IF(AND(OR(D16="retain",D16=""),E16="protocol_report"),"","not_applicable")</f>
        <v/>
      </c>
      <c r="M16" s="12" t="n"/>
      <c r="N16" s="7" t="n"/>
      <c r="O16" s="7" t="n"/>
      <c r="P16" s="7" t="n"/>
      <c r="Q16" s="7" t="n"/>
      <c r="R16" s="19" t="n"/>
    </row>
    <row r="17" ht="92" customFormat="1" customHeight="1" s="8">
      <c r="A17" s="11" t="inlineStr">
        <is>
          <t>2024::jama.2024.6063::C016</t>
        </is>
      </c>
      <c r="B17" s="11" t="inlineStr">
        <is>
          <t>Main-text 95% adherence does not reproduce the cited eTable 2 overall result</t>
        </is>
      </c>
      <c r="C17" s="11" t="inlineStr">
        <is>
          <t>Main article — PDF p. 7; Supplement 3 — PDF p. 3.</t>
        </is>
      </c>
      <c r="D17" s="18" t="n"/>
      <c r="E17" s="18" t="inlineStr">
        <is>
          <t>report_internal_inconsistency</t>
        </is>
      </c>
      <c r="F17" s="18" t="inlineStr">
        <is>
          <t>no</t>
        </is>
      </c>
      <c r="G17" s="11">
        <f>IFERROR(IF(LEN(TRIM(CLEAN(SUBSTITUTE(Setup!$B$2,CHAR(160)," "))))=0,"ENTER REVIEWER ID",IF(OR(A17="",COUNTIF($A$2:$A$17,A17)&lt;&gt;1,LEFT(A17,LEN("2024::jama.2024.6063::"))&lt;&gt;"2024::jama.2024.6063::"),"CHECK KEY",IF(OR(AND(NOT(AND(D17="retain",E17="statistical_results")),H17&lt;&gt;"",H17&lt;&gt;"not_applicable"),AND(NOT(AND(D17="retain",E17="statistical_results")),I17&lt;&gt;"",I17&lt;&gt;"not_applicable"),AND(NOT(AND(D17="retain",E17="statistical_results")),J17&lt;&gt;"",J17&lt;&gt;"not_applicable"),AND(NOT(AND(D17="retain",OR(E17="report_internal_inconsistency",E17="plan_material"))),K17&lt;&gt;"",K17&lt;&gt;"not_applicable"),AND(NOT(AND(D17="retain",E17="protocol_report")),L17&lt;&gt;"",L17&lt;&gt;"not_applicable")),"CLEAR INACTIVE VALUES",IF(OR(NOT(OR(D17="retain",D17="exclude",D17="discuss")),NOT(OR(E17="statistical_results",E17="report_internal_inconsistency",E17="plan_material",E17="protocol_report")),AND(AND(D17="retain",E17="statistical_results"),NOT(OR(H17="confirmed_issue",H17="probable_issue",H17="not_issue",H17="indeterminate"))),AND(AND(D17="retain",E17="statistical_results"),NOT(OR(I17="substantive",I17="minor_presentation",I17="indeterminate"))),AND(AND(D17="retain",E17="statistical_results"),J17&lt;&gt;"",NOT(OR(J17="direct",J17="possible",J17="unlikely",J17="unknown"))),AND(AND(D17="retain",OR(E17="report_internal_inconsistency",E17="plan_material")),NOT(OR(K17="substantive_inconsistency",K17="minor_presentation",K17="non_inconsistency",K17="indeterminate"))),AND(AND(D17="retain",E17="protocol_report"),L17&lt;&gt;"",NOT(OR(L17="substantive_difference",L17="minor_presentation",L17="version_timing",L17="non_inconsistency",L17="indeterminate")))),"CHECK FIELDS",IF(AND(F17&lt;&gt;"",NOT(OR(F17="no",F17="primary_done"))),"CHECK COMPLETE",IF(F17&lt;&gt;"primary_done","PRIMARY DRAFT","PRIMARY READY")))))),"CHECK KEY / INPUT")</f>
        <v/>
      </c>
      <c r="H17" s="18">
        <f>IF(AND(OR(D17="retain",D17=""),E17="statistical_results"),"","not_applicable")</f>
        <v/>
      </c>
      <c r="I17" s="18">
        <f>IF(AND(OR(D17="retain",D17=""),E17="statistical_results"),"","not_applicable")</f>
        <v/>
      </c>
      <c r="J17" s="19">
        <f>IF(AND(OR(D17="retain",D17=""),E17="statistical_results"),"","not_applicable")</f>
        <v/>
      </c>
      <c r="K17" s="18">
        <f>IF(AND(OR(D17="retain",D17=""),OR(E17="report_internal_inconsistency",E17="plan_material")),"","not_applicable")</f>
        <v/>
      </c>
      <c r="L17" s="19">
        <f>IF(AND(OR(D17="retain",D17=""),E17="protocol_report"),"","not_applicable")</f>
        <v/>
      </c>
      <c r="M17" s="11" t="n"/>
      <c r="N17" s="7" t="n"/>
      <c r="O17" s="7" t="n"/>
      <c r="P17" s="7" t="n"/>
      <c r="Q17" s="7" t="n"/>
      <c r="R17" s="19" t="n"/>
    </row>
  </sheetData>
  <autoFilter ref="A1:R17"/>
  <conditionalFormatting sqref="H2:H17">
    <cfRule type="expression" priority="8" dxfId="70">
      <formula>NOT(AND(OR($D2="retain",$D2=""),$E2="statistical_results"))</formula>
    </cfRule>
  </conditionalFormatting>
  <conditionalFormatting sqref="I2:I17">
    <cfRule type="expression" priority="9" dxfId="70">
      <formula>NOT(AND(OR($D2="retain",$D2=""),$E2="statistical_results"))</formula>
    </cfRule>
  </conditionalFormatting>
  <conditionalFormatting sqref="J2:J17">
    <cfRule type="expression" priority="10" dxfId="70">
      <formula>NOT(AND(OR($D2="retain",$D2=""),$E2="statistical_results"))</formula>
    </cfRule>
  </conditionalFormatting>
  <conditionalFormatting sqref="K2:K17">
    <cfRule type="expression" priority="11" dxfId="70">
      <formula>NOT(AND(OR($D2="retain",$D2=""),OR($E2="report_internal_inconsistency",$E2="plan_material")))</formula>
    </cfRule>
  </conditionalFormatting>
  <conditionalFormatting sqref="L2:L17">
    <cfRule type="expression" priority="12" dxfId="70">
      <formula>NOT(AND(OR($D2="retain",$D2=""),$E2="protocol_report"))</formula>
    </cfRule>
  </conditionalFormatting>
  <conditionalFormatting sqref="G2:G17">
    <cfRule type="expression" priority="13" dxfId="71">
      <formula>G2&lt;&gt;"PRIMARY READY"</formula>
    </cfRule>
  </conditionalFormatting>
  <dataValidations count="8">
    <dataValidation sqref="D2:D1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"retain,exclude,discuss"</formula1>
    </dataValidation>
    <dataValidation sqref="E2:E1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"statistical_results,report_internal_inconsistency,plan_material,protocol_report"</formula1>
    </dataValidation>
    <dataValidation sqref="F2:F1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"no,primary_done"</formula1>
    </dataValidation>
    <dataValidation sqref="H2:H1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"confirmed_issue,probable_issue,not_issue,indeterminate,not_applicable"</formula1>
    </dataValidation>
    <dataValidation sqref="I2:I1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"substantive,minor_presentation,indeterminate,not_applicable"</formula1>
    </dataValidation>
    <dataValidation sqref="J2:J1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"direct,possible,unlikely,unknown,not_applicable"</formula1>
    </dataValidation>
    <dataValidation sqref="K2:K1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"substantive_inconsistency,minor_presentation,non_inconsistency,indeterminate,not_applicable"</formula1>
    </dataValidation>
    <dataValidation sqref="L2:L17" showDropDown="0" showInputMessage="1" showErrorMessage="1" allowBlank="1" errorTitle="Choose a listed option" error="Use an option from the dropdown; G checks pasted values too." promptTitle="Independent primary input" prompt="Confirm suggested E. Clear inactive answers after changes. Reset F=no before revising." type="list" errorStyle="stop">
      <formula1>"substantive_difference,minor_presentation,version_timing,non_inconsistency,indeterminate,not_applicable"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</hyperlink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style="8" min="1" max="1"/>
    <col width="30" customWidth="1" style="8" min="2" max="2"/>
    <col width="40" customWidth="1" style="8" min="3" max="3"/>
    <col width="100" customWidth="1" style="8" min="4" max="4"/>
    <col width="28" customWidth="1" style="8" min="5" max="5"/>
  </cols>
  <sheetData>
    <row r="1" ht="42" customFormat="1" customHeight="1" s="8">
      <c r="A1" s="14" t="inlineStr">
        <is>
          <t>Field name</t>
        </is>
      </c>
      <c r="B1" s="14" t="inlineStr">
        <is>
          <t>Option / value</t>
        </is>
      </c>
      <c r="C1" s="14" t="inlineStr">
        <is>
          <t>Requirement / scope</t>
        </is>
      </c>
      <c r="D1" s="14" t="inlineStr">
        <is>
          <t>Explanation and example</t>
        </is>
      </c>
      <c r="E1" s="14" t="inlineStr">
        <is>
          <t>Internal key</t>
        </is>
      </c>
    </row>
    <row r="2" ht="100" customFormat="1" customHeight="1" s="8">
      <c r="A2" s="15" t="inlineStr">
        <is>
          <t>How to read this Codebook</t>
        </is>
      </c>
      <c r="B2" s="15" t="n"/>
      <c r="C2" s="15" t="n"/>
      <c r="D2" s="15" t="n"/>
      <c r="E2" s="15" t="n"/>
    </row>
    <row r="3" ht="100" customFormat="1" customHeight="1" s="8">
      <c r="A3" s="16" t="inlineStr">
        <is>
          <t>1  |  Common decisions and optional notes</t>
        </is>
      </c>
      <c r="B3" s="16" t="n"/>
      <c r="C3" s="16" t="n"/>
      <c r="D3" s="16" t="n"/>
      <c r="E3" s="16" t="n"/>
    </row>
    <row r="4" ht="100" customFormat="1" customHeight="1" s="8">
      <c r="A4" s="15" t="inlineStr">
        <is>
          <t>Disposition</t>
        </is>
      </c>
      <c r="B4" s="15" t="inlineStr">
        <is>
          <t>FIELD</t>
        </is>
      </c>
      <c r="C4" s="15" t="inlineStr">
        <is>
          <t>Required; all domains</t>
        </is>
      </c>
      <c r="D4" s="15" t="inlineStr">
        <is>
          <t>Keep, exclude, or defer as discuss. Blank is untouched. No AI disposition is preselected. discuss is an independent unresolved response, not a shared workflow.</t>
        </is>
      </c>
      <c r="E4" s="15" t="inlineStr">
        <is>
          <t>disposition</t>
        </is>
      </c>
    </row>
    <row r="5" ht="100" customFormat="1" customHeight="1" s="8">
      <c r="A5" s="16" t="n"/>
      <c r="B5" s="16" t="inlineStr">
        <is>
          <t>retain</t>
        </is>
      </c>
      <c r="C5" s="16" t="inlineStr">
        <is>
          <t>Option</t>
        </is>
      </c>
      <c r="D5" s="16" t="inlineStr">
        <is>
          <t>Retain candidate. After human review, keep this finding in the applicable review results; retaining a protocol discrepancy does not automatically confirm an issue.</t>
        </is>
      </c>
      <c r="E5" s="16" t="n"/>
    </row>
    <row r="6" ht="100" customFormat="1" customHeight="1" s="8">
      <c r="A6" s="15" t="n"/>
      <c r="B6" s="15" t="inlineStr">
        <is>
          <t>exclude</t>
        </is>
      </c>
      <c r="C6" s="15" t="inlineStr">
        <is>
          <t>Option</t>
        </is>
      </c>
      <c r="D6" s="15" t="inlineStr">
        <is>
          <t>Do not retain. The candidate has been assessed and should not remain as a finding, for example because the apparent mismatch has a satisfactory explanation.</t>
        </is>
      </c>
      <c r="E6" s="15" t="n"/>
    </row>
    <row r="7" ht="100" customFormat="1" customHeight="1" s="8">
      <c r="A7" s="16" t="n"/>
      <c r="B7" s="16" t="inlineStr">
        <is>
          <t>discuss</t>
        </is>
      </c>
      <c r="C7" s="16" t="inlineStr">
        <is>
          <t>Option</t>
        </is>
      </c>
      <c r="D7" s="16" t="inlineStr">
        <is>
          <t>Needs discussion. The reviewer has considered the candidate but cannot settle the disposition without further discussion. This is a decision to defer, not an untouched blank. In this version, it can be PRIMARY READY but remains unresolved; no shared resolution step is required.</t>
        </is>
      </c>
      <c r="E7" s="16" t="n"/>
    </row>
    <row r="8" ht="100" customFormat="1" customHeight="1" s="8">
      <c r="A8" s="15" t="inlineStr">
        <is>
          <t>Review domain</t>
        </is>
      </c>
      <c r="B8" s="15" t="inlineStr">
        <is>
          <t>FIELD</t>
        </is>
      </c>
      <c r="C8" s="15" t="inlineStr">
        <is>
          <t>Required; all domains</t>
        </is>
      </c>
      <c r="D8" s="15" t="inlineStr">
        <is>
          <t>Choose the assessment branch first. It controls automatic not_applicable defaults and which judgments are required. All four choices are available; the frozen document relationship code does not change.</t>
        </is>
      </c>
      <c r="E8" s="15" t="inlineStr">
        <is>
          <t>domain</t>
        </is>
      </c>
    </row>
    <row r="9" ht="100" customFormat="1" customHeight="1" s="8">
      <c r="A9" s="16" t="n"/>
      <c r="B9" s="16" t="inlineStr">
        <is>
          <t>statistical_results</t>
        </is>
      </c>
      <c r="C9" s="16" t="inlineStr">
        <is>
          <t>Option</t>
        </is>
      </c>
      <c r="D9" s="16" t="inlineStr">
        <is>
          <t>Statistical results (S_C / S_W). Assess reported numbers, estimates, intervals, denominators or statistical claims in the current report materials.</t>
        </is>
      </c>
      <c r="E9" s="16" t="n"/>
    </row>
    <row r="10" ht="100" customFormat="1" customHeight="1" s="8">
      <c r="A10" s="15" t="n"/>
      <c r="B10" s="15" t="inlineStr">
        <is>
          <t>report_internal_inconsistency</t>
        </is>
      </c>
      <c r="C10" s="15" t="inlineStr">
        <is>
          <t>Option</t>
        </is>
      </c>
      <c r="D10" s="15" t="inlineStr">
        <is>
          <t>Report internal inconsistency (S_C / S_W). Assess inconsistencies within the main paper, within the updated supplement, or between the main paper and updated supplement. The name describes the report materials being compared; it is not restricted to nonstatistical content. Use statistical_results when specifically judging a statistical or numerical reporting issue.</t>
        </is>
      </c>
      <c r="E10" s="15" t="n"/>
    </row>
    <row r="11" ht="100" customFormat="1" customHeight="1" s="8">
      <c r="A11" s="16" t="n"/>
      <c r="B11" s="16" t="inlineStr">
        <is>
          <t>protocol_report</t>
        </is>
      </c>
      <c r="C11" s="16" t="inlineStr">
        <is>
          <t>Option</t>
        </is>
      </c>
      <c r="D11" s="16" t="inlineStr">
        <is>
          <t>Protocol-report (P_R). Assess whether planned and reported conduct or analyses meaningfully differ, using the compared materials. No search for acknowledgment or reasons for changes is required.</t>
        </is>
      </c>
      <c r="E11" s="16" t="n"/>
    </row>
    <row r="12" ht="100" customFormat="1" customHeight="1" s="8">
      <c r="A12" s="15" t="n"/>
      <c r="B12" s="15" t="inlineStr">
        <is>
          <t>plan_material</t>
        </is>
      </c>
      <c r="C12" s="15" t="inlineStr">
        <is>
          <t>Option</t>
        </is>
      </c>
      <c r="D12" s="15" t="inlineStr">
        <is>
          <t>Plan material (P_P). Assess an inconsistency involving planning materials themselves rather than a planned-versus-reported result. The original relationship code remains unchanged.</t>
        </is>
      </c>
      <c r="E12" s="15" t="n"/>
    </row>
    <row r="13" ht="100" customFormat="1" customHeight="1" s="8">
      <c r="A13" s="16" t="inlineStr">
        <is>
          <t>Complete</t>
        </is>
      </c>
      <c r="B13" s="16" t="inlineStr">
        <is>
          <t>FIELD</t>
        </is>
      </c>
      <c r="C13" s="16" t="inlineStr">
        <is>
          <t>Required; each row</t>
        </is>
      </c>
      <c r="D13" s="16" t="inlineStr">
        <is>
          <t>Use no while drafting and primary_done after manual review. Before revising a completed row reset to no; review again, then mark primary_done. Excel cannot automatically reset an entered flag.</t>
        </is>
      </c>
      <c r="E13" s="16" t="inlineStr">
        <is>
          <t>reviewComplete</t>
        </is>
      </c>
    </row>
    <row r="14" ht="100" customFormat="1" customHeight="1" s="8">
      <c r="A14" s="15" t="n"/>
      <c r="B14" s="15" t="inlineStr">
        <is>
          <t>no</t>
        </is>
      </c>
      <c r="C14" s="15" t="inlineStr">
        <is>
          <t>Option</t>
        </is>
      </c>
      <c r="D14" s="15" t="inlineStr">
        <is>
          <t>Draft. The reviewer has not yet confirmed manual review complete.</t>
        </is>
      </c>
      <c r="E14" s="15" t="n"/>
    </row>
    <row r="15" ht="100" customFormat="1" customHeight="1" s="8">
      <c r="A15" s="16" t="inlineStr">
        <is>
          <t>Validation hint</t>
        </is>
      </c>
      <c r="B15" s="16" t="inlineStr">
        <is>
          <t>FIELD</t>
        </is>
      </c>
      <c r="C15" s="16" t="inlineStr">
        <is>
          <t>Calculated</t>
        </is>
      </c>
      <c r="D15" s="16" t="inlineStr">
        <is>
          <t>Calculated entry checks for this reviewer. PRIMARY READY means independent entry complete. discuss may remain unresolved. Checks does not establish scientific accuracy or protect source/formula cells.</t>
        </is>
      </c>
      <c r="E15" s="16" t="inlineStr">
        <is>
          <t>readiness</t>
        </is>
      </c>
    </row>
    <row r="16" ht="100" customFormat="1" customHeight="1" s="8">
      <c r="A16" s="15" t="inlineStr">
        <is>
          <t>Notes (optional)</t>
        </is>
      </c>
      <c r="B16" s="15" t="inlineStr">
        <is>
          <t>FIELD</t>
        </is>
      </c>
      <c r="C16" s="15" t="inlineStr">
        <is>
          <t>Optional</t>
        </is>
      </c>
      <c r="D16" s="15" t="inlineStr">
        <is>
          <t>Optional English context. Clearing removes the text; blank means no answer.</t>
        </is>
      </c>
      <c r="E16" s="15" t="inlineStr">
        <is>
          <t>notes</t>
        </is>
      </c>
    </row>
    <row r="17" ht="100" customFormat="1" customHeight="1" s="8">
      <c r="A17" s="16" t="inlineStr">
        <is>
          <t>2  |  Statistical results: two required judgments</t>
        </is>
      </c>
      <c r="B17" s="16" t="n"/>
      <c r="C17" s="16" t="n"/>
      <c r="D17" s="16" t="n"/>
      <c r="E17" s="16" t="n"/>
    </row>
    <row r="18" ht="100" customFormat="1" customHeight="1" s="8">
      <c r="A18" s="15" t="inlineStr">
        <is>
          <t>Statistcal_or_numerical issue</t>
        </is>
      </c>
      <c r="B18" s="15" t="inlineStr">
        <is>
          <t>FIELD</t>
        </is>
      </c>
      <c r="C18" s="15" t="inlineStr">
        <is>
          <t>Required; retained statistical_results</t>
        </is>
      </c>
      <c r="D18" s="15" t="inlineStr">
        <is>
          <t>Does a statistical or numerical reporting issue exist? Example: a reported percentage conflicts with its stated numerator and denominator after checking definitions. Certainty is separate from importance.</t>
        </is>
      </c>
      <c r="E18" s="15" t="inlineStr">
        <is>
          <t>statisticalIssueStatus</t>
        </is>
      </c>
    </row>
    <row r="19" ht="100" customFormat="1" customHeight="1" s="8">
      <c r="A19" s="16" t="n"/>
      <c r="B19" s="16" t="inlineStr">
        <is>
          <t>confirmed_issue</t>
        </is>
      </c>
      <c r="C19" s="16" t="inlineStr">
        <is>
          <t>Option</t>
        </is>
      </c>
      <c r="D19" s="16" t="inlineStr">
        <is>
          <t>Confirmed statistical or numerical reporting issue. The available evidence establishes a reporting issue or contradiction, even if the correct replacement value is not known.</t>
        </is>
      </c>
      <c r="E19" s="16" t="n"/>
    </row>
    <row r="20" ht="100" customFormat="1" customHeight="1" s="8">
      <c r="A20" s="15" t="n"/>
      <c r="B20" s="15" t="inlineStr">
        <is>
          <t>probable_issue</t>
        </is>
      </c>
      <c r="C20" s="15" t="inlineStr">
        <is>
          <t>Option</t>
        </is>
      </c>
      <c r="D20" s="15" t="inlineStr">
        <is>
          <t>Probable statistical or numerical reporting issue. The evidence favors a reporting issue, but an unresolved limitation or plausible alternative prevents confirmation.</t>
        </is>
      </c>
      <c r="E20" s="15" t="n"/>
    </row>
    <row r="21" ht="100" customFormat="1" customHeight="1" s="8">
      <c r="A21" s="16" t="n"/>
      <c r="B21" s="16" t="inlineStr">
        <is>
          <t>not_issue</t>
        </is>
      </c>
      <c r="C21" s="16" t="inlineStr">
        <is>
          <t>Option</t>
        </is>
      </c>
      <c r="D21" s="16" t="inlineStr">
        <is>
          <t>Not a statistical or numerical issue. The apparent discrepancy is consistent with a valid calculation, definition, analysis method or reporting context.</t>
        </is>
      </c>
      <c r="E21" s="16" t="n"/>
    </row>
    <row r="22" ht="100" customFormat="1" customHeight="1" s="8">
      <c r="A22" s="15" t="n"/>
      <c r="B22" s="15" t="inlineStr">
        <is>
          <t>indeterminate</t>
        </is>
      </c>
      <c r="C22" s="15" t="inlineStr">
        <is>
          <t>Option</t>
        </is>
      </c>
      <c r="D22" s="15" t="inlineStr">
        <is>
          <t>Indeterminate. The available evidence does not support deciding whether a statistical or numerical reporting issue exists; neither confirmation nor dismissal is justified.</t>
        </is>
      </c>
      <c r="E22" s="15" t="n"/>
    </row>
    <row r="23" ht="100" customFormat="1" customHeight="1" s="8">
      <c r="A23" s="16" t="n"/>
      <c r="B23" s="16" t="inlineStr">
        <is>
          <t>not_applicable</t>
        </is>
      </c>
      <c r="C23" s="16" t="inlineStr">
        <is>
          <t>Option</t>
        </is>
      </c>
      <c r="D23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23" s="16" t="n"/>
    </row>
    <row r="24" ht="100" customFormat="1" customHeight="1" s="8">
      <c r="A24" s="15" t="inlineStr">
        <is>
          <t>Substantiveness</t>
        </is>
      </c>
      <c r="B24" s="15" t="inlineStr">
        <is>
          <t>FIELD</t>
        </is>
      </c>
      <c r="C24" s="15" t="inlineStr">
        <is>
          <t>Required; retained statistical_results</t>
        </is>
      </c>
      <c r="D24" s="15" t="inlineStr">
        <is>
          <t>Could the issue meaningfully affect interpretation or data use? A harmless spacing typo is minor_presentation; an ambiguous extractable effect estimate may be substantive. An issue can be confirmed yet minor.</t>
        </is>
      </c>
      <c r="E24" s="15" t="inlineStr">
        <is>
          <t>substantiveStatus</t>
        </is>
      </c>
    </row>
    <row r="25" ht="100" customFormat="1" customHeight="1" s="8">
      <c r="A25" s="16" t="n"/>
      <c r="B25" s="16" t="inlineStr">
        <is>
          <t>substantive</t>
        </is>
      </c>
      <c r="C25" s="16" t="inlineStr">
        <is>
          <t>Option</t>
        </is>
      </c>
      <c r="D25" s="16" t="inlineStr">
        <is>
          <t>Substantive. The issue could meaningfully change interpretation, data extraction or downstream analysis, rather than only the presentation of the result.</t>
        </is>
      </c>
      <c r="E25" s="16" t="n"/>
    </row>
    <row r="26" ht="100" customFormat="1" customHeight="1" s="8">
      <c r="A26" s="15" t="n"/>
      <c r="B26" s="15" t="inlineStr">
        <is>
          <t>minor_presentation</t>
        </is>
      </c>
      <c r="C26" s="15" t="inlineStr">
        <is>
          <t>Option</t>
        </is>
      </c>
      <c r="D26" s="15" t="inlineStr">
        <is>
          <t>Minor or presentation only. The intended result remains clear and the issue is a small formatting, labeling or typographic problem without a meaningful change in interpretation.</t>
        </is>
      </c>
      <c r="E26" s="15" t="n"/>
    </row>
    <row r="27" ht="100" customFormat="1" customHeight="1" s="8">
      <c r="A27" s="16" t="n"/>
      <c r="B27" s="16" t="inlineStr">
        <is>
          <t>indeterminate</t>
        </is>
      </c>
      <c r="C27" s="16" t="inlineStr">
        <is>
          <t>Option</t>
        </is>
      </c>
      <c r="D27" s="16" t="inlineStr">
        <is>
          <t>Indeterminate. There is not enough information to decide whether the issue is substantive or limited to presentation.</t>
        </is>
      </c>
      <c r="E27" s="16" t="n"/>
    </row>
    <row r="28" ht="100" customFormat="1" customHeight="1" s="8">
      <c r="A28" s="15" t="n"/>
      <c r="B28" s="15" t="inlineStr">
        <is>
          <t>not_applicable</t>
        </is>
      </c>
      <c r="C28" s="15" t="inlineStr">
        <is>
          <t>Option</t>
        </is>
      </c>
      <c r="D28" s="15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28" s="15" t="n"/>
    </row>
    <row r="29" ht="100" customFormat="1" customHeight="1" s="8">
      <c r="A29" s="16" t="inlineStr">
        <is>
          <t>Downstream impact</t>
        </is>
      </c>
      <c r="B29" s="16" t="inlineStr">
        <is>
          <t>FIELD</t>
        </is>
      </c>
      <c r="C29" s="16" t="inlineStr">
        <is>
          <t>Optional; retained statistical_results</t>
        </is>
      </c>
      <c r="D29" s="16" t="inlineStr">
        <is>
          <t>Add only useful information about later extraction or analysis. direct means the affected value itself may be extracted, not that harm has occurred. Blank is allowed and means not assessed; it is not unlikely or not_applicable. This field does not determine temporal eligibility.</t>
        </is>
      </c>
      <c r="E29" s="16" t="inlineStr">
        <is>
          <t>downstreamImpact</t>
        </is>
      </c>
    </row>
    <row r="30" ht="100" customFormat="1" customHeight="1" s="8">
      <c r="A30" s="15" t="n"/>
      <c r="B30" s="15" t="inlineStr">
        <is>
          <t>direct</t>
        </is>
      </c>
      <c r="C30" s="15" t="inlineStr">
        <is>
          <t>Option</t>
        </is>
      </c>
      <c r="D30" s="15" t="inlineStr">
        <is>
          <t>Direct extraction or analysis impact. The affected value or definition is itself an input to data extraction or subsequent analysis; this describes potential impact, not proven downstream harm.</t>
        </is>
      </c>
      <c r="E30" s="15" t="n"/>
    </row>
    <row r="31" ht="100" customFormat="1" customHeight="1" s="8">
      <c r="A31" s="16" t="n"/>
      <c r="B31" s="16" t="inlineStr">
        <is>
          <t>possible</t>
        </is>
      </c>
      <c r="C31" s="16" t="inlineStr">
        <is>
          <t>Option</t>
        </is>
      </c>
      <c r="D31" s="16" t="inlineStr">
        <is>
          <t>Possible downstream impact. A plausible route to affecting later interpretation, extraction or analysis exists, but the connection is indirect or uncertain.</t>
        </is>
      </c>
      <c r="E31" s="16" t="n"/>
    </row>
    <row r="32" ht="100" customFormat="1" customHeight="1" s="8">
      <c r="A32" s="15" t="n"/>
      <c r="B32" s="15" t="inlineStr">
        <is>
          <t>unlikely</t>
        </is>
      </c>
      <c r="C32" s="15" t="inlineStr">
        <is>
          <t>Option</t>
        </is>
      </c>
      <c r="D32" s="15" t="inlineStr">
        <is>
          <t>Unlikely downstream impact. The issue is unlikely to change extracted information or later analysis because the relevant result remains clear and usable.</t>
        </is>
      </c>
      <c r="E32" s="15" t="n"/>
    </row>
    <row r="33" ht="100" customFormat="1" customHeight="1" s="8">
      <c r="A33" s="16" t="n"/>
      <c r="B33" s="16" t="inlineStr">
        <is>
          <t>unknown</t>
        </is>
      </c>
      <c r="C33" s="16" t="inlineStr">
        <is>
          <t>Option</t>
        </is>
      </c>
      <c r="D33" s="16" t="inlineStr">
        <is>
          <t>Unable to assess. The materials do not establish enough about the affected information or its likely use to judge downstream impact.</t>
        </is>
      </c>
      <c r="E33" s="16" t="n"/>
    </row>
    <row r="34" ht="100" customFormat="1" customHeight="1" s="8">
      <c r="A34" s="15" t="n"/>
      <c r="B34" s="15" t="inlineStr">
        <is>
          <t>not_applicable</t>
        </is>
      </c>
      <c r="C34" s="15" t="inlineStr">
        <is>
          <t>Option</t>
        </is>
      </c>
      <c r="D34" s="15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4" s="15" t="n"/>
    </row>
    <row r="35" ht="100" customFormat="1" customHeight="1" s="8">
      <c r="A35" s="16" t="inlineStr">
        <is>
          <t>3  |  Report internal or planning-material inconsistency</t>
        </is>
      </c>
      <c r="B35" s="16" t="n"/>
      <c r="C35" s="16" t="n"/>
      <c r="D35" s="16" t="n"/>
      <c r="E35" s="16" t="n"/>
    </row>
    <row r="36" ht="100" customFormat="1" customHeight="1" s="8">
      <c r="A36" s="15" t="inlineStr">
        <is>
          <t>Report-internal or planning-material inconsistency</t>
        </is>
      </c>
      <c r="B36" s="15" t="inlineStr">
        <is>
          <t>FIELD</t>
        </is>
      </c>
      <c r="C36" s="15" t="inlineStr">
        <is>
          <t>Required; retained report_internal_inconsistency or plan_material</t>
        </is>
      </c>
      <c r="D36" s="15" t="inlineStr">
        <is>
          <t>Judge whether the compared materials are inconsistent and how much that matters. For report_internal_inconsistency, compare content within the main paper, within the updated supplement, or between those two report materials. For plan_material, compare planning materials such as protocol versus protocol or SAP. Plan versus final report belongs to protocol_report. Use statistical_results when specifically judging a statistical or numerical reporting issue.</t>
        </is>
      </c>
      <c r="E36" s="15" t="inlineStr">
        <is>
          <t>internalStatus</t>
        </is>
      </c>
    </row>
    <row r="37" ht="100" customFormat="1" customHeight="1" s="8">
      <c r="A37" s="16" t="n"/>
      <c r="B37" s="16" t="inlineStr">
        <is>
          <t>substantive_inconsistency</t>
        </is>
      </c>
      <c r="C37" s="16" t="inlineStr">
        <is>
          <t>Option</t>
        </is>
      </c>
      <c r="D37" s="16" t="inlineStr">
        <is>
          <t>Substantive inconsistency. Conflicting statements, values, labels, or descriptions in the compared report or planning materials could materially change how the study, population, procedures or results are understood.</t>
        </is>
      </c>
      <c r="E37" s="16" t="n"/>
    </row>
    <row r="38" ht="100" customFormat="1" customHeight="1" s="8">
      <c r="A38" s="15" t="n"/>
      <c r="B38" s="15" t="inlineStr">
        <is>
          <t>minor_presentation</t>
        </is>
      </c>
      <c r="C38" s="15" t="inlineStr">
        <is>
          <t>Option</t>
        </is>
      </c>
      <c r="D38" s="15" t="inlineStr">
        <is>
          <t>Minor presentation inconsistency. A real discrepancy exists, but it mainly affects presentation, including minor wording or labeling problems, and the intended meaning remains clear. Example: an imprecise label whose intended meaning is clear from context.</t>
        </is>
      </c>
      <c r="E38" s="15" t="n"/>
    </row>
    <row r="39" ht="100" customFormat="1" customHeight="1" s="8">
      <c r="A39" s="16" t="n"/>
      <c r="B39" s="16" t="inlineStr">
        <is>
          <t>non_inconsistency</t>
        </is>
      </c>
      <c r="C39" s="16" t="inlineStr">
        <is>
          <t>Option</t>
        </is>
      </c>
      <c r="D39" s="16" t="inlineStr">
        <is>
          <t>Not an inconsistency. The statements are compatible once their definitions, populations, time points or other context are taken into account. This includes different wording with the same substantive meaning. Example: participants and study participants refer to the same group.</t>
        </is>
      </c>
      <c r="E39" s="16" t="n"/>
    </row>
    <row r="40" ht="100" customFormat="1" customHeight="1" s="8">
      <c r="A40" s="15" t="n"/>
      <c r="B40" s="15" t="inlineStr">
        <is>
          <t>indeterminate</t>
        </is>
      </c>
      <c r="C40" s="15" t="inlineStr">
        <is>
          <t>Option</t>
        </is>
      </c>
      <c r="D40" s="15" t="inlineStr">
        <is>
          <t>Indeterminate. The available material is insufficient to establish whether the statements conflict or how important any conflict is.</t>
        </is>
      </c>
      <c r="E40" s="15" t="n"/>
    </row>
    <row r="41" ht="100" customFormat="1" customHeight="1" s="8">
      <c r="A41" s="16" t="n"/>
      <c r="B41" s="16" t="inlineStr">
        <is>
          <t>not_applicable</t>
        </is>
      </c>
      <c r="C41" s="16" t="inlineStr">
        <is>
          <t>Option</t>
        </is>
      </c>
      <c r="D41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41" s="16" t="n"/>
    </row>
    <row r="42" ht="100" customFormat="1" customHeight="1" s="8">
      <c r="A42" s="15" t="inlineStr">
        <is>
          <t>4  |  Protocol versus report: optional description only</t>
        </is>
      </c>
      <c r="B42" s="15" t="n"/>
      <c r="C42" s="15" t="n"/>
      <c r="D42" s="15" t="n"/>
      <c r="E42" s="15" t="n"/>
    </row>
    <row r="43" ht="100" customFormat="1" customHeight="1" s="8">
      <c r="A43" s="16" t="inlineStr">
        <is>
          <t>Protocol interpretation</t>
        </is>
      </c>
      <c r="B43" s="16" t="inlineStr">
        <is>
          <t>FIELD</t>
        </is>
      </c>
      <c r="C43" s="16" t="inlineStr">
        <is>
          <t>Optional; retained protocol_report</t>
        </is>
      </c>
      <c r="D43" s="16" t="inlineStr">
        <is>
          <t>Describe the compared plan and report only when useful: meaningful difference, minor presentation issue, version/timing ambiguity, no inconsistency, or indeterminate. Use minor_presentation for a small wording problem and non_inconsistency for equivalent wording with no actual conflict. Use the available comparison evidence; no additional search for change records or reasons is required. Blank is allowed and never blocks completion. Retained protocol differences are descriptive and excluded from temporal analysis.</t>
        </is>
      </c>
      <c r="E43" s="16" t="inlineStr">
        <is>
          <t>protocolInterpretation</t>
        </is>
      </c>
    </row>
    <row r="44" ht="100" customFormat="1" customHeight="1" s="8">
      <c r="A44" s="15" t="n"/>
      <c r="B44" s="15" t="inlineStr">
        <is>
          <t>substantive_difference</t>
        </is>
      </c>
      <c r="C44" s="15" t="inlineStr">
        <is>
          <t>Option</t>
        </is>
      </c>
      <c r="D44" s="15" t="inlineStr">
        <is>
          <t>Substantive difference. The compared plan and report meaningfully differ in an outcome, population, procedure, or analysis. This describes the difference; it does not establish an issue or an unjustified change. Example: the planned primary time point is 12 months but the report uses 6 months.</t>
        </is>
      </c>
      <c r="E44" s="15" t="n"/>
    </row>
    <row r="45" ht="100" customFormat="1" customHeight="1" s="8">
      <c r="A45" s="16" t="n"/>
      <c r="B45" s="16" t="inlineStr">
        <is>
          <t>minor_presentation</t>
        </is>
      </c>
      <c r="C45" s="16" t="inlineStr">
        <is>
          <t>Option</t>
        </is>
      </c>
      <c r="D45" s="16" t="inlineStr">
        <is>
          <t>Minor presentation difference. A minor wording, labeling or presentation problem exists, but the intended planned and reported meaning or conduct remains clear. Example: an imprecise outcome label clarified by the same definition in both documents.</t>
        </is>
      </c>
      <c r="E45" s="16" t="n"/>
    </row>
    <row r="46" ht="100" customFormat="1" customHeight="1" s="8">
      <c r="A46" s="15" t="n"/>
      <c r="B46" s="15" t="inlineStr">
        <is>
          <t>version_timing</t>
        </is>
      </c>
      <c r="C46" s="15" t="inlineStr">
        <is>
          <t>Option</t>
        </is>
      </c>
      <c r="D46" s="15" t="inlineStr">
        <is>
          <t>Version or timing ambiguity. The difference may reflect which protocol version or date is being compared; the sequence cannot be resolved from the available material.</t>
        </is>
      </c>
      <c r="E46" s="15" t="n"/>
    </row>
    <row r="47" ht="100" customFormat="1" customHeight="1" s="8">
      <c r="A47" s="16" t="n"/>
      <c r="B47" s="16" t="inlineStr">
        <is>
          <t>non_inconsistency</t>
        </is>
      </c>
      <c r="C47" s="16" t="inlineStr">
        <is>
          <t>Option</t>
        </is>
      </c>
      <c r="D47" s="16" t="inlineStr">
        <is>
          <t>No inconsistency. The compared statements are compatible after checking the population, definitions, time points, or context, including equivalent wording with no change in meaning or conduct. Example: week 12 and 12 weeks after baseline describe the same time point. Normally consider Disposition=exclude for this candidate.</t>
        </is>
      </c>
      <c r="E47" s="16" t="n"/>
    </row>
    <row r="48" ht="100" customFormat="1" customHeight="1" s="8">
      <c r="A48" s="15" t="n"/>
      <c r="B48" s="15" t="inlineStr">
        <is>
          <t>indeterminate</t>
        </is>
      </c>
      <c r="C48" s="15" t="inlineStr">
        <is>
          <t>Option</t>
        </is>
      </c>
      <c r="D48" s="15" t="inlineStr">
        <is>
          <t>Indeterminate. The available evidence cannot support a more specific interpretation of the planned-versus-reported difference.</t>
        </is>
      </c>
      <c r="E48" s="15" t="n"/>
    </row>
    <row r="49" ht="100" customFormat="1" customHeight="1" s="8">
      <c r="A49" s="16" t="n"/>
      <c r="B49" s="16" t="inlineStr">
        <is>
          <t>not_applicable</t>
        </is>
      </c>
      <c r="C49" s="16" t="inlineStr">
        <is>
          <t>Option</t>
        </is>
      </c>
      <c r="D49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49" s="16" t="n"/>
    </row>
    <row r="50" ht="100" customFormat="1" customHeight="1" s="8">
      <c r="A50" s="15" t="inlineStr">
        <is>
          <t>5  |  Candidate context</t>
        </is>
      </c>
      <c r="B50" s="15" t="n"/>
      <c r="C50" s="15" t="n"/>
      <c r="D50" s="15" t="n"/>
      <c r="E50" s="15" t="n"/>
    </row>
    <row r="51" ht="100" customFormat="1" customHeight="1" s="8">
      <c r="A51" s="16" t="inlineStr">
        <is>
          <t>Candidate key</t>
        </is>
      </c>
      <c r="B51" s="16" t="inlineStr">
        <is>
          <t>FIELD</t>
        </is>
      </c>
      <c r="C51" s="16" t="inlineStr">
        <is>
          <t>Reference</t>
        </is>
      </c>
      <c r="D51" s="16" t="inlineStr">
        <is>
          <t>Unique candidate identity used for matching, even after complete rows are reordered. Never edit this value.</t>
        </is>
      </c>
      <c r="E51" s="16" t="inlineStr">
        <is>
          <t>key</t>
        </is>
      </c>
    </row>
    <row r="52" ht="100" customFormat="1" customHeight="1" s="8">
      <c r="A52" s="15" t="inlineStr">
        <is>
          <t>Candidate title</t>
        </is>
      </c>
      <c r="B52" s="15" t="inlineStr">
        <is>
          <t>FIELD</t>
        </is>
      </c>
      <c r="C52" s="15" t="inlineStr">
        <is>
          <t>Reference</t>
        </is>
      </c>
      <c r="D52" s="15" t="inlineStr">
        <is>
          <t>Short candidate title. A candidate is an AI flag for human assessment, not a confirmed issue.</t>
        </is>
      </c>
      <c r="E52" s="15" t="inlineStr">
        <is>
          <t>title</t>
        </is>
      </c>
    </row>
    <row r="53" ht="100" customFormat="1" customHeight="1" s="8">
      <c r="A53" s="16" t="inlineStr">
        <is>
          <t>Source location</t>
        </is>
      </c>
      <c r="B53" s="16" t="inlineStr">
        <is>
          <t>FIELD</t>
        </is>
      </c>
      <c r="C53" s="16" t="inlineStr">
        <is>
          <t>Source reference; this reviewer</t>
        </is>
      </c>
      <c r="D53" s="16" t="inlineStr">
        <is>
          <t>Where to check the source claim. Open the original documents named here (file and PDF page).</t>
        </is>
      </c>
      <c r="E53" s="16" t="inlineStr">
        <is>
          <t>locations</t>
        </is>
      </c>
    </row>
    <row r="54" ht="100" customFormat="1" customHeight="1" s="8">
      <c r="A54" s="15" t="inlineStr">
        <is>
          <t>Complete</t>
        </is>
      </c>
      <c r="B54" s="15" t="inlineStr">
        <is>
          <t>primary_done</t>
        </is>
      </c>
      <c r="C54" s="15" t="inlineStr">
        <is>
          <t>Primary review</t>
        </is>
      </c>
      <c r="D54" s="15" t="inlineStr">
        <is>
          <t>Human reviewed; independent entry complete. Scientific uncertainty may remain as discuss.</t>
        </is>
      </c>
      <c r="E54" s="15" t="inlineStr">
        <is>
          <t>reviewComplete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2026-09-19T05:13:45Z</dcterms:created>
  <dcterms:modified xsi:type="dcterms:W3CDTF">2026-10-10T23:06:09Z</dcterms:modified>
</cp:coreProperties>
</file>