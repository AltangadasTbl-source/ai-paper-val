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sheets/sheet11.xml" ContentType="application/vnd.openxmlformats-officedocument.spreadsheetml.worksheet+xml"/>
  <Override PartName="/xl/comments/comment7.xml" ContentType="application/vnd.openxmlformats-officedocument.spreadsheetml.comments+xml"/>
  <Override PartName="/xl/worksheets/sheet12.xml" ContentType="application/vnd.openxmlformats-officedocument.spreadsheetml.worksheet+xml"/>
  <Override PartName="/xl/comments/comment8.xml" ContentType="application/vnd.openxmlformats-officedocument.spreadsheetml.comments+xml"/>
  <Override PartName="/xl/worksheets/sheet13.xml" ContentType="application/vnd.openxmlformats-officedocument.spreadsheetml.worksheet+xml"/>
  <Override PartName="/xl/comments/comment9.xml" ContentType="application/vnd.openxmlformats-officedocument.spreadsheetml.comments+xml"/>
  <Override PartName="/xl/worksheets/sheet14.xml" ContentType="application/vnd.openxmlformats-officedocument.spreadsheetml.worksheet+xml"/>
  <Override PartName="/xl/comments/comment10.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sheetId="1" state="visible" r:id="rId1"/>
    <sheet name="Setup" sheetId="2" state="visible" r:id="rId2"/>
    <sheet name="Checks" sheetId="3" state="visible" r:id="rId3"/>
    <sheet name="Papers" sheetId="4" state="visible" r:id="rId4"/>
    <sheet name="C_jama.2024.0318" sheetId="5" state="visible" r:id="rId5"/>
    <sheet name="C_jama.2024.0572" sheetId="6" state="visible" r:id="rId6"/>
    <sheet name="C_jama.2024.11057" sheetId="7" state="visible" r:id="rId7"/>
    <sheet name="C_jama.2024.12829" sheetId="8" state="visible" r:id="rId8"/>
    <sheet name="C_jama.2024.19585" sheetId="9" state="visible" r:id="rId9"/>
    <sheet name="C_jama.2024.2302" sheetId="10" state="visible" r:id="rId10"/>
    <sheet name="C_jama.2024.23898" sheetId="11" state="visible" r:id="rId11"/>
    <sheet name="C_jama.2024.25786" sheetId="12" state="visible" r:id="rId12"/>
    <sheet name="C_jama.2024.4183" sheetId="13" state="visible" r:id="rId13"/>
    <sheet name="C_jama.2024.6063" sheetId="14" state="visible" r:id="rId14"/>
    <sheet name="Decisions" sheetId="15" state="visible" r:id="rId15"/>
    <sheet name="Paper_counts" sheetId="16" state="visible" r:id="rId16"/>
    <sheet name="Protocol_plan_table" sheetId="17" state="visible" r:id="rId17"/>
    <sheet name="Candidates" sheetId="18" state="visible" r:id="rId18"/>
    <sheet name="Evidence" sheetId="19" state="visible" r:id="rId19"/>
    <sheet name="Links" sheetId="20" state="visible" r:id="rId20"/>
    <sheet name="Relations" sheetId="21" state="visible" r:id="rId21"/>
    <sheet name="Codebook" sheetId="22" state="visible" r:id="rId22"/>
    <sheet name="Rule_defaults" sheetId="23" state="visible" r:id="rId23"/>
    <sheet name="Manifest" sheetId="24" state="visible" r:id="rId24"/>
  </sheets>
  <definedNames>
    <definedName name="_xlnm._FilterDatabase" localSheetId="4" hidden="1">'C_jama.2024.0318'!$A$1:$R$7</definedName>
    <definedName name="_xlnm._FilterDatabase" localSheetId="5" hidden="1">'C_jama.2024.0572'!$A$1:$R$3</definedName>
    <definedName name="_xlnm._FilterDatabase" localSheetId="6" hidden="1">'C_jama.2024.11057'!$A$1:$R$4</definedName>
    <definedName name="_xlnm._FilterDatabase" localSheetId="7" hidden="1">'C_jama.2024.12829'!$A$1:$R$18</definedName>
    <definedName name="_xlnm._FilterDatabase" localSheetId="8" hidden="1">'C_jama.2024.19585'!$A$1:$R$4</definedName>
    <definedName name="_xlnm._FilterDatabase" localSheetId="9" hidden="1">'C_jama.2024.2302'!$A$1:$R$6</definedName>
    <definedName name="_xlnm._FilterDatabase" localSheetId="10" hidden="1">'C_jama.2024.23898'!$A$1:$R$8</definedName>
    <definedName name="_xlnm._FilterDatabase" localSheetId="11" hidden="1">'C_jama.2024.25786'!$A$1:$R$9</definedName>
    <definedName name="_xlnm._FilterDatabase" localSheetId="12" hidden="1">'C_jama.2024.4183'!$A$1:$R$25</definedName>
    <definedName name="_xlnm._FilterDatabase" localSheetId="13" hidden="1">'C_jama.2024.6063'!$A$1:$R$17</definedName>
    <definedName name="_xlnm._FilterDatabase" localSheetId="14" hidden="1">'Decisions'!$A$1:$R$92</definedName>
    <definedName name="_xlnm._FilterDatabase" localSheetId="17" hidden="1">'Candidates'!$A$1:$AB$92</definedName>
    <definedName name="_xlnm._FilterDatabase" localSheetId="18" hidden="1">'Evidence'!$A$1:$D$365</definedName>
    <definedName name="_xlnm._FilterDatabase" localSheetId="19" hidden="1">'Links'!$A$1:$E$358</definedName>
    <definedName name="_xlnm._FilterDatabase" localSheetId="20" hidden="1">'Relations'!$A$1:$D$108</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0">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styles" Target="styles.xml" Id="rId25" /><Relationship Type="http://schemas.openxmlformats.org/officeDocument/2006/relationships/theme" Target="theme/theme1.xml" Id="rId26" /></Relationships>
</file>

<file path=xl/comments/comment1.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2.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3.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4.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5.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6.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7.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8.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9.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comments/comment10.xml><?xml version="1.0" encoding="utf-8"?>
<comments xmlns="http://schemas.openxmlformats.org/spreadsheetml/2006/main">
  <authors>
    <author>Construction</author>
  </authors>
  <commentList>
    <comment ref="E1" authorId="0" shapeId="0">
      <text>
        <t>AI-suggested starting domain; confirm or edit after reviewing the evidence.</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C_jama.2024.0318'!A1" TargetMode="External" Id="rId1" /><Relationship Type="http://schemas.openxmlformats.org/officeDocument/2006/relationships/hyperlink" Target="#'C_jama.2024.0572'!A1" TargetMode="External" Id="rId2" /><Relationship Type="http://schemas.openxmlformats.org/officeDocument/2006/relationships/hyperlink" Target="#'C_jama.2024.11057'!A1" TargetMode="External" Id="rId3" /><Relationship Type="http://schemas.openxmlformats.org/officeDocument/2006/relationships/hyperlink" Target="#'C_jama.2024.12829'!A1" TargetMode="External" Id="rId4" /><Relationship Type="http://schemas.openxmlformats.org/officeDocument/2006/relationships/hyperlink" Target="#'C_jama.2024.19585'!A1" TargetMode="External" Id="rId5" /><Relationship Type="http://schemas.openxmlformats.org/officeDocument/2006/relationships/hyperlink" Target="#'C_jama.2024.2302'!A1" TargetMode="External" Id="rId6" /><Relationship Type="http://schemas.openxmlformats.org/officeDocument/2006/relationships/hyperlink" Target="#'C_jama.2024.23898'!A1" TargetMode="External" Id="rId7" /><Relationship Type="http://schemas.openxmlformats.org/officeDocument/2006/relationships/hyperlink" Target="#'C_jama.2024.25786'!A1" TargetMode="External" Id="rId8" /><Relationship Type="http://schemas.openxmlformats.org/officeDocument/2006/relationships/hyperlink" Target="#'C_jama.2024.4183'!A1" TargetMode="External" Id="rId9" /><Relationship Type="http://schemas.openxmlformats.org/officeDocument/2006/relationships/hyperlink" Target="#'C_jama.2024.6063'!A1" TargetMode="External" Id="rId10" /></Relationships>
</file>

<file path=xl/worksheets/_rels/sheet5.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Evidence'!A6" TargetMode="External" Id="rId2" /><Relationship Type="http://schemas.openxmlformats.org/officeDocument/2006/relationships/hyperlink" Target="#'Evidence'!A10" TargetMode="External" Id="rId3" /><Relationship Type="http://schemas.openxmlformats.org/officeDocument/2006/relationships/hyperlink" Target="#'Evidence'!A14" TargetMode="External" Id="rId4" /><Relationship Type="http://schemas.openxmlformats.org/officeDocument/2006/relationships/hyperlink" Target="#'Evidence'!A18" TargetMode="External" Id="rId5" /><Relationship Type="http://schemas.openxmlformats.org/officeDocument/2006/relationships/hyperlink" Target="#'Evidence'!A22" TargetMode="External" Id="rId6"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hyperlink" Target="#'Evidence'!A26" TargetMode="External" Id="rId1" /><Relationship Type="http://schemas.openxmlformats.org/officeDocument/2006/relationships/hyperlink" Target="#'Evidence'!A30" TargetMode="External" Id="rId2"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hyperlink" Target="#'Evidence'!A34" TargetMode="External" Id="rId1" /><Relationship Type="http://schemas.openxmlformats.org/officeDocument/2006/relationships/hyperlink" Target="#'Evidence'!A38" TargetMode="External" Id="rId2" /><Relationship Type="http://schemas.openxmlformats.org/officeDocument/2006/relationships/hyperlink" Target="#'Evidence'!A42" TargetMode="External" Id="rId3"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8.xml.rels><Relationships xmlns="http://schemas.openxmlformats.org/package/2006/relationships"><Relationship Type="http://schemas.openxmlformats.org/officeDocument/2006/relationships/hyperlink" Target="#'Evidence'!A46" TargetMode="External" Id="rId1" /><Relationship Type="http://schemas.openxmlformats.org/officeDocument/2006/relationships/hyperlink" Target="#'Evidence'!A50" TargetMode="External" Id="rId2" /><Relationship Type="http://schemas.openxmlformats.org/officeDocument/2006/relationships/hyperlink" Target="#'Evidence'!A54" TargetMode="External" Id="rId3" /><Relationship Type="http://schemas.openxmlformats.org/officeDocument/2006/relationships/hyperlink" Target="#'Evidence'!A58" TargetMode="External" Id="rId4" /><Relationship Type="http://schemas.openxmlformats.org/officeDocument/2006/relationships/hyperlink" Target="#'Evidence'!A62" TargetMode="External" Id="rId5" /><Relationship Type="http://schemas.openxmlformats.org/officeDocument/2006/relationships/hyperlink" Target="#'Evidence'!A66" TargetMode="External" Id="rId6" /><Relationship Type="http://schemas.openxmlformats.org/officeDocument/2006/relationships/hyperlink" Target="#'Evidence'!A70" TargetMode="External" Id="rId7" /><Relationship Type="http://schemas.openxmlformats.org/officeDocument/2006/relationships/hyperlink" Target="#'Evidence'!A74" TargetMode="External" Id="rId8" /><Relationship Type="http://schemas.openxmlformats.org/officeDocument/2006/relationships/hyperlink" Target="#'Evidence'!A78" TargetMode="External" Id="rId9" /><Relationship Type="http://schemas.openxmlformats.org/officeDocument/2006/relationships/hyperlink" Target="#'Evidence'!A82" TargetMode="External" Id="rId10" /><Relationship Type="http://schemas.openxmlformats.org/officeDocument/2006/relationships/hyperlink" Target="#'Evidence'!A86" TargetMode="External" Id="rId11" /><Relationship Type="http://schemas.openxmlformats.org/officeDocument/2006/relationships/hyperlink" Target="#'Evidence'!A90" TargetMode="External" Id="rId12" /><Relationship Type="http://schemas.openxmlformats.org/officeDocument/2006/relationships/hyperlink" Target="#'Evidence'!A94" TargetMode="External" Id="rId13" /><Relationship Type="http://schemas.openxmlformats.org/officeDocument/2006/relationships/hyperlink" Target="#'Evidence'!A98" TargetMode="External" Id="rId14" /><Relationship Type="http://schemas.openxmlformats.org/officeDocument/2006/relationships/hyperlink" Target="#'Evidence'!A102" TargetMode="External" Id="rId15" /><Relationship Type="http://schemas.openxmlformats.org/officeDocument/2006/relationships/hyperlink" Target="#'Evidence'!A106" TargetMode="External" Id="rId16" /><Relationship Type="http://schemas.openxmlformats.org/officeDocument/2006/relationships/hyperlink" Target="#'Evidence'!A110" TargetMode="External" Id="rId17" /><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9.xml.rels><Relationships xmlns="http://schemas.openxmlformats.org/package/2006/relationships"><Relationship Type="http://schemas.openxmlformats.org/officeDocument/2006/relationships/hyperlink" Target="#'Evidence'!A114" TargetMode="External" Id="rId1" /><Relationship Type="http://schemas.openxmlformats.org/officeDocument/2006/relationships/hyperlink" Target="#'Evidence'!A118" TargetMode="External" Id="rId2" /><Relationship Type="http://schemas.openxmlformats.org/officeDocument/2006/relationships/hyperlink" Target="#'Evidence'!A122" TargetMode="External" Id="rId3" /><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0.xml.rels><Relationships xmlns="http://schemas.openxmlformats.org/package/2006/relationships"><Relationship Type="http://schemas.openxmlformats.org/officeDocument/2006/relationships/hyperlink" Target="#'Evidence'!A126" TargetMode="External" Id="rId1" /><Relationship Type="http://schemas.openxmlformats.org/officeDocument/2006/relationships/hyperlink" Target="#'Evidence'!A130" TargetMode="External" Id="rId2" /><Relationship Type="http://schemas.openxmlformats.org/officeDocument/2006/relationships/hyperlink" Target="#'Evidence'!A134" TargetMode="External" Id="rId3" /><Relationship Type="http://schemas.openxmlformats.org/officeDocument/2006/relationships/hyperlink" Target="#'Evidence'!A138" TargetMode="External" Id="rId4" /><Relationship Type="http://schemas.openxmlformats.org/officeDocument/2006/relationships/hyperlink" Target="#'Evidence'!A142" TargetMode="External" Id="rId5" /><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1.xml.rels><Relationships xmlns="http://schemas.openxmlformats.org/package/2006/relationships"><Relationship Type="http://schemas.openxmlformats.org/officeDocument/2006/relationships/hyperlink" Target="#'Evidence'!A146" TargetMode="External" Id="rId1" /><Relationship Type="http://schemas.openxmlformats.org/officeDocument/2006/relationships/hyperlink" Target="#'Evidence'!A150" TargetMode="External" Id="rId2" /><Relationship Type="http://schemas.openxmlformats.org/officeDocument/2006/relationships/hyperlink" Target="#'Evidence'!A154" TargetMode="External" Id="rId3" /><Relationship Type="http://schemas.openxmlformats.org/officeDocument/2006/relationships/hyperlink" Target="#'Evidence'!A158" TargetMode="External" Id="rId4" /><Relationship Type="http://schemas.openxmlformats.org/officeDocument/2006/relationships/hyperlink" Target="#'Evidence'!A162" TargetMode="External" Id="rId5" /><Relationship Type="http://schemas.openxmlformats.org/officeDocument/2006/relationships/hyperlink" Target="#'Evidence'!A166" TargetMode="External" Id="rId6" /><Relationship Type="http://schemas.openxmlformats.org/officeDocument/2006/relationships/hyperlink" Target="#'Evidence'!A170" TargetMode="External" Id="rId7" /><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2.xml.rels><Relationships xmlns="http://schemas.openxmlformats.org/package/2006/relationships"><Relationship Type="http://schemas.openxmlformats.org/officeDocument/2006/relationships/hyperlink" Target="#'Evidence'!A174" TargetMode="External" Id="rId1" /><Relationship Type="http://schemas.openxmlformats.org/officeDocument/2006/relationships/hyperlink" Target="#'Evidence'!A178" TargetMode="External" Id="rId2" /><Relationship Type="http://schemas.openxmlformats.org/officeDocument/2006/relationships/hyperlink" Target="#'Evidence'!A182" TargetMode="External" Id="rId3" /><Relationship Type="http://schemas.openxmlformats.org/officeDocument/2006/relationships/hyperlink" Target="#'Evidence'!A186" TargetMode="External" Id="rId4" /><Relationship Type="http://schemas.openxmlformats.org/officeDocument/2006/relationships/hyperlink" Target="#'Evidence'!A190" TargetMode="External" Id="rId5" /><Relationship Type="http://schemas.openxmlformats.org/officeDocument/2006/relationships/hyperlink" Target="#'Evidence'!A194" TargetMode="External" Id="rId6" /><Relationship Type="http://schemas.openxmlformats.org/officeDocument/2006/relationships/hyperlink" Target="#'Evidence'!A198" TargetMode="External" Id="rId7" /><Relationship Type="http://schemas.openxmlformats.org/officeDocument/2006/relationships/hyperlink" Target="#'Evidence'!A202" TargetMode="External" Id="rId8" /><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3.xml.rels><Relationships xmlns="http://schemas.openxmlformats.org/package/2006/relationships"><Relationship Type="http://schemas.openxmlformats.org/officeDocument/2006/relationships/hyperlink" Target="#'Evidence'!A206" TargetMode="External" Id="rId1" /><Relationship Type="http://schemas.openxmlformats.org/officeDocument/2006/relationships/hyperlink" Target="#'Evidence'!A210" TargetMode="External" Id="rId2" /><Relationship Type="http://schemas.openxmlformats.org/officeDocument/2006/relationships/hyperlink" Target="#'Evidence'!A214" TargetMode="External" Id="rId3" /><Relationship Type="http://schemas.openxmlformats.org/officeDocument/2006/relationships/hyperlink" Target="#'Evidence'!A218" TargetMode="External" Id="rId4" /><Relationship Type="http://schemas.openxmlformats.org/officeDocument/2006/relationships/hyperlink" Target="#'Evidence'!A222" TargetMode="External" Id="rId5" /><Relationship Type="http://schemas.openxmlformats.org/officeDocument/2006/relationships/hyperlink" Target="#'Evidence'!A226" TargetMode="External" Id="rId6" /><Relationship Type="http://schemas.openxmlformats.org/officeDocument/2006/relationships/hyperlink" Target="#'Evidence'!A230" TargetMode="External" Id="rId7" /><Relationship Type="http://schemas.openxmlformats.org/officeDocument/2006/relationships/hyperlink" Target="#'Evidence'!A234" TargetMode="External" Id="rId8" /><Relationship Type="http://schemas.openxmlformats.org/officeDocument/2006/relationships/hyperlink" Target="#'Evidence'!A238" TargetMode="External" Id="rId9" /><Relationship Type="http://schemas.openxmlformats.org/officeDocument/2006/relationships/hyperlink" Target="#'Evidence'!A242" TargetMode="External" Id="rId10" /><Relationship Type="http://schemas.openxmlformats.org/officeDocument/2006/relationships/hyperlink" Target="#'Evidence'!A246" TargetMode="External" Id="rId11" /><Relationship Type="http://schemas.openxmlformats.org/officeDocument/2006/relationships/hyperlink" Target="#'Evidence'!A250" TargetMode="External" Id="rId12" /><Relationship Type="http://schemas.openxmlformats.org/officeDocument/2006/relationships/hyperlink" Target="#'Evidence'!A254" TargetMode="External" Id="rId13" /><Relationship Type="http://schemas.openxmlformats.org/officeDocument/2006/relationships/hyperlink" Target="#'Evidence'!A258" TargetMode="External" Id="rId14" /><Relationship Type="http://schemas.openxmlformats.org/officeDocument/2006/relationships/hyperlink" Target="#'Evidence'!A262" TargetMode="External" Id="rId15" /><Relationship Type="http://schemas.openxmlformats.org/officeDocument/2006/relationships/hyperlink" Target="#'Evidence'!A266" TargetMode="External" Id="rId16" /><Relationship Type="http://schemas.openxmlformats.org/officeDocument/2006/relationships/hyperlink" Target="#'Evidence'!A270" TargetMode="External" Id="rId17" /><Relationship Type="http://schemas.openxmlformats.org/officeDocument/2006/relationships/hyperlink" Target="#'Evidence'!A274" TargetMode="External" Id="rId18" /><Relationship Type="http://schemas.openxmlformats.org/officeDocument/2006/relationships/hyperlink" Target="#'Evidence'!A278" TargetMode="External" Id="rId19" /><Relationship Type="http://schemas.openxmlformats.org/officeDocument/2006/relationships/hyperlink" Target="#'Evidence'!A282" TargetMode="External" Id="rId20" /><Relationship Type="http://schemas.openxmlformats.org/officeDocument/2006/relationships/hyperlink" Target="#'Evidence'!A286" TargetMode="External" Id="rId21" /><Relationship Type="http://schemas.openxmlformats.org/officeDocument/2006/relationships/hyperlink" Target="#'Evidence'!A290" TargetMode="External" Id="rId22" /><Relationship Type="http://schemas.openxmlformats.org/officeDocument/2006/relationships/hyperlink" Target="#'Evidence'!A294" TargetMode="External" Id="rId23" /><Relationship Type="http://schemas.openxmlformats.org/officeDocument/2006/relationships/hyperlink" Target="#'Evidence'!A298" TargetMode="External" Id="rId24" /><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4.xml.rels><Relationships xmlns="http://schemas.openxmlformats.org/package/2006/relationships"><Relationship Type="http://schemas.openxmlformats.org/officeDocument/2006/relationships/hyperlink" Target="#'Evidence'!A302" TargetMode="External" Id="rId1" /><Relationship Type="http://schemas.openxmlformats.org/officeDocument/2006/relationships/hyperlink" Target="#'Evidence'!A306" TargetMode="External" Id="rId2" /><Relationship Type="http://schemas.openxmlformats.org/officeDocument/2006/relationships/hyperlink" Target="#'Evidence'!A310" TargetMode="External" Id="rId3" /><Relationship Type="http://schemas.openxmlformats.org/officeDocument/2006/relationships/hyperlink" Target="#'Evidence'!A314" TargetMode="External" Id="rId4" /><Relationship Type="http://schemas.openxmlformats.org/officeDocument/2006/relationships/hyperlink" Target="#'Evidence'!A318" TargetMode="External" Id="rId5" /><Relationship Type="http://schemas.openxmlformats.org/officeDocument/2006/relationships/hyperlink" Target="#'Evidence'!A322" TargetMode="External" Id="rId6" /><Relationship Type="http://schemas.openxmlformats.org/officeDocument/2006/relationships/hyperlink" Target="#'Evidence'!A326" TargetMode="External" Id="rId7" /><Relationship Type="http://schemas.openxmlformats.org/officeDocument/2006/relationships/hyperlink" Target="#'Evidence'!A330" TargetMode="External" Id="rId8" /><Relationship Type="http://schemas.openxmlformats.org/officeDocument/2006/relationships/hyperlink" Target="#'Evidence'!A334" TargetMode="External" Id="rId9" /><Relationship Type="http://schemas.openxmlformats.org/officeDocument/2006/relationships/hyperlink" Target="#'Evidence'!A338" TargetMode="External" Id="rId10" /><Relationship Type="http://schemas.openxmlformats.org/officeDocument/2006/relationships/hyperlink" Target="#'Evidence'!A342" TargetMode="External" Id="rId11" /><Relationship Type="http://schemas.openxmlformats.org/officeDocument/2006/relationships/hyperlink" Target="#'Evidence'!A346" TargetMode="External" Id="rId12" /><Relationship Type="http://schemas.openxmlformats.org/officeDocument/2006/relationships/hyperlink" Target="#'Evidence'!A350" TargetMode="External" Id="rId13" /><Relationship Type="http://schemas.openxmlformats.org/officeDocument/2006/relationships/hyperlink" Target="#'Evidence'!A354" TargetMode="External" Id="rId14" /><Relationship Type="http://schemas.openxmlformats.org/officeDocument/2006/relationships/hyperlink" Target="#'Evidence'!A358" TargetMode="External" Id="rId15" /><Relationship Type="http://schemas.openxmlformats.org/officeDocument/2006/relationships/hyperlink" Target="#'Evidence'!A362" TargetMode="External" Id="rId16" /><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hyperlink" Target="#'Evidence'!A2" TargetMode="External" Id="rId1" /><Relationship Type="http://schemas.openxmlformats.org/officeDocument/2006/relationships/hyperlink" Target="../../../../2024/jama.2024.0318/.ai_paper_validation/final_report_1_5_3.html" TargetMode="External" Id="rId2" /><Relationship Type="http://schemas.openxmlformats.org/officeDocument/2006/relationships/hyperlink" Target="#'Evidence'!A6" TargetMode="External" Id="rId3" /><Relationship Type="http://schemas.openxmlformats.org/officeDocument/2006/relationships/hyperlink" Target="../../../../2024/jama.2024.0318/.ai_paper_validation/final_report_1_5_3.html" TargetMode="External" Id="rId4" /><Relationship Type="http://schemas.openxmlformats.org/officeDocument/2006/relationships/hyperlink" Target="#'Evidence'!A10" TargetMode="External" Id="rId5" /><Relationship Type="http://schemas.openxmlformats.org/officeDocument/2006/relationships/hyperlink" Target="../../../../2024/jama.2024.0318/.ai_paper_validation/final_report_1_5_3.html" TargetMode="External" Id="rId6" /><Relationship Type="http://schemas.openxmlformats.org/officeDocument/2006/relationships/hyperlink" Target="#'Evidence'!A14" TargetMode="External" Id="rId7" /><Relationship Type="http://schemas.openxmlformats.org/officeDocument/2006/relationships/hyperlink" Target="../../../../2024/jama.2024.0318/.ai_paper_validation/final_report_1_5_3.html" TargetMode="External" Id="rId8" /><Relationship Type="http://schemas.openxmlformats.org/officeDocument/2006/relationships/hyperlink" Target="#'Evidence'!A18" TargetMode="External" Id="rId9" /><Relationship Type="http://schemas.openxmlformats.org/officeDocument/2006/relationships/hyperlink" Target="../../../../2024/jama.2024.0318/.ai_paper_validation/final_report_1_5_3.html" TargetMode="External" Id="rId10" /><Relationship Type="http://schemas.openxmlformats.org/officeDocument/2006/relationships/hyperlink" Target="#'Evidence'!A22" TargetMode="External" Id="rId11" /><Relationship Type="http://schemas.openxmlformats.org/officeDocument/2006/relationships/hyperlink" Target="../../../../2024/jama.2024.0318/.ai_paper_validation/final_report_1_5_3.html" TargetMode="External" Id="rId12" /><Relationship Type="http://schemas.openxmlformats.org/officeDocument/2006/relationships/hyperlink" Target="#'Evidence'!A26" TargetMode="External" Id="rId13" /><Relationship Type="http://schemas.openxmlformats.org/officeDocument/2006/relationships/hyperlink" Target="../../../../2024/jama.2024.0572/.ai_paper_validation/final_report_1_5_3.html" TargetMode="External" Id="rId14" /><Relationship Type="http://schemas.openxmlformats.org/officeDocument/2006/relationships/hyperlink" Target="#'Evidence'!A30" TargetMode="External" Id="rId15" /><Relationship Type="http://schemas.openxmlformats.org/officeDocument/2006/relationships/hyperlink" Target="../../../../2024/jama.2024.0572/.ai_paper_validation/final_report_1_5_3.html" TargetMode="External" Id="rId16" /><Relationship Type="http://schemas.openxmlformats.org/officeDocument/2006/relationships/hyperlink" Target="#'Evidence'!A34" TargetMode="External" Id="rId17" /><Relationship Type="http://schemas.openxmlformats.org/officeDocument/2006/relationships/hyperlink" Target="../../../../2024/jama.2024.11057/.ai_paper_validation/final_report_1_5_3.html" TargetMode="External" Id="rId18" /><Relationship Type="http://schemas.openxmlformats.org/officeDocument/2006/relationships/hyperlink" Target="#'Evidence'!A38" TargetMode="External" Id="rId19" /><Relationship Type="http://schemas.openxmlformats.org/officeDocument/2006/relationships/hyperlink" Target="../../../../2024/jama.2024.11057/.ai_paper_validation/final_report_1_5_3.html" TargetMode="External" Id="rId20" /><Relationship Type="http://schemas.openxmlformats.org/officeDocument/2006/relationships/hyperlink" Target="#'Evidence'!A42" TargetMode="External" Id="rId21" /><Relationship Type="http://schemas.openxmlformats.org/officeDocument/2006/relationships/hyperlink" Target="../../../../2024/jama.2024.11057/.ai_paper_validation/final_report_1_5_3.html" TargetMode="External" Id="rId22" /><Relationship Type="http://schemas.openxmlformats.org/officeDocument/2006/relationships/hyperlink" Target="#'Evidence'!A46" TargetMode="External" Id="rId23" /><Relationship Type="http://schemas.openxmlformats.org/officeDocument/2006/relationships/hyperlink" Target="../../../../2024/jama.2024.12829/.ai_paper_validation/final_report_1_5_3.html" TargetMode="External" Id="rId24" /><Relationship Type="http://schemas.openxmlformats.org/officeDocument/2006/relationships/hyperlink" Target="#'Evidence'!A50" TargetMode="External" Id="rId25" /><Relationship Type="http://schemas.openxmlformats.org/officeDocument/2006/relationships/hyperlink" Target="../../../../2024/jama.2024.12829/.ai_paper_validation/final_report_1_5_3.html" TargetMode="External" Id="rId26" /><Relationship Type="http://schemas.openxmlformats.org/officeDocument/2006/relationships/hyperlink" Target="#'Evidence'!A54" TargetMode="External" Id="rId27" /><Relationship Type="http://schemas.openxmlformats.org/officeDocument/2006/relationships/hyperlink" Target="../../../../2024/jama.2024.12829/.ai_paper_validation/final_report_1_5_3.html" TargetMode="External" Id="rId28" /><Relationship Type="http://schemas.openxmlformats.org/officeDocument/2006/relationships/hyperlink" Target="#'Evidence'!A58" TargetMode="External" Id="rId29" /><Relationship Type="http://schemas.openxmlformats.org/officeDocument/2006/relationships/hyperlink" Target="../../../../2024/jama.2024.12829/.ai_paper_validation/final_report_1_5_3.html" TargetMode="External" Id="rId30" /><Relationship Type="http://schemas.openxmlformats.org/officeDocument/2006/relationships/hyperlink" Target="#'Evidence'!A62" TargetMode="External" Id="rId31" /><Relationship Type="http://schemas.openxmlformats.org/officeDocument/2006/relationships/hyperlink" Target="../../../../2024/jama.2024.12829/.ai_paper_validation/final_report_1_5_3.html" TargetMode="External" Id="rId32" /><Relationship Type="http://schemas.openxmlformats.org/officeDocument/2006/relationships/hyperlink" Target="#'Evidence'!A66" TargetMode="External" Id="rId33" /><Relationship Type="http://schemas.openxmlformats.org/officeDocument/2006/relationships/hyperlink" Target="../../../../2024/jama.2024.12829/.ai_paper_validation/final_report_1_5_3.html" TargetMode="External" Id="rId34" /><Relationship Type="http://schemas.openxmlformats.org/officeDocument/2006/relationships/hyperlink" Target="#'Evidence'!A70" TargetMode="External" Id="rId35" /><Relationship Type="http://schemas.openxmlformats.org/officeDocument/2006/relationships/hyperlink" Target="../../../../2024/jama.2024.12829/.ai_paper_validation/final_report_1_5_3.html" TargetMode="External" Id="rId36" /><Relationship Type="http://schemas.openxmlformats.org/officeDocument/2006/relationships/hyperlink" Target="#'Evidence'!A74" TargetMode="External" Id="rId37" /><Relationship Type="http://schemas.openxmlformats.org/officeDocument/2006/relationships/hyperlink" Target="../../../../2024/jama.2024.12829/.ai_paper_validation/final_report_1_5_3.html" TargetMode="External" Id="rId38" /><Relationship Type="http://schemas.openxmlformats.org/officeDocument/2006/relationships/hyperlink" Target="#'Evidence'!A78" TargetMode="External" Id="rId39" /><Relationship Type="http://schemas.openxmlformats.org/officeDocument/2006/relationships/hyperlink" Target="../../../../2024/jama.2024.12829/.ai_paper_validation/final_report_1_5_3.html" TargetMode="External" Id="rId40" /><Relationship Type="http://schemas.openxmlformats.org/officeDocument/2006/relationships/hyperlink" Target="#'Evidence'!A82" TargetMode="External" Id="rId41" /><Relationship Type="http://schemas.openxmlformats.org/officeDocument/2006/relationships/hyperlink" Target="../../../../2024/jama.2024.12829/.ai_paper_validation/final_report_1_5_3.html" TargetMode="External" Id="rId42" /><Relationship Type="http://schemas.openxmlformats.org/officeDocument/2006/relationships/hyperlink" Target="#'Evidence'!A86" TargetMode="External" Id="rId43" /><Relationship Type="http://schemas.openxmlformats.org/officeDocument/2006/relationships/hyperlink" Target="../../../../2024/jama.2024.12829/.ai_paper_validation/final_report_1_5_3.html" TargetMode="External" Id="rId44" /><Relationship Type="http://schemas.openxmlformats.org/officeDocument/2006/relationships/hyperlink" Target="#'Evidence'!A90" TargetMode="External" Id="rId45" /><Relationship Type="http://schemas.openxmlformats.org/officeDocument/2006/relationships/hyperlink" Target="../../../../2024/jama.2024.12829/.ai_paper_validation/final_report_1_5_3.html" TargetMode="External" Id="rId46" /><Relationship Type="http://schemas.openxmlformats.org/officeDocument/2006/relationships/hyperlink" Target="#'Evidence'!A94" TargetMode="External" Id="rId47" /><Relationship Type="http://schemas.openxmlformats.org/officeDocument/2006/relationships/hyperlink" Target="../../../../2024/jama.2024.12829/.ai_paper_validation/final_report_1_5_3.html" TargetMode="External" Id="rId48" /><Relationship Type="http://schemas.openxmlformats.org/officeDocument/2006/relationships/hyperlink" Target="#'Evidence'!A98" TargetMode="External" Id="rId49" /><Relationship Type="http://schemas.openxmlformats.org/officeDocument/2006/relationships/hyperlink" Target="../../../../2024/jama.2024.12829/.ai_paper_validation/final_report_1_5_3.html" TargetMode="External" Id="rId50" /><Relationship Type="http://schemas.openxmlformats.org/officeDocument/2006/relationships/hyperlink" Target="#'Evidence'!A102" TargetMode="External" Id="rId51" /><Relationship Type="http://schemas.openxmlformats.org/officeDocument/2006/relationships/hyperlink" Target="../../../../2024/jama.2024.12829/.ai_paper_validation/final_report_1_5_3.html" TargetMode="External" Id="rId52" /><Relationship Type="http://schemas.openxmlformats.org/officeDocument/2006/relationships/hyperlink" Target="#'Evidence'!A106" TargetMode="External" Id="rId53" /><Relationship Type="http://schemas.openxmlformats.org/officeDocument/2006/relationships/hyperlink" Target="../../../../2024/jama.2024.12829/.ai_paper_validation/final_report_1_5_3.html" TargetMode="External" Id="rId54" /><Relationship Type="http://schemas.openxmlformats.org/officeDocument/2006/relationships/hyperlink" Target="#'Evidence'!A110" TargetMode="External" Id="rId55" /><Relationship Type="http://schemas.openxmlformats.org/officeDocument/2006/relationships/hyperlink" Target="../../../../2024/jama.2024.12829/.ai_paper_validation/final_report_1_5_3.html" TargetMode="External" Id="rId56" /><Relationship Type="http://schemas.openxmlformats.org/officeDocument/2006/relationships/hyperlink" Target="#'Evidence'!A114" TargetMode="External" Id="rId57" /><Relationship Type="http://schemas.openxmlformats.org/officeDocument/2006/relationships/hyperlink" Target="../../../../2024/jama.2024.19585/.ai_paper_validation/final_report_1_5_3.html" TargetMode="External" Id="rId58" /><Relationship Type="http://schemas.openxmlformats.org/officeDocument/2006/relationships/hyperlink" Target="#'Evidence'!A118" TargetMode="External" Id="rId59" /><Relationship Type="http://schemas.openxmlformats.org/officeDocument/2006/relationships/hyperlink" Target="../../../../2024/jama.2024.19585/.ai_paper_validation/final_report_1_5_3.html" TargetMode="External" Id="rId60" /><Relationship Type="http://schemas.openxmlformats.org/officeDocument/2006/relationships/hyperlink" Target="#'Evidence'!A122" TargetMode="External" Id="rId61" /><Relationship Type="http://schemas.openxmlformats.org/officeDocument/2006/relationships/hyperlink" Target="../../../../2024/jama.2024.19585/.ai_paper_validation/final_report_1_5_3.html" TargetMode="External" Id="rId62" /><Relationship Type="http://schemas.openxmlformats.org/officeDocument/2006/relationships/hyperlink" Target="#'Evidence'!A126" TargetMode="External" Id="rId63" /><Relationship Type="http://schemas.openxmlformats.org/officeDocument/2006/relationships/hyperlink" Target="../../../../2024/jama.2024.2302/.ai_paper_validation/final_report_1_5_3.html" TargetMode="External" Id="rId64" /><Relationship Type="http://schemas.openxmlformats.org/officeDocument/2006/relationships/hyperlink" Target="#'Evidence'!A130" TargetMode="External" Id="rId65" /><Relationship Type="http://schemas.openxmlformats.org/officeDocument/2006/relationships/hyperlink" Target="../../../../2024/jama.2024.2302/.ai_paper_validation/final_report_1_5_3.html" TargetMode="External" Id="rId66" /><Relationship Type="http://schemas.openxmlformats.org/officeDocument/2006/relationships/hyperlink" Target="#'Evidence'!A134" TargetMode="External" Id="rId67" /><Relationship Type="http://schemas.openxmlformats.org/officeDocument/2006/relationships/hyperlink" Target="../../../../2024/jama.2024.2302/.ai_paper_validation/final_report_1_5_3.html" TargetMode="External" Id="rId68" /><Relationship Type="http://schemas.openxmlformats.org/officeDocument/2006/relationships/hyperlink" Target="#'Evidence'!A138" TargetMode="External" Id="rId69" /><Relationship Type="http://schemas.openxmlformats.org/officeDocument/2006/relationships/hyperlink" Target="../../../../2024/jama.2024.2302/.ai_paper_validation/final_report_1_5_3.html" TargetMode="External" Id="rId70" /><Relationship Type="http://schemas.openxmlformats.org/officeDocument/2006/relationships/hyperlink" Target="#'Evidence'!A142" TargetMode="External" Id="rId71" /><Relationship Type="http://schemas.openxmlformats.org/officeDocument/2006/relationships/hyperlink" Target="../../../../2024/jama.2024.2302/.ai_paper_validation/final_report_1_5_3.html" TargetMode="External" Id="rId72" /><Relationship Type="http://schemas.openxmlformats.org/officeDocument/2006/relationships/hyperlink" Target="#'Evidence'!A146" TargetMode="External" Id="rId73" /><Relationship Type="http://schemas.openxmlformats.org/officeDocument/2006/relationships/hyperlink" Target="../../../../2024/jama.2024.23898/.ai_paper_validation/final_report_1_5_3.html" TargetMode="External" Id="rId74" /><Relationship Type="http://schemas.openxmlformats.org/officeDocument/2006/relationships/hyperlink" Target="#'Evidence'!A150" TargetMode="External" Id="rId75" /><Relationship Type="http://schemas.openxmlformats.org/officeDocument/2006/relationships/hyperlink" Target="../../../../2024/jama.2024.23898/.ai_paper_validation/final_report_1_5_3.html" TargetMode="External" Id="rId76" /><Relationship Type="http://schemas.openxmlformats.org/officeDocument/2006/relationships/hyperlink" Target="#'Evidence'!A154" TargetMode="External" Id="rId77" /><Relationship Type="http://schemas.openxmlformats.org/officeDocument/2006/relationships/hyperlink" Target="../../../../2024/jama.2024.23898/.ai_paper_validation/final_report_1_5_3.html" TargetMode="External" Id="rId78" /><Relationship Type="http://schemas.openxmlformats.org/officeDocument/2006/relationships/hyperlink" Target="#'Evidence'!A158" TargetMode="External" Id="rId79" /><Relationship Type="http://schemas.openxmlformats.org/officeDocument/2006/relationships/hyperlink" Target="../../../../2024/jama.2024.23898/.ai_paper_validation/final_report_1_5_3.html" TargetMode="External" Id="rId80" /><Relationship Type="http://schemas.openxmlformats.org/officeDocument/2006/relationships/hyperlink" Target="#'Evidence'!A162" TargetMode="External" Id="rId81" /><Relationship Type="http://schemas.openxmlformats.org/officeDocument/2006/relationships/hyperlink" Target="../../../../2024/jama.2024.23898/.ai_paper_validation/final_report_1_5_3.html" TargetMode="External" Id="rId82" /><Relationship Type="http://schemas.openxmlformats.org/officeDocument/2006/relationships/hyperlink" Target="#'Evidence'!A166" TargetMode="External" Id="rId83" /><Relationship Type="http://schemas.openxmlformats.org/officeDocument/2006/relationships/hyperlink" Target="../../../../2024/jama.2024.23898/.ai_paper_validation/final_report_1_5_3.html" TargetMode="External" Id="rId84" /><Relationship Type="http://schemas.openxmlformats.org/officeDocument/2006/relationships/hyperlink" Target="#'Evidence'!A170" TargetMode="External" Id="rId85" /><Relationship Type="http://schemas.openxmlformats.org/officeDocument/2006/relationships/hyperlink" Target="../../../../2024/jama.2024.23898/.ai_paper_validation/final_report_1_5_3.html" TargetMode="External" Id="rId86" /><Relationship Type="http://schemas.openxmlformats.org/officeDocument/2006/relationships/hyperlink" Target="#'Evidence'!A174" TargetMode="External" Id="rId87" /><Relationship Type="http://schemas.openxmlformats.org/officeDocument/2006/relationships/hyperlink" Target="../../../../2024/jama.2024.25786/.ai_paper_validation/final_report_1_5_3.html" TargetMode="External" Id="rId88" /><Relationship Type="http://schemas.openxmlformats.org/officeDocument/2006/relationships/hyperlink" Target="#'Evidence'!A178" TargetMode="External" Id="rId89" /><Relationship Type="http://schemas.openxmlformats.org/officeDocument/2006/relationships/hyperlink" Target="../../../../2024/jama.2024.25786/.ai_paper_validation/final_report_1_5_3.html" TargetMode="External" Id="rId90" /><Relationship Type="http://schemas.openxmlformats.org/officeDocument/2006/relationships/hyperlink" Target="#'Evidence'!A182" TargetMode="External" Id="rId91" /><Relationship Type="http://schemas.openxmlformats.org/officeDocument/2006/relationships/hyperlink" Target="../../../../2024/jama.2024.25786/.ai_paper_validation/final_report_1_5_3.html" TargetMode="External" Id="rId92" /><Relationship Type="http://schemas.openxmlformats.org/officeDocument/2006/relationships/hyperlink" Target="#'Evidence'!A186" TargetMode="External" Id="rId93" /><Relationship Type="http://schemas.openxmlformats.org/officeDocument/2006/relationships/hyperlink" Target="../../../../2024/jama.2024.25786/.ai_paper_validation/final_report_1_5_3.html" TargetMode="External" Id="rId94" /><Relationship Type="http://schemas.openxmlformats.org/officeDocument/2006/relationships/hyperlink" Target="#'Evidence'!A190" TargetMode="External" Id="rId95" /><Relationship Type="http://schemas.openxmlformats.org/officeDocument/2006/relationships/hyperlink" Target="../../../../2024/jama.2024.25786/.ai_paper_validation/final_report_1_5_3.html" TargetMode="External" Id="rId96" /><Relationship Type="http://schemas.openxmlformats.org/officeDocument/2006/relationships/hyperlink" Target="#'Evidence'!A194" TargetMode="External" Id="rId97" /><Relationship Type="http://schemas.openxmlformats.org/officeDocument/2006/relationships/hyperlink" Target="../../../../2024/jama.2024.25786/.ai_paper_validation/final_report_1_5_3.html" TargetMode="External" Id="rId98" /><Relationship Type="http://schemas.openxmlformats.org/officeDocument/2006/relationships/hyperlink" Target="#'Evidence'!A198" TargetMode="External" Id="rId99" /><Relationship Type="http://schemas.openxmlformats.org/officeDocument/2006/relationships/hyperlink" Target="../../../../2024/jama.2024.25786/.ai_paper_validation/final_report_1_5_3.html" TargetMode="External" Id="rId100" /><Relationship Type="http://schemas.openxmlformats.org/officeDocument/2006/relationships/hyperlink" Target="#'Evidence'!A202" TargetMode="External" Id="rId101" /><Relationship Type="http://schemas.openxmlformats.org/officeDocument/2006/relationships/hyperlink" Target="../../../../2024/jama.2024.25786/.ai_paper_validation/final_report_1_5_3.html" TargetMode="External" Id="rId102" /><Relationship Type="http://schemas.openxmlformats.org/officeDocument/2006/relationships/hyperlink" Target="#'Evidence'!A206" TargetMode="External" Id="rId103" /><Relationship Type="http://schemas.openxmlformats.org/officeDocument/2006/relationships/hyperlink" Target="../../../../2024/jama.2024.4183/.ai_paper_validation/final_report_1_5_3.html" TargetMode="External" Id="rId104" /><Relationship Type="http://schemas.openxmlformats.org/officeDocument/2006/relationships/hyperlink" Target="#'Evidence'!A210" TargetMode="External" Id="rId105" /><Relationship Type="http://schemas.openxmlformats.org/officeDocument/2006/relationships/hyperlink" Target="../../../../2024/jama.2024.4183/.ai_paper_validation/final_report_1_5_3.html" TargetMode="External" Id="rId106" /><Relationship Type="http://schemas.openxmlformats.org/officeDocument/2006/relationships/hyperlink" Target="#'Evidence'!A214" TargetMode="External" Id="rId107" /><Relationship Type="http://schemas.openxmlformats.org/officeDocument/2006/relationships/hyperlink" Target="../../../../2024/jama.2024.4183/.ai_paper_validation/final_report_1_5_3.html" TargetMode="External" Id="rId108" /><Relationship Type="http://schemas.openxmlformats.org/officeDocument/2006/relationships/hyperlink" Target="#'Evidence'!A218" TargetMode="External" Id="rId109" /><Relationship Type="http://schemas.openxmlformats.org/officeDocument/2006/relationships/hyperlink" Target="../../../../2024/jama.2024.4183/.ai_paper_validation/final_report_1_5_3.html" TargetMode="External" Id="rId110" /><Relationship Type="http://schemas.openxmlformats.org/officeDocument/2006/relationships/hyperlink" Target="#'Evidence'!A222" TargetMode="External" Id="rId111" /><Relationship Type="http://schemas.openxmlformats.org/officeDocument/2006/relationships/hyperlink" Target="../../../../2024/jama.2024.4183/.ai_paper_validation/final_report_1_5_3.html" TargetMode="External" Id="rId112" /><Relationship Type="http://schemas.openxmlformats.org/officeDocument/2006/relationships/hyperlink" Target="#'Evidence'!A226" TargetMode="External" Id="rId113" /><Relationship Type="http://schemas.openxmlformats.org/officeDocument/2006/relationships/hyperlink" Target="../../../../2024/jama.2024.4183/.ai_paper_validation/final_report_1_5_3.html" TargetMode="External" Id="rId114" /><Relationship Type="http://schemas.openxmlformats.org/officeDocument/2006/relationships/hyperlink" Target="#'Evidence'!A230" TargetMode="External" Id="rId115" /><Relationship Type="http://schemas.openxmlformats.org/officeDocument/2006/relationships/hyperlink" Target="../../../../2024/jama.2024.4183/.ai_paper_validation/final_report_1_5_3.html" TargetMode="External" Id="rId116" /><Relationship Type="http://schemas.openxmlformats.org/officeDocument/2006/relationships/hyperlink" Target="#'Evidence'!A234" TargetMode="External" Id="rId117" /><Relationship Type="http://schemas.openxmlformats.org/officeDocument/2006/relationships/hyperlink" Target="../../../../2024/jama.2024.4183/.ai_paper_validation/final_report_1_5_3.html" TargetMode="External" Id="rId118" /><Relationship Type="http://schemas.openxmlformats.org/officeDocument/2006/relationships/hyperlink" Target="#'Evidence'!A238" TargetMode="External" Id="rId119" /><Relationship Type="http://schemas.openxmlformats.org/officeDocument/2006/relationships/hyperlink" Target="../../../../2024/jama.2024.4183/.ai_paper_validation/final_report_1_5_3.html" TargetMode="External" Id="rId120" /><Relationship Type="http://schemas.openxmlformats.org/officeDocument/2006/relationships/hyperlink" Target="#'Evidence'!A242" TargetMode="External" Id="rId121" /><Relationship Type="http://schemas.openxmlformats.org/officeDocument/2006/relationships/hyperlink" Target="../../../../2024/jama.2024.4183/.ai_paper_validation/final_report_1_5_3.html" TargetMode="External" Id="rId122" /><Relationship Type="http://schemas.openxmlformats.org/officeDocument/2006/relationships/hyperlink" Target="#'Evidence'!A246" TargetMode="External" Id="rId123" /><Relationship Type="http://schemas.openxmlformats.org/officeDocument/2006/relationships/hyperlink" Target="../../../../2024/jama.2024.4183/.ai_paper_validation/final_report_1_5_3.html" TargetMode="External" Id="rId124" /><Relationship Type="http://schemas.openxmlformats.org/officeDocument/2006/relationships/hyperlink" Target="#'Evidence'!A250" TargetMode="External" Id="rId125" /><Relationship Type="http://schemas.openxmlformats.org/officeDocument/2006/relationships/hyperlink" Target="../../../../2024/jama.2024.4183/.ai_paper_validation/final_report_1_5_3.html" TargetMode="External" Id="rId126" /><Relationship Type="http://schemas.openxmlformats.org/officeDocument/2006/relationships/hyperlink" Target="#'Evidence'!A254" TargetMode="External" Id="rId127" /><Relationship Type="http://schemas.openxmlformats.org/officeDocument/2006/relationships/hyperlink" Target="../../../../2024/jama.2024.4183/.ai_paper_validation/final_report_1_5_3.html" TargetMode="External" Id="rId128" /><Relationship Type="http://schemas.openxmlformats.org/officeDocument/2006/relationships/hyperlink" Target="#'Evidence'!A258" TargetMode="External" Id="rId129" /><Relationship Type="http://schemas.openxmlformats.org/officeDocument/2006/relationships/hyperlink" Target="../../../../2024/jama.2024.4183/.ai_paper_validation/final_report_1_5_3.html" TargetMode="External" Id="rId130" /><Relationship Type="http://schemas.openxmlformats.org/officeDocument/2006/relationships/hyperlink" Target="#'Evidence'!A262" TargetMode="External" Id="rId131" /><Relationship Type="http://schemas.openxmlformats.org/officeDocument/2006/relationships/hyperlink" Target="../../../../2024/jama.2024.4183/.ai_paper_validation/final_report_1_5_3.html" TargetMode="External" Id="rId132" /><Relationship Type="http://schemas.openxmlformats.org/officeDocument/2006/relationships/hyperlink" Target="#'Evidence'!A266" TargetMode="External" Id="rId133" /><Relationship Type="http://schemas.openxmlformats.org/officeDocument/2006/relationships/hyperlink" Target="../../../../2024/jama.2024.4183/.ai_paper_validation/final_report_1_5_3.html" TargetMode="External" Id="rId134" /><Relationship Type="http://schemas.openxmlformats.org/officeDocument/2006/relationships/hyperlink" Target="#'Evidence'!A270" TargetMode="External" Id="rId135" /><Relationship Type="http://schemas.openxmlformats.org/officeDocument/2006/relationships/hyperlink" Target="../../../../2024/jama.2024.4183/.ai_paper_validation/final_report_1_5_3.html" TargetMode="External" Id="rId136" /><Relationship Type="http://schemas.openxmlformats.org/officeDocument/2006/relationships/hyperlink" Target="#'Evidence'!A274" TargetMode="External" Id="rId137" /><Relationship Type="http://schemas.openxmlformats.org/officeDocument/2006/relationships/hyperlink" Target="../../../../2024/jama.2024.4183/.ai_paper_validation/final_report_1_5_3.html" TargetMode="External" Id="rId138" /><Relationship Type="http://schemas.openxmlformats.org/officeDocument/2006/relationships/hyperlink" Target="#'Evidence'!A278" TargetMode="External" Id="rId139" /><Relationship Type="http://schemas.openxmlformats.org/officeDocument/2006/relationships/hyperlink" Target="../../../../2024/jama.2024.4183/.ai_paper_validation/final_report_1_5_3.html" TargetMode="External" Id="rId140" /><Relationship Type="http://schemas.openxmlformats.org/officeDocument/2006/relationships/hyperlink" Target="#'Evidence'!A282" TargetMode="External" Id="rId141" /><Relationship Type="http://schemas.openxmlformats.org/officeDocument/2006/relationships/hyperlink" Target="../../../../2024/jama.2024.4183/.ai_paper_validation/final_report_1_5_3.html" TargetMode="External" Id="rId142" /><Relationship Type="http://schemas.openxmlformats.org/officeDocument/2006/relationships/hyperlink" Target="#'Evidence'!A286" TargetMode="External" Id="rId143" /><Relationship Type="http://schemas.openxmlformats.org/officeDocument/2006/relationships/hyperlink" Target="../../../../2024/jama.2024.4183/.ai_paper_validation/final_report_1_5_3.html" TargetMode="External" Id="rId144" /><Relationship Type="http://schemas.openxmlformats.org/officeDocument/2006/relationships/hyperlink" Target="#'Evidence'!A290" TargetMode="External" Id="rId145" /><Relationship Type="http://schemas.openxmlformats.org/officeDocument/2006/relationships/hyperlink" Target="../../../../2024/jama.2024.4183/.ai_paper_validation/final_report_1_5_3.html" TargetMode="External" Id="rId146" /><Relationship Type="http://schemas.openxmlformats.org/officeDocument/2006/relationships/hyperlink" Target="#'Evidence'!A294" TargetMode="External" Id="rId147" /><Relationship Type="http://schemas.openxmlformats.org/officeDocument/2006/relationships/hyperlink" Target="../../../../2024/jama.2024.4183/.ai_paper_validation/final_report_1_5_3.html" TargetMode="External" Id="rId148" /><Relationship Type="http://schemas.openxmlformats.org/officeDocument/2006/relationships/hyperlink" Target="#'Evidence'!A298" TargetMode="External" Id="rId149" /><Relationship Type="http://schemas.openxmlformats.org/officeDocument/2006/relationships/hyperlink" Target="../../../../2024/jama.2024.4183/.ai_paper_validation/final_report_1_5_3.html" TargetMode="External" Id="rId150" /><Relationship Type="http://schemas.openxmlformats.org/officeDocument/2006/relationships/hyperlink" Target="#'Evidence'!A302" TargetMode="External" Id="rId151" /><Relationship Type="http://schemas.openxmlformats.org/officeDocument/2006/relationships/hyperlink" Target="../../../../2024/jama.2024.6063/.ai_paper_validation/final_report_1_5_3.html" TargetMode="External" Id="rId152" /><Relationship Type="http://schemas.openxmlformats.org/officeDocument/2006/relationships/hyperlink" Target="#'Evidence'!A306" TargetMode="External" Id="rId153" /><Relationship Type="http://schemas.openxmlformats.org/officeDocument/2006/relationships/hyperlink" Target="../../../../2024/jama.2024.6063/.ai_paper_validation/final_report_1_5_3.html" TargetMode="External" Id="rId154" /><Relationship Type="http://schemas.openxmlformats.org/officeDocument/2006/relationships/hyperlink" Target="#'Evidence'!A310" TargetMode="External" Id="rId155" /><Relationship Type="http://schemas.openxmlformats.org/officeDocument/2006/relationships/hyperlink" Target="../../../../2024/jama.2024.6063/.ai_paper_validation/final_report_1_5_3.html" TargetMode="External" Id="rId156" /><Relationship Type="http://schemas.openxmlformats.org/officeDocument/2006/relationships/hyperlink" Target="#'Evidence'!A314" TargetMode="External" Id="rId157" /><Relationship Type="http://schemas.openxmlformats.org/officeDocument/2006/relationships/hyperlink" Target="../../../../2024/jama.2024.6063/.ai_paper_validation/final_report_1_5_3.html" TargetMode="External" Id="rId158" /><Relationship Type="http://schemas.openxmlformats.org/officeDocument/2006/relationships/hyperlink" Target="#'Evidence'!A318" TargetMode="External" Id="rId159" /><Relationship Type="http://schemas.openxmlformats.org/officeDocument/2006/relationships/hyperlink" Target="../../../../2024/jama.2024.6063/.ai_paper_validation/final_report_1_5_3.html" TargetMode="External" Id="rId160" /><Relationship Type="http://schemas.openxmlformats.org/officeDocument/2006/relationships/hyperlink" Target="#'Evidence'!A322" TargetMode="External" Id="rId161" /><Relationship Type="http://schemas.openxmlformats.org/officeDocument/2006/relationships/hyperlink" Target="../../../../2024/jama.2024.6063/.ai_paper_validation/final_report_1_5_3.html" TargetMode="External" Id="rId162" /><Relationship Type="http://schemas.openxmlformats.org/officeDocument/2006/relationships/hyperlink" Target="#'Evidence'!A326" TargetMode="External" Id="rId163" /><Relationship Type="http://schemas.openxmlformats.org/officeDocument/2006/relationships/hyperlink" Target="../../../../2024/jama.2024.6063/.ai_paper_validation/final_report_1_5_3.html" TargetMode="External" Id="rId164" /><Relationship Type="http://schemas.openxmlformats.org/officeDocument/2006/relationships/hyperlink" Target="#'Evidence'!A330" TargetMode="External" Id="rId165" /><Relationship Type="http://schemas.openxmlformats.org/officeDocument/2006/relationships/hyperlink" Target="../../../../2024/jama.2024.6063/.ai_paper_validation/final_report_1_5_3.html" TargetMode="External" Id="rId166" /><Relationship Type="http://schemas.openxmlformats.org/officeDocument/2006/relationships/hyperlink" Target="#'Evidence'!A334" TargetMode="External" Id="rId167" /><Relationship Type="http://schemas.openxmlformats.org/officeDocument/2006/relationships/hyperlink" Target="../../../../2024/jama.2024.6063/.ai_paper_validation/final_report_1_5_3.html" TargetMode="External" Id="rId168" /><Relationship Type="http://schemas.openxmlformats.org/officeDocument/2006/relationships/hyperlink" Target="#'Evidence'!A338" TargetMode="External" Id="rId169" /><Relationship Type="http://schemas.openxmlformats.org/officeDocument/2006/relationships/hyperlink" Target="../../../../2024/jama.2024.6063/.ai_paper_validation/final_report_1_5_3.html" TargetMode="External" Id="rId170" /><Relationship Type="http://schemas.openxmlformats.org/officeDocument/2006/relationships/hyperlink" Target="#'Evidence'!A342" TargetMode="External" Id="rId171" /><Relationship Type="http://schemas.openxmlformats.org/officeDocument/2006/relationships/hyperlink" Target="../../../../2024/jama.2024.6063/.ai_paper_validation/final_report_1_5_3.html" TargetMode="External" Id="rId172" /><Relationship Type="http://schemas.openxmlformats.org/officeDocument/2006/relationships/hyperlink" Target="#'Evidence'!A346" TargetMode="External" Id="rId173" /><Relationship Type="http://schemas.openxmlformats.org/officeDocument/2006/relationships/hyperlink" Target="../../../../2024/jama.2024.6063/.ai_paper_validation/final_report_1_5_3.html" TargetMode="External" Id="rId174" /><Relationship Type="http://schemas.openxmlformats.org/officeDocument/2006/relationships/hyperlink" Target="#'Evidence'!A350" TargetMode="External" Id="rId175" /><Relationship Type="http://schemas.openxmlformats.org/officeDocument/2006/relationships/hyperlink" Target="../../../../2024/jama.2024.6063/.ai_paper_validation/final_report_1_5_3.html" TargetMode="External" Id="rId176" /><Relationship Type="http://schemas.openxmlformats.org/officeDocument/2006/relationships/hyperlink" Target="#'Evidence'!A354" TargetMode="External" Id="rId177" /><Relationship Type="http://schemas.openxmlformats.org/officeDocument/2006/relationships/hyperlink" Target="../../../../2024/jama.2024.6063/.ai_paper_validation/final_report_1_5_3.html" TargetMode="External" Id="rId178" /><Relationship Type="http://schemas.openxmlformats.org/officeDocument/2006/relationships/hyperlink" Target="#'Evidence'!A358" TargetMode="External" Id="rId179" /><Relationship Type="http://schemas.openxmlformats.org/officeDocument/2006/relationships/hyperlink" Target="../../../../2024/jama.2024.6063/.ai_paper_validation/final_report_1_5_3.html" TargetMode="External" Id="rId180" /><Relationship Type="http://schemas.openxmlformats.org/officeDocument/2006/relationships/hyperlink" Target="#'Evidence'!A362" TargetMode="External" Id="rId181" /><Relationship Type="http://schemas.openxmlformats.org/officeDocument/2006/relationships/hyperlink" Target="../../../../2024/jama.2024.6063/.ai_paper_validation/final_report_1_5_3.html" TargetMode="External" Id="rId182" /></Relationships>
</file>

<file path=xl/worksheets/_rels/sheet20.xml.rels><Relationships xmlns="http://schemas.openxmlformats.org/package/2006/relationships"><Relationship Type="http://schemas.openxmlformats.org/officeDocument/2006/relationships/hyperlink" Target="../../../../2024/jama.2024.0318/jama_courcoulas_2024_oi_240004_1721756962.76052.pdf#page=3" TargetMode="External" Id="rId1" /><Relationship Type="http://schemas.openxmlformats.org/officeDocument/2006/relationships/hyperlink" Target="../../../../2024/jama.2024.0318/.ai_paper_validation/review_1_5_3/source_inventory.md" TargetMode="External" Id="rId2" /><Relationship Type="http://schemas.openxmlformats.org/officeDocument/2006/relationships/hyperlink" Target="../../../../2024/jama.2024.0318/joi240004supp2_prod_1721756962.82552.pdf#page=15" TargetMode="External" Id="rId3" /><Relationship Type="http://schemas.openxmlformats.org/officeDocument/2006/relationships/hyperlink" Target="../../../../2024/jama.2024.0318/joi240004supp2_prod_1721756962.82552.pdf#page=16" TargetMode="External" Id="rId4" /><Relationship Type="http://schemas.openxmlformats.org/officeDocument/2006/relationships/hyperlink" Target="../../../../2024/jama.2024.0318/jama_courcoulas_2024_oi_240004_1721756962.76052.pdf#page=3" TargetMode="External" Id="rId5" /><Relationship Type="http://schemas.openxmlformats.org/officeDocument/2006/relationships/hyperlink" Target="../../../../2024/jama.2024.0318/.ai_paper_validation/review_1_5_3/source_inventory.md" TargetMode="External" Id="rId6" /><Relationship Type="http://schemas.openxmlformats.org/officeDocument/2006/relationships/hyperlink" Target="../../../../2024/jama.2024.0318/.ai_paper_validation/review_1_5_3/verification/evidence_recheck.md" TargetMode="External" Id="rId7" /><Relationship Type="http://schemas.openxmlformats.org/officeDocument/2006/relationships/hyperlink" Target="../../../../2024/jama.2024.0318/jama_courcoulas_2024_oi_240004_1721756962.76052.pdf#page=1" TargetMode="External" Id="rId8" /><Relationship Type="http://schemas.openxmlformats.org/officeDocument/2006/relationships/hyperlink" Target="../../../../2024/jama.2024.0318/jama_courcoulas_2024_oi_240004_1721756962.76052.pdf#page=3" TargetMode="External" Id="rId9" /><Relationship Type="http://schemas.openxmlformats.org/officeDocument/2006/relationships/hyperlink" Target="../../../../2024/jama.2024.0318/joi240004supp2_prod_1721756962.82552.pdf#page=15" TargetMode="External" Id="rId10" /><Relationship Type="http://schemas.openxmlformats.org/officeDocument/2006/relationships/hyperlink" Target="../../../../2024/jama.2024.0318/.ai_paper_validation/review_1_5_3/source_inventory.md" TargetMode="External" Id="rId11" /><Relationship Type="http://schemas.openxmlformats.org/officeDocument/2006/relationships/hyperlink" Target="../../../../2024/jama.2024.0318/jama_courcoulas_2024_oi_240004_1721756962.76052.pdf#page=4" TargetMode="External" Id="rId12" /><Relationship Type="http://schemas.openxmlformats.org/officeDocument/2006/relationships/hyperlink" Target="../../../../2024/jama.2024.0318/jama_courcoulas_2024_oi_240004_1721756962.76052.pdf#page=6" TargetMode="External" Id="rId13" /><Relationship Type="http://schemas.openxmlformats.org/officeDocument/2006/relationships/hyperlink" Target="../../../../2024/jama.2024.0318/joi240004supp2_prod_1721756962.82552.pdf#page=4" TargetMode="External" Id="rId14" /><Relationship Type="http://schemas.openxmlformats.org/officeDocument/2006/relationships/hyperlink" Target="../../../../2024/jama.2024.0318/.ai_paper_validation/review_1_5_3/source_inventory.md" TargetMode="External" Id="rId15" /><Relationship Type="http://schemas.openxmlformats.org/officeDocument/2006/relationships/hyperlink" Target="../../../../2024/jama.2024.0318/.ai_paper_validation/review_1_5_3/verification/evidence_recheck.md" TargetMode="External" Id="rId16" /><Relationship Type="http://schemas.openxmlformats.org/officeDocument/2006/relationships/hyperlink" Target="../../../../2024/jama.2024.0318/jama_courcoulas_2024_oi_240004_1721756962.76052.pdf#page=1" TargetMode="External" Id="rId17" /><Relationship Type="http://schemas.openxmlformats.org/officeDocument/2006/relationships/hyperlink" Target="../../../../2024/jama.2024.0318/jama_courcoulas_2024_oi_240004_1721756962.76052.pdf#page=3" TargetMode="External" Id="rId18" /><Relationship Type="http://schemas.openxmlformats.org/officeDocument/2006/relationships/hyperlink" Target="../../../../2024/jama.2024.0318/jama_courcoulas_2024_oi_240004_1721756962.76052.pdf#page=7" TargetMode="External" Id="rId19" /><Relationship Type="http://schemas.openxmlformats.org/officeDocument/2006/relationships/hyperlink" Target="../../../../2024/jama.2024.0318/jama_courcoulas_2024_oi_240004_1721756962.76052.pdf#page=8" TargetMode="External" Id="rId20" /><Relationship Type="http://schemas.openxmlformats.org/officeDocument/2006/relationships/hyperlink" Target="../../../../2024/jama.2024.0318/.ai_paper_validation/review_1_5_3/source_inventory.md" TargetMode="External" Id="rId21" /><Relationship Type="http://schemas.openxmlformats.org/officeDocument/2006/relationships/hyperlink" Target="../../../../2024/jama.2024.0318/jama_courcoulas_2024_oi_240004_1721756962.76052.pdf#page=7" TargetMode="External" Id="rId22" /><Relationship Type="http://schemas.openxmlformats.org/officeDocument/2006/relationships/hyperlink" Target="../../../../2024/jama.2024.0318/joi240004supp2_prod_1721756962.82552.pdf#page=13" TargetMode="External" Id="rId23" /><Relationship Type="http://schemas.openxmlformats.org/officeDocument/2006/relationships/hyperlink" Target="../../../../2024/jama.2024.0318/.ai_paper_validation/review_1_5_3/source_inventory.md" TargetMode="External" Id="rId24" /><Relationship Type="http://schemas.openxmlformats.org/officeDocument/2006/relationships/hyperlink" Target="../../../../2024/jama.2024.0572/jama_sarraj_2024_oi_240006_1708623114.96234.pdf#page=7" TargetMode="External" Id="rId25" /><Relationship Type="http://schemas.openxmlformats.org/officeDocument/2006/relationships/hyperlink" Target="../../../../2024/jama.2024.0572/joi240006supp5_prod_1708623115.01733.pdf#page=38" TargetMode="External" Id="rId26" /><Relationship Type="http://schemas.openxmlformats.org/officeDocument/2006/relationships/hyperlink" Target="../../../../2024/jama.2024.0572/jama_sarraj_2024_oi_240006_1708623114.96234.pdf#page=4" TargetMode="External" Id="rId27" /><Relationship Type="http://schemas.openxmlformats.org/officeDocument/2006/relationships/hyperlink" Target="../../../../2024/jama.2024.0572/joi240006supp5_prod_1708623115.01733.pdf#page=8" TargetMode="External" Id="rId28" /><Relationship Type="http://schemas.openxmlformats.org/officeDocument/2006/relationships/hyperlink" Target="../../../../2024/jama.2024.0572/.ai_paper_validation/review_1_5_3/source_inventory.md" TargetMode="External" Id="rId29" /><Relationship Type="http://schemas.openxmlformats.org/officeDocument/2006/relationships/hyperlink" Target="../../../../2024/jama.2024.0572/.ai_paper_validation/review_1_5_3/verification/evidence_recheck.md" TargetMode="External" Id="rId30" /><Relationship Type="http://schemas.openxmlformats.org/officeDocument/2006/relationships/hyperlink" Target="../../../../2024/jama.2024.0572/jama_sarraj_2024_oi_240006_1708623114.96234.pdf#page=6" TargetMode="External" Id="rId31" /><Relationship Type="http://schemas.openxmlformats.org/officeDocument/2006/relationships/hyperlink" Target="../../../../2024/jama.2024.0572/jama_sarraj_2024_oi_240006_1708623114.96234.pdf#page=7" TargetMode="External" Id="rId32" /><Relationship Type="http://schemas.openxmlformats.org/officeDocument/2006/relationships/hyperlink" Target="../../../../2024/jama.2024.0572/jama_sarraj_2024_oi_240006_1708623114.96234.pdf#page=9" TargetMode="External" Id="rId33" /><Relationship Type="http://schemas.openxmlformats.org/officeDocument/2006/relationships/hyperlink" Target="../../../../2024/jama.2024.0572/joi240006supp3_prod_1708623114.99733.pdf#page=17" TargetMode="External" Id="rId34" /><Relationship Type="http://schemas.openxmlformats.org/officeDocument/2006/relationships/hyperlink" Target="../../../../2024/jama.2024.0572/joi240006supp4_prod_1708623115.00733.pdf#page=4" TargetMode="External" Id="rId35" /><Relationship Type="http://schemas.openxmlformats.org/officeDocument/2006/relationships/hyperlink" Target="../../../../2024/jama.2024.0572/joi240006supp5_prod_1708623115.01733.pdf#page=43" TargetMode="External" Id="rId36" /><Relationship Type="http://schemas.openxmlformats.org/officeDocument/2006/relationships/hyperlink" Target="../../../../2024/jama.2024.0572/.ai_paper_validation/review_1_5_3/source_inventory.md" TargetMode="External" Id="rId37" /><Relationship Type="http://schemas.openxmlformats.org/officeDocument/2006/relationships/hyperlink" Target="../../../../2024/jama.2024.0572/.ai_paper_validation/review_1_5_3/verification/evidence_recheck.md" TargetMode="External" Id="rId38" /><Relationship Type="http://schemas.openxmlformats.org/officeDocument/2006/relationships/hyperlink" Target="../../../../2024/jama.2024.11057/jama_graham_2024_oi_240078_1739900423.19074.pdf#page=3" TargetMode="External" Id="rId39" /><Relationship Type="http://schemas.openxmlformats.org/officeDocument/2006/relationships/hyperlink" Target="../../../../2024/jama.2024.11057/joi240078supp1_prod_1739900423.22574.pdf#page=2" TargetMode="External" Id="rId40" /><Relationship Type="http://schemas.openxmlformats.org/officeDocument/2006/relationships/hyperlink" Target="../../../../2024/jama.2024.11057/joi240078supp2_prod_1739900423.24574.pdf#page=2" TargetMode="External" Id="rId41" /><Relationship Type="http://schemas.openxmlformats.org/officeDocument/2006/relationships/hyperlink" Target="../../../../2024/jama.2024.11057/.ai_paper_validation/review_1_5_3/source_inventory.md" TargetMode="External" Id="rId42" /><Relationship Type="http://schemas.openxmlformats.org/officeDocument/2006/relationships/hyperlink" Target="../../../../2024/jama.2024.11057/.ai_paper_validation/review_1_5_3/verification/evidence_recheck.md" TargetMode="External" Id="rId43" /><Relationship Type="http://schemas.openxmlformats.org/officeDocument/2006/relationships/hyperlink" Target="../../../../2024/jama.2024.11057/joi240078supp2_prod_1739900423.24574.pdf#page=12" TargetMode="External" Id="rId44" /><Relationship Type="http://schemas.openxmlformats.org/officeDocument/2006/relationships/hyperlink" Target="../../../../2024/jama.2024.11057/joi240078supp2_prod_1739900423.24574.pdf#page=13" TargetMode="External" Id="rId45" /><Relationship Type="http://schemas.openxmlformats.org/officeDocument/2006/relationships/hyperlink" Target="../../../../2024/jama.2024.11057/jama_graham_2024_oi_240078_1739900423.19074.pdf#page=4" TargetMode="External" Id="rId46" /><Relationship Type="http://schemas.openxmlformats.org/officeDocument/2006/relationships/hyperlink" Target="../../../../2024/jama.2024.11057/.ai_paper_validation/review_1_5_3/source_inventory.md" TargetMode="External" Id="rId47" /><Relationship Type="http://schemas.openxmlformats.org/officeDocument/2006/relationships/hyperlink" Target="../../../../2024/jama.2024.11057/.ai_paper_validation/review_1_5_3/verification/evidence_recheck.md" TargetMode="External" Id="rId48" /><Relationship Type="http://schemas.openxmlformats.org/officeDocument/2006/relationships/hyperlink" Target="../../../../2024/jama.2024.11057/joi240078supp2_prod_1739900423.24574.pdf#page=5" TargetMode="External" Id="rId49" /><Relationship Type="http://schemas.openxmlformats.org/officeDocument/2006/relationships/hyperlink" Target="../../../../2024/jama.2024.11057/joi240078supp2_prod_1739900423.24574.pdf#page=14" TargetMode="External" Id="rId50" /><Relationship Type="http://schemas.openxmlformats.org/officeDocument/2006/relationships/hyperlink" Target="../../../../2024/jama.2024.11057/jama_graham_2024_oi_240078_1739900423.19074.pdf#page=4" TargetMode="External" Id="rId51" /><Relationship Type="http://schemas.openxmlformats.org/officeDocument/2006/relationships/hyperlink" Target="../../../../2024/jama.2024.11057/.ai_paper_validation/review_1_5_3/source_inventory.md" TargetMode="External" Id="rId52" /><Relationship Type="http://schemas.openxmlformats.org/officeDocument/2006/relationships/hyperlink" Target="../../../../2024/jama.2024.11057/.ai_paper_validation/review_1_5_3/verification/evidence_recheck_C003.md" TargetMode="External" Id="rId53" /><Relationship Type="http://schemas.openxmlformats.org/officeDocument/2006/relationships/hyperlink" Target="../../../../2024/jama.2024.12829/jama_sun_2024_oi_240088_1746815064.14747.pdf#page=6" TargetMode="External" Id="rId54" /><Relationship Type="http://schemas.openxmlformats.org/officeDocument/2006/relationships/hyperlink" Target="../../../../2024/jama.2024.12829/.ai_paper_validation/review_1_5_3/source_inventory.md" TargetMode="External" Id="rId55" /><Relationship Type="http://schemas.openxmlformats.org/officeDocument/2006/relationships/hyperlink" Target="../../../../2024/jama.2024.12829/jama_sun_2024_oi_240088_1746815064.14747.pdf#page=6" TargetMode="External" Id="rId56" /><Relationship Type="http://schemas.openxmlformats.org/officeDocument/2006/relationships/hyperlink" Target="../../../../2024/jama.2024.12829/joi240088supp1_prod_1746815064.21247.pdf#page=14" TargetMode="External" Id="rId57" /><Relationship Type="http://schemas.openxmlformats.org/officeDocument/2006/relationships/hyperlink" Target="../../../../2024/jama.2024.12829/.ai_paper_validation/review_1_5_3/source_inventory.md" TargetMode="External" Id="rId58" /><Relationship Type="http://schemas.openxmlformats.org/officeDocument/2006/relationships/hyperlink" Target="../../../../2024/jama.2024.12829/joi240088supp1_prod_1746815064.21247.pdf#page=17" TargetMode="External" Id="rId59" /><Relationship Type="http://schemas.openxmlformats.org/officeDocument/2006/relationships/hyperlink" Target="../../../../2024/jama.2024.12829/.ai_paper_validation/review_1_5_3/source_inventory.md" TargetMode="External" Id="rId60" /><Relationship Type="http://schemas.openxmlformats.org/officeDocument/2006/relationships/hyperlink" Target="../../../../2024/jama.2024.12829/joi240088supp1_prod_1746815064.21247.pdf#page=19" TargetMode="External" Id="rId61" /><Relationship Type="http://schemas.openxmlformats.org/officeDocument/2006/relationships/hyperlink" Target="../../../../2024/jama.2024.12829/.ai_paper_validation/review_1_5_3/source_inventory.md" TargetMode="External" Id="rId62" /><Relationship Type="http://schemas.openxmlformats.org/officeDocument/2006/relationships/hyperlink" Target="../../../../2024/jama.2024.12829/joi240088supp1_prod_1746815064.21247.pdf#page=20" TargetMode="External" Id="rId63" /><Relationship Type="http://schemas.openxmlformats.org/officeDocument/2006/relationships/hyperlink" Target="../../../../2024/jama.2024.12829/jama_sun_2024_oi_240088_1746815064.14747.pdf#page=5" TargetMode="External" Id="rId64" /><Relationship Type="http://schemas.openxmlformats.org/officeDocument/2006/relationships/hyperlink" Target="../../../../2024/jama.2024.12829/joi240088supp1_prod_1746815064.21247.pdf#page=23" TargetMode="External" Id="rId65" /><Relationship Type="http://schemas.openxmlformats.org/officeDocument/2006/relationships/hyperlink" Target="../../../../2024/jama.2024.12829/.ai_paper_validation/review_1_5_3/source_inventory.md" TargetMode="External" Id="rId66" /><Relationship Type="http://schemas.openxmlformats.org/officeDocument/2006/relationships/hyperlink" Target="../../../../2024/jama.2024.12829/joi240088supp1_prod_1746815064.21247.pdf#page=21" TargetMode="External" Id="rId67" /><Relationship Type="http://schemas.openxmlformats.org/officeDocument/2006/relationships/hyperlink" Target="../../../../2024/jama.2024.12829/jama_sun_2024_oi_240088_1746815064.14747.pdf#page=5" TargetMode="External" Id="rId68" /><Relationship Type="http://schemas.openxmlformats.org/officeDocument/2006/relationships/hyperlink" Target="../../../../2024/jama.2024.12829/joi240088supp1_prod_1746815064.21247.pdf#page=23" TargetMode="External" Id="rId69" /><Relationship Type="http://schemas.openxmlformats.org/officeDocument/2006/relationships/hyperlink" Target="../../../../2024/jama.2024.12829/.ai_paper_validation/review_1_5_3/source_inventory.md" TargetMode="External" Id="rId70" /><Relationship Type="http://schemas.openxmlformats.org/officeDocument/2006/relationships/hyperlink" Target="../../../../2024/jama.2024.12829/.ai_paper_validation/review_1_5_3/verification/evidence_recheck.md" TargetMode="External" Id="rId71" /><Relationship Type="http://schemas.openxmlformats.org/officeDocument/2006/relationships/hyperlink" Target="../../../../2024/jama.2024.12829/joi240088supp1_prod_1746815064.21247.pdf#page=22" TargetMode="External" Id="rId72" /><Relationship Type="http://schemas.openxmlformats.org/officeDocument/2006/relationships/hyperlink" Target="../../../../2024/jama.2024.12829/joi240088supp1_prod_1746815064.21247.pdf#page=23" TargetMode="External" Id="rId73" /><Relationship Type="http://schemas.openxmlformats.org/officeDocument/2006/relationships/hyperlink" Target="../../../../2024/jama.2024.12829/.ai_paper_validation/review_1_5_3/source_inventory.md" TargetMode="External" Id="rId74" /><Relationship Type="http://schemas.openxmlformats.org/officeDocument/2006/relationships/hyperlink" Target="../../../../2024/jama.2024.12829/jama_sun_2024_oi_240088_1746815064.14747.pdf#page=2" TargetMode="External" Id="rId75" /><Relationship Type="http://schemas.openxmlformats.org/officeDocument/2006/relationships/hyperlink" Target="../../../../2024/jama.2024.12829/jama_sun_2024_oi_240088_1746815064.14747.pdf#page=5" TargetMode="External" Id="rId76" /><Relationship Type="http://schemas.openxmlformats.org/officeDocument/2006/relationships/hyperlink" Target="../../../../2024/jama.2024.12829/jama_sun_2024_oi_240088_1746815064.14747.pdf#page=6" TargetMode="External" Id="rId77" /><Relationship Type="http://schemas.openxmlformats.org/officeDocument/2006/relationships/hyperlink" Target="../../../../2024/jama.2024.12829/.ai_paper_validation/review_1_5_3/source_inventory.md" TargetMode="External" Id="rId78" /><Relationship Type="http://schemas.openxmlformats.org/officeDocument/2006/relationships/hyperlink" Target="../../../../2024/jama.2024.12829/joi240088supp1_prod_1746815064.21247.pdf#page=6" TargetMode="External" Id="rId79" /><Relationship Type="http://schemas.openxmlformats.org/officeDocument/2006/relationships/hyperlink" Target="../../../../2024/jama.2024.12829/jama_sun_2024_oi_240088_1746815064.14747.pdf#page=3" TargetMode="External" Id="rId80" /><Relationship Type="http://schemas.openxmlformats.org/officeDocument/2006/relationships/hyperlink" Target="../../../../2024/jama.2024.12829/joi240088supp2_prod_1746815064.36071.pdf#page=15" TargetMode="External" Id="rId81" /><Relationship Type="http://schemas.openxmlformats.org/officeDocument/2006/relationships/hyperlink" Target="../../../../2024/jama.2024.12829/.ai_paper_validation/review_1_5_3/source_inventory.md" TargetMode="External" Id="rId82" /><Relationship Type="http://schemas.openxmlformats.org/officeDocument/2006/relationships/hyperlink" Target="../../../../2024/jama.2024.12829/.ai_paper_validation/review_1_5_3/verification/evidence_recheck.md" TargetMode="External" Id="rId83" /><Relationship Type="http://schemas.openxmlformats.org/officeDocument/2006/relationships/hyperlink" Target="../../../../2024/jama.2024.12829/joi240088supp2_prod_1746815064.36071.pdf#page=7" TargetMode="External" Id="rId84" /><Relationship Type="http://schemas.openxmlformats.org/officeDocument/2006/relationships/hyperlink" Target="../../../../2024/jama.2024.12829/joi240088supp2_prod_1746815064.36071.pdf#page=21" TargetMode="External" Id="rId85" /><Relationship Type="http://schemas.openxmlformats.org/officeDocument/2006/relationships/hyperlink" Target="../../../../2024/jama.2024.12829/.ai_paper_validation/review_1_5_3/source_inventory.md" TargetMode="External" Id="rId86" /><Relationship Type="http://schemas.openxmlformats.org/officeDocument/2006/relationships/hyperlink" Target="../../../../2024/jama.2024.12829/.ai_paper_validation/review_1_5_3/verification/evidence_recheck.md" TargetMode="External" Id="rId87" /><Relationship Type="http://schemas.openxmlformats.org/officeDocument/2006/relationships/hyperlink" Target="../../../../2024/jama.2024.12829/joi240088supp1_prod_1746815064.21247.pdf#page=16" TargetMode="External" Id="rId88" /><Relationship Type="http://schemas.openxmlformats.org/officeDocument/2006/relationships/hyperlink" Target="../../../../2024/jama.2024.12829/.ai_paper_validation/review_1_5_3/source_inventory.md" TargetMode="External" Id="rId89" /><Relationship Type="http://schemas.openxmlformats.org/officeDocument/2006/relationships/hyperlink" Target="../../../../2024/jama.2024.12829/joi240088supp1_prod_1746815064.21247.pdf#page=10" TargetMode="External" Id="rId90" /><Relationship Type="http://schemas.openxmlformats.org/officeDocument/2006/relationships/hyperlink" Target="../../../../2024/jama.2024.12829/.ai_paper_validation/review_1_5_3/source_inventory.md" TargetMode="External" Id="rId91" /><Relationship Type="http://schemas.openxmlformats.org/officeDocument/2006/relationships/hyperlink" Target="../../../../2024/jama.2024.12829/joi240088supp2_prod_1746815064.36071.pdf#page=35" TargetMode="External" Id="rId92" /><Relationship Type="http://schemas.openxmlformats.org/officeDocument/2006/relationships/hyperlink" Target="../../../../2024/jama.2024.12829/joi240088supp2_prod_1746815064.36071.pdf#page=96" TargetMode="External" Id="rId93" /><Relationship Type="http://schemas.openxmlformats.org/officeDocument/2006/relationships/hyperlink" Target="../../../../2024/jama.2024.12829/joi240088supp2_prod_1746815064.36071.pdf#page=15" TargetMode="External" Id="rId94" /><Relationship Type="http://schemas.openxmlformats.org/officeDocument/2006/relationships/hyperlink" Target="../../../../2024/jama.2024.12829/.ai_paper_validation/review_1_5_3/source_inventory.md" TargetMode="External" Id="rId95" /><Relationship Type="http://schemas.openxmlformats.org/officeDocument/2006/relationships/hyperlink" Target="../../../../2024/jama.2024.12829/.ai_paper_validation/review_1_5_3/verification/evidence_recheck.md" TargetMode="External" Id="rId96" /><Relationship Type="http://schemas.openxmlformats.org/officeDocument/2006/relationships/hyperlink" Target="../../../../2024/jama.2024.12829/joi240088supp1_prod_1746815064.21247.pdf#page=22" TargetMode="External" Id="rId97" /><Relationship Type="http://schemas.openxmlformats.org/officeDocument/2006/relationships/hyperlink" Target="../../../../2024/jama.2024.12829/joi240088supp1_prod_1746815064.21247.pdf#page=23" TargetMode="External" Id="rId98" /><Relationship Type="http://schemas.openxmlformats.org/officeDocument/2006/relationships/hyperlink" Target="../../../../2024/jama.2024.12829/.ai_paper_validation/review_1_5_3/source_inventory.md" TargetMode="External" Id="rId99" /><Relationship Type="http://schemas.openxmlformats.org/officeDocument/2006/relationships/hyperlink" Target="../../../../2024/jama.2024.12829/jama_sun_2024_oi_240088_1746815064.14747.pdf#page=4" TargetMode="External" Id="rId100" /><Relationship Type="http://schemas.openxmlformats.org/officeDocument/2006/relationships/hyperlink" Target="../../../../2024/jama.2024.12829/jama_sun_2024_oi_240088_1746815064.14747.pdf#page=5" TargetMode="External" Id="rId101" /><Relationship Type="http://schemas.openxmlformats.org/officeDocument/2006/relationships/hyperlink" Target="../../../../2024/jama.2024.12829/.ai_paper_validation/review_1_5_3/source_inventory.md" TargetMode="External" Id="rId102" /><Relationship Type="http://schemas.openxmlformats.org/officeDocument/2006/relationships/hyperlink" Target="../../../../2024/jama.2024.12829/jama_sun_2024_oi_240088_1746815064.14747.pdf#page=5" TargetMode="External" Id="rId103" /><Relationship Type="http://schemas.openxmlformats.org/officeDocument/2006/relationships/hyperlink" Target="../../../../2024/jama.2024.12829/jama_sun_2024_oi_240088_1746815064.14747.pdf#page=8" TargetMode="External" Id="rId104" /><Relationship Type="http://schemas.openxmlformats.org/officeDocument/2006/relationships/hyperlink" Target="../../../../2024/jama.2024.12829/joi240088supp1_prod_1746815064.21247.pdf#page=19" TargetMode="External" Id="rId105" /><Relationship Type="http://schemas.openxmlformats.org/officeDocument/2006/relationships/hyperlink" Target="../../../../2024/jama.2024.12829/.ai_paper_validation/review_1_5_3/source_inventory.md" TargetMode="External" Id="rId106" /><Relationship Type="http://schemas.openxmlformats.org/officeDocument/2006/relationships/hyperlink" Target="../../../../2024/jama.2024.12829/jama_sun_2024_oi_240088_1746815064.14747.pdf#page=8" TargetMode="External" Id="rId107" /><Relationship Type="http://schemas.openxmlformats.org/officeDocument/2006/relationships/hyperlink" Target="../../../../2024/jama.2024.12829/.ai_paper_validation/review_1_5_3/source_inventory.md" TargetMode="External" Id="rId108" /><Relationship Type="http://schemas.openxmlformats.org/officeDocument/2006/relationships/hyperlink" Target="../../../../2024/jama.2024.19585/jama_dupuis_2024_oi_240111_1733431204.38761.pdf#page=5" TargetMode="External" Id="rId109" /><Relationship Type="http://schemas.openxmlformats.org/officeDocument/2006/relationships/hyperlink" Target="../../../../2024/jama.2024.19585/.ai_paper_validation/review_1_5_3/source_inventory.md" TargetMode="External" Id="rId110" /><Relationship Type="http://schemas.openxmlformats.org/officeDocument/2006/relationships/hyperlink" Target="../../../../2024/jama.2024.19585/.ai_paper_validation/review_1_5_3/verification/evidence_recheck.md" TargetMode="External" Id="rId111" /><Relationship Type="http://schemas.openxmlformats.org/officeDocument/2006/relationships/hyperlink" Target="../../../../2024/jama.2024.19585/jama_dupuis_2024_oi_240111_1733431204.38761.pdf#page=2" TargetMode="External" Id="rId112" /><Relationship Type="http://schemas.openxmlformats.org/officeDocument/2006/relationships/hyperlink" Target="../../../../2024/jama.2024.19585/joi240111supp2_prod_1733431204.76024.pdf#page=6" TargetMode="External" Id="rId113" /><Relationship Type="http://schemas.openxmlformats.org/officeDocument/2006/relationships/hyperlink" Target="../../../../2024/jama.2024.19585/.ai_paper_validation/review_1_5_3/source_inventory.md" TargetMode="External" Id="rId114" /><Relationship Type="http://schemas.openxmlformats.org/officeDocument/2006/relationships/hyperlink" Target="../../../../2024/jama.2024.19585/joi240111supp2_prod_1733431204.76024.pdf#page=13" TargetMode="External" Id="rId115" /><Relationship Type="http://schemas.openxmlformats.org/officeDocument/2006/relationships/hyperlink" Target="../../../../2024/jama.2024.19585/joi240111supp2_prod_1733431204.76024.pdf#page=14" TargetMode="External" Id="rId116" /><Relationship Type="http://schemas.openxmlformats.org/officeDocument/2006/relationships/hyperlink" Target="../../../../2024/jama.2024.19585/joi240111supp2_prod_1733431204.76024.pdf#page=15" TargetMode="External" Id="rId117" /><Relationship Type="http://schemas.openxmlformats.org/officeDocument/2006/relationships/hyperlink" Target="../../../../2024/jama.2024.19585/joi240111supp2_prod_1733431204.76024.pdf#page=22" TargetMode="External" Id="rId118" /><Relationship Type="http://schemas.openxmlformats.org/officeDocument/2006/relationships/hyperlink" Target="../../../../2024/jama.2024.19585/.ai_paper_validation/review_1_5_3/source_inventory.md" TargetMode="External" Id="rId119" /><Relationship Type="http://schemas.openxmlformats.org/officeDocument/2006/relationships/hyperlink" Target="../../../../2024/jama.2024.2302/jama_blakely_2024_oi_240020_1710443209.74411.pdf#page=6" TargetMode="External" Id="rId120" /><Relationship Type="http://schemas.openxmlformats.org/officeDocument/2006/relationships/hyperlink" Target="../../../../2024/jama.2024.2302/joi240020supp3_prod_1710443209.75411.pdf#page=5" TargetMode="External" Id="rId121" /><Relationship Type="http://schemas.openxmlformats.org/officeDocument/2006/relationships/hyperlink" Target="../../../../2024/jama.2024.2302/joi240020supp1_prod_1710443209.74911.pdf#page=2" TargetMode="External" Id="rId122" /><Relationship Type="http://schemas.openxmlformats.org/officeDocument/2006/relationships/hyperlink" Target="../../../../2024/jama.2024.2302/joi240020supp2_prod_1710443209.75411.pdf#page=4" TargetMode="External" Id="rId123" /><Relationship Type="http://schemas.openxmlformats.org/officeDocument/2006/relationships/hyperlink" Target="../../../../2024/jama.2024.2302/.ai_paper_validation/review_1_5_3/source_inventory.md" TargetMode="External" Id="rId124" /><Relationship Type="http://schemas.openxmlformats.org/officeDocument/2006/relationships/hyperlink" Target="../../../../2024/jama.2024.2302/.ai_paper_validation/review_1_5_3/verification/evidence_recheck.md" TargetMode="External" Id="rId125" /><Relationship Type="http://schemas.openxmlformats.org/officeDocument/2006/relationships/hyperlink" Target="../../../../2024/jama.2024.2302/joi240020supp1_prod_1710443209.74911.pdf#page=3" TargetMode="External" Id="rId126" /><Relationship Type="http://schemas.openxmlformats.org/officeDocument/2006/relationships/hyperlink" Target="../../../../2024/jama.2024.2302/joi240020supp1_prod_1710443209.74911.pdf#page=12" TargetMode="External" Id="rId127" /><Relationship Type="http://schemas.openxmlformats.org/officeDocument/2006/relationships/hyperlink" Target="../../../../2024/jama.2024.2302/joi240020supp2_prod_1710443209.75411.pdf#page=3" TargetMode="External" Id="rId128" /><Relationship Type="http://schemas.openxmlformats.org/officeDocument/2006/relationships/hyperlink" Target="../../../../2024/jama.2024.2302/.ai_paper_validation/review_1_5_3/source_inventory.md" TargetMode="External" Id="rId129" /><Relationship Type="http://schemas.openxmlformats.org/officeDocument/2006/relationships/hyperlink" Target="../../../../2024/jama.2024.2302/.ai_paper_validation/review_1_5_3/verification/evidence_recheck.md" TargetMode="External" Id="rId130" /><Relationship Type="http://schemas.openxmlformats.org/officeDocument/2006/relationships/hyperlink" Target="../../../../2024/jama.2024.2302/jama_blakely_2024_oi_240020_1710443209.74411.pdf#page=4" TargetMode="External" Id="rId131" /><Relationship Type="http://schemas.openxmlformats.org/officeDocument/2006/relationships/hyperlink" Target="../../../../2024/jama.2024.2302/joi240020supp2_prod_1710443209.75411.pdf#page=8" TargetMode="External" Id="rId132" /><Relationship Type="http://schemas.openxmlformats.org/officeDocument/2006/relationships/hyperlink" Target="../../../../2024/jama.2024.2302/.ai_paper_validation/review_1_5_3/source_inventory.md" TargetMode="External" Id="rId133" /><Relationship Type="http://schemas.openxmlformats.org/officeDocument/2006/relationships/hyperlink" Target="../../../../2024/jama.2024.2302/.ai_paper_validation/review_1_5_3/verification/evidence_recheck.md" TargetMode="External" Id="rId134" /><Relationship Type="http://schemas.openxmlformats.org/officeDocument/2006/relationships/hyperlink" Target="../../../../2024/jama.2024.2302/jama_blakely_2024_oi_240020_1710443209.74411.pdf#page=8" TargetMode="External" Id="rId135" /><Relationship Type="http://schemas.openxmlformats.org/officeDocument/2006/relationships/hyperlink" Target="../../../../2024/jama.2024.2302/joi240020supp2_prod_1710443209.75411.pdf#page=3" TargetMode="External" Id="rId136" /><Relationship Type="http://schemas.openxmlformats.org/officeDocument/2006/relationships/hyperlink" Target="../../../../2024/jama.2024.2302/joi240020supp2_prod_1710443209.75411.pdf#page=8" TargetMode="External" Id="rId137" /><Relationship Type="http://schemas.openxmlformats.org/officeDocument/2006/relationships/hyperlink" Target="../../../../2024/jama.2024.2302/joi240020supp2_prod_1710443209.75411.pdf#page=9" TargetMode="External" Id="rId138" /><Relationship Type="http://schemas.openxmlformats.org/officeDocument/2006/relationships/hyperlink" Target="../../../../2024/jama.2024.2302/.ai_paper_validation/review_1_5_3/source_inventory.md" TargetMode="External" Id="rId139" /><Relationship Type="http://schemas.openxmlformats.org/officeDocument/2006/relationships/hyperlink" Target="../../../../2024/jama.2024.2302/.ai_paper_validation/review_1_5_3/verification/evidence_recheck.md" TargetMode="External" Id="rId140" /><Relationship Type="http://schemas.openxmlformats.org/officeDocument/2006/relationships/hyperlink" Target="../../../../2024/jama.2024.2302/joi240020supp1_prod_1710443209.74911.pdf#page=3" TargetMode="External" Id="rId141" /><Relationship Type="http://schemas.openxmlformats.org/officeDocument/2006/relationships/hyperlink" Target="../../../../2024/jama.2024.2302/joi240020supp1_prod_1710443209.74911.pdf#page=11" TargetMode="External" Id="rId142" /><Relationship Type="http://schemas.openxmlformats.org/officeDocument/2006/relationships/hyperlink" Target="../../../../2024/jama.2024.2302/joi240020supp2_prod_1710443209.75411.pdf#page=7" TargetMode="External" Id="rId143" /><Relationship Type="http://schemas.openxmlformats.org/officeDocument/2006/relationships/hyperlink" Target="../../../../2024/jama.2024.2302/jama_blakely_2024_oi_240020_1710443209.74411.pdf#page=3" TargetMode="External" Id="rId144" /><Relationship Type="http://schemas.openxmlformats.org/officeDocument/2006/relationships/hyperlink" Target="../../../../2024/jama.2024.2302/jama_blakely_2024_oi_240020_1710443209.74411.pdf#page=6" TargetMode="External" Id="rId145" /><Relationship Type="http://schemas.openxmlformats.org/officeDocument/2006/relationships/hyperlink" Target="../../../../2024/jama.2024.2302/.ai_paper_validation/review_1_5_3/source_inventory.md" TargetMode="External" Id="rId146" /><Relationship Type="http://schemas.openxmlformats.org/officeDocument/2006/relationships/hyperlink" Target="../../../../2024/jama.2024.2302/.ai_paper_validation/review_1_5_3/verification/evidence_recheck.md" TargetMode="External" Id="rId147" /><Relationship Type="http://schemas.openxmlformats.org/officeDocument/2006/relationships/hyperlink" Target="../../../../2024/jama.2024.23898/jama_paterson_2024_oi_240139_1741633738.12862.pdf#page=1" TargetMode="External" Id="rId148" /><Relationship Type="http://schemas.openxmlformats.org/officeDocument/2006/relationships/hyperlink" Target="../../../../2024/jama.2024.23898/jama_paterson_2024_oi_240139_1741633738.12862.pdf#page=5" TargetMode="External" Id="rId149" /><Relationship Type="http://schemas.openxmlformats.org/officeDocument/2006/relationships/hyperlink" Target="../../../../2024/jama.2024.23898/jama_paterson_2024_oi_240139_1741633738.12862.pdf#page=6" TargetMode="External" Id="rId150" /><Relationship Type="http://schemas.openxmlformats.org/officeDocument/2006/relationships/hyperlink" Target="../../../../2024/jama.2024.23898/joi240139supp2_prod_1741633738.17362.pdf#page=9" TargetMode="External" Id="rId151" /><Relationship Type="http://schemas.openxmlformats.org/officeDocument/2006/relationships/hyperlink" Target="../../../../2024/jama.2024.23898/.ai_paper_validation/review_1_5_3/source_inventory.md" TargetMode="External" Id="rId152" /><Relationship Type="http://schemas.openxmlformats.org/officeDocument/2006/relationships/hyperlink" Target="../../../../2024/jama.2024.23898/.ai_paper_validation/review_1_5_3/checkers/cross_source_consistency.md" TargetMode="External" Id="rId153" /><Relationship Type="http://schemas.openxmlformats.org/officeDocument/2006/relationships/hyperlink" Target="../../../../2024/jama.2024.23898/.ai_paper_validation/review_1_5_3/checkers/statistical_pass_2.md" TargetMode="External" Id="rId154" /><Relationship Type="http://schemas.openxmlformats.org/officeDocument/2006/relationships/hyperlink" Target="../../../../2024/jama.2024.23898/jama_paterson_2024_oi_240139_1741633738.12862.pdf#page=4" TargetMode="External" Id="rId155" /><Relationship Type="http://schemas.openxmlformats.org/officeDocument/2006/relationships/hyperlink" Target="../../../../2024/jama.2024.23898/jama_paterson_2024_oi_240139_1741633738.12862.pdf#page=6" TargetMode="External" Id="rId156" /><Relationship Type="http://schemas.openxmlformats.org/officeDocument/2006/relationships/hyperlink" Target="../../../../2024/jama.2024.23898/joi240139supp1_prod_1741633738.16362.pdf#page=17" TargetMode="External" Id="rId157" /><Relationship Type="http://schemas.openxmlformats.org/officeDocument/2006/relationships/hyperlink" Target="../../../../2024/jama.2024.23898/joi240139supp2_prod_1741633738.17362.pdf#page=11" TargetMode="External" Id="rId158" /><Relationship Type="http://schemas.openxmlformats.org/officeDocument/2006/relationships/hyperlink" Target="../../../../2024/jama.2024.23898/.ai_paper_validation/review_1_5_3/source_inventory.md" TargetMode="External" Id="rId159" /><Relationship Type="http://schemas.openxmlformats.org/officeDocument/2006/relationships/hyperlink" Target="../../../../2024/jama.2024.23898/.ai_paper_validation/review_1_5_3/checkers/cross_source_consistency.md" TargetMode="External" Id="rId160" /><Relationship Type="http://schemas.openxmlformats.org/officeDocument/2006/relationships/hyperlink" Target="../../../../2024/jama.2024.23898/.ai_paper_validation/review_1_5_3/checkers/statistical_pass_2.md" TargetMode="External" Id="rId161" /><Relationship Type="http://schemas.openxmlformats.org/officeDocument/2006/relationships/hyperlink" Target="../../../../2024/jama.2024.23898/jama_paterson_2024_oi_240139_1741633738.12862.pdf#page=4" TargetMode="External" Id="rId162" /><Relationship Type="http://schemas.openxmlformats.org/officeDocument/2006/relationships/hyperlink" Target="../../../../2024/jama.2024.23898/jama_paterson_2024_oi_240139_1741633738.12862.pdf#page=8" TargetMode="External" Id="rId163" /><Relationship Type="http://schemas.openxmlformats.org/officeDocument/2006/relationships/hyperlink" Target="../../../../2024/jama.2024.23898/joi240139supp1_prod_1741633738.16362.pdf#page=18" TargetMode="External" Id="rId164" /><Relationship Type="http://schemas.openxmlformats.org/officeDocument/2006/relationships/hyperlink" Target="../../../../2024/jama.2024.23898/joi240139supp2_prod_1741633738.17362.pdf#page=10" TargetMode="External" Id="rId165" /><Relationship Type="http://schemas.openxmlformats.org/officeDocument/2006/relationships/hyperlink" Target="../../../../2024/jama.2024.23898/joi240139supp2_prod_1741633738.17362.pdf#page=27" TargetMode="External" Id="rId166" /><Relationship Type="http://schemas.openxmlformats.org/officeDocument/2006/relationships/hyperlink" Target="../../../../2024/jama.2024.23898/.ai_paper_validation/review_1_5_3/source_inventory.md" TargetMode="External" Id="rId167" /><Relationship Type="http://schemas.openxmlformats.org/officeDocument/2006/relationships/hyperlink" Target="../../../../2024/jama.2024.23898/.ai_paper_validation/review_1_5_3/checkers/cross_source_consistency.md" TargetMode="External" Id="rId168" /><Relationship Type="http://schemas.openxmlformats.org/officeDocument/2006/relationships/hyperlink" Target="../../../../2024/jama.2024.23898/.ai_paper_validation/review_1_5_3/checkers/statistical_pass_2.md" TargetMode="External" Id="rId169" /><Relationship Type="http://schemas.openxmlformats.org/officeDocument/2006/relationships/hyperlink" Target="../../../../2024/jama.2024.23898/joi240139supp1_prod_1741633738.16362.pdf#page=17" TargetMode="External" Id="rId170" /><Relationship Type="http://schemas.openxmlformats.org/officeDocument/2006/relationships/hyperlink" Target="../../../../2024/jama.2024.23898/joi240139supp1_prod_1741633738.16362.pdf#page=18" TargetMode="External" Id="rId171" /><Relationship Type="http://schemas.openxmlformats.org/officeDocument/2006/relationships/hyperlink" Target="../../../../2024/jama.2024.23898/joi240139supp2_prod_1741633738.17362.pdf#page=15" TargetMode="External" Id="rId172" /><Relationship Type="http://schemas.openxmlformats.org/officeDocument/2006/relationships/hyperlink" Target="../../../../2024/jama.2024.23898/joi240139supp3_prod_1741633738.18862.pdf#page=2" TargetMode="External" Id="rId173" /><Relationship Type="http://schemas.openxmlformats.org/officeDocument/2006/relationships/hyperlink" Target="../../../../2024/jama.2024.23898/.ai_paper_validation/review_1_5_3/source_inventory.md" TargetMode="External" Id="rId174" /><Relationship Type="http://schemas.openxmlformats.org/officeDocument/2006/relationships/hyperlink" Target="../../../../2024/jama.2024.23898/.ai_paper_validation/review_1_5_3/checkers/cross_source_consistency.md" TargetMode="External" Id="rId175" /><Relationship Type="http://schemas.openxmlformats.org/officeDocument/2006/relationships/hyperlink" Target="../../../../2024/jama.2024.23898/.ai_paper_validation/review_1_5_3/checkers/statistical_pass_2.md" TargetMode="External" Id="rId176" /><Relationship Type="http://schemas.openxmlformats.org/officeDocument/2006/relationships/hyperlink" Target="../../../../2024/jama.2024.23898/joi240139supp3_prod_1741633738.18862.pdf#page=2" TargetMode="External" Id="rId177" /><Relationship Type="http://schemas.openxmlformats.org/officeDocument/2006/relationships/hyperlink" Target="../../../../2024/jama.2024.23898/joi240139supp2_prod_1741633738.17362.pdf#page=15" TargetMode="External" Id="rId178" /><Relationship Type="http://schemas.openxmlformats.org/officeDocument/2006/relationships/hyperlink" Target="../../../../2024/jama.2024.23898/.ai_paper_validation/review_1_5_3/source_inventory.md" TargetMode="External" Id="rId179" /><Relationship Type="http://schemas.openxmlformats.org/officeDocument/2006/relationships/hyperlink" Target="../../../../2024/jama.2024.23898/.ai_paper_validation/review_1_5_3/checkers/statistical_pass_2.md" TargetMode="External" Id="rId180" /><Relationship Type="http://schemas.openxmlformats.org/officeDocument/2006/relationships/hyperlink" Target="../../../../2024/jama.2024.23898/jama_paterson_2024_oi_240139_1741633738.12862.pdf#page=5" TargetMode="External" Id="rId181" /><Relationship Type="http://schemas.openxmlformats.org/officeDocument/2006/relationships/hyperlink" Target="../../../../2024/jama.2024.23898/jama_paterson_2024_oi_240139_1741633738.12862.pdf#page=6" TargetMode="External" Id="rId182" /><Relationship Type="http://schemas.openxmlformats.org/officeDocument/2006/relationships/hyperlink" Target="../../../../2024/jama.2024.23898/joi240139supp2_prod_1741633738.17362.pdf#page=13" TargetMode="External" Id="rId183" /><Relationship Type="http://schemas.openxmlformats.org/officeDocument/2006/relationships/hyperlink" Target="../../../../2024/jama.2024.23898/joi240139supp2_prod_1741633738.17362.pdf#page=14" TargetMode="External" Id="rId184" /><Relationship Type="http://schemas.openxmlformats.org/officeDocument/2006/relationships/hyperlink" Target="../../../../2024/jama.2024.23898/.ai_paper_validation/review_1_5_3/source_inventory.md" TargetMode="External" Id="rId185" /><Relationship Type="http://schemas.openxmlformats.org/officeDocument/2006/relationships/hyperlink" Target="../../../../2024/jama.2024.23898/.ai_paper_validation/review_1_5_3/checkers/statistical_pass_2.md" TargetMode="External" Id="rId186" /><Relationship Type="http://schemas.openxmlformats.org/officeDocument/2006/relationships/hyperlink" Target="../../../../2024/jama.2024.23898/jama_paterson_2024_oi_240139_1741633738.12862.pdf#page=5" TargetMode="External" Id="rId187" /><Relationship Type="http://schemas.openxmlformats.org/officeDocument/2006/relationships/hyperlink" Target="../../../../2024/jama.2024.23898/joi240139supp2_prod_1741633738.17362.pdf#page=15" TargetMode="External" Id="rId188" /><Relationship Type="http://schemas.openxmlformats.org/officeDocument/2006/relationships/hyperlink" Target="../../../../2024/jama.2024.23898/joi240139supp3_prod_1741633738.18862.pdf#page=2" TargetMode="External" Id="rId189" /><Relationship Type="http://schemas.openxmlformats.org/officeDocument/2006/relationships/hyperlink" Target="../../../../2024/jama.2024.23898/.ai_paper_validation/review_1_5_3/source_inventory.md" TargetMode="External" Id="rId190" /><Relationship Type="http://schemas.openxmlformats.org/officeDocument/2006/relationships/hyperlink" Target="../../../../2024/jama.2024.23898/.ai_paper_validation/review_1_5_3/checkers/statistical_pass_2.md" TargetMode="External" Id="rId191" /><Relationship Type="http://schemas.openxmlformats.org/officeDocument/2006/relationships/hyperlink" Target="../../../../2024/jama.2024.25786/joi240147supp2_prod_1738701765.29201.pdf#page=15" TargetMode="External" Id="rId192" /><Relationship Type="http://schemas.openxmlformats.org/officeDocument/2006/relationships/hyperlink" Target="../../../../2024/jama.2024.25786/.ai_paper_validation/review_1_5_3/source_inventory.md" TargetMode="External" Id="rId193" /><Relationship Type="http://schemas.openxmlformats.org/officeDocument/2006/relationships/hyperlink" Target="../../../../2024/jama.2024.25786/joi240147supp2_prod_1738701765.29201.pdf#page=15" TargetMode="External" Id="rId194" /><Relationship Type="http://schemas.openxmlformats.org/officeDocument/2006/relationships/hyperlink" Target="../../../../2024/jama.2024.25786/.ai_paper_validation/review_1_5_3/source_inventory.md" TargetMode="External" Id="rId195" /><Relationship Type="http://schemas.openxmlformats.org/officeDocument/2006/relationships/hyperlink" Target="../../../../2024/jama.2024.25786/joi240147supp2_prod_1738701765.29201.pdf#page=17" TargetMode="External" Id="rId196" /><Relationship Type="http://schemas.openxmlformats.org/officeDocument/2006/relationships/hyperlink" Target="../../../../2024/jama.2024.25786/joi240147supp2_prod_1738701765.29201.pdf#page=20" TargetMode="External" Id="rId197" /><Relationship Type="http://schemas.openxmlformats.org/officeDocument/2006/relationships/hyperlink" Target="../../../../2024/jama.2024.25786/jama_arleth_2024_oi_240147_1738701765.27201.pdf#page=5" TargetMode="External" Id="rId198" /><Relationship Type="http://schemas.openxmlformats.org/officeDocument/2006/relationships/hyperlink" Target="../../../../2024/jama.2024.25786/.ai_paper_validation/review_1_5_3/source_inventory.md" TargetMode="External" Id="rId199" /><Relationship Type="http://schemas.openxmlformats.org/officeDocument/2006/relationships/hyperlink" Target="../../../../2024/jama.2024.25786/.ai_paper_validation/review_1_5_3/verification/evidence_recheck.md" TargetMode="External" Id="rId200" /><Relationship Type="http://schemas.openxmlformats.org/officeDocument/2006/relationships/hyperlink" Target="../../../../2024/jama.2024.25786/jama_arleth_2024_oi_240147_1738701765.27201.pdf#page=8" TargetMode="External" Id="rId201" /><Relationship Type="http://schemas.openxmlformats.org/officeDocument/2006/relationships/hyperlink" Target="../../../../2024/jama.2024.25786/joi240147supp2_prod_1738701765.29201.pdf#page=20" TargetMode="External" Id="rId202" /><Relationship Type="http://schemas.openxmlformats.org/officeDocument/2006/relationships/hyperlink" Target="../../../../2024/jama.2024.25786/.ai_paper_validation/review_1_5_3/source_inventory.md" TargetMode="External" Id="rId203" /><Relationship Type="http://schemas.openxmlformats.org/officeDocument/2006/relationships/hyperlink" Target="../../../../2024/jama.2024.25786/.ai_paper_validation/review_1_5_3/verification/evidence_recheck.md" TargetMode="External" Id="rId204" /><Relationship Type="http://schemas.openxmlformats.org/officeDocument/2006/relationships/hyperlink" Target="../../../../2024/jama.2024.25786/jama_arleth_2024_oi_240147_1738701765.27201.pdf#page=8" TargetMode="External" Id="rId205" /><Relationship Type="http://schemas.openxmlformats.org/officeDocument/2006/relationships/hyperlink" Target="../../../../2024/jama.2024.25786/joi240147supp2_prod_1738701765.29201.pdf#page=20" TargetMode="External" Id="rId206" /><Relationship Type="http://schemas.openxmlformats.org/officeDocument/2006/relationships/hyperlink" Target="../../../../2024/jama.2024.25786/.ai_paper_validation/review_1_5_3/source_inventory.md" TargetMode="External" Id="rId207" /><Relationship Type="http://schemas.openxmlformats.org/officeDocument/2006/relationships/hyperlink" Target="../../../../2024/jama.2024.25786/.ai_paper_validation/review_1_5_3/verification/evidence_recheck.md" TargetMode="External" Id="rId208" /><Relationship Type="http://schemas.openxmlformats.org/officeDocument/2006/relationships/hyperlink" Target="../../../../2024/jama.2024.25786/joi240147supp2_prod_1738701765.29201.pdf#page=24" TargetMode="External" Id="rId209" /><Relationship Type="http://schemas.openxmlformats.org/officeDocument/2006/relationships/hyperlink" Target="../../../../2024/jama.2024.25786/jama_arleth_2024_oi_240147_1738701765.27201.pdf#page=3" TargetMode="External" Id="rId210" /><Relationship Type="http://schemas.openxmlformats.org/officeDocument/2006/relationships/hyperlink" Target="../../../../2024/jama.2024.25786/.ai_paper_validation/review_1_5_3/source_inventory.md" TargetMode="External" Id="rId211" /><Relationship Type="http://schemas.openxmlformats.org/officeDocument/2006/relationships/hyperlink" Target="../../../../2024/jama.2024.25786/.ai_paper_validation/review_1_5_3/verification/evidence_recheck.md" TargetMode="External" Id="rId212" /><Relationship Type="http://schemas.openxmlformats.org/officeDocument/2006/relationships/hyperlink" Target="../../../../2024/jama.2024.25786/joi240147supp2_prod_1738701765.29201.pdf#page=24" TargetMode="External" Id="rId213" /><Relationship Type="http://schemas.openxmlformats.org/officeDocument/2006/relationships/hyperlink" Target="../../../../2024/jama.2024.25786/jama_arleth_2024_oi_240147_1738701765.27201.pdf#page=3" TargetMode="External" Id="rId214" /><Relationship Type="http://schemas.openxmlformats.org/officeDocument/2006/relationships/hyperlink" Target="../../../../2024/jama.2024.25786/.ai_paper_validation/review_1_5_3/source_inventory.md" TargetMode="External" Id="rId215" /><Relationship Type="http://schemas.openxmlformats.org/officeDocument/2006/relationships/hyperlink" Target="../../../../2024/jama.2024.25786/.ai_paper_validation/review_1_5_3/verification/evidence_recheck.md" TargetMode="External" Id="rId216" /><Relationship Type="http://schemas.openxmlformats.org/officeDocument/2006/relationships/hyperlink" Target="../../../../2024/jama.2024.25786/joi240147supp2_prod_1738701765.29201.pdf#page=25" TargetMode="External" Id="rId217" /><Relationship Type="http://schemas.openxmlformats.org/officeDocument/2006/relationships/hyperlink" Target="../../../../2024/jama.2024.25786/.ai_paper_validation/review_1_5_3/source_inventory.md" TargetMode="External" Id="rId218" /><Relationship Type="http://schemas.openxmlformats.org/officeDocument/2006/relationships/hyperlink" Target="../../../../2024/jama.2024.4183/jama_cinciripini_2024_oi_240036_1716416465.98349.pdf#page=1" TargetMode="External" Id="rId219" /><Relationship Type="http://schemas.openxmlformats.org/officeDocument/2006/relationships/hyperlink" Target="../../../../2024/jama.2024.4183/jama_cinciripini_2024_oi_240036_1716416465.98349.pdf#page=6" TargetMode="External" Id="rId220" /><Relationship Type="http://schemas.openxmlformats.org/officeDocument/2006/relationships/hyperlink" Target="../../../../2024/jama.2024.4183/.ai_paper_validation/review_1_5_3/source_inventory.md" TargetMode="External" Id="rId221" /><Relationship Type="http://schemas.openxmlformats.org/officeDocument/2006/relationships/hyperlink" Target="../../../../2024/jama.2024.4183/jama_cinciripini_2024_oi_240036_1716416465.98349.pdf#page=5" TargetMode="External" Id="rId222" /><Relationship Type="http://schemas.openxmlformats.org/officeDocument/2006/relationships/hyperlink" Target="../../../../2024/jama.2024.4183/.ai_paper_validation/review_1_5_3/source_inventory.md" TargetMode="External" Id="rId223" /><Relationship Type="http://schemas.openxmlformats.org/officeDocument/2006/relationships/hyperlink" Target="../../../../2024/jama.2024.4183/jama_cinciripini_2024_oi_240036_1716416465.98349.pdf#page=4" TargetMode="External" Id="rId224" /><Relationship Type="http://schemas.openxmlformats.org/officeDocument/2006/relationships/hyperlink" Target="../../../../2024/jama.2024.4183/jama_cinciripini_2024_oi_240036_1716416465.98349.pdf#page=6" TargetMode="External" Id="rId225" /><Relationship Type="http://schemas.openxmlformats.org/officeDocument/2006/relationships/hyperlink" Target="../../../../2024/jama.2024.4183/.ai_paper_validation/review_1_5_3/source_inventory.md" TargetMode="External" Id="rId226" /><Relationship Type="http://schemas.openxmlformats.org/officeDocument/2006/relationships/hyperlink" Target="../../../../2024/jama.2024.4183/jama_cinciripini_2024_oi_240036_1716416465.98349.pdf#page=1" TargetMode="External" Id="rId227" /><Relationship Type="http://schemas.openxmlformats.org/officeDocument/2006/relationships/hyperlink" Target="../../../../2024/jama.2024.4183/jama_cinciripini_2024_oi_240036_1716416465.98349.pdf#page=4" TargetMode="External" Id="rId228" /><Relationship Type="http://schemas.openxmlformats.org/officeDocument/2006/relationships/hyperlink" Target="../../../../2024/jama.2024.4183/jama_cinciripini_2024_oi_240036_1716416465.98349.pdf#page=6" TargetMode="External" Id="rId229" /><Relationship Type="http://schemas.openxmlformats.org/officeDocument/2006/relationships/hyperlink" Target="../../../../2024/jama.2024.4183/.ai_paper_validation/review_1_5_3/source_inventory.md" TargetMode="External" Id="rId230" /><Relationship Type="http://schemas.openxmlformats.org/officeDocument/2006/relationships/hyperlink" Target="../../../../2024/jama.2024.4183/jama_cinciripini_2024_oi_240036_1716416465.98349.pdf#page=1" TargetMode="External" Id="rId231" /><Relationship Type="http://schemas.openxmlformats.org/officeDocument/2006/relationships/hyperlink" Target="../../../../2024/jama.2024.4183/jama_cinciripini_2024_oi_240036_1716416465.98349.pdf#page=5" TargetMode="External" Id="rId232" /><Relationship Type="http://schemas.openxmlformats.org/officeDocument/2006/relationships/hyperlink" Target="../../../../2024/jama.2024.4183/joi240036supp2_prod_1716416466.01349.pdf#page=21" TargetMode="External" Id="rId233" /><Relationship Type="http://schemas.openxmlformats.org/officeDocument/2006/relationships/hyperlink" Target="../../../../2024/jama.2024.4183/.ai_paper_validation/review_1_5_3/source_inventory.md" TargetMode="External" Id="rId234" /><Relationship Type="http://schemas.openxmlformats.org/officeDocument/2006/relationships/hyperlink" Target="../../../../2024/jama.2024.4183/.ai_paper_validation/review_1_5_3/verification/evidence_recheck.md" TargetMode="External" Id="rId235" /><Relationship Type="http://schemas.openxmlformats.org/officeDocument/2006/relationships/hyperlink" Target="../../../../2024/jama.2024.4183/jama_cinciripini_2024_oi_240036_1716416465.98349.pdf#page=1" TargetMode="External" Id="rId236" /><Relationship Type="http://schemas.openxmlformats.org/officeDocument/2006/relationships/hyperlink" Target="../../../../2024/jama.2024.4183/jama_cinciripini_2024_oi_240036_1716416465.98349.pdf#page=5" TargetMode="External" Id="rId237" /><Relationship Type="http://schemas.openxmlformats.org/officeDocument/2006/relationships/hyperlink" Target="../../../../2024/jama.2024.4183/joi240036supp2_prod_1716416466.01349.pdf#page=21" TargetMode="External" Id="rId238" /><Relationship Type="http://schemas.openxmlformats.org/officeDocument/2006/relationships/hyperlink" Target="../../../../2024/jama.2024.4183/.ai_paper_validation/review_1_5_3/source_inventory.md" TargetMode="External" Id="rId239" /><Relationship Type="http://schemas.openxmlformats.org/officeDocument/2006/relationships/hyperlink" Target="../../../../2024/jama.2024.4183/.ai_paper_validation/review_1_5_3/verification/evidence_recheck.md" TargetMode="External" Id="rId240" /><Relationship Type="http://schemas.openxmlformats.org/officeDocument/2006/relationships/hyperlink" Target="../../../../2024/jama.2024.4183/jama_cinciripini_2024_oi_240036_1716416465.98349.pdf#page=1" TargetMode="External" Id="rId241" /><Relationship Type="http://schemas.openxmlformats.org/officeDocument/2006/relationships/hyperlink" Target="../../../../2024/jama.2024.4183/jama_cinciripini_2024_oi_240036_1716416465.98349.pdf#page=5" TargetMode="External" Id="rId242" /><Relationship Type="http://schemas.openxmlformats.org/officeDocument/2006/relationships/hyperlink" Target="../../../../2024/jama.2024.4183/jama_cinciripini_2024_oi_240036_1716416465.98349.pdf#page=7" TargetMode="External" Id="rId243" /><Relationship Type="http://schemas.openxmlformats.org/officeDocument/2006/relationships/hyperlink" Target="../../../../2024/jama.2024.4183/joi240036supp2_prod_1716416466.01349.pdf#page=21" TargetMode="External" Id="rId244" /><Relationship Type="http://schemas.openxmlformats.org/officeDocument/2006/relationships/hyperlink" Target="../../../../2024/jama.2024.4183/.ai_paper_validation/review_1_5_3/source_inventory.md" TargetMode="External" Id="rId245" /><Relationship Type="http://schemas.openxmlformats.org/officeDocument/2006/relationships/hyperlink" Target="../../../../2024/jama.2024.4183/.ai_paper_validation/review_1_5_3/verification/evidence_recheck.md" TargetMode="External" Id="rId246" /><Relationship Type="http://schemas.openxmlformats.org/officeDocument/2006/relationships/hyperlink" Target="../../../../2024/jama.2024.4183/jama_cinciripini_2024_oi_240036_1716416465.98349.pdf#page=1" TargetMode="External" Id="rId247" /><Relationship Type="http://schemas.openxmlformats.org/officeDocument/2006/relationships/hyperlink" Target="../../../../2024/jama.2024.4183/jama_cinciripini_2024_oi_240036_1716416465.98349.pdf#page=5" TargetMode="External" Id="rId248" /><Relationship Type="http://schemas.openxmlformats.org/officeDocument/2006/relationships/hyperlink" Target="../../../../2024/jama.2024.4183/joi240036supp2_prod_1716416466.01349.pdf#page=21" TargetMode="External" Id="rId249" /><Relationship Type="http://schemas.openxmlformats.org/officeDocument/2006/relationships/hyperlink" Target="../../../../2024/jama.2024.4183/.ai_paper_validation/review_1_5_3/source_inventory.md" TargetMode="External" Id="rId250" /><Relationship Type="http://schemas.openxmlformats.org/officeDocument/2006/relationships/hyperlink" Target="../../../../2024/jama.2024.4183/jama_cinciripini_2024_oi_240036_1716416465.98349.pdf#page=7" TargetMode="External" Id="rId251" /><Relationship Type="http://schemas.openxmlformats.org/officeDocument/2006/relationships/hyperlink" Target="../../../../2024/jama.2024.4183/joi240036supp2_prod_1716416466.01349.pdf#page=21" TargetMode="External" Id="rId252" /><Relationship Type="http://schemas.openxmlformats.org/officeDocument/2006/relationships/hyperlink" Target="../../../../2024/jama.2024.4183/.ai_paper_validation/review_1_5_3/source_inventory.md" TargetMode="External" Id="rId253" /><Relationship Type="http://schemas.openxmlformats.org/officeDocument/2006/relationships/hyperlink" Target="../../../../2024/jama.2024.4183/joi240036supp1_prod_1716416466.00349.pdf#page=32" TargetMode="External" Id="rId254" /><Relationship Type="http://schemas.openxmlformats.org/officeDocument/2006/relationships/hyperlink" Target="../../../../2024/jama.2024.4183/.ai_paper_validation/review_1_5_3/source_inventory.md" TargetMode="External" Id="rId255" /><Relationship Type="http://schemas.openxmlformats.org/officeDocument/2006/relationships/hyperlink" Target="../../../../2024/jama.2024.4183/.ai_paper_validation/review_1_5_3/verification/evidence_recheck.md" TargetMode="External" Id="rId256" /><Relationship Type="http://schemas.openxmlformats.org/officeDocument/2006/relationships/hyperlink" Target="../../../../2024/jama.2024.4183/joi240036supp1_prod_1716416466.00349.pdf#page=34" TargetMode="External" Id="rId257" /><Relationship Type="http://schemas.openxmlformats.org/officeDocument/2006/relationships/hyperlink" Target="../../../../2024/jama.2024.4183/.ai_paper_validation/review_1_5_3/source_inventory.md" TargetMode="External" Id="rId258" /><Relationship Type="http://schemas.openxmlformats.org/officeDocument/2006/relationships/hyperlink" Target="../../../../2024/jama.2024.4183/.ai_paper_validation/review_1_5_3/verification/evidence_recheck.md" TargetMode="External" Id="rId259" /><Relationship Type="http://schemas.openxmlformats.org/officeDocument/2006/relationships/hyperlink" Target="../../../../2024/jama.2024.4183/joi240036supp1_prod_1716416466.00349.pdf#page=29" TargetMode="External" Id="rId260" /><Relationship Type="http://schemas.openxmlformats.org/officeDocument/2006/relationships/hyperlink" Target="../../../../2024/jama.2024.4183/joi240036supp1_prod_1716416466.00349.pdf#page=33" TargetMode="External" Id="rId261" /><Relationship Type="http://schemas.openxmlformats.org/officeDocument/2006/relationships/hyperlink" Target="../../../../2024/jama.2024.4183/joi240036supp1_prod_1716416466.00349.pdf#page=34" TargetMode="External" Id="rId262" /><Relationship Type="http://schemas.openxmlformats.org/officeDocument/2006/relationships/hyperlink" Target="../../../../2024/jama.2024.4183/.ai_paper_validation/review_1_5_3/source_inventory.md" TargetMode="External" Id="rId263" /><Relationship Type="http://schemas.openxmlformats.org/officeDocument/2006/relationships/hyperlink" Target="../../../../2024/jama.2024.4183/.ai_paper_validation/review_1_5_3/verification/evidence_recheck.md" TargetMode="External" Id="rId264" /><Relationship Type="http://schemas.openxmlformats.org/officeDocument/2006/relationships/hyperlink" Target="../../../../2024/jama.2024.4183/joi240036supp2_prod_1716416466.01349.pdf#page=19" TargetMode="External" Id="rId265" /><Relationship Type="http://schemas.openxmlformats.org/officeDocument/2006/relationships/hyperlink" Target="../../../../2024/jama.2024.4183/.ai_paper_validation/review_1_5_3/source_inventory.md" TargetMode="External" Id="rId266" /><Relationship Type="http://schemas.openxmlformats.org/officeDocument/2006/relationships/hyperlink" Target="../../../../2024/jama.2024.4183/joi240036supp2_prod_1716416466.01349.pdf#page=10" TargetMode="External" Id="rId267" /><Relationship Type="http://schemas.openxmlformats.org/officeDocument/2006/relationships/hyperlink" Target="../../../../2024/jama.2024.4183/joi240036supp2_prod_1716416466.01349.pdf#page=15" TargetMode="External" Id="rId268" /><Relationship Type="http://schemas.openxmlformats.org/officeDocument/2006/relationships/hyperlink" Target="../../../../2024/jama.2024.4183/.ai_paper_validation/review_1_5_3/source_inventory.md" TargetMode="External" Id="rId269" /><Relationship Type="http://schemas.openxmlformats.org/officeDocument/2006/relationships/hyperlink" Target="../../../../2024/jama.2024.4183/joi240036supp2_prod_1716416466.01349.pdf#page=10" TargetMode="External" Id="rId270" /><Relationship Type="http://schemas.openxmlformats.org/officeDocument/2006/relationships/hyperlink" Target="../../../../2024/jama.2024.4183/joi240036supp2_prod_1716416466.01349.pdf#page=15" TargetMode="External" Id="rId271" /><Relationship Type="http://schemas.openxmlformats.org/officeDocument/2006/relationships/hyperlink" Target="../../../../2024/jama.2024.4183/.ai_paper_validation/review_1_5_3/source_inventory.md" TargetMode="External" Id="rId272" /><Relationship Type="http://schemas.openxmlformats.org/officeDocument/2006/relationships/hyperlink" Target="../../../../2024/jama.2024.4183/joi240036supp2_prod_1716416466.01349.pdf#page=10" TargetMode="External" Id="rId273" /><Relationship Type="http://schemas.openxmlformats.org/officeDocument/2006/relationships/hyperlink" Target="../../../../2024/jama.2024.4183/joi240036supp2_prod_1716416466.01349.pdf#page=33" TargetMode="External" Id="rId274" /><Relationship Type="http://schemas.openxmlformats.org/officeDocument/2006/relationships/hyperlink" Target="../../../../2024/jama.2024.4183/.ai_paper_validation/review_1_5_3/source_inventory.md" TargetMode="External" Id="rId275" /><Relationship Type="http://schemas.openxmlformats.org/officeDocument/2006/relationships/hyperlink" Target="../../../../2024/jama.2024.4183/joi240036supp2_prod_1716416466.01349.pdf#page=10" TargetMode="External" Id="rId276" /><Relationship Type="http://schemas.openxmlformats.org/officeDocument/2006/relationships/hyperlink" Target="../../../../2024/jama.2024.4183/joi240036supp2_prod_1716416466.01349.pdf#page=11" TargetMode="External" Id="rId277" /><Relationship Type="http://schemas.openxmlformats.org/officeDocument/2006/relationships/hyperlink" Target="../../../../2024/jama.2024.4183/joi240036supp2_prod_1716416466.01349.pdf#page=15" TargetMode="External" Id="rId278" /><Relationship Type="http://schemas.openxmlformats.org/officeDocument/2006/relationships/hyperlink" Target="../../../../2024/jama.2024.4183/joi240036supp2_prod_1716416466.01349.pdf#page=33" TargetMode="External" Id="rId279" /><Relationship Type="http://schemas.openxmlformats.org/officeDocument/2006/relationships/hyperlink" Target="../../../../2024/jama.2024.4183/joi240036supp2_prod_1716416466.01349.pdf#page=34" TargetMode="External" Id="rId280" /><Relationship Type="http://schemas.openxmlformats.org/officeDocument/2006/relationships/hyperlink" Target="../../../../2024/jama.2024.4183/.ai_paper_validation/review_1_5_3/source_inventory.md" TargetMode="External" Id="rId281" /><Relationship Type="http://schemas.openxmlformats.org/officeDocument/2006/relationships/hyperlink" Target="../../../../2024/jama.2024.4183/joi240036supp2_prod_1716416466.01349.pdf#page=11" TargetMode="External" Id="rId282" /><Relationship Type="http://schemas.openxmlformats.org/officeDocument/2006/relationships/hyperlink" Target="../../../../2024/jama.2024.4183/joi240036supp2_prod_1716416466.01349.pdf#page=15" TargetMode="External" Id="rId283" /><Relationship Type="http://schemas.openxmlformats.org/officeDocument/2006/relationships/hyperlink" Target="../../../../2024/jama.2024.4183/joi240036supp2_prod_1716416466.01349.pdf#page=35" TargetMode="External" Id="rId284" /><Relationship Type="http://schemas.openxmlformats.org/officeDocument/2006/relationships/hyperlink" Target="../../../../2024/jama.2024.4183/.ai_paper_validation/review_1_5_3/source_inventory.md" TargetMode="External" Id="rId285" /><Relationship Type="http://schemas.openxmlformats.org/officeDocument/2006/relationships/hyperlink" Target="../../../../2024/jama.2024.4183/joi240036supp2_prod_1716416466.01349.pdf#page=11" TargetMode="External" Id="rId286" /><Relationship Type="http://schemas.openxmlformats.org/officeDocument/2006/relationships/hyperlink" Target="../../../../2024/jama.2024.4183/joi240036supp2_prod_1716416466.01349.pdf#page=31" TargetMode="External" Id="rId287" /><Relationship Type="http://schemas.openxmlformats.org/officeDocument/2006/relationships/hyperlink" Target="../../../../2024/jama.2024.4183/joi240036supp2_prod_1716416466.01349.pdf#page=33" TargetMode="External" Id="rId288" /><Relationship Type="http://schemas.openxmlformats.org/officeDocument/2006/relationships/hyperlink" Target="../../../../2024/jama.2024.4183/.ai_paper_validation/review_1_5_3/source_inventory.md" TargetMode="External" Id="rId289" /><Relationship Type="http://schemas.openxmlformats.org/officeDocument/2006/relationships/hyperlink" Target="../../../../2024/jama.2024.4183/joi240036supp2_prod_1716416466.01349.pdf#page=12" TargetMode="External" Id="rId290" /><Relationship Type="http://schemas.openxmlformats.org/officeDocument/2006/relationships/hyperlink" Target="../../../../2024/jama.2024.4183/joi240036supp2_prod_1716416466.01349.pdf#page=16" TargetMode="External" Id="rId291" /><Relationship Type="http://schemas.openxmlformats.org/officeDocument/2006/relationships/hyperlink" Target="../../../../2024/jama.2024.4183/joi240036supp2_prod_1716416466.01349.pdf#page=35" TargetMode="External" Id="rId292" /><Relationship Type="http://schemas.openxmlformats.org/officeDocument/2006/relationships/hyperlink" Target="../../../../2024/jama.2024.4183/.ai_paper_validation/review_1_5_3/source_inventory.md" TargetMode="External" Id="rId293" /><Relationship Type="http://schemas.openxmlformats.org/officeDocument/2006/relationships/hyperlink" Target="../../../../2024/jama.2024.4183/joi240036supp2_prod_1716416466.01349.pdf#page=10" TargetMode="External" Id="rId294" /><Relationship Type="http://schemas.openxmlformats.org/officeDocument/2006/relationships/hyperlink" Target="../../../../2024/jama.2024.4183/joi240036supp2_prod_1716416466.01349.pdf#page=34" TargetMode="External" Id="rId295" /><Relationship Type="http://schemas.openxmlformats.org/officeDocument/2006/relationships/hyperlink" Target="../../../../2024/jama.2024.4183/joi240036supp2_prod_1716416466.01349.pdf#page=35" TargetMode="External" Id="rId296" /><Relationship Type="http://schemas.openxmlformats.org/officeDocument/2006/relationships/hyperlink" Target="../../../../2024/jama.2024.4183/.ai_paper_validation/review_1_5_3/source_inventory.md" TargetMode="External" Id="rId297" /><Relationship Type="http://schemas.openxmlformats.org/officeDocument/2006/relationships/hyperlink" Target="../../../../2024/jama.2024.4183/joi240036supp2_prod_1716416466.01349.pdf#page=12" TargetMode="External" Id="rId298" /><Relationship Type="http://schemas.openxmlformats.org/officeDocument/2006/relationships/hyperlink" Target="../../../../2024/jama.2024.4183/joi240036supp2_prod_1716416466.01349.pdf#page=33" TargetMode="External" Id="rId299" /><Relationship Type="http://schemas.openxmlformats.org/officeDocument/2006/relationships/hyperlink" Target="../../../../2024/jama.2024.4183/joi240036supp2_prod_1716416466.01349.pdf#page=34" TargetMode="External" Id="rId300" /><Relationship Type="http://schemas.openxmlformats.org/officeDocument/2006/relationships/hyperlink" Target="../../../../2024/jama.2024.4183/.ai_paper_validation/review_1_5_3/source_inventory.md" TargetMode="External" Id="rId301" /><Relationship Type="http://schemas.openxmlformats.org/officeDocument/2006/relationships/hyperlink" Target="../../../../2024/jama.2024.4183/joi240036supp2_prod_1716416466.01349.pdf#page=19" TargetMode="External" Id="rId302" /><Relationship Type="http://schemas.openxmlformats.org/officeDocument/2006/relationships/hyperlink" Target="../../../../2024/jama.2024.4183/.ai_paper_validation/review_1_5_3/source_inventory.md" TargetMode="External" Id="rId303" /><Relationship Type="http://schemas.openxmlformats.org/officeDocument/2006/relationships/hyperlink" Target="../../../../2024/jama.2024.4183/.ai_paper_validation/review_1_5_3/verification/evidence_recheck.md" TargetMode="External" Id="rId304" /><Relationship Type="http://schemas.openxmlformats.org/officeDocument/2006/relationships/hyperlink" Target="../../../../2024/jama.2024.4183/joi240036supp2_prod_1716416466.01349.pdf#page=19" TargetMode="External" Id="rId305" /><Relationship Type="http://schemas.openxmlformats.org/officeDocument/2006/relationships/hyperlink" Target="../../../../2024/jama.2024.4183/.ai_paper_validation/review_1_5_3/source_inventory.md" TargetMode="External" Id="rId306" /><Relationship Type="http://schemas.openxmlformats.org/officeDocument/2006/relationships/hyperlink" Target="../../../../2024/jama.2024.4183/.ai_paper_validation/review_1_5_3/verification/evidence_recheck.md" TargetMode="External" Id="rId307" /><Relationship Type="http://schemas.openxmlformats.org/officeDocument/2006/relationships/hyperlink" Target="../../../../2024/jama.2024.6063/jama_laslett_2024_oi_240048_1727199125.7595.pdf#page=3" TargetMode="External" Id="rId308" /><Relationship Type="http://schemas.openxmlformats.org/officeDocument/2006/relationships/hyperlink" Target="../../../../2024/jama.2024.6063/jama_laslett_2024_oi_240048_1727199125.7595.pdf#page=7" TargetMode="External" Id="rId309" /><Relationship Type="http://schemas.openxmlformats.org/officeDocument/2006/relationships/hyperlink" Target="../../../../2024/jama.2024.6063/.ai_paper_validation/review_1_5_3/source_inventory.md" TargetMode="External" Id="rId310" /><Relationship Type="http://schemas.openxmlformats.org/officeDocument/2006/relationships/hyperlink" Target="../../../../2024/jama.2024.6063/joi240048supp3_prod_1727199125.83025.pdf#page=3" TargetMode="External" Id="rId311" /><Relationship Type="http://schemas.openxmlformats.org/officeDocument/2006/relationships/hyperlink" Target="../../../../2024/jama.2024.6063/.ai_paper_validation/review_1_5_3/source_inventory.md" TargetMode="External" Id="rId312" /><Relationship Type="http://schemas.openxmlformats.org/officeDocument/2006/relationships/hyperlink" Target="../../../../2024/jama.2024.6063/joi240048supp3_prod_1727199125.83025.pdf#page=8" TargetMode="External" Id="rId313" /><Relationship Type="http://schemas.openxmlformats.org/officeDocument/2006/relationships/hyperlink" Target="../../../../2024/jama.2024.6063/.ai_paper_validation/review_1_5_3/source_inventory.md" TargetMode="External" Id="rId314" /><Relationship Type="http://schemas.openxmlformats.org/officeDocument/2006/relationships/hyperlink" Target="../../../../2024/jama.2024.6063/joi240048supp3_prod_1727199125.83025.pdf#page=8" TargetMode="External" Id="rId315" /><Relationship Type="http://schemas.openxmlformats.org/officeDocument/2006/relationships/hyperlink" Target="../../../../2024/jama.2024.6063/.ai_paper_validation/review_1_5_3/source_inventory.md" TargetMode="External" Id="rId316" /><Relationship Type="http://schemas.openxmlformats.org/officeDocument/2006/relationships/hyperlink" Target="../../../../2024/jama.2024.6063/joi240048supp3_prod_1727199125.83025.pdf#page=8" TargetMode="External" Id="rId317" /><Relationship Type="http://schemas.openxmlformats.org/officeDocument/2006/relationships/hyperlink" Target="../../../../2024/jama.2024.6063/.ai_paper_validation/review_1_5_3/source_inventory.md" TargetMode="External" Id="rId318" /><Relationship Type="http://schemas.openxmlformats.org/officeDocument/2006/relationships/hyperlink" Target="../../../../2024/jama.2024.6063/joi240048supp3_prod_1727199125.83025.pdf#page=8" TargetMode="External" Id="rId319" /><Relationship Type="http://schemas.openxmlformats.org/officeDocument/2006/relationships/hyperlink" Target="../../../../2024/jama.2024.6063/.ai_paper_validation/review_1_5_3/source_inventory.md" TargetMode="External" Id="rId320" /><Relationship Type="http://schemas.openxmlformats.org/officeDocument/2006/relationships/hyperlink" Target="../../../../2024/jama.2024.6063/joi240048supp3_prod_1727199125.83025.pdf#page=8" TargetMode="External" Id="rId321" /><Relationship Type="http://schemas.openxmlformats.org/officeDocument/2006/relationships/hyperlink" Target="../../../../2024/jama.2024.6063/.ai_paper_validation/review_1_5_3/source_inventory.md" TargetMode="External" Id="rId322" /><Relationship Type="http://schemas.openxmlformats.org/officeDocument/2006/relationships/hyperlink" Target="../../../../2024/jama.2024.6063/joi240048supp3_prod_1727199125.83025.pdf#page=8" TargetMode="External" Id="rId323" /><Relationship Type="http://schemas.openxmlformats.org/officeDocument/2006/relationships/hyperlink" Target="../../../../2024/jama.2024.6063/.ai_paper_validation/review_1_5_3/source_inventory.md" TargetMode="External" Id="rId324" /><Relationship Type="http://schemas.openxmlformats.org/officeDocument/2006/relationships/hyperlink" Target="../../../../2024/jama.2024.6063/joi240048supp3_prod_1727199125.83025.pdf#page=5" TargetMode="External" Id="rId325" /><Relationship Type="http://schemas.openxmlformats.org/officeDocument/2006/relationships/hyperlink" Target="../../../../2024/jama.2024.6063/.ai_paper_validation/review_1_5_3/source_inventory.md" TargetMode="External" Id="rId326" /><Relationship Type="http://schemas.openxmlformats.org/officeDocument/2006/relationships/hyperlink" Target="../../../../2024/jama.2024.6063/joi240048supp3_prod_1727199125.83025.pdf#page=6" TargetMode="External" Id="rId327" /><Relationship Type="http://schemas.openxmlformats.org/officeDocument/2006/relationships/hyperlink" Target="../../../../2024/jama.2024.6063/.ai_paper_validation/review_1_5_3/source_inventory.md" TargetMode="External" Id="rId328" /><Relationship Type="http://schemas.openxmlformats.org/officeDocument/2006/relationships/hyperlink" Target="../../../../2024/jama.2024.6063/joi240048supp3_prod_1727199125.83025.pdf#page=6" TargetMode="External" Id="rId329" /><Relationship Type="http://schemas.openxmlformats.org/officeDocument/2006/relationships/hyperlink" Target="../../../../2024/jama.2024.6063/.ai_paper_validation/review_1_5_3/source_inventory.md" TargetMode="External" Id="rId330" /><Relationship Type="http://schemas.openxmlformats.org/officeDocument/2006/relationships/hyperlink" Target="../../../../2024/jama.2024.6063/jama_laslett_2024_oi_240048_1727199125.7595.pdf#page=2" TargetMode="External" Id="rId331" /><Relationship Type="http://schemas.openxmlformats.org/officeDocument/2006/relationships/hyperlink" Target="../../../../2024/jama.2024.6063/jama_laslett_2024_oi_240048_1727199125.7595.pdf#page=1" TargetMode="External" Id="rId332" /><Relationship Type="http://schemas.openxmlformats.org/officeDocument/2006/relationships/hyperlink" Target="../../../../2024/jama.2024.6063/jama_laslett_2024_oi_240048_1727199125.7595.pdf#page=6" TargetMode="External" Id="rId333" /><Relationship Type="http://schemas.openxmlformats.org/officeDocument/2006/relationships/hyperlink" Target="../../../../2024/jama.2024.6063/jama_laslett_2024_oi_240048_1727199125.7595.pdf#page=7" TargetMode="External" Id="rId334" /><Relationship Type="http://schemas.openxmlformats.org/officeDocument/2006/relationships/hyperlink" Target="../../../../2024/jama.2024.6063/joi240048supp3_prod_1727199125.83025.pdf#page=2" TargetMode="External" Id="rId335" /><Relationship Type="http://schemas.openxmlformats.org/officeDocument/2006/relationships/hyperlink" Target="../../../../2024/jama.2024.6063/.ai_paper_validation/review_1_5_3/source_inventory.md" TargetMode="External" Id="rId336" /><Relationship Type="http://schemas.openxmlformats.org/officeDocument/2006/relationships/hyperlink" Target="../../../../2024/jama.2024.6063/.ai_paper_validation/review_1_5_3/verification/evidence_recheck.md" TargetMode="External" Id="rId337" /><Relationship Type="http://schemas.openxmlformats.org/officeDocument/2006/relationships/hyperlink" Target="../../../../2024/jama.2024.6063/jama_laslett_2024_oi_240048_1727199125.7595.pdf#page=1" TargetMode="External" Id="rId338" /><Relationship Type="http://schemas.openxmlformats.org/officeDocument/2006/relationships/hyperlink" Target="../../../../2024/jama.2024.6063/jama_laslett_2024_oi_240048_1727199125.7595.pdf#page=8" TargetMode="External" Id="rId339" /><Relationship Type="http://schemas.openxmlformats.org/officeDocument/2006/relationships/hyperlink" Target="../../../../2024/jama.2024.6063/joi240048supp3_prod_1727199125.83025.pdf#page=10" TargetMode="External" Id="rId340" /><Relationship Type="http://schemas.openxmlformats.org/officeDocument/2006/relationships/hyperlink" Target="../../../../2024/jama.2024.6063/.ai_paper_validation/review_1_5_3/source_inventory.md" TargetMode="External" Id="rId341" /><Relationship Type="http://schemas.openxmlformats.org/officeDocument/2006/relationships/hyperlink" Target="../../../../2024/jama.2024.6063/.ai_paper_validation/review_1_5_3/verification/evidence_recheck.md" TargetMode="External" Id="rId342" /><Relationship Type="http://schemas.openxmlformats.org/officeDocument/2006/relationships/hyperlink" Target="../../../../2024/jama.2024.6063/jama_laslett_2024_oi_240048_1727199125.7595.pdf#page=8" TargetMode="External" Id="rId343" /><Relationship Type="http://schemas.openxmlformats.org/officeDocument/2006/relationships/hyperlink" Target="../../../../2024/jama.2024.6063/joi240048supp3_prod_1727199125.83025.pdf#page=5" TargetMode="External" Id="rId344" /><Relationship Type="http://schemas.openxmlformats.org/officeDocument/2006/relationships/hyperlink" Target="../../../../2024/jama.2024.6063/joi240048supp3_prod_1727199125.83025.pdf#page=10" TargetMode="External" Id="rId345" /><Relationship Type="http://schemas.openxmlformats.org/officeDocument/2006/relationships/hyperlink" Target="../../../../2024/jama.2024.6063/.ai_paper_validation/review_1_5_3/source_inventory.md" TargetMode="External" Id="rId346" /><Relationship Type="http://schemas.openxmlformats.org/officeDocument/2006/relationships/hyperlink" Target="../../../../2024/jama.2024.6063/.ai_paper_validation/review_1_5_3/verification/evidence_recheck.md" TargetMode="External" Id="rId347" /><Relationship Type="http://schemas.openxmlformats.org/officeDocument/2006/relationships/hyperlink" Target="../../../../2024/jama.2024.6063/jama_laslett_2024_oi_240048_1727199125.7595.pdf#page=8" TargetMode="External" Id="rId348" /><Relationship Type="http://schemas.openxmlformats.org/officeDocument/2006/relationships/hyperlink" Target="../../../../2024/jama.2024.6063/joi240048supp3_prod_1727199125.83025.pdf#page=8" TargetMode="External" Id="rId349" /><Relationship Type="http://schemas.openxmlformats.org/officeDocument/2006/relationships/hyperlink" Target="../../../../2024/jama.2024.6063/joi240048supp3_prod_1727199125.83025.pdf#page=9" TargetMode="External" Id="rId350" /><Relationship Type="http://schemas.openxmlformats.org/officeDocument/2006/relationships/hyperlink" Target="../../../../2024/jama.2024.6063/joi240048supp3_prod_1727199125.83025.pdf#page=14" TargetMode="External" Id="rId351" /><Relationship Type="http://schemas.openxmlformats.org/officeDocument/2006/relationships/hyperlink" Target="../../../../2024/jama.2024.6063/.ai_paper_validation/review_1_5_3/source_inventory.md" TargetMode="External" Id="rId352" /><Relationship Type="http://schemas.openxmlformats.org/officeDocument/2006/relationships/hyperlink" Target="../../../../2024/jama.2024.6063/.ai_paper_validation/review_1_5_3/verification/evidence_recheck.md" TargetMode="External" Id="rId353" /><Relationship Type="http://schemas.openxmlformats.org/officeDocument/2006/relationships/hyperlink" Target="../../../../2024/jama.2024.6063/jama_laslett_2024_oi_240048_1727199125.7595.pdf#page=7" TargetMode="External" Id="rId354" /><Relationship Type="http://schemas.openxmlformats.org/officeDocument/2006/relationships/hyperlink" Target="../../../../2024/jama.2024.6063/joi240048supp3_prod_1727199125.83025.pdf#page=3" TargetMode="External" Id="rId355" /><Relationship Type="http://schemas.openxmlformats.org/officeDocument/2006/relationships/hyperlink" Target="../../../../2024/jama.2024.6063/.ai_paper_validation/review_1_5_3/source_inventory.md" TargetMode="External" Id="rId356" /><Relationship Type="http://schemas.openxmlformats.org/officeDocument/2006/relationships/hyperlink" Target="../../../../2024/jama.2024.6063/.ai_paper_validation/review_1_5_3/verification/evidence_recheck.md" TargetMode="External" Id="rId357" /></Relationships>
</file>

<file path=xl/worksheets/sheet1.xml><?xml version="1.0" encoding="utf-8"?>
<worksheet xmlns="http://schemas.openxmlformats.org/spreadsheetml/2006/main">
  <sheetPr>
    <outlinePr summaryBelow="1" summaryRight="1"/>
    <pageSetUpPr/>
  </sheetPr>
  <dimension ref="A1:B1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1" customWidth="1" style="8" min="1" max="1"/>
    <col width="120" customWidth="1" style="8" min="2" max="2"/>
  </cols>
  <sheetData>
    <row r="1" ht="42" customFormat="1" customHeight="1" s="8">
      <c r="A1" s="14" t="inlineStr">
        <is>
          <t>Step</t>
        </is>
      </c>
      <c r="B1" s="14" t="inlineStr">
        <is>
          <t>Instructions</t>
        </is>
      </c>
    </row>
    <row r="2" ht="84" customFormat="1" customHeight="1" s="8">
      <c r="A2" s="15" t="inlineStr">
        <is>
          <t>Release</t>
        </is>
      </c>
      <c r="B2" s="15" t="inlineStr">
        <is>
          <t>TEST ONLY — SYNTHETIC ANSWERS — NEVER DELIVER</t>
        </is>
      </c>
    </row>
    <row r="3" ht="84" customFormat="1" customHeight="1" s="8">
      <c r="A3" s="16" t="inlineStr">
        <is>
          <t>Coordinator</t>
        </is>
      </c>
      <c r="B3" s="16" t="inlineStr">
        <is>
          <t>Assign two different people to the two role files. Distribute only the corresponding file to each person. Role labels are not person IDs. A standalone workbook cannot verify the other person’s identity.</t>
        </is>
      </c>
    </row>
    <row r="4" ht="84" customFormat="1" customHeight="1" s="8">
      <c r="A4" s="15" t="inlineStr">
        <is>
          <t>1. Begin</t>
        </is>
      </c>
      <c r="B4" s="15" t="inlineStr">
        <is>
          <t>Save As a working copy in this release folder, or preserve the same relative source-folder layout. In Setup B2 enter your own reviewer ID/name. B3 optionally records your full name.</t>
        </is>
      </c>
    </row>
    <row r="5" ht="84" customFormat="1" customHeight="1" s="8">
      <c r="A5" s="16" t="inlineStr">
        <is>
          <t>2. Read evidence</t>
        </is>
      </c>
      <c r="B5" s="16" t="inlineStr">
        <is>
          <t>Use Papers to open a C_ paper sheet. Click a Candidate key to reach its embedded Evidence. Candidates, Links and Relations retain the frozen source context. Source-file links require access to the original repository folders; all structured evidence is embedded.</t>
        </is>
      </c>
    </row>
    <row r="6" ht="84" customFormat="1" customHeight="1" s="8">
      <c r="A6" s="15" t="inlineStr">
        <is>
          <t>3. Assess</t>
        </is>
      </c>
      <c r="B6" s="15" t="inlineStr">
        <is>
          <t>Choose D: retain, exclude or discuss. Confirm or change the AI-suggested domain in E. Read Codebook definitions and answer applicable H–L judgments. Add optional English notes in R. M–Q are blank spacers.</t>
        </is>
      </c>
    </row>
    <row r="7" ht="84" customFormat="1" customHeight="1" s="8">
      <c r="A7" s="16" t="inlineStr">
        <is>
          <t>4. Applicability</t>
        </is>
      </c>
      <c r="B7" s="16" t="inlineStr">
        <is>
          <t>For retain: statistical_results requires H and I, with J optional; report_internal_inconsistency and plan_material require K; protocol_report has optional L and no extra required judgment. Other H–L fields are inactive. D and valid E are required even for exclude/discuss.</t>
        </is>
      </c>
    </row>
    <row r="8" ht="84" customFormat="1" customHeight="1" s="8">
      <c r="A8" s="15" t="inlineStr">
        <is>
          <t>5. Defaults and changes</t>
        </is>
      </c>
      <c r="B8" s="15" t="inlineStr">
        <is>
          <t>Untouched H–L formulas show blank when potentially applicable, otherwise not_applicable. Selecting an answer replaces that input formula. Blank is no answer. Changing D/E does not erase literal answers. Clear stale inactive values or select not_applicable; never use not_applicable in an active field.</t>
        </is>
      </c>
    </row>
    <row r="9" ht="84" customFormat="1" customHeight="1" s="8">
      <c r="A9" s="16" t="inlineStr">
        <is>
          <t>6. Complete a row</t>
        </is>
      </c>
      <c r="B9" s="16" t="inlineStr">
        <is>
          <t>After manual review set F=primary_done. Inspect G for PRIMARY READY. A dropdown does not catch every pasted value; G also validates entries. Optional active answers may be cleared to blank.</t>
        </is>
      </c>
    </row>
    <row r="10" ht="84" customFormat="1" customHeight="1" s="8">
      <c r="A10" s="15" t="inlineStr">
        <is>
          <t>7. Revisit a row</t>
        </is>
      </c>
      <c r="B10" s="15" t="inlineStr">
        <is>
          <t>Before changing a completed row, manually set F=no, make changes and review again, then set primary_done. Excel formulas cannot automatically erase an entered completion flag.</t>
        </is>
      </c>
    </row>
    <row r="11" ht="84" customFormat="1" customHeight="1" s="8">
      <c r="A11" s="16" t="inlineStr">
        <is>
          <t>8. Check and deliver</t>
        </is>
      </c>
      <c r="B11" s="16" t="inlineStr">
        <is>
          <t>Inspect Checks and filter Decisions readiness. When every row is PRIMARY READY, save, close and deliver this completed workbook. Reopen to confirm saved entries. Built-in results update in Excel; no scripts, export, refresh or external calculation service are needed.</t>
        </is>
      </c>
    </row>
    <row r="12" ht="84" customFormat="1" customHeight="1" s="8">
      <c r="A12" s="15" t="inlineStr">
        <is>
          <t>Unresolved assessments</t>
        </is>
      </c>
      <c r="B12" s="15" t="inlineStr">
        <is>
          <t>discuss is a completed independent primary response when otherwise valid. It is unresolved scientific uncertainty, not confirmed absence of error. Its outcome stays blank. Checks shows discuss separately; completing data entry does not resolve uncertainty.</t>
        </is>
      </c>
    </row>
    <row r="13" ht="84" customFormat="1" customHeight="1" s="8">
      <c r="A13" s="16" t="inlineStr">
        <is>
          <t>Results and paper gate</t>
        </is>
      </c>
      <c r="B13" s="16" t="inlineStr">
        <is>
          <t>Decisions shows this reviewer’s effective assessment and ready outcomes. Inactive results normalize to not_applicable only after G flags stale inputs. Paper_counts withholds outcome counts until all paper rows are ready AND none is discuss. Completion and unresolved counts are separate.</t>
        </is>
      </c>
    </row>
    <row r="14" ht="84" customFormat="1" customHeight="1" s="8">
      <c r="A14" s="15" t="inlineStr">
        <is>
          <t>Outcome rules</t>
        </is>
      </c>
      <c r="B14" s="15" t="inlineStr">
        <is>
          <t>Retained P_R/P_P are protocol_descriptive/plan_descriptive and never temporal. Retained S_C/S_W confirmed/probable substantive statistical findings are primary_temporal; substantive report-internal inconsistencies are secondary_temporal. Other ready determinate records are not_eligible. Unfinished outcomes stay blank.</t>
        </is>
      </c>
    </row>
    <row r="15" ht="84" customFormat="1" customHeight="1" s="8">
      <c r="A15" s="16" t="inlineStr">
        <is>
          <t>Editing and backups</t>
        </is>
      </c>
      <c r="B15" s="16" t="inlineStr">
        <is>
          <t>All cells, including unused cells, are unlocked. No passwords or unlock step. Edit Setup and D/E/F/H–L/R; preserve source keys, evidence and result formulas. Undo accidental edits or recover from a normal Excel backup. Do not rebuild completed reviews.</t>
        </is>
      </c>
    </row>
    <row r="16" ht="84" customFormat="1" customHeight="1" s="8">
      <c r="A16" s="15" t="inlineStr">
        <is>
          <t>Limits</t>
        </is>
      </c>
      <c r="B16" s="15" t="inlineStr">
        <is>
          <t>Checks validates entries, not scientific accuracy. Fixed rules are visible in Rule_defaults and are unprotected. Formula cells remain editable, so preserve them. Construction validation and pending desktop Excel checks are recorded in VALIDATION.md alongside the release.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70" customWidth="1" style="8" min="2" max="2"/>
  </cols>
  <sheetData>
    <row r="1" ht="42" customFormat="1" customHeight="1" s="8">
      <c r="A1" s="14" t="inlineStr">
        <is>
          <t>Field</t>
        </is>
      </c>
      <c r="B1" s="14" t="inlineStr">
        <is>
          <t>Value</t>
        </is>
      </c>
    </row>
    <row r="2" ht="42" customFormat="1" customHeight="1" s="8">
      <c r="A2" s="15" t="inlineStr">
        <is>
          <t>Reviewer ID / name</t>
        </is>
      </c>
      <c r="B2" s="17" t="inlineStr">
        <is>
          <t>TEST_ALL_PRIMARY</t>
        </is>
      </c>
    </row>
    <row r="3" ht="42" customFormat="1" customHeight="1" s="8">
      <c r="A3" s="16" t="inlineStr">
        <is>
          <t>Full name (optional)</t>
        </is>
      </c>
      <c r="B3" s="17" t="n"/>
    </row>
    <row r="4" ht="42" customFormat="1" customHeight="1" s="8">
      <c r="A4" s="15" t="inlineStr">
        <is>
          <t>Reviewer role</t>
        </is>
      </c>
      <c r="B4" s="15" t="inlineStr">
        <is>
          <t>R_A</t>
        </is>
      </c>
    </row>
    <row r="5" ht="42" customFormat="1" customHeight="1" s="8">
      <c r="A5" s="16" t="inlineStr">
        <is>
          <t>Year</t>
        </is>
      </c>
      <c r="B5" s="16" t="n">
        <v>2024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8" min="1" max="1"/>
    <col width="105" customWidth="1" style="8" min="2" max="2"/>
  </cols>
  <sheetData>
    <row r="1" ht="42" customFormat="1" customHeight="1" s="8">
      <c r="A1" s="14" t="inlineStr">
        <is>
          <t>Check</t>
        </is>
      </c>
      <c r="B1" s="14" t="inlineStr">
        <is>
          <t>Result</t>
        </is>
      </c>
    </row>
    <row r="2" ht="60" customFormat="1" customHeight="1" s="8">
      <c r="A2" s="15" t="inlineStr">
        <is>
          <t>Candidates</t>
        </is>
      </c>
      <c r="B2" s="15" t="n">
        <v>91</v>
      </c>
    </row>
    <row r="3" ht="60" customFormat="1" customHeight="1" s="8">
      <c r="A3" s="16" t="inlineStr">
        <is>
          <t>Primary ready</t>
        </is>
      </c>
      <c r="B3" s="16">
        <f>COUNTIF(Decisions!G2:G92,"PRIMARY READY")</f>
        <v/>
      </c>
    </row>
    <row r="4" ht="60" customFormat="1" customHeight="1" s="8">
      <c r="A4" s="15" t="inlineStr">
        <is>
          <t>Unfinished</t>
        </is>
      </c>
      <c r="B4" s="15">
        <f>B2-B3</f>
        <v/>
      </c>
    </row>
    <row r="5" ht="60" customFormat="1" customHeight="1" s="8">
      <c r="A5" s="16" t="inlineStr">
        <is>
          <t>Discuss / unresolved</t>
        </is>
      </c>
      <c r="B5" s="16">
        <f>COUNTIF(Decisions!K2:K92,"discuss")</f>
        <v/>
      </c>
    </row>
    <row r="6" ht="60" customFormat="1" customHeight="1" s="8">
      <c r="A6" s="15" t="inlineStr">
        <is>
          <t>Workflow status</t>
        </is>
      </c>
      <c r="B6" s="15">
        <f>IF(B3=B2,"PRIMARY READY","ACTION NEEDED")</f>
        <v/>
      </c>
    </row>
    <row r="7" ht="60" customFormat="1" customHeight="1" s="8">
      <c r="A7" s="16" t="inlineStr">
        <is>
          <t>Ready with discuss</t>
        </is>
      </c>
      <c r="B7" s="16">
        <f>COUNTIFS(Decisions!G2:G92,"PRIMARY READY",Decisions!K2:K92,"discuss")</f>
        <v/>
      </c>
    </row>
    <row r="8" ht="60" customFormat="1" customHeight="1" s="8">
      <c r="A8" s="15" t="inlineStr">
        <is>
          <t>Meaning</t>
        </is>
      </c>
      <c r="B8" s="15" t="inlineStr">
        <is>
          <t>PRIMARY READY means independent data entry is complete; discuss remains unresolved and prevents that paper’s outcome counts.</t>
        </is>
      </c>
    </row>
    <row r="9" ht="60" customFormat="1" customHeight="1" s="8">
      <c r="A9" s="16" t="inlineStr">
        <is>
          <t>Next action</t>
        </is>
      </c>
      <c r="B9" s="16" t="inlineStr">
        <is>
          <t>Inspect G on C_ sheets or filter Decisions readiness. Save the completed file and deliver it; preserve normal Excel backups.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8" min="1" max="1"/>
    <col width="34" customWidth="1" style="8" min="2" max="2"/>
    <col width="18" customWidth="1" style="8" min="3" max="3"/>
  </cols>
  <sheetData>
    <row r="1" ht="42" customFormat="1" customHeight="1" s="8">
      <c r="A1" s="14" t="inlineStr">
        <is>
          <t>Paper</t>
        </is>
      </c>
      <c r="B1" s="14" t="inlineStr">
        <is>
          <t>Review worksheet</t>
        </is>
      </c>
      <c r="C1" s="14" t="inlineStr">
        <is>
          <t>Candidates</t>
        </is>
      </c>
    </row>
    <row r="2" ht="36" customFormat="1" customHeight="1" s="8">
      <c r="A2" s="15" t="inlineStr">
        <is>
          <t>jama.2024.0318</t>
        </is>
      </c>
      <c r="B2" s="15" t="inlineStr">
        <is>
          <t>C_jama.2024.0318</t>
        </is>
      </c>
      <c r="C2" s="15" t="n">
        <v>6</v>
      </c>
    </row>
    <row r="3" ht="36" customFormat="1" customHeight="1" s="8">
      <c r="A3" s="16" t="inlineStr">
        <is>
          <t>jama.2024.0572</t>
        </is>
      </c>
      <c r="B3" s="16" t="inlineStr">
        <is>
          <t>C_jama.2024.0572</t>
        </is>
      </c>
      <c r="C3" s="16" t="n">
        <v>2</v>
      </c>
    </row>
    <row r="4" ht="36" customFormat="1" customHeight="1" s="8">
      <c r="A4" s="15" t="inlineStr">
        <is>
          <t>jama.2024.11057</t>
        </is>
      </c>
      <c r="B4" s="15" t="inlineStr">
        <is>
          <t>C_jama.2024.11057</t>
        </is>
      </c>
      <c r="C4" s="15" t="n">
        <v>3</v>
      </c>
    </row>
    <row r="5" ht="36" customFormat="1" customHeight="1" s="8">
      <c r="A5" s="16" t="inlineStr">
        <is>
          <t>jama.2024.12829</t>
        </is>
      </c>
      <c r="B5" s="16" t="inlineStr">
        <is>
          <t>C_jama.2024.12829</t>
        </is>
      </c>
      <c r="C5" s="16" t="n">
        <v>17</v>
      </c>
    </row>
    <row r="6" ht="36" customFormat="1" customHeight="1" s="8">
      <c r="A6" s="15" t="inlineStr">
        <is>
          <t>jama.2024.19585</t>
        </is>
      </c>
      <c r="B6" s="15" t="inlineStr">
        <is>
          <t>C_jama.2024.19585</t>
        </is>
      </c>
      <c r="C6" s="15" t="n">
        <v>3</v>
      </c>
    </row>
    <row r="7" ht="36" customFormat="1" customHeight="1" s="8">
      <c r="A7" s="16" t="inlineStr">
        <is>
          <t>jama.2024.2302</t>
        </is>
      </c>
      <c r="B7" s="16" t="inlineStr">
        <is>
          <t>C_jama.2024.2302</t>
        </is>
      </c>
      <c r="C7" s="16" t="n">
        <v>5</v>
      </c>
    </row>
    <row r="8" ht="36" customFormat="1" customHeight="1" s="8">
      <c r="A8" s="15" t="inlineStr">
        <is>
          <t>jama.2024.23898</t>
        </is>
      </c>
      <c r="B8" s="15" t="inlineStr">
        <is>
          <t>C_jama.2024.23898</t>
        </is>
      </c>
      <c r="C8" s="15" t="n">
        <v>7</v>
      </c>
    </row>
    <row r="9" ht="36" customFormat="1" customHeight="1" s="8">
      <c r="A9" s="16" t="inlineStr">
        <is>
          <t>jama.2024.25786</t>
        </is>
      </c>
      <c r="B9" s="16" t="inlineStr">
        <is>
          <t>C_jama.2024.25786</t>
        </is>
      </c>
      <c r="C9" s="16" t="n">
        <v>8</v>
      </c>
    </row>
    <row r="10" ht="36" customFormat="1" customHeight="1" s="8">
      <c r="A10" s="15" t="inlineStr">
        <is>
          <t>jama.2024.4183</t>
        </is>
      </c>
      <c r="B10" s="15" t="inlineStr">
        <is>
          <t>C_jama.2024.4183</t>
        </is>
      </c>
      <c r="C10" s="15" t="n">
        <v>24</v>
      </c>
    </row>
    <row r="11" ht="36" customFormat="1" customHeight="1" s="8">
      <c r="A11" s="16" t="inlineStr">
        <is>
          <t>jama.2024.6063</t>
        </is>
      </c>
      <c r="B11" s="16" t="inlineStr">
        <is>
          <t>C_jama.2024.6063</t>
        </is>
      </c>
      <c r="C11" s="16" t="n">
        <v>16</v>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2024::jama.2024.0318::C001</t>
        </is>
      </c>
      <c r="B2" s="12" t="inlineStr">
        <is>
          <t>Figure 1 allocation branches exceed the displayed available cohort by 10 participants</t>
        </is>
      </c>
      <c r="C2" s="12" t="inlineStr">
        <is>
          <t>jama_courcoulas_2024_oi_240004_1721756962.76052.pdf — PDF p. 3, Figure 1 and adjoining Results text.</t>
        </is>
      </c>
      <c r="D2" s="18" t="inlineStr">
        <is>
          <t>retain</t>
        </is>
      </c>
      <c r="E2" s="18" t="inlineStr">
        <is>
          <t>statistical_results</t>
        </is>
      </c>
      <c r="F2" s="18" t="inlineStr">
        <is>
          <t>primary_done</t>
        </is>
      </c>
      <c r="G2" s="12">
        <f>IFERROR(IF(LEN(TRIM(CLEAN(SUBSTITUTE(Setup!$B$2,CHAR(160)," "))))=0,"ENTER REVIEWER ID",IF(OR(A2="",COUNTIF($A$2:$A$7,A2)&lt;&gt;1,COUNTIFS(Decisions!$C$2:$C$92,A2,Decisions!$B$2:$B$92,"jama.2024.0318")&lt;&gt;1),"CHECK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2024::jama.2024.0318::C002</t>
        </is>
      </c>
      <c r="B3" s="11" t="inlineStr">
        <is>
          <t>Supplement eTable 2 mixes year-12 headings with year-7 quantitative footnote definitions</t>
        </is>
      </c>
      <c r="C3" s="11" t="inlineStr">
        <is>
          <t>joi240004supp2_prod_1721756962.82552.pdf — PDF p. 15, eTable 2 title, columns, rows, and footnotes a-b; joi240004supp2_prod_1721756962.82552.pdf — PDF p. 16, footnotes c-e; jama_courcoulas_2024_oi_240004_1721756962.76052.pdf — PDF p. 3, Results pointer to eTable 2.</t>
        </is>
      </c>
      <c r="D3" s="18" t="inlineStr">
        <is>
          <t>retain</t>
        </is>
      </c>
      <c r="E3" s="18" t="inlineStr">
        <is>
          <t>report_internal_inconsistency</t>
        </is>
      </c>
      <c r="F3" s="18" t="inlineStr">
        <is>
          <t>primary_done</t>
        </is>
      </c>
      <c r="G3" s="11">
        <f>IFERROR(IF(LEN(TRIM(CLEAN(SUBSTITUTE(Setup!$B$2,CHAR(160)," "))))=0,"ENTER REVIEWER ID",IF(OR(A3="",COUNTIF($A$2:$A$7,A3)&lt;&gt;1,COUNTIFS(Decisions!$C$2:$C$92,A3,Decisions!$B$2:$B$92,"jama.2024.0318")&lt;&gt;1),"CHECK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row r="4" ht="92" customFormat="1" customHeight="1" s="8">
      <c r="A4" s="12" t="inlineStr">
        <is>
          <t>2024::jama.2024.0318::C003</t>
        </is>
      </c>
      <c r="B4" s="12" t="inlineStr">
        <is>
          <t>Matched 12-year HbA1c result has incompatible printed P values</t>
        </is>
      </c>
      <c r="C4" s="12" t="inlineStr">
        <is>
          <t>jama_courcoulas_2024_oi_240004_1721756962.76052.pdf — PDF p. 1, Abstract Results; jama_courcoulas_2024_oi_240004_1721756962.76052.pdf — PDF p. 3, Results; joi240004supp2_prod_1721756962.82552.pdf — PDF p. 15, eTable 2 HbA1c row.</t>
        </is>
      </c>
      <c r="D4" s="18" t="inlineStr">
        <is>
          <t>retain</t>
        </is>
      </c>
      <c r="E4" s="18" t="inlineStr">
        <is>
          <t>report_internal_inconsistency</t>
        </is>
      </c>
      <c r="F4" s="18" t="inlineStr">
        <is>
          <t>primary_done</t>
        </is>
      </c>
      <c r="G4" s="12">
        <f>IFERROR(IF(LEN(TRIM(CLEAN(SUBSTITUTE(Setup!$B$2,CHAR(160)," "))))=0,"ENTER REVIEWER ID",IF(OR(A4="",COUNTIF($A$2:$A$7,A4)&lt;&gt;1,COUNTIFS(Decisions!$C$2:$C$92,A4,Decisions!$B$2:$B$92,"jama.2024.0318")&lt;&gt;1),"CHECK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row r="5" ht="92" customFormat="1" customHeight="1" s="8">
      <c r="A5" s="11" t="inlineStr">
        <is>
          <t>2024::jama.2024.0318::C004</t>
        </is>
      </c>
      <c r="B5" s="11" t="inlineStr">
        <is>
          <t>The same year-7 glycemic outcome is labeled as both HbA1c less than or equal to 6.5% and HbA1c below 6.5%</t>
        </is>
      </c>
      <c r="C5" s="11" t="inlineStr">
        <is>
          <t>jama_courcoulas_2024_oi_240004_1721756962.76052.pdf — PDF p. 4, Results narrative; jama_courcoulas_2024_oi_240004_1721756962.76052.pdf — PDF p. 6, Table 2; joi240004supp2_prod_1721756962.82552.pdf — PDF p. 4, binary-analysis context.</t>
        </is>
      </c>
      <c r="D5" s="18" t="inlineStr">
        <is>
          <t>retain</t>
        </is>
      </c>
      <c r="E5" s="18" t="inlineStr">
        <is>
          <t>report_internal_inconsistency</t>
        </is>
      </c>
      <c r="F5" s="18" t="inlineStr">
        <is>
          <t>primary_done</t>
        </is>
      </c>
      <c r="G5" s="11">
        <f>IFERROR(IF(LEN(TRIM(CLEAN(SUBSTITUTE(Setup!$B$2,CHAR(160)," "))))=0,"ENTER REVIEWER ID",IF(OR(A5="",COUNTIF($A$2:$A$7,A5)&lt;&gt;1,COUNTIFS(Decisions!$C$2:$C$92,A5,Decisions!$B$2:$B$92,"jama.2024.0318")&lt;&gt;1),"CHECK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substantive_inconsistency</t>
        </is>
      </c>
      <c r="L5" s="19">
        <f>IF(AND(OR(D5="retain",D5=""),E5="protocol_report"),"","not_applicable")</f>
        <v/>
      </c>
      <c r="M5" s="11" t="n"/>
      <c r="N5" s="7" t="n"/>
      <c r="O5" s="7" t="n"/>
      <c r="P5" s="7" t="n"/>
      <c r="Q5" s="7" t="n"/>
      <c r="R5" s="19" t="n"/>
    </row>
    <row r="6" ht="92" customFormat="1" customHeight="1" s="8">
      <c r="A6" s="12" t="inlineStr">
        <is>
          <t>2024::jama.2024.0318::C005</t>
        </is>
      </c>
      <c r="B6" s="12" t="inlineStr">
        <is>
          <t>Abstract percentage for four deaths does not reconcile with displayed group counts and denominators</t>
        </is>
      </c>
      <c r="C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D6" s="18" t="inlineStr">
        <is>
          <t>retain</t>
        </is>
      </c>
      <c r="E6" s="18" t="inlineStr">
        <is>
          <t>statistical_results</t>
        </is>
      </c>
      <c r="F6" s="18" t="inlineStr">
        <is>
          <t>primary_done</t>
        </is>
      </c>
      <c r="G6" s="12">
        <f>IFERROR(IF(LEN(TRIM(CLEAN(SUBSTITUTE(Setup!$B$2,CHAR(160)," "))))=0,"ENTER REVIEWER ID",IF(OR(A6="",COUNTIF($A$2:$A$7,A6)&lt;&gt;1,COUNTIFS(Decisions!$C$2:$C$92,A6,Decisions!$B$2:$B$92,"jama.2024.0318")&lt;&gt;1),"CHECK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2024::jama.2024.0318::C006</t>
        </is>
      </c>
      <c r="B7" s="11" t="inlineStr">
        <is>
          <t>The same exploratory BMI subgroup boundary is labeled as both 35 or greater and greater than 35</t>
        </is>
      </c>
      <c r="C7" s="11" t="inlineStr">
        <is>
          <t>jama_courcoulas_2024_oi_240004_1721756962.76052.pdf — PDF p. 7, Results narrative; joi240004supp2_prod_1721756962.82552.pdf — PDF p. 13, eFigure 6 title, legends, and explanatory text.</t>
        </is>
      </c>
      <c r="D7" s="18" t="inlineStr">
        <is>
          <t>retain</t>
        </is>
      </c>
      <c r="E7" s="18" t="inlineStr">
        <is>
          <t>report_internal_inconsistency</t>
        </is>
      </c>
      <c r="F7" s="18" t="inlineStr">
        <is>
          <t>primary_done</t>
        </is>
      </c>
      <c r="G7" s="11">
        <f>IFERROR(IF(LEN(TRIM(CLEAN(SUBSTITUTE(Setup!$B$2,CHAR(160)," "))))=0,"ENTER REVIEWER ID",IF(OR(A7="",COUNTIF($A$2:$A$7,A7)&lt;&gt;1,COUNTIFS(Decisions!$C$2:$C$92,A7,Decisions!$B$2:$B$92,"jama.2024.0318")&lt;&gt;1),"CHECK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t="inlineStr">
        <is>
          <t>substantive_inconsistency</t>
        </is>
      </c>
      <c r="L7" s="19">
        <f>IF(AND(OR(D7="retain",D7=""),E7="protocol_report"),"","not_applicable")</f>
        <v/>
      </c>
      <c r="M7" s="11" t="n"/>
      <c r="N7" s="7" t="n"/>
      <c r="O7" s="7" t="n"/>
      <c r="P7" s="7" t="n"/>
      <c r="Q7" s="7" t="n"/>
      <c r="R7" s="19" t="n"/>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R3"/>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2024::jama.2024.0572::C001</t>
        </is>
      </c>
      <c r="B2" s="12" t="inlineStr">
        <is>
          <t>ITT Figure 2 mRS distributions conflict with ITT eTable 2 threshold counts</t>
        </is>
      </c>
      <c r="C2" s="12" t="inlineStr">
        <is>
          <t>Main article Figure 2 — PDF p. 7; Supplement 5 eTable 2 — PDF p. 38; main Results population statement — PDF p. 4; and Supplement 5 eFigure 3 — PDF p. 8.</t>
        </is>
      </c>
      <c r="D2" s="18" t="inlineStr">
        <is>
          <t>retain</t>
        </is>
      </c>
      <c r="E2" s="18" t="inlineStr">
        <is>
          <t>report_internal_inconsistency</t>
        </is>
      </c>
      <c r="F2" s="18" t="inlineStr">
        <is>
          <t>primary_done</t>
        </is>
      </c>
      <c r="G2" s="12">
        <f>IFERROR(IF(LEN(TRIM(CLEAN(SUBSTITUTE(Setup!$B$2,CHAR(160)," "))))=0,"ENTER REVIEWER ID",IF(OR(A2="",COUNTIF($A$2:$A$3,A2)&lt;&gt;1,COUNTIFS(Decisions!$C$2:$C$92,A2,Decisions!$B$2:$B$92,"jama.2024.0572")&lt;&gt;1),"CHECK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t="inlineStr">
        <is>
          <t>substantive_inconsistency</t>
        </is>
      </c>
      <c r="L2" s="19">
        <f>IF(AND(OR(D2="retain",D2=""),E2="protocol_report"),"","not_applicable")</f>
        <v/>
      </c>
      <c r="M2" s="12" t="n"/>
      <c r="N2" s="7" t="n"/>
      <c r="O2" s="7" t="n"/>
      <c r="P2" s="7" t="n"/>
      <c r="Q2" s="7" t="n"/>
      <c r="R2" s="19" t="n"/>
    </row>
    <row r="3" ht="92" customFormat="1" customHeight="1" s="8">
      <c r="A3" s="11" t="inlineStr">
        <is>
          <t>2024::jama.2024.0572::C002</t>
        </is>
      </c>
      <c r="B3" s="11" t="inlineStr">
        <is>
          <t>aRR is labeled as an absolute risk reduction but displayed and interpreted as a ratio</t>
        </is>
      </c>
      <c r="C3" s="11" t="inlineStr">
        <is>
          <t>Main narrative — PDF p. 6; Main Table 2 — PDF p. 7; Main Table 3 — PDF p. 9; trial SAP — PDF p. 17; secondary-analysis SAP — PDF p. 4; and Supplement 5 eTable 7 — PDF p. 43.</t>
        </is>
      </c>
      <c r="D3" s="18" t="inlineStr">
        <is>
          <t>retain</t>
        </is>
      </c>
      <c r="E3" s="18" t="inlineStr">
        <is>
          <t>report_internal_inconsistency</t>
        </is>
      </c>
      <c r="F3" s="18" t="inlineStr">
        <is>
          <t>primary_done</t>
        </is>
      </c>
      <c r="G3" s="11">
        <f>IFERROR(IF(LEN(TRIM(CLEAN(SUBSTITUTE(Setup!$B$2,CHAR(160)," "))))=0,"ENTER REVIEWER ID",IF(OR(A3="",COUNTIF($A$2:$A$3,A3)&lt;&gt;1,COUNTIFS(Decisions!$C$2:$C$92,A3,Decisions!$B$2:$B$92,"jama.2024.0572")&lt;&gt;1),"CHECK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sheetData>
  <autoFilter ref="A1:R3"/>
  <conditionalFormatting sqref="H2:H3">
    <cfRule type="expression" priority="8" dxfId="70">
      <formula>NOT(AND(OR($D2="retain",$D2=""),$E2="statistical_results"))</formula>
    </cfRule>
  </conditionalFormatting>
  <conditionalFormatting sqref="I2:I3">
    <cfRule type="expression" priority="9" dxfId="70">
      <formula>NOT(AND(OR($D2="retain",$D2=""),$E2="statistical_results"))</formula>
    </cfRule>
  </conditionalFormatting>
  <conditionalFormatting sqref="J2:J3">
    <cfRule type="expression" priority="10" dxfId="70">
      <formula>NOT(AND(OR($D2="retain",$D2=""),$E2="statistical_results"))</formula>
    </cfRule>
  </conditionalFormatting>
  <conditionalFormatting sqref="K2:K3">
    <cfRule type="expression" priority="11" dxfId="70">
      <formula>NOT(AND(OR($D2="retain",$D2=""),OR($E2="report_internal_inconsistency",$E2="plan_material")))</formula>
    </cfRule>
  </conditionalFormatting>
  <conditionalFormatting sqref="L2:L3">
    <cfRule type="expression" priority="12" dxfId="70">
      <formula>NOT(AND(OR($D2="retain",$D2=""),$E2="protocol_report"))</formula>
    </cfRule>
  </conditionalFormatting>
  <conditionalFormatting sqref="G2:G3">
    <cfRule type="expression" priority="13" dxfId="71">
      <formula>G2&lt;&gt;"PRIMARY READY"</formula>
    </cfRule>
  </conditionalFormatting>
  <dataValidations count="8">
    <dataValidation sqref="D2:D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3"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s>
  <pageMargins left="0.7" right="0.7" top="0.75" bottom="0.75" header="0.3" footer="0.3"/>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2024::jama.2024.11057::C001</t>
        </is>
      </c>
      <c r="B2" s="12" t="inlineStr">
        <is>
          <t>Quit-date pre-message duration conflicts between the main article and both support documents</t>
        </is>
      </c>
      <c r="C2" s="12" t="inlineStr">
        <is>
          <t>jama_graham_2024_oi_240078_1739900423.19074.pdf — PDF p. 3; joi240078supp1_prod_1739900423.22574.pdf — PDF p. 2; joi240078supp2_prod_1739900423.24574.pdf — PDF p. 2.</t>
        </is>
      </c>
      <c r="D2" s="18" t="inlineStr">
        <is>
          <t>retain</t>
        </is>
      </c>
      <c r="E2" s="18" t="inlineStr">
        <is>
          <t>protocol_report</t>
        </is>
      </c>
      <c r="F2" s="18" t="inlineStr">
        <is>
          <t>primary_done</t>
        </is>
      </c>
      <c r="G2" s="12">
        <f>IFERROR(IF(LEN(TRIM(CLEAN(SUBSTITUTE(Setup!$B$2,CHAR(160)," "))))=0,"ENTER REVIEWER ID",IF(OR(A2="",COUNTIF($A$2:$A$4,A2)&lt;&gt;1,COUNTIFS(Decisions!$C$2:$C$92,A2,Decisions!$B$2:$B$92,"jama.2024.11057")&lt;&gt;1),"CHECK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2024::jama.2024.11057::C002</t>
        </is>
      </c>
      <c r="B3" s="11" t="inlineStr">
        <is>
          <t>eTable 4 labels motivation and confidence as median (IQR) but prints single parenthetical dispersion values</t>
        </is>
      </c>
      <c r="C3" s="11" t="inlineStr">
        <is>
          <t>joi240078supp2_prod_1739900423.24574.pdf — PDF p. 12, eTable 4; joi240078supp2_prod_1739900423.24574.pdf — PDF p. 13, scale footnote; jama_graham_2024_oi_240078_1739900423.19074.pdf — PDF p. 4, Table 1 comparator.</t>
        </is>
      </c>
      <c r="D3" s="18" t="inlineStr">
        <is>
          <t>retain</t>
        </is>
      </c>
      <c r="E3" s="18" t="inlineStr">
        <is>
          <t>report_internal_inconsistency</t>
        </is>
      </c>
      <c r="F3" s="18" t="inlineStr">
        <is>
          <t>primary_done</t>
        </is>
      </c>
      <c r="G3" s="11">
        <f>IFERROR(IF(LEN(TRIM(CLEAN(SUBSTITUTE(Setup!$B$2,CHAR(160)," "))))=0,"ENTER REVIEWER ID",IF(OR(A3="",COUNTIF($A$2:$A$4,A3)&lt;&gt;1,COUNTIFS(Decisions!$C$2:$C$92,A3,Decisions!$B$2:$B$92,"jama.2024.11057")&lt;&gt;1),"CHECK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row r="4" ht="92" customFormat="1" customHeight="1" s="8">
      <c r="A4" s="12" t="inlineStr">
        <is>
          <t>2024::jama.2024.11057::C003</t>
        </is>
      </c>
      <c r="B4" s="12" t="inlineStr">
        <is>
          <t>eAppendix C prints IPWR once for a result otherwise defined and labelled as IPRW</t>
        </is>
      </c>
      <c r="C4" s="12" t="inlineStr">
        <is>
          <t>joi240078supp2_prod_1739900423.24574.pdf — PDF p. 5, eAppendix C; joi240078supp2_prod_1739900423.24574.pdf — PDF p. 14, eTable 5; jama_graham_2024_oi_240078_1739900423.19074.pdf — PDF p. 4, Statistical Methods.</t>
        </is>
      </c>
      <c r="D4" s="18" t="inlineStr">
        <is>
          <t>retain</t>
        </is>
      </c>
      <c r="E4" s="18" t="inlineStr">
        <is>
          <t>report_internal_inconsistency</t>
        </is>
      </c>
      <c r="F4" s="18" t="inlineStr">
        <is>
          <t>primary_done</t>
        </is>
      </c>
      <c r="G4" s="12">
        <f>IFERROR(IF(LEN(TRIM(CLEAN(SUBSTITUTE(Setup!$B$2,CHAR(160)," "))))=0,"ENTER REVIEWER ID",IF(OR(A4="",COUNTIF($A$2:$A$4,A4)&lt;&gt;1,COUNTIFS(Decisions!$C$2:$C$92,A4,Decisions!$B$2:$B$92,"jama.2024.11057")&lt;&gt;1),"CHECK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R1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2024::jama.2024.12829::C001</t>
        </is>
      </c>
      <c r="B2" s="12" t="inlineStr">
        <is>
          <t>Balloon-angioplasty female percentage does not reconcile with count and denominator</t>
        </is>
      </c>
      <c r="C2" s="12" t="inlineStr">
        <is>
          <t>DOC-001 Table 1, PDF p. 6</t>
        </is>
      </c>
      <c r="D2" s="18" t="inlineStr">
        <is>
          <t>retain</t>
        </is>
      </c>
      <c r="E2" s="18" t="inlineStr">
        <is>
          <t>statistical_results</t>
        </is>
      </c>
      <c r="F2" s="18" t="inlineStr">
        <is>
          <t>primary_done</t>
        </is>
      </c>
      <c r="G2" s="12">
        <f>IFERROR(IF(LEN(TRIM(CLEAN(SUBSTITUTE(Setup!$B$2,CHAR(160)," "))))=0,"ENTER REVIEWER ID",IF(OR(A2="",COUNTIF($A$2:$A$18,A2)&lt;&gt;1,COUNTIFS(Decisions!$C$2:$C$92,A2,Decisions!$B$2:$B$92,"jama.2024.12829")&lt;&gt;1),"CHECK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2024::jama.2024.12829::C002</t>
        </is>
      </c>
      <c r="B3" s="11" t="inlineStr">
        <is>
          <t>Balloon-angioplasty ischemic-stroke percentage is outside ordinary one-decimal rounding</t>
        </is>
      </c>
      <c r="C3" s="11" t="inlineStr">
        <is>
          <t>DOC-001 Table 1, PDF p. 6; DOC-002 Table S1, PDF p. 14</t>
        </is>
      </c>
      <c r="D3" s="18" t="inlineStr">
        <is>
          <t>retain</t>
        </is>
      </c>
      <c r="E3" s="18" t="inlineStr">
        <is>
          <t>statistical_results</t>
        </is>
      </c>
      <c r="F3" s="18" t="inlineStr">
        <is>
          <t>primary_done</t>
        </is>
      </c>
      <c r="G3" s="11">
        <f>IFERROR(IF(LEN(TRIM(CLEAN(SUBSTITUTE(Setup!$B$2,CHAR(160)," "))))=0,"ENTER REVIEWER ID",IF(OR(A3="",COUNTIF($A$2:$A$18,A3)&lt;&gt;1,COUNTIFS(Decisions!$C$2:$C$92,A3,Decisions!$B$2:$B$92,"jama.2024.12829")&lt;&gt;1),"CHECK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2024::jama.2024.12829::C003</t>
        </is>
      </c>
      <c r="B4" s="12" t="inlineStr">
        <is>
          <t>Table S4 procedure rows use 241 while the column header states 249</t>
        </is>
      </c>
      <c r="C4" s="12" t="inlineStr">
        <is>
          <t>DOC-002 Table S4, PDF p. 17</t>
        </is>
      </c>
      <c r="D4" s="18" t="inlineStr">
        <is>
          <t>retain</t>
        </is>
      </c>
      <c r="E4" s="18" t="inlineStr">
        <is>
          <t>statistical_results</t>
        </is>
      </c>
      <c r="F4" s="18" t="inlineStr">
        <is>
          <t>primary_done</t>
        </is>
      </c>
      <c r="G4" s="12">
        <f>IFERROR(IF(LEN(TRIM(CLEAN(SUBSTITUTE(Setup!$B$2,CHAR(160)," "))))=0,"ENTER REVIEWER ID",IF(OR(A4="",COUNTIF($A$2:$A$18,A4)&lt;&gt;1,COUNTIFS(Decisions!$C$2:$C$92,A4,Decisions!$B$2:$B$92,"jama.2024.12829")&lt;&gt;1),"CHECK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substantive</t>
        </is>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2024::jama.2024.12829::C004</t>
        </is>
      </c>
      <c r="B5" s="11" t="inlineStr">
        <is>
          <t>Table S6 BA 9 (3.9) conflicts with its displayed denominator 249</t>
        </is>
      </c>
      <c r="C5" s="11" t="inlineStr">
        <is>
          <t>DOC-002 Table S6, PDF p. 19</t>
        </is>
      </c>
      <c r="D5" s="18" t="inlineStr">
        <is>
          <t>retain</t>
        </is>
      </c>
      <c r="E5" s="18" t="inlineStr">
        <is>
          <t>statistical_results</t>
        </is>
      </c>
      <c r="F5" s="18" t="inlineStr">
        <is>
          <t>primary_done</t>
        </is>
      </c>
      <c r="G5" s="11">
        <f>IFERROR(IF(LEN(TRIM(CLEAN(SUBSTITUTE(Setup!$B$2,CHAR(160)," "))))=0,"ENTER REVIEWER ID",IF(OR(A5="",COUNTIF($A$2:$A$18,A5)&lt;&gt;1,COUNTIFS(Decisions!$C$2:$C$92,A5,Decisions!$B$2:$B$92,"jama.2024.12829")&lt;&gt;1),"CHECK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substantive</t>
        </is>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2024::jama.2024.12829::C005</t>
        </is>
      </c>
      <c r="B6" s="12" t="inlineStr">
        <is>
          <t>Table S7 group headers conflict with site totals and displayed site percentages</t>
        </is>
      </c>
      <c r="C6" s="12" t="inlineStr">
        <is>
          <t>DOC-002 Table S7, PDF p. 20; DOC-001 Figure 1, PDF p. 5; DOC-002 Table S10, PDF p. 23</t>
        </is>
      </c>
      <c r="D6" s="18" t="inlineStr">
        <is>
          <t>retain</t>
        </is>
      </c>
      <c r="E6" s="18" t="inlineStr">
        <is>
          <t>statistical_results</t>
        </is>
      </c>
      <c r="F6" s="18" t="inlineStr">
        <is>
          <t>primary_done</t>
        </is>
      </c>
      <c r="G6" s="12">
        <f>IFERROR(IF(LEN(TRIM(CLEAN(SUBSTITUTE(Setup!$B$2,CHAR(160)," "))))=0,"ENTER REVIEWER ID",IF(OR(A6="",COUNTIF($A$2:$A$18,A6)&lt;&gt;1,COUNTIFS(Decisions!$C$2:$C$92,A6,Decisions!$B$2:$B$92,"jama.2024.12829")&lt;&gt;1),"CHECK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2024::jama.2024.12829::C006</t>
        </is>
      </c>
      <c r="B7" s="11" t="inlineStr">
        <is>
          <t>Table S8 per-protocol percentages conflict with headers 249/252</t>
        </is>
      </c>
      <c r="C7" s="11" t="inlineStr">
        <is>
          <t>DOC-002 Table S8, PDF p. 21; DOC-001 Figure 1, PDF p. 5; DOC-002 Table S10, PDF p. 23</t>
        </is>
      </c>
      <c r="D7" s="18" t="inlineStr">
        <is>
          <t>retain</t>
        </is>
      </c>
      <c r="E7" s="18" t="inlineStr">
        <is>
          <t>statistical_results</t>
        </is>
      </c>
      <c r="F7" s="18" t="inlineStr">
        <is>
          <t>primary_done</t>
        </is>
      </c>
      <c r="G7" s="11">
        <f>IFERROR(IF(LEN(TRIM(CLEAN(SUBSTITUTE(Setup!$B$2,CHAR(160)," "))))=0,"ENTER REVIEWER ID",IF(OR(A7="",COUNTIF($A$2:$A$18,A7)&lt;&gt;1,COUNTIFS(Decisions!$C$2:$C$92,A7,Decisions!$B$2:$B$92,"jama.2024.12829")&lt;&gt;1),"CHECK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2024::jama.2024.12829::C007</t>
        </is>
      </c>
      <c r="B8" s="12" t="inlineStr">
        <is>
          <t>Table S9 as-treated percentages conflict with headers 249/252</t>
        </is>
      </c>
      <c r="C8" s="12" t="inlineStr">
        <is>
          <t>DOC-002 Table S9, PDF p. 22; DOC-002 Table S10, PDF p. 23</t>
        </is>
      </c>
      <c r="D8" s="18" t="inlineStr">
        <is>
          <t>retain</t>
        </is>
      </c>
      <c r="E8" s="18" t="inlineStr">
        <is>
          <t>statistical_results</t>
        </is>
      </c>
      <c r="F8" s="18" t="inlineStr">
        <is>
          <t>primary_done</t>
        </is>
      </c>
      <c r="G8" s="12">
        <f>IFERROR(IF(LEN(TRIM(CLEAN(SUBSTITUTE(Setup!$B$2,CHAR(160)," "))))=0,"ENTER REVIEWER ID",IF(OR(A8="",COUNTIF($A$2:$A$18,A8)&lt;&gt;1,COUNTIFS(Decisions!$C$2:$C$92,A8,Decisions!$B$2:$B$92,"jama.2024.12829")&lt;&gt;1),"CHECK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2024::jama.2024.12829::C008</t>
        </is>
      </c>
      <c r="B9" s="11" t="inlineStr">
        <is>
          <t>Baseline stenosis categories include values outside the stated 70%-99% eligibility range</t>
        </is>
      </c>
      <c r="C9" s="11" t="inlineStr">
        <is>
          <t>DOC-001 eligibility, PDF p. 2; DOC-001 Figure 1, PDF p. 5; DOC-001 Table 1, PDF p. 6</t>
        </is>
      </c>
      <c r="D9" s="18" t="inlineStr">
        <is>
          <t>retain</t>
        </is>
      </c>
      <c r="E9" s="18" t="inlineStr">
        <is>
          <t>statistical_results</t>
        </is>
      </c>
      <c r="F9" s="18" t="inlineStr">
        <is>
          <t>primary_done</t>
        </is>
      </c>
      <c r="G9" s="11">
        <f>IFERROR(IF(LEN(TRIM(CLEAN(SUBSTITUTE(Setup!$B$2,CHAR(160)," "))))=0,"ENTER REVIEWER ID",IF(OR(A9="",COUNTIF($A$2:$A$18,A9)&lt;&gt;1,COUNTIFS(Decisions!$C$2:$C$92,A9,Decisions!$B$2:$B$92,"jama.2024.12829")&lt;&gt;1),"CHECK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substantive</t>
        </is>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2024::jama.2024.12829::C009</t>
        </is>
      </c>
      <c r="B10" s="12" t="inlineStr">
        <is>
          <t>Thirty-day follow-up tolerance is plus or minus 3 days in the supplement but plus or minus 7 days elsewhere</t>
        </is>
      </c>
      <c r="C10" s="12" t="inlineStr">
        <is>
          <t>DOC-002 study-design graphic, PDF p. 6; DOC-001 schedule, PDF p. 3; DOC-003 schedule, PDF p. 15</t>
        </is>
      </c>
      <c r="D10" s="18" t="inlineStr">
        <is>
          <t>retain</t>
        </is>
      </c>
      <c r="E10" s="18" t="inlineStr">
        <is>
          <t>protocol_report</t>
        </is>
      </c>
      <c r="F10" s="18" t="inlineStr">
        <is>
          <t>primary_done</t>
        </is>
      </c>
      <c r="G10" s="12">
        <f>IFERROR(IF(LEN(TRIM(CLEAN(SUBSTITUTE(Setup!$B$2,CHAR(160)," "))))=0,"ENTER REVIEWER ID",IF(OR(A10="",COUNTIF($A$2:$A$18,A10)&lt;&gt;1,COUNTIFS(Decisions!$C$2:$C$92,A10,Decisions!$B$2:$B$92,"jama.2024.12829")&lt;&gt;1),"CHECK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f>IF(AND(OR(D10="retain",D10=""),E10="statistical_results"),"","not_applicable")</f>
        <v/>
      </c>
      <c r="I10" s="18">
        <f>IF(AND(OR(D10="retain",D10=""),E10="statistical_results"),"","not_applicable")</f>
        <v/>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2024::jama.2024.12829::C010</t>
        </is>
      </c>
      <c r="B11" s="11" t="inlineStr">
        <is>
          <t>Protocol V2.0 gives 21-day and 14-day lower bounds for the same stroke criterion</t>
        </is>
      </c>
      <c r="C11" s="11" t="inlineStr">
        <is>
          <t>DOC-003 synopsis, PDF p. 7; DOC-003 body eligibility, PDF p. 21</t>
        </is>
      </c>
      <c r="D11" s="18" t="inlineStr">
        <is>
          <t>retain</t>
        </is>
      </c>
      <c r="E11" s="18" t="inlineStr">
        <is>
          <t>plan_material</t>
        </is>
      </c>
      <c r="F11" s="18" t="inlineStr">
        <is>
          <t>primary_done</t>
        </is>
      </c>
      <c r="G11" s="11">
        <f>IFERROR(IF(LEN(TRIM(CLEAN(SUBSTITUTE(Setup!$B$2,CHAR(160)," "))))=0,"ENTER REVIEWER ID",IF(OR(A11="",COUNTIF($A$2:$A$18,A11)&lt;&gt;1,COUNTIFS(Decisions!$C$2:$C$92,A11,Decisions!$B$2:$B$92,"jama.2024.12829")&lt;&gt;1),"CHECK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substantive_inconsistency</t>
        </is>
      </c>
      <c r="L11" s="19">
        <f>IF(AND(OR(D11="retain",D11=""),E11="protocol_report"),"","not_applicable")</f>
        <v/>
      </c>
      <c r="M11" s="11" t="n"/>
      <c r="N11" s="7" t="n"/>
      <c r="O11" s="7" t="n"/>
      <c r="P11" s="7" t="n"/>
      <c r="Q11" s="7" t="n"/>
      <c r="R11" s="19" t="n"/>
    </row>
    <row r="12" ht="92" customFormat="1" customHeight="1" s="8">
      <c r="A12" s="12" t="inlineStr">
        <is>
          <t>2024::jama.2024.12829::C011</t>
        </is>
      </c>
      <c r="B12" s="12" t="inlineStr">
        <is>
          <t>BA 3-month aspirin percentage does not reconcile with count and displayed arm denominator</t>
        </is>
      </c>
      <c r="C12" s="12" t="inlineStr">
        <is>
          <t>DOC-002 Table S3, PDF p. 16</t>
        </is>
      </c>
      <c r="D12" s="18" t="inlineStr">
        <is>
          <t>retain</t>
        </is>
      </c>
      <c r="E12" s="18" t="inlineStr">
        <is>
          <t>statistical_results</t>
        </is>
      </c>
      <c r="F12" s="18" t="inlineStr">
        <is>
          <t>primary_done</t>
        </is>
      </c>
      <c r="G12" s="12">
        <f>IFERROR(IF(LEN(TRIM(CLEAN(SUBSTITUTE(Setup!$B$2,CHAR(160)," "))))=0,"ENTER REVIEWER ID",IF(OR(A12="",COUNTIF($A$2:$A$18,A12)&lt;&gt;1,COUNTIFS(Decisions!$C$2:$C$92,A12,Decisions!$B$2:$B$92,"jama.2024.12829")&lt;&gt;1),"CHECK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substantive</t>
        </is>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2024::jama.2024.12829::C012</t>
        </is>
      </c>
      <c r="B13" s="11" t="inlineStr">
        <is>
          <t>Figure S1 repeats “2nd meeting” for three chronologically distinct meetings</t>
        </is>
      </c>
      <c r="C13" s="11" t="inlineStr">
        <is>
          <t>DOC-002 Figure S1, PDF p. 10</t>
        </is>
      </c>
      <c r="D13" s="18" t="inlineStr">
        <is>
          <t>retain</t>
        </is>
      </c>
      <c r="E13" s="18" t="inlineStr">
        <is>
          <t>report_internal_inconsistency</t>
        </is>
      </c>
      <c r="F13" s="18" t="inlineStr">
        <is>
          <t>primary_done</t>
        </is>
      </c>
      <c r="G13" s="11">
        <f>IFERROR(IF(LEN(TRIM(CLEAN(SUBSTITUTE(Setup!$B$2,CHAR(160)," "))))=0,"ENTER REVIEWER ID",IF(OR(A13="",COUNTIF($A$2:$A$18,A13)&lt;&gt;1,COUNTIFS(Decisions!$C$2:$C$92,A13,Decisions!$B$2:$B$92,"jama.2024.12829")&lt;&gt;1),"CHECK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substantive_inconsistency</t>
        </is>
      </c>
      <c r="L13" s="19">
        <f>IF(AND(OR(D13="retain",D13=""),E13="protocol_report"),"","not_applicable")</f>
        <v/>
      </c>
      <c r="M13" s="11" t="n"/>
      <c r="N13" s="7" t="n"/>
      <c r="O13" s="7" t="n"/>
      <c r="P13" s="7" t="n"/>
      <c r="Q13" s="7" t="n"/>
      <c r="R13" s="19" t="n"/>
    </row>
    <row r="14" ht="92" customFormat="1" customHeight="1" s="8">
      <c r="A14" s="12" t="inlineStr">
        <is>
          <t>2024::jama.2024.12829::C013</t>
        </is>
      </c>
      <c r="B14" s="12" t="inlineStr">
        <is>
          <t>Recurring-visit sentence ambiguously repeats visit numbers 9 and 11</t>
        </is>
      </c>
      <c r="C14" s="12" t="inlineStr">
        <is>
          <t>DOC-003 Protocol V2.0 paragraph, PDF p. 35; DOC-003 Protocol V2.3 paragraph, PDF p. 96; DOC-003 schedule, PDF p. 15</t>
        </is>
      </c>
      <c r="D14" s="18" t="inlineStr">
        <is>
          <t>retain</t>
        </is>
      </c>
      <c r="E14" s="18" t="inlineStr">
        <is>
          <t>plan_material</t>
        </is>
      </c>
      <c r="F14" s="18" t="inlineStr">
        <is>
          <t>primary_done</t>
        </is>
      </c>
      <c r="G14" s="12">
        <f>IFERROR(IF(LEN(TRIM(CLEAN(SUBSTITUTE(Setup!$B$2,CHAR(160)," "))))=0,"ENTER REVIEWER ID",IF(OR(A14="",COUNTIF($A$2:$A$18,A14)&lt;&gt;1,COUNTIFS(Decisions!$C$2:$C$92,A14,Decisions!$B$2:$B$92,"jama.2024.12829")&lt;&gt;1),"CHECK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substantive_inconsistency</t>
        </is>
      </c>
      <c r="L14" s="19">
        <f>IF(AND(OR(D14="retain",D14=""),E14="protocol_report"),"","not_applicable")</f>
        <v/>
      </c>
      <c r="M14" s="12" t="n"/>
      <c r="N14" s="7" t="n"/>
      <c r="O14" s="7" t="n"/>
      <c r="P14" s="7" t="n"/>
      <c r="Q14" s="7" t="n"/>
      <c r="R14" s="19" t="n"/>
    </row>
    <row r="15" ht="92" customFormat="1" customHeight="1" s="8">
      <c r="A15" s="11" t="inlineStr">
        <is>
          <t>2024::jama.2024.12829::C014</t>
        </is>
      </c>
      <c r="B15" s="11" t="inlineStr">
        <is>
          <t>Table S9 BA 8 (3.3) does not round from either supplied ATS or displayed denominator</t>
        </is>
      </c>
      <c r="C15" s="11" t="inlineStr">
        <is>
          <t>DOC-002 Table S9, PDF p. 22; DOC-002 Table S10, PDF p. 23</t>
        </is>
      </c>
      <c r="D15" s="18" t="inlineStr">
        <is>
          <t>retain</t>
        </is>
      </c>
      <c r="E15" s="18" t="inlineStr">
        <is>
          <t>statistical_results</t>
        </is>
      </c>
      <c r="F15" s="18" t="inlineStr">
        <is>
          <t>primary_done</t>
        </is>
      </c>
      <c r="G15" s="11">
        <f>IFERROR(IF(LEN(TRIM(CLEAN(SUBSTITUTE(Setup!$B$2,CHAR(160)," "))))=0,"ENTER REVIEWER ID",IF(OR(A15="",COUNTIF($A$2:$A$18,A15)&lt;&gt;1,COUNTIFS(Decisions!$C$2:$C$92,A15,Decisions!$B$2:$B$92,"jama.2024.12829")&lt;&gt;1),"CHECK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substantive</t>
        </is>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2024::jama.2024.12829::C015</t>
        </is>
      </c>
      <c r="B16" s="12" t="inlineStr">
        <is>
          <t>Narrative assigns all 11 pre-analysis exclusions to consent withdrawal while Figure 1 assigns only 10</t>
        </is>
      </c>
      <c r="C16" s="12" t="inlineStr">
        <is>
          <t>DOC-001 narrative, PDF p. 4; DOC-001 Figure 1, PDF p. 5</t>
        </is>
      </c>
      <c r="D16" s="18" t="inlineStr">
        <is>
          <t>retain</t>
        </is>
      </c>
      <c r="E16" s="18" t="inlineStr">
        <is>
          <t>report_internal_inconsistency</t>
        </is>
      </c>
      <c r="F16" s="18" t="inlineStr">
        <is>
          <t>primary_done</t>
        </is>
      </c>
      <c r="G16" s="12">
        <f>IFERROR(IF(LEN(TRIM(CLEAN(SUBSTITUTE(Setup!$B$2,CHAR(160)," "))))=0,"ENTER REVIEWER ID",IF(OR(A16="",COUNTIF($A$2:$A$18,A16)&lt;&gt;1,COUNTIFS(Decisions!$C$2:$C$92,A16,Decisions!$B$2:$B$92,"jama.2024.12829")&lt;&gt;1),"CHECK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substantive_inconsistency</t>
        </is>
      </c>
      <c r="L16" s="19">
        <f>IF(AND(OR(D16="retain",D16=""),E16="protocol_report"),"","not_applicable")</f>
        <v/>
      </c>
      <c r="M16" s="12" t="n"/>
      <c r="N16" s="7" t="n"/>
      <c r="O16" s="7" t="n"/>
      <c r="P16" s="7" t="n"/>
      <c r="Q16" s="7" t="n"/>
      <c r="R16" s="19" t="n"/>
    </row>
    <row r="17" ht="92" customFormat="1" customHeight="1" s="8">
      <c r="A17" s="11" t="inlineStr">
        <is>
          <t>2024::jama.2024.12829::C016</t>
        </is>
      </c>
      <c r="B17" s="11" t="inlineStr">
        <is>
          <t>Table S6 BA event count 9 conflicts with the matched primary-analysis count 11</t>
        </is>
      </c>
      <c r="C17" s="11" t="inlineStr">
        <is>
          <t>DOC-001 primary narrative, PDF p. 5; DOC-001 Table 2, PDF p. 8; DOC-002 Table S6, PDF p. 19</t>
        </is>
      </c>
      <c r="D17" s="18" t="inlineStr">
        <is>
          <t>retain</t>
        </is>
      </c>
      <c r="E17" s="18" t="inlineStr">
        <is>
          <t>report_internal_inconsistency</t>
        </is>
      </c>
      <c r="F17" s="18" t="inlineStr">
        <is>
          <t>primary_done</t>
        </is>
      </c>
      <c r="G17" s="11">
        <f>IFERROR(IF(LEN(TRIM(CLEAN(SUBSTITUTE(Setup!$B$2,CHAR(160)," "))))=0,"ENTER REVIEWER ID",IF(OR(A17="",COUNTIF($A$2:$A$18,A17)&lt;&gt;1,COUNTIFS(Decisions!$C$2:$C$92,A17,Decisions!$B$2:$B$92,"jama.2024.12829")&lt;&gt;1),"CHECK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t="inlineStr">
        <is>
          <t>substantive_inconsistency</t>
        </is>
      </c>
      <c r="L17" s="19">
        <f>IF(AND(OR(D17="retain",D17=""),E17="protocol_report"),"","not_applicable")</f>
        <v/>
      </c>
      <c r="M17" s="11" t="n"/>
      <c r="N17" s="7" t="n"/>
      <c r="O17" s="7" t="n"/>
      <c r="P17" s="7" t="n"/>
      <c r="Q17" s="7" t="n"/>
      <c r="R17" s="19" t="n"/>
    </row>
    <row r="18" ht="92" customFormat="1" customHeight="1" s="8">
      <c r="A18" s="12" t="inlineStr">
        <is>
          <t>2024::jama.2024.12829::C017</t>
        </is>
      </c>
      <c r="B18" s="12" t="inlineStr">
        <is>
          <t>One-year incidence-difference point estimate lies outside its confidence interval</t>
        </is>
      </c>
      <c r="C18" s="12" t="inlineStr">
        <is>
          <t>DOC-001 Table 2, PDF p. 8</t>
        </is>
      </c>
      <c r="D18" s="18" t="inlineStr">
        <is>
          <t>retain</t>
        </is>
      </c>
      <c r="E18" s="18" t="inlineStr">
        <is>
          <t>statistical_results</t>
        </is>
      </c>
      <c r="F18" s="18" t="inlineStr">
        <is>
          <t>primary_done</t>
        </is>
      </c>
      <c r="G18" s="12">
        <f>IFERROR(IF(LEN(TRIM(CLEAN(SUBSTITUTE(Setup!$B$2,CHAR(160)," "))))=0,"ENTER REVIEWER ID",IF(OR(A18="",COUNTIF($A$2:$A$18,A18)&lt;&gt;1,COUNTIFS(Decisions!$C$2:$C$92,A18,Decisions!$B$2:$B$92,"jama.2024.12829")&lt;&gt;1),"CHECK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substantive</t>
        </is>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sheetData>
  <autoFilter ref="A1:R18"/>
  <conditionalFormatting sqref="H2:H18">
    <cfRule type="expression" priority="8" dxfId="70">
      <formula>NOT(AND(OR($D2="retain",$D2=""),$E2="statistical_results"))</formula>
    </cfRule>
  </conditionalFormatting>
  <conditionalFormatting sqref="I2:I18">
    <cfRule type="expression" priority="9" dxfId="70">
      <formula>NOT(AND(OR($D2="retain",$D2=""),$E2="statistical_results"))</formula>
    </cfRule>
  </conditionalFormatting>
  <conditionalFormatting sqref="J2:J18">
    <cfRule type="expression" priority="10" dxfId="70">
      <formula>NOT(AND(OR($D2="retain",$D2=""),$E2="statistical_results"))</formula>
    </cfRule>
  </conditionalFormatting>
  <conditionalFormatting sqref="K2:K18">
    <cfRule type="expression" priority="11" dxfId="70">
      <formula>NOT(AND(OR($D2="retain",$D2=""),OR($E2="report_internal_inconsistency",$E2="plan_material")))</formula>
    </cfRule>
  </conditionalFormatting>
  <conditionalFormatting sqref="L2:L18">
    <cfRule type="expression" priority="12" dxfId="70">
      <formula>NOT(AND(OR($D2="retain",$D2=""),$E2="protocol_report"))</formula>
    </cfRule>
  </conditionalFormatting>
  <conditionalFormatting sqref="G2:G18">
    <cfRule type="expression" priority="13" dxfId="71">
      <formula>G2&lt;&gt;"PRIMARY READY"</formula>
    </cfRule>
  </conditionalFormatting>
  <dataValidations count="8">
    <dataValidation sqref="D2:D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R4"/>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2024::jama.2024.19585::C001</t>
        </is>
      </c>
      <c r="B2" s="12" t="inlineStr">
        <is>
          <t>Usual-care exclusion hierarchy requires source-layout confirmation</t>
        </is>
      </c>
      <c r="C2" s="12" t="inlineStr">
        <is>
          <t>jama_dupuis_2024_oi_240111_1733431204.38761.pdf — Figure 1, PDF p. 5, usual-care branch.</t>
        </is>
      </c>
      <c r="D2" s="18" t="inlineStr">
        <is>
          <t>retain</t>
        </is>
      </c>
      <c r="E2" s="18" t="inlineStr">
        <is>
          <t>statistical_results</t>
        </is>
      </c>
      <c r="F2" s="18" t="inlineStr">
        <is>
          <t>primary_done</t>
        </is>
      </c>
      <c r="G2" s="12">
        <f>IFERROR(IF(LEN(TRIM(CLEAN(SUBSTITUTE(Setup!$B$2,CHAR(160)," "))))=0,"ENTER REVIEWER ID",IF(OR(A2="",COUNTIF($A$2:$A$4,A2)&lt;&gt;1,COUNTIFS(Decisions!$C$2:$C$92,A2,Decisions!$B$2:$B$92,"jama.2024.19585")&lt;&gt;1),"CHECK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2024::jama.2024.19585::C002</t>
        </is>
      </c>
      <c r="B3" s="11" t="inlineStr">
        <is>
          <t>Main-text rejected-statement percentage conflicts with the supplement counts</t>
        </is>
      </c>
      <c r="C3" s="11" t="inlineStr">
        <is>
          <t>jama_dupuis_2024_oi_240111_1733431204.38761.pdf — narrative, PDF p. 2 and joi240111supp2_prod_1733431204.76024.pdf — eTable 3, PDF p. 6.</t>
        </is>
      </c>
      <c r="D3" s="18" t="inlineStr">
        <is>
          <t>retain</t>
        </is>
      </c>
      <c r="E3" s="18" t="inlineStr">
        <is>
          <t>report_internal_inconsistency</t>
        </is>
      </c>
      <c r="F3" s="18" t="inlineStr">
        <is>
          <t>primary_done</t>
        </is>
      </c>
      <c r="G3" s="11">
        <f>IFERROR(IF(LEN(TRIM(CLEAN(SUBSTITUTE(Setup!$B$2,CHAR(160)," "))))=0,"ENTER REVIEWER ID",IF(OR(A3="",COUNTIF($A$2:$A$4,A3)&lt;&gt;1,COUNTIFS(Decisions!$C$2:$C$92,A3,Decisions!$B$2:$B$92,"jama.2024.19585")&lt;&gt;1),"CHECK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row r="4" ht="92" customFormat="1" customHeight="1" s="8">
      <c r="A4" s="12" t="inlineStr">
        <is>
          <t>2024::jama.2024.19585::C003</t>
        </is>
      </c>
      <c r="B4" s="12" t="inlineStr">
        <is>
          <t>eTable 10 labels logistic-regression odds ratios as differences</t>
        </is>
      </c>
      <c r="C4"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D4" s="18" t="inlineStr">
        <is>
          <t>retain</t>
        </is>
      </c>
      <c r="E4" s="18" t="inlineStr">
        <is>
          <t>report_internal_inconsistency</t>
        </is>
      </c>
      <c r="F4" s="18" t="inlineStr">
        <is>
          <t>primary_done</t>
        </is>
      </c>
      <c r="G4" s="12">
        <f>IFERROR(IF(LEN(TRIM(CLEAN(SUBSTITUTE(Setup!$B$2,CHAR(160)," "))))=0,"ENTER REVIEWER ID",IF(OR(A4="",COUNTIF($A$2:$A$4,A4)&lt;&gt;1,COUNTIFS(Decisions!$C$2:$C$92,A4,Decisions!$B$2:$B$92,"jama.2024.19585")&lt;&gt;1),"CHECK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4"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s>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R6"/>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2024::jama.2024.2302::C001</t>
        </is>
      </c>
      <c r="B2" s="12" t="inlineStr">
        <is>
          <t>Primary SAE endpoint threshold label</t>
        </is>
      </c>
      <c r="C2" s="12" t="inlineStr">
        <is>
          <t>main article — PDF p. 6, Table 2; results supplement — PDF p. 5, eTable 2; protocol — PDF p. 2; SAP — PDF p. 4.</t>
        </is>
      </c>
      <c r="D2" s="18" t="inlineStr">
        <is>
          <t>retain</t>
        </is>
      </c>
      <c r="E2" s="18" t="inlineStr">
        <is>
          <t>protocol_report</t>
        </is>
      </c>
      <c r="F2" s="18" t="inlineStr">
        <is>
          <t>primary_done</t>
        </is>
      </c>
      <c r="G2" s="12">
        <f>IFERROR(IF(LEN(TRIM(CLEAN(SUBSTITUTE(Setup!$B$2,CHAR(160)," "))))=0,"ENTER REVIEWER ID",IF(OR(A2="",COUNTIF($A$2:$A$6,A2)&lt;&gt;1,COUNTIFS(Decisions!$C$2:$C$92,A2,Decisions!$B$2:$B$92,"jama.2024.2302")&lt;&gt;1),"CHECK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2024::jama.2024.2302::C002</t>
        </is>
      </c>
      <c r="B3" s="11" t="inlineStr">
        <is>
          <t>Planned hospital-day medians</t>
        </is>
      </c>
      <c r="C3" s="11" t="inlineStr">
        <is>
          <t>protocol — PDF p. 3; protocol — PDF p. 12; SAP — PDF p. 3.</t>
        </is>
      </c>
      <c r="D3" s="18" t="inlineStr">
        <is>
          <t>retain</t>
        </is>
      </c>
      <c r="E3" s="18" t="inlineStr">
        <is>
          <t>plan_material</t>
        </is>
      </c>
      <c r="F3" s="18" t="inlineStr">
        <is>
          <t>primary_done</t>
        </is>
      </c>
      <c r="G3" s="11">
        <f>IFERROR(IF(LEN(TRIM(CLEAN(SUBSTITUTE(Setup!$B$2,CHAR(160)," "))))=0,"ENTER REVIEWER ID",IF(OR(A3="",COUNTIF($A$2:$A$6,A3)&lt;&gt;1,COUNTIFS(Decisions!$C$2:$C$92,A3,Decisions!$B$2:$B$92,"jama.2024.2302")&lt;&gt;1),"CHECK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t="inlineStr">
        <is>
          <t>substantive_inconsistency</t>
        </is>
      </c>
      <c r="L3" s="19">
        <f>IF(AND(OR(D3="retain",D3=""),E3="protocol_report"),"","not_applicable")</f>
        <v/>
      </c>
      <c r="M3" s="11" t="n"/>
      <c r="N3" s="7" t="n"/>
      <c r="O3" s="7" t="n"/>
      <c r="P3" s="7" t="n"/>
      <c r="Q3" s="7" t="n"/>
      <c r="R3" s="19" t="n"/>
    </row>
    <row r="4" ht="92" customFormat="1" customHeight="1" s="8">
      <c r="A4" s="12" t="inlineStr">
        <is>
          <t>2024::jama.2024.2302::C003</t>
        </is>
      </c>
      <c r="B4" s="12" t="inlineStr">
        <is>
          <t>Bayesian intervention priors</t>
        </is>
      </c>
      <c r="C4" s="12" t="inlineStr">
        <is>
          <t>main article — PDF p. 4; SAP — PDF p. 8.</t>
        </is>
      </c>
      <c r="D4" s="18" t="inlineStr">
        <is>
          <t>retain</t>
        </is>
      </c>
      <c r="E4" s="18" t="inlineStr">
        <is>
          <t>protocol_report</t>
        </is>
      </c>
      <c r="F4" s="18" t="inlineStr">
        <is>
          <t>primary_done</t>
        </is>
      </c>
      <c r="G4" s="12">
        <f>IFERROR(IF(LEN(TRIM(CLEAN(SUBSTITUTE(Setup!$B$2,CHAR(160)," "))))=0,"ENTER REVIEWER ID",IF(OR(A4="",COUNTIF($A$2:$A$6,A4)&lt;&gt;1,COUNTIFS(Decisions!$C$2:$C$92,A4,Decisions!$B$2:$B$92,"jama.2024.2302")&lt;&gt;1),"CHECK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2024::jama.2024.2302::C004</t>
        </is>
      </c>
      <c r="B5" s="11" t="inlineStr">
        <is>
          <t>Gestational-age boundary</t>
        </is>
      </c>
      <c r="C5" s="11" t="inlineStr">
        <is>
          <t>main article — PDF p. 8, Figure 3; SAP — PDF p. 3; SAP — PDF p. 8; SAP — PDF p. 9.</t>
        </is>
      </c>
      <c r="D5" s="18" t="inlineStr">
        <is>
          <t>retain</t>
        </is>
      </c>
      <c r="E5" s="18" t="inlineStr">
        <is>
          <t>protocol_report</t>
        </is>
      </c>
      <c r="F5" s="18" t="inlineStr">
        <is>
          <t>primary_done</t>
        </is>
      </c>
      <c r="G5" s="11">
        <f>IFERROR(IF(LEN(TRIM(CLEAN(SUBSTITUTE(Setup!$B$2,CHAR(160)," "))))=0,"ENTER REVIEWER ID",IF(OR(A5="",COUNTIF($A$2:$A$6,A5)&lt;&gt;1,COUNTIFS(Decisions!$C$2:$C$92,A5,Decisions!$B$2:$B$92,"jama.2024.2302")&lt;&gt;1),"CHECK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2024::jama.2024.2302::C005</t>
        </is>
      </c>
      <c r="B6" s="12" t="inlineStr">
        <is>
          <t>Primary-outcome time origin</t>
        </is>
      </c>
      <c r="C6" s="12" t="inlineStr">
        <is>
          <t>protocol — PDF p. 3; protocol — PDF p. 11; SAP — PDF p. 7; main article — PDF p. 3. Main article — PDF p. 6 footnote g is secondary-outcome context only, as it attaches to the hospital-stay row.</t>
        </is>
      </c>
      <c r="D6" s="18" t="inlineStr">
        <is>
          <t>retain</t>
        </is>
      </c>
      <c r="E6" s="18" t="inlineStr">
        <is>
          <t>protocol_report</t>
        </is>
      </c>
      <c r="F6" s="18" t="inlineStr">
        <is>
          <t>primary_done</t>
        </is>
      </c>
      <c r="G6" s="12">
        <f>IFERROR(IF(LEN(TRIM(CLEAN(SUBSTITUTE(Setup!$B$2,CHAR(160)," "))))=0,"ENTER REVIEWER ID",IF(OR(A6="",COUNTIF($A$2:$A$6,A6)&lt;&gt;1,COUNTIFS(Decisions!$C$2:$C$92,A6,Decisions!$B$2:$B$92,"jama.2024.2302")&lt;&gt;1),"CHECK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6"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R8"/>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2024::jama.2024.23898::C001</t>
        </is>
      </c>
      <c r="B2" s="12" t="inlineStr">
        <is>
          <t>Primary-outcome 72-hour clock origin is not stated consistently</t>
        </is>
      </c>
      <c r="C2" s="12" t="inlineStr">
        <is>
          <t>main article — PDF p. 1; main article — PDF p. 5; main article — PDF p. 6; SAP — PDF p. 9.</t>
        </is>
      </c>
      <c r="D2" s="18" t="inlineStr">
        <is>
          <t>retain</t>
        </is>
      </c>
      <c r="E2" s="18" t="inlineStr">
        <is>
          <t>protocol_report</t>
        </is>
      </c>
      <c r="F2" s="18" t="inlineStr">
        <is>
          <t>primary_done</t>
        </is>
      </c>
      <c r="G2" s="12">
        <f>IFERROR(IF(LEN(TRIM(CLEAN(SUBSTITUTE(Setup!$B$2,CHAR(160)," "))))=0,"ENTER REVIEWER ID",IF(OR(A2="",COUNTIF($A$2:$A$8,A2)&lt;&gt;1,COUNTIFS(Decisions!$C$2:$C$92,A2,Decisions!$B$2:$B$92,"jama.2024.23898")&lt;&gt;1),"CHECK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f>IF(AND(OR(D2="retain",D2=""),E2="statistical_results"),"","not_applicable")</f>
        <v/>
      </c>
      <c r="I2" s="18">
        <f>IF(AND(OR(D2="retain",D2=""),E2="statistical_results"),"","not_applicable")</f>
        <v/>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2024::jama.2024.23898::C002</t>
        </is>
      </c>
      <c r="B3" s="11" t="inlineStr">
        <is>
          <t>Postoperative opioid-consumption window is 24 hours versus 72 hours</t>
        </is>
      </c>
      <c r="C3" s="11" t="inlineStr">
        <is>
          <t>main article — PDF p. 4; main article — PDF p. 6; protocol — PDF p. 17; SAP — PDF p. 11.</t>
        </is>
      </c>
      <c r="D3" s="18" t="inlineStr">
        <is>
          <t>retain</t>
        </is>
      </c>
      <c r="E3" s="18" t="inlineStr">
        <is>
          <t>protocol_report</t>
        </is>
      </c>
      <c r="F3" s="18" t="inlineStr">
        <is>
          <t>primary_done</t>
        </is>
      </c>
      <c r="G3" s="11">
        <f>IFERROR(IF(LEN(TRIM(CLEAN(SUBSTITUTE(Setup!$B$2,CHAR(160)," "))))=0,"ENTER REVIEWER ID",IF(OR(A3="",COUNTIF($A$2:$A$8,A3)&lt;&gt;1,COUNTIFS(Decisions!$C$2:$C$92,A3,Decisions!$B$2:$B$92,"jama.2024.23898")&lt;&gt;1),"CHECK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f>IF(AND(OR(D3="retain",D3=""),E3="statistical_results"),"","not_applicable")</f>
        <v/>
      </c>
      <c r="I3" s="18">
        <f>IF(AND(OR(D3="retain",D3=""),E3="statistical_results"),"","not_applicable")</f>
        <v/>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2024::jama.2024.23898::C003</t>
        </is>
      </c>
      <c r="B4" s="12" t="inlineStr">
        <is>
          <t>Unplanned-readmission window is 90 days versus 30 days</t>
        </is>
      </c>
      <c r="C4" s="12" t="inlineStr">
        <is>
          <t>main article — PDF p. 4; main article — PDF p. 8; protocol — PDF p. 18; SAP — PDF p. 10; SAP — PDF p. 27.</t>
        </is>
      </c>
      <c r="D4" s="18" t="inlineStr">
        <is>
          <t>retain</t>
        </is>
      </c>
      <c r="E4" s="18" t="inlineStr">
        <is>
          <t>protocol_report</t>
        </is>
      </c>
      <c r="F4" s="18" t="inlineStr">
        <is>
          <t>primary_done</t>
        </is>
      </c>
      <c r="G4" s="12">
        <f>IFERROR(IF(LEN(TRIM(CLEAN(SUBSTITUTE(Setup!$B$2,CHAR(160)," "))))=0,"ENTER REVIEWER ID",IF(OR(A4="",COUNTIF($A$2:$A$8,A4)&lt;&gt;1,COUNTIFS(Decisions!$C$2:$C$92,A4,Decisions!$B$2:$B$92,"jama.2024.23898")&lt;&gt;1),"CHECK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2024::jama.2024.23898::C004</t>
        </is>
      </c>
      <c r="B5" s="11" t="inlineStr">
        <is>
          <t>ERAS subgroup cut points differ from the protocol bands</t>
        </is>
      </c>
      <c r="C5" s="11" t="inlineStr">
        <is>
          <t>protocol — PDF p. 17; protocol — PDF p. 18; SAP — PDF p. 15; results supplement — PDF p. 2.</t>
        </is>
      </c>
      <c r="D5" s="18" t="inlineStr">
        <is>
          <t>retain</t>
        </is>
      </c>
      <c r="E5" s="18" t="inlineStr">
        <is>
          <t>protocol_report</t>
        </is>
      </c>
      <c r="F5" s="18" t="inlineStr">
        <is>
          <t>primary_done</t>
        </is>
      </c>
      <c r="G5" s="11">
        <f>IFERROR(IF(LEN(TRIM(CLEAN(SUBSTITUTE(Setup!$B$2,CHAR(160)," "))))=0,"ENTER REVIEWER ID",IF(OR(A5="",COUNTIF($A$2:$A$8,A5)&lt;&gt;1,COUNTIFS(Decisions!$C$2:$C$92,A5,Decisions!$B$2:$B$92,"jama.2024.23898")&lt;&gt;1),"CHECK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2024::jama.2024.23898::C005</t>
        </is>
      </c>
      <c r="B6" s="12" t="inlineStr">
        <is>
          <t>The eFigure assigns both 99% and 95% labels to the same intervals</t>
        </is>
      </c>
      <c r="C6" s="12" t="inlineStr">
        <is>
          <t>results supplement — PDF p. 2; SAP — PDF p. 15.</t>
        </is>
      </c>
      <c r="D6" s="18" t="inlineStr">
        <is>
          <t>retain</t>
        </is>
      </c>
      <c r="E6" s="18" t="inlineStr">
        <is>
          <t>statistical_results</t>
        </is>
      </c>
      <c r="F6" s="18" t="inlineStr">
        <is>
          <t>primary_done</t>
        </is>
      </c>
      <c r="G6" s="12">
        <f>IFERROR(IF(LEN(TRIM(CLEAN(SUBSTITUTE(Setup!$B$2,CHAR(160)," "))))=0,"ENTER REVIEWER ID",IF(OR(A6="",COUNTIF($A$2:$A$8,A6)&lt;&gt;1,COUNTIFS(Decisions!$C$2:$C$92,A6,Decisions!$B$2:$B$92,"jama.2024.23898")&lt;&gt;1),"CHECK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2024::jama.2024.23898::C006</t>
        </is>
      </c>
      <c r="B7" s="11" t="inlineStr">
        <is>
          <t>Day-5 EQ-5D inference conflicts with blanket no-difference prose</t>
        </is>
      </c>
      <c r="C7" s="11" t="inlineStr">
        <is>
          <t>main article — PDF p. 5; main article — PDF p. 6; SAP — PDF p. 13; SAP — PDF p. 14.</t>
        </is>
      </c>
      <c r="D7" s="18" t="inlineStr">
        <is>
          <t>retain</t>
        </is>
      </c>
      <c r="E7" s="18" t="inlineStr">
        <is>
          <t>statistical_results</t>
        </is>
      </c>
      <c r="F7" s="18" t="inlineStr">
        <is>
          <t>primary_done</t>
        </is>
      </c>
      <c r="G7" s="11">
        <f>IFERROR(IF(LEN(TRIM(CLEAN(SUBSTITUTE(Setup!$B$2,CHAR(160)," "))))=0,"ENTER REVIEWER ID",IF(OR(A7="",COUNTIF($A$2:$A$8,A7)&lt;&gt;1,COUNTIFS(Decisions!$C$2:$C$92,A7,Decisions!$B$2:$B$92,"jama.2024.23898")&lt;&gt;1),"CHECK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2024::jama.2024.23898::C007</t>
        </is>
      </c>
      <c r="B8" s="12" t="inlineStr">
        <is>
          <t>ERAS subgroup is labeled as two levels versus three levels</t>
        </is>
      </c>
      <c r="C8" s="12" t="inlineStr">
        <is>
          <t>main article — PDF p. 5; SAP — PDF p. 15; results supplement — PDF p. 2.</t>
        </is>
      </c>
      <c r="D8" s="18" t="inlineStr">
        <is>
          <t>retain</t>
        </is>
      </c>
      <c r="E8" s="18" t="inlineStr">
        <is>
          <t>protocol_report</t>
        </is>
      </c>
      <c r="F8" s="18" t="inlineStr">
        <is>
          <t>primary_done</t>
        </is>
      </c>
      <c r="G8" s="12">
        <f>IFERROR(IF(LEN(TRIM(CLEAN(SUBSTITUTE(Setup!$B$2,CHAR(160)," "))))=0,"ENTER REVIEWER ID",IF(OR(A8="",COUNTIF($A$2:$A$8,A8)&lt;&gt;1,COUNTIFS(Decisions!$C$2:$C$92,A8,Decisions!$B$2:$B$92,"jama.2024.23898")&lt;&gt;1),"CHECK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8"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s>
  <pageMargins left="0.7" right="0.7" top="0.75" bottom="0.75" header="0.3" footer="0.3"/>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R9"/>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2024::jama.2024.25786::C001</t>
        </is>
      </c>
      <c r="B2" s="12" t="inlineStr">
        <is>
          <t>Liberal walk-in transport percentage does not reconcile with 4/743</t>
        </is>
      </c>
      <c r="C2" s="12" t="inlineStr">
        <is>
          <t>Supplement 2, eTable 2, PDF p. 15, liberal oxygen group, walk-in transport row.</t>
        </is>
      </c>
      <c r="D2" s="18" t="inlineStr">
        <is>
          <t>retain</t>
        </is>
      </c>
      <c r="E2" s="18" t="inlineStr">
        <is>
          <t>statistical_results</t>
        </is>
      </c>
      <c r="F2" s="18" t="inlineStr">
        <is>
          <t>primary_done</t>
        </is>
      </c>
      <c r="G2" s="12">
        <f>IFERROR(IF(LEN(TRIM(CLEAN(SUBSTITUTE(Setup!$B$2,CHAR(160)," "))))=0,"ENTER REVIEWER ID",IF(OR(A2="",COUNTIF($A$2:$A$9,A2)&lt;&gt;1,COUNTIFS(Decisions!$C$2:$C$92,A2,Decisions!$B$2:$B$92,"jama.2024.25786")&lt;&gt;1),"CHECK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2024::jama.2024.25786::C002</t>
        </is>
      </c>
      <c r="B3" s="11" t="inlineStr">
        <is>
          <t>Liberal vascular-surgery percentage is nonzero with a printed zero numerator</t>
        </is>
      </c>
      <c r="C3" s="11" t="inlineStr">
        <is>
          <t>Supplement 2, eTable 2, PDF p. 15, liberal oxygen group, vascular surgery row.</t>
        </is>
      </c>
      <c r="D3" s="18" t="inlineStr">
        <is>
          <t>retain</t>
        </is>
      </c>
      <c r="E3" s="18" t="inlineStr">
        <is>
          <t>statistical_results</t>
        </is>
      </c>
      <c r="F3" s="18" t="inlineStr">
        <is>
          <t>primary_done</t>
        </is>
      </c>
      <c r="G3" s="11">
        <f>IFERROR(IF(LEN(TRIM(CLEAN(SUBSTITUTE(Setup!$B$2,CHAR(160)," "))))=0,"ENTER REVIEWER ID",IF(OR(A3="",COUNTIF($A$2:$A$9,A3)&lt;&gt;1,COUNTIFS(Decisions!$C$2:$C$92,A3,Decisions!$B$2:$B$92,"jama.2024.25786")&lt;&gt;1),"CHECK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2024::jama.2024.25786::C003</t>
        </is>
      </c>
      <c r="B4" s="12" t="inlineStr">
        <is>
          <t>Matched all-patient adjusted confidence-interval upper limit differs between eTables 4 and 7</t>
        </is>
      </c>
      <c r="C4" s="12" t="inlineStr">
        <is>
          <t>Supplement 2, eTable 4, PDF p. 17, further-adjusted primary outcome; Supplement 2, eTable 7, PDF p. 20, all-patient adjusted odds ratio; relevant methods Main article, PDF p. 5.</t>
        </is>
      </c>
      <c r="D4" s="18" t="inlineStr">
        <is>
          <t>retain</t>
        </is>
      </c>
      <c r="E4" s="18" t="inlineStr">
        <is>
          <t>report_internal_inconsistency</t>
        </is>
      </c>
      <c r="F4" s="18" t="inlineStr">
        <is>
          <t>primary_done</t>
        </is>
      </c>
      <c r="G4" s="12">
        <f>IFERROR(IF(LEN(TRIM(CLEAN(SUBSTITUTE(Setup!$B$2,CHAR(160)," "))))=0,"ENTER REVIEWER ID",IF(OR(A4="",COUNTIF($A$2:$A$9,A4)&lt;&gt;1,COUNTIFS(Decisions!$C$2:$C$92,A4,Decisions!$B$2:$B$92,"jama.2024.25786")&lt;&gt;1),"CHECK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f>IF(AND(OR(D4="retain",D4=""),E4="statistical_results"),"","not_applicable")</f>
        <v/>
      </c>
      <c r="I4" s="18">
        <f>IF(AND(OR(D4="retain",D4=""),E4="statistical_results"),"","not_applicable")</f>
        <v/>
      </c>
      <c r="J4" s="19">
        <f>IF(AND(OR(D4="retain",D4=""),E4="statistical_results"),"","not_applicable")</f>
        <v/>
      </c>
      <c r="K4" s="18" t="inlineStr">
        <is>
          <t>substantive_inconsistency</t>
        </is>
      </c>
      <c r="L4" s="19">
        <f>IF(AND(OR(D4="retain",D4=""),E4="protocol_report"),"","not_applicable")</f>
        <v/>
      </c>
      <c r="M4" s="12" t="n"/>
      <c r="N4" s="7" t="n"/>
      <c r="O4" s="7" t="n"/>
      <c r="P4" s="7" t="n"/>
      <c r="Q4" s="7" t="n"/>
      <c r="R4" s="19" t="n"/>
    </row>
    <row r="5" ht="92" customFormat="1" customHeight="1" s="8">
      <c r="A5" s="11" t="inlineStr">
        <is>
          <t>2024::jama.2024.25786::C004</t>
        </is>
      </c>
      <c r="B5" s="11" t="inlineStr">
        <is>
          <t>AIS less-than-3 subgroup percentage conflicts with its count and matched Figure 4</t>
        </is>
      </c>
      <c r="C5" s="11" t="inlineStr">
        <is>
          <t>Main article, Figure 4, PDF p. 8, AIS score less than 3; Supplement 2, eTable 7, PDF p. 20, AIS less than 3.</t>
        </is>
      </c>
      <c r="D5" s="18" t="inlineStr">
        <is>
          <t>retain</t>
        </is>
      </c>
      <c r="E5" s="18" t="inlineStr">
        <is>
          <t>report_internal_inconsistency</t>
        </is>
      </c>
      <c r="F5" s="18" t="inlineStr">
        <is>
          <t>primary_done</t>
        </is>
      </c>
      <c r="G5" s="11">
        <f>IFERROR(IF(LEN(TRIM(CLEAN(SUBSTITUTE(Setup!$B$2,CHAR(160)," "))))=0,"ENTER REVIEWER ID",IF(OR(A5="",COUNTIF($A$2:$A$9,A5)&lt;&gt;1,COUNTIFS(Decisions!$C$2:$C$92,A5,Decisions!$B$2:$B$92,"jama.2024.25786")&lt;&gt;1),"CHECK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f>IF(AND(OR(D5="retain",D5=""),E5="statistical_results"),"","not_applicable")</f>
        <v/>
      </c>
      <c r="I5" s="18">
        <f>IF(AND(OR(D5="retain",D5=""),E5="statistical_results"),"","not_applicable")</f>
        <v/>
      </c>
      <c r="J5" s="19">
        <f>IF(AND(OR(D5="retain",D5=""),E5="statistical_results"),"","not_applicable")</f>
        <v/>
      </c>
      <c r="K5" s="18" t="inlineStr">
        <is>
          <t>substantive_inconsistency</t>
        </is>
      </c>
      <c r="L5" s="19">
        <f>IF(AND(OR(D5="retain",D5=""),E5="protocol_report"),"","not_applicable")</f>
        <v/>
      </c>
      <c r="M5" s="11" t="n"/>
      <c r="N5" s="7" t="n"/>
      <c r="O5" s="7" t="n"/>
      <c r="P5" s="7" t="n"/>
      <c r="Q5" s="7" t="n"/>
      <c r="R5" s="19" t="n"/>
    </row>
    <row r="6" ht="92" customFormat="1" customHeight="1" s="8">
      <c r="A6" s="12" t="inlineStr">
        <is>
          <t>2024::jama.2024.25786::C005</t>
        </is>
      </c>
      <c r="B6" s="12" t="inlineStr">
        <is>
          <t>Known-lung-disease subgroup percentage conflicts with its count and matched Figure 4</t>
        </is>
      </c>
      <c r="C6" s="12" t="inlineStr">
        <is>
          <t>Main article, Figure 4, PDF p. 8, known lung disease, yes; Supplement 2, eTable 7, PDF p. 20, known lung disease, yes.</t>
        </is>
      </c>
      <c r="D6" s="18" t="inlineStr">
        <is>
          <t>retain</t>
        </is>
      </c>
      <c r="E6" s="18" t="inlineStr">
        <is>
          <t>report_internal_inconsistency</t>
        </is>
      </c>
      <c r="F6" s="18" t="inlineStr">
        <is>
          <t>primary_done</t>
        </is>
      </c>
      <c r="G6" s="12">
        <f>IFERROR(IF(LEN(TRIM(CLEAN(SUBSTITUTE(Setup!$B$2,CHAR(160)," "))))=0,"ENTER REVIEWER ID",IF(OR(A6="",COUNTIF($A$2:$A$9,A6)&lt;&gt;1,COUNTIFS(Decisions!$C$2:$C$92,A6,Decisions!$B$2:$B$92,"jama.2024.25786")&lt;&gt;1),"CHECK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f>IF(AND(OR(D6="retain",D6=""),E6="statistical_results"),"","not_applicable")</f>
        <v/>
      </c>
      <c r="I6" s="18">
        <f>IF(AND(OR(D6="retain",D6=""),E6="statistical_results"),"","not_applicable")</f>
        <v/>
      </c>
      <c r="J6" s="19">
        <f>IF(AND(OR(D6="retain",D6=""),E6="statistical_results"),"","not_applicable")</f>
        <v/>
      </c>
      <c r="K6" s="18" t="inlineStr">
        <is>
          <t>substantive_inconsistency</t>
        </is>
      </c>
      <c r="L6" s="19">
        <f>IF(AND(OR(D6="retain",D6=""),E6="protocol_report"),"","not_applicable")</f>
        <v/>
      </c>
      <c r="M6" s="12" t="n"/>
      <c r="N6" s="7" t="n"/>
      <c r="O6" s="7" t="n"/>
      <c r="P6" s="7" t="n"/>
      <c r="Q6" s="7" t="n"/>
      <c r="R6" s="19" t="n"/>
    </row>
    <row r="7" ht="92" customFormat="1" customHeight="1" s="8">
      <c r="A7" s="11" t="inlineStr">
        <is>
          <t>2024::jama.2024.25786::C006</t>
        </is>
      </c>
      <c r="B7" s="11" t="inlineStr">
        <is>
          <t>Postrandomization-exclusion total and group counts do not reconcile across eTable 10 and Figure 1</t>
        </is>
      </c>
      <c r="C7" s="11" t="inlineStr">
        <is>
          <t>Supplement 2, eTable 10, PDF p. 24, exclusion after randomization; Main article, Figure 1, PDF p. 3, excluded after randomization.</t>
        </is>
      </c>
      <c r="D7" s="18" t="inlineStr">
        <is>
          <t>retain</t>
        </is>
      </c>
      <c r="E7" s="18" t="inlineStr">
        <is>
          <t>report_internal_inconsistency</t>
        </is>
      </c>
      <c r="F7" s="18" t="inlineStr">
        <is>
          <t>primary_done</t>
        </is>
      </c>
      <c r="G7" s="11">
        <f>IFERROR(IF(LEN(TRIM(CLEAN(SUBSTITUTE(Setup!$B$2,CHAR(160)," "))))=0,"ENTER REVIEWER ID",IF(OR(A7="",COUNTIF($A$2:$A$9,A7)&lt;&gt;1,COUNTIFS(Decisions!$C$2:$C$92,A7,Decisions!$B$2:$B$92,"jama.2024.25786")&lt;&gt;1),"CHECK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f>IF(AND(OR(D7="retain",D7=""),E7="statistical_results"),"","not_applicable")</f>
        <v/>
      </c>
      <c r="I7" s="18">
        <f>IF(AND(OR(D7="retain",D7=""),E7="statistical_results"),"","not_applicable")</f>
        <v/>
      </c>
      <c r="J7" s="19">
        <f>IF(AND(OR(D7="retain",D7=""),E7="statistical_results"),"","not_applicable")</f>
        <v/>
      </c>
      <c r="K7" s="18" t="inlineStr">
        <is>
          <t>substantive_inconsistency</t>
        </is>
      </c>
      <c r="L7" s="19">
        <f>IF(AND(OR(D7="retain",D7=""),E7="protocol_report"),"","not_applicable")</f>
        <v/>
      </c>
      <c r="M7" s="11" t="n"/>
      <c r="N7" s="7" t="n"/>
      <c r="O7" s="7" t="n"/>
      <c r="P7" s="7" t="n"/>
      <c r="Q7" s="7" t="n"/>
      <c r="R7" s="19" t="n"/>
    </row>
    <row r="8" ht="92" customFormat="1" customHeight="1" s="8">
      <c r="A8" s="12" t="inlineStr">
        <is>
          <t>2024::jama.2024.25786::C007</t>
        </is>
      </c>
      <c r="B8" s="12" t="inlineStr">
        <is>
          <t>Secondary-exclusion cells pair within-group denominators with cross-group partition percentages</t>
        </is>
      </c>
      <c r="C8" s="12" t="inlineStr">
        <is>
          <t>Supplement 2, eTable 10, PDF p. 24, secondary exclusion; count comparator Main article, Figure 1, PDF p. 3.</t>
        </is>
      </c>
      <c r="D8" s="18" t="inlineStr">
        <is>
          <t>retain</t>
        </is>
      </c>
      <c r="E8" s="18" t="inlineStr">
        <is>
          <t>statistical_results</t>
        </is>
      </c>
      <c r="F8" s="18" t="inlineStr">
        <is>
          <t>primary_done</t>
        </is>
      </c>
      <c r="G8" s="12">
        <f>IFERROR(IF(LEN(TRIM(CLEAN(SUBSTITUTE(Setup!$B$2,CHAR(160)," "))))=0,"ENTER REVIEWER ID",IF(OR(A8="",COUNTIF($A$2:$A$9,A8)&lt;&gt;1,COUNTIFS(Decisions!$C$2:$C$92,A8,Decisions!$B$2:$B$92,"jama.2024.25786")&lt;&gt;1),"CHECK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2024::jama.2024.25786::C008</t>
        </is>
      </c>
      <c r="B9" s="11" t="inlineStr">
        <is>
          <t>Missing-as-event primary count uses a doubled numerator/denominator separator</t>
        </is>
      </c>
      <c r="C9" s="11" t="inlineStr">
        <is>
          <t>Supplement 2, eTable 11, PDF p. 25, primary outcome with missing counted as event.</t>
        </is>
      </c>
      <c r="D9" s="18" t="inlineStr">
        <is>
          <t>retain</t>
        </is>
      </c>
      <c r="E9" s="18" t="inlineStr">
        <is>
          <t>report_internal_inconsistency</t>
        </is>
      </c>
      <c r="F9" s="18" t="inlineStr">
        <is>
          <t>primary_done</t>
        </is>
      </c>
      <c r="G9" s="11">
        <f>IFERROR(IF(LEN(TRIM(CLEAN(SUBSTITUTE(Setup!$B$2,CHAR(160)," "))))=0,"ENTER REVIEWER ID",IF(OR(A9="",COUNTIF($A$2:$A$9,A9)&lt;&gt;1,COUNTIFS(Decisions!$C$2:$C$92,A9,Decisions!$B$2:$B$92,"jama.2024.25786")&lt;&gt;1),"CHECK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f>IF(AND(OR(D9="retain",D9=""),E9="statistical_results"),"","not_applicable")</f>
        <v/>
      </c>
      <c r="I9" s="18">
        <f>IF(AND(OR(D9="retain",D9=""),E9="statistical_results"),"","not_applicable")</f>
        <v/>
      </c>
      <c r="J9" s="19">
        <f>IF(AND(OR(D9="retain",D9=""),E9="statistical_results"),"","not_applicable")</f>
        <v/>
      </c>
      <c r="K9" s="18" t="inlineStr">
        <is>
          <t>substantive_inconsistency</t>
        </is>
      </c>
      <c r="L9" s="19">
        <f>IF(AND(OR(D9="retain",D9=""),E9="protocol_report"),"","not_applicable")</f>
        <v/>
      </c>
      <c r="M9" s="11" t="n"/>
      <c r="N9" s="7" t="n"/>
      <c r="O9" s="7" t="n"/>
      <c r="P9" s="7" t="n"/>
      <c r="Q9" s="7" t="n"/>
      <c r="R9" s="19" t="n"/>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9"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s>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R25"/>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2024::jama.2024.4183::C001</t>
        </is>
      </c>
      <c r="B2" s="12" t="inlineStr">
        <is>
          <t>Abstract phase-2 allocation percentages mix incompatible denominators</t>
        </is>
      </c>
      <c r="C2" s="12" t="inlineStr">
        <is>
          <t>Main article p. 1; Main article p. 6.</t>
        </is>
      </c>
      <c r="D2" s="18" t="inlineStr">
        <is>
          <t>retain</t>
        </is>
      </c>
      <c r="E2" s="18" t="inlineStr">
        <is>
          <t>statistical_results</t>
        </is>
      </c>
      <c r="F2" s="18" t="inlineStr">
        <is>
          <t>primary_done</t>
        </is>
      </c>
      <c r="G2" s="12">
        <f>IFERROR(IF(LEN(TRIM(CLEAN(SUBSTITUTE(Setup!$B$2,CHAR(160)," "))))=0,"ENTER REVIEWER ID",IF(OR(A2="",COUNTIF($A$2:$A$25,A2)&lt;&gt;1,COUNTIFS(Decisions!$C$2:$C$92,A2,Decisions!$B$2:$B$92,"jama.2024.4183")&lt;&gt;1),"CHECK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2024::jama.2024.4183::C002</t>
        </is>
      </c>
      <c r="B3" s="11" t="inlineStr">
        <is>
          <t>Main baseline sex counts exceed both printed arm denominators</t>
        </is>
      </c>
      <c r="C3" s="11" t="inlineStr">
        <is>
          <t>Main article p. 5, baseline Table.</t>
        </is>
      </c>
      <c r="D3" s="18" t="inlineStr">
        <is>
          <t>retain</t>
        </is>
      </c>
      <c r="E3" s="18" t="inlineStr">
        <is>
          <t>statistical_results</t>
        </is>
      </c>
      <c r="F3" s="18" t="inlineStr">
        <is>
          <t>primary_done</t>
        </is>
      </c>
      <c r="G3" s="11">
        <f>IFERROR(IF(LEN(TRIM(CLEAN(SUBSTITUTE(Setup!$B$2,CHAR(160)," "))))=0,"ENTER REVIEWER ID",IF(OR(A3="",COUNTIF($A$2:$A$25,A3)&lt;&gt;1,COUNTIFS(Decisions!$C$2:$C$92,A3,Decisions!$B$2:$B$92,"jama.2024.4183")&lt;&gt;1),"CHECK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2024::jama.2024.4183::C003</t>
        </is>
      </c>
      <c r="B4" s="12" t="inlineStr">
        <is>
          <t>Displayed randomization total does not equal its two initial branches</t>
        </is>
      </c>
      <c r="C4" s="12" t="inlineStr">
        <is>
          <t>Main article p. 4; Main article p. 6.</t>
        </is>
      </c>
      <c r="D4" s="18" t="inlineStr">
        <is>
          <t>retain</t>
        </is>
      </c>
      <c r="E4" s="18" t="inlineStr">
        <is>
          <t>statistical_results</t>
        </is>
      </c>
      <c r="F4" s="18" t="inlineStr">
        <is>
          <t>primary_done</t>
        </is>
      </c>
      <c r="G4" s="12">
        <f>IFERROR(IF(LEN(TRIM(CLEAN(SUBSTITUTE(Setup!$B$2,CHAR(160)," "))))=0,"ENTER REVIEWER ID",IF(OR(A4="",COUNTIF($A$2:$A$25,A4)&lt;&gt;1,COUNTIFS(Decisions!$C$2:$C$92,A4,Decisions!$B$2:$B$92,"jama.2024.4183")&lt;&gt;1),"CHECK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substantive</t>
        </is>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2024::jama.2024.4183::C004</t>
        </is>
      </c>
      <c r="B5" s="11" t="inlineStr">
        <is>
          <t>Results reverses attendance status for continuation assignments</t>
        </is>
      </c>
      <c r="C5" s="11" t="inlineStr">
        <is>
          <t>Main article p. 1; Main article p. 4; Main article p. 6.</t>
        </is>
      </c>
      <c r="D5" s="18" t="inlineStr">
        <is>
          <t>retain</t>
        </is>
      </c>
      <c r="E5" s="18" t="inlineStr">
        <is>
          <t>statistical_results</t>
        </is>
      </c>
      <c r="F5" s="18" t="inlineStr">
        <is>
          <t>primary_done</t>
        </is>
      </c>
      <c r="G5" s="11">
        <f>IFERROR(IF(LEN(TRIM(CLEAN(SUBSTITUTE(Setup!$B$2,CHAR(160)," "))))=0,"ENTER REVIEWER ID",IF(OR(A5="",COUNTIF($A$2:$A$25,A5)&lt;&gt;1,COUNTIFS(Decisions!$C$2:$C$92,A5,Decisions!$B$2:$B$92,"jama.2024.4183")&lt;&gt;1),"CHECK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substantive</t>
        </is>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2024::jama.2024.4183::C005</t>
        </is>
      </c>
      <c r="B6" s="12" t="inlineStr">
        <is>
          <t>CNRT dose-increase primary CrI differs between abstract and matched results</t>
        </is>
      </c>
      <c r="C6" s="12" t="inlineStr">
        <is>
          <t>Main article p. 1; Main article p. 5; Supplement 2 p. 21.</t>
        </is>
      </c>
      <c r="D6" s="18" t="inlineStr">
        <is>
          <t>retain</t>
        </is>
      </c>
      <c r="E6" s="18" t="inlineStr">
        <is>
          <t>statistical_results</t>
        </is>
      </c>
      <c r="F6" s="18" t="inlineStr">
        <is>
          <t>primary_done</t>
        </is>
      </c>
      <c r="G6" s="12">
        <f>IFERROR(IF(LEN(TRIM(CLEAN(SUBSTITUTE(Setup!$B$2,CHAR(160)," "))))=0,"ENTER REVIEWER ID",IF(OR(A6="",COUNTIF($A$2:$A$25,A6)&lt;&gt;1,COUNTIFS(Decisions!$C$2:$C$92,A6,Decisions!$B$2:$B$92,"jama.2024.4183")&lt;&gt;1),"CHECK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2024::jama.2024.4183::C006</t>
        </is>
      </c>
      <c r="B7" s="11" t="inlineStr">
        <is>
          <t>CNRT switch primary CrI differs across abstract, Results, and eTable</t>
        </is>
      </c>
      <c r="C7" s="11" t="inlineStr">
        <is>
          <t>Main article p. 1; Main article p. 5; Supplement 2 p. 21.</t>
        </is>
      </c>
      <c r="D7" s="18" t="inlineStr">
        <is>
          <t>retain</t>
        </is>
      </c>
      <c r="E7" s="18" t="inlineStr">
        <is>
          <t>statistical_results</t>
        </is>
      </c>
      <c r="F7" s="18" t="inlineStr">
        <is>
          <t>primary_done</t>
        </is>
      </c>
      <c r="G7" s="11">
        <f>IFERROR(IF(LEN(TRIM(CLEAN(SUBSTITUTE(Setup!$B$2,CHAR(160)," "))))=0,"ENTER REVIEWER ID",IF(OR(A7="",COUNTIF($A$2:$A$25,A7)&lt;&gt;1,COUNTIFS(Decisions!$C$2:$C$92,A7,Decisions!$B$2:$B$92,"jama.2024.4183")&lt;&gt;1),"CHECK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2024::jama.2024.4183::C007</t>
        </is>
      </c>
      <c r="B8" s="12" t="inlineStr">
        <is>
          <t>Varenicline-to-CNRT switch contrast has inconsistent sign and reference</t>
        </is>
      </c>
      <c r="C8" s="12" t="inlineStr">
        <is>
          <t>Main article p. 1; Main article p. 5; Main article p. 7; Supplement 2 p. 21.</t>
        </is>
      </c>
      <c r="D8" s="18" t="inlineStr">
        <is>
          <t>retain</t>
        </is>
      </c>
      <c r="E8" s="18" t="inlineStr">
        <is>
          <t>report_internal_inconsistency</t>
        </is>
      </c>
      <c r="F8" s="18" t="inlineStr">
        <is>
          <t>primary_done</t>
        </is>
      </c>
      <c r="G8" s="12">
        <f>IFERROR(IF(LEN(TRIM(CLEAN(SUBSTITUTE(Setup!$B$2,CHAR(160)," "))))=0,"ENTER REVIEWER ID",IF(OR(A8="",COUNTIF($A$2:$A$25,A8)&lt;&gt;1,COUNTIFS(Decisions!$C$2:$C$92,A8,Decisions!$B$2:$B$92,"jama.2024.4183")&lt;&gt;1),"CHECK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f>IF(AND(OR(D8="retain",D8=""),E8="statistical_results"),"","not_applicable")</f>
        <v/>
      </c>
      <c r="I8" s="18">
        <f>IF(AND(OR(D8="retain",D8=""),E8="statistical_results"),"","not_applicable")</f>
        <v/>
      </c>
      <c r="J8" s="19">
        <f>IF(AND(OR(D8="retain",D8=""),E8="statistical_results"),"","not_applicable")</f>
        <v/>
      </c>
      <c r="K8" s="18" t="inlineStr">
        <is>
          <t>substantive_inconsistency</t>
        </is>
      </c>
      <c r="L8" s="19">
        <f>IF(AND(OR(D8="retain",D8=""),E8="protocol_report"),"","not_applicable")</f>
        <v/>
      </c>
      <c r="M8" s="12" t="n"/>
      <c r="N8" s="7" t="n"/>
      <c r="O8" s="7" t="n"/>
      <c r="P8" s="7" t="n"/>
      <c r="Q8" s="7" t="n"/>
      <c r="R8" s="19" t="n"/>
    </row>
    <row r="9" ht="92" customFormat="1" customHeight="1" s="8">
      <c r="A9" s="11" t="inlineStr">
        <is>
          <t>2024::jama.2024.4183::C008</t>
        </is>
      </c>
      <c r="B9" s="11" t="inlineStr">
        <is>
          <t>Increased-varenicline primary CrI upper endpoint differs</t>
        </is>
      </c>
      <c r="C9" s="11" t="inlineStr">
        <is>
          <t>Main article p. 1; Main article p. 5; Supplement 2 p. 21.</t>
        </is>
      </c>
      <c r="D9" s="18" t="inlineStr">
        <is>
          <t>retain</t>
        </is>
      </c>
      <c r="E9" s="18" t="inlineStr">
        <is>
          <t>statistical_results</t>
        </is>
      </c>
      <c r="F9" s="18" t="inlineStr">
        <is>
          <t>primary_done</t>
        </is>
      </c>
      <c r="G9" s="11">
        <f>IFERROR(IF(LEN(TRIM(CLEAN(SUBSTITUTE(Setup!$B$2,CHAR(160)," "))))=0,"ENTER REVIEWER ID",IF(OR(A9="",COUNTIF($A$2:$A$25,A9)&lt;&gt;1,COUNTIFS(Decisions!$C$2:$C$92,A9,Decisions!$B$2:$B$92,"jama.2024.4183")&lt;&gt;1),"CHECK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substantive</t>
        </is>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2024::jama.2024.4183::C009</t>
        </is>
      </c>
      <c r="B10" s="12" t="inlineStr">
        <is>
          <t>Phase-1 abstainer primary CrI lower endpoint differs</t>
        </is>
      </c>
      <c r="C10" s="12" t="inlineStr">
        <is>
          <t>Main article p. 7; Supplement 2 p. 21.</t>
        </is>
      </c>
      <c r="D10" s="18" t="inlineStr">
        <is>
          <t>retain</t>
        </is>
      </c>
      <c r="E10" s="18" t="inlineStr">
        <is>
          <t>statistical_results</t>
        </is>
      </c>
      <c r="F10" s="18" t="inlineStr">
        <is>
          <t>primary_done</t>
        </is>
      </c>
      <c r="G10" s="12">
        <f>IFERROR(IF(LEN(TRIM(CLEAN(SUBSTITUTE(Setup!$B$2,CHAR(160)," "))))=0,"ENTER REVIEWER ID",IF(OR(A10="",COUNTIF($A$2:$A$25,A10)&lt;&gt;1,COUNTIFS(Decisions!$C$2:$C$92,A10,Decisions!$B$2:$B$92,"jama.2024.4183")&lt;&gt;1),"CHECK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substantive</t>
        </is>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2024::jama.2024.4183::C010</t>
        </is>
      </c>
      <c r="B11" s="11" t="inlineStr">
        <is>
          <t>Protocol beta parameters do not reproduce the paired varenicline response probability</t>
        </is>
      </c>
      <c r="C11" s="11" t="inlineStr">
        <is>
          <t>Protocol p. 32, Figure 2.</t>
        </is>
      </c>
      <c r="D11" s="18" t="inlineStr">
        <is>
          <t>retain</t>
        </is>
      </c>
      <c r="E11" s="18" t="inlineStr">
        <is>
          <t>plan_material</t>
        </is>
      </c>
      <c r="F11" s="18" t="inlineStr">
        <is>
          <t>primary_done</t>
        </is>
      </c>
      <c r="G11" s="11">
        <f>IFERROR(IF(LEN(TRIM(CLEAN(SUBSTITUTE(Setup!$B$2,CHAR(160)," "))))=0,"ENTER REVIEWER ID",IF(OR(A11="",COUNTIF($A$2:$A$25,A11)&lt;&gt;1,COUNTIFS(Decisions!$C$2:$C$92,A11,Decisions!$B$2:$B$92,"jama.2024.4183")&lt;&gt;1),"CHECK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f>IF(AND(OR(D11="retain",D11=""),E11="statistical_results"),"","not_applicable")</f>
        <v/>
      </c>
      <c r="I11" s="18">
        <f>IF(AND(OR(D11="retain",D11=""),E11="statistical_results"),"","not_applicable")</f>
        <v/>
      </c>
      <c r="J11" s="19">
        <f>IF(AND(OR(D11="retain",D11=""),E11="statistical_results"),"","not_applicable")</f>
        <v/>
      </c>
      <c r="K11" s="18" t="inlineStr">
        <is>
          <t>substantive_inconsistency</t>
        </is>
      </c>
      <c r="L11" s="19">
        <f>IF(AND(OR(D11="retain",D11=""),E11="protocol_report"),"","not_applicable")</f>
        <v/>
      </c>
      <c r="M11" s="11" t="n"/>
      <c r="N11" s="7" t="n"/>
      <c r="O11" s="7" t="n"/>
      <c r="P11" s="7" t="n"/>
      <c r="Q11" s="7" t="n"/>
      <c r="R11" s="19" t="n"/>
    </row>
    <row r="12" ht="92" customFormat="1" customHeight="1" s="8">
      <c r="A12" s="12" t="inlineStr">
        <is>
          <t>2024::jama.2024.4183::C011</t>
        </is>
      </c>
      <c r="B12" s="12" t="inlineStr">
        <is>
          <t>Protocol Aim-1 power increases at a stricter nested threshold</t>
        </is>
      </c>
      <c r="C12" s="12" t="inlineStr">
        <is>
          <t>Protocol p. 34, Table 3.</t>
        </is>
      </c>
      <c r="D12" s="18" t="inlineStr">
        <is>
          <t>retain</t>
        </is>
      </c>
      <c r="E12" s="18" t="inlineStr">
        <is>
          <t>plan_material</t>
        </is>
      </c>
      <c r="F12" s="18" t="inlineStr">
        <is>
          <t>primary_done</t>
        </is>
      </c>
      <c r="G12" s="12">
        <f>IFERROR(IF(LEN(TRIM(CLEAN(SUBSTITUTE(Setup!$B$2,CHAR(160)," "))))=0,"ENTER REVIEWER ID",IF(OR(A12="",COUNTIF($A$2:$A$25,A12)&lt;&gt;1,COUNTIFS(Decisions!$C$2:$C$92,A12,Decisions!$B$2:$B$92,"jama.2024.4183")&lt;&gt;1),"CHECK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f>IF(AND(OR(D12="retain",D12=""),E12="statistical_results"),"","not_applicable")</f>
        <v/>
      </c>
      <c r="I12" s="18">
        <f>IF(AND(OR(D12="retain",D12=""),E12="statistical_results"),"","not_applicable")</f>
        <v/>
      </c>
      <c r="J12" s="19">
        <f>IF(AND(OR(D12="retain",D12=""),E12="statistical_results"),"","not_applicable")</f>
        <v/>
      </c>
      <c r="K12" s="18" t="inlineStr">
        <is>
          <t>substantive_inconsistency</t>
        </is>
      </c>
      <c r="L12" s="19">
        <f>IF(AND(OR(D12="retain",D12=""),E12="protocol_report"),"","not_applicable")</f>
        <v/>
      </c>
      <c r="M12" s="12" t="n"/>
      <c r="N12" s="7" t="n"/>
      <c r="O12" s="7" t="n"/>
      <c r="P12" s="7" t="n"/>
      <c r="Q12" s="7" t="n"/>
      <c r="R12" s="19" t="n"/>
    </row>
    <row r="13" ht="92" customFormat="1" customHeight="1" s="8">
      <c r="A13" s="11" t="inlineStr">
        <is>
          <t>2024::jama.2024.4183::C012</t>
        </is>
      </c>
      <c r="B13" s="11" t="inlineStr">
        <is>
          <t>Protocol Table 3 duplicates an Aim-2 comparator label</t>
        </is>
      </c>
      <c r="C13" s="11" t="inlineStr">
        <is>
          <t>Protocol p. 29; Protocol p. 33; Protocol p. 34.</t>
        </is>
      </c>
      <c r="D13" s="18" t="inlineStr">
        <is>
          <t>retain</t>
        </is>
      </c>
      <c r="E13" s="18" t="inlineStr">
        <is>
          <t>plan_material</t>
        </is>
      </c>
      <c r="F13" s="18" t="inlineStr">
        <is>
          <t>primary_done</t>
        </is>
      </c>
      <c r="G13" s="11">
        <f>IFERROR(IF(LEN(TRIM(CLEAN(SUBSTITUTE(Setup!$B$2,CHAR(160)," "))))=0,"ENTER REVIEWER ID",IF(OR(A13="",COUNTIF($A$2:$A$25,A13)&lt;&gt;1,COUNTIFS(Decisions!$C$2:$C$92,A13,Decisions!$B$2:$B$92,"jama.2024.4183")&lt;&gt;1),"CHECK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substantive_inconsistency</t>
        </is>
      </c>
      <c r="L13" s="19">
        <f>IF(AND(OR(D13="retain",D13=""),E13="protocol_report"),"","not_applicable")</f>
        <v/>
      </c>
      <c r="M13" s="11" t="n"/>
      <c r="N13" s="7" t="n"/>
      <c r="O13" s="7" t="n"/>
      <c r="P13" s="7" t="n"/>
      <c r="Q13" s="7" t="n"/>
      <c r="R13" s="19" t="n"/>
    </row>
    <row r="14" ht="92" customFormat="1" customHeight="1" s="8">
      <c r="A14" s="12" t="inlineStr">
        <is>
          <t>2024::jama.2024.4183::C013</t>
        </is>
      </c>
      <c r="B14" s="12" t="inlineStr">
        <is>
          <t>ETable 3 reverses count and percentage in one n (%) cell</t>
        </is>
      </c>
      <c r="C14" s="12" t="inlineStr">
        <is>
          <t>Supplement 2 p. 19, ETable 3.</t>
        </is>
      </c>
      <c r="D14" s="18" t="inlineStr">
        <is>
          <t>retain</t>
        </is>
      </c>
      <c r="E14" s="18" t="inlineStr">
        <is>
          <t>report_internal_inconsistency</t>
        </is>
      </c>
      <c r="F14" s="18" t="inlineStr">
        <is>
          <t>primary_done</t>
        </is>
      </c>
      <c r="G14" s="12">
        <f>IFERROR(IF(LEN(TRIM(CLEAN(SUBSTITUTE(Setup!$B$2,CHAR(160)," "))))=0,"ENTER REVIEWER ID",IF(OR(A14="",COUNTIF($A$2:$A$25,A14)&lt;&gt;1,COUNTIFS(Decisions!$C$2:$C$92,A14,Decisions!$B$2:$B$92,"jama.2024.4183")&lt;&gt;1),"CHECK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substantive_inconsistency</t>
        </is>
      </c>
      <c r="L14" s="19">
        <f>IF(AND(OR(D14="retain",D14=""),E14="protocol_report"),"","not_applicable")</f>
        <v/>
      </c>
      <c r="M14" s="12" t="n"/>
      <c r="N14" s="7" t="n"/>
      <c r="O14" s="7" t="n"/>
      <c r="P14" s="7" t="n"/>
      <c r="Q14" s="7" t="n"/>
      <c r="R14" s="19" t="n"/>
    </row>
    <row r="15" ht="92" customFormat="1" customHeight="1" s="8">
      <c r="A15" s="11" t="inlineStr">
        <is>
          <t>2024::jama.2024.4183::C014</t>
        </is>
      </c>
      <c r="B15" s="11" t="inlineStr">
        <is>
          <t>EOT+30 CNRT-switch cell estimate and CrI do not reconcile with matched figure as printed</t>
        </is>
      </c>
      <c r="C15" s="11" t="inlineStr">
        <is>
          <t>Supplement 2 p. 10; Supplement 2 p. 15.</t>
        </is>
      </c>
      <c r="D15" s="18" t="inlineStr">
        <is>
          <t>retain</t>
        </is>
      </c>
      <c r="E15" s="18" t="inlineStr">
        <is>
          <t>statistical_results</t>
        </is>
      </c>
      <c r="F15" s="18" t="inlineStr">
        <is>
          <t>primary_done</t>
        </is>
      </c>
      <c r="G15" s="11">
        <f>IFERROR(IF(LEN(TRIM(CLEAN(SUBSTITUTE(Setup!$B$2,CHAR(160)," "))))=0,"ENTER REVIEWER ID",IF(OR(A15="",COUNTIF($A$2:$A$25,A15)&lt;&gt;1,COUNTIFS(Decisions!$C$2:$C$92,A15,Decisions!$B$2:$B$92,"jama.2024.4183")&lt;&gt;1),"CHECK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t="inlineStr">
        <is>
          <t>confirmed_issue</t>
        </is>
      </c>
      <c r="I15" s="18" t="inlineStr">
        <is>
          <t>substantive</t>
        </is>
      </c>
      <c r="J15" s="19">
        <f>IF(AND(OR(D15="retain",D15=""),E15="statistical_results"),"","not_applicable")</f>
        <v/>
      </c>
      <c r="K15" s="18">
        <f>IF(AND(OR(D15="retain",D15=""),OR(E15="report_internal_inconsistency",E15="plan_material")),"","not_applicable")</f>
        <v/>
      </c>
      <c r="L15" s="19">
        <f>IF(AND(OR(D15="retain",D15=""),E15="protocol_report"),"","not_applicable")</f>
        <v/>
      </c>
      <c r="M15" s="11" t="n"/>
      <c r="N15" s="7" t="n"/>
      <c r="O15" s="7" t="n"/>
      <c r="P15" s="7" t="n"/>
      <c r="Q15" s="7" t="n"/>
      <c r="R15" s="19" t="n"/>
    </row>
    <row r="16" ht="92" customFormat="1" customHeight="1" s="8">
      <c r="A16" s="12" t="inlineStr">
        <is>
          <t>2024::jama.2024.4183::C015</t>
        </is>
      </c>
      <c r="B16" s="12" t="inlineStr">
        <is>
          <t>EOT+30 increased-CNRT cell CrI upper endpoint does not reconcile with matched figure as printed</t>
        </is>
      </c>
      <c r="C16" s="12" t="inlineStr">
        <is>
          <t>Supplement 2 p. 10; Supplement 2 p. 15.</t>
        </is>
      </c>
      <c r="D16" s="18" t="inlineStr">
        <is>
          <t>retain</t>
        </is>
      </c>
      <c r="E16" s="18" t="inlineStr">
        <is>
          <t>statistical_results</t>
        </is>
      </c>
      <c r="F16" s="18" t="inlineStr">
        <is>
          <t>primary_done</t>
        </is>
      </c>
      <c r="G16" s="12">
        <f>IFERROR(IF(LEN(TRIM(CLEAN(SUBSTITUTE(Setup!$B$2,CHAR(160)," "))))=0,"ENTER REVIEWER ID",IF(OR(A16="",COUNTIF($A$2:$A$25,A16)&lt;&gt;1,COUNTIFS(Decisions!$C$2:$C$92,A16,Decisions!$B$2:$B$92,"jama.2024.4183")&lt;&gt;1),"CHECK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t="inlineStr">
        <is>
          <t>confirmed_issue</t>
        </is>
      </c>
      <c r="I16" s="18" t="inlineStr">
        <is>
          <t>substantive</t>
        </is>
      </c>
      <c r="J16" s="19">
        <f>IF(AND(OR(D16="retain",D16=""),E16="statistical_results"),"","not_applicable")</f>
        <v/>
      </c>
      <c r="K16" s="18">
        <f>IF(AND(OR(D16="retain",D16=""),OR(E16="report_internal_inconsistency",E16="plan_material")),"","not_applicable")</f>
        <v/>
      </c>
      <c r="L16" s="19">
        <f>IF(AND(OR(D16="retain",D16=""),E16="protocol_report"),"","not_applicable")</f>
        <v/>
      </c>
      <c r="M16" s="12" t="n"/>
      <c r="N16" s="7" t="n"/>
      <c r="O16" s="7" t="n"/>
      <c r="P16" s="7" t="n"/>
      <c r="Q16" s="7" t="n"/>
      <c r="R16" s="19" t="n"/>
    </row>
    <row r="17" ht="92" customFormat="1" customHeight="1" s="8">
      <c r="A17" s="11" t="inlineStr">
        <is>
          <t>2024::jama.2024.4183::C016</t>
        </is>
      </c>
      <c r="B17" s="11" t="inlineStr">
        <is>
          <t>EOT+30 CNRT-switch ARD CrI upper endpoint does not reconcile with matched table as printed</t>
        </is>
      </c>
      <c r="C17" s="11" t="inlineStr">
        <is>
          <t>Supplement 2 p. 10; Supplement 2 p. 33.</t>
        </is>
      </c>
      <c r="D17" s="18" t="inlineStr">
        <is>
          <t>retain</t>
        </is>
      </c>
      <c r="E17" s="18" t="inlineStr">
        <is>
          <t>statistical_results</t>
        </is>
      </c>
      <c r="F17" s="18" t="inlineStr">
        <is>
          <t>primary_done</t>
        </is>
      </c>
      <c r="G17" s="11">
        <f>IFERROR(IF(LEN(TRIM(CLEAN(SUBSTITUTE(Setup!$B$2,CHAR(160)," "))))=0,"ENTER REVIEWER ID",IF(OR(A17="",COUNTIF($A$2:$A$25,A17)&lt;&gt;1,COUNTIFS(Decisions!$C$2:$C$92,A17,Decisions!$B$2:$B$92,"jama.2024.4183")&lt;&gt;1),"CHECK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t="inlineStr">
        <is>
          <t>confirmed_issue</t>
        </is>
      </c>
      <c r="I17" s="18" t="inlineStr">
        <is>
          <t>substantive</t>
        </is>
      </c>
      <c r="J17" s="19">
        <f>IF(AND(OR(D17="retain",D17=""),E17="statistical_results"),"","not_applicable")</f>
        <v/>
      </c>
      <c r="K17" s="18">
        <f>IF(AND(OR(D17="retain",D17=""),OR(E17="report_internal_inconsistency",E17="plan_material")),"","not_applicable")</f>
        <v/>
      </c>
      <c r="L17" s="19">
        <f>IF(AND(OR(D17="retain",D17=""),E17="protocol_report"),"","not_applicable")</f>
        <v/>
      </c>
      <c r="M17" s="11" t="n"/>
      <c r="N17" s="7" t="n"/>
      <c r="O17" s="7" t="n"/>
      <c r="P17" s="7" t="n"/>
      <c r="Q17" s="7" t="n"/>
      <c r="R17" s="19" t="n"/>
    </row>
    <row r="18" ht="92" customFormat="1" customHeight="1" s="8">
      <c r="A18" s="12" t="inlineStr">
        <is>
          <t>2024::jama.2024.4183::C017</t>
        </is>
      </c>
      <c r="B18" s="12" t="inlineStr">
        <is>
          <t>EOT+30 increased-varenicline narrative has repeated intervals that do not reconcile as printed</t>
        </is>
      </c>
      <c r="C18" s="12" t="inlineStr">
        <is>
          <t>Supplement 2 p. 10; Supplement 2 p. 11; Supplement 2 p. 15; Supplement 2 p. 33; Supplement 2 p. 34.</t>
        </is>
      </c>
      <c r="D18" s="18" t="inlineStr">
        <is>
          <t>retain</t>
        </is>
      </c>
      <c r="E18" s="18" t="inlineStr">
        <is>
          <t>statistical_results</t>
        </is>
      </c>
      <c r="F18" s="18" t="inlineStr">
        <is>
          <t>primary_done</t>
        </is>
      </c>
      <c r="G18" s="12">
        <f>IFERROR(IF(LEN(TRIM(CLEAN(SUBSTITUTE(Setup!$B$2,CHAR(160)," "))))=0,"ENTER REVIEWER ID",IF(OR(A18="",COUNTIF($A$2:$A$25,A18)&lt;&gt;1,COUNTIFS(Decisions!$C$2:$C$92,A18,Decisions!$B$2:$B$92,"jama.2024.4183")&lt;&gt;1),"CHECK KEY",IF(OR(AND(NOT(AND(D18="retain",E18="statistical_results")),H18&lt;&gt;"",H18&lt;&gt;"not_applicable"),AND(NOT(AND(D18="retain",E18="statistical_results")),I18&lt;&gt;"",I18&lt;&gt;"not_applicable"),AND(NOT(AND(D18="retain",E18="statistical_results")),J18&lt;&gt;"",J18&lt;&gt;"not_applicable"),AND(NOT(AND(D18="retain",OR(E18="report_internal_inconsistency",E18="plan_material"))),K18&lt;&gt;"",K18&lt;&gt;"not_applicable"),AND(NOT(AND(D18="retain",E18="protocol_report")),L18&lt;&gt;"",L18&lt;&gt;"not_applicable")),"CLEAR INACTIVE VALUES",IF(OR(NOT(OR(D18="retain",D18="exclude",D18="discuss")),NOT(OR(E18="statistical_results",E18="report_internal_inconsistency",E18="plan_material",E18="protocol_report")),AND(AND(D18="retain",E18="statistical_results"),NOT(OR(H18="confirmed_issue",H18="probable_issue",H18="not_issue",H18="indeterminate"))),AND(AND(D18="retain",E18="statistical_results"),NOT(OR(I18="substantive",I18="minor_presentation",I18="indeterminate"))),AND(AND(D18="retain",E18="statistical_results"),J18&lt;&gt;"",NOT(OR(J18="direct",J18="possible",J18="unlikely",J18="unknown"))),AND(AND(D18="retain",OR(E18="report_internal_inconsistency",E18="plan_material")),NOT(OR(K18="substantive_inconsistency",K18="minor_presentation",K18="non_inconsistency",K18="indeterminate"))),AND(AND(D18="retain",E18="protocol_report"),L18&lt;&gt;"",NOT(OR(L18="substantive_difference",L18="minor_presentation",L18="version_timing",L18="non_inconsistency",L18="indeterminate")))),"CHECK FIELDS",IF(AND(F18&lt;&gt;"",NOT(OR(F18="no",F18="primary_done"))),"CHECK COMPLETE",IF(F18&lt;&gt;"primary_done","PRIMARY DRAFT","PRIMARY READY")))))),"CHECK KEY / INPUT")</f>
        <v/>
      </c>
      <c r="H18" s="18" t="inlineStr">
        <is>
          <t>confirmed_issue</t>
        </is>
      </c>
      <c r="I18" s="18" t="inlineStr">
        <is>
          <t>substantive</t>
        </is>
      </c>
      <c r="J18" s="19">
        <f>IF(AND(OR(D18="retain",D18=""),E18="statistical_results"),"","not_applicable")</f>
        <v/>
      </c>
      <c r="K18" s="18">
        <f>IF(AND(OR(D18="retain",D18=""),OR(E18="report_internal_inconsistency",E18="plan_material")),"","not_applicable")</f>
        <v/>
      </c>
      <c r="L18" s="19">
        <f>IF(AND(OR(D18="retain",D18=""),E18="protocol_report"),"","not_applicable")</f>
        <v/>
      </c>
      <c r="M18" s="12" t="n"/>
      <c r="N18" s="7" t="n"/>
      <c r="O18" s="7" t="n"/>
      <c r="P18" s="7" t="n"/>
      <c r="Q18" s="7" t="n"/>
      <c r="R18" s="19" t="n"/>
    </row>
    <row r="19" ht="92" customFormat="1" customHeight="1" s="8">
      <c r="A19" s="11" t="inlineStr">
        <is>
          <t>2024::jama.2024.4183::C018</t>
        </is>
      </c>
      <c r="B19" s="11" t="inlineStr">
        <is>
          <t>EOT+30 abstainer ARD is 1.1% in narrative but 11% in eTable</t>
        </is>
      </c>
      <c r="C19" s="11" t="inlineStr">
        <is>
          <t>Supplement 2 p. 11; Supplement 2 p. 15; Supplement 2 p. 35.</t>
        </is>
      </c>
      <c r="D19" s="18" t="inlineStr">
        <is>
          <t>retain</t>
        </is>
      </c>
      <c r="E19" s="18" t="inlineStr">
        <is>
          <t>statistical_results</t>
        </is>
      </c>
      <c r="F19" s="18" t="inlineStr">
        <is>
          <t>primary_done</t>
        </is>
      </c>
      <c r="G19" s="11">
        <f>IFERROR(IF(LEN(TRIM(CLEAN(SUBSTITUTE(Setup!$B$2,CHAR(160)," "))))=0,"ENTER REVIEWER ID",IF(OR(A19="",COUNTIF($A$2:$A$25,A19)&lt;&gt;1,COUNTIFS(Decisions!$C$2:$C$92,A19,Decisions!$B$2:$B$92,"jama.2024.4183")&lt;&gt;1),"CHECK KEY",IF(OR(AND(NOT(AND(D19="retain",E19="statistical_results")),H19&lt;&gt;"",H19&lt;&gt;"not_applicable"),AND(NOT(AND(D19="retain",E19="statistical_results")),I19&lt;&gt;"",I19&lt;&gt;"not_applicable"),AND(NOT(AND(D19="retain",E19="statistical_results")),J19&lt;&gt;"",J19&lt;&gt;"not_applicable"),AND(NOT(AND(D19="retain",OR(E19="report_internal_inconsistency",E19="plan_material"))),K19&lt;&gt;"",K19&lt;&gt;"not_applicable"),AND(NOT(AND(D19="retain",E19="protocol_report")),L19&lt;&gt;"",L19&lt;&gt;"not_applicable")),"CLEAR INACTIVE VALUES",IF(OR(NOT(OR(D19="retain",D19="exclude",D19="discuss")),NOT(OR(E19="statistical_results",E19="report_internal_inconsistency",E19="plan_material",E19="protocol_report")),AND(AND(D19="retain",E19="statistical_results"),NOT(OR(H19="confirmed_issue",H19="probable_issue",H19="not_issue",H19="indeterminate"))),AND(AND(D19="retain",E19="statistical_results"),NOT(OR(I19="substantive",I19="minor_presentation",I19="indeterminate"))),AND(AND(D19="retain",E19="statistical_results"),J19&lt;&gt;"",NOT(OR(J19="direct",J19="possible",J19="unlikely",J19="unknown"))),AND(AND(D19="retain",OR(E19="report_internal_inconsistency",E19="plan_material")),NOT(OR(K19="substantive_inconsistency",K19="minor_presentation",K19="non_inconsistency",K19="indeterminate"))),AND(AND(D19="retain",E19="protocol_report"),L19&lt;&gt;"",NOT(OR(L19="substantive_difference",L19="minor_presentation",L19="version_timing",L19="non_inconsistency",L19="indeterminate")))),"CHECK FIELDS",IF(AND(F19&lt;&gt;"",NOT(OR(F19="no",F19="primary_done"))),"CHECK COMPLETE",IF(F19&lt;&gt;"primary_done","PRIMARY DRAFT","PRIMARY READY")))))),"CHECK KEY / INPUT")</f>
        <v/>
      </c>
      <c r="H19" s="18" t="inlineStr">
        <is>
          <t>confirmed_issue</t>
        </is>
      </c>
      <c r="I19" s="18" t="inlineStr">
        <is>
          <t>substantive</t>
        </is>
      </c>
      <c r="J19" s="19">
        <f>IF(AND(OR(D19="retain",D19=""),E19="statistical_results"),"","not_applicable")</f>
        <v/>
      </c>
      <c r="K19" s="18">
        <f>IF(AND(OR(D19="retain",D19=""),OR(E19="report_internal_inconsistency",E19="plan_material")),"","not_applicable")</f>
        <v/>
      </c>
      <c r="L19" s="19">
        <f>IF(AND(OR(D19="retain",D19=""),E19="protocol_report"),"","not_applicable")</f>
        <v/>
      </c>
      <c r="M19" s="11" t="n"/>
      <c r="N19" s="7" t="n"/>
      <c r="O19" s="7" t="n"/>
      <c r="P19" s="7" t="n"/>
      <c r="Q19" s="7" t="n"/>
      <c r="R19" s="19" t="n"/>
    </row>
    <row r="20" ht="92" customFormat="1" customHeight="1" s="8">
      <c r="A20" s="12" t="inlineStr">
        <is>
          <t>2024::jama.2024.4183::C019</t>
        </is>
      </c>
      <c r="B20" s="12" t="inlineStr">
        <is>
          <t>Six-month CNRT-switch cross-reference does not directly identify the matched table</t>
        </is>
      </c>
      <c r="C20" s="12" t="inlineStr">
        <is>
          <t>Supplement 2 p. 11; Supplement 2 p. 31; Supplement 2 p. 33.</t>
        </is>
      </c>
      <c r="D20" s="18" t="inlineStr">
        <is>
          <t>retain</t>
        </is>
      </c>
      <c r="E20" s="18" t="inlineStr">
        <is>
          <t>report_internal_inconsistency</t>
        </is>
      </c>
      <c r="F20" s="18" t="inlineStr">
        <is>
          <t>primary_done</t>
        </is>
      </c>
      <c r="G20" s="12">
        <f>IFERROR(IF(LEN(TRIM(CLEAN(SUBSTITUTE(Setup!$B$2,CHAR(160)," "))))=0,"ENTER REVIEWER ID",IF(OR(A20="",COUNTIF($A$2:$A$25,A20)&lt;&gt;1,COUNTIFS(Decisions!$C$2:$C$92,A20,Decisions!$B$2:$B$92,"jama.2024.4183")&lt;&gt;1),"CHECK KEY",IF(OR(AND(NOT(AND(D20="retain",E20="statistical_results")),H20&lt;&gt;"",H20&lt;&gt;"not_applicable"),AND(NOT(AND(D20="retain",E20="statistical_results")),I20&lt;&gt;"",I20&lt;&gt;"not_applicable"),AND(NOT(AND(D20="retain",E20="statistical_results")),J20&lt;&gt;"",J20&lt;&gt;"not_applicable"),AND(NOT(AND(D20="retain",OR(E20="report_internal_inconsistency",E20="plan_material"))),K20&lt;&gt;"",K20&lt;&gt;"not_applicable"),AND(NOT(AND(D20="retain",E20="protocol_report")),L20&lt;&gt;"",L20&lt;&gt;"not_applicable")),"CLEAR INACTIVE VALUES",IF(OR(NOT(OR(D20="retain",D20="exclude",D20="discuss")),NOT(OR(E20="statistical_results",E20="report_internal_inconsistency",E20="plan_material",E20="protocol_report")),AND(AND(D20="retain",E20="statistical_results"),NOT(OR(H20="confirmed_issue",H20="probable_issue",H20="not_issue",H20="indeterminate"))),AND(AND(D20="retain",E20="statistical_results"),NOT(OR(I20="substantive",I20="minor_presentation",I20="indeterminate"))),AND(AND(D20="retain",E20="statistical_results"),J20&lt;&gt;"",NOT(OR(J20="direct",J20="possible",J20="unlikely",J20="unknown"))),AND(AND(D20="retain",OR(E20="report_internal_inconsistency",E20="plan_material")),NOT(OR(K20="substantive_inconsistency",K20="minor_presentation",K20="non_inconsistency",K20="indeterminate"))),AND(AND(D20="retain",E20="protocol_report"),L20&lt;&gt;"",NOT(OR(L20="substantive_difference",L20="minor_presentation",L20="version_timing",L20="non_inconsistency",L20="indeterminate")))),"CHECK FIELDS",IF(AND(F20&lt;&gt;"",NOT(OR(F20="no",F20="primary_done"))),"CHECK COMPLETE",IF(F20&lt;&gt;"primary_done","PRIMARY DRAFT","PRIMARY READY")))))),"CHECK KEY / INPUT")</f>
        <v/>
      </c>
      <c r="H20" s="18">
        <f>IF(AND(OR(D20="retain",D20=""),E20="statistical_results"),"","not_applicable")</f>
        <v/>
      </c>
      <c r="I20" s="18">
        <f>IF(AND(OR(D20="retain",D20=""),E20="statistical_results"),"","not_applicable")</f>
        <v/>
      </c>
      <c r="J20" s="19">
        <f>IF(AND(OR(D20="retain",D20=""),E20="statistical_results"),"","not_applicable")</f>
        <v/>
      </c>
      <c r="K20" s="18" t="inlineStr">
        <is>
          <t>substantive_inconsistency</t>
        </is>
      </c>
      <c r="L20" s="19">
        <f>IF(AND(OR(D20="retain",D20=""),E20="protocol_report"),"","not_applicable")</f>
        <v/>
      </c>
      <c r="M20" s="12" t="n"/>
      <c r="N20" s="7" t="n"/>
      <c r="O20" s="7" t="n"/>
      <c r="P20" s="7" t="n"/>
      <c r="Q20" s="7" t="n"/>
      <c r="R20" s="19" t="n"/>
    </row>
    <row r="21" ht="92" customFormat="1" customHeight="1" s="8">
      <c r="A21" s="11" t="inlineStr">
        <is>
          <t>2024::jama.2024.4183::C020</t>
        </is>
      </c>
      <c r="B21" s="11" t="inlineStr">
        <is>
          <t>Six-month abstainer narrative interval and direction do not reconcile with matched sources</t>
        </is>
      </c>
      <c r="C21" s="11" t="inlineStr">
        <is>
          <t>Supplement 2 p. 12; Supplement 2 p. 16; Supplement 2 p. 35.</t>
        </is>
      </c>
      <c r="D21" s="18" t="inlineStr">
        <is>
          <t>retain</t>
        </is>
      </c>
      <c r="E21" s="18" t="inlineStr">
        <is>
          <t>statistical_results</t>
        </is>
      </c>
      <c r="F21" s="18" t="inlineStr">
        <is>
          <t>primary_done</t>
        </is>
      </c>
      <c r="G21" s="11">
        <f>IFERROR(IF(LEN(TRIM(CLEAN(SUBSTITUTE(Setup!$B$2,CHAR(160)," "))))=0,"ENTER REVIEWER ID",IF(OR(A21="",COUNTIF($A$2:$A$25,A21)&lt;&gt;1,COUNTIFS(Decisions!$C$2:$C$92,A21,Decisions!$B$2:$B$92,"jama.2024.4183")&lt;&gt;1),"CHECK KEY",IF(OR(AND(NOT(AND(D21="retain",E21="statistical_results")),H21&lt;&gt;"",H21&lt;&gt;"not_applicable"),AND(NOT(AND(D21="retain",E21="statistical_results")),I21&lt;&gt;"",I21&lt;&gt;"not_applicable"),AND(NOT(AND(D21="retain",E21="statistical_results")),J21&lt;&gt;"",J21&lt;&gt;"not_applicable"),AND(NOT(AND(D21="retain",OR(E21="report_internal_inconsistency",E21="plan_material"))),K21&lt;&gt;"",K21&lt;&gt;"not_applicable"),AND(NOT(AND(D21="retain",E21="protocol_report")),L21&lt;&gt;"",L21&lt;&gt;"not_applicable")),"CLEAR INACTIVE VALUES",IF(OR(NOT(OR(D21="retain",D21="exclude",D21="discuss")),NOT(OR(E21="statistical_results",E21="report_internal_inconsistency",E21="plan_material",E21="protocol_report")),AND(AND(D21="retain",E21="statistical_results"),NOT(OR(H21="confirmed_issue",H21="probable_issue",H21="not_issue",H21="indeterminate"))),AND(AND(D21="retain",E21="statistical_results"),NOT(OR(I21="substantive",I21="minor_presentation",I21="indeterminate"))),AND(AND(D21="retain",E21="statistical_results"),J21&lt;&gt;"",NOT(OR(J21="direct",J21="possible",J21="unlikely",J21="unknown"))),AND(AND(D21="retain",OR(E21="report_internal_inconsistency",E21="plan_material")),NOT(OR(K21="substantive_inconsistency",K21="minor_presentation",K21="non_inconsistency",K21="indeterminate"))),AND(AND(D21="retain",E21="protocol_report"),L21&lt;&gt;"",NOT(OR(L21="substantive_difference",L21="minor_presentation",L21="version_timing",L21="non_inconsistency",L21="indeterminate")))),"CHECK FIELDS",IF(AND(F21&lt;&gt;"",NOT(OR(F21="no",F21="primary_done"))),"CHECK COMPLETE",IF(F21&lt;&gt;"primary_done","PRIMARY DRAFT","PRIMARY READY")))))),"CHECK KEY / INPUT")</f>
        <v/>
      </c>
      <c r="H21" s="18" t="inlineStr">
        <is>
          <t>confirmed_issue</t>
        </is>
      </c>
      <c r="I21" s="18" t="inlineStr">
        <is>
          <t>substantive</t>
        </is>
      </c>
      <c r="J21" s="19">
        <f>IF(AND(OR(D21="retain",D21=""),E21="statistical_results"),"","not_applicable")</f>
        <v/>
      </c>
      <c r="K21" s="18">
        <f>IF(AND(OR(D21="retain",D21=""),OR(E21="report_internal_inconsistency",E21="plan_material")),"","not_applicable")</f>
        <v/>
      </c>
      <c r="L21" s="19">
        <f>IF(AND(OR(D21="retain",D21=""),E21="protocol_report"),"","not_applicable")</f>
        <v/>
      </c>
      <c r="M21" s="11" t="n"/>
      <c r="N21" s="7" t="n"/>
      <c r="O21" s="7" t="n"/>
      <c r="P21" s="7" t="n"/>
      <c r="Q21" s="7" t="n"/>
      <c r="R21" s="19" t="n"/>
    </row>
    <row r="22" ht="92" customFormat="1" customHeight="1" s="8">
      <c r="A22" s="12" t="inlineStr">
        <is>
          <t>2024::jama.2024.4183::C021</t>
        </is>
      </c>
      <c r="B22" s="12" t="inlineStr">
        <is>
          <t>Phase-1-abstainer summary cross-reference does not directly identify the matched table</t>
        </is>
      </c>
      <c r="C22" s="12" t="inlineStr">
        <is>
          <t>Supplement 2 p. 10; Supplement 2 p. 34; Supplement 2 p. 35.</t>
        </is>
      </c>
      <c r="D22" s="18" t="inlineStr">
        <is>
          <t>retain</t>
        </is>
      </c>
      <c r="E22" s="18" t="inlineStr">
        <is>
          <t>report_internal_inconsistency</t>
        </is>
      </c>
      <c r="F22" s="18" t="inlineStr">
        <is>
          <t>primary_done</t>
        </is>
      </c>
      <c r="G22" s="12">
        <f>IFERROR(IF(LEN(TRIM(CLEAN(SUBSTITUTE(Setup!$B$2,CHAR(160)," "))))=0,"ENTER REVIEWER ID",IF(OR(A22="",COUNTIF($A$2:$A$25,A22)&lt;&gt;1,COUNTIFS(Decisions!$C$2:$C$92,A22,Decisions!$B$2:$B$92,"jama.2024.4183")&lt;&gt;1),"CHECK KEY",IF(OR(AND(NOT(AND(D22="retain",E22="statistical_results")),H22&lt;&gt;"",H22&lt;&gt;"not_applicable"),AND(NOT(AND(D22="retain",E22="statistical_results")),I22&lt;&gt;"",I22&lt;&gt;"not_applicable"),AND(NOT(AND(D22="retain",E22="statistical_results")),J22&lt;&gt;"",J22&lt;&gt;"not_applicable"),AND(NOT(AND(D22="retain",OR(E22="report_internal_inconsistency",E22="plan_material"))),K22&lt;&gt;"",K22&lt;&gt;"not_applicable"),AND(NOT(AND(D22="retain",E22="protocol_report")),L22&lt;&gt;"",L22&lt;&gt;"not_applicable")),"CLEAR INACTIVE VALUES",IF(OR(NOT(OR(D22="retain",D22="exclude",D22="discuss")),NOT(OR(E22="statistical_results",E22="report_internal_inconsistency",E22="plan_material",E22="protocol_report")),AND(AND(D22="retain",E22="statistical_results"),NOT(OR(H22="confirmed_issue",H22="probable_issue",H22="not_issue",H22="indeterminate"))),AND(AND(D22="retain",E22="statistical_results"),NOT(OR(I22="substantive",I22="minor_presentation",I22="indeterminate"))),AND(AND(D22="retain",E22="statistical_results"),J22&lt;&gt;"",NOT(OR(J22="direct",J22="possible",J22="unlikely",J22="unknown"))),AND(AND(D22="retain",OR(E22="report_internal_inconsistency",E22="plan_material")),NOT(OR(K22="substantive_inconsistency",K22="minor_presentation",K22="non_inconsistency",K22="indeterminate"))),AND(AND(D22="retain",E22="protocol_report"),L22&lt;&gt;"",NOT(OR(L22="substantive_difference",L22="minor_presentation",L22="version_timing",L22="non_inconsistency",L22="indeterminate")))),"CHECK FIELDS",IF(AND(F22&lt;&gt;"",NOT(OR(F22="no",F22="primary_done"))),"CHECK COMPLETE",IF(F22&lt;&gt;"primary_done","PRIMARY DRAFT","PRIMARY READY")))))),"CHECK KEY / INPUT")</f>
        <v/>
      </c>
      <c r="H22" s="18">
        <f>IF(AND(OR(D22="retain",D22=""),E22="statistical_results"),"","not_applicable")</f>
        <v/>
      </c>
      <c r="I22" s="18">
        <f>IF(AND(OR(D22="retain",D22=""),E22="statistical_results"),"","not_applicable")</f>
        <v/>
      </c>
      <c r="J22" s="19">
        <f>IF(AND(OR(D22="retain",D22=""),E22="statistical_results"),"","not_applicable")</f>
        <v/>
      </c>
      <c r="K22" s="18" t="inlineStr">
        <is>
          <t>substantive_inconsistency</t>
        </is>
      </c>
      <c r="L22" s="19">
        <f>IF(AND(OR(D22="retain",D22=""),E22="protocol_report"),"","not_applicable")</f>
        <v/>
      </c>
      <c r="M22" s="12" t="n"/>
      <c r="N22" s="7" t="n"/>
      <c r="O22" s="7" t="n"/>
      <c r="P22" s="7" t="n"/>
      <c r="Q22" s="7" t="n"/>
      <c r="R22" s="19" t="n"/>
    </row>
    <row r="23" ht="92" customFormat="1" customHeight="1" s="8">
      <c r="A23" s="11" t="inlineStr">
        <is>
          <t>2024::jama.2024.4183::C022</t>
        </is>
      </c>
      <c r="B23" s="11" t="inlineStr">
        <is>
          <t>Six-month VAR-plus-versus-switch cross-reference does not directly identify the matched table</t>
        </is>
      </c>
      <c r="C23" s="11" t="inlineStr">
        <is>
          <t>Supplement 2 p. 12; Supplement 2 p. 33; Supplement 2 p. 34.</t>
        </is>
      </c>
      <c r="D23" s="18" t="inlineStr">
        <is>
          <t>retain</t>
        </is>
      </c>
      <c r="E23" s="18" t="inlineStr">
        <is>
          <t>report_internal_inconsistency</t>
        </is>
      </c>
      <c r="F23" s="18" t="inlineStr">
        <is>
          <t>primary_done</t>
        </is>
      </c>
      <c r="G23" s="11">
        <f>IFERROR(IF(LEN(TRIM(CLEAN(SUBSTITUTE(Setup!$B$2,CHAR(160)," "))))=0,"ENTER REVIEWER ID",IF(OR(A23="",COUNTIF($A$2:$A$25,A23)&lt;&gt;1,COUNTIFS(Decisions!$C$2:$C$92,A23,Decisions!$B$2:$B$92,"jama.2024.4183")&lt;&gt;1),"CHECK KEY",IF(OR(AND(NOT(AND(D23="retain",E23="statistical_results")),H23&lt;&gt;"",H23&lt;&gt;"not_applicable"),AND(NOT(AND(D23="retain",E23="statistical_results")),I23&lt;&gt;"",I23&lt;&gt;"not_applicable"),AND(NOT(AND(D23="retain",E23="statistical_results")),J23&lt;&gt;"",J23&lt;&gt;"not_applicable"),AND(NOT(AND(D23="retain",OR(E23="report_internal_inconsistency",E23="plan_material"))),K23&lt;&gt;"",K23&lt;&gt;"not_applicable"),AND(NOT(AND(D23="retain",E23="protocol_report")),L23&lt;&gt;"",L23&lt;&gt;"not_applicable")),"CLEAR INACTIVE VALUES",IF(OR(NOT(OR(D23="retain",D23="exclude",D23="discuss")),NOT(OR(E23="statistical_results",E23="report_internal_inconsistency",E23="plan_material",E23="protocol_report")),AND(AND(D23="retain",E23="statistical_results"),NOT(OR(H23="confirmed_issue",H23="probable_issue",H23="not_issue",H23="indeterminate"))),AND(AND(D23="retain",E23="statistical_results"),NOT(OR(I23="substantive",I23="minor_presentation",I23="indeterminate"))),AND(AND(D23="retain",E23="statistical_results"),J23&lt;&gt;"",NOT(OR(J23="direct",J23="possible",J23="unlikely",J23="unknown"))),AND(AND(D23="retain",OR(E23="report_internal_inconsistency",E23="plan_material")),NOT(OR(K23="substantive_inconsistency",K23="minor_presentation",K23="non_inconsistency",K23="indeterminate"))),AND(AND(D23="retain",E23="protocol_report"),L23&lt;&gt;"",NOT(OR(L23="substantive_difference",L23="minor_presentation",L23="version_timing",L23="non_inconsistency",L23="indeterminate")))),"CHECK FIELDS",IF(AND(F23&lt;&gt;"",NOT(OR(F23="no",F23="primary_done"))),"CHECK COMPLETE",IF(F23&lt;&gt;"primary_done","PRIMARY DRAFT","PRIMARY READY")))))),"CHECK KEY / INPUT")</f>
        <v/>
      </c>
      <c r="H23" s="18">
        <f>IF(AND(OR(D23="retain",D23=""),E23="statistical_results"),"","not_applicable")</f>
        <v/>
      </c>
      <c r="I23" s="18">
        <f>IF(AND(OR(D23="retain",D23=""),E23="statistical_results"),"","not_applicable")</f>
        <v/>
      </c>
      <c r="J23" s="19">
        <f>IF(AND(OR(D23="retain",D23=""),E23="statistical_results"),"","not_applicable")</f>
        <v/>
      </c>
      <c r="K23" s="18" t="inlineStr">
        <is>
          <t>substantive_inconsistency</t>
        </is>
      </c>
      <c r="L23" s="19">
        <f>IF(AND(OR(D23="retain",D23=""),E23="protocol_report"),"","not_applicable")</f>
        <v/>
      </c>
      <c r="M23" s="11" t="n"/>
      <c r="N23" s="7" t="n"/>
      <c r="O23" s="7" t="n"/>
      <c r="P23" s="7" t="n"/>
      <c r="Q23" s="7" t="n"/>
      <c r="R23" s="19" t="n"/>
    </row>
    <row r="24" ht="92" customFormat="1" customHeight="1" s="8">
      <c r="A24" s="12" t="inlineStr">
        <is>
          <t>2024::jama.2024.4183::C023</t>
        </is>
      </c>
      <c r="B24" s="12" t="inlineStr">
        <is>
          <t>ETable 3 employment value order differs from declared n (%)</t>
        </is>
      </c>
      <c r="C24" s="12" t="inlineStr">
        <is>
          <t>Supplement 2 p. 19, ETable 3.</t>
        </is>
      </c>
      <c r="D24" s="18" t="inlineStr">
        <is>
          <t>retain</t>
        </is>
      </c>
      <c r="E24" s="18" t="inlineStr">
        <is>
          <t>report_internal_inconsistency</t>
        </is>
      </c>
      <c r="F24" s="18" t="inlineStr">
        <is>
          <t>primary_done</t>
        </is>
      </c>
      <c r="G24" s="12">
        <f>IFERROR(IF(LEN(TRIM(CLEAN(SUBSTITUTE(Setup!$B$2,CHAR(160)," "))))=0,"ENTER REVIEWER ID",IF(OR(A24="",COUNTIF($A$2:$A$25,A24)&lt;&gt;1,COUNTIFS(Decisions!$C$2:$C$92,A24,Decisions!$B$2:$B$92,"jama.2024.4183")&lt;&gt;1),"CHECK KEY",IF(OR(AND(NOT(AND(D24="retain",E24="statistical_results")),H24&lt;&gt;"",H24&lt;&gt;"not_applicable"),AND(NOT(AND(D24="retain",E24="statistical_results")),I24&lt;&gt;"",I24&lt;&gt;"not_applicable"),AND(NOT(AND(D24="retain",E24="statistical_results")),J24&lt;&gt;"",J24&lt;&gt;"not_applicable"),AND(NOT(AND(D24="retain",OR(E24="report_internal_inconsistency",E24="plan_material"))),K24&lt;&gt;"",K24&lt;&gt;"not_applicable"),AND(NOT(AND(D24="retain",E24="protocol_report")),L24&lt;&gt;"",L24&lt;&gt;"not_applicable")),"CLEAR INACTIVE VALUES",IF(OR(NOT(OR(D24="retain",D24="exclude",D24="discuss")),NOT(OR(E24="statistical_results",E24="report_internal_inconsistency",E24="plan_material",E24="protocol_report")),AND(AND(D24="retain",E24="statistical_results"),NOT(OR(H24="confirmed_issue",H24="probable_issue",H24="not_issue",H24="indeterminate"))),AND(AND(D24="retain",E24="statistical_results"),NOT(OR(I24="substantive",I24="minor_presentation",I24="indeterminate"))),AND(AND(D24="retain",E24="statistical_results"),J24&lt;&gt;"",NOT(OR(J24="direct",J24="possible",J24="unlikely",J24="unknown"))),AND(AND(D24="retain",OR(E24="report_internal_inconsistency",E24="plan_material")),NOT(OR(K24="substantive_inconsistency",K24="minor_presentation",K24="non_inconsistency",K24="indeterminate"))),AND(AND(D24="retain",E24="protocol_report"),L24&lt;&gt;"",NOT(OR(L24="substantive_difference",L24="minor_presentation",L24="version_timing",L24="non_inconsistency",L24="indeterminate")))),"CHECK FIELDS",IF(AND(F24&lt;&gt;"",NOT(OR(F24="no",F24="primary_done"))),"CHECK COMPLETE",IF(F24&lt;&gt;"primary_done","PRIMARY DRAFT","PRIMARY READY")))))),"CHECK KEY / INPUT")</f>
        <v/>
      </c>
      <c r="H24" s="18">
        <f>IF(AND(OR(D24="retain",D24=""),E24="statistical_results"),"","not_applicable")</f>
        <v/>
      </c>
      <c r="I24" s="18">
        <f>IF(AND(OR(D24="retain",D24=""),E24="statistical_results"),"","not_applicable")</f>
        <v/>
      </c>
      <c r="J24" s="19">
        <f>IF(AND(OR(D24="retain",D24=""),E24="statistical_results"),"","not_applicable")</f>
        <v/>
      </c>
      <c r="K24" s="18" t="inlineStr">
        <is>
          <t>substantive_inconsistency</t>
        </is>
      </c>
      <c r="L24" s="19">
        <f>IF(AND(OR(D24="retain",D24=""),E24="protocol_report"),"","not_applicable")</f>
        <v/>
      </c>
      <c r="M24" s="12" t="n"/>
      <c r="N24" s="7" t="n"/>
      <c r="O24" s="7" t="n"/>
      <c r="P24" s="7" t="n"/>
      <c r="Q24" s="7" t="n"/>
      <c r="R24" s="19" t="n"/>
    </row>
    <row r="25" ht="92" customFormat="1" customHeight="1" s="8">
      <c r="A25" s="11" t="inlineStr">
        <is>
          <t>2024::jama.2024.4183::C024</t>
        </is>
      </c>
      <c r="B25" s="11" t="inlineStr">
        <is>
          <t>ETable 3 employment totals do not close to two printed column Ns</t>
        </is>
      </c>
      <c r="C25" s="11" t="inlineStr">
        <is>
          <t>Supplement 2 p. 19, ETable 3.</t>
        </is>
      </c>
      <c r="D25" s="18" t="inlineStr">
        <is>
          <t>retain</t>
        </is>
      </c>
      <c r="E25" s="18" t="inlineStr">
        <is>
          <t>statistical_results</t>
        </is>
      </c>
      <c r="F25" s="18" t="inlineStr">
        <is>
          <t>primary_done</t>
        </is>
      </c>
      <c r="G25" s="11">
        <f>IFERROR(IF(LEN(TRIM(CLEAN(SUBSTITUTE(Setup!$B$2,CHAR(160)," "))))=0,"ENTER REVIEWER ID",IF(OR(A25="",COUNTIF($A$2:$A$25,A25)&lt;&gt;1,COUNTIFS(Decisions!$C$2:$C$92,A25,Decisions!$B$2:$B$92,"jama.2024.4183")&lt;&gt;1),"CHECK KEY",IF(OR(AND(NOT(AND(D25="retain",E25="statistical_results")),H25&lt;&gt;"",H25&lt;&gt;"not_applicable"),AND(NOT(AND(D25="retain",E25="statistical_results")),I25&lt;&gt;"",I25&lt;&gt;"not_applicable"),AND(NOT(AND(D25="retain",E25="statistical_results")),J25&lt;&gt;"",J25&lt;&gt;"not_applicable"),AND(NOT(AND(D25="retain",OR(E25="report_internal_inconsistency",E25="plan_material"))),K25&lt;&gt;"",K25&lt;&gt;"not_applicable"),AND(NOT(AND(D25="retain",E25="protocol_report")),L25&lt;&gt;"",L25&lt;&gt;"not_applicable")),"CLEAR INACTIVE VALUES",IF(OR(NOT(OR(D25="retain",D25="exclude",D25="discuss")),NOT(OR(E25="statistical_results",E25="report_internal_inconsistency",E25="plan_material",E25="protocol_report")),AND(AND(D25="retain",E25="statistical_results"),NOT(OR(H25="confirmed_issue",H25="probable_issue",H25="not_issue",H25="indeterminate"))),AND(AND(D25="retain",E25="statistical_results"),NOT(OR(I25="substantive",I25="minor_presentation",I25="indeterminate"))),AND(AND(D25="retain",E25="statistical_results"),J25&lt;&gt;"",NOT(OR(J25="direct",J25="possible",J25="unlikely",J25="unknown"))),AND(AND(D25="retain",OR(E25="report_internal_inconsistency",E25="plan_material")),NOT(OR(K25="substantive_inconsistency",K25="minor_presentation",K25="non_inconsistency",K25="indeterminate"))),AND(AND(D25="retain",E25="protocol_report"),L25&lt;&gt;"",NOT(OR(L25="substantive_difference",L25="minor_presentation",L25="version_timing",L25="non_inconsistency",L25="indeterminate")))),"CHECK FIELDS",IF(AND(F25&lt;&gt;"",NOT(OR(F25="no",F25="primary_done"))),"CHECK COMPLETE",IF(F25&lt;&gt;"primary_done","PRIMARY DRAFT","PRIMARY READY")))))),"CHECK KEY / INPUT")</f>
        <v/>
      </c>
      <c r="H25" s="18" t="inlineStr">
        <is>
          <t>confirmed_issue</t>
        </is>
      </c>
      <c r="I25" s="18" t="inlineStr">
        <is>
          <t>substantive</t>
        </is>
      </c>
      <c r="J25" s="19">
        <f>IF(AND(OR(D25="retain",D25=""),E25="statistical_results"),"","not_applicable")</f>
        <v/>
      </c>
      <c r="K25" s="18">
        <f>IF(AND(OR(D25="retain",D25=""),OR(E25="report_internal_inconsistency",E25="plan_material")),"","not_applicable")</f>
        <v/>
      </c>
      <c r="L25" s="19">
        <f>IF(AND(OR(D25="retain",D25=""),E25="protocol_report"),"","not_applicable")</f>
        <v/>
      </c>
      <c r="M25" s="11" t="n"/>
      <c r="N25" s="7" t="n"/>
      <c r="O25" s="7" t="n"/>
      <c r="P25" s="7" t="n"/>
      <c r="Q25" s="7" t="n"/>
      <c r="R25" s="19" t="n"/>
    </row>
  </sheetData>
  <autoFilter ref="A1:R25"/>
  <conditionalFormatting sqref="H2:H25">
    <cfRule type="expression" priority="8" dxfId="70">
      <formula>NOT(AND(OR($D2="retain",$D2=""),$E2="statistical_results"))</formula>
    </cfRule>
  </conditionalFormatting>
  <conditionalFormatting sqref="I2:I25">
    <cfRule type="expression" priority="9" dxfId="70">
      <formula>NOT(AND(OR($D2="retain",$D2=""),$E2="statistical_results"))</formula>
    </cfRule>
  </conditionalFormatting>
  <conditionalFormatting sqref="J2:J25">
    <cfRule type="expression" priority="10" dxfId="70">
      <formula>NOT(AND(OR($D2="retain",$D2=""),$E2="statistical_results"))</formula>
    </cfRule>
  </conditionalFormatting>
  <conditionalFormatting sqref="K2:K25">
    <cfRule type="expression" priority="11" dxfId="70">
      <formula>NOT(AND(OR($D2="retain",$D2=""),OR($E2="report_internal_inconsistency",$E2="plan_material")))</formula>
    </cfRule>
  </conditionalFormatting>
  <conditionalFormatting sqref="L2:L25">
    <cfRule type="expression" priority="12" dxfId="70">
      <formula>NOT(AND(OR($D2="retain",$D2=""),$E2="protocol_report"))</formula>
    </cfRule>
  </conditionalFormatting>
  <conditionalFormatting sqref="G2:G25">
    <cfRule type="expression" priority="13" dxfId="71">
      <formula>G2&lt;&gt;"PRIMARY READY"</formula>
    </cfRule>
  </conditionalFormatting>
  <dataValidations count="8">
    <dataValidation sqref="D2:D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25"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s>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R17"/>
  <sheetViews>
    <sheetView showGridLines="0" workbookViewId="0">
      <pane xSplit="1" ySplit="1" topLeftCell="B2" activePane="bottomRight" state="frozen"/>
      <selection activeCell="A1" sqref="A1"/>
    </sheetView>
  </sheetViews>
  <sheetFormatPr baseColWidth="8" defaultRowHeight="15"/>
  <cols>
    <col width="22" customWidth="1" style="8" min="1" max="1"/>
    <col width="28" customWidth="1" style="8" min="2" max="2"/>
    <col width="22" customWidth="1" style="8" min="3" max="3"/>
    <col width="18" customWidth="1" style="8" min="4" max="4"/>
    <col width="36" customWidth="1" style="8" min="5" max="5"/>
    <col width="17" customWidth="1" style="8" min="6" max="6"/>
    <col width="25" customWidth="1" style="8" min="7" max="7"/>
    <col width="29" customWidth="1" style="8" min="8" max="8"/>
    <col width="20" customWidth="1" style="8" min="9" max="9"/>
    <col width="20" customWidth="1" style="8" min="10" max="10"/>
    <col width="36" customWidth="1" style="8" min="11" max="11"/>
    <col width="26" customWidth="1" style="8" min="12" max="12"/>
    <col hidden="1" width="3" customWidth="1" style="8" min="13" max="13"/>
    <col hidden="1" width="3" customWidth="1" style="8" min="14" max="14"/>
    <col hidden="1" width="3" customWidth="1" style="8" min="15" max="15"/>
    <col hidden="1" width="3" customWidth="1" style="8" min="16" max="16"/>
    <col hidden="1" width="3" customWidth="1" style="8" min="17" max="17"/>
    <col width="32" customWidth="1" style="8" min="18" max="18"/>
  </cols>
  <sheetData>
    <row r="1" ht="42" customFormat="1" customHeight="1" s="8">
      <c r="A1" s="5" t="inlineStr">
        <is>
          <t>Candidate key</t>
        </is>
      </c>
      <c r="B1" s="5" t="inlineStr">
        <is>
          <t>Candidate title</t>
        </is>
      </c>
      <c r="C1" s="5" t="inlineStr">
        <is>
          <t>Source location</t>
        </is>
      </c>
      <c r="D1" s="5" t="inlineStr">
        <is>
          <t>Disposition</t>
        </is>
      </c>
      <c r="E1" s="5" t="inlineStr">
        <is>
          <t>Review domain</t>
        </is>
      </c>
      <c r="F1" s="5" t="inlineStr">
        <is>
          <t>Complete</t>
        </is>
      </c>
      <c r="G1" s="5" t="inlineStr">
        <is>
          <t>Validation hint</t>
        </is>
      </c>
      <c r="H1" s="5" t="inlineStr">
        <is>
          <t>Statistcal_or_numerical issue</t>
        </is>
      </c>
      <c r="I1" s="5" t="inlineStr">
        <is>
          <t>Substantiveness</t>
        </is>
      </c>
      <c r="J1" s="5" t="inlineStr">
        <is>
          <t>Downstream impact</t>
        </is>
      </c>
      <c r="K1" s="5" t="inlineStr">
        <is>
          <t>Report-internal or planning-material inconsistency</t>
        </is>
      </c>
      <c r="L1" s="5" t="inlineStr">
        <is>
          <t>Protocol interpretation</t>
        </is>
      </c>
      <c r="M1" s="5" t="n"/>
      <c r="N1" s="5" t="n"/>
      <c r="O1" s="5" t="n"/>
      <c r="P1" s="5" t="n"/>
      <c r="Q1" s="5" t="n"/>
      <c r="R1" s="5" t="inlineStr">
        <is>
          <t>Notes (optional)</t>
        </is>
      </c>
    </row>
    <row r="2" ht="92" customFormat="1" customHeight="1" s="8">
      <c r="A2" s="12" t="inlineStr">
        <is>
          <t>2024::jama.2024.6063::C001</t>
        </is>
      </c>
      <c r="B2" s="12" t="inlineStr">
        <is>
          <t>Placebo discontinuation counts differ between Figure 1 and the Results text</t>
        </is>
      </c>
      <c r="C2" s="12" t="inlineStr">
        <is>
          <t>Main article — PDF p. 3; Main article — PDF p. 7.</t>
        </is>
      </c>
      <c r="D2" s="18" t="inlineStr">
        <is>
          <t>retain</t>
        </is>
      </c>
      <c r="E2" s="18" t="inlineStr">
        <is>
          <t>statistical_results</t>
        </is>
      </c>
      <c r="F2" s="18" t="inlineStr">
        <is>
          <t>primary_done</t>
        </is>
      </c>
      <c r="G2" s="12">
        <f>IFERROR(IF(LEN(TRIM(CLEAN(SUBSTITUTE(Setup!$B$2,CHAR(160)," "))))=0,"ENTER REVIEWER ID",IF(OR(A2="",COUNTIF($A$2:$A$17,A2)&lt;&gt;1,COUNTIFS(Decisions!$C$2:$C$92,A2,Decisions!$B$2:$B$92,"jama.2024.6063")&lt;&gt;1),"CHECK KEY",IF(OR(AND(NOT(AND(D2="retain",E2="statistical_results")),H2&lt;&gt;"",H2&lt;&gt;"not_applicable"),AND(NOT(AND(D2="retain",E2="statistical_results")),I2&lt;&gt;"",I2&lt;&gt;"not_applicable"),AND(NOT(AND(D2="retain",E2="statistical_results")),J2&lt;&gt;"",J2&lt;&gt;"not_applicable"),AND(NOT(AND(D2="retain",OR(E2="report_internal_inconsistency",E2="plan_material"))),K2&lt;&gt;"",K2&lt;&gt;"not_applicable"),AND(NOT(AND(D2="retain",E2="protocol_report")),L2&lt;&gt;"",L2&lt;&gt;"not_applicable")),"CLEAR INACTIVE VALUES",IF(OR(NOT(OR(D2="retain",D2="exclude",D2="discuss")),NOT(OR(E2="statistical_results",E2="report_internal_inconsistency",E2="plan_material",E2="protocol_report")),AND(AND(D2="retain",E2="statistical_results"),NOT(OR(H2="confirmed_issue",H2="probable_issue",H2="not_issue",H2="indeterminate"))),AND(AND(D2="retain",E2="statistical_results"),NOT(OR(I2="substantive",I2="minor_presentation",I2="indeterminate"))),AND(AND(D2="retain",E2="statistical_results"),J2&lt;&gt;"",NOT(OR(J2="direct",J2="possible",J2="unlikely",J2="unknown"))),AND(AND(D2="retain",OR(E2="report_internal_inconsistency",E2="plan_material")),NOT(OR(K2="substantive_inconsistency",K2="minor_presentation",K2="non_inconsistency",K2="indeterminate"))),AND(AND(D2="retain",E2="protocol_report"),L2&lt;&gt;"",NOT(OR(L2="substantive_difference",L2="minor_presentation",L2="version_timing",L2="non_inconsistency",L2="indeterminate")))),"CHECK FIELDS",IF(AND(F2&lt;&gt;"",NOT(OR(F2="no",F2="primary_done"))),"CHECK COMPLETE",IF(F2&lt;&gt;"primary_done","PRIMARY DRAFT","PRIMARY READY")))))),"CHECK KEY / INPUT")</f>
        <v/>
      </c>
      <c r="H2" s="18" t="inlineStr">
        <is>
          <t>confirmed_issue</t>
        </is>
      </c>
      <c r="I2" s="18" t="inlineStr">
        <is>
          <t>substantive</t>
        </is>
      </c>
      <c r="J2" s="19">
        <f>IF(AND(OR(D2="retain",D2=""),E2="statistical_results"),"","not_applicable")</f>
        <v/>
      </c>
      <c r="K2" s="18">
        <f>IF(AND(OR(D2="retain",D2=""),OR(E2="report_internal_inconsistency",E2="plan_material")),"","not_applicable")</f>
        <v/>
      </c>
      <c r="L2" s="19">
        <f>IF(AND(OR(D2="retain",D2=""),E2="protocol_report"),"","not_applicable")</f>
        <v/>
      </c>
      <c r="M2" s="12" t="n"/>
      <c r="N2" s="7" t="n"/>
      <c r="O2" s="7" t="n"/>
      <c r="P2" s="7" t="n"/>
      <c r="Q2" s="7" t="n"/>
      <c r="R2" s="19" t="n"/>
    </row>
    <row r="3" ht="92" customFormat="1" customHeight="1" s="8">
      <c r="A3" s="11" t="inlineStr">
        <is>
          <t>2024::jama.2024.6063::C002</t>
        </is>
      </c>
      <c r="B3" s="11" t="inlineStr">
        <is>
          <t>eTable 2 names 167 and 165 for the overall adherence population</t>
        </is>
      </c>
      <c r="C3" s="11" t="inlineStr">
        <is>
          <t>Supplement 3 — PDF p. 3.</t>
        </is>
      </c>
      <c r="D3" s="18" t="inlineStr">
        <is>
          <t>retain</t>
        </is>
      </c>
      <c r="E3" s="18" t="inlineStr">
        <is>
          <t>statistical_results</t>
        </is>
      </c>
      <c r="F3" s="18" t="inlineStr">
        <is>
          <t>primary_done</t>
        </is>
      </c>
      <c r="G3" s="11">
        <f>IFERROR(IF(LEN(TRIM(CLEAN(SUBSTITUTE(Setup!$B$2,CHAR(160)," "))))=0,"ENTER REVIEWER ID",IF(OR(A3="",COUNTIF($A$2:$A$17,A3)&lt;&gt;1,COUNTIFS(Decisions!$C$2:$C$92,A3,Decisions!$B$2:$B$92,"jama.2024.6063")&lt;&gt;1),"CHECK KEY",IF(OR(AND(NOT(AND(D3="retain",E3="statistical_results")),H3&lt;&gt;"",H3&lt;&gt;"not_applicable"),AND(NOT(AND(D3="retain",E3="statistical_results")),I3&lt;&gt;"",I3&lt;&gt;"not_applicable"),AND(NOT(AND(D3="retain",E3="statistical_results")),J3&lt;&gt;"",J3&lt;&gt;"not_applicable"),AND(NOT(AND(D3="retain",OR(E3="report_internal_inconsistency",E3="plan_material"))),K3&lt;&gt;"",K3&lt;&gt;"not_applicable"),AND(NOT(AND(D3="retain",E3="protocol_report")),L3&lt;&gt;"",L3&lt;&gt;"not_applicable")),"CLEAR INACTIVE VALUES",IF(OR(NOT(OR(D3="retain",D3="exclude",D3="discuss")),NOT(OR(E3="statistical_results",E3="report_internal_inconsistency",E3="plan_material",E3="protocol_report")),AND(AND(D3="retain",E3="statistical_results"),NOT(OR(H3="confirmed_issue",H3="probable_issue",H3="not_issue",H3="indeterminate"))),AND(AND(D3="retain",E3="statistical_results"),NOT(OR(I3="substantive",I3="minor_presentation",I3="indeterminate"))),AND(AND(D3="retain",E3="statistical_results"),J3&lt;&gt;"",NOT(OR(J3="direct",J3="possible",J3="unlikely",J3="unknown"))),AND(AND(D3="retain",OR(E3="report_internal_inconsistency",E3="plan_material")),NOT(OR(K3="substantive_inconsistency",K3="minor_presentation",K3="non_inconsistency",K3="indeterminate"))),AND(AND(D3="retain",E3="protocol_report"),L3&lt;&gt;"",NOT(OR(L3="substantive_difference",L3="minor_presentation",L3="version_timing",L3="non_inconsistency",L3="indeterminate")))),"CHECK FIELDS",IF(AND(F3&lt;&gt;"",NOT(OR(F3="no",F3="primary_done"))),"CHECK COMPLETE",IF(F3&lt;&gt;"primary_done","PRIMARY DRAFT","PRIMARY READY")))))),"CHECK KEY / INPUT")</f>
        <v/>
      </c>
      <c r="H3" s="18" t="inlineStr">
        <is>
          <t>confirmed_issue</t>
        </is>
      </c>
      <c r="I3" s="18" t="inlineStr">
        <is>
          <t>substantive</t>
        </is>
      </c>
      <c r="J3" s="19">
        <f>IF(AND(OR(D3="retain",D3=""),E3="statistical_results"),"","not_applicable")</f>
        <v/>
      </c>
      <c r="K3" s="18">
        <f>IF(AND(OR(D3="retain",D3=""),OR(E3="report_internal_inconsistency",E3="plan_material")),"","not_applicable")</f>
        <v/>
      </c>
      <c r="L3" s="19">
        <f>IF(AND(OR(D3="retain",D3=""),E3="protocol_report"),"","not_applicable")</f>
        <v/>
      </c>
      <c r="M3" s="11" t="n"/>
      <c r="N3" s="7" t="n"/>
      <c r="O3" s="7" t="n"/>
      <c r="P3" s="7" t="n"/>
      <c r="Q3" s="7" t="n"/>
      <c r="R3" s="19" t="n"/>
    </row>
    <row r="4" ht="92" customFormat="1" customHeight="1" s="8">
      <c r="A4" s="12" t="inlineStr">
        <is>
          <t>2024::jama.2024.6063::C003</t>
        </is>
      </c>
      <c r="B4" s="12" t="inlineStr">
        <is>
          <t>eTable 5 krill “Smaller by 1 unit” percentage conflicts with 10 of 107</t>
        </is>
      </c>
      <c r="C4" s="12" t="inlineStr">
        <is>
          <t>Supplement 3 — PDF p. 8.</t>
        </is>
      </c>
      <c r="D4" s="18" t="inlineStr">
        <is>
          <t>retain</t>
        </is>
      </c>
      <c r="E4" s="18" t="inlineStr">
        <is>
          <t>statistical_results</t>
        </is>
      </c>
      <c r="F4" s="18" t="inlineStr">
        <is>
          <t>primary_done</t>
        </is>
      </c>
      <c r="G4" s="12">
        <f>IFERROR(IF(LEN(TRIM(CLEAN(SUBSTITUTE(Setup!$B$2,CHAR(160)," "))))=0,"ENTER REVIEWER ID",IF(OR(A4="",COUNTIF($A$2:$A$17,A4)&lt;&gt;1,COUNTIFS(Decisions!$C$2:$C$92,A4,Decisions!$B$2:$B$92,"jama.2024.6063")&lt;&gt;1),"CHECK KEY",IF(OR(AND(NOT(AND(D4="retain",E4="statistical_results")),H4&lt;&gt;"",H4&lt;&gt;"not_applicable"),AND(NOT(AND(D4="retain",E4="statistical_results")),I4&lt;&gt;"",I4&lt;&gt;"not_applicable"),AND(NOT(AND(D4="retain",E4="statistical_results")),J4&lt;&gt;"",J4&lt;&gt;"not_applicable"),AND(NOT(AND(D4="retain",OR(E4="report_internal_inconsistency",E4="plan_material"))),K4&lt;&gt;"",K4&lt;&gt;"not_applicable"),AND(NOT(AND(D4="retain",E4="protocol_report")),L4&lt;&gt;"",L4&lt;&gt;"not_applicable")),"CLEAR INACTIVE VALUES",IF(OR(NOT(OR(D4="retain",D4="exclude",D4="discuss")),NOT(OR(E4="statistical_results",E4="report_internal_inconsistency",E4="plan_material",E4="protocol_report")),AND(AND(D4="retain",E4="statistical_results"),NOT(OR(H4="confirmed_issue",H4="probable_issue",H4="not_issue",H4="indeterminate"))),AND(AND(D4="retain",E4="statistical_results"),NOT(OR(I4="substantive",I4="minor_presentation",I4="indeterminate"))),AND(AND(D4="retain",E4="statistical_results"),J4&lt;&gt;"",NOT(OR(J4="direct",J4="possible",J4="unlikely",J4="unknown"))),AND(AND(D4="retain",OR(E4="report_internal_inconsistency",E4="plan_material")),NOT(OR(K4="substantive_inconsistency",K4="minor_presentation",K4="non_inconsistency",K4="indeterminate"))),AND(AND(D4="retain",E4="protocol_report"),L4&lt;&gt;"",NOT(OR(L4="substantive_difference",L4="minor_presentation",L4="version_timing",L4="non_inconsistency",L4="indeterminate")))),"CHECK FIELDS",IF(AND(F4&lt;&gt;"",NOT(OR(F4="no",F4="primary_done"))),"CHECK COMPLETE",IF(F4&lt;&gt;"primary_done","PRIMARY DRAFT","PRIMARY READY")))))),"CHECK KEY / INPUT")</f>
        <v/>
      </c>
      <c r="H4" s="18" t="inlineStr">
        <is>
          <t>confirmed_issue</t>
        </is>
      </c>
      <c r="I4" s="18" t="inlineStr">
        <is>
          <t>substantive</t>
        </is>
      </c>
      <c r="J4" s="19">
        <f>IF(AND(OR(D4="retain",D4=""),E4="statistical_results"),"","not_applicable")</f>
        <v/>
      </c>
      <c r="K4" s="18">
        <f>IF(AND(OR(D4="retain",D4=""),OR(E4="report_internal_inconsistency",E4="plan_material")),"","not_applicable")</f>
        <v/>
      </c>
      <c r="L4" s="19">
        <f>IF(AND(OR(D4="retain",D4=""),E4="protocol_report"),"","not_applicable")</f>
        <v/>
      </c>
      <c r="M4" s="12" t="n"/>
      <c r="N4" s="7" t="n"/>
      <c r="O4" s="7" t="n"/>
      <c r="P4" s="7" t="n"/>
      <c r="Q4" s="7" t="n"/>
      <c r="R4" s="19" t="n"/>
    </row>
    <row r="5" ht="92" customFormat="1" customHeight="1" s="8">
      <c r="A5" s="11" t="inlineStr">
        <is>
          <t>2024::jama.2024.6063::C004</t>
        </is>
      </c>
      <c r="B5" s="11" t="inlineStr">
        <is>
          <t>eTable 5 krill “No change” percentage conflicts with 80 of 107</t>
        </is>
      </c>
      <c r="C5" s="11" t="inlineStr">
        <is>
          <t>Supplement 3 — PDF p. 8.</t>
        </is>
      </c>
      <c r="D5" s="18" t="inlineStr">
        <is>
          <t>retain</t>
        </is>
      </c>
      <c r="E5" s="18" t="inlineStr">
        <is>
          <t>statistical_results</t>
        </is>
      </c>
      <c r="F5" s="18" t="inlineStr">
        <is>
          <t>primary_done</t>
        </is>
      </c>
      <c r="G5" s="11">
        <f>IFERROR(IF(LEN(TRIM(CLEAN(SUBSTITUTE(Setup!$B$2,CHAR(160)," "))))=0,"ENTER REVIEWER ID",IF(OR(A5="",COUNTIF($A$2:$A$17,A5)&lt;&gt;1,COUNTIFS(Decisions!$C$2:$C$92,A5,Decisions!$B$2:$B$92,"jama.2024.6063")&lt;&gt;1),"CHECK KEY",IF(OR(AND(NOT(AND(D5="retain",E5="statistical_results")),H5&lt;&gt;"",H5&lt;&gt;"not_applicable"),AND(NOT(AND(D5="retain",E5="statistical_results")),I5&lt;&gt;"",I5&lt;&gt;"not_applicable"),AND(NOT(AND(D5="retain",E5="statistical_results")),J5&lt;&gt;"",J5&lt;&gt;"not_applicable"),AND(NOT(AND(D5="retain",OR(E5="report_internal_inconsistency",E5="plan_material"))),K5&lt;&gt;"",K5&lt;&gt;"not_applicable"),AND(NOT(AND(D5="retain",E5="protocol_report")),L5&lt;&gt;"",L5&lt;&gt;"not_applicable")),"CLEAR INACTIVE VALUES",IF(OR(NOT(OR(D5="retain",D5="exclude",D5="discuss")),NOT(OR(E5="statistical_results",E5="report_internal_inconsistency",E5="plan_material",E5="protocol_report")),AND(AND(D5="retain",E5="statistical_results"),NOT(OR(H5="confirmed_issue",H5="probable_issue",H5="not_issue",H5="indeterminate"))),AND(AND(D5="retain",E5="statistical_results"),NOT(OR(I5="substantive",I5="minor_presentation",I5="indeterminate"))),AND(AND(D5="retain",E5="statistical_results"),J5&lt;&gt;"",NOT(OR(J5="direct",J5="possible",J5="unlikely",J5="unknown"))),AND(AND(D5="retain",OR(E5="report_internal_inconsistency",E5="plan_material")),NOT(OR(K5="substantive_inconsistency",K5="minor_presentation",K5="non_inconsistency",K5="indeterminate"))),AND(AND(D5="retain",E5="protocol_report"),L5&lt;&gt;"",NOT(OR(L5="substantive_difference",L5="minor_presentation",L5="version_timing",L5="non_inconsistency",L5="indeterminate")))),"CHECK FIELDS",IF(AND(F5&lt;&gt;"",NOT(OR(F5="no",F5="primary_done"))),"CHECK COMPLETE",IF(F5&lt;&gt;"primary_done","PRIMARY DRAFT","PRIMARY READY")))))),"CHECK KEY / INPUT")</f>
        <v/>
      </c>
      <c r="H5" s="18" t="inlineStr">
        <is>
          <t>confirmed_issue</t>
        </is>
      </c>
      <c r="I5" s="18" t="inlineStr">
        <is>
          <t>substantive</t>
        </is>
      </c>
      <c r="J5" s="19">
        <f>IF(AND(OR(D5="retain",D5=""),E5="statistical_results"),"","not_applicable")</f>
        <v/>
      </c>
      <c r="K5" s="18">
        <f>IF(AND(OR(D5="retain",D5=""),OR(E5="report_internal_inconsistency",E5="plan_material")),"","not_applicable")</f>
        <v/>
      </c>
      <c r="L5" s="19">
        <f>IF(AND(OR(D5="retain",D5=""),E5="protocol_report"),"","not_applicable")</f>
        <v/>
      </c>
      <c r="M5" s="11" t="n"/>
      <c r="N5" s="7" t="n"/>
      <c r="O5" s="7" t="n"/>
      <c r="P5" s="7" t="n"/>
      <c r="Q5" s="7" t="n"/>
      <c r="R5" s="19" t="n"/>
    </row>
    <row r="6" ht="92" customFormat="1" customHeight="1" s="8">
      <c r="A6" s="12" t="inlineStr">
        <is>
          <t>2024::jama.2024.6063::C005</t>
        </is>
      </c>
      <c r="B6" s="12" t="inlineStr">
        <is>
          <t>eTable 5 krill “Larger by 1 unit” percentage conflicts with 12 of 107</t>
        </is>
      </c>
      <c r="C6" s="12" t="inlineStr">
        <is>
          <t>Supplement 3 — PDF p. 8.</t>
        </is>
      </c>
      <c r="D6" s="18" t="inlineStr">
        <is>
          <t>retain</t>
        </is>
      </c>
      <c r="E6" s="18" t="inlineStr">
        <is>
          <t>statistical_results</t>
        </is>
      </c>
      <c r="F6" s="18" t="inlineStr">
        <is>
          <t>primary_done</t>
        </is>
      </c>
      <c r="G6" s="12">
        <f>IFERROR(IF(LEN(TRIM(CLEAN(SUBSTITUTE(Setup!$B$2,CHAR(160)," "))))=0,"ENTER REVIEWER ID",IF(OR(A6="",COUNTIF($A$2:$A$17,A6)&lt;&gt;1,COUNTIFS(Decisions!$C$2:$C$92,A6,Decisions!$B$2:$B$92,"jama.2024.6063")&lt;&gt;1),"CHECK KEY",IF(OR(AND(NOT(AND(D6="retain",E6="statistical_results")),H6&lt;&gt;"",H6&lt;&gt;"not_applicable"),AND(NOT(AND(D6="retain",E6="statistical_results")),I6&lt;&gt;"",I6&lt;&gt;"not_applicable"),AND(NOT(AND(D6="retain",E6="statistical_results")),J6&lt;&gt;"",J6&lt;&gt;"not_applicable"),AND(NOT(AND(D6="retain",OR(E6="report_internal_inconsistency",E6="plan_material"))),K6&lt;&gt;"",K6&lt;&gt;"not_applicable"),AND(NOT(AND(D6="retain",E6="protocol_report")),L6&lt;&gt;"",L6&lt;&gt;"not_applicable")),"CLEAR INACTIVE VALUES",IF(OR(NOT(OR(D6="retain",D6="exclude",D6="discuss")),NOT(OR(E6="statistical_results",E6="report_internal_inconsistency",E6="plan_material",E6="protocol_report")),AND(AND(D6="retain",E6="statistical_results"),NOT(OR(H6="confirmed_issue",H6="probable_issue",H6="not_issue",H6="indeterminate"))),AND(AND(D6="retain",E6="statistical_results"),NOT(OR(I6="substantive",I6="minor_presentation",I6="indeterminate"))),AND(AND(D6="retain",E6="statistical_results"),J6&lt;&gt;"",NOT(OR(J6="direct",J6="possible",J6="unlikely",J6="unknown"))),AND(AND(D6="retain",OR(E6="report_internal_inconsistency",E6="plan_material")),NOT(OR(K6="substantive_inconsistency",K6="minor_presentation",K6="non_inconsistency",K6="indeterminate"))),AND(AND(D6="retain",E6="protocol_report"),L6&lt;&gt;"",NOT(OR(L6="substantive_difference",L6="minor_presentation",L6="version_timing",L6="non_inconsistency",L6="indeterminate")))),"CHECK FIELDS",IF(AND(F6&lt;&gt;"",NOT(OR(F6="no",F6="primary_done"))),"CHECK COMPLETE",IF(F6&lt;&gt;"primary_done","PRIMARY DRAFT","PRIMARY READY")))))),"CHECK KEY / INPUT")</f>
        <v/>
      </c>
      <c r="H6" s="18" t="inlineStr">
        <is>
          <t>confirmed_issue</t>
        </is>
      </c>
      <c r="I6" s="18" t="inlineStr">
        <is>
          <t>substantive</t>
        </is>
      </c>
      <c r="J6" s="19">
        <f>IF(AND(OR(D6="retain",D6=""),E6="statistical_results"),"","not_applicable")</f>
        <v/>
      </c>
      <c r="K6" s="18">
        <f>IF(AND(OR(D6="retain",D6=""),OR(E6="report_internal_inconsistency",E6="plan_material")),"","not_applicable")</f>
        <v/>
      </c>
      <c r="L6" s="19">
        <f>IF(AND(OR(D6="retain",D6=""),E6="protocol_report"),"","not_applicable")</f>
        <v/>
      </c>
      <c r="M6" s="12" t="n"/>
      <c r="N6" s="7" t="n"/>
      <c r="O6" s="7" t="n"/>
      <c r="P6" s="7" t="n"/>
      <c r="Q6" s="7" t="n"/>
      <c r="R6" s="19" t="n"/>
    </row>
    <row r="7" ht="92" customFormat="1" customHeight="1" s="8">
      <c r="A7" s="11" t="inlineStr">
        <is>
          <t>2024::jama.2024.6063::C006</t>
        </is>
      </c>
      <c r="B7" s="11" t="inlineStr">
        <is>
          <t>eTable 5 placebo “Smaller by 2 units” percentage conflicts with 2 of 109</t>
        </is>
      </c>
      <c r="C7" s="11" t="inlineStr">
        <is>
          <t>Supplement 3 — PDF p. 8.</t>
        </is>
      </c>
      <c r="D7" s="18" t="inlineStr">
        <is>
          <t>retain</t>
        </is>
      </c>
      <c r="E7" s="18" t="inlineStr">
        <is>
          <t>statistical_results</t>
        </is>
      </c>
      <c r="F7" s="18" t="inlineStr">
        <is>
          <t>primary_done</t>
        </is>
      </c>
      <c r="G7" s="11">
        <f>IFERROR(IF(LEN(TRIM(CLEAN(SUBSTITUTE(Setup!$B$2,CHAR(160)," "))))=0,"ENTER REVIEWER ID",IF(OR(A7="",COUNTIF($A$2:$A$17,A7)&lt;&gt;1,COUNTIFS(Decisions!$C$2:$C$92,A7,Decisions!$B$2:$B$92,"jama.2024.6063")&lt;&gt;1),"CHECK KEY",IF(OR(AND(NOT(AND(D7="retain",E7="statistical_results")),H7&lt;&gt;"",H7&lt;&gt;"not_applicable"),AND(NOT(AND(D7="retain",E7="statistical_results")),I7&lt;&gt;"",I7&lt;&gt;"not_applicable"),AND(NOT(AND(D7="retain",E7="statistical_results")),J7&lt;&gt;"",J7&lt;&gt;"not_applicable"),AND(NOT(AND(D7="retain",OR(E7="report_internal_inconsistency",E7="plan_material"))),K7&lt;&gt;"",K7&lt;&gt;"not_applicable"),AND(NOT(AND(D7="retain",E7="protocol_report")),L7&lt;&gt;"",L7&lt;&gt;"not_applicable")),"CLEAR INACTIVE VALUES",IF(OR(NOT(OR(D7="retain",D7="exclude",D7="discuss")),NOT(OR(E7="statistical_results",E7="report_internal_inconsistency",E7="plan_material",E7="protocol_report")),AND(AND(D7="retain",E7="statistical_results"),NOT(OR(H7="confirmed_issue",H7="probable_issue",H7="not_issue",H7="indeterminate"))),AND(AND(D7="retain",E7="statistical_results"),NOT(OR(I7="substantive",I7="minor_presentation",I7="indeterminate"))),AND(AND(D7="retain",E7="statistical_results"),J7&lt;&gt;"",NOT(OR(J7="direct",J7="possible",J7="unlikely",J7="unknown"))),AND(AND(D7="retain",OR(E7="report_internal_inconsistency",E7="plan_material")),NOT(OR(K7="substantive_inconsistency",K7="minor_presentation",K7="non_inconsistency",K7="indeterminate"))),AND(AND(D7="retain",E7="protocol_report"),L7&lt;&gt;"",NOT(OR(L7="substantive_difference",L7="minor_presentation",L7="version_timing",L7="non_inconsistency",L7="indeterminate")))),"CHECK FIELDS",IF(AND(F7&lt;&gt;"",NOT(OR(F7="no",F7="primary_done"))),"CHECK COMPLETE",IF(F7&lt;&gt;"primary_done","PRIMARY DRAFT","PRIMARY READY")))))),"CHECK KEY / INPUT")</f>
        <v/>
      </c>
      <c r="H7" s="18" t="inlineStr">
        <is>
          <t>confirmed_issue</t>
        </is>
      </c>
      <c r="I7" s="18" t="inlineStr">
        <is>
          <t>substantive</t>
        </is>
      </c>
      <c r="J7" s="19">
        <f>IF(AND(OR(D7="retain",D7=""),E7="statistical_results"),"","not_applicable")</f>
        <v/>
      </c>
      <c r="K7" s="18">
        <f>IF(AND(OR(D7="retain",D7=""),OR(E7="report_internal_inconsistency",E7="plan_material")),"","not_applicable")</f>
        <v/>
      </c>
      <c r="L7" s="19">
        <f>IF(AND(OR(D7="retain",D7=""),E7="protocol_report"),"","not_applicable")</f>
        <v/>
      </c>
      <c r="M7" s="11" t="n"/>
      <c r="N7" s="7" t="n"/>
      <c r="O7" s="7" t="n"/>
      <c r="P7" s="7" t="n"/>
      <c r="Q7" s="7" t="n"/>
      <c r="R7" s="19" t="n"/>
    </row>
    <row r="8" ht="92" customFormat="1" customHeight="1" s="8">
      <c r="A8" s="12" t="inlineStr">
        <is>
          <t>2024::jama.2024.6063::C007</t>
        </is>
      </c>
      <c r="B8" s="12" t="inlineStr">
        <is>
          <t>eTable 5 placebo “Smaller by 1 unit” percentage conflicts with 16 of 109</t>
        </is>
      </c>
      <c r="C8" s="12" t="inlineStr">
        <is>
          <t>Supplement 3 — PDF p. 8.</t>
        </is>
      </c>
      <c r="D8" s="18" t="inlineStr">
        <is>
          <t>retain</t>
        </is>
      </c>
      <c r="E8" s="18" t="inlineStr">
        <is>
          <t>statistical_results</t>
        </is>
      </c>
      <c r="F8" s="18" t="inlineStr">
        <is>
          <t>primary_done</t>
        </is>
      </c>
      <c r="G8" s="12">
        <f>IFERROR(IF(LEN(TRIM(CLEAN(SUBSTITUTE(Setup!$B$2,CHAR(160)," "))))=0,"ENTER REVIEWER ID",IF(OR(A8="",COUNTIF($A$2:$A$17,A8)&lt;&gt;1,COUNTIFS(Decisions!$C$2:$C$92,A8,Decisions!$B$2:$B$92,"jama.2024.6063")&lt;&gt;1),"CHECK KEY",IF(OR(AND(NOT(AND(D8="retain",E8="statistical_results")),H8&lt;&gt;"",H8&lt;&gt;"not_applicable"),AND(NOT(AND(D8="retain",E8="statistical_results")),I8&lt;&gt;"",I8&lt;&gt;"not_applicable"),AND(NOT(AND(D8="retain",E8="statistical_results")),J8&lt;&gt;"",J8&lt;&gt;"not_applicable"),AND(NOT(AND(D8="retain",OR(E8="report_internal_inconsistency",E8="plan_material"))),K8&lt;&gt;"",K8&lt;&gt;"not_applicable"),AND(NOT(AND(D8="retain",E8="protocol_report")),L8&lt;&gt;"",L8&lt;&gt;"not_applicable")),"CLEAR INACTIVE VALUES",IF(OR(NOT(OR(D8="retain",D8="exclude",D8="discuss")),NOT(OR(E8="statistical_results",E8="report_internal_inconsistency",E8="plan_material",E8="protocol_report")),AND(AND(D8="retain",E8="statistical_results"),NOT(OR(H8="confirmed_issue",H8="probable_issue",H8="not_issue",H8="indeterminate"))),AND(AND(D8="retain",E8="statistical_results"),NOT(OR(I8="substantive",I8="minor_presentation",I8="indeterminate"))),AND(AND(D8="retain",E8="statistical_results"),J8&lt;&gt;"",NOT(OR(J8="direct",J8="possible",J8="unlikely",J8="unknown"))),AND(AND(D8="retain",OR(E8="report_internal_inconsistency",E8="plan_material")),NOT(OR(K8="substantive_inconsistency",K8="minor_presentation",K8="non_inconsistency",K8="indeterminate"))),AND(AND(D8="retain",E8="protocol_report"),L8&lt;&gt;"",NOT(OR(L8="substantive_difference",L8="minor_presentation",L8="version_timing",L8="non_inconsistency",L8="indeterminate")))),"CHECK FIELDS",IF(AND(F8&lt;&gt;"",NOT(OR(F8="no",F8="primary_done"))),"CHECK COMPLETE",IF(F8&lt;&gt;"primary_done","PRIMARY DRAFT","PRIMARY READY")))))),"CHECK KEY / INPUT")</f>
        <v/>
      </c>
      <c r="H8" s="18" t="inlineStr">
        <is>
          <t>confirmed_issue</t>
        </is>
      </c>
      <c r="I8" s="18" t="inlineStr">
        <is>
          <t>substantive</t>
        </is>
      </c>
      <c r="J8" s="19">
        <f>IF(AND(OR(D8="retain",D8=""),E8="statistical_results"),"","not_applicable")</f>
        <v/>
      </c>
      <c r="K8" s="18">
        <f>IF(AND(OR(D8="retain",D8=""),OR(E8="report_internal_inconsistency",E8="plan_material")),"","not_applicable")</f>
        <v/>
      </c>
      <c r="L8" s="19">
        <f>IF(AND(OR(D8="retain",D8=""),E8="protocol_report"),"","not_applicable")</f>
        <v/>
      </c>
      <c r="M8" s="12" t="n"/>
      <c r="N8" s="7" t="n"/>
      <c r="O8" s="7" t="n"/>
      <c r="P8" s="7" t="n"/>
      <c r="Q8" s="7" t="n"/>
      <c r="R8" s="19" t="n"/>
    </row>
    <row r="9" ht="92" customFormat="1" customHeight="1" s="8">
      <c r="A9" s="11" t="inlineStr">
        <is>
          <t>2024::jama.2024.6063::C008</t>
        </is>
      </c>
      <c r="B9" s="11" t="inlineStr">
        <is>
          <t>eTable 5 placebo “No change” percentage conflicts with 75 of 109</t>
        </is>
      </c>
      <c r="C9" s="11" t="inlineStr">
        <is>
          <t>Supplement 3 — PDF p. 8.</t>
        </is>
      </c>
      <c r="D9" s="18" t="inlineStr">
        <is>
          <t>retain</t>
        </is>
      </c>
      <c r="E9" s="18" t="inlineStr">
        <is>
          <t>statistical_results</t>
        </is>
      </c>
      <c r="F9" s="18" t="inlineStr">
        <is>
          <t>primary_done</t>
        </is>
      </c>
      <c r="G9" s="11">
        <f>IFERROR(IF(LEN(TRIM(CLEAN(SUBSTITUTE(Setup!$B$2,CHAR(160)," "))))=0,"ENTER REVIEWER ID",IF(OR(A9="",COUNTIF($A$2:$A$17,A9)&lt;&gt;1,COUNTIFS(Decisions!$C$2:$C$92,A9,Decisions!$B$2:$B$92,"jama.2024.6063")&lt;&gt;1),"CHECK KEY",IF(OR(AND(NOT(AND(D9="retain",E9="statistical_results")),H9&lt;&gt;"",H9&lt;&gt;"not_applicable"),AND(NOT(AND(D9="retain",E9="statistical_results")),I9&lt;&gt;"",I9&lt;&gt;"not_applicable"),AND(NOT(AND(D9="retain",E9="statistical_results")),J9&lt;&gt;"",J9&lt;&gt;"not_applicable"),AND(NOT(AND(D9="retain",OR(E9="report_internal_inconsistency",E9="plan_material"))),K9&lt;&gt;"",K9&lt;&gt;"not_applicable"),AND(NOT(AND(D9="retain",E9="protocol_report")),L9&lt;&gt;"",L9&lt;&gt;"not_applicable")),"CLEAR INACTIVE VALUES",IF(OR(NOT(OR(D9="retain",D9="exclude",D9="discuss")),NOT(OR(E9="statistical_results",E9="report_internal_inconsistency",E9="plan_material",E9="protocol_report")),AND(AND(D9="retain",E9="statistical_results"),NOT(OR(H9="confirmed_issue",H9="probable_issue",H9="not_issue",H9="indeterminate"))),AND(AND(D9="retain",E9="statistical_results"),NOT(OR(I9="substantive",I9="minor_presentation",I9="indeterminate"))),AND(AND(D9="retain",E9="statistical_results"),J9&lt;&gt;"",NOT(OR(J9="direct",J9="possible",J9="unlikely",J9="unknown"))),AND(AND(D9="retain",OR(E9="report_internal_inconsistency",E9="plan_material")),NOT(OR(K9="substantive_inconsistency",K9="minor_presentation",K9="non_inconsistency",K9="indeterminate"))),AND(AND(D9="retain",E9="protocol_report"),L9&lt;&gt;"",NOT(OR(L9="substantive_difference",L9="minor_presentation",L9="version_timing",L9="non_inconsistency",L9="indeterminate")))),"CHECK FIELDS",IF(AND(F9&lt;&gt;"",NOT(OR(F9="no",F9="primary_done"))),"CHECK COMPLETE",IF(F9&lt;&gt;"primary_done","PRIMARY DRAFT","PRIMARY READY")))))),"CHECK KEY / INPUT")</f>
        <v/>
      </c>
      <c r="H9" s="18" t="inlineStr">
        <is>
          <t>confirmed_issue</t>
        </is>
      </c>
      <c r="I9" s="18" t="inlineStr">
        <is>
          <t>substantive</t>
        </is>
      </c>
      <c r="J9" s="19">
        <f>IF(AND(OR(D9="retain",D9=""),E9="statistical_results"),"","not_applicable")</f>
        <v/>
      </c>
      <c r="K9" s="18">
        <f>IF(AND(OR(D9="retain",D9=""),OR(E9="report_internal_inconsistency",E9="plan_material")),"","not_applicable")</f>
        <v/>
      </c>
      <c r="L9" s="19">
        <f>IF(AND(OR(D9="retain",D9=""),E9="protocol_report"),"","not_applicable")</f>
        <v/>
      </c>
      <c r="M9" s="11" t="n"/>
      <c r="N9" s="7" t="n"/>
      <c r="O9" s="7" t="n"/>
      <c r="P9" s="7" t="n"/>
      <c r="Q9" s="7" t="n"/>
      <c r="R9" s="19" t="n"/>
    </row>
    <row r="10" ht="92" customFormat="1" customHeight="1" s="8">
      <c r="A10" s="12" t="inlineStr">
        <is>
          <t>2024::jama.2024.6063::C009</t>
        </is>
      </c>
      <c r="B10" s="12" t="inlineStr">
        <is>
          <t>eTable 4 repeats week-4 function changes in the weight-bearing-pain row</t>
        </is>
      </c>
      <c r="C10" s="12" t="inlineStr">
        <is>
          <t>Supplement 3 — PDF p. 5.</t>
        </is>
      </c>
      <c r="D10" s="18" t="inlineStr">
        <is>
          <t>retain</t>
        </is>
      </c>
      <c r="E10" s="18" t="inlineStr">
        <is>
          <t>statistical_results</t>
        </is>
      </c>
      <c r="F10" s="18" t="inlineStr">
        <is>
          <t>primary_done</t>
        </is>
      </c>
      <c r="G10" s="12">
        <f>IFERROR(IF(LEN(TRIM(CLEAN(SUBSTITUTE(Setup!$B$2,CHAR(160)," "))))=0,"ENTER REVIEWER ID",IF(OR(A10="",COUNTIF($A$2:$A$17,A10)&lt;&gt;1,COUNTIFS(Decisions!$C$2:$C$92,A10,Decisions!$B$2:$B$92,"jama.2024.6063")&lt;&gt;1),"CHECK KEY",IF(OR(AND(NOT(AND(D10="retain",E10="statistical_results")),H10&lt;&gt;"",H10&lt;&gt;"not_applicable"),AND(NOT(AND(D10="retain",E10="statistical_results")),I10&lt;&gt;"",I10&lt;&gt;"not_applicable"),AND(NOT(AND(D10="retain",E10="statistical_results")),J10&lt;&gt;"",J10&lt;&gt;"not_applicable"),AND(NOT(AND(D10="retain",OR(E10="report_internal_inconsistency",E10="plan_material"))),K10&lt;&gt;"",K10&lt;&gt;"not_applicable"),AND(NOT(AND(D10="retain",E10="protocol_report")),L10&lt;&gt;"",L10&lt;&gt;"not_applicable")),"CLEAR INACTIVE VALUES",IF(OR(NOT(OR(D10="retain",D10="exclude",D10="discuss")),NOT(OR(E10="statistical_results",E10="report_internal_inconsistency",E10="plan_material",E10="protocol_report")),AND(AND(D10="retain",E10="statistical_results"),NOT(OR(H10="confirmed_issue",H10="probable_issue",H10="not_issue",H10="indeterminate"))),AND(AND(D10="retain",E10="statistical_results"),NOT(OR(I10="substantive",I10="minor_presentation",I10="indeterminate"))),AND(AND(D10="retain",E10="statistical_results"),J10&lt;&gt;"",NOT(OR(J10="direct",J10="possible",J10="unlikely",J10="unknown"))),AND(AND(D10="retain",OR(E10="report_internal_inconsistency",E10="plan_material")),NOT(OR(K10="substantive_inconsistency",K10="minor_presentation",K10="non_inconsistency",K10="indeterminate"))),AND(AND(D10="retain",E10="protocol_report"),L10&lt;&gt;"",NOT(OR(L10="substantive_difference",L10="minor_presentation",L10="version_timing",L10="non_inconsistency",L10="indeterminate")))),"CHECK FIELDS",IF(AND(F10&lt;&gt;"",NOT(OR(F10="no",F10="primary_done"))),"CHECK COMPLETE",IF(F10&lt;&gt;"primary_done","PRIMARY DRAFT","PRIMARY READY")))))),"CHECK KEY / INPUT")</f>
        <v/>
      </c>
      <c r="H10" s="18" t="inlineStr">
        <is>
          <t>confirmed_issue</t>
        </is>
      </c>
      <c r="I10" s="18" t="inlineStr">
        <is>
          <t>substantive</t>
        </is>
      </c>
      <c r="J10" s="19">
        <f>IF(AND(OR(D10="retain",D10=""),E10="statistical_results"),"","not_applicable")</f>
        <v/>
      </c>
      <c r="K10" s="18">
        <f>IF(AND(OR(D10="retain",D10=""),OR(E10="report_internal_inconsistency",E10="plan_material")),"","not_applicable")</f>
        <v/>
      </c>
      <c r="L10" s="19">
        <f>IF(AND(OR(D10="retain",D10=""),E10="protocol_report"),"","not_applicable")</f>
        <v/>
      </c>
      <c r="M10" s="12" t="n"/>
      <c r="N10" s="7" t="n"/>
      <c r="O10" s="7" t="n"/>
      <c r="P10" s="7" t="n"/>
      <c r="Q10" s="7" t="n"/>
      <c r="R10" s="19" t="n"/>
    </row>
    <row r="11" ht="92" customFormat="1" customHeight="1" s="8">
      <c r="A11" s="11" t="inlineStr">
        <is>
          <t>2024::jama.2024.6063::C010</t>
        </is>
      </c>
      <c r="B11" s="11" t="inlineStr">
        <is>
          <t>eTable 4 repeats week-4 back-pain results in week-12 lower-leg strength</t>
        </is>
      </c>
      <c r="C11" s="11" t="inlineStr">
        <is>
          <t>Supplement 3 — PDF p. 6.</t>
        </is>
      </c>
      <c r="D11" s="18" t="inlineStr">
        <is>
          <t>retain</t>
        </is>
      </c>
      <c r="E11" s="18" t="inlineStr">
        <is>
          <t>statistical_results</t>
        </is>
      </c>
      <c r="F11" s="18" t="inlineStr">
        <is>
          <t>primary_done</t>
        </is>
      </c>
      <c r="G11" s="11">
        <f>IFERROR(IF(LEN(TRIM(CLEAN(SUBSTITUTE(Setup!$B$2,CHAR(160)," "))))=0,"ENTER REVIEWER ID",IF(OR(A11="",COUNTIF($A$2:$A$17,A11)&lt;&gt;1,COUNTIFS(Decisions!$C$2:$C$92,A11,Decisions!$B$2:$B$92,"jama.2024.6063")&lt;&gt;1),"CHECK KEY",IF(OR(AND(NOT(AND(D11="retain",E11="statistical_results")),H11&lt;&gt;"",H11&lt;&gt;"not_applicable"),AND(NOT(AND(D11="retain",E11="statistical_results")),I11&lt;&gt;"",I11&lt;&gt;"not_applicable"),AND(NOT(AND(D11="retain",E11="statistical_results")),J11&lt;&gt;"",J11&lt;&gt;"not_applicable"),AND(NOT(AND(D11="retain",OR(E11="report_internal_inconsistency",E11="plan_material"))),K11&lt;&gt;"",K11&lt;&gt;"not_applicable"),AND(NOT(AND(D11="retain",E11="protocol_report")),L11&lt;&gt;"",L11&lt;&gt;"not_applicable")),"CLEAR INACTIVE VALUES",IF(OR(NOT(OR(D11="retain",D11="exclude",D11="discuss")),NOT(OR(E11="statistical_results",E11="report_internal_inconsistency",E11="plan_material",E11="protocol_report")),AND(AND(D11="retain",E11="statistical_results"),NOT(OR(H11="confirmed_issue",H11="probable_issue",H11="not_issue",H11="indeterminate"))),AND(AND(D11="retain",E11="statistical_results"),NOT(OR(I11="substantive",I11="minor_presentation",I11="indeterminate"))),AND(AND(D11="retain",E11="statistical_results"),J11&lt;&gt;"",NOT(OR(J11="direct",J11="possible",J11="unlikely",J11="unknown"))),AND(AND(D11="retain",OR(E11="report_internal_inconsistency",E11="plan_material")),NOT(OR(K11="substantive_inconsistency",K11="minor_presentation",K11="non_inconsistency",K11="indeterminate"))),AND(AND(D11="retain",E11="protocol_report"),L11&lt;&gt;"",NOT(OR(L11="substantive_difference",L11="minor_presentation",L11="version_timing",L11="non_inconsistency",L11="indeterminate")))),"CHECK FIELDS",IF(AND(F11&lt;&gt;"",NOT(OR(F11="no",F11="primary_done"))),"CHECK COMPLETE",IF(F11&lt;&gt;"primary_done","PRIMARY DRAFT","PRIMARY READY")))))),"CHECK KEY / INPUT")</f>
        <v/>
      </c>
      <c r="H11" s="18" t="inlineStr">
        <is>
          <t>confirmed_issue</t>
        </is>
      </c>
      <c r="I11" s="18" t="inlineStr">
        <is>
          <t>substantive</t>
        </is>
      </c>
      <c r="J11" s="19">
        <f>IF(AND(OR(D11="retain",D11=""),E11="statistical_results"),"","not_applicable")</f>
        <v/>
      </c>
      <c r="K11" s="18">
        <f>IF(AND(OR(D11="retain",D11=""),OR(E11="report_internal_inconsistency",E11="plan_material")),"","not_applicable")</f>
        <v/>
      </c>
      <c r="L11" s="19">
        <f>IF(AND(OR(D11="retain",D11=""),E11="protocol_report"),"","not_applicable")</f>
        <v/>
      </c>
      <c r="M11" s="11" t="n"/>
      <c r="N11" s="7" t="n"/>
      <c r="O11" s="7" t="n"/>
      <c r="P11" s="7" t="n"/>
      <c r="Q11" s="7" t="n"/>
      <c r="R11" s="19" t="n"/>
    </row>
    <row r="12" ht="92" customFormat="1" customHeight="1" s="8">
      <c r="A12" s="12" t="inlineStr">
        <is>
          <t>2024::jama.2024.6063::C011</t>
        </is>
      </c>
      <c r="B12" s="12" t="inlineStr">
        <is>
          <t>eTable 4 repeats the week-12 hsCRP result in fasting glucose</t>
        </is>
      </c>
      <c r="C12" s="12" t="inlineStr">
        <is>
          <t>Supplement 3 — PDF p. 6.</t>
        </is>
      </c>
      <c r="D12" s="18" t="inlineStr">
        <is>
          <t>retain</t>
        </is>
      </c>
      <c r="E12" s="18" t="inlineStr">
        <is>
          <t>statistical_results</t>
        </is>
      </c>
      <c r="F12" s="18" t="inlineStr">
        <is>
          <t>primary_done</t>
        </is>
      </c>
      <c r="G12" s="12">
        <f>IFERROR(IF(LEN(TRIM(CLEAN(SUBSTITUTE(Setup!$B$2,CHAR(160)," "))))=0,"ENTER REVIEWER ID",IF(OR(A12="",COUNTIF($A$2:$A$17,A12)&lt;&gt;1,COUNTIFS(Decisions!$C$2:$C$92,A12,Decisions!$B$2:$B$92,"jama.2024.6063")&lt;&gt;1),"CHECK KEY",IF(OR(AND(NOT(AND(D12="retain",E12="statistical_results")),H12&lt;&gt;"",H12&lt;&gt;"not_applicable"),AND(NOT(AND(D12="retain",E12="statistical_results")),I12&lt;&gt;"",I12&lt;&gt;"not_applicable"),AND(NOT(AND(D12="retain",E12="statistical_results")),J12&lt;&gt;"",J12&lt;&gt;"not_applicable"),AND(NOT(AND(D12="retain",OR(E12="report_internal_inconsistency",E12="plan_material"))),K12&lt;&gt;"",K12&lt;&gt;"not_applicable"),AND(NOT(AND(D12="retain",E12="protocol_report")),L12&lt;&gt;"",L12&lt;&gt;"not_applicable")),"CLEAR INACTIVE VALUES",IF(OR(NOT(OR(D12="retain",D12="exclude",D12="discuss")),NOT(OR(E12="statistical_results",E12="report_internal_inconsistency",E12="plan_material",E12="protocol_report")),AND(AND(D12="retain",E12="statistical_results"),NOT(OR(H12="confirmed_issue",H12="probable_issue",H12="not_issue",H12="indeterminate"))),AND(AND(D12="retain",E12="statistical_results"),NOT(OR(I12="substantive",I12="minor_presentation",I12="indeterminate"))),AND(AND(D12="retain",E12="statistical_results"),J12&lt;&gt;"",NOT(OR(J12="direct",J12="possible",J12="unlikely",J12="unknown"))),AND(AND(D12="retain",OR(E12="report_internal_inconsistency",E12="plan_material")),NOT(OR(K12="substantive_inconsistency",K12="minor_presentation",K12="non_inconsistency",K12="indeterminate"))),AND(AND(D12="retain",E12="protocol_report"),L12&lt;&gt;"",NOT(OR(L12="substantive_difference",L12="minor_presentation",L12="version_timing",L12="non_inconsistency",L12="indeterminate")))),"CHECK FIELDS",IF(AND(F12&lt;&gt;"",NOT(OR(F12="no",F12="primary_done"))),"CHECK COMPLETE",IF(F12&lt;&gt;"primary_done","PRIMARY DRAFT","PRIMARY READY")))))),"CHECK KEY / INPUT")</f>
        <v/>
      </c>
      <c r="H12" s="18" t="inlineStr">
        <is>
          <t>confirmed_issue</t>
        </is>
      </c>
      <c r="I12" s="18" t="inlineStr">
        <is>
          <t>substantive</t>
        </is>
      </c>
      <c r="J12" s="19">
        <f>IF(AND(OR(D12="retain",D12=""),E12="statistical_results"),"","not_applicable")</f>
        <v/>
      </c>
      <c r="K12" s="18">
        <f>IF(AND(OR(D12="retain",D12=""),OR(E12="report_internal_inconsistency",E12="plan_material")),"","not_applicable")</f>
        <v/>
      </c>
      <c r="L12" s="19">
        <f>IF(AND(OR(D12="retain",D12=""),E12="protocol_report"),"","not_applicable")</f>
        <v/>
      </c>
      <c r="M12" s="12" t="n"/>
      <c r="N12" s="7" t="n"/>
      <c r="O12" s="7" t="n"/>
      <c r="P12" s="7" t="n"/>
      <c r="Q12" s="7" t="n"/>
      <c r="R12" s="19" t="n"/>
    </row>
    <row r="13" ht="92" customFormat="1" customHeight="1" s="8">
      <c r="A13" s="11" t="inlineStr">
        <is>
          <t>2024::jama.2024.6063::C012</t>
        </is>
      </c>
      <c r="B13" s="11" t="inlineStr">
        <is>
          <t>Key Points and other matched primary-result displays use opposite signs</t>
        </is>
      </c>
      <c r="C13" s="11" t="inlineStr">
        <is>
          <t>Main article — PDF p. 2; Main article — PDF p. 1; Main article — PDF p. 6; Main article — PDF p. 7; Supplement 3 — PDF p. 2.</t>
        </is>
      </c>
      <c r="D13" s="18" t="inlineStr">
        <is>
          <t>retain</t>
        </is>
      </c>
      <c r="E13" s="18" t="inlineStr">
        <is>
          <t>report_internal_inconsistency</t>
        </is>
      </c>
      <c r="F13" s="18" t="inlineStr">
        <is>
          <t>primary_done</t>
        </is>
      </c>
      <c r="G13" s="11">
        <f>IFERROR(IF(LEN(TRIM(CLEAN(SUBSTITUTE(Setup!$B$2,CHAR(160)," "))))=0,"ENTER REVIEWER ID",IF(OR(A13="",COUNTIF($A$2:$A$17,A13)&lt;&gt;1,COUNTIFS(Decisions!$C$2:$C$92,A13,Decisions!$B$2:$B$92,"jama.2024.6063")&lt;&gt;1),"CHECK KEY",IF(OR(AND(NOT(AND(D13="retain",E13="statistical_results")),H13&lt;&gt;"",H13&lt;&gt;"not_applicable"),AND(NOT(AND(D13="retain",E13="statistical_results")),I13&lt;&gt;"",I13&lt;&gt;"not_applicable"),AND(NOT(AND(D13="retain",E13="statistical_results")),J13&lt;&gt;"",J13&lt;&gt;"not_applicable"),AND(NOT(AND(D13="retain",OR(E13="report_internal_inconsistency",E13="plan_material"))),K13&lt;&gt;"",K13&lt;&gt;"not_applicable"),AND(NOT(AND(D13="retain",E13="protocol_report")),L13&lt;&gt;"",L13&lt;&gt;"not_applicable")),"CLEAR INACTIVE VALUES",IF(OR(NOT(OR(D13="retain",D13="exclude",D13="discuss")),NOT(OR(E13="statistical_results",E13="report_internal_inconsistency",E13="plan_material",E13="protocol_report")),AND(AND(D13="retain",E13="statistical_results"),NOT(OR(H13="confirmed_issue",H13="probable_issue",H13="not_issue",H13="indeterminate"))),AND(AND(D13="retain",E13="statistical_results"),NOT(OR(I13="substantive",I13="minor_presentation",I13="indeterminate"))),AND(AND(D13="retain",E13="statistical_results"),J13&lt;&gt;"",NOT(OR(J13="direct",J13="possible",J13="unlikely",J13="unknown"))),AND(AND(D13="retain",OR(E13="report_internal_inconsistency",E13="plan_material")),NOT(OR(K13="substantive_inconsistency",K13="minor_presentation",K13="non_inconsistency",K13="indeterminate"))),AND(AND(D13="retain",E13="protocol_report"),L13&lt;&gt;"",NOT(OR(L13="substantive_difference",L13="minor_presentation",L13="version_timing",L13="non_inconsistency",L13="indeterminate")))),"CHECK FIELDS",IF(AND(F13&lt;&gt;"",NOT(OR(F13="no",F13="primary_done"))),"CHECK COMPLETE",IF(F13&lt;&gt;"primary_done","PRIMARY DRAFT","PRIMARY READY")))))),"CHECK KEY / INPUT")</f>
        <v/>
      </c>
      <c r="H13" s="18">
        <f>IF(AND(OR(D13="retain",D13=""),E13="statistical_results"),"","not_applicable")</f>
        <v/>
      </c>
      <c r="I13" s="18">
        <f>IF(AND(OR(D13="retain",D13=""),E13="statistical_results"),"","not_applicable")</f>
        <v/>
      </c>
      <c r="J13" s="19">
        <f>IF(AND(OR(D13="retain",D13=""),E13="statistical_results"),"","not_applicable")</f>
        <v/>
      </c>
      <c r="K13" s="18" t="inlineStr">
        <is>
          <t>substantive_inconsistency</t>
        </is>
      </c>
      <c r="L13" s="19">
        <f>IF(AND(OR(D13="retain",D13=""),E13="protocol_report"),"","not_applicable")</f>
        <v/>
      </c>
      <c r="M13" s="11" t="n"/>
      <c r="N13" s="7" t="n"/>
      <c r="O13" s="7" t="n"/>
      <c r="P13" s="7" t="n"/>
      <c r="Q13" s="7" t="n"/>
      <c r="R13" s="19" t="n"/>
    </row>
    <row r="14" ht="92" customFormat="1" customHeight="1" s="8">
      <c r="A14" s="12" t="inlineStr">
        <is>
          <t>2024::jama.2024.6063::C013</t>
        </is>
      </c>
      <c r="B14" s="12" t="inlineStr">
        <is>
          <t>Placebo extremity-pain event count is 6 in Table 3 and 5 elsewhere</t>
        </is>
      </c>
      <c r="C14" s="12" t="inlineStr">
        <is>
          <t>Main article — PDF p. 1; Main article — PDF p. 8; Supplement 3 — PDF p. 10.</t>
        </is>
      </c>
      <c r="D14" s="18" t="inlineStr">
        <is>
          <t>retain</t>
        </is>
      </c>
      <c r="E14" s="18" t="inlineStr">
        <is>
          <t>report_internal_inconsistency</t>
        </is>
      </c>
      <c r="F14" s="18" t="inlineStr">
        <is>
          <t>primary_done</t>
        </is>
      </c>
      <c r="G14" s="12">
        <f>IFERROR(IF(LEN(TRIM(CLEAN(SUBSTITUTE(Setup!$B$2,CHAR(160)," "))))=0,"ENTER REVIEWER ID",IF(OR(A14="",COUNTIF($A$2:$A$17,A14)&lt;&gt;1,COUNTIFS(Decisions!$C$2:$C$92,A14,Decisions!$B$2:$B$92,"jama.2024.6063")&lt;&gt;1),"CHECK KEY",IF(OR(AND(NOT(AND(D14="retain",E14="statistical_results")),H14&lt;&gt;"",H14&lt;&gt;"not_applicable"),AND(NOT(AND(D14="retain",E14="statistical_results")),I14&lt;&gt;"",I14&lt;&gt;"not_applicable"),AND(NOT(AND(D14="retain",E14="statistical_results")),J14&lt;&gt;"",J14&lt;&gt;"not_applicable"),AND(NOT(AND(D14="retain",OR(E14="report_internal_inconsistency",E14="plan_material"))),K14&lt;&gt;"",K14&lt;&gt;"not_applicable"),AND(NOT(AND(D14="retain",E14="protocol_report")),L14&lt;&gt;"",L14&lt;&gt;"not_applicable")),"CLEAR INACTIVE VALUES",IF(OR(NOT(OR(D14="retain",D14="exclude",D14="discuss")),NOT(OR(E14="statistical_results",E14="report_internal_inconsistency",E14="plan_material",E14="protocol_report")),AND(AND(D14="retain",E14="statistical_results"),NOT(OR(H14="confirmed_issue",H14="probable_issue",H14="not_issue",H14="indeterminate"))),AND(AND(D14="retain",E14="statistical_results"),NOT(OR(I14="substantive",I14="minor_presentation",I14="indeterminate"))),AND(AND(D14="retain",E14="statistical_results"),J14&lt;&gt;"",NOT(OR(J14="direct",J14="possible",J14="unlikely",J14="unknown"))),AND(AND(D14="retain",OR(E14="report_internal_inconsistency",E14="plan_material")),NOT(OR(K14="substantive_inconsistency",K14="minor_presentation",K14="non_inconsistency",K14="indeterminate"))),AND(AND(D14="retain",E14="protocol_report"),L14&lt;&gt;"",NOT(OR(L14="substantive_difference",L14="minor_presentation",L14="version_timing",L14="non_inconsistency",L14="indeterminate")))),"CHECK FIELDS",IF(AND(F14&lt;&gt;"",NOT(OR(F14="no",F14="primary_done"))),"CHECK COMPLETE",IF(F14&lt;&gt;"primary_done","PRIMARY DRAFT","PRIMARY READY")))))),"CHECK KEY / INPUT")</f>
        <v/>
      </c>
      <c r="H14" s="18">
        <f>IF(AND(OR(D14="retain",D14=""),E14="statistical_results"),"","not_applicable")</f>
        <v/>
      </c>
      <c r="I14" s="18">
        <f>IF(AND(OR(D14="retain",D14=""),E14="statistical_results"),"","not_applicable")</f>
        <v/>
      </c>
      <c r="J14" s="19">
        <f>IF(AND(OR(D14="retain",D14=""),E14="statistical_results"),"","not_applicable")</f>
        <v/>
      </c>
      <c r="K14" s="18" t="inlineStr">
        <is>
          <t>substantive_inconsistency</t>
        </is>
      </c>
      <c r="L14" s="19">
        <f>IF(AND(OR(D14="retain",D14=""),E14="protocol_report"),"","not_applicable")</f>
        <v/>
      </c>
      <c r="M14" s="12" t="n"/>
      <c r="N14" s="7" t="n"/>
      <c r="O14" s="7" t="n"/>
      <c r="P14" s="7" t="n"/>
      <c r="Q14" s="7" t="n"/>
      <c r="R14" s="19" t="n"/>
    </row>
    <row r="15" ht="92" customFormat="1" customHeight="1" s="8">
      <c r="A15" s="11" t="inlineStr">
        <is>
          <t>2024::jama.2024.6063::C014</t>
        </is>
      </c>
      <c r="B15" s="11" t="inlineStr">
        <is>
          <t>Table 3 regular-adverse-event footnote points to eTable 4 instead of eTable 7</t>
        </is>
      </c>
      <c r="C15" s="11" t="inlineStr">
        <is>
          <t>Main article — PDF p. 8; Supplement 3 — PDF p. 5; Supplement 3 — PDF p. 10.</t>
        </is>
      </c>
      <c r="D15" s="18" t="inlineStr">
        <is>
          <t>retain</t>
        </is>
      </c>
      <c r="E15" s="18" t="inlineStr">
        <is>
          <t>report_internal_inconsistency</t>
        </is>
      </c>
      <c r="F15" s="18" t="inlineStr">
        <is>
          <t>primary_done</t>
        </is>
      </c>
      <c r="G15" s="11">
        <f>IFERROR(IF(LEN(TRIM(CLEAN(SUBSTITUTE(Setup!$B$2,CHAR(160)," "))))=0,"ENTER REVIEWER ID",IF(OR(A15="",COUNTIF($A$2:$A$17,A15)&lt;&gt;1,COUNTIFS(Decisions!$C$2:$C$92,A15,Decisions!$B$2:$B$92,"jama.2024.6063")&lt;&gt;1),"CHECK KEY",IF(OR(AND(NOT(AND(D15="retain",E15="statistical_results")),H15&lt;&gt;"",H15&lt;&gt;"not_applicable"),AND(NOT(AND(D15="retain",E15="statistical_results")),I15&lt;&gt;"",I15&lt;&gt;"not_applicable"),AND(NOT(AND(D15="retain",E15="statistical_results")),J15&lt;&gt;"",J15&lt;&gt;"not_applicable"),AND(NOT(AND(D15="retain",OR(E15="report_internal_inconsistency",E15="plan_material"))),K15&lt;&gt;"",K15&lt;&gt;"not_applicable"),AND(NOT(AND(D15="retain",E15="protocol_report")),L15&lt;&gt;"",L15&lt;&gt;"not_applicable")),"CLEAR INACTIVE VALUES",IF(OR(NOT(OR(D15="retain",D15="exclude",D15="discuss")),NOT(OR(E15="statistical_results",E15="report_internal_inconsistency",E15="plan_material",E15="protocol_report")),AND(AND(D15="retain",E15="statistical_results"),NOT(OR(H15="confirmed_issue",H15="probable_issue",H15="not_issue",H15="indeterminate"))),AND(AND(D15="retain",E15="statistical_results"),NOT(OR(I15="substantive",I15="minor_presentation",I15="indeterminate"))),AND(AND(D15="retain",E15="statistical_results"),J15&lt;&gt;"",NOT(OR(J15="direct",J15="possible",J15="unlikely",J15="unknown"))),AND(AND(D15="retain",OR(E15="report_internal_inconsistency",E15="plan_material")),NOT(OR(K15="substantive_inconsistency",K15="minor_presentation",K15="non_inconsistency",K15="indeterminate"))),AND(AND(D15="retain",E15="protocol_report"),L15&lt;&gt;"",NOT(OR(L15="substantive_difference",L15="minor_presentation",L15="version_timing",L15="non_inconsistency",L15="indeterminate")))),"CHECK FIELDS",IF(AND(F15&lt;&gt;"",NOT(OR(F15="no",F15="primary_done"))),"CHECK COMPLETE",IF(F15&lt;&gt;"primary_done","PRIMARY DRAFT","PRIMARY READY")))))),"CHECK KEY / INPUT")</f>
        <v/>
      </c>
      <c r="H15" s="18">
        <f>IF(AND(OR(D15="retain",D15=""),E15="statistical_results"),"","not_applicable")</f>
        <v/>
      </c>
      <c r="I15" s="18">
        <f>IF(AND(OR(D15="retain",D15=""),E15="statistical_results"),"","not_applicable")</f>
        <v/>
      </c>
      <c r="J15" s="19">
        <f>IF(AND(OR(D15="retain",D15=""),E15="statistical_results"),"","not_applicable")</f>
        <v/>
      </c>
      <c r="K15" s="18" t="inlineStr">
        <is>
          <t>substantive_inconsistency</t>
        </is>
      </c>
      <c r="L15" s="19">
        <f>IF(AND(OR(D15="retain",D15=""),E15="protocol_report"),"","not_applicable")</f>
        <v/>
      </c>
      <c r="M15" s="11" t="n"/>
      <c r="N15" s="7" t="n"/>
      <c r="O15" s="7" t="n"/>
      <c r="P15" s="7" t="n"/>
      <c r="Q15" s="7" t="n"/>
      <c r="R15" s="19" t="n"/>
    </row>
    <row r="16" ht="92" customFormat="1" customHeight="1" s="8">
      <c r="A16" s="12" t="inlineStr">
        <is>
          <t>2024::jama.2024.6063::C015</t>
        </is>
      </c>
      <c r="B16" s="12" t="inlineStr">
        <is>
          <t>Table 3 serious-adverse-event footnote points to eTables 5 and 6 instead of eTable 8</t>
        </is>
      </c>
      <c r="C16" s="12" t="inlineStr">
        <is>
          <t>Main article — PDF p. 8; Supplement 3 — PDF p. 8; Supplement 3 — PDF p. 9; Supplement 3 — PDF p. 14.</t>
        </is>
      </c>
      <c r="D16" s="18" t="inlineStr">
        <is>
          <t>retain</t>
        </is>
      </c>
      <c r="E16" s="18" t="inlineStr">
        <is>
          <t>report_internal_inconsistency</t>
        </is>
      </c>
      <c r="F16" s="18" t="inlineStr">
        <is>
          <t>primary_done</t>
        </is>
      </c>
      <c r="G16" s="12">
        <f>IFERROR(IF(LEN(TRIM(CLEAN(SUBSTITUTE(Setup!$B$2,CHAR(160)," "))))=0,"ENTER REVIEWER ID",IF(OR(A16="",COUNTIF($A$2:$A$17,A16)&lt;&gt;1,COUNTIFS(Decisions!$C$2:$C$92,A16,Decisions!$B$2:$B$92,"jama.2024.6063")&lt;&gt;1),"CHECK KEY",IF(OR(AND(NOT(AND(D16="retain",E16="statistical_results")),H16&lt;&gt;"",H16&lt;&gt;"not_applicable"),AND(NOT(AND(D16="retain",E16="statistical_results")),I16&lt;&gt;"",I16&lt;&gt;"not_applicable"),AND(NOT(AND(D16="retain",E16="statistical_results")),J16&lt;&gt;"",J16&lt;&gt;"not_applicable"),AND(NOT(AND(D16="retain",OR(E16="report_internal_inconsistency",E16="plan_material"))),K16&lt;&gt;"",K16&lt;&gt;"not_applicable"),AND(NOT(AND(D16="retain",E16="protocol_report")),L16&lt;&gt;"",L16&lt;&gt;"not_applicable")),"CLEAR INACTIVE VALUES",IF(OR(NOT(OR(D16="retain",D16="exclude",D16="discuss")),NOT(OR(E16="statistical_results",E16="report_internal_inconsistency",E16="plan_material",E16="protocol_report")),AND(AND(D16="retain",E16="statistical_results"),NOT(OR(H16="confirmed_issue",H16="probable_issue",H16="not_issue",H16="indeterminate"))),AND(AND(D16="retain",E16="statistical_results"),NOT(OR(I16="substantive",I16="minor_presentation",I16="indeterminate"))),AND(AND(D16="retain",E16="statistical_results"),J16&lt;&gt;"",NOT(OR(J16="direct",J16="possible",J16="unlikely",J16="unknown"))),AND(AND(D16="retain",OR(E16="report_internal_inconsistency",E16="plan_material")),NOT(OR(K16="substantive_inconsistency",K16="minor_presentation",K16="non_inconsistency",K16="indeterminate"))),AND(AND(D16="retain",E16="protocol_report"),L16&lt;&gt;"",NOT(OR(L16="substantive_difference",L16="minor_presentation",L16="version_timing",L16="non_inconsistency",L16="indeterminate")))),"CHECK FIELDS",IF(AND(F16&lt;&gt;"",NOT(OR(F16="no",F16="primary_done"))),"CHECK COMPLETE",IF(F16&lt;&gt;"primary_done","PRIMARY DRAFT","PRIMARY READY")))))),"CHECK KEY / INPUT")</f>
        <v/>
      </c>
      <c r="H16" s="18">
        <f>IF(AND(OR(D16="retain",D16=""),E16="statistical_results"),"","not_applicable")</f>
        <v/>
      </c>
      <c r="I16" s="18">
        <f>IF(AND(OR(D16="retain",D16=""),E16="statistical_results"),"","not_applicable")</f>
        <v/>
      </c>
      <c r="J16" s="19">
        <f>IF(AND(OR(D16="retain",D16=""),E16="statistical_results"),"","not_applicable")</f>
        <v/>
      </c>
      <c r="K16" s="18" t="inlineStr">
        <is>
          <t>substantive_inconsistency</t>
        </is>
      </c>
      <c r="L16" s="19">
        <f>IF(AND(OR(D16="retain",D16=""),E16="protocol_report"),"","not_applicable")</f>
        <v/>
      </c>
      <c r="M16" s="12" t="n"/>
      <c r="N16" s="7" t="n"/>
      <c r="O16" s="7" t="n"/>
      <c r="P16" s="7" t="n"/>
      <c r="Q16" s="7" t="n"/>
      <c r="R16" s="19" t="n"/>
    </row>
    <row r="17" ht="92" customFormat="1" customHeight="1" s="8">
      <c r="A17" s="11" t="inlineStr">
        <is>
          <t>2024::jama.2024.6063::C016</t>
        </is>
      </c>
      <c r="B17" s="11" t="inlineStr">
        <is>
          <t>Main-text 95% adherence does not reproduce the cited eTable 2 overall result</t>
        </is>
      </c>
      <c r="C17" s="11" t="inlineStr">
        <is>
          <t>Main article — PDF p. 7; Supplement 3 — PDF p. 3.</t>
        </is>
      </c>
      <c r="D17" s="18" t="inlineStr">
        <is>
          <t>retain</t>
        </is>
      </c>
      <c r="E17" s="18" t="inlineStr">
        <is>
          <t>report_internal_inconsistency</t>
        </is>
      </c>
      <c r="F17" s="18" t="inlineStr">
        <is>
          <t>primary_done</t>
        </is>
      </c>
      <c r="G17" s="11">
        <f>IFERROR(IF(LEN(TRIM(CLEAN(SUBSTITUTE(Setup!$B$2,CHAR(160)," "))))=0,"ENTER REVIEWER ID",IF(OR(A17="",COUNTIF($A$2:$A$17,A17)&lt;&gt;1,COUNTIFS(Decisions!$C$2:$C$92,A17,Decisions!$B$2:$B$92,"jama.2024.6063")&lt;&gt;1),"CHECK KEY",IF(OR(AND(NOT(AND(D17="retain",E17="statistical_results")),H17&lt;&gt;"",H17&lt;&gt;"not_applicable"),AND(NOT(AND(D17="retain",E17="statistical_results")),I17&lt;&gt;"",I17&lt;&gt;"not_applicable"),AND(NOT(AND(D17="retain",E17="statistical_results")),J17&lt;&gt;"",J17&lt;&gt;"not_applicable"),AND(NOT(AND(D17="retain",OR(E17="report_internal_inconsistency",E17="plan_material"))),K17&lt;&gt;"",K17&lt;&gt;"not_applicable"),AND(NOT(AND(D17="retain",E17="protocol_report")),L17&lt;&gt;"",L17&lt;&gt;"not_applicable")),"CLEAR INACTIVE VALUES",IF(OR(NOT(OR(D17="retain",D17="exclude",D17="discuss")),NOT(OR(E17="statistical_results",E17="report_internal_inconsistency",E17="plan_material",E17="protocol_report")),AND(AND(D17="retain",E17="statistical_results"),NOT(OR(H17="confirmed_issue",H17="probable_issue",H17="not_issue",H17="indeterminate"))),AND(AND(D17="retain",E17="statistical_results"),NOT(OR(I17="substantive",I17="minor_presentation",I17="indeterminate"))),AND(AND(D17="retain",E17="statistical_results"),J17&lt;&gt;"",NOT(OR(J17="direct",J17="possible",J17="unlikely",J17="unknown"))),AND(AND(D17="retain",OR(E17="report_internal_inconsistency",E17="plan_material")),NOT(OR(K17="substantive_inconsistency",K17="minor_presentation",K17="non_inconsistency",K17="indeterminate"))),AND(AND(D17="retain",E17="protocol_report"),L17&lt;&gt;"",NOT(OR(L17="substantive_difference",L17="minor_presentation",L17="version_timing",L17="non_inconsistency",L17="indeterminate")))),"CHECK FIELDS",IF(AND(F17&lt;&gt;"",NOT(OR(F17="no",F17="primary_done"))),"CHECK COMPLETE",IF(F17&lt;&gt;"primary_done","PRIMARY DRAFT","PRIMARY READY")))))),"CHECK KEY / INPUT")</f>
        <v/>
      </c>
      <c r="H17" s="18">
        <f>IF(AND(OR(D17="retain",D17=""),E17="statistical_results"),"","not_applicable")</f>
        <v/>
      </c>
      <c r="I17" s="18">
        <f>IF(AND(OR(D17="retain",D17=""),E17="statistical_results"),"","not_applicable")</f>
        <v/>
      </c>
      <c r="J17" s="19">
        <f>IF(AND(OR(D17="retain",D17=""),E17="statistical_results"),"","not_applicable")</f>
        <v/>
      </c>
      <c r="K17" s="18" t="inlineStr">
        <is>
          <t>substantive_inconsistency</t>
        </is>
      </c>
      <c r="L17" s="19">
        <f>IF(AND(OR(D17="retain",D17=""),E17="protocol_report"),"","not_applicable")</f>
        <v/>
      </c>
      <c r="M17" s="11" t="n"/>
      <c r="N17" s="7" t="n"/>
      <c r="O17" s="7" t="n"/>
      <c r="P17" s="7" t="n"/>
      <c r="Q17" s="7" t="n"/>
      <c r="R17" s="19" t="n"/>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"retain,exclude,discuss"</formula1>
    </dataValidation>
    <dataValidation sqref="E2:E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"statistical_results,report_internal_inconsistency,plan_material,protocol_report"</formula1>
    </dataValidation>
    <dataValidation sqref="F2:F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"no,primary_done"</formula1>
    </dataValidation>
    <dataValidation sqref="H2:H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"confirmed_issue,probable_issue,not_issue,indeterminate,not_applicable"</formula1>
    </dataValidation>
    <dataValidation sqref="I2:I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"substantive,minor_presentation,indeterminate,not_applicable"</formula1>
    </dataValidation>
    <dataValidation sqref="J2:J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"direct,possible,unlikely,unknown,not_applicable"</formula1>
    </dataValidation>
    <dataValidation sqref="K2:K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"substantive_inconsistency,minor_presentation,non_inconsistency,indeterminate,not_applicable"</formula1>
    </dataValidation>
    <dataValidation sqref="L2:L17" showDropDown="0" showInputMessage="1" showErrorMessage="1" allowBlank="1" errorTitle="Choose a listed option" error="Use an option from the dropdown; G checks pasted values too." promptTitle="Independent primary input" prompt="Confirm suggested E. Clear inactive answers after changes. Reset F=no before revising." type="list" errorStyle="stop">
      <formula1>"substantive_difference,minor_presentation,version_timing,non_inconsistency,indeterminate,not_applicable"</formula1>
    </dataValidation>
  </dataValidations>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s>
  <pageMargins left="0.7" right="0.7" top="0.75" bottom="0.75" header="0.3" footer="0.3"/>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R92"/>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6" customWidth="1" style="8" min="2" max="2"/>
    <col width="44" customWidth="1" style="8" min="3" max="3"/>
    <col width="18" customWidth="1" style="8" min="4" max="4"/>
    <col width="20" customWidth="1" style="8" min="5" max="5"/>
    <col width="28" customWidth="1" style="8" min="6" max="6"/>
    <col width="28" customWidth="1" style="8" min="7" max="7"/>
    <col width="28" customWidth="1" style="8" min="8" max="8"/>
    <col width="22" customWidth="1" style="8" min="9" max="9"/>
    <col width="36" customWidth="1" style="8" min="10" max="10"/>
    <col width="20" customWidth="1" style="8" min="11" max="11"/>
    <col width="36" customWidth="1" style="8" min="12" max="12"/>
    <col width="28" customWidth="1" style="8" min="13" max="13"/>
    <col width="24" customWidth="1" style="8" min="14" max="14"/>
    <col width="24" customWidth="1" style="8" min="15" max="15"/>
    <col width="32" customWidth="1" style="8" min="16" max="16"/>
    <col width="30" customWidth="1" style="8" min="17" max="17"/>
    <col width="50" customWidth="1" style="8" min="18" max="18"/>
  </cols>
  <sheetData>
    <row r="1" ht="42" customFormat="1" customHeight="1" s="8">
      <c r="A1" s="14" t="inlineStr">
        <is>
          <t>year</t>
        </is>
      </c>
      <c r="B1" s="14" t="inlineStr">
        <is>
          <t>paper</t>
        </is>
      </c>
      <c r="C1" s="14" t="inlineStr">
        <is>
          <t>candidate_key</t>
        </is>
      </c>
      <c r="D1" s="14" t="inlineStr">
        <is>
          <t>relationship</t>
        </is>
      </c>
      <c r="E1" s="14" t="inlineStr">
        <is>
          <t>reviewer_role</t>
        </is>
      </c>
      <c r="F1" s="14" t="inlineStr">
        <is>
          <t>reviewer_id</t>
        </is>
      </c>
      <c r="G1" s="14" t="inlineStr">
        <is>
          <t>readiness</t>
        </is>
      </c>
      <c r="H1" s="14" t="inlineStr">
        <is>
          <t>outcome</t>
        </is>
      </c>
      <c r="I1" s="14" t="inlineStr">
        <is>
          <t>ai_disposition</t>
        </is>
      </c>
      <c r="J1" s="14" t="inlineStr">
        <is>
          <t>ai_domain</t>
        </is>
      </c>
      <c r="K1" s="14" t="inlineStr">
        <is>
          <t>disposition</t>
        </is>
      </c>
      <c r="L1" s="14" t="inlineStr">
        <is>
          <t>domain</t>
        </is>
      </c>
      <c r="M1" s="14" t="inlineStr">
        <is>
          <t>statistical_issue</t>
        </is>
      </c>
      <c r="N1" s="14" t="inlineStr">
        <is>
          <t>substantiveness</t>
        </is>
      </c>
      <c r="O1" s="14" t="inlineStr">
        <is>
          <t>downstream_impact</t>
        </is>
      </c>
      <c r="P1" s="14" t="inlineStr">
        <is>
          <t>internal_inconsistency</t>
        </is>
      </c>
      <c r="Q1" s="14" t="inlineStr">
        <is>
          <t>protocol_interpretation</t>
        </is>
      </c>
      <c r="R1" s="14" t="inlineStr">
        <is>
          <t>notes</t>
        </is>
      </c>
    </row>
    <row r="2" ht="75" customFormat="1" customHeight="1" s="8">
      <c r="A2" s="15" t="n">
        <v>2024</v>
      </c>
      <c r="B2" s="15" t="inlineStr">
        <is>
          <t>jama.2024.0318</t>
        </is>
      </c>
      <c r="C2" s="15" t="inlineStr">
        <is>
          <t>2024::jama.2024.0318::C001</t>
        </is>
      </c>
      <c r="D2" s="15" t="inlineStr">
        <is>
          <t>S_W</t>
        </is>
      </c>
      <c r="E2" s="15">
        <f>Setup!$B$4</f>
        <v/>
      </c>
      <c r="F2" s="15">
        <f>IF(Setup!$B$2="","",Setup!$B$2)</f>
        <v/>
      </c>
      <c r="G2" s="15">
        <f>IFERROR(INDEX('C_jama.2024.0318'!$G$2:$G$7,MATCH(C2,'C_jama.2024.0318'!$A$2:$A$7,0)),"CHECK KEY")</f>
        <v/>
      </c>
      <c r="H2" s="15">
        <f>IF(OR(G2&lt;&gt;"PRIMARY READY",K2="discuss"),"",IF(K2&lt;&gt;"retain","not_eligible",IF(D2="P_R","protocol_descriptive",IF(D2="P_P","plan_descriptive",IF(AND(OR(D2="S_C",D2="S_W"),L2="statistical_results",OR(M2="confirmed_issue",M2="probable_issue"),N2="substantive"),"primary_temporal",IF(AND(OR(D2="S_C",D2="S_W"),L2="report_internal_inconsistency",P2="substantive_inconsistency"),"secondary_temporal","not_eligible"))))))</f>
        <v/>
      </c>
      <c r="I2" s="15" t="inlineStr">
        <is>
          <t>retain</t>
        </is>
      </c>
      <c r="J2" s="15" t="inlineStr">
        <is>
          <t>statistical_results</t>
        </is>
      </c>
      <c r="K2" s="15">
        <f>IFERROR(IF(INDEX('C_jama.2024.0318'!$D$2:$D$7,MATCH(C2,'C_jama.2024.0318'!$A$2:$A$7,0))="","",INDEX('C_jama.2024.0318'!$D$2:$D$7,MATCH(C2,'C_jama.2024.0318'!$A$2:$A$7,0))),"")</f>
        <v/>
      </c>
      <c r="L2" s="15">
        <f>IFERROR(IF(INDEX('C_jama.2024.0318'!$E$2:$E$7,MATCH(C2,'C_jama.2024.0318'!$A$2:$A$7,0))="","",INDEX('C_jama.2024.0318'!$E$2:$E$7,MATCH(C2,'C_jama.2024.0318'!$A$2:$A$7,0))),"")</f>
        <v/>
      </c>
      <c r="M2" s="15">
        <f>IFERROR(IF(AND(K2="retain",L2="statistical_results"),IF(INDEX('C_jama.2024.0318'!$H$2:$H$7,MATCH(C2,'C_jama.2024.0318'!$A$2:$A$7,0))="","",INDEX('C_jama.2024.0318'!$H$2:$H$7,MATCH(C2,'C_jama.2024.0318'!$A$2:$A$7,0))),"not_applicable"),"")</f>
        <v/>
      </c>
      <c r="N2" s="15">
        <f>IFERROR(IF(AND(K2="retain",L2="statistical_results"),IF(INDEX('C_jama.2024.0318'!$I$2:$I$7,MATCH(C2,'C_jama.2024.0318'!$A$2:$A$7,0))="","",INDEX('C_jama.2024.0318'!$I$2:$I$7,MATCH(C2,'C_jama.2024.0318'!$A$2:$A$7,0))),"not_applicable"),"")</f>
        <v/>
      </c>
      <c r="O2" s="15">
        <f>IFERROR(IF(AND(K2="retain",L2="statistical_results"),IF(INDEX('C_jama.2024.0318'!$J$2:$J$7,MATCH(C2,'C_jama.2024.0318'!$A$2:$A$7,0))="","",INDEX('C_jama.2024.0318'!$J$2:$J$7,MATCH(C2,'C_jama.2024.0318'!$A$2:$A$7,0))),"not_applicable"),"")</f>
        <v/>
      </c>
      <c r="P2" s="15">
        <f>IFERROR(IF(AND(K2="retain",OR(L2="report_internal_inconsistency",L2="plan_material")),IF(INDEX('C_jama.2024.0318'!$K$2:$K$7,MATCH(C2,'C_jama.2024.0318'!$A$2:$A$7,0))="","",INDEX('C_jama.2024.0318'!$K$2:$K$7,MATCH(C2,'C_jama.2024.0318'!$A$2:$A$7,0))),"not_applicable"),"")</f>
        <v/>
      </c>
      <c r="Q2" s="15">
        <f>IFERROR(IF(AND(K2="retain",L2="protocol_report"),IF(INDEX('C_jama.2024.0318'!$L$2:$L$7,MATCH(C2,'C_jama.2024.0318'!$A$2:$A$7,0))="","",INDEX('C_jama.2024.0318'!$L$2:$L$7,MATCH(C2,'C_jama.2024.0318'!$A$2:$A$7,0))),"not_applicable"),"")</f>
        <v/>
      </c>
      <c r="R2" s="15">
        <f>IFERROR(IF(INDEX('C_jama.2024.0318'!$R$2:$R$7,MATCH(C2,'C_jama.2024.0318'!$A$2:$A$7,0))="","",INDEX('C_jama.2024.0318'!$R$2:$R$7,MATCH(C2,'C_jama.2024.0318'!$A$2:$A$7,0))),"")</f>
        <v/>
      </c>
    </row>
    <row r="3" ht="75" customFormat="1" customHeight="1" s="8">
      <c r="A3" s="16" t="n">
        <v>2024</v>
      </c>
      <c r="B3" s="16" t="inlineStr">
        <is>
          <t>jama.2024.0318</t>
        </is>
      </c>
      <c r="C3" s="16" t="inlineStr">
        <is>
          <t>2024::jama.2024.0318::C002</t>
        </is>
      </c>
      <c r="D3" s="16" t="inlineStr">
        <is>
          <t>S_W</t>
        </is>
      </c>
      <c r="E3" s="16">
        <f>Setup!$B$4</f>
        <v/>
      </c>
      <c r="F3" s="16">
        <f>IF(Setup!$B$2="","",Setup!$B$2)</f>
        <v/>
      </c>
      <c r="G3" s="16">
        <f>IFERROR(INDEX('C_jama.2024.0318'!$G$2:$G$7,MATCH(C3,'C_jama.2024.0318'!$A$2:$A$7,0)),"CHECK KEY")</f>
        <v/>
      </c>
      <c r="H3" s="16">
        <f>IF(OR(G3&lt;&gt;"PRIMARY READY",K3="discuss"),"",IF(K3&lt;&gt;"retain","not_eligible",IF(D3="P_R","protocol_descriptive",IF(D3="P_P","plan_descriptive",IF(AND(OR(D3="S_C",D3="S_W"),L3="statistical_results",OR(M3="confirmed_issue",M3="probable_issue"),N3="substantive"),"primary_temporal",IF(AND(OR(D3="S_C",D3="S_W"),L3="report_internal_inconsistency",P3="substantive_inconsistency"),"secondary_temporal","not_eligible"))))))</f>
        <v/>
      </c>
      <c r="I3" s="16" t="inlineStr">
        <is>
          <t>retain</t>
        </is>
      </c>
      <c r="J3" s="16" t="inlineStr">
        <is>
          <t>report_internal_inconsistency</t>
        </is>
      </c>
      <c r="K3" s="16">
        <f>IFERROR(IF(INDEX('C_jama.2024.0318'!$D$2:$D$7,MATCH(C3,'C_jama.2024.0318'!$A$2:$A$7,0))="","",INDEX('C_jama.2024.0318'!$D$2:$D$7,MATCH(C3,'C_jama.2024.0318'!$A$2:$A$7,0))),"")</f>
        <v/>
      </c>
      <c r="L3" s="16">
        <f>IFERROR(IF(INDEX('C_jama.2024.0318'!$E$2:$E$7,MATCH(C3,'C_jama.2024.0318'!$A$2:$A$7,0))="","",INDEX('C_jama.2024.0318'!$E$2:$E$7,MATCH(C3,'C_jama.2024.0318'!$A$2:$A$7,0))),"")</f>
        <v/>
      </c>
      <c r="M3" s="16">
        <f>IFERROR(IF(AND(K3="retain",L3="statistical_results"),IF(INDEX('C_jama.2024.0318'!$H$2:$H$7,MATCH(C3,'C_jama.2024.0318'!$A$2:$A$7,0))="","",INDEX('C_jama.2024.0318'!$H$2:$H$7,MATCH(C3,'C_jama.2024.0318'!$A$2:$A$7,0))),"not_applicable"),"")</f>
        <v/>
      </c>
      <c r="N3" s="16">
        <f>IFERROR(IF(AND(K3="retain",L3="statistical_results"),IF(INDEX('C_jama.2024.0318'!$I$2:$I$7,MATCH(C3,'C_jama.2024.0318'!$A$2:$A$7,0))="","",INDEX('C_jama.2024.0318'!$I$2:$I$7,MATCH(C3,'C_jama.2024.0318'!$A$2:$A$7,0))),"not_applicable"),"")</f>
        <v/>
      </c>
      <c r="O3" s="16">
        <f>IFERROR(IF(AND(K3="retain",L3="statistical_results"),IF(INDEX('C_jama.2024.0318'!$J$2:$J$7,MATCH(C3,'C_jama.2024.0318'!$A$2:$A$7,0))="","",INDEX('C_jama.2024.0318'!$J$2:$J$7,MATCH(C3,'C_jama.2024.0318'!$A$2:$A$7,0))),"not_applicable"),"")</f>
        <v/>
      </c>
      <c r="P3" s="16">
        <f>IFERROR(IF(AND(K3="retain",OR(L3="report_internal_inconsistency",L3="plan_material")),IF(INDEX('C_jama.2024.0318'!$K$2:$K$7,MATCH(C3,'C_jama.2024.0318'!$A$2:$A$7,0))="","",INDEX('C_jama.2024.0318'!$K$2:$K$7,MATCH(C3,'C_jama.2024.0318'!$A$2:$A$7,0))),"not_applicable"),"")</f>
        <v/>
      </c>
      <c r="Q3" s="16">
        <f>IFERROR(IF(AND(K3="retain",L3="protocol_report"),IF(INDEX('C_jama.2024.0318'!$L$2:$L$7,MATCH(C3,'C_jama.2024.0318'!$A$2:$A$7,0))="","",INDEX('C_jama.2024.0318'!$L$2:$L$7,MATCH(C3,'C_jama.2024.0318'!$A$2:$A$7,0))),"not_applicable"),"")</f>
        <v/>
      </c>
      <c r="R3" s="16">
        <f>IFERROR(IF(INDEX('C_jama.2024.0318'!$R$2:$R$7,MATCH(C3,'C_jama.2024.0318'!$A$2:$A$7,0))="","",INDEX('C_jama.2024.0318'!$R$2:$R$7,MATCH(C3,'C_jama.2024.0318'!$A$2:$A$7,0))),"")</f>
        <v/>
      </c>
    </row>
    <row r="4" ht="75" customFormat="1" customHeight="1" s="8">
      <c r="A4" s="15" t="n">
        <v>2024</v>
      </c>
      <c r="B4" s="15" t="inlineStr">
        <is>
          <t>jama.2024.0318</t>
        </is>
      </c>
      <c r="C4" s="15" t="inlineStr">
        <is>
          <t>2024::jama.2024.0318::C003</t>
        </is>
      </c>
      <c r="D4" s="15" t="inlineStr">
        <is>
          <t>S_C</t>
        </is>
      </c>
      <c r="E4" s="15">
        <f>Setup!$B$4</f>
        <v/>
      </c>
      <c r="F4" s="15">
        <f>IF(Setup!$B$2="","",Setup!$B$2)</f>
        <v/>
      </c>
      <c r="G4" s="15">
        <f>IFERROR(INDEX('C_jama.2024.0318'!$G$2:$G$7,MATCH(C4,'C_jama.2024.0318'!$A$2:$A$7,0)),"CHECK KEY")</f>
        <v/>
      </c>
      <c r="H4" s="15">
        <f>IF(OR(G4&lt;&gt;"PRIMARY READY",K4="discuss"),"",IF(K4&lt;&gt;"retain","not_eligible",IF(D4="P_R","protocol_descriptive",IF(D4="P_P","plan_descriptive",IF(AND(OR(D4="S_C",D4="S_W"),L4="statistical_results",OR(M4="confirmed_issue",M4="probable_issue"),N4="substantive"),"primary_temporal",IF(AND(OR(D4="S_C",D4="S_W"),L4="report_internal_inconsistency",P4="substantive_inconsistency"),"secondary_temporal","not_eligible"))))))</f>
        <v/>
      </c>
      <c r="I4" s="15" t="inlineStr">
        <is>
          <t>retain</t>
        </is>
      </c>
      <c r="J4" s="15" t="inlineStr">
        <is>
          <t>report_internal_inconsistency</t>
        </is>
      </c>
      <c r="K4" s="15">
        <f>IFERROR(IF(INDEX('C_jama.2024.0318'!$D$2:$D$7,MATCH(C4,'C_jama.2024.0318'!$A$2:$A$7,0))="","",INDEX('C_jama.2024.0318'!$D$2:$D$7,MATCH(C4,'C_jama.2024.0318'!$A$2:$A$7,0))),"")</f>
        <v/>
      </c>
      <c r="L4" s="15">
        <f>IFERROR(IF(INDEX('C_jama.2024.0318'!$E$2:$E$7,MATCH(C4,'C_jama.2024.0318'!$A$2:$A$7,0))="","",INDEX('C_jama.2024.0318'!$E$2:$E$7,MATCH(C4,'C_jama.2024.0318'!$A$2:$A$7,0))),"")</f>
        <v/>
      </c>
      <c r="M4" s="15">
        <f>IFERROR(IF(AND(K4="retain",L4="statistical_results"),IF(INDEX('C_jama.2024.0318'!$H$2:$H$7,MATCH(C4,'C_jama.2024.0318'!$A$2:$A$7,0))="","",INDEX('C_jama.2024.0318'!$H$2:$H$7,MATCH(C4,'C_jama.2024.0318'!$A$2:$A$7,0))),"not_applicable"),"")</f>
        <v/>
      </c>
      <c r="N4" s="15">
        <f>IFERROR(IF(AND(K4="retain",L4="statistical_results"),IF(INDEX('C_jama.2024.0318'!$I$2:$I$7,MATCH(C4,'C_jama.2024.0318'!$A$2:$A$7,0))="","",INDEX('C_jama.2024.0318'!$I$2:$I$7,MATCH(C4,'C_jama.2024.0318'!$A$2:$A$7,0))),"not_applicable"),"")</f>
        <v/>
      </c>
      <c r="O4" s="15">
        <f>IFERROR(IF(AND(K4="retain",L4="statistical_results"),IF(INDEX('C_jama.2024.0318'!$J$2:$J$7,MATCH(C4,'C_jama.2024.0318'!$A$2:$A$7,0))="","",INDEX('C_jama.2024.0318'!$J$2:$J$7,MATCH(C4,'C_jama.2024.0318'!$A$2:$A$7,0))),"not_applicable"),"")</f>
        <v/>
      </c>
      <c r="P4" s="15">
        <f>IFERROR(IF(AND(K4="retain",OR(L4="report_internal_inconsistency",L4="plan_material")),IF(INDEX('C_jama.2024.0318'!$K$2:$K$7,MATCH(C4,'C_jama.2024.0318'!$A$2:$A$7,0))="","",INDEX('C_jama.2024.0318'!$K$2:$K$7,MATCH(C4,'C_jama.2024.0318'!$A$2:$A$7,0))),"not_applicable"),"")</f>
        <v/>
      </c>
      <c r="Q4" s="15">
        <f>IFERROR(IF(AND(K4="retain",L4="protocol_report"),IF(INDEX('C_jama.2024.0318'!$L$2:$L$7,MATCH(C4,'C_jama.2024.0318'!$A$2:$A$7,0))="","",INDEX('C_jama.2024.0318'!$L$2:$L$7,MATCH(C4,'C_jama.2024.0318'!$A$2:$A$7,0))),"not_applicable"),"")</f>
        <v/>
      </c>
      <c r="R4" s="15">
        <f>IFERROR(IF(INDEX('C_jama.2024.0318'!$R$2:$R$7,MATCH(C4,'C_jama.2024.0318'!$A$2:$A$7,0))="","",INDEX('C_jama.2024.0318'!$R$2:$R$7,MATCH(C4,'C_jama.2024.0318'!$A$2:$A$7,0))),"")</f>
        <v/>
      </c>
    </row>
    <row r="5" ht="75" customFormat="1" customHeight="1" s="8">
      <c r="A5" s="16" t="n">
        <v>2024</v>
      </c>
      <c r="B5" s="16" t="inlineStr">
        <is>
          <t>jama.2024.0318</t>
        </is>
      </c>
      <c r="C5" s="16" t="inlineStr">
        <is>
          <t>2024::jama.2024.0318::C004</t>
        </is>
      </c>
      <c r="D5" s="16" t="inlineStr">
        <is>
          <t>S_W</t>
        </is>
      </c>
      <c r="E5" s="16">
        <f>Setup!$B$4</f>
        <v/>
      </c>
      <c r="F5" s="16">
        <f>IF(Setup!$B$2="","",Setup!$B$2)</f>
        <v/>
      </c>
      <c r="G5" s="16">
        <f>IFERROR(INDEX('C_jama.2024.0318'!$G$2:$G$7,MATCH(C5,'C_jama.2024.0318'!$A$2:$A$7,0)),"CHECK KEY")</f>
        <v/>
      </c>
      <c r="H5" s="16">
        <f>IF(OR(G5&lt;&gt;"PRIMARY READY",K5="discuss"),"",IF(K5&lt;&gt;"retain","not_eligible",IF(D5="P_R","protocol_descriptive",IF(D5="P_P","plan_descriptive",IF(AND(OR(D5="S_C",D5="S_W"),L5="statistical_results",OR(M5="confirmed_issue",M5="probable_issue"),N5="substantive"),"primary_temporal",IF(AND(OR(D5="S_C",D5="S_W"),L5="report_internal_inconsistency",P5="substantive_inconsistency"),"secondary_temporal","not_eligible"))))))</f>
        <v/>
      </c>
      <c r="I5" s="16" t="inlineStr">
        <is>
          <t>retain</t>
        </is>
      </c>
      <c r="J5" s="16" t="inlineStr">
        <is>
          <t>report_internal_inconsistency</t>
        </is>
      </c>
      <c r="K5" s="16">
        <f>IFERROR(IF(INDEX('C_jama.2024.0318'!$D$2:$D$7,MATCH(C5,'C_jama.2024.0318'!$A$2:$A$7,0))="","",INDEX('C_jama.2024.0318'!$D$2:$D$7,MATCH(C5,'C_jama.2024.0318'!$A$2:$A$7,0))),"")</f>
        <v/>
      </c>
      <c r="L5" s="16">
        <f>IFERROR(IF(INDEX('C_jama.2024.0318'!$E$2:$E$7,MATCH(C5,'C_jama.2024.0318'!$A$2:$A$7,0))="","",INDEX('C_jama.2024.0318'!$E$2:$E$7,MATCH(C5,'C_jama.2024.0318'!$A$2:$A$7,0))),"")</f>
        <v/>
      </c>
      <c r="M5" s="16">
        <f>IFERROR(IF(AND(K5="retain",L5="statistical_results"),IF(INDEX('C_jama.2024.0318'!$H$2:$H$7,MATCH(C5,'C_jama.2024.0318'!$A$2:$A$7,0))="","",INDEX('C_jama.2024.0318'!$H$2:$H$7,MATCH(C5,'C_jama.2024.0318'!$A$2:$A$7,0))),"not_applicable"),"")</f>
        <v/>
      </c>
      <c r="N5" s="16">
        <f>IFERROR(IF(AND(K5="retain",L5="statistical_results"),IF(INDEX('C_jama.2024.0318'!$I$2:$I$7,MATCH(C5,'C_jama.2024.0318'!$A$2:$A$7,0))="","",INDEX('C_jama.2024.0318'!$I$2:$I$7,MATCH(C5,'C_jama.2024.0318'!$A$2:$A$7,0))),"not_applicable"),"")</f>
        <v/>
      </c>
      <c r="O5" s="16">
        <f>IFERROR(IF(AND(K5="retain",L5="statistical_results"),IF(INDEX('C_jama.2024.0318'!$J$2:$J$7,MATCH(C5,'C_jama.2024.0318'!$A$2:$A$7,0))="","",INDEX('C_jama.2024.0318'!$J$2:$J$7,MATCH(C5,'C_jama.2024.0318'!$A$2:$A$7,0))),"not_applicable"),"")</f>
        <v/>
      </c>
      <c r="P5" s="16">
        <f>IFERROR(IF(AND(K5="retain",OR(L5="report_internal_inconsistency",L5="plan_material")),IF(INDEX('C_jama.2024.0318'!$K$2:$K$7,MATCH(C5,'C_jama.2024.0318'!$A$2:$A$7,0))="","",INDEX('C_jama.2024.0318'!$K$2:$K$7,MATCH(C5,'C_jama.2024.0318'!$A$2:$A$7,0))),"not_applicable"),"")</f>
        <v/>
      </c>
      <c r="Q5" s="16">
        <f>IFERROR(IF(AND(K5="retain",L5="protocol_report"),IF(INDEX('C_jama.2024.0318'!$L$2:$L$7,MATCH(C5,'C_jama.2024.0318'!$A$2:$A$7,0))="","",INDEX('C_jama.2024.0318'!$L$2:$L$7,MATCH(C5,'C_jama.2024.0318'!$A$2:$A$7,0))),"not_applicable"),"")</f>
        <v/>
      </c>
      <c r="R5" s="16">
        <f>IFERROR(IF(INDEX('C_jama.2024.0318'!$R$2:$R$7,MATCH(C5,'C_jama.2024.0318'!$A$2:$A$7,0))="","",INDEX('C_jama.2024.0318'!$R$2:$R$7,MATCH(C5,'C_jama.2024.0318'!$A$2:$A$7,0))),"")</f>
        <v/>
      </c>
    </row>
    <row r="6" ht="75" customFormat="1" customHeight="1" s="8">
      <c r="A6" s="15" t="n">
        <v>2024</v>
      </c>
      <c r="B6" s="15" t="inlineStr">
        <is>
          <t>jama.2024.0318</t>
        </is>
      </c>
      <c r="C6" s="15" t="inlineStr">
        <is>
          <t>2024::jama.2024.0318::C005</t>
        </is>
      </c>
      <c r="D6" s="15" t="inlineStr">
        <is>
          <t>S_W</t>
        </is>
      </c>
      <c r="E6" s="15">
        <f>Setup!$B$4</f>
        <v/>
      </c>
      <c r="F6" s="15">
        <f>IF(Setup!$B$2="","",Setup!$B$2)</f>
        <v/>
      </c>
      <c r="G6" s="15">
        <f>IFERROR(INDEX('C_jama.2024.0318'!$G$2:$G$7,MATCH(C6,'C_jama.2024.0318'!$A$2:$A$7,0)),"CHECK KEY")</f>
        <v/>
      </c>
      <c r="H6" s="15">
        <f>IF(OR(G6&lt;&gt;"PRIMARY READY",K6="discuss"),"",IF(K6&lt;&gt;"retain","not_eligible",IF(D6="P_R","protocol_descriptive",IF(D6="P_P","plan_descriptive",IF(AND(OR(D6="S_C",D6="S_W"),L6="statistical_results",OR(M6="confirmed_issue",M6="probable_issue"),N6="substantive"),"primary_temporal",IF(AND(OR(D6="S_C",D6="S_W"),L6="report_internal_inconsistency",P6="substantive_inconsistency"),"secondary_temporal","not_eligible"))))))</f>
        <v/>
      </c>
      <c r="I6" s="15" t="inlineStr">
        <is>
          <t>retain</t>
        </is>
      </c>
      <c r="J6" s="15" t="inlineStr">
        <is>
          <t>statistical_results</t>
        </is>
      </c>
      <c r="K6" s="15">
        <f>IFERROR(IF(INDEX('C_jama.2024.0318'!$D$2:$D$7,MATCH(C6,'C_jama.2024.0318'!$A$2:$A$7,0))="","",INDEX('C_jama.2024.0318'!$D$2:$D$7,MATCH(C6,'C_jama.2024.0318'!$A$2:$A$7,0))),"")</f>
        <v/>
      </c>
      <c r="L6" s="15">
        <f>IFERROR(IF(INDEX('C_jama.2024.0318'!$E$2:$E$7,MATCH(C6,'C_jama.2024.0318'!$A$2:$A$7,0))="","",INDEX('C_jama.2024.0318'!$E$2:$E$7,MATCH(C6,'C_jama.2024.0318'!$A$2:$A$7,0))),"")</f>
        <v/>
      </c>
      <c r="M6" s="15">
        <f>IFERROR(IF(AND(K6="retain",L6="statistical_results"),IF(INDEX('C_jama.2024.0318'!$H$2:$H$7,MATCH(C6,'C_jama.2024.0318'!$A$2:$A$7,0))="","",INDEX('C_jama.2024.0318'!$H$2:$H$7,MATCH(C6,'C_jama.2024.0318'!$A$2:$A$7,0))),"not_applicable"),"")</f>
        <v/>
      </c>
      <c r="N6" s="15">
        <f>IFERROR(IF(AND(K6="retain",L6="statistical_results"),IF(INDEX('C_jama.2024.0318'!$I$2:$I$7,MATCH(C6,'C_jama.2024.0318'!$A$2:$A$7,0))="","",INDEX('C_jama.2024.0318'!$I$2:$I$7,MATCH(C6,'C_jama.2024.0318'!$A$2:$A$7,0))),"not_applicable"),"")</f>
        <v/>
      </c>
      <c r="O6" s="15">
        <f>IFERROR(IF(AND(K6="retain",L6="statistical_results"),IF(INDEX('C_jama.2024.0318'!$J$2:$J$7,MATCH(C6,'C_jama.2024.0318'!$A$2:$A$7,0))="","",INDEX('C_jama.2024.0318'!$J$2:$J$7,MATCH(C6,'C_jama.2024.0318'!$A$2:$A$7,0))),"not_applicable"),"")</f>
        <v/>
      </c>
      <c r="P6" s="15">
        <f>IFERROR(IF(AND(K6="retain",OR(L6="report_internal_inconsistency",L6="plan_material")),IF(INDEX('C_jama.2024.0318'!$K$2:$K$7,MATCH(C6,'C_jama.2024.0318'!$A$2:$A$7,0))="","",INDEX('C_jama.2024.0318'!$K$2:$K$7,MATCH(C6,'C_jama.2024.0318'!$A$2:$A$7,0))),"not_applicable"),"")</f>
        <v/>
      </c>
      <c r="Q6" s="15">
        <f>IFERROR(IF(AND(K6="retain",L6="protocol_report"),IF(INDEX('C_jama.2024.0318'!$L$2:$L$7,MATCH(C6,'C_jama.2024.0318'!$A$2:$A$7,0))="","",INDEX('C_jama.2024.0318'!$L$2:$L$7,MATCH(C6,'C_jama.2024.0318'!$A$2:$A$7,0))),"not_applicable"),"")</f>
        <v/>
      </c>
      <c r="R6" s="15">
        <f>IFERROR(IF(INDEX('C_jama.2024.0318'!$R$2:$R$7,MATCH(C6,'C_jama.2024.0318'!$A$2:$A$7,0))="","",INDEX('C_jama.2024.0318'!$R$2:$R$7,MATCH(C6,'C_jama.2024.0318'!$A$2:$A$7,0))),"")</f>
        <v/>
      </c>
    </row>
    <row r="7" ht="75" customFormat="1" customHeight="1" s="8">
      <c r="A7" s="16" t="n">
        <v>2024</v>
      </c>
      <c r="B7" s="16" t="inlineStr">
        <is>
          <t>jama.2024.0318</t>
        </is>
      </c>
      <c r="C7" s="16" t="inlineStr">
        <is>
          <t>2024::jama.2024.0318::C006</t>
        </is>
      </c>
      <c r="D7" s="16" t="inlineStr">
        <is>
          <t>S_C</t>
        </is>
      </c>
      <c r="E7" s="16">
        <f>Setup!$B$4</f>
        <v/>
      </c>
      <c r="F7" s="16">
        <f>IF(Setup!$B$2="","",Setup!$B$2)</f>
        <v/>
      </c>
      <c r="G7" s="16">
        <f>IFERROR(INDEX('C_jama.2024.0318'!$G$2:$G$7,MATCH(C7,'C_jama.2024.0318'!$A$2:$A$7,0)),"CHECK KEY")</f>
        <v/>
      </c>
      <c r="H7" s="16">
        <f>IF(OR(G7&lt;&gt;"PRIMARY READY",K7="discuss"),"",IF(K7&lt;&gt;"retain","not_eligible",IF(D7="P_R","protocol_descriptive",IF(D7="P_P","plan_descriptive",IF(AND(OR(D7="S_C",D7="S_W"),L7="statistical_results",OR(M7="confirmed_issue",M7="probable_issue"),N7="substantive"),"primary_temporal",IF(AND(OR(D7="S_C",D7="S_W"),L7="report_internal_inconsistency",P7="substantive_inconsistency"),"secondary_temporal","not_eligible"))))))</f>
        <v/>
      </c>
      <c r="I7" s="16" t="inlineStr">
        <is>
          <t>retain</t>
        </is>
      </c>
      <c r="J7" s="16" t="inlineStr">
        <is>
          <t>report_internal_inconsistency</t>
        </is>
      </c>
      <c r="K7" s="16">
        <f>IFERROR(IF(INDEX('C_jama.2024.0318'!$D$2:$D$7,MATCH(C7,'C_jama.2024.0318'!$A$2:$A$7,0))="","",INDEX('C_jama.2024.0318'!$D$2:$D$7,MATCH(C7,'C_jama.2024.0318'!$A$2:$A$7,0))),"")</f>
        <v/>
      </c>
      <c r="L7" s="16">
        <f>IFERROR(IF(INDEX('C_jama.2024.0318'!$E$2:$E$7,MATCH(C7,'C_jama.2024.0318'!$A$2:$A$7,0))="","",INDEX('C_jama.2024.0318'!$E$2:$E$7,MATCH(C7,'C_jama.2024.0318'!$A$2:$A$7,0))),"")</f>
        <v/>
      </c>
      <c r="M7" s="16">
        <f>IFERROR(IF(AND(K7="retain",L7="statistical_results"),IF(INDEX('C_jama.2024.0318'!$H$2:$H$7,MATCH(C7,'C_jama.2024.0318'!$A$2:$A$7,0))="","",INDEX('C_jama.2024.0318'!$H$2:$H$7,MATCH(C7,'C_jama.2024.0318'!$A$2:$A$7,0))),"not_applicable"),"")</f>
        <v/>
      </c>
      <c r="N7" s="16">
        <f>IFERROR(IF(AND(K7="retain",L7="statistical_results"),IF(INDEX('C_jama.2024.0318'!$I$2:$I$7,MATCH(C7,'C_jama.2024.0318'!$A$2:$A$7,0))="","",INDEX('C_jama.2024.0318'!$I$2:$I$7,MATCH(C7,'C_jama.2024.0318'!$A$2:$A$7,0))),"not_applicable"),"")</f>
        <v/>
      </c>
      <c r="O7" s="16">
        <f>IFERROR(IF(AND(K7="retain",L7="statistical_results"),IF(INDEX('C_jama.2024.0318'!$J$2:$J$7,MATCH(C7,'C_jama.2024.0318'!$A$2:$A$7,0))="","",INDEX('C_jama.2024.0318'!$J$2:$J$7,MATCH(C7,'C_jama.2024.0318'!$A$2:$A$7,0))),"not_applicable"),"")</f>
        <v/>
      </c>
      <c r="P7" s="16">
        <f>IFERROR(IF(AND(K7="retain",OR(L7="report_internal_inconsistency",L7="plan_material")),IF(INDEX('C_jama.2024.0318'!$K$2:$K$7,MATCH(C7,'C_jama.2024.0318'!$A$2:$A$7,0))="","",INDEX('C_jama.2024.0318'!$K$2:$K$7,MATCH(C7,'C_jama.2024.0318'!$A$2:$A$7,0))),"not_applicable"),"")</f>
        <v/>
      </c>
      <c r="Q7" s="16">
        <f>IFERROR(IF(AND(K7="retain",L7="protocol_report"),IF(INDEX('C_jama.2024.0318'!$L$2:$L$7,MATCH(C7,'C_jama.2024.0318'!$A$2:$A$7,0))="","",INDEX('C_jama.2024.0318'!$L$2:$L$7,MATCH(C7,'C_jama.2024.0318'!$A$2:$A$7,0))),"not_applicable"),"")</f>
        <v/>
      </c>
      <c r="R7" s="16">
        <f>IFERROR(IF(INDEX('C_jama.2024.0318'!$R$2:$R$7,MATCH(C7,'C_jama.2024.0318'!$A$2:$A$7,0))="","",INDEX('C_jama.2024.0318'!$R$2:$R$7,MATCH(C7,'C_jama.2024.0318'!$A$2:$A$7,0))),"")</f>
        <v/>
      </c>
    </row>
    <row r="8" ht="75" customFormat="1" customHeight="1" s="8">
      <c r="A8" s="15" t="n">
        <v>2024</v>
      </c>
      <c r="B8" s="15" t="inlineStr">
        <is>
          <t>jama.2024.0572</t>
        </is>
      </c>
      <c r="C8" s="15" t="inlineStr">
        <is>
          <t>2024::jama.2024.0572::C001</t>
        </is>
      </c>
      <c r="D8" s="15" t="inlineStr">
        <is>
          <t>S_C</t>
        </is>
      </c>
      <c r="E8" s="15">
        <f>Setup!$B$4</f>
        <v/>
      </c>
      <c r="F8" s="15">
        <f>IF(Setup!$B$2="","",Setup!$B$2)</f>
        <v/>
      </c>
      <c r="G8" s="15">
        <f>IFERROR(INDEX('C_jama.2024.0572'!$G$2:$G$3,MATCH(C8,'C_jama.2024.0572'!$A$2:$A$3,0)),"CHECK KEY")</f>
        <v/>
      </c>
      <c r="H8" s="15">
        <f>IF(OR(G8&lt;&gt;"PRIMARY READY",K8="discuss"),"",IF(K8&lt;&gt;"retain","not_eligible",IF(D8="P_R","protocol_descriptive",IF(D8="P_P","plan_descriptive",IF(AND(OR(D8="S_C",D8="S_W"),L8="statistical_results",OR(M8="confirmed_issue",M8="probable_issue"),N8="substantive"),"primary_temporal",IF(AND(OR(D8="S_C",D8="S_W"),L8="report_internal_inconsistency",P8="substantive_inconsistency"),"secondary_temporal","not_eligible"))))))</f>
        <v/>
      </c>
      <c r="I8" s="15" t="inlineStr">
        <is>
          <t>retain</t>
        </is>
      </c>
      <c r="J8" s="15" t="inlineStr">
        <is>
          <t>report_internal_inconsistency</t>
        </is>
      </c>
      <c r="K8" s="15">
        <f>IFERROR(IF(INDEX('C_jama.2024.0572'!$D$2:$D$3,MATCH(C8,'C_jama.2024.0572'!$A$2:$A$3,0))="","",INDEX('C_jama.2024.0572'!$D$2:$D$3,MATCH(C8,'C_jama.2024.0572'!$A$2:$A$3,0))),"")</f>
        <v/>
      </c>
      <c r="L8" s="15">
        <f>IFERROR(IF(INDEX('C_jama.2024.0572'!$E$2:$E$3,MATCH(C8,'C_jama.2024.0572'!$A$2:$A$3,0))="","",INDEX('C_jama.2024.0572'!$E$2:$E$3,MATCH(C8,'C_jama.2024.0572'!$A$2:$A$3,0))),"")</f>
        <v/>
      </c>
      <c r="M8" s="15">
        <f>IFERROR(IF(AND(K8="retain",L8="statistical_results"),IF(INDEX('C_jama.2024.0572'!$H$2:$H$3,MATCH(C8,'C_jama.2024.0572'!$A$2:$A$3,0))="","",INDEX('C_jama.2024.0572'!$H$2:$H$3,MATCH(C8,'C_jama.2024.0572'!$A$2:$A$3,0))),"not_applicable"),"")</f>
        <v/>
      </c>
      <c r="N8" s="15">
        <f>IFERROR(IF(AND(K8="retain",L8="statistical_results"),IF(INDEX('C_jama.2024.0572'!$I$2:$I$3,MATCH(C8,'C_jama.2024.0572'!$A$2:$A$3,0))="","",INDEX('C_jama.2024.0572'!$I$2:$I$3,MATCH(C8,'C_jama.2024.0572'!$A$2:$A$3,0))),"not_applicable"),"")</f>
        <v/>
      </c>
      <c r="O8" s="15">
        <f>IFERROR(IF(AND(K8="retain",L8="statistical_results"),IF(INDEX('C_jama.2024.0572'!$J$2:$J$3,MATCH(C8,'C_jama.2024.0572'!$A$2:$A$3,0))="","",INDEX('C_jama.2024.0572'!$J$2:$J$3,MATCH(C8,'C_jama.2024.0572'!$A$2:$A$3,0))),"not_applicable"),"")</f>
        <v/>
      </c>
      <c r="P8" s="15">
        <f>IFERROR(IF(AND(K8="retain",OR(L8="report_internal_inconsistency",L8="plan_material")),IF(INDEX('C_jama.2024.0572'!$K$2:$K$3,MATCH(C8,'C_jama.2024.0572'!$A$2:$A$3,0))="","",INDEX('C_jama.2024.0572'!$K$2:$K$3,MATCH(C8,'C_jama.2024.0572'!$A$2:$A$3,0))),"not_applicable"),"")</f>
        <v/>
      </c>
      <c r="Q8" s="15">
        <f>IFERROR(IF(AND(K8="retain",L8="protocol_report"),IF(INDEX('C_jama.2024.0572'!$L$2:$L$3,MATCH(C8,'C_jama.2024.0572'!$A$2:$A$3,0))="","",INDEX('C_jama.2024.0572'!$L$2:$L$3,MATCH(C8,'C_jama.2024.0572'!$A$2:$A$3,0))),"not_applicable"),"")</f>
        <v/>
      </c>
      <c r="R8" s="15">
        <f>IFERROR(IF(INDEX('C_jama.2024.0572'!$R$2:$R$3,MATCH(C8,'C_jama.2024.0572'!$A$2:$A$3,0))="","",INDEX('C_jama.2024.0572'!$R$2:$R$3,MATCH(C8,'C_jama.2024.0572'!$A$2:$A$3,0))),"")</f>
        <v/>
      </c>
    </row>
    <row r="9" ht="75" customFormat="1" customHeight="1" s="8">
      <c r="A9" s="16" t="n">
        <v>2024</v>
      </c>
      <c r="B9" s="16" t="inlineStr">
        <is>
          <t>jama.2024.0572</t>
        </is>
      </c>
      <c r="C9" s="16" t="inlineStr">
        <is>
          <t>2024::jama.2024.0572::C002</t>
        </is>
      </c>
      <c r="D9" s="16" t="inlineStr">
        <is>
          <t>S_W</t>
        </is>
      </c>
      <c r="E9" s="16">
        <f>Setup!$B$4</f>
        <v/>
      </c>
      <c r="F9" s="16">
        <f>IF(Setup!$B$2="","",Setup!$B$2)</f>
        <v/>
      </c>
      <c r="G9" s="16">
        <f>IFERROR(INDEX('C_jama.2024.0572'!$G$2:$G$3,MATCH(C9,'C_jama.2024.0572'!$A$2:$A$3,0)),"CHECK KEY")</f>
        <v/>
      </c>
      <c r="H9" s="16">
        <f>IF(OR(G9&lt;&gt;"PRIMARY READY",K9="discuss"),"",IF(K9&lt;&gt;"retain","not_eligible",IF(D9="P_R","protocol_descriptive",IF(D9="P_P","plan_descriptive",IF(AND(OR(D9="S_C",D9="S_W"),L9="statistical_results",OR(M9="confirmed_issue",M9="probable_issue"),N9="substantive"),"primary_temporal",IF(AND(OR(D9="S_C",D9="S_W"),L9="report_internal_inconsistency",P9="substantive_inconsistency"),"secondary_temporal","not_eligible"))))))</f>
        <v/>
      </c>
      <c r="I9" s="16" t="inlineStr">
        <is>
          <t>retain</t>
        </is>
      </c>
      <c r="J9" s="16" t="inlineStr">
        <is>
          <t>report_internal_inconsistency</t>
        </is>
      </c>
      <c r="K9" s="16">
        <f>IFERROR(IF(INDEX('C_jama.2024.0572'!$D$2:$D$3,MATCH(C9,'C_jama.2024.0572'!$A$2:$A$3,0))="","",INDEX('C_jama.2024.0572'!$D$2:$D$3,MATCH(C9,'C_jama.2024.0572'!$A$2:$A$3,0))),"")</f>
        <v/>
      </c>
      <c r="L9" s="16">
        <f>IFERROR(IF(INDEX('C_jama.2024.0572'!$E$2:$E$3,MATCH(C9,'C_jama.2024.0572'!$A$2:$A$3,0))="","",INDEX('C_jama.2024.0572'!$E$2:$E$3,MATCH(C9,'C_jama.2024.0572'!$A$2:$A$3,0))),"")</f>
        <v/>
      </c>
      <c r="M9" s="16">
        <f>IFERROR(IF(AND(K9="retain",L9="statistical_results"),IF(INDEX('C_jama.2024.0572'!$H$2:$H$3,MATCH(C9,'C_jama.2024.0572'!$A$2:$A$3,0))="","",INDEX('C_jama.2024.0572'!$H$2:$H$3,MATCH(C9,'C_jama.2024.0572'!$A$2:$A$3,0))),"not_applicable"),"")</f>
        <v/>
      </c>
      <c r="N9" s="16">
        <f>IFERROR(IF(AND(K9="retain",L9="statistical_results"),IF(INDEX('C_jama.2024.0572'!$I$2:$I$3,MATCH(C9,'C_jama.2024.0572'!$A$2:$A$3,0))="","",INDEX('C_jama.2024.0572'!$I$2:$I$3,MATCH(C9,'C_jama.2024.0572'!$A$2:$A$3,0))),"not_applicable"),"")</f>
        <v/>
      </c>
      <c r="O9" s="16">
        <f>IFERROR(IF(AND(K9="retain",L9="statistical_results"),IF(INDEX('C_jama.2024.0572'!$J$2:$J$3,MATCH(C9,'C_jama.2024.0572'!$A$2:$A$3,0))="","",INDEX('C_jama.2024.0572'!$J$2:$J$3,MATCH(C9,'C_jama.2024.0572'!$A$2:$A$3,0))),"not_applicable"),"")</f>
        <v/>
      </c>
      <c r="P9" s="16">
        <f>IFERROR(IF(AND(K9="retain",OR(L9="report_internal_inconsistency",L9="plan_material")),IF(INDEX('C_jama.2024.0572'!$K$2:$K$3,MATCH(C9,'C_jama.2024.0572'!$A$2:$A$3,0))="","",INDEX('C_jama.2024.0572'!$K$2:$K$3,MATCH(C9,'C_jama.2024.0572'!$A$2:$A$3,0))),"not_applicable"),"")</f>
        <v/>
      </c>
      <c r="Q9" s="16">
        <f>IFERROR(IF(AND(K9="retain",L9="protocol_report"),IF(INDEX('C_jama.2024.0572'!$L$2:$L$3,MATCH(C9,'C_jama.2024.0572'!$A$2:$A$3,0))="","",INDEX('C_jama.2024.0572'!$L$2:$L$3,MATCH(C9,'C_jama.2024.0572'!$A$2:$A$3,0))),"not_applicable"),"")</f>
        <v/>
      </c>
      <c r="R9" s="16">
        <f>IFERROR(IF(INDEX('C_jama.2024.0572'!$R$2:$R$3,MATCH(C9,'C_jama.2024.0572'!$A$2:$A$3,0))="","",INDEX('C_jama.2024.0572'!$R$2:$R$3,MATCH(C9,'C_jama.2024.0572'!$A$2:$A$3,0))),"")</f>
        <v/>
      </c>
    </row>
    <row r="10" ht="75" customFormat="1" customHeight="1" s="8">
      <c r="A10" s="15" t="n">
        <v>2024</v>
      </c>
      <c r="B10" s="15" t="inlineStr">
        <is>
          <t>jama.2024.11057</t>
        </is>
      </c>
      <c r="C10" s="15" t="inlineStr">
        <is>
          <t>2024::jama.2024.11057::C001</t>
        </is>
      </c>
      <c r="D10" s="15" t="inlineStr">
        <is>
          <t>P_R</t>
        </is>
      </c>
      <c r="E10" s="15">
        <f>Setup!$B$4</f>
        <v/>
      </c>
      <c r="F10" s="15">
        <f>IF(Setup!$B$2="","",Setup!$B$2)</f>
        <v/>
      </c>
      <c r="G10" s="15">
        <f>IFERROR(INDEX('C_jama.2024.11057'!$G$2:$G$4,MATCH(C10,'C_jama.2024.11057'!$A$2:$A$4,0)),"CHECK KEY")</f>
        <v/>
      </c>
      <c r="H10" s="15">
        <f>IF(OR(G10&lt;&gt;"PRIMARY READY",K10="discuss"),"",IF(K10&lt;&gt;"retain","not_eligible",IF(D10="P_R","protocol_descriptive",IF(D10="P_P","plan_descriptive",IF(AND(OR(D10="S_C",D10="S_W"),L10="statistical_results",OR(M10="confirmed_issue",M10="probable_issue"),N10="substantive"),"primary_temporal",IF(AND(OR(D10="S_C",D10="S_W"),L10="report_internal_inconsistency",P10="substantive_inconsistency"),"secondary_temporal","not_eligible"))))))</f>
        <v/>
      </c>
      <c r="I10" s="15" t="inlineStr">
        <is>
          <t>retain</t>
        </is>
      </c>
      <c r="J10" s="15" t="inlineStr">
        <is>
          <t>protocol_report</t>
        </is>
      </c>
      <c r="K10" s="15">
        <f>IFERROR(IF(INDEX('C_jama.2024.11057'!$D$2:$D$4,MATCH(C10,'C_jama.2024.11057'!$A$2:$A$4,0))="","",INDEX('C_jama.2024.11057'!$D$2:$D$4,MATCH(C10,'C_jama.2024.11057'!$A$2:$A$4,0))),"")</f>
        <v/>
      </c>
      <c r="L10" s="15">
        <f>IFERROR(IF(INDEX('C_jama.2024.11057'!$E$2:$E$4,MATCH(C10,'C_jama.2024.11057'!$A$2:$A$4,0))="","",INDEX('C_jama.2024.11057'!$E$2:$E$4,MATCH(C10,'C_jama.2024.11057'!$A$2:$A$4,0))),"")</f>
        <v/>
      </c>
      <c r="M10" s="15">
        <f>IFERROR(IF(AND(K10="retain",L10="statistical_results"),IF(INDEX('C_jama.2024.11057'!$H$2:$H$4,MATCH(C10,'C_jama.2024.11057'!$A$2:$A$4,0))="","",INDEX('C_jama.2024.11057'!$H$2:$H$4,MATCH(C10,'C_jama.2024.11057'!$A$2:$A$4,0))),"not_applicable"),"")</f>
        <v/>
      </c>
      <c r="N10" s="15">
        <f>IFERROR(IF(AND(K10="retain",L10="statistical_results"),IF(INDEX('C_jama.2024.11057'!$I$2:$I$4,MATCH(C10,'C_jama.2024.11057'!$A$2:$A$4,0))="","",INDEX('C_jama.2024.11057'!$I$2:$I$4,MATCH(C10,'C_jama.2024.11057'!$A$2:$A$4,0))),"not_applicable"),"")</f>
        <v/>
      </c>
      <c r="O10" s="15">
        <f>IFERROR(IF(AND(K10="retain",L10="statistical_results"),IF(INDEX('C_jama.2024.11057'!$J$2:$J$4,MATCH(C10,'C_jama.2024.11057'!$A$2:$A$4,0))="","",INDEX('C_jama.2024.11057'!$J$2:$J$4,MATCH(C10,'C_jama.2024.11057'!$A$2:$A$4,0))),"not_applicable"),"")</f>
        <v/>
      </c>
      <c r="P10" s="15">
        <f>IFERROR(IF(AND(K10="retain",OR(L10="report_internal_inconsistency",L10="plan_material")),IF(INDEX('C_jama.2024.11057'!$K$2:$K$4,MATCH(C10,'C_jama.2024.11057'!$A$2:$A$4,0))="","",INDEX('C_jama.2024.11057'!$K$2:$K$4,MATCH(C10,'C_jama.2024.11057'!$A$2:$A$4,0))),"not_applicable"),"")</f>
        <v/>
      </c>
      <c r="Q10" s="15">
        <f>IFERROR(IF(AND(K10="retain",L10="protocol_report"),IF(INDEX('C_jama.2024.11057'!$L$2:$L$4,MATCH(C10,'C_jama.2024.11057'!$A$2:$A$4,0))="","",INDEX('C_jama.2024.11057'!$L$2:$L$4,MATCH(C10,'C_jama.2024.11057'!$A$2:$A$4,0))),"not_applicable"),"")</f>
        <v/>
      </c>
      <c r="R10" s="15">
        <f>IFERROR(IF(INDEX('C_jama.2024.11057'!$R$2:$R$4,MATCH(C10,'C_jama.2024.11057'!$A$2:$A$4,0))="","",INDEX('C_jama.2024.11057'!$R$2:$R$4,MATCH(C10,'C_jama.2024.11057'!$A$2:$A$4,0))),"")</f>
        <v/>
      </c>
    </row>
    <row r="11" ht="75" customFormat="1" customHeight="1" s="8">
      <c r="A11" s="16" t="n">
        <v>2024</v>
      </c>
      <c r="B11" s="16" t="inlineStr">
        <is>
          <t>jama.2024.11057</t>
        </is>
      </c>
      <c r="C11" s="16" t="inlineStr">
        <is>
          <t>2024::jama.2024.11057::C002</t>
        </is>
      </c>
      <c r="D11" s="16" t="inlineStr">
        <is>
          <t>S_W</t>
        </is>
      </c>
      <c r="E11" s="16">
        <f>Setup!$B$4</f>
        <v/>
      </c>
      <c r="F11" s="16">
        <f>IF(Setup!$B$2="","",Setup!$B$2)</f>
        <v/>
      </c>
      <c r="G11" s="16">
        <f>IFERROR(INDEX('C_jama.2024.11057'!$G$2:$G$4,MATCH(C11,'C_jama.2024.11057'!$A$2:$A$4,0)),"CHECK KEY")</f>
        <v/>
      </c>
      <c r="H11" s="16">
        <f>IF(OR(G11&lt;&gt;"PRIMARY READY",K11="discuss"),"",IF(K11&lt;&gt;"retain","not_eligible",IF(D11="P_R","protocol_descriptive",IF(D11="P_P","plan_descriptive",IF(AND(OR(D11="S_C",D11="S_W"),L11="statistical_results",OR(M11="confirmed_issue",M11="probable_issue"),N11="substantive"),"primary_temporal",IF(AND(OR(D11="S_C",D11="S_W"),L11="report_internal_inconsistency",P11="substantive_inconsistency"),"secondary_temporal","not_eligible"))))))</f>
        <v/>
      </c>
      <c r="I11" s="16" t="inlineStr">
        <is>
          <t>retain</t>
        </is>
      </c>
      <c r="J11" s="16" t="inlineStr">
        <is>
          <t>report_internal_inconsistency</t>
        </is>
      </c>
      <c r="K11" s="16">
        <f>IFERROR(IF(INDEX('C_jama.2024.11057'!$D$2:$D$4,MATCH(C11,'C_jama.2024.11057'!$A$2:$A$4,0))="","",INDEX('C_jama.2024.11057'!$D$2:$D$4,MATCH(C11,'C_jama.2024.11057'!$A$2:$A$4,0))),"")</f>
        <v/>
      </c>
      <c r="L11" s="16">
        <f>IFERROR(IF(INDEX('C_jama.2024.11057'!$E$2:$E$4,MATCH(C11,'C_jama.2024.11057'!$A$2:$A$4,0))="","",INDEX('C_jama.2024.11057'!$E$2:$E$4,MATCH(C11,'C_jama.2024.11057'!$A$2:$A$4,0))),"")</f>
        <v/>
      </c>
      <c r="M11" s="16">
        <f>IFERROR(IF(AND(K11="retain",L11="statistical_results"),IF(INDEX('C_jama.2024.11057'!$H$2:$H$4,MATCH(C11,'C_jama.2024.11057'!$A$2:$A$4,0))="","",INDEX('C_jama.2024.11057'!$H$2:$H$4,MATCH(C11,'C_jama.2024.11057'!$A$2:$A$4,0))),"not_applicable"),"")</f>
        <v/>
      </c>
      <c r="N11" s="16">
        <f>IFERROR(IF(AND(K11="retain",L11="statistical_results"),IF(INDEX('C_jama.2024.11057'!$I$2:$I$4,MATCH(C11,'C_jama.2024.11057'!$A$2:$A$4,0))="","",INDEX('C_jama.2024.11057'!$I$2:$I$4,MATCH(C11,'C_jama.2024.11057'!$A$2:$A$4,0))),"not_applicable"),"")</f>
        <v/>
      </c>
      <c r="O11" s="16">
        <f>IFERROR(IF(AND(K11="retain",L11="statistical_results"),IF(INDEX('C_jama.2024.11057'!$J$2:$J$4,MATCH(C11,'C_jama.2024.11057'!$A$2:$A$4,0))="","",INDEX('C_jama.2024.11057'!$J$2:$J$4,MATCH(C11,'C_jama.2024.11057'!$A$2:$A$4,0))),"not_applicable"),"")</f>
        <v/>
      </c>
      <c r="P11" s="16">
        <f>IFERROR(IF(AND(K11="retain",OR(L11="report_internal_inconsistency",L11="plan_material")),IF(INDEX('C_jama.2024.11057'!$K$2:$K$4,MATCH(C11,'C_jama.2024.11057'!$A$2:$A$4,0))="","",INDEX('C_jama.2024.11057'!$K$2:$K$4,MATCH(C11,'C_jama.2024.11057'!$A$2:$A$4,0))),"not_applicable"),"")</f>
        <v/>
      </c>
      <c r="Q11" s="16">
        <f>IFERROR(IF(AND(K11="retain",L11="protocol_report"),IF(INDEX('C_jama.2024.11057'!$L$2:$L$4,MATCH(C11,'C_jama.2024.11057'!$A$2:$A$4,0))="","",INDEX('C_jama.2024.11057'!$L$2:$L$4,MATCH(C11,'C_jama.2024.11057'!$A$2:$A$4,0))),"not_applicable"),"")</f>
        <v/>
      </c>
      <c r="R11" s="16">
        <f>IFERROR(IF(INDEX('C_jama.2024.11057'!$R$2:$R$4,MATCH(C11,'C_jama.2024.11057'!$A$2:$A$4,0))="","",INDEX('C_jama.2024.11057'!$R$2:$R$4,MATCH(C11,'C_jama.2024.11057'!$A$2:$A$4,0))),"")</f>
        <v/>
      </c>
    </row>
    <row r="12" ht="75" customFormat="1" customHeight="1" s="8">
      <c r="A12" s="15" t="n">
        <v>2024</v>
      </c>
      <c r="B12" s="15" t="inlineStr">
        <is>
          <t>jama.2024.11057</t>
        </is>
      </c>
      <c r="C12" s="15" t="inlineStr">
        <is>
          <t>2024::jama.2024.11057::C003</t>
        </is>
      </c>
      <c r="D12" s="15" t="inlineStr">
        <is>
          <t>S_W</t>
        </is>
      </c>
      <c r="E12" s="15">
        <f>Setup!$B$4</f>
        <v/>
      </c>
      <c r="F12" s="15">
        <f>IF(Setup!$B$2="","",Setup!$B$2)</f>
        <v/>
      </c>
      <c r="G12" s="15">
        <f>IFERROR(INDEX('C_jama.2024.11057'!$G$2:$G$4,MATCH(C12,'C_jama.2024.11057'!$A$2:$A$4,0)),"CHECK KEY")</f>
        <v/>
      </c>
      <c r="H12" s="15">
        <f>IF(OR(G12&lt;&gt;"PRIMARY READY",K12="discuss"),"",IF(K12&lt;&gt;"retain","not_eligible",IF(D12="P_R","protocol_descriptive",IF(D12="P_P","plan_descriptive",IF(AND(OR(D12="S_C",D12="S_W"),L12="statistical_results",OR(M12="confirmed_issue",M12="probable_issue"),N12="substantive"),"primary_temporal",IF(AND(OR(D12="S_C",D12="S_W"),L12="report_internal_inconsistency",P12="substantive_inconsistency"),"secondary_temporal","not_eligible"))))))</f>
        <v/>
      </c>
      <c r="I12" s="15" t="inlineStr">
        <is>
          <t>retain</t>
        </is>
      </c>
      <c r="J12" s="15" t="inlineStr">
        <is>
          <t>report_internal_inconsistency</t>
        </is>
      </c>
      <c r="K12" s="15">
        <f>IFERROR(IF(INDEX('C_jama.2024.11057'!$D$2:$D$4,MATCH(C12,'C_jama.2024.11057'!$A$2:$A$4,0))="","",INDEX('C_jama.2024.11057'!$D$2:$D$4,MATCH(C12,'C_jama.2024.11057'!$A$2:$A$4,0))),"")</f>
        <v/>
      </c>
      <c r="L12" s="15">
        <f>IFERROR(IF(INDEX('C_jama.2024.11057'!$E$2:$E$4,MATCH(C12,'C_jama.2024.11057'!$A$2:$A$4,0))="","",INDEX('C_jama.2024.11057'!$E$2:$E$4,MATCH(C12,'C_jama.2024.11057'!$A$2:$A$4,0))),"")</f>
        <v/>
      </c>
      <c r="M12" s="15">
        <f>IFERROR(IF(AND(K12="retain",L12="statistical_results"),IF(INDEX('C_jama.2024.11057'!$H$2:$H$4,MATCH(C12,'C_jama.2024.11057'!$A$2:$A$4,0))="","",INDEX('C_jama.2024.11057'!$H$2:$H$4,MATCH(C12,'C_jama.2024.11057'!$A$2:$A$4,0))),"not_applicable"),"")</f>
        <v/>
      </c>
      <c r="N12" s="15">
        <f>IFERROR(IF(AND(K12="retain",L12="statistical_results"),IF(INDEX('C_jama.2024.11057'!$I$2:$I$4,MATCH(C12,'C_jama.2024.11057'!$A$2:$A$4,0))="","",INDEX('C_jama.2024.11057'!$I$2:$I$4,MATCH(C12,'C_jama.2024.11057'!$A$2:$A$4,0))),"not_applicable"),"")</f>
        <v/>
      </c>
      <c r="O12" s="15">
        <f>IFERROR(IF(AND(K12="retain",L12="statistical_results"),IF(INDEX('C_jama.2024.11057'!$J$2:$J$4,MATCH(C12,'C_jama.2024.11057'!$A$2:$A$4,0))="","",INDEX('C_jama.2024.11057'!$J$2:$J$4,MATCH(C12,'C_jama.2024.11057'!$A$2:$A$4,0))),"not_applicable"),"")</f>
        <v/>
      </c>
      <c r="P12" s="15">
        <f>IFERROR(IF(AND(K12="retain",OR(L12="report_internal_inconsistency",L12="plan_material")),IF(INDEX('C_jama.2024.11057'!$K$2:$K$4,MATCH(C12,'C_jama.2024.11057'!$A$2:$A$4,0))="","",INDEX('C_jama.2024.11057'!$K$2:$K$4,MATCH(C12,'C_jama.2024.11057'!$A$2:$A$4,0))),"not_applicable"),"")</f>
        <v/>
      </c>
      <c r="Q12" s="15">
        <f>IFERROR(IF(AND(K12="retain",L12="protocol_report"),IF(INDEX('C_jama.2024.11057'!$L$2:$L$4,MATCH(C12,'C_jama.2024.11057'!$A$2:$A$4,0))="","",INDEX('C_jama.2024.11057'!$L$2:$L$4,MATCH(C12,'C_jama.2024.11057'!$A$2:$A$4,0))),"not_applicable"),"")</f>
        <v/>
      </c>
      <c r="R12" s="15">
        <f>IFERROR(IF(INDEX('C_jama.2024.11057'!$R$2:$R$4,MATCH(C12,'C_jama.2024.11057'!$A$2:$A$4,0))="","",INDEX('C_jama.2024.11057'!$R$2:$R$4,MATCH(C12,'C_jama.2024.11057'!$A$2:$A$4,0))),"")</f>
        <v/>
      </c>
    </row>
    <row r="13" ht="75" customFormat="1" customHeight="1" s="8">
      <c r="A13" s="16" t="n">
        <v>2024</v>
      </c>
      <c r="B13" s="16" t="inlineStr">
        <is>
          <t>jama.2024.12829</t>
        </is>
      </c>
      <c r="C13" s="16" t="inlineStr">
        <is>
          <t>2024::jama.2024.12829::C001</t>
        </is>
      </c>
      <c r="D13" s="16" t="inlineStr">
        <is>
          <t>S_W</t>
        </is>
      </c>
      <c r="E13" s="16">
        <f>Setup!$B$4</f>
        <v/>
      </c>
      <c r="F13" s="16">
        <f>IF(Setup!$B$2="","",Setup!$B$2)</f>
        <v/>
      </c>
      <c r="G13" s="16">
        <f>IFERROR(INDEX('C_jama.2024.12829'!$G$2:$G$18,MATCH(C13,'C_jama.2024.12829'!$A$2:$A$18,0)),"CHECK KEY")</f>
        <v/>
      </c>
      <c r="H13" s="16">
        <f>IF(OR(G13&lt;&gt;"PRIMARY READY",K13="discuss"),"",IF(K13&lt;&gt;"retain","not_eligible",IF(D13="P_R","protocol_descriptive",IF(D13="P_P","plan_descriptive",IF(AND(OR(D13="S_C",D13="S_W"),L13="statistical_results",OR(M13="confirmed_issue",M13="probable_issue"),N13="substantive"),"primary_temporal",IF(AND(OR(D13="S_C",D13="S_W"),L13="report_internal_inconsistency",P13="substantive_inconsistency"),"secondary_temporal","not_eligible"))))))</f>
        <v/>
      </c>
      <c r="I13" s="16" t="inlineStr">
        <is>
          <t>retain</t>
        </is>
      </c>
      <c r="J13" s="16" t="inlineStr">
        <is>
          <t>statistical_results</t>
        </is>
      </c>
      <c r="K13" s="16">
        <f>IFERROR(IF(INDEX('C_jama.2024.12829'!$D$2:$D$18,MATCH(C13,'C_jama.2024.12829'!$A$2:$A$18,0))="","",INDEX('C_jama.2024.12829'!$D$2:$D$18,MATCH(C13,'C_jama.2024.12829'!$A$2:$A$18,0))),"")</f>
        <v/>
      </c>
      <c r="L13" s="16">
        <f>IFERROR(IF(INDEX('C_jama.2024.12829'!$E$2:$E$18,MATCH(C13,'C_jama.2024.12829'!$A$2:$A$18,0))="","",INDEX('C_jama.2024.12829'!$E$2:$E$18,MATCH(C13,'C_jama.2024.12829'!$A$2:$A$18,0))),"")</f>
        <v/>
      </c>
      <c r="M13" s="16">
        <f>IFERROR(IF(AND(K13="retain",L13="statistical_results"),IF(INDEX('C_jama.2024.12829'!$H$2:$H$18,MATCH(C13,'C_jama.2024.12829'!$A$2:$A$18,0))="","",INDEX('C_jama.2024.12829'!$H$2:$H$18,MATCH(C13,'C_jama.2024.12829'!$A$2:$A$18,0))),"not_applicable"),"")</f>
        <v/>
      </c>
      <c r="N13" s="16">
        <f>IFERROR(IF(AND(K13="retain",L13="statistical_results"),IF(INDEX('C_jama.2024.12829'!$I$2:$I$18,MATCH(C13,'C_jama.2024.12829'!$A$2:$A$18,0))="","",INDEX('C_jama.2024.12829'!$I$2:$I$18,MATCH(C13,'C_jama.2024.12829'!$A$2:$A$18,0))),"not_applicable"),"")</f>
        <v/>
      </c>
      <c r="O13" s="16">
        <f>IFERROR(IF(AND(K13="retain",L13="statistical_results"),IF(INDEX('C_jama.2024.12829'!$J$2:$J$18,MATCH(C13,'C_jama.2024.12829'!$A$2:$A$18,0))="","",INDEX('C_jama.2024.12829'!$J$2:$J$18,MATCH(C13,'C_jama.2024.12829'!$A$2:$A$18,0))),"not_applicable"),"")</f>
        <v/>
      </c>
      <c r="P13" s="16">
        <f>IFERROR(IF(AND(K13="retain",OR(L13="report_internal_inconsistency",L13="plan_material")),IF(INDEX('C_jama.2024.12829'!$K$2:$K$18,MATCH(C13,'C_jama.2024.12829'!$A$2:$A$18,0))="","",INDEX('C_jama.2024.12829'!$K$2:$K$18,MATCH(C13,'C_jama.2024.12829'!$A$2:$A$18,0))),"not_applicable"),"")</f>
        <v/>
      </c>
      <c r="Q13" s="16">
        <f>IFERROR(IF(AND(K13="retain",L13="protocol_report"),IF(INDEX('C_jama.2024.12829'!$L$2:$L$18,MATCH(C13,'C_jama.2024.12829'!$A$2:$A$18,0))="","",INDEX('C_jama.2024.12829'!$L$2:$L$18,MATCH(C13,'C_jama.2024.12829'!$A$2:$A$18,0))),"not_applicable"),"")</f>
        <v/>
      </c>
      <c r="R13" s="16">
        <f>IFERROR(IF(INDEX('C_jama.2024.12829'!$R$2:$R$18,MATCH(C13,'C_jama.2024.12829'!$A$2:$A$18,0))="","",INDEX('C_jama.2024.12829'!$R$2:$R$18,MATCH(C13,'C_jama.2024.12829'!$A$2:$A$18,0))),"")</f>
        <v/>
      </c>
    </row>
    <row r="14" ht="75" customFormat="1" customHeight="1" s="8">
      <c r="A14" s="15" t="n">
        <v>2024</v>
      </c>
      <c r="B14" s="15" t="inlineStr">
        <is>
          <t>jama.2024.12829</t>
        </is>
      </c>
      <c r="C14" s="15" t="inlineStr">
        <is>
          <t>2024::jama.2024.12829::C002</t>
        </is>
      </c>
      <c r="D14" s="15" t="inlineStr">
        <is>
          <t>S_W</t>
        </is>
      </c>
      <c r="E14" s="15">
        <f>Setup!$B$4</f>
        <v/>
      </c>
      <c r="F14" s="15">
        <f>IF(Setup!$B$2="","",Setup!$B$2)</f>
        <v/>
      </c>
      <c r="G14" s="15">
        <f>IFERROR(INDEX('C_jama.2024.12829'!$G$2:$G$18,MATCH(C14,'C_jama.2024.12829'!$A$2:$A$18,0)),"CHECK KEY")</f>
        <v/>
      </c>
      <c r="H14" s="15">
        <f>IF(OR(G14&lt;&gt;"PRIMARY READY",K14="discuss"),"",IF(K14&lt;&gt;"retain","not_eligible",IF(D14="P_R","protocol_descriptive",IF(D14="P_P","plan_descriptive",IF(AND(OR(D14="S_C",D14="S_W"),L14="statistical_results",OR(M14="confirmed_issue",M14="probable_issue"),N14="substantive"),"primary_temporal",IF(AND(OR(D14="S_C",D14="S_W"),L14="report_internal_inconsistency",P14="substantive_inconsistency"),"secondary_temporal","not_eligible"))))))</f>
        <v/>
      </c>
      <c r="I14" s="15" t="inlineStr">
        <is>
          <t>retain</t>
        </is>
      </c>
      <c r="J14" s="15" t="inlineStr">
        <is>
          <t>statistical_results</t>
        </is>
      </c>
      <c r="K14" s="15">
        <f>IFERROR(IF(INDEX('C_jama.2024.12829'!$D$2:$D$18,MATCH(C14,'C_jama.2024.12829'!$A$2:$A$18,0))="","",INDEX('C_jama.2024.12829'!$D$2:$D$18,MATCH(C14,'C_jama.2024.12829'!$A$2:$A$18,0))),"")</f>
        <v/>
      </c>
      <c r="L14" s="15">
        <f>IFERROR(IF(INDEX('C_jama.2024.12829'!$E$2:$E$18,MATCH(C14,'C_jama.2024.12829'!$A$2:$A$18,0))="","",INDEX('C_jama.2024.12829'!$E$2:$E$18,MATCH(C14,'C_jama.2024.12829'!$A$2:$A$18,0))),"")</f>
        <v/>
      </c>
      <c r="M14" s="15">
        <f>IFERROR(IF(AND(K14="retain",L14="statistical_results"),IF(INDEX('C_jama.2024.12829'!$H$2:$H$18,MATCH(C14,'C_jama.2024.12829'!$A$2:$A$18,0))="","",INDEX('C_jama.2024.12829'!$H$2:$H$18,MATCH(C14,'C_jama.2024.12829'!$A$2:$A$18,0))),"not_applicable"),"")</f>
        <v/>
      </c>
      <c r="N14" s="15">
        <f>IFERROR(IF(AND(K14="retain",L14="statistical_results"),IF(INDEX('C_jama.2024.12829'!$I$2:$I$18,MATCH(C14,'C_jama.2024.12829'!$A$2:$A$18,0))="","",INDEX('C_jama.2024.12829'!$I$2:$I$18,MATCH(C14,'C_jama.2024.12829'!$A$2:$A$18,0))),"not_applicable"),"")</f>
        <v/>
      </c>
      <c r="O14" s="15">
        <f>IFERROR(IF(AND(K14="retain",L14="statistical_results"),IF(INDEX('C_jama.2024.12829'!$J$2:$J$18,MATCH(C14,'C_jama.2024.12829'!$A$2:$A$18,0))="","",INDEX('C_jama.2024.12829'!$J$2:$J$18,MATCH(C14,'C_jama.2024.12829'!$A$2:$A$18,0))),"not_applicable"),"")</f>
        <v/>
      </c>
      <c r="P14" s="15">
        <f>IFERROR(IF(AND(K14="retain",OR(L14="report_internal_inconsistency",L14="plan_material")),IF(INDEX('C_jama.2024.12829'!$K$2:$K$18,MATCH(C14,'C_jama.2024.12829'!$A$2:$A$18,0))="","",INDEX('C_jama.2024.12829'!$K$2:$K$18,MATCH(C14,'C_jama.2024.12829'!$A$2:$A$18,0))),"not_applicable"),"")</f>
        <v/>
      </c>
      <c r="Q14" s="15">
        <f>IFERROR(IF(AND(K14="retain",L14="protocol_report"),IF(INDEX('C_jama.2024.12829'!$L$2:$L$18,MATCH(C14,'C_jama.2024.12829'!$A$2:$A$18,0))="","",INDEX('C_jama.2024.12829'!$L$2:$L$18,MATCH(C14,'C_jama.2024.12829'!$A$2:$A$18,0))),"not_applicable"),"")</f>
        <v/>
      </c>
      <c r="R14" s="15">
        <f>IFERROR(IF(INDEX('C_jama.2024.12829'!$R$2:$R$18,MATCH(C14,'C_jama.2024.12829'!$A$2:$A$18,0))="","",INDEX('C_jama.2024.12829'!$R$2:$R$18,MATCH(C14,'C_jama.2024.12829'!$A$2:$A$18,0))),"")</f>
        <v/>
      </c>
    </row>
    <row r="15" ht="75" customFormat="1" customHeight="1" s="8">
      <c r="A15" s="16" t="n">
        <v>2024</v>
      </c>
      <c r="B15" s="16" t="inlineStr">
        <is>
          <t>jama.2024.12829</t>
        </is>
      </c>
      <c r="C15" s="16" t="inlineStr">
        <is>
          <t>2024::jama.2024.12829::C003</t>
        </is>
      </c>
      <c r="D15" s="16" t="inlineStr">
        <is>
          <t>S_W</t>
        </is>
      </c>
      <c r="E15" s="16">
        <f>Setup!$B$4</f>
        <v/>
      </c>
      <c r="F15" s="16">
        <f>IF(Setup!$B$2="","",Setup!$B$2)</f>
        <v/>
      </c>
      <c r="G15" s="16">
        <f>IFERROR(INDEX('C_jama.2024.12829'!$G$2:$G$18,MATCH(C15,'C_jama.2024.12829'!$A$2:$A$18,0)),"CHECK KEY")</f>
        <v/>
      </c>
      <c r="H15" s="16">
        <f>IF(OR(G15&lt;&gt;"PRIMARY READY",K15="discuss"),"",IF(K15&lt;&gt;"retain","not_eligible",IF(D15="P_R","protocol_descriptive",IF(D15="P_P","plan_descriptive",IF(AND(OR(D15="S_C",D15="S_W"),L15="statistical_results",OR(M15="confirmed_issue",M15="probable_issue"),N15="substantive"),"primary_temporal",IF(AND(OR(D15="S_C",D15="S_W"),L15="report_internal_inconsistency",P15="substantive_inconsistency"),"secondary_temporal","not_eligible"))))))</f>
        <v/>
      </c>
      <c r="I15" s="16" t="inlineStr">
        <is>
          <t>retain</t>
        </is>
      </c>
      <c r="J15" s="16" t="inlineStr">
        <is>
          <t>statistical_results</t>
        </is>
      </c>
      <c r="K15" s="16">
        <f>IFERROR(IF(INDEX('C_jama.2024.12829'!$D$2:$D$18,MATCH(C15,'C_jama.2024.12829'!$A$2:$A$18,0))="","",INDEX('C_jama.2024.12829'!$D$2:$D$18,MATCH(C15,'C_jama.2024.12829'!$A$2:$A$18,0))),"")</f>
        <v/>
      </c>
      <c r="L15" s="16">
        <f>IFERROR(IF(INDEX('C_jama.2024.12829'!$E$2:$E$18,MATCH(C15,'C_jama.2024.12829'!$A$2:$A$18,0))="","",INDEX('C_jama.2024.12829'!$E$2:$E$18,MATCH(C15,'C_jama.2024.12829'!$A$2:$A$18,0))),"")</f>
        <v/>
      </c>
      <c r="M15" s="16">
        <f>IFERROR(IF(AND(K15="retain",L15="statistical_results"),IF(INDEX('C_jama.2024.12829'!$H$2:$H$18,MATCH(C15,'C_jama.2024.12829'!$A$2:$A$18,0))="","",INDEX('C_jama.2024.12829'!$H$2:$H$18,MATCH(C15,'C_jama.2024.12829'!$A$2:$A$18,0))),"not_applicable"),"")</f>
        <v/>
      </c>
      <c r="N15" s="16">
        <f>IFERROR(IF(AND(K15="retain",L15="statistical_results"),IF(INDEX('C_jama.2024.12829'!$I$2:$I$18,MATCH(C15,'C_jama.2024.12829'!$A$2:$A$18,0))="","",INDEX('C_jama.2024.12829'!$I$2:$I$18,MATCH(C15,'C_jama.2024.12829'!$A$2:$A$18,0))),"not_applicable"),"")</f>
        <v/>
      </c>
      <c r="O15" s="16">
        <f>IFERROR(IF(AND(K15="retain",L15="statistical_results"),IF(INDEX('C_jama.2024.12829'!$J$2:$J$18,MATCH(C15,'C_jama.2024.12829'!$A$2:$A$18,0))="","",INDEX('C_jama.2024.12829'!$J$2:$J$18,MATCH(C15,'C_jama.2024.12829'!$A$2:$A$18,0))),"not_applicable"),"")</f>
        <v/>
      </c>
      <c r="P15" s="16">
        <f>IFERROR(IF(AND(K15="retain",OR(L15="report_internal_inconsistency",L15="plan_material")),IF(INDEX('C_jama.2024.12829'!$K$2:$K$18,MATCH(C15,'C_jama.2024.12829'!$A$2:$A$18,0))="","",INDEX('C_jama.2024.12829'!$K$2:$K$18,MATCH(C15,'C_jama.2024.12829'!$A$2:$A$18,0))),"not_applicable"),"")</f>
        <v/>
      </c>
      <c r="Q15" s="16">
        <f>IFERROR(IF(AND(K15="retain",L15="protocol_report"),IF(INDEX('C_jama.2024.12829'!$L$2:$L$18,MATCH(C15,'C_jama.2024.12829'!$A$2:$A$18,0))="","",INDEX('C_jama.2024.12829'!$L$2:$L$18,MATCH(C15,'C_jama.2024.12829'!$A$2:$A$18,0))),"not_applicable"),"")</f>
        <v/>
      </c>
      <c r="R15" s="16">
        <f>IFERROR(IF(INDEX('C_jama.2024.12829'!$R$2:$R$18,MATCH(C15,'C_jama.2024.12829'!$A$2:$A$18,0))="","",INDEX('C_jama.2024.12829'!$R$2:$R$18,MATCH(C15,'C_jama.2024.12829'!$A$2:$A$18,0))),"")</f>
        <v/>
      </c>
    </row>
    <row r="16" ht="75" customFormat="1" customHeight="1" s="8">
      <c r="A16" s="15" t="n">
        <v>2024</v>
      </c>
      <c r="B16" s="15" t="inlineStr">
        <is>
          <t>jama.2024.12829</t>
        </is>
      </c>
      <c r="C16" s="15" t="inlineStr">
        <is>
          <t>2024::jama.2024.12829::C004</t>
        </is>
      </c>
      <c r="D16" s="15" t="inlineStr">
        <is>
          <t>S_W</t>
        </is>
      </c>
      <c r="E16" s="15">
        <f>Setup!$B$4</f>
        <v/>
      </c>
      <c r="F16" s="15">
        <f>IF(Setup!$B$2="","",Setup!$B$2)</f>
        <v/>
      </c>
      <c r="G16" s="15">
        <f>IFERROR(INDEX('C_jama.2024.12829'!$G$2:$G$18,MATCH(C16,'C_jama.2024.12829'!$A$2:$A$18,0)),"CHECK KEY")</f>
        <v/>
      </c>
      <c r="H16" s="15">
        <f>IF(OR(G16&lt;&gt;"PRIMARY READY",K16="discuss"),"",IF(K16&lt;&gt;"retain","not_eligible",IF(D16="P_R","protocol_descriptive",IF(D16="P_P","plan_descriptive",IF(AND(OR(D16="S_C",D16="S_W"),L16="statistical_results",OR(M16="confirmed_issue",M16="probable_issue"),N16="substantive"),"primary_temporal",IF(AND(OR(D16="S_C",D16="S_W"),L16="report_internal_inconsistency",P16="substantive_inconsistency"),"secondary_temporal","not_eligible"))))))</f>
        <v/>
      </c>
      <c r="I16" s="15" t="inlineStr">
        <is>
          <t>retain</t>
        </is>
      </c>
      <c r="J16" s="15" t="inlineStr">
        <is>
          <t>statistical_results</t>
        </is>
      </c>
      <c r="K16" s="15">
        <f>IFERROR(IF(INDEX('C_jama.2024.12829'!$D$2:$D$18,MATCH(C16,'C_jama.2024.12829'!$A$2:$A$18,0))="","",INDEX('C_jama.2024.12829'!$D$2:$D$18,MATCH(C16,'C_jama.2024.12829'!$A$2:$A$18,0))),"")</f>
        <v/>
      </c>
      <c r="L16" s="15">
        <f>IFERROR(IF(INDEX('C_jama.2024.12829'!$E$2:$E$18,MATCH(C16,'C_jama.2024.12829'!$A$2:$A$18,0))="","",INDEX('C_jama.2024.12829'!$E$2:$E$18,MATCH(C16,'C_jama.2024.12829'!$A$2:$A$18,0))),"")</f>
        <v/>
      </c>
      <c r="M16" s="15">
        <f>IFERROR(IF(AND(K16="retain",L16="statistical_results"),IF(INDEX('C_jama.2024.12829'!$H$2:$H$18,MATCH(C16,'C_jama.2024.12829'!$A$2:$A$18,0))="","",INDEX('C_jama.2024.12829'!$H$2:$H$18,MATCH(C16,'C_jama.2024.12829'!$A$2:$A$18,0))),"not_applicable"),"")</f>
        <v/>
      </c>
      <c r="N16" s="15">
        <f>IFERROR(IF(AND(K16="retain",L16="statistical_results"),IF(INDEX('C_jama.2024.12829'!$I$2:$I$18,MATCH(C16,'C_jama.2024.12829'!$A$2:$A$18,0))="","",INDEX('C_jama.2024.12829'!$I$2:$I$18,MATCH(C16,'C_jama.2024.12829'!$A$2:$A$18,0))),"not_applicable"),"")</f>
        <v/>
      </c>
      <c r="O16" s="15">
        <f>IFERROR(IF(AND(K16="retain",L16="statistical_results"),IF(INDEX('C_jama.2024.12829'!$J$2:$J$18,MATCH(C16,'C_jama.2024.12829'!$A$2:$A$18,0))="","",INDEX('C_jama.2024.12829'!$J$2:$J$18,MATCH(C16,'C_jama.2024.12829'!$A$2:$A$18,0))),"not_applicable"),"")</f>
        <v/>
      </c>
      <c r="P16" s="15">
        <f>IFERROR(IF(AND(K16="retain",OR(L16="report_internal_inconsistency",L16="plan_material")),IF(INDEX('C_jama.2024.12829'!$K$2:$K$18,MATCH(C16,'C_jama.2024.12829'!$A$2:$A$18,0))="","",INDEX('C_jama.2024.12829'!$K$2:$K$18,MATCH(C16,'C_jama.2024.12829'!$A$2:$A$18,0))),"not_applicable"),"")</f>
        <v/>
      </c>
      <c r="Q16" s="15">
        <f>IFERROR(IF(AND(K16="retain",L16="protocol_report"),IF(INDEX('C_jama.2024.12829'!$L$2:$L$18,MATCH(C16,'C_jama.2024.12829'!$A$2:$A$18,0))="","",INDEX('C_jama.2024.12829'!$L$2:$L$18,MATCH(C16,'C_jama.2024.12829'!$A$2:$A$18,0))),"not_applicable"),"")</f>
        <v/>
      </c>
      <c r="R16" s="15">
        <f>IFERROR(IF(INDEX('C_jama.2024.12829'!$R$2:$R$18,MATCH(C16,'C_jama.2024.12829'!$A$2:$A$18,0))="","",INDEX('C_jama.2024.12829'!$R$2:$R$18,MATCH(C16,'C_jama.2024.12829'!$A$2:$A$18,0))),"")</f>
        <v/>
      </c>
    </row>
    <row r="17" ht="75" customFormat="1" customHeight="1" s="8">
      <c r="A17" s="16" t="n">
        <v>2024</v>
      </c>
      <c r="B17" s="16" t="inlineStr">
        <is>
          <t>jama.2024.12829</t>
        </is>
      </c>
      <c r="C17" s="16" t="inlineStr">
        <is>
          <t>2024::jama.2024.12829::C005</t>
        </is>
      </c>
      <c r="D17" s="16" t="inlineStr">
        <is>
          <t>S_W</t>
        </is>
      </c>
      <c r="E17" s="16">
        <f>Setup!$B$4</f>
        <v/>
      </c>
      <c r="F17" s="16">
        <f>IF(Setup!$B$2="","",Setup!$B$2)</f>
        <v/>
      </c>
      <c r="G17" s="16">
        <f>IFERROR(INDEX('C_jama.2024.12829'!$G$2:$G$18,MATCH(C17,'C_jama.2024.12829'!$A$2:$A$18,0)),"CHECK KEY")</f>
        <v/>
      </c>
      <c r="H17" s="16">
        <f>IF(OR(G17&lt;&gt;"PRIMARY READY",K17="discuss"),"",IF(K17&lt;&gt;"retain","not_eligible",IF(D17="P_R","protocol_descriptive",IF(D17="P_P","plan_descriptive",IF(AND(OR(D17="S_C",D17="S_W"),L17="statistical_results",OR(M17="confirmed_issue",M17="probable_issue"),N17="substantive"),"primary_temporal",IF(AND(OR(D17="S_C",D17="S_W"),L17="report_internal_inconsistency",P17="substantive_inconsistency"),"secondary_temporal","not_eligible"))))))</f>
        <v/>
      </c>
      <c r="I17" s="16" t="inlineStr">
        <is>
          <t>retain</t>
        </is>
      </c>
      <c r="J17" s="16" t="inlineStr">
        <is>
          <t>statistical_results</t>
        </is>
      </c>
      <c r="K17" s="16">
        <f>IFERROR(IF(INDEX('C_jama.2024.12829'!$D$2:$D$18,MATCH(C17,'C_jama.2024.12829'!$A$2:$A$18,0))="","",INDEX('C_jama.2024.12829'!$D$2:$D$18,MATCH(C17,'C_jama.2024.12829'!$A$2:$A$18,0))),"")</f>
        <v/>
      </c>
      <c r="L17" s="16">
        <f>IFERROR(IF(INDEX('C_jama.2024.12829'!$E$2:$E$18,MATCH(C17,'C_jama.2024.12829'!$A$2:$A$18,0))="","",INDEX('C_jama.2024.12829'!$E$2:$E$18,MATCH(C17,'C_jama.2024.12829'!$A$2:$A$18,0))),"")</f>
        <v/>
      </c>
      <c r="M17" s="16">
        <f>IFERROR(IF(AND(K17="retain",L17="statistical_results"),IF(INDEX('C_jama.2024.12829'!$H$2:$H$18,MATCH(C17,'C_jama.2024.12829'!$A$2:$A$18,0))="","",INDEX('C_jama.2024.12829'!$H$2:$H$18,MATCH(C17,'C_jama.2024.12829'!$A$2:$A$18,0))),"not_applicable"),"")</f>
        <v/>
      </c>
      <c r="N17" s="16">
        <f>IFERROR(IF(AND(K17="retain",L17="statistical_results"),IF(INDEX('C_jama.2024.12829'!$I$2:$I$18,MATCH(C17,'C_jama.2024.12829'!$A$2:$A$18,0))="","",INDEX('C_jama.2024.12829'!$I$2:$I$18,MATCH(C17,'C_jama.2024.12829'!$A$2:$A$18,0))),"not_applicable"),"")</f>
        <v/>
      </c>
      <c r="O17" s="16">
        <f>IFERROR(IF(AND(K17="retain",L17="statistical_results"),IF(INDEX('C_jama.2024.12829'!$J$2:$J$18,MATCH(C17,'C_jama.2024.12829'!$A$2:$A$18,0))="","",INDEX('C_jama.2024.12829'!$J$2:$J$18,MATCH(C17,'C_jama.2024.12829'!$A$2:$A$18,0))),"not_applicable"),"")</f>
        <v/>
      </c>
      <c r="P17" s="16">
        <f>IFERROR(IF(AND(K17="retain",OR(L17="report_internal_inconsistency",L17="plan_material")),IF(INDEX('C_jama.2024.12829'!$K$2:$K$18,MATCH(C17,'C_jama.2024.12829'!$A$2:$A$18,0))="","",INDEX('C_jama.2024.12829'!$K$2:$K$18,MATCH(C17,'C_jama.2024.12829'!$A$2:$A$18,0))),"not_applicable"),"")</f>
        <v/>
      </c>
      <c r="Q17" s="16">
        <f>IFERROR(IF(AND(K17="retain",L17="protocol_report"),IF(INDEX('C_jama.2024.12829'!$L$2:$L$18,MATCH(C17,'C_jama.2024.12829'!$A$2:$A$18,0))="","",INDEX('C_jama.2024.12829'!$L$2:$L$18,MATCH(C17,'C_jama.2024.12829'!$A$2:$A$18,0))),"not_applicable"),"")</f>
        <v/>
      </c>
      <c r="R17" s="16">
        <f>IFERROR(IF(INDEX('C_jama.2024.12829'!$R$2:$R$18,MATCH(C17,'C_jama.2024.12829'!$A$2:$A$18,0))="","",INDEX('C_jama.2024.12829'!$R$2:$R$18,MATCH(C17,'C_jama.2024.12829'!$A$2:$A$18,0))),"")</f>
        <v/>
      </c>
    </row>
    <row r="18" ht="75" customFormat="1" customHeight="1" s="8">
      <c r="A18" s="15" t="n">
        <v>2024</v>
      </c>
      <c r="B18" s="15" t="inlineStr">
        <is>
          <t>jama.2024.12829</t>
        </is>
      </c>
      <c r="C18" s="15" t="inlineStr">
        <is>
          <t>2024::jama.2024.12829::C006</t>
        </is>
      </c>
      <c r="D18" s="15" t="inlineStr">
        <is>
          <t>S_W</t>
        </is>
      </c>
      <c r="E18" s="15">
        <f>Setup!$B$4</f>
        <v/>
      </c>
      <c r="F18" s="15">
        <f>IF(Setup!$B$2="","",Setup!$B$2)</f>
        <v/>
      </c>
      <c r="G18" s="15">
        <f>IFERROR(INDEX('C_jama.2024.12829'!$G$2:$G$18,MATCH(C18,'C_jama.2024.12829'!$A$2:$A$18,0)),"CHECK KEY")</f>
        <v/>
      </c>
      <c r="H18" s="15">
        <f>IF(OR(G18&lt;&gt;"PRIMARY READY",K18="discuss"),"",IF(K18&lt;&gt;"retain","not_eligible",IF(D18="P_R","protocol_descriptive",IF(D18="P_P","plan_descriptive",IF(AND(OR(D18="S_C",D18="S_W"),L18="statistical_results",OR(M18="confirmed_issue",M18="probable_issue"),N18="substantive"),"primary_temporal",IF(AND(OR(D18="S_C",D18="S_W"),L18="report_internal_inconsistency",P18="substantive_inconsistency"),"secondary_temporal","not_eligible"))))))</f>
        <v/>
      </c>
      <c r="I18" s="15" t="inlineStr">
        <is>
          <t>retain</t>
        </is>
      </c>
      <c r="J18" s="15" t="inlineStr">
        <is>
          <t>statistical_results</t>
        </is>
      </c>
      <c r="K18" s="15">
        <f>IFERROR(IF(INDEX('C_jama.2024.12829'!$D$2:$D$18,MATCH(C18,'C_jama.2024.12829'!$A$2:$A$18,0))="","",INDEX('C_jama.2024.12829'!$D$2:$D$18,MATCH(C18,'C_jama.2024.12829'!$A$2:$A$18,0))),"")</f>
        <v/>
      </c>
      <c r="L18" s="15">
        <f>IFERROR(IF(INDEX('C_jama.2024.12829'!$E$2:$E$18,MATCH(C18,'C_jama.2024.12829'!$A$2:$A$18,0))="","",INDEX('C_jama.2024.12829'!$E$2:$E$18,MATCH(C18,'C_jama.2024.12829'!$A$2:$A$18,0))),"")</f>
        <v/>
      </c>
      <c r="M18" s="15">
        <f>IFERROR(IF(AND(K18="retain",L18="statistical_results"),IF(INDEX('C_jama.2024.12829'!$H$2:$H$18,MATCH(C18,'C_jama.2024.12829'!$A$2:$A$18,0))="","",INDEX('C_jama.2024.12829'!$H$2:$H$18,MATCH(C18,'C_jama.2024.12829'!$A$2:$A$18,0))),"not_applicable"),"")</f>
        <v/>
      </c>
      <c r="N18" s="15">
        <f>IFERROR(IF(AND(K18="retain",L18="statistical_results"),IF(INDEX('C_jama.2024.12829'!$I$2:$I$18,MATCH(C18,'C_jama.2024.12829'!$A$2:$A$18,0))="","",INDEX('C_jama.2024.12829'!$I$2:$I$18,MATCH(C18,'C_jama.2024.12829'!$A$2:$A$18,0))),"not_applicable"),"")</f>
        <v/>
      </c>
      <c r="O18" s="15">
        <f>IFERROR(IF(AND(K18="retain",L18="statistical_results"),IF(INDEX('C_jama.2024.12829'!$J$2:$J$18,MATCH(C18,'C_jama.2024.12829'!$A$2:$A$18,0))="","",INDEX('C_jama.2024.12829'!$J$2:$J$18,MATCH(C18,'C_jama.2024.12829'!$A$2:$A$18,0))),"not_applicable"),"")</f>
        <v/>
      </c>
      <c r="P18" s="15">
        <f>IFERROR(IF(AND(K18="retain",OR(L18="report_internal_inconsistency",L18="plan_material")),IF(INDEX('C_jama.2024.12829'!$K$2:$K$18,MATCH(C18,'C_jama.2024.12829'!$A$2:$A$18,0))="","",INDEX('C_jama.2024.12829'!$K$2:$K$18,MATCH(C18,'C_jama.2024.12829'!$A$2:$A$18,0))),"not_applicable"),"")</f>
        <v/>
      </c>
      <c r="Q18" s="15">
        <f>IFERROR(IF(AND(K18="retain",L18="protocol_report"),IF(INDEX('C_jama.2024.12829'!$L$2:$L$18,MATCH(C18,'C_jama.2024.12829'!$A$2:$A$18,0))="","",INDEX('C_jama.2024.12829'!$L$2:$L$18,MATCH(C18,'C_jama.2024.12829'!$A$2:$A$18,0))),"not_applicable"),"")</f>
        <v/>
      </c>
      <c r="R18" s="15">
        <f>IFERROR(IF(INDEX('C_jama.2024.12829'!$R$2:$R$18,MATCH(C18,'C_jama.2024.12829'!$A$2:$A$18,0))="","",INDEX('C_jama.2024.12829'!$R$2:$R$18,MATCH(C18,'C_jama.2024.12829'!$A$2:$A$18,0))),"")</f>
        <v/>
      </c>
    </row>
    <row r="19" ht="75" customFormat="1" customHeight="1" s="8">
      <c r="A19" s="16" t="n">
        <v>2024</v>
      </c>
      <c r="B19" s="16" t="inlineStr">
        <is>
          <t>jama.2024.12829</t>
        </is>
      </c>
      <c r="C19" s="16" t="inlineStr">
        <is>
          <t>2024::jama.2024.12829::C007</t>
        </is>
      </c>
      <c r="D19" s="16" t="inlineStr">
        <is>
          <t>S_W</t>
        </is>
      </c>
      <c r="E19" s="16">
        <f>Setup!$B$4</f>
        <v/>
      </c>
      <c r="F19" s="16">
        <f>IF(Setup!$B$2="","",Setup!$B$2)</f>
        <v/>
      </c>
      <c r="G19" s="16">
        <f>IFERROR(INDEX('C_jama.2024.12829'!$G$2:$G$18,MATCH(C19,'C_jama.2024.12829'!$A$2:$A$18,0)),"CHECK KEY")</f>
        <v/>
      </c>
      <c r="H19" s="16">
        <f>IF(OR(G19&lt;&gt;"PRIMARY READY",K19="discuss"),"",IF(K19&lt;&gt;"retain","not_eligible",IF(D19="P_R","protocol_descriptive",IF(D19="P_P","plan_descriptive",IF(AND(OR(D19="S_C",D19="S_W"),L19="statistical_results",OR(M19="confirmed_issue",M19="probable_issue"),N19="substantive"),"primary_temporal",IF(AND(OR(D19="S_C",D19="S_W"),L19="report_internal_inconsistency",P19="substantive_inconsistency"),"secondary_temporal","not_eligible"))))))</f>
        <v/>
      </c>
      <c r="I19" s="16" t="inlineStr">
        <is>
          <t>retain</t>
        </is>
      </c>
      <c r="J19" s="16" t="inlineStr">
        <is>
          <t>statistical_results</t>
        </is>
      </c>
      <c r="K19" s="16">
        <f>IFERROR(IF(INDEX('C_jama.2024.12829'!$D$2:$D$18,MATCH(C19,'C_jama.2024.12829'!$A$2:$A$18,0))="","",INDEX('C_jama.2024.12829'!$D$2:$D$18,MATCH(C19,'C_jama.2024.12829'!$A$2:$A$18,0))),"")</f>
        <v/>
      </c>
      <c r="L19" s="16">
        <f>IFERROR(IF(INDEX('C_jama.2024.12829'!$E$2:$E$18,MATCH(C19,'C_jama.2024.12829'!$A$2:$A$18,0))="","",INDEX('C_jama.2024.12829'!$E$2:$E$18,MATCH(C19,'C_jama.2024.12829'!$A$2:$A$18,0))),"")</f>
        <v/>
      </c>
      <c r="M19" s="16">
        <f>IFERROR(IF(AND(K19="retain",L19="statistical_results"),IF(INDEX('C_jama.2024.12829'!$H$2:$H$18,MATCH(C19,'C_jama.2024.12829'!$A$2:$A$18,0))="","",INDEX('C_jama.2024.12829'!$H$2:$H$18,MATCH(C19,'C_jama.2024.12829'!$A$2:$A$18,0))),"not_applicable"),"")</f>
        <v/>
      </c>
      <c r="N19" s="16">
        <f>IFERROR(IF(AND(K19="retain",L19="statistical_results"),IF(INDEX('C_jama.2024.12829'!$I$2:$I$18,MATCH(C19,'C_jama.2024.12829'!$A$2:$A$18,0))="","",INDEX('C_jama.2024.12829'!$I$2:$I$18,MATCH(C19,'C_jama.2024.12829'!$A$2:$A$18,0))),"not_applicable"),"")</f>
        <v/>
      </c>
      <c r="O19" s="16">
        <f>IFERROR(IF(AND(K19="retain",L19="statistical_results"),IF(INDEX('C_jama.2024.12829'!$J$2:$J$18,MATCH(C19,'C_jama.2024.12829'!$A$2:$A$18,0))="","",INDEX('C_jama.2024.12829'!$J$2:$J$18,MATCH(C19,'C_jama.2024.12829'!$A$2:$A$18,0))),"not_applicable"),"")</f>
        <v/>
      </c>
      <c r="P19" s="16">
        <f>IFERROR(IF(AND(K19="retain",OR(L19="report_internal_inconsistency",L19="plan_material")),IF(INDEX('C_jama.2024.12829'!$K$2:$K$18,MATCH(C19,'C_jama.2024.12829'!$A$2:$A$18,0))="","",INDEX('C_jama.2024.12829'!$K$2:$K$18,MATCH(C19,'C_jama.2024.12829'!$A$2:$A$18,0))),"not_applicable"),"")</f>
        <v/>
      </c>
      <c r="Q19" s="16">
        <f>IFERROR(IF(AND(K19="retain",L19="protocol_report"),IF(INDEX('C_jama.2024.12829'!$L$2:$L$18,MATCH(C19,'C_jama.2024.12829'!$A$2:$A$18,0))="","",INDEX('C_jama.2024.12829'!$L$2:$L$18,MATCH(C19,'C_jama.2024.12829'!$A$2:$A$18,0))),"not_applicable"),"")</f>
        <v/>
      </c>
      <c r="R19" s="16">
        <f>IFERROR(IF(INDEX('C_jama.2024.12829'!$R$2:$R$18,MATCH(C19,'C_jama.2024.12829'!$A$2:$A$18,0))="","",INDEX('C_jama.2024.12829'!$R$2:$R$18,MATCH(C19,'C_jama.2024.12829'!$A$2:$A$18,0))),"")</f>
        <v/>
      </c>
    </row>
    <row r="20" ht="75" customFormat="1" customHeight="1" s="8">
      <c r="A20" s="15" t="n">
        <v>2024</v>
      </c>
      <c r="B20" s="15" t="inlineStr">
        <is>
          <t>jama.2024.12829</t>
        </is>
      </c>
      <c r="C20" s="15" t="inlineStr">
        <is>
          <t>2024::jama.2024.12829::C008</t>
        </is>
      </c>
      <c r="D20" s="15" t="inlineStr">
        <is>
          <t>S_W</t>
        </is>
      </c>
      <c r="E20" s="15">
        <f>Setup!$B$4</f>
        <v/>
      </c>
      <c r="F20" s="15">
        <f>IF(Setup!$B$2="","",Setup!$B$2)</f>
        <v/>
      </c>
      <c r="G20" s="15">
        <f>IFERROR(INDEX('C_jama.2024.12829'!$G$2:$G$18,MATCH(C20,'C_jama.2024.12829'!$A$2:$A$18,0)),"CHECK KEY")</f>
        <v/>
      </c>
      <c r="H20" s="15">
        <f>IF(OR(G20&lt;&gt;"PRIMARY READY",K20="discuss"),"",IF(K20&lt;&gt;"retain","not_eligible",IF(D20="P_R","protocol_descriptive",IF(D20="P_P","plan_descriptive",IF(AND(OR(D20="S_C",D20="S_W"),L20="statistical_results",OR(M20="confirmed_issue",M20="probable_issue"),N20="substantive"),"primary_temporal",IF(AND(OR(D20="S_C",D20="S_W"),L20="report_internal_inconsistency",P20="substantive_inconsistency"),"secondary_temporal","not_eligible"))))))</f>
        <v/>
      </c>
      <c r="I20" s="15" t="inlineStr">
        <is>
          <t>retain</t>
        </is>
      </c>
      <c r="J20" s="15" t="inlineStr">
        <is>
          <t>statistical_results</t>
        </is>
      </c>
      <c r="K20" s="15">
        <f>IFERROR(IF(INDEX('C_jama.2024.12829'!$D$2:$D$18,MATCH(C20,'C_jama.2024.12829'!$A$2:$A$18,0))="","",INDEX('C_jama.2024.12829'!$D$2:$D$18,MATCH(C20,'C_jama.2024.12829'!$A$2:$A$18,0))),"")</f>
        <v/>
      </c>
      <c r="L20" s="15">
        <f>IFERROR(IF(INDEX('C_jama.2024.12829'!$E$2:$E$18,MATCH(C20,'C_jama.2024.12829'!$A$2:$A$18,0))="","",INDEX('C_jama.2024.12829'!$E$2:$E$18,MATCH(C20,'C_jama.2024.12829'!$A$2:$A$18,0))),"")</f>
        <v/>
      </c>
      <c r="M20" s="15">
        <f>IFERROR(IF(AND(K20="retain",L20="statistical_results"),IF(INDEX('C_jama.2024.12829'!$H$2:$H$18,MATCH(C20,'C_jama.2024.12829'!$A$2:$A$18,0))="","",INDEX('C_jama.2024.12829'!$H$2:$H$18,MATCH(C20,'C_jama.2024.12829'!$A$2:$A$18,0))),"not_applicable"),"")</f>
        <v/>
      </c>
      <c r="N20" s="15">
        <f>IFERROR(IF(AND(K20="retain",L20="statistical_results"),IF(INDEX('C_jama.2024.12829'!$I$2:$I$18,MATCH(C20,'C_jama.2024.12829'!$A$2:$A$18,0))="","",INDEX('C_jama.2024.12829'!$I$2:$I$18,MATCH(C20,'C_jama.2024.12829'!$A$2:$A$18,0))),"not_applicable"),"")</f>
        <v/>
      </c>
      <c r="O20" s="15">
        <f>IFERROR(IF(AND(K20="retain",L20="statistical_results"),IF(INDEX('C_jama.2024.12829'!$J$2:$J$18,MATCH(C20,'C_jama.2024.12829'!$A$2:$A$18,0))="","",INDEX('C_jama.2024.12829'!$J$2:$J$18,MATCH(C20,'C_jama.2024.12829'!$A$2:$A$18,0))),"not_applicable"),"")</f>
        <v/>
      </c>
      <c r="P20" s="15">
        <f>IFERROR(IF(AND(K20="retain",OR(L20="report_internal_inconsistency",L20="plan_material")),IF(INDEX('C_jama.2024.12829'!$K$2:$K$18,MATCH(C20,'C_jama.2024.12829'!$A$2:$A$18,0))="","",INDEX('C_jama.2024.12829'!$K$2:$K$18,MATCH(C20,'C_jama.2024.12829'!$A$2:$A$18,0))),"not_applicable"),"")</f>
        <v/>
      </c>
      <c r="Q20" s="15">
        <f>IFERROR(IF(AND(K20="retain",L20="protocol_report"),IF(INDEX('C_jama.2024.12829'!$L$2:$L$18,MATCH(C20,'C_jama.2024.12829'!$A$2:$A$18,0))="","",INDEX('C_jama.2024.12829'!$L$2:$L$18,MATCH(C20,'C_jama.2024.12829'!$A$2:$A$18,0))),"not_applicable"),"")</f>
        <v/>
      </c>
      <c r="R20" s="15">
        <f>IFERROR(IF(INDEX('C_jama.2024.12829'!$R$2:$R$18,MATCH(C20,'C_jama.2024.12829'!$A$2:$A$18,0))="","",INDEX('C_jama.2024.12829'!$R$2:$R$18,MATCH(C20,'C_jama.2024.12829'!$A$2:$A$18,0))),"")</f>
        <v/>
      </c>
    </row>
    <row r="21" ht="75" customFormat="1" customHeight="1" s="8">
      <c r="A21" s="16" t="n">
        <v>2024</v>
      </c>
      <c r="B21" s="16" t="inlineStr">
        <is>
          <t>jama.2024.12829</t>
        </is>
      </c>
      <c r="C21" s="16" t="inlineStr">
        <is>
          <t>2024::jama.2024.12829::C009</t>
        </is>
      </c>
      <c r="D21" s="16" t="inlineStr">
        <is>
          <t>P_R</t>
        </is>
      </c>
      <c r="E21" s="16">
        <f>Setup!$B$4</f>
        <v/>
      </c>
      <c r="F21" s="16">
        <f>IF(Setup!$B$2="","",Setup!$B$2)</f>
        <v/>
      </c>
      <c r="G21" s="16">
        <f>IFERROR(INDEX('C_jama.2024.12829'!$G$2:$G$18,MATCH(C21,'C_jama.2024.12829'!$A$2:$A$18,0)),"CHECK KEY")</f>
        <v/>
      </c>
      <c r="H21" s="16">
        <f>IF(OR(G21&lt;&gt;"PRIMARY READY",K21="discuss"),"",IF(K21&lt;&gt;"retain","not_eligible",IF(D21="P_R","protocol_descriptive",IF(D21="P_P","plan_descriptive",IF(AND(OR(D21="S_C",D21="S_W"),L21="statistical_results",OR(M21="confirmed_issue",M21="probable_issue"),N21="substantive"),"primary_temporal",IF(AND(OR(D21="S_C",D21="S_W"),L21="report_internal_inconsistency",P21="substantive_inconsistency"),"secondary_temporal","not_eligible"))))))</f>
        <v/>
      </c>
      <c r="I21" s="16" t="inlineStr">
        <is>
          <t>retain</t>
        </is>
      </c>
      <c r="J21" s="16" t="inlineStr">
        <is>
          <t>protocol_report</t>
        </is>
      </c>
      <c r="K21" s="16">
        <f>IFERROR(IF(INDEX('C_jama.2024.12829'!$D$2:$D$18,MATCH(C21,'C_jama.2024.12829'!$A$2:$A$18,0))="","",INDEX('C_jama.2024.12829'!$D$2:$D$18,MATCH(C21,'C_jama.2024.12829'!$A$2:$A$18,0))),"")</f>
        <v/>
      </c>
      <c r="L21" s="16">
        <f>IFERROR(IF(INDEX('C_jama.2024.12829'!$E$2:$E$18,MATCH(C21,'C_jama.2024.12829'!$A$2:$A$18,0))="","",INDEX('C_jama.2024.12829'!$E$2:$E$18,MATCH(C21,'C_jama.2024.12829'!$A$2:$A$18,0))),"")</f>
        <v/>
      </c>
      <c r="M21" s="16">
        <f>IFERROR(IF(AND(K21="retain",L21="statistical_results"),IF(INDEX('C_jama.2024.12829'!$H$2:$H$18,MATCH(C21,'C_jama.2024.12829'!$A$2:$A$18,0))="","",INDEX('C_jama.2024.12829'!$H$2:$H$18,MATCH(C21,'C_jama.2024.12829'!$A$2:$A$18,0))),"not_applicable"),"")</f>
        <v/>
      </c>
      <c r="N21" s="16">
        <f>IFERROR(IF(AND(K21="retain",L21="statistical_results"),IF(INDEX('C_jama.2024.12829'!$I$2:$I$18,MATCH(C21,'C_jama.2024.12829'!$A$2:$A$18,0))="","",INDEX('C_jama.2024.12829'!$I$2:$I$18,MATCH(C21,'C_jama.2024.12829'!$A$2:$A$18,0))),"not_applicable"),"")</f>
        <v/>
      </c>
      <c r="O21" s="16">
        <f>IFERROR(IF(AND(K21="retain",L21="statistical_results"),IF(INDEX('C_jama.2024.12829'!$J$2:$J$18,MATCH(C21,'C_jama.2024.12829'!$A$2:$A$18,0))="","",INDEX('C_jama.2024.12829'!$J$2:$J$18,MATCH(C21,'C_jama.2024.12829'!$A$2:$A$18,0))),"not_applicable"),"")</f>
        <v/>
      </c>
      <c r="P21" s="16">
        <f>IFERROR(IF(AND(K21="retain",OR(L21="report_internal_inconsistency",L21="plan_material")),IF(INDEX('C_jama.2024.12829'!$K$2:$K$18,MATCH(C21,'C_jama.2024.12829'!$A$2:$A$18,0))="","",INDEX('C_jama.2024.12829'!$K$2:$K$18,MATCH(C21,'C_jama.2024.12829'!$A$2:$A$18,0))),"not_applicable"),"")</f>
        <v/>
      </c>
      <c r="Q21" s="16">
        <f>IFERROR(IF(AND(K21="retain",L21="protocol_report"),IF(INDEX('C_jama.2024.12829'!$L$2:$L$18,MATCH(C21,'C_jama.2024.12829'!$A$2:$A$18,0))="","",INDEX('C_jama.2024.12829'!$L$2:$L$18,MATCH(C21,'C_jama.2024.12829'!$A$2:$A$18,0))),"not_applicable"),"")</f>
        <v/>
      </c>
      <c r="R21" s="16">
        <f>IFERROR(IF(INDEX('C_jama.2024.12829'!$R$2:$R$18,MATCH(C21,'C_jama.2024.12829'!$A$2:$A$18,0))="","",INDEX('C_jama.2024.12829'!$R$2:$R$18,MATCH(C21,'C_jama.2024.12829'!$A$2:$A$18,0))),"")</f>
        <v/>
      </c>
    </row>
    <row r="22" ht="75" customFormat="1" customHeight="1" s="8">
      <c r="A22" s="15" t="n">
        <v>2024</v>
      </c>
      <c r="B22" s="15" t="inlineStr">
        <is>
          <t>jama.2024.12829</t>
        </is>
      </c>
      <c r="C22" s="15" t="inlineStr">
        <is>
          <t>2024::jama.2024.12829::C010</t>
        </is>
      </c>
      <c r="D22" s="15" t="inlineStr">
        <is>
          <t>P_P</t>
        </is>
      </c>
      <c r="E22" s="15">
        <f>Setup!$B$4</f>
        <v/>
      </c>
      <c r="F22" s="15">
        <f>IF(Setup!$B$2="","",Setup!$B$2)</f>
        <v/>
      </c>
      <c r="G22" s="15">
        <f>IFERROR(INDEX('C_jama.2024.12829'!$G$2:$G$18,MATCH(C22,'C_jama.2024.12829'!$A$2:$A$18,0)),"CHECK KEY")</f>
        <v/>
      </c>
      <c r="H22" s="15">
        <f>IF(OR(G22&lt;&gt;"PRIMARY READY",K22="discuss"),"",IF(K22&lt;&gt;"retain","not_eligible",IF(D22="P_R","protocol_descriptive",IF(D22="P_P","plan_descriptive",IF(AND(OR(D22="S_C",D22="S_W"),L22="statistical_results",OR(M22="confirmed_issue",M22="probable_issue"),N22="substantive"),"primary_temporal",IF(AND(OR(D22="S_C",D22="S_W"),L22="report_internal_inconsistency",P22="substantive_inconsistency"),"secondary_temporal","not_eligible"))))))</f>
        <v/>
      </c>
      <c r="I22" s="15" t="inlineStr">
        <is>
          <t>retain</t>
        </is>
      </c>
      <c r="J22" s="15" t="inlineStr">
        <is>
          <t>plan_material</t>
        </is>
      </c>
      <c r="K22" s="15">
        <f>IFERROR(IF(INDEX('C_jama.2024.12829'!$D$2:$D$18,MATCH(C22,'C_jama.2024.12829'!$A$2:$A$18,0))="","",INDEX('C_jama.2024.12829'!$D$2:$D$18,MATCH(C22,'C_jama.2024.12829'!$A$2:$A$18,0))),"")</f>
        <v/>
      </c>
      <c r="L22" s="15">
        <f>IFERROR(IF(INDEX('C_jama.2024.12829'!$E$2:$E$18,MATCH(C22,'C_jama.2024.12829'!$A$2:$A$18,0))="","",INDEX('C_jama.2024.12829'!$E$2:$E$18,MATCH(C22,'C_jama.2024.12829'!$A$2:$A$18,0))),"")</f>
        <v/>
      </c>
      <c r="M22" s="15">
        <f>IFERROR(IF(AND(K22="retain",L22="statistical_results"),IF(INDEX('C_jama.2024.12829'!$H$2:$H$18,MATCH(C22,'C_jama.2024.12829'!$A$2:$A$18,0))="","",INDEX('C_jama.2024.12829'!$H$2:$H$18,MATCH(C22,'C_jama.2024.12829'!$A$2:$A$18,0))),"not_applicable"),"")</f>
        <v/>
      </c>
      <c r="N22" s="15">
        <f>IFERROR(IF(AND(K22="retain",L22="statistical_results"),IF(INDEX('C_jama.2024.12829'!$I$2:$I$18,MATCH(C22,'C_jama.2024.12829'!$A$2:$A$18,0))="","",INDEX('C_jama.2024.12829'!$I$2:$I$18,MATCH(C22,'C_jama.2024.12829'!$A$2:$A$18,0))),"not_applicable"),"")</f>
        <v/>
      </c>
      <c r="O22" s="15">
        <f>IFERROR(IF(AND(K22="retain",L22="statistical_results"),IF(INDEX('C_jama.2024.12829'!$J$2:$J$18,MATCH(C22,'C_jama.2024.12829'!$A$2:$A$18,0))="","",INDEX('C_jama.2024.12829'!$J$2:$J$18,MATCH(C22,'C_jama.2024.12829'!$A$2:$A$18,0))),"not_applicable"),"")</f>
        <v/>
      </c>
      <c r="P22" s="15">
        <f>IFERROR(IF(AND(K22="retain",OR(L22="report_internal_inconsistency",L22="plan_material")),IF(INDEX('C_jama.2024.12829'!$K$2:$K$18,MATCH(C22,'C_jama.2024.12829'!$A$2:$A$18,0))="","",INDEX('C_jama.2024.12829'!$K$2:$K$18,MATCH(C22,'C_jama.2024.12829'!$A$2:$A$18,0))),"not_applicable"),"")</f>
        <v/>
      </c>
      <c r="Q22" s="15">
        <f>IFERROR(IF(AND(K22="retain",L22="protocol_report"),IF(INDEX('C_jama.2024.12829'!$L$2:$L$18,MATCH(C22,'C_jama.2024.12829'!$A$2:$A$18,0))="","",INDEX('C_jama.2024.12829'!$L$2:$L$18,MATCH(C22,'C_jama.2024.12829'!$A$2:$A$18,0))),"not_applicable"),"")</f>
        <v/>
      </c>
      <c r="R22" s="15">
        <f>IFERROR(IF(INDEX('C_jama.2024.12829'!$R$2:$R$18,MATCH(C22,'C_jama.2024.12829'!$A$2:$A$18,0))="","",INDEX('C_jama.2024.12829'!$R$2:$R$18,MATCH(C22,'C_jama.2024.12829'!$A$2:$A$18,0))),"")</f>
        <v/>
      </c>
    </row>
    <row r="23" ht="75" customFormat="1" customHeight="1" s="8">
      <c r="A23" s="16" t="n">
        <v>2024</v>
      </c>
      <c r="B23" s="16" t="inlineStr">
        <is>
          <t>jama.2024.12829</t>
        </is>
      </c>
      <c r="C23" s="16" t="inlineStr">
        <is>
          <t>2024::jama.2024.12829::C011</t>
        </is>
      </c>
      <c r="D23" s="16" t="inlineStr">
        <is>
          <t>S_W</t>
        </is>
      </c>
      <c r="E23" s="16">
        <f>Setup!$B$4</f>
        <v/>
      </c>
      <c r="F23" s="16">
        <f>IF(Setup!$B$2="","",Setup!$B$2)</f>
        <v/>
      </c>
      <c r="G23" s="16">
        <f>IFERROR(INDEX('C_jama.2024.12829'!$G$2:$G$18,MATCH(C23,'C_jama.2024.12829'!$A$2:$A$18,0)),"CHECK KEY")</f>
        <v/>
      </c>
      <c r="H23" s="16">
        <f>IF(OR(G23&lt;&gt;"PRIMARY READY",K23="discuss"),"",IF(K23&lt;&gt;"retain","not_eligible",IF(D23="P_R","protocol_descriptive",IF(D23="P_P","plan_descriptive",IF(AND(OR(D23="S_C",D23="S_W"),L23="statistical_results",OR(M23="confirmed_issue",M23="probable_issue"),N23="substantive"),"primary_temporal",IF(AND(OR(D23="S_C",D23="S_W"),L23="report_internal_inconsistency",P23="substantive_inconsistency"),"secondary_temporal","not_eligible"))))))</f>
        <v/>
      </c>
      <c r="I23" s="16" t="inlineStr">
        <is>
          <t>retain</t>
        </is>
      </c>
      <c r="J23" s="16" t="inlineStr">
        <is>
          <t>statistical_results</t>
        </is>
      </c>
      <c r="K23" s="16">
        <f>IFERROR(IF(INDEX('C_jama.2024.12829'!$D$2:$D$18,MATCH(C23,'C_jama.2024.12829'!$A$2:$A$18,0))="","",INDEX('C_jama.2024.12829'!$D$2:$D$18,MATCH(C23,'C_jama.2024.12829'!$A$2:$A$18,0))),"")</f>
        <v/>
      </c>
      <c r="L23" s="16">
        <f>IFERROR(IF(INDEX('C_jama.2024.12829'!$E$2:$E$18,MATCH(C23,'C_jama.2024.12829'!$A$2:$A$18,0))="","",INDEX('C_jama.2024.12829'!$E$2:$E$18,MATCH(C23,'C_jama.2024.12829'!$A$2:$A$18,0))),"")</f>
        <v/>
      </c>
      <c r="M23" s="16">
        <f>IFERROR(IF(AND(K23="retain",L23="statistical_results"),IF(INDEX('C_jama.2024.12829'!$H$2:$H$18,MATCH(C23,'C_jama.2024.12829'!$A$2:$A$18,0))="","",INDEX('C_jama.2024.12829'!$H$2:$H$18,MATCH(C23,'C_jama.2024.12829'!$A$2:$A$18,0))),"not_applicable"),"")</f>
        <v/>
      </c>
      <c r="N23" s="16">
        <f>IFERROR(IF(AND(K23="retain",L23="statistical_results"),IF(INDEX('C_jama.2024.12829'!$I$2:$I$18,MATCH(C23,'C_jama.2024.12829'!$A$2:$A$18,0))="","",INDEX('C_jama.2024.12829'!$I$2:$I$18,MATCH(C23,'C_jama.2024.12829'!$A$2:$A$18,0))),"not_applicable"),"")</f>
        <v/>
      </c>
      <c r="O23" s="16">
        <f>IFERROR(IF(AND(K23="retain",L23="statistical_results"),IF(INDEX('C_jama.2024.12829'!$J$2:$J$18,MATCH(C23,'C_jama.2024.12829'!$A$2:$A$18,0))="","",INDEX('C_jama.2024.12829'!$J$2:$J$18,MATCH(C23,'C_jama.2024.12829'!$A$2:$A$18,0))),"not_applicable"),"")</f>
        <v/>
      </c>
      <c r="P23" s="16">
        <f>IFERROR(IF(AND(K23="retain",OR(L23="report_internal_inconsistency",L23="plan_material")),IF(INDEX('C_jama.2024.12829'!$K$2:$K$18,MATCH(C23,'C_jama.2024.12829'!$A$2:$A$18,0))="","",INDEX('C_jama.2024.12829'!$K$2:$K$18,MATCH(C23,'C_jama.2024.12829'!$A$2:$A$18,0))),"not_applicable"),"")</f>
        <v/>
      </c>
      <c r="Q23" s="16">
        <f>IFERROR(IF(AND(K23="retain",L23="protocol_report"),IF(INDEX('C_jama.2024.12829'!$L$2:$L$18,MATCH(C23,'C_jama.2024.12829'!$A$2:$A$18,0))="","",INDEX('C_jama.2024.12829'!$L$2:$L$18,MATCH(C23,'C_jama.2024.12829'!$A$2:$A$18,0))),"not_applicable"),"")</f>
        <v/>
      </c>
      <c r="R23" s="16">
        <f>IFERROR(IF(INDEX('C_jama.2024.12829'!$R$2:$R$18,MATCH(C23,'C_jama.2024.12829'!$A$2:$A$18,0))="","",INDEX('C_jama.2024.12829'!$R$2:$R$18,MATCH(C23,'C_jama.2024.12829'!$A$2:$A$18,0))),"")</f>
        <v/>
      </c>
    </row>
    <row r="24" ht="75" customFormat="1" customHeight="1" s="8">
      <c r="A24" s="15" t="n">
        <v>2024</v>
      </c>
      <c r="B24" s="15" t="inlineStr">
        <is>
          <t>jama.2024.12829</t>
        </is>
      </c>
      <c r="C24" s="15" t="inlineStr">
        <is>
          <t>2024::jama.2024.12829::C012</t>
        </is>
      </c>
      <c r="D24" s="15" t="inlineStr">
        <is>
          <t>S_W</t>
        </is>
      </c>
      <c r="E24" s="15">
        <f>Setup!$B$4</f>
        <v/>
      </c>
      <c r="F24" s="15">
        <f>IF(Setup!$B$2="","",Setup!$B$2)</f>
        <v/>
      </c>
      <c r="G24" s="15">
        <f>IFERROR(INDEX('C_jama.2024.12829'!$G$2:$G$18,MATCH(C24,'C_jama.2024.12829'!$A$2:$A$18,0)),"CHECK KEY")</f>
        <v/>
      </c>
      <c r="H24" s="15">
        <f>IF(OR(G24&lt;&gt;"PRIMARY READY",K24="discuss"),"",IF(K24&lt;&gt;"retain","not_eligible",IF(D24="P_R","protocol_descriptive",IF(D24="P_P","plan_descriptive",IF(AND(OR(D24="S_C",D24="S_W"),L24="statistical_results",OR(M24="confirmed_issue",M24="probable_issue"),N24="substantive"),"primary_temporal",IF(AND(OR(D24="S_C",D24="S_W"),L24="report_internal_inconsistency",P24="substantive_inconsistency"),"secondary_temporal","not_eligible"))))))</f>
        <v/>
      </c>
      <c r="I24" s="15" t="inlineStr">
        <is>
          <t>retain</t>
        </is>
      </c>
      <c r="J24" s="15" t="inlineStr">
        <is>
          <t>report_internal_inconsistency</t>
        </is>
      </c>
      <c r="K24" s="15">
        <f>IFERROR(IF(INDEX('C_jama.2024.12829'!$D$2:$D$18,MATCH(C24,'C_jama.2024.12829'!$A$2:$A$18,0))="","",INDEX('C_jama.2024.12829'!$D$2:$D$18,MATCH(C24,'C_jama.2024.12829'!$A$2:$A$18,0))),"")</f>
        <v/>
      </c>
      <c r="L24" s="15">
        <f>IFERROR(IF(INDEX('C_jama.2024.12829'!$E$2:$E$18,MATCH(C24,'C_jama.2024.12829'!$A$2:$A$18,0))="","",INDEX('C_jama.2024.12829'!$E$2:$E$18,MATCH(C24,'C_jama.2024.12829'!$A$2:$A$18,0))),"")</f>
        <v/>
      </c>
      <c r="M24" s="15">
        <f>IFERROR(IF(AND(K24="retain",L24="statistical_results"),IF(INDEX('C_jama.2024.12829'!$H$2:$H$18,MATCH(C24,'C_jama.2024.12829'!$A$2:$A$18,0))="","",INDEX('C_jama.2024.12829'!$H$2:$H$18,MATCH(C24,'C_jama.2024.12829'!$A$2:$A$18,0))),"not_applicable"),"")</f>
        <v/>
      </c>
      <c r="N24" s="15">
        <f>IFERROR(IF(AND(K24="retain",L24="statistical_results"),IF(INDEX('C_jama.2024.12829'!$I$2:$I$18,MATCH(C24,'C_jama.2024.12829'!$A$2:$A$18,0))="","",INDEX('C_jama.2024.12829'!$I$2:$I$18,MATCH(C24,'C_jama.2024.12829'!$A$2:$A$18,0))),"not_applicable"),"")</f>
        <v/>
      </c>
      <c r="O24" s="15">
        <f>IFERROR(IF(AND(K24="retain",L24="statistical_results"),IF(INDEX('C_jama.2024.12829'!$J$2:$J$18,MATCH(C24,'C_jama.2024.12829'!$A$2:$A$18,0))="","",INDEX('C_jama.2024.12829'!$J$2:$J$18,MATCH(C24,'C_jama.2024.12829'!$A$2:$A$18,0))),"not_applicable"),"")</f>
        <v/>
      </c>
      <c r="P24" s="15">
        <f>IFERROR(IF(AND(K24="retain",OR(L24="report_internal_inconsistency",L24="plan_material")),IF(INDEX('C_jama.2024.12829'!$K$2:$K$18,MATCH(C24,'C_jama.2024.12829'!$A$2:$A$18,0))="","",INDEX('C_jama.2024.12829'!$K$2:$K$18,MATCH(C24,'C_jama.2024.12829'!$A$2:$A$18,0))),"not_applicable"),"")</f>
        <v/>
      </c>
      <c r="Q24" s="15">
        <f>IFERROR(IF(AND(K24="retain",L24="protocol_report"),IF(INDEX('C_jama.2024.12829'!$L$2:$L$18,MATCH(C24,'C_jama.2024.12829'!$A$2:$A$18,0))="","",INDEX('C_jama.2024.12829'!$L$2:$L$18,MATCH(C24,'C_jama.2024.12829'!$A$2:$A$18,0))),"not_applicable"),"")</f>
        <v/>
      </c>
      <c r="R24" s="15">
        <f>IFERROR(IF(INDEX('C_jama.2024.12829'!$R$2:$R$18,MATCH(C24,'C_jama.2024.12829'!$A$2:$A$18,0))="","",INDEX('C_jama.2024.12829'!$R$2:$R$18,MATCH(C24,'C_jama.2024.12829'!$A$2:$A$18,0))),"")</f>
        <v/>
      </c>
    </row>
    <row r="25" ht="75" customFormat="1" customHeight="1" s="8">
      <c r="A25" s="16" t="n">
        <v>2024</v>
      </c>
      <c r="B25" s="16" t="inlineStr">
        <is>
          <t>jama.2024.12829</t>
        </is>
      </c>
      <c r="C25" s="16" t="inlineStr">
        <is>
          <t>2024::jama.2024.12829::C013</t>
        </is>
      </c>
      <c r="D25" s="16" t="inlineStr">
        <is>
          <t>P_P</t>
        </is>
      </c>
      <c r="E25" s="16">
        <f>Setup!$B$4</f>
        <v/>
      </c>
      <c r="F25" s="16">
        <f>IF(Setup!$B$2="","",Setup!$B$2)</f>
        <v/>
      </c>
      <c r="G25" s="16">
        <f>IFERROR(INDEX('C_jama.2024.12829'!$G$2:$G$18,MATCH(C25,'C_jama.2024.12829'!$A$2:$A$18,0)),"CHECK KEY")</f>
        <v/>
      </c>
      <c r="H25" s="16">
        <f>IF(OR(G25&lt;&gt;"PRIMARY READY",K25="discuss"),"",IF(K25&lt;&gt;"retain","not_eligible",IF(D25="P_R","protocol_descriptive",IF(D25="P_P","plan_descriptive",IF(AND(OR(D25="S_C",D25="S_W"),L25="statistical_results",OR(M25="confirmed_issue",M25="probable_issue"),N25="substantive"),"primary_temporal",IF(AND(OR(D25="S_C",D25="S_W"),L25="report_internal_inconsistency",P25="substantive_inconsistency"),"secondary_temporal","not_eligible"))))))</f>
        <v/>
      </c>
      <c r="I25" s="16" t="inlineStr">
        <is>
          <t>retain</t>
        </is>
      </c>
      <c r="J25" s="16" t="inlineStr">
        <is>
          <t>plan_material</t>
        </is>
      </c>
      <c r="K25" s="16">
        <f>IFERROR(IF(INDEX('C_jama.2024.12829'!$D$2:$D$18,MATCH(C25,'C_jama.2024.12829'!$A$2:$A$18,0))="","",INDEX('C_jama.2024.12829'!$D$2:$D$18,MATCH(C25,'C_jama.2024.12829'!$A$2:$A$18,0))),"")</f>
        <v/>
      </c>
      <c r="L25" s="16">
        <f>IFERROR(IF(INDEX('C_jama.2024.12829'!$E$2:$E$18,MATCH(C25,'C_jama.2024.12829'!$A$2:$A$18,0))="","",INDEX('C_jama.2024.12829'!$E$2:$E$18,MATCH(C25,'C_jama.2024.12829'!$A$2:$A$18,0))),"")</f>
        <v/>
      </c>
      <c r="M25" s="16">
        <f>IFERROR(IF(AND(K25="retain",L25="statistical_results"),IF(INDEX('C_jama.2024.12829'!$H$2:$H$18,MATCH(C25,'C_jama.2024.12829'!$A$2:$A$18,0))="","",INDEX('C_jama.2024.12829'!$H$2:$H$18,MATCH(C25,'C_jama.2024.12829'!$A$2:$A$18,0))),"not_applicable"),"")</f>
        <v/>
      </c>
      <c r="N25" s="16">
        <f>IFERROR(IF(AND(K25="retain",L25="statistical_results"),IF(INDEX('C_jama.2024.12829'!$I$2:$I$18,MATCH(C25,'C_jama.2024.12829'!$A$2:$A$18,0))="","",INDEX('C_jama.2024.12829'!$I$2:$I$18,MATCH(C25,'C_jama.2024.12829'!$A$2:$A$18,0))),"not_applicable"),"")</f>
        <v/>
      </c>
      <c r="O25" s="16">
        <f>IFERROR(IF(AND(K25="retain",L25="statistical_results"),IF(INDEX('C_jama.2024.12829'!$J$2:$J$18,MATCH(C25,'C_jama.2024.12829'!$A$2:$A$18,0))="","",INDEX('C_jama.2024.12829'!$J$2:$J$18,MATCH(C25,'C_jama.2024.12829'!$A$2:$A$18,0))),"not_applicable"),"")</f>
        <v/>
      </c>
      <c r="P25" s="16">
        <f>IFERROR(IF(AND(K25="retain",OR(L25="report_internal_inconsistency",L25="plan_material")),IF(INDEX('C_jama.2024.12829'!$K$2:$K$18,MATCH(C25,'C_jama.2024.12829'!$A$2:$A$18,0))="","",INDEX('C_jama.2024.12829'!$K$2:$K$18,MATCH(C25,'C_jama.2024.12829'!$A$2:$A$18,0))),"not_applicable"),"")</f>
        <v/>
      </c>
      <c r="Q25" s="16">
        <f>IFERROR(IF(AND(K25="retain",L25="protocol_report"),IF(INDEX('C_jama.2024.12829'!$L$2:$L$18,MATCH(C25,'C_jama.2024.12829'!$A$2:$A$18,0))="","",INDEX('C_jama.2024.12829'!$L$2:$L$18,MATCH(C25,'C_jama.2024.12829'!$A$2:$A$18,0))),"not_applicable"),"")</f>
        <v/>
      </c>
      <c r="R25" s="16">
        <f>IFERROR(IF(INDEX('C_jama.2024.12829'!$R$2:$R$18,MATCH(C25,'C_jama.2024.12829'!$A$2:$A$18,0))="","",INDEX('C_jama.2024.12829'!$R$2:$R$18,MATCH(C25,'C_jama.2024.12829'!$A$2:$A$18,0))),"")</f>
        <v/>
      </c>
    </row>
    <row r="26" ht="75" customFormat="1" customHeight="1" s="8">
      <c r="A26" s="15" t="n">
        <v>2024</v>
      </c>
      <c r="B26" s="15" t="inlineStr">
        <is>
          <t>jama.2024.12829</t>
        </is>
      </c>
      <c r="C26" s="15" t="inlineStr">
        <is>
          <t>2024::jama.2024.12829::C014</t>
        </is>
      </c>
      <c r="D26" s="15" t="inlineStr">
        <is>
          <t>S_W</t>
        </is>
      </c>
      <c r="E26" s="15">
        <f>Setup!$B$4</f>
        <v/>
      </c>
      <c r="F26" s="15">
        <f>IF(Setup!$B$2="","",Setup!$B$2)</f>
        <v/>
      </c>
      <c r="G26" s="15">
        <f>IFERROR(INDEX('C_jama.2024.12829'!$G$2:$G$18,MATCH(C26,'C_jama.2024.12829'!$A$2:$A$18,0)),"CHECK KEY")</f>
        <v/>
      </c>
      <c r="H26" s="15">
        <f>IF(OR(G26&lt;&gt;"PRIMARY READY",K26="discuss"),"",IF(K26&lt;&gt;"retain","not_eligible",IF(D26="P_R","protocol_descriptive",IF(D26="P_P","plan_descriptive",IF(AND(OR(D26="S_C",D26="S_W"),L26="statistical_results",OR(M26="confirmed_issue",M26="probable_issue"),N26="substantive"),"primary_temporal",IF(AND(OR(D26="S_C",D26="S_W"),L26="report_internal_inconsistency",P26="substantive_inconsistency"),"secondary_temporal","not_eligible"))))))</f>
        <v/>
      </c>
      <c r="I26" s="15" t="inlineStr">
        <is>
          <t>retain</t>
        </is>
      </c>
      <c r="J26" s="15" t="inlineStr">
        <is>
          <t>statistical_results</t>
        </is>
      </c>
      <c r="K26" s="15">
        <f>IFERROR(IF(INDEX('C_jama.2024.12829'!$D$2:$D$18,MATCH(C26,'C_jama.2024.12829'!$A$2:$A$18,0))="","",INDEX('C_jama.2024.12829'!$D$2:$D$18,MATCH(C26,'C_jama.2024.12829'!$A$2:$A$18,0))),"")</f>
        <v/>
      </c>
      <c r="L26" s="15">
        <f>IFERROR(IF(INDEX('C_jama.2024.12829'!$E$2:$E$18,MATCH(C26,'C_jama.2024.12829'!$A$2:$A$18,0))="","",INDEX('C_jama.2024.12829'!$E$2:$E$18,MATCH(C26,'C_jama.2024.12829'!$A$2:$A$18,0))),"")</f>
        <v/>
      </c>
      <c r="M26" s="15">
        <f>IFERROR(IF(AND(K26="retain",L26="statistical_results"),IF(INDEX('C_jama.2024.12829'!$H$2:$H$18,MATCH(C26,'C_jama.2024.12829'!$A$2:$A$18,0))="","",INDEX('C_jama.2024.12829'!$H$2:$H$18,MATCH(C26,'C_jama.2024.12829'!$A$2:$A$18,0))),"not_applicable"),"")</f>
        <v/>
      </c>
      <c r="N26" s="15">
        <f>IFERROR(IF(AND(K26="retain",L26="statistical_results"),IF(INDEX('C_jama.2024.12829'!$I$2:$I$18,MATCH(C26,'C_jama.2024.12829'!$A$2:$A$18,0))="","",INDEX('C_jama.2024.12829'!$I$2:$I$18,MATCH(C26,'C_jama.2024.12829'!$A$2:$A$18,0))),"not_applicable"),"")</f>
        <v/>
      </c>
      <c r="O26" s="15">
        <f>IFERROR(IF(AND(K26="retain",L26="statistical_results"),IF(INDEX('C_jama.2024.12829'!$J$2:$J$18,MATCH(C26,'C_jama.2024.12829'!$A$2:$A$18,0))="","",INDEX('C_jama.2024.12829'!$J$2:$J$18,MATCH(C26,'C_jama.2024.12829'!$A$2:$A$18,0))),"not_applicable"),"")</f>
        <v/>
      </c>
      <c r="P26" s="15">
        <f>IFERROR(IF(AND(K26="retain",OR(L26="report_internal_inconsistency",L26="plan_material")),IF(INDEX('C_jama.2024.12829'!$K$2:$K$18,MATCH(C26,'C_jama.2024.12829'!$A$2:$A$18,0))="","",INDEX('C_jama.2024.12829'!$K$2:$K$18,MATCH(C26,'C_jama.2024.12829'!$A$2:$A$18,0))),"not_applicable"),"")</f>
        <v/>
      </c>
      <c r="Q26" s="15">
        <f>IFERROR(IF(AND(K26="retain",L26="protocol_report"),IF(INDEX('C_jama.2024.12829'!$L$2:$L$18,MATCH(C26,'C_jama.2024.12829'!$A$2:$A$18,0))="","",INDEX('C_jama.2024.12829'!$L$2:$L$18,MATCH(C26,'C_jama.2024.12829'!$A$2:$A$18,0))),"not_applicable"),"")</f>
        <v/>
      </c>
      <c r="R26" s="15">
        <f>IFERROR(IF(INDEX('C_jama.2024.12829'!$R$2:$R$18,MATCH(C26,'C_jama.2024.12829'!$A$2:$A$18,0))="","",INDEX('C_jama.2024.12829'!$R$2:$R$18,MATCH(C26,'C_jama.2024.12829'!$A$2:$A$18,0))),"")</f>
        <v/>
      </c>
    </row>
    <row r="27" ht="75" customFormat="1" customHeight="1" s="8">
      <c r="A27" s="16" t="n">
        <v>2024</v>
      </c>
      <c r="B27" s="16" t="inlineStr">
        <is>
          <t>jama.2024.12829</t>
        </is>
      </c>
      <c r="C27" s="16" t="inlineStr">
        <is>
          <t>2024::jama.2024.12829::C015</t>
        </is>
      </c>
      <c r="D27" s="16" t="inlineStr">
        <is>
          <t>S_W</t>
        </is>
      </c>
      <c r="E27" s="16">
        <f>Setup!$B$4</f>
        <v/>
      </c>
      <c r="F27" s="16">
        <f>IF(Setup!$B$2="","",Setup!$B$2)</f>
        <v/>
      </c>
      <c r="G27" s="16">
        <f>IFERROR(INDEX('C_jama.2024.12829'!$G$2:$G$18,MATCH(C27,'C_jama.2024.12829'!$A$2:$A$18,0)),"CHECK KEY")</f>
        <v/>
      </c>
      <c r="H27" s="16">
        <f>IF(OR(G27&lt;&gt;"PRIMARY READY",K27="discuss"),"",IF(K27&lt;&gt;"retain","not_eligible",IF(D27="P_R","protocol_descriptive",IF(D27="P_P","plan_descriptive",IF(AND(OR(D27="S_C",D27="S_W"),L27="statistical_results",OR(M27="confirmed_issue",M27="probable_issue"),N27="substantive"),"primary_temporal",IF(AND(OR(D27="S_C",D27="S_W"),L27="report_internal_inconsistency",P27="substantive_inconsistency"),"secondary_temporal","not_eligible"))))))</f>
        <v/>
      </c>
      <c r="I27" s="16" t="inlineStr">
        <is>
          <t>retain</t>
        </is>
      </c>
      <c r="J27" s="16" t="inlineStr">
        <is>
          <t>report_internal_inconsistency</t>
        </is>
      </c>
      <c r="K27" s="16">
        <f>IFERROR(IF(INDEX('C_jama.2024.12829'!$D$2:$D$18,MATCH(C27,'C_jama.2024.12829'!$A$2:$A$18,0))="","",INDEX('C_jama.2024.12829'!$D$2:$D$18,MATCH(C27,'C_jama.2024.12829'!$A$2:$A$18,0))),"")</f>
        <v/>
      </c>
      <c r="L27" s="16">
        <f>IFERROR(IF(INDEX('C_jama.2024.12829'!$E$2:$E$18,MATCH(C27,'C_jama.2024.12829'!$A$2:$A$18,0))="","",INDEX('C_jama.2024.12829'!$E$2:$E$18,MATCH(C27,'C_jama.2024.12829'!$A$2:$A$18,0))),"")</f>
        <v/>
      </c>
      <c r="M27" s="16">
        <f>IFERROR(IF(AND(K27="retain",L27="statistical_results"),IF(INDEX('C_jama.2024.12829'!$H$2:$H$18,MATCH(C27,'C_jama.2024.12829'!$A$2:$A$18,0))="","",INDEX('C_jama.2024.12829'!$H$2:$H$18,MATCH(C27,'C_jama.2024.12829'!$A$2:$A$18,0))),"not_applicable"),"")</f>
        <v/>
      </c>
      <c r="N27" s="16">
        <f>IFERROR(IF(AND(K27="retain",L27="statistical_results"),IF(INDEX('C_jama.2024.12829'!$I$2:$I$18,MATCH(C27,'C_jama.2024.12829'!$A$2:$A$18,0))="","",INDEX('C_jama.2024.12829'!$I$2:$I$18,MATCH(C27,'C_jama.2024.12829'!$A$2:$A$18,0))),"not_applicable"),"")</f>
        <v/>
      </c>
      <c r="O27" s="16">
        <f>IFERROR(IF(AND(K27="retain",L27="statistical_results"),IF(INDEX('C_jama.2024.12829'!$J$2:$J$18,MATCH(C27,'C_jama.2024.12829'!$A$2:$A$18,0))="","",INDEX('C_jama.2024.12829'!$J$2:$J$18,MATCH(C27,'C_jama.2024.12829'!$A$2:$A$18,0))),"not_applicable"),"")</f>
        <v/>
      </c>
      <c r="P27" s="16">
        <f>IFERROR(IF(AND(K27="retain",OR(L27="report_internal_inconsistency",L27="plan_material")),IF(INDEX('C_jama.2024.12829'!$K$2:$K$18,MATCH(C27,'C_jama.2024.12829'!$A$2:$A$18,0))="","",INDEX('C_jama.2024.12829'!$K$2:$K$18,MATCH(C27,'C_jama.2024.12829'!$A$2:$A$18,0))),"not_applicable"),"")</f>
        <v/>
      </c>
      <c r="Q27" s="16">
        <f>IFERROR(IF(AND(K27="retain",L27="protocol_report"),IF(INDEX('C_jama.2024.12829'!$L$2:$L$18,MATCH(C27,'C_jama.2024.12829'!$A$2:$A$18,0))="","",INDEX('C_jama.2024.12829'!$L$2:$L$18,MATCH(C27,'C_jama.2024.12829'!$A$2:$A$18,0))),"not_applicable"),"")</f>
        <v/>
      </c>
      <c r="R27" s="16">
        <f>IFERROR(IF(INDEX('C_jama.2024.12829'!$R$2:$R$18,MATCH(C27,'C_jama.2024.12829'!$A$2:$A$18,0))="","",INDEX('C_jama.2024.12829'!$R$2:$R$18,MATCH(C27,'C_jama.2024.12829'!$A$2:$A$18,0))),"")</f>
        <v/>
      </c>
    </row>
    <row r="28" ht="75" customFormat="1" customHeight="1" s="8">
      <c r="A28" s="15" t="n">
        <v>2024</v>
      </c>
      <c r="B28" s="15" t="inlineStr">
        <is>
          <t>jama.2024.12829</t>
        </is>
      </c>
      <c r="C28" s="15" t="inlineStr">
        <is>
          <t>2024::jama.2024.12829::C016</t>
        </is>
      </c>
      <c r="D28" s="15" t="inlineStr">
        <is>
          <t>S_C</t>
        </is>
      </c>
      <c r="E28" s="15">
        <f>Setup!$B$4</f>
        <v/>
      </c>
      <c r="F28" s="15">
        <f>IF(Setup!$B$2="","",Setup!$B$2)</f>
        <v/>
      </c>
      <c r="G28" s="15">
        <f>IFERROR(INDEX('C_jama.2024.12829'!$G$2:$G$18,MATCH(C28,'C_jama.2024.12829'!$A$2:$A$18,0)),"CHECK KEY")</f>
        <v/>
      </c>
      <c r="H28" s="15">
        <f>IF(OR(G28&lt;&gt;"PRIMARY READY",K28="discuss"),"",IF(K28&lt;&gt;"retain","not_eligible",IF(D28="P_R","protocol_descriptive",IF(D28="P_P","plan_descriptive",IF(AND(OR(D28="S_C",D28="S_W"),L28="statistical_results",OR(M28="confirmed_issue",M28="probable_issue"),N28="substantive"),"primary_temporal",IF(AND(OR(D28="S_C",D28="S_W"),L28="report_internal_inconsistency",P28="substantive_inconsistency"),"secondary_temporal","not_eligible"))))))</f>
        <v/>
      </c>
      <c r="I28" s="15" t="inlineStr">
        <is>
          <t>retain</t>
        </is>
      </c>
      <c r="J28" s="15" t="inlineStr">
        <is>
          <t>report_internal_inconsistency</t>
        </is>
      </c>
      <c r="K28" s="15">
        <f>IFERROR(IF(INDEX('C_jama.2024.12829'!$D$2:$D$18,MATCH(C28,'C_jama.2024.12829'!$A$2:$A$18,0))="","",INDEX('C_jama.2024.12829'!$D$2:$D$18,MATCH(C28,'C_jama.2024.12829'!$A$2:$A$18,0))),"")</f>
        <v/>
      </c>
      <c r="L28" s="15">
        <f>IFERROR(IF(INDEX('C_jama.2024.12829'!$E$2:$E$18,MATCH(C28,'C_jama.2024.12829'!$A$2:$A$18,0))="","",INDEX('C_jama.2024.12829'!$E$2:$E$18,MATCH(C28,'C_jama.2024.12829'!$A$2:$A$18,0))),"")</f>
        <v/>
      </c>
      <c r="M28" s="15">
        <f>IFERROR(IF(AND(K28="retain",L28="statistical_results"),IF(INDEX('C_jama.2024.12829'!$H$2:$H$18,MATCH(C28,'C_jama.2024.12829'!$A$2:$A$18,0))="","",INDEX('C_jama.2024.12829'!$H$2:$H$18,MATCH(C28,'C_jama.2024.12829'!$A$2:$A$18,0))),"not_applicable"),"")</f>
        <v/>
      </c>
      <c r="N28" s="15">
        <f>IFERROR(IF(AND(K28="retain",L28="statistical_results"),IF(INDEX('C_jama.2024.12829'!$I$2:$I$18,MATCH(C28,'C_jama.2024.12829'!$A$2:$A$18,0))="","",INDEX('C_jama.2024.12829'!$I$2:$I$18,MATCH(C28,'C_jama.2024.12829'!$A$2:$A$18,0))),"not_applicable"),"")</f>
        <v/>
      </c>
      <c r="O28" s="15">
        <f>IFERROR(IF(AND(K28="retain",L28="statistical_results"),IF(INDEX('C_jama.2024.12829'!$J$2:$J$18,MATCH(C28,'C_jama.2024.12829'!$A$2:$A$18,0))="","",INDEX('C_jama.2024.12829'!$J$2:$J$18,MATCH(C28,'C_jama.2024.12829'!$A$2:$A$18,0))),"not_applicable"),"")</f>
        <v/>
      </c>
      <c r="P28" s="15">
        <f>IFERROR(IF(AND(K28="retain",OR(L28="report_internal_inconsistency",L28="plan_material")),IF(INDEX('C_jama.2024.12829'!$K$2:$K$18,MATCH(C28,'C_jama.2024.12829'!$A$2:$A$18,0))="","",INDEX('C_jama.2024.12829'!$K$2:$K$18,MATCH(C28,'C_jama.2024.12829'!$A$2:$A$18,0))),"not_applicable"),"")</f>
        <v/>
      </c>
      <c r="Q28" s="15">
        <f>IFERROR(IF(AND(K28="retain",L28="protocol_report"),IF(INDEX('C_jama.2024.12829'!$L$2:$L$18,MATCH(C28,'C_jama.2024.12829'!$A$2:$A$18,0))="","",INDEX('C_jama.2024.12829'!$L$2:$L$18,MATCH(C28,'C_jama.2024.12829'!$A$2:$A$18,0))),"not_applicable"),"")</f>
        <v/>
      </c>
      <c r="R28" s="15">
        <f>IFERROR(IF(INDEX('C_jama.2024.12829'!$R$2:$R$18,MATCH(C28,'C_jama.2024.12829'!$A$2:$A$18,0))="","",INDEX('C_jama.2024.12829'!$R$2:$R$18,MATCH(C28,'C_jama.2024.12829'!$A$2:$A$18,0))),"")</f>
        <v/>
      </c>
    </row>
    <row r="29" ht="75" customFormat="1" customHeight="1" s="8">
      <c r="A29" s="16" t="n">
        <v>2024</v>
      </c>
      <c r="B29" s="16" t="inlineStr">
        <is>
          <t>jama.2024.12829</t>
        </is>
      </c>
      <c r="C29" s="16" t="inlineStr">
        <is>
          <t>2024::jama.2024.12829::C017</t>
        </is>
      </c>
      <c r="D29" s="16" t="inlineStr">
        <is>
          <t>S_W</t>
        </is>
      </c>
      <c r="E29" s="16">
        <f>Setup!$B$4</f>
        <v/>
      </c>
      <c r="F29" s="16">
        <f>IF(Setup!$B$2="","",Setup!$B$2)</f>
        <v/>
      </c>
      <c r="G29" s="16">
        <f>IFERROR(INDEX('C_jama.2024.12829'!$G$2:$G$18,MATCH(C29,'C_jama.2024.12829'!$A$2:$A$18,0)),"CHECK KEY")</f>
        <v/>
      </c>
      <c r="H29" s="16">
        <f>IF(OR(G29&lt;&gt;"PRIMARY READY",K29="discuss"),"",IF(K29&lt;&gt;"retain","not_eligible",IF(D29="P_R","protocol_descriptive",IF(D29="P_P","plan_descriptive",IF(AND(OR(D29="S_C",D29="S_W"),L29="statistical_results",OR(M29="confirmed_issue",M29="probable_issue"),N29="substantive"),"primary_temporal",IF(AND(OR(D29="S_C",D29="S_W"),L29="report_internal_inconsistency",P29="substantive_inconsistency"),"secondary_temporal","not_eligible"))))))</f>
        <v/>
      </c>
      <c r="I29" s="16" t="inlineStr">
        <is>
          <t>retain</t>
        </is>
      </c>
      <c r="J29" s="16" t="inlineStr">
        <is>
          <t>statistical_results</t>
        </is>
      </c>
      <c r="K29" s="16">
        <f>IFERROR(IF(INDEX('C_jama.2024.12829'!$D$2:$D$18,MATCH(C29,'C_jama.2024.12829'!$A$2:$A$18,0))="","",INDEX('C_jama.2024.12829'!$D$2:$D$18,MATCH(C29,'C_jama.2024.12829'!$A$2:$A$18,0))),"")</f>
        <v/>
      </c>
      <c r="L29" s="16">
        <f>IFERROR(IF(INDEX('C_jama.2024.12829'!$E$2:$E$18,MATCH(C29,'C_jama.2024.12829'!$A$2:$A$18,0))="","",INDEX('C_jama.2024.12829'!$E$2:$E$18,MATCH(C29,'C_jama.2024.12829'!$A$2:$A$18,0))),"")</f>
        <v/>
      </c>
      <c r="M29" s="16">
        <f>IFERROR(IF(AND(K29="retain",L29="statistical_results"),IF(INDEX('C_jama.2024.12829'!$H$2:$H$18,MATCH(C29,'C_jama.2024.12829'!$A$2:$A$18,0))="","",INDEX('C_jama.2024.12829'!$H$2:$H$18,MATCH(C29,'C_jama.2024.12829'!$A$2:$A$18,0))),"not_applicable"),"")</f>
        <v/>
      </c>
      <c r="N29" s="16">
        <f>IFERROR(IF(AND(K29="retain",L29="statistical_results"),IF(INDEX('C_jama.2024.12829'!$I$2:$I$18,MATCH(C29,'C_jama.2024.12829'!$A$2:$A$18,0))="","",INDEX('C_jama.2024.12829'!$I$2:$I$18,MATCH(C29,'C_jama.2024.12829'!$A$2:$A$18,0))),"not_applicable"),"")</f>
        <v/>
      </c>
      <c r="O29" s="16">
        <f>IFERROR(IF(AND(K29="retain",L29="statistical_results"),IF(INDEX('C_jama.2024.12829'!$J$2:$J$18,MATCH(C29,'C_jama.2024.12829'!$A$2:$A$18,0))="","",INDEX('C_jama.2024.12829'!$J$2:$J$18,MATCH(C29,'C_jama.2024.12829'!$A$2:$A$18,0))),"not_applicable"),"")</f>
        <v/>
      </c>
      <c r="P29" s="16">
        <f>IFERROR(IF(AND(K29="retain",OR(L29="report_internal_inconsistency",L29="plan_material")),IF(INDEX('C_jama.2024.12829'!$K$2:$K$18,MATCH(C29,'C_jama.2024.12829'!$A$2:$A$18,0))="","",INDEX('C_jama.2024.12829'!$K$2:$K$18,MATCH(C29,'C_jama.2024.12829'!$A$2:$A$18,0))),"not_applicable"),"")</f>
        <v/>
      </c>
      <c r="Q29" s="16">
        <f>IFERROR(IF(AND(K29="retain",L29="protocol_report"),IF(INDEX('C_jama.2024.12829'!$L$2:$L$18,MATCH(C29,'C_jama.2024.12829'!$A$2:$A$18,0))="","",INDEX('C_jama.2024.12829'!$L$2:$L$18,MATCH(C29,'C_jama.2024.12829'!$A$2:$A$18,0))),"not_applicable"),"")</f>
        <v/>
      </c>
      <c r="R29" s="16">
        <f>IFERROR(IF(INDEX('C_jama.2024.12829'!$R$2:$R$18,MATCH(C29,'C_jama.2024.12829'!$A$2:$A$18,0))="","",INDEX('C_jama.2024.12829'!$R$2:$R$18,MATCH(C29,'C_jama.2024.12829'!$A$2:$A$18,0))),"")</f>
        <v/>
      </c>
    </row>
    <row r="30" ht="75" customFormat="1" customHeight="1" s="8">
      <c r="A30" s="15" t="n">
        <v>2024</v>
      </c>
      <c r="B30" s="15" t="inlineStr">
        <is>
          <t>jama.2024.19585</t>
        </is>
      </c>
      <c r="C30" s="15" t="inlineStr">
        <is>
          <t>2024::jama.2024.19585::C001</t>
        </is>
      </c>
      <c r="D30" s="15" t="inlineStr">
        <is>
          <t>S_W</t>
        </is>
      </c>
      <c r="E30" s="15">
        <f>Setup!$B$4</f>
        <v/>
      </c>
      <c r="F30" s="15">
        <f>IF(Setup!$B$2="","",Setup!$B$2)</f>
        <v/>
      </c>
      <c r="G30" s="15">
        <f>IFERROR(INDEX('C_jama.2024.19585'!$G$2:$G$4,MATCH(C30,'C_jama.2024.19585'!$A$2:$A$4,0)),"CHECK KEY")</f>
        <v/>
      </c>
      <c r="H30" s="15">
        <f>IF(OR(G30&lt;&gt;"PRIMARY READY",K30="discuss"),"",IF(K30&lt;&gt;"retain","not_eligible",IF(D30="P_R","protocol_descriptive",IF(D30="P_P","plan_descriptive",IF(AND(OR(D30="S_C",D30="S_W"),L30="statistical_results",OR(M30="confirmed_issue",M30="probable_issue"),N30="substantive"),"primary_temporal",IF(AND(OR(D30="S_C",D30="S_W"),L30="report_internal_inconsistency",P30="substantive_inconsistency"),"secondary_temporal","not_eligible"))))))</f>
        <v/>
      </c>
      <c r="I30" s="15" t="inlineStr">
        <is>
          <t>exclude</t>
        </is>
      </c>
      <c r="J30" s="15" t="inlineStr">
        <is>
          <t>statistical_results</t>
        </is>
      </c>
      <c r="K30" s="15">
        <f>IFERROR(IF(INDEX('C_jama.2024.19585'!$D$2:$D$4,MATCH(C30,'C_jama.2024.19585'!$A$2:$A$4,0))="","",INDEX('C_jama.2024.19585'!$D$2:$D$4,MATCH(C30,'C_jama.2024.19585'!$A$2:$A$4,0))),"")</f>
        <v/>
      </c>
      <c r="L30" s="15">
        <f>IFERROR(IF(INDEX('C_jama.2024.19585'!$E$2:$E$4,MATCH(C30,'C_jama.2024.19585'!$A$2:$A$4,0))="","",INDEX('C_jama.2024.19585'!$E$2:$E$4,MATCH(C30,'C_jama.2024.19585'!$A$2:$A$4,0))),"")</f>
        <v/>
      </c>
      <c r="M30" s="15">
        <f>IFERROR(IF(AND(K30="retain",L30="statistical_results"),IF(INDEX('C_jama.2024.19585'!$H$2:$H$4,MATCH(C30,'C_jama.2024.19585'!$A$2:$A$4,0))="","",INDEX('C_jama.2024.19585'!$H$2:$H$4,MATCH(C30,'C_jama.2024.19585'!$A$2:$A$4,0))),"not_applicable"),"")</f>
        <v/>
      </c>
      <c r="N30" s="15">
        <f>IFERROR(IF(AND(K30="retain",L30="statistical_results"),IF(INDEX('C_jama.2024.19585'!$I$2:$I$4,MATCH(C30,'C_jama.2024.19585'!$A$2:$A$4,0))="","",INDEX('C_jama.2024.19585'!$I$2:$I$4,MATCH(C30,'C_jama.2024.19585'!$A$2:$A$4,0))),"not_applicable"),"")</f>
        <v/>
      </c>
      <c r="O30" s="15">
        <f>IFERROR(IF(AND(K30="retain",L30="statistical_results"),IF(INDEX('C_jama.2024.19585'!$J$2:$J$4,MATCH(C30,'C_jama.2024.19585'!$A$2:$A$4,0))="","",INDEX('C_jama.2024.19585'!$J$2:$J$4,MATCH(C30,'C_jama.2024.19585'!$A$2:$A$4,0))),"not_applicable"),"")</f>
        <v/>
      </c>
      <c r="P30" s="15">
        <f>IFERROR(IF(AND(K30="retain",OR(L30="report_internal_inconsistency",L30="plan_material")),IF(INDEX('C_jama.2024.19585'!$K$2:$K$4,MATCH(C30,'C_jama.2024.19585'!$A$2:$A$4,0))="","",INDEX('C_jama.2024.19585'!$K$2:$K$4,MATCH(C30,'C_jama.2024.19585'!$A$2:$A$4,0))),"not_applicable"),"")</f>
        <v/>
      </c>
      <c r="Q30" s="15">
        <f>IFERROR(IF(AND(K30="retain",L30="protocol_report"),IF(INDEX('C_jama.2024.19585'!$L$2:$L$4,MATCH(C30,'C_jama.2024.19585'!$A$2:$A$4,0))="","",INDEX('C_jama.2024.19585'!$L$2:$L$4,MATCH(C30,'C_jama.2024.19585'!$A$2:$A$4,0))),"not_applicable"),"")</f>
        <v/>
      </c>
      <c r="R30" s="15">
        <f>IFERROR(IF(INDEX('C_jama.2024.19585'!$R$2:$R$4,MATCH(C30,'C_jama.2024.19585'!$A$2:$A$4,0))="","",INDEX('C_jama.2024.19585'!$R$2:$R$4,MATCH(C30,'C_jama.2024.19585'!$A$2:$A$4,0))),"")</f>
        <v/>
      </c>
    </row>
    <row r="31" ht="75" customFormat="1" customHeight="1" s="8">
      <c r="A31" s="16" t="n">
        <v>2024</v>
      </c>
      <c r="B31" s="16" t="inlineStr">
        <is>
          <t>jama.2024.19585</t>
        </is>
      </c>
      <c r="C31" s="16" t="inlineStr">
        <is>
          <t>2024::jama.2024.19585::C002</t>
        </is>
      </c>
      <c r="D31" s="16" t="inlineStr">
        <is>
          <t>S_C</t>
        </is>
      </c>
      <c r="E31" s="16">
        <f>Setup!$B$4</f>
        <v/>
      </c>
      <c r="F31" s="16">
        <f>IF(Setup!$B$2="","",Setup!$B$2)</f>
        <v/>
      </c>
      <c r="G31" s="16">
        <f>IFERROR(INDEX('C_jama.2024.19585'!$G$2:$G$4,MATCH(C31,'C_jama.2024.19585'!$A$2:$A$4,0)),"CHECK KEY")</f>
        <v/>
      </c>
      <c r="H31" s="16">
        <f>IF(OR(G31&lt;&gt;"PRIMARY READY",K31="discuss"),"",IF(K31&lt;&gt;"retain","not_eligible",IF(D31="P_R","protocol_descriptive",IF(D31="P_P","plan_descriptive",IF(AND(OR(D31="S_C",D31="S_W"),L31="statistical_results",OR(M31="confirmed_issue",M31="probable_issue"),N31="substantive"),"primary_temporal",IF(AND(OR(D31="S_C",D31="S_W"),L31="report_internal_inconsistency",P31="substantive_inconsistency"),"secondary_temporal","not_eligible"))))))</f>
        <v/>
      </c>
      <c r="I31" s="16" t="inlineStr">
        <is>
          <t>retain</t>
        </is>
      </c>
      <c r="J31" s="16" t="inlineStr">
        <is>
          <t>report_internal_inconsistency</t>
        </is>
      </c>
      <c r="K31" s="16">
        <f>IFERROR(IF(INDEX('C_jama.2024.19585'!$D$2:$D$4,MATCH(C31,'C_jama.2024.19585'!$A$2:$A$4,0))="","",INDEX('C_jama.2024.19585'!$D$2:$D$4,MATCH(C31,'C_jama.2024.19585'!$A$2:$A$4,0))),"")</f>
        <v/>
      </c>
      <c r="L31" s="16">
        <f>IFERROR(IF(INDEX('C_jama.2024.19585'!$E$2:$E$4,MATCH(C31,'C_jama.2024.19585'!$A$2:$A$4,0))="","",INDEX('C_jama.2024.19585'!$E$2:$E$4,MATCH(C31,'C_jama.2024.19585'!$A$2:$A$4,0))),"")</f>
        <v/>
      </c>
      <c r="M31" s="16">
        <f>IFERROR(IF(AND(K31="retain",L31="statistical_results"),IF(INDEX('C_jama.2024.19585'!$H$2:$H$4,MATCH(C31,'C_jama.2024.19585'!$A$2:$A$4,0))="","",INDEX('C_jama.2024.19585'!$H$2:$H$4,MATCH(C31,'C_jama.2024.19585'!$A$2:$A$4,0))),"not_applicable"),"")</f>
        <v/>
      </c>
      <c r="N31" s="16">
        <f>IFERROR(IF(AND(K31="retain",L31="statistical_results"),IF(INDEX('C_jama.2024.19585'!$I$2:$I$4,MATCH(C31,'C_jama.2024.19585'!$A$2:$A$4,0))="","",INDEX('C_jama.2024.19585'!$I$2:$I$4,MATCH(C31,'C_jama.2024.19585'!$A$2:$A$4,0))),"not_applicable"),"")</f>
        <v/>
      </c>
      <c r="O31" s="16">
        <f>IFERROR(IF(AND(K31="retain",L31="statistical_results"),IF(INDEX('C_jama.2024.19585'!$J$2:$J$4,MATCH(C31,'C_jama.2024.19585'!$A$2:$A$4,0))="","",INDEX('C_jama.2024.19585'!$J$2:$J$4,MATCH(C31,'C_jama.2024.19585'!$A$2:$A$4,0))),"not_applicable"),"")</f>
        <v/>
      </c>
      <c r="P31" s="16">
        <f>IFERROR(IF(AND(K31="retain",OR(L31="report_internal_inconsistency",L31="plan_material")),IF(INDEX('C_jama.2024.19585'!$K$2:$K$4,MATCH(C31,'C_jama.2024.19585'!$A$2:$A$4,0))="","",INDEX('C_jama.2024.19585'!$K$2:$K$4,MATCH(C31,'C_jama.2024.19585'!$A$2:$A$4,0))),"not_applicable"),"")</f>
        <v/>
      </c>
      <c r="Q31" s="16">
        <f>IFERROR(IF(AND(K31="retain",L31="protocol_report"),IF(INDEX('C_jama.2024.19585'!$L$2:$L$4,MATCH(C31,'C_jama.2024.19585'!$A$2:$A$4,0))="","",INDEX('C_jama.2024.19585'!$L$2:$L$4,MATCH(C31,'C_jama.2024.19585'!$A$2:$A$4,0))),"not_applicable"),"")</f>
        <v/>
      </c>
      <c r="R31" s="16">
        <f>IFERROR(IF(INDEX('C_jama.2024.19585'!$R$2:$R$4,MATCH(C31,'C_jama.2024.19585'!$A$2:$A$4,0))="","",INDEX('C_jama.2024.19585'!$R$2:$R$4,MATCH(C31,'C_jama.2024.19585'!$A$2:$A$4,0))),"")</f>
        <v/>
      </c>
    </row>
    <row r="32" ht="75" customFormat="1" customHeight="1" s="8">
      <c r="A32" s="15" t="n">
        <v>2024</v>
      </c>
      <c r="B32" s="15" t="inlineStr">
        <is>
          <t>jama.2024.19585</t>
        </is>
      </c>
      <c r="C32" s="15" t="inlineStr">
        <is>
          <t>2024::jama.2024.19585::C003</t>
        </is>
      </c>
      <c r="D32" s="15" t="inlineStr">
        <is>
          <t>S_W</t>
        </is>
      </c>
      <c r="E32" s="15">
        <f>Setup!$B$4</f>
        <v/>
      </c>
      <c r="F32" s="15">
        <f>IF(Setup!$B$2="","",Setup!$B$2)</f>
        <v/>
      </c>
      <c r="G32" s="15">
        <f>IFERROR(INDEX('C_jama.2024.19585'!$G$2:$G$4,MATCH(C32,'C_jama.2024.19585'!$A$2:$A$4,0)),"CHECK KEY")</f>
        <v/>
      </c>
      <c r="H32" s="15">
        <f>IF(OR(G32&lt;&gt;"PRIMARY READY",K32="discuss"),"",IF(K32&lt;&gt;"retain","not_eligible",IF(D32="P_R","protocol_descriptive",IF(D32="P_P","plan_descriptive",IF(AND(OR(D32="S_C",D32="S_W"),L32="statistical_results",OR(M32="confirmed_issue",M32="probable_issue"),N32="substantive"),"primary_temporal",IF(AND(OR(D32="S_C",D32="S_W"),L32="report_internal_inconsistency",P32="substantive_inconsistency"),"secondary_temporal","not_eligible"))))))</f>
        <v/>
      </c>
      <c r="I32" s="15" t="inlineStr">
        <is>
          <t>retain</t>
        </is>
      </c>
      <c r="J32" s="15" t="inlineStr">
        <is>
          <t>report_internal_inconsistency</t>
        </is>
      </c>
      <c r="K32" s="15">
        <f>IFERROR(IF(INDEX('C_jama.2024.19585'!$D$2:$D$4,MATCH(C32,'C_jama.2024.19585'!$A$2:$A$4,0))="","",INDEX('C_jama.2024.19585'!$D$2:$D$4,MATCH(C32,'C_jama.2024.19585'!$A$2:$A$4,0))),"")</f>
        <v/>
      </c>
      <c r="L32" s="15">
        <f>IFERROR(IF(INDEX('C_jama.2024.19585'!$E$2:$E$4,MATCH(C32,'C_jama.2024.19585'!$A$2:$A$4,0))="","",INDEX('C_jama.2024.19585'!$E$2:$E$4,MATCH(C32,'C_jama.2024.19585'!$A$2:$A$4,0))),"")</f>
        <v/>
      </c>
      <c r="M32" s="15">
        <f>IFERROR(IF(AND(K32="retain",L32="statistical_results"),IF(INDEX('C_jama.2024.19585'!$H$2:$H$4,MATCH(C32,'C_jama.2024.19585'!$A$2:$A$4,0))="","",INDEX('C_jama.2024.19585'!$H$2:$H$4,MATCH(C32,'C_jama.2024.19585'!$A$2:$A$4,0))),"not_applicable"),"")</f>
        <v/>
      </c>
      <c r="N32" s="15">
        <f>IFERROR(IF(AND(K32="retain",L32="statistical_results"),IF(INDEX('C_jama.2024.19585'!$I$2:$I$4,MATCH(C32,'C_jama.2024.19585'!$A$2:$A$4,0))="","",INDEX('C_jama.2024.19585'!$I$2:$I$4,MATCH(C32,'C_jama.2024.19585'!$A$2:$A$4,0))),"not_applicable"),"")</f>
        <v/>
      </c>
      <c r="O32" s="15">
        <f>IFERROR(IF(AND(K32="retain",L32="statistical_results"),IF(INDEX('C_jama.2024.19585'!$J$2:$J$4,MATCH(C32,'C_jama.2024.19585'!$A$2:$A$4,0))="","",INDEX('C_jama.2024.19585'!$J$2:$J$4,MATCH(C32,'C_jama.2024.19585'!$A$2:$A$4,0))),"not_applicable"),"")</f>
        <v/>
      </c>
      <c r="P32" s="15">
        <f>IFERROR(IF(AND(K32="retain",OR(L32="report_internal_inconsistency",L32="plan_material")),IF(INDEX('C_jama.2024.19585'!$K$2:$K$4,MATCH(C32,'C_jama.2024.19585'!$A$2:$A$4,0))="","",INDEX('C_jama.2024.19585'!$K$2:$K$4,MATCH(C32,'C_jama.2024.19585'!$A$2:$A$4,0))),"not_applicable"),"")</f>
        <v/>
      </c>
      <c r="Q32" s="15">
        <f>IFERROR(IF(AND(K32="retain",L32="protocol_report"),IF(INDEX('C_jama.2024.19585'!$L$2:$L$4,MATCH(C32,'C_jama.2024.19585'!$A$2:$A$4,0))="","",INDEX('C_jama.2024.19585'!$L$2:$L$4,MATCH(C32,'C_jama.2024.19585'!$A$2:$A$4,0))),"not_applicable"),"")</f>
        <v/>
      </c>
      <c r="R32" s="15">
        <f>IFERROR(IF(INDEX('C_jama.2024.19585'!$R$2:$R$4,MATCH(C32,'C_jama.2024.19585'!$A$2:$A$4,0))="","",INDEX('C_jama.2024.19585'!$R$2:$R$4,MATCH(C32,'C_jama.2024.19585'!$A$2:$A$4,0))),"")</f>
        <v/>
      </c>
    </row>
    <row r="33" ht="75" customFormat="1" customHeight="1" s="8">
      <c r="A33" s="16" t="n">
        <v>2024</v>
      </c>
      <c r="B33" s="16" t="inlineStr">
        <is>
          <t>jama.2024.2302</t>
        </is>
      </c>
      <c r="C33" s="16" t="inlineStr">
        <is>
          <t>2024::jama.2024.2302::C001</t>
        </is>
      </c>
      <c r="D33" s="16" t="inlineStr">
        <is>
          <t>P_R</t>
        </is>
      </c>
      <c r="E33" s="16">
        <f>Setup!$B$4</f>
        <v/>
      </c>
      <c r="F33" s="16">
        <f>IF(Setup!$B$2="","",Setup!$B$2)</f>
        <v/>
      </c>
      <c r="G33" s="16">
        <f>IFERROR(INDEX('C_jama.2024.2302'!$G$2:$G$6,MATCH(C33,'C_jama.2024.2302'!$A$2:$A$6,0)),"CHECK KEY")</f>
        <v/>
      </c>
      <c r="H33" s="16">
        <f>IF(OR(G33&lt;&gt;"PRIMARY READY",K33="discuss"),"",IF(K33&lt;&gt;"retain","not_eligible",IF(D33="P_R","protocol_descriptive",IF(D33="P_P","plan_descriptive",IF(AND(OR(D33="S_C",D33="S_W"),L33="statistical_results",OR(M33="confirmed_issue",M33="probable_issue"),N33="substantive"),"primary_temporal",IF(AND(OR(D33="S_C",D33="S_W"),L33="report_internal_inconsistency",P33="substantive_inconsistency"),"secondary_temporal","not_eligible"))))))</f>
        <v/>
      </c>
      <c r="I33" s="16" t="inlineStr">
        <is>
          <t>retain</t>
        </is>
      </c>
      <c r="J33" s="16" t="inlineStr">
        <is>
          <t>protocol_report</t>
        </is>
      </c>
      <c r="K33" s="16">
        <f>IFERROR(IF(INDEX('C_jama.2024.2302'!$D$2:$D$6,MATCH(C33,'C_jama.2024.2302'!$A$2:$A$6,0))="","",INDEX('C_jama.2024.2302'!$D$2:$D$6,MATCH(C33,'C_jama.2024.2302'!$A$2:$A$6,0))),"")</f>
        <v/>
      </c>
      <c r="L33" s="16">
        <f>IFERROR(IF(INDEX('C_jama.2024.2302'!$E$2:$E$6,MATCH(C33,'C_jama.2024.2302'!$A$2:$A$6,0))="","",INDEX('C_jama.2024.2302'!$E$2:$E$6,MATCH(C33,'C_jama.2024.2302'!$A$2:$A$6,0))),"")</f>
        <v/>
      </c>
      <c r="M33" s="16">
        <f>IFERROR(IF(AND(K33="retain",L33="statistical_results"),IF(INDEX('C_jama.2024.2302'!$H$2:$H$6,MATCH(C33,'C_jama.2024.2302'!$A$2:$A$6,0))="","",INDEX('C_jama.2024.2302'!$H$2:$H$6,MATCH(C33,'C_jama.2024.2302'!$A$2:$A$6,0))),"not_applicable"),"")</f>
        <v/>
      </c>
      <c r="N33" s="16">
        <f>IFERROR(IF(AND(K33="retain",L33="statistical_results"),IF(INDEX('C_jama.2024.2302'!$I$2:$I$6,MATCH(C33,'C_jama.2024.2302'!$A$2:$A$6,0))="","",INDEX('C_jama.2024.2302'!$I$2:$I$6,MATCH(C33,'C_jama.2024.2302'!$A$2:$A$6,0))),"not_applicable"),"")</f>
        <v/>
      </c>
      <c r="O33" s="16">
        <f>IFERROR(IF(AND(K33="retain",L33="statistical_results"),IF(INDEX('C_jama.2024.2302'!$J$2:$J$6,MATCH(C33,'C_jama.2024.2302'!$A$2:$A$6,0))="","",INDEX('C_jama.2024.2302'!$J$2:$J$6,MATCH(C33,'C_jama.2024.2302'!$A$2:$A$6,0))),"not_applicable"),"")</f>
        <v/>
      </c>
      <c r="P33" s="16">
        <f>IFERROR(IF(AND(K33="retain",OR(L33="report_internal_inconsistency",L33="plan_material")),IF(INDEX('C_jama.2024.2302'!$K$2:$K$6,MATCH(C33,'C_jama.2024.2302'!$A$2:$A$6,0))="","",INDEX('C_jama.2024.2302'!$K$2:$K$6,MATCH(C33,'C_jama.2024.2302'!$A$2:$A$6,0))),"not_applicable"),"")</f>
        <v/>
      </c>
      <c r="Q33" s="16">
        <f>IFERROR(IF(AND(K33="retain",L33="protocol_report"),IF(INDEX('C_jama.2024.2302'!$L$2:$L$6,MATCH(C33,'C_jama.2024.2302'!$A$2:$A$6,0))="","",INDEX('C_jama.2024.2302'!$L$2:$L$6,MATCH(C33,'C_jama.2024.2302'!$A$2:$A$6,0))),"not_applicable"),"")</f>
        <v/>
      </c>
      <c r="R33" s="16">
        <f>IFERROR(IF(INDEX('C_jama.2024.2302'!$R$2:$R$6,MATCH(C33,'C_jama.2024.2302'!$A$2:$A$6,0))="","",INDEX('C_jama.2024.2302'!$R$2:$R$6,MATCH(C33,'C_jama.2024.2302'!$A$2:$A$6,0))),"")</f>
        <v/>
      </c>
    </row>
    <row r="34" ht="75" customFormat="1" customHeight="1" s="8">
      <c r="A34" s="15" t="n">
        <v>2024</v>
      </c>
      <c r="B34" s="15" t="inlineStr">
        <is>
          <t>jama.2024.2302</t>
        </is>
      </c>
      <c r="C34" s="15" t="inlineStr">
        <is>
          <t>2024::jama.2024.2302::C002</t>
        </is>
      </c>
      <c r="D34" s="15" t="inlineStr">
        <is>
          <t>P_P</t>
        </is>
      </c>
      <c r="E34" s="15">
        <f>Setup!$B$4</f>
        <v/>
      </c>
      <c r="F34" s="15">
        <f>IF(Setup!$B$2="","",Setup!$B$2)</f>
        <v/>
      </c>
      <c r="G34" s="15">
        <f>IFERROR(INDEX('C_jama.2024.2302'!$G$2:$G$6,MATCH(C34,'C_jama.2024.2302'!$A$2:$A$6,0)),"CHECK KEY")</f>
        <v/>
      </c>
      <c r="H34" s="15">
        <f>IF(OR(G34&lt;&gt;"PRIMARY READY",K34="discuss"),"",IF(K34&lt;&gt;"retain","not_eligible",IF(D34="P_R","protocol_descriptive",IF(D34="P_P","plan_descriptive",IF(AND(OR(D34="S_C",D34="S_W"),L34="statistical_results",OR(M34="confirmed_issue",M34="probable_issue"),N34="substantive"),"primary_temporal",IF(AND(OR(D34="S_C",D34="S_W"),L34="report_internal_inconsistency",P34="substantive_inconsistency"),"secondary_temporal","not_eligible"))))))</f>
        <v/>
      </c>
      <c r="I34" s="15" t="inlineStr">
        <is>
          <t>retain</t>
        </is>
      </c>
      <c r="J34" s="15" t="inlineStr">
        <is>
          <t>plan_material</t>
        </is>
      </c>
      <c r="K34" s="15">
        <f>IFERROR(IF(INDEX('C_jama.2024.2302'!$D$2:$D$6,MATCH(C34,'C_jama.2024.2302'!$A$2:$A$6,0))="","",INDEX('C_jama.2024.2302'!$D$2:$D$6,MATCH(C34,'C_jama.2024.2302'!$A$2:$A$6,0))),"")</f>
        <v/>
      </c>
      <c r="L34" s="15">
        <f>IFERROR(IF(INDEX('C_jama.2024.2302'!$E$2:$E$6,MATCH(C34,'C_jama.2024.2302'!$A$2:$A$6,0))="","",INDEX('C_jama.2024.2302'!$E$2:$E$6,MATCH(C34,'C_jama.2024.2302'!$A$2:$A$6,0))),"")</f>
        <v/>
      </c>
      <c r="M34" s="15">
        <f>IFERROR(IF(AND(K34="retain",L34="statistical_results"),IF(INDEX('C_jama.2024.2302'!$H$2:$H$6,MATCH(C34,'C_jama.2024.2302'!$A$2:$A$6,0))="","",INDEX('C_jama.2024.2302'!$H$2:$H$6,MATCH(C34,'C_jama.2024.2302'!$A$2:$A$6,0))),"not_applicable"),"")</f>
        <v/>
      </c>
      <c r="N34" s="15">
        <f>IFERROR(IF(AND(K34="retain",L34="statistical_results"),IF(INDEX('C_jama.2024.2302'!$I$2:$I$6,MATCH(C34,'C_jama.2024.2302'!$A$2:$A$6,0))="","",INDEX('C_jama.2024.2302'!$I$2:$I$6,MATCH(C34,'C_jama.2024.2302'!$A$2:$A$6,0))),"not_applicable"),"")</f>
        <v/>
      </c>
      <c r="O34" s="15">
        <f>IFERROR(IF(AND(K34="retain",L34="statistical_results"),IF(INDEX('C_jama.2024.2302'!$J$2:$J$6,MATCH(C34,'C_jama.2024.2302'!$A$2:$A$6,0))="","",INDEX('C_jama.2024.2302'!$J$2:$J$6,MATCH(C34,'C_jama.2024.2302'!$A$2:$A$6,0))),"not_applicable"),"")</f>
        <v/>
      </c>
      <c r="P34" s="15">
        <f>IFERROR(IF(AND(K34="retain",OR(L34="report_internal_inconsistency",L34="plan_material")),IF(INDEX('C_jama.2024.2302'!$K$2:$K$6,MATCH(C34,'C_jama.2024.2302'!$A$2:$A$6,0))="","",INDEX('C_jama.2024.2302'!$K$2:$K$6,MATCH(C34,'C_jama.2024.2302'!$A$2:$A$6,0))),"not_applicable"),"")</f>
        <v/>
      </c>
      <c r="Q34" s="15">
        <f>IFERROR(IF(AND(K34="retain",L34="protocol_report"),IF(INDEX('C_jama.2024.2302'!$L$2:$L$6,MATCH(C34,'C_jama.2024.2302'!$A$2:$A$6,0))="","",INDEX('C_jama.2024.2302'!$L$2:$L$6,MATCH(C34,'C_jama.2024.2302'!$A$2:$A$6,0))),"not_applicable"),"")</f>
        <v/>
      </c>
      <c r="R34" s="15">
        <f>IFERROR(IF(INDEX('C_jama.2024.2302'!$R$2:$R$6,MATCH(C34,'C_jama.2024.2302'!$A$2:$A$6,0))="","",INDEX('C_jama.2024.2302'!$R$2:$R$6,MATCH(C34,'C_jama.2024.2302'!$A$2:$A$6,0))),"")</f>
        <v/>
      </c>
    </row>
    <row r="35" ht="75" customFormat="1" customHeight="1" s="8">
      <c r="A35" s="16" t="n">
        <v>2024</v>
      </c>
      <c r="B35" s="16" t="inlineStr">
        <is>
          <t>jama.2024.2302</t>
        </is>
      </c>
      <c r="C35" s="16" t="inlineStr">
        <is>
          <t>2024::jama.2024.2302::C003</t>
        </is>
      </c>
      <c r="D35" s="16" t="inlineStr">
        <is>
          <t>P_R</t>
        </is>
      </c>
      <c r="E35" s="16">
        <f>Setup!$B$4</f>
        <v/>
      </c>
      <c r="F35" s="16">
        <f>IF(Setup!$B$2="","",Setup!$B$2)</f>
        <v/>
      </c>
      <c r="G35" s="16">
        <f>IFERROR(INDEX('C_jama.2024.2302'!$G$2:$G$6,MATCH(C35,'C_jama.2024.2302'!$A$2:$A$6,0)),"CHECK KEY")</f>
        <v/>
      </c>
      <c r="H35" s="16">
        <f>IF(OR(G35&lt;&gt;"PRIMARY READY",K35="discuss"),"",IF(K35&lt;&gt;"retain","not_eligible",IF(D35="P_R","protocol_descriptive",IF(D35="P_P","plan_descriptive",IF(AND(OR(D35="S_C",D35="S_W"),L35="statistical_results",OR(M35="confirmed_issue",M35="probable_issue"),N35="substantive"),"primary_temporal",IF(AND(OR(D35="S_C",D35="S_W"),L35="report_internal_inconsistency",P35="substantive_inconsistency"),"secondary_temporal","not_eligible"))))))</f>
        <v/>
      </c>
      <c r="I35" s="16" t="inlineStr">
        <is>
          <t>retain</t>
        </is>
      </c>
      <c r="J35" s="16" t="inlineStr">
        <is>
          <t>protocol_report</t>
        </is>
      </c>
      <c r="K35" s="16">
        <f>IFERROR(IF(INDEX('C_jama.2024.2302'!$D$2:$D$6,MATCH(C35,'C_jama.2024.2302'!$A$2:$A$6,0))="","",INDEX('C_jama.2024.2302'!$D$2:$D$6,MATCH(C35,'C_jama.2024.2302'!$A$2:$A$6,0))),"")</f>
        <v/>
      </c>
      <c r="L35" s="16">
        <f>IFERROR(IF(INDEX('C_jama.2024.2302'!$E$2:$E$6,MATCH(C35,'C_jama.2024.2302'!$A$2:$A$6,0))="","",INDEX('C_jama.2024.2302'!$E$2:$E$6,MATCH(C35,'C_jama.2024.2302'!$A$2:$A$6,0))),"")</f>
        <v/>
      </c>
      <c r="M35" s="16">
        <f>IFERROR(IF(AND(K35="retain",L35="statistical_results"),IF(INDEX('C_jama.2024.2302'!$H$2:$H$6,MATCH(C35,'C_jama.2024.2302'!$A$2:$A$6,0))="","",INDEX('C_jama.2024.2302'!$H$2:$H$6,MATCH(C35,'C_jama.2024.2302'!$A$2:$A$6,0))),"not_applicable"),"")</f>
        <v/>
      </c>
      <c r="N35" s="16">
        <f>IFERROR(IF(AND(K35="retain",L35="statistical_results"),IF(INDEX('C_jama.2024.2302'!$I$2:$I$6,MATCH(C35,'C_jama.2024.2302'!$A$2:$A$6,0))="","",INDEX('C_jama.2024.2302'!$I$2:$I$6,MATCH(C35,'C_jama.2024.2302'!$A$2:$A$6,0))),"not_applicable"),"")</f>
        <v/>
      </c>
      <c r="O35" s="16">
        <f>IFERROR(IF(AND(K35="retain",L35="statistical_results"),IF(INDEX('C_jama.2024.2302'!$J$2:$J$6,MATCH(C35,'C_jama.2024.2302'!$A$2:$A$6,0))="","",INDEX('C_jama.2024.2302'!$J$2:$J$6,MATCH(C35,'C_jama.2024.2302'!$A$2:$A$6,0))),"not_applicable"),"")</f>
        <v/>
      </c>
      <c r="P35" s="16">
        <f>IFERROR(IF(AND(K35="retain",OR(L35="report_internal_inconsistency",L35="plan_material")),IF(INDEX('C_jama.2024.2302'!$K$2:$K$6,MATCH(C35,'C_jama.2024.2302'!$A$2:$A$6,0))="","",INDEX('C_jama.2024.2302'!$K$2:$K$6,MATCH(C35,'C_jama.2024.2302'!$A$2:$A$6,0))),"not_applicable"),"")</f>
        <v/>
      </c>
      <c r="Q35" s="16">
        <f>IFERROR(IF(AND(K35="retain",L35="protocol_report"),IF(INDEX('C_jama.2024.2302'!$L$2:$L$6,MATCH(C35,'C_jama.2024.2302'!$A$2:$A$6,0))="","",INDEX('C_jama.2024.2302'!$L$2:$L$6,MATCH(C35,'C_jama.2024.2302'!$A$2:$A$6,0))),"not_applicable"),"")</f>
        <v/>
      </c>
      <c r="R35" s="16">
        <f>IFERROR(IF(INDEX('C_jama.2024.2302'!$R$2:$R$6,MATCH(C35,'C_jama.2024.2302'!$A$2:$A$6,0))="","",INDEX('C_jama.2024.2302'!$R$2:$R$6,MATCH(C35,'C_jama.2024.2302'!$A$2:$A$6,0))),"")</f>
        <v/>
      </c>
    </row>
    <row r="36" ht="75" customFormat="1" customHeight="1" s="8">
      <c r="A36" s="15" t="n">
        <v>2024</v>
      </c>
      <c r="B36" s="15" t="inlineStr">
        <is>
          <t>jama.2024.2302</t>
        </is>
      </c>
      <c r="C36" s="15" t="inlineStr">
        <is>
          <t>2024::jama.2024.2302::C004</t>
        </is>
      </c>
      <c r="D36" s="15" t="inlineStr">
        <is>
          <t>P_R</t>
        </is>
      </c>
      <c r="E36" s="15">
        <f>Setup!$B$4</f>
        <v/>
      </c>
      <c r="F36" s="15">
        <f>IF(Setup!$B$2="","",Setup!$B$2)</f>
        <v/>
      </c>
      <c r="G36" s="15">
        <f>IFERROR(INDEX('C_jama.2024.2302'!$G$2:$G$6,MATCH(C36,'C_jama.2024.2302'!$A$2:$A$6,0)),"CHECK KEY")</f>
        <v/>
      </c>
      <c r="H36" s="15">
        <f>IF(OR(G36&lt;&gt;"PRIMARY READY",K36="discuss"),"",IF(K36&lt;&gt;"retain","not_eligible",IF(D36="P_R","protocol_descriptive",IF(D36="P_P","plan_descriptive",IF(AND(OR(D36="S_C",D36="S_W"),L36="statistical_results",OR(M36="confirmed_issue",M36="probable_issue"),N36="substantive"),"primary_temporal",IF(AND(OR(D36="S_C",D36="S_W"),L36="report_internal_inconsistency",P36="substantive_inconsistency"),"secondary_temporal","not_eligible"))))))</f>
        <v/>
      </c>
      <c r="I36" s="15" t="inlineStr">
        <is>
          <t>retain</t>
        </is>
      </c>
      <c r="J36" s="15" t="inlineStr">
        <is>
          <t>protocol_report</t>
        </is>
      </c>
      <c r="K36" s="15">
        <f>IFERROR(IF(INDEX('C_jama.2024.2302'!$D$2:$D$6,MATCH(C36,'C_jama.2024.2302'!$A$2:$A$6,0))="","",INDEX('C_jama.2024.2302'!$D$2:$D$6,MATCH(C36,'C_jama.2024.2302'!$A$2:$A$6,0))),"")</f>
        <v/>
      </c>
      <c r="L36" s="15">
        <f>IFERROR(IF(INDEX('C_jama.2024.2302'!$E$2:$E$6,MATCH(C36,'C_jama.2024.2302'!$A$2:$A$6,0))="","",INDEX('C_jama.2024.2302'!$E$2:$E$6,MATCH(C36,'C_jama.2024.2302'!$A$2:$A$6,0))),"")</f>
        <v/>
      </c>
      <c r="M36" s="15">
        <f>IFERROR(IF(AND(K36="retain",L36="statistical_results"),IF(INDEX('C_jama.2024.2302'!$H$2:$H$6,MATCH(C36,'C_jama.2024.2302'!$A$2:$A$6,0))="","",INDEX('C_jama.2024.2302'!$H$2:$H$6,MATCH(C36,'C_jama.2024.2302'!$A$2:$A$6,0))),"not_applicable"),"")</f>
        <v/>
      </c>
      <c r="N36" s="15">
        <f>IFERROR(IF(AND(K36="retain",L36="statistical_results"),IF(INDEX('C_jama.2024.2302'!$I$2:$I$6,MATCH(C36,'C_jama.2024.2302'!$A$2:$A$6,0))="","",INDEX('C_jama.2024.2302'!$I$2:$I$6,MATCH(C36,'C_jama.2024.2302'!$A$2:$A$6,0))),"not_applicable"),"")</f>
        <v/>
      </c>
      <c r="O36" s="15">
        <f>IFERROR(IF(AND(K36="retain",L36="statistical_results"),IF(INDEX('C_jama.2024.2302'!$J$2:$J$6,MATCH(C36,'C_jama.2024.2302'!$A$2:$A$6,0))="","",INDEX('C_jama.2024.2302'!$J$2:$J$6,MATCH(C36,'C_jama.2024.2302'!$A$2:$A$6,0))),"not_applicable"),"")</f>
        <v/>
      </c>
      <c r="P36" s="15">
        <f>IFERROR(IF(AND(K36="retain",OR(L36="report_internal_inconsistency",L36="plan_material")),IF(INDEX('C_jama.2024.2302'!$K$2:$K$6,MATCH(C36,'C_jama.2024.2302'!$A$2:$A$6,0))="","",INDEX('C_jama.2024.2302'!$K$2:$K$6,MATCH(C36,'C_jama.2024.2302'!$A$2:$A$6,0))),"not_applicable"),"")</f>
        <v/>
      </c>
      <c r="Q36" s="15">
        <f>IFERROR(IF(AND(K36="retain",L36="protocol_report"),IF(INDEX('C_jama.2024.2302'!$L$2:$L$6,MATCH(C36,'C_jama.2024.2302'!$A$2:$A$6,0))="","",INDEX('C_jama.2024.2302'!$L$2:$L$6,MATCH(C36,'C_jama.2024.2302'!$A$2:$A$6,0))),"not_applicable"),"")</f>
        <v/>
      </c>
      <c r="R36" s="15">
        <f>IFERROR(IF(INDEX('C_jama.2024.2302'!$R$2:$R$6,MATCH(C36,'C_jama.2024.2302'!$A$2:$A$6,0))="","",INDEX('C_jama.2024.2302'!$R$2:$R$6,MATCH(C36,'C_jama.2024.2302'!$A$2:$A$6,0))),"")</f>
        <v/>
      </c>
    </row>
    <row r="37" ht="75" customFormat="1" customHeight="1" s="8">
      <c r="A37" s="16" t="n">
        <v>2024</v>
      </c>
      <c r="B37" s="16" t="inlineStr">
        <is>
          <t>jama.2024.2302</t>
        </is>
      </c>
      <c r="C37" s="16" t="inlineStr">
        <is>
          <t>2024::jama.2024.2302::C005</t>
        </is>
      </c>
      <c r="D37" s="16" t="inlineStr">
        <is>
          <t>P_R</t>
        </is>
      </c>
      <c r="E37" s="16">
        <f>Setup!$B$4</f>
        <v/>
      </c>
      <c r="F37" s="16">
        <f>IF(Setup!$B$2="","",Setup!$B$2)</f>
        <v/>
      </c>
      <c r="G37" s="16">
        <f>IFERROR(INDEX('C_jama.2024.2302'!$G$2:$G$6,MATCH(C37,'C_jama.2024.2302'!$A$2:$A$6,0)),"CHECK KEY")</f>
        <v/>
      </c>
      <c r="H37" s="16">
        <f>IF(OR(G37&lt;&gt;"PRIMARY READY",K37="discuss"),"",IF(K37&lt;&gt;"retain","not_eligible",IF(D37="P_R","protocol_descriptive",IF(D37="P_P","plan_descriptive",IF(AND(OR(D37="S_C",D37="S_W"),L37="statistical_results",OR(M37="confirmed_issue",M37="probable_issue"),N37="substantive"),"primary_temporal",IF(AND(OR(D37="S_C",D37="S_W"),L37="report_internal_inconsistency",P37="substantive_inconsistency"),"secondary_temporal","not_eligible"))))))</f>
        <v/>
      </c>
      <c r="I37" s="16" t="inlineStr">
        <is>
          <t>retain</t>
        </is>
      </c>
      <c r="J37" s="16" t="inlineStr">
        <is>
          <t>protocol_report</t>
        </is>
      </c>
      <c r="K37" s="16">
        <f>IFERROR(IF(INDEX('C_jama.2024.2302'!$D$2:$D$6,MATCH(C37,'C_jama.2024.2302'!$A$2:$A$6,0))="","",INDEX('C_jama.2024.2302'!$D$2:$D$6,MATCH(C37,'C_jama.2024.2302'!$A$2:$A$6,0))),"")</f>
        <v/>
      </c>
      <c r="L37" s="16">
        <f>IFERROR(IF(INDEX('C_jama.2024.2302'!$E$2:$E$6,MATCH(C37,'C_jama.2024.2302'!$A$2:$A$6,0))="","",INDEX('C_jama.2024.2302'!$E$2:$E$6,MATCH(C37,'C_jama.2024.2302'!$A$2:$A$6,0))),"")</f>
        <v/>
      </c>
      <c r="M37" s="16">
        <f>IFERROR(IF(AND(K37="retain",L37="statistical_results"),IF(INDEX('C_jama.2024.2302'!$H$2:$H$6,MATCH(C37,'C_jama.2024.2302'!$A$2:$A$6,0))="","",INDEX('C_jama.2024.2302'!$H$2:$H$6,MATCH(C37,'C_jama.2024.2302'!$A$2:$A$6,0))),"not_applicable"),"")</f>
        <v/>
      </c>
      <c r="N37" s="16">
        <f>IFERROR(IF(AND(K37="retain",L37="statistical_results"),IF(INDEX('C_jama.2024.2302'!$I$2:$I$6,MATCH(C37,'C_jama.2024.2302'!$A$2:$A$6,0))="","",INDEX('C_jama.2024.2302'!$I$2:$I$6,MATCH(C37,'C_jama.2024.2302'!$A$2:$A$6,0))),"not_applicable"),"")</f>
        <v/>
      </c>
      <c r="O37" s="16">
        <f>IFERROR(IF(AND(K37="retain",L37="statistical_results"),IF(INDEX('C_jama.2024.2302'!$J$2:$J$6,MATCH(C37,'C_jama.2024.2302'!$A$2:$A$6,0))="","",INDEX('C_jama.2024.2302'!$J$2:$J$6,MATCH(C37,'C_jama.2024.2302'!$A$2:$A$6,0))),"not_applicable"),"")</f>
        <v/>
      </c>
      <c r="P37" s="16">
        <f>IFERROR(IF(AND(K37="retain",OR(L37="report_internal_inconsistency",L37="plan_material")),IF(INDEX('C_jama.2024.2302'!$K$2:$K$6,MATCH(C37,'C_jama.2024.2302'!$A$2:$A$6,0))="","",INDEX('C_jama.2024.2302'!$K$2:$K$6,MATCH(C37,'C_jama.2024.2302'!$A$2:$A$6,0))),"not_applicable"),"")</f>
        <v/>
      </c>
      <c r="Q37" s="16">
        <f>IFERROR(IF(AND(K37="retain",L37="protocol_report"),IF(INDEX('C_jama.2024.2302'!$L$2:$L$6,MATCH(C37,'C_jama.2024.2302'!$A$2:$A$6,0))="","",INDEX('C_jama.2024.2302'!$L$2:$L$6,MATCH(C37,'C_jama.2024.2302'!$A$2:$A$6,0))),"not_applicable"),"")</f>
        <v/>
      </c>
      <c r="R37" s="16">
        <f>IFERROR(IF(INDEX('C_jama.2024.2302'!$R$2:$R$6,MATCH(C37,'C_jama.2024.2302'!$A$2:$A$6,0))="","",INDEX('C_jama.2024.2302'!$R$2:$R$6,MATCH(C37,'C_jama.2024.2302'!$A$2:$A$6,0))),"")</f>
        <v/>
      </c>
    </row>
    <row r="38" ht="75" customFormat="1" customHeight="1" s="8">
      <c r="A38" s="15" t="n">
        <v>2024</v>
      </c>
      <c r="B38" s="15" t="inlineStr">
        <is>
          <t>jama.2024.23898</t>
        </is>
      </c>
      <c r="C38" s="15" t="inlineStr">
        <is>
          <t>2024::jama.2024.23898::C001</t>
        </is>
      </c>
      <c r="D38" s="15" t="inlineStr">
        <is>
          <t>P_R</t>
        </is>
      </c>
      <c r="E38" s="15">
        <f>Setup!$B$4</f>
        <v/>
      </c>
      <c r="F38" s="15">
        <f>IF(Setup!$B$2="","",Setup!$B$2)</f>
        <v/>
      </c>
      <c r="G38" s="15">
        <f>IFERROR(INDEX('C_jama.2024.23898'!$G$2:$G$8,MATCH(C38,'C_jama.2024.23898'!$A$2:$A$8,0)),"CHECK KEY")</f>
        <v/>
      </c>
      <c r="H38" s="15">
        <f>IF(OR(G38&lt;&gt;"PRIMARY READY",K38="discuss"),"",IF(K38&lt;&gt;"retain","not_eligible",IF(D38="P_R","protocol_descriptive",IF(D38="P_P","plan_descriptive",IF(AND(OR(D38="S_C",D38="S_W"),L38="statistical_results",OR(M38="confirmed_issue",M38="probable_issue"),N38="substantive"),"primary_temporal",IF(AND(OR(D38="S_C",D38="S_W"),L38="report_internal_inconsistency",P38="substantive_inconsistency"),"secondary_temporal","not_eligible"))))))</f>
        <v/>
      </c>
      <c r="I38" s="15" t="inlineStr">
        <is>
          <t>retain</t>
        </is>
      </c>
      <c r="J38" s="15" t="inlineStr">
        <is>
          <t>protocol_report</t>
        </is>
      </c>
      <c r="K38" s="15">
        <f>IFERROR(IF(INDEX('C_jama.2024.23898'!$D$2:$D$8,MATCH(C38,'C_jama.2024.23898'!$A$2:$A$8,0))="","",INDEX('C_jama.2024.23898'!$D$2:$D$8,MATCH(C38,'C_jama.2024.23898'!$A$2:$A$8,0))),"")</f>
        <v/>
      </c>
      <c r="L38" s="15">
        <f>IFERROR(IF(INDEX('C_jama.2024.23898'!$E$2:$E$8,MATCH(C38,'C_jama.2024.23898'!$A$2:$A$8,0))="","",INDEX('C_jama.2024.23898'!$E$2:$E$8,MATCH(C38,'C_jama.2024.23898'!$A$2:$A$8,0))),"")</f>
        <v/>
      </c>
      <c r="M38" s="15">
        <f>IFERROR(IF(AND(K38="retain",L38="statistical_results"),IF(INDEX('C_jama.2024.23898'!$H$2:$H$8,MATCH(C38,'C_jama.2024.23898'!$A$2:$A$8,0))="","",INDEX('C_jama.2024.23898'!$H$2:$H$8,MATCH(C38,'C_jama.2024.23898'!$A$2:$A$8,0))),"not_applicable"),"")</f>
        <v/>
      </c>
      <c r="N38" s="15">
        <f>IFERROR(IF(AND(K38="retain",L38="statistical_results"),IF(INDEX('C_jama.2024.23898'!$I$2:$I$8,MATCH(C38,'C_jama.2024.23898'!$A$2:$A$8,0))="","",INDEX('C_jama.2024.23898'!$I$2:$I$8,MATCH(C38,'C_jama.2024.23898'!$A$2:$A$8,0))),"not_applicable"),"")</f>
        <v/>
      </c>
      <c r="O38" s="15">
        <f>IFERROR(IF(AND(K38="retain",L38="statistical_results"),IF(INDEX('C_jama.2024.23898'!$J$2:$J$8,MATCH(C38,'C_jama.2024.23898'!$A$2:$A$8,0))="","",INDEX('C_jama.2024.23898'!$J$2:$J$8,MATCH(C38,'C_jama.2024.23898'!$A$2:$A$8,0))),"not_applicable"),"")</f>
        <v/>
      </c>
      <c r="P38" s="15">
        <f>IFERROR(IF(AND(K38="retain",OR(L38="report_internal_inconsistency",L38="plan_material")),IF(INDEX('C_jama.2024.23898'!$K$2:$K$8,MATCH(C38,'C_jama.2024.23898'!$A$2:$A$8,0))="","",INDEX('C_jama.2024.23898'!$K$2:$K$8,MATCH(C38,'C_jama.2024.23898'!$A$2:$A$8,0))),"not_applicable"),"")</f>
        <v/>
      </c>
      <c r="Q38" s="15">
        <f>IFERROR(IF(AND(K38="retain",L38="protocol_report"),IF(INDEX('C_jama.2024.23898'!$L$2:$L$8,MATCH(C38,'C_jama.2024.23898'!$A$2:$A$8,0))="","",INDEX('C_jama.2024.23898'!$L$2:$L$8,MATCH(C38,'C_jama.2024.23898'!$A$2:$A$8,0))),"not_applicable"),"")</f>
        <v/>
      </c>
      <c r="R38" s="15">
        <f>IFERROR(IF(INDEX('C_jama.2024.23898'!$R$2:$R$8,MATCH(C38,'C_jama.2024.23898'!$A$2:$A$8,0))="","",INDEX('C_jama.2024.23898'!$R$2:$R$8,MATCH(C38,'C_jama.2024.23898'!$A$2:$A$8,0))),"")</f>
        <v/>
      </c>
    </row>
    <row r="39" ht="75" customFormat="1" customHeight="1" s="8">
      <c r="A39" s="16" t="n">
        <v>2024</v>
      </c>
      <c r="B39" s="16" t="inlineStr">
        <is>
          <t>jama.2024.23898</t>
        </is>
      </c>
      <c r="C39" s="16" t="inlineStr">
        <is>
          <t>2024::jama.2024.23898::C002</t>
        </is>
      </c>
      <c r="D39" s="16" t="inlineStr">
        <is>
          <t>P_R</t>
        </is>
      </c>
      <c r="E39" s="16">
        <f>Setup!$B$4</f>
        <v/>
      </c>
      <c r="F39" s="16">
        <f>IF(Setup!$B$2="","",Setup!$B$2)</f>
        <v/>
      </c>
      <c r="G39" s="16">
        <f>IFERROR(INDEX('C_jama.2024.23898'!$G$2:$G$8,MATCH(C39,'C_jama.2024.23898'!$A$2:$A$8,0)),"CHECK KEY")</f>
        <v/>
      </c>
      <c r="H39" s="16">
        <f>IF(OR(G39&lt;&gt;"PRIMARY READY",K39="discuss"),"",IF(K39&lt;&gt;"retain","not_eligible",IF(D39="P_R","protocol_descriptive",IF(D39="P_P","plan_descriptive",IF(AND(OR(D39="S_C",D39="S_W"),L39="statistical_results",OR(M39="confirmed_issue",M39="probable_issue"),N39="substantive"),"primary_temporal",IF(AND(OR(D39="S_C",D39="S_W"),L39="report_internal_inconsistency",P39="substantive_inconsistency"),"secondary_temporal","not_eligible"))))))</f>
        <v/>
      </c>
      <c r="I39" s="16" t="inlineStr">
        <is>
          <t>retain</t>
        </is>
      </c>
      <c r="J39" s="16" t="inlineStr">
        <is>
          <t>protocol_report</t>
        </is>
      </c>
      <c r="K39" s="16">
        <f>IFERROR(IF(INDEX('C_jama.2024.23898'!$D$2:$D$8,MATCH(C39,'C_jama.2024.23898'!$A$2:$A$8,0))="","",INDEX('C_jama.2024.23898'!$D$2:$D$8,MATCH(C39,'C_jama.2024.23898'!$A$2:$A$8,0))),"")</f>
        <v/>
      </c>
      <c r="L39" s="16">
        <f>IFERROR(IF(INDEX('C_jama.2024.23898'!$E$2:$E$8,MATCH(C39,'C_jama.2024.23898'!$A$2:$A$8,0))="","",INDEX('C_jama.2024.23898'!$E$2:$E$8,MATCH(C39,'C_jama.2024.23898'!$A$2:$A$8,0))),"")</f>
        <v/>
      </c>
      <c r="M39" s="16">
        <f>IFERROR(IF(AND(K39="retain",L39="statistical_results"),IF(INDEX('C_jama.2024.23898'!$H$2:$H$8,MATCH(C39,'C_jama.2024.23898'!$A$2:$A$8,0))="","",INDEX('C_jama.2024.23898'!$H$2:$H$8,MATCH(C39,'C_jama.2024.23898'!$A$2:$A$8,0))),"not_applicable"),"")</f>
        <v/>
      </c>
      <c r="N39" s="16">
        <f>IFERROR(IF(AND(K39="retain",L39="statistical_results"),IF(INDEX('C_jama.2024.23898'!$I$2:$I$8,MATCH(C39,'C_jama.2024.23898'!$A$2:$A$8,0))="","",INDEX('C_jama.2024.23898'!$I$2:$I$8,MATCH(C39,'C_jama.2024.23898'!$A$2:$A$8,0))),"not_applicable"),"")</f>
        <v/>
      </c>
      <c r="O39" s="16">
        <f>IFERROR(IF(AND(K39="retain",L39="statistical_results"),IF(INDEX('C_jama.2024.23898'!$J$2:$J$8,MATCH(C39,'C_jama.2024.23898'!$A$2:$A$8,0))="","",INDEX('C_jama.2024.23898'!$J$2:$J$8,MATCH(C39,'C_jama.2024.23898'!$A$2:$A$8,0))),"not_applicable"),"")</f>
        <v/>
      </c>
      <c r="P39" s="16">
        <f>IFERROR(IF(AND(K39="retain",OR(L39="report_internal_inconsistency",L39="plan_material")),IF(INDEX('C_jama.2024.23898'!$K$2:$K$8,MATCH(C39,'C_jama.2024.23898'!$A$2:$A$8,0))="","",INDEX('C_jama.2024.23898'!$K$2:$K$8,MATCH(C39,'C_jama.2024.23898'!$A$2:$A$8,0))),"not_applicable"),"")</f>
        <v/>
      </c>
      <c r="Q39" s="16">
        <f>IFERROR(IF(AND(K39="retain",L39="protocol_report"),IF(INDEX('C_jama.2024.23898'!$L$2:$L$8,MATCH(C39,'C_jama.2024.23898'!$A$2:$A$8,0))="","",INDEX('C_jama.2024.23898'!$L$2:$L$8,MATCH(C39,'C_jama.2024.23898'!$A$2:$A$8,0))),"not_applicable"),"")</f>
        <v/>
      </c>
      <c r="R39" s="16">
        <f>IFERROR(IF(INDEX('C_jama.2024.23898'!$R$2:$R$8,MATCH(C39,'C_jama.2024.23898'!$A$2:$A$8,0))="","",INDEX('C_jama.2024.23898'!$R$2:$R$8,MATCH(C39,'C_jama.2024.23898'!$A$2:$A$8,0))),"")</f>
        <v/>
      </c>
    </row>
    <row r="40" ht="75" customFormat="1" customHeight="1" s="8">
      <c r="A40" s="15" t="n">
        <v>2024</v>
      </c>
      <c r="B40" s="15" t="inlineStr">
        <is>
          <t>jama.2024.23898</t>
        </is>
      </c>
      <c r="C40" s="15" t="inlineStr">
        <is>
          <t>2024::jama.2024.23898::C003</t>
        </is>
      </c>
      <c r="D40" s="15" t="inlineStr">
        <is>
          <t>P_R</t>
        </is>
      </c>
      <c r="E40" s="15">
        <f>Setup!$B$4</f>
        <v/>
      </c>
      <c r="F40" s="15">
        <f>IF(Setup!$B$2="","",Setup!$B$2)</f>
        <v/>
      </c>
      <c r="G40" s="15">
        <f>IFERROR(INDEX('C_jama.2024.23898'!$G$2:$G$8,MATCH(C40,'C_jama.2024.23898'!$A$2:$A$8,0)),"CHECK KEY")</f>
        <v/>
      </c>
      <c r="H40" s="15">
        <f>IF(OR(G40&lt;&gt;"PRIMARY READY",K40="discuss"),"",IF(K40&lt;&gt;"retain","not_eligible",IF(D40="P_R","protocol_descriptive",IF(D40="P_P","plan_descriptive",IF(AND(OR(D40="S_C",D40="S_W"),L40="statistical_results",OR(M40="confirmed_issue",M40="probable_issue"),N40="substantive"),"primary_temporal",IF(AND(OR(D40="S_C",D40="S_W"),L40="report_internal_inconsistency",P40="substantive_inconsistency"),"secondary_temporal","not_eligible"))))))</f>
        <v/>
      </c>
      <c r="I40" s="15" t="inlineStr">
        <is>
          <t>retain</t>
        </is>
      </c>
      <c r="J40" s="15" t="inlineStr">
        <is>
          <t>protocol_report</t>
        </is>
      </c>
      <c r="K40" s="15">
        <f>IFERROR(IF(INDEX('C_jama.2024.23898'!$D$2:$D$8,MATCH(C40,'C_jama.2024.23898'!$A$2:$A$8,0))="","",INDEX('C_jama.2024.23898'!$D$2:$D$8,MATCH(C40,'C_jama.2024.23898'!$A$2:$A$8,0))),"")</f>
        <v/>
      </c>
      <c r="L40" s="15">
        <f>IFERROR(IF(INDEX('C_jama.2024.23898'!$E$2:$E$8,MATCH(C40,'C_jama.2024.23898'!$A$2:$A$8,0))="","",INDEX('C_jama.2024.23898'!$E$2:$E$8,MATCH(C40,'C_jama.2024.23898'!$A$2:$A$8,0))),"")</f>
        <v/>
      </c>
      <c r="M40" s="15">
        <f>IFERROR(IF(AND(K40="retain",L40="statistical_results"),IF(INDEX('C_jama.2024.23898'!$H$2:$H$8,MATCH(C40,'C_jama.2024.23898'!$A$2:$A$8,0))="","",INDEX('C_jama.2024.23898'!$H$2:$H$8,MATCH(C40,'C_jama.2024.23898'!$A$2:$A$8,0))),"not_applicable"),"")</f>
        <v/>
      </c>
      <c r="N40" s="15">
        <f>IFERROR(IF(AND(K40="retain",L40="statistical_results"),IF(INDEX('C_jama.2024.23898'!$I$2:$I$8,MATCH(C40,'C_jama.2024.23898'!$A$2:$A$8,0))="","",INDEX('C_jama.2024.23898'!$I$2:$I$8,MATCH(C40,'C_jama.2024.23898'!$A$2:$A$8,0))),"not_applicable"),"")</f>
        <v/>
      </c>
      <c r="O40" s="15">
        <f>IFERROR(IF(AND(K40="retain",L40="statistical_results"),IF(INDEX('C_jama.2024.23898'!$J$2:$J$8,MATCH(C40,'C_jama.2024.23898'!$A$2:$A$8,0))="","",INDEX('C_jama.2024.23898'!$J$2:$J$8,MATCH(C40,'C_jama.2024.23898'!$A$2:$A$8,0))),"not_applicable"),"")</f>
        <v/>
      </c>
      <c r="P40" s="15">
        <f>IFERROR(IF(AND(K40="retain",OR(L40="report_internal_inconsistency",L40="plan_material")),IF(INDEX('C_jama.2024.23898'!$K$2:$K$8,MATCH(C40,'C_jama.2024.23898'!$A$2:$A$8,0))="","",INDEX('C_jama.2024.23898'!$K$2:$K$8,MATCH(C40,'C_jama.2024.23898'!$A$2:$A$8,0))),"not_applicable"),"")</f>
        <v/>
      </c>
      <c r="Q40" s="15">
        <f>IFERROR(IF(AND(K40="retain",L40="protocol_report"),IF(INDEX('C_jama.2024.23898'!$L$2:$L$8,MATCH(C40,'C_jama.2024.23898'!$A$2:$A$8,0))="","",INDEX('C_jama.2024.23898'!$L$2:$L$8,MATCH(C40,'C_jama.2024.23898'!$A$2:$A$8,0))),"not_applicable"),"")</f>
        <v/>
      </c>
      <c r="R40" s="15">
        <f>IFERROR(IF(INDEX('C_jama.2024.23898'!$R$2:$R$8,MATCH(C40,'C_jama.2024.23898'!$A$2:$A$8,0))="","",INDEX('C_jama.2024.23898'!$R$2:$R$8,MATCH(C40,'C_jama.2024.23898'!$A$2:$A$8,0))),"")</f>
        <v/>
      </c>
    </row>
    <row r="41" ht="75" customFormat="1" customHeight="1" s="8">
      <c r="A41" s="16" t="n">
        <v>2024</v>
      </c>
      <c r="B41" s="16" t="inlineStr">
        <is>
          <t>jama.2024.23898</t>
        </is>
      </c>
      <c r="C41" s="16" t="inlineStr">
        <is>
          <t>2024::jama.2024.23898::C004</t>
        </is>
      </c>
      <c r="D41" s="16" t="inlineStr">
        <is>
          <t>P_R</t>
        </is>
      </c>
      <c r="E41" s="16">
        <f>Setup!$B$4</f>
        <v/>
      </c>
      <c r="F41" s="16">
        <f>IF(Setup!$B$2="","",Setup!$B$2)</f>
        <v/>
      </c>
      <c r="G41" s="16">
        <f>IFERROR(INDEX('C_jama.2024.23898'!$G$2:$G$8,MATCH(C41,'C_jama.2024.23898'!$A$2:$A$8,0)),"CHECK KEY")</f>
        <v/>
      </c>
      <c r="H41" s="16">
        <f>IF(OR(G41&lt;&gt;"PRIMARY READY",K41="discuss"),"",IF(K41&lt;&gt;"retain","not_eligible",IF(D41="P_R","protocol_descriptive",IF(D41="P_P","plan_descriptive",IF(AND(OR(D41="S_C",D41="S_W"),L41="statistical_results",OR(M41="confirmed_issue",M41="probable_issue"),N41="substantive"),"primary_temporal",IF(AND(OR(D41="S_C",D41="S_W"),L41="report_internal_inconsistency",P41="substantive_inconsistency"),"secondary_temporal","not_eligible"))))))</f>
        <v/>
      </c>
      <c r="I41" s="16" t="inlineStr">
        <is>
          <t>retain</t>
        </is>
      </c>
      <c r="J41" s="16" t="inlineStr">
        <is>
          <t>protocol_report</t>
        </is>
      </c>
      <c r="K41" s="16">
        <f>IFERROR(IF(INDEX('C_jama.2024.23898'!$D$2:$D$8,MATCH(C41,'C_jama.2024.23898'!$A$2:$A$8,0))="","",INDEX('C_jama.2024.23898'!$D$2:$D$8,MATCH(C41,'C_jama.2024.23898'!$A$2:$A$8,0))),"")</f>
        <v/>
      </c>
      <c r="L41" s="16">
        <f>IFERROR(IF(INDEX('C_jama.2024.23898'!$E$2:$E$8,MATCH(C41,'C_jama.2024.23898'!$A$2:$A$8,0))="","",INDEX('C_jama.2024.23898'!$E$2:$E$8,MATCH(C41,'C_jama.2024.23898'!$A$2:$A$8,0))),"")</f>
        <v/>
      </c>
      <c r="M41" s="16">
        <f>IFERROR(IF(AND(K41="retain",L41="statistical_results"),IF(INDEX('C_jama.2024.23898'!$H$2:$H$8,MATCH(C41,'C_jama.2024.23898'!$A$2:$A$8,0))="","",INDEX('C_jama.2024.23898'!$H$2:$H$8,MATCH(C41,'C_jama.2024.23898'!$A$2:$A$8,0))),"not_applicable"),"")</f>
        <v/>
      </c>
      <c r="N41" s="16">
        <f>IFERROR(IF(AND(K41="retain",L41="statistical_results"),IF(INDEX('C_jama.2024.23898'!$I$2:$I$8,MATCH(C41,'C_jama.2024.23898'!$A$2:$A$8,0))="","",INDEX('C_jama.2024.23898'!$I$2:$I$8,MATCH(C41,'C_jama.2024.23898'!$A$2:$A$8,0))),"not_applicable"),"")</f>
        <v/>
      </c>
      <c r="O41" s="16">
        <f>IFERROR(IF(AND(K41="retain",L41="statistical_results"),IF(INDEX('C_jama.2024.23898'!$J$2:$J$8,MATCH(C41,'C_jama.2024.23898'!$A$2:$A$8,0))="","",INDEX('C_jama.2024.23898'!$J$2:$J$8,MATCH(C41,'C_jama.2024.23898'!$A$2:$A$8,0))),"not_applicable"),"")</f>
        <v/>
      </c>
      <c r="P41" s="16">
        <f>IFERROR(IF(AND(K41="retain",OR(L41="report_internal_inconsistency",L41="plan_material")),IF(INDEX('C_jama.2024.23898'!$K$2:$K$8,MATCH(C41,'C_jama.2024.23898'!$A$2:$A$8,0))="","",INDEX('C_jama.2024.23898'!$K$2:$K$8,MATCH(C41,'C_jama.2024.23898'!$A$2:$A$8,0))),"not_applicable"),"")</f>
        <v/>
      </c>
      <c r="Q41" s="16">
        <f>IFERROR(IF(AND(K41="retain",L41="protocol_report"),IF(INDEX('C_jama.2024.23898'!$L$2:$L$8,MATCH(C41,'C_jama.2024.23898'!$A$2:$A$8,0))="","",INDEX('C_jama.2024.23898'!$L$2:$L$8,MATCH(C41,'C_jama.2024.23898'!$A$2:$A$8,0))),"not_applicable"),"")</f>
        <v/>
      </c>
      <c r="R41" s="16">
        <f>IFERROR(IF(INDEX('C_jama.2024.23898'!$R$2:$R$8,MATCH(C41,'C_jama.2024.23898'!$A$2:$A$8,0))="","",INDEX('C_jama.2024.23898'!$R$2:$R$8,MATCH(C41,'C_jama.2024.23898'!$A$2:$A$8,0))),"")</f>
        <v/>
      </c>
    </row>
    <row r="42" ht="75" customFormat="1" customHeight="1" s="8">
      <c r="A42" s="15" t="n">
        <v>2024</v>
      </c>
      <c r="B42" s="15" t="inlineStr">
        <is>
          <t>jama.2024.23898</t>
        </is>
      </c>
      <c r="C42" s="15" t="inlineStr">
        <is>
          <t>2024::jama.2024.23898::C005</t>
        </is>
      </c>
      <c r="D42" s="15" t="inlineStr">
        <is>
          <t>S_W</t>
        </is>
      </c>
      <c r="E42" s="15">
        <f>Setup!$B$4</f>
        <v/>
      </c>
      <c r="F42" s="15">
        <f>IF(Setup!$B$2="","",Setup!$B$2)</f>
        <v/>
      </c>
      <c r="G42" s="15">
        <f>IFERROR(INDEX('C_jama.2024.23898'!$G$2:$G$8,MATCH(C42,'C_jama.2024.23898'!$A$2:$A$8,0)),"CHECK KEY")</f>
        <v/>
      </c>
      <c r="H42" s="15">
        <f>IF(OR(G42&lt;&gt;"PRIMARY READY",K42="discuss"),"",IF(K42&lt;&gt;"retain","not_eligible",IF(D42="P_R","protocol_descriptive",IF(D42="P_P","plan_descriptive",IF(AND(OR(D42="S_C",D42="S_W"),L42="statistical_results",OR(M42="confirmed_issue",M42="probable_issue"),N42="substantive"),"primary_temporal",IF(AND(OR(D42="S_C",D42="S_W"),L42="report_internal_inconsistency",P42="substantive_inconsistency"),"secondary_temporal","not_eligible"))))))</f>
        <v/>
      </c>
      <c r="I42" s="15" t="inlineStr">
        <is>
          <t>retain</t>
        </is>
      </c>
      <c r="J42" s="15" t="inlineStr">
        <is>
          <t>statistical_results</t>
        </is>
      </c>
      <c r="K42" s="15">
        <f>IFERROR(IF(INDEX('C_jama.2024.23898'!$D$2:$D$8,MATCH(C42,'C_jama.2024.23898'!$A$2:$A$8,0))="","",INDEX('C_jama.2024.23898'!$D$2:$D$8,MATCH(C42,'C_jama.2024.23898'!$A$2:$A$8,0))),"")</f>
        <v/>
      </c>
      <c r="L42" s="15">
        <f>IFERROR(IF(INDEX('C_jama.2024.23898'!$E$2:$E$8,MATCH(C42,'C_jama.2024.23898'!$A$2:$A$8,0))="","",INDEX('C_jama.2024.23898'!$E$2:$E$8,MATCH(C42,'C_jama.2024.23898'!$A$2:$A$8,0))),"")</f>
        <v/>
      </c>
      <c r="M42" s="15">
        <f>IFERROR(IF(AND(K42="retain",L42="statistical_results"),IF(INDEX('C_jama.2024.23898'!$H$2:$H$8,MATCH(C42,'C_jama.2024.23898'!$A$2:$A$8,0))="","",INDEX('C_jama.2024.23898'!$H$2:$H$8,MATCH(C42,'C_jama.2024.23898'!$A$2:$A$8,0))),"not_applicable"),"")</f>
        <v/>
      </c>
      <c r="N42" s="15">
        <f>IFERROR(IF(AND(K42="retain",L42="statistical_results"),IF(INDEX('C_jama.2024.23898'!$I$2:$I$8,MATCH(C42,'C_jama.2024.23898'!$A$2:$A$8,0))="","",INDEX('C_jama.2024.23898'!$I$2:$I$8,MATCH(C42,'C_jama.2024.23898'!$A$2:$A$8,0))),"not_applicable"),"")</f>
        <v/>
      </c>
      <c r="O42" s="15">
        <f>IFERROR(IF(AND(K42="retain",L42="statistical_results"),IF(INDEX('C_jama.2024.23898'!$J$2:$J$8,MATCH(C42,'C_jama.2024.23898'!$A$2:$A$8,0))="","",INDEX('C_jama.2024.23898'!$J$2:$J$8,MATCH(C42,'C_jama.2024.23898'!$A$2:$A$8,0))),"not_applicable"),"")</f>
        <v/>
      </c>
      <c r="P42" s="15">
        <f>IFERROR(IF(AND(K42="retain",OR(L42="report_internal_inconsistency",L42="plan_material")),IF(INDEX('C_jama.2024.23898'!$K$2:$K$8,MATCH(C42,'C_jama.2024.23898'!$A$2:$A$8,0))="","",INDEX('C_jama.2024.23898'!$K$2:$K$8,MATCH(C42,'C_jama.2024.23898'!$A$2:$A$8,0))),"not_applicable"),"")</f>
        <v/>
      </c>
      <c r="Q42" s="15">
        <f>IFERROR(IF(AND(K42="retain",L42="protocol_report"),IF(INDEX('C_jama.2024.23898'!$L$2:$L$8,MATCH(C42,'C_jama.2024.23898'!$A$2:$A$8,0))="","",INDEX('C_jama.2024.23898'!$L$2:$L$8,MATCH(C42,'C_jama.2024.23898'!$A$2:$A$8,0))),"not_applicable"),"")</f>
        <v/>
      </c>
      <c r="R42" s="15">
        <f>IFERROR(IF(INDEX('C_jama.2024.23898'!$R$2:$R$8,MATCH(C42,'C_jama.2024.23898'!$A$2:$A$8,0))="","",INDEX('C_jama.2024.23898'!$R$2:$R$8,MATCH(C42,'C_jama.2024.23898'!$A$2:$A$8,0))),"")</f>
        <v/>
      </c>
    </row>
    <row r="43" ht="75" customFormat="1" customHeight="1" s="8">
      <c r="A43" s="16" t="n">
        <v>2024</v>
      </c>
      <c r="B43" s="16" t="inlineStr">
        <is>
          <t>jama.2024.23898</t>
        </is>
      </c>
      <c r="C43" s="16" t="inlineStr">
        <is>
          <t>2024::jama.2024.23898::C006</t>
        </is>
      </c>
      <c r="D43" s="16" t="inlineStr">
        <is>
          <t>S_W</t>
        </is>
      </c>
      <c r="E43" s="16">
        <f>Setup!$B$4</f>
        <v/>
      </c>
      <c r="F43" s="16">
        <f>IF(Setup!$B$2="","",Setup!$B$2)</f>
        <v/>
      </c>
      <c r="G43" s="16">
        <f>IFERROR(INDEX('C_jama.2024.23898'!$G$2:$G$8,MATCH(C43,'C_jama.2024.23898'!$A$2:$A$8,0)),"CHECK KEY")</f>
        <v/>
      </c>
      <c r="H43" s="16">
        <f>IF(OR(G43&lt;&gt;"PRIMARY READY",K43="discuss"),"",IF(K43&lt;&gt;"retain","not_eligible",IF(D43="P_R","protocol_descriptive",IF(D43="P_P","plan_descriptive",IF(AND(OR(D43="S_C",D43="S_W"),L43="statistical_results",OR(M43="confirmed_issue",M43="probable_issue"),N43="substantive"),"primary_temporal",IF(AND(OR(D43="S_C",D43="S_W"),L43="report_internal_inconsistency",P43="substantive_inconsistency"),"secondary_temporal","not_eligible"))))))</f>
        <v/>
      </c>
      <c r="I43" s="16" t="inlineStr">
        <is>
          <t>retain</t>
        </is>
      </c>
      <c r="J43" s="16" t="inlineStr">
        <is>
          <t>statistical_results</t>
        </is>
      </c>
      <c r="K43" s="16">
        <f>IFERROR(IF(INDEX('C_jama.2024.23898'!$D$2:$D$8,MATCH(C43,'C_jama.2024.23898'!$A$2:$A$8,0))="","",INDEX('C_jama.2024.23898'!$D$2:$D$8,MATCH(C43,'C_jama.2024.23898'!$A$2:$A$8,0))),"")</f>
        <v/>
      </c>
      <c r="L43" s="16">
        <f>IFERROR(IF(INDEX('C_jama.2024.23898'!$E$2:$E$8,MATCH(C43,'C_jama.2024.23898'!$A$2:$A$8,0))="","",INDEX('C_jama.2024.23898'!$E$2:$E$8,MATCH(C43,'C_jama.2024.23898'!$A$2:$A$8,0))),"")</f>
        <v/>
      </c>
      <c r="M43" s="16">
        <f>IFERROR(IF(AND(K43="retain",L43="statistical_results"),IF(INDEX('C_jama.2024.23898'!$H$2:$H$8,MATCH(C43,'C_jama.2024.23898'!$A$2:$A$8,0))="","",INDEX('C_jama.2024.23898'!$H$2:$H$8,MATCH(C43,'C_jama.2024.23898'!$A$2:$A$8,0))),"not_applicable"),"")</f>
        <v/>
      </c>
      <c r="N43" s="16">
        <f>IFERROR(IF(AND(K43="retain",L43="statistical_results"),IF(INDEX('C_jama.2024.23898'!$I$2:$I$8,MATCH(C43,'C_jama.2024.23898'!$A$2:$A$8,0))="","",INDEX('C_jama.2024.23898'!$I$2:$I$8,MATCH(C43,'C_jama.2024.23898'!$A$2:$A$8,0))),"not_applicable"),"")</f>
        <v/>
      </c>
      <c r="O43" s="16">
        <f>IFERROR(IF(AND(K43="retain",L43="statistical_results"),IF(INDEX('C_jama.2024.23898'!$J$2:$J$8,MATCH(C43,'C_jama.2024.23898'!$A$2:$A$8,0))="","",INDEX('C_jama.2024.23898'!$J$2:$J$8,MATCH(C43,'C_jama.2024.23898'!$A$2:$A$8,0))),"not_applicable"),"")</f>
        <v/>
      </c>
      <c r="P43" s="16">
        <f>IFERROR(IF(AND(K43="retain",OR(L43="report_internal_inconsistency",L43="plan_material")),IF(INDEX('C_jama.2024.23898'!$K$2:$K$8,MATCH(C43,'C_jama.2024.23898'!$A$2:$A$8,0))="","",INDEX('C_jama.2024.23898'!$K$2:$K$8,MATCH(C43,'C_jama.2024.23898'!$A$2:$A$8,0))),"not_applicable"),"")</f>
        <v/>
      </c>
      <c r="Q43" s="16">
        <f>IFERROR(IF(AND(K43="retain",L43="protocol_report"),IF(INDEX('C_jama.2024.23898'!$L$2:$L$8,MATCH(C43,'C_jama.2024.23898'!$A$2:$A$8,0))="","",INDEX('C_jama.2024.23898'!$L$2:$L$8,MATCH(C43,'C_jama.2024.23898'!$A$2:$A$8,0))),"not_applicable"),"")</f>
        <v/>
      </c>
      <c r="R43" s="16">
        <f>IFERROR(IF(INDEX('C_jama.2024.23898'!$R$2:$R$8,MATCH(C43,'C_jama.2024.23898'!$A$2:$A$8,0))="","",INDEX('C_jama.2024.23898'!$R$2:$R$8,MATCH(C43,'C_jama.2024.23898'!$A$2:$A$8,0))),"")</f>
        <v/>
      </c>
    </row>
    <row r="44" ht="75" customFormat="1" customHeight="1" s="8">
      <c r="A44" s="15" t="n">
        <v>2024</v>
      </c>
      <c r="B44" s="15" t="inlineStr">
        <is>
          <t>jama.2024.23898</t>
        </is>
      </c>
      <c r="C44" s="15" t="inlineStr">
        <is>
          <t>2024::jama.2024.23898::C007</t>
        </is>
      </c>
      <c r="D44" s="15" t="inlineStr">
        <is>
          <t>P_R</t>
        </is>
      </c>
      <c r="E44" s="15">
        <f>Setup!$B$4</f>
        <v/>
      </c>
      <c r="F44" s="15">
        <f>IF(Setup!$B$2="","",Setup!$B$2)</f>
        <v/>
      </c>
      <c r="G44" s="15">
        <f>IFERROR(INDEX('C_jama.2024.23898'!$G$2:$G$8,MATCH(C44,'C_jama.2024.23898'!$A$2:$A$8,0)),"CHECK KEY")</f>
        <v/>
      </c>
      <c r="H44" s="15">
        <f>IF(OR(G44&lt;&gt;"PRIMARY READY",K44="discuss"),"",IF(K44&lt;&gt;"retain","not_eligible",IF(D44="P_R","protocol_descriptive",IF(D44="P_P","plan_descriptive",IF(AND(OR(D44="S_C",D44="S_W"),L44="statistical_results",OR(M44="confirmed_issue",M44="probable_issue"),N44="substantive"),"primary_temporal",IF(AND(OR(D44="S_C",D44="S_W"),L44="report_internal_inconsistency",P44="substantive_inconsistency"),"secondary_temporal","not_eligible"))))))</f>
        <v/>
      </c>
      <c r="I44" s="15" t="inlineStr">
        <is>
          <t>retain</t>
        </is>
      </c>
      <c r="J44" s="15" t="inlineStr">
        <is>
          <t>protocol_report</t>
        </is>
      </c>
      <c r="K44" s="15">
        <f>IFERROR(IF(INDEX('C_jama.2024.23898'!$D$2:$D$8,MATCH(C44,'C_jama.2024.23898'!$A$2:$A$8,0))="","",INDEX('C_jama.2024.23898'!$D$2:$D$8,MATCH(C44,'C_jama.2024.23898'!$A$2:$A$8,0))),"")</f>
        <v/>
      </c>
      <c r="L44" s="15">
        <f>IFERROR(IF(INDEX('C_jama.2024.23898'!$E$2:$E$8,MATCH(C44,'C_jama.2024.23898'!$A$2:$A$8,0))="","",INDEX('C_jama.2024.23898'!$E$2:$E$8,MATCH(C44,'C_jama.2024.23898'!$A$2:$A$8,0))),"")</f>
        <v/>
      </c>
      <c r="M44" s="15">
        <f>IFERROR(IF(AND(K44="retain",L44="statistical_results"),IF(INDEX('C_jama.2024.23898'!$H$2:$H$8,MATCH(C44,'C_jama.2024.23898'!$A$2:$A$8,0))="","",INDEX('C_jama.2024.23898'!$H$2:$H$8,MATCH(C44,'C_jama.2024.23898'!$A$2:$A$8,0))),"not_applicable"),"")</f>
        <v/>
      </c>
      <c r="N44" s="15">
        <f>IFERROR(IF(AND(K44="retain",L44="statistical_results"),IF(INDEX('C_jama.2024.23898'!$I$2:$I$8,MATCH(C44,'C_jama.2024.23898'!$A$2:$A$8,0))="","",INDEX('C_jama.2024.23898'!$I$2:$I$8,MATCH(C44,'C_jama.2024.23898'!$A$2:$A$8,0))),"not_applicable"),"")</f>
        <v/>
      </c>
      <c r="O44" s="15">
        <f>IFERROR(IF(AND(K44="retain",L44="statistical_results"),IF(INDEX('C_jama.2024.23898'!$J$2:$J$8,MATCH(C44,'C_jama.2024.23898'!$A$2:$A$8,0))="","",INDEX('C_jama.2024.23898'!$J$2:$J$8,MATCH(C44,'C_jama.2024.23898'!$A$2:$A$8,0))),"not_applicable"),"")</f>
        <v/>
      </c>
      <c r="P44" s="15">
        <f>IFERROR(IF(AND(K44="retain",OR(L44="report_internal_inconsistency",L44="plan_material")),IF(INDEX('C_jama.2024.23898'!$K$2:$K$8,MATCH(C44,'C_jama.2024.23898'!$A$2:$A$8,0))="","",INDEX('C_jama.2024.23898'!$K$2:$K$8,MATCH(C44,'C_jama.2024.23898'!$A$2:$A$8,0))),"not_applicable"),"")</f>
        <v/>
      </c>
      <c r="Q44" s="15">
        <f>IFERROR(IF(AND(K44="retain",L44="protocol_report"),IF(INDEX('C_jama.2024.23898'!$L$2:$L$8,MATCH(C44,'C_jama.2024.23898'!$A$2:$A$8,0))="","",INDEX('C_jama.2024.23898'!$L$2:$L$8,MATCH(C44,'C_jama.2024.23898'!$A$2:$A$8,0))),"not_applicable"),"")</f>
        <v/>
      </c>
      <c r="R44" s="15">
        <f>IFERROR(IF(INDEX('C_jama.2024.23898'!$R$2:$R$8,MATCH(C44,'C_jama.2024.23898'!$A$2:$A$8,0))="","",INDEX('C_jama.2024.23898'!$R$2:$R$8,MATCH(C44,'C_jama.2024.23898'!$A$2:$A$8,0))),"")</f>
        <v/>
      </c>
    </row>
    <row r="45" ht="75" customFormat="1" customHeight="1" s="8">
      <c r="A45" s="16" t="n">
        <v>2024</v>
      </c>
      <c r="B45" s="16" t="inlineStr">
        <is>
          <t>jama.2024.25786</t>
        </is>
      </c>
      <c r="C45" s="16" t="inlineStr">
        <is>
          <t>2024::jama.2024.25786::C001</t>
        </is>
      </c>
      <c r="D45" s="16" t="inlineStr">
        <is>
          <t>S_W</t>
        </is>
      </c>
      <c r="E45" s="16">
        <f>Setup!$B$4</f>
        <v/>
      </c>
      <c r="F45" s="16">
        <f>IF(Setup!$B$2="","",Setup!$B$2)</f>
        <v/>
      </c>
      <c r="G45" s="16">
        <f>IFERROR(INDEX('C_jama.2024.25786'!$G$2:$G$9,MATCH(C45,'C_jama.2024.25786'!$A$2:$A$9,0)),"CHECK KEY")</f>
        <v/>
      </c>
      <c r="H45" s="16">
        <f>IF(OR(G45&lt;&gt;"PRIMARY READY",K45="discuss"),"",IF(K45&lt;&gt;"retain","not_eligible",IF(D45="P_R","protocol_descriptive",IF(D45="P_P","plan_descriptive",IF(AND(OR(D45="S_C",D45="S_W"),L45="statistical_results",OR(M45="confirmed_issue",M45="probable_issue"),N45="substantive"),"primary_temporal",IF(AND(OR(D45="S_C",D45="S_W"),L45="report_internal_inconsistency",P45="substantive_inconsistency"),"secondary_temporal","not_eligible"))))))</f>
        <v/>
      </c>
      <c r="I45" s="16" t="inlineStr">
        <is>
          <t>retain</t>
        </is>
      </c>
      <c r="J45" s="16" t="inlineStr">
        <is>
          <t>statistical_results</t>
        </is>
      </c>
      <c r="K45" s="16">
        <f>IFERROR(IF(INDEX('C_jama.2024.25786'!$D$2:$D$9,MATCH(C45,'C_jama.2024.25786'!$A$2:$A$9,0))="","",INDEX('C_jama.2024.25786'!$D$2:$D$9,MATCH(C45,'C_jama.2024.25786'!$A$2:$A$9,0))),"")</f>
        <v/>
      </c>
      <c r="L45" s="16">
        <f>IFERROR(IF(INDEX('C_jama.2024.25786'!$E$2:$E$9,MATCH(C45,'C_jama.2024.25786'!$A$2:$A$9,0))="","",INDEX('C_jama.2024.25786'!$E$2:$E$9,MATCH(C45,'C_jama.2024.25786'!$A$2:$A$9,0))),"")</f>
        <v/>
      </c>
      <c r="M45" s="16">
        <f>IFERROR(IF(AND(K45="retain",L45="statistical_results"),IF(INDEX('C_jama.2024.25786'!$H$2:$H$9,MATCH(C45,'C_jama.2024.25786'!$A$2:$A$9,0))="","",INDEX('C_jama.2024.25786'!$H$2:$H$9,MATCH(C45,'C_jama.2024.25786'!$A$2:$A$9,0))),"not_applicable"),"")</f>
        <v/>
      </c>
      <c r="N45" s="16">
        <f>IFERROR(IF(AND(K45="retain",L45="statistical_results"),IF(INDEX('C_jama.2024.25786'!$I$2:$I$9,MATCH(C45,'C_jama.2024.25786'!$A$2:$A$9,0))="","",INDEX('C_jama.2024.25786'!$I$2:$I$9,MATCH(C45,'C_jama.2024.25786'!$A$2:$A$9,0))),"not_applicable"),"")</f>
        <v/>
      </c>
      <c r="O45" s="16">
        <f>IFERROR(IF(AND(K45="retain",L45="statistical_results"),IF(INDEX('C_jama.2024.25786'!$J$2:$J$9,MATCH(C45,'C_jama.2024.25786'!$A$2:$A$9,0))="","",INDEX('C_jama.2024.25786'!$J$2:$J$9,MATCH(C45,'C_jama.2024.25786'!$A$2:$A$9,0))),"not_applicable"),"")</f>
        <v/>
      </c>
      <c r="P45" s="16">
        <f>IFERROR(IF(AND(K45="retain",OR(L45="report_internal_inconsistency",L45="plan_material")),IF(INDEX('C_jama.2024.25786'!$K$2:$K$9,MATCH(C45,'C_jama.2024.25786'!$A$2:$A$9,0))="","",INDEX('C_jama.2024.25786'!$K$2:$K$9,MATCH(C45,'C_jama.2024.25786'!$A$2:$A$9,0))),"not_applicable"),"")</f>
        <v/>
      </c>
      <c r="Q45" s="16">
        <f>IFERROR(IF(AND(K45="retain",L45="protocol_report"),IF(INDEX('C_jama.2024.25786'!$L$2:$L$9,MATCH(C45,'C_jama.2024.25786'!$A$2:$A$9,0))="","",INDEX('C_jama.2024.25786'!$L$2:$L$9,MATCH(C45,'C_jama.2024.25786'!$A$2:$A$9,0))),"not_applicable"),"")</f>
        <v/>
      </c>
      <c r="R45" s="16">
        <f>IFERROR(IF(INDEX('C_jama.2024.25786'!$R$2:$R$9,MATCH(C45,'C_jama.2024.25786'!$A$2:$A$9,0))="","",INDEX('C_jama.2024.25786'!$R$2:$R$9,MATCH(C45,'C_jama.2024.25786'!$A$2:$A$9,0))),"")</f>
        <v/>
      </c>
    </row>
    <row r="46" ht="75" customFormat="1" customHeight="1" s="8">
      <c r="A46" s="15" t="n">
        <v>2024</v>
      </c>
      <c r="B46" s="15" t="inlineStr">
        <is>
          <t>jama.2024.25786</t>
        </is>
      </c>
      <c r="C46" s="15" t="inlineStr">
        <is>
          <t>2024::jama.2024.25786::C002</t>
        </is>
      </c>
      <c r="D46" s="15" t="inlineStr">
        <is>
          <t>S_W</t>
        </is>
      </c>
      <c r="E46" s="15">
        <f>Setup!$B$4</f>
        <v/>
      </c>
      <c r="F46" s="15">
        <f>IF(Setup!$B$2="","",Setup!$B$2)</f>
        <v/>
      </c>
      <c r="G46" s="15">
        <f>IFERROR(INDEX('C_jama.2024.25786'!$G$2:$G$9,MATCH(C46,'C_jama.2024.25786'!$A$2:$A$9,0)),"CHECK KEY")</f>
        <v/>
      </c>
      <c r="H46" s="15">
        <f>IF(OR(G46&lt;&gt;"PRIMARY READY",K46="discuss"),"",IF(K46&lt;&gt;"retain","not_eligible",IF(D46="P_R","protocol_descriptive",IF(D46="P_P","plan_descriptive",IF(AND(OR(D46="S_C",D46="S_W"),L46="statistical_results",OR(M46="confirmed_issue",M46="probable_issue"),N46="substantive"),"primary_temporal",IF(AND(OR(D46="S_C",D46="S_W"),L46="report_internal_inconsistency",P46="substantive_inconsistency"),"secondary_temporal","not_eligible"))))))</f>
        <v/>
      </c>
      <c r="I46" s="15" t="inlineStr">
        <is>
          <t>retain</t>
        </is>
      </c>
      <c r="J46" s="15" t="inlineStr">
        <is>
          <t>statistical_results</t>
        </is>
      </c>
      <c r="K46" s="15">
        <f>IFERROR(IF(INDEX('C_jama.2024.25786'!$D$2:$D$9,MATCH(C46,'C_jama.2024.25786'!$A$2:$A$9,0))="","",INDEX('C_jama.2024.25786'!$D$2:$D$9,MATCH(C46,'C_jama.2024.25786'!$A$2:$A$9,0))),"")</f>
        <v/>
      </c>
      <c r="L46" s="15">
        <f>IFERROR(IF(INDEX('C_jama.2024.25786'!$E$2:$E$9,MATCH(C46,'C_jama.2024.25786'!$A$2:$A$9,0))="","",INDEX('C_jama.2024.25786'!$E$2:$E$9,MATCH(C46,'C_jama.2024.25786'!$A$2:$A$9,0))),"")</f>
        <v/>
      </c>
      <c r="M46" s="15">
        <f>IFERROR(IF(AND(K46="retain",L46="statistical_results"),IF(INDEX('C_jama.2024.25786'!$H$2:$H$9,MATCH(C46,'C_jama.2024.25786'!$A$2:$A$9,0))="","",INDEX('C_jama.2024.25786'!$H$2:$H$9,MATCH(C46,'C_jama.2024.25786'!$A$2:$A$9,0))),"not_applicable"),"")</f>
        <v/>
      </c>
      <c r="N46" s="15">
        <f>IFERROR(IF(AND(K46="retain",L46="statistical_results"),IF(INDEX('C_jama.2024.25786'!$I$2:$I$9,MATCH(C46,'C_jama.2024.25786'!$A$2:$A$9,0))="","",INDEX('C_jama.2024.25786'!$I$2:$I$9,MATCH(C46,'C_jama.2024.25786'!$A$2:$A$9,0))),"not_applicable"),"")</f>
        <v/>
      </c>
      <c r="O46" s="15">
        <f>IFERROR(IF(AND(K46="retain",L46="statistical_results"),IF(INDEX('C_jama.2024.25786'!$J$2:$J$9,MATCH(C46,'C_jama.2024.25786'!$A$2:$A$9,0))="","",INDEX('C_jama.2024.25786'!$J$2:$J$9,MATCH(C46,'C_jama.2024.25786'!$A$2:$A$9,0))),"not_applicable"),"")</f>
        <v/>
      </c>
      <c r="P46" s="15">
        <f>IFERROR(IF(AND(K46="retain",OR(L46="report_internal_inconsistency",L46="plan_material")),IF(INDEX('C_jama.2024.25786'!$K$2:$K$9,MATCH(C46,'C_jama.2024.25786'!$A$2:$A$9,0))="","",INDEX('C_jama.2024.25786'!$K$2:$K$9,MATCH(C46,'C_jama.2024.25786'!$A$2:$A$9,0))),"not_applicable"),"")</f>
        <v/>
      </c>
      <c r="Q46" s="15">
        <f>IFERROR(IF(AND(K46="retain",L46="protocol_report"),IF(INDEX('C_jama.2024.25786'!$L$2:$L$9,MATCH(C46,'C_jama.2024.25786'!$A$2:$A$9,0))="","",INDEX('C_jama.2024.25786'!$L$2:$L$9,MATCH(C46,'C_jama.2024.25786'!$A$2:$A$9,0))),"not_applicable"),"")</f>
        <v/>
      </c>
      <c r="R46" s="15">
        <f>IFERROR(IF(INDEX('C_jama.2024.25786'!$R$2:$R$9,MATCH(C46,'C_jama.2024.25786'!$A$2:$A$9,0))="","",INDEX('C_jama.2024.25786'!$R$2:$R$9,MATCH(C46,'C_jama.2024.25786'!$A$2:$A$9,0))),"")</f>
        <v/>
      </c>
    </row>
    <row r="47" ht="75" customFormat="1" customHeight="1" s="8">
      <c r="A47" s="16" t="n">
        <v>2024</v>
      </c>
      <c r="B47" s="16" t="inlineStr">
        <is>
          <t>jama.2024.25786</t>
        </is>
      </c>
      <c r="C47" s="16" t="inlineStr">
        <is>
          <t>2024::jama.2024.25786::C003</t>
        </is>
      </c>
      <c r="D47" s="16" t="inlineStr">
        <is>
          <t>S_W</t>
        </is>
      </c>
      <c r="E47" s="16">
        <f>Setup!$B$4</f>
        <v/>
      </c>
      <c r="F47" s="16">
        <f>IF(Setup!$B$2="","",Setup!$B$2)</f>
        <v/>
      </c>
      <c r="G47" s="16">
        <f>IFERROR(INDEX('C_jama.2024.25786'!$G$2:$G$9,MATCH(C47,'C_jama.2024.25786'!$A$2:$A$9,0)),"CHECK KEY")</f>
        <v/>
      </c>
      <c r="H47" s="16">
        <f>IF(OR(G47&lt;&gt;"PRIMARY READY",K47="discuss"),"",IF(K47&lt;&gt;"retain","not_eligible",IF(D47="P_R","protocol_descriptive",IF(D47="P_P","plan_descriptive",IF(AND(OR(D47="S_C",D47="S_W"),L47="statistical_results",OR(M47="confirmed_issue",M47="probable_issue"),N47="substantive"),"primary_temporal",IF(AND(OR(D47="S_C",D47="S_W"),L47="report_internal_inconsistency",P47="substantive_inconsistency"),"secondary_temporal","not_eligible"))))))</f>
        <v/>
      </c>
      <c r="I47" s="16" t="inlineStr">
        <is>
          <t>retain</t>
        </is>
      </c>
      <c r="J47" s="16" t="inlineStr">
        <is>
          <t>report_internal_inconsistency</t>
        </is>
      </c>
      <c r="K47" s="16">
        <f>IFERROR(IF(INDEX('C_jama.2024.25786'!$D$2:$D$9,MATCH(C47,'C_jama.2024.25786'!$A$2:$A$9,0))="","",INDEX('C_jama.2024.25786'!$D$2:$D$9,MATCH(C47,'C_jama.2024.25786'!$A$2:$A$9,0))),"")</f>
        <v/>
      </c>
      <c r="L47" s="16">
        <f>IFERROR(IF(INDEX('C_jama.2024.25786'!$E$2:$E$9,MATCH(C47,'C_jama.2024.25786'!$A$2:$A$9,0))="","",INDEX('C_jama.2024.25786'!$E$2:$E$9,MATCH(C47,'C_jama.2024.25786'!$A$2:$A$9,0))),"")</f>
        <v/>
      </c>
      <c r="M47" s="16">
        <f>IFERROR(IF(AND(K47="retain",L47="statistical_results"),IF(INDEX('C_jama.2024.25786'!$H$2:$H$9,MATCH(C47,'C_jama.2024.25786'!$A$2:$A$9,0))="","",INDEX('C_jama.2024.25786'!$H$2:$H$9,MATCH(C47,'C_jama.2024.25786'!$A$2:$A$9,0))),"not_applicable"),"")</f>
        <v/>
      </c>
      <c r="N47" s="16">
        <f>IFERROR(IF(AND(K47="retain",L47="statistical_results"),IF(INDEX('C_jama.2024.25786'!$I$2:$I$9,MATCH(C47,'C_jama.2024.25786'!$A$2:$A$9,0))="","",INDEX('C_jama.2024.25786'!$I$2:$I$9,MATCH(C47,'C_jama.2024.25786'!$A$2:$A$9,0))),"not_applicable"),"")</f>
        <v/>
      </c>
      <c r="O47" s="16">
        <f>IFERROR(IF(AND(K47="retain",L47="statistical_results"),IF(INDEX('C_jama.2024.25786'!$J$2:$J$9,MATCH(C47,'C_jama.2024.25786'!$A$2:$A$9,0))="","",INDEX('C_jama.2024.25786'!$J$2:$J$9,MATCH(C47,'C_jama.2024.25786'!$A$2:$A$9,0))),"not_applicable"),"")</f>
        <v/>
      </c>
      <c r="P47" s="16">
        <f>IFERROR(IF(AND(K47="retain",OR(L47="report_internal_inconsistency",L47="plan_material")),IF(INDEX('C_jama.2024.25786'!$K$2:$K$9,MATCH(C47,'C_jama.2024.25786'!$A$2:$A$9,0))="","",INDEX('C_jama.2024.25786'!$K$2:$K$9,MATCH(C47,'C_jama.2024.25786'!$A$2:$A$9,0))),"not_applicable"),"")</f>
        <v/>
      </c>
      <c r="Q47" s="16">
        <f>IFERROR(IF(AND(K47="retain",L47="protocol_report"),IF(INDEX('C_jama.2024.25786'!$L$2:$L$9,MATCH(C47,'C_jama.2024.25786'!$A$2:$A$9,0))="","",INDEX('C_jama.2024.25786'!$L$2:$L$9,MATCH(C47,'C_jama.2024.25786'!$A$2:$A$9,0))),"not_applicable"),"")</f>
        <v/>
      </c>
      <c r="R47" s="16">
        <f>IFERROR(IF(INDEX('C_jama.2024.25786'!$R$2:$R$9,MATCH(C47,'C_jama.2024.25786'!$A$2:$A$9,0))="","",INDEX('C_jama.2024.25786'!$R$2:$R$9,MATCH(C47,'C_jama.2024.25786'!$A$2:$A$9,0))),"")</f>
        <v/>
      </c>
    </row>
    <row r="48" ht="75" customFormat="1" customHeight="1" s="8">
      <c r="A48" s="15" t="n">
        <v>2024</v>
      </c>
      <c r="B48" s="15" t="inlineStr">
        <is>
          <t>jama.2024.25786</t>
        </is>
      </c>
      <c r="C48" s="15" t="inlineStr">
        <is>
          <t>2024::jama.2024.25786::C004</t>
        </is>
      </c>
      <c r="D48" s="15" t="inlineStr">
        <is>
          <t>S_C</t>
        </is>
      </c>
      <c r="E48" s="15">
        <f>Setup!$B$4</f>
        <v/>
      </c>
      <c r="F48" s="15">
        <f>IF(Setup!$B$2="","",Setup!$B$2)</f>
        <v/>
      </c>
      <c r="G48" s="15">
        <f>IFERROR(INDEX('C_jama.2024.25786'!$G$2:$G$9,MATCH(C48,'C_jama.2024.25786'!$A$2:$A$9,0)),"CHECK KEY")</f>
        <v/>
      </c>
      <c r="H48" s="15">
        <f>IF(OR(G48&lt;&gt;"PRIMARY READY",K48="discuss"),"",IF(K48&lt;&gt;"retain","not_eligible",IF(D48="P_R","protocol_descriptive",IF(D48="P_P","plan_descriptive",IF(AND(OR(D48="S_C",D48="S_W"),L48="statistical_results",OR(M48="confirmed_issue",M48="probable_issue"),N48="substantive"),"primary_temporal",IF(AND(OR(D48="S_C",D48="S_W"),L48="report_internal_inconsistency",P48="substantive_inconsistency"),"secondary_temporal","not_eligible"))))))</f>
        <v/>
      </c>
      <c r="I48" s="15" t="inlineStr">
        <is>
          <t>retain</t>
        </is>
      </c>
      <c r="J48" s="15" t="inlineStr">
        <is>
          <t>report_internal_inconsistency</t>
        </is>
      </c>
      <c r="K48" s="15">
        <f>IFERROR(IF(INDEX('C_jama.2024.25786'!$D$2:$D$9,MATCH(C48,'C_jama.2024.25786'!$A$2:$A$9,0))="","",INDEX('C_jama.2024.25786'!$D$2:$D$9,MATCH(C48,'C_jama.2024.25786'!$A$2:$A$9,0))),"")</f>
        <v/>
      </c>
      <c r="L48" s="15">
        <f>IFERROR(IF(INDEX('C_jama.2024.25786'!$E$2:$E$9,MATCH(C48,'C_jama.2024.25786'!$A$2:$A$9,0))="","",INDEX('C_jama.2024.25786'!$E$2:$E$9,MATCH(C48,'C_jama.2024.25786'!$A$2:$A$9,0))),"")</f>
        <v/>
      </c>
      <c r="M48" s="15">
        <f>IFERROR(IF(AND(K48="retain",L48="statistical_results"),IF(INDEX('C_jama.2024.25786'!$H$2:$H$9,MATCH(C48,'C_jama.2024.25786'!$A$2:$A$9,0))="","",INDEX('C_jama.2024.25786'!$H$2:$H$9,MATCH(C48,'C_jama.2024.25786'!$A$2:$A$9,0))),"not_applicable"),"")</f>
        <v/>
      </c>
      <c r="N48" s="15">
        <f>IFERROR(IF(AND(K48="retain",L48="statistical_results"),IF(INDEX('C_jama.2024.25786'!$I$2:$I$9,MATCH(C48,'C_jama.2024.25786'!$A$2:$A$9,0))="","",INDEX('C_jama.2024.25786'!$I$2:$I$9,MATCH(C48,'C_jama.2024.25786'!$A$2:$A$9,0))),"not_applicable"),"")</f>
        <v/>
      </c>
      <c r="O48" s="15">
        <f>IFERROR(IF(AND(K48="retain",L48="statistical_results"),IF(INDEX('C_jama.2024.25786'!$J$2:$J$9,MATCH(C48,'C_jama.2024.25786'!$A$2:$A$9,0))="","",INDEX('C_jama.2024.25786'!$J$2:$J$9,MATCH(C48,'C_jama.2024.25786'!$A$2:$A$9,0))),"not_applicable"),"")</f>
        <v/>
      </c>
      <c r="P48" s="15">
        <f>IFERROR(IF(AND(K48="retain",OR(L48="report_internal_inconsistency",L48="plan_material")),IF(INDEX('C_jama.2024.25786'!$K$2:$K$9,MATCH(C48,'C_jama.2024.25786'!$A$2:$A$9,0))="","",INDEX('C_jama.2024.25786'!$K$2:$K$9,MATCH(C48,'C_jama.2024.25786'!$A$2:$A$9,0))),"not_applicable"),"")</f>
        <v/>
      </c>
      <c r="Q48" s="15">
        <f>IFERROR(IF(AND(K48="retain",L48="protocol_report"),IF(INDEX('C_jama.2024.25786'!$L$2:$L$9,MATCH(C48,'C_jama.2024.25786'!$A$2:$A$9,0))="","",INDEX('C_jama.2024.25786'!$L$2:$L$9,MATCH(C48,'C_jama.2024.25786'!$A$2:$A$9,0))),"not_applicable"),"")</f>
        <v/>
      </c>
      <c r="R48" s="15">
        <f>IFERROR(IF(INDEX('C_jama.2024.25786'!$R$2:$R$9,MATCH(C48,'C_jama.2024.25786'!$A$2:$A$9,0))="","",INDEX('C_jama.2024.25786'!$R$2:$R$9,MATCH(C48,'C_jama.2024.25786'!$A$2:$A$9,0))),"")</f>
        <v/>
      </c>
    </row>
    <row r="49" ht="75" customFormat="1" customHeight="1" s="8">
      <c r="A49" s="16" t="n">
        <v>2024</v>
      </c>
      <c r="B49" s="16" t="inlineStr">
        <is>
          <t>jama.2024.25786</t>
        </is>
      </c>
      <c r="C49" s="16" t="inlineStr">
        <is>
          <t>2024::jama.2024.25786::C005</t>
        </is>
      </c>
      <c r="D49" s="16" t="inlineStr">
        <is>
          <t>S_C</t>
        </is>
      </c>
      <c r="E49" s="16">
        <f>Setup!$B$4</f>
        <v/>
      </c>
      <c r="F49" s="16">
        <f>IF(Setup!$B$2="","",Setup!$B$2)</f>
        <v/>
      </c>
      <c r="G49" s="16">
        <f>IFERROR(INDEX('C_jama.2024.25786'!$G$2:$G$9,MATCH(C49,'C_jama.2024.25786'!$A$2:$A$9,0)),"CHECK KEY")</f>
        <v/>
      </c>
      <c r="H49" s="16">
        <f>IF(OR(G49&lt;&gt;"PRIMARY READY",K49="discuss"),"",IF(K49&lt;&gt;"retain","not_eligible",IF(D49="P_R","protocol_descriptive",IF(D49="P_P","plan_descriptive",IF(AND(OR(D49="S_C",D49="S_W"),L49="statistical_results",OR(M49="confirmed_issue",M49="probable_issue"),N49="substantive"),"primary_temporal",IF(AND(OR(D49="S_C",D49="S_W"),L49="report_internal_inconsistency",P49="substantive_inconsistency"),"secondary_temporal","not_eligible"))))))</f>
        <v/>
      </c>
      <c r="I49" s="16" t="inlineStr">
        <is>
          <t>retain</t>
        </is>
      </c>
      <c r="J49" s="16" t="inlineStr">
        <is>
          <t>report_internal_inconsistency</t>
        </is>
      </c>
      <c r="K49" s="16">
        <f>IFERROR(IF(INDEX('C_jama.2024.25786'!$D$2:$D$9,MATCH(C49,'C_jama.2024.25786'!$A$2:$A$9,0))="","",INDEX('C_jama.2024.25786'!$D$2:$D$9,MATCH(C49,'C_jama.2024.25786'!$A$2:$A$9,0))),"")</f>
        <v/>
      </c>
      <c r="L49" s="16">
        <f>IFERROR(IF(INDEX('C_jama.2024.25786'!$E$2:$E$9,MATCH(C49,'C_jama.2024.25786'!$A$2:$A$9,0))="","",INDEX('C_jama.2024.25786'!$E$2:$E$9,MATCH(C49,'C_jama.2024.25786'!$A$2:$A$9,0))),"")</f>
        <v/>
      </c>
      <c r="M49" s="16">
        <f>IFERROR(IF(AND(K49="retain",L49="statistical_results"),IF(INDEX('C_jama.2024.25786'!$H$2:$H$9,MATCH(C49,'C_jama.2024.25786'!$A$2:$A$9,0))="","",INDEX('C_jama.2024.25786'!$H$2:$H$9,MATCH(C49,'C_jama.2024.25786'!$A$2:$A$9,0))),"not_applicable"),"")</f>
        <v/>
      </c>
      <c r="N49" s="16">
        <f>IFERROR(IF(AND(K49="retain",L49="statistical_results"),IF(INDEX('C_jama.2024.25786'!$I$2:$I$9,MATCH(C49,'C_jama.2024.25786'!$A$2:$A$9,0))="","",INDEX('C_jama.2024.25786'!$I$2:$I$9,MATCH(C49,'C_jama.2024.25786'!$A$2:$A$9,0))),"not_applicable"),"")</f>
        <v/>
      </c>
      <c r="O49" s="16">
        <f>IFERROR(IF(AND(K49="retain",L49="statistical_results"),IF(INDEX('C_jama.2024.25786'!$J$2:$J$9,MATCH(C49,'C_jama.2024.25786'!$A$2:$A$9,0))="","",INDEX('C_jama.2024.25786'!$J$2:$J$9,MATCH(C49,'C_jama.2024.25786'!$A$2:$A$9,0))),"not_applicable"),"")</f>
        <v/>
      </c>
      <c r="P49" s="16">
        <f>IFERROR(IF(AND(K49="retain",OR(L49="report_internal_inconsistency",L49="plan_material")),IF(INDEX('C_jama.2024.25786'!$K$2:$K$9,MATCH(C49,'C_jama.2024.25786'!$A$2:$A$9,0))="","",INDEX('C_jama.2024.25786'!$K$2:$K$9,MATCH(C49,'C_jama.2024.25786'!$A$2:$A$9,0))),"not_applicable"),"")</f>
        <v/>
      </c>
      <c r="Q49" s="16">
        <f>IFERROR(IF(AND(K49="retain",L49="protocol_report"),IF(INDEX('C_jama.2024.25786'!$L$2:$L$9,MATCH(C49,'C_jama.2024.25786'!$A$2:$A$9,0))="","",INDEX('C_jama.2024.25786'!$L$2:$L$9,MATCH(C49,'C_jama.2024.25786'!$A$2:$A$9,0))),"not_applicable"),"")</f>
        <v/>
      </c>
      <c r="R49" s="16">
        <f>IFERROR(IF(INDEX('C_jama.2024.25786'!$R$2:$R$9,MATCH(C49,'C_jama.2024.25786'!$A$2:$A$9,0))="","",INDEX('C_jama.2024.25786'!$R$2:$R$9,MATCH(C49,'C_jama.2024.25786'!$A$2:$A$9,0))),"")</f>
        <v/>
      </c>
    </row>
    <row r="50" ht="75" customFormat="1" customHeight="1" s="8">
      <c r="A50" s="15" t="n">
        <v>2024</v>
      </c>
      <c r="B50" s="15" t="inlineStr">
        <is>
          <t>jama.2024.25786</t>
        </is>
      </c>
      <c r="C50" s="15" t="inlineStr">
        <is>
          <t>2024::jama.2024.25786::C006</t>
        </is>
      </c>
      <c r="D50" s="15" t="inlineStr">
        <is>
          <t>S_C</t>
        </is>
      </c>
      <c r="E50" s="15">
        <f>Setup!$B$4</f>
        <v/>
      </c>
      <c r="F50" s="15">
        <f>IF(Setup!$B$2="","",Setup!$B$2)</f>
        <v/>
      </c>
      <c r="G50" s="15">
        <f>IFERROR(INDEX('C_jama.2024.25786'!$G$2:$G$9,MATCH(C50,'C_jama.2024.25786'!$A$2:$A$9,0)),"CHECK KEY")</f>
        <v/>
      </c>
      <c r="H50" s="15">
        <f>IF(OR(G50&lt;&gt;"PRIMARY READY",K50="discuss"),"",IF(K50&lt;&gt;"retain","not_eligible",IF(D50="P_R","protocol_descriptive",IF(D50="P_P","plan_descriptive",IF(AND(OR(D50="S_C",D50="S_W"),L50="statistical_results",OR(M50="confirmed_issue",M50="probable_issue"),N50="substantive"),"primary_temporal",IF(AND(OR(D50="S_C",D50="S_W"),L50="report_internal_inconsistency",P50="substantive_inconsistency"),"secondary_temporal","not_eligible"))))))</f>
        <v/>
      </c>
      <c r="I50" s="15" t="inlineStr">
        <is>
          <t>retain</t>
        </is>
      </c>
      <c r="J50" s="15" t="inlineStr">
        <is>
          <t>report_internal_inconsistency</t>
        </is>
      </c>
      <c r="K50" s="15">
        <f>IFERROR(IF(INDEX('C_jama.2024.25786'!$D$2:$D$9,MATCH(C50,'C_jama.2024.25786'!$A$2:$A$9,0))="","",INDEX('C_jama.2024.25786'!$D$2:$D$9,MATCH(C50,'C_jama.2024.25786'!$A$2:$A$9,0))),"")</f>
        <v/>
      </c>
      <c r="L50" s="15">
        <f>IFERROR(IF(INDEX('C_jama.2024.25786'!$E$2:$E$9,MATCH(C50,'C_jama.2024.25786'!$A$2:$A$9,0))="","",INDEX('C_jama.2024.25786'!$E$2:$E$9,MATCH(C50,'C_jama.2024.25786'!$A$2:$A$9,0))),"")</f>
        <v/>
      </c>
      <c r="M50" s="15">
        <f>IFERROR(IF(AND(K50="retain",L50="statistical_results"),IF(INDEX('C_jama.2024.25786'!$H$2:$H$9,MATCH(C50,'C_jama.2024.25786'!$A$2:$A$9,0))="","",INDEX('C_jama.2024.25786'!$H$2:$H$9,MATCH(C50,'C_jama.2024.25786'!$A$2:$A$9,0))),"not_applicable"),"")</f>
        <v/>
      </c>
      <c r="N50" s="15">
        <f>IFERROR(IF(AND(K50="retain",L50="statistical_results"),IF(INDEX('C_jama.2024.25786'!$I$2:$I$9,MATCH(C50,'C_jama.2024.25786'!$A$2:$A$9,0))="","",INDEX('C_jama.2024.25786'!$I$2:$I$9,MATCH(C50,'C_jama.2024.25786'!$A$2:$A$9,0))),"not_applicable"),"")</f>
        <v/>
      </c>
      <c r="O50" s="15">
        <f>IFERROR(IF(AND(K50="retain",L50="statistical_results"),IF(INDEX('C_jama.2024.25786'!$J$2:$J$9,MATCH(C50,'C_jama.2024.25786'!$A$2:$A$9,0))="","",INDEX('C_jama.2024.25786'!$J$2:$J$9,MATCH(C50,'C_jama.2024.25786'!$A$2:$A$9,0))),"not_applicable"),"")</f>
        <v/>
      </c>
      <c r="P50" s="15">
        <f>IFERROR(IF(AND(K50="retain",OR(L50="report_internal_inconsistency",L50="plan_material")),IF(INDEX('C_jama.2024.25786'!$K$2:$K$9,MATCH(C50,'C_jama.2024.25786'!$A$2:$A$9,0))="","",INDEX('C_jama.2024.25786'!$K$2:$K$9,MATCH(C50,'C_jama.2024.25786'!$A$2:$A$9,0))),"not_applicable"),"")</f>
        <v/>
      </c>
      <c r="Q50" s="15">
        <f>IFERROR(IF(AND(K50="retain",L50="protocol_report"),IF(INDEX('C_jama.2024.25786'!$L$2:$L$9,MATCH(C50,'C_jama.2024.25786'!$A$2:$A$9,0))="","",INDEX('C_jama.2024.25786'!$L$2:$L$9,MATCH(C50,'C_jama.2024.25786'!$A$2:$A$9,0))),"not_applicable"),"")</f>
        <v/>
      </c>
      <c r="R50" s="15">
        <f>IFERROR(IF(INDEX('C_jama.2024.25786'!$R$2:$R$9,MATCH(C50,'C_jama.2024.25786'!$A$2:$A$9,0))="","",INDEX('C_jama.2024.25786'!$R$2:$R$9,MATCH(C50,'C_jama.2024.25786'!$A$2:$A$9,0))),"")</f>
        <v/>
      </c>
    </row>
    <row r="51" ht="75" customFormat="1" customHeight="1" s="8">
      <c r="A51" s="16" t="n">
        <v>2024</v>
      </c>
      <c r="B51" s="16" t="inlineStr">
        <is>
          <t>jama.2024.25786</t>
        </is>
      </c>
      <c r="C51" s="16" t="inlineStr">
        <is>
          <t>2024::jama.2024.25786::C007</t>
        </is>
      </c>
      <c r="D51" s="16" t="inlineStr">
        <is>
          <t>S_W</t>
        </is>
      </c>
      <c r="E51" s="16">
        <f>Setup!$B$4</f>
        <v/>
      </c>
      <c r="F51" s="16">
        <f>IF(Setup!$B$2="","",Setup!$B$2)</f>
        <v/>
      </c>
      <c r="G51" s="16">
        <f>IFERROR(INDEX('C_jama.2024.25786'!$G$2:$G$9,MATCH(C51,'C_jama.2024.25786'!$A$2:$A$9,0)),"CHECK KEY")</f>
        <v/>
      </c>
      <c r="H51" s="16">
        <f>IF(OR(G51&lt;&gt;"PRIMARY READY",K51="discuss"),"",IF(K51&lt;&gt;"retain","not_eligible",IF(D51="P_R","protocol_descriptive",IF(D51="P_P","plan_descriptive",IF(AND(OR(D51="S_C",D51="S_W"),L51="statistical_results",OR(M51="confirmed_issue",M51="probable_issue"),N51="substantive"),"primary_temporal",IF(AND(OR(D51="S_C",D51="S_W"),L51="report_internal_inconsistency",P51="substantive_inconsistency"),"secondary_temporal","not_eligible"))))))</f>
        <v/>
      </c>
      <c r="I51" s="16" t="inlineStr">
        <is>
          <t>retain</t>
        </is>
      </c>
      <c r="J51" s="16" t="inlineStr">
        <is>
          <t>statistical_results</t>
        </is>
      </c>
      <c r="K51" s="16">
        <f>IFERROR(IF(INDEX('C_jama.2024.25786'!$D$2:$D$9,MATCH(C51,'C_jama.2024.25786'!$A$2:$A$9,0))="","",INDEX('C_jama.2024.25786'!$D$2:$D$9,MATCH(C51,'C_jama.2024.25786'!$A$2:$A$9,0))),"")</f>
        <v/>
      </c>
      <c r="L51" s="16">
        <f>IFERROR(IF(INDEX('C_jama.2024.25786'!$E$2:$E$9,MATCH(C51,'C_jama.2024.25786'!$A$2:$A$9,0))="","",INDEX('C_jama.2024.25786'!$E$2:$E$9,MATCH(C51,'C_jama.2024.25786'!$A$2:$A$9,0))),"")</f>
        <v/>
      </c>
      <c r="M51" s="16">
        <f>IFERROR(IF(AND(K51="retain",L51="statistical_results"),IF(INDEX('C_jama.2024.25786'!$H$2:$H$9,MATCH(C51,'C_jama.2024.25786'!$A$2:$A$9,0))="","",INDEX('C_jama.2024.25786'!$H$2:$H$9,MATCH(C51,'C_jama.2024.25786'!$A$2:$A$9,0))),"not_applicable"),"")</f>
        <v/>
      </c>
      <c r="N51" s="16">
        <f>IFERROR(IF(AND(K51="retain",L51="statistical_results"),IF(INDEX('C_jama.2024.25786'!$I$2:$I$9,MATCH(C51,'C_jama.2024.25786'!$A$2:$A$9,0))="","",INDEX('C_jama.2024.25786'!$I$2:$I$9,MATCH(C51,'C_jama.2024.25786'!$A$2:$A$9,0))),"not_applicable"),"")</f>
        <v/>
      </c>
      <c r="O51" s="16">
        <f>IFERROR(IF(AND(K51="retain",L51="statistical_results"),IF(INDEX('C_jama.2024.25786'!$J$2:$J$9,MATCH(C51,'C_jama.2024.25786'!$A$2:$A$9,0))="","",INDEX('C_jama.2024.25786'!$J$2:$J$9,MATCH(C51,'C_jama.2024.25786'!$A$2:$A$9,0))),"not_applicable"),"")</f>
        <v/>
      </c>
      <c r="P51" s="16">
        <f>IFERROR(IF(AND(K51="retain",OR(L51="report_internal_inconsistency",L51="plan_material")),IF(INDEX('C_jama.2024.25786'!$K$2:$K$9,MATCH(C51,'C_jama.2024.25786'!$A$2:$A$9,0))="","",INDEX('C_jama.2024.25786'!$K$2:$K$9,MATCH(C51,'C_jama.2024.25786'!$A$2:$A$9,0))),"not_applicable"),"")</f>
        <v/>
      </c>
      <c r="Q51" s="16">
        <f>IFERROR(IF(AND(K51="retain",L51="protocol_report"),IF(INDEX('C_jama.2024.25786'!$L$2:$L$9,MATCH(C51,'C_jama.2024.25786'!$A$2:$A$9,0))="","",INDEX('C_jama.2024.25786'!$L$2:$L$9,MATCH(C51,'C_jama.2024.25786'!$A$2:$A$9,0))),"not_applicable"),"")</f>
        <v/>
      </c>
      <c r="R51" s="16">
        <f>IFERROR(IF(INDEX('C_jama.2024.25786'!$R$2:$R$9,MATCH(C51,'C_jama.2024.25786'!$A$2:$A$9,0))="","",INDEX('C_jama.2024.25786'!$R$2:$R$9,MATCH(C51,'C_jama.2024.25786'!$A$2:$A$9,0))),"")</f>
        <v/>
      </c>
    </row>
    <row r="52" ht="75" customFormat="1" customHeight="1" s="8">
      <c r="A52" s="15" t="n">
        <v>2024</v>
      </c>
      <c r="B52" s="15" t="inlineStr">
        <is>
          <t>jama.2024.25786</t>
        </is>
      </c>
      <c r="C52" s="15" t="inlineStr">
        <is>
          <t>2024::jama.2024.25786::C008</t>
        </is>
      </c>
      <c r="D52" s="15" t="inlineStr">
        <is>
          <t>S_W</t>
        </is>
      </c>
      <c r="E52" s="15">
        <f>Setup!$B$4</f>
        <v/>
      </c>
      <c r="F52" s="15">
        <f>IF(Setup!$B$2="","",Setup!$B$2)</f>
        <v/>
      </c>
      <c r="G52" s="15">
        <f>IFERROR(INDEX('C_jama.2024.25786'!$G$2:$G$9,MATCH(C52,'C_jama.2024.25786'!$A$2:$A$9,0)),"CHECK KEY")</f>
        <v/>
      </c>
      <c r="H52" s="15">
        <f>IF(OR(G52&lt;&gt;"PRIMARY READY",K52="discuss"),"",IF(K52&lt;&gt;"retain","not_eligible",IF(D52="P_R","protocol_descriptive",IF(D52="P_P","plan_descriptive",IF(AND(OR(D52="S_C",D52="S_W"),L52="statistical_results",OR(M52="confirmed_issue",M52="probable_issue"),N52="substantive"),"primary_temporal",IF(AND(OR(D52="S_C",D52="S_W"),L52="report_internal_inconsistency",P52="substantive_inconsistency"),"secondary_temporal","not_eligible"))))))</f>
        <v/>
      </c>
      <c r="I52" s="15" t="inlineStr">
        <is>
          <t>retain</t>
        </is>
      </c>
      <c r="J52" s="15" t="inlineStr">
        <is>
          <t>report_internal_inconsistency</t>
        </is>
      </c>
      <c r="K52" s="15">
        <f>IFERROR(IF(INDEX('C_jama.2024.25786'!$D$2:$D$9,MATCH(C52,'C_jama.2024.25786'!$A$2:$A$9,0))="","",INDEX('C_jama.2024.25786'!$D$2:$D$9,MATCH(C52,'C_jama.2024.25786'!$A$2:$A$9,0))),"")</f>
        <v/>
      </c>
      <c r="L52" s="15">
        <f>IFERROR(IF(INDEX('C_jama.2024.25786'!$E$2:$E$9,MATCH(C52,'C_jama.2024.25786'!$A$2:$A$9,0))="","",INDEX('C_jama.2024.25786'!$E$2:$E$9,MATCH(C52,'C_jama.2024.25786'!$A$2:$A$9,0))),"")</f>
        <v/>
      </c>
      <c r="M52" s="15">
        <f>IFERROR(IF(AND(K52="retain",L52="statistical_results"),IF(INDEX('C_jama.2024.25786'!$H$2:$H$9,MATCH(C52,'C_jama.2024.25786'!$A$2:$A$9,0))="","",INDEX('C_jama.2024.25786'!$H$2:$H$9,MATCH(C52,'C_jama.2024.25786'!$A$2:$A$9,0))),"not_applicable"),"")</f>
        <v/>
      </c>
      <c r="N52" s="15">
        <f>IFERROR(IF(AND(K52="retain",L52="statistical_results"),IF(INDEX('C_jama.2024.25786'!$I$2:$I$9,MATCH(C52,'C_jama.2024.25786'!$A$2:$A$9,0))="","",INDEX('C_jama.2024.25786'!$I$2:$I$9,MATCH(C52,'C_jama.2024.25786'!$A$2:$A$9,0))),"not_applicable"),"")</f>
        <v/>
      </c>
      <c r="O52" s="15">
        <f>IFERROR(IF(AND(K52="retain",L52="statistical_results"),IF(INDEX('C_jama.2024.25786'!$J$2:$J$9,MATCH(C52,'C_jama.2024.25786'!$A$2:$A$9,0))="","",INDEX('C_jama.2024.25786'!$J$2:$J$9,MATCH(C52,'C_jama.2024.25786'!$A$2:$A$9,0))),"not_applicable"),"")</f>
        <v/>
      </c>
      <c r="P52" s="15">
        <f>IFERROR(IF(AND(K52="retain",OR(L52="report_internal_inconsistency",L52="plan_material")),IF(INDEX('C_jama.2024.25786'!$K$2:$K$9,MATCH(C52,'C_jama.2024.25786'!$A$2:$A$9,0))="","",INDEX('C_jama.2024.25786'!$K$2:$K$9,MATCH(C52,'C_jama.2024.25786'!$A$2:$A$9,0))),"not_applicable"),"")</f>
        <v/>
      </c>
      <c r="Q52" s="15">
        <f>IFERROR(IF(AND(K52="retain",L52="protocol_report"),IF(INDEX('C_jama.2024.25786'!$L$2:$L$9,MATCH(C52,'C_jama.2024.25786'!$A$2:$A$9,0))="","",INDEX('C_jama.2024.25786'!$L$2:$L$9,MATCH(C52,'C_jama.2024.25786'!$A$2:$A$9,0))),"not_applicable"),"")</f>
        <v/>
      </c>
      <c r="R52" s="15">
        <f>IFERROR(IF(INDEX('C_jama.2024.25786'!$R$2:$R$9,MATCH(C52,'C_jama.2024.25786'!$A$2:$A$9,0))="","",INDEX('C_jama.2024.25786'!$R$2:$R$9,MATCH(C52,'C_jama.2024.25786'!$A$2:$A$9,0))),"")</f>
        <v/>
      </c>
    </row>
    <row r="53" ht="75" customFormat="1" customHeight="1" s="8">
      <c r="A53" s="16" t="n">
        <v>2024</v>
      </c>
      <c r="B53" s="16" t="inlineStr">
        <is>
          <t>jama.2024.4183</t>
        </is>
      </c>
      <c r="C53" s="16" t="inlineStr">
        <is>
          <t>2024::jama.2024.4183::C001</t>
        </is>
      </c>
      <c r="D53" s="16" t="inlineStr">
        <is>
          <t>S_W</t>
        </is>
      </c>
      <c r="E53" s="16">
        <f>Setup!$B$4</f>
        <v/>
      </c>
      <c r="F53" s="16">
        <f>IF(Setup!$B$2="","",Setup!$B$2)</f>
        <v/>
      </c>
      <c r="G53" s="16">
        <f>IFERROR(INDEX('C_jama.2024.4183'!$G$2:$G$25,MATCH(C53,'C_jama.2024.4183'!$A$2:$A$25,0)),"CHECK KEY")</f>
        <v/>
      </c>
      <c r="H53" s="16">
        <f>IF(OR(G53&lt;&gt;"PRIMARY READY",K53="discuss"),"",IF(K53&lt;&gt;"retain","not_eligible",IF(D53="P_R","protocol_descriptive",IF(D53="P_P","plan_descriptive",IF(AND(OR(D53="S_C",D53="S_W"),L53="statistical_results",OR(M53="confirmed_issue",M53="probable_issue"),N53="substantive"),"primary_temporal",IF(AND(OR(D53="S_C",D53="S_W"),L53="report_internal_inconsistency",P53="substantive_inconsistency"),"secondary_temporal","not_eligible"))))))</f>
        <v/>
      </c>
      <c r="I53" s="16" t="inlineStr">
        <is>
          <t>retain</t>
        </is>
      </c>
      <c r="J53" s="16" t="inlineStr">
        <is>
          <t>statistical_results</t>
        </is>
      </c>
      <c r="K53" s="16">
        <f>IFERROR(IF(INDEX('C_jama.2024.4183'!$D$2:$D$25,MATCH(C53,'C_jama.2024.4183'!$A$2:$A$25,0))="","",INDEX('C_jama.2024.4183'!$D$2:$D$25,MATCH(C53,'C_jama.2024.4183'!$A$2:$A$25,0))),"")</f>
        <v/>
      </c>
      <c r="L53" s="16">
        <f>IFERROR(IF(INDEX('C_jama.2024.4183'!$E$2:$E$25,MATCH(C53,'C_jama.2024.4183'!$A$2:$A$25,0))="","",INDEX('C_jama.2024.4183'!$E$2:$E$25,MATCH(C53,'C_jama.2024.4183'!$A$2:$A$25,0))),"")</f>
        <v/>
      </c>
      <c r="M53" s="16">
        <f>IFERROR(IF(AND(K53="retain",L53="statistical_results"),IF(INDEX('C_jama.2024.4183'!$H$2:$H$25,MATCH(C53,'C_jama.2024.4183'!$A$2:$A$25,0))="","",INDEX('C_jama.2024.4183'!$H$2:$H$25,MATCH(C53,'C_jama.2024.4183'!$A$2:$A$25,0))),"not_applicable"),"")</f>
        <v/>
      </c>
      <c r="N53" s="16">
        <f>IFERROR(IF(AND(K53="retain",L53="statistical_results"),IF(INDEX('C_jama.2024.4183'!$I$2:$I$25,MATCH(C53,'C_jama.2024.4183'!$A$2:$A$25,0))="","",INDEX('C_jama.2024.4183'!$I$2:$I$25,MATCH(C53,'C_jama.2024.4183'!$A$2:$A$25,0))),"not_applicable"),"")</f>
        <v/>
      </c>
      <c r="O53" s="16">
        <f>IFERROR(IF(AND(K53="retain",L53="statistical_results"),IF(INDEX('C_jama.2024.4183'!$J$2:$J$25,MATCH(C53,'C_jama.2024.4183'!$A$2:$A$25,0))="","",INDEX('C_jama.2024.4183'!$J$2:$J$25,MATCH(C53,'C_jama.2024.4183'!$A$2:$A$25,0))),"not_applicable"),"")</f>
        <v/>
      </c>
      <c r="P53" s="16">
        <f>IFERROR(IF(AND(K53="retain",OR(L53="report_internal_inconsistency",L53="plan_material")),IF(INDEX('C_jama.2024.4183'!$K$2:$K$25,MATCH(C53,'C_jama.2024.4183'!$A$2:$A$25,0))="","",INDEX('C_jama.2024.4183'!$K$2:$K$25,MATCH(C53,'C_jama.2024.4183'!$A$2:$A$25,0))),"not_applicable"),"")</f>
        <v/>
      </c>
      <c r="Q53" s="16">
        <f>IFERROR(IF(AND(K53="retain",L53="protocol_report"),IF(INDEX('C_jama.2024.4183'!$L$2:$L$25,MATCH(C53,'C_jama.2024.4183'!$A$2:$A$25,0))="","",INDEX('C_jama.2024.4183'!$L$2:$L$25,MATCH(C53,'C_jama.2024.4183'!$A$2:$A$25,0))),"not_applicable"),"")</f>
        <v/>
      </c>
      <c r="R53" s="16">
        <f>IFERROR(IF(INDEX('C_jama.2024.4183'!$R$2:$R$25,MATCH(C53,'C_jama.2024.4183'!$A$2:$A$25,0))="","",INDEX('C_jama.2024.4183'!$R$2:$R$25,MATCH(C53,'C_jama.2024.4183'!$A$2:$A$25,0))),"")</f>
        <v/>
      </c>
    </row>
    <row r="54" ht="75" customFormat="1" customHeight="1" s="8">
      <c r="A54" s="15" t="n">
        <v>2024</v>
      </c>
      <c r="B54" s="15" t="inlineStr">
        <is>
          <t>jama.2024.4183</t>
        </is>
      </c>
      <c r="C54" s="15" t="inlineStr">
        <is>
          <t>2024::jama.2024.4183::C002</t>
        </is>
      </c>
      <c r="D54" s="15" t="inlineStr">
        <is>
          <t>S_W</t>
        </is>
      </c>
      <c r="E54" s="15">
        <f>Setup!$B$4</f>
        <v/>
      </c>
      <c r="F54" s="15">
        <f>IF(Setup!$B$2="","",Setup!$B$2)</f>
        <v/>
      </c>
      <c r="G54" s="15">
        <f>IFERROR(INDEX('C_jama.2024.4183'!$G$2:$G$25,MATCH(C54,'C_jama.2024.4183'!$A$2:$A$25,0)),"CHECK KEY")</f>
        <v/>
      </c>
      <c r="H54" s="15">
        <f>IF(OR(G54&lt;&gt;"PRIMARY READY",K54="discuss"),"",IF(K54&lt;&gt;"retain","not_eligible",IF(D54="P_R","protocol_descriptive",IF(D54="P_P","plan_descriptive",IF(AND(OR(D54="S_C",D54="S_W"),L54="statistical_results",OR(M54="confirmed_issue",M54="probable_issue"),N54="substantive"),"primary_temporal",IF(AND(OR(D54="S_C",D54="S_W"),L54="report_internal_inconsistency",P54="substantive_inconsistency"),"secondary_temporal","not_eligible"))))))</f>
        <v/>
      </c>
      <c r="I54" s="15" t="inlineStr">
        <is>
          <t>retain</t>
        </is>
      </c>
      <c r="J54" s="15" t="inlineStr">
        <is>
          <t>statistical_results</t>
        </is>
      </c>
      <c r="K54" s="15">
        <f>IFERROR(IF(INDEX('C_jama.2024.4183'!$D$2:$D$25,MATCH(C54,'C_jama.2024.4183'!$A$2:$A$25,0))="","",INDEX('C_jama.2024.4183'!$D$2:$D$25,MATCH(C54,'C_jama.2024.4183'!$A$2:$A$25,0))),"")</f>
        <v/>
      </c>
      <c r="L54" s="15">
        <f>IFERROR(IF(INDEX('C_jama.2024.4183'!$E$2:$E$25,MATCH(C54,'C_jama.2024.4183'!$A$2:$A$25,0))="","",INDEX('C_jama.2024.4183'!$E$2:$E$25,MATCH(C54,'C_jama.2024.4183'!$A$2:$A$25,0))),"")</f>
        <v/>
      </c>
      <c r="M54" s="15">
        <f>IFERROR(IF(AND(K54="retain",L54="statistical_results"),IF(INDEX('C_jama.2024.4183'!$H$2:$H$25,MATCH(C54,'C_jama.2024.4183'!$A$2:$A$25,0))="","",INDEX('C_jama.2024.4183'!$H$2:$H$25,MATCH(C54,'C_jama.2024.4183'!$A$2:$A$25,0))),"not_applicable"),"")</f>
        <v/>
      </c>
      <c r="N54" s="15">
        <f>IFERROR(IF(AND(K54="retain",L54="statistical_results"),IF(INDEX('C_jama.2024.4183'!$I$2:$I$25,MATCH(C54,'C_jama.2024.4183'!$A$2:$A$25,0))="","",INDEX('C_jama.2024.4183'!$I$2:$I$25,MATCH(C54,'C_jama.2024.4183'!$A$2:$A$25,0))),"not_applicable"),"")</f>
        <v/>
      </c>
      <c r="O54" s="15">
        <f>IFERROR(IF(AND(K54="retain",L54="statistical_results"),IF(INDEX('C_jama.2024.4183'!$J$2:$J$25,MATCH(C54,'C_jama.2024.4183'!$A$2:$A$25,0))="","",INDEX('C_jama.2024.4183'!$J$2:$J$25,MATCH(C54,'C_jama.2024.4183'!$A$2:$A$25,0))),"not_applicable"),"")</f>
        <v/>
      </c>
      <c r="P54" s="15">
        <f>IFERROR(IF(AND(K54="retain",OR(L54="report_internal_inconsistency",L54="plan_material")),IF(INDEX('C_jama.2024.4183'!$K$2:$K$25,MATCH(C54,'C_jama.2024.4183'!$A$2:$A$25,0))="","",INDEX('C_jama.2024.4183'!$K$2:$K$25,MATCH(C54,'C_jama.2024.4183'!$A$2:$A$25,0))),"not_applicable"),"")</f>
        <v/>
      </c>
      <c r="Q54" s="15">
        <f>IFERROR(IF(AND(K54="retain",L54="protocol_report"),IF(INDEX('C_jama.2024.4183'!$L$2:$L$25,MATCH(C54,'C_jama.2024.4183'!$A$2:$A$25,0))="","",INDEX('C_jama.2024.4183'!$L$2:$L$25,MATCH(C54,'C_jama.2024.4183'!$A$2:$A$25,0))),"not_applicable"),"")</f>
        <v/>
      </c>
      <c r="R54" s="15">
        <f>IFERROR(IF(INDEX('C_jama.2024.4183'!$R$2:$R$25,MATCH(C54,'C_jama.2024.4183'!$A$2:$A$25,0))="","",INDEX('C_jama.2024.4183'!$R$2:$R$25,MATCH(C54,'C_jama.2024.4183'!$A$2:$A$25,0))),"")</f>
        <v/>
      </c>
    </row>
    <row r="55" ht="75" customFormat="1" customHeight="1" s="8">
      <c r="A55" s="16" t="n">
        <v>2024</v>
      </c>
      <c r="B55" s="16" t="inlineStr">
        <is>
          <t>jama.2024.4183</t>
        </is>
      </c>
      <c r="C55" s="16" t="inlineStr">
        <is>
          <t>2024::jama.2024.4183::C003</t>
        </is>
      </c>
      <c r="D55" s="16" t="inlineStr">
        <is>
          <t>S_W</t>
        </is>
      </c>
      <c r="E55" s="16">
        <f>Setup!$B$4</f>
        <v/>
      </c>
      <c r="F55" s="16">
        <f>IF(Setup!$B$2="","",Setup!$B$2)</f>
        <v/>
      </c>
      <c r="G55" s="16">
        <f>IFERROR(INDEX('C_jama.2024.4183'!$G$2:$G$25,MATCH(C55,'C_jama.2024.4183'!$A$2:$A$25,0)),"CHECK KEY")</f>
        <v/>
      </c>
      <c r="H55" s="16">
        <f>IF(OR(G55&lt;&gt;"PRIMARY READY",K55="discuss"),"",IF(K55&lt;&gt;"retain","not_eligible",IF(D55="P_R","protocol_descriptive",IF(D55="P_P","plan_descriptive",IF(AND(OR(D55="S_C",D55="S_W"),L55="statistical_results",OR(M55="confirmed_issue",M55="probable_issue"),N55="substantive"),"primary_temporal",IF(AND(OR(D55="S_C",D55="S_W"),L55="report_internal_inconsistency",P55="substantive_inconsistency"),"secondary_temporal","not_eligible"))))))</f>
        <v/>
      </c>
      <c r="I55" s="16" t="inlineStr">
        <is>
          <t>retain</t>
        </is>
      </c>
      <c r="J55" s="16" t="inlineStr">
        <is>
          <t>statistical_results</t>
        </is>
      </c>
      <c r="K55" s="16">
        <f>IFERROR(IF(INDEX('C_jama.2024.4183'!$D$2:$D$25,MATCH(C55,'C_jama.2024.4183'!$A$2:$A$25,0))="","",INDEX('C_jama.2024.4183'!$D$2:$D$25,MATCH(C55,'C_jama.2024.4183'!$A$2:$A$25,0))),"")</f>
        <v/>
      </c>
      <c r="L55" s="16">
        <f>IFERROR(IF(INDEX('C_jama.2024.4183'!$E$2:$E$25,MATCH(C55,'C_jama.2024.4183'!$A$2:$A$25,0))="","",INDEX('C_jama.2024.4183'!$E$2:$E$25,MATCH(C55,'C_jama.2024.4183'!$A$2:$A$25,0))),"")</f>
        <v/>
      </c>
      <c r="M55" s="16">
        <f>IFERROR(IF(AND(K55="retain",L55="statistical_results"),IF(INDEX('C_jama.2024.4183'!$H$2:$H$25,MATCH(C55,'C_jama.2024.4183'!$A$2:$A$25,0))="","",INDEX('C_jama.2024.4183'!$H$2:$H$25,MATCH(C55,'C_jama.2024.4183'!$A$2:$A$25,0))),"not_applicable"),"")</f>
        <v/>
      </c>
      <c r="N55" s="16">
        <f>IFERROR(IF(AND(K55="retain",L55="statistical_results"),IF(INDEX('C_jama.2024.4183'!$I$2:$I$25,MATCH(C55,'C_jama.2024.4183'!$A$2:$A$25,0))="","",INDEX('C_jama.2024.4183'!$I$2:$I$25,MATCH(C55,'C_jama.2024.4183'!$A$2:$A$25,0))),"not_applicable"),"")</f>
        <v/>
      </c>
      <c r="O55" s="16">
        <f>IFERROR(IF(AND(K55="retain",L55="statistical_results"),IF(INDEX('C_jama.2024.4183'!$J$2:$J$25,MATCH(C55,'C_jama.2024.4183'!$A$2:$A$25,0))="","",INDEX('C_jama.2024.4183'!$J$2:$J$25,MATCH(C55,'C_jama.2024.4183'!$A$2:$A$25,0))),"not_applicable"),"")</f>
        <v/>
      </c>
      <c r="P55" s="16">
        <f>IFERROR(IF(AND(K55="retain",OR(L55="report_internal_inconsistency",L55="plan_material")),IF(INDEX('C_jama.2024.4183'!$K$2:$K$25,MATCH(C55,'C_jama.2024.4183'!$A$2:$A$25,0))="","",INDEX('C_jama.2024.4183'!$K$2:$K$25,MATCH(C55,'C_jama.2024.4183'!$A$2:$A$25,0))),"not_applicable"),"")</f>
        <v/>
      </c>
      <c r="Q55" s="16">
        <f>IFERROR(IF(AND(K55="retain",L55="protocol_report"),IF(INDEX('C_jama.2024.4183'!$L$2:$L$25,MATCH(C55,'C_jama.2024.4183'!$A$2:$A$25,0))="","",INDEX('C_jama.2024.4183'!$L$2:$L$25,MATCH(C55,'C_jama.2024.4183'!$A$2:$A$25,0))),"not_applicable"),"")</f>
        <v/>
      </c>
      <c r="R55" s="16">
        <f>IFERROR(IF(INDEX('C_jama.2024.4183'!$R$2:$R$25,MATCH(C55,'C_jama.2024.4183'!$A$2:$A$25,0))="","",INDEX('C_jama.2024.4183'!$R$2:$R$25,MATCH(C55,'C_jama.2024.4183'!$A$2:$A$25,0))),"")</f>
        <v/>
      </c>
    </row>
    <row r="56" ht="75" customFormat="1" customHeight="1" s="8">
      <c r="A56" s="15" t="n">
        <v>2024</v>
      </c>
      <c r="B56" s="15" t="inlineStr">
        <is>
          <t>jama.2024.4183</t>
        </is>
      </c>
      <c r="C56" s="15" t="inlineStr">
        <is>
          <t>2024::jama.2024.4183::C004</t>
        </is>
      </c>
      <c r="D56" s="15" t="inlineStr">
        <is>
          <t>S_W</t>
        </is>
      </c>
      <c r="E56" s="15">
        <f>Setup!$B$4</f>
        <v/>
      </c>
      <c r="F56" s="15">
        <f>IF(Setup!$B$2="","",Setup!$B$2)</f>
        <v/>
      </c>
      <c r="G56" s="15">
        <f>IFERROR(INDEX('C_jama.2024.4183'!$G$2:$G$25,MATCH(C56,'C_jama.2024.4183'!$A$2:$A$25,0)),"CHECK KEY")</f>
        <v/>
      </c>
      <c r="H56" s="15">
        <f>IF(OR(G56&lt;&gt;"PRIMARY READY",K56="discuss"),"",IF(K56&lt;&gt;"retain","not_eligible",IF(D56="P_R","protocol_descriptive",IF(D56="P_P","plan_descriptive",IF(AND(OR(D56="S_C",D56="S_W"),L56="statistical_results",OR(M56="confirmed_issue",M56="probable_issue"),N56="substantive"),"primary_temporal",IF(AND(OR(D56="S_C",D56="S_W"),L56="report_internal_inconsistency",P56="substantive_inconsistency"),"secondary_temporal","not_eligible"))))))</f>
        <v/>
      </c>
      <c r="I56" s="15" t="inlineStr">
        <is>
          <t>retain</t>
        </is>
      </c>
      <c r="J56" s="15" t="inlineStr">
        <is>
          <t>statistical_results</t>
        </is>
      </c>
      <c r="K56" s="15">
        <f>IFERROR(IF(INDEX('C_jama.2024.4183'!$D$2:$D$25,MATCH(C56,'C_jama.2024.4183'!$A$2:$A$25,0))="","",INDEX('C_jama.2024.4183'!$D$2:$D$25,MATCH(C56,'C_jama.2024.4183'!$A$2:$A$25,0))),"")</f>
        <v/>
      </c>
      <c r="L56" s="15">
        <f>IFERROR(IF(INDEX('C_jama.2024.4183'!$E$2:$E$25,MATCH(C56,'C_jama.2024.4183'!$A$2:$A$25,0))="","",INDEX('C_jama.2024.4183'!$E$2:$E$25,MATCH(C56,'C_jama.2024.4183'!$A$2:$A$25,0))),"")</f>
        <v/>
      </c>
      <c r="M56" s="15">
        <f>IFERROR(IF(AND(K56="retain",L56="statistical_results"),IF(INDEX('C_jama.2024.4183'!$H$2:$H$25,MATCH(C56,'C_jama.2024.4183'!$A$2:$A$25,0))="","",INDEX('C_jama.2024.4183'!$H$2:$H$25,MATCH(C56,'C_jama.2024.4183'!$A$2:$A$25,0))),"not_applicable"),"")</f>
        <v/>
      </c>
      <c r="N56" s="15">
        <f>IFERROR(IF(AND(K56="retain",L56="statistical_results"),IF(INDEX('C_jama.2024.4183'!$I$2:$I$25,MATCH(C56,'C_jama.2024.4183'!$A$2:$A$25,0))="","",INDEX('C_jama.2024.4183'!$I$2:$I$25,MATCH(C56,'C_jama.2024.4183'!$A$2:$A$25,0))),"not_applicable"),"")</f>
        <v/>
      </c>
      <c r="O56" s="15">
        <f>IFERROR(IF(AND(K56="retain",L56="statistical_results"),IF(INDEX('C_jama.2024.4183'!$J$2:$J$25,MATCH(C56,'C_jama.2024.4183'!$A$2:$A$25,0))="","",INDEX('C_jama.2024.4183'!$J$2:$J$25,MATCH(C56,'C_jama.2024.4183'!$A$2:$A$25,0))),"not_applicable"),"")</f>
        <v/>
      </c>
      <c r="P56" s="15">
        <f>IFERROR(IF(AND(K56="retain",OR(L56="report_internal_inconsistency",L56="plan_material")),IF(INDEX('C_jama.2024.4183'!$K$2:$K$25,MATCH(C56,'C_jama.2024.4183'!$A$2:$A$25,0))="","",INDEX('C_jama.2024.4183'!$K$2:$K$25,MATCH(C56,'C_jama.2024.4183'!$A$2:$A$25,0))),"not_applicable"),"")</f>
        <v/>
      </c>
      <c r="Q56" s="15">
        <f>IFERROR(IF(AND(K56="retain",L56="protocol_report"),IF(INDEX('C_jama.2024.4183'!$L$2:$L$25,MATCH(C56,'C_jama.2024.4183'!$A$2:$A$25,0))="","",INDEX('C_jama.2024.4183'!$L$2:$L$25,MATCH(C56,'C_jama.2024.4183'!$A$2:$A$25,0))),"not_applicable"),"")</f>
        <v/>
      </c>
      <c r="R56" s="15">
        <f>IFERROR(IF(INDEX('C_jama.2024.4183'!$R$2:$R$25,MATCH(C56,'C_jama.2024.4183'!$A$2:$A$25,0))="","",INDEX('C_jama.2024.4183'!$R$2:$R$25,MATCH(C56,'C_jama.2024.4183'!$A$2:$A$25,0))),"")</f>
        <v/>
      </c>
    </row>
    <row r="57" ht="75" customFormat="1" customHeight="1" s="8">
      <c r="A57" s="16" t="n">
        <v>2024</v>
      </c>
      <c r="B57" s="16" t="inlineStr">
        <is>
          <t>jama.2024.4183</t>
        </is>
      </c>
      <c r="C57" s="16" t="inlineStr">
        <is>
          <t>2024::jama.2024.4183::C005</t>
        </is>
      </c>
      <c r="D57" s="16" t="inlineStr">
        <is>
          <t>S_C</t>
        </is>
      </c>
      <c r="E57" s="16">
        <f>Setup!$B$4</f>
        <v/>
      </c>
      <c r="F57" s="16">
        <f>IF(Setup!$B$2="","",Setup!$B$2)</f>
        <v/>
      </c>
      <c r="G57" s="16">
        <f>IFERROR(INDEX('C_jama.2024.4183'!$G$2:$G$25,MATCH(C57,'C_jama.2024.4183'!$A$2:$A$25,0)),"CHECK KEY")</f>
        <v/>
      </c>
      <c r="H57" s="16">
        <f>IF(OR(G57&lt;&gt;"PRIMARY READY",K57="discuss"),"",IF(K57&lt;&gt;"retain","not_eligible",IF(D57="P_R","protocol_descriptive",IF(D57="P_P","plan_descriptive",IF(AND(OR(D57="S_C",D57="S_W"),L57="statistical_results",OR(M57="confirmed_issue",M57="probable_issue"),N57="substantive"),"primary_temporal",IF(AND(OR(D57="S_C",D57="S_W"),L57="report_internal_inconsistency",P57="substantive_inconsistency"),"secondary_temporal","not_eligible"))))))</f>
        <v/>
      </c>
      <c r="I57" s="16" t="inlineStr">
        <is>
          <t>retain</t>
        </is>
      </c>
      <c r="J57" s="16" t="inlineStr">
        <is>
          <t>statistical_results</t>
        </is>
      </c>
      <c r="K57" s="16">
        <f>IFERROR(IF(INDEX('C_jama.2024.4183'!$D$2:$D$25,MATCH(C57,'C_jama.2024.4183'!$A$2:$A$25,0))="","",INDEX('C_jama.2024.4183'!$D$2:$D$25,MATCH(C57,'C_jama.2024.4183'!$A$2:$A$25,0))),"")</f>
        <v/>
      </c>
      <c r="L57" s="16">
        <f>IFERROR(IF(INDEX('C_jama.2024.4183'!$E$2:$E$25,MATCH(C57,'C_jama.2024.4183'!$A$2:$A$25,0))="","",INDEX('C_jama.2024.4183'!$E$2:$E$25,MATCH(C57,'C_jama.2024.4183'!$A$2:$A$25,0))),"")</f>
        <v/>
      </c>
      <c r="M57" s="16">
        <f>IFERROR(IF(AND(K57="retain",L57="statistical_results"),IF(INDEX('C_jama.2024.4183'!$H$2:$H$25,MATCH(C57,'C_jama.2024.4183'!$A$2:$A$25,0))="","",INDEX('C_jama.2024.4183'!$H$2:$H$25,MATCH(C57,'C_jama.2024.4183'!$A$2:$A$25,0))),"not_applicable"),"")</f>
        <v/>
      </c>
      <c r="N57" s="16">
        <f>IFERROR(IF(AND(K57="retain",L57="statistical_results"),IF(INDEX('C_jama.2024.4183'!$I$2:$I$25,MATCH(C57,'C_jama.2024.4183'!$A$2:$A$25,0))="","",INDEX('C_jama.2024.4183'!$I$2:$I$25,MATCH(C57,'C_jama.2024.4183'!$A$2:$A$25,0))),"not_applicable"),"")</f>
        <v/>
      </c>
      <c r="O57" s="16">
        <f>IFERROR(IF(AND(K57="retain",L57="statistical_results"),IF(INDEX('C_jama.2024.4183'!$J$2:$J$25,MATCH(C57,'C_jama.2024.4183'!$A$2:$A$25,0))="","",INDEX('C_jama.2024.4183'!$J$2:$J$25,MATCH(C57,'C_jama.2024.4183'!$A$2:$A$25,0))),"not_applicable"),"")</f>
        <v/>
      </c>
      <c r="P57" s="16">
        <f>IFERROR(IF(AND(K57="retain",OR(L57="report_internal_inconsistency",L57="plan_material")),IF(INDEX('C_jama.2024.4183'!$K$2:$K$25,MATCH(C57,'C_jama.2024.4183'!$A$2:$A$25,0))="","",INDEX('C_jama.2024.4183'!$K$2:$K$25,MATCH(C57,'C_jama.2024.4183'!$A$2:$A$25,0))),"not_applicable"),"")</f>
        <v/>
      </c>
      <c r="Q57" s="16">
        <f>IFERROR(IF(AND(K57="retain",L57="protocol_report"),IF(INDEX('C_jama.2024.4183'!$L$2:$L$25,MATCH(C57,'C_jama.2024.4183'!$A$2:$A$25,0))="","",INDEX('C_jama.2024.4183'!$L$2:$L$25,MATCH(C57,'C_jama.2024.4183'!$A$2:$A$25,0))),"not_applicable"),"")</f>
        <v/>
      </c>
      <c r="R57" s="16">
        <f>IFERROR(IF(INDEX('C_jama.2024.4183'!$R$2:$R$25,MATCH(C57,'C_jama.2024.4183'!$A$2:$A$25,0))="","",INDEX('C_jama.2024.4183'!$R$2:$R$25,MATCH(C57,'C_jama.2024.4183'!$A$2:$A$25,0))),"")</f>
        <v/>
      </c>
    </row>
    <row r="58" ht="75" customFormat="1" customHeight="1" s="8">
      <c r="A58" s="15" t="n">
        <v>2024</v>
      </c>
      <c r="B58" s="15" t="inlineStr">
        <is>
          <t>jama.2024.4183</t>
        </is>
      </c>
      <c r="C58" s="15" t="inlineStr">
        <is>
          <t>2024::jama.2024.4183::C006</t>
        </is>
      </c>
      <c r="D58" s="15" t="inlineStr">
        <is>
          <t>S_C</t>
        </is>
      </c>
      <c r="E58" s="15">
        <f>Setup!$B$4</f>
        <v/>
      </c>
      <c r="F58" s="15">
        <f>IF(Setup!$B$2="","",Setup!$B$2)</f>
        <v/>
      </c>
      <c r="G58" s="15">
        <f>IFERROR(INDEX('C_jama.2024.4183'!$G$2:$G$25,MATCH(C58,'C_jama.2024.4183'!$A$2:$A$25,0)),"CHECK KEY")</f>
        <v/>
      </c>
      <c r="H58" s="15">
        <f>IF(OR(G58&lt;&gt;"PRIMARY READY",K58="discuss"),"",IF(K58&lt;&gt;"retain","not_eligible",IF(D58="P_R","protocol_descriptive",IF(D58="P_P","plan_descriptive",IF(AND(OR(D58="S_C",D58="S_W"),L58="statistical_results",OR(M58="confirmed_issue",M58="probable_issue"),N58="substantive"),"primary_temporal",IF(AND(OR(D58="S_C",D58="S_W"),L58="report_internal_inconsistency",P58="substantive_inconsistency"),"secondary_temporal","not_eligible"))))))</f>
        <v/>
      </c>
      <c r="I58" s="15" t="inlineStr">
        <is>
          <t>retain</t>
        </is>
      </c>
      <c r="J58" s="15" t="inlineStr">
        <is>
          <t>statistical_results</t>
        </is>
      </c>
      <c r="K58" s="15">
        <f>IFERROR(IF(INDEX('C_jama.2024.4183'!$D$2:$D$25,MATCH(C58,'C_jama.2024.4183'!$A$2:$A$25,0))="","",INDEX('C_jama.2024.4183'!$D$2:$D$25,MATCH(C58,'C_jama.2024.4183'!$A$2:$A$25,0))),"")</f>
        <v/>
      </c>
      <c r="L58" s="15">
        <f>IFERROR(IF(INDEX('C_jama.2024.4183'!$E$2:$E$25,MATCH(C58,'C_jama.2024.4183'!$A$2:$A$25,0))="","",INDEX('C_jama.2024.4183'!$E$2:$E$25,MATCH(C58,'C_jama.2024.4183'!$A$2:$A$25,0))),"")</f>
        <v/>
      </c>
      <c r="M58" s="15">
        <f>IFERROR(IF(AND(K58="retain",L58="statistical_results"),IF(INDEX('C_jama.2024.4183'!$H$2:$H$25,MATCH(C58,'C_jama.2024.4183'!$A$2:$A$25,0))="","",INDEX('C_jama.2024.4183'!$H$2:$H$25,MATCH(C58,'C_jama.2024.4183'!$A$2:$A$25,0))),"not_applicable"),"")</f>
        <v/>
      </c>
      <c r="N58" s="15">
        <f>IFERROR(IF(AND(K58="retain",L58="statistical_results"),IF(INDEX('C_jama.2024.4183'!$I$2:$I$25,MATCH(C58,'C_jama.2024.4183'!$A$2:$A$25,0))="","",INDEX('C_jama.2024.4183'!$I$2:$I$25,MATCH(C58,'C_jama.2024.4183'!$A$2:$A$25,0))),"not_applicable"),"")</f>
        <v/>
      </c>
      <c r="O58" s="15">
        <f>IFERROR(IF(AND(K58="retain",L58="statistical_results"),IF(INDEX('C_jama.2024.4183'!$J$2:$J$25,MATCH(C58,'C_jama.2024.4183'!$A$2:$A$25,0))="","",INDEX('C_jama.2024.4183'!$J$2:$J$25,MATCH(C58,'C_jama.2024.4183'!$A$2:$A$25,0))),"not_applicable"),"")</f>
        <v/>
      </c>
      <c r="P58" s="15">
        <f>IFERROR(IF(AND(K58="retain",OR(L58="report_internal_inconsistency",L58="plan_material")),IF(INDEX('C_jama.2024.4183'!$K$2:$K$25,MATCH(C58,'C_jama.2024.4183'!$A$2:$A$25,0))="","",INDEX('C_jama.2024.4183'!$K$2:$K$25,MATCH(C58,'C_jama.2024.4183'!$A$2:$A$25,0))),"not_applicable"),"")</f>
        <v/>
      </c>
      <c r="Q58" s="15">
        <f>IFERROR(IF(AND(K58="retain",L58="protocol_report"),IF(INDEX('C_jama.2024.4183'!$L$2:$L$25,MATCH(C58,'C_jama.2024.4183'!$A$2:$A$25,0))="","",INDEX('C_jama.2024.4183'!$L$2:$L$25,MATCH(C58,'C_jama.2024.4183'!$A$2:$A$25,0))),"not_applicable"),"")</f>
        <v/>
      </c>
      <c r="R58" s="15">
        <f>IFERROR(IF(INDEX('C_jama.2024.4183'!$R$2:$R$25,MATCH(C58,'C_jama.2024.4183'!$A$2:$A$25,0))="","",INDEX('C_jama.2024.4183'!$R$2:$R$25,MATCH(C58,'C_jama.2024.4183'!$A$2:$A$25,0))),"")</f>
        <v/>
      </c>
    </row>
    <row r="59" ht="75" customFormat="1" customHeight="1" s="8">
      <c r="A59" s="16" t="n">
        <v>2024</v>
      </c>
      <c r="B59" s="16" t="inlineStr">
        <is>
          <t>jama.2024.4183</t>
        </is>
      </c>
      <c r="C59" s="16" t="inlineStr">
        <is>
          <t>2024::jama.2024.4183::C007</t>
        </is>
      </c>
      <c r="D59" s="16" t="inlineStr">
        <is>
          <t>S_C</t>
        </is>
      </c>
      <c r="E59" s="16">
        <f>Setup!$B$4</f>
        <v/>
      </c>
      <c r="F59" s="16">
        <f>IF(Setup!$B$2="","",Setup!$B$2)</f>
        <v/>
      </c>
      <c r="G59" s="16">
        <f>IFERROR(INDEX('C_jama.2024.4183'!$G$2:$G$25,MATCH(C59,'C_jama.2024.4183'!$A$2:$A$25,0)),"CHECK KEY")</f>
        <v/>
      </c>
      <c r="H59" s="16">
        <f>IF(OR(G59&lt;&gt;"PRIMARY READY",K59="discuss"),"",IF(K59&lt;&gt;"retain","not_eligible",IF(D59="P_R","protocol_descriptive",IF(D59="P_P","plan_descriptive",IF(AND(OR(D59="S_C",D59="S_W"),L59="statistical_results",OR(M59="confirmed_issue",M59="probable_issue"),N59="substantive"),"primary_temporal",IF(AND(OR(D59="S_C",D59="S_W"),L59="report_internal_inconsistency",P59="substantive_inconsistency"),"secondary_temporal","not_eligible"))))))</f>
        <v/>
      </c>
      <c r="I59" s="16" t="inlineStr">
        <is>
          <t>retain</t>
        </is>
      </c>
      <c r="J59" s="16" t="inlineStr">
        <is>
          <t>report_internal_inconsistency</t>
        </is>
      </c>
      <c r="K59" s="16">
        <f>IFERROR(IF(INDEX('C_jama.2024.4183'!$D$2:$D$25,MATCH(C59,'C_jama.2024.4183'!$A$2:$A$25,0))="","",INDEX('C_jama.2024.4183'!$D$2:$D$25,MATCH(C59,'C_jama.2024.4183'!$A$2:$A$25,0))),"")</f>
        <v/>
      </c>
      <c r="L59" s="16">
        <f>IFERROR(IF(INDEX('C_jama.2024.4183'!$E$2:$E$25,MATCH(C59,'C_jama.2024.4183'!$A$2:$A$25,0))="","",INDEX('C_jama.2024.4183'!$E$2:$E$25,MATCH(C59,'C_jama.2024.4183'!$A$2:$A$25,0))),"")</f>
        <v/>
      </c>
      <c r="M59" s="16">
        <f>IFERROR(IF(AND(K59="retain",L59="statistical_results"),IF(INDEX('C_jama.2024.4183'!$H$2:$H$25,MATCH(C59,'C_jama.2024.4183'!$A$2:$A$25,0))="","",INDEX('C_jama.2024.4183'!$H$2:$H$25,MATCH(C59,'C_jama.2024.4183'!$A$2:$A$25,0))),"not_applicable"),"")</f>
        <v/>
      </c>
      <c r="N59" s="16">
        <f>IFERROR(IF(AND(K59="retain",L59="statistical_results"),IF(INDEX('C_jama.2024.4183'!$I$2:$I$25,MATCH(C59,'C_jama.2024.4183'!$A$2:$A$25,0))="","",INDEX('C_jama.2024.4183'!$I$2:$I$25,MATCH(C59,'C_jama.2024.4183'!$A$2:$A$25,0))),"not_applicable"),"")</f>
        <v/>
      </c>
      <c r="O59" s="16">
        <f>IFERROR(IF(AND(K59="retain",L59="statistical_results"),IF(INDEX('C_jama.2024.4183'!$J$2:$J$25,MATCH(C59,'C_jama.2024.4183'!$A$2:$A$25,0))="","",INDEX('C_jama.2024.4183'!$J$2:$J$25,MATCH(C59,'C_jama.2024.4183'!$A$2:$A$25,0))),"not_applicable"),"")</f>
        <v/>
      </c>
      <c r="P59" s="16">
        <f>IFERROR(IF(AND(K59="retain",OR(L59="report_internal_inconsistency",L59="plan_material")),IF(INDEX('C_jama.2024.4183'!$K$2:$K$25,MATCH(C59,'C_jama.2024.4183'!$A$2:$A$25,0))="","",INDEX('C_jama.2024.4183'!$K$2:$K$25,MATCH(C59,'C_jama.2024.4183'!$A$2:$A$25,0))),"not_applicable"),"")</f>
        <v/>
      </c>
      <c r="Q59" s="16">
        <f>IFERROR(IF(AND(K59="retain",L59="protocol_report"),IF(INDEX('C_jama.2024.4183'!$L$2:$L$25,MATCH(C59,'C_jama.2024.4183'!$A$2:$A$25,0))="","",INDEX('C_jama.2024.4183'!$L$2:$L$25,MATCH(C59,'C_jama.2024.4183'!$A$2:$A$25,0))),"not_applicable"),"")</f>
        <v/>
      </c>
      <c r="R59" s="16">
        <f>IFERROR(IF(INDEX('C_jama.2024.4183'!$R$2:$R$25,MATCH(C59,'C_jama.2024.4183'!$A$2:$A$25,0))="","",INDEX('C_jama.2024.4183'!$R$2:$R$25,MATCH(C59,'C_jama.2024.4183'!$A$2:$A$25,0))),"")</f>
        <v/>
      </c>
    </row>
    <row r="60" ht="75" customFormat="1" customHeight="1" s="8">
      <c r="A60" s="15" t="n">
        <v>2024</v>
      </c>
      <c r="B60" s="15" t="inlineStr">
        <is>
          <t>jama.2024.4183</t>
        </is>
      </c>
      <c r="C60" s="15" t="inlineStr">
        <is>
          <t>2024::jama.2024.4183::C008</t>
        </is>
      </c>
      <c r="D60" s="15" t="inlineStr">
        <is>
          <t>S_C</t>
        </is>
      </c>
      <c r="E60" s="15">
        <f>Setup!$B$4</f>
        <v/>
      </c>
      <c r="F60" s="15">
        <f>IF(Setup!$B$2="","",Setup!$B$2)</f>
        <v/>
      </c>
      <c r="G60" s="15">
        <f>IFERROR(INDEX('C_jama.2024.4183'!$G$2:$G$25,MATCH(C60,'C_jama.2024.4183'!$A$2:$A$25,0)),"CHECK KEY")</f>
        <v/>
      </c>
      <c r="H60" s="15">
        <f>IF(OR(G60&lt;&gt;"PRIMARY READY",K60="discuss"),"",IF(K60&lt;&gt;"retain","not_eligible",IF(D60="P_R","protocol_descriptive",IF(D60="P_P","plan_descriptive",IF(AND(OR(D60="S_C",D60="S_W"),L60="statistical_results",OR(M60="confirmed_issue",M60="probable_issue"),N60="substantive"),"primary_temporal",IF(AND(OR(D60="S_C",D60="S_W"),L60="report_internal_inconsistency",P60="substantive_inconsistency"),"secondary_temporal","not_eligible"))))))</f>
        <v/>
      </c>
      <c r="I60" s="15" t="inlineStr">
        <is>
          <t>retain</t>
        </is>
      </c>
      <c r="J60" s="15" t="inlineStr">
        <is>
          <t>statistical_results</t>
        </is>
      </c>
      <c r="K60" s="15">
        <f>IFERROR(IF(INDEX('C_jama.2024.4183'!$D$2:$D$25,MATCH(C60,'C_jama.2024.4183'!$A$2:$A$25,0))="","",INDEX('C_jama.2024.4183'!$D$2:$D$25,MATCH(C60,'C_jama.2024.4183'!$A$2:$A$25,0))),"")</f>
        <v/>
      </c>
      <c r="L60" s="15">
        <f>IFERROR(IF(INDEX('C_jama.2024.4183'!$E$2:$E$25,MATCH(C60,'C_jama.2024.4183'!$A$2:$A$25,0))="","",INDEX('C_jama.2024.4183'!$E$2:$E$25,MATCH(C60,'C_jama.2024.4183'!$A$2:$A$25,0))),"")</f>
        <v/>
      </c>
      <c r="M60" s="15">
        <f>IFERROR(IF(AND(K60="retain",L60="statistical_results"),IF(INDEX('C_jama.2024.4183'!$H$2:$H$25,MATCH(C60,'C_jama.2024.4183'!$A$2:$A$25,0))="","",INDEX('C_jama.2024.4183'!$H$2:$H$25,MATCH(C60,'C_jama.2024.4183'!$A$2:$A$25,0))),"not_applicable"),"")</f>
        <v/>
      </c>
      <c r="N60" s="15">
        <f>IFERROR(IF(AND(K60="retain",L60="statistical_results"),IF(INDEX('C_jama.2024.4183'!$I$2:$I$25,MATCH(C60,'C_jama.2024.4183'!$A$2:$A$25,0))="","",INDEX('C_jama.2024.4183'!$I$2:$I$25,MATCH(C60,'C_jama.2024.4183'!$A$2:$A$25,0))),"not_applicable"),"")</f>
        <v/>
      </c>
      <c r="O60" s="15">
        <f>IFERROR(IF(AND(K60="retain",L60="statistical_results"),IF(INDEX('C_jama.2024.4183'!$J$2:$J$25,MATCH(C60,'C_jama.2024.4183'!$A$2:$A$25,0))="","",INDEX('C_jama.2024.4183'!$J$2:$J$25,MATCH(C60,'C_jama.2024.4183'!$A$2:$A$25,0))),"not_applicable"),"")</f>
        <v/>
      </c>
      <c r="P60" s="15">
        <f>IFERROR(IF(AND(K60="retain",OR(L60="report_internal_inconsistency",L60="plan_material")),IF(INDEX('C_jama.2024.4183'!$K$2:$K$25,MATCH(C60,'C_jama.2024.4183'!$A$2:$A$25,0))="","",INDEX('C_jama.2024.4183'!$K$2:$K$25,MATCH(C60,'C_jama.2024.4183'!$A$2:$A$25,0))),"not_applicable"),"")</f>
        <v/>
      </c>
      <c r="Q60" s="15">
        <f>IFERROR(IF(AND(K60="retain",L60="protocol_report"),IF(INDEX('C_jama.2024.4183'!$L$2:$L$25,MATCH(C60,'C_jama.2024.4183'!$A$2:$A$25,0))="","",INDEX('C_jama.2024.4183'!$L$2:$L$25,MATCH(C60,'C_jama.2024.4183'!$A$2:$A$25,0))),"not_applicable"),"")</f>
        <v/>
      </c>
      <c r="R60" s="15">
        <f>IFERROR(IF(INDEX('C_jama.2024.4183'!$R$2:$R$25,MATCH(C60,'C_jama.2024.4183'!$A$2:$A$25,0))="","",INDEX('C_jama.2024.4183'!$R$2:$R$25,MATCH(C60,'C_jama.2024.4183'!$A$2:$A$25,0))),"")</f>
        <v/>
      </c>
    </row>
    <row r="61" ht="75" customFormat="1" customHeight="1" s="8">
      <c r="A61" s="16" t="n">
        <v>2024</v>
      </c>
      <c r="B61" s="16" t="inlineStr">
        <is>
          <t>jama.2024.4183</t>
        </is>
      </c>
      <c r="C61" s="16" t="inlineStr">
        <is>
          <t>2024::jama.2024.4183::C009</t>
        </is>
      </c>
      <c r="D61" s="16" t="inlineStr">
        <is>
          <t>S_C</t>
        </is>
      </c>
      <c r="E61" s="16">
        <f>Setup!$B$4</f>
        <v/>
      </c>
      <c r="F61" s="16">
        <f>IF(Setup!$B$2="","",Setup!$B$2)</f>
        <v/>
      </c>
      <c r="G61" s="16">
        <f>IFERROR(INDEX('C_jama.2024.4183'!$G$2:$G$25,MATCH(C61,'C_jama.2024.4183'!$A$2:$A$25,0)),"CHECK KEY")</f>
        <v/>
      </c>
      <c r="H61" s="16">
        <f>IF(OR(G61&lt;&gt;"PRIMARY READY",K61="discuss"),"",IF(K61&lt;&gt;"retain","not_eligible",IF(D61="P_R","protocol_descriptive",IF(D61="P_P","plan_descriptive",IF(AND(OR(D61="S_C",D61="S_W"),L61="statistical_results",OR(M61="confirmed_issue",M61="probable_issue"),N61="substantive"),"primary_temporal",IF(AND(OR(D61="S_C",D61="S_W"),L61="report_internal_inconsistency",P61="substantive_inconsistency"),"secondary_temporal","not_eligible"))))))</f>
        <v/>
      </c>
      <c r="I61" s="16" t="inlineStr">
        <is>
          <t>retain</t>
        </is>
      </c>
      <c r="J61" s="16" t="inlineStr">
        <is>
          <t>statistical_results</t>
        </is>
      </c>
      <c r="K61" s="16">
        <f>IFERROR(IF(INDEX('C_jama.2024.4183'!$D$2:$D$25,MATCH(C61,'C_jama.2024.4183'!$A$2:$A$25,0))="","",INDEX('C_jama.2024.4183'!$D$2:$D$25,MATCH(C61,'C_jama.2024.4183'!$A$2:$A$25,0))),"")</f>
        <v/>
      </c>
      <c r="L61" s="16">
        <f>IFERROR(IF(INDEX('C_jama.2024.4183'!$E$2:$E$25,MATCH(C61,'C_jama.2024.4183'!$A$2:$A$25,0))="","",INDEX('C_jama.2024.4183'!$E$2:$E$25,MATCH(C61,'C_jama.2024.4183'!$A$2:$A$25,0))),"")</f>
        <v/>
      </c>
      <c r="M61" s="16">
        <f>IFERROR(IF(AND(K61="retain",L61="statistical_results"),IF(INDEX('C_jama.2024.4183'!$H$2:$H$25,MATCH(C61,'C_jama.2024.4183'!$A$2:$A$25,0))="","",INDEX('C_jama.2024.4183'!$H$2:$H$25,MATCH(C61,'C_jama.2024.4183'!$A$2:$A$25,0))),"not_applicable"),"")</f>
        <v/>
      </c>
      <c r="N61" s="16">
        <f>IFERROR(IF(AND(K61="retain",L61="statistical_results"),IF(INDEX('C_jama.2024.4183'!$I$2:$I$25,MATCH(C61,'C_jama.2024.4183'!$A$2:$A$25,0))="","",INDEX('C_jama.2024.4183'!$I$2:$I$25,MATCH(C61,'C_jama.2024.4183'!$A$2:$A$25,0))),"not_applicable"),"")</f>
        <v/>
      </c>
      <c r="O61" s="16">
        <f>IFERROR(IF(AND(K61="retain",L61="statistical_results"),IF(INDEX('C_jama.2024.4183'!$J$2:$J$25,MATCH(C61,'C_jama.2024.4183'!$A$2:$A$25,0))="","",INDEX('C_jama.2024.4183'!$J$2:$J$25,MATCH(C61,'C_jama.2024.4183'!$A$2:$A$25,0))),"not_applicable"),"")</f>
        <v/>
      </c>
      <c r="P61" s="16">
        <f>IFERROR(IF(AND(K61="retain",OR(L61="report_internal_inconsistency",L61="plan_material")),IF(INDEX('C_jama.2024.4183'!$K$2:$K$25,MATCH(C61,'C_jama.2024.4183'!$A$2:$A$25,0))="","",INDEX('C_jama.2024.4183'!$K$2:$K$25,MATCH(C61,'C_jama.2024.4183'!$A$2:$A$25,0))),"not_applicable"),"")</f>
        <v/>
      </c>
      <c r="Q61" s="16">
        <f>IFERROR(IF(AND(K61="retain",L61="protocol_report"),IF(INDEX('C_jama.2024.4183'!$L$2:$L$25,MATCH(C61,'C_jama.2024.4183'!$A$2:$A$25,0))="","",INDEX('C_jama.2024.4183'!$L$2:$L$25,MATCH(C61,'C_jama.2024.4183'!$A$2:$A$25,0))),"not_applicable"),"")</f>
        <v/>
      </c>
      <c r="R61" s="16">
        <f>IFERROR(IF(INDEX('C_jama.2024.4183'!$R$2:$R$25,MATCH(C61,'C_jama.2024.4183'!$A$2:$A$25,0))="","",INDEX('C_jama.2024.4183'!$R$2:$R$25,MATCH(C61,'C_jama.2024.4183'!$A$2:$A$25,0))),"")</f>
        <v/>
      </c>
    </row>
    <row r="62" ht="75" customFormat="1" customHeight="1" s="8">
      <c r="A62" s="15" t="n">
        <v>2024</v>
      </c>
      <c r="B62" s="15" t="inlineStr">
        <is>
          <t>jama.2024.4183</t>
        </is>
      </c>
      <c r="C62" s="15" t="inlineStr">
        <is>
          <t>2024::jama.2024.4183::C010</t>
        </is>
      </c>
      <c r="D62" s="15" t="inlineStr">
        <is>
          <t>P_P</t>
        </is>
      </c>
      <c r="E62" s="15">
        <f>Setup!$B$4</f>
        <v/>
      </c>
      <c r="F62" s="15">
        <f>IF(Setup!$B$2="","",Setup!$B$2)</f>
        <v/>
      </c>
      <c r="G62" s="15">
        <f>IFERROR(INDEX('C_jama.2024.4183'!$G$2:$G$25,MATCH(C62,'C_jama.2024.4183'!$A$2:$A$25,0)),"CHECK KEY")</f>
        <v/>
      </c>
      <c r="H62" s="15">
        <f>IF(OR(G62&lt;&gt;"PRIMARY READY",K62="discuss"),"",IF(K62&lt;&gt;"retain","not_eligible",IF(D62="P_R","protocol_descriptive",IF(D62="P_P","plan_descriptive",IF(AND(OR(D62="S_C",D62="S_W"),L62="statistical_results",OR(M62="confirmed_issue",M62="probable_issue"),N62="substantive"),"primary_temporal",IF(AND(OR(D62="S_C",D62="S_W"),L62="report_internal_inconsistency",P62="substantive_inconsistency"),"secondary_temporal","not_eligible"))))))</f>
        <v/>
      </c>
      <c r="I62" s="15" t="inlineStr">
        <is>
          <t>retain</t>
        </is>
      </c>
      <c r="J62" s="15" t="inlineStr">
        <is>
          <t>plan_material</t>
        </is>
      </c>
      <c r="K62" s="15">
        <f>IFERROR(IF(INDEX('C_jama.2024.4183'!$D$2:$D$25,MATCH(C62,'C_jama.2024.4183'!$A$2:$A$25,0))="","",INDEX('C_jama.2024.4183'!$D$2:$D$25,MATCH(C62,'C_jama.2024.4183'!$A$2:$A$25,0))),"")</f>
        <v/>
      </c>
      <c r="L62" s="15">
        <f>IFERROR(IF(INDEX('C_jama.2024.4183'!$E$2:$E$25,MATCH(C62,'C_jama.2024.4183'!$A$2:$A$25,0))="","",INDEX('C_jama.2024.4183'!$E$2:$E$25,MATCH(C62,'C_jama.2024.4183'!$A$2:$A$25,0))),"")</f>
        <v/>
      </c>
      <c r="M62" s="15">
        <f>IFERROR(IF(AND(K62="retain",L62="statistical_results"),IF(INDEX('C_jama.2024.4183'!$H$2:$H$25,MATCH(C62,'C_jama.2024.4183'!$A$2:$A$25,0))="","",INDEX('C_jama.2024.4183'!$H$2:$H$25,MATCH(C62,'C_jama.2024.4183'!$A$2:$A$25,0))),"not_applicable"),"")</f>
        <v/>
      </c>
      <c r="N62" s="15">
        <f>IFERROR(IF(AND(K62="retain",L62="statistical_results"),IF(INDEX('C_jama.2024.4183'!$I$2:$I$25,MATCH(C62,'C_jama.2024.4183'!$A$2:$A$25,0))="","",INDEX('C_jama.2024.4183'!$I$2:$I$25,MATCH(C62,'C_jama.2024.4183'!$A$2:$A$25,0))),"not_applicable"),"")</f>
        <v/>
      </c>
      <c r="O62" s="15">
        <f>IFERROR(IF(AND(K62="retain",L62="statistical_results"),IF(INDEX('C_jama.2024.4183'!$J$2:$J$25,MATCH(C62,'C_jama.2024.4183'!$A$2:$A$25,0))="","",INDEX('C_jama.2024.4183'!$J$2:$J$25,MATCH(C62,'C_jama.2024.4183'!$A$2:$A$25,0))),"not_applicable"),"")</f>
        <v/>
      </c>
      <c r="P62" s="15">
        <f>IFERROR(IF(AND(K62="retain",OR(L62="report_internal_inconsistency",L62="plan_material")),IF(INDEX('C_jama.2024.4183'!$K$2:$K$25,MATCH(C62,'C_jama.2024.4183'!$A$2:$A$25,0))="","",INDEX('C_jama.2024.4183'!$K$2:$K$25,MATCH(C62,'C_jama.2024.4183'!$A$2:$A$25,0))),"not_applicable"),"")</f>
        <v/>
      </c>
      <c r="Q62" s="15">
        <f>IFERROR(IF(AND(K62="retain",L62="protocol_report"),IF(INDEX('C_jama.2024.4183'!$L$2:$L$25,MATCH(C62,'C_jama.2024.4183'!$A$2:$A$25,0))="","",INDEX('C_jama.2024.4183'!$L$2:$L$25,MATCH(C62,'C_jama.2024.4183'!$A$2:$A$25,0))),"not_applicable"),"")</f>
        <v/>
      </c>
      <c r="R62" s="15">
        <f>IFERROR(IF(INDEX('C_jama.2024.4183'!$R$2:$R$25,MATCH(C62,'C_jama.2024.4183'!$A$2:$A$25,0))="","",INDEX('C_jama.2024.4183'!$R$2:$R$25,MATCH(C62,'C_jama.2024.4183'!$A$2:$A$25,0))),"")</f>
        <v/>
      </c>
    </row>
    <row r="63" ht="75" customFormat="1" customHeight="1" s="8">
      <c r="A63" s="16" t="n">
        <v>2024</v>
      </c>
      <c r="B63" s="16" t="inlineStr">
        <is>
          <t>jama.2024.4183</t>
        </is>
      </c>
      <c r="C63" s="16" t="inlineStr">
        <is>
          <t>2024::jama.2024.4183::C011</t>
        </is>
      </c>
      <c r="D63" s="16" t="inlineStr">
        <is>
          <t>P_P</t>
        </is>
      </c>
      <c r="E63" s="16">
        <f>Setup!$B$4</f>
        <v/>
      </c>
      <c r="F63" s="16">
        <f>IF(Setup!$B$2="","",Setup!$B$2)</f>
        <v/>
      </c>
      <c r="G63" s="16">
        <f>IFERROR(INDEX('C_jama.2024.4183'!$G$2:$G$25,MATCH(C63,'C_jama.2024.4183'!$A$2:$A$25,0)),"CHECK KEY")</f>
        <v/>
      </c>
      <c r="H63" s="16">
        <f>IF(OR(G63&lt;&gt;"PRIMARY READY",K63="discuss"),"",IF(K63&lt;&gt;"retain","not_eligible",IF(D63="P_R","protocol_descriptive",IF(D63="P_P","plan_descriptive",IF(AND(OR(D63="S_C",D63="S_W"),L63="statistical_results",OR(M63="confirmed_issue",M63="probable_issue"),N63="substantive"),"primary_temporal",IF(AND(OR(D63="S_C",D63="S_W"),L63="report_internal_inconsistency",P63="substantive_inconsistency"),"secondary_temporal","not_eligible"))))))</f>
        <v/>
      </c>
      <c r="I63" s="16" t="inlineStr">
        <is>
          <t>retain</t>
        </is>
      </c>
      <c r="J63" s="16" t="inlineStr">
        <is>
          <t>plan_material</t>
        </is>
      </c>
      <c r="K63" s="16">
        <f>IFERROR(IF(INDEX('C_jama.2024.4183'!$D$2:$D$25,MATCH(C63,'C_jama.2024.4183'!$A$2:$A$25,0))="","",INDEX('C_jama.2024.4183'!$D$2:$D$25,MATCH(C63,'C_jama.2024.4183'!$A$2:$A$25,0))),"")</f>
        <v/>
      </c>
      <c r="L63" s="16">
        <f>IFERROR(IF(INDEX('C_jama.2024.4183'!$E$2:$E$25,MATCH(C63,'C_jama.2024.4183'!$A$2:$A$25,0))="","",INDEX('C_jama.2024.4183'!$E$2:$E$25,MATCH(C63,'C_jama.2024.4183'!$A$2:$A$25,0))),"")</f>
        <v/>
      </c>
      <c r="M63" s="16">
        <f>IFERROR(IF(AND(K63="retain",L63="statistical_results"),IF(INDEX('C_jama.2024.4183'!$H$2:$H$25,MATCH(C63,'C_jama.2024.4183'!$A$2:$A$25,0))="","",INDEX('C_jama.2024.4183'!$H$2:$H$25,MATCH(C63,'C_jama.2024.4183'!$A$2:$A$25,0))),"not_applicable"),"")</f>
        <v/>
      </c>
      <c r="N63" s="16">
        <f>IFERROR(IF(AND(K63="retain",L63="statistical_results"),IF(INDEX('C_jama.2024.4183'!$I$2:$I$25,MATCH(C63,'C_jama.2024.4183'!$A$2:$A$25,0))="","",INDEX('C_jama.2024.4183'!$I$2:$I$25,MATCH(C63,'C_jama.2024.4183'!$A$2:$A$25,0))),"not_applicable"),"")</f>
        <v/>
      </c>
      <c r="O63" s="16">
        <f>IFERROR(IF(AND(K63="retain",L63="statistical_results"),IF(INDEX('C_jama.2024.4183'!$J$2:$J$25,MATCH(C63,'C_jama.2024.4183'!$A$2:$A$25,0))="","",INDEX('C_jama.2024.4183'!$J$2:$J$25,MATCH(C63,'C_jama.2024.4183'!$A$2:$A$25,0))),"not_applicable"),"")</f>
        <v/>
      </c>
      <c r="P63" s="16">
        <f>IFERROR(IF(AND(K63="retain",OR(L63="report_internal_inconsistency",L63="plan_material")),IF(INDEX('C_jama.2024.4183'!$K$2:$K$25,MATCH(C63,'C_jama.2024.4183'!$A$2:$A$25,0))="","",INDEX('C_jama.2024.4183'!$K$2:$K$25,MATCH(C63,'C_jama.2024.4183'!$A$2:$A$25,0))),"not_applicable"),"")</f>
        <v/>
      </c>
      <c r="Q63" s="16">
        <f>IFERROR(IF(AND(K63="retain",L63="protocol_report"),IF(INDEX('C_jama.2024.4183'!$L$2:$L$25,MATCH(C63,'C_jama.2024.4183'!$A$2:$A$25,0))="","",INDEX('C_jama.2024.4183'!$L$2:$L$25,MATCH(C63,'C_jama.2024.4183'!$A$2:$A$25,0))),"not_applicable"),"")</f>
        <v/>
      </c>
      <c r="R63" s="16">
        <f>IFERROR(IF(INDEX('C_jama.2024.4183'!$R$2:$R$25,MATCH(C63,'C_jama.2024.4183'!$A$2:$A$25,0))="","",INDEX('C_jama.2024.4183'!$R$2:$R$25,MATCH(C63,'C_jama.2024.4183'!$A$2:$A$25,0))),"")</f>
        <v/>
      </c>
    </row>
    <row r="64" ht="75" customFormat="1" customHeight="1" s="8">
      <c r="A64" s="15" t="n">
        <v>2024</v>
      </c>
      <c r="B64" s="15" t="inlineStr">
        <is>
          <t>jama.2024.4183</t>
        </is>
      </c>
      <c r="C64" s="15" t="inlineStr">
        <is>
          <t>2024::jama.2024.4183::C012</t>
        </is>
      </c>
      <c r="D64" s="15" t="inlineStr">
        <is>
          <t>P_P</t>
        </is>
      </c>
      <c r="E64" s="15">
        <f>Setup!$B$4</f>
        <v/>
      </c>
      <c r="F64" s="15">
        <f>IF(Setup!$B$2="","",Setup!$B$2)</f>
        <v/>
      </c>
      <c r="G64" s="15">
        <f>IFERROR(INDEX('C_jama.2024.4183'!$G$2:$G$25,MATCH(C64,'C_jama.2024.4183'!$A$2:$A$25,0)),"CHECK KEY")</f>
        <v/>
      </c>
      <c r="H64" s="15">
        <f>IF(OR(G64&lt;&gt;"PRIMARY READY",K64="discuss"),"",IF(K64&lt;&gt;"retain","not_eligible",IF(D64="P_R","protocol_descriptive",IF(D64="P_P","plan_descriptive",IF(AND(OR(D64="S_C",D64="S_W"),L64="statistical_results",OR(M64="confirmed_issue",M64="probable_issue"),N64="substantive"),"primary_temporal",IF(AND(OR(D64="S_C",D64="S_W"),L64="report_internal_inconsistency",P64="substantive_inconsistency"),"secondary_temporal","not_eligible"))))))</f>
        <v/>
      </c>
      <c r="I64" s="15" t="inlineStr">
        <is>
          <t>retain</t>
        </is>
      </c>
      <c r="J64" s="15" t="inlineStr">
        <is>
          <t>plan_material</t>
        </is>
      </c>
      <c r="K64" s="15">
        <f>IFERROR(IF(INDEX('C_jama.2024.4183'!$D$2:$D$25,MATCH(C64,'C_jama.2024.4183'!$A$2:$A$25,0))="","",INDEX('C_jama.2024.4183'!$D$2:$D$25,MATCH(C64,'C_jama.2024.4183'!$A$2:$A$25,0))),"")</f>
        <v/>
      </c>
      <c r="L64" s="15">
        <f>IFERROR(IF(INDEX('C_jama.2024.4183'!$E$2:$E$25,MATCH(C64,'C_jama.2024.4183'!$A$2:$A$25,0))="","",INDEX('C_jama.2024.4183'!$E$2:$E$25,MATCH(C64,'C_jama.2024.4183'!$A$2:$A$25,0))),"")</f>
        <v/>
      </c>
      <c r="M64" s="15">
        <f>IFERROR(IF(AND(K64="retain",L64="statistical_results"),IF(INDEX('C_jama.2024.4183'!$H$2:$H$25,MATCH(C64,'C_jama.2024.4183'!$A$2:$A$25,0))="","",INDEX('C_jama.2024.4183'!$H$2:$H$25,MATCH(C64,'C_jama.2024.4183'!$A$2:$A$25,0))),"not_applicable"),"")</f>
        <v/>
      </c>
      <c r="N64" s="15">
        <f>IFERROR(IF(AND(K64="retain",L64="statistical_results"),IF(INDEX('C_jama.2024.4183'!$I$2:$I$25,MATCH(C64,'C_jama.2024.4183'!$A$2:$A$25,0))="","",INDEX('C_jama.2024.4183'!$I$2:$I$25,MATCH(C64,'C_jama.2024.4183'!$A$2:$A$25,0))),"not_applicable"),"")</f>
        <v/>
      </c>
      <c r="O64" s="15">
        <f>IFERROR(IF(AND(K64="retain",L64="statistical_results"),IF(INDEX('C_jama.2024.4183'!$J$2:$J$25,MATCH(C64,'C_jama.2024.4183'!$A$2:$A$25,0))="","",INDEX('C_jama.2024.4183'!$J$2:$J$25,MATCH(C64,'C_jama.2024.4183'!$A$2:$A$25,0))),"not_applicable"),"")</f>
        <v/>
      </c>
      <c r="P64" s="15">
        <f>IFERROR(IF(AND(K64="retain",OR(L64="report_internal_inconsistency",L64="plan_material")),IF(INDEX('C_jama.2024.4183'!$K$2:$K$25,MATCH(C64,'C_jama.2024.4183'!$A$2:$A$25,0))="","",INDEX('C_jama.2024.4183'!$K$2:$K$25,MATCH(C64,'C_jama.2024.4183'!$A$2:$A$25,0))),"not_applicable"),"")</f>
        <v/>
      </c>
      <c r="Q64" s="15">
        <f>IFERROR(IF(AND(K64="retain",L64="protocol_report"),IF(INDEX('C_jama.2024.4183'!$L$2:$L$25,MATCH(C64,'C_jama.2024.4183'!$A$2:$A$25,0))="","",INDEX('C_jama.2024.4183'!$L$2:$L$25,MATCH(C64,'C_jama.2024.4183'!$A$2:$A$25,0))),"not_applicable"),"")</f>
        <v/>
      </c>
      <c r="R64" s="15">
        <f>IFERROR(IF(INDEX('C_jama.2024.4183'!$R$2:$R$25,MATCH(C64,'C_jama.2024.4183'!$A$2:$A$25,0))="","",INDEX('C_jama.2024.4183'!$R$2:$R$25,MATCH(C64,'C_jama.2024.4183'!$A$2:$A$25,0))),"")</f>
        <v/>
      </c>
    </row>
    <row r="65" ht="75" customFormat="1" customHeight="1" s="8">
      <c r="A65" s="16" t="n">
        <v>2024</v>
      </c>
      <c r="B65" s="16" t="inlineStr">
        <is>
          <t>jama.2024.4183</t>
        </is>
      </c>
      <c r="C65" s="16" t="inlineStr">
        <is>
          <t>2024::jama.2024.4183::C013</t>
        </is>
      </c>
      <c r="D65" s="16" t="inlineStr">
        <is>
          <t>S_W</t>
        </is>
      </c>
      <c r="E65" s="16">
        <f>Setup!$B$4</f>
        <v/>
      </c>
      <c r="F65" s="16">
        <f>IF(Setup!$B$2="","",Setup!$B$2)</f>
        <v/>
      </c>
      <c r="G65" s="16">
        <f>IFERROR(INDEX('C_jama.2024.4183'!$G$2:$G$25,MATCH(C65,'C_jama.2024.4183'!$A$2:$A$25,0)),"CHECK KEY")</f>
        <v/>
      </c>
      <c r="H65" s="16">
        <f>IF(OR(G65&lt;&gt;"PRIMARY READY",K65="discuss"),"",IF(K65&lt;&gt;"retain","not_eligible",IF(D65="P_R","protocol_descriptive",IF(D65="P_P","plan_descriptive",IF(AND(OR(D65="S_C",D65="S_W"),L65="statistical_results",OR(M65="confirmed_issue",M65="probable_issue"),N65="substantive"),"primary_temporal",IF(AND(OR(D65="S_C",D65="S_W"),L65="report_internal_inconsistency",P65="substantive_inconsistency"),"secondary_temporal","not_eligible"))))))</f>
        <v/>
      </c>
      <c r="I65" s="16" t="inlineStr">
        <is>
          <t>retain</t>
        </is>
      </c>
      <c r="J65" s="16" t="inlineStr">
        <is>
          <t>report_internal_inconsistency</t>
        </is>
      </c>
      <c r="K65" s="16">
        <f>IFERROR(IF(INDEX('C_jama.2024.4183'!$D$2:$D$25,MATCH(C65,'C_jama.2024.4183'!$A$2:$A$25,0))="","",INDEX('C_jama.2024.4183'!$D$2:$D$25,MATCH(C65,'C_jama.2024.4183'!$A$2:$A$25,0))),"")</f>
        <v/>
      </c>
      <c r="L65" s="16">
        <f>IFERROR(IF(INDEX('C_jama.2024.4183'!$E$2:$E$25,MATCH(C65,'C_jama.2024.4183'!$A$2:$A$25,0))="","",INDEX('C_jama.2024.4183'!$E$2:$E$25,MATCH(C65,'C_jama.2024.4183'!$A$2:$A$25,0))),"")</f>
        <v/>
      </c>
      <c r="M65" s="16">
        <f>IFERROR(IF(AND(K65="retain",L65="statistical_results"),IF(INDEX('C_jama.2024.4183'!$H$2:$H$25,MATCH(C65,'C_jama.2024.4183'!$A$2:$A$25,0))="","",INDEX('C_jama.2024.4183'!$H$2:$H$25,MATCH(C65,'C_jama.2024.4183'!$A$2:$A$25,0))),"not_applicable"),"")</f>
        <v/>
      </c>
      <c r="N65" s="16">
        <f>IFERROR(IF(AND(K65="retain",L65="statistical_results"),IF(INDEX('C_jama.2024.4183'!$I$2:$I$25,MATCH(C65,'C_jama.2024.4183'!$A$2:$A$25,0))="","",INDEX('C_jama.2024.4183'!$I$2:$I$25,MATCH(C65,'C_jama.2024.4183'!$A$2:$A$25,0))),"not_applicable"),"")</f>
        <v/>
      </c>
      <c r="O65" s="16">
        <f>IFERROR(IF(AND(K65="retain",L65="statistical_results"),IF(INDEX('C_jama.2024.4183'!$J$2:$J$25,MATCH(C65,'C_jama.2024.4183'!$A$2:$A$25,0))="","",INDEX('C_jama.2024.4183'!$J$2:$J$25,MATCH(C65,'C_jama.2024.4183'!$A$2:$A$25,0))),"not_applicable"),"")</f>
        <v/>
      </c>
      <c r="P65" s="16">
        <f>IFERROR(IF(AND(K65="retain",OR(L65="report_internal_inconsistency",L65="plan_material")),IF(INDEX('C_jama.2024.4183'!$K$2:$K$25,MATCH(C65,'C_jama.2024.4183'!$A$2:$A$25,0))="","",INDEX('C_jama.2024.4183'!$K$2:$K$25,MATCH(C65,'C_jama.2024.4183'!$A$2:$A$25,0))),"not_applicable"),"")</f>
        <v/>
      </c>
      <c r="Q65" s="16">
        <f>IFERROR(IF(AND(K65="retain",L65="protocol_report"),IF(INDEX('C_jama.2024.4183'!$L$2:$L$25,MATCH(C65,'C_jama.2024.4183'!$A$2:$A$25,0))="","",INDEX('C_jama.2024.4183'!$L$2:$L$25,MATCH(C65,'C_jama.2024.4183'!$A$2:$A$25,0))),"not_applicable"),"")</f>
        <v/>
      </c>
      <c r="R65" s="16">
        <f>IFERROR(IF(INDEX('C_jama.2024.4183'!$R$2:$R$25,MATCH(C65,'C_jama.2024.4183'!$A$2:$A$25,0))="","",INDEX('C_jama.2024.4183'!$R$2:$R$25,MATCH(C65,'C_jama.2024.4183'!$A$2:$A$25,0))),"")</f>
        <v/>
      </c>
    </row>
    <row r="66" ht="75" customFormat="1" customHeight="1" s="8">
      <c r="A66" s="15" t="n">
        <v>2024</v>
      </c>
      <c r="B66" s="15" t="inlineStr">
        <is>
          <t>jama.2024.4183</t>
        </is>
      </c>
      <c r="C66" s="15" t="inlineStr">
        <is>
          <t>2024::jama.2024.4183::C014</t>
        </is>
      </c>
      <c r="D66" s="15" t="inlineStr">
        <is>
          <t>S_W</t>
        </is>
      </c>
      <c r="E66" s="15">
        <f>Setup!$B$4</f>
        <v/>
      </c>
      <c r="F66" s="15">
        <f>IF(Setup!$B$2="","",Setup!$B$2)</f>
        <v/>
      </c>
      <c r="G66" s="15">
        <f>IFERROR(INDEX('C_jama.2024.4183'!$G$2:$G$25,MATCH(C66,'C_jama.2024.4183'!$A$2:$A$25,0)),"CHECK KEY")</f>
        <v/>
      </c>
      <c r="H66" s="15">
        <f>IF(OR(G66&lt;&gt;"PRIMARY READY",K66="discuss"),"",IF(K66&lt;&gt;"retain","not_eligible",IF(D66="P_R","protocol_descriptive",IF(D66="P_P","plan_descriptive",IF(AND(OR(D66="S_C",D66="S_W"),L66="statistical_results",OR(M66="confirmed_issue",M66="probable_issue"),N66="substantive"),"primary_temporal",IF(AND(OR(D66="S_C",D66="S_W"),L66="report_internal_inconsistency",P66="substantive_inconsistency"),"secondary_temporal","not_eligible"))))))</f>
        <v/>
      </c>
      <c r="I66" s="15" t="inlineStr">
        <is>
          <t>retain</t>
        </is>
      </c>
      <c r="J66" s="15" t="inlineStr">
        <is>
          <t>statistical_results</t>
        </is>
      </c>
      <c r="K66" s="15">
        <f>IFERROR(IF(INDEX('C_jama.2024.4183'!$D$2:$D$25,MATCH(C66,'C_jama.2024.4183'!$A$2:$A$25,0))="","",INDEX('C_jama.2024.4183'!$D$2:$D$25,MATCH(C66,'C_jama.2024.4183'!$A$2:$A$25,0))),"")</f>
        <v/>
      </c>
      <c r="L66" s="15">
        <f>IFERROR(IF(INDEX('C_jama.2024.4183'!$E$2:$E$25,MATCH(C66,'C_jama.2024.4183'!$A$2:$A$25,0))="","",INDEX('C_jama.2024.4183'!$E$2:$E$25,MATCH(C66,'C_jama.2024.4183'!$A$2:$A$25,0))),"")</f>
        <v/>
      </c>
      <c r="M66" s="15">
        <f>IFERROR(IF(AND(K66="retain",L66="statistical_results"),IF(INDEX('C_jama.2024.4183'!$H$2:$H$25,MATCH(C66,'C_jama.2024.4183'!$A$2:$A$25,0))="","",INDEX('C_jama.2024.4183'!$H$2:$H$25,MATCH(C66,'C_jama.2024.4183'!$A$2:$A$25,0))),"not_applicable"),"")</f>
        <v/>
      </c>
      <c r="N66" s="15">
        <f>IFERROR(IF(AND(K66="retain",L66="statistical_results"),IF(INDEX('C_jama.2024.4183'!$I$2:$I$25,MATCH(C66,'C_jama.2024.4183'!$A$2:$A$25,0))="","",INDEX('C_jama.2024.4183'!$I$2:$I$25,MATCH(C66,'C_jama.2024.4183'!$A$2:$A$25,0))),"not_applicable"),"")</f>
        <v/>
      </c>
      <c r="O66" s="15">
        <f>IFERROR(IF(AND(K66="retain",L66="statistical_results"),IF(INDEX('C_jama.2024.4183'!$J$2:$J$25,MATCH(C66,'C_jama.2024.4183'!$A$2:$A$25,0))="","",INDEX('C_jama.2024.4183'!$J$2:$J$25,MATCH(C66,'C_jama.2024.4183'!$A$2:$A$25,0))),"not_applicable"),"")</f>
        <v/>
      </c>
      <c r="P66" s="15">
        <f>IFERROR(IF(AND(K66="retain",OR(L66="report_internal_inconsistency",L66="plan_material")),IF(INDEX('C_jama.2024.4183'!$K$2:$K$25,MATCH(C66,'C_jama.2024.4183'!$A$2:$A$25,0))="","",INDEX('C_jama.2024.4183'!$K$2:$K$25,MATCH(C66,'C_jama.2024.4183'!$A$2:$A$25,0))),"not_applicable"),"")</f>
        <v/>
      </c>
      <c r="Q66" s="15">
        <f>IFERROR(IF(AND(K66="retain",L66="protocol_report"),IF(INDEX('C_jama.2024.4183'!$L$2:$L$25,MATCH(C66,'C_jama.2024.4183'!$A$2:$A$25,0))="","",INDEX('C_jama.2024.4183'!$L$2:$L$25,MATCH(C66,'C_jama.2024.4183'!$A$2:$A$25,0))),"not_applicable"),"")</f>
        <v/>
      </c>
      <c r="R66" s="15">
        <f>IFERROR(IF(INDEX('C_jama.2024.4183'!$R$2:$R$25,MATCH(C66,'C_jama.2024.4183'!$A$2:$A$25,0))="","",INDEX('C_jama.2024.4183'!$R$2:$R$25,MATCH(C66,'C_jama.2024.4183'!$A$2:$A$25,0))),"")</f>
        <v/>
      </c>
    </row>
    <row r="67" ht="75" customFormat="1" customHeight="1" s="8">
      <c r="A67" s="16" t="n">
        <v>2024</v>
      </c>
      <c r="B67" s="16" t="inlineStr">
        <is>
          <t>jama.2024.4183</t>
        </is>
      </c>
      <c r="C67" s="16" t="inlineStr">
        <is>
          <t>2024::jama.2024.4183::C015</t>
        </is>
      </c>
      <c r="D67" s="16" t="inlineStr">
        <is>
          <t>S_W</t>
        </is>
      </c>
      <c r="E67" s="16">
        <f>Setup!$B$4</f>
        <v/>
      </c>
      <c r="F67" s="16">
        <f>IF(Setup!$B$2="","",Setup!$B$2)</f>
        <v/>
      </c>
      <c r="G67" s="16">
        <f>IFERROR(INDEX('C_jama.2024.4183'!$G$2:$G$25,MATCH(C67,'C_jama.2024.4183'!$A$2:$A$25,0)),"CHECK KEY")</f>
        <v/>
      </c>
      <c r="H67" s="16">
        <f>IF(OR(G67&lt;&gt;"PRIMARY READY",K67="discuss"),"",IF(K67&lt;&gt;"retain","not_eligible",IF(D67="P_R","protocol_descriptive",IF(D67="P_P","plan_descriptive",IF(AND(OR(D67="S_C",D67="S_W"),L67="statistical_results",OR(M67="confirmed_issue",M67="probable_issue"),N67="substantive"),"primary_temporal",IF(AND(OR(D67="S_C",D67="S_W"),L67="report_internal_inconsistency",P67="substantive_inconsistency"),"secondary_temporal","not_eligible"))))))</f>
        <v/>
      </c>
      <c r="I67" s="16" t="inlineStr">
        <is>
          <t>retain</t>
        </is>
      </c>
      <c r="J67" s="16" t="inlineStr">
        <is>
          <t>statistical_results</t>
        </is>
      </c>
      <c r="K67" s="16">
        <f>IFERROR(IF(INDEX('C_jama.2024.4183'!$D$2:$D$25,MATCH(C67,'C_jama.2024.4183'!$A$2:$A$25,0))="","",INDEX('C_jama.2024.4183'!$D$2:$D$25,MATCH(C67,'C_jama.2024.4183'!$A$2:$A$25,0))),"")</f>
        <v/>
      </c>
      <c r="L67" s="16">
        <f>IFERROR(IF(INDEX('C_jama.2024.4183'!$E$2:$E$25,MATCH(C67,'C_jama.2024.4183'!$A$2:$A$25,0))="","",INDEX('C_jama.2024.4183'!$E$2:$E$25,MATCH(C67,'C_jama.2024.4183'!$A$2:$A$25,0))),"")</f>
        <v/>
      </c>
      <c r="M67" s="16">
        <f>IFERROR(IF(AND(K67="retain",L67="statistical_results"),IF(INDEX('C_jama.2024.4183'!$H$2:$H$25,MATCH(C67,'C_jama.2024.4183'!$A$2:$A$25,0))="","",INDEX('C_jama.2024.4183'!$H$2:$H$25,MATCH(C67,'C_jama.2024.4183'!$A$2:$A$25,0))),"not_applicable"),"")</f>
        <v/>
      </c>
      <c r="N67" s="16">
        <f>IFERROR(IF(AND(K67="retain",L67="statistical_results"),IF(INDEX('C_jama.2024.4183'!$I$2:$I$25,MATCH(C67,'C_jama.2024.4183'!$A$2:$A$25,0))="","",INDEX('C_jama.2024.4183'!$I$2:$I$25,MATCH(C67,'C_jama.2024.4183'!$A$2:$A$25,0))),"not_applicable"),"")</f>
        <v/>
      </c>
      <c r="O67" s="16">
        <f>IFERROR(IF(AND(K67="retain",L67="statistical_results"),IF(INDEX('C_jama.2024.4183'!$J$2:$J$25,MATCH(C67,'C_jama.2024.4183'!$A$2:$A$25,0))="","",INDEX('C_jama.2024.4183'!$J$2:$J$25,MATCH(C67,'C_jama.2024.4183'!$A$2:$A$25,0))),"not_applicable"),"")</f>
        <v/>
      </c>
      <c r="P67" s="16">
        <f>IFERROR(IF(AND(K67="retain",OR(L67="report_internal_inconsistency",L67="plan_material")),IF(INDEX('C_jama.2024.4183'!$K$2:$K$25,MATCH(C67,'C_jama.2024.4183'!$A$2:$A$25,0))="","",INDEX('C_jama.2024.4183'!$K$2:$K$25,MATCH(C67,'C_jama.2024.4183'!$A$2:$A$25,0))),"not_applicable"),"")</f>
        <v/>
      </c>
      <c r="Q67" s="16">
        <f>IFERROR(IF(AND(K67="retain",L67="protocol_report"),IF(INDEX('C_jama.2024.4183'!$L$2:$L$25,MATCH(C67,'C_jama.2024.4183'!$A$2:$A$25,0))="","",INDEX('C_jama.2024.4183'!$L$2:$L$25,MATCH(C67,'C_jama.2024.4183'!$A$2:$A$25,0))),"not_applicable"),"")</f>
        <v/>
      </c>
      <c r="R67" s="16">
        <f>IFERROR(IF(INDEX('C_jama.2024.4183'!$R$2:$R$25,MATCH(C67,'C_jama.2024.4183'!$A$2:$A$25,0))="","",INDEX('C_jama.2024.4183'!$R$2:$R$25,MATCH(C67,'C_jama.2024.4183'!$A$2:$A$25,0))),"")</f>
        <v/>
      </c>
    </row>
    <row r="68" ht="75" customFormat="1" customHeight="1" s="8">
      <c r="A68" s="15" t="n">
        <v>2024</v>
      </c>
      <c r="B68" s="15" t="inlineStr">
        <is>
          <t>jama.2024.4183</t>
        </is>
      </c>
      <c r="C68" s="15" t="inlineStr">
        <is>
          <t>2024::jama.2024.4183::C016</t>
        </is>
      </c>
      <c r="D68" s="15" t="inlineStr">
        <is>
          <t>S_W</t>
        </is>
      </c>
      <c r="E68" s="15">
        <f>Setup!$B$4</f>
        <v/>
      </c>
      <c r="F68" s="15">
        <f>IF(Setup!$B$2="","",Setup!$B$2)</f>
        <v/>
      </c>
      <c r="G68" s="15">
        <f>IFERROR(INDEX('C_jama.2024.4183'!$G$2:$G$25,MATCH(C68,'C_jama.2024.4183'!$A$2:$A$25,0)),"CHECK KEY")</f>
        <v/>
      </c>
      <c r="H68" s="15">
        <f>IF(OR(G68&lt;&gt;"PRIMARY READY",K68="discuss"),"",IF(K68&lt;&gt;"retain","not_eligible",IF(D68="P_R","protocol_descriptive",IF(D68="P_P","plan_descriptive",IF(AND(OR(D68="S_C",D68="S_W"),L68="statistical_results",OR(M68="confirmed_issue",M68="probable_issue"),N68="substantive"),"primary_temporal",IF(AND(OR(D68="S_C",D68="S_W"),L68="report_internal_inconsistency",P68="substantive_inconsistency"),"secondary_temporal","not_eligible"))))))</f>
        <v/>
      </c>
      <c r="I68" s="15" t="inlineStr">
        <is>
          <t>retain</t>
        </is>
      </c>
      <c r="J68" s="15" t="inlineStr">
        <is>
          <t>statistical_results</t>
        </is>
      </c>
      <c r="K68" s="15">
        <f>IFERROR(IF(INDEX('C_jama.2024.4183'!$D$2:$D$25,MATCH(C68,'C_jama.2024.4183'!$A$2:$A$25,0))="","",INDEX('C_jama.2024.4183'!$D$2:$D$25,MATCH(C68,'C_jama.2024.4183'!$A$2:$A$25,0))),"")</f>
        <v/>
      </c>
      <c r="L68" s="15">
        <f>IFERROR(IF(INDEX('C_jama.2024.4183'!$E$2:$E$25,MATCH(C68,'C_jama.2024.4183'!$A$2:$A$25,0))="","",INDEX('C_jama.2024.4183'!$E$2:$E$25,MATCH(C68,'C_jama.2024.4183'!$A$2:$A$25,0))),"")</f>
        <v/>
      </c>
      <c r="M68" s="15">
        <f>IFERROR(IF(AND(K68="retain",L68="statistical_results"),IF(INDEX('C_jama.2024.4183'!$H$2:$H$25,MATCH(C68,'C_jama.2024.4183'!$A$2:$A$25,0))="","",INDEX('C_jama.2024.4183'!$H$2:$H$25,MATCH(C68,'C_jama.2024.4183'!$A$2:$A$25,0))),"not_applicable"),"")</f>
        <v/>
      </c>
      <c r="N68" s="15">
        <f>IFERROR(IF(AND(K68="retain",L68="statistical_results"),IF(INDEX('C_jama.2024.4183'!$I$2:$I$25,MATCH(C68,'C_jama.2024.4183'!$A$2:$A$25,0))="","",INDEX('C_jama.2024.4183'!$I$2:$I$25,MATCH(C68,'C_jama.2024.4183'!$A$2:$A$25,0))),"not_applicable"),"")</f>
        <v/>
      </c>
      <c r="O68" s="15">
        <f>IFERROR(IF(AND(K68="retain",L68="statistical_results"),IF(INDEX('C_jama.2024.4183'!$J$2:$J$25,MATCH(C68,'C_jama.2024.4183'!$A$2:$A$25,0))="","",INDEX('C_jama.2024.4183'!$J$2:$J$25,MATCH(C68,'C_jama.2024.4183'!$A$2:$A$25,0))),"not_applicable"),"")</f>
        <v/>
      </c>
      <c r="P68" s="15">
        <f>IFERROR(IF(AND(K68="retain",OR(L68="report_internal_inconsistency",L68="plan_material")),IF(INDEX('C_jama.2024.4183'!$K$2:$K$25,MATCH(C68,'C_jama.2024.4183'!$A$2:$A$25,0))="","",INDEX('C_jama.2024.4183'!$K$2:$K$25,MATCH(C68,'C_jama.2024.4183'!$A$2:$A$25,0))),"not_applicable"),"")</f>
        <v/>
      </c>
      <c r="Q68" s="15">
        <f>IFERROR(IF(AND(K68="retain",L68="protocol_report"),IF(INDEX('C_jama.2024.4183'!$L$2:$L$25,MATCH(C68,'C_jama.2024.4183'!$A$2:$A$25,0))="","",INDEX('C_jama.2024.4183'!$L$2:$L$25,MATCH(C68,'C_jama.2024.4183'!$A$2:$A$25,0))),"not_applicable"),"")</f>
        <v/>
      </c>
      <c r="R68" s="15">
        <f>IFERROR(IF(INDEX('C_jama.2024.4183'!$R$2:$R$25,MATCH(C68,'C_jama.2024.4183'!$A$2:$A$25,0))="","",INDEX('C_jama.2024.4183'!$R$2:$R$25,MATCH(C68,'C_jama.2024.4183'!$A$2:$A$25,0))),"")</f>
        <v/>
      </c>
    </row>
    <row r="69" ht="75" customFormat="1" customHeight="1" s="8">
      <c r="A69" s="16" t="n">
        <v>2024</v>
      </c>
      <c r="B69" s="16" t="inlineStr">
        <is>
          <t>jama.2024.4183</t>
        </is>
      </c>
      <c r="C69" s="16" t="inlineStr">
        <is>
          <t>2024::jama.2024.4183::C017</t>
        </is>
      </c>
      <c r="D69" s="16" t="inlineStr">
        <is>
          <t>S_W</t>
        </is>
      </c>
      <c r="E69" s="16">
        <f>Setup!$B$4</f>
        <v/>
      </c>
      <c r="F69" s="16">
        <f>IF(Setup!$B$2="","",Setup!$B$2)</f>
        <v/>
      </c>
      <c r="G69" s="16">
        <f>IFERROR(INDEX('C_jama.2024.4183'!$G$2:$G$25,MATCH(C69,'C_jama.2024.4183'!$A$2:$A$25,0)),"CHECK KEY")</f>
        <v/>
      </c>
      <c r="H69" s="16">
        <f>IF(OR(G69&lt;&gt;"PRIMARY READY",K69="discuss"),"",IF(K69&lt;&gt;"retain","not_eligible",IF(D69="P_R","protocol_descriptive",IF(D69="P_P","plan_descriptive",IF(AND(OR(D69="S_C",D69="S_W"),L69="statistical_results",OR(M69="confirmed_issue",M69="probable_issue"),N69="substantive"),"primary_temporal",IF(AND(OR(D69="S_C",D69="S_W"),L69="report_internal_inconsistency",P69="substantive_inconsistency"),"secondary_temporal","not_eligible"))))))</f>
        <v/>
      </c>
      <c r="I69" s="16" t="inlineStr">
        <is>
          <t>retain</t>
        </is>
      </c>
      <c r="J69" s="16" t="inlineStr">
        <is>
          <t>statistical_results</t>
        </is>
      </c>
      <c r="K69" s="16">
        <f>IFERROR(IF(INDEX('C_jama.2024.4183'!$D$2:$D$25,MATCH(C69,'C_jama.2024.4183'!$A$2:$A$25,0))="","",INDEX('C_jama.2024.4183'!$D$2:$D$25,MATCH(C69,'C_jama.2024.4183'!$A$2:$A$25,0))),"")</f>
        <v/>
      </c>
      <c r="L69" s="16">
        <f>IFERROR(IF(INDEX('C_jama.2024.4183'!$E$2:$E$25,MATCH(C69,'C_jama.2024.4183'!$A$2:$A$25,0))="","",INDEX('C_jama.2024.4183'!$E$2:$E$25,MATCH(C69,'C_jama.2024.4183'!$A$2:$A$25,0))),"")</f>
        <v/>
      </c>
      <c r="M69" s="16">
        <f>IFERROR(IF(AND(K69="retain",L69="statistical_results"),IF(INDEX('C_jama.2024.4183'!$H$2:$H$25,MATCH(C69,'C_jama.2024.4183'!$A$2:$A$25,0))="","",INDEX('C_jama.2024.4183'!$H$2:$H$25,MATCH(C69,'C_jama.2024.4183'!$A$2:$A$25,0))),"not_applicable"),"")</f>
        <v/>
      </c>
      <c r="N69" s="16">
        <f>IFERROR(IF(AND(K69="retain",L69="statistical_results"),IF(INDEX('C_jama.2024.4183'!$I$2:$I$25,MATCH(C69,'C_jama.2024.4183'!$A$2:$A$25,0))="","",INDEX('C_jama.2024.4183'!$I$2:$I$25,MATCH(C69,'C_jama.2024.4183'!$A$2:$A$25,0))),"not_applicable"),"")</f>
        <v/>
      </c>
      <c r="O69" s="16">
        <f>IFERROR(IF(AND(K69="retain",L69="statistical_results"),IF(INDEX('C_jama.2024.4183'!$J$2:$J$25,MATCH(C69,'C_jama.2024.4183'!$A$2:$A$25,0))="","",INDEX('C_jama.2024.4183'!$J$2:$J$25,MATCH(C69,'C_jama.2024.4183'!$A$2:$A$25,0))),"not_applicable"),"")</f>
        <v/>
      </c>
      <c r="P69" s="16">
        <f>IFERROR(IF(AND(K69="retain",OR(L69="report_internal_inconsistency",L69="plan_material")),IF(INDEX('C_jama.2024.4183'!$K$2:$K$25,MATCH(C69,'C_jama.2024.4183'!$A$2:$A$25,0))="","",INDEX('C_jama.2024.4183'!$K$2:$K$25,MATCH(C69,'C_jama.2024.4183'!$A$2:$A$25,0))),"not_applicable"),"")</f>
        <v/>
      </c>
      <c r="Q69" s="16">
        <f>IFERROR(IF(AND(K69="retain",L69="protocol_report"),IF(INDEX('C_jama.2024.4183'!$L$2:$L$25,MATCH(C69,'C_jama.2024.4183'!$A$2:$A$25,0))="","",INDEX('C_jama.2024.4183'!$L$2:$L$25,MATCH(C69,'C_jama.2024.4183'!$A$2:$A$25,0))),"not_applicable"),"")</f>
        <v/>
      </c>
      <c r="R69" s="16">
        <f>IFERROR(IF(INDEX('C_jama.2024.4183'!$R$2:$R$25,MATCH(C69,'C_jama.2024.4183'!$A$2:$A$25,0))="","",INDEX('C_jama.2024.4183'!$R$2:$R$25,MATCH(C69,'C_jama.2024.4183'!$A$2:$A$25,0))),"")</f>
        <v/>
      </c>
    </row>
    <row r="70" ht="75" customFormat="1" customHeight="1" s="8">
      <c r="A70" s="15" t="n">
        <v>2024</v>
      </c>
      <c r="B70" s="15" t="inlineStr">
        <is>
          <t>jama.2024.4183</t>
        </is>
      </c>
      <c r="C70" s="15" t="inlineStr">
        <is>
          <t>2024::jama.2024.4183::C018</t>
        </is>
      </c>
      <c r="D70" s="15" t="inlineStr">
        <is>
          <t>S_W</t>
        </is>
      </c>
      <c r="E70" s="15">
        <f>Setup!$B$4</f>
        <v/>
      </c>
      <c r="F70" s="15">
        <f>IF(Setup!$B$2="","",Setup!$B$2)</f>
        <v/>
      </c>
      <c r="G70" s="15">
        <f>IFERROR(INDEX('C_jama.2024.4183'!$G$2:$G$25,MATCH(C70,'C_jama.2024.4183'!$A$2:$A$25,0)),"CHECK KEY")</f>
        <v/>
      </c>
      <c r="H70" s="15">
        <f>IF(OR(G70&lt;&gt;"PRIMARY READY",K70="discuss"),"",IF(K70&lt;&gt;"retain","not_eligible",IF(D70="P_R","protocol_descriptive",IF(D70="P_P","plan_descriptive",IF(AND(OR(D70="S_C",D70="S_W"),L70="statistical_results",OR(M70="confirmed_issue",M70="probable_issue"),N70="substantive"),"primary_temporal",IF(AND(OR(D70="S_C",D70="S_W"),L70="report_internal_inconsistency",P70="substantive_inconsistency"),"secondary_temporal","not_eligible"))))))</f>
        <v/>
      </c>
      <c r="I70" s="15" t="inlineStr">
        <is>
          <t>retain</t>
        </is>
      </c>
      <c r="J70" s="15" t="inlineStr">
        <is>
          <t>statistical_results</t>
        </is>
      </c>
      <c r="K70" s="15">
        <f>IFERROR(IF(INDEX('C_jama.2024.4183'!$D$2:$D$25,MATCH(C70,'C_jama.2024.4183'!$A$2:$A$25,0))="","",INDEX('C_jama.2024.4183'!$D$2:$D$25,MATCH(C70,'C_jama.2024.4183'!$A$2:$A$25,0))),"")</f>
        <v/>
      </c>
      <c r="L70" s="15">
        <f>IFERROR(IF(INDEX('C_jama.2024.4183'!$E$2:$E$25,MATCH(C70,'C_jama.2024.4183'!$A$2:$A$25,0))="","",INDEX('C_jama.2024.4183'!$E$2:$E$25,MATCH(C70,'C_jama.2024.4183'!$A$2:$A$25,0))),"")</f>
        <v/>
      </c>
      <c r="M70" s="15">
        <f>IFERROR(IF(AND(K70="retain",L70="statistical_results"),IF(INDEX('C_jama.2024.4183'!$H$2:$H$25,MATCH(C70,'C_jama.2024.4183'!$A$2:$A$25,0))="","",INDEX('C_jama.2024.4183'!$H$2:$H$25,MATCH(C70,'C_jama.2024.4183'!$A$2:$A$25,0))),"not_applicable"),"")</f>
        <v/>
      </c>
      <c r="N70" s="15">
        <f>IFERROR(IF(AND(K70="retain",L70="statistical_results"),IF(INDEX('C_jama.2024.4183'!$I$2:$I$25,MATCH(C70,'C_jama.2024.4183'!$A$2:$A$25,0))="","",INDEX('C_jama.2024.4183'!$I$2:$I$25,MATCH(C70,'C_jama.2024.4183'!$A$2:$A$25,0))),"not_applicable"),"")</f>
        <v/>
      </c>
      <c r="O70" s="15">
        <f>IFERROR(IF(AND(K70="retain",L70="statistical_results"),IF(INDEX('C_jama.2024.4183'!$J$2:$J$25,MATCH(C70,'C_jama.2024.4183'!$A$2:$A$25,0))="","",INDEX('C_jama.2024.4183'!$J$2:$J$25,MATCH(C70,'C_jama.2024.4183'!$A$2:$A$25,0))),"not_applicable"),"")</f>
        <v/>
      </c>
      <c r="P70" s="15">
        <f>IFERROR(IF(AND(K70="retain",OR(L70="report_internal_inconsistency",L70="plan_material")),IF(INDEX('C_jama.2024.4183'!$K$2:$K$25,MATCH(C70,'C_jama.2024.4183'!$A$2:$A$25,0))="","",INDEX('C_jama.2024.4183'!$K$2:$K$25,MATCH(C70,'C_jama.2024.4183'!$A$2:$A$25,0))),"not_applicable"),"")</f>
        <v/>
      </c>
      <c r="Q70" s="15">
        <f>IFERROR(IF(AND(K70="retain",L70="protocol_report"),IF(INDEX('C_jama.2024.4183'!$L$2:$L$25,MATCH(C70,'C_jama.2024.4183'!$A$2:$A$25,0))="","",INDEX('C_jama.2024.4183'!$L$2:$L$25,MATCH(C70,'C_jama.2024.4183'!$A$2:$A$25,0))),"not_applicable"),"")</f>
        <v/>
      </c>
      <c r="R70" s="15">
        <f>IFERROR(IF(INDEX('C_jama.2024.4183'!$R$2:$R$25,MATCH(C70,'C_jama.2024.4183'!$A$2:$A$25,0))="","",INDEX('C_jama.2024.4183'!$R$2:$R$25,MATCH(C70,'C_jama.2024.4183'!$A$2:$A$25,0))),"")</f>
        <v/>
      </c>
    </row>
    <row r="71" ht="75" customFormat="1" customHeight="1" s="8">
      <c r="A71" s="16" t="n">
        <v>2024</v>
      </c>
      <c r="B71" s="16" t="inlineStr">
        <is>
          <t>jama.2024.4183</t>
        </is>
      </c>
      <c r="C71" s="16" t="inlineStr">
        <is>
          <t>2024::jama.2024.4183::C019</t>
        </is>
      </c>
      <c r="D71" s="16" t="inlineStr">
        <is>
          <t>S_W</t>
        </is>
      </c>
      <c r="E71" s="16">
        <f>Setup!$B$4</f>
        <v/>
      </c>
      <c r="F71" s="16">
        <f>IF(Setup!$B$2="","",Setup!$B$2)</f>
        <v/>
      </c>
      <c r="G71" s="16">
        <f>IFERROR(INDEX('C_jama.2024.4183'!$G$2:$G$25,MATCH(C71,'C_jama.2024.4183'!$A$2:$A$25,0)),"CHECK KEY")</f>
        <v/>
      </c>
      <c r="H71" s="16">
        <f>IF(OR(G71&lt;&gt;"PRIMARY READY",K71="discuss"),"",IF(K71&lt;&gt;"retain","not_eligible",IF(D71="P_R","protocol_descriptive",IF(D71="P_P","plan_descriptive",IF(AND(OR(D71="S_C",D71="S_W"),L71="statistical_results",OR(M71="confirmed_issue",M71="probable_issue"),N71="substantive"),"primary_temporal",IF(AND(OR(D71="S_C",D71="S_W"),L71="report_internal_inconsistency",P71="substantive_inconsistency"),"secondary_temporal","not_eligible"))))))</f>
        <v/>
      </c>
      <c r="I71" s="16" t="inlineStr">
        <is>
          <t>retain</t>
        </is>
      </c>
      <c r="J71" s="16" t="inlineStr">
        <is>
          <t>report_internal_inconsistency</t>
        </is>
      </c>
      <c r="K71" s="16">
        <f>IFERROR(IF(INDEX('C_jama.2024.4183'!$D$2:$D$25,MATCH(C71,'C_jama.2024.4183'!$A$2:$A$25,0))="","",INDEX('C_jama.2024.4183'!$D$2:$D$25,MATCH(C71,'C_jama.2024.4183'!$A$2:$A$25,0))),"")</f>
        <v/>
      </c>
      <c r="L71" s="16">
        <f>IFERROR(IF(INDEX('C_jama.2024.4183'!$E$2:$E$25,MATCH(C71,'C_jama.2024.4183'!$A$2:$A$25,0))="","",INDEX('C_jama.2024.4183'!$E$2:$E$25,MATCH(C71,'C_jama.2024.4183'!$A$2:$A$25,0))),"")</f>
        <v/>
      </c>
      <c r="M71" s="16">
        <f>IFERROR(IF(AND(K71="retain",L71="statistical_results"),IF(INDEX('C_jama.2024.4183'!$H$2:$H$25,MATCH(C71,'C_jama.2024.4183'!$A$2:$A$25,0))="","",INDEX('C_jama.2024.4183'!$H$2:$H$25,MATCH(C71,'C_jama.2024.4183'!$A$2:$A$25,0))),"not_applicable"),"")</f>
        <v/>
      </c>
      <c r="N71" s="16">
        <f>IFERROR(IF(AND(K71="retain",L71="statistical_results"),IF(INDEX('C_jama.2024.4183'!$I$2:$I$25,MATCH(C71,'C_jama.2024.4183'!$A$2:$A$25,0))="","",INDEX('C_jama.2024.4183'!$I$2:$I$25,MATCH(C71,'C_jama.2024.4183'!$A$2:$A$25,0))),"not_applicable"),"")</f>
        <v/>
      </c>
      <c r="O71" s="16">
        <f>IFERROR(IF(AND(K71="retain",L71="statistical_results"),IF(INDEX('C_jama.2024.4183'!$J$2:$J$25,MATCH(C71,'C_jama.2024.4183'!$A$2:$A$25,0))="","",INDEX('C_jama.2024.4183'!$J$2:$J$25,MATCH(C71,'C_jama.2024.4183'!$A$2:$A$25,0))),"not_applicable"),"")</f>
        <v/>
      </c>
      <c r="P71" s="16">
        <f>IFERROR(IF(AND(K71="retain",OR(L71="report_internal_inconsistency",L71="plan_material")),IF(INDEX('C_jama.2024.4183'!$K$2:$K$25,MATCH(C71,'C_jama.2024.4183'!$A$2:$A$25,0))="","",INDEX('C_jama.2024.4183'!$K$2:$K$25,MATCH(C71,'C_jama.2024.4183'!$A$2:$A$25,0))),"not_applicable"),"")</f>
        <v/>
      </c>
      <c r="Q71" s="16">
        <f>IFERROR(IF(AND(K71="retain",L71="protocol_report"),IF(INDEX('C_jama.2024.4183'!$L$2:$L$25,MATCH(C71,'C_jama.2024.4183'!$A$2:$A$25,0))="","",INDEX('C_jama.2024.4183'!$L$2:$L$25,MATCH(C71,'C_jama.2024.4183'!$A$2:$A$25,0))),"not_applicable"),"")</f>
        <v/>
      </c>
      <c r="R71" s="16">
        <f>IFERROR(IF(INDEX('C_jama.2024.4183'!$R$2:$R$25,MATCH(C71,'C_jama.2024.4183'!$A$2:$A$25,0))="","",INDEX('C_jama.2024.4183'!$R$2:$R$25,MATCH(C71,'C_jama.2024.4183'!$A$2:$A$25,0))),"")</f>
        <v/>
      </c>
    </row>
    <row r="72" ht="75" customFormat="1" customHeight="1" s="8">
      <c r="A72" s="15" t="n">
        <v>2024</v>
      </c>
      <c r="B72" s="15" t="inlineStr">
        <is>
          <t>jama.2024.4183</t>
        </is>
      </c>
      <c r="C72" s="15" t="inlineStr">
        <is>
          <t>2024::jama.2024.4183::C020</t>
        </is>
      </c>
      <c r="D72" s="15" t="inlineStr">
        <is>
          <t>S_W</t>
        </is>
      </c>
      <c r="E72" s="15">
        <f>Setup!$B$4</f>
        <v/>
      </c>
      <c r="F72" s="15">
        <f>IF(Setup!$B$2="","",Setup!$B$2)</f>
        <v/>
      </c>
      <c r="G72" s="15">
        <f>IFERROR(INDEX('C_jama.2024.4183'!$G$2:$G$25,MATCH(C72,'C_jama.2024.4183'!$A$2:$A$25,0)),"CHECK KEY")</f>
        <v/>
      </c>
      <c r="H72" s="15">
        <f>IF(OR(G72&lt;&gt;"PRIMARY READY",K72="discuss"),"",IF(K72&lt;&gt;"retain","not_eligible",IF(D72="P_R","protocol_descriptive",IF(D72="P_P","plan_descriptive",IF(AND(OR(D72="S_C",D72="S_W"),L72="statistical_results",OR(M72="confirmed_issue",M72="probable_issue"),N72="substantive"),"primary_temporal",IF(AND(OR(D72="S_C",D72="S_W"),L72="report_internal_inconsistency",P72="substantive_inconsistency"),"secondary_temporal","not_eligible"))))))</f>
        <v/>
      </c>
      <c r="I72" s="15" t="inlineStr">
        <is>
          <t>retain</t>
        </is>
      </c>
      <c r="J72" s="15" t="inlineStr">
        <is>
          <t>statistical_results</t>
        </is>
      </c>
      <c r="K72" s="15">
        <f>IFERROR(IF(INDEX('C_jama.2024.4183'!$D$2:$D$25,MATCH(C72,'C_jama.2024.4183'!$A$2:$A$25,0))="","",INDEX('C_jama.2024.4183'!$D$2:$D$25,MATCH(C72,'C_jama.2024.4183'!$A$2:$A$25,0))),"")</f>
        <v/>
      </c>
      <c r="L72" s="15">
        <f>IFERROR(IF(INDEX('C_jama.2024.4183'!$E$2:$E$25,MATCH(C72,'C_jama.2024.4183'!$A$2:$A$25,0))="","",INDEX('C_jama.2024.4183'!$E$2:$E$25,MATCH(C72,'C_jama.2024.4183'!$A$2:$A$25,0))),"")</f>
        <v/>
      </c>
      <c r="M72" s="15">
        <f>IFERROR(IF(AND(K72="retain",L72="statistical_results"),IF(INDEX('C_jama.2024.4183'!$H$2:$H$25,MATCH(C72,'C_jama.2024.4183'!$A$2:$A$25,0))="","",INDEX('C_jama.2024.4183'!$H$2:$H$25,MATCH(C72,'C_jama.2024.4183'!$A$2:$A$25,0))),"not_applicable"),"")</f>
        <v/>
      </c>
      <c r="N72" s="15">
        <f>IFERROR(IF(AND(K72="retain",L72="statistical_results"),IF(INDEX('C_jama.2024.4183'!$I$2:$I$25,MATCH(C72,'C_jama.2024.4183'!$A$2:$A$25,0))="","",INDEX('C_jama.2024.4183'!$I$2:$I$25,MATCH(C72,'C_jama.2024.4183'!$A$2:$A$25,0))),"not_applicable"),"")</f>
        <v/>
      </c>
      <c r="O72" s="15">
        <f>IFERROR(IF(AND(K72="retain",L72="statistical_results"),IF(INDEX('C_jama.2024.4183'!$J$2:$J$25,MATCH(C72,'C_jama.2024.4183'!$A$2:$A$25,0))="","",INDEX('C_jama.2024.4183'!$J$2:$J$25,MATCH(C72,'C_jama.2024.4183'!$A$2:$A$25,0))),"not_applicable"),"")</f>
        <v/>
      </c>
      <c r="P72" s="15">
        <f>IFERROR(IF(AND(K72="retain",OR(L72="report_internal_inconsistency",L72="plan_material")),IF(INDEX('C_jama.2024.4183'!$K$2:$K$25,MATCH(C72,'C_jama.2024.4183'!$A$2:$A$25,0))="","",INDEX('C_jama.2024.4183'!$K$2:$K$25,MATCH(C72,'C_jama.2024.4183'!$A$2:$A$25,0))),"not_applicable"),"")</f>
        <v/>
      </c>
      <c r="Q72" s="15">
        <f>IFERROR(IF(AND(K72="retain",L72="protocol_report"),IF(INDEX('C_jama.2024.4183'!$L$2:$L$25,MATCH(C72,'C_jama.2024.4183'!$A$2:$A$25,0))="","",INDEX('C_jama.2024.4183'!$L$2:$L$25,MATCH(C72,'C_jama.2024.4183'!$A$2:$A$25,0))),"not_applicable"),"")</f>
        <v/>
      </c>
      <c r="R72" s="15">
        <f>IFERROR(IF(INDEX('C_jama.2024.4183'!$R$2:$R$25,MATCH(C72,'C_jama.2024.4183'!$A$2:$A$25,0))="","",INDEX('C_jama.2024.4183'!$R$2:$R$25,MATCH(C72,'C_jama.2024.4183'!$A$2:$A$25,0))),"")</f>
        <v/>
      </c>
    </row>
    <row r="73" ht="75" customFormat="1" customHeight="1" s="8">
      <c r="A73" s="16" t="n">
        <v>2024</v>
      </c>
      <c r="B73" s="16" t="inlineStr">
        <is>
          <t>jama.2024.4183</t>
        </is>
      </c>
      <c r="C73" s="16" t="inlineStr">
        <is>
          <t>2024::jama.2024.4183::C021</t>
        </is>
      </c>
      <c r="D73" s="16" t="inlineStr">
        <is>
          <t>S_W</t>
        </is>
      </c>
      <c r="E73" s="16">
        <f>Setup!$B$4</f>
        <v/>
      </c>
      <c r="F73" s="16">
        <f>IF(Setup!$B$2="","",Setup!$B$2)</f>
        <v/>
      </c>
      <c r="G73" s="16">
        <f>IFERROR(INDEX('C_jama.2024.4183'!$G$2:$G$25,MATCH(C73,'C_jama.2024.4183'!$A$2:$A$25,0)),"CHECK KEY")</f>
        <v/>
      </c>
      <c r="H73" s="16">
        <f>IF(OR(G73&lt;&gt;"PRIMARY READY",K73="discuss"),"",IF(K73&lt;&gt;"retain","not_eligible",IF(D73="P_R","protocol_descriptive",IF(D73="P_P","plan_descriptive",IF(AND(OR(D73="S_C",D73="S_W"),L73="statistical_results",OR(M73="confirmed_issue",M73="probable_issue"),N73="substantive"),"primary_temporal",IF(AND(OR(D73="S_C",D73="S_W"),L73="report_internal_inconsistency",P73="substantive_inconsistency"),"secondary_temporal","not_eligible"))))))</f>
        <v/>
      </c>
      <c r="I73" s="16" t="inlineStr">
        <is>
          <t>retain</t>
        </is>
      </c>
      <c r="J73" s="16" t="inlineStr">
        <is>
          <t>report_internal_inconsistency</t>
        </is>
      </c>
      <c r="K73" s="16">
        <f>IFERROR(IF(INDEX('C_jama.2024.4183'!$D$2:$D$25,MATCH(C73,'C_jama.2024.4183'!$A$2:$A$25,0))="","",INDEX('C_jama.2024.4183'!$D$2:$D$25,MATCH(C73,'C_jama.2024.4183'!$A$2:$A$25,0))),"")</f>
        <v/>
      </c>
      <c r="L73" s="16">
        <f>IFERROR(IF(INDEX('C_jama.2024.4183'!$E$2:$E$25,MATCH(C73,'C_jama.2024.4183'!$A$2:$A$25,0))="","",INDEX('C_jama.2024.4183'!$E$2:$E$25,MATCH(C73,'C_jama.2024.4183'!$A$2:$A$25,0))),"")</f>
        <v/>
      </c>
      <c r="M73" s="16">
        <f>IFERROR(IF(AND(K73="retain",L73="statistical_results"),IF(INDEX('C_jama.2024.4183'!$H$2:$H$25,MATCH(C73,'C_jama.2024.4183'!$A$2:$A$25,0))="","",INDEX('C_jama.2024.4183'!$H$2:$H$25,MATCH(C73,'C_jama.2024.4183'!$A$2:$A$25,0))),"not_applicable"),"")</f>
        <v/>
      </c>
      <c r="N73" s="16">
        <f>IFERROR(IF(AND(K73="retain",L73="statistical_results"),IF(INDEX('C_jama.2024.4183'!$I$2:$I$25,MATCH(C73,'C_jama.2024.4183'!$A$2:$A$25,0))="","",INDEX('C_jama.2024.4183'!$I$2:$I$25,MATCH(C73,'C_jama.2024.4183'!$A$2:$A$25,0))),"not_applicable"),"")</f>
        <v/>
      </c>
      <c r="O73" s="16">
        <f>IFERROR(IF(AND(K73="retain",L73="statistical_results"),IF(INDEX('C_jama.2024.4183'!$J$2:$J$25,MATCH(C73,'C_jama.2024.4183'!$A$2:$A$25,0))="","",INDEX('C_jama.2024.4183'!$J$2:$J$25,MATCH(C73,'C_jama.2024.4183'!$A$2:$A$25,0))),"not_applicable"),"")</f>
        <v/>
      </c>
      <c r="P73" s="16">
        <f>IFERROR(IF(AND(K73="retain",OR(L73="report_internal_inconsistency",L73="plan_material")),IF(INDEX('C_jama.2024.4183'!$K$2:$K$25,MATCH(C73,'C_jama.2024.4183'!$A$2:$A$25,0))="","",INDEX('C_jama.2024.4183'!$K$2:$K$25,MATCH(C73,'C_jama.2024.4183'!$A$2:$A$25,0))),"not_applicable"),"")</f>
        <v/>
      </c>
      <c r="Q73" s="16">
        <f>IFERROR(IF(AND(K73="retain",L73="protocol_report"),IF(INDEX('C_jama.2024.4183'!$L$2:$L$25,MATCH(C73,'C_jama.2024.4183'!$A$2:$A$25,0))="","",INDEX('C_jama.2024.4183'!$L$2:$L$25,MATCH(C73,'C_jama.2024.4183'!$A$2:$A$25,0))),"not_applicable"),"")</f>
        <v/>
      </c>
      <c r="R73" s="16">
        <f>IFERROR(IF(INDEX('C_jama.2024.4183'!$R$2:$R$25,MATCH(C73,'C_jama.2024.4183'!$A$2:$A$25,0))="","",INDEX('C_jama.2024.4183'!$R$2:$R$25,MATCH(C73,'C_jama.2024.4183'!$A$2:$A$25,0))),"")</f>
        <v/>
      </c>
    </row>
    <row r="74" ht="75" customFormat="1" customHeight="1" s="8">
      <c r="A74" s="15" t="n">
        <v>2024</v>
      </c>
      <c r="B74" s="15" t="inlineStr">
        <is>
          <t>jama.2024.4183</t>
        </is>
      </c>
      <c r="C74" s="15" t="inlineStr">
        <is>
          <t>2024::jama.2024.4183::C022</t>
        </is>
      </c>
      <c r="D74" s="15" t="inlineStr">
        <is>
          <t>S_W</t>
        </is>
      </c>
      <c r="E74" s="15">
        <f>Setup!$B$4</f>
        <v/>
      </c>
      <c r="F74" s="15">
        <f>IF(Setup!$B$2="","",Setup!$B$2)</f>
        <v/>
      </c>
      <c r="G74" s="15">
        <f>IFERROR(INDEX('C_jama.2024.4183'!$G$2:$G$25,MATCH(C74,'C_jama.2024.4183'!$A$2:$A$25,0)),"CHECK KEY")</f>
        <v/>
      </c>
      <c r="H74" s="15">
        <f>IF(OR(G74&lt;&gt;"PRIMARY READY",K74="discuss"),"",IF(K74&lt;&gt;"retain","not_eligible",IF(D74="P_R","protocol_descriptive",IF(D74="P_P","plan_descriptive",IF(AND(OR(D74="S_C",D74="S_W"),L74="statistical_results",OR(M74="confirmed_issue",M74="probable_issue"),N74="substantive"),"primary_temporal",IF(AND(OR(D74="S_C",D74="S_W"),L74="report_internal_inconsistency",P74="substantive_inconsistency"),"secondary_temporal","not_eligible"))))))</f>
        <v/>
      </c>
      <c r="I74" s="15" t="inlineStr">
        <is>
          <t>retain</t>
        </is>
      </c>
      <c r="J74" s="15" t="inlineStr">
        <is>
          <t>report_internal_inconsistency</t>
        </is>
      </c>
      <c r="K74" s="15">
        <f>IFERROR(IF(INDEX('C_jama.2024.4183'!$D$2:$D$25,MATCH(C74,'C_jama.2024.4183'!$A$2:$A$25,0))="","",INDEX('C_jama.2024.4183'!$D$2:$D$25,MATCH(C74,'C_jama.2024.4183'!$A$2:$A$25,0))),"")</f>
        <v/>
      </c>
      <c r="L74" s="15">
        <f>IFERROR(IF(INDEX('C_jama.2024.4183'!$E$2:$E$25,MATCH(C74,'C_jama.2024.4183'!$A$2:$A$25,0))="","",INDEX('C_jama.2024.4183'!$E$2:$E$25,MATCH(C74,'C_jama.2024.4183'!$A$2:$A$25,0))),"")</f>
        <v/>
      </c>
      <c r="M74" s="15">
        <f>IFERROR(IF(AND(K74="retain",L74="statistical_results"),IF(INDEX('C_jama.2024.4183'!$H$2:$H$25,MATCH(C74,'C_jama.2024.4183'!$A$2:$A$25,0))="","",INDEX('C_jama.2024.4183'!$H$2:$H$25,MATCH(C74,'C_jama.2024.4183'!$A$2:$A$25,0))),"not_applicable"),"")</f>
        <v/>
      </c>
      <c r="N74" s="15">
        <f>IFERROR(IF(AND(K74="retain",L74="statistical_results"),IF(INDEX('C_jama.2024.4183'!$I$2:$I$25,MATCH(C74,'C_jama.2024.4183'!$A$2:$A$25,0))="","",INDEX('C_jama.2024.4183'!$I$2:$I$25,MATCH(C74,'C_jama.2024.4183'!$A$2:$A$25,0))),"not_applicable"),"")</f>
        <v/>
      </c>
      <c r="O74" s="15">
        <f>IFERROR(IF(AND(K74="retain",L74="statistical_results"),IF(INDEX('C_jama.2024.4183'!$J$2:$J$25,MATCH(C74,'C_jama.2024.4183'!$A$2:$A$25,0))="","",INDEX('C_jama.2024.4183'!$J$2:$J$25,MATCH(C74,'C_jama.2024.4183'!$A$2:$A$25,0))),"not_applicable"),"")</f>
        <v/>
      </c>
      <c r="P74" s="15">
        <f>IFERROR(IF(AND(K74="retain",OR(L74="report_internal_inconsistency",L74="plan_material")),IF(INDEX('C_jama.2024.4183'!$K$2:$K$25,MATCH(C74,'C_jama.2024.4183'!$A$2:$A$25,0))="","",INDEX('C_jama.2024.4183'!$K$2:$K$25,MATCH(C74,'C_jama.2024.4183'!$A$2:$A$25,0))),"not_applicable"),"")</f>
        <v/>
      </c>
      <c r="Q74" s="15">
        <f>IFERROR(IF(AND(K74="retain",L74="protocol_report"),IF(INDEX('C_jama.2024.4183'!$L$2:$L$25,MATCH(C74,'C_jama.2024.4183'!$A$2:$A$25,0))="","",INDEX('C_jama.2024.4183'!$L$2:$L$25,MATCH(C74,'C_jama.2024.4183'!$A$2:$A$25,0))),"not_applicable"),"")</f>
        <v/>
      </c>
      <c r="R74" s="15">
        <f>IFERROR(IF(INDEX('C_jama.2024.4183'!$R$2:$R$25,MATCH(C74,'C_jama.2024.4183'!$A$2:$A$25,0))="","",INDEX('C_jama.2024.4183'!$R$2:$R$25,MATCH(C74,'C_jama.2024.4183'!$A$2:$A$25,0))),"")</f>
        <v/>
      </c>
    </row>
    <row r="75" ht="75" customFormat="1" customHeight="1" s="8">
      <c r="A75" s="16" t="n">
        <v>2024</v>
      </c>
      <c r="B75" s="16" t="inlineStr">
        <is>
          <t>jama.2024.4183</t>
        </is>
      </c>
      <c r="C75" s="16" t="inlineStr">
        <is>
          <t>2024::jama.2024.4183::C023</t>
        </is>
      </c>
      <c r="D75" s="16" t="inlineStr">
        <is>
          <t>S_W</t>
        </is>
      </c>
      <c r="E75" s="16">
        <f>Setup!$B$4</f>
        <v/>
      </c>
      <c r="F75" s="16">
        <f>IF(Setup!$B$2="","",Setup!$B$2)</f>
        <v/>
      </c>
      <c r="G75" s="16">
        <f>IFERROR(INDEX('C_jama.2024.4183'!$G$2:$G$25,MATCH(C75,'C_jama.2024.4183'!$A$2:$A$25,0)),"CHECK KEY")</f>
        <v/>
      </c>
      <c r="H75" s="16">
        <f>IF(OR(G75&lt;&gt;"PRIMARY READY",K75="discuss"),"",IF(K75&lt;&gt;"retain","not_eligible",IF(D75="P_R","protocol_descriptive",IF(D75="P_P","plan_descriptive",IF(AND(OR(D75="S_C",D75="S_W"),L75="statistical_results",OR(M75="confirmed_issue",M75="probable_issue"),N75="substantive"),"primary_temporal",IF(AND(OR(D75="S_C",D75="S_W"),L75="report_internal_inconsistency",P75="substantive_inconsistency"),"secondary_temporal","not_eligible"))))))</f>
        <v/>
      </c>
      <c r="I75" s="16" t="inlineStr">
        <is>
          <t>retain</t>
        </is>
      </c>
      <c r="J75" s="16" t="inlineStr">
        <is>
          <t>report_internal_inconsistency</t>
        </is>
      </c>
      <c r="K75" s="16">
        <f>IFERROR(IF(INDEX('C_jama.2024.4183'!$D$2:$D$25,MATCH(C75,'C_jama.2024.4183'!$A$2:$A$25,0))="","",INDEX('C_jama.2024.4183'!$D$2:$D$25,MATCH(C75,'C_jama.2024.4183'!$A$2:$A$25,0))),"")</f>
        <v/>
      </c>
      <c r="L75" s="16">
        <f>IFERROR(IF(INDEX('C_jama.2024.4183'!$E$2:$E$25,MATCH(C75,'C_jama.2024.4183'!$A$2:$A$25,0))="","",INDEX('C_jama.2024.4183'!$E$2:$E$25,MATCH(C75,'C_jama.2024.4183'!$A$2:$A$25,0))),"")</f>
        <v/>
      </c>
      <c r="M75" s="16">
        <f>IFERROR(IF(AND(K75="retain",L75="statistical_results"),IF(INDEX('C_jama.2024.4183'!$H$2:$H$25,MATCH(C75,'C_jama.2024.4183'!$A$2:$A$25,0))="","",INDEX('C_jama.2024.4183'!$H$2:$H$25,MATCH(C75,'C_jama.2024.4183'!$A$2:$A$25,0))),"not_applicable"),"")</f>
        <v/>
      </c>
      <c r="N75" s="16">
        <f>IFERROR(IF(AND(K75="retain",L75="statistical_results"),IF(INDEX('C_jama.2024.4183'!$I$2:$I$25,MATCH(C75,'C_jama.2024.4183'!$A$2:$A$25,0))="","",INDEX('C_jama.2024.4183'!$I$2:$I$25,MATCH(C75,'C_jama.2024.4183'!$A$2:$A$25,0))),"not_applicable"),"")</f>
        <v/>
      </c>
      <c r="O75" s="16">
        <f>IFERROR(IF(AND(K75="retain",L75="statistical_results"),IF(INDEX('C_jama.2024.4183'!$J$2:$J$25,MATCH(C75,'C_jama.2024.4183'!$A$2:$A$25,0))="","",INDEX('C_jama.2024.4183'!$J$2:$J$25,MATCH(C75,'C_jama.2024.4183'!$A$2:$A$25,0))),"not_applicable"),"")</f>
        <v/>
      </c>
      <c r="P75" s="16">
        <f>IFERROR(IF(AND(K75="retain",OR(L75="report_internal_inconsistency",L75="plan_material")),IF(INDEX('C_jama.2024.4183'!$K$2:$K$25,MATCH(C75,'C_jama.2024.4183'!$A$2:$A$25,0))="","",INDEX('C_jama.2024.4183'!$K$2:$K$25,MATCH(C75,'C_jama.2024.4183'!$A$2:$A$25,0))),"not_applicable"),"")</f>
        <v/>
      </c>
      <c r="Q75" s="16">
        <f>IFERROR(IF(AND(K75="retain",L75="protocol_report"),IF(INDEX('C_jama.2024.4183'!$L$2:$L$25,MATCH(C75,'C_jama.2024.4183'!$A$2:$A$25,0))="","",INDEX('C_jama.2024.4183'!$L$2:$L$25,MATCH(C75,'C_jama.2024.4183'!$A$2:$A$25,0))),"not_applicable"),"")</f>
        <v/>
      </c>
      <c r="R75" s="16">
        <f>IFERROR(IF(INDEX('C_jama.2024.4183'!$R$2:$R$25,MATCH(C75,'C_jama.2024.4183'!$A$2:$A$25,0))="","",INDEX('C_jama.2024.4183'!$R$2:$R$25,MATCH(C75,'C_jama.2024.4183'!$A$2:$A$25,0))),"")</f>
        <v/>
      </c>
    </row>
    <row r="76" ht="75" customFormat="1" customHeight="1" s="8">
      <c r="A76" s="15" t="n">
        <v>2024</v>
      </c>
      <c r="B76" s="15" t="inlineStr">
        <is>
          <t>jama.2024.4183</t>
        </is>
      </c>
      <c r="C76" s="15" t="inlineStr">
        <is>
          <t>2024::jama.2024.4183::C024</t>
        </is>
      </c>
      <c r="D76" s="15" t="inlineStr">
        <is>
          <t>S_W</t>
        </is>
      </c>
      <c r="E76" s="15">
        <f>Setup!$B$4</f>
        <v/>
      </c>
      <c r="F76" s="15">
        <f>IF(Setup!$B$2="","",Setup!$B$2)</f>
        <v/>
      </c>
      <c r="G76" s="15">
        <f>IFERROR(INDEX('C_jama.2024.4183'!$G$2:$G$25,MATCH(C76,'C_jama.2024.4183'!$A$2:$A$25,0)),"CHECK KEY")</f>
        <v/>
      </c>
      <c r="H76" s="15">
        <f>IF(OR(G76&lt;&gt;"PRIMARY READY",K76="discuss"),"",IF(K76&lt;&gt;"retain","not_eligible",IF(D76="P_R","protocol_descriptive",IF(D76="P_P","plan_descriptive",IF(AND(OR(D76="S_C",D76="S_W"),L76="statistical_results",OR(M76="confirmed_issue",M76="probable_issue"),N76="substantive"),"primary_temporal",IF(AND(OR(D76="S_C",D76="S_W"),L76="report_internal_inconsistency",P76="substantive_inconsistency"),"secondary_temporal","not_eligible"))))))</f>
        <v/>
      </c>
      <c r="I76" s="15" t="inlineStr">
        <is>
          <t>retain</t>
        </is>
      </c>
      <c r="J76" s="15" t="inlineStr">
        <is>
          <t>statistical_results</t>
        </is>
      </c>
      <c r="K76" s="15">
        <f>IFERROR(IF(INDEX('C_jama.2024.4183'!$D$2:$D$25,MATCH(C76,'C_jama.2024.4183'!$A$2:$A$25,0))="","",INDEX('C_jama.2024.4183'!$D$2:$D$25,MATCH(C76,'C_jama.2024.4183'!$A$2:$A$25,0))),"")</f>
        <v/>
      </c>
      <c r="L76" s="15">
        <f>IFERROR(IF(INDEX('C_jama.2024.4183'!$E$2:$E$25,MATCH(C76,'C_jama.2024.4183'!$A$2:$A$25,0))="","",INDEX('C_jama.2024.4183'!$E$2:$E$25,MATCH(C76,'C_jama.2024.4183'!$A$2:$A$25,0))),"")</f>
        <v/>
      </c>
      <c r="M76" s="15">
        <f>IFERROR(IF(AND(K76="retain",L76="statistical_results"),IF(INDEX('C_jama.2024.4183'!$H$2:$H$25,MATCH(C76,'C_jama.2024.4183'!$A$2:$A$25,0))="","",INDEX('C_jama.2024.4183'!$H$2:$H$25,MATCH(C76,'C_jama.2024.4183'!$A$2:$A$25,0))),"not_applicable"),"")</f>
        <v/>
      </c>
      <c r="N76" s="15">
        <f>IFERROR(IF(AND(K76="retain",L76="statistical_results"),IF(INDEX('C_jama.2024.4183'!$I$2:$I$25,MATCH(C76,'C_jama.2024.4183'!$A$2:$A$25,0))="","",INDEX('C_jama.2024.4183'!$I$2:$I$25,MATCH(C76,'C_jama.2024.4183'!$A$2:$A$25,0))),"not_applicable"),"")</f>
        <v/>
      </c>
      <c r="O76" s="15">
        <f>IFERROR(IF(AND(K76="retain",L76="statistical_results"),IF(INDEX('C_jama.2024.4183'!$J$2:$J$25,MATCH(C76,'C_jama.2024.4183'!$A$2:$A$25,0))="","",INDEX('C_jama.2024.4183'!$J$2:$J$25,MATCH(C76,'C_jama.2024.4183'!$A$2:$A$25,0))),"not_applicable"),"")</f>
        <v/>
      </c>
      <c r="P76" s="15">
        <f>IFERROR(IF(AND(K76="retain",OR(L76="report_internal_inconsistency",L76="plan_material")),IF(INDEX('C_jama.2024.4183'!$K$2:$K$25,MATCH(C76,'C_jama.2024.4183'!$A$2:$A$25,0))="","",INDEX('C_jama.2024.4183'!$K$2:$K$25,MATCH(C76,'C_jama.2024.4183'!$A$2:$A$25,0))),"not_applicable"),"")</f>
        <v/>
      </c>
      <c r="Q76" s="15">
        <f>IFERROR(IF(AND(K76="retain",L76="protocol_report"),IF(INDEX('C_jama.2024.4183'!$L$2:$L$25,MATCH(C76,'C_jama.2024.4183'!$A$2:$A$25,0))="","",INDEX('C_jama.2024.4183'!$L$2:$L$25,MATCH(C76,'C_jama.2024.4183'!$A$2:$A$25,0))),"not_applicable"),"")</f>
        <v/>
      </c>
      <c r="R76" s="15">
        <f>IFERROR(IF(INDEX('C_jama.2024.4183'!$R$2:$R$25,MATCH(C76,'C_jama.2024.4183'!$A$2:$A$25,0))="","",INDEX('C_jama.2024.4183'!$R$2:$R$25,MATCH(C76,'C_jama.2024.4183'!$A$2:$A$25,0))),"")</f>
        <v/>
      </c>
    </row>
    <row r="77" ht="75" customFormat="1" customHeight="1" s="8">
      <c r="A77" s="16" t="n">
        <v>2024</v>
      </c>
      <c r="B77" s="16" t="inlineStr">
        <is>
          <t>jama.2024.6063</t>
        </is>
      </c>
      <c r="C77" s="16" t="inlineStr">
        <is>
          <t>2024::jama.2024.6063::C001</t>
        </is>
      </c>
      <c r="D77" s="16" t="inlineStr">
        <is>
          <t>S_W</t>
        </is>
      </c>
      <c r="E77" s="16">
        <f>Setup!$B$4</f>
        <v/>
      </c>
      <c r="F77" s="16">
        <f>IF(Setup!$B$2="","",Setup!$B$2)</f>
        <v/>
      </c>
      <c r="G77" s="16">
        <f>IFERROR(INDEX('C_jama.2024.6063'!$G$2:$G$17,MATCH(C77,'C_jama.2024.6063'!$A$2:$A$17,0)),"CHECK KEY")</f>
        <v/>
      </c>
      <c r="H77" s="16">
        <f>IF(OR(G77&lt;&gt;"PRIMARY READY",K77="discuss"),"",IF(K77&lt;&gt;"retain","not_eligible",IF(D77="P_R","protocol_descriptive",IF(D77="P_P","plan_descriptive",IF(AND(OR(D77="S_C",D77="S_W"),L77="statistical_results",OR(M77="confirmed_issue",M77="probable_issue"),N77="substantive"),"primary_temporal",IF(AND(OR(D77="S_C",D77="S_W"),L77="report_internal_inconsistency",P77="substantive_inconsistency"),"secondary_temporal","not_eligible"))))))</f>
        <v/>
      </c>
      <c r="I77" s="16" t="inlineStr">
        <is>
          <t>retain</t>
        </is>
      </c>
      <c r="J77" s="16" t="inlineStr">
        <is>
          <t>statistical_results</t>
        </is>
      </c>
      <c r="K77" s="16">
        <f>IFERROR(IF(INDEX('C_jama.2024.6063'!$D$2:$D$17,MATCH(C77,'C_jama.2024.6063'!$A$2:$A$17,0))="","",INDEX('C_jama.2024.6063'!$D$2:$D$17,MATCH(C77,'C_jama.2024.6063'!$A$2:$A$17,0))),"")</f>
        <v/>
      </c>
      <c r="L77" s="16">
        <f>IFERROR(IF(INDEX('C_jama.2024.6063'!$E$2:$E$17,MATCH(C77,'C_jama.2024.6063'!$A$2:$A$17,0))="","",INDEX('C_jama.2024.6063'!$E$2:$E$17,MATCH(C77,'C_jama.2024.6063'!$A$2:$A$17,0))),"")</f>
        <v/>
      </c>
      <c r="M77" s="16">
        <f>IFERROR(IF(AND(K77="retain",L77="statistical_results"),IF(INDEX('C_jama.2024.6063'!$H$2:$H$17,MATCH(C77,'C_jama.2024.6063'!$A$2:$A$17,0))="","",INDEX('C_jama.2024.6063'!$H$2:$H$17,MATCH(C77,'C_jama.2024.6063'!$A$2:$A$17,0))),"not_applicable"),"")</f>
        <v/>
      </c>
      <c r="N77" s="16">
        <f>IFERROR(IF(AND(K77="retain",L77="statistical_results"),IF(INDEX('C_jama.2024.6063'!$I$2:$I$17,MATCH(C77,'C_jama.2024.6063'!$A$2:$A$17,0))="","",INDEX('C_jama.2024.6063'!$I$2:$I$17,MATCH(C77,'C_jama.2024.6063'!$A$2:$A$17,0))),"not_applicable"),"")</f>
        <v/>
      </c>
      <c r="O77" s="16">
        <f>IFERROR(IF(AND(K77="retain",L77="statistical_results"),IF(INDEX('C_jama.2024.6063'!$J$2:$J$17,MATCH(C77,'C_jama.2024.6063'!$A$2:$A$17,0))="","",INDEX('C_jama.2024.6063'!$J$2:$J$17,MATCH(C77,'C_jama.2024.6063'!$A$2:$A$17,0))),"not_applicable"),"")</f>
        <v/>
      </c>
      <c r="P77" s="16">
        <f>IFERROR(IF(AND(K77="retain",OR(L77="report_internal_inconsistency",L77="plan_material")),IF(INDEX('C_jama.2024.6063'!$K$2:$K$17,MATCH(C77,'C_jama.2024.6063'!$A$2:$A$17,0))="","",INDEX('C_jama.2024.6063'!$K$2:$K$17,MATCH(C77,'C_jama.2024.6063'!$A$2:$A$17,0))),"not_applicable"),"")</f>
        <v/>
      </c>
      <c r="Q77" s="16">
        <f>IFERROR(IF(AND(K77="retain",L77="protocol_report"),IF(INDEX('C_jama.2024.6063'!$L$2:$L$17,MATCH(C77,'C_jama.2024.6063'!$A$2:$A$17,0))="","",INDEX('C_jama.2024.6063'!$L$2:$L$17,MATCH(C77,'C_jama.2024.6063'!$A$2:$A$17,0))),"not_applicable"),"")</f>
        <v/>
      </c>
      <c r="R77" s="16">
        <f>IFERROR(IF(INDEX('C_jama.2024.6063'!$R$2:$R$17,MATCH(C77,'C_jama.2024.6063'!$A$2:$A$17,0))="","",INDEX('C_jama.2024.6063'!$R$2:$R$17,MATCH(C77,'C_jama.2024.6063'!$A$2:$A$17,0))),"")</f>
        <v/>
      </c>
    </row>
    <row r="78" ht="75" customFormat="1" customHeight="1" s="8">
      <c r="A78" s="15" t="n">
        <v>2024</v>
      </c>
      <c r="B78" s="15" t="inlineStr">
        <is>
          <t>jama.2024.6063</t>
        </is>
      </c>
      <c r="C78" s="15" t="inlineStr">
        <is>
          <t>2024::jama.2024.6063::C002</t>
        </is>
      </c>
      <c r="D78" s="15" t="inlineStr">
        <is>
          <t>S_W</t>
        </is>
      </c>
      <c r="E78" s="15">
        <f>Setup!$B$4</f>
        <v/>
      </c>
      <c r="F78" s="15">
        <f>IF(Setup!$B$2="","",Setup!$B$2)</f>
        <v/>
      </c>
      <c r="G78" s="15">
        <f>IFERROR(INDEX('C_jama.2024.6063'!$G$2:$G$17,MATCH(C78,'C_jama.2024.6063'!$A$2:$A$17,0)),"CHECK KEY")</f>
        <v/>
      </c>
      <c r="H78" s="15">
        <f>IF(OR(G78&lt;&gt;"PRIMARY READY",K78="discuss"),"",IF(K78&lt;&gt;"retain","not_eligible",IF(D78="P_R","protocol_descriptive",IF(D78="P_P","plan_descriptive",IF(AND(OR(D78="S_C",D78="S_W"),L78="statistical_results",OR(M78="confirmed_issue",M78="probable_issue"),N78="substantive"),"primary_temporal",IF(AND(OR(D78="S_C",D78="S_W"),L78="report_internal_inconsistency",P78="substantive_inconsistency"),"secondary_temporal","not_eligible"))))))</f>
        <v/>
      </c>
      <c r="I78" s="15" t="inlineStr">
        <is>
          <t>retain</t>
        </is>
      </c>
      <c r="J78" s="15" t="inlineStr">
        <is>
          <t>statistical_results</t>
        </is>
      </c>
      <c r="K78" s="15">
        <f>IFERROR(IF(INDEX('C_jama.2024.6063'!$D$2:$D$17,MATCH(C78,'C_jama.2024.6063'!$A$2:$A$17,0))="","",INDEX('C_jama.2024.6063'!$D$2:$D$17,MATCH(C78,'C_jama.2024.6063'!$A$2:$A$17,0))),"")</f>
        <v/>
      </c>
      <c r="L78" s="15">
        <f>IFERROR(IF(INDEX('C_jama.2024.6063'!$E$2:$E$17,MATCH(C78,'C_jama.2024.6063'!$A$2:$A$17,0))="","",INDEX('C_jama.2024.6063'!$E$2:$E$17,MATCH(C78,'C_jama.2024.6063'!$A$2:$A$17,0))),"")</f>
        <v/>
      </c>
      <c r="M78" s="15">
        <f>IFERROR(IF(AND(K78="retain",L78="statistical_results"),IF(INDEX('C_jama.2024.6063'!$H$2:$H$17,MATCH(C78,'C_jama.2024.6063'!$A$2:$A$17,0))="","",INDEX('C_jama.2024.6063'!$H$2:$H$17,MATCH(C78,'C_jama.2024.6063'!$A$2:$A$17,0))),"not_applicable"),"")</f>
        <v/>
      </c>
      <c r="N78" s="15">
        <f>IFERROR(IF(AND(K78="retain",L78="statistical_results"),IF(INDEX('C_jama.2024.6063'!$I$2:$I$17,MATCH(C78,'C_jama.2024.6063'!$A$2:$A$17,0))="","",INDEX('C_jama.2024.6063'!$I$2:$I$17,MATCH(C78,'C_jama.2024.6063'!$A$2:$A$17,0))),"not_applicable"),"")</f>
        <v/>
      </c>
      <c r="O78" s="15">
        <f>IFERROR(IF(AND(K78="retain",L78="statistical_results"),IF(INDEX('C_jama.2024.6063'!$J$2:$J$17,MATCH(C78,'C_jama.2024.6063'!$A$2:$A$17,0))="","",INDEX('C_jama.2024.6063'!$J$2:$J$17,MATCH(C78,'C_jama.2024.6063'!$A$2:$A$17,0))),"not_applicable"),"")</f>
        <v/>
      </c>
      <c r="P78" s="15">
        <f>IFERROR(IF(AND(K78="retain",OR(L78="report_internal_inconsistency",L78="plan_material")),IF(INDEX('C_jama.2024.6063'!$K$2:$K$17,MATCH(C78,'C_jama.2024.6063'!$A$2:$A$17,0))="","",INDEX('C_jama.2024.6063'!$K$2:$K$17,MATCH(C78,'C_jama.2024.6063'!$A$2:$A$17,0))),"not_applicable"),"")</f>
        <v/>
      </c>
      <c r="Q78" s="15">
        <f>IFERROR(IF(AND(K78="retain",L78="protocol_report"),IF(INDEX('C_jama.2024.6063'!$L$2:$L$17,MATCH(C78,'C_jama.2024.6063'!$A$2:$A$17,0))="","",INDEX('C_jama.2024.6063'!$L$2:$L$17,MATCH(C78,'C_jama.2024.6063'!$A$2:$A$17,0))),"not_applicable"),"")</f>
        <v/>
      </c>
      <c r="R78" s="15">
        <f>IFERROR(IF(INDEX('C_jama.2024.6063'!$R$2:$R$17,MATCH(C78,'C_jama.2024.6063'!$A$2:$A$17,0))="","",INDEX('C_jama.2024.6063'!$R$2:$R$17,MATCH(C78,'C_jama.2024.6063'!$A$2:$A$17,0))),"")</f>
        <v/>
      </c>
    </row>
    <row r="79" ht="75" customFormat="1" customHeight="1" s="8">
      <c r="A79" s="16" t="n">
        <v>2024</v>
      </c>
      <c r="B79" s="16" t="inlineStr">
        <is>
          <t>jama.2024.6063</t>
        </is>
      </c>
      <c r="C79" s="16" t="inlineStr">
        <is>
          <t>2024::jama.2024.6063::C003</t>
        </is>
      </c>
      <c r="D79" s="16" t="inlineStr">
        <is>
          <t>S_W</t>
        </is>
      </c>
      <c r="E79" s="16">
        <f>Setup!$B$4</f>
        <v/>
      </c>
      <c r="F79" s="16">
        <f>IF(Setup!$B$2="","",Setup!$B$2)</f>
        <v/>
      </c>
      <c r="G79" s="16">
        <f>IFERROR(INDEX('C_jama.2024.6063'!$G$2:$G$17,MATCH(C79,'C_jama.2024.6063'!$A$2:$A$17,0)),"CHECK KEY")</f>
        <v/>
      </c>
      <c r="H79" s="16">
        <f>IF(OR(G79&lt;&gt;"PRIMARY READY",K79="discuss"),"",IF(K79&lt;&gt;"retain","not_eligible",IF(D79="P_R","protocol_descriptive",IF(D79="P_P","plan_descriptive",IF(AND(OR(D79="S_C",D79="S_W"),L79="statistical_results",OR(M79="confirmed_issue",M79="probable_issue"),N79="substantive"),"primary_temporal",IF(AND(OR(D79="S_C",D79="S_W"),L79="report_internal_inconsistency",P79="substantive_inconsistency"),"secondary_temporal","not_eligible"))))))</f>
        <v/>
      </c>
      <c r="I79" s="16" t="inlineStr">
        <is>
          <t>retain</t>
        </is>
      </c>
      <c r="J79" s="16" t="inlineStr">
        <is>
          <t>statistical_results</t>
        </is>
      </c>
      <c r="K79" s="16">
        <f>IFERROR(IF(INDEX('C_jama.2024.6063'!$D$2:$D$17,MATCH(C79,'C_jama.2024.6063'!$A$2:$A$17,0))="","",INDEX('C_jama.2024.6063'!$D$2:$D$17,MATCH(C79,'C_jama.2024.6063'!$A$2:$A$17,0))),"")</f>
        <v/>
      </c>
      <c r="L79" s="16">
        <f>IFERROR(IF(INDEX('C_jama.2024.6063'!$E$2:$E$17,MATCH(C79,'C_jama.2024.6063'!$A$2:$A$17,0))="","",INDEX('C_jama.2024.6063'!$E$2:$E$17,MATCH(C79,'C_jama.2024.6063'!$A$2:$A$17,0))),"")</f>
        <v/>
      </c>
      <c r="M79" s="16">
        <f>IFERROR(IF(AND(K79="retain",L79="statistical_results"),IF(INDEX('C_jama.2024.6063'!$H$2:$H$17,MATCH(C79,'C_jama.2024.6063'!$A$2:$A$17,0))="","",INDEX('C_jama.2024.6063'!$H$2:$H$17,MATCH(C79,'C_jama.2024.6063'!$A$2:$A$17,0))),"not_applicable"),"")</f>
        <v/>
      </c>
      <c r="N79" s="16">
        <f>IFERROR(IF(AND(K79="retain",L79="statistical_results"),IF(INDEX('C_jama.2024.6063'!$I$2:$I$17,MATCH(C79,'C_jama.2024.6063'!$A$2:$A$17,0))="","",INDEX('C_jama.2024.6063'!$I$2:$I$17,MATCH(C79,'C_jama.2024.6063'!$A$2:$A$17,0))),"not_applicable"),"")</f>
        <v/>
      </c>
      <c r="O79" s="16">
        <f>IFERROR(IF(AND(K79="retain",L79="statistical_results"),IF(INDEX('C_jama.2024.6063'!$J$2:$J$17,MATCH(C79,'C_jama.2024.6063'!$A$2:$A$17,0))="","",INDEX('C_jama.2024.6063'!$J$2:$J$17,MATCH(C79,'C_jama.2024.6063'!$A$2:$A$17,0))),"not_applicable"),"")</f>
        <v/>
      </c>
      <c r="P79" s="16">
        <f>IFERROR(IF(AND(K79="retain",OR(L79="report_internal_inconsistency",L79="plan_material")),IF(INDEX('C_jama.2024.6063'!$K$2:$K$17,MATCH(C79,'C_jama.2024.6063'!$A$2:$A$17,0))="","",INDEX('C_jama.2024.6063'!$K$2:$K$17,MATCH(C79,'C_jama.2024.6063'!$A$2:$A$17,0))),"not_applicable"),"")</f>
        <v/>
      </c>
      <c r="Q79" s="16">
        <f>IFERROR(IF(AND(K79="retain",L79="protocol_report"),IF(INDEX('C_jama.2024.6063'!$L$2:$L$17,MATCH(C79,'C_jama.2024.6063'!$A$2:$A$17,0))="","",INDEX('C_jama.2024.6063'!$L$2:$L$17,MATCH(C79,'C_jama.2024.6063'!$A$2:$A$17,0))),"not_applicable"),"")</f>
        <v/>
      </c>
      <c r="R79" s="16">
        <f>IFERROR(IF(INDEX('C_jama.2024.6063'!$R$2:$R$17,MATCH(C79,'C_jama.2024.6063'!$A$2:$A$17,0))="","",INDEX('C_jama.2024.6063'!$R$2:$R$17,MATCH(C79,'C_jama.2024.6063'!$A$2:$A$17,0))),"")</f>
        <v/>
      </c>
    </row>
    <row r="80" ht="75" customFormat="1" customHeight="1" s="8">
      <c r="A80" s="15" t="n">
        <v>2024</v>
      </c>
      <c r="B80" s="15" t="inlineStr">
        <is>
          <t>jama.2024.6063</t>
        </is>
      </c>
      <c r="C80" s="15" t="inlineStr">
        <is>
          <t>2024::jama.2024.6063::C004</t>
        </is>
      </c>
      <c r="D80" s="15" t="inlineStr">
        <is>
          <t>S_W</t>
        </is>
      </c>
      <c r="E80" s="15">
        <f>Setup!$B$4</f>
        <v/>
      </c>
      <c r="F80" s="15">
        <f>IF(Setup!$B$2="","",Setup!$B$2)</f>
        <v/>
      </c>
      <c r="G80" s="15">
        <f>IFERROR(INDEX('C_jama.2024.6063'!$G$2:$G$17,MATCH(C80,'C_jama.2024.6063'!$A$2:$A$17,0)),"CHECK KEY")</f>
        <v/>
      </c>
      <c r="H80" s="15">
        <f>IF(OR(G80&lt;&gt;"PRIMARY READY",K80="discuss"),"",IF(K80&lt;&gt;"retain","not_eligible",IF(D80="P_R","protocol_descriptive",IF(D80="P_P","plan_descriptive",IF(AND(OR(D80="S_C",D80="S_W"),L80="statistical_results",OR(M80="confirmed_issue",M80="probable_issue"),N80="substantive"),"primary_temporal",IF(AND(OR(D80="S_C",D80="S_W"),L80="report_internal_inconsistency",P80="substantive_inconsistency"),"secondary_temporal","not_eligible"))))))</f>
        <v/>
      </c>
      <c r="I80" s="15" t="inlineStr">
        <is>
          <t>retain</t>
        </is>
      </c>
      <c r="J80" s="15" t="inlineStr">
        <is>
          <t>statistical_results</t>
        </is>
      </c>
      <c r="K80" s="15">
        <f>IFERROR(IF(INDEX('C_jama.2024.6063'!$D$2:$D$17,MATCH(C80,'C_jama.2024.6063'!$A$2:$A$17,0))="","",INDEX('C_jama.2024.6063'!$D$2:$D$17,MATCH(C80,'C_jama.2024.6063'!$A$2:$A$17,0))),"")</f>
        <v/>
      </c>
      <c r="L80" s="15">
        <f>IFERROR(IF(INDEX('C_jama.2024.6063'!$E$2:$E$17,MATCH(C80,'C_jama.2024.6063'!$A$2:$A$17,0))="","",INDEX('C_jama.2024.6063'!$E$2:$E$17,MATCH(C80,'C_jama.2024.6063'!$A$2:$A$17,0))),"")</f>
        <v/>
      </c>
      <c r="M80" s="15">
        <f>IFERROR(IF(AND(K80="retain",L80="statistical_results"),IF(INDEX('C_jama.2024.6063'!$H$2:$H$17,MATCH(C80,'C_jama.2024.6063'!$A$2:$A$17,0))="","",INDEX('C_jama.2024.6063'!$H$2:$H$17,MATCH(C80,'C_jama.2024.6063'!$A$2:$A$17,0))),"not_applicable"),"")</f>
        <v/>
      </c>
      <c r="N80" s="15">
        <f>IFERROR(IF(AND(K80="retain",L80="statistical_results"),IF(INDEX('C_jama.2024.6063'!$I$2:$I$17,MATCH(C80,'C_jama.2024.6063'!$A$2:$A$17,0))="","",INDEX('C_jama.2024.6063'!$I$2:$I$17,MATCH(C80,'C_jama.2024.6063'!$A$2:$A$17,0))),"not_applicable"),"")</f>
        <v/>
      </c>
      <c r="O80" s="15">
        <f>IFERROR(IF(AND(K80="retain",L80="statistical_results"),IF(INDEX('C_jama.2024.6063'!$J$2:$J$17,MATCH(C80,'C_jama.2024.6063'!$A$2:$A$17,0))="","",INDEX('C_jama.2024.6063'!$J$2:$J$17,MATCH(C80,'C_jama.2024.6063'!$A$2:$A$17,0))),"not_applicable"),"")</f>
        <v/>
      </c>
      <c r="P80" s="15">
        <f>IFERROR(IF(AND(K80="retain",OR(L80="report_internal_inconsistency",L80="plan_material")),IF(INDEX('C_jama.2024.6063'!$K$2:$K$17,MATCH(C80,'C_jama.2024.6063'!$A$2:$A$17,0))="","",INDEX('C_jama.2024.6063'!$K$2:$K$17,MATCH(C80,'C_jama.2024.6063'!$A$2:$A$17,0))),"not_applicable"),"")</f>
        <v/>
      </c>
      <c r="Q80" s="15">
        <f>IFERROR(IF(AND(K80="retain",L80="protocol_report"),IF(INDEX('C_jama.2024.6063'!$L$2:$L$17,MATCH(C80,'C_jama.2024.6063'!$A$2:$A$17,0))="","",INDEX('C_jama.2024.6063'!$L$2:$L$17,MATCH(C80,'C_jama.2024.6063'!$A$2:$A$17,0))),"not_applicable"),"")</f>
        <v/>
      </c>
      <c r="R80" s="15">
        <f>IFERROR(IF(INDEX('C_jama.2024.6063'!$R$2:$R$17,MATCH(C80,'C_jama.2024.6063'!$A$2:$A$17,0))="","",INDEX('C_jama.2024.6063'!$R$2:$R$17,MATCH(C80,'C_jama.2024.6063'!$A$2:$A$17,0))),"")</f>
        <v/>
      </c>
    </row>
    <row r="81" ht="75" customFormat="1" customHeight="1" s="8">
      <c r="A81" s="16" t="n">
        <v>2024</v>
      </c>
      <c r="B81" s="16" t="inlineStr">
        <is>
          <t>jama.2024.6063</t>
        </is>
      </c>
      <c r="C81" s="16" t="inlineStr">
        <is>
          <t>2024::jama.2024.6063::C005</t>
        </is>
      </c>
      <c r="D81" s="16" t="inlineStr">
        <is>
          <t>S_W</t>
        </is>
      </c>
      <c r="E81" s="16">
        <f>Setup!$B$4</f>
        <v/>
      </c>
      <c r="F81" s="16">
        <f>IF(Setup!$B$2="","",Setup!$B$2)</f>
        <v/>
      </c>
      <c r="G81" s="16">
        <f>IFERROR(INDEX('C_jama.2024.6063'!$G$2:$G$17,MATCH(C81,'C_jama.2024.6063'!$A$2:$A$17,0)),"CHECK KEY")</f>
        <v/>
      </c>
      <c r="H81" s="16">
        <f>IF(OR(G81&lt;&gt;"PRIMARY READY",K81="discuss"),"",IF(K81&lt;&gt;"retain","not_eligible",IF(D81="P_R","protocol_descriptive",IF(D81="P_P","plan_descriptive",IF(AND(OR(D81="S_C",D81="S_W"),L81="statistical_results",OR(M81="confirmed_issue",M81="probable_issue"),N81="substantive"),"primary_temporal",IF(AND(OR(D81="S_C",D81="S_W"),L81="report_internal_inconsistency",P81="substantive_inconsistency"),"secondary_temporal","not_eligible"))))))</f>
        <v/>
      </c>
      <c r="I81" s="16" t="inlineStr">
        <is>
          <t>retain</t>
        </is>
      </c>
      <c r="J81" s="16" t="inlineStr">
        <is>
          <t>statistical_results</t>
        </is>
      </c>
      <c r="K81" s="16">
        <f>IFERROR(IF(INDEX('C_jama.2024.6063'!$D$2:$D$17,MATCH(C81,'C_jama.2024.6063'!$A$2:$A$17,0))="","",INDEX('C_jama.2024.6063'!$D$2:$D$17,MATCH(C81,'C_jama.2024.6063'!$A$2:$A$17,0))),"")</f>
        <v/>
      </c>
      <c r="L81" s="16">
        <f>IFERROR(IF(INDEX('C_jama.2024.6063'!$E$2:$E$17,MATCH(C81,'C_jama.2024.6063'!$A$2:$A$17,0))="","",INDEX('C_jama.2024.6063'!$E$2:$E$17,MATCH(C81,'C_jama.2024.6063'!$A$2:$A$17,0))),"")</f>
        <v/>
      </c>
      <c r="M81" s="16">
        <f>IFERROR(IF(AND(K81="retain",L81="statistical_results"),IF(INDEX('C_jama.2024.6063'!$H$2:$H$17,MATCH(C81,'C_jama.2024.6063'!$A$2:$A$17,0))="","",INDEX('C_jama.2024.6063'!$H$2:$H$17,MATCH(C81,'C_jama.2024.6063'!$A$2:$A$17,0))),"not_applicable"),"")</f>
        <v/>
      </c>
      <c r="N81" s="16">
        <f>IFERROR(IF(AND(K81="retain",L81="statistical_results"),IF(INDEX('C_jama.2024.6063'!$I$2:$I$17,MATCH(C81,'C_jama.2024.6063'!$A$2:$A$17,0))="","",INDEX('C_jama.2024.6063'!$I$2:$I$17,MATCH(C81,'C_jama.2024.6063'!$A$2:$A$17,0))),"not_applicable"),"")</f>
        <v/>
      </c>
      <c r="O81" s="16">
        <f>IFERROR(IF(AND(K81="retain",L81="statistical_results"),IF(INDEX('C_jama.2024.6063'!$J$2:$J$17,MATCH(C81,'C_jama.2024.6063'!$A$2:$A$17,0))="","",INDEX('C_jama.2024.6063'!$J$2:$J$17,MATCH(C81,'C_jama.2024.6063'!$A$2:$A$17,0))),"not_applicable"),"")</f>
        <v/>
      </c>
      <c r="P81" s="16">
        <f>IFERROR(IF(AND(K81="retain",OR(L81="report_internal_inconsistency",L81="plan_material")),IF(INDEX('C_jama.2024.6063'!$K$2:$K$17,MATCH(C81,'C_jama.2024.6063'!$A$2:$A$17,0))="","",INDEX('C_jama.2024.6063'!$K$2:$K$17,MATCH(C81,'C_jama.2024.6063'!$A$2:$A$17,0))),"not_applicable"),"")</f>
        <v/>
      </c>
      <c r="Q81" s="16">
        <f>IFERROR(IF(AND(K81="retain",L81="protocol_report"),IF(INDEX('C_jama.2024.6063'!$L$2:$L$17,MATCH(C81,'C_jama.2024.6063'!$A$2:$A$17,0))="","",INDEX('C_jama.2024.6063'!$L$2:$L$17,MATCH(C81,'C_jama.2024.6063'!$A$2:$A$17,0))),"not_applicable"),"")</f>
        <v/>
      </c>
      <c r="R81" s="16">
        <f>IFERROR(IF(INDEX('C_jama.2024.6063'!$R$2:$R$17,MATCH(C81,'C_jama.2024.6063'!$A$2:$A$17,0))="","",INDEX('C_jama.2024.6063'!$R$2:$R$17,MATCH(C81,'C_jama.2024.6063'!$A$2:$A$17,0))),"")</f>
        <v/>
      </c>
    </row>
    <row r="82" ht="75" customFormat="1" customHeight="1" s="8">
      <c r="A82" s="15" t="n">
        <v>2024</v>
      </c>
      <c r="B82" s="15" t="inlineStr">
        <is>
          <t>jama.2024.6063</t>
        </is>
      </c>
      <c r="C82" s="15" t="inlineStr">
        <is>
          <t>2024::jama.2024.6063::C006</t>
        </is>
      </c>
      <c r="D82" s="15" t="inlineStr">
        <is>
          <t>S_W</t>
        </is>
      </c>
      <c r="E82" s="15">
        <f>Setup!$B$4</f>
        <v/>
      </c>
      <c r="F82" s="15">
        <f>IF(Setup!$B$2="","",Setup!$B$2)</f>
        <v/>
      </c>
      <c r="G82" s="15">
        <f>IFERROR(INDEX('C_jama.2024.6063'!$G$2:$G$17,MATCH(C82,'C_jama.2024.6063'!$A$2:$A$17,0)),"CHECK KEY")</f>
        <v/>
      </c>
      <c r="H82" s="15">
        <f>IF(OR(G82&lt;&gt;"PRIMARY READY",K82="discuss"),"",IF(K82&lt;&gt;"retain","not_eligible",IF(D82="P_R","protocol_descriptive",IF(D82="P_P","plan_descriptive",IF(AND(OR(D82="S_C",D82="S_W"),L82="statistical_results",OR(M82="confirmed_issue",M82="probable_issue"),N82="substantive"),"primary_temporal",IF(AND(OR(D82="S_C",D82="S_W"),L82="report_internal_inconsistency",P82="substantive_inconsistency"),"secondary_temporal","not_eligible"))))))</f>
        <v/>
      </c>
      <c r="I82" s="15" t="inlineStr">
        <is>
          <t>retain</t>
        </is>
      </c>
      <c r="J82" s="15" t="inlineStr">
        <is>
          <t>statistical_results</t>
        </is>
      </c>
      <c r="K82" s="15">
        <f>IFERROR(IF(INDEX('C_jama.2024.6063'!$D$2:$D$17,MATCH(C82,'C_jama.2024.6063'!$A$2:$A$17,0))="","",INDEX('C_jama.2024.6063'!$D$2:$D$17,MATCH(C82,'C_jama.2024.6063'!$A$2:$A$17,0))),"")</f>
        <v/>
      </c>
      <c r="L82" s="15">
        <f>IFERROR(IF(INDEX('C_jama.2024.6063'!$E$2:$E$17,MATCH(C82,'C_jama.2024.6063'!$A$2:$A$17,0))="","",INDEX('C_jama.2024.6063'!$E$2:$E$17,MATCH(C82,'C_jama.2024.6063'!$A$2:$A$17,0))),"")</f>
        <v/>
      </c>
      <c r="M82" s="15">
        <f>IFERROR(IF(AND(K82="retain",L82="statistical_results"),IF(INDEX('C_jama.2024.6063'!$H$2:$H$17,MATCH(C82,'C_jama.2024.6063'!$A$2:$A$17,0))="","",INDEX('C_jama.2024.6063'!$H$2:$H$17,MATCH(C82,'C_jama.2024.6063'!$A$2:$A$17,0))),"not_applicable"),"")</f>
        <v/>
      </c>
      <c r="N82" s="15">
        <f>IFERROR(IF(AND(K82="retain",L82="statistical_results"),IF(INDEX('C_jama.2024.6063'!$I$2:$I$17,MATCH(C82,'C_jama.2024.6063'!$A$2:$A$17,0))="","",INDEX('C_jama.2024.6063'!$I$2:$I$17,MATCH(C82,'C_jama.2024.6063'!$A$2:$A$17,0))),"not_applicable"),"")</f>
        <v/>
      </c>
      <c r="O82" s="15">
        <f>IFERROR(IF(AND(K82="retain",L82="statistical_results"),IF(INDEX('C_jama.2024.6063'!$J$2:$J$17,MATCH(C82,'C_jama.2024.6063'!$A$2:$A$17,0))="","",INDEX('C_jama.2024.6063'!$J$2:$J$17,MATCH(C82,'C_jama.2024.6063'!$A$2:$A$17,0))),"not_applicable"),"")</f>
        <v/>
      </c>
      <c r="P82" s="15">
        <f>IFERROR(IF(AND(K82="retain",OR(L82="report_internal_inconsistency",L82="plan_material")),IF(INDEX('C_jama.2024.6063'!$K$2:$K$17,MATCH(C82,'C_jama.2024.6063'!$A$2:$A$17,0))="","",INDEX('C_jama.2024.6063'!$K$2:$K$17,MATCH(C82,'C_jama.2024.6063'!$A$2:$A$17,0))),"not_applicable"),"")</f>
        <v/>
      </c>
      <c r="Q82" s="15">
        <f>IFERROR(IF(AND(K82="retain",L82="protocol_report"),IF(INDEX('C_jama.2024.6063'!$L$2:$L$17,MATCH(C82,'C_jama.2024.6063'!$A$2:$A$17,0))="","",INDEX('C_jama.2024.6063'!$L$2:$L$17,MATCH(C82,'C_jama.2024.6063'!$A$2:$A$17,0))),"not_applicable"),"")</f>
        <v/>
      </c>
      <c r="R82" s="15">
        <f>IFERROR(IF(INDEX('C_jama.2024.6063'!$R$2:$R$17,MATCH(C82,'C_jama.2024.6063'!$A$2:$A$17,0))="","",INDEX('C_jama.2024.6063'!$R$2:$R$17,MATCH(C82,'C_jama.2024.6063'!$A$2:$A$17,0))),"")</f>
        <v/>
      </c>
    </row>
    <row r="83" ht="75" customFormat="1" customHeight="1" s="8">
      <c r="A83" s="16" t="n">
        <v>2024</v>
      </c>
      <c r="B83" s="16" t="inlineStr">
        <is>
          <t>jama.2024.6063</t>
        </is>
      </c>
      <c r="C83" s="16" t="inlineStr">
        <is>
          <t>2024::jama.2024.6063::C007</t>
        </is>
      </c>
      <c r="D83" s="16" t="inlineStr">
        <is>
          <t>S_W</t>
        </is>
      </c>
      <c r="E83" s="16">
        <f>Setup!$B$4</f>
        <v/>
      </c>
      <c r="F83" s="16">
        <f>IF(Setup!$B$2="","",Setup!$B$2)</f>
        <v/>
      </c>
      <c r="G83" s="16">
        <f>IFERROR(INDEX('C_jama.2024.6063'!$G$2:$G$17,MATCH(C83,'C_jama.2024.6063'!$A$2:$A$17,0)),"CHECK KEY")</f>
        <v/>
      </c>
      <c r="H83" s="16">
        <f>IF(OR(G83&lt;&gt;"PRIMARY READY",K83="discuss"),"",IF(K83&lt;&gt;"retain","not_eligible",IF(D83="P_R","protocol_descriptive",IF(D83="P_P","plan_descriptive",IF(AND(OR(D83="S_C",D83="S_W"),L83="statistical_results",OR(M83="confirmed_issue",M83="probable_issue"),N83="substantive"),"primary_temporal",IF(AND(OR(D83="S_C",D83="S_W"),L83="report_internal_inconsistency",P83="substantive_inconsistency"),"secondary_temporal","not_eligible"))))))</f>
        <v/>
      </c>
      <c r="I83" s="16" t="inlineStr">
        <is>
          <t>retain</t>
        </is>
      </c>
      <c r="J83" s="16" t="inlineStr">
        <is>
          <t>statistical_results</t>
        </is>
      </c>
      <c r="K83" s="16">
        <f>IFERROR(IF(INDEX('C_jama.2024.6063'!$D$2:$D$17,MATCH(C83,'C_jama.2024.6063'!$A$2:$A$17,0))="","",INDEX('C_jama.2024.6063'!$D$2:$D$17,MATCH(C83,'C_jama.2024.6063'!$A$2:$A$17,0))),"")</f>
        <v/>
      </c>
      <c r="L83" s="16">
        <f>IFERROR(IF(INDEX('C_jama.2024.6063'!$E$2:$E$17,MATCH(C83,'C_jama.2024.6063'!$A$2:$A$17,0))="","",INDEX('C_jama.2024.6063'!$E$2:$E$17,MATCH(C83,'C_jama.2024.6063'!$A$2:$A$17,0))),"")</f>
        <v/>
      </c>
      <c r="M83" s="16">
        <f>IFERROR(IF(AND(K83="retain",L83="statistical_results"),IF(INDEX('C_jama.2024.6063'!$H$2:$H$17,MATCH(C83,'C_jama.2024.6063'!$A$2:$A$17,0))="","",INDEX('C_jama.2024.6063'!$H$2:$H$17,MATCH(C83,'C_jama.2024.6063'!$A$2:$A$17,0))),"not_applicable"),"")</f>
        <v/>
      </c>
      <c r="N83" s="16">
        <f>IFERROR(IF(AND(K83="retain",L83="statistical_results"),IF(INDEX('C_jama.2024.6063'!$I$2:$I$17,MATCH(C83,'C_jama.2024.6063'!$A$2:$A$17,0))="","",INDEX('C_jama.2024.6063'!$I$2:$I$17,MATCH(C83,'C_jama.2024.6063'!$A$2:$A$17,0))),"not_applicable"),"")</f>
        <v/>
      </c>
      <c r="O83" s="16">
        <f>IFERROR(IF(AND(K83="retain",L83="statistical_results"),IF(INDEX('C_jama.2024.6063'!$J$2:$J$17,MATCH(C83,'C_jama.2024.6063'!$A$2:$A$17,0))="","",INDEX('C_jama.2024.6063'!$J$2:$J$17,MATCH(C83,'C_jama.2024.6063'!$A$2:$A$17,0))),"not_applicable"),"")</f>
        <v/>
      </c>
      <c r="P83" s="16">
        <f>IFERROR(IF(AND(K83="retain",OR(L83="report_internal_inconsistency",L83="plan_material")),IF(INDEX('C_jama.2024.6063'!$K$2:$K$17,MATCH(C83,'C_jama.2024.6063'!$A$2:$A$17,0))="","",INDEX('C_jama.2024.6063'!$K$2:$K$17,MATCH(C83,'C_jama.2024.6063'!$A$2:$A$17,0))),"not_applicable"),"")</f>
        <v/>
      </c>
      <c r="Q83" s="16">
        <f>IFERROR(IF(AND(K83="retain",L83="protocol_report"),IF(INDEX('C_jama.2024.6063'!$L$2:$L$17,MATCH(C83,'C_jama.2024.6063'!$A$2:$A$17,0))="","",INDEX('C_jama.2024.6063'!$L$2:$L$17,MATCH(C83,'C_jama.2024.6063'!$A$2:$A$17,0))),"not_applicable"),"")</f>
        <v/>
      </c>
      <c r="R83" s="16">
        <f>IFERROR(IF(INDEX('C_jama.2024.6063'!$R$2:$R$17,MATCH(C83,'C_jama.2024.6063'!$A$2:$A$17,0))="","",INDEX('C_jama.2024.6063'!$R$2:$R$17,MATCH(C83,'C_jama.2024.6063'!$A$2:$A$17,0))),"")</f>
        <v/>
      </c>
    </row>
    <row r="84" ht="75" customFormat="1" customHeight="1" s="8">
      <c r="A84" s="15" t="n">
        <v>2024</v>
      </c>
      <c r="B84" s="15" t="inlineStr">
        <is>
          <t>jama.2024.6063</t>
        </is>
      </c>
      <c r="C84" s="15" t="inlineStr">
        <is>
          <t>2024::jama.2024.6063::C008</t>
        </is>
      </c>
      <c r="D84" s="15" t="inlineStr">
        <is>
          <t>S_W</t>
        </is>
      </c>
      <c r="E84" s="15">
        <f>Setup!$B$4</f>
        <v/>
      </c>
      <c r="F84" s="15">
        <f>IF(Setup!$B$2="","",Setup!$B$2)</f>
        <v/>
      </c>
      <c r="G84" s="15">
        <f>IFERROR(INDEX('C_jama.2024.6063'!$G$2:$G$17,MATCH(C84,'C_jama.2024.6063'!$A$2:$A$17,0)),"CHECK KEY")</f>
        <v/>
      </c>
      <c r="H84" s="15">
        <f>IF(OR(G84&lt;&gt;"PRIMARY READY",K84="discuss"),"",IF(K84&lt;&gt;"retain","not_eligible",IF(D84="P_R","protocol_descriptive",IF(D84="P_P","plan_descriptive",IF(AND(OR(D84="S_C",D84="S_W"),L84="statistical_results",OR(M84="confirmed_issue",M84="probable_issue"),N84="substantive"),"primary_temporal",IF(AND(OR(D84="S_C",D84="S_W"),L84="report_internal_inconsistency",P84="substantive_inconsistency"),"secondary_temporal","not_eligible"))))))</f>
        <v/>
      </c>
      <c r="I84" s="15" t="inlineStr">
        <is>
          <t>retain</t>
        </is>
      </c>
      <c r="J84" s="15" t="inlineStr">
        <is>
          <t>statistical_results</t>
        </is>
      </c>
      <c r="K84" s="15">
        <f>IFERROR(IF(INDEX('C_jama.2024.6063'!$D$2:$D$17,MATCH(C84,'C_jama.2024.6063'!$A$2:$A$17,0))="","",INDEX('C_jama.2024.6063'!$D$2:$D$17,MATCH(C84,'C_jama.2024.6063'!$A$2:$A$17,0))),"")</f>
        <v/>
      </c>
      <c r="L84" s="15">
        <f>IFERROR(IF(INDEX('C_jama.2024.6063'!$E$2:$E$17,MATCH(C84,'C_jama.2024.6063'!$A$2:$A$17,0))="","",INDEX('C_jama.2024.6063'!$E$2:$E$17,MATCH(C84,'C_jama.2024.6063'!$A$2:$A$17,0))),"")</f>
        <v/>
      </c>
      <c r="M84" s="15">
        <f>IFERROR(IF(AND(K84="retain",L84="statistical_results"),IF(INDEX('C_jama.2024.6063'!$H$2:$H$17,MATCH(C84,'C_jama.2024.6063'!$A$2:$A$17,0))="","",INDEX('C_jama.2024.6063'!$H$2:$H$17,MATCH(C84,'C_jama.2024.6063'!$A$2:$A$17,0))),"not_applicable"),"")</f>
        <v/>
      </c>
      <c r="N84" s="15">
        <f>IFERROR(IF(AND(K84="retain",L84="statistical_results"),IF(INDEX('C_jama.2024.6063'!$I$2:$I$17,MATCH(C84,'C_jama.2024.6063'!$A$2:$A$17,0))="","",INDEX('C_jama.2024.6063'!$I$2:$I$17,MATCH(C84,'C_jama.2024.6063'!$A$2:$A$17,0))),"not_applicable"),"")</f>
        <v/>
      </c>
      <c r="O84" s="15">
        <f>IFERROR(IF(AND(K84="retain",L84="statistical_results"),IF(INDEX('C_jama.2024.6063'!$J$2:$J$17,MATCH(C84,'C_jama.2024.6063'!$A$2:$A$17,0))="","",INDEX('C_jama.2024.6063'!$J$2:$J$17,MATCH(C84,'C_jama.2024.6063'!$A$2:$A$17,0))),"not_applicable"),"")</f>
        <v/>
      </c>
      <c r="P84" s="15">
        <f>IFERROR(IF(AND(K84="retain",OR(L84="report_internal_inconsistency",L84="plan_material")),IF(INDEX('C_jama.2024.6063'!$K$2:$K$17,MATCH(C84,'C_jama.2024.6063'!$A$2:$A$17,0))="","",INDEX('C_jama.2024.6063'!$K$2:$K$17,MATCH(C84,'C_jama.2024.6063'!$A$2:$A$17,0))),"not_applicable"),"")</f>
        <v/>
      </c>
      <c r="Q84" s="15">
        <f>IFERROR(IF(AND(K84="retain",L84="protocol_report"),IF(INDEX('C_jama.2024.6063'!$L$2:$L$17,MATCH(C84,'C_jama.2024.6063'!$A$2:$A$17,0))="","",INDEX('C_jama.2024.6063'!$L$2:$L$17,MATCH(C84,'C_jama.2024.6063'!$A$2:$A$17,0))),"not_applicable"),"")</f>
        <v/>
      </c>
      <c r="R84" s="15">
        <f>IFERROR(IF(INDEX('C_jama.2024.6063'!$R$2:$R$17,MATCH(C84,'C_jama.2024.6063'!$A$2:$A$17,0))="","",INDEX('C_jama.2024.6063'!$R$2:$R$17,MATCH(C84,'C_jama.2024.6063'!$A$2:$A$17,0))),"")</f>
        <v/>
      </c>
    </row>
    <row r="85" ht="75" customFormat="1" customHeight="1" s="8">
      <c r="A85" s="16" t="n">
        <v>2024</v>
      </c>
      <c r="B85" s="16" t="inlineStr">
        <is>
          <t>jama.2024.6063</t>
        </is>
      </c>
      <c r="C85" s="16" t="inlineStr">
        <is>
          <t>2024::jama.2024.6063::C009</t>
        </is>
      </c>
      <c r="D85" s="16" t="inlineStr">
        <is>
          <t>S_W</t>
        </is>
      </c>
      <c r="E85" s="16">
        <f>Setup!$B$4</f>
        <v/>
      </c>
      <c r="F85" s="16">
        <f>IF(Setup!$B$2="","",Setup!$B$2)</f>
        <v/>
      </c>
      <c r="G85" s="16">
        <f>IFERROR(INDEX('C_jama.2024.6063'!$G$2:$G$17,MATCH(C85,'C_jama.2024.6063'!$A$2:$A$17,0)),"CHECK KEY")</f>
        <v/>
      </c>
      <c r="H85" s="16">
        <f>IF(OR(G85&lt;&gt;"PRIMARY READY",K85="discuss"),"",IF(K85&lt;&gt;"retain","not_eligible",IF(D85="P_R","protocol_descriptive",IF(D85="P_P","plan_descriptive",IF(AND(OR(D85="S_C",D85="S_W"),L85="statistical_results",OR(M85="confirmed_issue",M85="probable_issue"),N85="substantive"),"primary_temporal",IF(AND(OR(D85="S_C",D85="S_W"),L85="report_internal_inconsistency",P85="substantive_inconsistency"),"secondary_temporal","not_eligible"))))))</f>
        <v/>
      </c>
      <c r="I85" s="16" t="inlineStr">
        <is>
          <t>retain</t>
        </is>
      </c>
      <c r="J85" s="16" t="inlineStr">
        <is>
          <t>statistical_results</t>
        </is>
      </c>
      <c r="K85" s="16">
        <f>IFERROR(IF(INDEX('C_jama.2024.6063'!$D$2:$D$17,MATCH(C85,'C_jama.2024.6063'!$A$2:$A$17,0))="","",INDEX('C_jama.2024.6063'!$D$2:$D$17,MATCH(C85,'C_jama.2024.6063'!$A$2:$A$17,0))),"")</f>
        <v/>
      </c>
      <c r="L85" s="16">
        <f>IFERROR(IF(INDEX('C_jama.2024.6063'!$E$2:$E$17,MATCH(C85,'C_jama.2024.6063'!$A$2:$A$17,0))="","",INDEX('C_jama.2024.6063'!$E$2:$E$17,MATCH(C85,'C_jama.2024.6063'!$A$2:$A$17,0))),"")</f>
        <v/>
      </c>
      <c r="M85" s="16">
        <f>IFERROR(IF(AND(K85="retain",L85="statistical_results"),IF(INDEX('C_jama.2024.6063'!$H$2:$H$17,MATCH(C85,'C_jama.2024.6063'!$A$2:$A$17,0))="","",INDEX('C_jama.2024.6063'!$H$2:$H$17,MATCH(C85,'C_jama.2024.6063'!$A$2:$A$17,0))),"not_applicable"),"")</f>
        <v/>
      </c>
      <c r="N85" s="16">
        <f>IFERROR(IF(AND(K85="retain",L85="statistical_results"),IF(INDEX('C_jama.2024.6063'!$I$2:$I$17,MATCH(C85,'C_jama.2024.6063'!$A$2:$A$17,0))="","",INDEX('C_jama.2024.6063'!$I$2:$I$17,MATCH(C85,'C_jama.2024.6063'!$A$2:$A$17,0))),"not_applicable"),"")</f>
        <v/>
      </c>
      <c r="O85" s="16">
        <f>IFERROR(IF(AND(K85="retain",L85="statistical_results"),IF(INDEX('C_jama.2024.6063'!$J$2:$J$17,MATCH(C85,'C_jama.2024.6063'!$A$2:$A$17,0))="","",INDEX('C_jama.2024.6063'!$J$2:$J$17,MATCH(C85,'C_jama.2024.6063'!$A$2:$A$17,0))),"not_applicable"),"")</f>
        <v/>
      </c>
      <c r="P85" s="16">
        <f>IFERROR(IF(AND(K85="retain",OR(L85="report_internal_inconsistency",L85="plan_material")),IF(INDEX('C_jama.2024.6063'!$K$2:$K$17,MATCH(C85,'C_jama.2024.6063'!$A$2:$A$17,0))="","",INDEX('C_jama.2024.6063'!$K$2:$K$17,MATCH(C85,'C_jama.2024.6063'!$A$2:$A$17,0))),"not_applicable"),"")</f>
        <v/>
      </c>
      <c r="Q85" s="16">
        <f>IFERROR(IF(AND(K85="retain",L85="protocol_report"),IF(INDEX('C_jama.2024.6063'!$L$2:$L$17,MATCH(C85,'C_jama.2024.6063'!$A$2:$A$17,0))="","",INDEX('C_jama.2024.6063'!$L$2:$L$17,MATCH(C85,'C_jama.2024.6063'!$A$2:$A$17,0))),"not_applicable"),"")</f>
        <v/>
      </c>
      <c r="R85" s="16">
        <f>IFERROR(IF(INDEX('C_jama.2024.6063'!$R$2:$R$17,MATCH(C85,'C_jama.2024.6063'!$A$2:$A$17,0))="","",INDEX('C_jama.2024.6063'!$R$2:$R$17,MATCH(C85,'C_jama.2024.6063'!$A$2:$A$17,0))),"")</f>
        <v/>
      </c>
    </row>
    <row r="86" ht="75" customFormat="1" customHeight="1" s="8">
      <c r="A86" s="15" t="n">
        <v>2024</v>
      </c>
      <c r="B86" s="15" t="inlineStr">
        <is>
          <t>jama.2024.6063</t>
        </is>
      </c>
      <c r="C86" s="15" t="inlineStr">
        <is>
          <t>2024::jama.2024.6063::C010</t>
        </is>
      </c>
      <c r="D86" s="15" t="inlineStr">
        <is>
          <t>S_W</t>
        </is>
      </c>
      <c r="E86" s="15">
        <f>Setup!$B$4</f>
        <v/>
      </c>
      <c r="F86" s="15">
        <f>IF(Setup!$B$2="","",Setup!$B$2)</f>
        <v/>
      </c>
      <c r="G86" s="15">
        <f>IFERROR(INDEX('C_jama.2024.6063'!$G$2:$G$17,MATCH(C86,'C_jama.2024.6063'!$A$2:$A$17,0)),"CHECK KEY")</f>
        <v/>
      </c>
      <c r="H86" s="15">
        <f>IF(OR(G86&lt;&gt;"PRIMARY READY",K86="discuss"),"",IF(K86&lt;&gt;"retain","not_eligible",IF(D86="P_R","protocol_descriptive",IF(D86="P_P","plan_descriptive",IF(AND(OR(D86="S_C",D86="S_W"),L86="statistical_results",OR(M86="confirmed_issue",M86="probable_issue"),N86="substantive"),"primary_temporal",IF(AND(OR(D86="S_C",D86="S_W"),L86="report_internal_inconsistency",P86="substantive_inconsistency"),"secondary_temporal","not_eligible"))))))</f>
        <v/>
      </c>
      <c r="I86" s="15" t="inlineStr">
        <is>
          <t>retain</t>
        </is>
      </c>
      <c r="J86" s="15" t="inlineStr">
        <is>
          <t>statistical_results</t>
        </is>
      </c>
      <c r="K86" s="15">
        <f>IFERROR(IF(INDEX('C_jama.2024.6063'!$D$2:$D$17,MATCH(C86,'C_jama.2024.6063'!$A$2:$A$17,0))="","",INDEX('C_jama.2024.6063'!$D$2:$D$17,MATCH(C86,'C_jama.2024.6063'!$A$2:$A$17,0))),"")</f>
        <v/>
      </c>
      <c r="L86" s="15">
        <f>IFERROR(IF(INDEX('C_jama.2024.6063'!$E$2:$E$17,MATCH(C86,'C_jama.2024.6063'!$A$2:$A$17,0))="","",INDEX('C_jama.2024.6063'!$E$2:$E$17,MATCH(C86,'C_jama.2024.6063'!$A$2:$A$17,0))),"")</f>
        <v/>
      </c>
      <c r="M86" s="15">
        <f>IFERROR(IF(AND(K86="retain",L86="statistical_results"),IF(INDEX('C_jama.2024.6063'!$H$2:$H$17,MATCH(C86,'C_jama.2024.6063'!$A$2:$A$17,0))="","",INDEX('C_jama.2024.6063'!$H$2:$H$17,MATCH(C86,'C_jama.2024.6063'!$A$2:$A$17,0))),"not_applicable"),"")</f>
        <v/>
      </c>
      <c r="N86" s="15">
        <f>IFERROR(IF(AND(K86="retain",L86="statistical_results"),IF(INDEX('C_jama.2024.6063'!$I$2:$I$17,MATCH(C86,'C_jama.2024.6063'!$A$2:$A$17,0))="","",INDEX('C_jama.2024.6063'!$I$2:$I$17,MATCH(C86,'C_jama.2024.6063'!$A$2:$A$17,0))),"not_applicable"),"")</f>
        <v/>
      </c>
      <c r="O86" s="15">
        <f>IFERROR(IF(AND(K86="retain",L86="statistical_results"),IF(INDEX('C_jama.2024.6063'!$J$2:$J$17,MATCH(C86,'C_jama.2024.6063'!$A$2:$A$17,0))="","",INDEX('C_jama.2024.6063'!$J$2:$J$17,MATCH(C86,'C_jama.2024.6063'!$A$2:$A$17,0))),"not_applicable"),"")</f>
        <v/>
      </c>
      <c r="P86" s="15">
        <f>IFERROR(IF(AND(K86="retain",OR(L86="report_internal_inconsistency",L86="plan_material")),IF(INDEX('C_jama.2024.6063'!$K$2:$K$17,MATCH(C86,'C_jama.2024.6063'!$A$2:$A$17,0))="","",INDEX('C_jama.2024.6063'!$K$2:$K$17,MATCH(C86,'C_jama.2024.6063'!$A$2:$A$17,0))),"not_applicable"),"")</f>
        <v/>
      </c>
      <c r="Q86" s="15">
        <f>IFERROR(IF(AND(K86="retain",L86="protocol_report"),IF(INDEX('C_jama.2024.6063'!$L$2:$L$17,MATCH(C86,'C_jama.2024.6063'!$A$2:$A$17,0))="","",INDEX('C_jama.2024.6063'!$L$2:$L$17,MATCH(C86,'C_jama.2024.6063'!$A$2:$A$17,0))),"not_applicable"),"")</f>
        <v/>
      </c>
      <c r="R86" s="15">
        <f>IFERROR(IF(INDEX('C_jama.2024.6063'!$R$2:$R$17,MATCH(C86,'C_jama.2024.6063'!$A$2:$A$17,0))="","",INDEX('C_jama.2024.6063'!$R$2:$R$17,MATCH(C86,'C_jama.2024.6063'!$A$2:$A$17,0))),"")</f>
        <v/>
      </c>
    </row>
    <row r="87" ht="75" customFormat="1" customHeight="1" s="8">
      <c r="A87" s="16" t="n">
        <v>2024</v>
      </c>
      <c r="B87" s="16" t="inlineStr">
        <is>
          <t>jama.2024.6063</t>
        </is>
      </c>
      <c r="C87" s="16" t="inlineStr">
        <is>
          <t>2024::jama.2024.6063::C011</t>
        </is>
      </c>
      <c r="D87" s="16" t="inlineStr">
        <is>
          <t>S_W</t>
        </is>
      </c>
      <c r="E87" s="16">
        <f>Setup!$B$4</f>
        <v/>
      </c>
      <c r="F87" s="16">
        <f>IF(Setup!$B$2="","",Setup!$B$2)</f>
        <v/>
      </c>
      <c r="G87" s="16">
        <f>IFERROR(INDEX('C_jama.2024.6063'!$G$2:$G$17,MATCH(C87,'C_jama.2024.6063'!$A$2:$A$17,0)),"CHECK KEY")</f>
        <v/>
      </c>
      <c r="H87" s="16">
        <f>IF(OR(G87&lt;&gt;"PRIMARY READY",K87="discuss"),"",IF(K87&lt;&gt;"retain","not_eligible",IF(D87="P_R","protocol_descriptive",IF(D87="P_P","plan_descriptive",IF(AND(OR(D87="S_C",D87="S_W"),L87="statistical_results",OR(M87="confirmed_issue",M87="probable_issue"),N87="substantive"),"primary_temporal",IF(AND(OR(D87="S_C",D87="S_W"),L87="report_internal_inconsistency",P87="substantive_inconsistency"),"secondary_temporal","not_eligible"))))))</f>
        <v/>
      </c>
      <c r="I87" s="16" t="inlineStr">
        <is>
          <t>retain</t>
        </is>
      </c>
      <c r="J87" s="16" t="inlineStr">
        <is>
          <t>statistical_results</t>
        </is>
      </c>
      <c r="K87" s="16">
        <f>IFERROR(IF(INDEX('C_jama.2024.6063'!$D$2:$D$17,MATCH(C87,'C_jama.2024.6063'!$A$2:$A$17,0))="","",INDEX('C_jama.2024.6063'!$D$2:$D$17,MATCH(C87,'C_jama.2024.6063'!$A$2:$A$17,0))),"")</f>
        <v/>
      </c>
      <c r="L87" s="16">
        <f>IFERROR(IF(INDEX('C_jama.2024.6063'!$E$2:$E$17,MATCH(C87,'C_jama.2024.6063'!$A$2:$A$17,0))="","",INDEX('C_jama.2024.6063'!$E$2:$E$17,MATCH(C87,'C_jama.2024.6063'!$A$2:$A$17,0))),"")</f>
        <v/>
      </c>
      <c r="M87" s="16">
        <f>IFERROR(IF(AND(K87="retain",L87="statistical_results"),IF(INDEX('C_jama.2024.6063'!$H$2:$H$17,MATCH(C87,'C_jama.2024.6063'!$A$2:$A$17,0))="","",INDEX('C_jama.2024.6063'!$H$2:$H$17,MATCH(C87,'C_jama.2024.6063'!$A$2:$A$17,0))),"not_applicable"),"")</f>
        <v/>
      </c>
      <c r="N87" s="16">
        <f>IFERROR(IF(AND(K87="retain",L87="statistical_results"),IF(INDEX('C_jama.2024.6063'!$I$2:$I$17,MATCH(C87,'C_jama.2024.6063'!$A$2:$A$17,0))="","",INDEX('C_jama.2024.6063'!$I$2:$I$17,MATCH(C87,'C_jama.2024.6063'!$A$2:$A$17,0))),"not_applicable"),"")</f>
        <v/>
      </c>
      <c r="O87" s="16">
        <f>IFERROR(IF(AND(K87="retain",L87="statistical_results"),IF(INDEX('C_jama.2024.6063'!$J$2:$J$17,MATCH(C87,'C_jama.2024.6063'!$A$2:$A$17,0))="","",INDEX('C_jama.2024.6063'!$J$2:$J$17,MATCH(C87,'C_jama.2024.6063'!$A$2:$A$17,0))),"not_applicable"),"")</f>
        <v/>
      </c>
      <c r="P87" s="16">
        <f>IFERROR(IF(AND(K87="retain",OR(L87="report_internal_inconsistency",L87="plan_material")),IF(INDEX('C_jama.2024.6063'!$K$2:$K$17,MATCH(C87,'C_jama.2024.6063'!$A$2:$A$17,0))="","",INDEX('C_jama.2024.6063'!$K$2:$K$17,MATCH(C87,'C_jama.2024.6063'!$A$2:$A$17,0))),"not_applicable"),"")</f>
        <v/>
      </c>
      <c r="Q87" s="16">
        <f>IFERROR(IF(AND(K87="retain",L87="protocol_report"),IF(INDEX('C_jama.2024.6063'!$L$2:$L$17,MATCH(C87,'C_jama.2024.6063'!$A$2:$A$17,0))="","",INDEX('C_jama.2024.6063'!$L$2:$L$17,MATCH(C87,'C_jama.2024.6063'!$A$2:$A$17,0))),"not_applicable"),"")</f>
        <v/>
      </c>
      <c r="R87" s="16">
        <f>IFERROR(IF(INDEX('C_jama.2024.6063'!$R$2:$R$17,MATCH(C87,'C_jama.2024.6063'!$A$2:$A$17,0))="","",INDEX('C_jama.2024.6063'!$R$2:$R$17,MATCH(C87,'C_jama.2024.6063'!$A$2:$A$17,0))),"")</f>
        <v/>
      </c>
    </row>
    <row r="88" ht="75" customFormat="1" customHeight="1" s="8">
      <c r="A88" s="15" t="n">
        <v>2024</v>
      </c>
      <c r="B88" s="15" t="inlineStr">
        <is>
          <t>jama.2024.6063</t>
        </is>
      </c>
      <c r="C88" s="15" t="inlineStr">
        <is>
          <t>2024::jama.2024.6063::C012</t>
        </is>
      </c>
      <c r="D88" s="15" t="inlineStr">
        <is>
          <t>S_C</t>
        </is>
      </c>
      <c r="E88" s="15">
        <f>Setup!$B$4</f>
        <v/>
      </c>
      <c r="F88" s="15">
        <f>IF(Setup!$B$2="","",Setup!$B$2)</f>
        <v/>
      </c>
      <c r="G88" s="15">
        <f>IFERROR(INDEX('C_jama.2024.6063'!$G$2:$G$17,MATCH(C88,'C_jama.2024.6063'!$A$2:$A$17,0)),"CHECK KEY")</f>
        <v/>
      </c>
      <c r="H88" s="15">
        <f>IF(OR(G88&lt;&gt;"PRIMARY READY",K88="discuss"),"",IF(K88&lt;&gt;"retain","not_eligible",IF(D88="P_R","protocol_descriptive",IF(D88="P_P","plan_descriptive",IF(AND(OR(D88="S_C",D88="S_W"),L88="statistical_results",OR(M88="confirmed_issue",M88="probable_issue"),N88="substantive"),"primary_temporal",IF(AND(OR(D88="S_C",D88="S_W"),L88="report_internal_inconsistency",P88="substantive_inconsistency"),"secondary_temporal","not_eligible"))))))</f>
        <v/>
      </c>
      <c r="I88" s="15" t="inlineStr">
        <is>
          <t>retain</t>
        </is>
      </c>
      <c r="J88" s="15" t="inlineStr">
        <is>
          <t>report_internal_inconsistency</t>
        </is>
      </c>
      <c r="K88" s="15">
        <f>IFERROR(IF(INDEX('C_jama.2024.6063'!$D$2:$D$17,MATCH(C88,'C_jama.2024.6063'!$A$2:$A$17,0))="","",INDEX('C_jama.2024.6063'!$D$2:$D$17,MATCH(C88,'C_jama.2024.6063'!$A$2:$A$17,0))),"")</f>
        <v/>
      </c>
      <c r="L88" s="15">
        <f>IFERROR(IF(INDEX('C_jama.2024.6063'!$E$2:$E$17,MATCH(C88,'C_jama.2024.6063'!$A$2:$A$17,0))="","",INDEX('C_jama.2024.6063'!$E$2:$E$17,MATCH(C88,'C_jama.2024.6063'!$A$2:$A$17,0))),"")</f>
        <v/>
      </c>
      <c r="M88" s="15">
        <f>IFERROR(IF(AND(K88="retain",L88="statistical_results"),IF(INDEX('C_jama.2024.6063'!$H$2:$H$17,MATCH(C88,'C_jama.2024.6063'!$A$2:$A$17,0))="","",INDEX('C_jama.2024.6063'!$H$2:$H$17,MATCH(C88,'C_jama.2024.6063'!$A$2:$A$17,0))),"not_applicable"),"")</f>
        <v/>
      </c>
      <c r="N88" s="15">
        <f>IFERROR(IF(AND(K88="retain",L88="statistical_results"),IF(INDEX('C_jama.2024.6063'!$I$2:$I$17,MATCH(C88,'C_jama.2024.6063'!$A$2:$A$17,0))="","",INDEX('C_jama.2024.6063'!$I$2:$I$17,MATCH(C88,'C_jama.2024.6063'!$A$2:$A$17,0))),"not_applicable"),"")</f>
        <v/>
      </c>
      <c r="O88" s="15">
        <f>IFERROR(IF(AND(K88="retain",L88="statistical_results"),IF(INDEX('C_jama.2024.6063'!$J$2:$J$17,MATCH(C88,'C_jama.2024.6063'!$A$2:$A$17,0))="","",INDEX('C_jama.2024.6063'!$J$2:$J$17,MATCH(C88,'C_jama.2024.6063'!$A$2:$A$17,0))),"not_applicable"),"")</f>
        <v/>
      </c>
      <c r="P88" s="15">
        <f>IFERROR(IF(AND(K88="retain",OR(L88="report_internal_inconsistency",L88="plan_material")),IF(INDEX('C_jama.2024.6063'!$K$2:$K$17,MATCH(C88,'C_jama.2024.6063'!$A$2:$A$17,0))="","",INDEX('C_jama.2024.6063'!$K$2:$K$17,MATCH(C88,'C_jama.2024.6063'!$A$2:$A$17,0))),"not_applicable"),"")</f>
        <v/>
      </c>
      <c r="Q88" s="15">
        <f>IFERROR(IF(AND(K88="retain",L88="protocol_report"),IF(INDEX('C_jama.2024.6063'!$L$2:$L$17,MATCH(C88,'C_jama.2024.6063'!$A$2:$A$17,0))="","",INDEX('C_jama.2024.6063'!$L$2:$L$17,MATCH(C88,'C_jama.2024.6063'!$A$2:$A$17,0))),"not_applicable"),"")</f>
        <v/>
      </c>
      <c r="R88" s="15">
        <f>IFERROR(IF(INDEX('C_jama.2024.6063'!$R$2:$R$17,MATCH(C88,'C_jama.2024.6063'!$A$2:$A$17,0))="","",INDEX('C_jama.2024.6063'!$R$2:$R$17,MATCH(C88,'C_jama.2024.6063'!$A$2:$A$17,0))),"")</f>
        <v/>
      </c>
    </row>
    <row r="89" ht="75" customFormat="1" customHeight="1" s="8">
      <c r="A89" s="16" t="n">
        <v>2024</v>
      </c>
      <c r="B89" s="16" t="inlineStr">
        <is>
          <t>jama.2024.6063</t>
        </is>
      </c>
      <c r="C89" s="16" t="inlineStr">
        <is>
          <t>2024::jama.2024.6063::C013</t>
        </is>
      </c>
      <c r="D89" s="16" t="inlineStr">
        <is>
          <t>S_C</t>
        </is>
      </c>
      <c r="E89" s="16">
        <f>Setup!$B$4</f>
        <v/>
      </c>
      <c r="F89" s="16">
        <f>IF(Setup!$B$2="","",Setup!$B$2)</f>
        <v/>
      </c>
      <c r="G89" s="16">
        <f>IFERROR(INDEX('C_jama.2024.6063'!$G$2:$G$17,MATCH(C89,'C_jama.2024.6063'!$A$2:$A$17,0)),"CHECK KEY")</f>
        <v/>
      </c>
      <c r="H89" s="16">
        <f>IF(OR(G89&lt;&gt;"PRIMARY READY",K89="discuss"),"",IF(K89&lt;&gt;"retain","not_eligible",IF(D89="P_R","protocol_descriptive",IF(D89="P_P","plan_descriptive",IF(AND(OR(D89="S_C",D89="S_W"),L89="statistical_results",OR(M89="confirmed_issue",M89="probable_issue"),N89="substantive"),"primary_temporal",IF(AND(OR(D89="S_C",D89="S_W"),L89="report_internal_inconsistency",P89="substantive_inconsistency"),"secondary_temporal","not_eligible"))))))</f>
        <v/>
      </c>
      <c r="I89" s="16" t="inlineStr">
        <is>
          <t>retain</t>
        </is>
      </c>
      <c r="J89" s="16" t="inlineStr">
        <is>
          <t>report_internal_inconsistency</t>
        </is>
      </c>
      <c r="K89" s="16">
        <f>IFERROR(IF(INDEX('C_jama.2024.6063'!$D$2:$D$17,MATCH(C89,'C_jama.2024.6063'!$A$2:$A$17,0))="","",INDEX('C_jama.2024.6063'!$D$2:$D$17,MATCH(C89,'C_jama.2024.6063'!$A$2:$A$17,0))),"")</f>
        <v/>
      </c>
      <c r="L89" s="16">
        <f>IFERROR(IF(INDEX('C_jama.2024.6063'!$E$2:$E$17,MATCH(C89,'C_jama.2024.6063'!$A$2:$A$17,0))="","",INDEX('C_jama.2024.6063'!$E$2:$E$17,MATCH(C89,'C_jama.2024.6063'!$A$2:$A$17,0))),"")</f>
        <v/>
      </c>
      <c r="M89" s="16">
        <f>IFERROR(IF(AND(K89="retain",L89="statistical_results"),IF(INDEX('C_jama.2024.6063'!$H$2:$H$17,MATCH(C89,'C_jama.2024.6063'!$A$2:$A$17,0))="","",INDEX('C_jama.2024.6063'!$H$2:$H$17,MATCH(C89,'C_jama.2024.6063'!$A$2:$A$17,0))),"not_applicable"),"")</f>
        <v/>
      </c>
      <c r="N89" s="16">
        <f>IFERROR(IF(AND(K89="retain",L89="statistical_results"),IF(INDEX('C_jama.2024.6063'!$I$2:$I$17,MATCH(C89,'C_jama.2024.6063'!$A$2:$A$17,0))="","",INDEX('C_jama.2024.6063'!$I$2:$I$17,MATCH(C89,'C_jama.2024.6063'!$A$2:$A$17,0))),"not_applicable"),"")</f>
        <v/>
      </c>
      <c r="O89" s="16">
        <f>IFERROR(IF(AND(K89="retain",L89="statistical_results"),IF(INDEX('C_jama.2024.6063'!$J$2:$J$17,MATCH(C89,'C_jama.2024.6063'!$A$2:$A$17,0))="","",INDEX('C_jama.2024.6063'!$J$2:$J$17,MATCH(C89,'C_jama.2024.6063'!$A$2:$A$17,0))),"not_applicable"),"")</f>
        <v/>
      </c>
      <c r="P89" s="16">
        <f>IFERROR(IF(AND(K89="retain",OR(L89="report_internal_inconsistency",L89="plan_material")),IF(INDEX('C_jama.2024.6063'!$K$2:$K$17,MATCH(C89,'C_jama.2024.6063'!$A$2:$A$17,0))="","",INDEX('C_jama.2024.6063'!$K$2:$K$17,MATCH(C89,'C_jama.2024.6063'!$A$2:$A$17,0))),"not_applicable"),"")</f>
        <v/>
      </c>
      <c r="Q89" s="16">
        <f>IFERROR(IF(AND(K89="retain",L89="protocol_report"),IF(INDEX('C_jama.2024.6063'!$L$2:$L$17,MATCH(C89,'C_jama.2024.6063'!$A$2:$A$17,0))="","",INDEX('C_jama.2024.6063'!$L$2:$L$17,MATCH(C89,'C_jama.2024.6063'!$A$2:$A$17,0))),"not_applicable"),"")</f>
        <v/>
      </c>
      <c r="R89" s="16">
        <f>IFERROR(IF(INDEX('C_jama.2024.6063'!$R$2:$R$17,MATCH(C89,'C_jama.2024.6063'!$A$2:$A$17,0))="","",INDEX('C_jama.2024.6063'!$R$2:$R$17,MATCH(C89,'C_jama.2024.6063'!$A$2:$A$17,0))),"")</f>
        <v/>
      </c>
    </row>
    <row r="90" ht="75" customFormat="1" customHeight="1" s="8">
      <c r="A90" s="15" t="n">
        <v>2024</v>
      </c>
      <c r="B90" s="15" t="inlineStr">
        <is>
          <t>jama.2024.6063</t>
        </is>
      </c>
      <c r="C90" s="15" t="inlineStr">
        <is>
          <t>2024::jama.2024.6063::C014</t>
        </is>
      </c>
      <c r="D90" s="15" t="inlineStr">
        <is>
          <t>S_C</t>
        </is>
      </c>
      <c r="E90" s="15">
        <f>Setup!$B$4</f>
        <v/>
      </c>
      <c r="F90" s="15">
        <f>IF(Setup!$B$2="","",Setup!$B$2)</f>
        <v/>
      </c>
      <c r="G90" s="15">
        <f>IFERROR(INDEX('C_jama.2024.6063'!$G$2:$G$17,MATCH(C90,'C_jama.2024.6063'!$A$2:$A$17,0)),"CHECK KEY")</f>
        <v/>
      </c>
      <c r="H90" s="15">
        <f>IF(OR(G90&lt;&gt;"PRIMARY READY",K90="discuss"),"",IF(K90&lt;&gt;"retain","not_eligible",IF(D90="P_R","protocol_descriptive",IF(D90="P_P","plan_descriptive",IF(AND(OR(D90="S_C",D90="S_W"),L90="statistical_results",OR(M90="confirmed_issue",M90="probable_issue"),N90="substantive"),"primary_temporal",IF(AND(OR(D90="S_C",D90="S_W"),L90="report_internal_inconsistency",P90="substantive_inconsistency"),"secondary_temporal","not_eligible"))))))</f>
        <v/>
      </c>
      <c r="I90" s="15" t="inlineStr">
        <is>
          <t>retain</t>
        </is>
      </c>
      <c r="J90" s="15" t="inlineStr">
        <is>
          <t>report_internal_inconsistency</t>
        </is>
      </c>
      <c r="K90" s="15">
        <f>IFERROR(IF(INDEX('C_jama.2024.6063'!$D$2:$D$17,MATCH(C90,'C_jama.2024.6063'!$A$2:$A$17,0))="","",INDEX('C_jama.2024.6063'!$D$2:$D$17,MATCH(C90,'C_jama.2024.6063'!$A$2:$A$17,0))),"")</f>
        <v/>
      </c>
      <c r="L90" s="15">
        <f>IFERROR(IF(INDEX('C_jama.2024.6063'!$E$2:$E$17,MATCH(C90,'C_jama.2024.6063'!$A$2:$A$17,0))="","",INDEX('C_jama.2024.6063'!$E$2:$E$17,MATCH(C90,'C_jama.2024.6063'!$A$2:$A$17,0))),"")</f>
        <v/>
      </c>
      <c r="M90" s="15">
        <f>IFERROR(IF(AND(K90="retain",L90="statistical_results"),IF(INDEX('C_jama.2024.6063'!$H$2:$H$17,MATCH(C90,'C_jama.2024.6063'!$A$2:$A$17,0))="","",INDEX('C_jama.2024.6063'!$H$2:$H$17,MATCH(C90,'C_jama.2024.6063'!$A$2:$A$17,0))),"not_applicable"),"")</f>
        <v/>
      </c>
      <c r="N90" s="15">
        <f>IFERROR(IF(AND(K90="retain",L90="statistical_results"),IF(INDEX('C_jama.2024.6063'!$I$2:$I$17,MATCH(C90,'C_jama.2024.6063'!$A$2:$A$17,0))="","",INDEX('C_jama.2024.6063'!$I$2:$I$17,MATCH(C90,'C_jama.2024.6063'!$A$2:$A$17,0))),"not_applicable"),"")</f>
        <v/>
      </c>
      <c r="O90" s="15">
        <f>IFERROR(IF(AND(K90="retain",L90="statistical_results"),IF(INDEX('C_jama.2024.6063'!$J$2:$J$17,MATCH(C90,'C_jama.2024.6063'!$A$2:$A$17,0))="","",INDEX('C_jama.2024.6063'!$J$2:$J$17,MATCH(C90,'C_jama.2024.6063'!$A$2:$A$17,0))),"not_applicable"),"")</f>
        <v/>
      </c>
      <c r="P90" s="15">
        <f>IFERROR(IF(AND(K90="retain",OR(L90="report_internal_inconsistency",L90="plan_material")),IF(INDEX('C_jama.2024.6063'!$K$2:$K$17,MATCH(C90,'C_jama.2024.6063'!$A$2:$A$17,0))="","",INDEX('C_jama.2024.6063'!$K$2:$K$17,MATCH(C90,'C_jama.2024.6063'!$A$2:$A$17,0))),"not_applicable"),"")</f>
        <v/>
      </c>
      <c r="Q90" s="15">
        <f>IFERROR(IF(AND(K90="retain",L90="protocol_report"),IF(INDEX('C_jama.2024.6063'!$L$2:$L$17,MATCH(C90,'C_jama.2024.6063'!$A$2:$A$17,0))="","",INDEX('C_jama.2024.6063'!$L$2:$L$17,MATCH(C90,'C_jama.2024.6063'!$A$2:$A$17,0))),"not_applicable"),"")</f>
        <v/>
      </c>
      <c r="R90" s="15">
        <f>IFERROR(IF(INDEX('C_jama.2024.6063'!$R$2:$R$17,MATCH(C90,'C_jama.2024.6063'!$A$2:$A$17,0))="","",INDEX('C_jama.2024.6063'!$R$2:$R$17,MATCH(C90,'C_jama.2024.6063'!$A$2:$A$17,0))),"")</f>
        <v/>
      </c>
    </row>
    <row r="91" ht="75" customFormat="1" customHeight="1" s="8">
      <c r="A91" s="16" t="n">
        <v>2024</v>
      </c>
      <c r="B91" s="16" t="inlineStr">
        <is>
          <t>jama.2024.6063</t>
        </is>
      </c>
      <c r="C91" s="16" t="inlineStr">
        <is>
          <t>2024::jama.2024.6063::C015</t>
        </is>
      </c>
      <c r="D91" s="16" t="inlineStr">
        <is>
          <t>S_C</t>
        </is>
      </c>
      <c r="E91" s="16">
        <f>Setup!$B$4</f>
        <v/>
      </c>
      <c r="F91" s="16">
        <f>IF(Setup!$B$2="","",Setup!$B$2)</f>
        <v/>
      </c>
      <c r="G91" s="16">
        <f>IFERROR(INDEX('C_jama.2024.6063'!$G$2:$G$17,MATCH(C91,'C_jama.2024.6063'!$A$2:$A$17,0)),"CHECK KEY")</f>
        <v/>
      </c>
      <c r="H91" s="16">
        <f>IF(OR(G91&lt;&gt;"PRIMARY READY",K91="discuss"),"",IF(K91&lt;&gt;"retain","not_eligible",IF(D91="P_R","protocol_descriptive",IF(D91="P_P","plan_descriptive",IF(AND(OR(D91="S_C",D91="S_W"),L91="statistical_results",OR(M91="confirmed_issue",M91="probable_issue"),N91="substantive"),"primary_temporal",IF(AND(OR(D91="S_C",D91="S_W"),L91="report_internal_inconsistency",P91="substantive_inconsistency"),"secondary_temporal","not_eligible"))))))</f>
        <v/>
      </c>
      <c r="I91" s="16" t="inlineStr">
        <is>
          <t>retain</t>
        </is>
      </c>
      <c r="J91" s="16" t="inlineStr">
        <is>
          <t>report_internal_inconsistency</t>
        </is>
      </c>
      <c r="K91" s="16">
        <f>IFERROR(IF(INDEX('C_jama.2024.6063'!$D$2:$D$17,MATCH(C91,'C_jama.2024.6063'!$A$2:$A$17,0))="","",INDEX('C_jama.2024.6063'!$D$2:$D$17,MATCH(C91,'C_jama.2024.6063'!$A$2:$A$17,0))),"")</f>
        <v/>
      </c>
      <c r="L91" s="16">
        <f>IFERROR(IF(INDEX('C_jama.2024.6063'!$E$2:$E$17,MATCH(C91,'C_jama.2024.6063'!$A$2:$A$17,0))="","",INDEX('C_jama.2024.6063'!$E$2:$E$17,MATCH(C91,'C_jama.2024.6063'!$A$2:$A$17,0))),"")</f>
        <v/>
      </c>
      <c r="M91" s="16">
        <f>IFERROR(IF(AND(K91="retain",L91="statistical_results"),IF(INDEX('C_jama.2024.6063'!$H$2:$H$17,MATCH(C91,'C_jama.2024.6063'!$A$2:$A$17,0))="","",INDEX('C_jama.2024.6063'!$H$2:$H$17,MATCH(C91,'C_jama.2024.6063'!$A$2:$A$17,0))),"not_applicable"),"")</f>
        <v/>
      </c>
      <c r="N91" s="16">
        <f>IFERROR(IF(AND(K91="retain",L91="statistical_results"),IF(INDEX('C_jama.2024.6063'!$I$2:$I$17,MATCH(C91,'C_jama.2024.6063'!$A$2:$A$17,0))="","",INDEX('C_jama.2024.6063'!$I$2:$I$17,MATCH(C91,'C_jama.2024.6063'!$A$2:$A$17,0))),"not_applicable"),"")</f>
        <v/>
      </c>
      <c r="O91" s="16">
        <f>IFERROR(IF(AND(K91="retain",L91="statistical_results"),IF(INDEX('C_jama.2024.6063'!$J$2:$J$17,MATCH(C91,'C_jama.2024.6063'!$A$2:$A$17,0))="","",INDEX('C_jama.2024.6063'!$J$2:$J$17,MATCH(C91,'C_jama.2024.6063'!$A$2:$A$17,0))),"not_applicable"),"")</f>
        <v/>
      </c>
      <c r="P91" s="16">
        <f>IFERROR(IF(AND(K91="retain",OR(L91="report_internal_inconsistency",L91="plan_material")),IF(INDEX('C_jama.2024.6063'!$K$2:$K$17,MATCH(C91,'C_jama.2024.6063'!$A$2:$A$17,0))="","",INDEX('C_jama.2024.6063'!$K$2:$K$17,MATCH(C91,'C_jama.2024.6063'!$A$2:$A$17,0))),"not_applicable"),"")</f>
        <v/>
      </c>
      <c r="Q91" s="16">
        <f>IFERROR(IF(AND(K91="retain",L91="protocol_report"),IF(INDEX('C_jama.2024.6063'!$L$2:$L$17,MATCH(C91,'C_jama.2024.6063'!$A$2:$A$17,0))="","",INDEX('C_jama.2024.6063'!$L$2:$L$17,MATCH(C91,'C_jama.2024.6063'!$A$2:$A$17,0))),"not_applicable"),"")</f>
        <v/>
      </c>
      <c r="R91" s="16">
        <f>IFERROR(IF(INDEX('C_jama.2024.6063'!$R$2:$R$17,MATCH(C91,'C_jama.2024.6063'!$A$2:$A$17,0))="","",INDEX('C_jama.2024.6063'!$R$2:$R$17,MATCH(C91,'C_jama.2024.6063'!$A$2:$A$17,0))),"")</f>
        <v/>
      </c>
    </row>
    <row r="92" ht="75" customFormat="1" customHeight="1" s="8">
      <c r="A92" s="15" t="n">
        <v>2024</v>
      </c>
      <c r="B92" s="15" t="inlineStr">
        <is>
          <t>jama.2024.6063</t>
        </is>
      </c>
      <c r="C92" s="15" t="inlineStr">
        <is>
          <t>2024::jama.2024.6063::C016</t>
        </is>
      </c>
      <c r="D92" s="15" t="inlineStr">
        <is>
          <t>S_C</t>
        </is>
      </c>
      <c r="E92" s="15">
        <f>Setup!$B$4</f>
        <v/>
      </c>
      <c r="F92" s="15">
        <f>IF(Setup!$B$2="","",Setup!$B$2)</f>
        <v/>
      </c>
      <c r="G92" s="15">
        <f>IFERROR(INDEX('C_jama.2024.6063'!$G$2:$G$17,MATCH(C92,'C_jama.2024.6063'!$A$2:$A$17,0)),"CHECK KEY")</f>
        <v/>
      </c>
      <c r="H92" s="15">
        <f>IF(OR(G92&lt;&gt;"PRIMARY READY",K92="discuss"),"",IF(K92&lt;&gt;"retain","not_eligible",IF(D92="P_R","protocol_descriptive",IF(D92="P_P","plan_descriptive",IF(AND(OR(D92="S_C",D92="S_W"),L92="statistical_results",OR(M92="confirmed_issue",M92="probable_issue"),N92="substantive"),"primary_temporal",IF(AND(OR(D92="S_C",D92="S_W"),L92="report_internal_inconsistency",P92="substantive_inconsistency"),"secondary_temporal","not_eligible"))))))</f>
        <v/>
      </c>
      <c r="I92" s="15" t="inlineStr">
        <is>
          <t>retain</t>
        </is>
      </c>
      <c r="J92" s="15" t="inlineStr">
        <is>
          <t>report_internal_inconsistency</t>
        </is>
      </c>
      <c r="K92" s="15">
        <f>IFERROR(IF(INDEX('C_jama.2024.6063'!$D$2:$D$17,MATCH(C92,'C_jama.2024.6063'!$A$2:$A$17,0))="","",INDEX('C_jama.2024.6063'!$D$2:$D$17,MATCH(C92,'C_jama.2024.6063'!$A$2:$A$17,0))),"")</f>
        <v/>
      </c>
      <c r="L92" s="15">
        <f>IFERROR(IF(INDEX('C_jama.2024.6063'!$E$2:$E$17,MATCH(C92,'C_jama.2024.6063'!$A$2:$A$17,0))="","",INDEX('C_jama.2024.6063'!$E$2:$E$17,MATCH(C92,'C_jama.2024.6063'!$A$2:$A$17,0))),"")</f>
        <v/>
      </c>
      <c r="M92" s="15">
        <f>IFERROR(IF(AND(K92="retain",L92="statistical_results"),IF(INDEX('C_jama.2024.6063'!$H$2:$H$17,MATCH(C92,'C_jama.2024.6063'!$A$2:$A$17,0))="","",INDEX('C_jama.2024.6063'!$H$2:$H$17,MATCH(C92,'C_jama.2024.6063'!$A$2:$A$17,0))),"not_applicable"),"")</f>
        <v/>
      </c>
      <c r="N92" s="15">
        <f>IFERROR(IF(AND(K92="retain",L92="statistical_results"),IF(INDEX('C_jama.2024.6063'!$I$2:$I$17,MATCH(C92,'C_jama.2024.6063'!$A$2:$A$17,0))="","",INDEX('C_jama.2024.6063'!$I$2:$I$17,MATCH(C92,'C_jama.2024.6063'!$A$2:$A$17,0))),"not_applicable"),"")</f>
        <v/>
      </c>
      <c r="O92" s="15">
        <f>IFERROR(IF(AND(K92="retain",L92="statistical_results"),IF(INDEX('C_jama.2024.6063'!$J$2:$J$17,MATCH(C92,'C_jama.2024.6063'!$A$2:$A$17,0))="","",INDEX('C_jama.2024.6063'!$J$2:$J$17,MATCH(C92,'C_jama.2024.6063'!$A$2:$A$17,0))),"not_applicable"),"")</f>
        <v/>
      </c>
      <c r="P92" s="15">
        <f>IFERROR(IF(AND(K92="retain",OR(L92="report_internal_inconsistency",L92="plan_material")),IF(INDEX('C_jama.2024.6063'!$K$2:$K$17,MATCH(C92,'C_jama.2024.6063'!$A$2:$A$17,0))="","",INDEX('C_jama.2024.6063'!$K$2:$K$17,MATCH(C92,'C_jama.2024.6063'!$A$2:$A$17,0))),"not_applicable"),"")</f>
        <v/>
      </c>
      <c r="Q92" s="15">
        <f>IFERROR(IF(AND(K92="retain",L92="protocol_report"),IF(INDEX('C_jama.2024.6063'!$L$2:$L$17,MATCH(C92,'C_jama.2024.6063'!$A$2:$A$17,0))="","",INDEX('C_jama.2024.6063'!$L$2:$L$17,MATCH(C92,'C_jama.2024.6063'!$A$2:$A$17,0))),"not_applicable"),"")</f>
        <v/>
      </c>
      <c r="R92" s="15">
        <f>IFERROR(IF(INDEX('C_jama.2024.6063'!$R$2:$R$17,MATCH(C92,'C_jama.2024.6063'!$A$2:$A$17,0))="","",INDEX('C_jama.2024.6063'!$R$2:$R$17,MATCH(C92,'C_jama.2024.6063'!$A$2:$A$17,0))),"")</f>
        <v/>
      </c>
    </row>
  </sheetData>
  <autoFilter ref="A1:R9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11"/>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30" customWidth="1" style="8" min="2" max="2"/>
    <col width="18" customWidth="1" style="8" min="3" max="3"/>
    <col width="18" customWidth="1" style="8" min="4" max="4"/>
    <col width="24" customWidth="1" style="8" min="5" max="5"/>
    <col width="24" customWidth="1" style="8" min="6" max="6"/>
    <col width="24" customWidth="1" style="8" min="7" max="7"/>
    <col width="24" customWidth="1" style="8" min="8" max="8"/>
    <col width="26" customWidth="1" style="8" min="9" max="9"/>
    <col width="26" customWidth="1" style="8" min="10" max="10"/>
    <col width="26" customWidth="1" style="8" min="11" max="11"/>
    <col width="22" customWidth="1" style="8" min="12" max="12"/>
  </cols>
  <sheetData>
    <row r="1" ht="42" customFormat="1" customHeight="1" s="8">
      <c r="A1" s="14" t="inlineStr">
        <is>
          <t>year</t>
        </is>
      </c>
      <c r="B1" s="14" t="inlineStr">
        <is>
          <t>paper</t>
        </is>
      </c>
      <c r="C1" s="14" t="inlineStr">
        <is>
          <t>candidates</t>
        </is>
      </c>
      <c r="D1" s="14" t="inlineStr">
        <is>
          <t>unfinished</t>
        </is>
      </c>
      <c r="E1" s="14" t="inlineStr">
        <is>
          <t>discuss_unresolved</t>
        </is>
      </c>
      <c r="F1" s="14" t="inlineStr">
        <is>
          <t>primary_complete</t>
        </is>
      </c>
      <c r="G1" s="14" t="inlineStr">
        <is>
          <t>outcomes_available</t>
        </is>
      </c>
      <c r="H1" s="14" t="inlineStr">
        <is>
          <t>primary_temporal</t>
        </is>
      </c>
      <c r="I1" s="14" t="inlineStr">
        <is>
          <t>secondary_temporal</t>
        </is>
      </c>
      <c r="J1" s="14" t="inlineStr">
        <is>
          <t>protocol_descriptive</t>
        </is>
      </c>
      <c r="K1" s="14" t="inlineStr">
        <is>
          <t>plan_descriptive</t>
        </is>
      </c>
      <c r="L1" s="14" t="inlineStr">
        <is>
          <t>not_eligible</t>
        </is>
      </c>
    </row>
    <row r="2" ht="50" customFormat="1" customHeight="1" s="8">
      <c r="A2" s="15" t="n">
        <v>2024</v>
      </c>
      <c r="B2" s="15" t="inlineStr">
        <is>
          <t>jama.2024.0318</t>
        </is>
      </c>
      <c r="C2" s="15" t="n">
        <v>6</v>
      </c>
      <c r="D2" s="15">
        <f>C2-COUNTIFS(Decisions!$B$2:$B$92,B2,Decisions!$G$2:$G$92,"PRIMARY READY")</f>
        <v/>
      </c>
      <c r="E2" s="15">
        <f>COUNTIFS(Decisions!$B$2:$B$92,B2,Decisions!$K$2:$K$92,"discuss")</f>
        <v/>
      </c>
      <c r="F2" s="15">
        <f>IF(D2=0,"yes","no")</f>
        <v/>
      </c>
      <c r="G2" s="15">
        <f>IF(AND(D2=0,E2=0),"yes","no")</f>
        <v/>
      </c>
      <c r="H2" s="15">
        <f>IF(G2&lt;&gt;"yes","",COUNTIFS(Decisions!$B$2:$B$92,B2,Decisions!$H$2:$H$92,"primary_temporal"))</f>
        <v/>
      </c>
      <c r="I2" s="15">
        <f>IF(G2&lt;&gt;"yes","",COUNTIFS(Decisions!$B$2:$B$92,B2,Decisions!$H$2:$H$92,"secondary_temporal"))</f>
        <v/>
      </c>
      <c r="J2" s="15">
        <f>IF(G2&lt;&gt;"yes","",COUNTIFS(Decisions!$B$2:$B$92,B2,Decisions!$H$2:$H$92,"protocol_descriptive"))</f>
        <v/>
      </c>
      <c r="K2" s="15">
        <f>IF(G2&lt;&gt;"yes","",COUNTIFS(Decisions!$B$2:$B$92,B2,Decisions!$H$2:$H$92,"plan_descriptive"))</f>
        <v/>
      </c>
      <c r="L2" s="15">
        <f>IF(G2&lt;&gt;"yes","",COUNTIFS(Decisions!$B$2:$B$92,B2,Decisions!$H$2:$H$92,"not_eligible"))</f>
        <v/>
      </c>
    </row>
    <row r="3" ht="50" customFormat="1" customHeight="1" s="8">
      <c r="A3" s="16" t="n">
        <v>2024</v>
      </c>
      <c r="B3" s="16" t="inlineStr">
        <is>
          <t>jama.2024.0572</t>
        </is>
      </c>
      <c r="C3" s="16" t="n">
        <v>2</v>
      </c>
      <c r="D3" s="16">
        <f>C3-COUNTIFS(Decisions!$B$2:$B$92,B3,Decisions!$G$2:$G$92,"PRIMARY READY")</f>
        <v/>
      </c>
      <c r="E3" s="16">
        <f>COUNTIFS(Decisions!$B$2:$B$92,B3,Decisions!$K$2:$K$92,"discuss")</f>
        <v/>
      </c>
      <c r="F3" s="16">
        <f>IF(D3=0,"yes","no")</f>
        <v/>
      </c>
      <c r="G3" s="16">
        <f>IF(AND(D3=0,E3=0),"yes","no")</f>
        <v/>
      </c>
      <c r="H3" s="16">
        <f>IF(G3&lt;&gt;"yes","",COUNTIFS(Decisions!$B$2:$B$92,B3,Decisions!$H$2:$H$92,"primary_temporal"))</f>
        <v/>
      </c>
      <c r="I3" s="16">
        <f>IF(G3&lt;&gt;"yes","",COUNTIFS(Decisions!$B$2:$B$92,B3,Decisions!$H$2:$H$92,"secondary_temporal"))</f>
        <v/>
      </c>
      <c r="J3" s="16">
        <f>IF(G3&lt;&gt;"yes","",COUNTIFS(Decisions!$B$2:$B$92,B3,Decisions!$H$2:$H$92,"protocol_descriptive"))</f>
        <v/>
      </c>
      <c r="K3" s="16">
        <f>IF(G3&lt;&gt;"yes","",COUNTIFS(Decisions!$B$2:$B$92,B3,Decisions!$H$2:$H$92,"plan_descriptive"))</f>
        <v/>
      </c>
      <c r="L3" s="16">
        <f>IF(G3&lt;&gt;"yes","",COUNTIFS(Decisions!$B$2:$B$92,B3,Decisions!$H$2:$H$92,"not_eligible"))</f>
        <v/>
      </c>
    </row>
    <row r="4" ht="50" customFormat="1" customHeight="1" s="8">
      <c r="A4" s="15" t="n">
        <v>2024</v>
      </c>
      <c r="B4" s="15" t="inlineStr">
        <is>
          <t>jama.2024.11057</t>
        </is>
      </c>
      <c r="C4" s="15" t="n">
        <v>3</v>
      </c>
      <c r="D4" s="15">
        <f>C4-COUNTIFS(Decisions!$B$2:$B$92,B4,Decisions!$G$2:$G$92,"PRIMARY READY")</f>
        <v/>
      </c>
      <c r="E4" s="15">
        <f>COUNTIFS(Decisions!$B$2:$B$92,B4,Decisions!$K$2:$K$92,"discuss")</f>
        <v/>
      </c>
      <c r="F4" s="15">
        <f>IF(D4=0,"yes","no")</f>
        <v/>
      </c>
      <c r="G4" s="15">
        <f>IF(AND(D4=0,E4=0),"yes","no")</f>
        <v/>
      </c>
      <c r="H4" s="15">
        <f>IF(G4&lt;&gt;"yes","",COUNTIFS(Decisions!$B$2:$B$92,B4,Decisions!$H$2:$H$92,"primary_temporal"))</f>
        <v/>
      </c>
      <c r="I4" s="15">
        <f>IF(G4&lt;&gt;"yes","",COUNTIFS(Decisions!$B$2:$B$92,B4,Decisions!$H$2:$H$92,"secondary_temporal"))</f>
        <v/>
      </c>
      <c r="J4" s="15">
        <f>IF(G4&lt;&gt;"yes","",COUNTIFS(Decisions!$B$2:$B$92,B4,Decisions!$H$2:$H$92,"protocol_descriptive"))</f>
        <v/>
      </c>
      <c r="K4" s="15">
        <f>IF(G4&lt;&gt;"yes","",COUNTIFS(Decisions!$B$2:$B$92,B4,Decisions!$H$2:$H$92,"plan_descriptive"))</f>
        <v/>
      </c>
      <c r="L4" s="15">
        <f>IF(G4&lt;&gt;"yes","",COUNTIFS(Decisions!$B$2:$B$92,B4,Decisions!$H$2:$H$92,"not_eligible"))</f>
        <v/>
      </c>
    </row>
    <row r="5" ht="50" customFormat="1" customHeight="1" s="8">
      <c r="A5" s="16" t="n">
        <v>2024</v>
      </c>
      <c r="B5" s="16" t="inlineStr">
        <is>
          <t>jama.2024.12829</t>
        </is>
      </c>
      <c r="C5" s="16" t="n">
        <v>17</v>
      </c>
      <c r="D5" s="16">
        <f>C5-COUNTIFS(Decisions!$B$2:$B$92,B5,Decisions!$G$2:$G$92,"PRIMARY READY")</f>
        <v/>
      </c>
      <c r="E5" s="16">
        <f>COUNTIFS(Decisions!$B$2:$B$92,B5,Decisions!$K$2:$K$92,"discuss")</f>
        <v/>
      </c>
      <c r="F5" s="16">
        <f>IF(D5=0,"yes","no")</f>
        <v/>
      </c>
      <c r="G5" s="16">
        <f>IF(AND(D5=0,E5=0),"yes","no")</f>
        <v/>
      </c>
      <c r="H5" s="16">
        <f>IF(G5&lt;&gt;"yes","",COUNTIFS(Decisions!$B$2:$B$92,B5,Decisions!$H$2:$H$92,"primary_temporal"))</f>
        <v/>
      </c>
      <c r="I5" s="16">
        <f>IF(G5&lt;&gt;"yes","",COUNTIFS(Decisions!$B$2:$B$92,B5,Decisions!$H$2:$H$92,"secondary_temporal"))</f>
        <v/>
      </c>
      <c r="J5" s="16">
        <f>IF(G5&lt;&gt;"yes","",COUNTIFS(Decisions!$B$2:$B$92,B5,Decisions!$H$2:$H$92,"protocol_descriptive"))</f>
        <v/>
      </c>
      <c r="K5" s="16">
        <f>IF(G5&lt;&gt;"yes","",COUNTIFS(Decisions!$B$2:$B$92,B5,Decisions!$H$2:$H$92,"plan_descriptive"))</f>
        <v/>
      </c>
      <c r="L5" s="16">
        <f>IF(G5&lt;&gt;"yes","",COUNTIFS(Decisions!$B$2:$B$92,B5,Decisions!$H$2:$H$92,"not_eligible"))</f>
        <v/>
      </c>
    </row>
    <row r="6" ht="50" customFormat="1" customHeight="1" s="8">
      <c r="A6" s="15" t="n">
        <v>2024</v>
      </c>
      <c r="B6" s="15" t="inlineStr">
        <is>
          <t>jama.2024.19585</t>
        </is>
      </c>
      <c r="C6" s="15" t="n">
        <v>3</v>
      </c>
      <c r="D6" s="15">
        <f>C6-COUNTIFS(Decisions!$B$2:$B$92,B6,Decisions!$G$2:$G$92,"PRIMARY READY")</f>
        <v/>
      </c>
      <c r="E6" s="15">
        <f>COUNTIFS(Decisions!$B$2:$B$92,B6,Decisions!$K$2:$K$92,"discuss")</f>
        <v/>
      </c>
      <c r="F6" s="15">
        <f>IF(D6=0,"yes","no")</f>
        <v/>
      </c>
      <c r="G6" s="15">
        <f>IF(AND(D6=0,E6=0),"yes","no")</f>
        <v/>
      </c>
      <c r="H6" s="15">
        <f>IF(G6&lt;&gt;"yes","",COUNTIFS(Decisions!$B$2:$B$92,B6,Decisions!$H$2:$H$92,"primary_temporal"))</f>
        <v/>
      </c>
      <c r="I6" s="15">
        <f>IF(G6&lt;&gt;"yes","",COUNTIFS(Decisions!$B$2:$B$92,B6,Decisions!$H$2:$H$92,"secondary_temporal"))</f>
        <v/>
      </c>
      <c r="J6" s="15">
        <f>IF(G6&lt;&gt;"yes","",COUNTIFS(Decisions!$B$2:$B$92,B6,Decisions!$H$2:$H$92,"protocol_descriptive"))</f>
        <v/>
      </c>
      <c r="K6" s="15">
        <f>IF(G6&lt;&gt;"yes","",COUNTIFS(Decisions!$B$2:$B$92,B6,Decisions!$H$2:$H$92,"plan_descriptive"))</f>
        <v/>
      </c>
      <c r="L6" s="15">
        <f>IF(G6&lt;&gt;"yes","",COUNTIFS(Decisions!$B$2:$B$92,B6,Decisions!$H$2:$H$92,"not_eligible"))</f>
        <v/>
      </c>
    </row>
    <row r="7" ht="50" customFormat="1" customHeight="1" s="8">
      <c r="A7" s="16" t="n">
        <v>2024</v>
      </c>
      <c r="B7" s="16" t="inlineStr">
        <is>
          <t>jama.2024.2302</t>
        </is>
      </c>
      <c r="C7" s="16" t="n">
        <v>5</v>
      </c>
      <c r="D7" s="16">
        <f>C7-COUNTIFS(Decisions!$B$2:$B$92,B7,Decisions!$G$2:$G$92,"PRIMARY READY")</f>
        <v/>
      </c>
      <c r="E7" s="16">
        <f>COUNTIFS(Decisions!$B$2:$B$92,B7,Decisions!$K$2:$K$92,"discuss")</f>
        <v/>
      </c>
      <c r="F7" s="16">
        <f>IF(D7=0,"yes","no")</f>
        <v/>
      </c>
      <c r="G7" s="16">
        <f>IF(AND(D7=0,E7=0),"yes","no")</f>
        <v/>
      </c>
      <c r="H7" s="16">
        <f>IF(G7&lt;&gt;"yes","",COUNTIFS(Decisions!$B$2:$B$92,B7,Decisions!$H$2:$H$92,"primary_temporal"))</f>
        <v/>
      </c>
      <c r="I7" s="16">
        <f>IF(G7&lt;&gt;"yes","",COUNTIFS(Decisions!$B$2:$B$92,B7,Decisions!$H$2:$H$92,"secondary_temporal"))</f>
        <v/>
      </c>
      <c r="J7" s="16">
        <f>IF(G7&lt;&gt;"yes","",COUNTIFS(Decisions!$B$2:$B$92,B7,Decisions!$H$2:$H$92,"protocol_descriptive"))</f>
        <v/>
      </c>
      <c r="K7" s="16">
        <f>IF(G7&lt;&gt;"yes","",COUNTIFS(Decisions!$B$2:$B$92,B7,Decisions!$H$2:$H$92,"plan_descriptive"))</f>
        <v/>
      </c>
      <c r="L7" s="16">
        <f>IF(G7&lt;&gt;"yes","",COUNTIFS(Decisions!$B$2:$B$92,B7,Decisions!$H$2:$H$92,"not_eligible"))</f>
        <v/>
      </c>
    </row>
    <row r="8" ht="50" customFormat="1" customHeight="1" s="8">
      <c r="A8" s="15" t="n">
        <v>2024</v>
      </c>
      <c r="B8" s="15" t="inlineStr">
        <is>
          <t>jama.2024.23898</t>
        </is>
      </c>
      <c r="C8" s="15" t="n">
        <v>7</v>
      </c>
      <c r="D8" s="15">
        <f>C8-COUNTIFS(Decisions!$B$2:$B$92,B8,Decisions!$G$2:$G$92,"PRIMARY READY")</f>
        <v/>
      </c>
      <c r="E8" s="15">
        <f>COUNTIFS(Decisions!$B$2:$B$92,B8,Decisions!$K$2:$K$92,"discuss")</f>
        <v/>
      </c>
      <c r="F8" s="15">
        <f>IF(D8=0,"yes","no")</f>
        <v/>
      </c>
      <c r="G8" s="15">
        <f>IF(AND(D8=0,E8=0),"yes","no")</f>
        <v/>
      </c>
      <c r="H8" s="15">
        <f>IF(G8&lt;&gt;"yes","",COUNTIFS(Decisions!$B$2:$B$92,B8,Decisions!$H$2:$H$92,"primary_temporal"))</f>
        <v/>
      </c>
      <c r="I8" s="15">
        <f>IF(G8&lt;&gt;"yes","",COUNTIFS(Decisions!$B$2:$B$92,B8,Decisions!$H$2:$H$92,"secondary_temporal"))</f>
        <v/>
      </c>
      <c r="J8" s="15">
        <f>IF(G8&lt;&gt;"yes","",COUNTIFS(Decisions!$B$2:$B$92,B8,Decisions!$H$2:$H$92,"protocol_descriptive"))</f>
        <v/>
      </c>
      <c r="K8" s="15">
        <f>IF(G8&lt;&gt;"yes","",COUNTIFS(Decisions!$B$2:$B$92,B8,Decisions!$H$2:$H$92,"plan_descriptive"))</f>
        <v/>
      </c>
      <c r="L8" s="15">
        <f>IF(G8&lt;&gt;"yes","",COUNTIFS(Decisions!$B$2:$B$92,B8,Decisions!$H$2:$H$92,"not_eligible"))</f>
        <v/>
      </c>
    </row>
    <row r="9" ht="50" customFormat="1" customHeight="1" s="8">
      <c r="A9" s="16" t="n">
        <v>2024</v>
      </c>
      <c r="B9" s="16" t="inlineStr">
        <is>
          <t>jama.2024.25786</t>
        </is>
      </c>
      <c r="C9" s="16" t="n">
        <v>8</v>
      </c>
      <c r="D9" s="16">
        <f>C9-COUNTIFS(Decisions!$B$2:$B$92,B9,Decisions!$G$2:$G$92,"PRIMARY READY")</f>
        <v/>
      </c>
      <c r="E9" s="16">
        <f>COUNTIFS(Decisions!$B$2:$B$92,B9,Decisions!$K$2:$K$92,"discuss")</f>
        <v/>
      </c>
      <c r="F9" s="16">
        <f>IF(D9=0,"yes","no")</f>
        <v/>
      </c>
      <c r="G9" s="16">
        <f>IF(AND(D9=0,E9=0),"yes","no")</f>
        <v/>
      </c>
      <c r="H9" s="16">
        <f>IF(G9&lt;&gt;"yes","",COUNTIFS(Decisions!$B$2:$B$92,B9,Decisions!$H$2:$H$92,"primary_temporal"))</f>
        <v/>
      </c>
      <c r="I9" s="16">
        <f>IF(G9&lt;&gt;"yes","",COUNTIFS(Decisions!$B$2:$B$92,B9,Decisions!$H$2:$H$92,"secondary_temporal"))</f>
        <v/>
      </c>
      <c r="J9" s="16">
        <f>IF(G9&lt;&gt;"yes","",COUNTIFS(Decisions!$B$2:$B$92,B9,Decisions!$H$2:$H$92,"protocol_descriptive"))</f>
        <v/>
      </c>
      <c r="K9" s="16">
        <f>IF(G9&lt;&gt;"yes","",COUNTIFS(Decisions!$B$2:$B$92,B9,Decisions!$H$2:$H$92,"plan_descriptive"))</f>
        <v/>
      </c>
      <c r="L9" s="16">
        <f>IF(G9&lt;&gt;"yes","",COUNTIFS(Decisions!$B$2:$B$92,B9,Decisions!$H$2:$H$92,"not_eligible"))</f>
        <v/>
      </c>
    </row>
    <row r="10" ht="50" customFormat="1" customHeight="1" s="8">
      <c r="A10" s="15" t="n">
        <v>2024</v>
      </c>
      <c r="B10" s="15" t="inlineStr">
        <is>
          <t>jama.2024.4183</t>
        </is>
      </c>
      <c r="C10" s="15" t="n">
        <v>24</v>
      </c>
      <c r="D10" s="15">
        <f>C10-COUNTIFS(Decisions!$B$2:$B$92,B10,Decisions!$G$2:$G$92,"PRIMARY READY")</f>
        <v/>
      </c>
      <c r="E10" s="15">
        <f>COUNTIFS(Decisions!$B$2:$B$92,B10,Decisions!$K$2:$K$92,"discuss")</f>
        <v/>
      </c>
      <c r="F10" s="15">
        <f>IF(D10=0,"yes","no")</f>
        <v/>
      </c>
      <c r="G10" s="15">
        <f>IF(AND(D10=0,E10=0),"yes","no")</f>
        <v/>
      </c>
      <c r="H10" s="15">
        <f>IF(G10&lt;&gt;"yes","",COUNTIFS(Decisions!$B$2:$B$92,B10,Decisions!$H$2:$H$92,"primary_temporal"))</f>
        <v/>
      </c>
      <c r="I10" s="15">
        <f>IF(G10&lt;&gt;"yes","",COUNTIFS(Decisions!$B$2:$B$92,B10,Decisions!$H$2:$H$92,"secondary_temporal"))</f>
        <v/>
      </c>
      <c r="J10" s="15">
        <f>IF(G10&lt;&gt;"yes","",COUNTIFS(Decisions!$B$2:$B$92,B10,Decisions!$H$2:$H$92,"protocol_descriptive"))</f>
        <v/>
      </c>
      <c r="K10" s="15">
        <f>IF(G10&lt;&gt;"yes","",COUNTIFS(Decisions!$B$2:$B$92,B10,Decisions!$H$2:$H$92,"plan_descriptive"))</f>
        <v/>
      </c>
      <c r="L10" s="15">
        <f>IF(G10&lt;&gt;"yes","",COUNTIFS(Decisions!$B$2:$B$92,B10,Decisions!$H$2:$H$92,"not_eligible"))</f>
        <v/>
      </c>
    </row>
    <row r="11" ht="50" customFormat="1" customHeight="1" s="8">
      <c r="A11" s="16" t="n">
        <v>2024</v>
      </c>
      <c r="B11" s="16" t="inlineStr">
        <is>
          <t>jama.2024.6063</t>
        </is>
      </c>
      <c r="C11" s="16" t="n">
        <v>16</v>
      </c>
      <c r="D11" s="16">
        <f>C11-COUNTIFS(Decisions!$B$2:$B$92,B11,Decisions!$G$2:$G$92,"PRIMARY READY")</f>
        <v/>
      </c>
      <c r="E11" s="16">
        <f>COUNTIFS(Decisions!$B$2:$B$92,B11,Decisions!$K$2:$K$92,"discuss")</f>
        <v/>
      </c>
      <c r="F11" s="16">
        <f>IF(D11=0,"yes","no")</f>
        <v/>
      </c>
      <c r="G11" s="16">
        <f>IF(AND(D11=0,E11=0),"yes","no")</f>
        <v/>
      </c>
      <c r="H11" s="16">
        <f>IF(G11&lt;&gt;"yes","",COUNTIFS(Decisions!$B$2:$B$92,B11,Decisions!$H$2:$H$92,"primary_temporal"))</f>
        <v/>
      </c>
      <c r="I11" s="16">
        <f>IF(G11&lt;&gt;"yes","",COUNTIFS(Decisions!$B$2:$B$92,B11,Decisions!$H$2:$H$92,"secondary_temporal"))</f>
        <v/>
      </c>
      <c r="J11" s="16">
        <f>IF(G11&lt;&gt;"yes","",COUNTIFS(Decisions!$B$2:$B$92,B11,Decisions!$H$2:$H$92,"protocol_descriptive"))</f>
        <v/>
      </c>
      <c r="K11" s="16">
        <f>IF(G11&lt;&gt;"yes","",COUNTIFS(Decisions!$B$2:$B$92,B11,Decisions!$H$2:$H$92,"plan_descriptive"))</f>
        <v/>
      </c>
      <c r="L11" s="16">
        <f>IF(G11&lt;&gt;"yes","",COUNTIFS(Decisions!$B$2:$B$92,B11,Decisions!$H$2:$H$92,"not_eligible"))</f>
        <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style="8" min="1" max="1"/>
    <col width="27" customWidth="1" style="8" min="2" max="2"/>
    <col width="44" customWidth="1" style="8" min="3" max="3"/>
    <col width="18" customWidth="1" style="8" min="4" max="4"/>
    <col width="60" customWidth="1" style="8" min="5" max="5"/>
    <col width="90" customWidth="1" style="8" min="6" max="6"/>
    <col width="28" customWidth="1" style="8" min="7" max="7"/>
    <col width="20" customWidth="1" style="8" min="8" max="8"/>
    <col width="30" customWidth="1" style="8" min="9" max="9"/>
    <col width="32" customWidth="1" style="8" min="10" max="10"/>
    <col width="60" customWidth="1" style="8" min="11" max="11"/>
    <col width="28" customWidth="1" style="8" min="12" max="12"/>
  </cols>
  <sheetData>
    <row r="1" ht="42" customFormat="1" customHeight="1" s="8">
      <c r="A1" s="14" t="inlineStr">
        <is>
          <t>year</t>
        </is>
      </c>
      <c r="B1" s="14" t="inlineStr">
        <is>
          <t>paper</t>
        </is>
      </c>
      <c r="C1" s="14" t="inlineStr">
        <is>
          <t>candidate_key</t>
        </is>
      </c>
      <c r="D1" s="14" t="inlineStr">
        <is>
          <t>relationship</t>
        </is>
      </c>
      <c r="E1" s="14" t="inlineStr">
        <is>
          <t>title</t>
        </is>
      </c>
      <c r="F1" s="14" t="inlineStr">
        <is>
          <t>statement</t>
        </is>
      </c>
      <c r="G1" s="14" t="inlineStr">
        <is>
          <t>readiness</t>
        </is>
      </c>
      <c r="H1" s="14" t="inlineStr">
        <is>
          <t>disposition</t>
        </is>
      </c>
      <c r="I1" s="14" t="inlineStr">
        <is>
          <t>protocol_interpretation</t>
        </is>
      </c>
      <c r="J1" s="14" t="inlineStr">
        <is>
          <t>internal_inconsistency</t>
        </is>
      </c>
      <c r="K1" s="14" t="inlineStr">
        <is>
          <t>notes</t>
        </is>
      </c>
      <c r="L1" s="14" t="inlineStr">
        <is>
          <t>outcome</t>
        </is>
      </c>
    </row>
    <row r="2" ht="100" customFormat="1" customHeight="1" s="8">
      <c r="A2" s="15" t="n">
        <v>2024</v>
      </c>
      <c r="B2" s="15" t="inlineStr">
        <is>
          <t>jama.2024.11057</t>
        </is>
      </c>
      <c r="C2" s="15" t="inlineStr">
        <is>
          <t>2024::jama.2024.11057::C001</t>
        </is>
      </c>
      <c r="D2" s="15" t="inlineStr">
        <is>
          <t>P_R</t>
        </is>
      </c>
      <c r="E2" s="15" t="inlineStr">
        <is>
          <t>Quit-date pre-message duration conflicts between the main article and both support documents</t>
        </is>
      </c>
      <c r="F2" s="15" t="inlineStr">
        <is>
          <t>The main article prints a 6-week pre-quit message period, whereas both supplied support documents print a 1-week pre-quit period for the same named intervention and quit-date subgroup. Pending Human Adjudication.</t>
        </is>
      </c>
      <c r="G2" s="15">
        <f>IF(INDEX('Decisions'!$G$2:$G$92,MATCH(C2,'Decisions'!$C$2:$C$92,0))="","",INDEX('Decisions'!$G$2:$G$92,MATCH(C2,'Decisions'!$C$2:$C$92,0)))</f>
        <v/>
      </c>
      <c r="H2" s="15">
        <f>IF(INDEX('Decisions'!$K$2:$K$92,MATCH(C2,'Decisions'!$C$2:$C$92,0))="","",INDEX('Decisions'!$K$2:$K$92,MATCH(C2,'Decisions'!$C$2:$C$92,0)))</f>
        <v/>
      </c>
      <c r="I2" s="15">
        <f>IF(INDEX('Decisions'!$Q$2:$Q$92,MATCH(C2,'Decisions'!$C$2:$C$92,0))="","",INDEX('Decisions'!$Q$2:$Q$92,MATCH(C2,'Decisions'!$C$2:$C$92,0)))</f>
        <v/>
      </c>
      <c r="J2" s="15">
        <f>IF(INDEX('Decisions'!$P$2:$P$92,MATCH(C2,'Decisions'!$C$2:$C$92,0))="","",INDEX('Decisions'!$P$2:$P$92,MATCH(C2,'Decisions'!$C$2:$C$92,0)))</f>
        <v/>
      </c>
      <c r="K2" s="15">
        <f>IF(INDEX('Decisions'!$R$2:$R$92,MATCH(C2,'Decisions'!$C$2:$C$92,0))="","",INDEX('Decisions'!$R$2:$R$92,MATCH(C2,'Decisions'!$C$2:$C$92,0)))</f>
        <v/>
      </c>
      <c r="L2" s="15">
        <f>IF(INDEX('Decisions'!$H$2:$H$92,MATCH(C2,'Decisions'!$C$2:$C$92,0))="","",INDEX('Decisions'!$H$2:$H$92,MATCH(C2,'Decisions'!$C$2:$C$92,0)))</f>
        <v/>
      </c>
    </row>
    <row r="3" ht="100" customFormat="1" customHeight="1" s="8">
      <c r="A3" s="16" t="n">
        <v>2024</v>
      </c>
      <c r="B3" s="16" t="inlineStr">
        <is>
          <t>jama.2024.12829</t>
        </is>
      </c>
      <c r="C3" s="16" t="inlineStr">
        <is>
          <t>2024::jama.2024.12829::C009</t>
        </is>
      </c>
      <c r="D3" s="16" t="inlineStr">
        <is>
          <t>P_R</t>
        </is>
      </c>
      <c r="E3" s="16" t="inlineStr">
        <is>
          <t>Thirty-day follow-up tolerance is plus or minus 3 days in the supplement but plus or minus 7 days elsewhere</t>
        </is>
      </c>
      <c r="F3" s="16" t="inlineStr">
        <is>
          <t>The matched 30-day follow-up is labelled ±3 days in one supplied location and ±7 days in two others.</t>
        </is>
      </c>
      <c r="G3" s="16">
        <f>IF(INDEX('Decisions'!$G$2:$G$92,MATCH(C3,'Decisions'!$C$2:$C$92,0))="","",INDEX('Decisions'!$G$2:$G$92,MATCH(C3,'Decisions'!$C$2:$C$92,0)))</f>
        <v/>
      </c>
      <c r="H3" s="16">
        <f>IF(INDEX('Decisions'!$K$2:$K$92,MATCH(C3,'Decisions'!$C$2:$C$92,0))="","",INDEX('Decisions'!$K$2:$K$92,MATCH(C3,'Decisions'!$C$2:$C$92,0)))</f>
        <v/>
      </c>
      <c r="I3" s="16">
        <f>IF(INDEX('Decisions'!$Q$2:$Q$92,MATCH(C3,'Decisions'!$C$2:$C$92,0))="","",INDEX('Decisions'!$Q$2:$Q$92,MATCH(C3,'Decisions'!$C$2:$C$92,0)))</f>
        <v/>
      </c>
      <c r="J3" s="16">
        <f>IF(INDEX('Decisions'!$P$2:$P$92,MATCH(C3,'Decisions'!$C$2:$C$92,0))="","",INDEX('Decisions'!$P$2:$P$92,MATCH(C3,'Decisions'!$C$2:$C$92,0)))</f>
        <v/>
      </c>
      <c r="K3" s="16">
        <f>IF(INDEX('Decisions'!$R$2:$R$92,MATCH(C3,'Decisions'!$C$2:$C$92,0))="","",INDEX('Decisions'!$R$2:$R$92,MATCH(C3,'Decisions'!$C$2:$C$92,0)))</f>
        <v/>
      </c>
      <c r="L3" s="16">
        <f>IF(INDEX('Decisions'!$H$2:$H$92,MATCH(C3,'Decisions'!$C$2:$C$92,0))="","",INDEX('Decisions'!$H$2:$H$92,MATCH(C3,'Decisions'!$C$2:$C$92,0)))</f>
        <v/>
      </c>
    </row>
    <row r="4" ht="100" customFormat="1" customHeight="1" s="8">
      <c r="A4" s="15" t="n">
        <v>2024</v>
      </c>
      <c r="B4" s="15" t="inlineStr">
        <is>
          <t>jama.2024.12829</t>
        </is>
      </c>
      <c r="C4" s="15" t="inlineStr">
        <is>
          <t>2024::jama.2024.12829::C010</t>
        </is>
      </c>
      <c r="D4" s="15" t="inlineStr">
        <is>
          <t>P_P</t>
        </is>
      </c>
      <c r="E4" s="15" t="inlineStr">
        <is>
          <t>Protocol V2.0 gives 21-day and 14-day lower bounds for the same stroke criterion</t>
        </is>
      </c>
      <c r="F4" s="15" t="inlineStr">
        <is>
          <t>Protocol V2.0 prints two different lower bounds for the matched ischemic-stroke eligibility criterion.</t>
        </is>
      </c>
      <c r="G4" s="15">
        <f>IF(INDEX('Decisions'!$G$2:$G$92,MATCH(C4,'Decisions'!$C$2:$C$92,0))="","",INDEX('Decisions'!$G$2:$G$92,MATCH(C4,'Decisions'!$C$2:$C$92,0)))</f>
        <v/>
      </c>
      <c r="H4" s="15">
        <f>IF(INDEX('Decisions'!$K$2:$K$92,MATCH(C4,'Decisions'!$C$2:$C$92,0))="","",INDEX('Decisions'!$K$2:$K$92,MATCH(C4,'Decisions'!$C$2:$C$92,0)))</f>
        <v/>
      </c>
      <c r="I4" s="15">
        <f>IF(INDEX('Decisions'!$Q$2:$Q$92,MATCH(C4,'Decisions'!$C$2:$C$92,0))="","",INDEX('Decisions'!$Q$2:$Q$92,MATCH(C4,'Decisions'!$C$2:$C$92,0)))</f>
        <v/>
      </c>
      <c r="J4" s="15">
        <f>IF(INDEX('Decisions'!$P$2:$P$92,MATCH(C4,'Decisions'!$C$2:$C$92,0))="","",INDEX('Decisions'!$P$2:$P$92,MATCH(C4,'Decisions'!$C$2:$C$92,0)))</f>
        <v/>
      </c>
      <c r="K4" s="15">
        <f>IF(INDEX('Decisions'!$R$2:$R$92,MATCH(C4,'Decisions'!$C$2:$C$92,0))="","",INDEX('Decisions'!$R$2:$R$92,MATCH(C4,'Decisions'!$C$2:$C$92,0)))</f>
        <v/>
      </c>
      <c r="L4" s="15">
        <f>IF(INDEX('Decisions'!$H$2:$H$92,MATCH(C4,'Decisions'!$C$2:$C$92,0))="","",INDEX('Decisions'!$H$2:$H$92,MATCH(C4,'Decisions'!$C$2:$C$92,0)))</f>
        <v/>
      </c>
    </row>
    <row r="5" ht="100" customFormat="1" customHeight="1" s="8">
      <c r="A5" s="16" t="n">
        <v>2024</v>
      </c>
      <c r="B5" s="16" t="inlineStr">
        <is>
          <t>jama.2024.12829</t>
        </is>
      </c>
      <c r="C5" s="16" t="inlineStr">
        <is>
          <t>2024::jama.2024.12829::C013</t>
        </is>
      </c>
      <c r="D5" s="16" t="inlineStr">
        <is>
          <t>P_P</t>
        </is>
      </c>
      <c r="E5" s="16" t="inlineStr">
        <is>
          <t>Recurring-visit sentence ambiguously repeats visit numbers 9 and 11</t>
        </is>
      </c>
      <c r="F5" s="16" t="inlineStr">
        <is>
          <t>The identical recurring-visit sentence is ambiguous between a four-visit sequence with a face-to-face subset and a six-token sequence because it repeats visits 9 and 11.</t>
        </is>
      </c>
      <c r="G5" s="16">
        <f>IF(INDEX('Decisions'!$G$2:$G$92,MATCH(C5,'Decisions'!$C$2:$C$92,0))="","",INDEX('Decisions'!$G$2:$G$92,MATCH(C5,'Decisions'!$C$2:$C$92,0)))</f>
        <v/>
      </c>
      <c r="H5" s="16">
        <f>IF(INDEX('Decisions'!$K$2:$K$92,MATCH(C5,'Decisions'!$C$2:$C$92,0))="","",INDEX('Decisions'!$K$2:$K$92,MATCH(C5,'Decisions'!$C$2:$C$92,0)))</f>
        <v/>
      </c>
      <c r="I5" s="16">
        <f>IF(INDEX('Decisions'!$Q$2:$Q$92,MATCH(C5,'Decisions'!$C$2:$C$92,0))="","",INDEX('Decisions'!$Q$2:$Q$92,MATCH(C5,'Decisions'!$C$2:$C$92,0)))</f>
        <v/>
      </c>
      <c r="J5" s="16">
        <f>IF(INDEX('Decisions'!$P$2:$P$92,MATCH(C5,'Decisions'!$C$2:$C$92,0))="","",INDEX('Decisions'!$P$2:$P$92,MATCH(C5,'Decisions'!$C$2:$C$92,0)))</f>
        <v/>
      </c>
      <c r="K5" s="16">
        <f>IF(INDEX('Decisions'!$R$2:$R$92,MATCH(C5,'Decisions'!$C$2:$C$92,0))="","",INDEX('Decisions'!$R$2:$R$92,MATCH(C5,'Decisions'!$C$2:$C$92,0)))</f>
        <v/>
      </c>
      <c r="L5" s="16">
        <f>IF(INDEX('Decisions'!$H$2:$H$92,MATCH(C5,'Decisions'!$C$2:$C$92,0))="","",INDEX('Decisions'!$H$2:$H$92,MATCH(C5,'Decisions'!$C$2:$C$92,0)))</f>
        <v/>
      </c>
    </row>
    <row r="6" ht="100" customFormat="1" customHeight="1" s="8">
      <c r="A6" s="15" t="n">
        <v>2024</v>
      </c>
      <c r="B6" s="15" t="inlineStr">
        <is>
          <t>jama.2024.2302</t>
        </is>
      </c>
      <c r="C6" s="15" t="inlineStr">
        <is>
          <t>2024::jama.2024.2302::C001</t>
        </is>
      </c>
      <c r="D6" s="15" t="inlineStr">
        <is>
          <t>P_R</t>
        </is>
      </c>
      <c r="E6" s="15" t="inlineStr">
        <is>
          <t>Primary SAE endpoint threshold label</t>
        </is>
      </c>
      <c r="F6" s="15" t="inlineStr">
        <is>
          <t>Matched primary SAE results are labeled ≥1/“any” in the main article and SAP but &gt;1 in the protocol and eTable.</t>
        </is>
      </c>
      <c r="G6" s="15">
        <f>IF(INDEX('Decisions'!$G$2:$G$92,MATCH(C6,'Decisions'!$C$2:$C$92,0))="","",INDEX('Decisions'!$G$2:$G$92,MATCH(C6,'Decisions'!$C$2:$C$92,0)))</f>
        <v/>
      </c>
      <c r="H6" s="15">
        <f>IF(INDEX('Decisions'!$K$2:$K$92,MATCH(C6,'Decisions'!$C$2:$C$92,0))="","",INDEX('Decisions'!$K$2:$K$92,MATCH(C6,'Decisions'!$C$2:$C$92,0)))</f>
        <v/>
      </c>
      <c r="I6" s="15">
        <f>IF(INDEX('Decisions'!$Q$2:$Q$92,MATCH(C6,'Decisions'!$C$2:$C$92,0))="","",INDEX('Decisions'!$Q$2:$Q$92,MATCH(C6,'Decisions'!$C$2:$C$92,0)))</f>
        <v/>
      </c>
      <c r="J6" s="15">
        <f>IF(INDEX('Decisions'!$P$2:$P$92,MATCH(C6,'Decisions'!$C$2:$C$92,0))="","",INDEX('Decisions'!$P$2:$P$92,MATCH(C6,'Decisions'!$C$2:$C$92,0)))</f>
        <v/>
      </c>
      <c r="K6" s="15">
        <f>IF(INDEX('Decisions'!$R$2:$R$92,MATCH(C6,'Decisions'!$C$2:$C$92,0))="","",INDEX('Decisions'!$R$2:$R$92,MATCH(C6,'Decisions'!$C$2:$C$92,0)))</f>
        <v/>
      </c>
      <c r="L6" s="15">
        <f>IF(INDEX('Decisions'!$H$2:$H$92,MATCH(C6,'Decisions'!$C$2:$C$92,0))="","",INDEX('Decisions'!$H$2:$H$92,MATCH(C6,'Decisions'!$C$2:$C$92,0)))</f>
        <v/>
      </c>
    </row>
    <row r="7" ht="100" customFormat="1" customHeight="1" s="8">
      <c r="A7" s="16" t="n">
        <v>2024</v>
      </c>
      <c r="B7" s="16" t="inlineStr">
        <is>
          <t>jama.2024.2302</t>
        </is>
      </c>
      <c r="C7" s="16" t="inlineStr">
        <is>
          <t>2024::jama.2024.2302::C002</t>
        </is>
      </c>
      <c r="D7" s="16" t="inlineStr">
        <is>
          <t>P_P</t>
        </is>
      </c>
      <c r="E7" s="16" t="inlineStr">
        <is>
          <t>Planned hospital-day medians</t>
        </is>
      </c>
      <c r="F7" s="16" t="inlineStr">
        <is>
          <t>Protocol/SAP locations print incompatible arm-specific planned median hospital-day values.</t>
        </is>
      </c>
      <c r="G7" s="16">
        <f>IF(INDEX('Decisions'!$G$2:$G$92,MATCH(C7,'Decisions'!$C$2:$C$92,0))="","",INDEX('Decisions'!$G$2:$G$92,MATCH(C7,'Decisions'!$C$2:$C$92,0)))</f>
        <v/>
      </c>
      <c r="H7" s="16">
        <f>IF(INDEX('Decisions'!$K$2:$K$92,MATCH(C7,'Decisions'!$C$2:$C$92,0))="","",INDEX('Decisions'!$K$2:$K$92,MATCH(C7,'Decisions'!$C$2:$C$92,0)))</f>
        <v/>
      </c>
      <c r="I7" s="16">
        <f>IF(INDEX('Decisions'!$Q$2:$Q$92,MATCH(C7,'Decisions'!$C$2:$C$92,0))="","",INDEX('Decisions'!$Q$2:$Q$92,MATCH(C7,'Decisions'!$C$2:$C$92,0)))</f>
        <v/>
      </c>
      <c r="J7" s="16">
        <f>IF(INDEX('Decisions'!$P$2:$P$92,MATCH(C7,'Decisions'!$C$2:$C$92,0))="","",INDEX('Decisions'!$P$2:$P$92,MATCH(C7,'Decisions'!$C$2:$C$92,0)))</f>
        <v/>
      </c>
      <c r="K7" s="16">
        <f>IF(INDEX('Decisions'!$R$2:$R$92,MATCH(C7,'Decisions'!$C$2:$C$92,0))="","",INDEX('Decisions'!$R$2:$R$92,MATCH(C7,'Decisions'!$C$2:$C$92,0)))</f>
        <v/>
      </c>
      <c r="L7" s="16">
        <f>IF(INDEX('Decisions'!$H$2:$H$92,MATCH(C7,'Decisions'!$C$2:$C$92,0))="","",INDEX('Decisions'!$H$2:$H$92,MATCH(C7,'Decisions'!$C$2:$C$92,0)))</f>
        <v/>
      </c>
    </row>
    <row r="8" ht="100" customFormat="1" customHeight="1" s="8">
      <c r="A8" s="15" t="n">
        <v>2024</v>
      </c>
      <c r="B8" s="15" t="inlineStr">
        <is>
          <t>jama.2024.2302</t>
        </is>
      </c>
      <c r="C8" s="15" t="inlineStr">
        <is>
          <t>2024::jama.2024.2302::C003</t>
        </is>
      </c>
      <c r="D8" s="15" t="inlineStr">
        <is>
          <t>P_R</t>
        </is>
      </c>
      <c r="E8" s="15" t="inlineStr">
        <is>
          <t>Bayesian intervention priors</t>
        </is>
      </c>
      <c r="F8" s="15" t="inlineStr">
        <is>
          <t>The article’s common intervention-prior range differs from the SAP’s class-specific prior descriptions.</t>
        </is>
      </c>
      <c r="G8" s="15">
        <f>IF(INDEX('Decisions'!$G$2:$G$92,MATCH(C8,'Decisions'!$C$2:$C$92,0))="","",INDEX('Decisions'!$G$2:$G$92,MATCH(C8,'Decisions'!$C$2:$C$92,0)))</f>
        <v/>
      </c>
      <c r="H8" s="15">
        <f>IF(INDEX('Decisions'!$K$2:$K$92,MATCH(C8,'Decisions'!$C$2:$C$92,0))="","",INDEX('Decisions'!$K$2:$K$92,MATCH(C8,'Decisions'!$C$2:$C$92,0)))</f>
        <v/>
      </c>
      <c r="I8" s="15">
        <f>IF(INDEX('Decisions'!$Q$2:$Q$92,MATCH(C8,'Decisions'!$C$2:$C$92,0))="","",INDEX('Decisions'!$Q$2:$Q$92,MATCH(C8,'Decisions'!$C$2:$C$92,0)))</f>
        <v/>
      </c>
      <c r="J8" s="15">
        <f>IF(INDEX('Decisions'!$P$2:$P$92,MATCH(C8,'Decisions'!$C$2:$C$92,0))="","",INDEX('Decisions'!$P$2:$P$92,MATCH(C8,'Decisions'!$C$2:$C$92,0)))</f>
        <v/>
      </c>
      <c r="K8" s="15">
        <f>IF(INDEX('Decisions'!$R$2:$R$92,MATCH(C8,'Decisions'!$C$2:$C$92,0))="","",INDEX('Decisions'!$R$2:$R$92,MATCH(C8,'Decisions'!$C$2:$C$92,0)))</f>
        <v/>
      </c>
      <c r="L8" s="15">
        <f>IF(INDEX('Decisions'!$H$2:$H$92,MATCH(C8,'Decisions'!$C$2:$C$92,0))="","",INDEX('Decisions'!$H$2:$H$92,MATCH(C8,'Decisions'!$C$2:$C$92,0)))</f>
        <v/>
      </c>
    </row>
    <row r="9" ht="100" customFormat="1" customHeight="1" s="8">
      <c r="A9" s="16" t="n">
        <v>2024</v>
      </c>
      <c r="B9" s="16" t="inlineStr">
        <is>
          <t>jama.2024.2302</t>
        </is>
      </c>
      <c r="C9" s="16" t="inlineStr">
        <is>
          <t>2024::jama.2024.2302::C004</t>
        </is>
      </c>
      <c r="D9" s="16" t="inlineStr">
        <is>
          <t>P_R</t>
        </is>
      </c>
      <c r="E9" s="16" t="inlineStr">
        <is>
          <t>Gestational-age boundary</t>
        </is>
      </c>
      <c r="F9" s="16" t="inlineStr">
        <is>
          <t>The actual-result subgroup label ≥28 weeks differs from planned SAP wording &gt;28 weeks.</t>
        </is>
      </c>
      <c r="G9" s="16">
        <f>IF(INDEX('Decisions'!$G$2:$G$92,MATCH(C9,'Decisions'!$C$2:$C$92,0))="","",INDEX('Decisions'!$G$2:$G$92,MATCH(C9,'Decisions'!$C$2:$C$92,0)))</f>
        <v/>
      </c>
      <c r="H9" s="16">
        <f>IF(INDEX('Decisions'!$K$2:$K$92,MATCH(C9,'Decisions'!$C$2:$C$92,0))="","",INDEX('Decisions'!$K$2:$K$92,MATCH(C9,'Decisions'!$C$2:$C$92,0)))</f>
        <v/>
      </c>
      <c r="I9" s="16">
        <f>IF(INDEX('Decisions'!$Q$2:$Q$92,MATCH(C9,'Decisions'!$C$2:$C$92,0))="","",INDEX('Decisions'!$Q$2:$Q$92,MATCH(C9,'Decisions'!$C$2:$C$92,0)))</f>
        <v/>
      </c>
      <c r="J9" s="16">
        <f>IF(INDEX('Decisions'!$P$2:$P$92,MATCH(C9,'Decisions'!$C$2:$C$92,0))="","",INDEX('Decisions'!$P$2:$P$92,MATCH(C9,'Decisions'!$C$2:$C$92,0)))</f>
        <v/>
      </c>
      <c r="K9" s="16">
        <f>IF(INDEX('Decisions'!$R$2:$R$92,MATCH(C9,'Decisions'!$C$2:$C$92,0))="","",INDEX('Decisions'!$R$2:$R$92,MATCH(C9,'Decisions'!$C$2:$C$92,0)))</f>
        <v/>
      </c>
      <c r="L9" s="16">
        <f>IF(INDEX('Decisions'!$H$2:$H$92,MATCH(C9,'Decisions'!$C$2:$C$92,0))="","",INDEX('Decisions'!$H$2:$H$92,MATCH(C9,'Decisions'!$C$2:$C$92,0)))</f>
        <v/>
      </c>
    </row>
    <row r="10" ht="100" customFormat="1" customHeight="1" s="8">
      <c r="A10" s="15" t="n">
        <v>2024</v>
      </c>
      <c r="B10" s="15" t="inlineStr">
        <is>
          <t>jama.2024.2302</t>
        </is>
      </c>
      <c r="C10" s="15" t="inlineStr">
        <is>
          <t>2024::jama.2024.2302::C005</t>
        </is>
      </c>
      <c r="D10" s="15" t="inlineStr">
        <is>
          <t>P_R</t>
        </is>
      </c>
      <c r="E10" s="15" t="inlineStr">
        <is>
          <t>Primary-outcome time origin</t>
        </is>
      </c>
      <c r="F10" s="15" t="inlineStr">
        <is>
          <t>Primary SAE ascertainment is labeled from enrollment in protocol text and from randomization in SAP/main-article text.</t>
        </is>
      </c>
      <c r="G10" s="15">
        <f>IF(INDEX('Decisions'!$G$2:$G$92,MATCH(C10,'Decisions'!$C$2:$C$92,0))="","",INDEX('Decisions'!$G$2:$G$92,MATCH(C10,'Decisions'!$C$2:$C$92,0)))</f>
        <v/>
      </c>
      <c r="H10" s="15">
        <f>IF(INDEX('Decisions'!$K$2:$K$92,MATCH(C10,'Decisions'!$C$2:$C$92,0))="","",INDEX('Decisions'!$K$2:$K$92,MATCH(C10,'Decisions'!$C$2:$C$92,0)))</f>
        <v/>
      </c>
      <c r="I10" s="15">
        <f>IF(INDEX('Decisions'!$Q$2:$Q$92,MATCH(C10,'Decisions'!$C$2:$C$92,0))="","",INDEX('Decisions'!$Q$2:$Q$92,MATCH(C10,'Decisions'!$C$2:$C$92,0)))</f>
        <v/>
      </c>
      <c r="J10" s="15">
        <f>IF(INDEX('Decisions'!$P$2:$P$92,MATCH(C10,'Decisions'!$C$2:$C$92,0))="","",INDEX('Decisions'!$P$2:$P$92,MATCH(C10,'Decisions'!$C$2:$C$92,0)))</f>
        <v/>
      </c>
      <c r="K10" s="15">
        <f>IF(INDEX('Decisions'!$R$2:$R$92,MATCH(C10,'Decisions'!$C$2:$C$92,0))="","",INDEX('Decisions'!$R$2:$R$92,MATCH(C10,'Decisions'!$C$2:$C$92,0)))</f>
        <v/>
      </c>
      <c r="L10" s="15">
        <f>IF(INDEX('Decisions'!$H$2:$H$92,MATCH(C10,'Decisions'!$C$2:$C$92,0))="","",INDEX('Decisions'!$H$2:$H$92,MATCH(C10,'Decisions'!$C$2:$C$92,0)))</f>
        <v/>
      </c>
    </row>
    <row r="11" ht="100" customFormat="1" customHeight="1" s="8">
      <c r="A11" s="16" t="n">
        <v>2024</v>
      </c>
      <c r="B11" s="16" t="inlineStr">
        <is>
          <t>jama.2024.23898</t>
        </is>
      </c>
      <c r="C11" s="16" t="inlineStr">
        <is>
          <t>2024::jama.2024.23898::C001</t>
        </is>
      </c>
      <c r="D11" s="16" t="inlineStr">
        <is>
          <t>P_R</t>
        </is>
      </c>
      <c r="E11" s="16" t="inlineStr">
        <is>
          <t>Primary-outcome 72-hour clock origin is not stated consistently</t>
        </is>
      </c>
      <c r="F11" s="16" t="inlineStr">
        <is>
          <t>The matched primary GI-3 result is described as 72 hours “after surgery/operation” in the article but as 72 hours “after the start of operation” in the SAP; the printed clock origin is not explicitly aligned.</t>
        </is>
      </c>
      <c r="G11" s="16">
        <f>IF(INDEX('Decisions'!$G$2:$G$92,MATCH(C11,'Decisions'!$C$2:$C$92,0))="","",INDEX('Decisions'!$G$2:$G$92,MATCH(C11,'Decisions'!$C$2:$C$92,0)))</f>
        <v/>
      </c>
      <c r="H11" s="16">
        <f>IF(INDEX('Decisions'!$K$2:$K$92,MATCH(C11,'Decisions'!$C$2:$C$92,0))="","",INDEX('Decisions'!$K$2:$K$92,MATCH(C11,'Decisions'!$C$2:$C$92,0)))</f>
        <v/>
      </c>
      <c r="I11" s="16">
        <f>IF(INDEX('Decisions'!$Q$2:$Q$92,MATCH(C11,'Decisions'!$C$2:$C$92,0))="","",INDEX('Decisions'!$Q$2:$Q$92,MATCH(C11,'Decisions'!$C$2:$C$92,0)))</f>
        <v/>
      </c>
      <c r="J11" s="16">
        <f>IF(INDEX('Decisions'!$P$2:$P$92,MATCH(C11,'Decisions'!$C$2:$C$92,0))="","",INDEX('Decisions'!$P$2:$P$92,MATCH(C11,'Decisions'!$C$2:$C$92,0)))</f>
        <v/>
      </c>
      <c r="K11" s="16">
        <f>IF(INDEX('Decisions'!$R$2:$R$92,MATCH(C11,'Decisions'!$C$2:$C$92,0))="","",INDEX('Decisions'!$R$2:$R$92,MATCH(C11,'Decisions'!$C$2:$C$92,0)))</f>
        <v/>
      </c>
      <c r="L11" s="16">
        <f>IF(INDEX('Decisions'!$H$2:$H$92,MATCH(C11,'Decisions'!$C$2:$C$92,0))="","",INDEX('Decisions'!$H$2:$H$92,MATCH(C11,'Decisions'!$C$2:$C$92,0)))</f>
        <v/>
      </c>
    </row>
    <row r="12" ht="100" customFormat="1" customHeight="1" s="8">
      <c r="A12" s="15" t="n">
        <v>2024</v>
      </c>
      <c r="B12" s="15" t="inlineStr">
        <is>
          <t>jama.2024.23898</t>
        </is>
      </c>
      <c r="C12" s="15" t="inlineStr">
        <is>
          <t>2024::jama.2024.23898::C002</t>
        </is>
      </c>
      <c r="D12" s="15" t="inlineStr">
        <is>
          <t>P_R</t>
        </is>
      </c>
      <c r="E12" s="15" t="inlineStr">
        <is>
          <t>Postoperative opioid-consumption window is 24 hours versus 72 hours</t>
        </is>
      </c>
      <c r="F12" s="15" t="inlineStr">
        <is>
          <t>The article defines and reports postoperative morphine-equivalent consumption through 24 hours, while the protocol and SAP define the matched endpoint through 72 hours.</t>
        </is>
      </c>
      <c r="G12" s="15">
        <f>IF(INDEX('Decisions'!$G$2:$G$92,MATCH(C12,'Decisions'!$C$2:$C$92,0))="","",INDEX('Decisions'!$G$2:$G$92,MATCH(C12,'Decisions'!$C$2:$C$92,0)))</f>
        <v/>
      </c>
      <c r="H12" s="15">
        <f>IF(INDEX('Decisions'!$K$2:$K$92,MATCH(C12,'Decisions'!$C$2:$C$92,0))="","",INDEX('Decisions'!$K$2:$K$92,MATCH(C12,'Decisions'!$C$2:$C$92,0)))</f>
        <v/>
      </c>
      <c r="I12" s="15">
        <f>IF(INDEX('Decisions'!$Q$2:$Q$92,MATCH(C12,'Decisions'!$C$2:$C$92,0))="","",INDEX('Decisions'!$Q$2:$Q$92,MATCH(C12,'Decisions'!$C$2:$C$92,0)))</f>
        <v/>
      </c>
      <c r="J12" s="15">
        <f>IF(INDEX('Decisions'!$P$2:$P$92,MATCH(C12,'Decisions'!$C$2:$C$92,0))="","",INDEX('Decisions'!$P$2:$P$92,MATCH(C12,'Decisions'!$C$2:$C$92,0)))</f>
        <v/>
      </c>
      <c r="K12" s="15">
        <f>IF(INDEX('Decisions'!$R$2:$R$92,MATCH(C12,'Decisions'!$C$2:$C$92,0))="","",INDEX('Decisions'!$R$2:$R$92,MATCH(C12,'Decisions'!$C$2:$C$92,0)))</f>
        <v/>
      </c>
      <c r="L12" s="15">
        <f>IF(INDEX('Decisions'!$H$2:$H$92,MATCH(C12,'Decisions'!$C$2:$C$92,0))="","",INDEX('Decisions'!$H$2:$H$92,MATCH(C12,'Decisions'!$C$2:$C$92,0)))</f>
        <v/>
      </c>
    </row>
    <row r="13" ht="100" customFormat="1" customHeight="1" s="8">
      <c r="A13" s="16" t="n">
        <v>2024</v>
      </c>
      <c r="B13" s="16" t="inlineStr">
        <is>
          <t>jama.2024.23898</t>
        </is>
      </c>
      <c r="C13" s="16" t="inlineStr">
        <is>
          <t>2024::jama.2024.23898::C003</t>
        </is>
      </c>
      <c r="D13" s="16" t="inlineStr">
        <is>
          <t>P_R</t>
        </is>
      </c>
      <c r="E13" s="16" t="inlineStr">
        <is>
          <t>Unplanned-readmission window is 90 days versus 30 days</t>
        </is>
      </c>
      <c r="F13" s="16" t="inlineStr">
        <is>
          <t>Table 3 labels 31 versus 34 unplanned readmissions within 90 days, while article Methods, protocol, and SAP define the endpoint within 30 days.</t>
        </is>
      </c>
      <c r="G13" s="16">
        <f>IF(INDEX('Decisions'!$G$2:$G$92,MATCH(C13,'Decisions'!$C$2:$C$92,0))="","",INDEX('Decisions'!$G$2:$G$92,MATCH(C13,'Decisions'!$C$2:$C$92,0)))</f>
        <v/>
      </c>
      <c r="H13" s="16">
        <f>IF(INDEX('Decisions'!$K$2:$K$92,MATCH(C13,'Decisions'!$C$2:$C$92,0))="","",INDEX('Decisions'!$K$2:$K$92,MATCH(C13,'Decisions'!$C$2:$C$92,0)))</f>
        <v/>
      </c>
      <c r="I13" s="16">
        <f>IF(INDEX('Decisions'!$Q$2:$Q$92,MATCH(C13,'Decisions'!$C$2:$C$92,0))="","",INDEX('Decisions'!$Q$2:$Q$92,MATCH(C13,'Decisions'!$C$2:$C$92,0)))</f>
        <v/>
      </c>
      <c r="J13" s="16">
        <f>IF(INDEX('Decisions'!$P$2:$P$92,MATCH(C13,'Decisions'!$C$2:$C$92,0))="","",INDEX('Decisions'!$P$2:$P$92,MATCH(C13,'Decisions'!$C$2:$C$92,0)))</f>
        <v/>
      </c>
      <c r="K13" s="16">
        <f>IF(INDEX('Decisions'!$R$2:$R$92,MATCH(C13,'Decisions'!$C$2:$C$92,0))="","",INDEX('Decisions'!$R$2:$R$92,MATCH(C13,'Decisions'!$C$2:$C$92,0)))</f>
        <v/>
      </c>
      <c r="L13" s="16">
        <f>IF(INDEX('Decisions'!$H$2:$H$92,MATCH(C13,'Decisions'!$C$2:$C$92,0))="","",INDEX('Decisions'!$H$2:$H$92,MATCH(C13,'Decisions'!$C$2:$C$92,0)))</f>
        <v/>
      </c>
    </row>
    <row r="14" ht="100" customFormat="1" customHeight="1" s="8">
      <c r="A14" s="15" t="n">
        <v>2024</v>
      </c>
      <c r="B14" s="15" t="inlineStr">
        <is>
          <t>jama.2024.23898</t>
        </is>
      </c>
      <c r="C14" s="15" t="inlineStr">
        <is>
          <t>2024::jama.2024.23898::C004</t>
        </is>
      </c>
      <c r="D14" s="15" t="inlineStr">
        <is>
          <t>P_R</t>
        </is>
      </c>
      <c r="E14" s="15" t="inlineStr">
        <is>
          <t>ERAS subgroup cut points differ from the protocol bands</t>
        </is>
      </c>
      <c r="F14" s="15" t="inlineStr">
        <is>
          <t>The protocol gives example ERAS compliance bands of 0–30%, 30–60%, and greater than 60%, whereas the eFigure defines low as fewer than 5 and high as at least 7 of 10 criteria; the printed definitions are not directly reconciled.</t>
        </is>
      </c>
      <c r="G14" s="15">
        <f>IF(INDEX('Decisions'!$G$2:$G$92,MATCH(C14,'Decisions'!$C$2:$C$92,0))="","",INDEX('Decisions'!$G$2:$G$92,MATCH(C14,'Decisions'!$C$2:$C$92,0)))</f>
        <v/>
      </c>
      <c r="H14" s="15">
        <f>IF(INDEX('Decisions'!$K$2:$K$92,MATCH(C14,'Decisions'!$C$2:$C$92,0))="","",INDEX('Decisions'!$K$2:$K$92,MATCH(C14,'Decisions'!$C$2:$C$92,0)))</f>
        <v/>
      </c>
      <c r="I14" s="15">
        <f>IF(INDEX('Decisions'!$Q$2:$Q$92,MATCH(C14,'Decisions'!$C$2:$C$92,0))="","",INDEX('Decisions'!$Q$2:$Q$92,MATCH(C14,'Decisions'!$C$2:$C$92,0)))</f>
        <v/>
      </c>
      <c r="J14" s="15">
        <f>IF(INDEX('Decisions'!$P$2:$P$92,MATCH(C14,'Decisions'!$C$2:$C$92,0))="","",INDEX('Decisions'!$P$2:$P$92,MATCH(C14,'Decisions'!$C$2:$C$92,0)))</f>
        <v/>
      </c>
      <c r="K14" s="15">
        <f>IF(INDEX('Decisions'!$R$2:$R$92,MATCH(C14,'Decisions'!$C$2:$C$92,0))="","",INDEX('Decisions'!$R$2:$R$92,MATCH(C14,'Decisions'!$C$2:$C$92,0)))</f>
        <v/>
      </c>
      <c r="L14" s="15">
        <f>IF(INDEX('Decisions'!$H$2:$H$92,MATCH(C14,'Decisions'!$C$2:$C$92,0))="","",INDEX('Decisions'!$H$2:$H$92,MATCH(C14,'Decisions'!$C$2:$C$92,0)))</f>
        <v/>
      </c>
    </row>
    <row r="15" ht="100" customFormat="1" customHeight="1" s="8">
      <c r="A15" s="16" t="n">
        <v>2024</v>
      </c>
      <c r="B15" s="16" t="inlineStr">
        <is>
          <t>jama.2024.23898</t>
        </is>
      </c>
      <c r="C15" s="16" t="inlineStr">
        <is>
          <t>2024::jama.2024.23898::C007</t>
        </is>
      </c>
      <c r="D15" s="16" t="inlineStr">
        <is>
          <t>P_R</t>
        </is>
      </c>
      <c r="E15" s="16" t="inlineStr">
        <is>
          <t>ERAS subgroup is labeled as two levels versus three levels</t>
        </is>
      </c>
      <c r="F15" s="16" t="inlineStr">
        <is>
          <t>Article Methods calls the ERAS subgroup “high vs low,” while the SAP and eFigure name high, moderate, and low strata for the displayed interaction.</t>
        </is>
      </c>
      <c r="G15" s="16">
        <f>IF(INDEX('Decisions'!$G$2:$G$92,MATCH(C15,'Decisions'!$C$2:$C$92,0))="","",INDEX('Decisions'!$G$2:$G$92,MATCH(C15,'Decisions'!$C$2:$C$92,0)))</f>
        <v/>
      </c>
      <c r="H15" s="16">
        <f>IF(INDEX('Decisions'!$K$2:$K$92,MATCH(C15,'Decisions'!$C$2:$C$92,0))="","",INDEX('Decisions'!$K$2:$K$92,MATCH(C15,'Decisions'!$C$2:$C$92,0)))</f>
        <v/>
      </c>
      <c r="I15" s="16">
        <f>IF(INDEX('Decisions'!$Q$2:$Q$92,MATCH(C15,'Decisions'!$C$2:$C$92,0))="","",INDEX('Decisions'!$Q$2:$Q$92,MATCH(C15,'Decisions'!$C$2:$C$92,0)))</f>
        <v/>
      </c>
      <c r="J15" s="16">
        <f>IF(INDEX('Decisions'!$P$2:$P$92,MATCH(C15,'Decisions'!$C$2:$C$92,0))="","",INDEX('Decisions'!$P$2:$P$92,MATCH(C15,'Decisions'!$C$2:$C$92,0)))</f>
        <v/>
      </c>
      <c r="K15" s="16">
        <f>IF(INDEX('Decisions'!$R$2:$R$92,MATCH(C15,'Decisions'!$C$2:$C$92,0))="","",INDEX('Decisions'!$R$2:$R$92,MATCH(C15,'Decisions'!$C$2:$C$92,0)))</f>
        <v/>
      </c>
      <c r="L15" s="16">
        <f>IF(INDEX('Decisions'!$H$2:$H$92,MATCH(C15,'Decisions'!$C$2:$C$92,0))="","",INDEX('Decisions'!$H$2:$H$92,MATCH(C15,'Decisions'!$C$2:$C$92,0)))</f>
        <v/>
      </c>
    </row>
    <row r="16" ht="100" customFormat="1" customHeight="1" s="8">
      <c r="A16" s="15" t="n">
        <v>2024</v>
      </c>
      <c r="B16" s="15" t="inlineStr">
        <is>
          <t>jama.2024.4183</t>
        </is>
      </c>
      <c r="C16" s="15" t="inlineStr">
        <is>
          <t>2024::jama.2024.4183::C010</t>
        </is>
      </c>
      <c r="D16" s="15" t="inlineStr">
        <is>
          <t>P_P</t>
        </is>
      </c>
      <c r="E16" s="15" t="inlineStr">
        <is>
          <t>Protocol beta parameters do not reproduce the paired varenicline response probability</t>
        </is>
      </c>
      <c r="F16" s="15" t="inlineStr">
        <is>
          <t>Protocol beta parameters do not reproduce the paired varenicline response probability.</t>
        </is>
      </c>
      <c r="G16" s="15">
        <f>IF(INDEX('Decisions'!$G$2:$G$92,MATCH(C16,'Decisions'!$C$2:$C$92,0))="","",INDEX('Decisions'!$G$2:$G$92,MATCH(C16,'Decisions'!$C$2:$C$92,0)))</f>
        <v/>
      </c>
      <c r="H16" s="15">
        <f>IF(INDEX('Decisions'!$K$2:$K$92,MATCH(C16,'Decisions'!$C$2:$C$92,0))="","",INDEX('Decisions'!$K$2:$K$92,MATCH(C16,'Decisions'!$C$2:$C$92,0)))</f>
        <v/>
      </c>
      <c r="I16" s="15">
        <f>IF(INDEX('Decisions'!$Q$2:$Q$92,MATCH(C16,'Decisions'!$C$2:$C$92,0))="","",INDEX('Decisions'!$Q$2:$Q$92,MATCH(C16,'Decisions'!$C$2:$C$92,0)))</f>
        <v/>
      </c>
      <c r="J16" s="15">
        <f>IF(INDEX('Decisions'!$P$2:$P$92,MATCH(C16,'Decisions'!$C$2:$C$92,0))="","",INDEX('Decisions'!$P$2:$P$92,MATCH(C16,'Decisions'!$C$2:$C$92,0)))</f>
        <v/>
      </c>
      <c r="K16" s="15">
        <f>IF(INDEX('Decisions'!$R$2:$R$92,MATCH(C16,'Decisions'!$C$2:$C$92,0))="","",INDEX('Decisions'!$R$2:$R$92,MATCH(C16,'Decisions'!$C$2:$C$92,0)))</f>
        <v/>
      </c>
      <c r="L16" s="15">
        <f>IF(INDEX('Decisions'!$H$2:$H$92,MATCH(C16,'Decisions'!$C$2:$C$92,0))="","",INDEX('Decisions'!$H$2:$H$92,MATCH(C16,'Decisions'!$C$2:$C$92,0)))</f>
        <v/>
      </c>
    </row>
    <row r="17" ht="100" customFormat="1" customHeight="1" s="8">
      <c r="A17" s="16" t="n">
        <v>2024</v>
      </c>
      <c r="B17" s="16" t="inlineStr">
        <is>
          <t>jama.2024.4183</t>
        </is>
      </c>
      <c r="C17" s="16" t="inlineStr">
        <is>
          <t>2024::jama.2024.4183::C011</t>
        </is>
      </c>
      <c r="D17" s="16" t="inlineStr">
        <is>
          <t>P_P</t>
        </is>
      </c>
      <c r="E17" s="16" t="inlineStr">
        <is>
          <t>Protocol Aim-1 power increases at a stricter nested threshold</t>
        </is>
      </c>
      <c r="F17" s="16" t="inlineStr">
        <is>
          <t>Protocol Aim-1 power increases at a stricter nested threshold.</t>
        </is>
      </c>
      <c r="G17" s="16">
        <f>IF(INDEX('Decisions'!$G$2:$G$92,MATCH(C17,'Decisions'!$C$2:$C$92,0))="","",INDEX('Decisions'!$G$2:$G$92,MATCH(C17,'Decisions'!$C$2:$C$92,0)))</f>
        <v/>
      </c>
      <c r="H17" s="16">
        <f>IF(INDEX('Decisions'!$K$2:$K$92,MATCH(C17,'Decisions'!$C$2:$C$92,0))="","",INDEX('Decisions'!$K$2:$K$92,MATCH(C17,'Decisions'!$C$2:$C$92,0)))</f>
        <v/>
      </c>
      <c r="I17" s="16">
        <f>IF(INDEX('Decisions'!$Q$2:$Q$92,MATCH(C17,'Decisions'!$C$2:$C$92,0))="","",INDEX('Decisions'!$Q$2:$Q$92,MATCH(C17,'Decisions'!$C$2:$C$92,0)))</f>
        <v/>
      </c>
      <c r="J17" s="16">
        <f>IF(INDEX('Decisions'!$P$2:$P$92,MATCH(C17,'Decisions'!$C$2:$C$92,0))="","",INDEX('Decisions'!$P$2:$P$92,MATCH(C17,'Decisions'!$C$2:$C$92,0)))</f>
        <v/>
      </c>
      <c r="K17" s="16">
        <f>IF(INDEX('Decisions'!$R$2:$R$92,MATCH(C17,'Decisions'!$C$2:$C$92,0))="","",INDEX('Decisions'!$R$2:$R$92,MATCH(C17,'Decisions'!$C$2:$C$92,0)))</f>
        <v/>
      </c>
      <c r="L17" s="16">
        <f>IF(INDEX('Decisions'!$H$2:$H$92,MATCH(C17,'Decisions'!$C$2:$C$92,0))="","",INDEX('Decisions'!$H$2:$H$92,MATCH(C17,'Decisions'!$C$2:$C$92,0)))</f>
        <v/>
      </c>
    </row>
    <row r="18" ht="100" customFormat="1" customHeight="1" s="8">
      <c r="A18" s="15" t="n">
        <v>2024</v>
      </c>
      <c r="B18" s="15" t="inlineStr">
        <is>
          <t>jama.2024.4183</t>
        </is>
      </c>
      <c r="C18" s="15" t="inlineStr">
        <is>
          <t>2024::jama.2024.4183::C012</t>
        </is>
      </c>
      <c r="D18" s="15" t="inlineStr">
        <is>
          <t>P_P</t>
        </is>
      </c>
      <c r="E18" s="15" t="inlineStr">
        <is>
          <t>Protocol Table 3 duplicates an Aim-2 comparator label</t>
        </is>
      </c>
      <c r="F18" s="15" t="inlineStr">
        <is>
          <t>Protocol Table 3 duplicates an Aim-2 comparator label.</t>
        </is>
      </c>
      <c r="G18" s="15">
        <f>IF(INDEX('Decisions'!$G$2:$G$92,MATCH(C18,'Decisions'!$C$2:$C$92,0))="","",INDEX('Decisions'!$G$2:$G$92,MATCH(C18,'Decisions'!$C$2:$C$92,0)))</f>
        <v/>
      </c>
      <c r="H18" s="15">
        <f>IF(INDEX('Decisions'!$K$2:$K$92,MATCH(C18,'Decisions'!$C$2:$C$92,0))="","",INDEX('Decisions'!$K$2:$K$92,MATCH(C18,'Decisions'!$C$2:$C$92,0)))</f>
        <v/>
      </c>
      <c r="I18" s="15">
        <f>IF(INDEX('Decisions'!$Q$2:$Q$92,MATCH(C18,'Decisions'!$C$2:$C$92,0))="","",INDEX('Decisions'!$Q$2:$Q$92,MATCH(C18,'Decisions'!$C$2:$C$92,0)))</f>
        <v/>
      </c>
      <c r="J18" s="15">
        <f>IF(INDEX('Decisions'!$P$2:$P$92,MATCH(C18,'Decisions'!$C$2:$C$92,0))="","",INDEX('Decisions'!$P$2:$P$92,MATCH(C18,'Decisions'!$C$2:$C$92,0)))</f>
        <v/>
      </c>
      <c r="K18" s="15">
        <f>IF(INDEX('Decisions'!$R$2:$R$92,MATCH(C18,'Decisions'!$C$2:$C$92,0))="","",INDEX('Decisions'!$R$2:$R$92,MATCH(C18,'Decisions'!$C$2:$C$92,0)))</f>
        <v/>
      </c>
      <c r="L18" s="15">
        <f>IF(INDEX('Decisions'!$H$2:$H$92,MATCH(C18,'Decisions'!$C$2:$C$92,0))="","",INDEX('Decisions'!$H$2:$H$92,MATCH(C18,'Decisions'!$C$2:$C$92,0)))</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92"/>
  <sheetViews>
    <sheetView showGridLines="0" workbookViewId="0">
      <pane xSplit="1" ySplit="1" topLeftCell="B2" activePane="bottomRight" state="frozen"/>
      <selection activeCell="A1" sqref="A1"/>
    </sheetView>
  </sheetViews>
  <sheetFormatPr baseColWidth="8" defaultRowHeight="15"/>
  <cols>
    <col width="26" customWidth="1" style="8" min="1" max="1"/>
    <col width="26" customWidth="1" style="8" min="2" max="2"/>
    <col width="26" customWidth="1" style="8" min="3" max="3"/>
    <col width="26" customWidth="1" style="8" min="4" max="4"/>
    <col width="26" customWidth="1" style="8" min="5" max="5"/>
    <col width="26" customWidth="1" style="8" min="6" max="6"/>
    <col width="44" customWidth="1" style="8" min="7" max="7"/>
    <col width="26" customWidth="1" style="8" min="8" max="8"/>
    <col width="75" customWidth="1" style="8" min="9" max="9"/>
    <col width="26" customWidth="1" style="8" min="10" max="10"/>
    <col width="26" customWidth="1" style="8" min="11" max="11"/>
    <col width="26" customWidth="1" style="8" min="12" max="12"/>
    <col width="26" customWidth="1" style="8" min="13" max="13"/>
    <col width="80" customWidth="1" style="8" min="14" max="14"/>
    <col width="26" customWidth="1" style="8" min="15" max="15"/>
    <col width="26" customWidth="1" style="8" min="16" max="16"/>
    <col width="26" customWidth="1" style="8" min="17" max="17"/>
    <col width="26" customWidth="1" style="8" min="18" max="18"/>
    <col width="90" customWidth="1" style="8" min="19" max="19"/>
    <col width="26" customWidth="1" style="8" min="20" max="20"/>
    <col width="26" customWidth="1" style="8" min="21" max="21"/>
    <col width="26" customWidth="1" style="8" min="22" max="22"/>
    <col width="65" customWidth="1" style="8" min="23" max="23"/>
    <col width="26" customWidth="1" style="8" min="24" max="24"/>
    <col width="26" customWidth="1" style="8" min="25" max="25"/>
    <col width="26" customWidth="1" style="8" min="26" max="26"/>
    <col width="26" customWidth="1" style="8" min="27" max="27"/>
    <col width="26" customWidth="1" style="8" min="28" max="28"/>
  </cols>
  <sheetData>
    <row r="1" ht="42" customFormat="1" customHeight="1" s="8">
      <c r="A1" s="5" t="inlineStr">
        <is>
          <t>additionalSensitivityExclude</t>
        </is>
      </c>
      <c r="B1" s="5" t="inlineStr">
        <is>
          <t>ambiguity</t>
        </is>
      </c>
      <c r="C1" s="5" t="inlineStr">
        <is>
          <t>broadPlanInvolved</t>
        </is>
      </c>
      <c r="D1" s="5" t="inlineStr">
        <is>
          <t>category</t>
        </is>
      </c>
      <c r="E1" s="5" t="inlineStr">
        <is>
          <t>currentReportCrossDocument</t>
        </is>
      </c>
      <c r="F1" s="5" t="inlineStr">
        <is>
          <t>id</t>
        </is>
      </c>
      <c r="G1" s="5" t="inlineStr">
        <is>
          <t>key</t>
        </is>
      </c>
      <c r="H1" s="5" t="inlineStr">
        <is>
          <t>legacyRelationship</t>
        </is>
      </c>
      <c r="I1" s="5" t="inlineStr">
        <is>
          <t>locations</t>
        </is>
      </c>
      <c r="J1" s="5" t="inlineStr">
        <is>
          <t>originalCrossDocument</t>
        </is>
      </c>
      <c r="K1" s="5" t="inlineStr">
        <is>
          <t>package</t>
        </is>
      </c>
      <c r="L1" s="5" t="inlineStr">
        <is>
          <t>planMechanism</t>
        </is>
      </c>
      <c r="M1" s="5" t="inlineStr">
        <is>
          <t>primary</t>
        </is>
      </c>
      <c r="N1" s="5" t="inlineStr">
        <is>
          <t>rationale</t>
        </is>
      </c>
      <c r="O1" s="5" t="inlineStr">
        <is>
          <t>reportHref</t>
        </is>
      </c>
      <c r="P1" s="5" t="inlineStr">
        <is>
          <t>reportPath</t>
        </is>
      </c>
      <c r="Q1" s="5" t="inlineStr">
        <is>
          <t>sourceId</t>
        </is>
      </c>
      <c r="R1" s="5" t="inlineStr">
        <is>
          <t>sourceStatus</t>
        </is>
      </c>
      <c r="S1" s="5" t="inlineStr">
        <is>
          <t>statement</t>
        </is>
      </c>
      <c r="T1" s="5" t="inlineStr">
        <is>
          <t>submissionInvolved</t>
        </is>
      </c>
      <c r="U1" s="5" t="inlineStr">
        <is>
          <t>subtype</t>
        </is>
      </c>
      <c r="V1" s="5" t="inlineStr">
        <is>
          <t>suggestedDomain</t>
        </is>
      </c>
      <c r="W1" s="5" t="inlineStr">
        <is>
          <t>title</t>
        </is>
      </c>
      <c r="X1" s="5" t="inlineStr">
        <is>
          <t>year</t>
        </is>
      </c>
      <c r="Y1" s="5" t="inlineStr">
        <is>
          <t>ai_source</t>
        </is>
      </c>
      <c r="Z1" s="5" t="inlineStr">
        <is>
          <t>ai_relationship</t>
        </is>
      </c>
      <c r="AA1" s="5" t="inlineStr">
        <is>
          <t>ai_domain</t>
        </is>
      </c>
      <c r="AB1" s="5" t="inlineStr">
        <is>
          <t>ai_disposition</t>
        </is>
      </c>
    </row>
    <row r="2" ht="90" customFormat="1" customHeight="1" s="8">
      <c r="A2" s="12" t="b">
        <v>0</v>
      </c>
      <c r="B2" s="12" t="inlineStr">
        <is>
          <t>Population identity of the branch counts is conditional; no plan comparator.</t>
        </is>
      </c>
      <c r="C2" s="12" t="b">
        <v>0</v>
      </c>
      <c r="D2" s="12" t="inlineStr">
        <is>
          <t>Denominator, proportion, or total inconsistency</t>
        </is>
      </c>
      <c r="E2" s="12" t="b">
        <v>0</v>
      </c>
      <c r="F2" s="12" t="inlineStr">
        <is>
          <t>C001</t>
        </is>
      </c>
      <c r="G2" s="12" t="inlineStr">
        <is>
          <t>2024::jama.2024.0318::C001</t>
        </is>
      </c>
      <c r="H2" s="12" t="n"/>
      <c r="I2" s="12" t="inlineStr">
        <is>
          <t>jama_courcoulas_2024_oi_240004_1721756962.76052.pdf — PDF p. 3, Figure 1 and adjoining Results text.</t>
        </is>
      </c>
      <c r="J2" s="12" t="b">
        <v>0</v>
      </c>
      <c r="K2" s="12" t="inlineStr">
        <is>
          <t>jama.2024.0318</t>
        </is>
      </c>
      <c r="L2" s="12" t="n"/>
      <c r="M2" s="12" t="inlineStr">
        <is>
          <t>S_W</t>
        </is>
      </c>
      <c r="N2" s="12" t="inlineStr">
        <is>
          <t>The 305 parent and 193+122=315 child allocation boxes disagree inside main Figure 1.</t>
        </is>
      </c>
      <c r="O2" s="12" t="inlineStr">
        <is>
          <t>../../2024/jama.2024.0318/.ai_paper_validation/final_report_1_5_3.html</t>
        </is>
      </c>
      <c r="P2" s="12" t="inlineStr">
        <is>
          <t>2024/jama.2024.0318/.ai_paper_validation/final_report_1_5_3.md</t>
        </is>
      </c>
      <c r="Q2" s="12" t="inlineStr">
        <is>
          <t>C001</t>
        </is>
      </c>
      <c r="R2" s="12" t="inlineStr">
        <is>
          <t>Pending Human Adjudication</t>
        </is>
      </c>
      <c r="S2" s="12" t="inlineStr">
        <is>
          <t>Figure 1 displays a 305-person available cohort that branches to treatment counts totaling 315.</t>
        </is>
      </c>
      <c r="T2" s="12" t="b">
        <v>1</v>
      </c>
      <c r="U2" s="12" t="inlineStr">
        <is>
          <t>flow_total</t>
        </is>
      </c>
      <c r="V2" s="12" t="inlineStr">
        <is>
          <t>statistical_results</t>
        </is>
      </c>
      <c r="W2" s="12" t="inlineStr">
        <is>
          <t>Figure 1 allocation branches exceed the displayed available cohort by 10 participants</t>
        </is>
      </c>
      <c r="X2" s="12" t="inlineStr">
        <is>
          <t>2024</t>
        </is>
      </c>
      <c r="Y2" s="12" t="inlineStr">
        <is>
          <t>meta_report/consistency_reclassification_2026-09-04/reclassified_candidates.json</t>
        </is>
      </c>
      <c r="Z2" s="12" t="inlineStr">
        <is>
          <t>S_W</t>
        </is>
      </c>
      <c r="AA2" s="12" t="inlineStr">
        <is>
          <t>statistical_results</t>
        </is>
      </c>
      <c r="AB2" s="12" t="inlineStr">
        <is>
          <t>retain</t>
        </is>
      </c>
    </row>
    <row r="3" ht="90" customFormat="1" customHeight="1" s="8">
      <c r="A3" s="11" t="b">
        <v>0</v>
      </c>
      <c r="B3" s="11" t="inlineStr">
        <is>
          <t>The table may intentionally mix visits without adequate labels; classified by its internal heading/footnote relationship.</t>
        </is>
      </c>
      <c r="C3" s="11" t="b">
        <v>0</v>
      </c>
      <c r="D3" s="11" t="inlineStr">
        <is>
          <t>Measure, label, or scale inconsistency</t>
        </is>
      </c>
      <c r="E3" s="11" t="b">
        <v>0</v>
      </c>
      <c r="F3" s="11" t="inlineStr">
        <is>
          <t>C002</t>
        </is>
      </c>
      <c r="G3" s="11" t="inlineStr">
        <is>
          <t>2024::jama.2024.0318::C002</t>
        </is>
      </c>
      <c r="H3" s="11" t="n"/>
      <c r="I3" s="11" t="inlineStr">
        <is>
          <t>joi240004supp2_prod_1721756962.82552.pdf — PDF p. 15, eTable 2 title, columns, rows, and footnotes a-b; joi240004supp2_prod_1721756962.82552.pdf — PDF p. 16, footnotes c-e; jama_courcoulas_2024_oi_240004_1721756962.76052.pdf — PDF p. 3, Results pointer to eTable 2.</t>
        </is>
      </c>
      <c r="J3" s="11" t="b">
        <v>0</v>
      </c>
      <c r="K3" s="11" t="inlineStr">
        <is>
          <t>jama.2024.0318</t>
        </is>
      </c>
      <c r="L3" s="11" t="n"/>
      <c r="M3" s="11" t="inlineStr">
        <is>
          <t>S_W</t>
        </is>
      </c>
      <c r="N3" s="11" t="inlineStr">
        <is>
          <t>Year-12 headings and year-7 footnote definitions conflict within results-supplement eTable 2. The main article pointer corroborates the heading rather than supplying an additional targeted discrepancy.</t>
        </is>
      </c>
      <c r="O3" s="11" t="inlineStr">
        <is>
          <t>../../2024/jama.2024.0318/.ai_paper_validation/final_report_1_5_3.html</t>
        </is>
      </c>
      <c r="P3" s="11" t="inlineStr">
        <is>
          <t>2024/jama.2024.0318/.ai_paper_validation/final_report_1_5_3.md</t>
        </is>
      </c>
      <c r="Q3" s="11" t="inlineStr">
        <is>
          <t>C002</t>
        </is>
      </c>
      <c r="R3" s="11" t="inlineStr">
        <is>
          <t>Pending Human Adjudication</t>
        </is>
      </c>
      <c r="S3" s="11" t="inlineStr">
        <is>
          <t>eTable 2 presents year-12 headings while key footnotes define its quantitative outputs at year 7.</t>
        </is>
      </c>
      <c r="T3" s="11" t="b">
        <v>1</v>
      </c>
      <c r="U3" s="11" t="inlineStr">
        <is>
          <t>timepoint_label</t>
        </is>
      </c>
      <c r="V3" s="11" t="inlineStr">
        <is>
          <t>report_internal_inconsistency</t>
        </is>
      </c>
      <c r="W3" s="11" t="inlineStr">
        <is>
          <t>Supplement eTable 2 mixes year-12 headings with year-7 quantitative footnote definitions</t>
        </is>
      </c>
      <c r="X3" s="11" t="inlineStr">
        <is>
          <t>2024</t>
        </is>
      </c>
      <c r="Y3" s="11" t="inlineStr">
        <is>
          <t>meta_report/consistency_reclassification_2026-09-04/reclassified_candidates.json</t>
        </is>
      </c>
      <c r="Z3" s="11" t="inlineStr">
        <is>
          <t>S_W</t>
        </is>
      </c>
      <c r="AA3" s="11" t="inlineStr">
        <is>
          <t>report_internal_inconsistency</t>
        </is>
      </c>
      <c r="AB3" s="11" t="inlineStr">
        <is>
          <t>retain</t>
        </is>
      </c>
    </row>
    <row r="4" ht="90" customFormat="1" customHeight="1" s="8">
      <c r="A4" s="12" t="b">
        <v>0</v>
      </c>
      <c r="B4" s="12" t="inlineStr">
        <is>
          <t>Timepoint ambiguity in C002 leaves exact analysis identity conditional; this is a separate P-value comparison.</t>
        </is>
      </c>
      <c r="C4" s="12" t="b">
        <v>0</v>
      </c>
      <c r="D4" s="12" t="inlineStr">
        <is>
          <t>Cross-document numeric inconsistency</t>
        </is>
      </c>
      <c r="E4" s="12" t="b">
        <v>1</v>
      </c>
      <c r="F4" s="12" t="inlineStr">
        <is>
          <t>C003</t>
        </is>
      </c>
      <c r="G4" s="12" t="inlineStr">
        <is>
          <t>2024::jama.2024.0318::C003</t>
        </is>
      </c>
      <c r="H4" s="12" t="n"/>
      <c r="I4" s="12" t="inlineStr">
        <is>
          <t>jama_courcoulas_2024_oi_240004_1721756962.76052.pdf — PDF p. 1, Abstract Results; jama_courcoulas_2024_oi_240004_1721756962.76052.pdf — PDF p. 3, Results; joi240004supp2_prod_1721756962.82552.pdf — PDF p. 15, eTable 2 HbA1c row.</t>
        </is>
      </c>
      <c r="J4" s="12" t="b">
        <v>1</v>
      </c>
      <c r="K4" s="12" t="inlineStr">
        <is>
          <t>jama.2024.0318</t>
        </is>
      </c>
      <c r="L4" s="12" t="n"/>
      <c r="M4" s="12" t="inlineStr">
        <is>
          <t>S_C</t>
        </is>
      </c>
      <c r="N4" s="12" t="inlineStr">
        <is>
          <t>Main abstract/Results give P=.002 but matched results-supplement eTable 2 gives P&lt;.001 for the same displayed HbA1c estimate and interval.</t>
        </is>
      </c>
      <c r="O4" s="12" t="inlineStr">
        <is>
          <t>../../2024/jama.2024.0318/.ai_paper_validation/final_report_1_5_3.html</t>
        </is>
      </c>
      <c r="P4" s="12" t="inlineStr">
        <is>
          <t>2024/jama.2024.0318/.ai_paper_validation/final_report_1_5_3.md</t>
        </is>
      </c>
      <c r="Q4" s="12" t="inlineStr">
        <is>
          <t>C003</t>
        </is>
      </c>
      <c r="R4" s="12" t="inlineStr">
        <is>
          <t>Pending Human Adjudication</t>
        </is>
      </c>
      <c r="S4" s="12" t="inlineStr">
        <is>
          <t>The main article and eTable 2 print the same displayed 12-year HbA1c estimate and interval with different P values.</t>
        </is>
      </c>
      <c r="T4" s="12" t="b">
        <v>1</v>
      </c>
      <c r="U4" s="12" t="inlineStr">
        <is>
          <t>p_value_repeat</t>
        </is>
      </c>
      <c r="V4" s="12" t="inlineStr">
        <is>
          <t>report_internal_inconsistency</t>
        </is>
      </c>
      <c r="W4" s="12" t="inlineStr">
        <is>
          <t>Matched 12-year HbA1c result has incompatible printed P values</t>
        </is>
      </c>
      <c r="X4" s="12" t="inlineStr">
        <is>
          <t>2024</t>
        </is>
      </c>
      <c r="Y4" s="12" t="inlineStr">
        <is>
          <t>meta_report/consistency_reclassification_2026-09-04/reclassified_candidates.json</t>
        </is>
      </c>
      <c r="Z4" s="12" t="inlineStr">
        <is>
          <t>S_C</t>
        </is>
      </c>
      <c r="AA4" s="12" t="inlineStr">
        <is>
          <t>report_internal_inconsistency</t>
        </is>
      </c>
      <c r="AB4" s="12" t="inlineStr">
        <is>
          <t>retain</t>
        </is>
      </c>
    </row>
    <row r="5" ht="90" customFormat="1" customHeight="1" s="8">
      <c r="A5" s="11" t="b">
        <v>0</v>
      </c>
      <c r="B5" s="11" t="n"/>
      <c r="C5" s="11" t="b">
        <v>0</v>
      </c>
      <c r="D5" s="11" t="inlineStr">
        <is>
          <t>Measure, label, or scale inconsistency</t>
        </is>
      </c>
      <c r="E5" s="11" t="b">
        <v>0</v>
      </c>
      <c r="F5" s="11" t="inlineStr">
        <is>
          <t>C004</t>
        </is>
      </c>
      <c r="G5" s="11" t="inlineStr">
        <is>
          <t>2024::jama.2024.0318::C004</t>
        </is>
      </c>
      <c r="H5" s="11" t="n"/>
      <c r="I5" s="11" t="inlineStr">
        <is>
          <t>jama_courcoulas_2024_oi_240004_1721756962.76052.pdf — PDF p. 4, Results narrative; jama_courcoulas_2024_oi_240004_1721756962.76052.pdf — PDF p. 6, Table 2; joi240004supp2_prod_1721756962.82552.pdf — PDF p. 4, binary-analysis context.</t>
        </is>
      </c>
      <c r="J5" s="11" t="b">
        <v>0</v>
      </c>
      <c r="K5" s="11" t="inlineStr">
        <is>
          <t>jama.2024.0318</t>
        </is>
      </c>
      <c r="L5" s="11" t="n"/>
      <c r="M5" s="11" t="inlineStr">
        <is>
          <t>S_W</t>
        </is>
      </c>
      <c r="N5" s="11" t="inlineStr">
        <is>
          <t>Main narrative says HbA1c&lt;=6.5%, whereas its cited Table 2 says &lt;6.5%. Supplementary GEE methods do not state the operator and are context only.</t>
        </is>
      </c>
      <c r="O5" s="11" t="inlineStr">
        <is>
          <t>../../2024/jama.2024.0318/.ai_paper_validation/final_report_1_5_3.html</t>
        </is>
      </c>
      <c r="P5" s="11" t="inlineStr">
        <is>
          <t>2024/jama.2024.0318/.ai_paper_validation/final_report_1_5_3.md</t>
        </is>
      </c>
      <c r="Q5" s="11" t="inlineStr">
        <is>
          <t>C004</t>
        </is>
      </c>
      <c r="R5" s="11" t="inlineStr">
        <is>
          <t>Pending Human Adjudication</t>
        </is>
      </c>
      <c r="S5" s="11" t="inlineStr">
        <is>
          <t>The narrative cites Table 2 for the same year-7 outcome while using &lt;=6.5%; Table 2 uses &lt;6.5%.</t>
        </is>
      </c>
      <c r="T5" s="11" t="b">
        <v>1</v>
      </c>
      <c r="U5" s="11" t="inlineStr">
        <is>
          <t>threshold_operator</t>
        </is>
      </c>
      <c r="V5" s="11" t="inlineStr">
        <is>
          <t>report_internal_inconsistency</t>
        </is>
      </c>
      <c r="W5" s="11" t="inlineStr">
        <is>
          <t>The same year-7 glycemic outcome is labeled as both HbA1c less than or equal to 6.5% and HbA1c below 6.5%</t>
        </is>
      </c>
      <c r="X5" s="11" t="inlineStr">
        <is>
          <t>2024</t>
        </is>
      </c>
      <c r="Y5" s="11" t="inlineStr">
        <is>
          <t>meta_report/consistency_reclassification_2026-09-04/reclassified_candidates.json</t>
        </is>
      </c>
      <c r="Z5" s="11" t="inlineStr">
        <is>
          <t>S_W</t>
        </is>
      </c>
      <c r="AA5" s="11" t="inlineStr">
        <is>
          <t>report_internal_inconsistency</t>
        </is>
      </c>
      <c r="AB5" s="11" t="inlineStr">
        <is>
          <t>retain</t>
        </is>
      </c>
    </row>
    <row r="6" ht="90" customFormat="1" customHeight="1" s="8">
      <c r="A6" s="12" t="b">
        <v>0</v>
      </c>
      <c r="B6" s="12" t="inlineStr">
        <is>
          <t>An unreported abstract risk set remains possible.</t>
        </is>
      </c>
      <c r="C6" s="12" t="b">
        <v>0</v>
      </c>
      <c r="D6" s="12" t="inlineStr">
        <is>
          <t>Denominator, proportion, or total inconsistency</t>
        </is>
      </c>
      <c r="E6" s="12" t="b">
        <v>0</v>
      </c>
      <c r="F6" s="12" t="inlineStr">
        <is>
          <t>C005</t>
        </is>
      </c>
      <c r="G6" s="12" t="inlineStr">
        <is>
          <t>2024::jama.2024.0318::C005</t>
        </is>
      </c>
      <c r="H6" s="12" t="n"/>
      <c r="I6" s="12" t="inlineStr">
        <is>
          <t>jama_courcoulas_2024_oi_240004_1721756962.76052.pdf — PDF p. 1, Abstract Results; jama_courcoulas_2024_oi_240004_1721756962.76052.pdf — PDF p. 3, enrolled groups; jama_courcoulas_2024_oi_240004_1721756962.76052.pdf — PDF p. 7, death narrative; jama_courcoulas_2024_oi_240004_1721756962.76052.pdf — PDF p. 8, Table 3.</t>
        </is>
      </c>
      <c r="J6" s="12" t="b">
        <v>0</v>
      </c>
      <c r="K6" s="12" t="inlineStr">
        <is>
          <t>jama.2024.0318</t>
        </is>
      </c>
      <c r="L6" s="12" t="n"/>
      <c r="M6" s="12" t="inlineStr">
        <is>
          <t>S_W</t>
        </is>
      </c>
      <c r="N6" s="12" t="inlineStr">
        <is>
          <t>Main abstract gives four deaths as2.2%, whereas its own enrolled denominators and Table3 imply4/262=1.5%.</t>
        </is>
      </c>
      <c r="O6" s="12" t="inlineStr">
        <is>
          <t>../../2024/jama.2024.0318/.ai_paper_validation/final_report_1_5_3.html</t>
        </is>
      </c>
      <c r="P6" s="12" t="inlineStr">
        <is>
          <t>2024/jama.2024.0318/.ai_paper_validation/final_report_1_5_3.md</t>
        </is>
      </c>
      <c r="Q6" s="12" t="inlineStr">
        <is>
          <t>C005</t>
        </is>
      </c>
      <c r="R6" s="12" t="inlineStr">
        <is>
          <t>Pending Human Adjudication</t>
        </is>
      </c>
      <c r="S6" s="12" t="inlineStr">
        <is>
          <t>The abstract's 2.2% for four deaths does not match the combined percentage implied by displayed group counts and denominators.</t>
        </is>
      </c>
      <c r="T6" s="12" t="b">
        <v>1</v>
      </c>
      <c r="U6" s="12" t="inlineStr">
        <is>
          <t>count_percentage</t>
        </is>
      </c>
      <c r="V6" s="12" t="inlineStr">
        <is>
          <t>statistical_results</t>
        </is>
      </c>
      <c r="W6" s="12" t="inlineStr">
        <is>
          <t>Abstract percentage for four deaths does not reconcile with displayed group counts and denominators</t>
        </is>
      </c>
      <c r="X6" s="12" t="inlineStr">
        <is>
          <t>2024</t>
        </is>
      </c>
      <c r="Y6" s="12" t="inlineStr">
        <is>
          <t>meta_report/consistency_reclassification_2026-09-04/reclassified_candidates.json</t>
        </is>
      </c>
      <c r="Z6" s="12" t="inlineStr">
        <is>
          <t>S_W</t>
        </is>
      </c>
      <c r="AA6" s="12" t="inlineStr">
        <is>
          <t>statistical_results</t>
        </is>
      </c>
      <c r="AB6" s="12" t="inlineStr">
        <is>
          <t>retain</t>
        </is>
      </c>
    </row>
    <row r="7" ht="90" customFormat="1" customHeight="1" s="8">
      <c r="A7" s="11" t="b">
        <v>0</v>
      </c>
      <c r="B7" s="11" t="inlineStr">
        <is>
          <t>Actual membership impact depends on boundary values and coding.</t>
        </is>
      </c>
      <c r="C7" s="11" t="b">
        <v>0</v>
      </c>
      <c r="D7" s="11" t="inlineStr">
        <is>
          <t>Measure, label, or scale inconsistency</t>
        </is>
      </c>
      <c r="E7" s="11" t="b">
        <v>1</v>
      </c>
      <c r="F7" s="11" t="inlineStr">
        <is>
          <t>C006</t>
        </is>
      </c>
      <c r="G7" s="11" t="inlineStr">
        <is>
          <t>2024::jama.2024.0318::C006</t>
        </is>
      </c>
      <c r="H7" s="11" t="n"/>
      <c r="I7" s="11" t="inlineStr">
        <is>
          <t>jama_courcoulas_2024_oi_240004_1721756962.76052.pdf — PDF p. 7, Results narrative; joi240004supp2_prod_1721756962.82552.pdf — PDF p. 13, eFigure 6 title, legends, and explanatory text.</t>
        </is>
      </c>
      <c r="J7" s="11" t="b">
        <v>0</v>
      </c>
      <c r="K7" s="11" t="inlineStr">
        <is>
          <t>jama.2024.0318</t>
        </is>
      </c>
      <c r="L7" s="11" t="n"/>
      <c r="M7" s="11" t="inlineStr">
        <is>
          <t>S_C</t>
        </is>
      </c>
      <c r="N7" s="11" t="inlineStr">
        <is>
          <t>Main reports BMI&gt;=35 for its higher subgroup, but the linked non-plan eFigure6 repeatedly prints BMI&gt;35.</t>
        </is>
      </c>
      <c r="O7" s="11" t="inlineStr">
        <is>
          <t>../../2024/jama.2024.0318/.ai_paper_validation/final_report_1_5_3.html</t>
        </is>
      </c>
      <c r="P7" s="11" t="inlineStr">
        <is>
          <t>2024/jama.2024.0318/.ai_paper_validation/final_report_1_5_3.md</t>
        </is>
      </c>
      <c r="Q7" s="11" t="inlineStr">
        <is>
          <t>C006</t>
        </is>
      </c>
      <c r="R7" s="11" t="inlineStr">
        <is>
          <t>Pending Human Adjudication</t>
        </is>
      </c>
      <c r="S7" s="11" t="inlineStr">
        <is>
          <t>The main article defines the higher exploratory BMI subgroup as 35 or greater, whereas eFigure 6 labels it greater than 35.</t>
        </is>
      </c>
      <c r="T7" s="11" t="b">
        <v>1</v>
      </c>
      <c r="U7" s="11" t="inlineStr">
        <is>
          <t>threshold_operator</t>
        </is>
      </c>
      <c r="V7" s="11" t="inlineStr">
        <is>
          <t>report_internal_inconsistency</t>
        </is>
      </c>
      <c r="W7" s="11" t="inlineStr">
        <is>
          <t>The same exploratory BMI subgroup boundary is labeled as both 35 or greater and greater than 35</t>
        </is>
      </c>
      <c r="X7" s="11" t="inlineStr">
        <is>
          <t>2024</t>
        </is>
      </c>
      <c r="Y7" s="11" t="inlineStr">
        <is>
          <t>meta_report/consistency_reclassification_2026-09-04/reclassified_candidates.json</t>
        </is>
      </c>
      <c r="Z7" s="11" t="inlineStr">
        <is>
          <t>S_C</t>
        </is>
      </c>
      <c r="AA7" s="11" t="inlineStr">
        <is>
          <t>report_internal_inconsistency</t>
        </is>
      </c>
      <c r="AB7" s="11" t="inlineStr">
        <is>
          <t>retain</t>
        </is>
      </c>
    </row>
    <row r="8" ht="90" customFormat="1" customHeight="1" s="8">
      <c r="A8" s="12" t="b">
        <v>0</v>
      </c>
      <c r="B8" s="12" t="inlineStr">
        <is>
          <t>Requires ordinary nearest-whole rounding and identical outcome derivation.</t>
        </is>
      </c>
      <c r="C8" s="12" t="b">
        <v>0</v>
      </c>
      <c r="D8" s="12" t="inlineStr">
        <is>
          <t>Cross-document numeric inconsistency</t>
        </is>
      </c>
      <c r="E8" s="12" t="b">
        <v>1</v>
      </c>
      <c r="F8" s="12" t="inlineStr">
        <is>
          <t>C001</t>
        </is>
      </c>
      <c r="G8" s="12" t="inlineStr">
        <is>
          <t>2024::jama.2024.0572::C001</t>
        </is>
      </c>
      <c r="H8" s="12" t="n"/>
      <c r="I8" s="12" t="inlineStr">
        <is>
          <t>Main article Figure 2 — PDF p. 7; Supplement 5 eTable 2 — PDF p. 38; main Results population statement — PDF p. 4; and Supplement 5 eFigure 3 — PDF p. 8.</t>
        </is>
      </c>
      <c r="J8" s="12" t="b">
        <v>1</v>
      </c>
      <c r="K8" s="12" t="inlineStr">
        <is>
          <t>jama.2024.0572</t>
        </is>
      </c>
      <c r="L8" s="12" t="n"/>
      <c r="M8" s="12" t="inlineStr">
        <is>
          <t>S_C</t>
        </is>
      </c>
      <c r="N8" s="12" t="inlineStr">
        <is>
          <t>Main Figure2 ITT mRS distributions reconstruct different threshold counts from results-supplement eTable2 despite matched168-per-arm labels.</t>
        </is>
      </c>
      <c r="O8" s="12" t="inlineStr">
        <is>
          <t>../../2024/jama.2024.0572/.ai_paper_validation/final_report_1_5_3.html</t>
        </is>
      </c>
      <c r="P8" s="12" t="inlineStr">
        <is>
          <t>2024/jama.2024.0572/.ai_paper_validation/final_report_1_5_3.md</t>
        </is>
      </c>
      <c r="Q8" s="12" t="inlineStr">
        <is>
          <t>C001</t>
        </is>
      </c>
      <c r="R8" s="12" t="inlineStr">
        <is>
          <t>Pending Human Adjudication</t>
        </is>
      </c>
      <c r="S8" s="12" t="inlineStr">
        <is>
          <t>The Figure 2 ITT 90-day mRS distributions and Supplement 5 eTable 2 ITT threshold counts do not reconcile under ordinary nearest-whole-percentage rounding, despite matching ITT labels and 168 participants per arm.</t>
        </is>
      </c>
      <c r="T8" s="12" t="b">
        <v>1</v>
      </c>
      <c r="U8" s="12" t="inlineStr">
        <is>
          <t>distribution_threshold_counts</t>
        </is>
      </c>
      <c r="V8" s="12" t="inlineStr">
        <is>
          <t>report_internal_inconsistency</t>
        </is>
      </c>
      <c r="W8" s="12" t="inlineStr">
        <is>
          <t>ITT Figure 2 mRS distributions conflict with ITT eTable 2 threshold counts</t>
        </is>
      </c>
      <c r="X8" s="12" t="inlineStr">
        <is>
          <t>2024</t>
        </is>
      </c>
      <c r="Y8" s="12" t="inlineStr">
        <is>
          <t>meta_report/consistency_reclassification_2026-09-04/reclassified_candidates.json</t>
        </is>
      </c>
      <c r="Z8" s="12" t="inlineStr">
        <is>
          <t>S_C</t>
        </is>
      </c>
      <c r="AA8" s="12" t="inlineStr">
        <is>
          <t>report_internal_inconsistency</t>
        </is>
      </c>
      <c r="AB8" s="12" t="inlineStr">
        <is>
          <t>retain</t>
        </is>
      </c>
    </row>
    <row r="9" ht="90" customFormat="1" customHeight="1" s="8">
      <c r="A9" s="11" t="b">
        <v>0</v>
      </c>
      <c r="B9" s="11" t="inlineStr">
        <is>
          <t>SAP citation is supporting model context, not a demonstrated report-versus-plan analytical discrepancy.</t>
        </is>
      </c>
      <c r="C9" s="11" t="b">
        <v>0</v>
      </c>
      <c r="D9" s="11" t="inlineStr">
        <is>
          <t>Measure, label, or scale inconsistency</t>
        </is>
      </c>
      <c r="E9" s="11" t="b">
        <v>0</v>
      </c>
      <c r="F9" s="11" t="inlineStr">
        <is>
          <t>C002</t>
        </is>
      </c>
      <c r="G9" s="11" t="inlineStr">
        <is>
          <t>2024::jama.2024.0572::C002</t>
        </is>
      </c>
      <c r="H9" s="11" t="n"/>
      <c r="I9" s="11" t="inlineStr">
        <is>
          <t>Main narrative — PDF p. 6; Main Table 2 — PDF p. 7; Main Table 3 — PDF p. 9; trial SAP — PDF p. 17; secondary-analysis SAP — PDF p. 4; and Supplement 5 eTable 7 — PDF p. 43.</t>
        </is>
      </c>
      <c r="J9" s="11" t="b">
        <v>0</v>
      </c>
      <c r="K9" s="11" t="inlineStr">
        <is>
          <t>jama.2024.0572</t>
        </is>
      </c>
      <c r="L9" s="11" t="n"/>
      <c r="M9" s="11" t="inlineStr">
        <is>
          <t>S_W</t>
        </is>
      </c>
      <c r="N9" s="11" t="inlineStr">
        <is>
          <t>Main narrative and tables expand aRR as absolute risk reduction while their own interpretation explicitly says rate ratio and uses null1, alongside separate additive aRD. SAP relative-risk methods and supplementary aRR/aRD rows corroborate this internal scale mismatch.</t>
        </is>
      </c>
      <c r="O9" s="11" t="inlineStr">
        <is>
          <t>../../2024/jama.2024.0572/.ai_paper_validation/final_report_1_5_3.html</t>
        </is>
      </c>
      <c r="P9" s="11" t="inlineStr">
        <is>
          <t>2024/jama.2024.0572/.ai_paper_validation/final_report_1_5_3.md</t>
        </is>
      </c>
      <c r="Q9" s="11" t="inlineStr">
        <is>
          <t>C002</t>
        </is>
      </c>
      <c r="R9" s="11" t="inlineStr">
        <is>
          <t>Pending Human Adjudication</t>
        </is>
      </c>
      <c r="S9" s="11" t="inlineStr">
        <is>
          <t>The main narrative and tables expand aRR as “absolute risk reduction,” while printed estimates, a greater-than-1 interpretation, separate aRD values, and supplied SAP statements indicate a ratio-scale measure.</t>
        </is>
      </c>
      <c r="T9" s="11" t="b">
        <v>1</v>
      </c>
      <c r="U9" s="11" t="inlineStr">
        <is>
          <t>effect_measure_label</t>
        </is>
      </c>
      <c r="V9" s="11" t="inlineStr">
        <is>
          <t>report_internal_inconsistency</t>
        </is>
      </c>
      <c r="W9" s="11" t="inlineStr">
        <is>
          <t>aRR is labeled as an absolute risk reduction but displayed and interpreted as a ratio</t>
        </is>
      </c>
      <c r="X9" s="11" t="inlineStr">
        <is>
          <t>2024</t>
        </is>
      </c>
      <c r="Y9" s="11" t="inlineStr">
        <is>
          <t>meta_report/consistency_reclassification_2026-09-04/reclassified_candidates.json</t>
        </is>
      </c>
      <c r="Z9" s="11" t="inlineStr">
        <is>
          <t>S_W</t>
        </is>
      </c>
      <c r="AA9" s="11" t="inlineStr">
        <is>
          <t>report_internal_inconsistency</t>
        </is>
      </c>
      <c r="AB9" s="11" t="inlineStr">
        <is>
          <t>retain</t>
        </is>
      </c>
    </row>
    <row r="10" ht="90" customFormat="1" customHeight="1" s="8">
      <c r="A10" s="12" t="b">
        <v>0</v>
      </c>
      <c r="B10" s="12" t="inlineStr">
        <is>
          <t>Mixed report-plan and main-results-supplement relationships; protocol context dated2021 and article2024 permit an unproven program-version change.</t>
        </is>
      </c>
      <c r="C10" s="12" t="b">
        <v>1</v>
      </c>
      <c r="D10" s="12" t="inlineStr">
        <is>
          <t>Cross-document numeric inconsistency</t>
        </is>
      </c>
      <c r="E10" s="12" t="b">
        <v>1</v>
      </c>
      <c r="F10" s="12" t="inlineStr">
        <is>
          <t>C001</t>
        </is>
      </c>
      <c r="G10" s="12" t="inlineStr">
        <is>
          <t>2024::jama.2024.11057::C001</t>
        </is>
      </c>
      <c r="H10" s="12" t="n"/>
      <c r="I10" s="12" t="inlineStr">
        <is>
          <t>jama_graham_2024_oi_240078_1739900423.19074.pdf — PDF p. 3; joi240078supp1_prod_1739900423.22574.pdf — PDF p. 2; joi240078supp2_prod_1739900423.24574.pdf — PDF p. 2.</t>
        </is>
      </c>
      <c r="J10" s="12" t="b">
        <v>1</v>
      </c>
      <c r="K10" s="12" t="inlineStr">
        <is>
          <t>jama.2024.11057</t>
        </is>
      </c>
      <c r="L10" s="12" t="inlineStr">
        <is>
          <t>intervention_delivery</t>
        </is>
      </c>
      <c r="M10" s="12" t="inlineStr">
        <is>
          <t>P_R</t>
        </is>
      </c>
      <c r="N10" s="12" t="inlineStr">
        <is>
          <t>Main describes6 pre-quit message weeks, whereas both the study protocol and distinct results supplement describe1 week for the same intervention/subgroup.</t>
        </is>
      </c>
      <c r="O10" s="12" t="inlineStr">
        <is>
          <t>../../2024/jama.2024.11057/.ai_paper_validation/final_report_1_5_3.html</t>
        </is>
      </c>
      <c r="P10" s="12" t="inlineStr">
        <is>
          <t>2024/jama.2024.11057/.ai_paper_validation/final_report_1_5_3.md</t>
        </is>
      </c>
      <c r="Q10" s="12" t="inlineStr">
        <is>
          <t>C001</t>
        </is>
      </c>
      <c r="R10" s="12" t="inlineStr">
        <is>
          <t>Pending Human Adjudication</t>
        </is>
      </c>
      <c r="S10" s="12" t="inlineStr">
        <is>
          <t>The main article prints a 6-week pre-quit message period, whereas both supplied support documents print a 1-week pre-quit period for the same named intervention and quit-date subgroup. Pending Human Adjudication.</t>
        </is>
      </c>
      <c r="T10" s="12" t="b">
        <v>1</v>
      </c>
      <c r="U10" s="12" t="inlineStr">
        <is>
          <t>intervention_duration</t>
        </is>
      </c>
      <c r="V10" s="12" t="inlineStr">
        <is>
          <t>protocol_report</t>
        </is>
      </c>
      <c r="W10" s="12" t="inlineStr">
        <is>
          <t>Quit-date pre-message duration conflicts between the main article and both support documents</t>
        </is>
      </c>
      <c r="X10" s="12" t="inlineStr">
        <is>
          <t>2024</t>
        </is>
      </c>
      <c r="Y10" s="12" t="inlineStr">
        <is>
          <t>meta_report/consistency_reclassification_2026-09-04/reclassified_candidates.json</t>
        </is>
      </c>
      <c r="Z10" s="12" t="inlineStr">
        <is>
          <t>P_R</t>
        </is>
      </c>
      <c r="AA10" s="12" t="inlineStr">
        <is>
          <t>protocol_report</t>
        </is>
      </c>
      <c r="AB10" s="12" t="inlineStr">
        <is>
          <t>retain</t>
        </is>
      </c>
    </row>
    <row r="11" ht="90" customFormat="1" customHeight="1" s="8">
      <c r="A11" s="11" t="b">
        <v>0</v>
      </c>
      <c r="B11" s="11" t="inlineStr">
        <is>
          <t>Scalar IQR widths remain possible; main comparator is corroborative, not a matched-result numerical disagreement.</t>
        </is>
      </c>
      <c r="C11" s="11" t="b">
        <v>0</v>
      </c>
      <c r="D11" s="11" t="inlineStr">
        <is>
          <t>Measure, label, or scale inconsistency</t>
        </is>
      </c>
      <c r="E11" s="11" t="b">
        <v>0</v>
      </c>
      <c r="F11" s="11" t="inlineStr">
        <is>
          <t>C002</t>
        </is>
      </c>
      <c r="G11" s="11" t="inlineStr">
        <is>
          <t>2024::jama.2024.11057::C002</t>
        </is>
      </c>
      <c r="H11" s="11" t="n"/>
      <c r="I11" s="11" t="inlineStr">
        <is>
          <t>joi240078supp2_prod_1739900423.24574.pdf — PDF p. 12, eTable 4; joi240078supp2_prod_1739900423.24574.pdf — PDF p. 13, scale footnote; jama_graham_2024_oi_240078_1739900423.19074.pdf — PDF p. 4, Table 1 comparator.</t>
        </is>
      </c>
      <c r="J11" s="11" t="b">
        <v>0</v>
      </c>
      <c r="K11" s="11" t="inlineStr">
        <is>
          <t>jama.2024.11057</t>
        </is>
      </c>
      <c r="L11" s="11" t="n"/>
      <c r="M11" s="11" t="inlineStr">
        <is>
          <t>S_W</t>
        </is>
      </c>
      <c r="N11" s="11" t="inlineStr">
        <is>
          <t>Results-supplement eTable4 labels cells median(IQR) but gives single dispersion values unlike its own endpoint-pair convention. Main Table1 supports the format convention but concerns different groupings.</t>
        </is>
      </c>
      <c r="O11" s="11" t="inlineStr">
        <is>
          <t>../../2024/jama.2024.11057/.ai_paper_validation/final_report_1_5_3.html</t>
        </is>
      </c>
      <c r="P11" s="11" t="inlineStr">
        <is>
          <t>2024/jama.2024.11057/.ai_paper_validation/final_report_1_5_3.md</t>
        </is>
      </c>
      <c r="Q11" s="11" t="inlineStr">
        <is>
          <t>C002</t>
        </is>
      </c>
      <c r="R11" s="11" t="inlineStr">
        <is>
          <t>Pending Human Adjudication</t>
        </is>
      </c>
      <c r="S11" s="11" t="inlineStr">
        <is>
          <t>eTable 4 labels the motivation and confidence rows median (IQR) but prints one parenthetical number in each affected cell, unlike its own endpoint-form IQR convention. Pending Human Adjudication.</t>
        </is>
      </c>
      <c r="T11" s="11" t="b">
        <v>1</v>
      </c>
      <c r="U11" s="11" t="inlineStr">
        <is>
          <t>summary_statistic_label</t>
        </is>
      </c>
      <c r="V11" s="11" t="inlineStr">
        <is>
          <t>report_internal_inconsistency</t>
        </is>
      </c>
      <c r="W11" s="11" t="inlineStr">
        <is>
          <t>eTable 4 labels motivation and confidence as median (IQR) but prints single parenthetical dispersion values</t>
        </is>
      </c>
      <c r="X11" s="11" t="inlineStr">
        <is>
          <t>2024</t>
        </is>
      </c>
      <c r="Y11" s="11" t="inlineStr">
        <is>
          <t>meta_report/consistency_reclassification_2026-09-04/reclassified_candidates.json</t>
        </is>
      </c>
      <c r="Z11" s="11" t="inlineStr">
        <is>
          <t>S_W</t>
        </is>
      </c>
      <c r="AA11" s="11" t="inlineStr">
        <is>
          <t>report_internal_inconsistency</t>
        </is>
      </c>
      <c r="AB11" s="11" t="inlineStr">
        <is>
          <t>retain</t>
        </is>
      </c>
    </row>
    <row r="12" ht="90" customFormat="1" customHeight="1" s="8">
      <c r="A12" s="12" t="b">
        <v>0</v>
      </c>
      <c r="B12" s="12" t="inlineStr">
        <is>
          <t>The substantive mismatch is the undefined transposition against the same supplement's definition and repeated result.</t>
        </is>
      </c>
      <c r="C12" s="12" t="b">
        <v>0</v>
      </c>
      <c r="D12" s="12" t="inlineStr">
        <is>
          <t>Measure, label, or scale inconsistency</t>
        </is>
      </c>
      <c r="E12" s="12" t="b">
        <v>0</v>
      </c>
      <c r="F12" s="12" t="inlineStr">
        <is>
          <t>C003</t>
        </is>
      </c>
      <c r="G12" s="12" t="inlineStr">
        <is>
          <t>2024::jama.2024.11057::C003</t>
        </is>
      </c>
      <c r="H12" s="12" t="n"/>
      <c r="I12" s="12" t="inlineStr">
        <is>
          <t>joi240078supp2_prod_1739900423.24574.pdf — PDF p. 5, eAppendix C; joi240078supp2_prod_1739900423.24574.pdf — PDF p. 14, eTable 5; jama_graham_2024_oi_240078_1739900423.19074.pdf — PDF p. 4, Statistical Methods.</t>
        </is>
      </c>
      <c r="J12" s="12" t="b">
        <v>0</v>
      </c>
      <c r="K12" s="12" t="inlineStr">
        <is>
          <t>jama.2024.11057</t>
        </is>
      </c>
      <c r="L12" s="12" t="n"/>
      <c r="M12" s="12" t="inlineStr">
        <is>
          <t>S_W</t>
        </is>
      </c>
      <c r="N12" s="12" t="inlineStr">
        <is>
          <t>Within the results supplement, the defined IPRW method and matching eTable5 result are called IPWR once in eAppendixC. Main methods corroborate the standard abbreviation.</t>
        </is>
      </c>
      <c r="O12" s="12" t="inlineStr">
        <is>
          <t>../../2024/jama.2024.11057/.ai_paper_validation/final_report_1_5_3.html</t>
        </is>
      </c>
      <c r="P12" s="12" t="inlineStr">
        <is>
          <t>2024/jama.2024.11057/.ai_paper_validation/final_report_1_5_3.md</t>
        </is>
      </c>
      <c r="Q12" s="12" t="inlineStr">
        <is>
          <t>C003</t>
        </is>
      </c>
      <c r="R12" s="12" t="inlineStr">
        <is>
          <t>Pending Human Adjudication</t>
        </is>
      </c>
      <c r="S12" s="12" t="inlineStr">
        <is>
          <t>eAppendix C prints IPWR once beside the repeated-PPA result even though the same source defines and otherwise uses IPRW, and the matched eTable labels the result IPRW. Pending Human Adjudication.</t>
        </is>
      </c>
      <c r="T12" s="12" t="b">
        <v>1</v>
      </c>
      <c r="U12" s="12" t="inlineStr">
        <is>
          <t>method_abbreviation</t>
        </is>
      </c>
      <c r="V12" s="12" t="inlineStr">
        <is>
          <t>report_internal_inconsistency</t>
        </is>
      </c>
      <c r="W12" s="12" t="inlineStr">
        <is>
          <t>eAppendix C prints IPWR once for a result otherwise defined and labelled as IPRW</t>
        </is>
      </c>
      <c r="X12" s="12" t="inlineStr">
        <is>
          <t>2024</t>
        </is>
      </c>
      <c r="Y12" s="12" t="inlineStr">
        <is>
          <t>meta_report/consistency_reclassification_2026-09-04/reclassified_candidates.json</t>
        </is>
      </c>
      <c r="Z12" s="12" t="inlineStr">
        <is>
          <t>S_W</t>
        </is>
      </c>
      <c r="AA12" s="12" t="inlineStr">
        <is>
          <t>report_internal_inconsistency</t>
        </is>
      </c>
      <c r="AB12" s="12" t="inlineStr">
        <is>
          <t>retain</t>
        </is>
      </c>
    </row>
    <row r="13" ht="90" customFormat="1" customHeight="1" s="8">
      <c r="A13" s="11" t="b">
        <v>0</v>
      </c>
      <c r="B13" s="11" t="n"/>
      <c r="C13" s="11" t="b">
        <v>0</v>
      </c>
      <c r="D13" s="11" t="inlineStr">
        <is>
          <t>Denominator, proportion, or total inconsistency</t>
        </is>
      </c>
      <c r="E13" s="11" t="b">
        <v>0</v>
      </c>
      <c r="F13" s="11" t="inlineStr">
        <is>
          <t>C001</t>
        </is>
      </c>
      <c r="G13" s="11" t="inlineStr">
        <is>
          <t>2024::jama.2024.12829::C001</t>
        </is>
      </c>
      <c r="H13" s="11" t="n"/>
      <c r="I13" s="11" t="inlineStr">
        <is>
          <t>DOC-001 Table 1, PDF p. 6</t>
        </is>
      </c>
      <c r="J13" s="11" t="b">
        <v>0</v>
      </c>
      <c r="K13" s="11" t="inlineStr">
        <is>
          <t>jama.2024.12829</t>
        </is>
      </c>
      <c r="L13" s="11" t="n"/>
      <c r="M13" s="11" t="inlineStr">
        <is>
          <t>S_W</t>
        </is>
      </c>
      <c r="N13" s="11" t="inlineStr">
        <is>
          <t>Main Table1 gives77 females of249 as30.1% instead of the count-derived30.9%.</t>
        </is>
      </c>
      <c r="O13" s="11" t="inlineStr">
        <is>
          <t>../../2024/jama.2024.12829/.ai_paper_validation/final_report_1_5_3.html</t>
        </is>
      </c>
      <c r="P13" s="11" t="inlineStr">
        <is>
          <t>2024/jama.2024.12829/.ai_paper_validation/final_report_1_5_3.md</t>
        </is>
      </c>
      <c r="Q13" s="11" t="inlineStr">
        <is>
          <t>C001</t>
        </is>
      </c>
      <c r="R13" s="11" t="inlineStr">
        <is>
          <t>Pending Human Adjudication</t>
        </is>
      </c>
      <c r="S13" s="11" t="inlineStr">
        <is>
          <t>The BA female percentage is inconsistent with the printed count and displayed arm denominator under ordinary nearest-one-decimal rounding.</t>
        </is>
      </c>
      <c r="T13" s="11" t="b">
        <v>1</v>
      </c>
      <c r="U13" s="11" t="inlineStr">
        <is>
          <t>count_percentage</t>
        </is>
      </c>
      <c r="V13" s="11" t="inlineStr">
        <is>
          <t>statistical_results</t>
        </is>
      </c>
      <c r="W13" s="11" t="inlineStr">
        <is>
          <t>Balloon-angioplasty female percentage does not reconcile with count and denominator</t>
        </is>
      </c>
      <c r="X13" s="11" t="inlineStr">
        <is>
          <t>2024</t>
        </is>
      </c>
      <c r="Y13" s="11" t="inlineStr">
        <is>
          <t>meta_report/consistency_reclassification_2026-09-04/reclassified_candidates.json</t>
        </is>
      </c>
      <c r="Z13" s="11" t="inlineStr">
        <is>
          <t>S_W</t>
        </is>
      </c>
      <c r="AA13" s="11" t="inlineStr">
        <is>
          <t>statistical_results</t>
        </is>
      </c>
      <c r="AB13" s="11" t="inlineStr">
        <is>
          <t>retain</t>
        </is>
      </c>
    </row>
    <row r="14" ht="90" customFormat="1" customHeight="1" s="8">
      <c r="A14" s="12" t="b">
        <v>0</v>
      </c>
      <c r="B14" s="12" t="inlineStr">
        <is>
          <t>86.3% follows ordinary nearest rounding; an unspecified display convention may explain the difference.</t>
        </is>
      </c>
      <c r="C14" s="12" t="b">
        <v>0</v>
      </c>
      <c r="D14" s="12" t="inlineStr">
        <is>
          <t>Denominator, proportion, or total inconsistency</t>
        </is>
      </c>
      <c r="E14" s="12" t="b">
        <v>0</v>
      </c>
      <c r="F14" s="12" t="inlineStr">
        <is>
          <t>C002</t>
        </is>
      </c>
      <c r="G14" s="12" t="inlineStr">
        <is>
          <t>2024::jama.2024.12829::C002</t>
        </is>
      </c>
      <c r="H14" s="12" t="n"/>
      <c r="I14" s="12" t="inlineStr">
        <is>
          <t>DOC-001 Table 1, PDF p. 6; DOC-002 Table S1, PDF p. 14</t>
        </is>
      </c>
      <c r="J14" s="12" t="b">
        <v>0</v>
      </c>
      <c r="K14" s="12" t="inlineStr">
        <is>
          <t>jama.2024.12829</t>
        </is>
      </c>
      <c r="L14" s="12" t="n"/>
      <c r="M14" s="12" t="inlineStr">
        <is>
          <t>S_W</t>
        </is>
      </c>
      <c r="N14" s="12" t="inlineStr">
        <is>
          <t>Main Table1 and results-supplement TableS1 identically repeat215/249 as86.4%; their agreement is not a cross-file inconsistency. Each is an internal rounding candidate.</t>
        </is>
      </c>
      <c r="O14" s="12" t="inlineStr">
        <is>
          <t>../../2024/jama.2024.12829/.ai_paper_validation/final_report_1_5_3.html</t>
        </is>
      </c>
      <c r="P14" s="12" t="inlineStr">
        <is>
          <t>2024/jama.2024.12829/.ai_paper_validation/final_report_1_5_3.md</t>
        </is>
      </c>
      <c r="Q14" s="12" t="inlineStr">
        <is>
          <t>C002</t>
        </is>
      </c>
      <c r="R14" s="12" t="inlineStr">
        <is>
          <t>Pending Human Adjudication</t>
        </is>
      </c>
      <c r="S14" s="12" t="inlineStr">
        <is>
          <t>The repeated BA ischemic-stroke percentage is conditionally inconsistent with ordinary nearest-one-decimal rounding.</t>
        </is>
      </c>
      <c r="T14" s="12" t="b">
        <v>1</v>
      </c>
      <c r="U14" s="12" t="inlineStr">
        <is>
          <t>rounding</t>
        </is>
      </c>
      <c r="V14" s="12" t="inlineStr">
        <is>
          <t>statistical_results</t>
        </is>
      </c>
      <c r="W14" s="12" t="inlineStr">
        <is>
          <t>Balloon-angioplasty ischemic-stroke percentage is outside ordinary one-decimal rounding</t>
        </is>
      </c>
      <c r="X14" s="12" t="inlineStr">
        <is>
          <t>2024</t>
        </is>
      </c>
      <c r="Y14" s="12" t="inlineStr">
        <is>
          <t>meta_report/consistency_reclassification_2026-09-04/reclassified_candidates.json</t>
        </is>
      </c>
      <c r="Z14" s="12" t="inlineStr">
        <is>
          <t>S_W</t>
        </is>
      </c>
      <c r="AA14" s="12" t="inlineStr">
        <is>
          <t>statistical_results</t>
        </is>
      </c>
      <c r="AB14" s="12" t="inlineStr">
        <is>
          <t>retain</t>
        </is>
      </c>
    </row>
    <row r="15" ht="90" customFormat="1" customHeight="1" s="8">
      <c r="A15" s="11" t="b">
        <v>0</v>
      </c>
      <c r="B15" s="11" t="inlineStr">
        <is>
          <t>The explicit241 footnote may fully resolve the header context; retained candidate is not established bad arithmetic.</t>
        </is>
      </c>
      <c r="C15" s="11" t="b">
        <v>0</v>
      </c>
      <c r="D15" s="11" t="inlineStr">
        <is>
          <t>Denominator, proportion, or total inconsistency</t>
        </is>
      </c>
      <c r="E15" s="11" t="b">
        <v>0</v>
      </c>
      <c r="F15" s="11" t="inlineStr">
        <is>
          <t>C003</t>
        </is>
      </c>
      <c r="G15" s="11" t="inlineStr">
        <is>
          <t>2024::jama.2024.12829::C003</t>
        </is>
      </c>
      <c r="H15" s="11" t="n"/>
      <c r="I15" s="11" t="inlineStr">
        <is>
          <t>DOC-002 Table S4, PDF p. 17</t>
        </is>
      </c>
      <c r="J15" s="11" t="b">
        <v>0</v>
      </c>
      <c r="K15" s="11" t="inlineStr">
        <is>
          <t>jama.2024.12829</t>
        </is>
      </c>
      <c r="L15" s="11" t="n"/>
      <c r="M15" s="11" t="inlineStr">
        <is>
          <t>S_W</t>
        </is>
      </c>
      <c r="N15" s="11" t="inlineStr">
        <is>
          <t>Results-supplement TableS4 header249 differs from footnoted procedure-applicable241, which reproduces the percentages.</t>
        </is>
      </c>
      <c r="O15" s="11" t="inlineStr">
        <is>
          <t>../../2024/jama.2024.12829/.ai_paper_validation/final_report_1_5_3.html</t>
        </is>
      </c>
      <c r="P15" s="11" t="inlineStr">
        <is>
          <t>2024/jama.2024.12829/.ai_paper_validation/final_report_1_5_3.md</t>
        </is>
      </c>
      <c r="Q15" s="11" t="inlineStr">
        <is>
          <t>C003</t>
        </is>
      </c>
      <c r="R15" s="11" t="inlineStr">
        <is>
          <t>Pending Human Adjudication</t>
        </is>
      </c>
      <c r="S15" s="11" t="inlineStr">
        <is>
          <t>Table S4 raises a denominator-label clarity question because procedure rows use the footnoted 241 participants while the column header states 249.</t>
        </is>
      </c>
      <c r="T15" s="11" t="b">
        <v>1</v>
      </c>
      <c r="U15" s="11" t="inlineStr">
        <is>
          <t>denominator_header</t>
        </is>
      </c>
      <c r="V15" s="11" t="inlineStr">
        <is>
          <t>statistical_results</t>
        </is>
      </c>
      <c r="W15" s="11" t="inlineStr">
        <is>
          <t>Table S4 procedure rows use 241 while the column header states 249</t>
        </is>
      </c>
      <c r="X15" s="11" t="inlineStr">
        <is>
          <t>2024</t>
        </is>
      </c>
      <c r="Y15" s="11" t="inlineStr">
        <is>
          <t>meta_report/consistency_reclassification_2026-09-04/reclassified_candidates.json</t>
        </is>
      </c>
      <c r="Z15" s="11" t="inlineStr">
        <is>
          <t>S_W</t>
        </is>
      </c>
      <c r="AA15" s="11" t="inlineStr">
        <is>
          <t>statistical_results</t>
        </is>
      </c>
      <c r="AB15" s="11" t="inlineStr">
        <is>
          <t>retain</t>
        </is>
      </c>
    </row>
    <row r="16" ht="90" customFormat="1" customHeight="1" s="8">
      <c r="A16" s="12" t="b">
        <v>0</v>
      </c>
      <c r="B16" s="12" t="inlineStr">
        <is>
          <t>Unlabelled PPS denominator233 could explain3.9%; it is diagnostic only.</t>
        </is>
      </c>
      <c r="C16" s="12" t="b">
        <v>0</v>
      </c>
      <c r="D16" s="12" t="inlineStr">
        <is>
          <t>Denominator, proportion, or total inconsistency</t>
        </is>
      </c>
      <c r="E16" s="12" t="b">
        <v>0</v>
      </c>
      <c r="F16" s="12" t="inlineStr">
        <is>
          <t>C004</t>
        </is>
      </c>
      <c r="G16" s="12" t="inlineStr">
        <is>
          <t>2024::jama.2024.12829::C004</t>
        </is>
      </c>
      <c r="H16" s="12" t="n"/>
      <c r="I16" s="12" t="inlineStr">
        <is>
          <t>DOC-002 Table S6, PDF p. 19</t>
        </is>
      </c>
      <c r="J16" s="12" t="b">
        <v>0</v>
      </c>
      <c r="K16" s="12" t="inlineStr">
        <is>
          <t>jama.2024.12829</t>
        </is>
      </c>
      <c r="L16" s="12" t="n"/>
      <c r="M16" s="12" t="inlineStr">
        <is>
          <t>S_W</t>
        </is>
      </c>
      <c r="N16" s="12" t="inlineStr">
        <is>
          <t>Results-supplement TableS6 gives9(3.9) under249;9/249 rounds3.6%. This percentage/header issue is separate from C016's9-versus11 event-count comparison.</t>
        </is>
      </c>
      <c r="O16" s="12" t="inlineStr">
        <is>
          <t>../../2024/jama.2024.12829/.ai_paper_validation/final_report_1_5_3.html</t>
        </is>
      </c>
      <c r="P16" s="12" t="inlineStr">
        <is>
          <t>2024/jama.2024.12829/.ai_paper_validation/final_report_1_5_3.md</t>
        </is>
      </c>
      <c r="Q16" s="12" t="inlineStr">
        <is>
          <t>C004</t>
        </is>
      </c>
      <c r="R16" s="12" t="inlineStr">
        <is>
          <t>Pending Human Adjudication</t>
        </is>
      </c>
      <c r="S16" s="12" t="inlineStr">
        <is>
          <t>The Table S6 BA percentage does not reconcile with its displayed n=249 under ordinary rounding.</t>
        </is>
      </c>
      <c r="T16" s="12" t="b">
        <v>1</v>
      </c>
      <c r="U16" s="12" t="inlineStr">
        <is>
          <t>count_percentage</t>
        </is>
      </c>
      <c r="V16" s="12" t="inlineStr">
        <is>
          <t>statistical_results</t>
        </is>
      </c>
      <c r="W16" s="12" t="inlineStr">
        <is>
          <t>Table S6 BA 9 (3.9) conflicts with its displayed denominator 249</t>
        </is>
      </c>
      <c r="X16" s="12" t="inlineStr">
        <is>
          <t>2024</t>
        </is>
      </c>
      <c r="Y16" s="12" t="inlineStr">
        <is>
          <t>meta_report/consistency_reclassification_2026-09-04/reclassified_candidates.json</t>
        </is>
      </c>
      <c r="Z16" s="12" t="inlineStr">
        <is>
          <t>S_W</t>
        </is>
      </c>
      <c r="AA16" s="12" t="inlineStr">
        <is>
          <t>statistical_results</t>
        </is>
      </c>
      <c r="AB16" s="12" t="inlineStr">
        <is>
          <t>retain</t>
        </is>
      </c>
    </row>
    <row r="17" ht="90" customFormat="1" customHeight="1" s="8">
      <c r="A17" s="11" t="b">
        <v>0</v>
      </c>
      <c r="B17" s="11" t="inlineStr">
        <is>
          <t>Main flow context is corroborative; no specific contradictory main result is the target.</t>
        </is>
      </c>
      <c r="C17" s="11" t="b">
        <v>0</v>
      </c>
      <c r="D17" s="11" t="inlineStr">
        <is>
          <t>Denominator, proportion, or total inconsistency</t>
        </is>
      </c>
      <c r="E17" s="11" t="b">
        <v>0</v>
      </c>
      <c r="F17" s="11" t="inlineStr">
        <is>
          <t>C005</t>
        </is>
      </c>
      <c r="G17" s="11" t="inlineStr">
        <is>
          <t>2024::jama.2024.12829::C005</t>
        </is>
      </c>
      <c r="H17" s="11" t="n"/>
      <c r="I17" s="11" t="inlineStr">
        <is>
          <t>DOC-002 Table S7, PDF p. 20; DOC-001 Figure 1, PDF p. 5; DOC-002 Table S10, PDF p. 23</t>
        </is>
      </c>
      <c r="J17" s="11" t="b">
        <v>0</v>
      </c>
      <c r="K17" s="11" t="inlineStr">
        <is>
          <t>jama.2024.12829</t>
        </is>
      </c>
      <c r="L17" s="11" t="n"/>
      <c r="M17" s="11" t="inlineStr">
        <is>
          <t>S_W</t>
        </is>
      </c>
      <c r="N17" s="11" t="inlineStr">
        <is>
          <t>Within results-supplement TableS7, headers233/238 total471 while site totals sum501 and cell percentages imply other denominators. Main Figure1 provides contextual population totals.</t>
        </is>
      </c>
      <c r="O17" s="11" t="inlineStr">
        <is>
          <t>../../2024/jama.2024.12829/.ai_paper_validation/final_report_1_5_3.html</t>
        </is>
      </c>
      <c r="P17" s="11" t="inlineStr">
        <is>
          <t>2024/jama.2024.12829/.ai_paper_validation/final_report_1_5_3.md</t>
        </is>
      </c>
      <c r="Q17" s="11" t="inlineStr">
        <is>
          <t>C005</t>
        </is>
      </c>
      <c r="R17" s="11" t="inlineStr">
        <is>
          <t>Pending Human Adjudication</t>
        </is>
      </c>
      <c r="S17" s="11" t="inlineStr">
        <is>
          <t>Table S7's group headers, site totals, and displayed site percentages do not all describe one disclosed population.</t>
        </is>
      </c>
      <c r="T17" s="11" t="b">
        <v>1</v>
      </c>
      <c r="U17" s="11" t="inlineStr">
        <is>
          <t>denominator_population</t>
        </is>
      </c>
      <c r="V17" s="11" t="inlineStr">
        <is>
          <t>statistical_results</t>
        </is>
      </c>
      <c r="W17" s="11" t="inlineStr">
        <is>
          <t>Table S7 group headers conflict with site totals and displayed site percentages</t>
        </is>
      </c>
      <c r="X17" s="11" t="inlineStr">
        <is>
          <t>2024</t>
        </is>
      </c>
      <c r="Y17" s="11" t="inlineStr">
        <is>
          <t>meta_report/consistency_reclassification_2026-09-04/reclassified_candidates.json</t>
        </is>
      </c>
      <c r="Z17" s="11" t="inlineStr">
        <is>
          <t>S_W</t>
        </is>
      </c>
      <c r="AA17" s="11" t="inlineStr">
        <is>
          <t>statistical_results</t>
        </is>
      </c>
      <c r="AB17" s="11" t="inlineStr">
        <is>
          <t>retain</t>
        </is>
      </c>
    </row>
    <row r="18" ht="90" customFormat="1" customHeight="1" s="8">
      <c r="A18" s="12" t="b">
        <v>0</v>
      </c>
      <c r="B18" s="12" t="inlineStr">
        <is>
          <t>Per-protocol denotes an analysis set, not a protocol document; main population totals corroborate the internal supplement mismatch.</t>
        </is>
      </c>
      <c r="C18" s="12" t="b">
        <v>0</v>
      </c>
      <c r="D18" s="12" t="inlineStr">
        <is>
          <t>Denominator, proportion, or total inconsistency</t>
        </is>
      </c>
      <c r="E18" s="12" t="b">
        <v>0</v>
      </c>
      <c r="F18" s="12" t="inlineStr">
        <is>
          <t>C006</t>
        </is>
      </c>
      <c r="G18" s="12" t="inlineStr">
        <is>
          <t>2024::jama.2024.12829::C006</t>
        </is>
      </c>
      <c r="H18" s="12" t="n"/>
      <c r="I18" s="12" t="inlineStr">
        <is>
          <t>DOC-002 Table S8, PDF p. 21; DOC-001 Figure 1, PDF p. 5; DOC-002 Table S10, PDF p. 23</t>
        </is>
      </c>
      <c r="J18" s="12" t="b">
        <v>0</v>
      </c>
      <c r="K18" s="12" t="inlineStr">
        <is>
          <t>jama.2024.12829</t>
        </is>
      </c>
      <c r="L18" s="12" t="n"/>
      <c r="M18" s="12" t="inlineStr">
        <is>
          <t>S_W</t>
        </is>
      </c>
      <c r="N18" s="12" t="inlineStr">
        <is>
          <t>Results-supplement TableS8 is labelled PPS but headers249/252 conflict with its percentages and same-supplement TableS10 PPS totals233/238. Main Figure1 corroborates those PPS totals.</t>
        </is>
      </c>
      <c r="O18" s="12" t="inlineStr">
        <is>
          <t>../../2024/jama.2024.12829/.ai_paper_validation/final_report_1_5_3.html</t>
        </is>
      </c>
      <c r="P18" s="12" t="inlineStr">
        <is>
          <t>2024/jama.2024.12829/.ai_paper_validation/final_report_1_5_3.md</t>
        </is>
      </c>
      <c r="Q18" s="12" t="inlineStr">
        <is>
          <t>C006</t>
        </is>
      </c>
      <c r="R18" s="12" t="inlineStr">
        <is>
          <t>Pending Human Adjudication</t>
        </is>
      </c>
      <c r="S18" s="12" t="inlineStr">
        <is>
          <t>Table S8 is labelled PPS but its printed headers conflict with the denominators that reproduce its percentages.</t>
        </is>
      </c>
      <c r="T18" s="12" t="b">
        <v>1</v>
      </c>
      <c r="U18" s="12" t="inlineStr">
        <is>
          <t>denominator_population</t>
        </is>
      </c>
      <c r="V18" s="12" t="inlineStr">
        <is>
          <t>statistical_results</t>
        </is>
      </c>
      <c r="W18" s="12" t="inlineStr">
        <is>
          <t>Table S8 per-protocol percentages conflict with headers 249/252</t>
        </is>
      </c>
      <c r="X18" s="12" t="inlineStr">
        <is>
          <t>2024</t>
        </is>
      </c>
      <c r="Y18" s="12" t="inlineStr">
        <is>
          <t>meta_report/consistency_reclassification_2026-09-04/reclassified_candidates.json</t>
        </is>
      </c>
      <c r="Z18" s="12" t="inlineStr">
        <is>
          <t>S_W</t>
        </is>
      </c>
      <c r="AA18" s="12" t="inlineStr">
        <is>
          <t>statistical_results</t>
        </is>
      </c>
      <c r="AB18" s="12" t="inlineStr">
        <is>
          <t>retain</t>
        </is>
      </c>
    </row>
    <row r="19" ht="90" customFormat="1" customHeight="1" s="8">
      <c r="A19" s="11" t="b">
        <v>0</v>
      </c>
      <c r="B19" s="11" t="inlineStr">
        <is>
          <t>Separate from C014's cell percentage, which fails even under the ATS denominator.</t>
        </is>
      </c>
      <c r="C19" s="11" t="b">
        <v>0</v>
      </c>
      <c r="D19" s="11" t="inlineStr">
        <is>
          <t>Denominator, proportion, or total inconsistency</t>
        </is>
      </c>
      <c r="E19" s="11" t="b">
        <v>0</v>
      </c>
      <c r="F19" s="11" t="inlineStr">
        <is>
          <t>C007</t>
        </is>
      </c>
      <c r="G19" s="11" t="inlineStr">
        <is>
          <t>2024::jama.2024.12829::C007</t>
        </is>
      </c>
      <c r="H19" s="11" t="n"/>
      <c r="I19" s="11" t="inlineStr">
        <is>
          <t>DOC-002 Table S9, PDF p. 22; DOC-002 Table S10, PDF p. 23</t>
        </is>
      </c>
      <c r="J19" s="11" t="b">
        <v>0</v>
      </c>
      <c r="K19" s="11" t="inlineStr">
        <is>
          <t>jama.2024.12829</t>
        </is>
      </c>
      <c r="L19" s="11" t="n"/>
      <c r="M19" s="11" t="inlineStr">
        <is>
          <t>S_W</t>
        </is>
      </c>
      <c r="N19" s="11" t="inlineStr">
        <is>
          <t>ATS TableS9 headers249/252 conflict with percentages reproduced by same-supplement TableS10 ATS totals247/254.</t>
        </is>
      </c>
      <c r="O19" s="11" t="inlineStr">
        <is>
          <t>../../2024/jama.2024.12829/.ai_paper_validation/final_report_1_5_3.html</t>
        </is>
      </c>
      <c r="P19" s="11" t="inlineStr">
        <is>
          <t>2024/jama.2024.12829/.ai_paper_validation/final_report_1_5_3.md</t>
        </is>
      </c>
      <c r="Q19" s="11" t="inlineStr">
        <is>
          <t>C007</t>
        </is>
      </c>
      <c r="R19" s="11" t="inlineStr">
        <is>
          <t>Pending Human Adjudication</t>
        </is>
      </c>
      <c r="S19" s="11" t="inlineStr">
        <is>
          <t>Table S9 is labelled ATS but its printed headers conflict with the denominators that reproduce its primary percentages.</t>
        </is>
      </c>
      <c r="T19" s="11" t="b">
        <v>1</v>
      </c>
      <c r="U19" s="11" t="inlineStr">
        <is>
          <t>denominator_population</t>
        </is>
      </c>
      <c r="V19" s="11" t="inlineStr">
        <is>
          <t>statistical_results</t>
        </is>
      </c>
      <c r="W19" s="11" t="inlineStr">
        <is>
          <t>Table S9 as-treated percentages conflict with headers 249/252</t>
        </is>
      </c>
      <c r="X19" s="11" t="inlineStr">
        <is>
          <t>2024</t>
        </is>
      </c>
      <c r="Y19" s="11" t="inlineStr">
        <is>
          <t>meta_report/consistency_reclassification_2026-09-04/reclassified_candidates.json</t>
        </is>
      </c>
      <c r="Z19" s="11" t="inlineStr">
        <is>
          <t>S_W</t>
        </is>
      </c>
      <c r="AA19" s="11" t="inlineStr">
        <is>
          <t>statistical_results</t>
        </is>
      </c>
      <c r="AB19" s="11" t="inlineStr">
        <is>
          <t>retain</t>
        </is>
      </c>
    </row>
    <row r="20" ht="90" customFormat="1" customHeight="1" s="8">
      <c r="A20" s="12" t="b">
        <v>0</v>
      </c>
      <c r="B20" s="12" t="inlineStr">
        <is>
          <t>Measurement time/reader identity is unresolved; mention of possible protocol deviations does not make this a protocol-document comparison.</t>
        </is>
      </c>
      <c r="C20" s="12" t="b">
        <v>0</v>
      </c>
      <c r="D20" s="12" t="inlineStr">
        <is>
          <t>Analysis-unit or population inconsistency</t>
        </is>
      </c>
      <c r="E20" s="12" t="b">
        <v>0</v>
      </c>
      <c r="F20" s="12" t="inlineStr">
        <is>
          <t>C008</t>
        </is>
      </c>
      <c r="G20" s="12" t="inlineStr">
        <is>
          <t>2024::jama.2024.12829::C008</t>
        </is>
      </c>
      <c r="H20" s="12" t="n"/>
      <c r="I20" s="12" t="inlineStr">
        <is>
          <t>DOC-001 eligibility, PDF p. 2; DOC-001 Figure 1, PDF p. 5; DOC-001 Table 1, PDF p. 6</t>
        </is>
      </c>
      <c r="J20" s="12" t="b">
        <v>0</v>
      </c>
      <c r="K20" s="12" t="inlineStr">
        <is>
          <t>jama.2024.12829</t>
        </is>
      </c>
      <c r="L20" s="12" t="n"/>
      <c r="M20" s="12" t="inlineStr">
        <is>
          <t>S_W</t>
        </is>
      </c>
      <c r="N20" s="12" t="inlineStr">
        <is>
          <t>Main eligibility text specifies70%-99% stenosis while its Table1 includes four participants in60%-69% or100% categories.</t>
        </is>
      </c>
      <c r="O20" s="12" t="inlineStr">
        <is>
          <t>../../2024/jama.2024.12829/.ai_paper_validation/final_report_1_5_3.html</t>
        </is>
      </c>
      <c r="P20" s="12" t="inlineStr">
        <is>
          <t>2024/jama.2024.12829/.ai_paper_validation/final_report_1_5_3.md</t>
        </is>
      </c>
      <c r="Q20" s="12" t="inlineStr">
        <is>
          <t>C008</t>
        </is>
      </c>
      <c r="R20" s="12" t="inlineStr">
        <is>
          <t>Pending Human Adjudication</t>
        </is>
      </c>
      <c r="S20" s="12" t="inlineStr">
        <is>
          <t>A cross-location threshold/category mismatch is present between the stated eligibility interval and four Table 1 baseline categories; measurement identity is unresolved.</t>
        </is>
      </c>
      <c r="T20" s="12" t="b">
        <v>1</v>
      </c>
      <c r="U20" s="12" t="inlineStr">
        <is>
          <t>eligibility_distribution</t>
        </is>
      </c>
      <c r="V20" s="12" t="inlineStr">
        <is>
          <t>statistical_results</t>
        </is>
      </c>
      <c r="W20" s="12" t="inlineStr">
        <is>
          <t>Baseline stenosis categories include values outside the stated 70%-99% eligibility range</t>
        </is>
      </c>
      <c r="X20" s="12" t="inlineStr">
        <is>
          <t>2024</t>
        </is>
      </c>
      <c r="Y20" s="12" t="inlineStr">
        <is>
          <t>meta_report/consistency_reclassification_2026-09-04/reclassified_candidates.json</t>
        </is>
      </c>
      <c r="Z20" s="12" t="inlineStr">
        <is>
          <t>S_W</t>
        </is>
      </c>
      <c r="AA20" s="12" t="inlineStr">
        <is>
          <t>statistical_results</t>
        </is>
      </c>
      <c r="AB20" s="12" t="inlineStr">
        <is>
          <t>retain</t>
        </is>
      </c>
    </row>
    <row r="21" ht="90" customFormat="1" customHeight="1" s="8">
      <c r="A21" s="11" t="b">
        <v>0</v>
      </c>
      <c r="B21" s="11" t="inlineStr">
        <is>
          <t>Mixed results-supplement versus plan and main-versus-supplement discrepancy; a tighter operational contact window is possible but undefined.</t>
        </is>
      </c>
      <c r="C21" s="11" t="b">
        <v>1</v>
      </c>
      <c r="D21" s="11" t="inlineStr">
        <is>
          <t>Measure, label, or scale inconsistency</t>
        </is>
      </c>
      <c r="E21" s="11" t="b">
        <v>1</v>
      </c>
      <c r="F21" s="11" t="inlineStr">
        <is>
          <t>C009</t>
        </is>
      </c>
      <c r="G21" s="11" t="inlineStr">
        <is>
          <t>2024::jama.2024.12829::C009</t>
        </is>
      </c>
      <c r="H21" s="11" t="n"/>
      <c r="I21" s="11" t="inlineStr">
        <is>
          <t>DOC-002 study-design graphic, PDF p. 6; DOC-001 schedule, PDF p. 3; DOC-003 schedule, PDF p. 15</t>
        </is>
      </c>
      <c r="J21" s="11" t="b">
        <v>0</v>
      </c>
      <c r="K21" s="11" t="inlineStr">
        <is>
          <t>jama.2024.12829</t>
        </is>
      </c>
      <c r="L21" s="11" t="inlineStr">
        <is>
          <t>endpoint_definition_window_hierarchy</t>
        </is>
      </c>
      <c r="M21" s="11" t="inlineStr">
        <is>
          <t>P_R</t>
        </is>
      </c>
      <c r="N21" s="11" t="inlineStr">
        <is>
          <t>Non-plan study-design graphic says30±3days, whereas main schedule and supplied protocol schedule say30±7days for the matched visit.</t>
        </is>
      </c>
      <c r="O21" s="11" t="inlineStr">
        <is>
          <t>../../2024/jama.2024.12829/.ai_paper_validation/final_report_1_5_3.html</t>
        </is>
      </c>
      <c r="P21" s="11" t="inlineStr">
        <is>
          <t>2024/jama.2024.12829/.ai_paper_validation/final_report_1_5_3.md</t>
        </is>
      </c>
      <c r="Q21" s="11" t="inlineStr">
        <is>
          <t>C009</t>
        </is>
      </c>
      <c r="R21" s="11" t="inlineStr">
        <is>
          <t>Pending Human Adjudication</t>
        </is>
      </c>
      <c r="S21" s="11" t="inlineStr">
        <is>
          <t>The matched 30-day follow-up is labelled ±3 days in one supplied location and ±7 days in two others.</t>
        </is>
      </c>
      <c r="T21" s="11" t="b">
        <v>1</v>
      </c>
      <c r="U21" s="11" t="inlineStr">
        <is>
          <t>visit_window</t>
        </is>
      </c>
      <c r="V21" s="11" t="inlineStr">
        <is>
          <t>protocol_report</t>
        </is>
      </c>
      <c r="W21" s="11" t="inlineStr">
        <is>
          <t>Thirty-day follow-up tolerance is plus or minus 3 days in the supplement but plus or minus 7 days elsewhere</t>
        </is>
      </c>
      <c r="X21" s="11" t="inlineStr">
        <is>
          <t>2024</t>
        </is>
      </c>
      <c r="Y21" s="11" t="inlineStr">
        <is>
          <t>meta_report/consistency_reclassification_2026-09-04/reclassified_candidates.json</t>
        </is>
      </c>
      <c r="Z21" s="11" t="inlineStr">
        <is>
          <t>P_R</t>
        </is>
      </c>
      <c r="AA21" s="11" t="inlineStr">
        <is>
          <t>protocol_report</t>
        </is>
      </c>
      <c r="AB21" s="11" t="inlineStr">
        <is>
          <t>retain</t>
        </is>
      </c>
    </row>
    <row r="22" ht="90" customFormat="1" customHeight="1" s="8">
      <c r="A22" s="12" t="b">
        <v>0</v>
      </c>
      <c r="B22" s="12" t="inlineStr">
        <is>
          <t>Same-version discrepancy; possible stale synopsis or unmarked amendment, not report-versus-plan.</t>
        </is>
      </c>
      <c r="C22" s="12" t="b">
        <v>1</v>
      </c>
      <c r="D22" s="12" t="inlineStr">
        <is>
          <t>Measure, label, or scale inconsistency</t>
        </is>
      </c>
      <c r="E22" s="12" t="b">
        <v>0</v>
      </c>
      <c r="F22" s="12" t="inlineStr">
        <is>
          <t>C010</t>
        </is>
      </c>
      <c r="G22" s="12" t="inlineStr">
        <is>
          <t>2024::jama.2024.12829::C010</t>
        </is>
      </c>
      <c r="H22" s="12" t="n"/>
      <c r="I22" s="12" t="inlineStr">
        <is>
          <t>DOC-003 synopsis, PDF p. 7; DOC-003 body eligibility, PDF p. 21</t>
        </is>
      </c>
      <c r="J22" s="12" t="b">
        <v>0</v>
      </c>
      <c r="K22" s="12" t="inlineStr">
        <is>
          <t>jama.2024.12829</t>
        </is>
      </c>
      <c r="L22" s="12" t="n"/>
      <c r="M22" s="12" t="inlineStr">
        <is>
          <t>P_P</t>
        </is>
      </c>
      <c r="N22" s="12" t="inlineStr">
        <is>
          <t>Within ProtocolV2.0, synopsis says ischemic stroke21-90days and body criterion says14-90days.</t>
        </is>
      </c>
      <c r="O22" s="12" t="inlineStr">
        <is>
          <t>../../2024/jama.2024.12829/.ai_paper_validation/final_report_1_5_3.html</t>
        </is>
      </c>
      <c r="P22" s="12" t="inlineStr">
        <is>
          <t>2024/jama.2024.12829/.ai_paper_validation/final_report_1_5_3.md</t>
        </is>
      </c>
      <c r="Q22" s="12" t="inlineStr">
        <is>
          <t>C010</t>
        </is>
      </c>
      <c r="R22" s="12" t="inlineStr">
        <is>
          <t>Pending Human Adjudication</t>
        </is>
      </c>
      <c r="S22" s="12" t="inlineStr">
        <is>
          <t>Protocol V2.0 prints two different lower bounds for the matched ischemic-stroke eligibility criterion.</t>
        </is>
      </c>
      <c r="T22" s="12" t="b">
        <v>0</v>
      </c>
      <c r="U22" s="12" t="inlineStr">
        <is>
          <t>eligibility_window</t>
        </is>
      </c>
      <c r="V22" s="12" t="inlineStr">
        <is>
          <t>plan_material</t>
        </is>
      </c>
      <c r="W22" s="12" t="inlineStr">
        <is>
          <t>Protocol V2.0 gives 21-day and 14-day lower bounds for the same stroke criterion</t>
        </is>
      </c>
      <c r="X22" s="12" t="inlineStr">
        <is>
          <t>2024</t>
        </is>
      </c>
      <c r="Y22" s="12" t="inlineStr">
        <is>
          <t>meta_report/consistency_reclassification_2026-09-04/reclassified_candidates.json</t>
        </is>
      </c>
      <c r="Z22" s="12" t="inlineStr">
        <is>
          <t>P_P</t>
        </is>
      </c>
      <c r="AA22" s="12" t="inlineStr">
        <is>
          <t>plan_material</t>
        </is>
      </c>
      <c r="AB22" s="12" t="inlineStr">
        <is>
          <t>retain</t>
        </is>
      </c>
    </row>
    <row r="23" ht="90" customFormat="1" customHeight="1" s="8">
      <c r="A23" s="11" t="b">
        <v>0</v>
      </c>
      <c r="B23" s="11" t="inlineStr">
        <is>
          <t>Truncation could explain the display; evaluated denominator is not supplied.</t>
        </is>
      </c>
      <c r="C23" s="11" t="b">
        <v>0</v>
      </c>
      <c r="D23" s="11" t="inlineStr">
        <is>
          <t>Denominator, proportion, or total inconsistency</t>
        </is>
      </c>
      <c r="E23" s="11" t="b">
        <v>0</v>
      </c>
      <c r="F23" s="11" t="inlineStr">
        <is>
          <t>C011</t>
        </is>
      </c>
      <c r="G23" s="11" t="inlineStr">
        <is>
          <t>2024::jama.2024.12829::C011</t>
        </is>
      </c>
      <c r="H23" s="11" t="n"/>
      <c r="I23" s="11" t="inlineStr">
        <is>
          <t>DOC-002 Table S3, PDF p. 16</t>
        </is>
      </c>
      <c r="J23" s="11" t="b">
        <v>0</v>
      </c>
      <c r="K23" s="11" t="inlineStr">
        <is>
          <t>jama.2024.12829</t>
        </is>
      </c>
      <c r="L23" s="11" t="n"/>
      <c r="M23" s="11" t="inlineStr">
        <is>
          <t>S_W</t>
        </is>
      </c>
      <c r="N23" s="11" t="inlineStr">
        <is>
          <t>Results-supplement TableS3 gives234/249 as93.9% while ordinary nearest rounding gives94.0%.</t>
        </is>
      </c>
      <c r="O23" s="11" t="inlineStr">
        <is>
          <t>../../2024/jama.2024.12829/.ai_paper_validation/final_report_1_5_3.html</t>
        </is>
      </c>
      <c r="P23" s="11" t="inlineStr">
        <is>
          <t>2024/jama.2024.12829/.ai_paper_validation/final_report_1_5_3.md</t>
        </is>
      </c>
      <c r="Q23" s="11" t="inlineStr">
        <is>
          <t>C011</t>
        </is>
      </c>
      <c r="R23" s="11" t="inlineStr">
        <is>
          <t>Pending Human Adjudication</t>
        </is>
      </c>
      <c r="S23" s="11" t="inlineStr">
        <is>
          <t>The BA three-month aspirin percentage is inconsistent with the displayed arm denominator under ordinary nearest-one-decimal rounding.</t>
        </is>
      </c>
      <c r="T23" s="11" t="b">
        <v>1</v>
      </c>
      <c r="U23" s="11" t="inlineStr">
        <is>
          <t>rounding</t>
        </is>
      </c>
      <c r="V23" s="11" t="inlineStr">
        <is>
          <t>statistical_results</t>
        </is>
      </c>
      <c r="W23" s="11" t="inlineStr">
        <is>
          <t>BA 3-month aspirin percentage does not reconcile with count and displayed arm denominator</t>
        </is>
      </c>
      <c r="X23" s="11" t="inlineStr">
        <is>
          <t>2024</t>
        </is>
      </c>
      <c r="Y23" s="11" t="inlineStr">
        <is>
          <t>meta_report/consistency_reclassification_2026-09-04/reclassified_candidates.json</t>
        </is>
      </c>
      <c r="Z23" s="11" t="inlineStr">
        <is>
          <t>S_W</t>
        </is>
      </c>
      <c r="AA23" s="11" t="inlineStr">
        <is>
          <t>statistical_results</t>
        </is>
      </c>
      <c r="AB23" s="11" t="inlineStr">
        <is>
          <t>retain</t>
        </is>
      </c>
    </row>
    <row r="24" ht="90" customFormat="1" customHeight="1" s="8">
      <c r="A24" s="12" t="b">
        <v>0</v>
      </c>
      <c r="B24" s="12" t="inlineStr">
        <is>
          <t>A repeated review-cycle convention is possible but unstated.</t>
        </is>
      </c>
      <c r="C24" s="12" t="b">
        <v>0</v>
      </c>
      <c r="D24" s="12" t="inlineStr">
        <is>
          <t>Measure, label, or scale inconsistency</t>
        </is>
      </c>
      <c r="E24" s="12" t="b">
        <v>0</v>
      </c>
      <c r="F24" s="12" t="inlineStr">
        <is>
          <t>C012</t>
        </is>
      </c>
      <c r="G24" s="12" t="inlineStr">
        <is>
          <t>2024::jama.2024.12829::C012</t>
        </is>
      </c>
      <c r="H24" s="12" t="n"/>
      <c r="I24" s="12" t="inlineStr">
        <is>
          <t>DOC-002 Figure S1, PDF p. 10</t>
        </is>
      </c>
      <c r="J24" s="12" t="b">
        <v>0</v>
      </c>
      <c r="K24" s="12" t="inlineStr">
        <is>
          <t>jama.2024.12829</t>
        </is>
      </c>
      <c r="L24" s="12" t="n"/>
      <c r="M24" s="12" t="inlineStr">
        <is>
          <t>S_W</t>
        </is>
      </c>
      <c r="N24" s="12" t="inlineStr">
        <is>
          <t>Non-plan FigureS1 repeats2nd meeting for three distinct dates within its own chronology.</t>
        </is>
      </c>
      <c r="O24" s="12" t="inlineStr">
        <is>
          <t>../../2024/jama.2024.12829/.ai_paper_validation/final_report_1_5_3.html</t>
        </is>
      </c>
      <c r="P24" s="12" t="inlineStr">
        <is>
          <t>2024/jama.2024.12829/.ai_paper_validation/final_report_1_5_3.md</t>
        </is>
      </c>
      <c r="Q24" s="12" t="inlineStr">
        <is>
          <t>C012</t>
        </is>
      </c>
      <c r="R24" s="12" t="inlineStr">
        <is>
          <t>Pending Human Adjudication</t>
        </is>
      </c>
      <c r="S24" s="12" t="inlineStr">
        <is>
          <t>Figure S1 repeats the ordinal 2nd meeting for three different dates within the displayed review process.</t>
        </is>
      </c>
      <c r="T24" s="12" t="b">
        <v>1</v>
      </c>
      <c r="U24" s="12" t="inlineStr">
        <is>
          <t>timeline_ordinal</t>
        </is>
      </c>
      <c r="V24" s="12" t="inlineStr">
        <is>
          <t>report_internal_inconsistency</t>
        </is>
      </c>
      <c r="W24" s="12" t="inlineStr">
        <is>
          <t>Figure S1 repeats “2nd meeting” for three chronologically distinct meetings</t>
        </is>
      </c>
      <c r="X24" s="12" t="inlineStr">
        <is>
          <t>2024</t>
        </is>
      </c>
      <c r="Y24" s="12" t="inlineStr">
        <is>
          <t>meta_report/consistency_reclassification_2026-09-04/reclassified_candidates.json</t>
        </is>
      </c>
      <c r="Z24" s="12" t="inlineStr">
        <is>
          <t>S_W</t>
        </is>
      </c>
      <c r="AA24" s="12" t="inlineStr">
        <is>
          <t>report_internal_inconsistency</t>
        </is>
      </c>
      <c r="AB24" s="12" t="inlineStr">
        <is>
          <t>retain</t>
        </is>
      </c>
    </row>
    <row r="25" ht="90" customFormat="1" customHeight="1" s="8">
      <c r="A25" s="11" t="b">
        <v>0</v>
      </c>
      <c r="B25" s="11" t="inlineStr">
        <is>
          <t>The sentence may specify face-to-face subset9/11 rather than six successive visits; two versioned repetitions remain one retained candidate.</t>
        </is>
      </c>
      <c r="C25" s="11" t="b">
        <v>1</v>
      </c>
      <c r="D25" s="11" t="inlineStr">
        <is>
          <t>Measure, label, or scale inconsistency</t>
        </is>
      </c>
      <c r="E25" s="11" t="b">
        <v>0</v>
      </c>
      <c r="F25" s="11" t="inlineStr">
        <is>
          <t>C013</t>
        </is>
      </c>
      <c r="G25" s="11" t="inlineStr">
        <is>
          <t>2024::jama.2024.12829::C013</t>
        </is>
      </c>
      <c r="H25" s="11" t="n"/>
      <c r="I25" s="11" t="inlineStr">
        <is>
          <t>DOC-003 Protocol V2.0 paragraph, PDF p. 35; DOC-003 Protocol V2.3 paragraph, PDF p. 96; DOC-003 schedule, PDF p. 15</t>
        </is>
      </c>
      <c r="J25" s="11" t="b">
        <v>0</v>
      </c>
      <c r="K25" s="11" t="inlineStr">
        <is>
          <t>jama.2024.12829</t>
        </is>
      </c>
      <c r="L25" s="11" t="n"/>
      <c r="M25" s="11" t="inlineStr">
        <is>
          <t>P_P</t>
        </is>
      </c>
      <c r="N25" s="11" t="inlineStr">
        <is>
          <t>The same protocol bundle repeats visit9 and11 in a six-token sentence in bothV2.0 andV2.3, against its four-visit8-11 schedule.</t>
        </is>
      </c>
      <c r="O25" s="11" t="inlineStr">
        <is>
          <t>../../2024/jama.2024.12829/.ai_paper_validation/final_report_1_5_3.html</t>
        </is>
      </c>
      <c r="P25" s="11" t="inlineStr">
        <is>
          <t>2024/jama.2024.12829/.ai_paper_validation/final_report_1_5_3.md</t>
        </is>
      </c>
      <c r="Q25" s="11" t="inlineStr">
        <is>
          <t>C013</t>
        </is>
      </c>
      <c r="R25" s="11" t="inlineStr">
        <is>
          <t>Pending Human Adjudication</t>
        </is>
      </c>
      <c r="S25" s="11" t="inlineStr">
        <is>
          <t>The identical recurring-visit sentence is ambiguous between a four-visit sequence with a face-to-face subset and a six-token sequence because it repeats visits 9 and 11.</t>
        </is>
      </c>
      <c r="T25" s="11" t="b">
        <v>0</v>
      </c>
      <c r="U25" s="11" t="inlineStr">
        <is>
          <t>visit_sequence</t>
        </is>
      </c>
      <c r="V25" s="11" t="inlineStr">
        <is>
          <t>plan_material</t>
        </is>
      </c>
      <c r="W25" s="11" t="inlineStr">
        <is>
          <t>Recurring-visit sentence ambiguously repeats visit numbers 9 and 11</t>
        </is>
      </c>
      <c r="X25" s="11" t="inlineStr">
        <is>
          <t>2024</t>
        </is>
      </c>
      <c r="Y25" s="11" t="inlineStr">
        <is>
          <t>meta_report/consistency_reclassification_2026-09-04/reclassified_candidates.json</t>
        </is>
      </c>
      <c r="Z25" s="11" t="inlineStr">
        <is>
          <t>P_P</t>
        </is>
      </c>
      <c r="AA25" s="11" t="inlineStr">
        <is>
          <t>plan_material</t>
        </is>
      </c>
      <c r="AB25" s="11" t="inlineStr">
        <is>
          <t>retain</t>
        </is>
      </c>
    </row>
    <row r="26" ht="90" customFormat="1" customHeight="1" s="8">
      <c r="A26" s="12" t="b">
        <v>0</v>
      </c>
      <c r="B26" s="12" t="inlineStr">
        <is>
          <t>Distinct from C007: changing the ATS header alone does not resolve this cell.</t>
        </is>
      </c>
      <c r="C26" s="12" t="b">
        <v>0</v>
      </c>
      <c r="D26" s="12" t="inlineStr">
        <is>
          <t>Numeric or arithmetic inconsistency</t>
        </is>
      </c>
      <c r="E26" s="12" t="b">
        <v>0</v>
      </c>
      <c r="F26" s="12" t="inlineStr">
        <is>
          <t>C014</t>
        </is>
      </c>
      <c r="G26" s="12" t="inlineStr">
        <is>
          <t>2024::jama.2024.12829::C014</t>
        </is>
      </c>
      <c r="H26" s="12" t="n"/>
      <c r="I26" s="12" t="inlineStr">
        <is>
          <t>DOC-002 Table S9, PDF p. 22; DOC-002 Table S10, PDF p. 23</t>
        </is>
      </c>
      <c r="J26" s="12" t="b">
        <v>0</v>
      </c>
      <c r="K26" s="12" t="inlineStr">
        <is>
          <t>jama.2024.12829</t>
        </is>
      </c>
      <c r="L26" s="12" t="n"/>
      <c r="M26" s="12" t="inlineStr">
        <is>
          <t>S_W</t>
        </is>
      </c>
      <c r="N26" s="12" t="inlineStr">
        <is>
          <t>Results-supplement TableS9 gives8(3.3), but both displayed249 and same-supplement ATS247 denominators produce3.2%.</t>
        </is>
      </c>
      <c r="O26" s="12" t="inlineStr">
        <is>
          <t>../../2024/jama.2024.12829/.ai_paper_validation/final_report_1_5_3.html</t>
        </is>
      </c>
      <c r="P26" s="12" t="inlineStr">
        <is>
          <t>2024/jama.2024.12829/.ai_paper_validation/final_report_1_5_3.md</t>
        </is>
      </c>
      <c r="Q26" s="12" t="inlineStr">
        <is>
          <t>C014</t>
        </is>
      </c>
      <c r="R26" s="12" t="inlineStr">
        <is>
          <t>Pending Human Adjudication</t>
        </is>
      </c>
      <c r="S26" s="12" t="inlineStr">
        <is>
          <t>The Table S9 BA 8 (3.3) cell does not round to 3.3% from either the displayed or supplied ATS denominator.</t>
        </is>
      </c>
      <c r="T26" s="12" t="b">
        <v>1</v>
      </c>
      <c r="U26" s="12" t="inlineStr">
        <is>
          <t>rounding</t>
        </is>
      </c>
      <c r="V26" s="12" t="inlineStr">
        <is>
          <t>statistical_results</t>
        </is>
      </c>
      <c r="W26" s="12" t="inlineStr">
        <is>
          <t>Table S9 BA 8 (3.3) does not round from either supplied ATS or displayed denominator</t>
        </is>
      </c>
      <c r="X26" s="12" t="inlineStr">
        <is>
          <t>2024</t>
        </is>
      </c>
      <c r="Y26" s="12" t="inlineStr">
        <is>
          <t>meta_report/consistency_reclassification_2026-09-04/reclassified_candidates.json</t>
        </is>
      </c>
      <c r="Z26" s="12" t="inlineStr">
        <is>
          <t>S_W</t>
        </is>
      </c>
      <c r="AA26" s="12" t="inlineStr">
        <is>
          <t>statistical_results</t>
        </is>
      </c>
      <c r="AB26" s="12" t="inlineStr">
        <is>
          <t>retain</t>
        </is>
      </c>
    </row>
    <row r="27" ht="90" customFormat="1" customHeight="1" s="8">
      <c r="A27" s="11" t="b">
        <v>0</v>
      </c>
      <c r="B27" s="11" t="inlineStr">
        <is>
          <t>Original cross-document category actually describes two locations in one article; dual reason coding remains possible.</t>
        </is>
      </c>
      <c r="C27" s="11" t="b">
        <v>0</v>
      </c>
      <c r="D27" s="11" t="inlineStr">
        <is>
          <t>Cross-document numeric inconsistency</t>
        </is>
      </c>
      <c r="E27" s="11" t="b">
        <v>0</v>
      </c>
      <c r="F27" s="11" t="inlineStr">
        <is>
          <t>C015</t>
        </is>
      </c>
      <c r="G27" s="11" t="inlineStr">
        <is>
          <t>2024::jama.2024.12829::C015</t>
        </is>
      </c>
      <c r="H27" s="11" t="n"/>
      <c r="I27" s="11" t="inlineStr">
        <is>
          <t>DOC-001 narrative, PDF p. 4; DOC-001 Figure 1, PDF p. 5</t>
        </is>
      </c>
      <c r="J27" s="11" t="b">
        <v>1</v>
      </c>
      <c r="K27" s="11" t="inlineStr">
        <is>
          <t>jama.2024.12829</t>
        </is>
      </c>
      <c r="L27" s="11" t="n"/>
      <c r="M27" s="11" t="inlineStr">
        <is>
          <t>S_W</t>
        </is>
      </c>
      <c r="N27" s="11" t="inlineStr">
        <is>
          <t>Main narrative attributes all11 exclusions to consent withdrawal; its Figure1 assigns10 to withdrawal and1 to erroneous randomization.</t>
        </is>
      </c>
      <c r="O27" s="11" t="inlineStr">
        <is>
          <t>../../2024/jama.2024.12829/.ai_paper_validation/final_report_1_5_3.html</t>
        </is>
      </c>
      <c r="P27" s="11" t="inlineStr">
        <is>
          <t>2024/jama.2024.12829/.ai_paper_validation/final_report_1_5_3.md</t>
        </is>
      </c>
      <c r="Q27" s="11" t="inlineStr">
        <is>
          <t>C015</t>
        </is>
      </c>
      <c r="R27" s="11" t="inlineStr">
        <is>
          <t>Pending Human Adjudication</t>
        </is>
      </c>
      <c r="S27" s="11" t="inlineStr">
        <is>
          <t>The narrative and Figure 1 reconcile to the same total removals but assign different reason categories to the 11 pre-analysis exclusions.</t>
        </is>
      </c>
      <c r="T27" s="11" t="b">
        <v>1</v>
      </c>
      <c r="U27" s="11" t="inlineStr">
        <is>
          <t>flow_reason_category</t>
        </is>
      </c>
      <c r="V27" s="11" t="inlineStr">
        <is>
          <t>report_internal_inconsistency</t>
        </is>
      </c>
      <c r="W27" s="11" t="inlineStr">
        <is>
          <t>Narrative assigns all 11 pre-analysis exclusions to consent withdrawal while Figure 1 assigns only 10</t>
        </is>
      </c>
      <c r="X27" s="11" t="inlineStr">
        <is>
          <t>2024</t>
        </is>
      </c>
      <c r="Y27" s="11" t="inlineStr">
        <is>
          <t>meta_report/consistency_reclassification_2026-09-04/reclassified_candidates.json</t>
        </is>
      </c>
      <c r="Z27" s="11" t="inlineStr">
        <is>
          <t>S_W</t>
        </is>
      </c>
      <c r="AA27" s="11" t="inlineStr">
        <is>
          <t>report_internal_inconsistency</t>
        </is>
      </c>
      <c r="AB27" s="11" t="inlineStr">
        <is>
          <t>retain</t>
        </is>
      </c>
    </row>
    <row r="28" ht="90" customFormat="1" customHeight="1" s="8">
      <c r="A28" s="12" t="b">
        <v>0</v>
      </c>
      <c r="B28" s="12" t="inlineStr">
        <is>
          <t>Different from C004's arithmetic defect; unknown endpoint/population mapping could explain the count difference.</t>
        </is>
      </c>
      <c r="C28" s="12" t="b">
        <v>0</v>
      </c>
      <c r="D28" s="12" t="inlineStr">
        <is>
          <t>Cross-document numeric inconsistency</t>
        </is>
      </c>
      <c r="E28" s="12" t="b">
        <v>1</v>
      </c>
      <c r="F28" s="12" t="inlineStr">
        <is>
          <t>C016</t>
        </is>
      </c>
      <c r="G28" s="12" t="inlineStr">
        <is>
          <t>2024::jama.2024.12829::C016</t>
        </is>
      </c>
      <c r="H28" s="12" t="n"/>
      <c r="I28" s="12" t="inlineStr">
        <is>
          <t>DOC-001 primary narrative, PDF p. 5; DOC-001 Table 2, PDF p. 8; DOC-002 Table S6, PDF p. 19</t>
        </is>
      </c>
      <c r="J28" s="12" t="b">
        <v>1</v>
      </c>
      <c r="K28" s="12" t="inlineStr">
        <is>
          <t>jama.2024.12829</t>
        </is>
      </c>
      <c r="L28" s="12" t="n"/>
      <c r="M28" s="12" t="inlineStr">
        <is>
          <t>S_C</t>
        </is>
      </c>
      <c r="N28" s="12" t="inlineStr">
        <is>
          <t>Main primary endpoint narrative/Table2 giveBA11 events, whereas matched non-plan TableS6 prints9 under the same249 header and endpoint wording.</t>
        </is>
      </c>
      <c r="O28" s="12" t="inlineStr">
        <is>
          <t>../../2024/jama.2024.12829/.ai_paper_validation/final_report_1_5_3.html</t>
        </is>
      </c>
      <c r="P28" s="12" t="inlineStr">
        <is>
          <t>2024/jama.2024.12829/.ai_paper_validation/final_report_1_5_3.md</t>
        </is>
      </c>
      <c r="Q28" s="12" t="inlineStr">
        <is>
          <t>C016</t>
        </is>
      </c>
      <c r="R28" s="12" t="inlineStr">
        <is>
          <t>Pending Human Adjudication</t>
        </is>
      </c>
      <c r="S28" s="12" t="inlineStr">
        <is>
          <t>Table S6 prints a BA count of 9 for a matched primary endpoint and n=249 header where the main narrative and Table 2 print 11; this is distinct from C004.</t>
        </is>
      </c>
      <c r="T28" s="12" t="b">
        <v>1</v>
      </c>
      <c r="U28" s="12" t="inlineStr">
        <is>
          <t>event_count_repeat</t>
        </is>
      </c>
      <c r="V28" s="12" t="inlineStr">
        <is>
          <t>report_internal_inconsistency</t>
        </is>
      </c>
      <c r="W28" s="12" t="inlineStr">
        <is>
          <t>Table S6 BA event count 9 conflicts with the matched primary-analysis count 11</t>
        </is>
      </c>
      <c r="X28" s="12" t="inlineStr">
        <is>
          <t>2024</t>
        </is>
      </c>
      <c r="Y28" s="12" t="inlineStr">
        <is>
          <t>meta_report/consistency_reclassification_2026-09-04/reclassified_candidates.json</t>
        </is>
      </c>
      <c r="Z28" s="12" t="inlineStr">
        <is>
          <t>S_C</t>
        </is>
      </c>
      <c r="AA28" s="12" t="inlineStr">
        <is>
          <t>report_internal_inconsistency</t>
        </is>
      </c>
      <c r="AB28" s="12" t="inlineStr">
        <is>
          <t>retain</t>
        </is>
      </c>
    </row>
    <row r="29" ht="90" customFormat="1" customHeight="1" s="8">
      <c r="A29" s="11" t="b">
        <v>0</v>
      </c>
      <c r="B29" s="11" t="inlineStr">
        <is>
          <t>The interval construction or a mismatched estimand is not supplied.</t>
        </is>
      </c>
      <c r="C29" s="11" t="b">
        <v>0</v>
      </c>
      <c r="D29" s="11" t="inlineStr">
        <is>
          <t>Statistical reporting inconsistency</t>
        </is>
      </c>
      <c r="E29" s="11" t="b">
        <v>0</v>
      </c>
      <c r="F29" s="11" t="inlineStr">
        <is>
          <t>C017</t>
        </is>
      </c>
      <c r="G29" s="11" t="inlineStr">
        <is>
          <t>2024::jama.2024.12829::C017</t>
        </is>
      </c>
      <c r="H29" s="11" t="n"/>
      <c r="I29" s="11" t="inlineStr">
        <is>
          <t>DOC-001 Table 2, PDF p. 8</t>
        </is>
      </c>
      <c r="J29" s="11" t="b">
        <v>0</v>
      </c>
      <c r="K29" s="11" t="inlineStr">
        <is>
          <t>jama.2024.12829</t>
        </is>
      </c>
      <c r="L29" s="11" t="n"/>
      <c r="M29" s="11" t="inlineStr">
        <is>
          <t>S_W</t>
        </is>
      </c>
      <c r="N29" s="11" t="inlineStr">
        <is>
          <t>Main Table2 incidence difference-0.4 lies outside its printed95%CI[-2.4,-1.7].</t>
        </is>
      </c>
      <c r="O29" s="11" t="inlineStr">
        <is>
          <t>../../2024/jama.2024.12829/.ai_paper_validation/final_report_1_5_3.html</t>
        </is>
      </c>
      <c r="P29" s="11" t="inlineStr">
        <is>
          <t>2024/jama.2024.12829/.ai_paper_validation/final_report_1_5_3.md</t>
        </is>
      </c>
      <c r="Q29" s="11" t="inlineStr">
        <is>
          <t>C017</t>
        </is>
      </c>
      <c r="R29" s="11" t="inlineStr">
        <is>
          <t>Pending Human Adjudication</t>
        </is>
      </c>
      <c r="S29" s="11" t="inlineStr">
        <is>
          <t>The printed one-year incidence-difference point estimate is not contained in its paired printed confidence interval.</t>
        </is>
      </c>
      <c r="T29" s="11" t="b">
        <v>1</v>
      </c>
      <c r="U29" s="11" t="inlineStr">
        <is>
          <t>point_interval_containment</t>
        </is>
      </c>
      <c r="V29" s="11" t="inlineStr">
        <is>
          <t>statistical_results</t>
        </is>
      </c>
      <c r="W29" s="11" t="inlineStr">
        <is>
          <t>One-year incidence-difference point estimate lies outside its confidence interval</t>
        </is>
      </c>
      <c r="X29" s="11" t="inlineStr">
        <is>
          <t>2024</t>
        </is>
      </c>
      <c r="Y29" s="11" t="inlineStr">
        <is>
          <t>meta_report/consistency_reclassification_2026-09-04/reclassified_candidates.json</t>
        </is>
      </c>
      <c r="Z29" s="11" t="inlineStr">
        <is>
          <t>S_W</t>
        </is>
      </c>
      <c r="AA29" s="11" t="inlineStr">
        <is>
          <t>statistical_results</t>
        </is>
      </c>
      <c r="AB29" s="11" t="inlineStr">
        <is>
          <t>retain</t>
        </is>
      </c>
    </row>
    <row r="30" ht="90" customFormat="1" customHeight="1" s="8">
      <c r="A30" s="12" t="b">
        <v>0</v>
      </c>
      <c r="B30" s="12" t="inlineStr">
        <is>
          <t>NOT REPRODUCED: prior71-versus58 sum double-counted the13 parent; stable ID retained only for production-layout confirmation.</t>
        </is>
      </c>
      <c r="C30" s="12" t="b">
        <v>0</v>
      </c>
      <c r="D30" s="12" t="inlineStr">
        <is>
          <t>Numeric or arithmetic inconsistency</t>
        </is>
      </c>
      <c r="E30" s="12" t="b">
        <v>0</v>
      </c>
      <c r="F30" s="12" t="inlineStr">
        <is>
          <t>C001</t>
        </is>
      </c>
      <c r="G30" s="12" t="inlineStr">
        <is>
          <t>2024::jama.2024.19585::C001</t>
        </is>
      </c>
      <c r="H30" s="12" t="n"/>
      <c r="I30" s="12" t="inlineStr">
        <is>
          <t>jama_dupuis_2024_oi_240111_1733431204.38761.pdf — Figure 1, PDF p. 5, usual-care branch.</t>
        </is>
      </c>
      <c r="J30" s="12" t="b">
        <v>0</v>
      </c>
      <c r="K30" s="12" t="inlineStr">
        <is>
          <t>jama.2024.19585</t>
        </is>
      </c>
      <c r="L30" s="12" t="n"/>
      <c r="M30" s="12" t="inlineStr">
        <is>
          <t>S_W</t>
        </is>
      </c>
      <c r="N30" s="12" t="inlineStr">
        <is>
          <t>The retained candidate concerns nested counts within main Figure1; recheck explicitly finds7+4+2=13 and top-level sum58, reconciling the displayed total.</t>
        </is>
      </c>
      <c r="O30" s="12" t="inlineStr">
        <is>
          <t>../../2024/jama.2024.19585/.ai_paper_validation/final_report_1_5_3.html</t>
        </is>
      </c>
      <c r="P30" s="12" t="inlineStr">
        <is>
          <t>2024/jama.2024.19585/.ai_paper_validation/final_report_1_5_3.md</t>
        </is>
      </c>
      <c r="Q30" s="12" t="inlineStr">
        <is>
          <t>C001</t>
        </is>
      </c>
      <c r="R30" s="12" t="inlineStr">
        <is>
          <t>Pending Human Adjudication</t>
        </is>
      </c>
      <c r="S30" s="12" t="inlineStr">
        <is>
          <t>Stable C001 is retained for human confirmation of Figure 1's visual parent-child hierarchy. The direct source supports reconciliation, not a 71-versus-58 mismatch: the nested reasons sum to their parent and the top-level reasons sum to 58.</t>
        </is>
      </c>
      <c r="T30" s="12" t="b">
        <v>1</v>
      </c>
      <c r="U30" s="12" t="inlineStr">
        <is>
          <t>flow_hierarchy</t>
        </is>
      </c>
      <c r="V30" s="12" t="inlineStr">
        <is>
          <t>statistical_results</t>
        </is>
      </c>
      <c r="W30" s="12" t="inlineStr">
        <is>
          <t>Usual-care exclusion hierarchy requires source-layout confirmation</t>
        </is>
      </c>
      <c r="X30" s="12" t="inlineStr">
        <is>
          <t>2024</t>
        </is>
      </c>
      <c r="Y30" s="12" t="inlineStr">
        <is>
          <t>meta_report/consistency_reclassification_2026-09-04/reclassified_candidates.json</t>
        </is>
      </c>
      <c r="Z30" s="12" t="inlineStr">
        <is>
          <t>S_W</t>
        </is>
      </c>
      <c r="AA30" s="12" t="inlineStr">
        <is>
          <t>statistical_results</t>
        </is>
      </c>
      <c r="AB30" s="12" t="inlineStr">
        <is>
          <t>exclude</t>
        </is>
      </c>
    </row>
    <row r="31" ht="90" customFormat="1" customHeight="1" s="8">
      <c r="A31" s="11" t="b">
        <v>0</v>
      </c>
      <c r="B31" s="11" t="inlineStr">
        <is>
          <t>A different unreported rejection population/definition remains possible.</t>
        </is>
      </c>
      <c r="C31" s="11" t="b">
        <v>0</v>
      </c>
      <c r="D31" s="11" t="inlineStr">
        <is>
          <t>Cross-document numeric inconsistency</t>
        </is>
      </c>
      <c r="E31" s="11" t="b">
        <v>1</v>
      </c>
      <c r="F31" s="11" t="inlineStr">
        <is>
          <t>C002</t>
        </is>
      </c>
      <c r="G31" s="11" t="inlineStr">
        <is>
          <t>2024::jama.2024.19585::C002</t>
        </is>
      </c>
      <c r="H31" s="11" t="n"/>
      <c r="I31" s="11" t="inlineStr">
        <is>
          <t>jama_dupuis_2024_oi_240111_1733431204.38761.pdf — narrative, PDF p. 2 and joi240111supp2_prod_1733431204.76024.pdf — eTable 3, PDF p. 6.</t>
        </is>
      </c>
      <c r="J31" s="11" t="b">
        <v>1</v>
      </c>
      <c r="K31" s="11" t="inlineStr">
        <is>
          <t>jama.2024.19585</t>
        </is>
      </c>
      <c r="L31" s="11" t="n"/>
      <c r="M31" s="11" t="inlineStr">
        <is>
          <t>S_C</t>
        </is>
      </c>
      <c r="N31" s="11" t="inlineStr">
        <is>
          <t>Main rejected-statement percentage6.4% conflicts with142/1350=10.5% from the supplied non-plan eTable3 site counts.</t>
        </is>
      </c>
      <c r="O31" s="11" t="inlineStr">
        <is>
          <t>../../2024/jama.2024.19585/.ai_paper_validation/final_report_1_5_3.html</t>
        </is>
      </c>
      <c r="P31" s="11" t="inlineStr">
        <is>
          <t>2024/jama.2024.19585/.ai_paper_validation/final_report_1_5_3.md</t>
        </is>
      </c>
      <c r="Q31" s="11" t="inlineStr">
        <is>
          <t>C002</t>
        </is>
      </c>
      <c r="R31" s="11" t="inlineStr">
        <is>
          <t>Pending Human Adjudication</t>
        </is>
      </c>
      <c r="S31" s="11" t="inlineStr">
        <is>
          <t>The main text reports 6.4% rejected across intervention sites, whereas the displayed eTable 3 reject counts and equal denominators imply 142/1,350 = 10.5%.</t>
        </is>
      </c>
      <c r="T31" s="11" t="b">
        <v>1</v>
      </c>
      <c r="U31" s="11" t="inlineStr">
        <is>
          <t>aggregate_percentage</t>
        </is>
      </c>
      <c r="V31" s="11" t="inlineStr">
        <is>
          <t>report_internal_inconsistency</t>
        </is>
      </c>
      <c r="W31" s="11" t="inlineStr">
        <is>
          <t>Main-text rejected-statement percentage conflicts with the supplement counts</t>
        </is>
      </c>
      <c r="X31" s="11" t="inlineStr">
        <is>
          <t>2024</t>
        </is>
      </c>
      <c r="Y31" s="11" t="inlineStr">
        <is>
          <t>meta_report/consistency_reclassification_2026-09-04/reclassified_candidates.json</t>
        </is>
      </c>
      <c r="Z31" s="11" t="inlineStr">
        <is>
          <t>S_C</t>
        </is>
      </c>
      <c r="AA31" s="11" t="inlineStr">
        <is>
          <t>report_internal_inconsistency</t>
        </is>
      </c>
      <c r="AB31" s="11" t="inlineStr">
        <is>
          <t>retain</t>
        </is>
      </c>
    </row>
    <row r="32" ht="90" customFormat="1" customHeight="1" s="8">
      <c r="A32" s="12" t="b">
        <v>0</v>
      </c>
      <c r="B32" s="12" t="inlineStr">
        <is>
          <t>Difference might be an undefined generic heading; numerical odds-ratio error is not established.</t>
        </is>
      </c>
      <c r="C32" s="12" t="b">
        <v>0</v>
      </c>
      <c r="D32" s="12" t="inlineStr">
        <is>
          <t>Measure, label, or scale inconsistency</t>
        </is>
      </c>
      <c r="E32" s="12" t="b">
        <v>0</v>
      </c>
      <c r="F32" s="12" t="inlineStr">
        <is>
          <t>C003</t>
        </is>
      </c>
      <c r="G32" s="12" t="inlineStr">
        <is>
          <t>2024::jama.2024.19585::C003</t>
        </is>
      </c>
      <c r="H32" s="12" t="n"/>
      <c r="I32" s="12" t="inlineStr">
        <is>
          <t>joi240111supp2_prod_1733431204.76024.pdf — eTable 10 start, PDF p. 13; joi240111supp2_prod_1733431204.76024.pdf — eTable 10 continued values, PDF p. 14; joi240111supp2_prod_1733431204.76024.pdf — eTable 10 footnote, PDF p. 15; and joi240111supp2_prod_1733431204.76024.pdf — eMethods, PDF p. 22.</t>
        </is>
      </c>
      <c r="J32" s="12" t="b">
        <v>0</v>
      </c>
      <c r="K32" s="12" t="inlineStr">
        <is>
          <t>jama.2024.19585</t>
        </is>
      </c>
      <c r="L32" s="12" t="n"/>
      <c r="M32" s="12" t="inlineStr">
        <is>
          <t>S_W</t>
        </is>
      </c>
      <c r="N32" s="12" t="inlineStr">
        <is>
          <t>Within one results supplement, eTable10 labels modeled effects Difference while eMethods expressly defines the relevant analyses as logistic odds ratios.</t>
        </is>
      </c>
      <c r="O32" s="12" t="inlineStr">
        <is>
          <t>../../2024/jama.2024.19585/.ai_paper_validation/final_report_1_5_3.html</t>
        </is>
      </c>
      <c r="P32" s="12" t="inlineStr">
        <is>
          <t>2024/jama.2024.19585/.ai_paper_validation/final_report_1_5_3.md</t>
        </is>
      </c>
      <c r="Q32" s="12" t="inlineStr">
        <is>
          <t>C003</t>
        </is>
      </c>
      <c r="R32" s="12" t="inlineStr">
        <is>
          <t>Pending Human Adjudication</t>
        </is>
      </c>
      <c r="S32" s="12" t="inlineStr">
        <is>
          <t>eTable 10 labels its modeled-effect columns Difference (95% CI), while eMethods states that the documentation, any-intervention, and symptom-specific-intervention analyses estimate odds ratios using logistic regression.</t>
        </is>
      </c>
      <c r="T32" s="12" t="b">
        <v>1</v>
      </c>
      <c r="U32" s="12" t="inlineStr">
        <is>
          <t>effect_measure_label</t>
        </is>
      </c>
      <c r="V32" s="12" t="inlineStr">
        <is>
          <t>report_internal_inconsistency</t>
        </is>
      </c>
      <c r="W32" s="12" t="inlineStr">
        <is>
          <t>eTable 10 labels logistic-regression odds ratios as differences</t>
        </is>
      </c>
      <c r="X32" s="12" t="inlineStr">
        <is>
          <t>2024</t>
        </is>
      </c>
      <c r="Y32" s="12" t="inlineStr">
        <is>
          <t>meta_report/consistency_reclassification_2026-09-04/reclassified_candidates.json</t>
        </is>
      </c>
      <c r="Z32" s="12" t="inlineStr">
        <is>
          <t>S_W</t>
        </is>
      </c>
      <c r="AA32" s="12" t="inlineStr">
        <is>
          <t>report_internal_inconsistency</t>
        </is>
      </c>
      <c r="AB32" s="12" t="inlineStr">
        <is>
          <t>retain</t>
        </is>
      </c>
    </row>
    <row r="33" ht="90" customFormat="1" customHeight="1" s="8">
      <c r="A33" s="11" t="b">
        <v>0</v>
      </c>
      <c r="B33" s="11" t="inlineStr">
        <is>
          <t>Mixed relations; identical44/159 and27/149 counts do not establish which threshold was implemented.</t>
        </is>
      </c>
      <c r="C33" s="11" t="b">
        <v>1</v>
      </c>
      <c r="D33" s="11" t="inlineStr">
        <is>
          <t>Measure, label, or scale inconsistency</t>
        </is>
      </c>
      <c r="E33" s="11" t="b">
        <v>1</v>
      </c>
      <c r="F33" s="11" t="inlineStr">
        <is>
          <t>C001</t>
        </is>
      </c>
      <c r="G33" s="11" t="inlineStr">
        <is>
          <t>2024::jama.2024.2302::C001</t>
        </is>
      </c>
      <c r="H33" s="11" t="n"/>
      <c r="I33" s="11" t="inlineStr">
        <is>
          <t>main article — PDF p. 6, Table 2; results supplement — PDF p. 5, eTable 2; protocol — PDF p. 2; SAP — PDF p. 4.</t>
        </is>
      </c>
      <c r="J33" s="11" t="b">
        <v>0</v>
      </c>
      <c r="K33" s="11" t="inlineStr">
        <is>
          <t>jama.2024.2302</t>
        </is>
      </c>
      <c r="L33" s="11" t="inlineStr">
        <is>
          <t>endpoint_definition_window_hierarchy</t>
        </is>
      </c>
      <c r="M33" s="11" t="inlineStr">
        <is>
          <t>P_R</t>
        </is>
      </c>
      <c r="N33" s="11" t="inlineStr">
        <is>
          <t>Main Table2 and SAP define&gt;=1 SAE, while matched results eTable2 and protocol use&gt;1. This explicitly spans report-plan, protocol-SAP, and main-results-supplement definitions.</t>
        </is>
      </c>
      <c r="O33" s="11" t="inlineStr">
        <is>
          <t>../../2024/jama.2024.2302/.ai_paper_validation/final_report_1_5_3.html</t>
        </is>
      </c>
      <c r="P33" s="11" t="inlineStr">
        <is>
          <t>2024/jama.2024.2302/.ai_paper_validation/final_report_1_5_3.md</t>
        </is>
      </c>
      <c r="Q33" s="11" t="inlineStr">
        <is>
          <t>C001</t>
        </is>
      </c>
      <c r="R33" s="11" t="inlineStr">
        <is>
          <t>Pending Human Adjudication</t>
        </is>
      </c>
      <c r="S33" s="11" t="inlineStr">
        <is>
          <t>Matched primary SAE results are labeled ≥1/“any” in the main article and SAP but &gt;1 in the protocol and eTable.</t>
        </is>
      </c>
      <c r="T33" s="11" t="b">
        <v>1</v>
      </c>
      <c r="U33" s="11" t="inlineStr">
        <is>
          <t>endpoint_threshold</t>
        </is>
      </c>
      <c r="V33" s="11" t="inlineStr">
        <is>
          <t>protocol_report</t>
        </is>
      </c>
      <c r="W33" s="11" t="inlineStr">
        <is>
          <t>Primary SAE endpoint threshold label</t>
        </is>
      </c>
      <c r="X33" s="11" t="inlineStr">
        <is>
          <t>2024</t>
        </is>
      </c>
      <c r="Y33" s="11" t="inlineStr">
        <is>
          <t>meta_report/consistency_reclassification_2026-09-04/reclassified_candidates.json</t>
        </is>
      </c>
      <c r="Z33" s="11" t="inlineStr">
        <is>
          <t>P_R</t>
        </is>
      </c>
      <c r="AA33" s="11" t="inlineStr">
        <is>
          <t>protocol_report</t>
        </is>
      </c>
      <c r="AB33" s="11" t="inlineStr">
        <is>
          <t>retain</t>
        </is>
      </c>
    </row>
    <row r="34" ht="90" customFormat="1" customHeight="1" s="8">
      <c r="A34" s="12" t="b">
        <v>0</v>
      </c>
      <c r="B34" s="12" t="inlineStr">
        <is>
          <t>SAP explicitly calls18/15 incorrect and identifies8/5 as intended. This is disclosed plan correction, not observed-result disagreement or an undisclosed deviation.</t>
        </is>
      </c>
      <c r="C34" s="12" t="b">
        <v>1</v>
      </c>
      <c r="D34" s="12" t="inlineStr">
        <is>
          <t>Cross-document numeric inconsistency</t>
        </is>
      </c>
      <c r="E34" s="12" t="b">
        <v>0</v>
      </c>
      <c r="F34" s="12" t="inlineStr">
        <is>
          <t>C002</t>
        </is>
      </c>
      <c r="G34" s="12" t="inlineStr">
        <is>
          <t>2024::jama.2024.2302::C002</t>
        </is>
      </c>
      <c r="H34" s="12" t="n"/>
      <c r="I34" s="12" t="inlineStr">
        <is>
          <t>protocol — PDF p. 3; protocol — PDF p. 12; SAP — PDF p. 3.</t>
        </is>
      </c>
      <c r="J34" s="12" t="b">
        <v>1</v>
      </c>
      <c r="K34" s="12" t="inlineStr">
        <is>
          <t>jama.2024.2302</t>
        </is>
      </c>
      <c r="L34" s="12" t="n"/>
      <c r="M34" s="12" t="inlineStr">
        <is>
          <t>P_P</t>
        </is>
      </c>
      <c r="N34" s="12" t="inlineStr">
        <is>
          <t>Protocol planning medians18/15 conflict with its own8/5 medians and the SAP's8/5; all compared numbers are planning assumptions.</t>
        </is>
      </c>
      <c r="O34" s="12" t="inlineStr">
        <is>
          <t>../../2024/jama.2024.2302/.ai_paper_validation/final_report_1_5_3.html</t>
        </is>
      </c>
      <c r="P34" s="12" t="inlineStr">
        <is>
          <t>2024/jama.2024.2302/.ai_paper_validation/final_report_1_5_3.md</t>
        </is>
      </c>
      <c r="Q34" s="12" t="inlineStr">
        <is>
          <t>C002</t>
        </is>
      </c>
      <c r="R34" s="12" t="inlineStr">
        <is>
          <t>Pending Human Adjudication</t>
        </is>
      </c>
      <c r="S34" s="12" t="inlineStr">
        <is>
          <t>Protocol/SAP locations print incompatible arm-specific planned median hospital-day values.</t>
        </is>
      </c>
      <c r="T34" s="12" t="b">
        <v>0</v>
      </c>
      <c r="U34" s="12" t="inlineStr">
        <is>
          <t>planning_medians</t>
        </is>
      </c>
      <c r="V34" s="12" t="inlineStr">
        <is>
          <t>plan_material</t>
        </is>
      </c>
      <c r="W34" s="12" t="inlineStr">
        <is>
          <t>Planned hospital-day medians</t>
        </is>
      </c>
      <c r="X34" s="12" t="inlineStr">
        <is>
          <t>2024</t>
        </is>
      </c>
      <c r="Y34" s="12" t="inlineStr">
        <is>
          <t>meta_report/consistency_reclassification_2026-09-04/reclassified_candidates.json</t>
        </is>
      </c>
      <c r="Z34" s="12" t="inlineStr">
        <is>
          <t>P_P</t>
        </is>
      </c>
      <c r="AA34" s="12" t="inlineStr">
        <is>
          <t>plan_material</t>
        </is>
      </c>
      <c r="AB34" s="12" t="inlineStr">
        <is>
          <t>retain</t>
        </is>
      </c>
    </row>
    <row r="35" ht="90" customFormat="1" customHeight="1" s="8">
      <c r="A35" s="11" t="b">
        <v>0</v>
      </c>
      <c r="B35" s="11" t="inlineStr">
        <is>
          <t>Final outcome-specific code/amendment is missing; SAP's approximate log-scale quantiles are contextual, not a separate coded plan-internal candidate.</t>
        </is>
      </c>
      <c r="C35" s="11" t="b">
        <v>1</v>
      </c>
      <c r="D35" s="11" t="inlineStr">
        <is>
          <t>Statistical reporting inconsistency</t>
        </is>
      </c>
      <c r="E35" s="11" t="b">
        <v>1</v>
      </c>
      <c r="F35" s="11" t="inlineStr">
        <is>
          <t>C003</t>
        </is>
      </c>
      <c r="G35" s="11" t="inlineStr">
        <is>
          <t>2024::jama.2024.2302::C003</t>
        </is>
      </c>
      <c r="H35" s="11" t="n"/>
      <c r="I35" s="11" t="inlineStr">
        <is>
          <t>main article — PDF p. 4; SAP — PDF p. 8.</t>
        </is>
      </c>
      <c r="J35" s="11" t="b">
        <v>0</v>
      </c>
      <c r="K35" s="11" t="inlineStr">
        <is>
          <t>jama.2024.2302</t>
        </is>
      </c>
      <c r="L35" s="11" t="inlineStr">
        <is>
          <t>analysis_specification</t>
        </is>
      </c>
      <c r="M35" s="11" t="inlineStr">
        <is>
          <t>P_R</t>
        </is>
      </c>
      <c r="N35" s="11" t="inlineStr">
        <is>
          <t>Main common categorical/count intervention prior range0.33-3.0 differs from SAP categorical0.2-4 and count0.33-3.3 descriptions.</t>
        </is>
      </c>
      <c r="O35" s="11" t="inlineStr">
        <is>
          <t>../../2024/jama.2024.2302/.ai_paper_validation/final_report_1_5_3.html</t>
        </is>
      </c>
      <c r="P35" s="11" t="inlineStr">
        <is>
          <t>2024/jama.2024.2302/.ai_paper_validation/final_report_1_5_3.md</t>
        </is>
      </c>
      <c r="Q35" s="11" t="inlineStr">
        <is>
          <t>C003</t>
        </is>
      </c>
      <c r="R35" s="11" t="inlineStr">
        <is>
          <t>Pending Human Adjudication</t>
        </is>
      </c>
      <c r="S35" s="11" t="inlineStr">
        <is>
          <t>The article’s common intervention-prior range differs from the SAP’s class-specific prior descriptions.</t>
        </is>
      </c>
      <c r="T35" s="11" t="b">
        <v>0</v>
      </c>
      <c r="U35" s="11" t="inlineStr">
        <is>
          <t>prior_specification</t>
        </is>
      </c>
      <c r="V35" s="11" t="inlineStr">
        <is>
          <t>protocol_report</t>
        </is>
      </c>
      <c r="W35" s="11" t="inlineStr">
        <is>
          <t>Bayesian intervention priors</t>
        </is>
      </c>
      <c r="X35" s="11" t="inlineStr">
        <is>
          <t>2024</t>
        </is>
      </c>
      <c r="Y35" s="11" t="inlineStr">
        <is>
          <t>meta_report/consistency_reclassification_2026-09-04/reclassified_candidates.json</t>
        </is>
      </c>
      <c r="Z35" s="11" t="inlineStr">
        <is>
          <t>P_R</t>
        </is>
      </c>
      <c r="AA35" s="11" t="inlineStr">
        <is>
          <t>protocol_report</t>
        </is>
      </c>
      <c r="AB35" s="11" t="inlineStr">
        <is>
          <t>retain</t>
        </is>
      </c>
    </row>
    <row r="36" ht="90" customFormat="1" customHeight="1" s="8">
      <c r="A36" s="12" t="b">
        <v>0</v>
      </c>
      <c r="B36" s="12" t="inlineStr">
        <is>
          <t>Mixed report-plan and internal-SAP boundary wording; covariate context supports possible shorthand but final coding is unknown.</t>
        </is>
      </c>
      <c r="C36" s="12" t="b">
        <v>1</v>
      </c>
      <c r="D36" s="12" t="inlineStr">
        <is>
          <t>Measure, label, or scale inconsistency</t>
        </is>
      </c>
      <c r="E36" s="12" t="b">
        <v>1</v>
      </c>
      <c r="F36" s="12" t="inlineStr">
        <is>
          <t>C004</t>
        </is>
      </c>
      <c r="G36" s="12" t="inlineStr">
        <is>
          <t>2024::jama.2024.2302::C004</t>
        </is>
      </c>
      <c r="H36" s="12" t="n"/>
      <c r="I36" s="12" t="inlineStr">
        <is>
          <t>main article — PDF p. 8, Figure 3; SAP — PDF p. 3; SAP — PDF p. 8; SAP — PDF p. 9.</t>
        </is>
      </c>
      <c r="J36" s="12" t="b">
        <v>0</v>
      </c>
      <c r="K36" s="12" t="inlineStr">
        <is>
          <t>jama.2024.2302</t>
        </is>
      </c>
      <c r="L36" s="12" t="inlineStr">
        <is>
          <t>analysis_specification</t>
        </is>
      </c>
      <c r="M36" s="12" t="inlineStr">
        <is>
          <t>P_R</t>
        </is>
      </c>
      <c r="N36" s="12" t="inlineStr">
        <is>
          <t>Actual Figure3 upperGA group&gt;=28 differs from SAP subgroup/stratification&gt;28 wording; the SAP itself also uses&gt;=28 for its covariate.</t>
        </is>
      </c>
      <c r="O36" s="12" t="inlineStr">
        <is>
          <t>../../2024/jama.2024.2302/.ai_paper_validation/final_report_1_5_3.html</t>
        </is>
      </c>
      <c r="P36" s="12" t="inlineStr">
        <is>
          <t>2024/jama.2024.2302/.ai_paper_validation/final_report_1_5_3.md</t>
        </is>
      </c>
      <c r="Q36" s="12" t="inlineStr">
        <is>
          <t>C004</t>
        </is>
      </c>
      <c r="R36" s="12" t="inlineStr">
        <is>
          <t>Pending Human Adjudication</t>
        </is>
      </c>
      <c r="S36" s="12" t="inlineStr">
        <is>
          <t>The actual-result subgroup label ≥28 weeks differs from planned SAP wording &gt;28 weeks.</t>
        </is>
      </c>
      <c r="T36" s="12" t="b">
        <v>0</v>
      </c>
      <c r="U36" s="12" t="inlineStr">
        <is>
          <t>subgroup_threshold</t>
        </is>
      </c>
      <c r="V36" s="12" t="inlineStr">
        <is>
          <t>protocol_report</t>
        </is>
      </c>
      <c r="W36" s="12" t="inlineStr">
        <is>
          <t>Gestational-age boundary</t>
        </is>
      </c>
      <c r="X36" s="12" t="inlineStr">
        <is>
          <t>2024</t>
        </is>
      </c>
      <c r="Y36" s="12" t="inlineStr">
        <is>
          <t>meta_report/consistency_reclassification_2026-09-04/reclassified_candidates.json</t>
        </is>
      </c>
      <c r="Z36" s="12" t="inlineStr">
        <is>
          <t>P_R</t>
        </is>
      </c>
      <c r="AA36" s="12" t="inlineStr">
        <is>
          <t>protocol_report</t>
        </is>
      </c>
      <c r="AB36" s="12" t="inlineStr">
        <is>
          <t>retain</t>
        </is>
      </c>
    </row>
    <row r="37" ht="90" customFormat="1" customHeight="1" s="8">
      <c r="A37" s="11" t="b">
        <v>0</v>
      </c>
      <c r="B37" s="11" t="inlineStr">
        <is>
          <t>Mixed report-plan and internal/between-plan terminology; enrollment and randomization may be operationally simultaneous but are not defined as equal.</t>
        </is>
      </c>
      <c r="C37" s="11" t="b">
        <v>1</v>
      </c>
      <c r="D37" s="11" t="inlineStr">
        <is>
          <t>Measure, label, or scale inconsistency</t>
        </is>
      </c>
      <c r="E37" s="11" t="b">
        <v>1</v>
      </c>
      <c r="F37" s="11" t="inlineStr">
        <is>
          <t>C005</t>
        </is>
      </c>
      <c r="G37" s="11" t="inlineStr">
        <is>
          <t>2024::jama.2024.2302::C005</t>
        </is>
      </c>
      <c r="H37" s="11" t="n"/>
      <c r="I37" s="11" t="inlineStr">
        <is>
          <t>protocol — PDF p. 3; protocol — PDF p. 11; SAP — PDF p. 7; main article — PDF p. 3. Main article — PDF p. 6 footnote g is secondary-outcome context only, as it attaches to the hospital-stay row.</t>
        </is>
      </c>
      <c r="J37" s="11" t="b">
        <v>0</v>
      </c>
      <c r="K37" s="11" t="inlineStr">
        <is>
          <t>jama.2024.2302</t>
        </is>
      </c>
      <c r="L37" s="11" t="inlineStr">
        <is>
          <t>endpoint_definition_window_hierarchy</t>
        </is>
      </c>
      <c r="M37" s="11" t="inlineStr">
        <is>
          <t>P_R</t>
        </is>
      </c>
      <c r="N37" s="11" t="inlineStr">
        <is>
          <t>Article/SAP use randomization as primarySAE timezero whereas protocol definitions use enrollment; verifier also records both terms inside protocol.</t>
        </is>
      </c>
      <c r="O37" s="11" t="inlineStr">
        <is>
          <t>../../2024/jama.2024.2302/.ai_paper_validation/final_report_1_5_3.html</t>
        </is>
      </c>
      <c r="P37" s="11" t="inlineStr">
        <is>
          <t>2024/jama.2024.2302/.ai_paper_validation/final_report_1_5_3.md</t>
        </is>
      </c>
      <c r="Q37" s="11" t="inlineStr">
        <is>
          <t>C005</t>
        </is>
      </c>
      <c r="R37" s="11" t="inlineStr">
        <is>
          <t>Pending Human Adjudication</t>
        </is>
      </c>
      <c r="S37" s="11" t="inlineStr">
        <is>
          <t>Primary SAE ascertainment is labeled from enrollment in protocol text and from randomization in SAP/main-article text.</t>
        </is>
      </c>
      <c r="T37" s="11" t="b">
        <v>0</v>
      </c>
      <c r="U37" s="11" t="inlineStr">
        <is>
          <t>outcome_time_origin</t>
        </is>
      </c>
      <c r="V37" s="11" t="inlineStr">
        <is>
          <t>protocol_report</t>
        </is>
      </c>
      <c r="W37" s="11" t="inlineStr">
        <is>
          <t>Primary-outcome time origin</t>
        </is>
      </c>
      <c r="X37" s="11" t="inlineStr">
        <is>
          <t>2024</t>
        </is>
      </c>
      <c r="Y37" s="11" t="inlineStr">
        <is>
          <t>meta_report/consistency_reclassification_2026-09-04/reclassified_candidates.json</t>
        </is>
      </c>
      <c r="Z37" s="11" t="inlineStr">
        <is>
          <t>P_R</t>
        </is>
      </c>
      <c r="AA37" s="11" t="inlineStr">
        <is>
          <t>protocol_report</t>
        </is>
      </c>
      <c r="AB37" s="11" t="inlineStr">
        <is>
          <t>retain</t>
        </is>
      </c>
    </row>
    <row r="38" ht="90" customFormat="1" customHeight="1" s="8">
      <c r="A38" s="12" t="b">
        <v>0</v>
      </c>
      <c r="B38" s="12" t="inlineStr">
        <is>
          <t>This is ambiguity of timezero, not proven differing derivation; article wording may be shorthand.</t>
        </is>
      </c>
      <c r="C38" s="12" t="b">
        <v>1</v>
      </c>
      <c r="D38" s="12" t="inlineStr">
        <is>
          <t>Cross-document numeric inconsistency</t>
        </is>
      </c>
      <c r="E38" s="12" t="b">
        <v>1</v>
      </c>
      <c r="F38" s="12" t="inlineStr">
        <is>
          <t>C001</t>
        </is>
      </c>
      <c r="G38" s="12" t="inlineStr">
        <is>
          <t>2024::jama.2024.23898::C001</t>
        </is>
      </c>
      <c r="H38" s="12" t="n"/>
      <c r="I38" s="12" t="inlineStr">
        <is>
          <t>main article — PDF p. 1; main article — PDF p. 5; main article — PDF p. 6; SAP — PDF p. 9.</t>
        </is>
      </c>
      <c r="J38" s="12" t="b">
        <v>1</v>
      </c>
      <c r="K38" s="12" t="inlineStr">
        <is>
          <t>jama.2024.23898</t>
        </is>
      </c>
      <c r="L38" s="12" t="inlineStr">
        <is>
          <t>endpoint_definition_window_hierarchy</t>
        </is>
      </c>
      <c r="M38" s="12" t="inlineStr">
        <is>
          <t>P_R</t>
        </is>
      </c>
      <c r="N38" s="12" t="inlineStr">
        <is>
          <t>Main primaryGI-3 labels72hours after surgery/operation, whereas SAP explicitly says72hours after start of operation.</t>
        </is>
      </c>
      <c r="O38" s="12" t="inlineStr">
        <is>
          <t>../../2024/jama.2024.23898/.ai_paper_validation/final_report_1_5_3.html</t>
        </is>
      </c>
      <c r="P38" s="12" t="inlineStr">
        <is>
          <t>2024/jama.2024.23898/.ai_paper_validation/final_report_1_5_3.md</t>
        </is>
      </c>
      <c r="Q38" s="12" t="inlineStr">
        <is>
          <t>C001</t>
        </is>
      </c>
      <c r="R38" s="12" t="inlineStr">
        <is>
          <t>Pending Human Adjudication</t>
        </is>
      </c>
      <c r="S38" s="12" t="inlineStr">
        <is>
          <t>The matched primary GI-3 result is described as 72 hours “after surgery/operation” in the article but as 72 hours “after the start of operation” in the SAP; the printed clock origin is not explicitly aligned.</t>
        </is>
      </c>
      <c r="T38" s="12" t="b">
        <v>0</v>
      </c>
      <c r="U38" s="12" t="inlineStr">
        <is>
          <t>outcome_time_origin</t>
        </is>
      </c>
      <c r="V38" s="12" t="inlineStr">
        <is>
          <t>protocol_report</t>
        </is>
      </c>
      <c r="W38" s="12" t="inlineStr">
        <is>
          <t>Primary-outcome 72-hour clock origin is not stated consistently</t>
        </is>
      </c>
      <c r="X38" s="12" t="inlineStr">
        <is>
          <t>2024</t>
        </is>
      </c>
      <c r="Y38" s="12" t="inlineStr">
        <is>
          <t>meta_report/consistency_reclassification_2026-09-04/reclassified_candidates.json</t>
        </is>
      </c>
      <c r="Z38" s="12" t="inlineStr">
        <is>
          <t>P_R</t>
        </is>
      </c>
      <c r="AA38" s="12" t="inlineStr">
        <is>
          <t>protocol_report</t>
        </is>
      </c>
      <c r="AB38" s="12" t="inlineStr">
        <is>
          <t>retain</t>
        </is>
      </c>
    </row>
    <row r="39" ht="90" customFormat="1" customHeight="1" s="8">
      <c r="A39" s="11" t="b">
        <v>0</v>
      </c>
      <c r="B39" s="11" t="inlineStr">
        <is>
          <t>A distinct final endpoint or amendment remains possible but no supplied final record resolves it.</t>
        </is>
      </c>
      <c r="C39" s="11" t="b">
        <v>1</v>
      </c>
      <c r="D39" s="11" t="inlineStr">
        <is>
          <t>Cross-document numeric inconsistency</t>
        </is>
      </c>
      <c r="E39" s="11" t="b">
        <v>1</v>
      </c>
      <c r="F39" s="11" t="inlineStr">
        <is>
          <t>C002</t>
        </is>
      </c>
      <c r="G39" s="11" t="inlineStr">
        <is>
          <t>2024::jama.2024.23898::C002</t>
        </is>
      </c>
      <c r="H39" s="11" t="n"/>
      <c r="I39" s="11" t="inlineStr">
        <is>
          <t>main article — PDF p. 4; main article — PDF p. 6; protocol — PDF p. 17; SAP — PDF p. 11.</t>
        </is>
      </c>
      <c r="J39" s="11" t="b">
        <v>1</v>
      </c>
      <c r="K39" s="11" t="inlineStr">
        <is>
          <t>jama.2024.23898</t>
        </is>
      </c>
      <c r="L39" s="11" t="inlineStr">
        <is>
          <t>endpoint_definition_window_hierarchy</t>
        </is>
      </c>
      <c r="M39" s="11" t="inlineStr">
        <is>
          <t>P_R</t>
        </is>
      </c>
      <c r="N39" s="11" t="inlineStr">
        <is>
          <t>Main reports cumulative opioid consumption through24hours; protocol and SAP define the matched outcome through72hours.</t>
        </is>
      </c>
      <c r="O39" s="11" t="inlineStr">
        <is>
          <t>../../2024/jama.2024.23898/.ai_paper_validation/final_report_1_5_3.html</t>
        </is>
      </c>
      <c r="P39" s="11" t="inlineStr">
        <is>
          <t>2024/jama.2024.23898/.ai_paper_validation/final_report_1_5_3.md</t>
        </is>
      </c>
      <c r="Q39" s="11" t="inlineStr">
        <is>
          <t>C002</t>
        </is>
      </c>
      <c r="R39" s="11" t="inlineStr">
        <is>
          <t>Pending Human Adjudication</t>
        </is>
      </c>
      <c r="S39" s="11" t="inlineStr">
        <is>
          <t>The article defines and reports postoperative morphine-equivalent consumption through 24 hours, while the protocol and SAP define the matched endpoint through 72 hours.</t>
        </is>
      </c>
      <c r="T39" s="11" t="b">
        <v>0</v>
      </c>
      <c r="U39" s="11" t="inlineStr">
        <is>
          <t>outcome_window</t>
        </is>
      </c>
      <c r="V39" s="11" t="inlineStr">
        <is>
          <t>protocol_report</t>
        </is>
      </c>
      <c r="W39" s="11" t="inlineStr">
        <is>
          <t>Postoperative opioid-consumption window is 24 hours versus 72 hours</t>
        </is>
      </c>
      <c r="X39" s="11" t="inlineStr">
        <is>
          <t>2024</t>
        </is>
      </c>
      <c r="Y39" s="11" t="inlineStr">
        <is>
          <t>meta_report/consistency_reclassification_2026-09-04/reclassified_candidates.json</t>
        </is>
      </c>
      <c r="Z39" s="11" t="inlineStr">
        <is>
          <t>P_R</t>
        </is>
      </c>
      <c r="AA39" s="11" t="inlineStr">
        <is>
          <t>protocol_report</t>
        </is>
      </c>
      <c r="AB39" s="11" t="inlineStr">
        <is>
          <t>retain</t>
        </is>
      </c>
    </row>
    <row r="40" ht="90" customFormat="1" customHeight="1" s="8">
      <c r="A40" s="12" t="b">
        <v>0</v>
      </c>
      <c r="B40" s="12" t="inlineStr">
        <is>
          <t>Mixed report-plan and internal-article discrepancy; actual31/34 counts may be30-day counts under a90-day label or reflect a changed window.</t>
        </is>
      </c>
      <c r="C40" s="12" t="b">
        <v>1</v>
      </c>
      <c r="D40" s="12" t="inlineStr">
        <is>
          <t>Cross-document numeric inconsistency</t>
        </is>
      </c>
      <c r="E40" s="12" t="b">
        <v>1</v>
      </c>
      <c r="F40" s="12" t="inlineStr">
        <is>
          <t>C003</t>
        </is>
      </c>
      <c r="G40" s="12" t="inlineStr">
        <is>
          <t>2024::jama.2024.23898::C003</t>
        </is>
      </c>
      <c r="H40" s="12" t="n"/>
      <c r="I40" s="12" t="inlineStr">
        <is>
          <t>main article — PDF p. 4; main article — PDF p. 8; protocol — PDF p. 18; SAP — PDF p. 10; SAP — PDF p. 27.</t>
        </is>
      </c>
      <c r="J40" s="12" t="b">
        <v>1</v>
      </c>
      <c r="K40" s="12" t="inlineStr">
        <is>
          <t>jama.2024.23898</t>
        </is>
      </c>
      <c r="L40" s="12" t="inlineStr">
        <is>
          <t>endpoint_definition_window_hierarchy</t>
        </is>
      </c>
      <c r="M40" s="12" t="inlineStr">
        <is>
          <t>P_R</t>
        </is>
      </c>
      <c r="N40" s="12" t="inlineStr">
        <is>
          <t>Main Table3 reports readmissions within90days, whereas main Methods and protocol/SAP definitions including dummy-table heading specify30days.</t>
        </is>
      </c>
      <c r="O40" s="12" t="inlineStr">
        <is>
          <t>../../2024/jama.2024.23898/.ai_paper_validation/final_report_1_5_3.html</t>
        </is>
      </c>
      <c r="P40" s="12" t="inlineStr">
        <is>
          <t>2024/jama.2024.23898/.ai_paper_validation/final_report_1_5_3.md</t>
        </is>
      </c>
      <c r="Q40" s="12" t="inlineStr">
        <is>
          <t>C003</t>
        </is>
      </c>
      <c r="R40" s="12" t="inlineStr">
        <is>
          <t>Pending Human Adjudication</t>
        </is>
      </c>
      <c r="S40" s="12" t="inlineStr">
        <is>
          <t>Table 3 labels 31 versus 34 unplanned readmissions within 90 days, while article Methods, protocol, and SAP define the endpoint within 30 days.</t>
        </is>
      </c>
      <c r="T40" s="12" t="b">
        <v>1</v>
      </c>
      <c r="U40" s="12" t="inlineStr">
        <is>
          <t>outcome_window</t>
        </is>
      </c>
      <c r="V40" s="12" t="inlineStr">
        <is>
          <t>protocol_report</t>
        </is>
      </c>
      <c r="W40" s="12" t="inlineStr">
        <is>
          <t>Unplanned-readmission window is 90 days versus 30 days</t>
        </is>
      </c>
      <c r="X40" s="12" t="inlineStr">
        <is>
          <t>2024</t>
        </is>
      </c>
      <c r="Y40" s="12" t="inlineStr">
        <is>
          <t>meta_report/consistency_reclassification_2026-09-04/reclassified_candidates.json</t>
        </is>
      </c>
      <c r="Z40" s="12" t="inlineStr">
        <is>
          <t>P_R</t>
        </is>
      </c>
      <c r="AA40" s="12" t="inlineStr">
        <is>
          <t>protocol_report</t>
        </is>
      </c>
      <c r="AB40" s="12" t="inlineStr">
        <is>
          <t>retain</t>
        </is>
      </c>
    </row>
    <row r="41" ht="90" customFormat="1" customHeight="1" s="8">
      <c r="A41" s="11" t="b">
        <v>0</v>
      </c>
      <c r="B41" s="11" t="inlineStr">
        <is>
          <t>Protocol explicitly says e.g.; eFigure says definitions were not predefined. This is a candidate plan/report difference with disclosed exploratory categorization, not proof of protocol violation.</t>
        </is>
      </c>
      <c r="C41" s="11" t="b">
        <v>1</v>
      </c>
      <c r="D41" s="11" t="inlineStr">
        <is>
          <t>Measure, label, or scale inconsistency</t>
        </is>
      </c>
      <c r="E41" s="11" t="b">
        <v>1</v>
      </c>
      <c r="F41" s="11" t="inlineStr">
        <is>
          <t>C004</t>
        </is>
      </c>
      <c r="G41" s="11" t="inlineStr">
        <is>
          <t>2024::jama.2024.23898::C004</t>
        </is>
      </c>
      <c r="H41" s="11" t="n"/>
      <c r="I41" s="11" t="inlineStr">
        <is>
          <t>protocol — PDF p. 17; protocol — PDF p. 18; SAP — PDF p. 15; results supplement — PDF p. 2.</t>
        </is>
      </c>
      <c r="J41" s="11" t="b">
        <v>0</v>
      </c>
      <c r="K41" s="11" t="inlineStr">
        <is>
          <t>jama.2024.23898</t>
        </is>
      </c>
      <c r="L41" s="11" t="inlineStr">
        <is>
          <t>analysis_specification</t>
        </is>
      </c>
      <c r="M41" s="11" t="inlineStr">
        <is>
          <t>P_R</t>
        </is>
      </c>
      <c r="N41" s="11" t="inlineStr">
        <is>
          <t>Reported eFigure lowERAS&lt;5/10 places40% in low, unlike the protocol's example30%-60% middle band.</t>
        </is>
      </c>
      <c r="O41" s="11" t="inlineStr">
        <is>
          <t>../../2024/jama.2024.23898/.ai_paper_validation/final_report_1_5_3.html</t>
        </is>
      </c>
      <c r="P41" s="11" t="inlineStr">
        <is>
          <t>2024/jama.2024.23898/.ai_paper_validation/final_report_1_5_3.md</t>
        </is>
      </c>
      <c r="Q41" s="11" t="inlineStr">
        <is>
          <t>C004</t>
        </is>
      </c>
      <c r="R41" s="11" t="inlineStr">
        <is>
          <t>Pending Human Adjudication</t>
        </is>
      </c>
      <c r="S41" s="11" t="inlineStr">
        <is>
          <t>The protocol gives example ERAS compliance bands of 0–30%, 30–60%, and greater than 60%, whereas the eFigure defines low as fewer than 5 and high as at least 7 of 10 criteria; the printed definitions are not directly reconciled.</t>
        </is>
      </c>
      <c r="T41" s="11" t="b">
        <v>0</v>
      </c>
      <c r="U41" s="11" t="inlineStr">
        <is>
          <t>subgroup_cutpoints</t>
        </is>
      </c>
      <c r="V41" s="11" t="inlineStr">
        <is>
          <t>protocol_report</t>
        </is>
      </c>
      <c r="W41" s="11" t="inlineStr">
        <is>
          <t>ERAS subgroup cut points differ from the protocol bands</t>
        </is>
      </c>
      <c r="X41" s="11" t="inlineStr">
        <is>
          <t>2024</t>
        </is>
      </c>
      <c r="Y41" s="11" t="inlineStr">
        <is>
          <t>meta_report/consistency_reclassification_2026-09-04/reclassified_candidates.json</t>
        </is>
      </c>
      <c r="Z41" s="11" t="inlineStr">
        <is>
          <t>P_R</t>
        </is>
      </c>
      <c r="AA41" s="11" t="inlineStr">
        <is>
          <t>protocol_report</t>
        </is>
      </c>
      <c r="AB41" s="11" t="inlineStr">
        <is>
          <t>retain</t>
        </is>
      </c>
    </row>
    <row r="42" ht="90" customFormat="1" customHeight="1" s="8">
      <c r="A42" s="12" t="b">
        <v>0</v>
      </c>
      <c r="B42" s="12" t="inlineStr">
        <is>
          <t>Do not count plan involvement merely because SAP corroborates one side of the internal figure-label mismatch.</t>
        </is>
      </c>
      <c r="C42" s="12" t="b">
        <v>0</v>
      </c>
      <c r="D42" s="12" t="inlineStr">
        <is>
          <t>Statistical reporting inconsistency</t>
        </is>
      </c>
      <c r="E42" s="12" t="b">
        <v>0</v>
      </c>
      <c r="F42" s="12" t="inlineStr">
        <is>
          <t>C005</t>
        </is>
      </c>
      <c r="G42" s="12" t="inlineStr">
        <is>
          <t>2024::jama.2024.23898::C005</t>
        </is>
      </c>
      <c r="H42" s="12" t="n"/>
      <c r="I42" s="12" t="inlineStr">
        <is>
          <t>results supplement — PDF p. 2; SAP — PDF p. 15.</t>
        </is>
      </c>
      <c r="J42" s="12" t="b">
        <v>0</v>
      </c>
      <c r="K42" s="12" t="inlineStr">
        <is>
          <t>jama.2024.23898</t>
        </is>
      </c>
      <c r="L42" s="12" t="n"/>
      <c r="M42" s="12" t="inlineStr">
        <is>
          <t>S_W</t>
        </is>
      </c>
      <c r="N42" s="12" t="inlineStr">
        <is>
          <t>One results eFigure labels subgroup intervals99% in its legend and95% in its caption; SAP99% convention supports the legend only.</t>
        </is>
      </c>
      <c r="O42" s="12" t="inlineStr">
        <is>
          <t>../../2024/jama.2024.23898/.ai_paper_validation/final_report_1_5_3.html</t>
        </is>
      </c>
      <c r="P42" s="12" t="inlineStr">
        <is>
          <t>2024/jama.2024.23898/.ai_paper_validation/final_report_1_5_3.md</t>
        </is>
      </c>
      <c r="Q42" s="12" t="inlineStr">
        <is>
          <t>C005</t>
        </is>
      </c>
      <c r="R42" s="12" t="inlineStr">
        <is>
          <t>Pending Human Adjudication</t>
        </is>
      </c>
      <c r="S42" s="12" t="inlineStr">
        <is>
          <t>The eFigure legend labels horizontal subgroup intervals as 99% CIs, while its caption calls the displayed within-subgroup intervals 95% CIs.</t>
        </is>
      </c>
      <c r="T42" s="12" t="b">
        <v>1</v>
      </c>
      <c r="U42" s="12" t="inlineStr">
        <is>
          <t>confidence_level_label</t>
        </is>
      </c>
      <c r="V42" s="12" t="inlineStr">
        <is>
          <t>statistical_results</t>
        </is>
      </c>
      <c r="W42" s="12" t="inlineStr">
        <is>
          <t>The eFigure assigns both 99% and 95% labels to the same intervals</t>
        </is>
      </c>
      <c r="X42" s="12" t="inlineStr">
        <is>
          <t>2024</t>
        </is>
      </c>
      <c r="Y42" s="12" t="inlineStr">
        <is>
          <t>meta_report/consistency_reclassification_2026-09-04/reclassified_candidates.json</t>
        </is>
      </c>
      <c r="Z42" s="12" t="inlineStr">
        <is>
          <t>S_W</t>
        </is>
      </c>
      <c r="AA42" s="12" t="inlineStr">
        <is>
          <t>statistical_results</t>
        </is>
      </c>
      <c r="AB42" s="12" t="inlineStr">
        <is>
          <t>retain</t>
        </is>
      </c>
    </row>
    <row r="43" ht="90" customFormat="1" customHeight="1" s="8">
      <c r="A43" s="11" t="b">
        <v>0</v>
      </c>
      <c r="B43" s="11" t="inlineStr">
        <is>
          <t>SAP is framework support, not a separately targeted plan/report deviation; overall versus timepoint narrative rule is absent.</t>
        </is>
      </c>
      <c r="C43" s="11" t="b">
        <v>0</v>
      </c>
      <c r="D43" s="11" t="inlineStr">
        <is>
          <t>Statistical reporting inconsistency</t>
        </is>
      </c>
      <c r="E43" s="11" t="b">
        <v>0</v>
      </c>
      <c r="F43" s="11" t="inlineStr">
        <is>
          <t>C006</t>
        </is>
      </c>
      <c r="G43" s="11" t="inlineStr">
        <is>
          <t>2024::jama.2024.23898::C006</t>
        </is>
      </c>
      <c r="H43" s="11" t="n"/>
      <c r="I43" s="11" t="inlineStr">
        <is>
          <t>main article — PDF p. 5; main article — PDF p. 6; SAP — PDF p. 13; SAP — PDF p. 14.</t>
        </is>
      </c>
      <c r="J43" s="11" t="b">
        <v>0</v>
      </c>
      <c r="K43" s="11" t="inlineStr">
        <is>
          <t>jama.2024.23898</t>
        </is>
      </c>
      <c r="L43" s="11" t="n"/>
      <c r="M43" s="11" t="inlineStr">
        <is>
          <t>S_W</t>
        </is>
      </c>
      <c r="N43" s="11" t="inlineStr">
        <is>
          <t>Main day5EQ-5D row givesP=.04 and95%CI excluding0 while its Results says no statistically significantEQ-5D difference. SAP confirms the nominal framework.</t>
        </is>
      </c>
      <c r="O43" s="11" t="inlineStr">
        <is>
          <t>../../2024/jama.2024.23898/.ai_paper_validation/final_report_1_5_3.html</t>
        </is>
      </c>
      <c r="P43" s="11" t="inlineStr">
        <is>
          <t>2024/jama.2024.23898/.ai_paper_validation/final_report_1_5_3.md</t>
        </is>
      </c>
      <c r="Q43" s="11" t="inlineStr">
        <is>
          <t>C006</t>
        </is>
      </c>
      <c r="R43" s="11" t="inlineStr">
        <is>
          <t>Pending Human Adjudication</t>
        </is>
      </c>
      <c r="S43" s="11" t="inlineStr">
        <is>
          <t>Table 2 reports a day-5 EQ-5D-5L contrast with a 95% CI excluding zero and P=.04, whereas Results says there was no statistically significant EQ-5D-5L difference between groups.</t>
        </is>
      </c>
      <c r="T43" s="11" t="b">
        <v>1</v>
      </c>
      <c r="U43" s="11" t="inlineStr">
        <is>
          <t>narrative_inference</t>
        </is>
      </c>
      <c r="V43" s="11" t="inlineStr">
        <is>
          <t>statistical_results</t>
        </is>
      </c>
      <c r="W43" s="11" t="inlineStr">
        <is>
          <t>Day-5 EQ-5D inference conflicts with blanket no-difference prose</t>
        </is>
      </c>
      <c r="X43" s="11" t="inlineStr">
        <is>
          <t>2024</t>
        </is>
      </c>
      <c r="Y43" s="11" t="inlineStr">
        <is>
          <t>meta_report/consistency_reclassification_2026-09-04/reclassified_candidates.json</t>
        </is>
      </c>
      <c r="Z43" s="11" t="inlineStr">
        <is>
          <t>S_W</t>
        </is>
      </c>
      <c r="AA43" s="11" t="inlineStr">
        <is>
          <t>statistical_results</t>
        </is>
      </c>
      <c r="AB43" s="11" t="inlineStr">
        <is>
          <t>retain</t>
        </is>
      </c>
    </row>
    <row r="44" ht="90" customFormat="1" customHeight="1" s="8">
      <c r="A44" s="12" t="b">
        <v>0</v>
      </c>
      <c r="B44" s="12" t="inlineStr">
        <is>
          <t>Mixed report-plan and main-results-supplement labels; article could use shorthand or describe an extreme-level contrast. Distinct from C004's numerical cutpoints.</t>
        </is>
      </c>
      <c r="C44" s="12" t="b">
        <v>1</v>
      </c>
      <c r="D44" s="12" t="inlineStr">
        <is>
          <t>Measure, label, or scale inconsistency</t>
        </is>
      </c>
      <c r="E44" s="12" t="b">
        <v>1</v>
      </c>
      <c r="F44" s="12" t="inlineStr">
        <is>
          <t>C007</t>
        </is>
      </c>
      <c r="G44" s="12" t="inlineStr">
        <is>
          <t>2024::jama.2024.23898::C007</t>
        </is>
      </c>
      <c r="H44" s="12" t="n"/>
      <c r="I44" s="12" t="inlineStr">
        <is>
          <t>main article — PDF p. 5; SAP — PDF p. 15; results supplement — PDF p. 2.</t>
        </is>
      </c>
      <c r="J44" s="12" t="b">
        <v>0</v>
      </c>
      <c r="K44" s="12" t="inlineStr">
        <is>
          <t>jama.2024.23898</t>
        </is>
      </c>
      <c r="L44" s="12" t="inlineStr">
        <is>
          <t>analysis_specification</t>
        </is>
      </c>
      <c r="M44" s="12" t="inlineStr">
        <is>
          <t>P_R</t>
        </is>
      </c>
      <c r="N44" s="12" t="inlineStr">
        <is>
          <t>Main Methods callsERAS high versus low, but SAP and reported eFigure identify high/moderate/low for the displayed interaction.</t>
        </is>
      </c>
      <c r="O44" s="12" t="inlineStr">
        <is>
          <t>../../2024/jama.2024.23898/.ai_paper_validation/final_report_1_5_3.html</t>
        </is>
      </c>
      <c r="P44" s="12" t="inlineStr">
        <is>
          <t>2024/jama.2024.23898/.ai_paper_validation/final_report_1_5_3.md</t>
        </is>
      </c>
      <c r="Q44" s="12" t="inlineStr">
        <is>
          <t>C007</t>
        </is>
      </c>
      <c r="R44" s="12" t="inlineStr">
        <is>
          <t>Pending Human Adjudication</t>
        </is>
      </c>
      <c r="S44" s="12" t="inlineStr">
        <is>
          <t>Article Methods calls the ERAS subgroup “high vs low,” while the SAP and eFigure name high, moderate, and low strata for the displayed interaction.</t>
        </is>
      </c>
      <c r="T44" s="12" t="b">
        <v>1</v>
      </c>
      <c r="U44" s="12" t="inlineStr">
        <is>
          <t>subgroup_levels</t>
        </is>
      </c>
      <c r="V44" s="12" t="inlineStr">
        <is>
          <t>protocol_report</t>
        </is>
      </c>
      <c r="W44" s="12" t="inlineStr">
        <is>
          <t>ERAS subgroup is labeled as two levels versus three levels</t>
        </is>
      </c>
      <c r="X44" s="12" t="inlineStr">
        <is>
          <t>2024</t>
        </is>
      </c>
      <c r="Y44" s="12" t="inlineStr">
        <is>
          <t>meta_report/consistency_reclassification_2026-09-04/reclassified_candidates.json</t>
        </is>
      </c>
      <c r="Z44" s="12" t="inlineStr">
        <is>
          <t>P_R</t>
        </is>
      </c>
      <c r="AA44" s="12" t="inlineStr">
        <is>
          <t>protocol_report</t>
        </is>
      </c>
      <c r="AB44" s="12" t="inlineStr">
        <is>
          <t>retain</t>
        </is>
      </c>
    </row>
    <row r="45" ht="90" customFormat="1" customHeight="1" s="8">
      <c r="A45" s="11" t="b">
        <v>0</v>
      </c>
      <c r="B45" s="11" t="n"/>
      <c r="C45" s="11" t="b">
        <v>0</v>
      </c>
      <c r="D45" s="11" t="inlineStr">
        <is>
          <t>Denominator, proportion, or total inconsistency</t>
        </is>
      </c>
      <c r="E45" s="11" t="b">
        <v>0</v>
      </c>
      <c r="F45" s="11" t="inlineStr">
        <is>
          <t>C001</t>
        </is>
      </c>
      <c r="G45" s="11" t="inlineStr">
        <is>
          <t>2024::jama.2024.25786::C001</t>
        </is>
      </c>
      <c r="H45" s="11" t="n"/>
      <c r="I45" s="11" t="inlineStr">
        <is>
          <t>Supplement 2, eTable 2, PDF p. 15, liberal oxygen group, walk-in transport row.</t>
        </is>
      </c>
      <c r="J45" s="11" t="b">
        <v>0</v>
      </c>
      <c r="K45" s="11" t="inlineStr">
        <is>
          <t>jama.2024.25786</t>
        </is>
      </c>
      <c r="L45" s="11" t="n"/>
      <c r="M45" s="11" t="inlineStr">
        <is>
          <t>S_W</t>
        </is>
      </c>
      <c r="N45" s="11" t="inlineStr">
        <is>
          <t>Results-supplement eTable2 pairs4/743 with5.3%, whereas the printed fraction gives0.5%.</t>
        </is>
      </c>
      <c r="O45" s="11" t="inlineStr">
        <is>
          <t>../../2024/jama.2024.25786/.ai_paper_validation/final_report_1_5_3.html</t>
        </is>
      </c>
      <c r="P45" s="11" t="inlineStr">
        <is>
          <t>2024/jama.2024.25786/.ai_paper_validation/final_report_1_5_3.md</t>
        </is>
      </c>
      <c r="Q45" s="11" t="inlineStr">
        <is>
          <t>C001</t>
        </is>
      </c>
      <c r="R45" s="11" t="inlineStr">
        <is>
          <t>Pending Human Adjudication</t>
        </is>
      </c>
      <c r="S45" s="11" t="inlineStr">
        <is>
          <t>The liberal-group walk-in transport cell does not reconcile under its printed count/total/percentage format.</t>
        </is>
      </c>
      <c r="T45" s="11" t="b">
        <v>1</v>
      </c>
      <c r="U45" s="11" t="inlineStr">
        <is>
          <t>count_percentage</t>
        </is>
      </c>
      <c r="V45" s="11" t="inlineStr">
        <is>
          <t>statistical_results</t>
        </is>
      </c>
      <c r="W45" s="11" t="inlineStr">
        <is>
          <t>Liberal walk-in transport percentage does not reconcile with 4/743</t>
        </is>
      </c>
      <c r="X45" s="11" t="inlineStr">
        <is>
          <t>2024</t>
        </is>
      </c>
      <c r="Y45" s="11" t="inlineStr">
        <is>
          <t>meta_report/consistency_reclassification_2026-09-04/reclassified_candidates.json</t>
        </is>
      </c>
      <c r="Z45" s="11" t="inlineStr">
        <is>
          <t>S_W</t>
        </is>
      </c>
      <c r="AA45" s="11" t="inlineStr">
        <is>
          <t>statistical_results</t>
        </is>
      </c>
      <c r="AB45" s="11" t="inlineStr">
        <is>
          <t>retain</t>
        </is>
      </c>
    </row>
    <row r="46" ht="90" customFormat="1" customHeight="1" s="8">
      <c r="A46" s="12" t="b">
        <v>0</v>
      </c>
      <c r="B46" s="12" t="n"/>
      <c r="C46" s="12" t="b">
        <v>0</v>
      </c>
      <c r="D46" s="12" t="inlineStr">
        <is>
          <t>Denominator, proportion, or total inconsistency</t>
        </is>
      </c>
      <c r="E46" s="12" t="b">
        <v>0</v>
      </c>
      <c r="F46" s="12" t="inlineStr">
        <is>
          <t>C002</t>
        </is>
      </c>
      <c r="G46" s="12" t="inlineStr">
        <is>
          <t>2024::jama.2024.25786::C002</t>
        </is>
      </c>
      <c r="H46" s="12" t="n"/>
      <c r="I46" s="12" t="inlineStr">
        <is>
          <t>Supplement 2, eTable 2, PDF p. 15, liberal oxygen group, vascular surgery row.</t>
        </is>
      </c>
      <c r="J46" s="12" t="b">
        <v>0</v>
      </c>
      <c r="K46" s="12" t="inlineStr">
        <is>
          <t>jama.2024.25786</t>
        </is>
      </c>
      <c r="L46" s="12" t="n"/>
      <c r="M46" s="12" t="inlineStr">
        <is>
          <t>S_W</t>
        </is>
      </c>
      <c r="N46" s="12" t="inlineStr">
        <is>
          <t>Results-supplement eTable2 pairs0/747 with1.1%, inconsistent with its own count/total format.</t>
        </is>
      </c>
      <c r="O46" s="12" t="inlineStr">
        <is>
          <t>../../2024/jama.2024.25786/.ai_paper_validation/final_report_1_5_3.html</t>
        </is>
      </c>
      <c r="P46" s="12" t="inlineStr">
        <is>
          <t>2024/jama.2024.25786/.ai_paper_validation/final_report_1_5_3.md</t>
        </is>
      </c>
      <c r="Q46" s="12" t="inlineStr">
        <is>
          <t>C002</t>
        </is>
      </c>
      <c r="R46" s="12" t="inlineStr">
        <is>
          <t>Pending Human Adjudication</t>
        </is>
      </c>
      <c r="S46" s="12" t="inlineStr">
        <is>
          <t>The liberal vascular-surgery cell pairs a zero numerator with a nonzero percentage.</t>
        </is>
      </c>
      <c r="T46" s="12" t="b">
        <v>1</v>
      </c>
      <c r="U46" s="12" t="inlineStr">
        <is>
          <t>count_percentage</t>
        </is>
      </c>
      <c r="V46" s="12" t="inlineStr">
        <is>
          <t>statistical_results</t>
        </is>
      </c>
      <c r="W46" s="12" t="inlineStr">
        <is>
          <t>Liberal vascular-surgery percentage is nonzero with a printed zero numerator</t>
        </is>
      </c>
      <c r="X46" s="12" t="inlineStr">
        <is>
          <t>2024</t>
        </is>
      </c>
      <c r="Y46" s="12" t="inlineStr">
        <is>
          <t>meta_report/consistency_reclassification_2026-09-04/reclassified_candidates.json</t>
        </is>
      </c>
      <c r="Z46" s="12" t="inlineStr">
        <is>
          <t>S_W</t>
        </is>
      </c>
      <c r="AA46" s="12" t="inlineStr">
        <is>
          <t>statistical_results</t>
        </is>
      </c>
      <c r="AB46" s="12" t="inlineStr">
        <is>
          <t>retain</t>
        </is>
      </c>
    </row>
    <row r="47" ht="90" customFormat="1" customHeight="1" s="8">
      <c r="A47" s="11" t="b">
        <v>0</v>
      </c>
      <c r="B47" s="11" t="inlineStr">
        <is>
          <t>Original cross-document category is within one non-plan PDF; precise model identity remains conditional.</t>
        </is>
      </c>
      <c r="C47" s="11" t="b">
        <v>0</v>
      </c>
      <c r="D47" s="11" t="inlineStr">
        <is>
          <t>Cross-document numeric inconsistency</t>
        </is>
      </c>
      <c r="E47" s="11" t="b">
        <v>0</v>
      </c>
      <c r="F47" s="11" t="inlineStr">
        <is>
          <t>C003</t>
        </is>
      </c>
      <c r="G47" s="11" t="inlineStr">
        <is>
          <t>2024::jama.2024.25786::C003</t>
        </is>
      </c>
      <c r="H47" s="11" t="n"/>
      <c r="I47" s="11" t="inlineStr">
        <is>
          <t>Supplement 2, eTable 4, PDF p. 17, further-adjusted primary outcome; Supplement 2, eTable 7, PDF p. 20, all-patient adjusted odds ratio; relevant methods Main article, PDF p. 5.</t>
        </is>
      </c>
      <c r="J47" s="11" t="b">
        <v>1</v>
      </c>
      <c r="K47" s="11" t="inlineStr">
        <is>
          <t>jama.2024.25786</t>
        </is>
      </c>
      <c r="L47" s="11" t="n"/>
      <c r="M47" s="11" t="inlineStr">
        <is>
          <t>S_W</t>
        </is>
      </c>
      <c r="N47" s="11" t="inlineStr">
        <is>
          <t>Matched eTables4 and7 within the same results supplement print upper95% limits1.41 and1.39 forOR0.98. Main methods only provide model context.</t>
        </is>
      </c>
      <c r="O47" s="11" t="inlineStr">
        <is>
          <t>../../2024/jama.2024.25786/.ai_paper_validation/final_report_1_5_3.html</t>
        </is>
      </c>
      <c r="P47" s="11" t="inlineStr">
        <is>
          <t>2024/jama.2024.25786/.ai_paper_validation/final_report_1_5_3.md</t>
        </is>
      </c>
      <c r="Q47" s="11" t="inlineStr">
        <is>
          <t>C003</t>
        </is>
      </c>
      <c r="R47" s="11" t="inlineStr">
        <is>
          <t>Pending Human Adjudication</t>
        </is>
      </c>
      <c r="S47" s="11" t="inlineStr">
        <is>
          <t>Two apparently matched all-patient adjusted results show different displayed upper confidence limits without a table-specific model distinction.</t>
        </is>
      </c>
      <c r="T47" s="11" t="b">
        <v>1</v>
      </c>
      <c r="U47" s="11" t="inlineStr">
        <is>
          <t>interval_repeat</t>
        </is>
      </c>
      <c r="V47" s="11" t="inlineStr">
        <is>
          <t>report_internal_inconsistency</t>
        </is>
      </c>
      <c r="W47" s="11" t="inlineStr">
        <is>
          <t>Matched all-patient adjusted confidence-interval upper limit differs between eTables 4 and 7</t>
        </is>
      </c>
      <c r="X47" s="11" t="inlineStr">
        <is>
          <t>2024</t>
        </is>
      </c>
      <c r="Y47" s="11" t="inlineStr">
        <is>
          <t>meta_report/consistency_reclassification_2026-09-04/reclassified_candidates.json</t>
        </is>
      </c>
      <c r="Z47" s="11" t="inlineStr">
        <is>
          <t>S_W</t>
        </is>
      </c>
      <c r="AA47" s="11" t="inlineStr">
        <is>
          <t>report_internal_inconsistency</t>
        </is>
      </c>
      <c r="AB47" s="11" t="inlineStr">
        <is>
          <t>retain</t>
        </is>
      </c>
    </row>
    <row r="48" ht="90" customFormat="1" customHeight="1" s="8">
      <c r="A48" s="12" t="b">
        <v>0</v>
      </c>
      <c r="B48" s="12" t="inlineStr">
        <is>
          <t>Mixed cross-file repeated percentage and within-table arithmetic relationship.</t>
        </is>
      </c>
      <c r="C48" s="12" t="b">
        <v>0</v>
      </c>
      <c r="D48" s="12" t="inlineStr">
        <is>
          <t>Cross-document numeric inconsistency</t>
        </is>
      </c>
      <c r="E48" s="12" t="b">
        <v>1</v>
      </c>
      <c r="F48" s="12" t="inlineStr">
        <is>
          <t>C004</t>
        </is>
      </c>
      <c r="G48" s="12" t="inlineStr">
        <is>
          <t>2024::jama.2024.25786::C004</t>
        </is>
      </c>
      <c r="H48" s="12" t="n"/>
      <c r="I48" s="12" t="inlineStr">
        <is>
          <t>Main article, Figure 4, PDF p. 8, AIS score less than 3; Supplement 2, eTable 7, PDF p. 20, AIS less than 3.</t>
        </is>
      </c>
      <c r="J48" s="12" t="b">
        <v>1</v>
      </c>
      <c r="K48" s="12" t="inlineStr">
        <is>
          <t>jama.2024.25786</t>
        </is>
      </c>
      <c r="L48" s="12" t="n"/>
      <c r="M48" s="12" t="inlineStr">
        <is>
          <t>S_C</t>
        </is>
      </c>
      <c r="N48" s="12" t="inlineStr">
        <is>
          <t>Main Figure4 gives48/473(10.1) while results eTable7 gives48/473(9.2), also inconsistent with its own fraction.</t>
        </is>
      </c>
      <c r="O48" s="12" t="inlineStr">
        <is>
          <t>../../2024/jama.2024.25786/.ai_paper_validation/final_report_1_5_3.html</t>
        </is>
      </c>
      <c r="P48" s="12" t="inlineStr">
        <is>
          <t>2024/jama.2024.25786/.ai_paper_validation/final_report_1_5_3.md</t>
        </is>
      </c>
      <c r="Q48" s="12" t="inlineStr">
        <is>
          <t>C004</t>
        </is>
      </c>
      <c r="R48" s="12" t="inlineStr">
        <is>
          <t>Pending Human Adjudication</t>
        </is>
      </c>
      <c r="S48" s="12" t="inlineStr">
        <is>
          <t>The eTable 7 liberal AIS-less-than-3 percentage conflicts with its printed count/denominator and the matched Figure 4 display.</t>
        </is>
      </c>
      <c r="T48" s="12" t="b">
        <v>1</v>
      </c>
      <c r="U48" s="12" t="inlineStr">
        <is>
          <t>percentage_repeat</t>
        </is>
      </c>
      <c r="V48" s="12" t="inlineStr">
        <is>
          <t>report_internal_inconsistency</t>
        </is>
      </c>
      <c r="W48" s="12" t="inlineStr">
        <is>
          <t>AIS less-than-3 subgroup percentage conflicts with its count and matched Figure 4</t>
        </is>
      </c>
      <c r="X48" s="12" t="inlineStr">
        <is>
          <t>2024</t>
        </is>
      </c>
      <c r="Y48" s="12" t="inlineStr">
        <is>
          <t>meta_report/consistency_reclassification_2026-09-04/reclassified_candidates.json</t>
        </is>
      </c>
      <c r="Z48" s="12" t="inlineStr">
        <is>
          <t>S_C</t>
        </is>
      </c>
      <c r="AA48" s="12" t="inlineStr">
        <is>
          <t>report_internal_inconsistency</t>
        </is>
      </c>
      <c r="AB48" s="12" t="inlineStr">
        <is>
          <t>retain</t>
        </is>
      </c>
    </row>
    <row r="49" ht="90" customFormat="1" customHeight="1" s="8">
      <c r="A49" s="11" t="b">
        <v>0</v>
      </c>
      <c r="B49" s="11" t="inlineStr">
        <is>
          <t>Mixed cross-file and internal arithmetic; unspecified truncation could explain20.2.</t>
        </is>
      </c>
      <c r="C49" s="11" t="b">
        <v>0</v>
      </c>
      <c r="D49" s="11" t="inlineStr">
        <is>
          <t>Cross-document numeric inconsistency</t>
        </is>
      </c>
      <c r="E49" s="11" t="b">
        <v>1</v>
      </c>
      <c r="F49" s="11" t="inlineStr">
        <is>
          <t>C005</t>
        </is>
      </c>
      <c r="G49" s="11" t="inlineStr">
        <is>
          <t>2024::jama.2024.25786::C005</t>
        </is>
      </c>
      <c r="H49" s="11" t="n"/>
      <c r="I49" s="11" t="inlineStr">
        <is>
          <t>Main article, Figure 4, PDF p. 8, known lung disease, yes; Supplement 2, eTable 7, PDF p. 20, known lung disease, yes.</t>
        </is>
      </c>
      <c r="J49" s="11" t="b">
        <v>1</v>
      </c>
      <c r="K49" s="11" t="inlineStr">
        <is>
          <t>jama.2024.25786</t>
        </is>
      </c>
      <c r="L49" s="11" t="n"/>
      <c r="M49" s="11" t="inlineStr">
        <is>
          <t>S_C</t>
        </is>
      </c>
      <c r="N49" s="11" t="inlineStr">
        <is>
          <t>Main Figure4 gives14/69(20.3) while results eTable7 gives14/69(20.2); the latter differs from ordinary nearest rounding.</t>
        </is>
      </c>
      <c r="O49" s="11" t="inlineStr">
        <is>
          <t>../../2024/jama.2024.25786/.ai_paper_validation/final_report_1_5_3.html</t>
        </is>
      </c>
      <c r="P49" s="11" t="inlineStr">
        <is>
          <t>2024/jama.2024.25786/.ai_paper_validation/final_report_1_5_3.md</t>
        </is>
      </c>
      <c r="Q49" s="11" t="inlineStr">
        <is>
          <t>C005</t>
        </is>
      </c>
      <c r="R49" s="11" t="inlineStr">
        <is>
          <t>Pending Human Adjudication</t>
        </is>
      </c>
      <c r="S49" s="11" t="inlineStr">
        <is>
          <t>The eTable 7 liberal known-lung-disease percentage differs from the matched Figure 4 percentage despite the same printed count and denominator.</t>
        </is>
      </c>
      <c r="T49" s="11" t="b">
        <v>1</v>
      </c>
      <c r="U49" s="11" t="inlineStr">
        <is>
          <t>rounding_repeat</t>
        </is>
      </c>
      <c r="V49" s="11" t="inlineStr">
        <is>
          <t>report_internal_inconsistency</t>
        </is>
      </c>
      <c r="W49" s="11" t="inlineStr">
        <is>
          <t>Known-lung-disease subgroup percentage conflicts with its count and matched Figure 4</t>
        </is>
      </c>
      <c r="X49" s="11" t="inlineStr">
        <is>
          <t>2024</t>
        </is>
      </c>
      <c r="Y49" s="11" t="inlineStr">
        <is>
          <t>meta_report/consistency_reclassification_2026-09-04/reclassified_candidates.json</t>
        </is>
      </c>
      <c r="Z49" s="11" t="inlineStr">
        <is>
          <t>S_C</t>
        </is>
      </c>
      <c r="AA49" s="11" t="inlineStr">
        <is>
          <t>report_internal_inconsistency</t>
        </is>
      </c>
      <c r="AB49" s="11" t="inlineStr">
        <is>
          <t>retain</t>
        </is>
      </c>
    </row>
    <row r="50" ht="90" customFormat="1" customHeight="1" s="8">
      <c r="A50" s="12" t="b">
        <v>0</v>
      </c>
      <c r="B50" s="12" t="inlineStr">
        <is>
          <t>Mixed cross-file counts and within-table total; four Swiss-law consent omissions per arm offer a plausible but unlabelled restriction.</t>
        </is>
      </c>
      <c r="C50" s="12" t="b">
        <v>0</v>
      </c>
      <c r="D50" s="12" t="inlineStr">
        <is>
          <t>Cross-document numeric inconsistency</t>
        </is>
      </c>
      <c r="E50" s="12" t="b">
        <v>1</v>
      </c>
      <c r="F50" s="12" t="inlineStr">
        <is>
          <t>C006</t>
        </is>
      </c>
      <c r="G50" s="12" t="inlineStr">
        <is>
          <t>2024::jama.2024.25786::C006</t>
        </is>
      </c>
      <c r="H50" s="12" t="n"/>
      <c r="I50" s="12" t="inlineStr">
        <is>
          <t>Supplement 2, eTable 10, PDF p. 24, exclusion after randomization; Main article, Figure 1, PDF p. 3, excluded after randomization.</t>
        </is>
      </c>
      <c r="J50" s="12" t="b">
        <v>1</v>
      </c>
      <c r="K50" s="12" t="inlineStr">
        <is>
          <t>jama.2024.25786</t>
        </is>
      </c>
      <c r="L50" s="12" t="n"/>
      <c r="M50" s="12" t="inlineStr">
        <is>
          <t>S_C</t>
        </is>
      </c>
      <c r="N50" s="12" t="inlineStr">
        <is>
          <t>Results eTable10 gives55+67=122 against its ownN130, while main Figure1 gives59+71=130.</t>
        </is>
      </c>
      <c r="O50" s="12" t="inlineStr">
        <is>
          <t>../../2024/jama.2024.25786/.ai_paper_validation/final_report_1_5_3.html</t>
        </is>
      </c>
      <c r="P50" s="12" t="inlineStr">
        <is>
          <t>2024/jama.2024.25786/.ai_paper_validation/final_report_1_5_3.md</t>
        </is>
      </c>
      <c r="Q50" s="12" t="inlineStr">
        <is>
          <t>C006</t>
        </is>
      </c>
      <c r="R50" s="12" t="inlineStr">
        <is>
          <t>Pending Human Adjudication</t>
        </is>
      </c>
      <c r="S50" s="12" t="inlineStr">
        <is>
          <t>eTable 10’s postrandomization-exclusion total and group counts do not reconcile with each other or with Figure 1 without an explained population restriction.</t>
        </is>
      </c>
      <c r="T50" s="12" t="b">
        <v>1</v>
      </c>
      <c r="U50" s="12" t="inlineStr">
        <is>
          <t>flow_total</t>
        </is>
      </c>
      <c r="V50" s="12" t="inlineStr">
        <is>
          <t>report_internal_inconsistency</t>
        </is>
      </c>
      <c r="W50" s="12" t="inlineStr">
        <is>
          <t>Postrandomization-exclusion total and group counts do not reconcile across eTable 10 and Figure 1</t>
        </is>
      </c>
      <c r="X50" s="12" t="inlineStr">
        <is>
          <t>2024</t>
        </is>
      </c>
      <c r="Y50" s="12" t="inlineStr">
        <is>
          <t>meta_report/consistency_reclassification_2026-09-04/reclassified_candidates.json</t>
        </is>
      </c>
      <c r="Z50" s="12" t="inlineStr">
        <is>
          <t>S_C</t>
        </is>
      </c>
      <c r="AA50" s="12" t="inlineStr">
        <is>
          <t>report_internal_inconsistency</t>
        </is>
      </c>
      <c r="AB50" s="12" t="inlineStr">
        <is>
          <t>retain</t>
        </is>
      </c>
    </row>
    <row r="51" ht="90" customFormat="1" customHeight="1" s="8">
      <c r="A51" s="11" t="b">
        <v>0</v>
      </c>
      <c r="B51" s="11" t="inlineStr">
        <is>
          <t>Main is corroborative; the two unassigned cases are already explained by a footnote, so that two-person gap is not another discrepancy.</t>
        </is>
      </c>
      <c r="C51" s="11" t="b">
        <v>0</v>
      </c>
      <c r="D51" s="11" t="inlineStr">
        <is>
          <t>Denominator, proportion, or total inconsistency</t>
        </is>
      </c>
      <c r="E51" s="11" t="b">
        <v>0</v>
      </c>
      <c r="F51" s="11" t="inlineStr">
        <is>
          <t>C007</t>
        </is>
      </c>
      <c r="G51" s="11" t="inlineStr">
        <is>
          <t>2024::jama.2024.25786::C007</t>
        </is>
      </c>
      <c r="H51" s="11" t="n"/>
      <c r="I51" s="11" t="inlineStr">
        <is>
          <t>Supplement 2, eTable 10, PDF p. 24, secondary exclusion; count comparator Main article, Figure 1, PDF p. 3.</t>
        </is>
      </c>
      <c r="J51" s="11" t="b">
        <v>0</v>
      </c>
      <c r="K51" s="11" t="inlineStr">
        <is>
          <t>jama.2024.25786</t>
        </is>
      </c>
      <c r="L51" s="11" t="n"/>
      <c r="M51" s="11" t="inlineStr">
        <is>
          <t>S_W</t>
        </is>
      </c>
      <c r="N51" s="11" t="inlineStr">
        <is>
          <t>Results eTable10 pairs174/750 and165/758 with51%/49%, which instead partition339 cross-arm exclusions. Main Figure1 agrees with the counts.</t>
        </is>
      </c>
      <c r="O51" s="11" t="inlineStr">
        <is>
          <t>../../2024/jama.2024.25786/.ai_paper_validation/final_report_1_5_3.html</t>
        </is>
      </c>
      <c r="P51" s="11" t="inlineStr">
        <is>
          <t>2024/jama.2024.25786/.ai_paper_validation/final_report_1_5_3.md</t>
        </is>
      </c>
      <c r="Q51" s="11" t="inlineStr">
        <is>
          <t>C007</t>
        </is>
      </c>
      <c r="R51" s="11" t="inlineStr">
        <is>
          <t>Pending Human Adjudication</t>
        </is>
      </c>
      <c r="S51" s="11" t="inlineStr">
        <is>
          <t>eTable 10 pairs within-group denominators with percentages that instead partition the classified cross-group total.</t>
        </is>
      </c>
      <c r="T51" s="11" t="b">
        <v>1</v>
      </c>
      <c r="U51" s="11" t="inlineStr">
        <is>
          <t>denominator_estimand</t>
        </is>
      </c>
      <c r="V51" s="11" t="inlineStr">
        <is>
          <t>statistical_results</t>
        </is>
      </c>
      <c r="W51" s="11" t="inlineStr">
        <is>
          <t>Secondary-exclusion cells pair within-group denominators with cross-group partition percentages</t>
        </is>
      </c>
      <c r="X51" s="11" t="inlineStr">
        <is>
          <t>2024</t>
        </is>
      </c>
      <c r="Y51" s="11" t="inlineStr">
        <is>
          <t>meta_report/consistency_reclassification_2026-09-04/reclassified_candidates.json</t>
        </is>
      </c>
      <c r="Z51" s="11" t="inlineStr">
        <is>
          <t>S_W</t>
        </is>
      </c>
      <c r="AA51" s="11" t="inlineStr">
        <is>
          <t>statistical_results</t>
        </is>
      </c>
      <c r="AB51" s="11" t="inlineStr">
        <is>
          <t>retain</t>
        </is>
      </c>
    </row>
    <row r="52" ht="90" customFormat="1" customHeight="1" s="8">
      <c r="A52" s="12" t="b">
        <v>0</v>
      </c>
      <c r="B52" s="12" t="inlineStr">
        <is>
          <t>Notation defect remains observed even though arithmetic reconciles; not a negated candidate.</t>
        </is>
      </c>
      <c r="C52" s="12" t="b">
        <v>0</v>
      </c>
      <c r="D52" s="12" t="inlineStr">
        <is>
          <t>Measure, label, or scale inconsistency</t>
        </is>
      </c>
      <c r="E52" s="12" t="b">
        <v>0</v>
      </c>
      <c r="F52" s="12" t="inlineStr">
        <is>
          <t>C008</t>
        </is>
      </c>
      <c r="G52" s="12" t="inlineStr">
        <is>
          <t>2024::jama.2024.25786::C008</t>
        </is>
      </c>
      <c r="H52" s="12" t="n"/>
      <c r="I52" s="12" t="inlineStr">
        <is>
          <t>Supplement 2, eTable 11, PDF p. 25, primary outcome with missing counted as event.</t>
        </is>
      </c>
      <c r="J52" s="12" t="b">
        <v>0</v>
      </c>
      <c r="K52" s="12" t="inlineStr">
        <is>
          <t>jama.2024.25786</t>
        </is>
      </c>
      <c r="L52" s="12" t="n"/>
      <c r="M52" s="12" t="inlineStr">
        <is>
          <t>S_W</t>
        </is>
      </c>
      <c r="N52" s="12" t="inlineStr">
        <is>
          <t>Results eTable11 prints135//750 with a doubled separator despite its own single-slash count convention; numerical18.0% reconciles.</t>
        </is>
      </c>
      <c r="O52" s="12" t="inlineStr">
        <is>
          <t>../../2024/jama.2024.25786/.ai_paper_validation/final_report_1_5_3.html</t>
        </is>
      </c>
      <c r="P52" s="12" t="inlineStr">
        <is>
          <t>2024/jama.2024.25786/.ai_paper_validation/final_report_1_5_3.md</t>
        </is>
      </c>
      <c r="Q52" s="12" t="inlineStr">
        <is>
          <t>C008</t>
        </is>
      </c>
      <c r="R52" s="12" t="inlineStr">
        <is>
          <t>Pending Human Adjudication</t>
        </is>
      </c>
      <c r="S52" s="12" t="inlineStr">
        <is>
          <t>The restrictive missing-as-event primary-outcome count has a doubled numerator/denominator separator despite otherwise reconciling numerically.</t>
        </is>
      </c>
      <c r="T52" s="12" t="b">
        <v>1</v>
      </c>
      <c r="U52" s="12" t="inlineStr">
        <is>
          <t>count_notation</t>
        </is>
      </c>
      <c r="V52" s="12" t="inlineStr">
        <is>
          <t>report_internal_inconsistency</t>
        </is>
      </c>
      <c r="W52" s="12" t="inlineStr">
        <is>
          <t>Missing-as-event primary count uses a doubled numerator/denominator separator</t>
        </is>
      </c>
      <c r="X52" s="12" t="inlineStr">
        <is>
          <t>2024</t>
        </is>
      </c>
      <c r="Y52" s="12" t="inlineStr">
        <is>
          <t>meta_report/consistency_reclassification_2026-09-04/reclassified_candidates.json</t>
        </is>
      </c>
      <c r="Z52" s="12" t="inlineStr">
        <is>
          <t>S_W</t>
        </is>
      </c>
      <c r="AA52" s="12" t="inlineStr">
        <is>
          <t>report_internal_inconsistency</t>
        </is>
      </c>
      <c r="AB52" s="12" t="inlineStr">
        <is>
          <t>retain</t>
        </is>
      </c>
    </row>
    <row r="53" ht="90" customFormat="1" customHeight="1" s="8">
      <c r="A53" s="11" t="b">
        <v>0</v>
      </c>
      <c r="B53" s="11" t="n"/>
      <c r="C53" s="11" t="b">
        <v>0</v>
      </c>
      <c r="D53" s="11" t="inlineStr">
        <is>
          <t>Denominator, proportion, or total inconsistency</t>
        </is>
      </c>
      <c r="E53" s="11" t="b">
        <v>0</v>
      </c>
      <c r="F53" s="11" t="inlineStr">
        <is>
          <t>C001</t>
        </is>
      </c>
      <c r="G53" s="11" t="inlineStr">
        <is>
          <t>2024::jama.2024.4183::C001</t>
        </is>
      </c>
      <c r="H53" s="11" t="n"/>
      <c r="I53" s="11" t="inlineStr">
        <is>
          <t>Main article p. 1; Main article p. 6.</t>
        </is>
      </c>
      <c r="J53" s="11" t="b">
        <v>0</v>
      </c>
      <c r="K53" s="11" t="inlineStr">
        <is>
          <t>jama.2024.4183</t>
        </is>
      </c>
      <c r="L53" s="11" t="n"/>
      <c r="M53" s="11" t="inlineStr">
        <is>
          <t>S_W</t>
        </is>
      </c>
      <c r="N53" s="11" t="inlineStr">
        <is>
          <t>Main abstract phase2 allocations combine percentages based on191/157 and151/122, summing114%/115%; Figure2 supplies nonattender context.</t>
        </is>
      </c>
      <c r="O53" s="11" t="inlineStr">
        <is>
          <t>../../2024/jama.2024.4183/.ai_paper_validation/final_report_1_5_3.html</t>
        </is>
      </c>
      <c r="P53" s="11" t="inlineStr">
        <is>
          <t>2024/jama.2024.4183/.ai_paper_validation/final_report_1_5_3.md</t>
        </is>
      </c>
      <c r="Q53" s="11" t="inlineStr">
        <is>
          <t>C001</t>
        </is>
      </c>
      <c r="R53" s="11" t="inlineStr">
        <is>
          <t>Pending Human Adjudication</t>
        </is>
      </c>
      <c r="S53" s="11" t="inlineStr">
        <is>
          <t>Abstract phase-2 allocation percentages mix incompatible denominators.</t>
        </is>
      </c>
      <c r="T53" s="11" t="b">
        <v>1</v>
      </c>
      <c r="U53" s="11" t="inlineStr">
        <is>
          <t>denominator_population</t>
        </is>
      </c>
      <c r="V53" s="11" t="inlineStr">
        <is>
          <t>statistical_results</t>
        </is>
      </c>
      <c r="W53" s="11" t="inlineStr">
        <is>
          <t>Abstract phase-2 allocation percentages mix incompatible denominators</t>
        </is>
      </c>
      <c r="X53" s="11" t="inlineStr">
        <is>
          <t>2024</t>
        </is>
      </c>
      <c r="Y53" s="11" t="inlineStr">
        <is>
          <t>meta_report/consistency_reclassification_2026-09-04/reclassified_candidates.json</t>
        </is>
      </c>
      <c r="Z53" s="11" t="inlineStr">
        <is>
          <t>S_W</t>
        </is>
      </c>
      <c r="AA53" s="11" t="inlineStr">
        <is>
          <t>statistical_results</t>
        </is>
      </c>
      <c r="AB53" s="11" t="inlineStr">
        <is>
          <t>retain</t>
        </is>
      </c>
    </row>
    <row r="54" ht="90" customFormat="1" customHeight="1" s="8">
      <c r="A54" s="12" t="b">
        <v>0</v>
      </c>
      <c r="B54" s="12" t="n"/>
      <c r="C54" s="12" t="b">
        <v>0</v>
      </c>
      <c r="D54" s="12" t="inlineStr">
        <is>
          <t>Denominator, proportion, or total inconsistency</t>
        </is>
      </c>
      <c r="E54" s="12" t="b">
        <v>0</v>
      </c>
      <c r="F54" s="12" t="inlineStr">
        <is>
          <t>C002</t>
        </is>
      </c>
      <c r="G54" s="12" t="inlineStr">
        <is>
          <t>2024::jama.2024.4183::C002</t>
        </is>
      </c>
      <c r="H54" s="12" t="n"/>
      <c r="I54" s="12" t="inlineStr">
        <is>
          <t>Main article p. 5, baseline Table.</t>
        </is>
      </c>
      <c r="J54" s="12" t="b">
        <v>0</v>
      </c>
      <c r="K54" s="12" t="inlineStr">
        <is>
          <t>jama.2024.4183</t>
        </is>
      </c>
      <c r="L54" s="12" t="n"/>
      <c r="M54" s="12" t="inlineStr">
        <is>
          <t>S_W</t>
        </is>
      </c>
      <c r="N54" s="12" t="inlineStr">
        <is>
          <t>Main baseline table gives105+145=250 within each n245 arm, and male145 does not yield57.1%.</t>
        </is>
      </c>
      <c r="O54" s="12" t="inlineStr">
        <is>
          <t>../../2024/jama.2024.4183/.ai_paper_validation/final_report_1_5_3.html</t>
        </is>
      </c>
      <c r="P54" s="12" t="inlineStr">
        <is>
          <t>2024/jama.2024.4183/.ai_paper_validation/final_report_1_5_3.md</t>
        </is>
      </c>
      <c r="Q54" s="12" t="inlineStr">
        <is>
          <t>C002</t>
        </is>
      </c>
      <c r="R54" s="12" t="inlineStr">
        <is>
          <t>Pending Human Adjudication</t>
        </is>
      </c>
      <c r="S54" s="12" t="inlineStr">
        <is>
          <t>Main baseline sex counts exceed both printed arm denominators.</t>
        </is>
      </c>
      <c r="T54" s="12" t="b">
        <v>1</v>
      </c>
      <c r="U54" s="12" t="inlineStr">
        <is>
          <t>count_total</t>
        </is>
      </c>
      <c r="V54" s="12" t="inlineStr">
        <is>
          <t>statistical_results</t>
        </is>
      </c>
      <c r="W54" s="12" t="inlineStr">
        <is>
          <t>Main baseline sex counts exceed both printed arm denominators</t>
        </is>
      </c>
      <c r="X54" s="12" t="inlineStr">
        <is>
          <t>2024</t>
        </is>
      </c>
      <c r="Y54" s="12" t="inlineStr">
        <is>
          <t>meta_report/consistency_reclassification_2026-09-04/reclassified_candidates.json</t>
        </is>
      </c>
      <c r="Z54" s="12" t="inlineStr">
        <is>
          <t>S_W</t>
        </is>
      </c>
      <c r="AA54" s="12" t="inlineStr">
        <is>
          <t>statistical_results</t>
        </is>
      </c>
      <c r="AB54" s="12" t="inlineStr">
        <is>
          <t>retain</t>
        </is>
      </c>
    </row>
    <row r="55" ht="90" customFormat="1" customHeight="1" s="8">
      <c r="A55" s="11" t="b">
        <v>0</v>
      </c>
      <c r="B55" s="11" t="n"/>
      <c r="C55" s="11" t="b">
        <v>0</v>
      </c>
      <c r="D55" s="11" t="inlineStr">
        <is>
          <t>Denominator, proportion, or total inconsistency</t>
        </is>
      </c>
      <c r="E55" s="11" t="b">
        <v>0</v>
      </c>
      <c r="F55" s="11" t="inlineStr">
        <is>
          <t>C003</t>
        </is>
      </c>
      <c r="G55" s="11" t="inlineStr">
        <is>
          <t>2024::jama.2024.4183::C003</t>
        </is>
      </c>
      <c r="H55" s="11" t="n"/>
      <c r="I55" s="11" t="inlineStr">
        <is>
          <t>Main article p. 4; Main article p. 6.</t>
        </is>
      </c>
      <c r="J55" s="11" t="b">
        <v>0</v>
      </c>
      <c r="K55" s="11" t="inlineStr">
        <is>
          <t>jama.2024.4183</t>
        </is>
      </c>
      <c r="L55" s="11" t="n"/>
      <c r="M55" s="11" t="inlineStr">
        <is>
          <t>S_W</t>
        </is>
      </c>
      <c r="N55" s="11" t="inlineStr">
        <is>
          <t>Main initial randomized491 parent does not equal245+245=490 branches; later exclusion pertains to analysis total.</t>
        </is>
      </c>
      <c r="O55" s="11" t="inlineStr">
        <is>
          <t>../../2024/jama.2024.4183/.ai_paper_validation/final_report_1_5_3.html</t>
        </is>
      </c>
      <c r="P55" s="11" t="inlineStr">
        <is>
          <t>2024/jama.2024.4183/.ai_paper_validation/final_report_1_5_3.md</t>
        </is>
      </c>
      <c r="Q55" s="11" t="inlineStr">
        <is>
          <t>C003</t>
        </is>
      </c>
      <c r="R55" s="11" t="inlineStr">
        <is>
          <t>Pending Human Adjudication</t>
        </is>
      </c>
      <c r="S55" s="11" t="inlineStr">
        <is>
          <t>Displayed randomization total does not equal its two initial branches.</t>
        </is>
      </c>
      <c r="T55" s="11" t="b">
        <v>1</v>
      </c>
      <c r="U55" s="11" t="inlineStr">
        <is>
          <t>flow_total</t>
        </is>
      </c>
      <c r="V55" s="11" t="inlineStr">
        <is>
          <t>statistical_results</t>
        </is>
      </c>
      <c r="W55" s="11" t="inlineStr">
        <is>
          <t>Displayed randomization total does not equal its two initial branches</t>
        </is>
      </c>
      <c r="X55" s="11" t="inlineStr">
        <is>
          <t>2024</t>
        </is>
      </c>
      <c r="Y55" s="11" t="inlineStr">
        <is>
          <t>meta_report/consistency_reclassification_2026-09-04/reclassified_candidates.json</t>
        </is>
      </c>
      <c r="Z55" s="11" t="inlineStr">
        <is>
          <t>S_W</t>
        </is>
      </c>
      <c r="AA55" s="11" t="inlineStr">
        <is>
          <t>statistical_results</t>
        </is>
      </c>
      <c r="AB55" s="11" t="inlineStr">
        <is>
          <t>retain</t>
        </is>
      </c>
    </row>
    <row r="56" ht="90" customFormat="1" customHeight="1" s="8">
      <c r="A56" s="12" t="b">
        <v>0</v>
      </c>
      <c r="B56" s="12" t="n"/>
      <c r="C56" s="12" t="b">
        <v>0</v>
      </c>
      <c r="D56" s="12" t="inlineStr">
        <is>
          <t>Analysis-unit or population inconsistency</t>
        </is>
      </c>
      <c r="E56" s="12" t="b">
        <v>0</v>
      </c>
      <c r="F56" s="12" t="inlineStr">
        <is>
          <t>C004</t>
        </is>
      </c>
      <c r="G56" s="12" t="inlineStr">
        <is>
          <t>2024::jama.2024.4183::C004</t>
        </is>
      </c>
      <c r="H56" s="12" t="n"/>
      <c r="I56" s="12" t="inlineStr">
        <is>
          <t>Main article p. 1; Main article p. 4; Main article p. 6.</t>
        </is>
      </c>
      <c r="J56" s="12" t="b">
        <v>0</v>
      </c>
      <c r="K56" s="12" t="inlineStr">
        <is>
          <t>jama.2024.4183</t>
        </is>
      </c>
      <c r="L56" s="12" t="n"/>
      <c r="M56" s="12" t="inlineStr">
        <is>
          <t>S_W</t>
        </is>
      </c>
      <c r="N56" s="12" t="inlineStr">
        <is>
          <t>Main Results calls the same40+35 continuation-assigned patients attendees, whereas abstract/Figure2 call them nonattendees.</t>
        </is>
      </c>
      <c r="O56" s="12" t="inlineStr">
        <is>
          <t>../../2024/jama.2024.4183/.ai_paper_validation/final_report_1_5_3.html</t>
        </is>
      </c>
      <c r="P56" s="12" t="inlineStr">
        <is>
          <t>2024/jama.2024.4183/.ai_paper_validation/final_report_1_5_3.md</t>
        </is>
      </c>
      <c r="Q56" s="12" t="inlineStr">
        <is>
          <t>C004</t>
        </is>
      </c>
      <c r="R56" s="12" t="inlineStr">
        <is>
          <t>Pending Human Adjudication</t>
        </is>
      </c>
      <c r="S56" s="12" t="inlineStr">
        <is>
          <t>Results reverses attendance status for continuation assignments.</t>
        </is>
      </c>
      <c r="T56" s="12" t="b">
        <v>1</v>
      </c>
      <c r="U56" s="12" t="inlineStr">
        <is>
          <t>flow_population_label</t>
        </is>
      </c>
      <c r="V56" s="12" t="inlineStr">
        <is>
          <t>statistical_results</t>
        </is>
      </c>
      <c r="W56" s="12" t="inlineStr">
        <is>
          <t>Results reverses attendance status for continuation assignments</t>
        </is>
      </c>
      <c r="X56" s="12" t="inlineStr">
        <is>
          <t>2024</t>
        </is>
      </c>
      <c r="Y56" s="12" t="inlineStr">
        <is>
          <t>meta_report/consistency_reclassification_2026-09-04/reclassified_candidates.json</t>
        </is>
      </c>
      <c r="Z56" s="12" t="inlineStr">
        <is>
          <t>S_W</t>
        </is>
      </c>
      <c r="AA56" s="12" t="inlineStr">
        <is>
          <t>statistical_results</t>
        </is>
      </c>
      <c r="AB56" s="12" t="inlineStr">
        <is>
          <t>retain</t>
        </is>
      </c>
    </row>
    <row r="57" ht="90" customFormat="1" customHeight="1" s="8">
      <c r="A57" s="11" t="b">
        <v>0</v>
      </c>
      <c r="B57" s="11" t="inlineStr">
        <is>
          <t>Mixed cross-file/internal repetitions if abstract parenthetical applies to both rescue strategies; it may apply only to switch. Related to C006 but a distinct contrast.</t>
        </is>
      </c>
      <c r="C57" s="11" t="b">
        <v>0</v>
      </c>
      <c r="D57" s="11" t="inlineStr">
        <is>
          <t>Statistical reporting inconsistency</t>
        </is>
      </c>
      <c r="E57" s="11" t="b">
        <v>1</v>
      </c>
      <c r="F57" s="11" t="inlineStr">
        <is>
          <t>C005</t>
        </is>
      </c>
      <c r="G57" s="11" t="inlineStr">
        <is>
          <t>2024::jama.2024.4183::C005</t>
        </is>
      </c>
      <c r="H57" s="11" t="n"/>
      <c r="I57" s="11" t="inlineStr">
        <is>
          <t>Main article p. 1; Main article p. 5; Supplement 2 p. 21.</t>
        </is>
      </c>
      <c r="J57" s="11" t="b">
        <v>0</v>
      </c>
      <c r="K57" s="11" t="inlineStr">
        <is>
          <t>jama.2024.4183</t>
        </is>
      </c>
      <c r="L57" s="11" t="n"/>
      <c r="M57" s="11" t="inlineStr">
        <is>
          <t>S_C</t>
        </is>
      </c>
      <c r="N57" s="11" t="inlineStr">
        <is>
          <t>Conditional abstract interval6%-11% for increasedCNRT differs from2%-11% explicitly printed in main Results and results eTable4.</t>
        </is>
      </c>
      <c r="O57" s="11" t="inlineStr">
        <is>
          <t>../../2024/jama.2024.4183/.ai_paper_validation/final_report_1_5_3.html</t>
        </is>
      </c>
      <c r="P57" s="11" t="inlineStr">
        <is>
          <t>2024/jama.2024.4183/.ai_paper_validation/final_report_1_5_3.md</t>
        </is>
      </c>
      <c r="Q57" s="11" t="inlineStr">
        <is>
          <t>C005</t>
        </is>
      </c>
      <c r="R57" s="11" t="inlineStr">
        <is>
          <t>Pending Human Adjudication</t>
        </is>
      </c>
      <c r="S57" s="11" t="inlineStr">
        <is>
          <t>CNRT dose-increase primary CrI differs between abstract and matched results.</t>
        </is>
      </c>
      <c r="T57" s="11" t="b">
        <v>1</v>
      </c>
      <c r="U57" s="11" t="inlineStr">
        <is>
          <t>credible_interval_repeat</t>
        </is>
      </c>
      <c r="V57" s="11" t="inlineStr">
        <is>
          <t>statistical_results</t>
        </is>
      </c>
      <c r="W57" s="11" t="inlineStr">
        <is>
          <t>CNRT dose-increase primary CrI differs between abstract and matched results</t>
        </is>
      </c>
      <c r="X57" s="11" t="inlineStr">
        <is>
          <t>2024</t>
        </is>
      </c>
      <c r="Y57" s="11" t="inlineStr">
        <is>
          <t>meta_report/consistency_reclassification_2026-09-04/reclassified_candidates.json</t>
        </is>
      </c>
      <c r="Z57" s="11" t="inlineStr">
        <is>
          <t>S_C</t>
        </is>
      </c>
      <c r="AA57" s="11" t="inlineStr">
        <is>
          <t>statistical_results</t>
        </is>
      </c>
      <c r="AB57" s="11" t="inlineStr">
        <is>
          <t>retain</t>
        </is>
      </c>
    </row>
    <row r="58" ht="90" customFormat="1" customHeight="1" s="8">
      <c r="A58" s="12" t="b">
        <v>0</v>
      </c>
      <c r="B58" s="12" t="inlineStr">
        <is>
          <t>Mixed cross-file and internal repetitions; separate switch contrast from C005.</t>
        </is>
      </c>
      <c r="C58" s="12" t="b">
        <v>0</v>
      </c>
      <c r="D58" s="12" t="inlineStr">
        <is>
          <t>Statistical reporting inconsistency</t>
        </is>
      </c>
      <c r="E58" s="12" t="b">
        <v>1</v>
      </c>
      <c r="F58" s="12" t="inlineStr">
        <is>
          <t>C006</t>
        </is>
      </c>
      <c r="G58" s="12" t="inlineStr">
        <is>
          <t>2024::jama.2024.4183::C006</t>
        </is>
      </c>
      <c r="H58" s="12" t="n"/>
      <c r="I58" s="12" t="inlineStr">
        <is>
          <t>Main article p. 1; Main article p. 5; Supplement 2 p. 21.</t>
        </is>
      </c>
      <c r="J58" s="12" t="b">
        <v>0</v>
      </c>
      <c r="K58" s="12" t="inlineStr">
        <is>
          <t>jama.2024.4183</t>
        </is>
      </c>
      <c r="L58" s="12" t="n"/>
      <c r="M58" s="12" t="inlineStr">
        <is>
          <t>S_C</t>
        </is>
      </c>
      <c r="N58" s="12" t="inlineStr">
        <is>
          <t>CNRT-switch interval is6%-11% in main abstract,2%-11% in main Results, and2%-10% in results eTable4.</t>
        </is>
      </c>
      <c r="O58" s="12" t="inlineStr">
        <is>
          <t>../../2024/jama.2024.4183/.ai_paper_validation/final_report_1_5_3.html</t>
        </is>
      </c>
      <c r="P58" s="12" t="inlineStr">
        <is>
          <t>2024/jama.2024.4183/.ai_paper_validation/final_report_1_5_3.md</t>
        </is>
      </c>
      <c r="Q58" s="12" t="inlineStr">
        <is>
          <t>C006</t>
        </is>
      </c>
      <c r="R58" s="12" t="inlineStr">
        <is>
          <t>Pending Human Adjudication</t>
        </is>
      </c>
      <c r="S58" s="12" t="inlineStr">
        <is>
          <t>CNRT switch primary CrI differs across abstract, Results, and eTable.</t>
        </is>
      </c>
      <c r="T58" s="12" t="b">
        <v>1</v>
      </c>
      <c r="U58" s="12" t="inlineStr">
        <is>
          <t>credible_interval_repeat</t>
        </is>
      </c>
      <c r="V58" s="12" t="inlineStr">
        <is>
          <t>statistical_results</t>
        </is>
      </c>
      <c r="W58" s="12" t="inlineStr">
        <is>
          <t>CNRT switch primary CrI differs across abstract, Results, and eTable</t>
        </is>
      </c>
      <c r="X58" s="12" t="inlineStr">
        <is>
          <t>2024</t>
        </is>
      </c>
      <c r="Y58" s="12" t="inlineStr">
        <is>
          <t>meta_report/consistency_reclassification_2026-09-04/reclassified_candidates.json</t>
        </is>
      </c>
      <c r="Z58" s="12" t="inlineStr">
        <is>
          <t>S_C</t>
        </is>
      </c>
      <c r="AA58" s="12" t="inlineStr">
        <is>
          <t>statistical_results</t>
        </is>
      </c>
      <c r="AB58" s="12" t="inlineStr">
        <is>
          <t>retain</t>
        </is>
      </c>
    </row>
    <row r="59" ht="90" customFormat="1" customHeight="1" s="8">
      <c r="A59" s="11" t="b">
        <v>0</v>
      </c>
      <c r="B59" s="11" t="inlineStr">
        <is>
          <t>Mixed cross-file sign/reference mismatch and main internal narrative direction mismatch.</t>
        </is>
      </c>
      <c r="C59" s="11" t="b">
        <v>0</v>
      </c>
      <c r="D59" s="11" t="inlineStr">
        <is>
          <t>Measure, label, or scale inconsistency</t>
        </is>
      </c>
      <c r="E59" s="11" t="b">
        <v>1</v>
      </c>
      <c r="F59" s="11" t="inlineStr">
        <is>
          <t>C007</t>
        </is>
      </c>
      <c r="G59" s="11" t="inlineStr">
        <is>
          <t>2024::jama.2024.4183::C007</t>
        </is>
      </c>
      <c r="H59" s="11" t="n"/>
      <c r="I59" s="11" t="inlineStr">
        <is>
          <t>Main article p. 1; Main article p. 5; Main article p. 7; Supplement 2 p. 21.</t>
        </is>
      </c>
      <c r="J59" s="11" t="b">
        <v>0</v>
      </c>
      <c r="K59" s="11" t="inlineStr">
        <is>
          <t>jama.2024.4183</t>
        </is>
      </c>
      <c r="L59" s="11" t="n"/>
      <c r="M59" s="11" t="inlineStr">
        <is>
          <t>S_C</t>
        </is>
      </c>
      <c r="N59" s="11" t="inlineStr">
        <is>
          <t>Main switch-versus-continuationRD-3% differs from+3% in results eTable4, while main text calls continuation worse despite own0% switch versus3% stay values.</t>
        </is>
      </c>
      <c r="O59" s="11" t="inlineStr">
        <is>
          <t>../../2024/jama.2024.4183/.ai_paper_validation/final_report_1_5_3.html</t>
        </is>
      </c>
      <c r="P59" s="11" t="inlineStr">
        <is>
          <t>2024/jama.2024.4183/.ai_paper_validation/final_report_1_5_3.md</t>
        </is>
      </c>
      <c r="Q59" s="11" t="inlineStr">
        <is>
          <t>C007</t>
        </is>
      </c>
      <c r="R59" s="11" t="inlineStr">
        <is>
          <t>Pending Human Adjudication</t>
        </is>
      </c>
      <c r="S59" s="11" t="inlineStr">
        <is>
          <t>Varenicline-to-CNRT switch contrast has inconsistent sign and reference.</t>
        </is>
      </c>
      <c r="T59" s="11" t="b">
        <v>1</v>
      </c>
      <c r="U59" s="11" t="inlineStr">
        <is>
          <t>contrast_sign_direction</t>
        </is>
      </c>
      <c r="V59" s="11" t="inlineStr">
        <is>
          <t>report_internal_inconsistency</t>
        </is>
      </c>
      <c r="W59" s="11" t="inlineStr">
        <is>
          <t>Varenicline-to-CNRT switch contrast has inconsistent sign and reference</t>
        </is>
      </c>
      <c r="X59" s="11" t="inlineStr">
        <is>
          <t>2024</t>
        </is>
      </c>
      <c r="Y59" s="11" t="inlineStr">
        <is>
          <t>meta_report/consistency_reclassification_2026-09-04/reclassified_candidates.json</t>
        </is>
      </c>
      <c r="Z59" s="11" t="inlineStr">
        <is>
          <t>S_C</t>
        </is>
      </c>
      <c r="AA59" s="11" t="inlineStr">
        <is>
          <t>report_internal_inconsistency</t>
        </is>
      </c>
      <c r="AB59" s="11" t="inlineStr">
        <is>
          <t>retain</t>
        </is>
      </c>
    </row>
    <row r="60" ht="90" customFormat="1" customHeight="1" s="8">
      <c r="A60" s="12" t="b">
        <v>0</v>
      </c>
      <c r="B60" s="12" t="n"/>
      <c r="C60" s="12" t="b">
        <v>0</v>
      </c>
      <c r="D60" s="12" t="inlineStr">
        <is>
          <t>Statistical reporting inconsistency</t>
        </is>
      </c>
      <c r="E60" s="12" t="b">
        <v>1</v>
      </c>
      <c r="F60" s="12" t="inlineStr">
        <is>
          <t>C008</t>
        </is>
      </c>
      <c r="G60" s="12" t="inlineStr">
        <is>
          <t>2024::jama.2024.4183::C008</t>
        </is>
      </c>
      <c r="H60" s="12" t="n"/>
      <c r="I60" s="12" t="inlineStr">
        <is>
          <t>Main article p. 1; Main article p. 5; Supplement 2 p. 21.</t>
        </is>
      </c>
      <c r="J60" s="12" t="b">
        <v>0</v>
      </c>
      <c r="K60" s="12" t="inlineStr">
        <is>
          <t>jama.2024.4183</t>
        </is>
      </c>
      <c r="L60" s="12" t="n"/>
      <c r="M60" s="12" t="inlineStr">
        <is>
          <t>S_C</t>
        </is>
      </c>
      <c r="N60" s="12" t="inlineStr">
        <is>
          <t>Main increased-vareniclineRD18% interval13%-24% differs from results eTable4 interval13%-23%.</t>
        </is>
      </c>
      <c r="O60" s="12" t="inlineStr">
        <is>
          <t>../../2024/jama.2024.4183/.ai_paper_validation/final_report_1_5_3.html</t>
        </is>
      </c>
      <c r="P60" s="12" t="inlineStr">
        <is>
          <t>2024/jama.2024.4183/.ai_paper_validation/final_report_1_5_3.md</t>
        </is>
      </c>
      <c r="Q60" s="12" t="inlineStr">
        <is>
          <t>C008</t>
        </is>
      </c>
      <c r="R60" s="12" t="inlineStr">
        <is>
          <t>Pending Human Adjudication</t>
        </is>
      </c>
      <c r="S60" s="12" t="inlineStr">
        <is>
          <t>Increased-varenicline primary CrI upper endpoint differs.</t>
        </is>
      </c>
      <c r="T60" s="12" t="b">
        <v>1</v>
      </c>
      <c r="U60" s="12" t="inlineStr">
        <is>
          <t>credible_interval_repeat</t>
        </is>
      </c>
      <c r="V60" s="12" t="inlineStr">
        <is>
          <t>statistical_results</t>
        </is>
      </c>
      <c r="W60" s="12" t="inlineStr">
        <is>
          <t>Increased-varenicline primary CrI upper endpoint differs</t>
        </is>
      </c>
      <c r="X60" s="12" t="inlineStr">
        <is>
          <t>2024</t>
        </is>
      </c>
      <c r="Y60" s="12" t="inlineStr">
        <is>
          <t>meta_report/consistency_reclassification_2026-09-04/reclassified_candidates.json</t>
        </is>
      </c>
      <c r="Z60" s="12" t="inlineStr">
        <is>
          <t>S_C</t>
        </is>
      </c>
      <c r="AA60" s="12" t="inlineStr">
        <is>
          <t>statistical_results</t>
        </is>
      </c>
      <c r="AB60" s="12" t="inlineStr">
        <is>
          <t>retain</t>
        </is>
      </c>
    </row>
    <row r="61" ht="90" customFormat="1" customHeight="1" s="8">
      <c r="A61" s="11" t="b">
        <v>0</v>
      </c>
      <c r="B61" s="11" t="n"/>
      <c r="C61" s="11" t="b">
        <v>0</v>
      </c>
      <c r="D61" s="11" t="inlineStr">
        <is>
          <t>Statistical reporting inconsistency</t>
        </is>
      </c>
      <c r="E61" s="11" t="b">
        <v>1</v>
      </c>
      <c r="F61" s="11" t="inlineStr">
        <is>
          <t>C009</t>
        </is>
      </c>
      <c r="G61" s="11" t="inlineStr">
        <is>
          <t>2024::jama.2024.4183::C009</t>
        </is>
      </c>
      <c r="H61" s="11" t="n"/>
      <c r="I61" s="11" t="inlineStr">
        <is>
          <t>Main article p. 7; Supplement 2 p. 21.</t>
        </is>
      </c>
      <c r="J61" s="11" t="b">
        <v>0</v>
      </c>
      <c r="K61" s="11" t="inlineStr">
        <is>
          <t>jama.2024.4183</t>
        </is>
      </c>
      <c r="L61" s="11" t="n"/>
      <c r="M61" s="11" t="inlineStr">
        <is>
          <t>S_C</t>
        </is>
      </c>
      <c r="N61" s="11" t="inlineStr">
        <is>
          <t>Main phase1-abstainerRD6% interval-5%-16% differs from results eTable4 interval-4%-16%.</t>
        </is>
      </c>
      <c r="O61" s="11" t="inlineStr">
        <is>
          <t>../../2024/jama.2024.4183/.ai_paper_validation/final_report_1_5_3.html</t>
        </is>
      </c>
      <c r="P61" s="11" t="inlineStr">
        <is>
          <t>2024/jama.2024.4183/.ai_paper_validation/final_report_1_5_3.md</t>
        </is>
      </c>
      <c r="Q61" s="11" t="inlineStr">
        <is>
          <t>C009</t>
        </is>
      </c>
      <c r="R61" s="11" t="inlineStr">
        <is>
          <t>Pending Human Adjudication</t>
        </is>
      </c>
      <c r="S61" s="11" t="inlineStr">
        <is>
          <t>Phase-1 abstainer primary CrI lower endpoint differs.</t>
        </is>
      </c>
      <c r="T61" s="11" t="b">
        <v>1</v>
      </c>
      <c r="U61" s="11" t="inlineStr">
        <is>
          <t>credible_interval_repeat</t>
        </is>
      </c>
      <c r="V61" s="11" t="inlineStr">
        <is>
          <t>statistical_results</t>
        </is>
      </c>
      <c r="W61" s="11" t="inlineStr">
        <is>
          <t>Phase-1 abstainer primary CrI lower endpoint differs</t>
        </is>
      </c>
      <c r="X61" s="11" t="inlineStr">
        <is>
          <t>2024</t>
        </is>
      </c>
      <c r="Y61" s="11" t="inlineStr">
        <is>
          <t>meta_report/consistency_reclassification_2026-09-04/reclassified_candidates.json</t>
        </is>
      </c>
      <c r="Z61" s="11" t="inlineStr">
        <is>
          <t>S_C</t>
        </is>
      </c>
      <c r="AA61" s="11" t="inlineStr">
        <is>
          <t>statistical_results</t>
        </is>
      </c>
      <c r="AB61" s="11" t="inlineStr">
        <is>
          <t>retain</t>
        </is>
      </c>
    </row>
    <row r="62" ht="90" customFormat="1" customHeight="1" s="8">
      <c r="A62" s="12" t="b">
        <v>0</v>
      </c>
      <c r="B62" s="12" t="inlineStr">
        <is>
          <t>Whether paired interval describes that beta distribution is not explicit; no reported-result comparator.</t>
        </is>
      </c>
      <c r="C62" s="12" t="b">
        <v>1</v>
      </c>
      <c r="D62" s="12" t="inlineStr">
        <is>
          <t>Statistical reporting inconsistency</t>
        </is>
      </c>
      <c r="E62" s="12" t="b">
        <v>0</v>
      </c>
      <c r="F62" s="12" t="inlineStr">
        <is>
          <t>C010</t>
        </is>
      </c>
      <c r="G62" s="12" t="inlineStr">
        <is>
          <t>2024::jama.2024.4183::C010</t>
        </is>
      </c>
      <c r="H62" s="12" t="n"/>
      <c r="I62" s="12" t="inlineStr">
        <is>
          <t>Protocol p. 32, Figure 2.</t>
        </is>
      </c>
      <c r="J62" s="12" t="b">
        <v>0</v>
      </c>
      <c r="K62" s="12" t="inlineStr">
        <is>
          <t>jama.2024.4183</t>
        </is>
      </c>
      <c r="L62" s="12" t="n"/>
      <c r="M62" s="12" t="inlineStr">
        <is>
          <t>P_P</t>
        </is>
      </c>
      <c r="N62" s="12" t="inlineStr">
        <is>
          <t>Within protocolFigure2,Beta(785,869) yields mean0.4746 and diagnostic95%quantiles0.4506-0.4987 rather than paired0.50(0.40-0.60).</t>
        </is>
      </c>
      <c r="O62" s="12" t="inlineStr">
        <is>
          <t>../../2024/jama.2024.4183/.ai_paper_validation/final_report_1_5_3.html</t>
        </is>
      </c>
      <c r="P62" s="12" t="inlineStr">
        <is>
          <t>2024/jama.2024.4183/.ai_paper_validation/final_report_1_5_3.md</t>
        </is>
      </c>
      <c r="Q62" s="12" t="inlineStr">
        <is>
          <t>C010</t>
        </is>
      </c>
      <c r="R62" s="12" t="inlineStr">
        <is>
          <t>Pending Human Adjudication</t>
        </is>
      </c>
      <c r="S62" s="12" t="inlineStr">
        <is>
          <t>Protocol beta parameters do not reproduce the paired varenicline response probability.</t>
        </is>
      </c>
      <c r="T62" s="12" t="b">
        <v>0</v>
      </c>
      <c r="U62" s="12" t="inlineStr">
        <is>
          <t>prior_parameter_identity</t>
        </is>
      </c>
      <c r="V62" s="12" t="inlineStr">
        <is>
          <t>plan_material</t>
        </is>
      </c>
      <c r="W62" s="12" t="inlineStr">
        <is>
          <t>Protocol beta parameters do not reproduce the paired varenicline response probability</t>
        </is>
      </c>
      <c r="X62" s="12" t="inlineStr">
        <is>
          <t>2024</t>
        </is>
      </c>
      <c r="Y62" s="12" t="inlineStr">
        <is>
          <t>meta_report/consistency_reclassification_2026-09-04/reclassified_candidates.json</t>
        </is>
      </c>
      <c r="Z62" s="12" t="inlineStr">
        <is>
          <t>P_P</t>
        </is>
      </c>
      <c r="AA62" s="12" t="inlineStr">
        <is>
          <t>plan_material</t>
        </is>
      </c>
      <c r="AB62" s="12" t="inlineStr">
        <is>
          <t>retain</t>
        </is>
      </c>
    </row>
    <row r="63" ht="90" customFormat="1" customHeight="1" s="8">
      <c r="A63" s="11" t="b">
        <v>0</v>
      </c>
      <c r="B63" s="11" t="inlineStr">
        <is>
          <t>Common simulation realizations are unconfirmed; independent MonteCarlo sets could explain the rise.</t>
        </is>
      </c>
      <c r="C63" s="11" t="b">
        <v>1</v>
      </c>
      <c r="D63" s="11" t="inlineStr">
        <is>
          <t>Statistical reporting inconsistency</t>
        </is>
      </c>
      <c r="E63" s="11" t="b">
        <v>0</v>
      </c>
      <c r="F63" s="11" t="inlineStr">
        <is>
          <t>C011</t>
        </is>
      </c>
      <c r="G63" s="11" t="inlineStr">
        <is>
          <t>2024::jama.2024.4183::C011</t>
        </is>
      </c>
      <c r="H63" s="11" t="n"/>
      <c r="I63" s="11" t="inlineStr">
        <is>
          <t>Protocol p. 34, Table 3.</t>
        </is>
      </c>
      <c r="J63" s="11" t="b">
        <v>0</v>
      </c>
      <c r="K63" s="11" t="inlineStr">
        <is>
          <t>jama.2024.4183</t>
        </is>
      </c>
      <c r="L63" s="11" t="n"/>
      <c r="M63" s="11" t="inlineStr">
        <is>
          <t>P_P</t>
        </is>
      </c>
      <c r="N63" s="11" t="inlineStr">
        <is>
          <t>ProtocolTable3 power rises0.948 to0.980 as posterior threshold tightens0.80 to0.85, conflicting with nested detection on one simulation set.</t>
        </is>
      </c>
      <c r="O63" s="11" t="inlineStr">
        <is>
          <t>../../2024/jama.2024.4183/.ai_paper_validation/final_report_1_5_3.html</t>
        </is>
      </c>
      <c r="P63" s="11" t="inlineStr">
        <is>
          <t>2024/jama.2024.4183/.ai_paper_validation/final_report_1_5_3.md</t>
        </is>
      </c>
      <c r="Q63" s="11" t="inlineStr">
        <is>
          <t>C011</t>
        </is>
      </c>
      <c r="R63" s="11" t="inlineStr">
        <is>
          <t>Pending Human Adjudication</t>
        </is>
      </c>
      <c r="S63" s="11" t="inlineStr">
        <is>
          <t>Protocol Aim-1 power increases at a stricter nested threshold.</t>
        </is>
      </c>
      <c r="T63" s="11" t="b">
        <v>0</v>
      </c>
      <c r="U63" s="11" t="inlineStr">
        <is>
          <t>power_monotonicity</t>
        </is>
      </c>
      <c r="V63" s="11" t="inlineStr">
        <is>
          <t>plan_material</t>
        </is>
      </c>
      <c r="W63" s="11" t="inlineStr">
        <is>
          <t>Protocol Aim-1 power increases at a stricter nested threshold</t>
        </is>
      </c>
      <c r="X63" s="11" t="inlineStr">
        <is>
          <t>2024</t>
        </is>
      </c>
      <c r="Y63" s="11" t="inlineStr">
        <is>
          <t>meta_report/consistency_reclassification_2026-09-04/reclassified_candidates.json</t>
        </is>
      </c>
      <c r="Z63" s="11" t="inlineStr">
        <is>
          <t>P_P</t>
        </is>
      </c>
      <c r="AA63" s="11" t="inlineStr">
        <is>
          <t>plan_material</t>
        </is>
      </c>
      <c r="AB63" s="11" t="inlineStr">
        <is>
          <t>retain</t>
        </is>
      </c>
    </row>
    <row r="64" ht="90" customFormat="1" customHeight="1" s="8">
      <c r="A64" s="12" t="b">
        <v>0</v>
      </c>
      <c r="B64" s="12" t="n"/>
      <c r="C64" s="12" t="b">
        <v>1</v>
      </c>
      <c r="D64" s="12" t="inlineStr">
        <is>
          <t>Measure, label, or scale inconsistency</t>
        </is>
      </c>
      <c r="E64" s="12" t="b">
        <v>0</v>
      </c>
      <c r="F64" s="12" t="inlineStr">
        <is>
          <t>C012</t>
        </is>
      </c>
      <c r="G64" s="12" t="inlineStr">
        <is>
          <t>2024::jama.2024.4183::C012</t>
        </is>
      </c>
      <c r="H64" s="12" t="n"/>
      <c r="I64" s="12" t="inlineStr">
        <is>
          <t>Protocol p. 29; Protocol p. 33; Protocol p. 34.</t>
        </is>
      </c>
      <c r="J64" s="12" t="b">
        <v>0</v>
      </c>
      <c r="K64" s="12" t="inlineStr">
        <is>
          <t>jama.2024.4183</t>
        </is>
      </c>
      <c r="L64" s="12" t="n"/>
      <c r="M64" s="12" t="inlineStr">
        <is>
          <t>P_P</t>
        </is>
      </c>
      <c r="N64" s="12" t="inlineStr">
        <is>
          <t>ProtocolTable3 repeatsVARvsNPL for third effect0.195 even though its own contrast definitions and0.399-0.204 matchVARvsNPL+.</t>
        </is>
      </c>
      <c r="O64" s="12" t="inlineStr">
        <is>
          <t>../../2024/jama.2024.4183/.ai_paper_validation/final_report_1_5_3.html</t>
        </is>
      </c>
      <c r="P64" s="12" t="inlineStr">
        <is>
          <t>2024/jama.2024.4183/.ai_paper_validation/final_report_1_5_3.md</t>
        </is>
      </c>
      <c r="Q64" s="12" t="inlineStr">
        <is>
          <t>C012</t>
        </is>
      </c>
      <c r="R64" s="12" t="inlineStr">
        <is>
          <t>Pending Human Adjudication</t>
        </is>
      </c>
      <c r="S64" s="12" t="inlineStr">
        <is>
          <t>Protocol Table 3 duplicates an Aim-2 comparator label.</t>
        </is>
      </c>
      <c r="T64" s="12" t="b">
        <v>0</v>
      </c>
      <c r="U64" s="12" t="inlineStr">
        <is>
          <t>contrast_label</t>
        </is>
      </c>
      <c r="V64" s="12" t="inlineStr">
        <is>
          <t>plan_material</t>
        </is>
      </c>
      <c r="W64" s="12" t="inlineStr">
        <is>
          <t>Protocol Table 3 duplicates an Aim-2 comparator label</t>
        </is>
      </c>
      <c r="X64" s="12" t="inlineStr">
        <is>
          <t>2024</t>
        </is>
      </c>
      <c r="Y64" s="12" t="inlineStr">
        <is>
          <t>meta_report/consistency_reclassification_2026-09-04/reclassified_candidates.json</t>
        </is>
      </c>
      <c r="Z64" s="12" t="inlineStr">
        <is>
          <t>P_P</t>
        </is>
      </c>
      <c r="AA64" s="12" t="inlineStr">
        <is>
          <t>plan_material</t>
        </is>
      </c>
      <c r="AB64" s="12" t="inlineStr">
        <is>
          <t>retain</t>
        </is>
      </c>
    </row>
    <row r="65" ht="90" customFormat="1" customHeight="1" s="8">
      <c r="A65" s="11" t="b">
        <v>0</v>
      </c>
      <c r="B65" s="11" t="n"/>
      <c r="C65" s="11" t="b">
        <v>0</v>
      </c>
      <c r="D65" s="11" t="inlineStr">
        <is>
          <t>Measure, label, or scale inconsistency</t>
        </is>
      </c>
      <c r="E65" s="11" t="b">
        <v>0</v>
      </c>
      <c r="F65" s="11" t="inlineStr">
        <is>
          <t>C013</t>
        </is>
      </c>
      <c r="G65" s="11" t="inlineStr">
        <is>
          <t>2024::jama.2024.4183::C013</t>
        </is>
      </c>
      <c r="H65" s="11" t="n"/>
      <c r="I65" s="11" t="inlineStr">
        <is>
          <t>Supplement 2 p. 19, ETable 3.</t>
        </is>
      </c>
      <c r="J65" s="11" t="b">
        <v>0</v>
      </c>
      <c r="K65" s="11" t="inlineStr">
        <is>
          <t>jama.2024.4183</t>
        </is>
      </c>
      <c r="L65" s="11" t="n"/>
      <c r="M65" s="11" t="inlineStr">
        <is>
          <t>S_W</t>
        </is>
      </c>
      <c r="N65" s="11" t="inlineStr">
        <is>
          <t>Results eTable3 raceOther cell4.9(2) reverses its n(%) order, with2/41=4.9%.</t>
        </is>
      </c>
      <c r="O65" s="11" t="inlineStr">
        <is>
          <t>../../2024/jama.2024.4183/.ai_paper_validation/final_report_1_5_3.html</t>
        </is>
      </c>
      <c r="P65" s="11" t="inlineStr">
        <is>
          <t>2024/jama.2024.4183/.ai_paper_validation/final_report_1_5_3.md</t>
        </is>
      </c>
      <c r="Q65" s="11" t="inlineStr">
        <is>
          <t>C013</t>
        </is>
      </c>
      <c r="R65" s="11" t="inlineStr">
        <is>
          <t>Pending Human Adjudication</t>
        </is>
      </c>
      <c r="S65" s="11" t="inlineStr">
        <is>
          <t>ETable 3 reverses count and percentage in one n (%) cell.</t>
        </is>
      </c>
      <c r="T65" s="11" t="b">
        <v>1</v>
      </c>
      <c r="U65" s="11" t="inlineStr">
        <is>
          <t>count_percent_order</t>
        </is>
      </c>
      <c r="V65" s="11" t="inlineStr">
        <is>
          <t>report_internal_inconsistency</t>
        </is>
      </c>
      <c r="W65" s="11" t="inlineStr">
        <is>
          <t>ETable 3 reverses count and percentage in one n (%) cell</t>
        </is>
      </c>
      <c r="X65" s="11" t="inlineStr">
        <is>
          <t>2024</t>
        </is>
      </c>
      <c r="Y65" s="11" t="inlineStr">
        <is>
          <t>meta_report/consistency_reclassification_2026-09-04/reclassified_candidates.json</t>
        </is>
      </c>
      <c r="Z65" s="11" t="inlineStr">
        <is>
          <t>S_W</t>
        </is>
      </c>
      <c r="AA65" s="11" t="inlineStr">
        <is>
          <t>report_internal_inconsistency</t>
        </is>
      </c>
      <c r="AB65" s="11" t="inlineStr">
        <is>
          <t>retain</t>
        </is>
      </c>
    </row>
    <row r="66" ht="90" customFormat="1" customHeight="1" s="8">
      <c r="A66" s="12" t="b">
        <v>0</v>
      </c>
      <c r="B66" s="12" t="n"/>
      <c r="C66" s="12" t="b">
        <v>0</v>
      </c>
      <c r="D66" s="12" t="inlineStr">
        <is>
          <t>Statistical reporting inconsistency</t>
        </is>
      </c>
      <c r="E66" s="12" t="b">
        <v>0</v>
      </c>
      <c r="F66" s="12" t="inlineStr">
        <is>
          <t>C014</t>
        </is>
      </c>
      <c r="G66" s="12" t="inlineStr">
        <is>
          <t>2024::jama.2024.4183::C014</t>
        </is>
      </c>
      <c r="H66" s="12" t="n"/>
      <c r="I66" s="12" t="inlineStr">
        <is>
          <t>Supplement 2 p. 10; Supplement 2 p. 15.</t>
        </is>
      </c>
      <c r="J66" s="12" t="b">
        <v>0</v>
      </c>
      <c r="K66" s="12" t="inlineStr">
        <is>
          <t>jama.2024.4183</t>
        </is>
      </c>
      <c r="L66" s="12" t="n"/>
      <c r="M66" s="12" t="inlineStr">
        <is>
          <t>S_W</t>
        </is>
      </c>
      <c r="N66" s="12" t="inlineStr">
        <is>
          <t>Within results supplement,EOT+30CNRT-switch narrative1.0%(7.0%-1.3%) disagrees with eFigure2's5/51,10%(7%-13%), and has reversed/noncontaining bounds.</t>
        </is>
      </c>
      <c r="O66" s="12" t="inlineStr">
        <is>
          <t>../../2024/jama.2024.4183/.ai_paper_validation/final_report_1_5_3.html</t>
        </is>
      </c>
      <c r="P66" s="12" t="inlineStr">
        <is>
          <t>2024/jama.2024.4183/.ai_paper_validation/final_report_1_5_3.md</t>
        </is>
      </c>
      <c r="Q66" s="12" t="inlineStr">
        <is>
          <t>C014</t>
        </is>
      </c>
      <c r="R66" s="12" t="inlineStr">
        <is>
          <t>Pending Human Adjudication</t>
        </is>
      </c>
      <c r="S66" s="12" t="inlineStr">
        <is>
          <t>EOT+30 CNRT-switch cell estimate and CrI do not reconcile with matched figure as printed.</t>
        </is>
      </c>
      <c r="T66" s="12" t="b">
        <v>1</v>
      </c>
      <c r="U66" s="12" t="inlineStr">
        <is>
          <t>estimate_interval_repeat</t>
        </is>
      </c>
      <c r="V66" s="12" t="inlineStr">
        <is>
          <t>statistical_results</t>
        </is>
      </c>
      <c r="W66" s="12" t="inlineStr">
        <is>
          <t>EOT+30 CNRT-switch cell estimate and CrI do not reconcile with matched figure as printed</t>
        </is>
      </c>
      <c r="X66" s="12" t="inlineStr">
        <is>
          <t>2024</t>
        </is>
      </c>
      <c r="Y66" s="12" t="inlineStr">
        <is>
          <t>meta_report/consistency_reclassification_2026-09-04/reclassified_candidates.json</t>
        </is>
      </c>
      <c r="Z66" s="12" t="inlineStr">
        <is>
          <t>S_W</t>
        </is>
      </c>
      <c r="AA66" s="12" t="inlineStr">
        <is>
          <t>statistical_results</t>
        </is>
      </c>
      <c r="AB66" s="12" t="inlineStr">
        <is>
          <t>retain</t>
        </is>
      </c>
    </row>
    <row r="67" ht="90" customFormat="1" customHeight="1" s="8">
      <c r="A67" s="11" t="b">
        <v>0</v>
      </c>
      <c r="B67" s="11" t="n"/>
      <c r="C67" s="11" t="b">
        <v>0</v>
      </c>
      <c r="D67" s="11" t="inlineStr">
        <is>
          <t>Statistical reporting inconsistency</t>
        </is>
      </c>
      <c r="E67" s="11" t="b">
        <v>0</v>
      </c>
      <c r="F67" s="11" t="inlineStr">
        <is>
          <t>C015</t>
        </is>
      </c>
      <c r="G67" s="11" t="inlineStr">
        <is>
          <t>2024::jama.2024.4183::C015</t>
        </is>
      </c>
      <c r="H67" s="11" t="n"/>
      <c r="I67" s="11" t="inlineStr">
        <is>
          <t>Supplement 2 p. 10; Supplement 2 p. 15.</t>
        </is>
      </c>
      <c r="J67" s="11" t="b">
        <v>0</v>
      </c>
      <c r="K67" s="11" t="inlineStr">
        <is>
          <t>jama.2024.4183</t>
        </is>
      </c>
      <c r="L67" s="11" t="n"/>
      <c r="M67" s="11" t="inlineStr">
        <is>
          <t>S_W</t>
        </is>
      </c>
      <c r="N67" s="11" t="inlineStr">
        <is>
          <t>Within results supplement,EOT+30increasedCNRT narrative8%(5%-1.1%) disagrees with eFigure2's8%(5%-11%).</t>
        </is>
      </c>
      <c r="O67" s="11" t="inlineStr">
        <is>
          <t>../../2024/jama.2024.4183/.ai_paper_validation/final_report_1_5_3.html</t>
        </is>
      </c>
      <c r="P67" s="11" t="inlineStr">
        <is>
          <t>2024/jama.2024.4183/.ai_paper_validation/final_report_1_5_3.md</t>
        </is>
      </c>
      <c r="Q67" s="11" t="inlineStr">
        <is>
          <t>C015</t>
        </is>
      </c>
      <c r="R67" s="11" t="inlineStr">
        <is>
          <t>Pending Human Adjudication</t>
        </is>
      </c>
      <c r="S67" s="11" t="inlineStr">
        <is>
          <t>EOT+30 increased-CNRT cell CrI upper endpoint does not reconcile with matched figure as printed.</t>
        </is>
      </c>
      <c r="T67" s="11" t="b">
        <v>1</v>
      </c>
      <c r="U67" s="11" t="inlineStr">
        <is>
          <t>credible_interval_repeat</t>
        </is>
      </c>
      <c r="V67" s="11" t="inlineStr">
        <is>
          <t>statistical_results</t>
        </is>
      </c>
      <c r="W67" s="11" t="inlineStr">
        <is>
          <t>EOT+30 increased-CNRT cell CrI upper endpoint does not reconcile with matched figure as printed</t>
        </is>
      </c>
      <c r="X67" s="11" t="inlineStr">
        <is>
          <t>2024</t>
        </is>
      </c>
      <c r="Y67" s="11" t="inlineStr">
        <is>
          <t>meta_report/consistency_reclassification_2026-09-04/reclassified_candidates.json</t>
        </is>
      </c>
      <c r="Z67" s="11" t="inlineStr">
        <is>
          <t>S_W</t>
        </is>
      </c>
      <c r="AA67" s="11" t="inlineStr">
        <is>
          <t>statistical_results</t>
        </is>
      </c>
      <c r="AB67" s="11" t="inlineStr">
        <is>
          <t>retain</t>
        </is>
      </c>
    </row>
    <row r="68" ht="90" customFormat="1" customHeight="1" s="8">
      <c r="A68" s="12" t="b">
        <v>0</v>
      </c>
      <c r="B68" s="12" t="inlineStr">
        <is>
          <t>Different estimand from C014's arm-specific response cell, so not a duplicate.</t>
        </is>
      </c>
      <c r="C68" s="12" t="b">
        <v>0</v>
      </c>
      <c r="D68" s="12" t="inlineStr">
        <is>
          <t>Statistical reporting inconsistency</t>
        </is>
      </c>
      <c r="E68" s="12" t="b">
        <v>0</v>
      </c>
      <c r="F68" s="12" t="inlineStr">
        <is>
          <t>C016</t>
        </is>
      </c>
      <c r="G68" s="12" t="inlineStr">
        <is>
          <t>2024::jama.2024.4183::C016</t>
        </is>
      </c>
      <c r="H68" s="12" t="n"/>
      <c r="I68" s="12" t="inlineStr">
        <is>
          <t>Supplement 2 p. 10; Supplement 2 p. 33.</t>
        </is>
      </c>
      <c r="J68" s="12" t="b">
        <v>0</v>
      </c>
      <c r="K68" s="12" t="inlineStr">
        <is>
          <t>jama.2024.4183</t>
        </is>
      </c>
      <c r="L68" s="12" t="n"/>
      <c r="M68" s="12" t="inlineStr">
        <is>
          <t>S_W</t>
        </is>
      </c>
      <c r="N68" s="12" t="inlineStr">
        <is>
          <t>Within results supplement,CNRT-switchARD6%(3%-1.0%) narrative disagrees with eTable9's6%(3%-10%).</t>
        </is>
      </c>
      <c r="O68" s="12" t="inlineStr">
        <is>
          <t>../../2024/jama.2024.4183/.ai_paper_validation/final_report_1_5_3.html</t>
        </is>
      </c>
      <c r="P68" s="12" t="inlineStr">
        <is>
          <t>2024/jama.2024.4183/.ai_paper_validation/final_report_1_5_3.md</t>
        </is>
      </c>
      <c r="Q68" s="12" t="inlineStr">
        <is>
          <t>C016</t>
        </is>
      </c>
      <c r="R68" s="12" t="inlineStr">
        <is>
          <t>Pending Human Adjudication</t>
        </is>
      </c>
      <c r="S68" s="12" t="inlineStr">
        <is>
          <t>EOT+30 CNRT-switch ARD CrI upper endpoint does not reconcile with matched table as printed.</t>
        </is>
      </c>
      <c r="T68" s="12" t="b">
        <v>1</v>
      </c>
      <c r="U68" s="12" t="inlineStr">
        <is>
          <t>credible_interval_repeat</t>
        </is>
      </c>
      <c r="V68" s="12" t="inlineStr">
        <is>
          <t>statistical_results</t>
        </is>
      </c>
      <c r="W68" s="12" t="inlineStr">
        <is>
          <t>EOT+30 CNRT-switch ARD CrI upper endpoint does not reconcile with matched table as printed</t>
        </is>
      </c>
      <c r="X68" s="12" t="inlineStr">
        <is>
          <t>2024</t>
        </is>
      </c>
      <c r="Y68" s="12" t="inlineStr">
        <is>
          <t>meta_report/consistency_reclassification_2026-09-04/reclassified_candidates.json</t>
        </is>
      </c>
      <c r="Z68" s="12" t="inlineStr">
        <is>
          <t>S_W</t>
        </is>
      </c>
      <c r="AA68" s="12" t="inlineStr">
        <is>
          <t>statistical_results</t>
        </is>
      </c>
      <c r="AB68" s="12" t="inlineStr">
        <is>
          <t>retain</t>
        </is>
      </c>
    </row>
    <row r="69" ht="90" customFormat="1" customHeight="1" s="8">
      <c r="A69" s="11" t="b">
        <v>0</v>
      </c>
      <c r="B69" s="11" t="inlineStr">
        <is>
          <t>Multiple repeated affected outputs intentionally preserved as one source candidate; distinct arm from C015.</t>
        </is>
      </c>
      <c r="C69" s="11" t="b">
        <v>0</v>
      </c>
      <c r="D69" s="11" t="inlineStr">
        <is>
          <t>Statistical reporting inconsistency</t>
        </is>
      </c>
      <c r="E69" s="11" t="b">
        <v>0</v>
      </c>
      <c r="F69" s="11" t="inlineStr">
        <is>
          <t>C017</t>
        </is>
      </c>
      <c r="G69" s="11" t="inlineStr">
        <is>
          <t>2024::jama.2024.4183::C017</t>
        </is>
      </c>
      <c r="H69" s="11" t="n"/>
      <c r="I69" s="11" t="inlineStr">
        <is>
          <t>Supplement 2 p. 10; Supplement 2 p. 11; Supplement 2 p. 15; Supplement 2 p. 33; Supplement 2 p. 34.</t>
        </is>
      </c>
      <c r="J69" s="11" t="b">
        <v>0</v>
      </c>
      <c r="K69" s="11" t="inlineStr">
        <is>
          <t>jama.2024.4183</t>
        </is>
      </c>
      <c r="L69" s="11" t="n"/>
      <c r="M69" s="11" t="inlineStr">
        <is>
          <t>S_W</t>
        </is>
      </c>
      <c r="N69" s="11" t="inlineStr">
        <is>
          <t>Within results supplement,increased-varenicline narrative repeats8%(5%-1.1%) for its cell and twoARDs, while matched eFigure/eTables give8%(5%-11%).</t>
        </is>
      </c>
      <c r="O69" s="11" t="inlineStr">
        <is>
          <t>../../2024/jama.2024.4183/.ai_paper_validation/final_report_1_5_3.html</t>
        </is>
      </c>
      <c r="P69" s="11" t="inlineStr">
        <is>
          <t>2024/jama.2024.4183/.ai_paper_validation/final_report_1_5_3.md</t>
        </is>
      </c>
      <c r="Q69" s="11" t="inlineStr">
        <is>
          <t>C017</t>
        </is>
      </c>
      <c r="R69" s="11" t="inlineStr">
        <is>
          <t>Pending Human Adjudication</t>
        </is>
      </c>
      <c r="S69" s="11" t="inlineStr">
        <is>
          <t>EOT+30 increased-varenicline narrative has repeated intervals that do not reconcile as printed.</t>
        </is>
      </c>
      <c r="T69" s="11" t="b">
        <v>1</v>
      </c>
      <c r="U69" s="11" t="inlineStr">
        <is>
          <t>credible_interval_repeat</t>
        </is>
      </c>
      <c r="V69" s="11" t="inlineStr">
        <is>
          <t>statistical_results</t>
        </is>
      </c>
      <c r="W69" s="11" t="inlineStr">
        <is>
          <t>EOT+30 increased-varenicline narrative has repeated intervals that do not reconcile as printed</t>
        </is>
      </c>
      <c r="X69" s="11" t="inlineStr">
        <is>
          <t>2024</t>
        </is>
      </c>
      <c r="Y69" s="11" t="inlineStr">
        <is>
          <t>meta_report/consistency_reclassification_2026-09-04/reclassified_candidates.json</t>
        </is>
      </c>
      <c r="Z69" s="11" t="inlineStr">
        <is>
          <t>S_W</t>
        </is>
      </c>
      <c r="AA69" s="11" t="inlineStr">
        <is>
          <t>statistical_results</t>
        </is>
      </c>
      <c r="AB69" s="11" t="inlineStr">
        <is>
          <t>retain</t>
        </is>
      </c>
    </row>
    <row r="70" ht="90" customFormat="1" customHeight="1" s="8">
      <c r="A70" s="12" t="b">
        <v>0</v>
      </c>
      <c r="B70" s="12" t="n"/>
      <c r="C70" s="12" t="b">
        <v>0</v>
      </c>
      <c r="D70" s="12" t="inlineStr">
        <is>
          <t>Statistical reporting inconsistency</t>
        </is>
      </c>
      <c r="E70" s="12" t="b">
        <v>0</v>
      </c>
      <c r="F70" s="12" t="inlineStr">
        <is>
          <t>C018</t>
        </is>
      </c>
      <c r="G70" s="12" t="inlineStr">
        <is>
          <t>2024::jama.2024.4183::C018</t>
        </is>
      </c>
      <c r="H70" s="12" t="n"/>
      <c r="I70" s="12" t="inlineStr">
        <is>
          <t>Supplement 2 p. 11; Supplement 2 p. 15; Supplement 2 p. 35.</t>
        </is>
      </c>
      <c r="J70" s="12" t="b">
        <v>0</v>
      </c>
      <c r="K70" s="12" t="inlineStr">
        <is>
          <t>jama.2024.4183</t>
        </is>
      </c>
      <c r="L70" s="12" t="n"/>
      <c r="M70" s="12" t="inlineStr">
        <is>
          <t>S_W</t>
        </is>
      </c>
      <c r="N70" s="12" t="inlineStr">
        <is>
          <t>Within results supplement,abstainerARD1.1% narrative differs from11% in eTable11 and its67%-56% displayed cell difference.</t>
        </is>
      </c>
      <c r="O70" s="12" t="inlineStr">
        <is>
          <t>../../2024/jama.2024.4183/.ai_paper_validation/final_report_1_5_3.html</t>
        </is>
      </c>
      <c r="P70" s="12" t="inlineStr">
        <is>
          <t>2024/jama.2024.4183/.ai_paper_validation/final_report_1_5_3.md</t>
        </is>
      </c>
      <c r="Q70" s="12" t="inlineStr">
        <is>
          <t>C018</t>
        </is>
      </c>
      <c r="R70" s="12" t="inlineStr">
        <is>
          <t>Pending Human Adjudication</t>
        </is>
      </c>
      <c r="S70" s="12" t="inlineStr">
        <is>
          <t>EOT+30 abstainer ARD is 1.1% in narrative but 11% in eTable.</t>
        </is>
      </c>
      <c r="T70" s="12" t="b">
        <v>1</v>
      </c>
      <c r="U70" s="12" t="inlineStr">
        <is>
          <t>estimate_repeat</t>
        </is>
      </c>
      <c r="V70" s="12" t="inlineStr">
        <is>
          <t>statistical_results</t>
        </is>
      </c>
      <c r="W70" s="12" t="inlineStr">
        <is>
          <t>EOT+30 abstainer ARD is 1.1% in narrative but 11% in eTable</t>
        </is>
      </c>
      <c r="X70" s="12" t="inlineStr">
        <is>
          <t>2024</t>
        </is>
      </c>
      <c r="Y70" s="12" t="inlineStr">
        <is>
          <t>meta_report/consistency_reclassification_2026-09-04/reclassified_candidates.json</t>
        </is>
      </c>
      <c r="Z70" s="12" t="inlineStr">
        <is>
          <t>S_W</t>
        </is>
      </c>
      <c r="AA70" s="12" t="inlineStr">
        <is>
          <t>statistical_results</t>
        </is>
      </c>
      <c r="AB70" s="12" t="inlineStr">
        <is>
          <t>retain</t>
        </is>
      </c>
    </row>
    <row r="71" ht="90" customFormat="1" customHeight="1" s="8">
      <c r="A71" s="11" t="b">
        <v>0</v>
      </c>
      <c r="B71" s="11" t="n"/>
      <c r="C71" s="11" t="b">
        <v>0</v>
      </c>
      <c r="D71" s="11" t="inlineStr">
        <is>
          <t>Measure, label, or scale inconsistency</t>
        </is>
      </c>
      <c r="E71" s="11" t="b">
        <v>0</v>
      </c>
      <c r="F71" s="11" t="inlineStr">
        <is>
          <t>C019</t>
        </is>
      </c>
      <c r="G71" s="11" t="inlineStr">
        <is>
          <t>2024::jama.2024.4183::C019</t>
        </is>
      </c>
      <c r="H71" s="11" t="n"/>
      <c r="I71" s="11" t="inlineStr">
        <is>
          <t>Supplement 2 p. 11; Supplement 2 p. 31; Supplement 2 p. 33.</t>
        </is>
      </c>
      <c r="J71" s="11" t="b">
        <v>0</v>
      </c>
      <c r="K71" s="11" t="inlineStr">
        <is>
          <t>jama.2024.4183</t>
        </is>
      </c>
      <c r="L71" s="11" t="n"/>
      <c r="M71" s="11" t="inlineStr">
        <is>
          <t>S_W</t>
        </is>
      </c>
      <c r="N71" s="11" t="inlineStr">
        <is>
          <t>Results-supplement sixmonthCNRT-switch narrative cites compliance eTable7 rather than matched outcome eTable9 in the same PDF.</t>
        </is>
      </c>
      <c r="O71" s="11" t="inlineStr">
        <is>
          <t>../../2024/jama.2024.4183/.ai_paper_validation/final_report_1_5_3.html</t>
        </is>
      </c>
      <c r="P71" s="11" t="inlineStr">
        <is>
          <t>2024/jama.2024.4183/.ai_paper_validation/final_report_1_5_3.md</t>
        </is>
      </c>
      <c r="Q71" s="11" t="inlineStr">
        <is>
          <t>C019</t>
        </is>
      </c>
      <c r="R71" s="11" t="inlineStr">
        <is>
          <t>Pending Human Adjudication</t>
        </is>
      </c>
      <c r="S71" s="11" t="inlineStr">
        <is>
          <t>The six-month CNRT-switch cross-reference does not directly identify the matched outcome table.</t>
        </is>
      </c>
      <c r="T71" s="11" t="b">
        <v>1</v>
      </c>
      <c r="U71" s="11" t="inlineStr">
        <is>
          <t>cross_reference</t>
        </is>
      </c>
      <c r="V71" s="11" t="inlineStr">
        <is>
          <t>report_internal_inconsistency</t>
        </is>
      </c>
      <c r="W71" s="11" t="inlineStr">
        <is>
          <t>Six-month CNRT-switch cross-reference does not directly identify the matched table</t>
        </is>
      </c>
      <c r="X71" s="11" t="inlineStr">
        <is>
          <t>2024</t>
        </is>
      </c>
      <c r="Y71" s="11" t="inlineStr">
        <is>
          <t>meta_report/consistency_reclassification_2026-09-04/reclassified_candidates.json</t>
        </is>
      </c>
      <c r="Z71" s="11" t="inlineStr">
        <is>
          <t>S_W</t>
        </is>
      </c>
      <c r="AA71" s="11" t="inlineStr">
        <is>
          <t>report_internal_inconsistency</t>
        </is>
      </c>
      <c r="AB71" s="11" t="inlineStr">
        <is>
          <t>retain</t>
        </is>
      </c>
    </row>
    <row r="72" ht="90" customFormat="1" customHeight="1" s="8">
      <c r="A72" s="12" t="b">
        <v>0</v>
      </c>
      <c r="B72" s="12" t="inlineStr">
        <is>
          <t>Several result fields bundled in one retained candidate; no cross-file source or plan relationship.</t>
        </is>
      </c>
      <c r="C72" s="12" t="b">
        <v>0</v>
      </c>
      <c r="D72" s="12" t="inlineStr">
        <is>
          <t>Statistical reporting inconsistency</t>
        </is>
      </c>
      <c r="E72" s="12" t="b">
        <v>0</v>
      </c>
      <c r="F72" s="12" t="inlineStr">
        <is>
          <t>C020</t>
        </is>
      </c>
      <c r="G72" s="12" t="inlineStr">
        <is>
          <t>2024::jama.2024.4183::C020</t>
        </is>
      </c>
      <c r="H72" s="12" t="n"/>
      <c r="I72" s="12" t="inlineStr">
        <is>
          <t>Supplement 2 p. 12; Supplement 2 p. 16; Supplement 2 p. 35.</t>
        </is>
      </c>
      <c r="J72" s="12" t="b">
        <v>0</v>
      </c>
      <c r="K72" s="12" t="inlineStr">
        <is>
          <t>jama.2024.4183</t>
        </is>
      </c>
      <c r="L72" s="12" t="n"/>
      <c r="M72" s="12" t="inlineStr">
        <is>
          <t>S_W</t>
        </is>
      </c>
      <c r="N72" s="12" t="inlineStr">
        <is>
          <t>Within results supplement,sixmonthabstainer narrative+1%(-1.3%,-1.1%),probability55%,direction text conflict with eTable11+1%(-11%,12%),56% and paired figure values.</t>
        </is>
      </c>
      <c r="O72" s="12" t="inlineStr">
        <is>
          <t>../../2024/jama.2024.4183/.ai_paper_validation/final_report_1_5_3.html</t>
        </is>
      </c>
      <c r="P72" s="12" t="inlineStr">
        <is>
          <t>2024/jama.2024.4183/.ai_paper_validation/final_report_1_5_3.md</t>
        </is>
      </c>
      <c r="Q72" s="12" t="inlineStr">
        <is>
          <t>C020</t>
        </is>
      </c>
      <c r="R72" s="12" t="inlineStr">
        <is>
          <t>Pending Human Adjudication</t>
        </is>
      </c>
      <c r="S72" s="12" t="inlineStr">
        <is>
          <t>Six-month abstainer narrative interval and direction do not reconcile with matched sources.</t>
        </is>
      </c>
      <c r="T72" s="12" t="b">
        <v>1</v>
      </c>
      <c r="U72" s="12" t="inlineStr">
        <is>
          <t>interval_direction_repeat</t>
        </is>
      </c>
      <c r="V72" s="12" t="inlineStr">
        <is>
          <t>statistical_results</t>
        </is>
      </c>
      <c r="W72" s="12" t="inlineStr">
        <is>
          <t>Six-month abstainer narrative interval and direction do not reconcile with matched sources</t>
        </is>
      </c>
      <c r="X72" s="12" t="inlineStr">
        <is>
          <t>2024</t>
        </is>
      </c>
      <c r="Y72" s="12" t="inlineStr">
        <is>
          <t>meta_report/consistency_reclassification_2026-09-04/reclassified_candidates.json</t>
        </is>
      </c>
      <c r="Z72" s="12" t="inlineStr">
        <is>
          <t>S_W</t>
        </is>
      </c>
      <c r="AA72" s="12" t="inlineStr">
        <is>
          <t>statistical_results</t>
        </is>
      </c>
      <c r="AB72" s="12" t="inlineStr">
        <is>
          <t>retain</t>
        </is>
      </c>
    </row>
    <row r="73" ht="90" customFormat="1" customHeight="1" s="8">
      <c r="A73" s="11" t="b">
        <v>0</v>
      </c>
      <c r="B73" s="11" t="n"/>
      <c r="C73" s="11" t="b">
        <v>0</v>
      </c>
      <c r="D73" s="11" t="inlineStr">
        <is>
          <t>Measure, label, or scale inconsistency</t>
        </is>
      </c>
      <c r="E73" s="11" t="b">
        <v>0</v>
      </c>
      <c r="F73" s="11" t="inlineStr">
        <is>
          <t>C021</t>
        </is>
      </c>
      <c r="G73" s="11" t="inlineStr">
        <is>
          <t>2024::jama.2024.4183::C021</t>
        </is>
      </c>
      <c r="H73" s="11" t="n"/>
      <c r="I73" s="11" t="inlineStr">
        <is>
          <t>Supplement 2 p. 10; Supplement 2 p. 34; Supplement 2 p. 35.</t>
        </is>
      </c>
      <c r="J73" s="11" t="b">
        <v>0</v>
      </c>
      <c r="K73" s="11" t="inlineStr">
        <is>
          <t>jama.2024.4183</t>
        </is>
      </c>
      <c r="L73" s="11" t="n"/>
      <c r="M73" s="11" t="inlineStr">
        <is>
          <t>S_W</t>
        </is>
      </c>
      <c r="N73" s="11" t="inlineStr">
        <is>
          <t>Results-supplement phase1-abstainer summary cites nonabstainer eTable10 rather than its matched eTable11 in the same PDF.</t>
        </is>
      </c>
      <c r="O73" s="11" t="inlineStr">
        <is>
          <t>../../2024/jama.2024.4183/.ai_paper_validation/final_report_1_5_3.html</t>
        </is>
      </c>
      <c r="P73" s="11" t="inlineStr">
        <is>
          <t>2024/jama.2024.4183/.ai_paper_validation/final_report_1_5_3.md</t>
        </is>
      </c>
      <c r="Q73" s="11" t="inlineStr">
        <is>
          <t>C021</t>
        </is>
      </c>
      <c r="R73" s="11" t="inlineStr">
        <is>
          <t>Pending Human Adjudication</t>
        </is>
      </c>
      <c r="S73" s="11" t="inlineStr">
        <is>
          <t>The phase-1-abstainer summary cross-reference does not directly identify the matched table.</t>
        </is>
      </c>
      <c r="T73" s="11" t="b">
        <v>1</v>
      </c>
      <c r="U73" s="11" t="inlineStr">
        <is>
          <t>cross_reference</t>
        </is>
      </c>
      <c r="V73" s="11" t="inlineStr">
        <is>
          <t>report_internal_inconsistency</t>
        </is>
      </c>
      <c r="W73" s="11" t="inlineStr">
        <is>
          <t>Phase-1-abstainer summary cross-reference does not directly identify the matched table</t>
        </is>
      </c>
      <c r="X73" s="11" t="inlineStr">
        <is>
          <t>2024</t>
        </is>
      </c>
      <c r="Y73" s="11" t="inlineStr">
        <is>
          <t>meta_report/consistency_reclassification_2026-09-04/reclassified_candidates.json</t>
        </is>
      </c>
      <c r="Z73" s="11" t="inlineStr">
        <is>
          <t>S_W</t>
        </is>
      </c>
      <c r="AA73" s="11" t="inlineStr">
        <is>
          <t>report_internal_inconsistency</t>
        </is>
      </c>
      <c r="AB73" s="11" t="inlineStr">
        <is>
          <t>retain</t>
        </is>
      </c>
    </row>
    <row r="74" ht="90" customFormat="1" customHeight="1" s="8">
      <c r="A74" s="12" t="b">
        <v>0</v>
      </c>
      <c r="B74" s="12" t="n"/>
      <c r="C74" s="12" t="b">
        <v>0</v>
      </c>
      <c r="D74" s="12" t="inlineStr">
        <is>
          <t>Measure, label, or scale inconsistency</t>
        </is>
      </c>
      <c r="E74" s="12" t="b">
        <v>0</v>
      </c>
      <c r="F74" s="12" t="inlineStr">
        <is>
          <t>C022</t>
        </is>
      </c>
      <c r="G74" s="12" t="inlineStr">
        <is>
          <t>2024::jama.2024.4183::C022</t>
        </is>
      </c>
      <c r="H74" s="12" t="n"/>
      <c r="I74" s="12" t="inlineStr">
        <is>
          <t>Supplement 2 p. 12; Supplement 2 p. 33; Supplement 2 p. 34.</t>
        </is>
      </c>
      <c r="J74" s="12" t="b">
        <v>0</v>
      </c>
      <c r="K74" s="12" t="inlineStr">
        <is>
          <t>jama.2024.4183</t>
        </is>
      </c>
      <c r="L74" s="12" t="n"/>
      <c r="M74" s="12" t="inlineStr">
        <is>
          <t>S_W</t>
        </is>
      </c>
      <c r="N74" s="12" t="inlineStr">
        <is>
          <t>Results-supplement VARplus-versus-switch clause cites continuation-reference eTable9 rather than direct-switch-reference eTable10 in the same PDF.</t>
        </is>
      </c>
      <c r="O74" s="12" t="inlineStr">
        <is>
          <t>../../2024/jama.2024.4183/.ai_paper_validation/final_report_1_5_3.html</t>
        </is>
      </c>
      <c r="P74" s="12" t="inlineStr">
        <is>
          <t>2024/jama.2024.4183/.ai_paper_validation/final_report_1_5_3.md</t>
        </is>
      </c>
      <c r="Q74" s="12" t="inlineStr">
        <is>
          <t>C022</t>
        </is>
      </c>
      <c r="R74" s="12" t="inlineStr">
        <is>
          <t>Pending Human Adjudication</t>
        </is>
      </c>
      <c r="S74" s="12" t="inlineStr">
        <is>
          <t>The VAR-plus-versus-switch cross-reference does not directly identify the matched direct-contrast table.</t>
        </is>
      </c>
      <c r="T74" s="12" t="b">
        <v>1</v>
      </c>
      <c r="U74" s="12" t="inlineStr">
        <is>
          <t>cross_reference</t>
        </is>
      </c>
      <c r="V74" s="12" t="inlineStr">
        <is>
          <t>report_internal_inconsistency</t>
        </is>
      </c>
      <c r="W74" s="12" t="inlineStr">
        <is>
          <t>Six-month VAR-plus-versus-switch cross-reference does not directly identify the matched table</t>
        </is>
      </c>
      <c r="X74" s="12" t="inlineStr">
        <is>
          <t>2024</t>
        </is>
      </c>
      <c r="Y74" s="12" t="inlineStr">
        <is>
          <t>meta_report/consistency_reclassification_2026-09-04/reclassified_candidates.json</t>
        </is>
      </c>
      <c r="Z74" s="12" t="inlineStr">
        <is>
          <t>S_W</t>
        </is>
      </c>
      <c r="AA74" s="12" t="inlineStr">
        <is>
          <t>report_internal_inconsistency</t>
        </is>
      </c>
      <c r="AB74" s="12" t="inlineStr">
        <is>
          <t>retain</t>
        </is>
      </c>
    </row>
    <row r="75" ht="90" customFormat="1" customHeight="1" s="8">
      <c r="A75" s="11" t="b">
        <v>0</v>
      </c>
      <c r="B75" s="11" t="inlineStr">
        <is>
          <t>Separate employment row block from C013's race cell.</t>
        </is>
      </c>
      <c r="C75" s="11" t="b">
        <v>0</v>
      </c>
      <c r="D75" s="11" t="inlineStr">
        <is>
          <t>Measure, label, or scale inconsistency</t>
        </is>
      </c>
      <c r="E75" s="11" t="b">
        <v>0</v>
      </c>
      <c r="F75" s="11" t="inlineStr">
        <is>
          <t>C023</t>
        </is>
      </c>
      <c r="G75" s="11" t="inlineStr">
        <is>
          <t>2024::jama.2024.4183::C023</t>
        </is>
      </c>
      <c r="H75" s="11" t="n"/>
      <c r="I75" s="11" t="inlineStr">
        <is>
          <t>Supplement 2 p. 19, ETable 3.</t>
        </is>
      </c>
      <c r="J75" s="11" t="b">
        <v>0</v>
      </c>
      <c r="K75" s="11" t="inlineStr">
        <is>
          <t>jama.2024.4183</t>
        </is>
      </c>
      <c r="L75" s="11" t="n"/>
      <c r="M75" s="11" t="inlineStr">
        <is>
          <t>S_W</t>
        </is>
      </c>
      <c r="N75" s="11" t="inlineStr">
        <is>
          <t>Results eTable3 employment heading n(%) disagrees with all16 cells displaying percentage(count).</t>
        </is>
      </c>
      <c r="O75" s="11" t="inlineStr">
        <is>
          <t>../../2024/jama.2024.4183/.ai_paper_validation/final_report_1_5_3.html</t>
        </is>
      </c>
      <c r="P75" s="11" t="inlineStr">
        <is>
          <t>2024/jama.2024.4183/.ai_paper_validation/final_report_1_5_3.md</t>
        </is>
      </c>
      <c r="Q75" s="11" t="inlineStr">
        <is>
          <t>C023</t>
        </is>
      </c>
      <c r="R75" s="11" t="inlineStr">
        <is>
          <t>Pending Human Adjudication</t>
        </is>
      </c>
      <c r="S75" s="11" t="inlineStr">
        <is>
          <t>ETable 3 employment value order differs from the declared n (%) heading.</t>
        </is>
      </c>
      <c r="T75" s="11" t="b">
        <v>1</v>
      </c>
      <c r="U75" s="11" t="inlineStr">
        <is>
          <t>count_percent_order</t>
        </is>
      </c>
      <c r="V75" s="11" t="inlineStr">
        <is>
          <t>report_internal_inconsistency</t>
        </is>
      </c>
      <c r="W75" s="11" t="inlineStr">
        <is>
          <t>ETable 3 employment value order differs from declared n (%)</t>
        </is>
      </c>
      <c r="X75" s="11" t="inlineStr">
        <is>
          <t>2024</t>
        </is>
      </c>
      <c r="Y75" s="11" t="inlineStr">
        <is>
          <t>meta_report/consistency_reclassification_2026-09-04/reclassified_candidates.json</t>
        </is>
      </c>
      <c r="Z75" s="11" t="inlineStr">
        <is>
          <t>S_W</t>
        </is>
      </c>
      <c r="AA75" s="11" t="inlineStr">
        <is>
          <t>report_internal_inconsistency</t>
        </is>
      </c>
      <c r="AB75" s="11" t="inlineStr">
        <is>
          <t>retain</t>
        </is>
      </c>
    </row>
    <row r="76" ht="90" customFormat="1" customHeight="1" s="8">
      <c r="A76" s="12" t="b">
        <v>0</v>
      </c>
      <c r="B76" s="12" t="inlineStr">
        <is>
          <t>Distinct from C023: reordering values does not supply the missing participant per column.</t>
        </is>
      </c>
      <c r="C76" s="12" t="b">
        <v>0</v>
      </c>
      <c r="D76" s="12" t="inlineStr">
        <is>
          <t>Denominator, proportion, or total inconsistency</t>
        </is>
      </c>
      <c r="E76" s="12" t="b">
        <v>0</v>
      </c>
      <c r="F76" s="12" t="inlineStr">
        <is>
          <t>C024</t>
        </is>
      </c>
      <c r="G76" s="12" t="inlineStr">
        <is>
          <t>2024::jama.2024.4183::C024</t>
        </is>
      </c>
      <c r="H76" s="12" t="n"/>
      <c r="I76" s="12" t="inlineStr">
        <is>
          <t>Supplement 2 p. 19, ETable 3.</t>
        </is>
      </c>
      <c r="J76" s="12" t="b">
        <v>0</v>
      </c>
      <c r="K76" s="12" t="inlineStr">
        <is>
          <t>jama.2024.4183</t>
        </is>
      </c>
      <c r="L76" s="12" t="n"/>
      <c r="M76" s="12" t="inlineStr">
        <is>
          <t>S_W</t>
        </is>
      </c>
      <c r="N76" s="12" t="inlineStr">
        <is>
          <t>Results eTable3 employed/unemployed counts sum49/50 and38/39 with no missingness category.</t>
        </is>
      </c>
      <c r="O76" s="12" t="inlineStr">
        <is>
          <t>../../2024/jama.2024.4183/.ai_paper_validation/final_report_1_5_3.html</t>
        </is>
      </c>
      <c r="P76" s="12" t="inlineStr">
        <is>
          <t>2024/jama.2024.4183/.ai_paper_validation/final_report_1_5_3.md</t>
        </is>
      </c>
      <c r="Q76" s="12" t="inlineStr">
        <is>
          <t>C024</t>
        </is>
      </c>
      <c r="R76" s="12" t="inlineStr">
        <is>
          <t>Pending Human Adjudication</t>
        </is>
      </c>
      <c r="S76" s="12" t="inlineStr">
        <is>
          <t>ETable 3 employment totals do not close to two printed column Ns.</t>
        </is>
      </c>
      <c r="T76" s="12" t="b">
        <v>1</v>
      </c>
      <c r="U76" s="12" t="inlineStr">
        <is>
          <t>category_total</t>
        </is>
      </c>
      <c r="V76" s="12" t="inlineStr">
        <is>
          <t>statistical_results</t>
        </is>
      </c>
      <c r="W76" s="12" t="inlineStr">
        <is>
          <t>ETable 3 employment totals do not close to two printed column Ns</t>
        </is>
      </c>
      <c r="X76" s="12" t="inlineStr">
        <is>
          <t>2024</t>
        </is>
      </c>
      <c r="Y76" s="12" t="inlineStr">
        <is>
          <t>meta_report/consistency_reclassification_2026-09-04/reclassified_candidates.json</t>
        </is>
      </c>
      <c r="Z76" s="12" t="inlineStr">
        <is>
          <t>S_W</t>
        </is>
      </c>
      <c r="AA76" s="12" t="inlineStr">
        <is>
          <t>statistical_results</t>
        </is>
      </c>
      <c r="AB76" s="12" t="inlineStr">
        <is>
          <t>retain</t>
        </is>
      </c>
    </row>
    <row r="77" ht="90" customFormat="1" customHeight="1" s="8">
      <c r="A77" s="11" t="b">
        <v>0</v>
      </c>
      <c r="B77" s="11" t="inlineStr">
        <is>
          <t>Disposition-category identity is conditional.</t>
        </is>
      </c>
      <c r="C77" s="11" t="b">
        <v>0</v>
      </c>
      <c r="D77" s="11" t="inlineStr">
        <is>
          <t>Denominator, proportion, or total inconsistency</t>
        </is>
      </c>
      <c r="E77" s="11" t="b">
        <v>0</v>
      </c>
      <c r="F77" s="11" t="inlineStr">
        <is>
          <t>C001</t>
        </is>
      </c>
      <c r="G77" s="11" t="inlineStr">
        <is>
          <t>2024::jama.2024.6063::C001</t>
        </is>
      </c>
      <c r="H77" s="11" t="n"/>
      <c r="I77" s="11" t="inlineStr">
        <is>
          <t>Main article — PDF p. 3; Main article — PDF p. 7.</t>
        </is>
      </c>
      <c r="J77" s="11" t="b">
        <v>0</v>
      </c>
      <c r="K77" s="11" t="inlineStr">
        <is>
          <t>jama.2024.6063</t>
        </is>
      </c>
      <c r="L77" s="11" t="n"/>
      <c r="M77" s="11" t="inlineStr">
        <is>
          <t>S_W</t>
        </is>
      </c>
      <c r="N77" s="11" t="inlineStr">
        <is>
          <t>Main Figure1 gives21placebo discontinuations/111completers but Results gives23withdrawals/losses and implied109completers.</t>
        </is>
      </c>
      <c r="O77" s="11" t="inlineStr">
        <is>
          <t>../../2024/jama.2024.6063/.ai_paper_validation/final_report_1_5_3.html</t>
        </is>
      </c>
      <c r="P77" s="11" t="inlineStr">
        <is>
          <t>2024/jama.2024.6063/.ai_paper_validation/final_report_1_5_3.md</t>
        </is>
      </c>
      <c r="Q77" s="11" t="inlineStr">
        <is>
          <t>C001</t>
        </is>
      </c>
      <c r="R77" s="11" t="inlineStr">
        <is>
          <t>Pending Human Adjudication</t>
        </is>
      </c>
      <c r="S77" s="11" t="inlineStr">
        <is>
          <t>Figure 1 and Results print different placebo-arm discontinuation/completion counts if their disposition terms refer to the same participants.</t>
        </is>
      </c>
      <c r="T77" s="11" t="b">
        <v>1</v>
      </c>
      <c r="U77" s="11" t="inlineStr">
        <is>
          <t>flow_count_repeat</t>
        </is>
      </c>
      <c r="V77" s="11" t="inlineStr">
        <is>
          <t>statistical_results</t>
        </is>
      </c>
      <c r="W77" s="11" t="inlineStr">
        <is>
          <t>Placebo discontinuation counts differ between Figure 1 and the Results text</t>
        </is>
      </c>
      <c r="X77" s="11" t="inlineStr">
        <is>
          <t>2024</t>
        </is>
      </c>
      <c r="Y77" s="11" t="inlineStr">
        <is>
          <t>meta_report/consistency_reclassification_2026-09-04/reclassified_candidates.json</t>
        </is>
      </c>
      <c r="Z77" s="11" t="inlineStr">
        <is>
          <t>S_W</t>
        </is>
      </c>
      <c r="AA77" s="11" t="inlineStr">
        <is>
          <t>statistical_results</t>
        </is>
      </c>
      <c r="AB77" s="11" t="inlineStr">
        <is>
          <t>retain</t>
        </is>
      </c>
    </row>
    <row r="78" ht="90" customFormat="1" customHeight="1" s="8">
      <c r="A78" s="12" t="b">
        <v>0</v>
      </c>
      <c r="B78" s="12" t="inlineStr">
        <is>
          <t>A narrower footnote population is possible; separate from C016's main95% discrepancy.</t>
        </is>
      </c>
      <c r="C78" s="12" t="b">
        <v>0</v>
      </c>
      <c r="D78" s="12" t="inlineStr">
        <is>
          <t>Denominator, proportion, or total inconsistency</t>
        </is>
      </c>
      <c r="E78" s="12" t="b">
        <v>0</v>
      </c>
      <c r="F78" s="12" t="inlineStr">
        <is>
          <t>C002</t>
        </is>
      </c>
      <c r="G78" s="12" t="inlineStr">
        <is>
          <t>2024::jama.2024.6063::C002</t>
        </is>
      </c>
      <c r="H78" s="12" t="n"/>
      <c r="I78" s="12" t="inlineStr">
        <is>
          <t>Supplement 3 — PDF p. 3.</t>
        </is>
      </c>
      <c r="J78" s="12" t="b">
        <v>0</v>
      </c>
      <c r="K78" s="12" t="inlineStr">
        <is>
          <t>jama.2024.6063</t>
        </is>
      </c>
      <c r="L78" s="12" t="n"/>
      <c r="M78" s="12" t="inlineStr">
        <is>
          <t>S_W</t>
        </is>
      </c>
      <c r="N78" s="12" t="inlineStr">
        <is>
          <t>Results eTable2 row n167 and percentage-supported83+84 conflict with its footnote n165.</t>
        </is>
      </c>
      <c r="O78" s="12" t="inlineStr">
        <is>
          <t>../../2024/jama.2024.6063/.ai_paper_validation/final_report_1_5_3.html</t>
        </is>
      </c>
      <c r="P78" s="12" t="inlineStr">
        <is>
          <t>2024/jama.2024.6063/.ai_paper_validation/final_report_1_5_3.md</t>
        </is>
      </c>
      <c r="Q78" s="12" t="inlineStr">
        <is>
          <t>C002</t>
        </is>
      </c>
      <c r="R78" s="12" t="inlineStr">
        <is>
          <t>Pending Human Adjudication</t>
        </is>
      </c>
      <c r="S78" s="12" t="inlineStr">
        <is>
          <t>The overall eTable 2 row is supported by 167 participants while its adherence footnote names 165.</t>
        </is>
      </c>
      <c r="T78" s="12" t="b">
        <v>1</v>
      </c>
      <c r="U78" s="12" t="inlineStr">
        <is>
          <t>denominator_footnote</t>
        </is>
      </c>
      <c r="V78" s="12" t="inlineStr">
        <is>
          <t>statistical_results</t>
        </is>
      </c>
      <c r="W78" s="12" t="inlineStr">
        <is>
          <t>eTable 2 names 167 and 165 for the overall adherence population</t>
        </is>
      </c>
      <c r="X78" s="12" t="inlineStr">
        <is>
          <t>2024</t>
        </is>
      </c>
      <c r="Y78" s="12" t="inlineStr">
        <is>
          <t>meta_report/consistency_reclassification_2026-09-04/reclassified_candidates.json</t>
        </is>
      </c>
      <c r="Z78" s="12" t="inlineStr">
        <is>
          <t>S_W</t>
        </is>
      </c>
      <c r="AA78" s="12" t="inlineStr">
        <is>
          <t>statistical_results</t>
        </is>
      </c>
      <c r="AB78" s="12" t="inlineStr">
        <is>
          <t>retain</t>
        </is>
      </c>
    </row>
    <row r="79" ht="90" customFormat="1" customHeight="1" s="8">
      <c r="A79" s="11" t="b">
        <v>0</v>
      </c>
      <c r="B79" s="11" t="n"/>
      <c r="C79" s="11" t="b">
        <v>0</v>
      </c>
      <c r="D79" s="11" t="inlineStr">
        <is>
          <t>Denominator, proportion, or total inconsistency</t>
        </is>
      </c>
      <c r="E79" s="11" t="b">
        <v>0</v>
      </c>
      <c r="F79" s="11" t="inlineStr">
        <is>
          <t>C003</t>
        </is>
      </c>
      <c r="G79" s="11" t="inlineStr">
        <is>
          <t>2024::jama.2024.6063::C003</t>
        </is>
      </c>
      <c r="H79" s="11" t="n"/>
      <c r="I79" s="11" t="inlineStr">
        <is>
          <t>Supplement 3 — PDF p. 8.</t>
        </is>
      </c>
      <c r="J79" s="11" t="b">
        <v>0</v>
      </c>
      <c r="K79" s="11" t="inlineStr">
        <is>
          <t>jama.2024.6063</t>
        </is>
      </c>
      <c r="L79" s="11" t="n"/>
      <c r="M79" s="11" t="inlineStr">
        <is>
          <t>S_W</t>
        </is>
      </c>
      <c r="N79" s="11" t="inlineStr">
        <is>
          <t>Results eTable5 krill smaller1unit10/107 is printed12%, versus ordinary9%.</t>
        </is>
      </c>
      <c r="O79" s="11" t="inlineStr">
        <is>
          <t>../../2024/jama.2024.6063/.ai_paper_validation/final_report_1_5_3.html</t>
        </is>
      </c>
      <c r="P79" s="11" t="inlineStr">
        <is>
          <t>2024/jama.2024.6063/.ai_paper_validation/final_report_1_5_3.md</t>
        </is>
      </c>
      <c r="Q79" s="11" t="inlineStr">
        <is>
          <t>C003</t>
        </is>
      </c>
      <c r="R79" s="11" t="inlineStr">
        <is>
          <t>Pending Human Adjudication</t>
        </is>
      </c>
      <c r="S79" s="11" t="inlineStr">
        <is>
          <t>The printed 12% does not reproduce from the printed krill count 10 and total 107.</t>
        </is>
      </c>
      <c r="T79" s="11" t="b">
        <v>1</v>
      </c>
      <c r="U79" s="11" t="inlineStr">
        <is>
          <t>count_percentage</t>
        </is>
      </c>
      <c r="V79" s="11" t="inlineStr">
        <is>
          <t>statistical_results</t>
        </is>
      </c>
      <c r="W79" s="11" t="inlineStr">
        <is>
          <t>eTable 5 krill “Smaller by 1 unit” percentage conflicts with 10 of 107</t>
        </is>
      </c>
      <c r="X79" s="11" t="inlineStr">
        <is>
          <t>2024</t>
        </is>
      </c>
      <c r="Y79" s="11" t="inlineStr">
        <is>
          <t>meta_report/consistency_reclassification_2026-09-04/reclassified_candidates.json</t>
        </is>
      </c>
      <c r="Z79" s="11" t="inlineStr">
        <is>
          <t>S_W</t>
        </is>
      </c>
      <c r="AA79" s="11" t="inlineStr">
        <is>
          <t>statistical_results</t>
        </is>
      </c>
      <c r="AB79" s="11" t="inlineStr">
        <is>
          <t>retain</t>
        </is>
      </c>
    </row>
    <row r="80" ht="90" customFormat="1" customHeight="1" s="8">
      <c r="A80" s="12" t="b">
        <v>0</v>
      </c>
      <c r="B80" s="12" t="n"/>
      <c r="C80" s="12" t="b">
        <v>0</v>
      </c>
      <c r="D80" s="12" t="inlineStr">
        <is>
          <t>Denominator, proportion, or total inconsistency</t>
        </is>
      </c>
      <c r="E80" s="12" t="b">
        <v>0</v>
      </c>
      <c r="F80" s="12" t="inlineStr">
        <is>
          <t>C004</t>
        </is>
      </c>
      <c r="G80" s="12" t="inlineStr">
        <is>
          <t>2024::jama.2024.6063::C004</t>
        </is>
      </c>
      <c r="H80" s="12" t="n"/>
      <c r="I80" s="12" t="inlineStr">
        <is>
          <t>Supplement 3 — PDF p. 8.</t>
        </is>
      </c>
      <c r="J80" s="12" t="b">
        <v>0</v>
      </c>
      <c r="K80" s="12" t="inlineStr">
        <is>
          <t>jama.2024.6063</t>
        </is>
      </c>
      <c r="L80" s="12" t="n"/>
      <c r="M80" s="12" t="inlineStr">
        <is>
          <t>S_W</t>
        </is>
      </c>
      <c r="N80" s="12" t="inlineStr">
        <is>
          <t>Results eTable5 krill nochange80/107 is printed72%, versus ordinary75%.</t>
        </is>
      </c>
      <c r="O80" s="12" t="inlineStr">
        <is>
          <t>../../2024/jama.2024.6063/.ai_paper_validation/final_report_1_5_3.html</t>
        </is>
      </c>
      <c r="P80" s="12" t="inlineStr">
        <is>
          <t>2024/jama.2024.6063/.ai_paper_validation/final_report_1_5_3.md</t>
        </is>
      </c>
      <c r="Q80" s="12" t="inlineStr">
        <is>
          <t>C004</t>
        </is>
      </c>
      <c r="R80" s="12" t="inlineStr">
        <is>
          <t>Pending Human Adjudication</t>
        </is>
      </c>
      <c r="S80" s="12" t="inlineStr">
        <is>
          <t>The printed 72% does not reproduce from the printed krill count 80 and total 107.</t>
        </is>
      </c>
      <c r="T80" s="12" t="b">
        <v>1</v>
      </c>
      <c r="U80" s="12" t="inlineStr">
        <is>
          <t>count_percentage</t>
        </is>
      </c>
      <c r="V80" s="12" t="inlineStr">
        <is>
          <t>statistical_results</t>
        </is>
      </c>
      <c r="W80" s="12" t="inlineStr">
        <is>
          <t>eTable 5 krill “No change” percentage conflicts with 80 of 107</t>
        </is>
      </c>
      <c r="X80" s="12" t="inlineStr">
        <is>
          <t>2024</t>
        </is>
      </c>
      <c r="Y80" s="12" t="inlineStr">
        <is>
          <t>meta_report/consistency_reclassification_2026-09-04/reclassified_candidates.json</t>
        </is>
      </c>
      <c r="Z80" s="12" t="inlineStr">
        <is>
          <t>S_W</t>
        </is>
      </c>
      <c r="AA80" s="12" t="inlineStr">
        <is>
          <t>statistical_results</t>
        </is>
      </c>
      <c r="AB80" s="12" t="inlineStr">
        <is>
          <t>retain</t>
        </is>
      </c>
    </row>
    <row r="81" ht="90" customFormat="1" customHeight="1" s="8">
      <c r="A81" s="11" t="b">
        <v>0</v>
      </c>
      <c r="B81" s="11" t="n"/>
      <c r="C81" s="11" t="b">
        <v>0</v>
      </c>
      <c r="D81" s="11" t="inlineStr">
        <is>
          <t>Denominator, proportion, or total inconsistency</t>
        </is>
      </c>
      <c r="E81" s="11" t="b">
        <v>0</v>
      </c>
      <c r="F81" s="11" t="inlineStr">
        <is>
          <t>C005</t>
        </is>
      </c>
      <c r="G81" s="11" t="inlineStr">
        <is>
          <t>2024::jama.2024.6063::C005</t>
        </is>
      </c>
      <c r="H81" s="11" t="n"/>
      <c r="I81" s="11" t="inlineStr">
        <is>
          <t>Supplement 3 — PDF p. 8.</t>
        </is>
      </c>
      <c r="J81" s="11" t="b">
        <v>0</v>
      </c>
      <c r="K81" s="11" t="inlineStr">
        <is>
          <t>jama.2024.6063</t>
        </is>
      </c>
      <c r="L81" s="11" t="n"/>
      <c r="M81" s="11" t="inlineStr">
        <is>
          <t>S_W</t>
        </is>
      </c>
      <c r="N81" s="11" t="inlineStr">
        <is>
          <t>Results eTable5 krill larger1unit12/107 is printed12%, versus ordinary11%.</t>
        </is>
      </c>
      <c r="O81" s="11" t="inlineStr">
        <is>
          <t>../../2024/jama.2024.6063/.ai_paper_validation/final_report_1_5_3.html</t>
        </is>
      </c>
      <c r="P81" s="11" t="inlineStr">
        <is>
          <t>2024/jama.2024.6063/.ai_paper_validation/final_report_1_5_3.md</t>
        </is>
      </c>
      <c r="Q81" s="11" t="inlineStr">
        <is>
          <t>C005</t>
        </is>
      </c>
      <c r="R81" s="11" t="inlineStr">
        <is>
          <t>Pending Human Adjudication</t>
        </is>
      </c>
      <c r="S81" s="11" t="inlineStr">
        <is>
          <t>The printed 12% does not reproduce from the printed krill count 12 and total 107.</t>
        </is>
      </c>
      <c r="T81" s="11" t="b">
        <v>1</v>
      </c>
      <c r="U81" s="11" t="inlineStr">
        <is>
          <t>count_percentage</t>
        </is>
      </c>
      <c r="V81" s="11" t="inlineStr">
        <is>
          <t>statistical_results</t>
        </is>
      </c>
      <c r="W81" s="11" t="inlineStr">
        <is>
          <t>eTable 5 krill “Larger by 1 unit” percentage conflicts with 12 of 107</t>
        </is>
      </c>
      <c r="X81" s="11" t="inlineStr">
        <is>
          <t>2024</t>
        </is>
      </c>
      <c r="Y81" s="11" t="inlineStr">
        <is>
          <t>meta_report/consistency_reclassification_2026-09-04/reclassified_candidates.json</t>
        </is>
      </c>
      <c r="Z81" s="11" t="inlineStr">
        <is>
          <t>S_W</t>
        </is>
      </c>
      <c r="AA81" s="11" t="inlineStr">
        <is>
          <t>statistical_results</t>
        </is>
      </c>
      <c r="AB81" s="11" t="inlineStr">
        <is>
          <t>retain</t>
        </is>
      </c>
    </row>
    <row r="82" ht="90" customFormat="1" customHeight="1" s="8">
      <c r="A82" s="12" t="b">
        <v>0</v>
      </c>
      <c r="B82" s="12" t="n"/>
      <c r="C82" s="12" t="b">
        <v>0</v>
      </c>
      <c r="D82" s="12" t="inlineStr">
        <is>
          <t>Denominator, proportion, or total inconsistency</t>
        </is>
      </c>
      <c r="E82" s="12" t="b">
        <v>0</v>
      </c>
      <c r="F82" s="12" t="inlineStr">
        <is>
          <t>C006</t>
        </is>
      </c>
      <c r="G82" s="12" t="inlineStr">
        <is>
          <t>2024::jama.2024.6063::C006</t>
        </is>
      </c>
      <c r="H82" s="12" t="n"/>
      <c r="I82" s="12" t="inlineStr">
        <is>
          <t>Supplement 3 — PDF p. 8.</t>
        </is>
      </c>
      <c r="J82" s="12" t="b">
        <v>0</v>
      </c>
      <c r="K82" s="12" t="inlineStr">
        <is>
          <t>jama.2024.6063</t>
        </is>
      </c>
      <c r="L82" s="12" t="n"/>
      <c r="M82" s="12" t="inlineStr">
        <is>
          <t>S_W</t>
        </is>
      </c>
      <c r="N82" s="12" t="inlineStr">
        <is>
          <t>Results eTable5 placebo smaller2units2/109 is printed1.9%, versus ordinary1.8%.</t>
        </is>
      </c>
      <c r="O82" s="12" t="inlineStr">
        <is>
          <t>../../2024/jama.2024.6063/.ai_paper_validation/final_report_1_5_3.html</t>
        </is>
      </c>
      <c r="P82" s="12" t="inlineStr">
        <is>
          <t>2024/jama.2024.6063/.ai_paper_validation/final_report_1_5_3.md</t>
        </is>
      </c>
      <c r="Q82" s="12" t="inlineStr">
        <is>
          <t>C006</t>
        </is>
      </c>
      <c r="R82" s="12" t="inlineStr">
        <is>
          <t>Pending Human Adjudication</t>
        </is>
      </c>
      <c r="S82" s="12" t="inlineStr">
        <is>
          <t>The printed 1.9% does not reproduce from the printed placebo count 2 and total 109 at one-decimal precision.</t>
        </is>
      </c>
      <c r="T82" s="12" t="b">
        <v>1</v>
      </c>
      <c r="U82" s="12" t="inlineStr">
        <is>
          <t>rounding</t>
        </is>
      </c>
      <c r="V82" s="12" t="inlineStr">
        <is>
          <t>statistical_results</t>
        </is>
      </c>
      <c r="W82" s="12" t="inlineStr">
        <is>
          <t>eTable 5 placebo “Smaller by 2 units” percentage conflicts with 2 of 109</t>
        </is>
      </c>
      <c r="X82" s="12" t="inlineStr">
        <is>
          <t>2024</t>
        </is>
      </c>
      <c r="Y82" s="12" t="inlineStr">
        <is>
          <t>meta_report/consistency_reclassification_2026-09-04/reclassified_candidates.json</t>
        </is>
      </c>
      <c r="Z82" s="12" t="inlineStr">
        <is>
          <t>S_W</t>
        </is>
      </c>
      <c r="AA82" s="12" t="inlineStr">
        <is>
          <t>statistical_results</t>
        </is>
      </c>
      <c r="AB82" s="12" t="inlineStr">
        <is>
          <t>retain</t>
        </is>
      </c>
    </row>
    <row r="83" ht="90" customFormat="1" customHeight="1" s="8">
      <c r="A83" s="11" t="b">
        <v>0</v>
      </c>
      <c r="B83" s="11" t="n"/>
      <c r="C83" s="11" t="b">
        <v>0</v>
      </c>
      <c r="D83" s="11" t="inlineStr">
        <is>
          <t>Denominator, proportion, or total inconsistency</t>
        </is>
      </c>
      <c r="E83" s="11" t="b">
        <v>0</v>
      </c>
      <c r="F83" s="11" t="inlineStr">
        <is>
          <t>C007</t>
        </is>
      </c>
      <c r="G83" s="11" t="inlineStr">
        <is>
          <t>2024::jama.2024.6063::C007</t>
        </is>
      </c>
      <c r="H83" s="11" t="n"/>
      <c r="I83" s="11" t="inlineStr">
        <is>
          <t>Supplement 3 — PDF p. 8.</t>
        </is>
      </c>
      <c r="J83" s="11" t="b">
        <v>0</v>
      </c>
      <c r="K83" s="11" t="inlineStr">
        <is>
          <t>jama.2024.6063</t>
        </is>
      </c>
      <c r="L83" s="11" t="n"/>
      <c r="M83" s="11" t="inlineStr">
        <is>
          <t>S_W</t>
        </is>
      </c>
      <c r="N83" s="11" t="inlineStr">
        <is>
          <t>Results eTable5 placebo smaller1unit16/109 is printed12%, versus ordinary15%.</t>
        </is>
      </c>
      <c r="O83" s="11" t="inlineStr">
        <is>
          <t>../../2024/jama.2024.6063/.ai_paper_validation/final_report_1_5_3.html</t>
        </is>
      </c>
      <c r="P83" s="11" t="inlineStr">
        <is>
          <t>2024/jama.2024.6063/.ai_paper_validation/final_report_1_5_3.md</t>
        </is>
      </c>
      <c r="Q83" s="11" t="inlineStr">
        <is>
          <t>C007</t>
        </is>
      </c>
      <c r="R83" s="11" t="inlineStr">
        <is>
          <t>Pending Human Adjudication</t>
        </is>
      </c>
      <c r="S83" s="11" t="inlineStr">
        <is>
          <t>The printed 12% does not reproduce from the printed placebo count 16 and total 109.</t>
        </is>
      </c>
      <c r="T83" s="11" t="b">
        <v>1</v>
      </c>
      <c r="U83" s="11" t="inlineStr">
        <is>
          <t>count_percentage</t>
        </is>
      </c>
      <c r="V83" s="11" t="inlineStr">
        <is>
          <t>statistical_results</t>
        </is>
      </c>
      <c r="W83" s="11" t="inlineStr">
        <is>
          <t>eTable 5 placebo “Smaller by 1 unit” percentage conflicts with 16 of 109</t>
        </is>
      </c>
      <c r="X83" s="11" t="inlineStr">
        <is>
          <t>2024</t>
        </is>
      </c>
      <c r="Y83" s="11" t="inlineStr">
        <is>
          <t>meta_report/consistency_reclassification_2026-09-04/reclassified_candidates.json</t>
        </is>
      </c>
      <c r="Z83" s="11" t="inlineStr">
        <is>
          <t>S_W</t>
        </is>
      </c>
      <c r="AA83" s="11" t="inlineStr">
        <is>
          <t>statistical_results</t>
        </is>
      </c>
      <c r="AB83" s="11" t="inlineStr">
        <is>
          <t>retain</t>
        </is>
      </c>
    </row>
    <row r="84" ht="90" customFormat="1" customHeight="1" s="8">
      <c r="A84" s="12" t="b">
        <v>0</v>
      </c>
      <c r="B84" s="12" t="n"/>
      <c r="C84" s="12" t="b">
        <v>0</v>
      </c>
      <c r="D84" s="12" t="inlineStr">
        <is>
          <t>Denominator, proportion, or total inconsistency</t>
        </is>
      </c>
      <c r="E84" s="12" t="b">
        <v>0</v>
      </c>
      <c r="F84" s="12" t="inlineStr">
        <is>
          <t>C008</t>
        </is>
      </c>
      <c r="G84" s="12" t="inlineStr">
        <is>
          <t>2024::jama.2024.6063::C008</t>
        </is>
      </c>
      <c r="H84" s="12" t="n"/>
      <c r="I84" s="12" t="inlineStr">
        <is>
          <t>Supplement 3 — PDF p. 8.</t>
        </is>
      </c>
      <c r="J84" s="12" t="b">
        <v>0</v>
      </c>
      <c r="K84" s="12" t="inlineStr">
        <is>
          <t>jama.2024.6063</t>
        </is>
      </c>
      <c r="L84" s="12" t="n"/>
      <c r="M84" s="12" t="inlineStr">
        <is>
          <t>S_W</t>
        </is>
      </c>
      <c r="N84" s="12" t="inlineStr">
        <is>
          <t>Results eTable5 placebo nochange75/109 is printed72%, versus ordinary69%.</t>
        </is>
      </c>
      <c r="O84" s="12" t="inlineStr">
        <is>
          <t>../../2024/jama.2024.6063/.ai_paper_validation/final_report_1_5_3.html</t>
        </is>
      </c>
      <c r="P84" s="12" t="inlineStr">
        <is>
          <t>2024/jama.2024.6063/.ai_paper_validation/final_report_1_5_3.md</t>
        </is>
      </c>
      <c r="Q84" s="12" t="inlineStr">
        <is>
          <t>C008</t>
        </is>
      </c>
      <c r="R84" s="12" t="inlineStr">
        <is>
          <t>Pending Human Adjudication</t>
        </is>
      </c>
      <c r="S84" s="12" t="inlineStr">
        <is>
          <t>The printed 72% does not reproduce from the printed placebo count 75 and total 109.</t>
        </is>
      </c>
      <c r="T84" s="12" t="b">
        <v>1</v>
      </c>
      <c r="U84" s="12" t="inlineStr">
        <is>
          <t>count_percentage</t>
        </is>
      </c>
      <c r="V84" s="12" t="inlineStr">
        <is>
          <t>statistical_results</t>
        </is>
      </c>
      <c r="W84" s="12" t="inlineStr">
        <is>
          <t>eTable 5 placebo “No change” percentage conflicts with 75 of 109</t>
        </is>
      </c>
      <c r="X84" s="12" t="inlineStr">
        <is>
          <t>2024</t>
        </is>
      </c>
      <c r="Y84" s="12" t="inlineStr">
        <is>
          <t>meta_report/consistency_reclassification_2026-09-04/reclassified_candidates.json</t>
        </is>
      </c>
      <c r="Z84" s="12" t="inlineStr">
        <is>
          <t>S_W</t>
        </is>
      </c>
      <c r="AA84" s="12" t="inlineStr">
        <is>
          <t>statistical_results</t>
        </is>
      </c>
      <c r="AB84" s="12" t="inlineStr">
        <is>
          <t>retain</t>
        </is>
      </c>
    </row>
    <row r="85" ht="90" customFormat="1" customHeight="1" s="8">
      <c r="A85" s="11" t="b">
        <v>0</v>
      </c>
      <c r="B85" s="11" t="inlineStr">
        <is>
          <t>Descriptive subtraction is diagnostic, not adjusted-model reconstruction; coincidence/production cause is unproven.</t>
        </is>
      </c>
      <c r="C85" s="11" t="b">
        <v>0</v>
      </c>
      <c r="D85" s="11" t="inlineStr">
        <is>
          <t>Numeric or arithmetic inconsistency</t>
        </is>
      </c>
      <c r="E85" s="11" t="b">
        <v>0</v>
      </c>
      <c r="F85" s="11" t="inlineStr">
        <is>
          <t>C009</t>
        </is>
      </c>
      <c r="G85" s="11" t="inlineStr">
        <is>
          <t>2024::jama.2024.6063::C009</t>
        </is>
      </c>
      <c r="H85" s="11" t="n"/>
      <c r="I85" s="11" t="inlineStr">
        <is>
          <t>Supplement 3 — PDF p. 5.</t>
        </is>
      </c>
      <c r="J85" s="11" t="b">
        <v>0</v>
      </c>
      <c r="K85" s="11" t="inlineStr">
        <is>
          <t>jama.2024.6063</t>
        </is>
      </c>
      <c r="L85" s="11" t="n"/>
      <c r="M85" s="11" t="inlineStr">
        <is>
          <t>S_W</t>
        </is>
      </c>
      <c r="N85" s="11" t="inlineStr">
        <is>
          <t>Within results eTable4,week4weight-bearingpain repeats both function-arm change estimates/intervals despite separate outcome labels.</t>
        </is>
      </c>
      <c r="O85" s="11" t="inlineStr">
        <is>
          <t>../../2024/jama.2024.6063/.ai_paper_validation/final_report_1_5_3.html</t>
        </is>
      </c>
      <c r="P85" s="11" t="inlineStr">
        <is>
          <t>2024/jama.2024.6063/.ai_paper_validation/final_report_1_5_3.md</t>
        </is>
      </c>
      <c r="Q85" s="11" t="inlineStr">
        <is>
          <t>C009</t>
        </is>
      </c>
      <c r="R85" s="11" t="inlineStr">
        <is>
          <t>Pending Human Adjudication</t>
        </is>
      </c>
      <c r="S85" s="11" t="inlineStr">
        <is>
          <t>eTable 4 prints the same two week-4 arm-change estimate/interval pairs for weight-bearing pain and function.</t>
        </is>
      </c>
      <c r="T85" s="11" t="b">
        <v>1</v>
      </c>
      <c r="U85" s="11" t="inlineStr">
        <is>
          <t>duplicated_output</t>
        </is>
      </c>
      <c r="V85" s="11" t="inlineStr">
        <is>
          <t>statistical_results</t>
        </is>
      </c>
      <c r="W85" s="11" t="inlineStr">
        <is>
          <t>eTable 4 repeats week-4 function changes in the weight-bearing-pain row</t>
        </is>
      </c>
      <c r="X85" s="11" t="inlineStr">
        <is>
          <t>2024</t>
        </is>
      </c>
      <c r="Y85" s="11" t="inlineStr">
        <is>
          <t>meta_report/consistency_reclassification_2026-09-04/reclassified_candidates.json</t>
        </is>
      </c>
      <c r="Z85" s="11" t="inlineStr">
        <is>
          <t>S_W</t>
        </is>
      </c>
      <c r="AA85" s="11" t="inlineStr">
        <is>
          <t>statistical_results</t>
        </is>
      </c>
      <c r="AB85" s="11" t="inlineStr">
        <is>
          <t>retain</t>
        </is>
      </c>
    </row>
    <row r="86" ht="90" customFormat="1" customHeight="1" s="8">
      <c r="A86" s="12" t="b">
        <v>0</v>
      </c>
      <c r="B86" s="12" t="inlineStr">
        <is>
          <t>Distinct pair of rows from C009/C011; model-versus-descriptive differences alone are not proof.</t>
        </is>
      </c>
      <c r="C86" s="12" t="b">
        <v>0</v>
      </c>
      <c r="D86" s="12" t="inlineStr">
        <is>
          <t>Statistical reporting inconsistency</t>
        </is>
      </c>
      <c r="E86" s="12" t="b">
        <v>0</v>
      </c>
      <c r="F86" s="12" t="inlineStr">
        <is>
          <t>C010</t>
        </is>
      </c>
      <c r="G86" s="12" t="inlineStr">
        <is>
          <t>2024::jama.2024.6063::C010</t>
        </is>
      </c>
      <c r="H86" s="12" t="n"/>
      <c r="I86" s="12" t="inlineStr">
        <is>
          <t>Supplement 3 — PDF p. 6.</t>
        </is>
      </c>
      <c r="J86" s="12" t="b">
        <v>0</v>
      </c>
      <c r="K86" s="12" t="inlineStr">
        <is>
          <t>jama.2024.6063</t>
        </is>
      </c>
      <c r="L86" s="12" t="n"/>
      <c r="M86" s="12" t="inlineStr">
        <is>
          <t>S_W</t>
        </is>
      </c>
      <c r="N86" s="12" t="inlineStr">
        <is>
          <t>Within results eTable4,week12legstrength repeats the complete week4backpain changes,effect,interval,andP=.53.</t>
        </is>
      </c>
      <c r="O86" s="12" t="inlineStr">
        <is>
          <t>../../2024/jama.2024.6063/.ai_paper_validation/final_report_1_5_3.html</t>
        </is>
      </c>
      <c r="P86" s="12" t="inlineStr">
        <is>
          <t>2024/jama.2024.6063/.ai_paper_validation/final_report_1_5_3.md</t>
        </is>
      </c>
      <c r="Q86" s="12" t="inlineStr">
        <is>
          <t>C010</t>
        </is>
      </c>
      <c r="R86" s="12" t="inlineStr">
        <is>
          <t>Pending Human Adjudication</t>
        </is>
      </c>
      <c r="S86" s="12" t="inlineStr">
        <is>
          <t>eTable 4 prints the complete week-4 back-pain output again for week-12 lower-leg strength.</t>
        </is>
      </c>
      <c r="T86" s="12" t="b">
        <v>1</v>
      </c>
      <c r="U86" s="12" t="inlineStr">
        <is>
          <t>duplicated_output</t>
        </is>
      </c>
      <c r="V86" s="12" t="inlineStr">
        <is>
          <t>statistical_results</t>
        </is>
      </c>
      <c r="W86" s="12" t="inlineStr">
        <is>
          <t>eTable 4 repeats week-4 back-pain results in week-12 lower-leg strength</t>
        </is>
      </c>
      <c r="X86" s="12" t="inlineStr">
        <is>
          <t>2024</t>
        </is>
      </c>
      <c r="Y86" s="12" t="inlineStr">
        <is>
          <t>meta_report/consistency_reclassification_2026-09-04/reclassified_candidates.json</t>
        </is>
      </c>
      <c r="Z86" s="12" t="inlineStr">
        <is>
          <t>S_W</t>
        </is>
      </c>
      <c r="AA86" s="12" t="inlineStr">
        <is>
          <t>statistical_results</t>
        </is>
      </c>
      <c r="AB86" s="12" t="inlineStr">
        <is>
          <t>retain</t>
        </is>
      </c>
    </row>
    <row r="87" ht="90" customFormat="1" customHeight="1" s="8">
      <c r="A87" s="11" t="b">
        <v>0</v>
      </c>
      <c r="B87" s="11" t="inlineStr">
        <is>
          <t>Separate paired measures from C009/C010; identical outputs are a candidate, not proof of copying.</t>
        </is>
      </c>
      <c r="C87" s="11" t="b">
        <v>0</v>
      </c>
      <c r="D87" s="11" t="inlineStr">
        <is>
          <t>Statistical reporting inconsistency</t>
        </is>
      </c>
      <c r="E87" s="11" t="b">
        <v>0</v>
      </c>
      <c r="F87" s="11" t="inlineStr">
        <is>
          <t>C011</t>
        </is>
      </c>
      <c r="G87" s="11" t="inlineStr">
        <is>
          <t>2024::jama.2024.6063::C011</t>
        </is>
      </c>
      <c r="H87" s="11" t="n"/>
      <c r="I87" s="11" t="inlineStr">
        <is>
          <t>Supplement 3 — PDF p. 6.</t>
        </is>
      </c>
      <c r="J87" s="11" t="b">
        <v>0</v>
      </c>
      <c r="K87" s="11" t="inlineStr">
        <is>
          <t>jama.2024.6063</t>
        </is>
      </c>
      <c r="L87" s="11" t="n"/>
      <c r="M87" s="11" t="inlineStr">
        <is>
          <t>S_W</t>
        </is>
      </c>
      <c r="N87" s="11" t="inlineStr">
        <is>
          <t>Within results eTable4,week12fastingglucose repeats hsCRP's between-group0.07(-1.19,1.33),P=.92.</t>
        </is>
      </c>
      <c r="O87" s="11" t="inlineStr">
        <is>
          <t>../../2024/jama.2024.6063/.ai_paper_validation/final_report_1_5_3.html</t>
        </is>
      </c>
      <c r="P87" s="11" t="inlineStr">
        <is>
          <t>2024/jama.2024.6063/.ai_paper_validation/final_report_1_5_3.md</t>
        </is>
      </c>
      <c r="Q87" s="11" t="inlineStr">
        <is>
          <t>C011</t>
        </is>
      </c>
      <c r="R87" s="11" t="inlineStr">
        <is>
          <t>Pending Human Adjudication</t>
        </is>
      </c>
      <c r="S87" s="11" t="inlineStr">
        <is>
          <t>eTable 4 prints the same between-group estimate, interval, and P value for week-12 hsCRP and fasting glucose.</t>
        </is>
      </c>
      <c r="T87" s="11" t="b">
        <v>1</v>
      </c>
      <c r="U87" s="11" t="inlineStr">
        <is>
          <t>duplicated_output</t>
        </is>
      </c>
      <c r="V87" s="11" t="inlineStr">
        <is>
          <t>statistical_results</t>
        </is>
      </c>
      <c r="W87" s="11" t="inlineStr">
        <is>
          <t>eTable 4 repeats the week-12 hsCRP result in fasting glucose</t>
        </is>
      </c>
      <c r="X87" s="11" t="inlineStr">
        <is>
          <t>2024</t>
        </is>
      </c>
      <c r="Y87" s="11" t="inlineStr">
        <is>
          <t>meta_report/consistency_reclassification_2026-09-04/reclassified_candidates.json</t>
        </is>
      </c>
      <c r="Z87" s="11" t="inlineStr">
        <is>
          <t>S_W</t>
        </is>
      </c>
      <c r="AA87" s="11" t="inlineStr">
        <is>
          <t>statistical_results</t>
        </is>
      </c>
      <c r="AB87" s="11" t="inlineStr">
        <is>
          <t>retain</t>
        </is>
      </c>
    </row>
    <row r="88" ht="90" customFormat="1" customHeight="1" s="8">
      <c r="A88" s="12" t="b">
        <v>0</v>
      </c>
      <c r="B88" s="12" t="inlineStr">
        <is>
          <t>Mixed internal-main and cross-file sign discrepancy; common signed operand order is undefined.</t>
        </is>
      </c>
      <c r="C88" s="12" t="b">
        <v>0</v>
      </c>
      <c r="D88" s="12" t="inlineStr">
        <is>
          <t>Cross-document numeric inconsistency</t>
        </is>
      </c>
      <c r="E88" s="12" t="b">
        <v>1</v>
      </c>
      <c r="F88" s="12" t="inlineStr">
        <is>
          <t>C012</t>
        </is>
      </c>
      <c r="G88" s="12" t="inlineStr">
        <is>
          <t>2024::jama.2024.6063::C012</t>
        </is>
      </c>
      <c r="H88" s="12" t="n"/>
      <c r="I88" s="12" t="inlineStr">
        <is>
          <t>Main article — PDF p. 2; Main article — PDF p. 1; Main article — PDF p. 6; Main article — PDF p. 7; Supplement 3 — PDF p. 2.</t>
        </is>
      </c>
      <c r="J88" s="12" t="b">
        <v>1</v>
      </c>
      <c r="K88" s="12" t="inlineStr">
        <is>
          <t>jama.2024.6063</t>
        </is>
      </c>
      <c r="L88" s="12" t="n"/>
      <c r="M88" s="12" t="inlineStr">
        <is>
          <t>S_C</t>
        </is>
      </c>
      <c r="N88" s="12" t="inlineStr">
        <is>
          <t>Main KeyPoints gives+0.30 but its own abstract/table/Results give-0.3 and results eTable1 gives-0.27 for otherwise matched primary fields.</t>
        </is>
      </c>
      <c r="O88" s="12" t="inlineStr">
        <is>
          <t>../../2024/jama.2024.6063/.ai_paper_validation/final_report_1_5_3.html</t>
        </is>
      </c>
      <c r="P88" s="12" t="inlineStr">
        <is>
          <t>2024/jama.2024.6063/.ai_paper_validation/final_report_1_5_3.md</t>
        </is>
      </c>
      <c r="Q88" s="12" t="inlineStr">
        <is>
          <t>C012</t>
        </is>
      </c>
      <c r="R88" s="12" t="inlineStr">
        <is>
          <t>Pending Human Adjudication</t>
        </is>
      </c>
      <c r="S88" s="12" t="inlineStr">
        <is>
          <t>Otherwise matched displays of the 24-week primary result print +0.30 in Key Points and -0.3/-0.27 elsewhere, without defining a common signed operand order.</t>
        </is>
      </c>
      <c r="T88" s="12" t="b">
        <v>1</v>
      </c>
      <c r="U88" s="12" t="inlineStr">
        <is>
          <t>sign_repeat</t>
        </is>
      </c>
      <c r="V88" s="12" t="inlineStr">
        <is>
          <t>report_internal_inconsistency</t>
        </is>
      </c>
      <c r="W88" s="12" t="inlineStr">
        <is>
          <t>Key Points and other matched primary-result displays use opposite signs</t>
        </is>
      </c>
      <c r="X88" s="12" t="inlineStr">
        <is>
          <t>2024</t>
        </is>
      </c>
      <c r="Y88" s="12" t="inlineStr">
        <is>
          <t>meta_report/consistency_reclassification_2026-09-04/reclassified_candidates.json</t>
        </is>
      </c>
      <c r="Z88" s="12" t="inlineStr">
        <is>
          <t>S_C</t>
        </is>
      </c>
      <c r="AA88" s="12" t="inlineStr">
        <is>
          <t>report_internal_inconsistency</t>
        </is>
      </c>
      <c r="AB88" s="12" t="inlineStr">
        <is>
          <t>retain</t>
        </is>
      </c>
    </row>
    <row r="89" ht="90" customFormat="1" customHeight="1" s="8">
      <c r="A89" s="11" t="b">
        <v>0</v>
      </c>
      <c r="B89" s="11" t="inlineStr">
        <is>
          <t>Mixed internal-main/cross-file counts; coding-category equivalence remains conditional.</t>
        </is>
      </c>
      <c r="C89" s="11" t="b">
        <v>0</v>
      </c>
      <c r="D89" s="11" t="inlineStr">
        <is>
          <t>Cross-document numeric inconsistency</t>
        </is>
      </c>
      <c r="E89" s="11" t="b">
        <v>1</v>
      </c>
      <c r="F89" s="11" t="inlineStr">
        <is>
          <t>C013</t>
        </is>
      </c>
      <c r="G89" s="11" t="inlineStr">
        <is>
          <t>2024::jama.2024.6063::C013</t>
        </is>
      </c>
      <c r="H89" s="11" t="n"/>
      <c r="I89" s="11" t="inlineStr">
        <is>
          <t>Main article — PDF p. 1; Main article — PDF p. 8; Supplement 3 — PDF p. 10.</t>
        </is>
      </c>
      <c r="J89" s="11" t="b">
        <v>1</v>
      </c>
      <c r="K89" s="11" t="inlineStr">
        <is>
          <t>jama.2024.6063</t>
        </is>
      </c>
      <c r="L89" s="11" t="n"/>
      <c r="M89" s="11" t="inlineStr">
        <is>
          <t>S_C</t>
        </is>
      </c>
      <c r="N89" s="11" t="inlineStr">
        <is>
          <t>Main Table3 placeboextremitypain count6 differs from5 in its abstract/narrative and results eTable7.</t>
        </is>
      </c>
      <c r="O89" s="11" t="inlineStr">
        <is>
          <t>../../2024/jama.2024.6063/.ai_paper_validation/final_report_1_5_3.html</t>
        </is>
      </c>
      <c r="P89" s="11" t="inlineStr">
        <is>
          <t>2024/jama.2024.6063/.ai_paper_validation/final_report_1_5_3.md</t>
        </is>
      </c>
      <c r="Q89" s="11" t="inlineStr">
        <is>
          <t>C013</t>
        </is>
      </c>
      <c r="R89" s="11" t="inlineStr">
        <is>
          <t>Pending Human Adjudication</t>
        </is>
      </c>
      <c r="S89" s="11" t="inlineStr">
        <is>
          <t>Table 3 prints six placebo Pain in extremity events, while matched Abstract, narrative, and eTable 7 displays print five.</t>
        </is>
      </c>
      <c r="T89" s="11" t="b">
        <v>1</v>
      </c>
      <c r="U89" s="11" t="inlineStr">
        <is>
          <t>adverse_event_count</t>
        </is>
      </c>
      <c r="V89" s="11" t="inlineStr">
        <is>
          <t>report_internal_inconsistency</t>
        </is>
      </c>
      <c r="W89" s="11" t="inlineStr">
        <is>
          <t>Placebo extremity-pain event count is 6 in Table 3 and 5 elsewhere</t>
        </is>
      </c>
      <c r="X89" s="11" t="inlineStr">
        <is>
          <t>2024</t>
        </is>
      </c>
      <c r="Y89" s="11" t="inlineStr">
        <is>
          <t>meta_report/consistency_reclassification_2026-09-04/reclassified_candidates.json</t>
        </is>
      </c>
      <c r="Z89" s="11" t="inlineStr">
        <is>
          <t>S_C</t>
        </is>
      </c>
      <c r="AA89" s="11" t="inlineStr">
        <is>
          <t>report_internal_inconsistency</t>
        </is>
      </c>
      <c r="AB89" s="11" t="inlineStr">
        <is>
          <t>retain</t>
        </is>
      </c>
    </row>
    <row r="90" ht="90" customFormat="1" customHeight="1" s="8">
      <c r="A90" s="12" t="b">
        <v>0</v>
      </c>
      <c r="B90" s="12" t="inlineStr">
        <is>
          <t>Cross-file destination/content mismatch; main narrative corroborates intended eTable7.</t>
        </is>
      </c>
      <c r="C90" s="12" t="b">
        <v>0</v>
      </c>
      <c r="D90" s="12" t="inlineStr">
        <is>
          <t>Measure, label, or scale inconsistency</t>
        </is>
      </c>
      <c r="E90" s="12" t="b">
        <v>1</v>
      </c>
      <c r="F90" s="12" t="inlineStr">
        <is>
          <t>C014</t>
        </is>
      </c>
      <c r="G90" s="12" t="inlineStr">
        <is>
          <t>2024::jama.2024.6063::C014</t>
        </is>
      </c>
      <c r="H90" s="12" t="n"/>
      <c r="I90" s="12" t="inlineStr">
        <is>
          <t>Main article — PDF p. 8; Supplement 3 — PDF p. 5; Supplement 3 — PDF p. 10.</t>
        </is>
      </c>
      <c r="J90" s="12" t="b">
        <v>0</v>
      </c>
      <c r="K90" s="12" t="inlineStr">
        <is>
          <t>jama.2024.6063</t>
        </is>
      </c>
      <c r="L90" s="12" t="n"/>
      <c r="M90" s="12" t="inlineStr">
        <is>
          <t>S_C</t>
        </is>
      </c>
      <c r="N90" s="12" t="inlineStr">
        <is>
          <t>Main Table3 adverse-event footnote cites eTable4 but supplied results supplement eTable4 is secondary endpoints and eTable7 contains the stated adverse-event detail.</t>
        </is>
      </c>
      <c r="O90" s="12" t="inlineStr">
        <is>
          <t>../../2024/jama.2024.6063/.ai_paper_validation/final_report_1_5_3.html</t>
        </is>
      </c>
      <c r="P90" s="12" t="inlineStr">
        <is>
          <t>2024/jama.2024.6063/.ai_paper_validation/final_report_1_5_3.md</t>
        </is>
      </c>
      <c r="Q90" s="12" t="inlineStr">
        <is>
          <t>C014</t>
        </is>
      </c>
      <c r="R90" s="12" t="inlineStr">
        <is>
          <t>Pending Human Adjudication</t>
        </is>
      </c>
      <c r="S90" s="12" t="inlineStr">
        <is>
          <t>Table 3 footnote a directs regular-adverse-event detail to eTable 4, whereas eTable 7 is the supplied adverse-event table cited by the narrative.</t>
        </is>
      </c>
      <c r="T90" s="12" t="b">
        <v>1</v>
      </c>
      <c r="U90" s="12" t="inlineStr">
        <is>
          <t>cross_reference</t>
        </is>
      </c>
      <c r="V90" s="12" t="inlineStr">
        <is>
          <t>report_internal_inconsistency</t>
        </is>
      </c>
      <c r="W90" s="12" t="inlineStr">
        <is>
          <t>Table 3 regular-adverse-event footnote points to eTable 4 instead of eTable 7</t>
        </is>
      </c>
      <c r="X90" s="12" t="inlineStr">
        <is>
          <t>2024</t>
        </is>
      </c>
      <c r="Y90" s="12" t="inlineStr">
        <is>
          <t>meta_report/consistency_reclassification_2026-09-04/reclassified_candidates.json</t>
        </is>
      </c>
      <c r="Z90" s="12" t="inlineStr">
        <is>
          <t>S_C</t>
        </is>
      </c>
      <c r="AA90" s="12" t="inlineStr">
        <is>
          <t>report_internal_inconsistency</t>
        </is>
      </c>
      <c r="AB90" s="12" t="inlineStr">
        <is>
          <t>retain</t>
        </is>
      </c>
    </row>
    <row r="91" ht="90" customFormat="1" customHeight="1" s="8">
      <c r="A91" s="11" t="b">
        <v>0</v>
      </c>
      <c r="B91" s="11" t="inlineStr">
        <is>
          <t>Cross-file destination/content mismatch; separate regular-versus-serious-event footnotes from C014.</t>
        </is>
      </c>
      <c r="C91" s="11" t="b">
        <v>0</v>
      </c>
      <c r="D91" s="11" t="inlineStr">
        <is>
          <t>Measure, label, or scale inconsistency</t>
        </is>
      </c>
      <c r="E91" s="11" t="b">
        <v>1</v>
      </c>
      <c r="F91" s="11" t="inlineStr">
        <is>
          <t>C015</t>
        </is>
      </c>
      <c r="G91" s="11" t="inlineStr">
        <is>
          <t>2024::jama.2024.6063::C015</t>
        </is>
      </c>
      <c r="H91" s="11" t="n"/>
      <c r="I91" s="11" t="inlineStr">
        <is>
          <t>Main article — PDF p. 8; Supplement 3 — PDF p. 8; Supplement 3 — PDF p. 9; Supplement 3 — PDF p. 14.</t>
        </is>
      </c>
      <c r="J91" s="11" t="b">
        <v>0</v>
      </c>
      <c r="K91" s="11" t="inlineStr">
        <is>
          <t>jama.2024.6063</t>
        </is>
      </c>
      <c r="L91" s="11" t="n"/>
      <c r="M91" s="11" t="inlineStr">
        <is>
          <t>S_C</t>
        </is>
      </c>
      <c r="N91" s="11" t="inlineStr">
        <is>
          <t>Main Table3 serious-event footnote cites eTables5/6 but results supplement uses those forWORMS/analgesics and places serious events in eTable8.</t>
        </is>
      </c>
      <c r="O91" s="11" t="inlineStr">
        <is>
          <t>../../2024/jama.2024.6063/.ai_paper_validation/final_report_1_5_3.html</t>
        </is>
      </c>
      <c r="P91" s="11" t="inlineStr">
        <is>
          <t>2024/jama.2024.6063/.ai_paper_validation/final_report_1_5_3.md</t>
        </is>
      </c>
      <c r="Q91" s="11" t="inlineStr">
        <is>
          <t>C015</t>
        </is>
      </c>
      <c r="R91" s="11" t="inlineStr">
        <is>
          <t>Pending Human Adjudication</t>
        </is>
      </c>
      <c r="S91" s="11" t="inlineStr">
        <is>
          <t>Table 3 footnote c directs serious-adverse-event detail to eTables 5 and 6, while eTable 8 contains the supplied serious-adverse-event detail.</t>
        </is>
      </c>
      <c r="T91" s="11" t="b">
        <v>1</v>
      </c>
      <c r="U91" s="11" t="inlineStr">
        <is>
          <t>cross_reference</t>
        </is>
      </c>
      <c r="V91" s="11" t="inlineStr">
        <is>
          <t>report_internal_inconsistency</t>
        </is>
      </c>
      <c r="W91" s="11" t="inlineStr">
        <is>
          <t>Table 3 serious-adverse-event footnote points to eTables 5 and 6 instead of eTable 8</t>
        </is>
      </c>
      <c r="X91" s="11" t="inlineStr">
        <is>
          <t>2024</t>
        </is>
      </c>
      <c r="Y91" s="11" t="inlineStr">
        <is>
          <t>meta_report/consistency_reclassification_2026-09-04/reclassified_candidates.json</t>
        </is>
      </c>
      <c r="Z91" s="11" t="inlineStr">
        <is>
          <t>S_C</t>
        </is>
      </c>
      <c r="AA91" s="11" t="inlineStr">
        <is>
          <t>report_internal_inconsistency</t>
        </is>
      </c>
      <c r="AB91" s="11" t="inlineStr">
        <is>
          <t>retain</t>
        </is>
      </c>
    </row>
    <row r="92" ht="90" customFormat="1" customHeight="1" s="8">
      <c r="A92" s="12" t="b">
        <v>0</v>
      </c>
      <c r="B92" s="12" t="inlineStr">
        <is>
          <t>Main numerator/denominator unknown; C002 separately records the eTable167versus165 discrepancy, so not a duplicate and no added internal relation here.</t>
        </is>
      </c>
      <c r="C92" s="12" t="b">
        <v>0</v>
      </c>
      <c r="D92" s="12" t="inlineStr">
        <is>
          <t>Cross-document numeric inconsistency</t>
        </is>
      </c>
      <c r="E92" s="12" t="b">
        <v>1</v>
      </c>
      <c r="F92" s="12" t="inlineStr">
        <is>
          <t>C016</t>
        </is>
      </c>
      <c r="G92" s="12" t="inlineStr">
        <is>
          <t>2024::jama.2024.6063::C016</t>
        </is>
      </c>
      <c r="H92" s="12" t="n"/>
      <c r="I92" s="12" t="inlineStr">
        <is>
          <t>Main article — PDF p. 7; Supplement 3 — PDF p. 3.</t>
        </is>
      </c>
      <c r="J92" s="12" t="b">
        <v>1</v>
      </c>
      <c r="K92" s="12" t="inlineStr">
        <is>
          <t>jama.2024.6063</t>
        </is>
      </c>
      <c r="L92" s="12" t="n"/>
      <c r="M92" s="12" t="inlineStr">
        <is>
          <t>S_C</t>
        </is>
      </c>
      <c r="N92" s="12" t="inlineStr">
        <is>
          <t>Main95%adherence statement disagrees with163/167=97.6% from its cited results eTable2.</t>
        </is>
      </c>
      <c r="O92" s="12" t="inlineStr">
        <is>
          <t>../../2024/jama.2024.6063/.ai_paper_validation/final_report_1_5_3.html</t>
        </is>
      </c>
      <c r="P92" s="12" t="inlineStr">
        <is>
          <t>2024/jama.2024.6063/.ai_paper_validation/final_report_1_5_3.md</t>
        </is>
      </c>
      <c r="Q92" s="12" t="inlineStr">
        <is>
          <t>C016</t>
        </is>
      </c>
      <c r="R92" s="12" t="inlineStr">
        <is>
          <t>Pending Human Adjudication</t>
        </is>
      </c>
      <c r="S92" s="12" t="inlineStr">
        <is>
          <t>The main text’s 95% 24-week adherence statement does not reproduce from the cited eTable 2 overall row, conditional on a shared population.</t>
        </is>
      </c>
      <c r="T92" s="12" t="b">
        <v>1</v>
      </c>
      <c r="U92" s="12" t="inlineStr">
        <is>
          <t>aggregate_percentage</t>
        </is>
      </c>
      <c r="V92" s="12" t="inlineStr">
        <is>
          <t>report_internal_inconsistency</t>
        </is>
      </c>
      <c r="W92" s="12" t="inlineStr">
        <is>
          <t>Main-text 95% adherence does not reproduce the cited eTable 2 overall result</t>
        </is>
      </c>
      <c r="X92" s="12" t="inlineStr">
        <is>
          <t>2024</t>
        </is>
      </c>
      <c r="Y92" s="12" t="inlineStr">
        <is>
          <t>meta_report/consistency_reclassification_2026-09-04/reclassified_candidates.json</t>
        </is>
      </c>
      <c r="Z92" s="12" t="inlineStr">
        <is>
          <t>S_C</t>
        </is>
      </c>
      <c r="AA92" s="12" t="inlineStr">
        <is>
          <t>report_internal_inconsistency</t>
        </is>
      </c>
      <c r="AB92" s="12" t="inlineStr">
        <is>
          <t>retain</t>
        </is>
      </c>
    </row>
  </sheetData>
  <autoFilter ref="A1:AB92"/>
  <hyperlinks>
    <hyperlink xmlns:r="http://schemas.openxmlformats.org/officeDocument/2006/relationships" ref="G2" r:id="rId1"/>
    <hyperlink xmlns:r="http://schemas.openxmlformats.org/officeDocument/2006/relationships" ref="O2" r:id="rId2"/>
    <hyperlink xmlns:r="http://schemas.openxmlformats.org/officeDocument/2006/relationships" ref="G3" r:id="rId3"/>
    <hyperlink xmlns:r="http://schemas.openxmlformats.org/officeDocument/2006/relationships" ref="O3" r:id="rId4"/>
    <hyperlink xmlns:r="http://schemas.openxmlformats.org/officeDocument/2006/relationships" ref="G4" r:id="rId5"/>
    <hyperlink xmlns:r="http://schemas.openxmlformats.org/officeDocument/2006/relationships" ref="O4" r:id="rId6"/>
    <hyperlink xmlns:r="http://schemas.openxmlformats.org/officeDocument/2006/relationships" ref="G5" r:id="rId7"/>
    <hyperlink xmlns:r="http://schemas.openxmlformats.org/officeDocument/2006/relationships" ref="O5" r:id="rId8"/>
    <hyperlink xmlns:r="http://schemas.openxmlformats.org/officeDocument/2006/relationships" ref="G6" r:id="rId9"/>
    <hyperlink xmlns:r="http://schemas.openxmlformats.org/officeDocument/2006/relationships" ref="O6" r:id="rId10"/>
    <hyperlink xmlns:r="http://schemas.openxmlformats.org/officeDocument/2006/relationships" ref="G7" r:id="rId11"/>
    <hyperlink xmlns:r="http://schemas.openxmlformats.org/officeDocument/2006/relationships" ref="O7" r:id="rId12"/>
    <hyperlink xmlns:r="http://schemas.openxmlformats.org/officeDocument/2006/relationships" ref="G8" r:id="rId13"/>
    <hyperlink xmlns:r="http://schemas.openxmlformats.org/officeDocument/2006/relationships" ref="O8" r:id="rId14"/>
    <hyperlink xmlns:r="http://schemas.openxmlformats.org/officeDocument/2006/relationships" ref="G9" r:id="rId15"/>
    <hyperlink xmlns:r="http://schemas.openxmlformats.org/officeDocument/2006/relationships" ref="O9" r:id="rId16"/>
    <hyperlink xmlns:r="http://schemas.openxmlformats.org/officeDocument/2006/relationships" ref="G10" r:id="rId17"/>
    <hyperlink xmlns:r="http://schemas.openxmlformats.org/officeDocument/2006/relationships" ref="O10" r:id="rId18"/>
    <hyperlink xmlns:r="http://schemas.openxmlformats.org/officeDocument/2006/relationships" ref="G11" r:id="rId19"/>
    <hyperlink xmlns:r="http://schemas.openxmlformats.org/officeDocument/2006/relationships" ref="O11" r:id="rId20"/>
    <hyperlink xmlns:r="http://schemas.openxmlformats.org/officeDocument/2006/relationships" ref="G12" r:id="rId21"/>
    <hyperlink xmlns:r="http://schemas.openxmlformats.org/officeDocument/2006/relationships" ref="O12" r:id="rId22"/>
    <hyperlink xmlns:r="http://schemas.openxmlformats.org/officeDocument/2006/relationships" ref="G13" r:id="rId23"/>
    <hyperlink xmlns:r="http://schemas.openxmlformats.org/officeDocument/2006/relationships" ref="O13" r:id="rId24"/>
    <hyperlink xmlns:r="http://schemas.openxmlformats.org/officeDocument/2006/relationships" ref="G14" r:id="rId25"/>
    <hyperlink xmlns:r="http://schemas.openxmlformats.org/officeDocument/2006/relationships" ref="O14" r:id="rId26"/>
    <hyperlink xmlns:r="http://schemas.openxmlformats.org/officeDocument/2006/relationships" ref="G15" r:id="rId27"/>
    <hyperlink xmlns:r="http://schemas.openxmlformats.org/officeDocument/2006/relationships" ref="O15" r:id="rId28"/>
    <hyperlink xmlns:r="http://schemas.openxmlformats.org/officeDocument/2006/relationships" ref="G16" r:id="rId29"/>
    <hyperlink xmlns:r="http://schemas.openxmlformats.org/officeDocument/2006/relationships" ref="O16" r:id="rId30"/>
    <hyperlink xmlns:r="http://schemas.openxmlformats.org/officeDocument/2006/relationships" ref="G17" r:id="rId31"/>
    <hyperlink xmlns:r="http://schemas.openxmlformats.org/officeDocument/2006/relationships" ref="O17" r:id="rId32"/>
    <hyperlink xmlns:r="http://schemas.openxmlformats.org/officeDocument/2006/relationships" ref="G18" r:id="rId33"/>
    <hyperlink xmlns:r="http://schemas.openxmlformats.org/officeDocument/2006/relationships" ref="O18" r:id="rId34"/>
    <hyperlink xmlns:r="http://schemas.openxmlformats.org/officeDocument/2006/relationships" ref="G19" r:id="rId35"/>
    <hyperlink xmlns:r="http://schemas.openxmlformats.org/officeDocument/2006/relationships" ref="O19" r:id="rId36"/>
    <hyperlink xmlns:r="http://schemas.openxmlformats.org/officeDocument/2006/relationships" ref="G20" r:id="rId37"/>
    <hyperlink xmlns:r="http://schemas.openxmlformats.org/officeDocument/2006/relationships" ref="O20" r:id="rId38"/>
    <hyperlink xmlns:r="http://schemas.openxmlformats.org/officeDocument/2006/relationships" ref="G21" r:id="rId39"/>
    <hyperlink xmlns:r="http://schemas.openxmlformats.org/officeDocument/2006/relationships" ref="O21" r:id="rId40"/>
    <hyperlink xmlns:r="http://schemas.openxmlformats.org/officeDocument/2006/relationships" ref="G22" r:id="rId41"/>
    <hyperlink xmlns:r="http://schemas.openxmlformats.org/officeDocument/2006/relationships" ref="O22" r:id="rId42"/>
    <hyperlink xmlns:r="http://schemas.openxmlformats.org/officeDocument/2006/relationships" ref="G23" r:id="rId43"/>
    <hyperlink xmlns:r="http://schemas.openxmlformats.org/officeDocument/2006/relationships" ref="O23" r:id="rId44"/>
    <hyperlink xmlns:r="http://schemas.openxmlformats.org/officeDocument/2006/relationships" ref="G24" r:id="rId45"/>
    <hyperlink xmlns:r="http://schemas.openxmlformats.org/officeDocument/2006/relationships" ref="O24" r:id="rId46"/>
    <hyperlink xmlns:r="http://schemas.openxmlformats.org/officeDocument/2006/relationships" ref="G25" r:id="rId47"/>
    <hyperlink xmlns:r="http://schemas.openxmlformats.org/officeDocument/2006/relationships" ref="O25" r:id="rId48"/>
    <hyperlink xmlns:r="http://schemas.openxmlformats.org/officeDocument/2006/relationships" ref="G26" r:id="rId49"/>
    <hyperlink xmlns:r="http://schemas.openxmlformats.org/officeDocument/2006/relationships" ref="O26" r:id="rId50"/>
    <hyperlink xmlns:r="http://schemas.openxmlformats.org/officeDocument/2006/relationships" ref="G27" r:id="rId51"/>
    <hyperlink xmlns:r="http://schemas.openxmlformats.org/officeDocument/2006/relationships" ref="O27" r:id="rId52"/>
    <hyperlink xmlns:r="http://schemas.openxmlformats.org/officeDocument/2006/relationships" ref="G28" r:id="rId53"/>
    <hyperlink xmlns:r="http://schemas.openxmlformats.org/officeDocument/2006/relationships" ref="O28" r:id="rId54"/>
    <hyperlink xmlns:r="http://schemas.openxmlformats.org/officeDocument/2006/relationships" ref="G29" r:id="rId55"/>
    <hyperlink xmlns:r="http://schemas.openxmlformats.org/officeDocument/2006/relationships" ref="O29" r:id="rId56"/>
    <hyperlink xmlns:r="http://schemas.openxmlformats.org/officeDocument/2006/relationships" ref="G30" r:id="rId57"/>
    <hyperlink xmlns:r="http://schemas.openxmlformats.org/officeDocument/2006/relationships" ref="O30" r:id="rId58"/>
    <hyperlink xmlns:r="http://schemas.openxmlformats.org/officeDocument/2006/relationships" ref="G31" r:id="rId59"/>
    <hyperlink xmlns:r="http://schemas.openxmlformats.org/officeDocument/2006/relationships" ref="O31" r:id="rId60"/>
    <hyperlink xmlns:r="http://schemas.openxmlformats.org/officeDocument/2006/relationships" ref="G32" r:id="rId61"/>
    <hyperlink xmlns:r="http://schemas.openxmlformats.org/officeDocument/2006/relationships" ref="O32" r:id="rId62"/>
    <hyperlink xmlns:r="http://schemas.openxmlformats.org/officeDocument/2006/relationships" ref="G33" r:id="rId63"/>
    <hyperlink xmlns:r="http://schemas.openxmlformats.org/officeDocument/2006/relationships" ref="O33" r:id="rId64"/>
    <hyperlink xmlns:r="http://schemas.openxmlformats.org/officeDocument/2006/relationships" ref="G34" r:id="rId65"/>
    <hyperlink xmlns:r="http://schemas.openxmlformats.org/officeDocument/2006/relationships" ref="O34" r:id="rId66"/>
    <hyperlink xmlns:r="http://schemas.openxmlformats.org/officeDocument/2006/relationships" ref="G35" r:id="rId67"/>
    <hyperlink xmlns:r="http://schemas.openxmlformats.org/officeDocument/2006/relationships" ref="O35" r:id="rId68"/>
    <hyperlink xmlns:r="http://schemas.openxmlformats.org/officeDocument/2006/relationships" ref="G36" r:id="rId69"/>
    <hyperlink xmlns:r="http://schemas.openxmlformats.org/officeDocument/2006/relationships" ref="O36" r:id="rId70"/>
    <hyperlink xmlns:r="http://schemas.openxmlformats.org/officeDocument/2006/relationships" ref="G37" r:id="rId71"/>
    <hyperlink xmlns:r="http://schemas.openxmlformats.org/officeDocument/2006/relationships" ref="O37" r:id="rId72"/>
    <hyperlink xmlns:r="http://schemas.openxmlformats.org/officeDocument/2006/relationships" ref="G38" r:id="rId73"/>
    <hyperlink xmlns:r="http://schemas.openxmlformats.org/officeDocument/2006/relationships" ref="O38" r:id="rId74"/>
    <hyperlink xmlns:r="http://schemas.openxmlformats.org/officeDocument/2006/relationships" ref="G39" r:id="rId75"/>
    <hyperlink xmlns:r="http://schemas.openxmlformats.org/officeDocument/2006/relationships" ref="O39" r:id="rId76"/>
    <hyperlink xmlns:r="http://schemas.openxmlformats.org/officeDocument/2006/relationships" ref="G40" r:id="rId77"/>
    <hyperlink xmlns:r="http://schemas.openxmlformats.org/officeDocument/2006/relationships" ref="O40" r:id="rId78"/>
    <hyperlink xmlns:r="http://schemas.openxmlformats.org/officeDocument/2006/relationships" ref="G41" r:id="rId79"/>
    <hyperlink xmlns:r="http://schemas.openxmlformats.org/officeDocument/2006/relationships" ref="O41" r:id="rId80"/>
    <hyperlink xmlns:r="http://schemas.openxmlformats.org/officeDocument/2006/relationships" ref="G42" r:id="rId81"/>
    <hyperlink xmlns:r="http://schemas.openxmlformats.org/officeDocument/2006/relationships" ref="O42" r:id="rId82"/>
    <hyperlink xmlns:r="http://schemas.openxmlformats.org/officeDocument/2006/relationships" ref="G43" r:id="rId83"/>
    <hyperlink xmlns:r="http://schemas.openxmlformats.org/officeDocument/2006/relationships" ref="O43" r:id="rId84"/>
    <hyperlink xmlns:r="http://schemas.openxmlformats.org/officeDocument/2006/relationships" ref="G44" r:id="rId85"/>
    <hyperlink xmlns:r="http://schemas.openxmlformats.org/officeDocument/2006/relationships" ref="O44" r:id="rId86"/>
    <hyperlink xmlns:r="http://schemas.openxmlformats.org/officeDocument/2006/relationships" ref="G45" r:id="rId87"/>
    <hyperlink xmlns:r="http://schemas.openxmlformats.org/officeDocument/2006/relationships" ref="O45" r:id="rId88"/>
    <hyperlink xmlns:r="http://schemas.openxmlformats.org/officeDocument/2006/relationships" ref="G46" r:id="rId89"/>
    <hyperlink xmlns:r="http://schemas.openxmlformats.org/officeDocument/2006/relationships" ref="O46" r:id="rId90"/>
    <hyperlink xmlns:r="http://schemas.openxmlformats.org/officeDocument/2006/relationships" ref="G47" r:id="rId91"/>
    <hyperlink xmlns:r="http://schemas.openxmlformats.org/officeDocument/2006/relationships" ref="O47" r:id="rId92"/>
    <hyperlink xmlns:r="http://schemas.openxmlformats.org/officeDocument/2006/relationships" ref="G48" r:id="rId93"/>
    <hyperlink xmlns:r="http://schemas.openxmlformats.org/officeDocument/2006/relationships" ref="O48" r:id="rId94"/>
    <hyperlink xmlns:r="http://schemas.openxmlformats.org/officeDocument/2006/relationships" ref="G49" r:id="rId95"/>
    <hyperlink xmlns:r="http://schemas.openxmlformats.org/officeDocument/2006/relationships" ref="O49" r:id="rId96"/>
    <hyperlink xmlns:r="http://schemas.openxmlformats.org/officeDocument/2006/relationships" ref="G50" r:id="rId97"/>
    <hyperlink xmlns:r="http://schemas.openxmlformats.org/officeDocument/2006/relationships" ref="O50" r:id="rId98"/>
    <hyperlink xmlns:r="http://schemas.openxmlformats.org/officeDocument/2006/relationships" ref="G51" r:id="rId99"/>
    <hyperlink xmlns:r="http://schemas.openxmlformats.org/officeDocument/2006/relationships" ref="O51" r:id="rId100"/>
    <hyperlink xmlns:r="http://schemas.openxmlformats.org/officeDocument/2006/relationships" ref="G52" r:id="rId101"/>
    <hyperlink xmlns:r="http://schemas.openxmlformats.org/officeDocument/2006/relationships" ref="O52" r:id="rId102"/>
    <hyperlink xmlns:r="http://schemas.openxmlformats.org/officeDocument/2006/relationships" ref="G53" r:id="rId103"/>
    <hyperlink xmlns:r="http://schemas.openxmlformats.org/officeDocument/2006/relationships" ref="O53" r:id="rId104"/>
    <hyperlink xmlns:r="http://schemas.openxmlformats.org/officeDocument/2006/relationships" ref="G54" r:id="rId105"/>
    <hyperlink xmlns:r="http://schemas.openxmlformats.org/officeDocument/2006/relationships" ref="O54" r:id="rId106"/>
    <hyperlink xmlns:r="http://schemas.openxmlformats.org/officeDocument/2006/relationships" ref="G55" r:id="rId107"/>
    <hyperlink xmlns:r="http://schemas.openxmlformats.org/officeDocument/2006/relationships" ref="O55" r:id="rId108"/>
    <hyperlink xmlns:r="http://schemas.openxmlformats.org/officeDocument/2006/relationships" ref="G56" r:id="rId109"/>
    <hyperlink xmlns:r="http://schemas.openxmlformats.org/officeDocument/2006/relationships" ref="O56" r:id="rId110"/>
    <hyperlink xmlns:r="http://schemas.openxmlformats.org/officeDocument/2006/relationships" ref="G57" r:id="rId111"/>
    <hyperlink xmlns:r="http://schemas.openxmlformats.org/officeDocument/2006/relationships" ref="O57" r:id="rId112"/>
    <hyperlink xmlns:r="http://schemas.openxmlformats.org/officeDocument/2006/relationships" ref="G58" r:id="rId113"/>
    <hyperlink xmlns:r="http://schemas.openxmlformats.org/officeDocument/2006/relationships" ref="O58" r:id="rId114"/>
    <hyperlink xmlns:r="http://schemas.openxmlformats.org/officeDocument/2006/relationships" ref="G59" r:id="rId115"/>
    <hyperlink xmlns:r="http://schemas.openxmlformats.org/officeDocument/2006/relationships" ref="O59" r:id="rId116"/>
    <hyperlink xmlns:r="http://schemas.openxmlformats.org/officeDocument/2006/relationships" ref="G60" r:id="rId117"/>
    <hyperlink xmlns:r="http://schemas.openxmlformats.org/officeDocument/2006/relationships" ref="O60" r:id="rId118"/>
    <hyperlink xmlns:r="http://schemas.openxmlformats.org/officeDocument/2006/relationships" ref="G61" r:id="rId119"/>
    <hyperlink xmlns:r="http://schemas.openxmlformats.org/officeDocument/2006/relationships" ref="O61" r:id="rId120"/>
    <hyperlink xmlns:r="http://schemas.openxmlformats.org/officeDocument/2006/relationships" ref="G62" r:id="rId121"/>
    <hyperlink xmlns:r="http://schemas.openxmlformats.org/officeDocument/2006/relationships" ref="O62" r:id="rId122"/>
    <hyperlink xmlns:r="http://schemas.openxmlformats.org/officeDocument/2006/relationships" ref="G63" r:id="rId123"/>
    <hyperlink xmlns:r="http://schemas.openxmlformats.org/officeDocument/2006/relationships" ref="O63" r:id="rId124"/>
    <hyperlink xmlns:r="http://schemas.openxmlformats.org/officeDocument/2006/relationships" ref="G64" r:id="rId125"/>
    <hyperlink xmlns:r="http://schemas.openxmlformats.org/officeDocument/2006/relationships" ref="O64" r:id="rId126"/>
    <hyperlink xmlns:r="http://schemas.openxmlformats.org/officeDocument/2006/relationships" ref="G65" r:id="rId127"/>
    <hyperlink xmlns:r="http://schemas.openxmlformats.org/officeDocument/2006/relationships" ref="O65" r:id="rId128"/>
    <hyperlink xmlns:r="http://schemas.openxmlformats.org/officeDocument/2006/relationships" ref="G66" r:id="rId129"/>
    <hyperlink xmlns:r="http://schemas.openxmlformats.org/officeDocument/2006/relationships" ref="O66" r:id="rId130"/>
    <hyperlink xmlns:r="http://schemas.openxmlformats.org/officeDocument/2006/relationships" ref="G67" r:id="rId131"/>
    <hyperlink xmlns:r="http://schemas.openxmlformats.org/officeDocument/2006/relationships" ref="O67" r:id="rId132"/>
    <hyperlink xmlns:r="http://schemas.openxmlformats.org/officeDocument/2006/relationships" ref="G68" r:id="rId133"/>
    <hyperlink xmlns:r="http://schemas.openxmlformats.org/officeDocument/2006/relationships" ref="O68" r:id="rId134"/>
    <hyperlink xmlns:r="http://schemas.openxmlformats.org/officeDocument/2006/relationships" ref="G69" r:id="rId135"/>
    <hyperlink xmlns:r="http://schemas.openxmlformats.org/officeDocument/2006/relationships" ref="O69" r:id="rId136"/>
    <hyperlink xmlns:r="http://schemas.openxmlformats.org/officeDocument/2006/relationships" ref="G70" r:id="rId137"/>
    <hyperlink xmlns:r="http://schemas.openxmlformats.org/officeDocument/2006/relationships" ref="O70" r:id="rId138"/>
    <hyperlink xmlns:r="http://schemas.openxmlformats.org/officeDocument/2006/relationships" ref="G71" r:id="rId139"/>
    <hyperlink xmlns:r="http://schemas.openxmlformats.org/officeDocument/2006/relationships" ref="O71" r:id="rId140"/>
    <hyperlink xmlns:r="http://schemas.openxmlformats.org/officeDocument/2006/relationships" ref="G72" r:id="rId141"/>
    <hyperlink xmlns:r="http://schemas.openxmlformats.org/officeDocument/2006/relationships" ref="O72" r:id="rId142"/>
    <hyperlink xmlns:r="http://schemas.openxmlformats.org/officeDocument/2006/relationships" ref="G73" r:id="rId143"/>
    <hyperlink xmlns:r="http://schemas.openxmlformats.org/officeDocument/2006/relationships" ref="O73" r:id="rId144"/>
    <hyperlink xmlns:r="http://schemas.openxmlformats.org/officeDocument/2006/relationships" ref="G74" r:id="rId145"/>
    <hyperlink xmlns:r="http://schemas.openxmlformats.org/officeDocument/2006/relationships" ref="O74" r:id="rId146"/>
    <hyperlink xmlns:r="http://schemas.openxmlformats.org/officeDocument/2006/relationships" ref="G75" r:id="rId147"/>
    <hyperlink xmlns:r="http://schemas.openxmlformats.org/officeDocument/2006/relationships" ref="O75" r:id="rId148"/>
    <hyperlink xmlns:r="http://schemas.openxmlformats.org/officeDocument/2006/relationships" ref="G76" r:id="rId149"/>
    <hyperlink xmlns:r="http://schemas.openxmlformats.org/officeDocument/2006/relationships" ref="O76" r:id="rId150"/>
    <hyperlink xmlns:r="http://schemas.openxmlformats.org/officeDocument/2006/relationships" ref="G77" r:id="rId151"/>
    <hyperlink xmlns:r="http://schemas.openxmlformats.org/officeDocument/2006/relationships" ref="O77" r:id="rId152"/>
    <hyperlink xmlns:r="http://schemas.openxmlformats.org/officeDocument/2006/relationships" ref="G78" r:id="rId153"/>
    <hyperlink xmlns:r="http://schemas.openxmlformats.org/officeDocument/2006/relationships" ref="O78" r:id="rId154"/>
    <hyperlink xmlns:r="http://schemas.openxmlformats.org/officeDocument/2006/relationships" ref="G79" r:id="rId155"/>
    <hyperlink xmlns:r="http://schemas.openxmlformats.org/officeDocument/2006/relationships" ref="O79" r:id="rId156"/>
    <hyperlink xmlns:r="http://schemas.openxmlformats.org/officeDocument/2006/relationships" ref="G80" r:id="rId157"/>
    <hyperlink xmlns:r="http://schemas.openxmlformats.org/officeDocument/2006/relationships" ref="O80" r:id="rId158"/>
    <hyperlink xmlns:r="http://schemas.openxmlformats.org/officeDocument/2006/relationships" ref="G81" r:id="rId159"/>
    <hyperlink xmlns:r="http://schemas.openxmlformats.org/officeDocument/2006/relationships" ref="O81" r:id="rId160"/>
    <hyperlink xmlns:r="http://schemas.openxmlformats.org/officeDocument/2006/relationships" ref="G82" r:id="rId161"/>
    <hyperlink xmlns:r="http://schemas.openxmlformats.org/officeDocument/2006/relationships" ref="O82" r:id="rId162"/>
    <hyperlink xmlns:r="http://schemas.openxmlformats.org/officeDocument/2006/relationships" ref="G83" r:id="rId163"/>
    <hyperlink xmlns:r="http://schemas.openxmlformats.org/officeDocument/2006/relationships" ref="O83" r:id="rId164"/>
    <hyperlink xmlns:r="http://schemas.openxmlformats.org/officeDocument/2006/relationships" ref="G84" r:id="rId165"/>
    <hyperlink xmlns:r="http://schemas.openxmlformats.org/officeDocument/2006/relationships" ref="O84" r:id="rId166"/>
    <hyperlink xmlns:r="http://schemas.openxmlformats.org/officeDocument/2006/relationships" ref="G85" r:id="rId167"/>
    <hyperlink xmlns:r="http://schemas.openxmlformats.org/officeDocument/2006/relationships" ref="O85" r:id="rId168"/>
    <hyperlink xmlns:r="http://schemas.openxmlformats.org/officeDocument/2006/relationships" ref="G86" r:id="rId169"/>
    <hyperlink xmlns:r="http://schemas.openxmlformats.org/officeDocument/2006/relationships" ref="O86" r:id="rId170"/>
    <hyperlink xmlns:r="http://schemas.openxmlformats.org/officeDocument/2006/relationships" ref="G87" r:id="rId171"/>
    <hyperlink xmlns:r="http://schemas.openxmlformats.org/officeDocument/2006/relationships" ref="O87" r:id="rId172"/>
    <hyperlink xmlns:r="http://schemas.openxmlformats.org/officeDocument/2006/relationships" ref="G88" r:id="rId173"/>
    <hyperlink xmlns:r="http://schemas.openxmlformats.org/officeDocument/2006/relationships" ref="O88" r:id="rId174"/>
    <hyperlink xmlns:r="http://schemas.openxmlformats.org/officeDocument/2006/relationships" ref="G89" r:id="rId175"/>
    <hyperlink xmlns:r="http://schemas.openxmlformats.org/officeDocument/2006/relationships" ref="O89" r:id="rId176"/>
    <hyperlink xmlns:r="http://schemas.openxmlformats.org/officeDocument/2006/relationships" ref="G90" r:id="rId177"/>
    <hyperlink xmlns:r="http://schemas.openxmlformats.org/officeDocument/2006/relationships" ref="O90" r:id="rId178"/>
    <hyperlink xmlns:r="http://schemas.openxmlformats.org/officeDocument/2006/relationships" ref="G91" r:id="rId179"/>
    <hyperlink xmlns:r="http://schemas.openxmlformats.org/officeDocument/2006/relationships" ref="O91" r:id="rId180"/>
    <hyperlink xmlns:r="http://schemas.openxmlformats.org/officeDocument/2006/relationships" ref="G92" r:id="rId181"/>
    <hyperlink xmlns:r="http://schemas.openxmlformats.org/officeDocument/2006/relationships" ref="O92" r:id="rId182"/>
  </hyperlink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D365"/>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115" customWidth="1" style="8" min="4" max="4"/>
  </cols>
  <sheetData>
    <row r="1" ht="42" customFormat="1" customHeight="1" s="8">
      <c r="A1" s="5" t="inlineStr">
        <is>
          <t>key</t>
        </is>
      </c>
      <c r="B1" s="5" t="inlineStr">
        <is>
          <t>order</t>
        </is>
      </c>
      <c r="C1" s="5" t="inlineStr">
        <is>
          <t>section</t>
        </is>
      </c>
      <c r="D1" s="5" t="inlineStr">
        <is>
          <t>text</t>
        </is>
      </c>
    </row>
    <row r="2" ht="180" customFormat="1" customHeight="1" s="8">
      <c r="A2" s="12" t="inlineStr">
        <is>
          <t>2024::jama.2024.0318::C001</t>
        </is>
      </c>
      <c r="B2" s="12" t="n">
        <v>0</v>
      </c>
      <c r="C2" s="12" t="inlineStr">
        <is>
          <t>Source evidence</t>
        </is>
      </c>
      <c r="D2" s="12" t="inlineStr">
        <is>
          <t>The figure states 305 Available for long-term follow-up and randomized, then shows 193 Randomized to undergo bariatric surgery and 122 Randomized to undergo medical/lifestyle intervention. Its enrolled counts are 166 and 96.</t>
        </is>
      </c>
    </row>
    <row r="3" ht="180" customFormat="1" customHeight="1" s="8">
      <c r="A3" s="11" t="inlineStr">
        <is>
          <t>2024::jama.2024.0318::C001</t>
        </is>
      </c>
      <c r="B3" s="11" t="n">
        <v>1</v>
      </c>
      <c r="C3" s="11" t="inlineStr">
        <is>
          <t>Reported-versus-comparator</t>
        </is>
      </c>
      <c r="D3" s="11" t="inlineStr">
        <is>
          <t>Reported parent: 305 available. Comparator branches: 193 + 122 = 315. Separately, enrolled counts 166 + 96 = 262.</t>
        </is>
      </c>
    </row>
    <row r="4" ht="180" customFormat="1" customHeight="1" s="8">
      <c r="A4" s="12" t="inlineStr">
        <is>
          <t>2024::jama.2024.0318::C001</t>
        </is>
      </c>
      <c r="B4" s="12" t="n">
        <v>2</v>
      </c>
      <c r="C4" s="12" t="inlineStr">
        <is>
          <t>Calculation</t>
        </is>
      </c>
      <c r="D4" s="12" t="inlineStr">
        <is>
          <t>193 + 122 = 315; 315 - 305 = 10. Separately, 166 + 96 = 262, and 262 / 305 × 100 = 85.90%, consistent with the printed 86% after rounding.</t>
        </is>
      </c>
    </row>
    <row r="5" ht="180" customFormat="1" customHeight="1" s="8">
      <c r="A5" s="11" t="inlineStr">
        <is>
          <t>2024::jama.2024.0318::C001</t>
        </is>
      </c>
      <c r="B5" s="11" t="n">
        <v>3</v>
      </c>
      <c r="C5" s="11" t="inlineStr">
        <is>
          <t>Alternative source-grounded interpretations</t>
        </is>
      </c>
      <c r="D5" s="11" t="inlineStr">
        <is>
          <t>The branch counts may preserve an earlier assignment cohort; the parent total may be wrong; or one or both branch counts or population labels may be wrong. The treatment-arm distribution of the 11 persons between 316 eligible and 305 available is not supplied.</t>
        </is>
      </c>
    </row>
    <row r="6" ht="180" customFormat="1" customHeight="1" s="8">
      <c r="A6" s="12" t="inlineStr">
        <is>
          <t>2024::jama.2024.0318::C002</t>
        </is>
      </c>
      <c r="B6" s="12" t="n">
        <v>0</v>
      </c>
      <c r="C6" s="12" t="inlineStr">
        <is>
          <t>Source evidence</t>
        </is>
      </c>
      <c r="D6" s="12" t="inlineStr">
        <is>
          <t>The supplement title and both value columns state year 12; footnote e calls remission a 12-year rate. Footnotes a-c refer to baseline and year-7 data, 7-year-over-baseline ratios/odds, 7-year changes, and odds at year 7. The main article identifies the HbA1c eTable 2 result as at 12 years.</t>
        </is>
      </c>
    </row>
    <row r="7" ht="180" customFormat="1" customHeight="1" s="8">
      <c r="A7" s="11" t="inlineStr">
        <is>
          <t>2024::jama.2024.0318::C002</t>
        </is>
      </c>
      <c r="B7" s="11" t="n">
        <v>1</v>
      </c>
      <c r="C7" s="11" t="inlineStr">
        <is>
          <t>Reported-versus-comparator</t>
        </is>
      </c>
      <c r="D7" s="11" t="inlineStr">
        <is>
          <t>Reported headings and main-text pointer: year 12. Comparator footnote definitions: year 7.</t>
        </is>
      </c>
    </row>
    <row r="8" ht="180" customFormat="1" customHeight="1" s="8">
      <c r="A8" s="12" t="inlineStr">
        <is>
          <t>2024::jama.2024.0318::C002</t>
        </is>
      </c>
      <c r="B8" s="12" t="n">
        <v>2</v>
      </c>
      <c r="C8" s="12" t="inlineStr">
        <is>
          <t>Calculation</t>
        </is>
      </c>
      <c r="D8" s="12" t="inlineStr">
        <is>
          <t>No arithmetic is required: year 12 and year 7 are distinct timepoint definitions.</t>
        </is>
      </c>
    </row>
    <row r="9" ht="180" customFormat="1" customHeight="1" s="8">
      <c r="A9" s="11" t="inlineStr">
        <is>
          <t>2024::jama.2024.0318::C002</t>
        </is>
      </c>
      <c r="B9" s="11" t="n">
        <v>3</v>
      </c>
      <c r="C9" s="11" t="inlineStr">
        <is>
          <t>Alternative source-grounded interpretations</t>
        </is>
      </c>
      <c r="D9" s="11" t="inlineStr">
        <is>
          <t>Footnotes may retain residual year-7 wording; the title/columns may be wrong; or the table may intentionally combine year-12 descriptive values with year-7 modeled quantities without a printed explanation.</t>
        </is>
      </c>
    </row>
    <row r="10" ht="180" customFormat="1" customHeight="1" s="8">
      <c r="A10" s="12" t="inlineStr">
        <is>
          <t>2024::jama.2024.0318::C003</t>
        </is>
      </c>
      <c r="B10" s="12" t="n">
        <v>0</v>
      </c>
      <c r="C10" s="12" t="inlineStr">
        <is>
          <t>Source evidence</t>
        </is>
      </c>
      <c r="D10" s="12" t="inlineStr">
        <is>
          <t>Main-paper pages 1 and 3 print a surgery-minus-medical/lifestyle difference of -1.1% (95% CI, -1.7% to -0.5%) with P = .002; page 3 points to eTable 2. eTable 2 prints -1.1 (-1.7, -0.5) under its year-12 heading with P &lt; .001.</t>
        </is>
      </c>
    </row>
    <row r="11" ht="180" customFormat="1" customHeight="1" s="8">
      <c r="A11" s="11" t="inlineStr">
        <is>
          <t>2024::jama.2024.0318::C003</t>
        </is>
      </c>
      <c r="B11" s="11" t="n">
        <v>1</v>
      </c>
      <c r="C11" s="11" t="inlineStr">
        <is>
          <t>Reported-versus-comparator</t>
        </is>
      </c>
      <c r="D11" s="11" t="inlineStr">
        <is>
          <t>Main result: P = .002. Supplement comparator for the matching displayed estimate and interval: P &lt; .001.</t>
        </is>
      </c>
    </row>
    <row r="12" ht="180" customFormat="1" customHeight="1" s="8">
      <c r="A12" s="12" t="inlineStr">
        <is>
          <t>2024::jama.2024.0318::C003</t>
        </is>
      </c>
      <c r="B12" s="12" t="n">
        <v>2</v>
      </c>
      <c r="C12" s="12" t="inlineStr">
        <is>
          <t>Calculation</t>
        </is>
      </c>
      <c r="D12" s="12" t="inlineStr">
        <is>
          <t>The estimate and interval agree at displayed precision. .002 &lt; .001 is false, so a displayed P value of .002 is incompatible with &lt;.001 for an otherwise matched result.</t>
        </is>
      </c>
    </row>
    <row r="13" ht="180" customFormat="1" customHeight="1" s="8">
      <c r="A13" s="11" t="inlineStr">
        <is>
          <t>2024::jama.2024.0318::C003</t>
        </is>
      </c>
      <c r="B13" s="11" t="n">
        <v>3</v>
      </c>
      <c r="C13" s="11" t="inlineStr">
        <is>
          <t>Alternative source-grounded interpretations</t>
        </is>
      </c>
      <c r="D13" s="11" t="inlineStr">
        <is>
          <t>One P value may be intended; the supplement may use a different unlabeled timepoint, test, model, or variance method. C002's conflicting timepoint footnotes leave the supplement estimand incompletely defined.</t>
        </is>
      </c>
    </row>
    <row r="14" ht="180" customFormat="1" customHeight="1" s="8">
      <c r="A14" s="12" t="inlineStr">
        <is>
          <t>2024::jama.2024.0318::C004</t>
        </is>
      </c>
      <c r="B14" s="12" t="n">
        <v>0</v>
      </c>
      <c r="C14" s="12" t="inlineStr">
        <is>
          <t>Source evidence</t>
        </is>
      </c>
      <c r="D14" s="12" t="inlineStr">
        <is>
          <t>The narrative states HbA1c less than or equal to 6.5% with P = .002; Table 2. The cited table row is HbA1c &lt;6.5%, %, with 17.3% and 37.7%, OR 2.89 (95% CI 1.48-5.64), and P = .002.</t>
        </is>
      </c>
    </row>
    <row r="15" ht="180" customFormat="1" customHeight="1" s="8">
      <c r="A15" s="11" t="inlineStr">
        <is>
          <t>2024::jama.2024.0318::C004</t>
        </is>
      </c>
      <c r="B15" s="11" t="n">
        <v>1</v>
      </c>
      <c r="C15" s="11" t="inlineStr">
        <is>
          <t>Reported-versus-comparator</t>
        </is>
      </c>
      <c r="D15" s="11" t="inlineStr">
        <is>
          <t>Reported narrative operator: &lt;=6.5%. Table comparator operator: &lt;6.5%, linked by the same P value and direct Table 2 citation.</t>
        </is>
      </c>
    </row>
    <row r="16" ht="180" customFormat="1" customHeight="1" s="8">
      <c r="A16" s="12" t="inlineStr">
        <is>
          <t>2024::jama.2024.0318::C004</t>
        </is>
      </c>
      <c r="B16" s="12" t="n">
        <v>2</v>
      </c>
      <c r="C16" s="12" t="inlineStr">
        <is>
          <t>Calculation</t>
        </is>
      </c>
      <c r="D16" s="12" t="inlineStr">
        <is>
          <t>{x: x &lt; 6.5} is a subset of {x: x &lt;= 6.5}; only values exactly equal to 6.5 differ in membership.</t>
        </is>
      </c>
    </row>
    <row r="17" ht="180" customFormat="1" customHeight="1" s="8">
      <c r="A17" s="11" t="inlineStr">
        <is>
          <t>2024::jama.2024.0318::C004</t>
        </is>
      </c>
      <c r="B17" s="11" t="n">
        <v>3</v>
      </c>
      <c r="C17" s="11" t="inlineStr">
        <is>
          <t>Alternative source-grounded interpretations</t>
        </is>
      </c>
      <c r="D17" s="11" t="inlineStr">
        <is>
          <t>The prose may be imprecise, the table may omit equality, or an undocumented measurement-precision/rounding convention may reconcile the labels. The package does not report the number at exactly 6.5%.</t>
        </is>
      </c>
    </row>
    <row r="18" ht="180" customFormat="1" customHeight="1" s="8">
      <c r="A18" s="12" t="inlineStr">
        <is>
          <t>2024::jama.2024.0318::C005</t>
        </is>
      </c>
      <c r="B18" s="12" t="n">
        <v>0</v>
      </c>
      <c r="C18" s="12" t="inlineStr">
        <is>
          <t>Source evidence</t>
        </is>
      </c>
      <c r="D18" s="12" t="inlineStr">
        <is>
          <t>The abstract reports 4 deaths (2.2%), 2 in each group. The displayed enrolled groups are 96 medical/lifestyle and 166 surgery. Table 3 reports 2 (2.1%) of 96 and 2 (1.2%) of 166; the Results narrative also states four deaths, two per group.</t>
        </is>
      </c>
    </row>
    <row r="19" ht="180" customFormat="1" customHeight="1" s="8">
      <c r="A19" s="11" t="inlineStr">
        <is>
          <t>2024::jama.2024.0318::C005</t>
        </is>
      </c>
      <c r="B19" s="11" t="n">
        <v>1</v>
      </c>
      <c r="C19" s="11" t="inlineStr">
        <is>
          <t>Reported-versus-comparator</t>
        </is>
      </c>
      <c r="D19" s="11" t="inlineStr">
        <is>
          <t>Abstract: four deaths, 2.2%. Comparator: four deaths among displayed group denominators totaling 262.</t>
        </is>
      </c>
    </row>
    <row r="20" ht="180" customFormat="1" customHeight="1" s="8">
      <c r="A20" s="12" t="inlineStr">
        <is>
          <t>2024::jama.2024.0318::C005</t>
        </is>
      </c>
      <c r="B20" s="12" t="n">
        <v>2</v>
      </c>
      <c r="C20" s="12" t="inlineStr">
        <is>
          <t>Calculation</t>
        </is>
      </c>
      <c r="D20" s="12" t="inlineStr">
        <is>
          <t>2 / 96 × 100 = 2.0833% → 2.1%; 2 / 166 × 100 = 1.2048% → 1.2%; 4 / (96 + 166) × 100 = 1.5267% → 1.5%, not 2.2%.</t>
        </is>
      </c>
    </row>
    <row r="21" ht="180" customFormat="1" customHeight="1" s="8">
      <c r="A21" s="11" t="inlineStr">
        <is>
          <t>2024::jama.2024.0318::C005</t>
        </is>
      </c>
      <c r="B21" s="11" t="n">
        <v>3</v>
      </c>
      <c r="C21" s="11" t="inlineStr">
        <is>
          <t>Alternative source-grounded interpretations</t>
        </is>
      </c>
      <c r="D21" s="11" t="inlineStr">
        <is>
          <t>The abstract may use an unstated risk-set denominator or measure; its percentage may be a transcription difference; or Table 3 may represent a population not distinguished in the abstract. The package does not identify the abstract denominator.</t>
        </is>
      </c>
    </row>
    <row r="22" ht="180" customFormat="1" customHeight="1" s="8">
      <c r="A22" s="12" t="inlineStr">
        <is>
          <t>2024::jama.2024.0318::C006</t>
        </is>
      </c>
      <c r="B22" s="12" t="n">
        <v>0</v>
      </c>
      <c r="C22" s="12" t="inlineStr">
        <is>
          <t>Source evidence</t>
        </is>
      </c>
      <c r="D22" s="12" t="inlineStr">
        <is>
          <t>The main article describes BMI 27 to &lt;35 versus BMI 35 or greater and cites eFigure 6. eFigure 6 repeatedly labels the groups BMI &lt;35 and BMI &gt;35 for the corresponding HbA1c and weight-loss analysis.</t>
        </is>
      </c>
    </row>
    <row r="23" ht="180" customFormat="1" customHeight="1" s="8">
      <c r="A23" s="11" t="inlineStr">
        <is>
          <t>2024::jama.2024.0318::C006</t>
        </is>
      </c>
      <c r="B23" s="11" t="n">
        <v>1</v>
      </c>
      <c r="C23" s="11" t="inlineStr">
        <is>
          <t>Reported-versus-comparator</t>
        </is>
      </c>
      <c r="D23" s="11" t="inlineStr">
        <is>
          <t>Main higher subgroup: BMI &gt;=35. eFigure higher subgroup: BMI &gt;35, with lower subgroup BMI &lt;35.</t>
        </is>
      </c>
    </row>
    <row r="24" ht="180" customFormat="1" customHeight="1" s="8">
      <c r="A24" s="12" t="inlineStr">
        <is>
          <t>2024::jama.2024.0318::C006</t>
        </is>
      </c>
      <c r="B24" s="12" t="n">
        <v>2</v>
      </c>
      <c r="C24" s="12" t="inlineStr">
        <is>
          <t>Calculation</t>
        </is>
      </c>
      <c r="D24" s="12" t="inlineStr">
        <is>
          <t>The complement of {x: x &lt; 35} is {x: x &gt;= 35}. The figure pair {x: x &lt; 35} and {x: x &gt; 35} leaves x = 35 unassigned, whereas the main-text higher set includes it.</t>
        </is>
      </c>
    </row>
    <row r="25" ht="180" customFormat="1" customHeight="1" s="8">
      <c r="A25" s="11" t="inlineStr">
        <is>
          <t>2024::jama.2024.0318::C006</t>
        </is>
      </c>
      <c r="B25" s="11" t="n">
        <v>3</v>
      </c>
      <c r="C25" s="11" t="inlineStr">
        <is>
          <t>Alternative source-grounded interpretations</t>
        </is>
      </c>
      <c r="D25" s="11" t="inlineStr">
        <is>
          <t>The figure may have omitted equality; the main wording may be imprecise; or no participant may have had unrounded BMI exactly 35. The supplied package does not establish which operator was implemented.</t>
        </is>
      </c>
    </row>
    <row r="26" ht="180" customFormat="1" customHeight="1" s="8">
      <c r="A26" s="12" t="inlineStr">
        <is>
          <t>2024::jama.2024.0572::C001</t>
        </is>
      </c>
      <c r="B26" s="12" t="n">
        <v>0</v>
      </c>
      <c r="C26" s="12" t="inlineStr">
        <is>
          <t>Source evidence</t>
        </is>
      </c>
      <c r="D26" s="12" t="inlineStr">
        <is>
          <t>Figure 2 is titled as an intention-to-treat 90-day mRS distribution. Its core-stratum denominators total EVT 117+51=168 and medical management (MM) 119+49=168. eTable 2 is also explicitly ITT with EVT N=168 and MM N=168, and prints mRS 0-2 as 34/168 and 12/168, mRS 0-3 as 65/168 and 31/168, and mRS 5-6 as 76/168 and 102/168, respectively.</t>
        </is>
      </c>
    </row>
    <row r="27" ht="180" customFormat="1" customHeight="1" s="8">
      <c r="A27" s="11" t="inlineStr">
        <is>
          <t>2024::jama.2024.0572::C001</t>
        </is>
      </c>
      <c r="B27" s="11" t="n">
        <v>1</v>
      </c>
      <c r="C27" s="11" t="inlineStr">
        <is>
          <t>Reported-versus-comparator</t>
        </is>
      </c>
      <c r="D27" s="11" t="inlineStr">
        <is>
          <t>From Figure 2's printed percentages and denominators, the uniquely feasible mRS 0-6 counts are EVT &lt;100 mL [2, 7, 21, 26, 17, 9, 35], EVT &gt;=100 mL [1, 3, 5, 10, 0, 5, 27], MM &lt;100 mL [0, 2, 9, 17, 27, 24, 40], and MM &gt;=100 mL [1, 0, 2, 8, 0, 8, 30]. These yield Figure-derived EVT/MM mRS 0-2 counts of 39/14 and mRS 0-3 counts of 75/39, versus eTable 2 counts of 34/12 and 65/31. The mRS 5-6 counts reconcile at 76/102; reconstructed mRS-6 counts 62/70 also reconcile with eTable mortality.</t>
        </is>
      </c>
    </row>
    <row r="28" ht="180" customFormat="1" customHeight="1" s="8">
      <c r="A28" s="12" t="inlineStr">
        <is>
          <t>2024::jama.2024.0572::C001</t>
        </is>
      </c>
      <c r="B28" s="12" t="n">
        <v>2</v>
      </c>
      <c r="C28" s="12" t="inlineStr">
        <is>
          <t>Calculation</t>
        </is>
      </c>
      <c r="D28" s="12" t="inlineStr">
        <is>
          <t>The Figure-derived minus eTable 2 differences are +5 EVT and +2 MM for mRS 0-2; +10 EVT and +8 MM for mRS 0-3; and 0/0 for mRS 5-6. The direct sources do not state the figure's unrounded values or percentage-production rule, so this is a reproducible diagnostic comparison, not an attribution of cause.</t>
        </is>
      </c>
    </row>
    <row r="29" ht="180" customFormat="1" customHeight="1" s="8">
      <c r="A29" s="11" t="inlineStr">
        <is>
          <t>2024::jama.2024.0572::C001</t>
        </is>
      </c>
      <c r="B29" s="11" t="n">
        <v>3</v>
      </c>
      <c r="C29" s="11" t="inlineStr">
        <is>
          <t>Alternative source-grounded interpretations</t>
        </is>
      </c>
      <c r="D29" s="11" t="inlineStr">
        <is>
          <t>The displays may use different outcome derivations or versions despite identical ITT labels and arm totals; Figure 2 percentages, labels, or segment assignments may contain a production issue; eTable 2 may use an unstated outcome set; or an unstated non-nearest rounding, normalization, or weighting rule may invalidate the reconstruction.</t>
        </is>
      </c>
    </row>
    <row r="30" ht="180" customFormat="1" customHeight="1" s="8">
      <c r="A30" s="12" t="inlineStr">
        <is>
          <t>2024::jama.2024.0572::C002</t>
        </is>
      </c>
      <c r="B30" s="12" t="n">
        <v>0</v>
      </c>
      <c r="C30" s="12" t="inlineStr">
        <is>
          <t>Source evidence</t>
        </is>
      </c>
      <c r="D30" s="12" t="inlineStr">
        <is>
          <t>The narrative and Tables 2-3 expand aRR as “absolute risk reduction.” Table 2 states that values greater than 1 indicate a higher rate ratio and prints values including 0.89 (0.84-0.95), 0.91 (0.87-0.95), and 1.05 (1.02-1.08). Table 3 separately labels aRD as adjusted risk difference and gives, for example, aRR 1.33 (0.52-3.44) alongside aRD 0.178 (-0.109 to 0.465). The SAPs specify modified-Poisson relative-risk analyses.</t>
        </is>
      </c>
    </row>
    <row r="31" ht="180" customFormat="1" customHeight="1" s="8">
      <c r="A31" s="11" t="inlineStr">
        <is>
          <t>2024::jama.2024.0572::C002</t>
        </is>
      </c>
      <c r="B31" s="11" t="n">
        <v>1</v>
      </c>
      <c r="C31" s="11" t="inlineStr">
        <is>
          <t>Reported-versus-comparator</t>
        </is>
      </c>
      <c r="D31" s="11" t="inlineStr">
        <is>
          <t>An absolute risk reduction/risk difference is additive, expressed in risk units, and has a null value of 0. A risk or rate ratio is multiplicative, dimensionless, and has a null value of 1. The printed estimates, confidence intervals, and explicit greater-than-1 rate-ratio interpretation fit the latter scale; the repeated expansion “absolute risk reduction” does not reconcile with it.</t>
        </is>
      </c>
    </row>
    <row r="32" ht="180" customFormat="1" customHeight="1" s="8">
      <c r="A32" s="12" t="inlineStr">
        <is>
          <t>2024::jama.2024.0572::C002</t>
        </is>
      </c>
      <c r="B32" s="12" t="n">
        <v>2</v>
      </c>
      <c r="C32" s="12" t="inlineStr">
        <is>
          <t>Calculation</t>
        </is>
      </c>
      <c r="D32" s="12" t="inlineStr">
        <is>
          <t>This is a logical scale comparison rather than a numerical reconstruction. A value 1.33 with a confidence interval 0.52-3.44 is ratio-scale and centered on a null of 1; the separately printed aRD 0.178 with an interval spanning 0 is additive-scale. The source's own rate-ratio sentence confirms the mismatch.</t>
        </is>
      </c>
    </row>
    <row r="33" ht="180" customFormat="1" customHeight="1" s="8">
      <c r="A33" s="11" t="inlineStr">
        <is>
          <t>2024::jama.2024.0572::C002</t>
        </is>
      </c>
      <c r="B33" s="11" t="n">
        <v>3</v>
      </c>
      <c r="C33" s="11" t="inlineStr">
        <is>
          <t>Alternative source-grounded interpretations</t>
        </is>
      </c>
      <c r="D33" s="11" t="inlineStr">
        <is>
          <t>aRR may have been intended as adjusted risk ratio, while “absolute risk reduction” was a repeated abbreviation-key error. The tables' rate-ratio sentence may instead be unintended, or an unreported nonstandard term may have been used. The supplied package provides no definition that makes an absolute reduction compatible with the displayed ratio scale.</t>
        </is>
      </c>
    </row>
    <row r="34" ht="180" customFormat="1" customHeight="1" s="8">
      <c r="A34" s="12" t="inlineStr">
        <is>
          <t>2024::jama.2024.11057::C001</t>
        </is>
      </c>
      <c r="B34" s="12" t="n">
        <v>0</v>
      </c>
      <c r="C34" s="12" t="inlineStr">
        <is>
          <t>Source evidence</t>
        </is>
      </c>
      <c r="D34" s="12" t="inlineStr">
        <is>
          <t>D001 states “6 weeks before and 8 weeks after”; D002 states “a week before and 8 weeks afterward”; D003 states “1 week preceding” and 8 weeks afterward.</t>
        </is>
      </c>
    </row>
    <row r="35" ht="180" customFormat="1" customHeight="1" s="8">
      <c r="A35" s="11" t="inlineStr">
        <is>
          <t>2024::jama.2024.11057::C001</t>
        </is>
      </c>
      <c r="B35" s="11" t="n">
        <v>1</v>
      </c>
      <c r="C35" s="11" t="inlineStr">
        <is>
          <t>Reported-versus-comparator</t>
        </is>
      </c>
      <c r="D35" s="11" t="inlineStr">
        <is>
          <t>6 weeks before in D001 versus 1 week before in D002 and D003, with the intervention name, quit-date subgroup, temporal anchor, and week unit matched. All three print an 8-week post-quit period.</t>
        </is>
      </c>
    </row>
    <row r="36" ht="180" customFormat="1" customHeight="1" s="8">
      <c r="A36" s="12" t="inlineStr">
        <is>
          <t>2024::jama.2024.11057::C001</t>
        </is>
      </c>
      <c r="B36" s="12" t="n">
        <v>2</v>
      </c>
      <c r="C36" s="12" t="inlineStr">
        <is>
          <t>Calculation</t>
        </is>
      </c>
      <c r="D36" s="12" t="inlineStr">
        <is>
          <t>6 weeks - 1 week = 5 weeks; 6 weeks != 1 week.</t>
        </is>
      </c>
    </row>
    <row r="37" ht="180" customFormat="1" customHeight="1" s="8">
      <c r="A37" s="11" t="inlineStr">
        <is>
          <t>2024::jama.2024.11057::C001</t>
        </is>
      </c>
      <c r="B37" s="11" t="n">
        <v>3</v>
      </c>
      <c r="C37" s="11" t="inlineStr">
        <is>
          <t>Alternative source-grounded interpretations</t>
        </is>
      </c>
      <c r="D37" s="11" t="inlineStr">
        <is>
          <t>The texts may describe different programme versions, the support documents may be outdated, or one printed occurrence may be a production discrepancy. The supplied documents do not establish which explanation applies or which schedule trial participants received.</t>
        </is>
      </c>
    </row>
    <row r="38" ht="180" customFormat="1" customHeight="1" s="8">
      <c r="A38" s="12" t="inlineStr">
        <is>
          <t>2024::jama.2024.11057::C002</t>
        </is>
      </c>
      <c r="B38" s="12" t="n">
        <v>0</v>
      </c>
      <c r="C38" s="12" t="inlineStr">
        <is>
          <t>Source evidence</t>
        </is>
      </c>
      <c r="D38" s="12" t="inlineStr">
        <is>
          <t>eTable 4 prints motivation as 4.1 (0.8) in both groups and confidence as 3.2 (1.1) and 3.5 (1.1) under median (IQR). The same table prints other median-IQR rows as endpoint pairs, including 30.0 (27.0-30.0) and 4.0 (3.0-5.0).</t>
        </is>
      </c>
    </row>
    <row r="39" ht="180" customFormat="1" customHeight="1" s="8">
      <c r="A39" s="11" t="inlineStr">
        <is>
          <t>2024::jama.2024.11057::C002</t>
        </is>
      </c>
      <c r="B39" s="11" t="n">
        <v>1</v>
      </c>
      <c r="C39" s="11" t="inlineStr">
        <is>
          <t>Reported-versus-comparator</t>
        </is>
      </c>
      <c r="D39" s="11" t="inlineStr">
        <is>
          <t>A median (IQR) label with one parenthetical value versus the same table's median (IQR) rows with two hyphen-separated endpoint values. D001 Table 1 also uses endpoint-form IQRs for the same measures.</t>
        </is>
      </c>
    </row>
    <row r="40" ht="180" customFormat="1" customHeight="1" s="8">
      <c r="A40" s="12" t="inlineStr">
        <is>
          <t>2024::jama.2024.11057::C002</t>
        </is>
      </c>
      <c r="B40" s="12" t="n">
        <v>2</v>
      </c>
      <c r="C40" s="12" t="inlineStr">
        <is>
          <t>Calculation</t>
        </is>
      </c>
      <c r="D40" s="12" t="inlineStr">
        <is>
          <t>The comparator format has two values inside parentheses; each affected cell has one. Rounding cannot create two unprinted endpoints from one displayed value.</t>
        </is>
      </c>
    </row>
    <row r="41" ht="180" customFormat="1" customHeight="1" s="8">
      <c r="A41" s="11" t="inlineStr">
        <is>
          <t>2024::jama.2024.11057::C002</t>
        </is>
      </c>
      <c r="B41" s="11" t="n">
        <v>3</v>
      </c>
      <c r="C41" s="11" t="inlineStr">
        <is>
          <t>Alternative source-grounded interpretations</t>
        </is>
      </c>
      <c r="D41" s="11" t="inlineStr">
        <is>
          <t>The cells may be means (SDs), scalar IQR widths under an unstated convention, or medians with omitted endpoints. The supplied package does not define the intended convention or provide analysis output to resolve it.</t>
        </is>
      </c>
    </row>
    <row r="42" ht="180" customFormat="1" customHeight="1" s="8">
      <c r="A42" s="12" t="inlineStr">
        <is>
          <t>2024::jama.2024.11057::C003</t>
        </is>
      </c>
      <c r="B42" s="12" t="n">
        <v>0</v>
      </c>
      <c r="C42" s="12" t="inlineStr">
        <is>
          <t>Source evidence</t>
        </is>
      </c>
      <c r="D42" s="12" t="inlineStr">
        <is>
          <t>D003 p. 5 defines IPRW as inverse probability of retention weighting and otherwise uses IPRW, but its repeated-PPA sentence prints IPWR with RR 2.21 (95% CI 1.67-2.93). D003 p. 14 and D001 p. 4 label the matching analysis IPRW.</t>
        </is>
      </c>
    </row>
    <row r="43" ht="180" customFormat="1" customHeight="1" s="8">
      <c r="A43" s="11" t="inlineStr">
        <is>
          <t>2024::jama.2024.11057::C003</t>
        </is>
      </c>
      <c r="B43" s="11" t="n">
        <v>1</v>
      </c>
      <c r="C43" s="11" t="inlineStr">
        <is>
          <t>Reported-versus-comparator</t>
        </is>
      </c>
      <c r="D43" s="11" t="inlineStr">
        <is>
          <t>Undefined IPWR versus the defined and repeatedly printed IPRW for the same weighted repeated-PPA result; the RR and confidence interval match.</t>
        </is>
      </c>
    </row>
    <row r="44" ht="180" customFormat="1" customHeight="1" s="8">
      <c r="A44" s="12" t="inlineStr">
        <is>
          <t>2024::jama.2024.11057::C003</t>
        </is>
      </c>
      <c r="B44" s="12" t="n">
        <v>2</v>
      </c>
      <c r="C44" s="12" t="inlineStr">
        <is>
          <t>Calculation</t>
        </is>
      </c>
      <c r="D44" s="12" t="inlineStr">
        <is>
          <t>IPWR != IPRW; the matched-result anchors are RR 2.21 = 2.21 and 1.67-2.93 = 1.67-2.93.</t>
        </is>
      </c>
    </row>
    <row r="45" ht="180" customFormat="1" customHeight="1" s="8">
      <c r="A45" s="11" t="inlineStr">
        <is>
          <t>2024::jama.2024.11057::C003</t>
        </is>
      </c>
      <c r="B45" s="11" t="n">
        <v>3</v>
      </c>
      <c r="C45" s="11" t="inlineStr">
        <is>
          <t>Alternative source-grounded interpretations</t>
        </is>
      </c>
      <c r="D45" s="11" t="inlineStr">
        <is>
          <t>IPWR could be an unstated second abbreviation, but no supplied source defines it and the identical eTable result is labelled IPRW. A typographical transposition is plausible but is not asserted as a correction.</t>
        </is>
      </c>
    </row>
    <row r="46" ht="180" customFormat="1" customHeight="1" s="8">
      <c r="A46" s="12" t="inlineStr">
        <is>
          <t>2024::jama.2024.12829::C001</t>
        </is>
      </c>
      <c r="B46" s="12" t="n">
        <v>0</v>
      </c>
      <c r="C46" s="12" t="inlineStr">
        <is>
          <t>Source evidence</t>
        </is>
      </c>
      <c r="D46" s="12" t="inlineStr">
        <is>
          <t>BA n=249; male 172 (69.1) and female 77 (30.1).</t>
        </is>
      </c>
    </row>
    <row r="47" ht="180" customFormat="1" customHeight="1" s="8">
      <c r="A47" s="11" t="inlineStr">
        <is>
          <t>2024::jama.2024.12829::C001</t>
        </is>
      </c>
      <c r="B47" s="11" t="n">
        <v>1</v>
      </c>
      <c r="C47" s="11" t="inlineStr">
        <is>
          <t>Reported-versus-comparator</t>
        </is>
      </c>
      <c r="D47" s="11" t="inlineStr">
        <is>
          <t>Reported female 30.1% versus 77/249.</t>
        </is>
      </c>
    </row>
    <row r="48" ht="180" customFormat="1" customHeight="1" s="8">
      <c r="A48" s="12" t="inlineStr">
        <is>
          <t>2024::jama.2024.12829::C001</t>
        </is>
      </c>
      <c r="B48" s="12" t="n">
        <v>2</v>
      </c>
      <c r="C48" s="12" t="inlineStr">
        <is>
          <t>Calculation</t>
        </is>
      </c>
      <c r="D48" s="12" t="inlineStr">
        <is>
          <t>172+77=249; 77/249×100=30.9237%, ordinarily 30.9%; printed sex percentages total 99.2%.</t>
        </is>
      </c>
    </row>
    <row r="49" ht="180" customFormat="1" customHeight="1" s="8">
      <c r="A49" s="11" t="inlineStr">
        <is>
          <t>2024::jama.2024.12829::C001</t>
        </is>
      </c>
      <c r="B49" s="11" t="n">
        <v>3</v>
      </c>
      <c r="C49" s="11" t="inlineStr">
        <is>
          <t>Alternative source-grounded interpretations</t>
        </is>
      </c>
      <c r="D49" s="11" t="inlineStr">
        <is>
          <t>A hidden row denominator, transcription difference, or another displayed input could explain the observation; the source does not identify the production field that should govern.</t>
        </is>
      </c>
    </row>
    <row r="50" ht="180" customFormat="1" customHeight="1" s="8">
      <c r="A50" s="12" t="inlineStr">
        <is>
          <t>2024::jama.2024.12829::C002</t>
        </is>
      </c>
      <c r="B50" s="12" t="n">
        <v>0</v>
      </c>
      <c r="C50" s="12" t="inlineStr">
        <is>
          <t>Source evidence</t>
        </is>
      </c>
      <c r="D50" s="12" t="inlineStr">
        <is>
          <t>Both tables print BA n=249 and ischemic stroke 215 (86.4); the complement is 34 (13.7).</t>
        </is>
      </c>
    </row>
    <row r="51" ht="180" customFormat="1" customHeight="1" s="8">
      <c r="A51" s="11" t="inlineStr">
        <is>
          <t>2024::jama.2024.12829::C002</t>
        </is>
      </c>
      <c r="B51" s="11" t="n">
        <v>1</v>
      </c>
      <c r="C51" s="11" t="inlineStr">
        <is>
          <t>Reported-versus-comparator</t>
        </is>
      </c>
      <c r="D51" s="11" t="inlineStr">
        <is>
          <t>Reported 86.4% versus 215/249.</t>
        </is>
      </c>
    </row>
    <row r="52" ht="180" customFormat="1" customHeight="1" s="8">
      <c r="A52" s="12" t="inlineStr">
        <is>
          <t>2024::jama.2024.12829::C002</t>
        </is>
      </c>
      <c r="B52" s="12" t="n">
        <v>2</v>
      </c>
      <c r="C52" s="12" t="inlineStr">
        <is>
          <t>Calculation</t>
        </is>
      </c>
      <c r="D52" s="12" t="inlineStr">
        <is>
          <t>215/249×100=86.3454%, ordinarily 86.3%; 34/249×100=13.6546%, ordinarily 13.7%; counts sum to 249.</t>
        </is>
      </c>
    </row>
    <row r="53" ht="180" customFormat="1" customHeight="1" s="8">
      <c r="A53" s="11" t="inlineStr">
        <is>
          <t>2024::jama.2024.12829::C002</t>
        </is>
      </c>
      <c r="B53" s="11" t="n">
        <v>3</v>
      </c>
      <c r="C53" s="11" t="inlineStr">
        <is>
          <t>Alternative source-grounded interpretations</t>
        </is>
      </c>
      <c r="D53" s="11" t="inlineStr">
        <is>
          <t>An unstated rounding convention could produce the repeated presentation; the difference is near the ordinary rounding boundary and should not be called definitively erroneous.</t>
        </is>
      </c>
    </row>
    <row r="54" ht="180" customFormat="1" customHeight="1" s="8">
      <c r="A54" s="12" t="inlineStr">
        <is>
          <t>2024::jama.2024.12829::C003</t>
        </is>
      </c>
      <c r="B54" s="12" t="n">
        <v>0</v>
      </c>
      <c r="C54" s="12" t="inlineStr">
        <is>
          <t>Source evidence</t>
        </is>
      </c>
      <c r="D54" s="12" t="inlineStr">
        <is>
          <t>The BA header is n=249; footnote a states that 241 of 249 underwent BA. Procedure rows include 182 (75.5), 214 (88.8), and 42 (17.4).</t>
        </is>
      </c>
    </row>
    <row r="55" ht="180" customFormat="1" customHeight="1" s="8">
      <c r="A55" s="11" t="inlineStr">
        <is>
          <t>2024::jama.2024.12829::C003</t>
        </is>
      </c>
      <c r="B55" s="11" t="n">
        <v>1</v>
      </c>
      <c r="C55" s="11" t="inlineStr">
        <is>
          <t>Reported-versus-comparator</t>
        </is>
      </c>
      <c r="D55" s="11" t="inlineStr">
        <is>
          <t>Header 249 versus the linked footnoted procedure-applicable denominator 241.</t>
        </is>
      </c>
    </row>
    <row r="56" ht="180" customFormat="1" customHeight="1" s="8">
      <c r="A56" s="12" t="inlineStr">
        <is>
          <t>2024::jama.2024.12829::C003</t>
        </is>
      </c>
      <c r="B56" s="12" t="n">
        <v>2</v>
      </c>
      <c r="C56" s="12" t="inlineStr">
        <is>
          <t>Calculation</t>
        </is>
      </c>
      <c r="D56" s="12" t="inlineStr">
        <is>
          <t>182+48+11=241; 182/241=75.5%, 214/241=88.8%, and 42/241=17.4% at one decimal.</t>
        </is>
      </c>
    </row>
    <row r="57" ht="180" customFormat="1" customHeight="1" s="8">
      <c r="A57" s="11" t="inlineStr">
        <is>
          <t>2024::jama.2024.12829::C003</t>
        </is>
      </c>
      <c r="B57" s="11" t="n">
        <v>3</v>
      </c>
      <c r="C57" s="11" t="inlineStr">
        <is>
          <t>Alternative source-grounded interpretations</t>
        </is>
      </c>
      <c r="D57" s="11" t="inlineStr">
        <is>
          <t>The header may provide randomized-arm context and the footnote may sufficiently define the 241 denominator for procedure rows. The observation is not established incorrect arithmetic.</t>
        </is>
      </c>
    </row>
    <row r="58" ht="180" customFormat="1" customHeight="1" s="8">
      <c r="A58" s="12" t="inlineStr">
        <is>
          <t>2024::jama.2024.12829::C004</t>
        </is>
      </c>
      <c r="B58" s="12" t="n">
        <v>0</v>
      </c>
      <c r="C58" s="12" t="inlineStr">
        <is>
          <t>Source evidence</t>
        </is>
      </c>
      <c r="D58" s="12" t="inlineStr">
        <is>
          <t>BA header n=249; primary-outcome cell 9 (3.9).</t>
        </is>
      </c>
    </row>
    <row r="59" ht="180" customFormat="1" customHeight="1" s="8">
      <c r="A59" s="11" t="inlineStr">
        <is>
          <t>2024::jama.2024.12829::C004</t>
        </is>
      </c>
      <c r="B59" s="11" t="n">
        <v>1</v>
      </c>
      <c r="C59" s="11" t="inlineStr">
        <is>
          <t>Reported-versus-comparator</t>
        </is>
      </c>
      <c r="D59" s="11" t="inlineStr">
        <is>
          <t>Reported 3.9% versus 9/249.</t>
        </is>
      </c>
    </row>
    <row r="60" ht="180" customFormat="1" customHeight="1" s="8">
      <c r="A60" s="12" t="inlineStr">
        <is>
          <t>2024::jama.2024.12829::C004</t>
        </is>
      </c>
      <c r="B60" s="12" t="n">
        <v>2</v>
      </c>
      <c r="C60" s="12" t="inlineStr">
        <is>
          <t>Calculation</t>
        </is>
      </c>
      <c r="D60" s="12" t="inlineStr">
        <is>
          <t>9/249×100=3.6145%, ordinarily 3.6%. Diagnostically, 9/233×100=3.8627%, ordinarily 3.9%.</t>
        </is>
      </c>
    </row>
    <row r="61" ht="180" customFormat="1" customHeight="1" s="8">
      <c r="A61" s="11" t="inlineStr">
        <is>
          <t>2024::jama.2024.12829::C004</t>
        </is>
      </c>
      <c r="B61" s="11" t="n">
        <v>3</v>
      </c>
      <c r="C61" s="11" t="inlineStr">
        <is>
          <t>Alternative source-grounded interpretations</t>
        </is>
      </c>
      <c r="D61" s="11" t="inlineStr">
        <is>
          <t>The 233 comparison is a diagnostic inference from a separately supplied PPS total, not a Table S6 label. An unlabelled analysis set or display rule remains possible.</t>
        </is>
      </c>
    </row>
    <row r="62" ht="180" customFormat="1" customHeight="1" s="8">
      <c r="A62" s="12" t="inlineStr">
        <is>
          <t>2024::jama.2024.12829::C005</t>
        </is>
      </c>
      <c r="B62" s="12" t="n">
        <v>0</v>
      </c>
      <c r="C62" s="12" t="inlineStr">
        <is>
          <t>Source evidence</t>
        </is>
      </c>
      <c r="D62" s="12" t="inlineStr">
        <is>
          <t>Headers are BA/AMM 233/238; site totals are 256 and 245; cells include 4 (2.9), 19 (16.1), 7 (6.3), and 15 (11.2).</t>
        </is>
      </c>
    </row>
    <row r="63" ht="180" customFormat="1" customHeight="1" s="8">
      <c r="A63" s="11" t="inlineStr">
        <is>
          <t>2024::jama.2024.12829::C005</t>
        </is>
      </c>
      <c r="B63" s="11" t="n">
        <v>1</v>
      </c>
      <c r="C63" s="11" t="inlineStr">
        <is>
          <t>Reported-versus-comparator</t>
        </is>
      </c>
      <c r="D63" s="11" t="inlineStr">
        <is>
          <t>Header total 471 versus site total 501, with cell percentages inconsistent with the headers.</t>
        </is>
      </c>
    </row>
    <row r="64" ht="180" customFormat="1" customHeight="1" s="8">
      <c r="A64" s="12" t="inlineStr">
        <is>
          <t>2024::jama.2024.12829::C005</t>
        </is>
      </c>
      <c r="B64" s="12" t="n">
        <v>2</v>
      </c>
      <c r="C64" s="12" t="inlineStr">
        <is>
          <t>Calculation</t>
        </is>
      </c>
      <c r="D64" s="12" t="inlineStr">
        <is>
          <t>233+238=471; 256+245=501. Rounded cells are diagnostically compatible with site-by-arm denominators summing to 249/252, not printed as such.</t>
        </is>
      </c>
    </row>
    <row r="65" ht="180" customFormat="1" customHeight="1" s="8">
      <c r="A65" s="11" t="inlineStr">
        <is>
          <t>2024::jama.2024.12829::C005</t>
        </is>
      </c>
      <c r="B65" s="11" t="n">
        <v>3</v>
      </c>
      <c r="C65" s="11" t="inlineStr">
        <is>
          <t>Alternative source-grounded interpretations</t>
        </is>
      </c>
      <c r="D65" s="11" t="inlineStr">
        <is>
          <t>Derived site-by-arm denominators are diagnostic only. A different disclosed analysis population could explain the table if identified.</t>
        </is>
      </c>
    </row>
    <row r="66" ht="180" customFormat="1" customHeight="1" s="8">
      <c r="A66" s="12" t="inlineStr">
        <is>
          <t>2024::jama.2024.12829::C006</t>
        </is>
      </c>
      <c r="B66" s="12" t="n">
        <v>0</v>
      </c>
      <c r="C66" s="12" t="inlineStr">
        <is>
          <t>Source evidence</t>
        </is>
      </c>
      <c r="D66" s="12" t="inlineStr">
        <is>
          <t>PPS headers print 249/252; rows include 9 (3.9), 33 (13.9), 6 (2.6), and 20 (8.4).</t>
        </is>
      </c>
    </row>
    <row r="67" ht="180" customFormat="1" customHeight="1" s="8">
      <c r="A67" s="11" t="inlineStr">
        <is>
          <t>2024::jama.2024.12829::C006</t>
        </is>
      </c>
      <c r="B67" s="11" t="n">
        <v>1</v>
      </c>
      <c r="C67" s="11" t="inlineStr">
        <is>
          <t>Reported-versus-comparator</t>
        </is>
      </c>
      <c r="D67" s="11" t="inlineStr">
        <is>
          <t>Displayed 249/252 headers versus supplied PPS denominators 233/238.</t>
        </is>
      </c>
    </row>
    <row r="68" ht="180" customFormat="1" customHeight="1" s="8">
      <c r="A68" s="12" t="inlineStr">
        <is>
          <t>2024::jama.2024.12829::C006</t>
        </is>
      </c>
      <c r="B68" s="12" t="n">
        <v>2</v>
      </c>
      <c r="C68" s="12" t="inlineStr">
        <is>
          <t>Calculation</t>
        </is>
      </c>
      <c r="D68" s="12" t="inlineStr">
        <is>
          <t>9/233=3.9%, 33/238=13.9%, 6/233=2.6%, and 20/238=8.4% at one decimal.</t>
        </is>
      </c>
    </row>
    <row r="69" ht="180" customFormat="1" customHeight="1" s="8">
      <c r="A69" s="11" t="inlineStr">
        <is>
          <t>2024::jama.2024.12829::C006</t>
        </is>
      </c>
      <c r="B69" s="11" t="n">
        <v>3</v>
      </c>
      <c r="C69" s="11" t="inlineStr">
        <is>
          <t>Alternative source-grounded interpretations</t>
        </is>
      </c>
      <c r="D69" s="11" t="inlineStr">
        <is>
          <t>A copy-forward header is only an inferred mechanism. An outcome-specific PPS could exist but is not identified.</t>
        </is>
      </c>
    </row>
    <row r="70" ht="180" customFormat="1" customHeight="1" s="8">
      <c r="A70" s="12" t="inlineStr">
        <is>
          <t>2024::jama.2024.12829::C007</t>
        </is>
      </c>
      <c r="B70" s="12" t="n">
        <v>0</v>
      </c>
      <c r="C70" s="12" t="inlineStr">
        <is>
          <t>Source evidence</t>
        </is>
      </c>
      <c r="D70" s="12" t="inlineStr">
        <is>
          <t>ATS headers print 249/252; primary values include 11 (4.5) and 34 (13.4).</t>
        </is>
      </c>
    </row>
    <row r="71" ht="180" customFormat="1" customHeight="1" s="8">
      <c r="A71" s="11" t="inlineStr">
        <is>
          <t>2024::jama.2024.12829::C007</t>
        </is>
      </c>
      <c r="B71" s="11" t="n">
        <v>1</v>
      </c>
      <c r="C71" s="11" t="inlineStr">
        <is>
          <t>Reported-versus-comparator</t>
        </is>
      </c>
      <c r="D71" s="11" t="inlineStr">
        <is>
          <t>Displayed headers 249/252 versus supplied ATS denominators 247/254.</t>
        </is>
      </c>
    </row>
    <row r="72" ht="180" customFormat="1" customHeight="1" s="8">
      <c r="A72" s="12" t="inlineStr">
        <is>
          <t>2024::jama.2024.12829::C007</t>
        </is>
      </c>
      <c r="B72" s="12" t="n">
        <v>2</v>
      </c>
      <c r="C72" s="12" t="inlineStr">
        <is>
          <t>Calculation</t>
        </is>
      </c>
      <c r="D72" s="12" t="inlineStr">
        <is>
          <t>11/247=4.5% and 34/254=13.4% at one decimal.</t>
        </is>
      </c>
    </row>
    <row r="73" ht="180" customFormat="1" customHeight="1" s="8">
      <c r="A73" s="11" t="inlineStr">
        <is>
          <t>2024::jama.2024.12829::C007</t>
        </is>
      </c>
      <c r="B73" s="11" t="n">
        <v>3</v>
      </c>
      <c r="C73" s="11" t="inlineStr">
        <is>
          <t>Alternative source-grounded interpretations</t>
        </is>
      </c>
      <c r="D73" s="11" t="inlineStr">
        <is>
          <t>Copied primary headers are not directly observed; a different ATS definition remains possible if documented.</t>
        </is>
      </c>
    </row>
    <row r="74" ht="180" customFormat="1" customHeight="1" s="8">
      <c r="A74" s="12" t="inlineStr">
        <is>
          <t>2024::jama.2024.12829::C008</t>
        </is>
      </c>
      <c r="B74" s="12" t="n">
        <v>0</v>
      </c>
      <c r="C74" s="12" t="inlineStr">
        <is>
          <t>Source evidence</t>
        </is>
      </c>
      <c r="D74" s="12" t="inlineStr">
        <is>
          <t>Eligibility is 70%-99%; Table 1 includes AMM 2 at 60%-69% and one participant in each arm at 100%.</t>
        </is>
      </c>
    </row>
    <row r="75" ht="180" customFormat="1" customHeight="1" s="8">
      <c r="A75" s="11" t="inlineStr">
        <is>
          <t>2024::jama.2024.12829::C008</t>
        </is>
      </c>
      <c r="B75" s="11" t="n">
        <v>1</v>
      </c>
      <c r="C75" s="11" t="inlineStr">
        <is>
          <t>Reported-versus-comparator</t>
        </is>
      </c>
      <c r="D75" s="11" t="inlineStr">
        <is>
          <t>Eligibility interval 70%-99% versus displayed analysed baseline categories outside that interval.</t>
        </is>
      </c>
    </row>
    <row r="76" ht="180" customFormat="1" customHeight="1" s="8">
      <c r="A76" s="12" t="inlineStr">
        <is>
          <t>2024::jama.2024.12829::C008</t>
        </is>
      </c>
      <c r="B76" s="12" t="n">
        <v>2</v>
      </c>
      <c r="C76" s="12" t="inlineStr">
        <is>
          <t>Calculation</t>
        </is>
      </c>
      <c r="D76" s="12" t="inlineStr">
        <is>
          <t>2+1+1=4 displayed participants are outside the inclusive 70%-99% interval.</t>
        </is>
      </c>
    </row>
    <row r="77" ht="180" customFormat="1" customHeight="1" s="8">
      <c r="A77" s="11" t="inlineStr">
        <is>
          <t>2024::jama.2024.12829::C008</t>
        </is>
      </c>
      <c r="B77" s="11" t="n">
        <v>3</v>
      </c>
      <c r="C77" s="11" t="inlineStr">
        <is>
          <t>Alternative source-grounded interpretations</t>
        </is>
      </c>
      <c r="D77" s="11" t="inlineStr">
        <is>
          <t>Eligibility and table measurements may be from different times/readers or angiograms; retained protocol deviations are also possible. The sources do not establish identity conditions.</t>
        </is>
      </c>
    </row>
    <row r="78" ht="180" customFormat="1" customHeight="1" s="8">
      <c r="A78" s="12" t="inlineStr">
        <is>
          <t>2024::jama.2024.12829::C009</t>
        </is>
      </c>
      <c r="B78" s="12" t="n">
        <v>0</v>
      </c>
      <c r="C78" s="12" t="inlineStr">
        <is>
          <t>Source evidence</t>
        </is>
      </c>
      <c r="D78" s="12" t="inlineStr">
        <is>
          <t>DOC-002 prints 30±3d; DOC-001 and DOC-003 print 30±7 days/30d±7d.</t>
        </is>
      </c>
    </row>
    <row r="79" ht="180" customFormat="1" customHeight="1" s="8">
      <c r="A79" s="11" t="inlineStr">
        <is>
          <t>2024::jama.2024.12829::C009</t>
        </is>
      </c>
      <c r="B79" s="11" t="n">
        <v>1</v>
      </c>
      <c r="C79" s="11" t="inlineStr">
        <is>
          <t>Reported-versus-comparator</t>
        </is>
      </c>
      <c r="D79" s="11" t="inlineStr">
        <is>
          <t>±3 versus ±7 for the matched nominal 30-day visit.</t>
        </is>
      </c>
    </row>
    <row r="80" ht="180" customFormat="1" customHeight="1" s="8">
      <c r="A80" s="12" t="inlineStr">
        <is>
          <t>2024::jama.2024.12829::C009</t>
        </is>
      </c>
      <c r="B80" s="12" t="n">
        <v>2</v>
      </c>
      <c r="C80" s="12" t="inlineStr">
        <is>
          <t>Calculation</t>
        </is>
      </c>
      <c r="D80" s="12" t="inlineStr">
        <is>
          <t>30±3 spans days 27-33 (numerical endpoint-to-endpoint width 6); 30±7 spans days 23-37 (width 14); half-widths differ by 4 days.</t>
        </is>
      </c>
    </row>
    <row r="81" ht="180" customFormat="1" customHeight="1" s="8">
      <c r="A81" s="11" t="inlineStr">
        <is>
          <t>2024::jama.2024.12829::C009</t>
        </is>
      </c>
      <c r="B81" s="11" t="n">
        <v>3</v>
      </c>
      <c r="C81" s="11" t="inlineStr">
        <is>
          <t>Alternative source-grounded interpretations</t>
        </is>
      </c>
      <c r="D81" s="11" t="inlineStr">
        <is>
          <t>The graphic may depict a tighter operational contact window while the article/protocol allow a wider assessment window, but no source defines that distinction.</t>
        </is>
      </c>
    </row>
    <row r="82" ht="180" customFormat="1" customHeight="1" s="8">
      <c r="A82" s="12" t="inlineStr">
        <is>
          <t>2024::jama.2024.12829::C010</t>
        </is>
      </c>
      <c r="B82" s="12" t="n">
        <v>0</v>
      </c>
      <c r="C82" s="12" t="inlineStr">
        <is>
          <t>Source evidence</t>
        </is>
      </c>
      <c r="D82" s="12" t="inlineStr">
        <is>
          <t>The synopsis prints 21-90 days; the body prints 14-90 days.</t>
        </is>
      </c>
    </row>
    <row r="83" ht="180" customFormat="1" customHeight="1" s="8">
      <c r="A83" s="11" t="inlineStr">
        <is>
          <t>2024::jama.2024.12829::C010</t>
        </is>
      </c>
      <c r="B83" s="11" t="n">
        <v>1</v>
      </c>
      <c r="C83" s="11" t="inlineStr">
        <is>
          <t>Reported-versus-comparator</t>
        </is>
      </c>
      <c r="D83" s="11" t="inlineStr">
        <is>
          <t>Same-version lower bound 21 versus 14 days.</t>
        </is>
      </c>
    </row>
    <row r="84" ht="180" customFormat="1" customHeight="1" s="8">
      <c r="A84" s="12" t="inlineStr">
        <is>
          <t>2024::jama.2024.12829::C010</t>
        </is>
      </c>
      <c r="B84" s="12" t="n">
        <v>2</v>
      </c>
      <c r="C84" s="12" t="inlineStr">
        <is>
          <t>Calculation</t>
        </is>
      </c>
      <c r="D84" s="12" t="inlineStr">
        <is>
          <t>Lower bounds differ by 21-14=7 days.</t>
        </is>
      </c>
    </row>
    <row r="85" ht="180" customFormat="1" customHeight="1" s="8">
      <c r="A85" s="11" t="inlineStr">
        <is>
          <t>2024::jama.2024.12829::C010</t>
        </is>
      </c>
      <c r="B85" s="11" t="n">
        <v>3</v>
      </c>
      <c r="C85" s="11" t="inlineStr">
        <is>
          <t>Alternative source-grounded interpretations</t>
        </is>
      </c>
      <c r="D85" s="11" t="inlineStr">
        <is>
          <t>A stale synopsis, unmarked amendment, or other production difference could explain the mismatch; the governing criterion is not established.</t>
        </is>
      </c>
    </row>
    <row r="86" ht="180" customFormat="1" customHeight="1" s="8">
      <c r="A86" s="12" t="inlineStr">
        <is>
          <t>2024::jama.2024.12829::C011</t>
        </is>
      </c>
      <c r="B86" s="12" t="n">
        <v>0</v>
      </c>
      <c r="C86" s="12" t="inlineStr">
        <is>
          <t>Source evidence</t>
        </is>
      </c>
      <c r="D86" s="12" t="inlineStr">
        <is>
          <t>BA header n=249; three-month aspirin 234 (93.9).</t>
        </is>
      </c>
    </row>
    <row r="87" ht="180" customFormat="1" customHeight="1" s="8">
      <c r="A87" s="11" t="inlineStr">
        <is>
          <t>2024::jama.2024.12829::C011</t>
        </is>
      </c>
      <c r="B87" s="11" t="n">
        <v>1</v>
      </c>
      <c r="C87" s="11" t="inlineStr">
        <is>
          <t>Reported-versus-comparator</t>
        </is>
      </c>
      <c r="D87" s="11" t="inlineStr">
        <is>
          <t>Reported 93.9% versus 234/249.</t>
        </is>
      </c>
    </row>
    <row r="88" ht="180" customFormat="1" customHeight="1" s="8">
      <c r="A88" s="12" t="inlineStr">
        <is>
          <t>2024::jama.2024.12829::C011</t>
        </is>
      </c>
      <c r="B88" s="12" t="n">
        <v>2</v>
      </c>
      <c r="C88" s="12" t="inlineStr">
        <is>
          <t>Calculation</t>
        </is>
      </c>
      <c r="D88" s="12" t="inlineStr">
        <is>
          <t>234/249×100=93.9759%, ordinarily 94.0%; truncation would display 93.9%.</t>
        </is>
      </c>
    </row>
    <row r="89" ht="180" customFormat="1" customHeight="1" s="8">
      <c r="A89" s="11" t="inlineStr">
        <is>
          <t>2024::jama.2024.12829::C011</t>
        </is>
      </c>
      <c r="B89" s="11" t="n">
        <v>3</v>
      </c>
      <c r="C89" s="11" t="inlineStr">
        <is>
          <t>Alternative source-grounded interpretations</t>
        </is>
      </c>
      <c r="D89" s="11" t="inlineStr">
        <is>
          <t>Truncation, weighting, an undisclosed evaluated denominator, or missingness handling could explain the presentation. No alternative integer denominator no larger than 249 is identified as the answer.</t>
        </is>
      </c>
    </row>
    <row r="90" ht="180" customFormat="1" customHeight="1" s="8">
      <c r="A90" s="12" t="inlineStr">
        <is>
          <t>2024::jama.2024.12829::C012</t>
        </is>
      </c>
      <c r="B90" s="12" t="n">
        <v>0</v>
      </c>
      <c r="C90" s="12" t="inlineStr">
        <is>
          <t>Source evidence</t>
        </is>
      </c>
      <c r="D90" s="12" t="inlineStr">
        <is>
          <t>The figure labels 1st (2021/05/30), then 2nd (2021/11/20, 2022/09/07, and 2023/04/10).</t>
        </is>
      </c>
    </row>
    <row r="91" ht="180" customFormat="1" customHeight="1" s="8">
      <c r="A91" s="11" t="inlineStr">
        <is>
          <t>2024::jama.2024.12829::C012</t>
        </is>
      </c>
      <c r="B91" s="11" t="n">
        <v>1</v>
      </c>
      <c r="C91" s="11" t="inlineStr">
        <is>
          <t>Reported-versus-comparator</t>
        </is>
      </c>
      <c r="D91" s="11" t="inlineStr">
        <is>
          <t>Four chronologically distinct dated boxes versus two unique ordinal labels.</t>
        </is>
      </c>
    </row>
    <row r="92" ht="180" customFormat="1" customHeight="1" s="8">
      <c r="A92" s="12" t="inlineStr">
        <is>
          <t>2024::jama.2024.12829::C012</t>
        </is>
      </c>
      <c r="B92" s="12" t="n">
        <v>2</v>
      </c>
      <c r="C92" s="12" t="inlineStr">
        <is>
          <t>Calculation</t>
        </is>
      </c>
      <c r="D92" s="12" t="inlineStr">
        <is>
          <t>Four dated boxes contain only two unique ordinals; 2nd meeting appears three times.</t>
        </is>
      </c>
    </row>
    <row r="93" ht="180" customFormat="1" customHeight="1" s="8">
      <c r="A93" s="11" t="inlineStr">
        <is>
          <t>2024::jama.2024.12829::C012</t>
        </is>
      </c>
      <c r="B93" s="11" t="n">
        <v>3</v>
      </c>
      <c r="C93" s="11" t="inlineStr">
        <is>
          <t>Alternative source-grounded interpretations</t>
        </is>
      </c>
      <c r="D93" s="11" t="inlineStr">
        <is>
          <t>An unprinted review-cycle convention could use 2nd repeatedly. The figure does not label such a cycle; its case-count arithmetic separately reconciles.</t>
        </is>
      </c>
    </row>
    <row r="94" ht="180" customFormat="1" customHeight="1" s="8">
      <c r="A94" s="12" t="inlineStr">
        <is>
          <t>2024::jama.2024.12829::C013</t>
        </is>
      </c>
      <c r="B94" s="12" t="n">
        <v>0</v>
      </c>
      <c r="C94" s="12" t="inlineStr">
        <is>
          <t>Source evidence</t>
        </is>
      </c>
      <c r="D94" s="12" t="inlineStr">
        <is>
          <t>V2.0 p. 35 and V2.3 p. 96 each print visit 8, visit 9, visit 10, visit 11, visit 9, and visit 11 require patients to undergo face-to-face follow-up; the schedule identifies visits 8-11 as four recurring visits.</t>
        </is>
      </c>
    </row>
    <row r="95" ht="180" customFormat="1" customHeight="1" s="8">
      <c r="A95" s="11" t="inlineStr">
        <is>
          <t>2024::jama.2024.12829::C013</t>
        </is>
      </c>
      <c r="B95" s="11" t="n">
        <v>1</v>
      </c>
      <c r="C95" s="11" t="inlineStr">
        <is>
          <t>Reported-versus-comparator</t>
        </is>
      </c>
      <c r="D95" s="11" t="inlineStr">
        <is>
          <t>Six visit tokens 8,9,10,11,9,11 versus the four-visit schedule 8-11.</t>
        </is>
      </c>
    </row>
    <row r="96" ht="180" customFormat="1" customHeight="1" s="8">
      <c r="A96" s="12" t="inlineStr">
        <is>
          <t>2024::jama.2024.12829::C013</t>
        </is>
      </c>
      <c r="B96" s="12" t="n">
        <v>2</v>
      </c>
      <c r="C96" s="12" t="inlineStr">
        <is>
          <t>Calculation</t>
        </is>
      </c>
      <c r="D96" s="12" t="inlineStr">
        <is>
          <t>Six tokens contain four unique identifiers; 9 and 11 each occur twice.</t>
        </is>
      </c>
    </row>
    <row r="97" ht="180" customFormat="1" customHeight="1" s="8">
      <c r="A97" s="11" t="inlineStr">
        <is>
          <t>2024::jama.2024.12829::C013</t>
        </is>
      </c>
      <c r="B97" s="11" t="n">
        <v>3</v>
      </c>
      <c r="C97" s="11" t="inlineStr">
        <is>
          <t>Alternative source-grounded interpretations</t>
        </is>
      </c>
      <c r="D97" s="11" t="inlineStr">
        <is>
          <t>The sentence plausibly lists visits 8-11 and then names visits 9 and 11 as the face-to-face subset, with missing clarifying syntax. A six-visit sequence is not established.</t>
        </is>
      </c>
    </row>
    <row r="98" ht="180" customFormat="1" customHeight="1" s="8">
      <c r="A98" s="12" t="inlineStr">
        <is>
          <t>2024::jama.2024.12829::C014</t>
        </is>
      </c>
      <c r="B98" s="12" t="n">
        <v>0</v>
      </c>
      <c r="C98" s="12" t="inlineStr">
        <is>
          <t>Source evidence</t>
        </is>
      </c>
      <c r="D98" s="12" t="inlineStr">
        <is>
          <t>Table S9 prints BA 8 (3.3) and header 249; Table S10 supplies ATS N=247.</t>
        </is>
      </c>
    </row>
    <row r="99" ht="180" customFormat="1" customHeight="1" s="8">
      <c r="A99" s="11" t="inlineStr">
        <is>
          <t>2024::jama.2024.12829::C014</t>
        </is>
      </c>
      <c r="B99" s="11" t="n">
        <v>1</v>
      </c>
      <c r="C99" s="11" t="inlineStr">
        <is>
          <t>Reported-versus-comparator</t>
        </is>
      </c>
      <c r="D99" s="11" t="inlineStr">
        <is>
          <t>Reported 3.3% versus both 8/249 and 8/247.</t>
        </is>
      </c>
    </row>
    <row r="100" ht="180" customFormat="1" customHeight="1" s="8">
      <c r="A100" s="12" t="inlineStr">
        <is>
          <t>2024::jama.2024.12829::C014</t>
        </is>
      </c>
      <c r="B100" s="12" t="n">
        <v>2</v>
      </c>
      <c r="C100" s="12" t="inlineStr">
        <is>
          <t>Calculation</t>
        </is>
      </c>
      <c r="D100" s="12" t="inlineStr">
        <is>
          <t>8/249×100=3.2129% and 8/247×100=3.2389%; both ordinarily round to 3.2%.</t>
        </is>
      </c>
    </row>
    <row r="101" ht="180" customFormat="1" customHeight="1" s="8">
      <c r="A101" s="11" t="inlineStr">
        <is>
          <t>2024::jama.2024.12829::C014</t>
        </is>
      </c>
      <c r="B101" s="11" t="n">
        <v>3</v>
      </c>
      <c r="C101" s="11" t="inlineStr">
        <is>
          <t>Alternative source-grounded interpretations</t>
        </is>
      </c>
      <c r="D101" s="11" t="inlineStr">
        <is>
          <t>An unprinted outcome-specific risk set or nonstandard display rule could explain 3.3%; neither is supplied.</t>
        </is>
      </c>
    </row>
    <row r="102" ht="180" customFormat="1" customHeight="1" s="8">
      <c r="A102" s="12" t="inlineStr">
        <is>
          <t>2024::jama.2024.12829::C015</t>
        </is>
      </c>
      <c r="B102" s="12" t="n">
        <v>0</v>
      </c>
      <c r="C102" s="12" t="inlineStr">
        <is>
          <t>Source evidence</t>
        </is>
      </c>
      <c r="D102" s="12" t="inlineStr">
        <is>
          <t>Narrative: 11 excluded due to consent withdrawal. Figure: BA 7 plus AMM 3 consent withdrawals, plus 1 erroneous randomization assignment.</t>
        </is>
      </c>
    </row>
    <row r="103" ht="180" customFormat="1" customHeight="1" s="8">
      <c r="A103" s="11" t="inlineStr">
        <is>
          <t>2024::jama.2024.12829::C015</t>
        </is>
      </c>
      <c r="B103" s="11" t="n">
        <v>1</v>
      </c>
      <c r="C103" s="11" t="inlineStr">
        <is>
          <t>Reported-versus-comparator</t>
        </is>
      </c>
      <c r="D103" s="11" t="inlineStr">
        <is>
          <t>Narrative reason category for 11 versus Figure reason categories totaling 10+1.</t>
        </is>
      </c>
    </row>
    <row r="104" ht="180" customFormat="1" customHeight="1" s="8">
      <c r="A104" s="12" t="inlineStr">
        <is>
          <t>2024::jama.2024.12829::C015</t>
        </is>
      </c>
      <c r="B104" s="12" t="n">
        <v>2</v>
      </c>
      <c r="C104" s="12" t="inlineStr">
        <is>
          <t>Calculation</t>
        </is>
      </c>
      <c r="D104" s="12" t="inlineStr">
        <is>
          <t>7+3=10 consent withdrawals; 10+1=11 total removals; the 501-person analysed total reconciles.</t>
        </is>
      </c>
    </row>
    <row r="105" ht="180" customFormat="1" customHeight="1" s="8">
      <c r="A105" s="11" t="inlineStr">
        <is>
          <t>2024::jama.2024.12829::C015</t>
        </is>
      </c>
      <c r="B105" s="11" t="n">
        <v>3</v>
      </c>
      <c r="C105" s="11" t="inlineStr">
        <is>
          <t>Alternative source-grounded interpretations</t>
        </is>
      </c>
      <c r="D105" s="11" t="inlineStr">
        <is>
          <t>The narrative may use umbrella shorthand, or the erroneously assigned participant may also have withdrawn consent; Figure 1 presents a separate reason.</t>
        </is>
      </c>
    </row>
    <row r="106" ht="180" customFormat="1" customHeight="1" s="8">
      <c r="A106" s="12" t="inlineStr">
        <is>
          <t>2024::jama.2024.12829::C016</t>
        </is>
      </c>
      <c r="B106" s="12" t="n">
        <v>0</v>
      </c>
      <c r="C106" s="12" t="inlineStr">
        <is>
          <t>Source evidence</t>
        </is>
      </c>
      <c r="D106" s="12" t="inlineStr">
        <is>
          <t>Main result: BA 11 (4.4) and AMM 34 (13.5) under 249/252. Centre-adjusted Table S6 has the matched composite wording and headers but prints BA 9 (3.9) and AMM 34 (13.5).</t>
        </is>
      </c>
    </row>
    <row r="107" ht="180" customFormat="1" customHeight="1" s="8">
      <c r="A107" s="11" t="inlineStr">
        <is>
          <t>2024::jama.2024.12829::C016</t>
        </is>
      </c>
      <c r="B107" s="11" t="n">
        <v>1</v>
      </c>
      <c r="C107" s="11" t="inlineStr">
        <is>
          <t>Reported-versus-comparator</t>
        </is>
      </c>
      <c r="D107" s="11" t="inlineStr">
        <is>
          <t>Table S6 BA count 9 versus matched main BA count 11.</t>
        </is>
      </c>
    </row>
    <row r="108" ht="180" customFormat="1" customHeight="1" s="8">
      <c r="A108" s="12" t="inlineStr">
        <is>
          <t>2024::jama.2024.12829::C016</t>
        </is>
      </c>
      <c r="B108" s="12" t="n">
        <v>2</v>
      </c>
      <c r="C108" s="12" t="inlineStr">
        <is>
          <t>Calculation</t>
        </is>
      </c>
      <c r="D108" s="12" t="inlineStr">
        <is>
          <t>11-9=2; AMM remains 34. Table S10's related no-revascularization composite has BA 9, but Table S6 retains revascularization in its label.</t>
        </is>
      </c>
    </row>
    <row r="109" ht="180" customFormat="1" customHeight="1" s="8">
      <c r="A109" s="11" t="inlineStr">
        <is>
          <t>2024::jama.2024.12829::C016</t>
        </is>
      </c>
      <c r="B109" s="11" t="n">
        <v>3</v>
      </c>
      <c r="C109" s="11" t="inlineStr">
        <is>
          <t>Alternative source-grounded interpretations</t>
        </is>
      </c>
      <c r="D109" s="11" t="inlineStr">
        <is>
          <t>An unlabelled alternative set or carryover of the Table S10 no-revascularization count could explain the entry. Centre adjustment alone does not explain two fewer observed events.</t>
        </is>
      </c>
    </row>
    <row r="110" ht="180" customFormat="1" customHeight="1" s="8">
      <c r="A110" s="12" t="inlineStr">
        <is>
          <t>2024::jama.2024.12829::C017</t>
        </is>
      </c>
      <c r="B110" s="12" t="n">
        <v>0</v>
      </c>
      <c r="C110" s="12" t="inlineStr">
        <is>
          <t>Source evidence</t>
        </is>
      </c>
      <c r="D110" s="12" t="inlineStr">
        <is>
          <t>For stroke outside the qualifying-artery territory within one year: BA 3 (1.2), AMM 4 (1.6), incidence difference −0.4% (95% CI, −2.4 to −1.7).</t>
        </is>
      </c>
    </row>
    <row r="111" ht="180" customFormat="1" customHeight="1" s="8">
      <c r="A111" s="11" t="inlineStr">
        <is>
          <t>2024::jama.2024.12829::C017</t>
        </is>
      </c>
      <c r="B111" s="11" t="n">
        <v>1</v>
      </c>
      <c r="C111" s="11" t="inlineStr">
        <is>
          <t>Reported-versus-comparator</t>
        </is>
      </c>
      <c r="D111" s="11" t="inlineStr">
        <is>
          <t>Point estimate −0.4% versus interval [−2.4%, −1.7%].</t>
        </is>
      </c>
    </row>
    <row r="112" ht="180" customFormat="1" customHeight="1" s="8">
      <c r="A112" s="12" t="inlineStr">
        <is>
          <t>2024::jama.2024.12829::C017</t>
        </is>
      </c>
      <c r="B112" s="12" t="n">
        <v>2</v>
      </c>
      <c r="C112" s="12" t="inlineStr">
        <is>
          <t>Calculation</t>
        </is>
      </c>
      <c r="D112" s="12" t="inlineStr">
        <is>
          <t>−0.4 is outside [−2.4,−1.7]; (3/249−4/252)×100=−0.3825 percentage points, which rounds to −0.4%.</t>
        </is>
      </c>
    </row>
    <row r="113" ht="180" customFormat="1" customHeight="1" s="8">
      <c r="A113" s="11" t="inlineStr">
        <is>
          <t>2024::jama.2024.12829::C017</t>
        </is>
      </c>
      <c r="B113" s="11" t="n">
        <v>3</v>
      </c>
      <c r="C113" s="11" t="inlineStr">
        <is>
          <t>Alternative source-grounded interpretations</t>
        </is>
      </c>
      <c r="D113" s="11" t="inlineStr">
        <is>
          <t>A confidence-limit sign/value may be transcribed, or point and interval may use undisclosed different estimands/methods. The exact CI method is not supplied.</t>
        </is>
      </c>
    </row>
    <row r="114" ht="180" customFormat="1" customHeight="1" s="8">
      <c r="A114" s="12" t="inlineStr">
        <is>
          <t>2024::jama.2024.19585::C001</t>
        </is>
      </c>
      <c r="B114" s="12" t="n">
        <v>0</v>
      </c>
      <c r="C114" s="12" t="inlineStr">
        <is>
          <t>Source evidence</t>
        </is>
      </c>
      <c r="D114" s="12" t="inlineStr">
        <is>
          <t>The source prints 58 Patients excluded. Visual indentation places 13 Physician preference at the top level and 7 Disease status or progression, 4 Perceived psychosocial issues, and 2 Reason not provided beneath it. The other top-level counts are 15, 14, 7, 4, 3, and 2. The parallel branch presents a matching parent-child convention: 32 + 4 + 2 + 4 = 42.</t>
        </is>
      </c>
    </row>
    <row r="115" ht="180" customFormat="1" customHeight="1" s="8">
      <c r="A115" s="11" t="inlineStr">
        <is>
          <t>2024::jama.2024.19585::C001</t>
        </is>
      </c>
      <c r="B115" s="11" t="n">
        <v>1</v>
      </c>
      <c r="C115" s="11" t="inlineStr">
        <is>
          <t>Reported-versus-comparator</t>
        </is>
      </c>
      <c r="D115" s="11" t="inlineStr">
        <is>
          <t>The printed exclusion total is 58; the source-layout comparator is the top-level hierarchy, not a flat list of all displayed counts.</t>
        </is>
      </c>
    </row>
    <row r="116" ht="180" customFormat="1" customHeight="1" s="8">
      <c r="A116" s="12" t="inlineStr">
        <is>
          <t>2024::jama.2024.19585::C001</t>
        </is>
      </c>
      <c r="B116" s="12" t="n">
        <v>2</v>
      </c>
      <c r="C116" s="12" t="inlineStr">
        <is>
          <t>Calculation</t>
        </is>
      </c>
      <c r="D116" s="12" t="inlineStr">
        <is>
          <t>7 + 4 + 2 = 13. Then 13 + 15 + 14 + 7 + 4 + 3 + 2 = 58. The surrounding flow also reconciles: 323 - 58 = 265 and 265 - 41 = 224.</t>
        </is>
      </c>
    </row>
    <row r="117" ht="180" customFormat="1" customHeight="1" s="8">
      <c r="A117" s="11" t="inlineStr">
        <is>
          <t>2024::jama.2024.19585::C001</t>
        </is>
      </c>
      <c r="B117" s="11" t="n">
        <v>3</v>
      </c>
      <c r="C117" s="11" t="inlineStr">
        <is>
          <t>Alternative source-grounded interpretations</t>
        </is>
      </c>
      <c r="D117" s="11" t="inlineStr">
        <is>
          <t>A production-layout error could make the indentation misleading, although the parallel branch supports the hierarchy interpretation. No flat 71-versus-58 comparison is carried forward.</t>
        </is>
      </c>
    </row>
    <row r="118" ht="180" customFormat="1" customHeight="1" s="8">
      <c r="A118" s="12" t="inlineStr">
        <is>
          <t>2024::jama.2024.19585::C002</t>
        </is>
      </c>
      <c r="B118" s="12" t="n">
        <v>0</v>
      </c>
      <c r="C118" s="12" t="inlineStr">
        <is>
          <t>Source evidence</t>
        </is>
      </c>
      <c r="D118" s="12" t="inlineStr">
        <is>
          <t>The main text prints 40.8% adopted, 48.7% adapted, and 6.4% rejected across intervention sites. eTable 3 prints n=135 at each of 10 sites and reject counts of 15, 23, 5, 25, 9, 25, 12, 11, 11, and 6.</t>
        </is>
      </c>
    </row>
    <row r="119" ht="180" customFormat="1" customHeight="1" s="8">
      <c r="A119" s="11" t="inlineStr">
        <is>
          <t>2024::jama.2024.19585::C002</t>
        </is>
      </c>
      <c r="B119" s="11" t="n">
        <v>1</v>
      </c>
      <c r="C119" s="11" t="inlineStr">
        <is>
          <t>Reported-versus-comparator</t>
        </is>
      </c>
      <c r="D119" s="11" t="inlineStr">
        <is>
          <t>Reported: 6.4% rejected. Comparator from the displayed eTable 3 rejection counts and denominators: 10.5% to one decimal place.</t>
        </is>
      </c>
    </row>
    <row r="120" ht="180" customFormat="1" customHeight="1" s="8">
      <c r="A120" s="12" t="inlineStr">
        <is>
          <t>2024::jama.2024.19585::C002</t>
        </is>
      </c>
      <c r="B120" s="12" t="n">
        <v>2</v>
      </c>
      <c r="C120" s="12" t="inlineStr">
        <is>
          <t>Calculation</t>
        </is>
      </c>
      <c r="D120" s="12" t="inlineStr">
        <is>
          <t>Rejects = 15 + 23 + 5 + 25 + 9 + 25 + 12 + 11 + 11 + 6 = 142; total decisions = 10 x 135 = 1,350; 142 / 1,350 x 100 = 10.5185...%, or 10.5%. Keep and adapt totals are 551 and 657, reproducing 40.8% and 48.7%, respectively.</t>
        </is>
      </c>
    </row>
    <row r="121" ht="180" customFormat="1" customHeight="1" s="8">
      <c r="A121" s="11" t="inlineStr">
        <is>
          <t>2024::jama.2024.19585::C002</t>
        </is>
      </c>
      <c r="B121" s="11" t="n">
        <v>3</v>
      </c>
      <c r="C121" s="11" t="inlineStr">
        <is>
          <t>Alternative source-grounded interpretations</t>
        </is>
      </c>
      <c r="D121" s="11" t="inlineStr">
        <is>
          <t>The narrative could use an unprinted unique-statement population or narrower rejection definition rather than site-statement decisions. The supplied locations do not provide the numerator, denominator, exclusions, weighting, or aggregation rule necessary to reproduce 6.4%; equal site denominators make ordinary weighting insufficient as an explanation.</t>
        </is>
      </c>
    </row>
    <row r="122" ht="180" customFormat="1" customHeight="1" s="8">
      <c r="A122" s="12" t="inlineStr">
        <is>
          <t>2024::jama.2024.19585::C003</t>
        </is>
      </c>
      <c r="B122" s="12" t="n">
        <v>0</v>
      </c>
      <c r="C122" s="12" t="inlineStr">
        <is>
          <t>Source evidence</t>
        </is>
      </c>
      <c r="D122" s="12" t="inlineStr">
        <is>
          <t>On p. 13, eTable 10 prints Difference (95% CI) under each cohort group. Examples include 0.53 (0.28, 1.01) on p. 13 and 5.30 (2.50, 11.24) and 17.96 (1.03, 313.1) on p. 14; p. 15 identifies mixed- or fixed-effects logistic regression for P values. On p. 22, eMethods states that the relevant logistic-regression analyses estimate the odds ratio.</t>
        </is>
      </c>
    </row>
    <row r="123" ht="180" customFormat="1" customHeight="1" s="8">
      <c r="A123" s="11" t="inlineStr">
        <is>
          <t>2024::jama.2024.19585::C003</t>
        </is>
      </c>
      <c r="B123" s="11" t="n">
        <v>1</v>
      </c>
      <c r="C123" s="11" t="inlineStr">
        <is>
          <t>Reported-versus-comparator</t>
        </is>
      </c>
      <c r="D123" s="11" t="inlineStr">
        <is>
          <t>Reported table label: Difference (95% CI). Methods comparator: odds ratio, a multiplicative effect measure with null value 1.</t>
        </is>
      </c>
    </row>
    <row r="124" ht="180" customFormat="1" customHeight="1" s="8">
      <c r="A124" s="12" t="inlineStr">
        <is>
          <t>2024::jama.2024.19585::C003</t>
        </is>
      </c>
      <c r="B124" s="12" t="n">
        <v>2</v>
      </c>
      <c r="C124" s="12" t="inlineStr">
        <is>
          <t>Calculation</t>
        </is>
      </c>
      <c r="D124" s="12" t="inlineStr">
        <is>
          <t>No arithmetic reconstruction is needed. The representative estimates and intervals are organized around the multiplicative null of 1, consistent with the named odds-ratio estimand.</t>
        </is>
      </c>
    </row>
    <row r="125" ht="180" customFormat="1" customHeight="1" s="8">
      <c r="A125" s="11" t="inlineStr">
        <is>
          <t>2024::jama.2024.19585::C003</t>
        </is>
      </c>
      <c r="B125" s="11" t="n">
        <v>3</v>
      </c>
      <c r="C125" s="11" t="inlineStr">
        <is>
          <t>Alternative source-grounded interpretations</t>
        </is>
      </c>
      <c r="D125" s="11" t="inlineStr">
        <is>
          <t>Difference may have been intended as a generic umbrella label for the modeled comparison while every cell remains an odds ratio. The package does not define that usage or identify any block as an additive difference.</t>
        </is>
      </c>
    </row>
    <row r="126" ht="180" customFormat="1" customHeight="1" s="8">
      <c r="A126" s="12" t="inlineStr">
        <is>
          <t>2024::jama.2024.2302::C001</t>
        </is>
      </c>
      <c r="B126" s="12" t="n">
        <v>0</v>
      </c>
      <c r="C126" s="12" t="inlineStr">
        <is>
          <t>Source evidence</t>
        </is>
      </c>
      <c r="D126" s="12" t="inlineStr">
        <is>
          <t>Table 2 reports 44/159 and 27/149 as “Had ≥1 serious adverse event”; eTable 2 uses the same counts, percentages, and denominators under “Infant had &gt; 1 SAE.”</t>
        </is>
      </c>
    </row>
    <row r="127" ht="180" customFormat="1" customHeight="1" s="8">
      <c r="A127" s="11" t="inlineStr">
        <is>
          <t>2024::jama.2024.2302::C001</t>
        </is>
      </c>
      <c r="B127" s="11" t="n">
        <v>1</v>
      </c>
      <c r="C127" s="11" t="inlineStr">
        <is>
          <t>Reported-versus-comparator</t>
        </is>
      </c>
      <c r="D127" s="11" t="inlineStr">
        <is>
          <t>≥1, “at least 1,” and “any” include exactly one SAE; &gt;1 means at least two SAEs.</t>
        </is>
      </c>
    </row>
    <row r="128" ht="180" customFormat="1" customHeight="1" s="8">
      <c r="A128" s="12" t="inlineStr">
        <is>
          <t>2024::jama.2024.2302::C001</t>
        </is>
      </c>
      <c r="B128" s="12" t="n">
        <v>2</v>
      </c>
      <c r="C128" s="12" t="inlineStr">
        <is>
          <t>Calculation</t>
        </is>
      </c>
      <c r="D128" s="12" t="inlineStr">
        <is>
          <t>44/159 = 27.67% (28%) and 27/149 = 18.12% (18%). The differing sets are {k: k ≥ 1} and {k: k &gt; 1}.</t>
        </is>
      </c>
    </row>
    <row r="129" ht="180" customFormat="1" customHeight="1" s="8">
      <c r="A129" s="11" t="inlineStr">
        <is>
          <t>2024::jama.2024.2302::C001</t>
        </is>
      </c>
      <c r="B129" s="11" t="n">
        <v>3</v>
      </c>
      <c r="C129" s="11" t="inlineStr">
        <is>
          <t>Alternative source-grounded interpretations</t>
        </is>
      </c>
      <c r="D129" s="11" t="inlineStr">
        <is>
          <t>Repeated “any,” “at least one,” and ≥1 wording supports the possibility that &gt;1 was used informally for more than zero. The number with exactly one SAE is not supplied.</t>
        </is>
      </c>
    </row>
    <row r="130" ht="180" customFormat="1" customHeight="1" s="8">
      <c r="A130" s="12" t="inlineStr">
        <is>
          <t>2024::jama.2024.2302::C002</t>
        </is>
      </c>
      <c r="B130" s="12" t="n">
        <v>0</v>
      </c>
      <c r="C130" s="12" t="inlineStr">
        <is>
          <t>Source evidence</t>
        </is>
      </c>
      <c r="D130" s="12" t="inlineStr">
        <is>
          <t>Protocol p. 3 gives planned medians 18 early/15 late; p. 12 gives medians 8/5 and means 18/13. The SAP explicitly calls the p. 3 18/15 medians incorrect and identifies 8/5 as intended.</t>
        </is>
      </c>
    </row>
    <row r="131" ht="180" customFormat="1" customHeight="1" s="8">
      <c r="A131" s="11" t="inlineStr">
        <is>
          <t>2024::jama.2024.2302::C002</t>
        </is>
      </c>
      <c r="B131" s="11" t="n">
        <v>1</v>
      </c>
      <c r="C131" s="11" t="inlineStr">
        <is>
          <t>Reported-versus-comparator</t>
        </is>
      </c>
      <c r="D131" s="11" t="inlineStr">
        <is>
          <t>Planned median pairs 18/15 versus 8/5 days for the same early/late contrast.</t>
        </is>
      </c>
    </row>
    <row r="132" ht="180" customFormat="1" customHeight="1" s="8">
      <c r="A132" s="12" t="inlineStr">
        <is>
          <t>2024::jama.2024.2302::C002</t>
        </is>
      </c>
      <c r="B132" s="12" t="n">
        <v>2</v>
      </c>
      <c r="C132" s="12" t="inlineStr">
        <is>
          <t>Calculation</t>
        </is>
      </c>
      <c r="D132" s="12" t="inlineStr">
        <is>
          <t>18−15=3, 8−5=3, 18−8=10, and 15−5=10 days.</t>
        </is>
      </c>
    </row>
    <row r="133" ht="180" customFormat="1" customHeight="1" s="8">
      <c r="A133" s="11" t="inlineStr">
        <is>
          <t>2024::jama.2024.2302::C002</t>
        </is>
      </c>
      <c r="B133" s="11" t="n">
        <v>3</v>
      </c>
      <c r="C133" s="11" t="inlineStr">
        <is>
          <t>Alternative source-grounded interpretations</t>
        </is>
      </c>
      <c r="D133" s="11" t="inlineStr">
        <is>
          <t>The page-12 mean/median distinction and the SAP’s explicit 8/5 clarification are supported. Amendment or drafting history is not supplied.</t>
        </is>
      </c>
    </row>
    <row r="134" ht="180" customFormat="1" customHeight="1" s="8">
      <c r="A134" s="12" t="inlineStr">
        <is>
          <t>2024::jama.2024.2302::C003</t>
        </is>
      </c>
      <c r="B134" s="12" t="n">
        <v>0</v>
      </c>
      <c r="C134" s="12" t="inlineStr">
        <is>
          <t>Source evidence</t>
        </is>
      </c>
      <c r="D134" s="12" t="inlineStr">
        <is>
          <t>The article states 0.33-3.0 for categorical and count intervention effects. The SAP gives categorical OR 0.2-4 with Normal(0, SD=0.7) on log-OR scale, and count RR 0.33-3.3.</t>
        </is>
      </c>
    </row>
    <row r="135" ht="180" customFormat="1" customHeight="1" s="8">
      <c r="A135" s="11" t="inlineStr">
        <is>
          <t>2024::jama.2024.2302::C003</t>
        </is>
      </c>
      <c r="B135" s="11" t="n">
        <v>1</v>
      </c>
      <c r="C135" s="11" t="inlineStr">
        <is>
          <t>Reported-versus-comparator</t>
        </is>
      </c>
      <c r="D135" s="11" t="inlineStr">
        <is>
          <t>A common 0.33-3.0 range versus categorical 0.2-4 and count 0.33-3.3 ranges.</t>
        </is>
      </c>
    </row>
    <row r="136" ht="180" customFormat="1" customHeight="1" s="8">
      <c r="A136" s="12" t="inlineStr">
        <is>
          <t>2024::jama.2024.2302::C003</t>
        </is>
      </c>
      <c r="B136" s="12" t="n">
        <v>2</v>
      </c>
      <c r="C136" s="12" t="inlineStr">
        <is>
          <t>Calculation</t>
        </is>
      </c>
      <c r="D136" s="12" t="inlineStr">
        <is>
          <t>Categorical endpoint differences: 0.33−0.20=0.13 and 4.0−3.0=1.0; count upper-endpoint difference: 3.3−3.0=0.3.</t>
        </is>
      </c>
    </row>
    <row r="137" ht="180" customFormat="1" customHeight="1" s="8">
      <c r="A137" s="11" t="inlineStr">
        <is>
          <t>2024::jama.2024.2302::C003</t>
        </is>
      </c>
      <c r="B137" s="11" t="n">
        <v>3</v>
      </c>
      <c r="C137" s="11" t="inlineStr">
        <is>
          <t>Alternative source-grounded interpretations</t>
        </is>
      </c>
      <c r="D137" s="11" t="inlineStr">
        <is>
          <t>The supplied documents do not select which stated range governed each final model. Amendment, simplification, and implementation history are not supplied.</t>
        </is>
      </c>
    </row>
    <row r="138" ht="180" customFormat="1" customHeight="1" s="8">
      <c r="A138" s="12" t="inlineStr">
        <is>
          <t>2024::jama.2024.2302::C004</t>
        </is>
      </c>
      <c r="B138" s="12" t="n">
        <v>0</v>
      </c>
      <c r="C138" s="12" t="inlineStr">
        <is>
          <t>Source evidence</t>
        </is>
      </c>
      <c r="D138" s="12" t="inlineStr">
        <is>
          <t>Figure 3 reports &lt;28 wk and ≥28 wk. SAP pp. 3 and 9 use &lt;28/&gt;28; SAP p. 8 itself uses &lt;28/≥28.</t>
        </is>
      </c>
    </row>
    <row r="139" ht="180" customFormat="1" customHeight="1" s="8">
      <c r="A139" s="11" t="inlineStr">
        <is>
          <t>2024::jama.2024.2302::C004</t>
        </is>
      </c>
      <c r="B139" s="11" t="n">
        <v>1</v>
      </c>
      <c r="C139" s="11" t="inlineStr">
        <is>
          <t>Reported-versus-comparator</t>
        </is>
      </c>
      <c r="D139" s="11" t="inlineStr">
        <is>
          <t>≥28 includes exactly 28 weeks; &gt;28 excludes it.</t>
        </is>
      </c>
    </row>
    <row r="140" ht="180" customFormat="1" customHeight="1" s="8">
      <c r="A140" s="12" t="inlineStr">
        <is>
          <t>2024::jama.2024.2302::C004</t>
        </is>
      </c>
      <c r="B140" s="12" t="n">
        <v>2</v>
      </c>
      <c r="C140" s="12" t="inlineStr">
        <is>
          <t>Calculation</t>
        </is>
      </c>
      <c r="D140" s="12" t="inlineStr">
        <is>
          <t>At exactly 28 weeks, GA≥28 is true and GA&gt;28 is false. The Figure 3 subgroup denominators partition the analysis populations: 102+57=159 and 99+50=149.</t>
        </is>
      </c>
    </row>
    <row r="141" ht="180" customFormat="1" customHeight="1" s="8">
      <c r="A141" s="11" t="inlineStr">
        <is>
          <t>2024::jama.2024.2302::C004</t>
        </is>
      </c>
      <c r="B141" s="11" t="n">
        <v>3</v>
      </c>
      <c r="C141" s="11" t="inlineStr">
        <is>
          <t>Alternative source-grounded interpretations</t>
        </is>
      </c>
      <c r="D141" s="11" t="inlineStr">
        <is>
          <t>SAP p. 8 and the article’s complete displayed partition support a possible inconsistent &gt;28 label. Exact gestational-age coding and exactly-28-week assignment are not supplied.</t>
        </is>
      </c>
    </row>
    <row r="142" ht="180" customFormat="1" customHeight="1" s="8">
      <c r="A142" s="12" t="inlineStr">
        <is>
          <t>2024::jama.2024.2302::C005</t>
        </is>
      </c>
      <c r="B142" s="12" t="n">
        <v>0</v>
      </c>
      <c r="C142" s="12" t="inlineStr">
        <is>
          <t>Source evidence</t>
        </is>
      </c>
      <c r="D142" s="12" t="inlineStr">
        <is>
          <t>Protocol text defines SAE ascertainment from enrollment through 10 months after enrollment; the SAP and main article state primary-outcome collection for 10 months after randomization.</t>
        </is>
      </c>
    </row>
    <row r="143" ht="180" customFormat="1" customHeight="1" s="8">
      <c r="A143" s="11" t="inlineStr">
        <is>
          <t>2024::jama.2024.2302::C005</t>
        </is>
      </c>
      <c r="B143" s="11" t="n">
        <v>1</v>
      </c>
      <c r="C143" s="11" t="inlineStr">
        <is>
          <t>Reported-versus-comparator</t>
        </is>
      </c>
      <c r="D143" s="11" t="inlineStr">
        <is>
          <t>[enrollment, enrollment + 10 months] versus [randomization, randomization + 10 months].</t>
        </is>
      </c>
    </row>
    <row r="144" ht="180" customFormat="1" customHeight="1" s="8">
      <c r="A144" s="12" t="inlineStr">
        <is>
          <t>2024::jama.2024.2302::C005</t>
        </is>
      </c>
      <c r="B144" s="12" t="n">
        <v>2</v>
      </c>
      <c r="C144" s="12" t="inlineStr">
        <is>
          <t>Calculation</t>
        </is>
      </c>
      <c r="D144" s="12" t="inlineStr">
        <is>
          <t>The two windows have the same duration but different named origins unless enrollment equals randomization; the supplied package does not define that equality.</t>
        </is>
      </c>
    </row>
    <row r="145" ht="180" customFormat="1" customHeight="1" s="8">
      <c r="A145" s="11" t="inlineStr">
        <is>
          <t>2024::jama.2024.2302::C005</t>
        </is>
      </c>
      <c r="B145" s="11" t="n">
        <v>3</v>
      </c>
      <c r="C145" s="11" t="inlineStr">
        <is>
          <t>Alternative source-grounded interpretations</t>
        </is>
      </c>
      <c r="D145" s="11" t="inlineStr">
        <is>
          <t>The protocol’s mixed terminology supports possible interchangeable usage. Operational simultaneity and any event-count difference are not supplied.</t>
        </is>
      </c>
    </row>
    <row r="146" ht="180" customFormat="1" customHeight="1" s="8">
      <c r="A146" s="12" t="inlineStr">
        <is>
          <t>2024::jama.2024.23898::C001</t>
        </is>
      </c>
      <c r="B146" s="12" t="n">
        <v>0</v>
      </c>
      <c r="C146" s="12" t="inlineStr">
        <is>
          <t>Source evidence</t>
        </is>
      </c>
      <c r="D146" s="12" t="inlineStr">
        <is>
          <t>The article reports the same 160/279 versus 164/278 GI-3 result as “72 hours after surgery,” “at 72 hours after operation,” and “by 72 h after operation.”</t>
        </is>
      </c>
    </row>
    <row r="147" ht="180" customFormat="1" customHeight="1" s="8">
      <c r="A147" s="11" t="inlineStr">
        <is>
          <t>2024::jama.2024.23898::C001</t>
        </is>
      </c>
      <c r="B147" s="11" t="n">
        <v>1</v>
      </c>
      <c r="C147" s="11" t="inlineStr">
        <is>
          <t>Reported-versus-comparator</t>
        </is>
      </c>
      <c r="D147" s="11" t="inlineStr">
        <is>
          <t>The SAP defines the same GI-3 composite “at 72 hours after the start of operation.”</t>
        </is>
      </c>
    </row>
    <row r="148" ht="180" customFormat="1" customHeight="1" s="8">
      <c r="A148" s="12" t="inlineStr">
        <is>
          <t>2024::jama.2024.23898::C001</t>
        </is>
      </c>
      <c r="B148" s="12" t="n">
        <v>2</v>
      </c>
      <c r="C148" s="12" t="inlineStr">
        <is>
          <t>Calculation</t>
        </is>
      </c>
      <c r="D148" s="12" t="inlineStr">
        <is>
          <t>No numerical recalculation is claimed. The matched counts and effects agree; the reproducible comparison is the presence versus absence of “start of operation.”</t>
        </is>
      </c>
    </row>
    <row r="149" ht="180" customFormat="1" customHeight="1" s="8">
      <c r="A149" s="11" t="inlineStr">
        <is>
          <t>2024::jama.2024.23898::C001</t>
        </is>
      </c>
      <c r="B149" s="11" t="n">
        <v>3</v>
      </c>
      <c r="C149" s="11" t="inlineStr">
        <is>
          <t>Alternative source-grounded interpretations</t>
        </is>
      </c>
      <c r="D149" s="11" t="inlineStr">
        <is>
          <t>“After surgery/operation” may be shorthand for the SAP origin, or the final derivation may have used completion of surgery, anaesthesia start, or another timestamp not supplied.</t>
        </is>
      </c>
    </row>
    <row r="150" ht="180" customFormat="1" customHeight="1" s="8">
      <c r="A150" s="12" t="inlineStr">
        <is>
          <t>2024::jama.2024.23898::C002</t>
        </is>
      </c>
      <c r="B150" s="12" t="n">
        <v>0</v>
      </c>
      <c r="C150" s="12" t="inlineStr">
        <is>
          <t>Source evidence</t>
        </is>
      </c>
      <c r="D150" s="12" t="inlineStr">
        <is>
          <t>The article names postoperative opioid consumption “up to 24 hours” and reports OME medians 70.6 mg versus 45.0 mg, each n=210.</t>
        </is>
      </c>
    </row>
    <row r="151" ht="180" customFormat="1" customHeight="1" s="8">
      <c r="A151" s="11" t="inlineStr">
        <is>
          <t>2024::jama.2024.23898::C002</t>
        </is>
      </c>
      <c r="B151" s="11" t="n">
        <v>1</v>
      </c>
      <c r="C151" s="11" t="inlineStr">
        <is>
          <t>Reported-versus-comparator</t>
        </is>
      </c>
      <c r="D151" s="11" t="inlineStr">
        <is>
          <t>The protocol specifies cumulative morphine-equivalent consumption until 72 hours after operation start; the SAP specifies total in-hospital opioid consumption up to 72 hours.</t>
        </is>
      </c>
    </row>
    <row r="152" ht="180" customFormat="1" customHeight="1" s="8">
      <c r="A152" s="12" t="inlineStr">
        <is>
          <t>2024::jama.2024.23898::C002</t>
        </is>
      </c>
      <c r="B152" s="12" t="n">
        <v>2</v>
      </c>
      <c r="C152" s="12" t="inlineStr">
        <is>
          <t>Calculation</t>
        </is>
      </c>
      <c r="D152" s="12" t="inlineStr">
        <is>
          <t>72 hours − 24 hours = 48 hours. Aggregate 24-hour medians cannot reconstruct 72-hour medians.</t>
        </is>
      </c>
    </row>
    <row r="153" ht="180" customFormat="1" customHeight="1" s="8">
      <c r="A153" s="11" t="inlineStr">
        <is>
          <t>2024::jama.2024.23898::C002</t>
        </is>
      </c>
      <c r="B153" s="11" t="n">
        <v>3</v>
      </c>
      <c r="C153" s="11" t="inlineStr">
        <is>
          <t>Alternative source-grounded interpretations</t>
        </is>
      </c>
      <c r="D153" s="11" t="inlineStr">
        <is>
          <t>The final analysis may intentionally report a distinct 24-hour measure, or the planned 72-hour endpoint may have changed before final analysis.</t>
        </is>
      </c>
    </row>
    <row r="154" ht="180" customFormat="1" customHeight="1" s="8">
      <c r="A154" s="12" t="inlineStr">
        <is>
          <t>2024::jama.2024.23898::C003</t>
        </is>
      </c>
      <c r="B154" s="12" t="n">
        <v>0</v>
      </c>
      <c r="C154" s="12" t="inlineStr">
        <is>
          <t>Source evidence</t>
        </is>
      </c>
      <c r="D154" s="12" t="inlineStr">
        <is>
          <t>Article Methods says within 30 days; Table 3 says within 90 days and prints 31/279 (11.1%) versus 34/278 (12.2%).</t>
        </is>
      </c>
    </row>
    <row r="155" ht="180" customFormat="1" customHeight="1" s="8">
      <c r="A155" s="11" t="inlineStr">
        <is>
          <t>2024::jama.2024.23898::C003</t>
        </is>
      </c>
      <c r="B155" s="11" t="n">
        <v>1</v>
      </c>
      <c r="C155" s="11" t="inlineStr">
        <is>
          <t>Reported-versus-comparator</t>
        </is>
      </c>
      <c r="D155" s="11" t="inlineStr">
        <is>
          <t>The protocol and SAP (including the SAP dummy-table heading) specify unplanned readmission within 30 days.</t>
        </is>
      </c>
    </row>
    <row r="156" ht="180" customFormat="1" customHeight="1" s="8">
      <c r="A156" s="12" t="inlineStr">
        <is>
          <t>2024::jama.2024.23898::C003</t>
        </is>
      </c>
      <c r="B156" s="12" t="n">
        <v>2</v>
      </c>
      <c r="C156" s="12" t="inlineStr">
        <is>
          <t>Calculation</t>
        </is>
      </c>
      <c r="D156" s="12" t="inlineStr">
        <is>
          <t>90 days − 30 days = 60 days; 31 / 279 × 100 = 11.11% and 34 / 278 × 100 = 12.23%, reproducing the printed percentages at one decimal place but not the window.</t>
        </is>
      </c>
    </row>
    <row r="157" ht="180" customFormat="1" customHeight="1" s="8">
      <c r="A157" s="11" t="inlineStr">
        <is>
          <t>2024::jama.2024.23898::C003</t>
        </is>
      </c>
      <c r="B157" s="11" t="n">
        <v>3</v>
      </c>
      <c r="C157" s="11" t="inlineStr">
        <is>
          <t>Alternative source-grounded interpretations</t>
        </is>
      </c>
      <c r="D157" s="11" t="inlineStr">
        <is>
          <t>Table 3 may contain 30-day counts under a 90-day label, or the final endpoint may have changed to 90 days while other text remained unrevised.</t>
        </is>
      </c>
    </row>
    <row r="158" ht="180" customFormat="1" customHeight="1" s="8">
      <c r="A158" s="12" t="inlineStr">
        <is>
          <t>2024::jama.2024.23898::C004</t>
        </is>
      </c>
      <c r="B158" s="12" t="n">
        <v>0</v>
      </c>
      <c r="C158" s="12" t="inlineStr">
        <is>
          <t>Source evidence</t>
        </is>
      </c>
      <c r="D158" s="12" t="inlineStr">
        <is>
          <t>The eFigure displays high n=191, moderate n=274, low n=92; it defines high as ≥7/10 and low as &lt;5/10, and says the definitions were not predefined.</t>
        </is>
      </c>
    </row>
    <row r="159" ht="180" customFormat="1" customHeight="1" s="8">
      <c r="A159" s="11" t="inlineStr">
        <is>
          <t>2024::jama.2024.23898::C004</t>
        </is>
      </c>
      <c r="B159" s="11" t="n">
        <v>1</v>
      </c>
      <c r="C159" s="11" t="inlineStr">
        <is>
          <t>Reported-versus-comparator</t>
        </is>
      </c>
      <c r="D159" s="11" t="inlineStr">
        <is>
          <t>The protocol calls its bands “e.g.” 0–30%, 30–60%, and &gt;60%; the SAP names high/moderate/low without cut points.</t>
        </is>
      </c>
    </row>
    <row r="160" ht="180" customFormat="1" customHeight="1" s="8">
      <c r="A160" s="12" t="inlineStr">
        <is>
          <t>2024::jama.2024.23898::C004</t>
        </is>
      </c>
      <c r="B160" s="12" t="n">
        <v>2</v>
      </c>
      <c r="C160" s="12" t="inlineStr">
        <is>
          <t>Calculation</t>
        </is>
      </c>
      <c r="D160" s="12" t="inlineStr">
        <is>
          <t>4 / 10 × 100 = 40%. The eFigure classifies 4/10 as low, while 40% is in the protocol’s printed 30–60% example band. 191 + 274 + 92 = 557.</t>
        </is>
      </c>
    </row>
    <row r="161" ht="180" customFormat="1" customHeight="1" s="8">
      <c r="A161" s="11" t="inlineStr">
        <is>
          <t>2024::jama.2024.23898::C004</t>
        </is>
      </c>
      <c r="B161" s="11" t="n">
        <v>3</v>
      </c>
      <c r="C161" s="11" t="inlineStr">
        <is>
          <t>Alternative source-grounded interpretations</t>
        </is>
      </c>
      <c r="D161" s="11" t="inlineStr">
        <is>
          <t>The “e.g.” bands may be illustrative and a final 0–4/5–6/7–10 rule may have superseded them; alternatively, the scales may not have been aligned. The eFigure does not expressly define moderate.</t>
        </is>
      </c>
    </row>
    <row r="162" ht="180" customFormat="1" customHeight="1" s="8">
      <c r="A162" s="12" t="inlineStr">
        <is>
          <t>2024::jama.2024.23898::C005</t>
        </is>
      </c>
      <c r="B162" s="12" t="n">
        <v>0</v>
      </c>
      <c r="C162" s="12" t="inlineStr">
        <is>
          <t>Source evidence</t>
        </is>
      </c>
      <c r="D162" s="12" t="inlineStr">
        <is>
          <t>The eFigure legend says “99% CI”; its caption states that right-hand within-subgroup relative risks have “95% confidence interval.”</t>
        </is>
      </c>
    </row>
    <row r="163" ht="180" customFormat="1" customHeight="1" s="8">
      <c r="A163" s="11" t="inlineStr">
        <is>
          <t>2024::jama.2024.23898::C005</t>
        </is>
      </c>
      <c r="B163" s="11" t="n">
        <v>1</v>
      </c>
      <c r="C163" s="11" t="inlineStr">
        <is>
          <t>Reported-versus-comparator</t>
        </is>
      </c>
      <c r="D163" s="11" t="inlineStr">
        <is>
          <t>The SAP specifies two-sided 1% subgroup tests and corresponding 99% CIs, supporting the legend’s planned convention but not proving the plotted calculation.</t>
        </is>
      </c>
    </row>
    <row r="164" ht="180" customFormat="1" customHeight="1" s="8">
      <c r="A164" s="12" t="inlineStr">
        <is>
          <t>2024::jama.2024.23898::C005</t>
        </is>
      </c>
      <c r="B164" s="12" t="n">
        <v>2</v>
      </c>
      <c r="C164" s="12" t="inlineStr">
        <is>
          <t>Calculation</t>
        </is>
      </c>
      <c r="D164" s="12" t="inlineStr">
        <is>
          <t>99% − 95% = 4 percentage points; the explicit labels have no rounding tolerance.</t>
        </is>
      </c>
    </row>
    <row r="165" ht="180" customFormat="1" customHeight="1" s="8">
      <c r="A165" s="11" t="inlineStr">
        <is>
          <t>2024::jama.2024.23898::C005</t>
        </is>
      </c>
      <c r="B165" s="11" t="n">
        <v>3</v>
      </c>
      <c r="C165" s="11" t="inlineStr">
        <is>
          <t>Alternative source-grounded interpretations</t>
        </is>
      </c>
      <c r="D165" s="11" t="inlineStr">
        <is>
          <t>The caption may use generic 95% wording, the legend may be incorrect, or different interval types may have been intended but not distinguished.</t>
        </is>
      </c>
    </row>
    <row r="166" ht="180" customFormat="1" customHeight="1" s="8">
      <c r="A166" s="12" t="inlineStr">
        <is>
          <t>2024::jama.2024.23898::C006</t>
        </is>
      </c>
      <c r="B166" s="12" t="n">
        <v>0</v>
      </c>
      <c r="C166" s="12" t="inlineStr">
        <is>
          <t>Source evidence</t>
        </is>
      </c>
      <c r="D166" s="12" t="inlineStr">
        <is>
          <t>Day 5 is −0.057 (95% CI, −0.111 to −0.003), P=.04; Results uses blanket “no significant difference” prose for EQ-5D-5L.</t>
        </is>
      </c>
    </row>
    <row r="167" ht="180" customFormat="1" customHeight="1" s="8">
      <c r="A167" s="11" t="inlineStr">
        <is>
          <t>2024::jama.2024.23898::C006</t>
        </is>
      </c>
      <c r="B167" s="11" t="n">
        <v>1</v>
      </c>
      <c r="C167" s="11" t="inlineStr">
        <is>
          <t>Reported-versus-comparator</t>
        </is>
      </c>
      <c r="D167" s="11" t="inlineStr">
        <is>
          <t>The SAP uses 95% CIs apart from subgroups, no secondary-outcome multiplicity adjustment, and time-by-treatment contrasts at each EQ-5D time point.</t>
        </is>
      </c>
    </row>
    <row r="168" ht="180" customFormat="1" customHeight="1" s="8">
      <c r="A168" s="12" t="inlineStr">
        <is>
          <t>2024::jama.2024.23898::C006</t>
        </is>
      </c>
      <c r="B168" s="12" t="n">
        <v>2</v>
      </c>
      <c r="C168" s="12" t="inlineStr">
        <is>
          <t>Calculation</t>
        </is>
      </c>
      <c r="D168" s="12" t="inlineStr">
        <is>
          <t>−0.111 &lt; −0.057 &lt; −0.003; zero is outside the interval; .04 &lt; .05.</t>
        </is>
      </c>
    </row>
    <row r="169" ht="180" customFormat="1" customHeight="1" s="8">
      <c r="A169" s="11" t="inlineStr">
        <is>
          <t>2024::jama.2024.23898::C006</t>
        </is>
      </c>
      <c r="B169" s="11" t="n">
        <v>3</v>
      </c>
      <c r="C169" s="11" t="inlineStr">
        <is>
          <t>Alternative source-grounded interpretations</t>
        </is>
      </c>
      <c r="D169" s="11" t="inlineStr">
        <is>
          <t>The prose may summarize an overall repeated-measures pattern, use an unstated endpoint-level decision rule, or omit mention of a nominal time-point result.</t>
        </is>
      </c>
    </row>
    <row r="170" ht="180" customFormat="1" customHeight="1" s="8">
      <c r="A170" s="12" t="inlineStr">
        <is>
          <t>2024::jama.2024.23898::C007</t>
        </is>
      </c>
      <c r="B170" s="12" t="n">
        <v>0</v>
      </c>
      <c r="C170" s="12" t="inlineStr">
        <is>
          <t>Source evidence</t>
        </is>
      </c>
      <c r="D170" s="12" t="inlineStr">
        <is>
          <t>The eFigure prints high n=191, moderate n=274, and low n=92, with one interaction P=.966; the SAP names the same three levels.</t>
        </is>
      </c>
    </row>
    <row r="171" ht="180" customFormat="1" customHeight="1" s="8">
      <c r="A171" s="11" t="inlineStr">
        <is>
          <t>2024::jama.2024.23898::C007</t>
        </is>
      </c>
      <c r="B171" s="11" t="n">
        <v>1</v>
      </c>
      <c r="C171" s="11" t="inlineStr">
        <is>
          <t>Reported-versus-comparator</t>
        </is>
      </c>
      <c r="D171" s="11" t="inlineStr">
        <is>
          <t>The article phrase names only high and low and does not identify it as shorthand or a separate extreme-level contrast.</t>
        </is>
      </c>
    </row>
    <row r="172" ht="180" customFormat="1" customHeight="1" s="8">
      <c r="A172" s="12" t="inlineStr">
        <is>
          <t>2024::jama.2024.23898::C007</t>
        </is>
      </c>
      <c r="B172" s="12" t="n">
        <v>2</v>
      </c>
      <c r="C172" s="12" t="inlineStr">
        <is>
          <t>Calculation</t>
        </is>
      </c>
      <c r="D172" s="12" t="inlineStr">
        <is>
          <t>191 + 274 + 92 = 557. One interaction P appears beside the three-row factor, supporting a three-level display without reconstructing its coding.</t>
        </is>
      </c>
    </row>
    <row r="173" ht="180" customFormat="1" customHeight="1" s="8">
      <c r="A173" s="11" t="inlineStr">
        <is>
          <t>2024::jama.2024.23898::C007</t>
        </is>
      </c>
      <c r="B173" s="11" t="n">
        <v>3</v>
      </c>
      <c r="C173" s="11" t="inlineStr">
        <is>
          <t>Alternative source-grounded interpretations</t>
        </is>
      </c>
      <c r="D173" s="11" t="inlineStr">
        <is>
          <t>“High vs low” may be shorthand for the three-level factor, or it may describe an extreme-level contrast while the eFigure displays a separate three-level interaction.</t>
        </is>
      </c>
    </row>
    <row r="174" ht="180" customFormat="1" customHeight="1" s="8">
      <c r="A174" s="12" t="inlineStr">
        <is>
          <t>2024::jama.2024.25786::C001</t>
        </is>
      </c>
      <c r="B174" s="12" t="n">
        <v>0</v>
      </c>
      <c r="C174" s="12" t="inlineStr">
        <is>
          <t>Source evidence</t>
        </is>
      </c>
      <c r="D174" s="12" t="inlineStr">
        <is>
          <t>The direct PDF prints 4/743 (5.3) under no./total no. (%). Reported-versus-comparator: 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5" ht="180" customFormat="1" customHeight="1" s="8">
      <c r="A175" s="11" t="inlineStr">
        <is>
          <t>2024::jama.2024.25786::C001</t>
        </is>
      </c>
      <c r="B175" s="11" t="n">
        <v>1</v>
      </c>
      <c r="C175" s="11" t="inlineStr">
        <is>
          <t>Reported-versus-comparator</t>
        </is>
      </c>
      <c r="D175" s="11" t="inlineStr">
        <is>
          <t>Reported 5.3% versus the percentage derived from the paired printed numerator and denominator. Reasoning procedure: Apply 100 × numerator / denominator and round to the table’s one-decimal precision. Calculation: 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6" ht="180" customFormat="1" customHeight="1" s="8">
      <c r="A176" s="12" t="inlineStr">
        <is>
          <t>2024::jama.2024.25786::C001</t>
        </is>
      </c>
      <c r="B176" s="12" t="n">
        <v>2</v>
      </c>
      <c r="C176" s="12" t="inlineStr">
        <is>
          <t>Calculation</t>
        </is>
      </c>
      <c r="D176" s="12" t="inlineStr">
        <is>
          <t>100 × 4 / 743 = 0.538358...%, which rounds to 0.5%, not 5.3%. Alternative source-grounded interpretations: 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7" ht="180" customFormat="1" customHeight="1" s="8">
      <c r="A177" s="11" t="inlineStr">
        <is>
          <t>2024::jama.2024.25786::C001</t>
        </is>
      </c>
      <c r="B177" s="11" t="n">
        <v>3</v>
      </c>
      <c r="C177" s="11" t="inlineStr">
        <is>
          <t>Alternative source-grounded interpretations</t>
        </is>
      </c>
      <c r="D177" s="11" t="inlineStr">
        <is>
          <t>The count, denominator, or percentage may be mistranscribed; adjacent cells use denominator 743 and no footnote supplies an alternative. Mechanical evidence recheck: Direct layout extraction and rendered-page inspection confirmed 4/743 (5.3) and the count/total/percentage label. Quality-control relevance: The printed fields form an internally reproducible percentage mismatch; the authoritative field is not identifiable from the package. Potential downstream evidence impact: If confirmed, a baseline-characteristics extractor could copy 5.3% or a count-derived percentage without knowing which is authoritative; no propagation or conclusion change is asserted. Human verification steps: Verify the underlying transport record or table output and identify the authoritative numerator, denominator, and percentage. Human adjudication fields: - Validity: __ - Importance: __ - Action: __ - Initials: __ - Notes: __</t>
        </is>
      </c>
    </row>
    <row r="178" ht="180" customFormat="1" customHeight="1" s="8">
      <c r="A178" s="12" t="inlineStr">
        <is>
          <t>2024::jama.2024.25786::C002</t>
        </is>
      </c>
      <c r="B178" s="12" t="n">
        <v>0</v>
      </c>
      <c r="C178" s="12" t="inlineStr">
        <is>
          <t>Source evidence</t>
        </is>
      </c>
      <c r="D178" s="12" t="inlineStr">
        <is>
          <t>The direct PDF prints 0/747 (1.1) under no./total no. (%). Reported-versus-comparator: 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79" ht="180" customFormat="1" customHeight="1" s="8">
      <c r="A179" s="11" t="inlineStr">
        <is>
          <t>2024::jama.2024.25786::C002</t>
        </is>
      </c>
      <c r="B179" s="11" t="n">
        <v>1</v>
      </c>
      <c r="C179" s="11" t="inlineStr">
        <is>
          <t>Reported-versus-comparator</t>
        </is>
      </c>
      <c r="D179" s="11" t="inlineStr">
        <is>
          <t>Reported 1.1% versus the percentage implied by numerator 0 and denominator 747. Reasoning procedure: Apply the displayed count/total/percentage identity. Calculation: 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0" ht="180" customFormat="1" customHeight="1" s="8">
      <c r="A180" s="12" t="inlineStr">
        <is>
          <t>2024::jama.2024.25786::C002</t>
        </is>
      </c>
      <c r="B180" s="12" t="n">
        <v>2</v>
      </c>
      <c r="C180" s="12" t="inlineStr">
        <is>
          <t>Calculation</t>
        </is>
      </c>
      <c r="D180" s="12" t="inlineStr">
        <is>
          <t>100 × 0 / 747 = 0.0%, not 1.1%. Alternative source-grounded interpretations: 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1" ht="180" customFormat="1" customHeight="1" s="8">
      <c r="A181" s="11" t="inlineStr">
        <is>
          <t>2024::jama.2024.25786::C002</t>
        </is>
      </c>
      <c r="B181" s="11" t="n">
        <v>3</v>
      </c>
      <c r="C181" s="11" t="inlineStr">
        <is>
          <t>Alternative source-grounded interpretations</t>
        </is>
      </c>
      <c r="D181" s="11" t="inlineStr">
        <is>
          <t>A typographic zero, carried-over percentage, or unprinted qualifier is possible; no footnote provides another rule. Mechanical evidence recheck: Direct layout extraction and rendered-page inspection confirmed the printed cell and format label. Quality-control relevance: The count and percentage cannot both represent the stated quantity under the printed format. Potential downstream evidence impact: If confirmed, an extractor could copy an unresolved rare baseline frequency into a descriptive table; no propagation or conclusion change is asserted. Human verification steps: Check the source surgery records or table-production output and identify the authoritative numerator and percentage. Human adjudication fields: - Validity: __ - Importance: __ - Action: __ - Initials: __ - Notes: __</t>
        </is>
      </c>
    </row>
    <row r="182" ht="180" customFormat="1" customHeight="1" s="8">
      <c r="A182" s="12" t="inlineStr">
        <is>
          <t>2024::jama.2024.25786::C003</t>
        </is>
      </c>
      <c r="B182" s="12" t="n">
        <v>0</v>
      </c>
      <c r="C182" s="12" t="inlineStr">
        <is>
          <t>Source evidence</t>
        </is>
      </c>
      <c r="D182" s="12" t="inlineStr">
        <is>
          <t>eTable 4 prints 0.98 (0.68 to 1.41) and eTable 7 prints 0.98 (0.68 to 1.39) for the same displayed counts, outcome, contrast, effect label, point estimate, and lower endpoint. Reported-versus-comparator: 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3" ht="180" customFormat="1" customHeight="1" s="8">
      <c r="A183" s="11" t="inlineStr">
        <is>
          <t>2024::jama.2024.25786::C003</t>
        </is>
      </c>
      <c r="B183" s="11" t="n">
        <v>1</v>
      </c>
      <c r="C183" s="11" t="inlineStr">
        <is>
          <t>Reported-versus-comparator</t>
        </is>
      </c>
      <c r="D183" s="11" t="inlineStr">
        <is>
          <t>Upper limit 1.41 versus upper limit 1.39 at the same displayed precision. Reasoning procedure: Compare the matched printed result fields; the relationship is conditional because the two tables do not explicitly bind their adjusted columns to one identical table-specific model. Calculation: 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4" ht="180" customFormat="1" customHeight="1" s="8">
      <c r="A184" s="12" t="inlineStr">
        <is>
          <t>2024::jama.2024.25786::C003</t>
        </is>
      </c>
      <c r="B184" s="12" t="n">
        <v>2</v>
      </c>
      <c r="C184" s="12" t="inlineStr">
        <is>
          <t>Calculation</t>
        </is>
      </c>
      <c r="D184" s="12" t="inlineStr">
        <is>
          <t>1.41 − 1.39 = 0.02 displayed upper-limit difference. Alternative source-grounded interpretations: 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5" ht="180" customFormat="1" customHeight="1" s="8">
      <c r="A185" s="11" t="inlineStr">
        <is>
          <t>2024::jama.2024.25786::C003</t>
        </is>
      </c>
      <c r="B185" s="11" t="n">
        <v>3</v>
      </c>
      <c r="C185" s="11" t="inlineStr">
        <is>
          <t>Alternative source-grounded interpretations</t>
        </is>
      </c>
      <c r="D185" s="11" t="inlineStr">
        <is>
          <t>The models may differ but be insufficiently labelled; if the models are identical, one endpoint is inconsistent. Unrounded intervals and fitted-model details are not supplied. Mechanical evidence recheck: Direct extraction and page inspection confirmed both intervals, matched event counts, and the absence of a table-specific model formula resolving the comparison. Quality-control relevance: A repeated adjusted result needs either matching displayed endpoints or enough model labelling to prevent a false same-result comparison. Potential downstream evidence impact: If confirmed, an adjusted-effect extractor could copy either upper confidence limit into a precision field; no propagation or conclusion change is asserted. Human verification steps: Determine whether the fitted models and data handling are identical; if so, verify the authoritative unrounded and displayed upper interval. Human adjudication fields: - Validity: __ - Importance: __ - Action: __ - Initials: __ - Notes: __</t>
        </is>
      </c>
    </row>
    <row r="186" ht="180" customFormat="1" customHeight="1" s="8">
      <c r="A186" s="12" t="inlineStr">
        <is>
          <t>2024::jama.2024.25786::C004</t>
        </is>
      </c>
      <c r="B186" s="12" t="n">
        <v>0</v>
      </c>
      <c r="C186" s="12" t="inlineStr">
        <is>
          <t>Source evidence</t>
        </is>
      </c>
      <c r="D186" s="12" t="inlineStr">
        <is>
          <t>Figure 4 prints liberal 48/473 (10.1); eTable 7 prints liberal 48/473 (9.2). Reported-versus-comparator: 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7" ht="180" customFormat="1" customHeight="1" s="8">
      <c r="A187" s="11" t="inlineStr">
        <is>
          <t>2024::jama.2024.25786::C004</t>
        </is>
      </c>
      <c r="B187" s="11" t="n">
        <v>1</v>
      </c>
      <c r="C187" s="11" t="inlineStr">
        <is>
          <t>Reported-versus-comparator</t>
        </is>
      </c>
      <c r="D187" s="11" t="inlineStr">
        <is>
          <t>eTable 7 9.2% versus Figure 4 10.1% and the percentage derived from the shared 48/473. Reasoning procedure: Match subgroup, group, numerator, denominator, and outcome, then apply ordinary one-decimal percentage rounding. Calculation: 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8" ht="180" customFormat="1" customHeight="1" s="8">
      <c r="A188" s="12" t="inlineStr">
        <is>
          <t>2024::jama.2024.25786::C004</t>
        </is>
      </c>
      <c r="B188" s="12" t="n">
        <v>2</v>
      </c>
      <c r="C188" s="12" t="inlineStr">
        <is>
          <t>Calculation</t>
        </is>
      </c>
      <c r="D188" s="12" t="inlineStr">
        <is>
          <t>100 × 48 / 473 = 10.147991...%, which rounds to 10.1%, not 9.2%. Alternative source-grounded interpretations: 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89" ht="180" customFormat="1" customHeight="1" s="8">
      <c r="A189" s="11" t="inlineStr">
        <is>
          <t>2024::jama.2024.25786::C004</t>
        </is>
      </c>
      <c r="B189" s="11" t="n">
        <v>3</v>
      </c>
      <c r="C189" s="11" t="inlineStr">
        <is>
          <t>Alternative source-grounded interpretations</t>
        </is>
      </c>
      <c r="D189" s="11" t="inlineStr">
        <is>
          <t>eTable 7 may contain a transcription error or use an undisclosed denominator inconsistent with its printed 473. Mechanical evidence recheck: Direct page inspection confirmed both printed strings and the shared numerator/denominator. Quality-control relevance: The same displayed subgroup count and denominator support incompatible percentages across supplied locations. Potential downstream evidence impact: If confirmed, a subgroup extractor could copy 9.2% rather than the count-derived and matched 10.1%; no propagation or conclusion change is asserted. Human verification steps: Verify the subgroup source data, intended denominator, and authoritative displayed percentage. Human adjudication fields: - Validity: __ - Importance: __ - Action: __ - Initials: __ - Notes: __</t>
        </is>
      </c>
    </row>
    <row r="190" ht="180" customFormat="1" customHeight="1" s="8">
      <c r="A190" s="12" t="inlineStr">
        <is>
          <t>2024::jama.2024.25786::C005</t>
        </is>
      </c>
      <c r="B190" s="12" t="n">
        <v>0</v>
      </c>
      <c r="C190" s="12" t="inlineStr">
        <is>
          <t>Source evidence</t>
        </is>
      </c>
      <c r="D190" s="12" t="inlineStr">
        <is>
          <t>Figure 4 prints liberal 14/69 (20.3); eTable 7 prints liberal 14/69 (20.2). Reported-versus-comparator: 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1" ht="180" customFormat="1" customHeight="1" s="8">
      <c r="A191" s="11" t="inlineStr">
        <is>
          <t>2024::jama.2024.25786::C005</t>
        </is>
      </c>
      <c r="B191" s="11" t="n">
        <v>1</v>
      </c>
      <c r="C191" s="11" t="inlineStr">
        <is>
          <t>Reported-versus-comparator</t>
        </is>
      </c>
      <c r="D191" s="11" t="inlineStr">
        <is>
          <t>eTable 7 20.2% versus Figure 4 20.3% and ordinary nearest rounding of 14/69. Reasoning procedure: Match the subgroup and printed count/denominator, then calculate the one-decimal percentage while retaining an unspecified rounding convention as an alternative. Calculation: 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2" ht="180" customFormat="1" customHeight="1" s="8">
      <c r="A192" s="12" t="inlineStr">
        <is>
          <t>2024::jama.2024.25786::C005</t>
        </is>
      </c>
      <c r="B192" s="12" t="n">
        <v>2</v>
      </c>
      <c r="C192" s="12" t="inlineStr">
        <is>
          <t>Calculation</t>
        </is>
      </c>
      <c r="D192" s="12" t="inlineStr">
        <is>
          <t>100 × 14 / 69 = 20.289855...%, which is 20.3% under ordinary nearest rounding. Alternative source-grounded interpretations: 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3" ht="180" customFormat="1" customHeight="1" s="8">
      <c r="A193" s="11" t="inlineStr">
        <is>
          <t>2024::jama.2024.25786::C005</t>
        </is>
      </c>
      <c r="B193" s="11" t="n">
        <v>3</v>
      </c>
      <c r="C193" s="11" t="inlineStr">
        <is>
          <t>Alternative source-grounded interpretations</t>
        </is>
      </c>
      <c r="D193" s="11" t="inlineStr">
        <is>
          <t>An unreported truncation or production-time rounding convention, or a transcription difference, may explain the discrepancy; the package does not state a publication-wide rounding rule. Mechanical evidence recheck: Direct page inspection confirmed both values and the shared 14/69. Quality-control relevance: Matched one-decimal subgroup displays are inconsistent unless a different rounding rule is established. Potential downstream evidence impact: If confirmed, a subgroup extractor could copy either one-decimal percentage without a stated convention; no propagation or conclusion change is asserted. Human verification steps: Verify the intended rounding convention and authoritative subgroup percentage. Human adjudication fields: - Validity: __ - Importance: __ - Action: __ - Initials: __ - Notes: __</t>
        </is>
      </c>
    </row>
    <row r="194" ht="180" customFormat="1" customHeight="1" s="8">
      <c r="A194" s="12" t="inlineStr">
        <is>
          <t>2024::jama.2024.25786::C006</t>
        </is>
      </c>
      <c r="B194" s="12" t="n">
        <v>0</v>
      </c>
      <c r="C194" s="12" t="inlineStr">
        <is>
          <t>Source evidence</t>
        </is>
      </c>
      <c r="D194" s="12" t="inlineStr">
        <is>
          <t>eTable 10 states N=130 and prints restrictive 55/750 (45) and liberal 67/758 (55); Figure 1 prints 59 restrictive and 71 liberal exclusions, totaling 130. Reported-versus-comparator: 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5" ht="180" customFormat="1" customHeight="1" s="8">
      <c r="A195" s="11" t="inlineStr">
        <is>
          <t>2024::jama.2024.25786::C006</t>
        </is>
      </c>
      <c r="B195" s="11" t="n">
        <v>1</v>
      </c>
      <c r="C195" s="11" t="inlineStr">
        <is>
          <t>Reported-versus-comparator</t>
        </is>
      </c>
      <c r="D195" s="11" t="inlineStr">
        <is>
          <t>eTable group total 122 versus its stated 130 and Figure 1’s 130, with each Figure 1 group count four higher. Reasoning procedure: Sum the displayed eTable group counts and compare them with the eTable total and matched Figure 1 branches. Calculation: 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6" ht="180" customFormat="1" customHeight="1" s="8">
      <c r="A196" s="12" t="inlineStr">
        <is>
          <t>2024::jama.2024.25786::C006</t>
        </is>
      </c>
      <c r="B196" s="12" t="n">
        <v>2</v>
      </c>
      <c r="C196" s="12" t="inlineStr">
        <is>
          <t>Calculation</t>
        </is>
      </c>
      <c r="D196" s="12" t="inlineStr">
        <is>
          <t>55 + 67 = 122; 130 − 122 = 8; 59 + 71 = 130; each figure count exceeds its table count by 4. Alternative source-grounded interpretations: 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7" ht="180" customFormat="1" customHeight="1" s="8">
      <c r="A197" s="11" t="inlineStr">
        <is>
          <t>2024::jama.2024.25786::C006</t>
        </is>
      </c>
      <c r="B197" s="11" t="n">
        <v>3</v>
      </c>
      <c r="C197" s="11" t="inlineStr">
        <is>
          <t>Alternative source-grounded interpretations</t>
        </is>
      </c>
      <c r="D197" s="11" t="inlineStr">
        <is>
          <t>eTable 10 may intentionally omit four Swiss-law consent-withdrawal cases per group, but neither its row label nor footnote defines that restriction. Mechanical evidence recheck: Direct page inspection confirmed the eTable values, Figure 1 values, and the absence of an eTable explanation for the eight-person difference. Quality-control relevance: Participant-flow totals and group counts should state any population restriction needed to reconcile linked displays. Potential downstream evidence impact: If confirmed, an evidence extractor could copy inconsistent flow totals or group exclusions; no effect-estimate impact, propagation, or conclusion change is asserted. Human verification steps: Determine whether the eight omissions are intentional; if so, label the population and reconcile total, denominators, and footnote. Human adjudication fields: - Validity: __ - Importance: __ - Action: __ - Initials: __ - Notes: __</t>
        </is>
      </c>
    </row>
    <row r="198" ht="180" customFormat="1" customHeight="1" s="8">
      <c r="A198" s="12" t="inlineStr">
        <is>
          <t>2024::jama.2024.25786::C007</t>
        </is>
      </c>
      <c r="B198" s="12" t="n">
        <v>0</v>
      </c>
      <c r="C198" s="12" t="inlineStr">
        <is>
          <t>Source evidence</t>
        </is>
      </c>
      <c r="D198" s="12" t="inlineStr">
        <is>
          <t>eTable 10 states N=341 and prints restrictive 174/750 (51) and liberal 165/758 (49); its footnote notes two missing randomized-oxygen assignments. Figure 1 matches counts 174 and 165. Reported-versus-comparator: 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199" ht="180" customFormat="1" customHeight="1" s="8">
      <c r="A199" s="11" t="inlineStr">
        <is>
          <t>2024::jama.2024.25786::C007</t>
        </is>
      </c>
      <c r="B199" s="11" t="n">
        <v>1</v>
      </c>
      <c r="C199" s="11" t="inlineStr">
        <is>
          <t>Reported-versus-comparator</t>
        </is>
      </c>
      <c r="D199" s="11" t="inlineStr">
        <is>
          <t>Printed 51% and 49% versus 23.2% and 21.8% from the printed cell denominators; the printed percentages instead reproduce from the 339 classified exclusions. Reasoning procedure: Calculate percentages using each printed cell denominator and compare them with the cross-group classified-total partition. Calculation: 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0" ht="180" customFormat="1" customHeight="1" s="8">
      <c r="A200" s="12" t="inlineStr">
        <is>
          <t>2024::jama.2024.25786::C007</t>
        </is>
      </c>
      <c r="B200" s="12" t="n">
        <v>2</v>
      </c>
      <c r="C200" s="12" t="inlineStr">
        <is>
          <t>Calculation</t>
        </is>
      </c>
      <c r="D200" s="12" t="inlineStr">
        <is>
          <t>174/750 = 23.2%; 165/758 = 21.8%; 174 + 165 = 339; 174/339 = 51.3%; 165/339 = 48.7%; 341 − 339 = 2. Alternative source-grounded interpretations: 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1" ht="180" customFormat="1" customHeight="1" s="8">
      <c r="A201" s="11" t="inlineStr">
        <is>
          <t>2024::jama.2024.25786::C007</t>
        </is>
      </c>
      <c r="B201" s="11" t="n">
        <v>3</v>
      </c>
      <c r="C201" s="11" t="inlineStr">
        <is>
          <t>Alternative source-grounded interpretations</t>
        </is>
      </c>
      <c r="D201" s="11" t="inlineStr">
        <is>
          <t>The intended estimand may be within-group exclusion incidence or allocation distribution among classified exclusions; the table does not choose one consistently or explain how to present the two unassigned patients. Mechanical evidence recheck: Direct page inspection confirmed the values, footnote, and Figure 1 count comparator. Quality-control relevance: The display combines incompatible denominator concepts in a count/total/percentage cell. Potential downstream evidence impact: If confirmed, an extractor could copy 51%/49% as within-group rates or 23.2%/21.8% as allocation shares; no propagation or conclusion change is asserted. Human verification steps: Establish the intended estimand, use one denominator consistently, and describe the two missing assignments. Human adjudication fields: - Validity: __ - Importance: __ - Action: __ - Initials: __ - Notes: __</t>
        </is>
      </c>
    </row>
    <row r="202" ht="180" customFormat="1" customHeight="1" s="8">
      <c r="A202" s="12" t="inlineStr">
        <is>
          <t>2024::jama.2024.25786::C008</t>
        </is>
      </c>
      <c r="B202" s="12" t="n">
        <v>0</v>
      </c>
      <c r="C202" s="12" t="inlineStr">
        <is>
          <t>Source evidence</t>
        </is>
      </c>
      <c r="D202" s="12" t="inlineStr">
        <is>
          <t>The direct PDF visibly prints restrictive 135//750 (18.0) under no./total no. (%); the paired liberal cell is 155/758 (20.4). Reported-versus-comparator: 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3" ht="180" customFormat="1" customHeight="1" s="8">
      <c r="A203" s="11" t="inlineStr">
        <is>
          <t>2024::jama.2024.25786::C008</t>
        </is>
      </c>
      <c r="B203" s="11" t="n">
        <v>1</v>
      </c>
      <c r="C203" s="11" t="inlineStr">
        <is>
          <t>Reported-versus-comparator</t>
        </is>
      </c>
      <c r="D203" s="11" t="inlineStr">
        <is>
          <t>Doubled // separator versus the table’s single-slash count/denominator notation and paired cell. Reasoning procedure: Confirm the glyph string directly and compare it with the table convention; separately confirm that the numeric percentage reconciles. Calculation: 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4" ht="180" customFormat="1" customHeight="1" s="8">
      <c r="A204" s="12" t="inlineStr">
        <is>
          <t>2024::jama.2024.25786::C008</t>
        </is>
      </c>
      <c r="B204" s="12" t="n">
        <v>2</v>
      </c>
      <c r="C204" s="12" t="inlineStr">
        <is>
          <t>Calculation</t>
        </is>
      </c>
      <c r="D204" s="12" t="inlineStr">
        <is>
          <t>100 × 135 / 750 = 18.0%; the numeric relation reconciles, while the doubled separator does not match the notation. Alternative source-grounded interpretations: 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5" ht="180" customFormat="1" customHeight="1" s="8">
      <c r="A205" s="11" t="inlineStr">
        <is>
          <t>2024::jama.2024.25786::C008</t>
        </is>
      </c>
      <c r="B205" s="11" t="n">
        <v>3</v>
      </c>
      <c r="C205" s="11" t="inlineStr">
        <is>
          <t>Alternative source-grounded interpretations</t>
        </is>
      </c>
      <c r="D205" s="11" t="inlineStr">
        <is>
          <t>The doubled slash may be a typographic, encoding, or production artifact; the package does not identify its source stage or intended correction. Mechanical evidence recheck: Direct rendering, high-resolution crop, raw-text and bounding-box extraction, and targeted CPU OCR all retained both slash glyphs. Quality-control relevance: A malformed count separator can impair manual or machine extraction even when its arithmetic is coherent. Potential downstream evidence impact: If confirmed, a manual or machine extractor could retain the malformed separator when copying the display verbatim; no propagation or conclusion change is asserted. Human verification steps: Confirm the authoritative publication string and determine whether clarification of the notation is needed. Human adjudication fields: - Validity: __ - Importance: __ - Action: __ - Initials: __ - Notes: __</t>
        </is>
      </c>
    </row>
    <row r="206" ht="180" customFormat="1" customHeight="1" s="8">
      <c r="A206" s="12" t="inlineStr">
        <is>
          <t>2024::jama.2024.4183::C001</t>
        </is>
      </c>
      <c r="B206" s="12" t="n">
        <v>0</v>
      </c>
      <c r="C206" s="12" t="inlineStr">
        <is>
          <t>Source evidence</t>
        </is>
      </c>
      <c r="D206" s="12" t="inlineStr">
        <is>
          <t>Among 191 CNRT nonabstainers the abstract prints 90 (47%), 50 (33%), and 51 (34%); among 157 varenicline nonabstainers it prints 39 (32%), 41 (34%), and 77 (49%). Figure 2 shows that 40 and 35 nonattenders were imputed into continuation.</t>
        </is>
      </c>
    </row>
    <row r="207" ht="180" customFormat="1" customHeight="1" s="8">
      <c r="A207" s="11" t="inlineStr">
        <is>
          <t>2024::jama.2024.4183::C001</t>
        </is>
      </c>
      <c r="B207" s="11" t="n">
        <v>1</v>
      </c>
      <c r="C207" s="11" t="inlineStr">
        <is>
          <t>Reported-versus-comparator</t>
        </is>
      </c>
      <c r="D207" s="11" t="inlineStr">
        <is>
          <t>Printed evidence versus the matched source occurrence or stated consistency rule.</t>
        </is>
      </c>
    </row>
    <row r="208" ht="180" customFormat="1" customHeight="1" s="8">
      <c r="A208" s="12" t="inlineStr">
        <is>
          <t>2024::jama.2024.4183::C001</t>
        </is>
      </c>
      <c r="B208" s="12" t="n">
        <v>2</v>
      </c>
      <c r="C208" s="12" t="inlineStr">
        <is>
          <t>Calculation</t>
        </is>
      </c>
      <c r="D208" s="12" t="inlineStr">
        <is>
          <t>Reproduce the stated arithmetic or direct printed comparison at displayed precision; see source evidence and consistency rule.</t>
        </is>
      </c>
    </row>
    <row r="209" ht="180" customFormat="1" customHeight="1" s="8">
      <c r="A209" s="11" t="inlineStr">
        <is>
          <t>2024::jama.2024.4183::C001</t>
        </is>
      </c>
      <c r="B209" s="11" t="n">
        <v>3</v>
      </c>
      <c r="C209" s="11" t="inlineStr">
        <is>
          <t>Alternative source-grounded interpretations</t>
        </is>
      </c>
      <c r="D209" s="11" t="inlineStr">
        <is>
          <t>The supplied package does not state an authoritative correction; alternative production or version explanations require human review.</t>
        </is>
      </c>
    </row>
    <row r="210" ht="180" customFormat="1" customHeight="1" s="8">
      <c r="A210" s="12" t="inlineStr">
        <is>
          <t>2024::jama.2024.4183::C002</t>
        </is>
      </c>
      <c r="B210" s="12" t="n">
        <v>0</v>
      </c>
      <c r="C210" s="12" t="inlineStr">
        <is>
          <t>Source evidence</t>
        </is>
      </c>
      <c r="D210" s="12" t="inlineStr">
        <is>
          <t>Each arm is n=245, but each prints female 105 (42.9) and male 145 (57.1).</t>
        </is>
      </c>
    </row>
    <row r="211" ht="180" customFormat="1" customHeight="1" s="8">
      <c r="A211" s="11" t="inlineStr">
        <is>
          <t>2024::jama.2024.4183::C002</t>
        </is>
      </c>
      <c r="B211" s="11" t="n">
        <v>1</v>
      </c>
      <c r="C211" s="11" t="inlineStr">
        <is>
          <t>Reported-versus-comparator</t>
        </is>
      </c>
      <c r="D211" s="11" t="inlineStr">
        <is>
          <t>Printed evidence versus the matched source occurrence or stated consistency rule.</t>
        </is>
      </c>
    </row>
    <row r="212" ht="180" customFormat="1" customHeight="1" s="8">
      <c r="A212" s="12" t="inlineStr">
        <is>
          <t>2024::jama.2024.4183::C002</t>
        </is>
      </c>
      <c r="B212" s="12" t="n">
        <v>2</v>
      </c>
      <c r="C212" s="12" t="inlineStr">
        <is>
          <t>Calculation</t>
        </is>
      </c>
      <c r="D212" s="12" t="inlineStr">
        <is>
          <t>Reproduce the stated arithmetic or direct printed comparison at displayed precision; see source evidence and consistency rule.</t>
        </is>
      </c>
    </row>
    <row r="213" ht="180" customFormat="1" customHeight="1" s="8">
      <c r="A213" s="11" t="inlineStr">
        <is>
          <t>2024::jama.2024.4183::C002</t>
        </is>
      </c>
      <c r="B213" s="11" t="n">
        <v>3</v>
      </c>
      <c r="C213" s="11" t="inlineStr">
        <is>
          <t>Alternative source-grounded interpretations</t>
        </is>
      </c>
      <c r="D213" s="11" t="inlineStr">
        <is>
          <t>The supplied package does not state an authoritative correction; alternative production or version explanations require human review.</t>
        </is>
      </c>
    </row>
    <row r="214" ht="180" customFormat="1" customHeight="1" s="8">
      <c r="A214" s="12" t="inlineStr">
        <is>
          <t>2024::jama.2024.4183::C003</t>
        </is>
      </c>
      <c r="B214" s="12" t="n">
        <v>0</v>
      </c>
      <c r="C214" s="12" t="inlineStr">
        <is>
          <t>Source evidence</t>
        </is>
      </c>
      <c r="D214" s="12" t="inlineStr">
        <is>
          <t>Results/Figure 2 state 491 randomized, followed by branches of 245 CNRT and 245 varenicline; the abstract/analysis population is 490 and one participant was excluded later.</t>
        </is>
      </c>
    </row>
    <row r="215" ht="180" customFormat="1" customHeight="1" s="8">
      <c r="A215" s="11" t="inlineStr">
        <is>
          <t>2024::jama.2024.4183::C003</t>
        </is>
      </c>
      <c r="B215" s="11" t="n">
        <v>1</v>
      </c>
      <c r="C215" s="11" t="inlineStr">
        <is>
          <t>Reported-versus-comparator</t>
        </is>
      </c>
      <c r="D215" s="11" t="inlineStr">
        <is>
          <t>Printed evidence versus the matched source occurrence or stated consistency rule.</t>
        </is>
      </c>
    </row>
    <row r="216" ht="180" customFormat="1" customHeight="1" s="8">
      <c r="A216" s="12" t="inlineStr">
        <is>
          <t>2024::jama.2024.4183::C003</t>
        </is>
      </c>
      <c r="B216" s="12" t="n">
        <v>2</v>
      </c>
      <c r="C216" s="12" t="inlineStr">
        <is>
          <t>Calculation</t>
        </is>
      </c>
      <c r="D216" s="12" t="inlineStr">
        <is>
          <t>Reproduce the stated arithmetic or direct printed comparison at displayed precision; see source evidence and consistency rule.</t>
        </is>
      </c>
    </row>
    <row r="217" ht="180" customFormat="1" customHeight="1" s="8">
      <c r="A217" s="11" t="inlineStr">
        <is>
          <t>2024::jama.2024.4183::C003</t>
        </is>
      </c>
      <c r="B217" s="11" t="n">
        <v>3</v>
      </c>
      <c r="C217" s="11" t="inlineStr">
        <is>
          <t>Alternative source-grounded interpretations</t>
        </is>
      </c>
      <c r="D217" s="11" t="inlineStr">
        <is>
          <t>The supplied package does not state an authoritative correction; alternative production or version explanations require human review.</t>
        </is>
      </c>
    </row>
    <row r="218" ht="180" customFormat="1" customHeight="1" s="8">
      <c r="A218" s="12" t="inlineStr">
        <is>
          <t>2024::jama.2024.4183::C004</t>
        </is>
      </c>
      <c r="B218" s="12" t="n">
        <v>0</v>
      </c>
      <c r="C218" s="12" t="inlineStr">
        <is>
          <t>Source evidence</t>
        </is>
      </c>
      <c r="D218" s="12" t="inlineStr">
        <is>
          <t>Results says the 40 CNRT and 35 varenicline participants who did attend rerandomization were assigned to continuation; abstract and Figure 2 say they did not return/attend.</t>
        </is>
      </c>
    </row>
    <row r="219" ht="180" customFormat="1" customHeight="1" s="8">
      <c r="A219" s="11" t="inlineStr">
        <is>
          <t>2024::jama.2024.4183::C004</t>
        </is>
      </c>
      <c r="B219" s="11" t="n">
        <v>1</v>
      </c>
      <c r="C219" s="11" t="inlineStr">
        <is>
          <t>Reported-versus-comparator</t>
        </is>
      </c>
      <c r="D219" s="11" t="inlineStr">
        <is>
          <t>Printed evidence versus the matched source occurrence or stated consistency rule.</t>
        </is>
      </c>
    </row>
    <row r="220" ht="180" customFormat="1" customHeight="1" s="8">
      <c r="A220" s="12" t="inlineStr">
        <is>
          <t>2024::jama.2024.4183::C004</t>
        </is>
      </c>
      <c r="B220" s="12" t="n">
        <v>2</v>
      </c>
      <c r="C220" s="12" t="inlineStr">
        <is>
          <t>Calculation</t>
        </is>
      </c>
      <c r="D220" s="12" t="inlineStr">
        <is>
          <t>Reproduce the stated arithmetic or direct printed comparison at displayed precision; see source evidence and consistency rule.</t>
        </is>
      </c>
    </row>
    <row r="221" ht="180" customFormat="1" customHeight="1" s="8">
      <c r="A221" s="11" t="inlineStr">
        <is>
          <t>2024::jama.2024.4183::C004</t>
        </is>
      </c>
      <c r="B221" s="11" t="n">
        <v>3</v>
      </c>
      <c r="C221" s="11" t="inlineStr">
        <is>
          <t>Alternative source-grounded interpretations</t>
        </is>
      </c>
      <c r="D221" s="11" t="inlineStr">
        <is>
          <t>The supplied package does not state an authoritative correction; alternative production or version explanations require human review.</t>
        </is>
      </c>
    </row>
    <row r="222" ht="180" customFormat="1" customHeight="1" s="8">
      <c r="A222" s="12" t="inlineStr">
        <is>
          <t>2024::jama.2024.4183::C005</t>
        </is>
      </c>
      <c r="B222" s="12" t="n">
        <v>0</v>
      </c>
      <c r="C222" s="12" t="inlineStr">
        <is>
          <t>Source evidence</t>
        </is>
      </c>
      <c r="D222" s="12" t="inlineStr">
        <is>
          <t>After listing both CNRT rescue arms, the abstract's singular following statement gives RD 6%, 95% CrI 6%-11%; Results and eTable 4 explicitly give 6%, 2%-11% for increased CNRT versus continuation.</t>
        </is>
      </c>
    </row>
    <row r="223" ht="180" customFormat="1" customHeight="1" s="8">
      <c r="A223" s="11" t="inlineStr">
        <is>
          <t>2024::jama.2024.4183::C005</t>
        </is>
      </c>
      <c r="B223" s="11" t="n">
        <v>1</v>
      </c>
      <c r="C223" s="11" t="inlineStr">
        <is>
          <t>Reported-versus-comparator</t>
        </is>
      </c>
      <c r="D223" s="11" t="inlineStr">
        <is>
          <t>Printed evidence versus the matched source occurrence or stated consistency rule.</t>
        </is>
      </c>
    </row>
    <row r="224" ht="180" customFormat="1" customHeight="1" s="8">
      <c r="A224" s="12" t="inlineStr">
        <is>
          <t>2024::jama.2024.4183::C005</t>
        </is>
      </c>
      <c r="B224" s="12" t="n">
        <v>2</v>
      </c>
      <c r="C224" s="12" t="inlineStr">
        <is>
          <t>Calculation</t>
        </is>
      </c>
      <c r="D224" s="12" t="inlineStr">
        <is>
          <t>Reproduce the stated arithmetic or direct printed comparison at displayed precision; see source evidence and consistency rule.</t>
        </is>
      </c>
    </row>
    <row r="225" ht="180" customFormat="1" customHeight="1" s="8">
      <c r="A225" s="11" t="inlineStr">
        <is>
          <t>2024::jama.2024.4183::C005</t>
        </is>
      </c>
      <c r="B225" s="11" t="n">
        <v>3</v>
      </c>
      <c r="C225" s="11" t="inlineStr">
        <is>
          <t>Alternative source-grounded interpretations</t>
        </is>
      </c>
      <c r="D225" s="11" t="inlineStr">
        <is>
          <t>The abstract parenthetical may apply only to switching; this card remains conditional on grammatical scope.</t>
        </is>
      </c>
    </row>
    <row r="226" ht="180" customFormat="1" customHeight="1" s="8">
      <c r="A226" s="12" t="inlineStr">
        <is>
          <t>2024::jama.2024.4183::C006</t>
        </is>
      </c>
      <c r="B226" s="12" t="n">
        <v>0</v>
      </c>
      <c r="C226" s="12" t="inlineStr">
        <is>
          <t>Source evidence</t>
        </is>
      </c>
      <c r="D226" s="12" t="inlineStr">
        <is>
          <t>Switch-to-varenicline versus continuation is RD 6% with CrI 6%-11%, 2%-11%, and 2%-10% at the three locations.</t>
        </is>
      </c>
    </row>
    <row r="227" ht="180" customFormat="1" customHeight="1" s="8">
      <c r="A227" s="11" t="inlineStr">
        <is>
          <t>2024::jama.2024.4183::C006</t>
        </is>
      </c>
      <c r="B227" s="11" t="n">
        <v>1</v>
      </c>
      <c r="C227" s="11" t="inlineStr">
        <is>
          <t>Reported-versus-comparator</t>
        </is>
      </c>
      <c r="D227" s="11" t="inlineStr">
        <is>
          <t>Printed evidence versus the matched source occurrence or stated consistency rule.</t>
        </is>
      </c>
    </row>
    <row r="228" ht="180" customFormat="1" customHeight="1" s="8">
      <c r="A228" s="12" t="inlineStr">
        <is>
          <t>2024::jama.2024.4183::C006</t>
        </is>
      </c>
      <c r="B228" s="12" t="n">
        <v>2</v>
      </c>
      <c r="C228" s="12" t="inlineStr">
        <is>
          <t>Calculation</t>
        </is>
      </c>
      <c r="D228" s="12" t="inlineStr">
        <is>
          <t>Reproduce the stated arithmetic or direct printed comparison at displayed precision; see source evidence and consistency rule.</t>
        </is>
      </c>
    </row>
    <row r="229" ht="180" customFormat="1" customHeight="1" s="8">
      <c r="A229" s="11" t="inlineStr">
        <is>
          <t>2024::jama.2024.4183::C006</t>
        </is>
      </c>
      <c r="B229" s="11" t="n">
        <v>3</v>
      </c>
      <c r="C229" s="11" t="inlineStr">
        <is>
          <t>Alternative source-grounded interpretations</t>
        </is>
      </c>
      <c r="D229" s="11" t="inlineStr">
        <is>
          <t>The supplied package does not state an authoritative correction; alternative production or version explanations require human review.</t>
        </is>
      </c>
    </row>
    <row r="230" ht="180" customFormat="1" customHeight="1" s="8">
      <c r="A230" s="12" t="inlineStr">
        <is>
          <t>2024::jama.2024.4183::C007</t>
        </is>
      </c>
      <c r="B230" s="12" t="n">
        <v>0</v>
      </c>
      <c r="C230" s="12" t="inlineStr">
        <is>
          <t>Source evidence</t>
        </is>
      </c>
      <c r="D230" s="12" t="inlineStr">
        <is>
          <t>Main text prints switch relative to continuation RD -3% (-4% to -1%) but says continuation was worse; eTable 4 labels switch versus stay and prints +3% (1%-4%); displayed cells are 0% switch and 3% stay.</t>
        </is>
      </c>
    </row>
    <row r="231" ht="180" customFormat="1" customHeight="1" s="8">
      <c r="A231" s="11" t="inlineStr">
        <is>
          <t>2024::jama.2024.4183::C007</t>
        </is>
      </c>
      <c r="B231" s="11" t="n">
        <v>1</v>
      </c>
      <c r="C231" s="11" t="inlineStr">
        <is>
          <t>Reported-versus-comparator</t>
        </is>
      </c>
      <c r="D231" s="11" t="inlineStr">
        <is>
          <t>Printed evidence versus the matched source occurrence or stated consistency rule.</t>
        </is>
      </c>
    </row>
    <row r="232" ht="180" customFormat="1" customHeight="1" s="8">
      <c r="A232" s="12" t="inlineStr">
        <is>
          <t>2024::jama.2024.4183::C007</t>
        </is>
      </c>
      <c r="B232" s="12" t="n">
        <v>2</v>
      </c>
      <c r="C232" s="12" t="inlineStr">
        <is>
          <t>Calculation</t>
        </is>
      </c>
      <c r="D232" s="12" t="inlineStr">
        <is>
          <t>Reproduce the stated arithmetic or direct printed comparison at displayed precision; see source evidence and consistency rule.</t>
        </is>
      </c>
    </row>
    <row r="233" ht="180" customFormat="1" customHeight="1" s="8">
      <c r="A233" s="11" t="inlineStr">
        <is>
          <t>2024::jama.2024.4183::C007</t>
        </is>
      </c>
      <c r="B233" s="11" t="n">
        <v>3</v>
      </c>
      <c r="C233" s="11" t="inlineStr">
        <is>
          <t>Alternative source-grounded interpretations</t>
        </is>
      </c>
      <c r="D233" s="11" t="inlineStr">
        <is>
          <t>The supplied package does not state an authoritative correction; alternative production or version explanations require human review.</t>
        </is>
      </c>
    </row>
    <row r="234" ht="180" customFormat="1" customHeight="1" s="8">
      <c r="A234" s="12" t="inlineStr">
        <is>
          <t>2024::jama.2024.4183::C008</t>
        </is>
      </c>
      <c r="B234" s="12" t="n">
        <v>0</v>
      </c>
      <c r="C234" s="12" t="inlineStr">
        <is>
          <t>Source evidence</t>
        </is>
      </c>
      <c r="D234" s="12" t="inlineStr">
        <is>
          <t>Main abstract/results print RD 18% (13%-24%); eTable 4 prints 18% (13%-23%).</t>
        </is>
      </c>
    </row>
    <row r="235" ht="180" customFormat="1" customHeight="1" s="8">
      <c r="A235" s="11" t="inlineStr">
        <is>
          <t>2024::jama.2024.4183::C008</t>
        </is>
      </c>
      <c r="B235" s="11" t="n">
        <v>1</v>
      </c>
      <c r="C235" s="11" t="inlineStr">
        <is>
          <t>Reported-versus-comparator</t>
        </is>
      </c>
      <c r="D235" s="11" t="inlineStr">
        <is>
          <t>Printed evidence versus the matched source occurrence or stated consistency rule.</t>
        </is>
      </c>
    </row>
    <row r="236" ht="180" customFormat="1" customHeight="1" s="8">
      <c r="A236" s="12" t="inlineStr">
        <is>
          <t>2024::jama.2024.4183::C008</t>
        </is>
      </c>
      <c r="B236" s="12" t="n">
        <v>2</v>
      </c>
      <c r="C236" s="12" t="inlineStr">
        <is>
          <t>Calculation</t>
        </is>
      </c>
      <c r="D236" s="12" t="inlineStr">
        <is>
          <t>Reproduce the stated arithmetic or direct printed comparison at displayed precision; see source evidence and consistency rule.</t>
        </is>
      </c>
    </row>
    <row r="237" ht="180" customFormat="1" customHeight="1" s="8">
      <c r="A237" s="11" t="inlineStr">
        <is>
          <t>2024::jama.2024.4183::C008</t>
        </is>
      </c>
      <c r="B237" s="11" t="n">
        <v>3</v>
      </c>
      <c r="C237" s="11" t="inlineStr">
        <is>
          <t>Alternative source-grounded interpretations</t>
        </is>
      </c>
      <c r="D237" s="11" t="inlineStr">
        <is>
          <t>The supplied package does not state an authoritative correction; alternative production or version explanations require human review.</t>
        </is>
      </c>
    </row>
    <row r="238" ht="180" customFormat="1" customHeight="1" s="8">
      <c r="A238" s="12" t="inlineStr">
        <is>
          <t>2024::jama.2024.4183::C009</t>
        </is>
      </c>
      <c r="B238" s="12" t="n">
        <v>0</v>
      </c>
      <c r="C238" s="12" t="inlineStr">
        <is>
          <t>Source evidence</t>
        </is>
      </c>
      <c r="D238" s="12" t="inlineStr">
        <is>
          <t>Main Results gives CNRT-versus-varenicline RD 6% (-5% to 16%); eTable 4 gives 6% (-4% to 16%).</t>
        </is>
      </c>
    </row>
    <row r="239" ht="180" customFormat="1" customHeight="1" s="8">
      <c r="A239" s="11" t="inlineStr">
        <is>
          <t>2024::jama.2024.4183::C009</t>
        </is>
      </c>
      <c r="B239" s="11" t="n">
        <v>1</v>
      </c>
      <c r="C239" s="11" t="inlineStr">
        <is>
          <t>Reported-versus-comparator</t>
        </is>
      </c>
      <c r="D239" s="11" t="inlineStr">
        <is>
          <t>Printed evidence versus the matched source occurrence or stated consistency rule.</t>
        </is>
      </c>
    </row>
    <row r="240" ht="180" customFormat="1" customHeight="1" s="8">
      <c r="A240" s="12" t="inlineStr">
        <is>
          <t>2024::jama.2024.4183::C009</t>
        </is>
      </c>
      <c r="B240" s="12" t="n">
        <v>2</v>
      </c>
      <c r="C240" s="12" t="inlineStr">
        <is>
          <t>Calculation</t>
        </is>
      </c>
      <c r="D240" s="12" t="inlineStr">
        <is>
          <t>Reproduce the stated arithmetic or direct printed comparison at displayed precision; see source evidence and consistency rule.</t>
        </is>
      </c>
    </row>
    <row r="241" ht="180" customFormat="1" customHeight="1" s="8">
      <c r="A241" s="11" t="inlineStr">
        <is>
          <t>2024::jama.2024.4183::C009</t>
        </is>
      </c>
      <c r="B241" s="11" t="n">
        <v>3</v>
      </c>
      <c r="C241" s="11" t="inlineStr">
        <is>
          <t>Alternative source-grounded interpretations</t>
        </is>
      </c>
      <c r="D241" s="11" t="inlineStr">
        <is>
          <t>The supplied package does not state an authoritative correction; alternative production or version explanations require human review.</t>
        </is>
      </c>
    </row>
    <row r="242" ht="180" customFormat="1" customHeight="1" s="8">
      <c r="A242" s="12" t="inlineStr">
        <is>
          <t>2024::jama.2024.4183::C010</t>
        </is>
      </c>
      <c r="B242" s="12" t="n">
        <v>0</v>
      </c>
      <c r="C242" s="12" t="inlineStr">
        <is>
          <t>Source evidence</t>
        </is>
      </c>
      <c r="D242" s="12" t="inlineStr">
        <is>
          <t>Varenicline week-6 response is paired as 0.50 (0.40-0.60) with Beta(785,869).</t>
        </is>
      </c>
    </row>
    <row r="243" ht="180" customFormat="1" customHeight="1" s="8">
      <c r="A243" s="11" t="inlineStr">
        <is>
          <t>2024::jama.2024.4183::C010</t>
        </is>
      </c>
      <c r="B243" s="11" t="n">
        <v>1</v>
      </c>
      <c r="C243" s="11" t="inlineStr">
        <is>
          <t>Reported-versus-comparator</t>
        </is>
      </c>
      <c r="D243" s="11" t="inlineStr">
        <is>
          <t>Printed evidence versus the matched source occurrence or stated consistency rule.</t>
        </is>
      </c>
    </row>
    <row r="244" ht="180" customFormat="1" customHeight="1" s="8">
      <c r="A244" s="12" t="inlineStr">
        <is>
          <t>2024::jama.2024.4183::C010</t>
        </is>
      </c>
      <c r="B244" s="12" t="n">
        <v>2</v>
      </c>
      <c r="C244" s="12" t="inlineStr">
        <is>
          <t>Calculation</t>
        </is>
      </c>
      <c r="D244" s="12" t="inlineStr">
        <is>
          <t>Reproduce the stated arithmetic or direct printed comparison at displayed precision; see source evidence and consistency rule.</t>
        </is>
      </c>
    </row>
    <row r="245" ht="180" customFormat="1" customHeight="1" s="8">
      <c r="A245" s="11" t="inlineStr">
        <is>
          <t>2024::jama.2024.4183::C010</t>
        </is>
      </c>
      <c r="B245" s="11" t="n">
        <v>3</v>
      </c>
      <c r="C245" s="11" t="inlineStr">
        <is>
          <t>Alternative source-grounded interpretations</t>
        </is>
      </c>
      <c r="D245" s="11" t="inlineStr">
        <is>
          <t>The beta parameters may represent a different quantity; the interval-to-beta linkage is not defined.</t>
        </is>
      </c>
    </row>
    <row r="246" ht="180" customFormat="1" customHeight="1" s="8">
      <c r="A246" s="12" t="inlineStr">
        <is>
          <t>2024::jama.2024.4183::C011</t>
        </is>
      </c>
      <c r="B246" s="12" t="n">
        <v>0</v>
      </c>
      <c r="C246" s="12" t="inlineStr">
        <is>
          <t>Source evidence</t>
        </is>
      </c>
      <c r="D246" s="12" t="inlineStr">
        <is>
          <t>Aim-1 detection power is 0.948, 0.980, 0.974, and 0.963 at posterior thresholds 0.80, 0.85, 0.90, and 0.95.</t>
        </is>
      </c>
    </row>
    <row r="247" ht="180" customFormat="1" customHeight="1" s="8">
      <c r="A247" s="11" t="inlineStr">
        <is>
          <t>2024::jama.2024.4183::C011</t>
        </is>
      </c>
      <c r="B247" s="11" t="n">
        <v>1</v>
      </c>
      <c r="C247" s="11" t="inlineStr">
        <is>
          <t>Reported-versus-comparator</t>
        </is>
      </c>
      <c r="D247" s="11" t="inlineStr">
        <is>
          <t>Printed evidence versus the matched source occurrence or stated consistency rule.</t>
        </is>
      </c>
    </row>
    <row r="248" ht="180" customFormat="1" customHeight="1" s="8">
      <c r="A248" s="12" t="inlineStr">
        <is>
          <t>2024::jama.2024.4183::C011</t>
        </is>
      </c>
      <c r="B248" s="12" t="n">
        <v>2</v>
      </c>
      <c r="C248" s="12" t="inlineStr">
        <is>
          <t>Calculation</t>
        </is>
      </c>
      <c r="D248" s="12" t="inlineStr">
        <is>
          <t>Reproduce the stated arithmetic or direct printed comparison at displayed precision; see source evidence and consistency rule.</t>
        </is>
      </c>
    </row>
    <row r="249" ht="180" customFormat="1" customHeight="1" s="8">
      <c r="A249" s="11" t="inlineStr">
        <is>
          <t>2024::jama.2024.4183::C011</t>
        </is>
      </c>
      <c r="B249" s="11" t="n">
        <v>3</v>
      </c>
      <c r="C249" s="11" t="inlineStr">
        <is>
          <t>Alternative source-grounded interpretations</t>
        </is>
      </c>
      <c r="D249" s="11" t="inlineStr">
        <is>
          <t>Simulation realizations or detection definitions may differ; common use is not explicitly stated.</t>
        </is>
      </c>
    </row>
    <row r="250" ht="180" customFormat="1" customHeight="1" s="8">
      <c r="A250" s="12" t="inlineStr">
        <is>
          <t>2024::jama.2024.4183::C012</t>
        </is>
      </c>
      <c r="B250" s="12" t="n">
        <v>0</v>
      </c>
      <c r="C250" s="12" t="inlineStr">
        <is>
          <t>Source evidence</t>
        </is>
      </c>
      <c r="D250" s="12" t="inlineStr">
        <is>
          <t>Table 3 labels the first and third Aim-2 effects VAR vs. NPL; the third estimate 0.195 equals 0.399-0.204, matching VAR versus NPL+, while 0.370 equals VAR versus NPL.</t>
        </is>
      </c>
    </row>
    <row r="251" ht="180" customFormat="1" customHeight="1" s="8">
      <c r="A251" s="11" t="inlineStr">
        <is>
          <t>2024::jama.2024.4183::C012</t>
        </is>
      </c>
      <c r="B251" s="11" t="n">
        <v>1</v>
      </c>
      <c r="C251" s="11" t="inlineStr">
        <is>
          <t>Reported-versus-comparator</t>
        </is>
      </c>
      <c r="D251" s="11" t="inlineStr">
        <is>
          <t>Printed evidence versus the matched source occurrence or stated consistency rule.</t>
        </is>
      </c>
    </row>
    <row r="252" ht="180" customFormat="1" customHeight="1" s="8">
      <c r="A252" s="12" t="inlineStr">
        <is>
          <t>2024::jama.2024.4183::C012</t>
        </is>
      </c>
      <c r="B252" s="12" t="n">
        <v>2</v>
      </c>
      <c r="C252" s="12" t="inlineStr">
        <is>
          <t>Calculation</t>
        </is>
      </c>
      <c r="D252" s="12" t="inlineStr">
        <is>
          <t>Reproduce the stated arithmetic or direct printed comparison at displayed precision; see source evidence and consistency rule.</t>
        </is>
      </c>
    </row>
    <row r="253" ht="180" customFormat="1" customHeight="1" s="8">
      <c r="A253" s="11" t="inlineStr">
        <is>
          <t>2024::jama.2024.4183::C012</t>
        </is>
      </c>
      <c r="B253" s="11" t="n">
        <v>3</v>
      </c>
      <c r="C253" s="11" t="inlineStr">
        <is>
          <t>Alternative source-grounded interpretations</t>
        </is>
      </c>
      <c r="D253" s="11" t="inlineStr">
        <is>
          <t>The supplied package does not state an authoritative correction; alternative production or version explanations require human review.</t>
        </is>
      </c>
    </row>
    <row r="254" ht="180" customFormat="1" customHeight="1" s="8">
      <c r="A254" s="12" t="inlineStr">
        <is>
          <t>2024::jama.2024.4183::C013</t>
        </is>
      </c>
      <c r="B254" s="12" t="n">
        <v>0</v>
      </c>
      <c r="C254" s="12" t="inlineStr">
        <is>
          <t>Source evidence</t>
        </is>
      </c>
      <c r="D254" s="12" t="inlineStr">
        <is>
          <t>Under n (%), race/ethnicity Other for the N=41 VAR-nonabstainer-to-CNRT column is 4.9 (2).</t>
        </is>
      </c>
    </row>
    <row r="255" ht="180" customFormat="1" customHeight="1" s="8">
      <c r="A255" s="11" t="inlineStr">
        <is>
          <t>2024::jama.2024.4183::C013</t>
        </is>
      </c>
      <c r="B255" s="11" t="n">
        <v>1</v>
      </c>
      <c r="C255" s="11" t="inlineStr">
        <is>
          <t>Reported-versus-comparator</t>
        </is>
      </c>
      <c r="D255" s="11" t="inlineStr">
        <is>
          <t>Printed evidence versus the matched source occurrence or stated consistency rule.</t>
        </is>
      </c>
    </row>
    <row r="256" ht="180" customFormat="1" customHeight="1" s="8">
      <c r="A256" s="12" t="inlineStr">
        <is>
          <t>2024::jama.2024.4183::C013</t>
        </is>
      </c>
      <c r="B256" s="12" t="n">
        <v>2</v>
      </c>
      <c r="C256" s="12" t="inlineStr">
        <is>
          <t>Calculation</t>
        </is>
      </c>
      <c r="D256" s="12" t="inlineStr">
        <is>
          <t>Reproduce the stated arithmetic or direct printed comparison at displayed precision; see source evidence and consistency rule.</t>
        </is>
      </c>
    </row>
    <row r="257" ht="180" customFormat="1" customHeight="1" s="8">
      <c r="A257" s="11" t="inlineStr">
        <is>
          <t>2024::jama.2024.4183::C013</t>
        </is>
      </c>
      <c r="B257" s="11" t="n">
        <v>3</v>
      </c>
      <c r="C257" s="11" t="inlineStr">
        <is>
          <t>Alternative source-grounded interpretations</t>
        </is>
      </c>
      <c r="D257" s="11" t="inlineStr">
        <is>
          <t>The supplied package does not state an authoritative correction; alternative production or version explanations require human review.</t>
        </is>
      </c>
    </row>
    <row r="258" ht="180" customFormat="1" customHeight="1" s="8">
      <c r="A258" s="12" t="inlineStr">
        <is>
          <t>2024::jama.2024.4183::C014</t>
        </is>
      </c>
      <c r="B258" s="12" t="n">
        <v>0</v>
      </c>
      <c r="C258" s="12" t="inlineStr">
        <is>
          <t>Source evidence</t>
        </is>
      </c>
      <c r="D258" s="12" t="inlineStr">
        <is>
          <t>Narrative prints 1.0% (7.0%-1.3%); matched eFigure 2 prints 5/51, 10% (7%-13%).</t>
        </is>
      </c>
    </row>
    <row r="259" ht="180" customFormat="1" customHeight="1" s="8">
      <c r="A259" s="11" t="inlineStr">
        <is>
          <t>2024::jama.2024.4183::C014</t>
        </is>
      </c>
      <c r="B259" s="11" t="n">
        <v>1</v>
      </c>
      <c r="C259" s="11" t="inlineStr">
        <is>
          <t>Reported-versus-comparator</t>
        </is>
      </c>
      <c r="D259" s="11" t="inlineStr">
        <is>
          <t>Printed evidence versus the matched source occurrence or stated consistency rule.</t>
        </is>
      </c>
    </row>
    <row r="260" ht="180" customFormat="1" customHeight="1" s="8">
      <c r="A260" s="12" t="inlineStr">
        <is>
          <t>2024::jama.2024.4183::C014</t>
        </is>
      </c>
      <c r="B260" s="12" t="n">
        <v>2</v>
      </c>
      <c r="C260" s="12" t="inlineStr">
        <is>
          <t>Calculation</t>
        </is>
      </c>
      <c r="D260" s="12" t="inlineStr">
        <is>
          <t>Reproduce the stated arithmetic or direct printed comparison at displayed precision; see source evidence and consistency rule.</t>
        </is>
      </c>
    </row>
    <row r="261" ht="180" customFormat="1" customHeight="1" s="8">
      <c r="A261" s="11" t="inlineStr">
        <is>
          <t>2024::jama.2024.4183::C014</t>
        </is>
      </c>
      <c r="B261" s="11" t="n">
        <v>3</v>
      </c>
      <c r="C261" s="11" t="inlineStr">
        <is>
          <t>Alternative source-grounded interpretations</t>
        </is>
      </c>
      <c r="D261" s="11" t="inlineStr">
        <is>
          <t>The supplied package does not state an authoritative correction; alternative production or version explanations require human review.</t>
        </is>
      </c>
    </row>
    <row r="262" ht="180" customFormat="1" customHeight="1" s="8">
      <c r="A262" s="12" t="inlineStr">
        <is>
          <t>2024::jama.2024.4183::C015</t>
        </is>
      </c>
      <c r="B262" s="12" t="n">
        <v>0</v>
      </c>
      <c r="C262" s="12" t="inlineStr">
        <is>
          <t>Source evidence</t>
        </is>
      </c>
      <c r="D262" s="12" t="inlineStr">
        <is>
          <t>Narrative prints 8.0% (5.0%-1.1%); eFigure 2 prints 4/50, 8% (5%-11%).</t>
        </is>
      </c>
    </row>
    <row r="263" ht="180" customFormat="1" customHeight="1" s="8">
      <c r="A263" s="11" t="inlineStr">
        <is>
          <t>2024::jama.2024.4183::C015</t>
        </is>
      </c>
      <c r="B263" s="11" t="n">
        <v>1</v>
      </c>
      <c r="C263" s="11" t="inlineStr">
        <is>
          <t>Reported-versus-comparator</t>
        </is>
      </c>
      <c r="D263" s="11" t="inlineStr">
        <is>
          <t>Printed evidence versus the matched source occurrence or stated consistency rule.</t>
        </is>
      </c>
    </row>
    <row r="264" ht="180" customFormat="1" customHeight="1" s="8">
      <c r="A264" s="12" t="inlineStr">
        <is>
          <t>2024::jama.2024.4183::C015</t>
        </is>
      </c>
      <c r="B264" s="12" t="n">
        <v>2</v>
      </c>
      <c r="C264" s="12" t="inlineStr">
        <is>
          <t>Calculation</t>
        </is>
      </c>
      <c r="D264" s="12" t="inlineStr">
        <is>
          <t>Reproduce the stated arithmetic or direct printed comparison at displayed precision; see source evidence and consistency rule.</t>
        </is>
      </c>
    </row>
    <row r="265" ht="180" customFormat="1" customHeight="1" s="8">
      <c r="A265" s="11" t="inlineStr">
        <is>
          <t>2024::jama.2024.4183::C015</t>
        </is>
      </c>
      <c r="B265" s="11" t="n">
        <v>3</v>
      </c>
      <c r="C265" s="11" t="inlineStr">
        <is>
          <t>Alternative source-grounded interpretations</t>
        </is>
      </c>
      <c r="D265" s="11" t="inlineStr">
        <is>
          <t>The supplied package does not state an authoritative correction; alternative production or version explanations require human review.</t>
        </is>
      </c>
    </row>
    <row r="266" ht="180" customFormat="1" customHeight="1" s="8">
      <c r="A266" s="12" t="inlineStr">
        <is>
          <t>2024::jama.2024.4183::C016</t>
        </is>
      </c>
      <c r="B266" s="12" t="n">
        <v>0</v>
      </c>
      <c r="C266" s="12" t="inlineStr">
        <is>
          <t>Source evidence</t>
        </is>
      </c>
      <c r="D266" s="12" t="inlineStr">
        <is>
          <t>Narrative prints switch-versus-continuation ARD 6.0% (3.0%-1.0%); eTable 9 prints 6% (3%-10%).</t>
        </is>
      </c>
    </row>
    <row r="267" ht="180" customFormat="1" customHeight="1" s="8">
      <c r="A267" s="11" t="inlineStr">
        <is>
          <t>2024::jama.2024.4183::C016</t>
        </is>
      </c>
      <c r="B267" s="11" t="n">
        <v>1</v>
      </c>
      <c r="C267" s="11" t="inlineStr">
        <is>
          <t>Reported-versus-comparator</t>
        </is>
      </c>
      <c r="D267" s="11" t="inlineStr">
        <is>
          <t>Printed evidence versus the matched source occurrence or stated consistency rule.</t>
        </is>
      </c>
    </row>
    <row r="268" ht="180" customFormat="1" customHeight="1" s="8">
      <c r="A268" s="12" t="inlineStr">
        <is>
          <t>2024::jama.2024.4183::C016</t>
        </is>
      </c>
      <c r="B268" s="12" t="n">
        <v>2</v>
      </c>
      <c r="C268" s="12" t="inlineStr">
        <is>
          <t>Calculation</t>
        </is>
      </c>
      <c r="D268" s="12" t="inlineStr">
        <is>
          <t>Reproduce the stated arithmetic or direct printed comparison at displayed precision; see source evidence and consistency rule.</t>
        </is>
      </c>
    </row>
    <row r="269" ht="180" customFormat="1" customHeight="1" s="8">
      <c r="A269" s="11" t="inlineStr">
        <is>
          <t>2024::jama.2024.4183::C016</t>
        </is>
      </c>
      <c r="B269" s="11" t="n">
        <v>3</v>
      </c>
      <c r="C269" s="11" t="inlineStr">
        <is>
          <t>Alternative source-grounded interpretations</t>
        </is>
      </c>
      <c r="D269" s="11" t="inlineStr">
        <is>
          <t>The supplied package does not state an authoritative correction; alternative production or version explanations require human review.</t>
        </is>
      </c>
    </row>
    <row r="270" ht="180" customFormat="1" customHeight="1" s="8">
      <c r="A270" s="12" t="inlineStr">
        <is>
          <t>2024::jama.2024.4183::C017</t>
        </is>
      </c>
      <c r="B270" s="12" t="n">
        <v>0</v>
      </c>
      <c r="C270" s="12" t="inlineStr">
        <is>
          <t>Source evidence</t>
        </is>
      </c>
      <c r="D270" s="12" t="inlineStr">
        <is>
          <t>Narrative repeats 8.0% (5.0%-1.1%) for the cell and two ARDs; eFigure 2 and eTables 9-10 print 8% (5%-11%).</t>
        </is>
      </c>
    </row>
    <row r="271" ht="180" customFormat="1" customHeight="1" s="8">
      <c r="A271" s="11" t="inlineStr">
        <is>
          <t>2024::jama.2024.4183::C017</t>
        </is>
      </c>
      <c r="B271" s="11" t="n">
        <v>1</v>
      </c>
      <c r="C271" s="11" t="inlineStr">
        <is>
          <t>Reported-versus-comparator</t>
        </is>
      </c>
      <c r="D271" s="11" t="inlineStr">
        <is>
          <t>Printed evidence versus the matched source occurrence or stated consistency rule.</t>
        </is>
      </c>
    </row>
    <row r="272" ht="180" customFormat="1" customHeight="1" s="8">
      <c r="A272" s="12" t="inlineStr">
        <is>
          <t>2024::jama.2024.4183::C017</t>
        </is>
      </c>
      <c r="B272" s="12" t="n">
        <v>2</v>
      </c>
      <c r="C272" s="12" t="inlineStr">
        <is>
          <t>Calculation</t>
        </is>
      </c>
      <c r="D272" s="12" t="inlineStr">
        <is>
          <t>Reproduce the stated arithmetic or direct printed comparison at displayed precision; see source evidence and consistency rule.</t>
        </is>
      </c>
    </row>
    <row r="273" ht="180" customFormat="1" customHeight="1" s="8">
      <c r="A273" s="11" t="inlineStr">
        <is>
          <t>2024::jama.2024.4183::C017</t>
        </is>
      </c>
      <c r="B273" s="11" t="n">
        <v>3</v>
      </c>
      <c r="C273" s="11" t="inlineStr">
        <is>
          <t>Alternative source-grounded interpretations</t>
        </is>
      </c>
      <c r="D273" s="11" t="inlineStr">
        <is>
          <t>The supplied package does not state an authoritative correction; alternative production or version explanations require human review.</t>
        </is>
      </c>
    </row>
    <row r="274" ht="180" customFormat="1" customHeight="1" s="8">
      <c r="A274" s="12" t="inlineStr">
        <is>
          <t>2024::jama.2024.4183::C018</t>
        </is>
      </c>
      <c r="B274" s="12" t="n">
        <v>0</v>
      </c>
      <c r="C274" s="12" t="inlineStr">
        <is>
          <t>Source evidence</t>
        </is>
      </c>
      <c r="D274" s="12" t="inlineStr">
        <is>
          <t>Narrative gives ARD 1.1% (-1.0%-22%), while eTable 11 gives 11% (-1%-22%); cell probabilities are 67% versus 56% and probability is 97%.</t>
        </is>
      </c>
    </row>
    <row r="275" ht="180" customFormat="1" customHeight="1" s="8">
      <c r="A275" s="11" t="inlineStr">
        <is>
          <t>2024::jama.2024.4183::C018</t>
        </is>
      </c>
      <c r="B275" s="11" t="n">
        <v>1</v>
      </c>
      <c r="C275" s="11" t="inlineStr">
        <is>
          <t>Reported-versus-comparator</t>
        </is>
      </c>
      <c r="D275" s="11" t="inlineStr">
        <is>
          <t>Printed evidence versus the matched source occurrence or stated consistency rule.</t>
        </is>
      </c>
    </row>
    <row r="276" ht="180" customFormat="1" customHeight="1" s="8">
      <c r="A276" s="12" t="inlineStr">
        <is>
          <t>2024::jama.2024.4183::C018</t>
        </is>
      </c>
      <c r="B276" s="12" t="n">
        <v>2</v>
      </c>
      <c r="C276" s="12" t="inlineStr">
        <is>
          <t>Calculation</t>
        </is>
      </c>
      <c r="D276" s="12" t="inlineStr">
        <is>
          <t>Reproduce the stated arithmetic or direct printed comparison at displayed precision; see source evidence and consistency rule.</t>
        </is>
      </c>
    </row>
    <row r="277" ht="180" customFormat="1" customHeight="1" s="8">
      <c r="A277" s="11" t="inlineStr">
        <is>
          <t>2024::jama.2024.4183::C018</t>
        </is>
      </c>
      <c r="B277" s="11" t="n">
        <v>3</v>
      </c>
      <c r="C277" s="11" t="inlineStr">
        <is>
          <t>Alternative source-grounded interpretations</t>
        </is>
      </c>
      <c r="D277" s="11" t="inlineStr">
        <is>
          <t>The supplied package does not state an authoritative correction; alternative production or version explanations require human review.</t>
        </is>
      </c>
    </row>
    <row r="278" ht="180" customFormat="1" customHeight="1" s="8">
      <c r="A278" s="12" t="inlineStr">
        <is>
          <t>2024::jama.2024.4183::C019</t>
        </is>
      </c>
      <c r="B278" s="12" t="n">
        <v>0</v>
      </c>
      <c r="C278" s="12" t="inlineStr">
        <is>
          <t>Source evidence</t>
        </is>
      </c>
      <c r="D278" s="12" t="inlineStr">
        <is>
          <t>Narrative assigns ARD 1.0% (-2.0%-3.0%), probability 66%, to ETable 7; ETable 7 is compliance, while ETable 9 contains the exact outcome contrast.</t>
        </is>
      </c>
    </row>
    <row r="279" ht="180" customFormat="1" customHeight="1" s="8">
      <c r="A279" s="11" t="inlineStr">
        <is>
          <t>2024::jama.2024.4183::C019</t>
        </is>
      </c>
      <c r="B279" s="11" t="n">
        <v>1</v>
      </c>
      <c r="C279" s="11" t="inlineStr">
        <is>
          <t>Reported-versus-comparator</t>
        </is>
      </c>
      <c r="D279" s="11" t="inlineStr">
        <is>
          <t>Printed evidence versus the matched source occurrence or stated consistency rule.</t>
        </is>
      </c>
    </row>
    <row r="280" ht="180" customFormat="1" customHeight="1" s="8">
      <c r="A280" s="12" t="inlineStr">
        <is>
          <t>2024::jama.2024.4183::C019</t>
        </is>
      </c>
      <c r="B280" s="12" t="n">
        <v>2</v>
      </c>
      <c r="C280" s="12" t="inlineStr">
        <is>
          <t>Calculation</t>
        </is>
      </c>
      <c r="D280" s="12" t="inlineStr">
        <is>
          <t>Reproduce the stated arithmetic or direct printed comparison at displayed precision; see source evidence and consistency rule.</t>
        </is>
      </c>
    </row>
    <row r="281" ht="180" customFormat="1" customHeight="1" s="8">
      <c r="A281" s="11" t="inlineStr">
        <is>
          <t>2024::jama.2024.4183::C019</t>
        </is>
      </c>
      <c r="B281" s="11" t="n">
        <v>3</v>
      </c>
      <c r="C281" s="11" t="inlineStr">
        <is>
          <t>Alternative source-grounded interpretations</t>
        </is>
      </c>
      <c r="D281" s="11" t="inlineStr">
        <is>
          <t>The supplied package does not state an authoritative correction; alternative production or version explanations require human review.</t>
        </is>
      </c>
    </row>
    <row r="282" ht="180" customFormat="1" customHeight="1" s="8">
      <c r="A282" s="12" t="inlineStr">
        <is>
          <t>2024::jama.2024.4183::C020</t>
        </is>
      </c>
      <c r="B282" s="12" t="n">
        <v>0</v>
      </c>
      <c r="C282" s="12" t="inlineStr">
        <is>
          <t>Source evidence</t>
        </is>
      </c>
      <c r="D282" s="12" t="inlineStr">
        <is>
          <t>Narrative gives CNRT 39%, VAR 40%, posterior probability 55%, ARD +1.0% (-1.3% to -1.1%), and a varenicline benefit; eTable 11 headed CNRT vs VAR gives +1% (-11% to 12%), probability 56%.</t>
        </is>
      </c>
    </row>
    <row r="283" ht="180" customFormat="1" customHeight="1" s="8">
      <c r="A283" s="11" t="inlineStr">
        <is>
          <t>2024::jama.2024.4183::C020</t>
        </is>
      </c>
      <c r="B283" s="11" t="n">
        <v>1</v>
      </c>
      <c r="C283" s="11" t="inlineStr">
        <is>
          <t>Reported-versus-comparator</t>
        </is>
      </c>
      <c r="D283" s="11" t="inlineStr">
        <is>
          <t>Printed evidence versus the matched source occurrence or stated consistency rule.</t>
        </is>
      </c>
    </row>
    <row r="284" ht="180" customFormat="1" customHeight="1" s="8">
      <c r="A284" s="12" t="inlineStr">
        <is>
          <t>2024::jama.2024.4183::C020</t>
        </is>
      </c>
      <c r="B284" s="12" t="n">
        <v>2</v>
      </c>
      <c r="C284" s="12" t="inlineStr">
        <is>
          <t>Calculation</t>
        </is>
      </c>
      <c r="D284" s="12" t="inlineStr">
        <is>
          <t>Reproduce the stated arithmetic or direct printed comparison at displayed precision; see source evidence and consistency rule.</t>
        </is>
      </c>
    </row>
    <row r="285" ht="180" customFormat="1" customHeight="1" s="8">
      <c r="A285" s="11" t="inlineStr">
        <is>
          <t>2024::jama.2024.4183::C020</t>
        </is>
      </c>
      <c r="B285" s="11" t="n">
        <v>3</v>
      </c>
      <c r="C285" s="11" t="inlineStr">
        <is>
          <t>Alternative source-grounded interpretations</t>
        </is>
      </c>
      <c r="D285" s="11" t="inlineStr">
        <is>
          <t>The supplied package does not state an authoritative correction; alternative production or version explanations require human review.</t>
        </is>
      </c>
    </row>
    <row r="286" ht="180" customFormat="1" customHeight="1" s="8">
      <c r="A286" s="12" t="inlineStr">
        <is>
          <t>2024::jama.2024.4183::C021</t>
        </is>
      </c>
      <c r="B286" s="12" t="n">
        <v>0</v>
      </c>
      <c r="C286" s="12" t="inlineStr">
        <is>
          <t>Source evidence</t>
        </is>
      </c>
      <c r="D286" s="12" t="inlineStr">
        <is>
          <t>The phase-1-abstainer EOT+30 and six-month summary cites ETable 10; ETable 10 reports increase-versus-switch comparisons among nonabstainers, while ETable 11 reports the phase-1-abstainer CNRT-versus-VAR results.</t>
        </is>
      </c>
    </row>
    <row r="287" ht="180" customFormat="1" customHeight="1" s="8">
      <c r="A287" s="11" t="inlineStr">
        <is>
          <t>2024::jama.2024.4183::C021</t>
        </is>
      </c>
      <c r="B287" s="11" t="n">
        <v>1</v>
      </c>
      <c r="C287" s="11" t="inlineStr">
        <is>
          <t>Reported-versus-comparator</t>
        </is>
      </c>
      <c r="D287" s="11" t="inlineStr">
        <is>
          <t>Printed evidence versus the matched source occurrence or stated consistency rule.</t>
        </is>
      </c>
    </row>
    <row r="288" ht="180" customFormat="1" customHeight="1" s="8">
      <c r="A288" s="12" t="inlineStr">
        <is>
          <t>2024::jama.2024.4183::C021</t>
        </is>
      </c>
      <c r="B288" s="12" t="n">
        <v>2</v>
      </c>
      <c r="C288" s="12" t="inlineStr">
        <is>
          <t>Calculation</t>
        </is>
      </c>
      <c r="D288" s="12" t="inlineStr">
        <is>
          <t>Reproduce the stated arithmetic or direct printed comparison at displayed precision; see source evidence and consistency rule.</t>
        </is>
      </c>
    </row>
    <row r="289" ht="180" customFormat="1" customHeight="1" s="8">
      <c r="A289" s="11" t="inlineStr">
        <is>
          <t>2024::jama.2024.4183::C021</t>
        </is>
      </c>
      <c r="B289" s="11" t="n">
        <v>3</v>
      </c>
      <c r="C289" s="11" t="inlineStr">
        <is>
          <t>Alternative source-grounded interpretations</t>
        </is>
      </c>
      <c r="D289" s="11" t="inlineStr">
        <is>
          <t>The supplied package does not state an authoritative correction; alternative production or version explanations require human review.</t>
        </is>
      </c>
    </row>
    <row r="290" ht="180" customFormat="1" customHeight="1" s="8">
      <c r="A290" s="12" t="inlineStr">
        <is>
          <t>2024::jama.2024.4183::C022</t>
        </is>
      </c>
      <c r="B290" s="12" t="n">
        <v>0</v>
      </c>
      <c r="C290" s="12" t="inlineStr">
        <is>
          <t>Source evidence</t>
        </is>
      </c>
      <c r="D290" s="12" t="inlineStr">
        <is>
          <t>The narrative cites ETable 9 for both VAR+ versus continuation and VAR+ versus CNRT switch; ETable 9 contains continuation-reference comparisons, while ETable 10 contains the switch-reference comparison 2% (1%-5%), greater than 99%.</t>
        </is>
      </c>
    </row>
    <row r="291" ht="180" customFormat="1" customHeight="1" s="8">
      <c r="A291" s="11" t="inlineStr">
        <is>
          <t>2024::jama.2024.4183::C022</t>
        </is>
      </c>
      <c r="B291" s="11" t="n">
        <v>1</v>
      </c>
      <c r="C291" s="11" t="inlineStr">
        <is>
          <t>Reported-versus-comparator</t>
        </is>
      </c>
      <c r="D291" s="11" t="inlineStr">
        <is>
          <t>Printed evidence versus the matched source occurrence or stated consistency rule.</t>
        </is>
      </c>
    </row>
    <row r="292" ht="180" customFormat="1" customHeight="1" s="8">
      <c r="A292" s="12" t="inlineStr">
        <is>
          <t>2024::jama.2024.4183::C022</t>
        </is>
      </c>
      <c r="B292" s="12" t="n">
        <v>2</v>
      </c>
      <c r="C292" s="12" t="inlineStr">
        <is>
          <t>Calculation</t>
        </is>
      </c>
      <c r="D292" s="12" t="inlineStr">
        <is>
          <t>Reproduce the stated arithmetic or direct printed comparison at displayed precision; see source evidence and consistency rule.</t>
        </is>
      </c>
    </row>
    <row r="293" ht="180" customFormat="1" customHeight="1" s="8">
      <c r="A293" s="11" t="inlineStr">
        <is>
          <t>2024::jama.2024.4183::C022</t>
        </is>
      </c>
      <c r="B293" s="11" t="n">
        <v>3</v>
      </c>
      <c r="C293" s="11" t="inlineStr">
        <is>
          <t>Alternative source-grounded interpretations</t>
        </is>
      </c>
      <c r="D293" s="11" t="inlineStr">
        <is>
          <t>The supplied package does not state an authoritative correction; alternative production or version explanations require human review.</t>
        </is>
      </c>
    </row>
    <row r="294" ht="180" customFormat="1" customHeight="1" s="8">
      <c r="A294" s="12" t="inlineStr">
        <is>
          <t>2024::jama.2024.4183::C023</t>
        </is>
      </c>
      <c r="B294" s="12" t="n">
        <v>0</v>
      </c>
      <c r="C294" s="12" t="inlineStr">
        <is>
          <t>Source evidence</t>
        </is>
      </c>
      <c r="D294" s="12" t="inlineStr">
        <is>
          <t>The section heading is Employment, n (%), but every populated Employed and Unemployed cell prints percentage first and count in parentheses, including 72.2 (39) and 27.8 (15) under N=54 and 74.5 (38) and 25.5 (13) under N=51.</t>
        </is>
      </c>
    </row>
    <row r="295" ht="180" customFormat="1" customHeight="1" s="8">
      <c r="A295" s="11" t="inlineStr">
        <is>
          <t>2024::jama.2024.4183::C023</t>
        </is>
      </c>
      <c r="B295" s="11" t="n">
        <v>1</v>
      </c>
      <c r="C295" s="11" t="inlineStr">
        <is>
          <t>Reported-versus-comparator</t>
        </is>
      </c>
      <c r="D295" s="11" t="inlineStr">
        <is>
          <t>Printed evidence versus the matched source occurrence or stated consistency rule.</t>
        </is>
      </c>
    </row>
    <row r="296" ht="180" customFormat="1" customHeight="1" s="8">
      <c r="A296" s="12" t="inlineStr">
        <is>
          <t>2024::jama.2024.4183::C023</t>
        </is>
      </c>
      <c r="B296" s="12" t="n">
        <v>2</v>
      </c>
      <c r="C296" s="12" t="inlineStr">
        <is>
          <t>Calculation</t>
        </is>
      </c>
      <c r="D296" s="12" t="inlineStr">
        <is>
          <t>Reproduce the stated arithmetic or direct printed comparison at displayed precision; see source evidence and consistency rule.</t>
        </is>
      </c>
    </row>
    <row r="297" ht="180" customFormat="1" customHeight="1" s="8">
      <c r="A297" s="11" t="inlineStr">
        <is>
          <t>2024::jama.2024.4183::C023</t>
        </is>
      </c>
      <c r="B297" s="11" t="n">
        <v>3</v>
      </c>
      <c r="C297" s="11" t="inlineStr">
        <is>
          <t>Alternative source-grounded interpretations</t>
        </is>
      </c>
      <c r="D297" s="11" t="inlineStr">
        <is>
          <t>The supplied package does not state an authoritative correction; alternative production or version explanations require human review.</t>
        </is>
      </c>
    </row>
    <row r="298" ht="180" customFormat="1" customHeight="1" s="8">
      <c r="A298" s="12" t="inlineStr">
        <is>
          <t>2024::jama.2024.4183::C024</t>
        </is>
      </c>
      <c r="B298" s="12" t="n">
        <v>0</v>
      </c>
      <c r="C298" s="12" t="inlineStr">
        <is>
          <t>Source evidence</t>
        </is>
      </c>
      <c r="D298" s="12" t="inlineStr">
        <is>
          <t>In the CNRT+ N=50 column, Employment counts are 40 and 9 (percentages 80 and 18); in the VAR+ N=39 column they are 27 and 11 (69.2 and 28.2). No employment missingness category or footnote is printed.</t>
        </is>
      </c>
    </row>
    <row r="299" ht="180" customFormat="1" customHeight="1" s="8">
      <c r="A299" s="11" t="inlineStr">
        <is>
          <t>2024::jama.2024.4183::C024</t>
        </is>
      </c>
      <c r="B299" s="11" t="n">
        <v>1</v>
      </c>
      <c r="C299" s="11" t="inlineStr">
        <is>
          <t>Reported-versus-comparator</t>
        </is>
      </c>
      <c r="D299" s="11" t="inlineStr">
        <is>
          <t>Printed evidence versus the matched source occurrence or stated consistency rule.</t>
        </is>
      </c>
    </row>
    <row r="300" ht="180" customFormat="1" customHeight="1" s="8">
      <c r="A300" s="12" t="inlineStr">
        <is>
          <t>2024::jama.2024.4183::C024</t>
        </is>
      </c>
      <c r="B300" s="12" t="n">
        <v>2</v>
      </c>
      <c r="C300" s="12" t="inlineStr">
        <is>
          <t>Calculation</t>
        </is>
      </c>
      <c r="D300" s="12" t="inlineStr">
        <is>
          <t>Reproduce the stated arithmetic or direct printed comparison at displayed precision; see source evidence and consistency rule.</t>
        </is>
      </c>
    </row>
    <row r="301" ht="180" customFormat="1" customHeight="1" s="8">
      <c r="A301" s="11" t="inlineStr">
        <is>
          <t>2024::jama.2024.4183::C024</t>
        </is>
      </c>
      <c r="B301" s="11" t="n">
        <v>3</v>
      </c>
      <c r="C301" s="11" t="inlineStr">
        <is>
          <t>Alternative source-grounded interpretations</t>
        </is>
      </c>
      <c r="D301" s="11" t="inlineStr">
        <is>
          <t>The supplied package does not state an authoritative correction; alternative production or version explanations require human review.</t>
        </is>
      </c>
    </row>
    <row r="302" ht="180" customFormat="1" customHeight="1" s="8">
      <c r="A302" s="12" t="inlineStr">
        <is>
          <t>2024::jama.2024.6063::C001</t>
        </is>
      </c>
      <c r="B302" s="12" t="n">
        <v>0</v>
      </c>
      <c r="C302" s="12" t="inlineStr">
        <is>
          <t>Source evidence</t>
        </is>
      </c>
      <c r="D302" s="12" t="inlineStr">
        <is>
          <t>Figure 1 prints 132 placebo randomized, 111 completing treatment, and 21 discontinuing. Results prints 23 placebo participants withdrew or were lost and 222 total completed.</t>
        </is>
      </c>
    </row>
    <row r="303" ht="180" customFormat="1" customHeight="1" s="8">
      <c r="A303" s="11" t="inlineStr">
        <is>
          <t>2024::jama.2024.6063::C001</t>
        </is>
      </c>
      <c r="B303" s="11" t="n">
        <v>1</v>
      </c>
      <c r="C303" s="11" t="inlineStr">
        <is>
          <t>Reported-versus-comparator</t>
        </is>
      </c>
      <c r="D303" s="11" t="inlineStr">
        <is>
          <t>Figure 1’s placebo 21 discontinuations and 111 completers versus Results’ 23 withdrawals/losses and implied 109 placebo completers.</t>
        </is>
      </c>
    </row>
    <row r="304" ht="180" customFormat="1" customHeight="1" s="8">
      <c r="A304" s="12" t="inlineStr">
        <is>
          <t>2024::jama.2024.6063::C001</t>
        </is>
      </c>
      <c r="B304" s="12" t="n">
        <v>2</v>
      </c>
      <c r="C304" s="12" t="inlineStr">
        <is>
          <t>Calculation</t>
        </is>
      </c>
      <c r="D304" s="12" t="inlineStr">
        <is>
          <t>111 + 21 = 132; 132 - 23 = 109, not 111. Across arms, Figure 1 has 38 discontinuations/224 completers versus Results’ 40/222.</t>
        </is>
      </c>
    </row>
    <row r="305" ht="180" customFormat="1" customHeight="1" s="8">
      <c r="A305" s="11" t="inlineStr">
        <is>
          <t>2024::jama.2024.6063::C001</t>
        </is>
      </c>
      <c r="B305" s="11" t="n">
        <v>3</v>
      </c>
      <c r="C305" s="11" t="inlineStr">
        <is>
          <t>Alternative source-grounded interpretations</t>
        </is>
      </c>
      <c r="D305" s="11" t="inlineStr">
        <is>
          <t>Results may include two placebo participants outside Figure 1’s discontinuation category, or one display may have a transcription difference.</t>
        </is>
      </c>
    </row>
    <row r="306" ht="180" customFormat="1" customHeight="1" s="8">
      <c r="A306" s="12" t="inlineStr">
        <is>
          <t>2024::jama.2024.6063::C002</t>
        </is>
      </c>
      <c r="B306" s="12" t="n">
        <v>0</v>
      </c>
      <c r="C306" s="12" t="inlineStr">
        <is>
          <t>Source evidence</t>
        </is>
      </c>
      <c r="D306" s="12" t="inlineStr">
        <is>
          <t>The overall 0–24-week row prints n = 167, 82 (98.8%), and 81 (96.4%); the footnote names n = 165 for pill-count data and completers.</t>
        </is>
      </c>
    </row>
    <row r="307" ht="180" customFormat="1" customHeight="1" s="8">
      <c r="A307" s="11" t="inlineStr">
        <is>
          <t>2024::jama.2024.6063::C002</t>
        </is>
      </c>
      <c r="B307" s="11" t="n">
        <v>1</v>
      </c>
      <c r="C307" s="11" t="inlineStr">
        <is>
          <t>Reported-versus-comparator</t>
        </is>
      </c>
      <c r="D307" s="11" t="inlineStr">
        <is>
          <t>Row total 167 and percentage-supported arm denominators versus footnote total 165.</t>
        </is>
      </c>
    </row>
    <row r="308" ht="180" customFormat="1" customHeight="1" s="8">
      <c r="A308" s="12" t="inlineStr">
        <is>
          <t>2024::jama.2024.6063::C002</t>
        </is>
      </c>
      <c r="B308" s="12" t="n">
        <v>2</v>
      </c>
      <c r="C308" s="12" t="inlineStr">
        <is>
          <t>Calculation</t>
        </is>
      </c>
      <c r="D308" s="12" t="inlineStr">
        <is>
          <t>82/83 × 100 = 98.7952%; 81/84 × 100 = 96.4286%; 83 + 84 = 167, not 165.</t>
        </is>
      </c>
    </row>
    <row r="309" ht="180" customFormat="1" customHeight="1" s="8">
      <c r="A309" s="11" t="inlineStr">
        <is>
          <t>2024::jama.2024.6063::C002</t>
        </is>
      </c>
      <c r="B309" s="11" t="n">
        <v>3</v>
      </c>
      <c r="C309" s="11" t="inlineStr">
        <is>
          <t>Alternative source-grounded interpretations</t>
        </is>
      </c>
      <c r="D309" s="11" t="inlineStr">
        <is>
          <t>The footnote may describe an unlabelled narrower subset, or it may be stale relative to the row.</t>
        </is>
      </c>
    </row>
    <row r="310" ht="180" customFormat="1" customHeight="1" s="8">
      <c r="A310" s="12" t="inlineStr">
        <is>
          <t>2024::jama.2024.6063::C003</t>
        </is>
      </c>
      <c r="B310" s="12" t="n">
        <v>0</v>
      </c>
      <c r="C310" s="12" t="inlineStr">
        <is>
          <t>Source evidence</t>
        </is>
      </c>
      <c r="D310" s="12" t="inlineStr">
        <is>
          <t>The krill Smaller - 1 unit cell is 10 (12%); its total is 107 (100%).</t>
        </is>
      </c>
    </row>
    <row r="311" ht="180" customFormat="1" customHeight="1" s="8">
      <c r="A311" s="11" t="inlineStr">
        <is>
          <t>2024::jama.2024.6063::C003</t>
        </is>
      </c>
      <c r="B311" s="11" t="n">
        <v>1</v>
      </c>
      <c r="C311" s="11" t="inlineStr">
        <is>
          <t>Reported-versus-comparator</t>
        </is>
      </c>
      <c r="D311" s="11" t="inlineStr">
        <is>
          <t>Printed 12% versus the percentage from 10/107.</t>
        </is>
      </c>
    </row>
    <row r="312" ht="180" customFormat="1" customHeight="1" s="8">
      <c r="A312" s="12" t="inlineStr">
        <is>
          <t>2024::jama.2024.6063::C003</t>
        </is>
      </c>
      <c r="B312" s="12" t="n">
        <v>2</v>
      </c>
      <c r="C312" s="12" t="inlineStr">
        <is>
          <t>Calculation</t>
        </is>
      </c>
      <c r="D312" s="12" t="inlineStr">
        <is>
          <t>10/107 × 100 = 9.3458%, which rounds to 9%, not 12%.</t>
        </is>
      </c>
    </row>
    <row r="313" ht="180" customFormat="1" customHeight="1" s="8">
      <c r="A313" s="11" t="inlineStr">
        <is>
          <t>2024::jama.2024.6063::C003</t>
        </is>
      </c>
      <c r="B313" s="11" t="n">
        <v>3</v>
      </c>
      <c r="C313" s="11" t="inlineStr">
        <is>
          <t>Alternative source-grounded interpretations</t>
        </is>
      </c>
      <c r="D313" s="11" t="inlineStr">
        <is>
          <t>An unprinted denominator or a different table version could explain the discrepancy.</t>
        </is>
      </c>
    </row>
    <row r="314" ht="180" customFormat="1" customHeight="1" s="8">
      <c r="A314" s="12" t="inlineStr">
        <is>
          <t>2024::jama.2024.6063::C004</t>
        </is>
      </c>
      <c r="B314" s="12" t="n">
        <v>0</v>
      </c>
      <c r="C314" s="12" t="inlineStr">
        <is>
          <t>Source evidence</t>
        </is>
      </c>
      <c r="D314" s="12" t="inlineStr">
        <is>
          <t>Krill No change is 80 (72%); the arm total is 107 (100%).</t>
        </is>
      </c>
    </row>
    <row r="315" ht="180" customFormat="1" customHeight="1" s="8">
      <c r="A315" s="11" t="inlineStr">
        <is>
          <t>2024::jama.2024.6063::C004</t>
        </is>
      </c>
      <c r="B315" s="11" t="n">
        <v>1</v>
      </c>
      <c r="C315" s="11" t="inlineStr">
        <is>
          <t>Reported-versus-comparator</t>
        </is>
      </c>
      <c r="D315" s="11" t="inlineStr">
        <is>
          <t>Printed 72% versus the percentage from 80/107.</t>
        </is>
      </c>
    </row>
    <row r="316" ht="180" customFormat="1" customHeight="1" s="8">
      <c r="A316" s="12" t="inlineStr">
        <is>
          <t>2024::jama.2024.6063::C004</t>
        </is>
      </c>
      <c r="B316" s="12" t="n">
        <v>2</v>
      </c>
      <c r="C316" s="12" t="inlineStr">
        <is>
          <t>Calculation</t>
        </is>
      </c>
      <c r="D316" s="12" t="inlineStr">
        <is>
          <t>80/107 × 100 = 74.7664%, which rounds to 75%, not 72%.</t>
        </is>
      </c>
    </row>
    <row r="317" ht="180" customFormat="1" customHeight="1" s="8">
      <c r="A317" s="11" t="inlineStr">
        <is>
          <t>2024::jama.2024.6063::C004</t>
        </is>
      </c>
      <c r="B317" s="11" t="n">
        <v>3</v>
      </c>
      <c r="C317" s="11" t="inlineStr">
        <is>
          <t>Alternative source-grounded interpretations</t>
        </is>
      </c>
      <c r="D317" s="11" t="inlineStr">
        <is>
          <t>A different unprinted denominator or a table-version difference is possible.</t>
        </is>
      </c>
    </row>
    <row r="318" ht="180" customFormat="1" customHeight="1" s="8">
      <c r="A318" s="12" t="inlineStr">
        <is>
          <t>2024::jama.2024.6063::C005</t>
        </is>
      </c>
      <c r="B318" s="12" t="n">
        <v>0</v>
      </c>
      <c r="C318" s="12" t="inlineStr">
        <is>
          <t>Source evidence</t>
        </is>
      </c>
      <c r="D318" s="12" t="inlineStr">
        <is>
          <t>Krill Larger - 1 unit is 12 (12%); the arm total is 107 (100%).</t>
        </is>
      </c>
    </row>
    <row r="319" ht="180" customFormat="1" customHeight="1" s="8">
      <c r="A319" s="11" t="inlineStr">
        <is>
          <t>2024::jama.2024.6063::C005</t>
        </is>
      </c>
      <c r="B319" s="11" t="n">
        <v>1</v>
      </c>
      <c r="C319" s="11" t="inlineStr">
        <is>
          <t>Reported-versus-comparator</t>
        </is>
      </c>
      <c r="D319" s="11" t="inlineStr">
        <is>
          <t>Printed 12% versus the percentage from 12/107.</t>
        </is>
      </c>
    </row>
    <row r="320" ht="180" customFormat="1" customHeight="1" s="8">
      <c r="A320" s="12" t="inlineStr">
        <is>
          <t>2024::jama.2024.6063::C005</t>
        </is>
      </c>
      <c r="B320" s="12" t="n">
        <v>2</v>
      </c>
      <c r="C320" s="12" t="inlineStr">
        <is>
          <t>Calculation</t>
        </is>
      </c>
      <c r="D320" s="12" t="inlineStr">
        <is>
          <t>12/107 × 100 = 11.2150%, which rounds to 11%, not 12%.</t>
        </is>
      </c>
    </row>
    <row r="321" ht="180" customFormat="1" customHeight="1" s="8">
      <c r="A321" s="11" t="inlineStr">
        <is>
          <t>2024::jama.2024.6063::C005</t>
        </is>
      </c>
      <c r="B321" s="11" t="n">
        <v>3</v>
      </c>
      <c r="C321" s="11" t="inlineStr">
        <is>
          <t>Alternative source-grounded interpretations</t>
        </is>
      </c>
      <c r="D321" s="11" t="inlineStr">
        <is>
          <t>Another unprinted denominator or a table-version difference could explain the cells.</t>
        </is>
      </c>
    </row>
    <row r="322" ht="180" customFormat="1" customHeight="1" s="8">
      <c r="A322" s="12" t="inlineStr">
        <is>
          <t>2024::jama.2024.6063::C006</t>
        </is>
      </c>
      <c r="B322" s="12" t="n">
        <v>0</v>
      </c>
      <c r="C322" s="12" t="inlineStr">
        <is>
          <t>Source evidence</t>
        </is>
      </c>
      <c r="D322" s="12" t="inlineStr">
        <is>
          <t>Placebo Smaller - 2 units is 2 (1.9%); the arm total is 109 (100%).</t>
        </is>
      </c>
    </row>
    <row r="323" ht="180" customFormat="1" customHeight="1" s="8">
      <c r="A323" s="11" t="inlineStr">
        <is>
          <t>2024::jama.2024.6063::C006</t>
        </is>
      </c>
      <c r="B323" s="11" t="n">
        <v>1</v>
      </c>
      <c r="C323" s="11" t="inlineStr">
        <is>
          <t>Reported-versus-comparator</t>
        </is>
      </c>
      <c r="D323" s="11" t="inlineStr">
        <is>
          <t>Printed 1.9% versus the percentage from 2/109.</t>
        </is>
      </c>
    </row>
    <row r="324" ht="180" customFormat="1" customHeight="1" s="8">
      <c r="A324" s="12" t="inlineStr">
        <is>
          <t>2024::jama.2024.6063::C006</t>
        </is>
      </c>
      <c r="B324" s="12" t="n">
        <v>2</v>
      </c>
      <c r="C324" s="12" t="inlineStr">
        <is>
          <t>Calculation</t>
        </is>
      </c>
      <c r="D324" s="12" t="inlineStr">
        <is>
          <t>2/109 × 100 = 1.8349%, which rounds to 1.8%, not 1.9%.</t>
        </is>
      </c>
    </row>
    <row r="325" ht="180" customFormat="1" customHeight="1" s="8">
      <c r="A325" s="11" t="inlineStr">
        <is>
          <t>2024::jama.2024.6063::C006</t>
        </is>
      </c>
      <c r="B325" s="11" t="n">
        <v>3</v>
      </c>
      <c r="C325" s="11" t="inlineStr">
        <is>
          <t>Alternative source-grounded interpretations</t>
        </is>
      </c>
      <c r="D325" s="11" t="inlineStr">
        <is>
          <t>A denominator near 105 or a table-version difference could account for 1.9%; neither is supplied.</t>
        </is>
      </c>
    </row>
    <row r="326" ht="180" customFormat="1" customHeight="1" s="8">
      <c r="A326" s="12" t="inlineStr">
        <is>
          <t>2024::jama.2024.6063::C007</t>
        </is>
      </c>
      <c r="B326" s="12" t="n">
        <v>0</v>
      </c>
      <c r="C326" s="12" t="inlineStr">
        <is>
          <t>Source evidence</t>
        </is>
      </c>
      <c r="D326" s="12" t="inlineStr">
        <is>
          <t>Placebo Smaller - 1 unit is 16 (12%); the arm total is 109 (100%).</t>
        </is>
      </c>
    </row>
    <row r="327" ht="180" customFormat="1" customHeight="1" s="8">
      <c r="A327" s="11" t="inlineStr">
        <is>
          <t>2024::jama.2024.6063::C007</t>
        </is>
      </c>
      <c r="B327" s="11" t="n">
        <v>1</v>
      </c>
      <c r="C327" s="11" t="inlineStr">
        <is>
          <t>Reported-versus-comparator</t>
        </is>
      </c>
      <c r="D327" s="11" t="inlineStr">
        <is>
          <t>Printed 12% versus the percentage from 16/109.</t>
        </is>
      </c>
    </row>
    <row r="328" ht="180" customFormat="1" customHeight="1" s="8">
      <c r="A328" s="12" t="inlineStr">
        <is>
          <t>2024::jama.2024.6063::C007</t>
        </is>
      </c>
      <c r="B328" s="12" t="n">
        <v>2</v>
      </c>
      <c r="C328" s="12" t="inlineStr">
        <is>
          <t>Calculation</t>
        </is>
      </c>
      <c r="D328" s="12" t="inlineStr">
        <is>
          <t>16/109 × 100 = 14.6789%, which rounds to 15%, not 12%.</t>
        </is>
      </c>
    </row>
    <row r="329" ht="180" customFormat="1" customHeight="1" s="8">
      <c r="A329" s="11" t="inlineStr">
        <is>
          <t>2024::jama.2024.6063::C007</t>
        </is>
      </c>
      <c r="B329" s="11" t="n">
        <v>3</v>
      </c>
      <c r="C329" s="11" t="inlineStr">
        <is>
          <t>Alternative source-grounded interpretations</t>
        </is>
      </c>
      <c r="D329" s="11" t="inlineStr">
        <is>
          <t>A denominator near 133 would yield 12%, but it conflicts with the printed total; a version difference is also possible.</t>
        </is>
      </c>
    </row>
    <row r="330" ht="180" customFormat="1" customHeight="1" s="8">
      <c r="A330" s="12" t="inlineStr">
        <is>
          <t>2024::jama.2024.6063::C008</t>
        </is>
      </c>
      <c r="B330" s="12" t="n">
        <v>0</v>
      </c>
      <c r="C330" s="12" t="inlineStr">
        <is>
          <t>Source evidence</t>
        </is>
      </c>
      <c r="D330" s="12" t="inlineStr">
        <is>
          <t>Placebo No change is 75 (72%); the arm total is 109 (100%).</t>
        </is>
      </c>
    </row>
    <row r="331" ht="180" customFormat="1" customHeight="1" s="8">
      <c r="A331" s="11" t="inlineStr">
        <is>
          <t>2024::jama.2024.6063::C008</t>
        </is>
      </c>
      <c r="B331" s="11" t="n">
        <v>1</v>
      </c>
      <c r="C331" s="11" t="inlineStr">
        <is>
          <t>Reported-versus-comparator</t>
        </is>
      </c>
      <c r="D331" s="11" t="inlineStr">
        <is>
          <t>Printed 72% versus the percentage from 75/109.</t>
        </is>
      </c>
    </row>
    <row r="332" ht="180" customFormat="1" customHeight="1" s="8">
      <c r="A332" s="12" t="inlineStr">
        <is>
          <t>2024::jama.2024.6063::C008</t>
        </is>
      </c>
      <c r="B332" s="12" t="n">
        <v>2</v>
      </c>
      <c r="C332" s="12" t="inlineStr">
        <is>
          <t>Calculation</t>
        </is>
      </c>
      <c r="D332" s="12" t="inlineStr">
        <is>
          <t>75/109 × 100 = 68.8073%, which rounds to 69%, not 72%.</t>
        </is>
      </c>
    </row>
    <row r="333" ht="180" customFormat="1" customHeight="1" s="8">
      <c r="A333" s="11" t="inlineStr">
        <is>
          <t>2024::jama.2024.6063::C008</t>
        </is>
      </c>
      <c r="B333" s="11" t="n">
        <v>3</v>
      </c>
      <c r="C333" s="11" t="inlineStr">
        <is>
          <t>Alternative source-grounded interpretations</t>
        </is>
      </c>
      <c r="D333" s="11" t="inlineStr">
        <is>
          <t>A denominator near 104 or a different table version could explain 72%; neither is printed.</t>
        </is>
      </c>
    </row>
    <row r="334" ht="180" customFormat="1" customHeight="1" s="8">
      <c r="A334" s="12" t="inlineStr">
        <is>
          <t>2024::jama.2024.6063::C009</t>
        </is>
      </c>
      <c r="B334" s="12" t="n">
        <v>0</v>
      </c>
      <c r="C334" s="12" t="inlineStr">
        <is>
          <t>Source evidence</t>
        </is>
      </c>
      <c r="D334" s="12" t="inlineStr">
        <is>
          <t>Weight-bearing pain and the adjacent function row both print -84 (-122 to -46) and -103 (-141 to -65); weight-bearing final/baseline values are 100/127 and 108/141.</t>
        </is>
      </c>
    </row>
    <row r="335" ht="180" customFormat="1" customHeight="1" s="8">
      <c r="A335" s="11" t="inlineStr">
        <is>
          <t>2024::jama.2024.6063::C009</t>
        </is>
      </c>
      <c r="B335" s="11" t="n">
        <v>1</v>
      </c>
      <c r="C335" s="11" t="inlineStr">
        <is>
          <t>Reported-versus-comparator</t>
        </is>
      </c>
      <c r="D335" s="11" t="inlineStr">
        <is>
          <t>Identical arm-change estimate/interval pairs across distinct, separately labelled outcome rows.</t>
        </is>
      </c>
    </row>
    <row r="336" ht="180" customFormat="1" customHeight="1" s="8">
      <c r="A336" s="12" t="inlineStr">
        <is>
          <t>2024::jama.2024.6063::C009</t>
        </is>
      </c>
      <c r="B336" s="12" t="n">
        <v>2</v>
      </c>
      <c r="C336" s="12" t="inlineStr">
        <is>
          <t>Calculation</t>
        </is>
      </c>
      <c r="D336" s="12" t="inlineStr">
        <is>
          <t>The paired printed values match character for character. Diagnostics: 100 - 127 = -27 and 108 - 141 = -33, not -84 and -103.</t>
        </is>
      </c>
    </row>
    <row r="337" ht="180" customFormat="1" customHeight="1" s="8">
      <c r="A337" s="11" t="inlineStr">
        <is>
          <t>2024::jama.2024.6063::C009</t>
        </is>
      </c>
      <c r="B337" s="11" t="n">
        <v>3</v>
      </c>
      <c r="C337" s="11" t="inlineStr">
        <is>
          <t>Alternative source-grounded interpretations</t>
        </is>
      </c>
      <c r="D337" s="11" t="inlineStr">
        <is>
          <t>Modelled changes may differ from descriptive subtraction; copying, displacement, or coincidence is not established from the package.</t>
        </is>
      </c>
    </row>
    <row r="338" ht="180" customFormat="1" customHeight="1" s="8">
      <c r="A338" s="12" t="inlineStr">
        <is>
          <t>2024::jama.2024.6063::C010</t>
        </is>
      </c>
      <c r="B338" s="12" t="n">
        <v>0</v>
      </c>
      <c r="C338" s="12" t="inlineStr">
        <is>
          <t>Source evidence</t>
        </is>
      </c>
      <c r="D338" s="12" t="inlineStr">
        <is>
          <t>Both rows print arm changes -2.8 (-6.0 to 0.4) and -4.2 (-7.4 to -1.1), and between-group -1.4 (-5.9 to 3.0), P = .53; strength final/baseline values are 72.6/66.5 and 70.2/65.9.</t>
        </is>
      </c>
    </row>
    <row r="339" ht="180" customFormat="1" customHeight="1" s="8">
      <c r="A339" s="11" t="inlineStr">
        <is>
          <t>2024::jama.2024.6063::C010</t>
        </is>
      </c>
      <c r="B339" s="11" t="n">
        <v>1</v>
      </c>
      <c r="C339" s="11" t="inlineStr">
        <is>
          <t>Reported-versus-comparator</t>
        </is>
      </c>
      <c r="D339" s="11" t="inlineStr">
        <is>
          <t>Identical arm changes, estimate, interval, and P value across differently labelled outcomes, times, units, and directions.</t>
        </is>
      </c>
    </row>
    <row r="340" ht="180" customFormat="1" customHeight="1" s="8">
      <c r="A340" s="12" t="inlineStr">
        <is>
          <t>2024::jama.2024.6063::C010</t>
        </is>
      </c>
      <c r="B340" s="12" t="n">
        <v>2</v>
      </c>
      <c r="C340" s="12" t="inlineStr">
        <is>
          <t>Calculation</t>
        </is>
      </c>
      <c r="D340" s="12" t="inlineStr">
        <is>
          <t>All displayed output fields match exactly. Diagnostic strength changes are 72.6 - 66.5 = +6.1 and 70.2 - 65.9 = +4.3.</t>
        </is>
      </c>
    </row>
    <row r="341" ht="180" customFormat="1" customHeight="1" s="8">
      <c r="A341" s="11" t="inlineStr">
        <is>
          <t>2024::jama.2024.6063::C010</t>
        </is>
      </c>
      <c r="B341" s="11" t="n">
        <v>3</v>
      </c>
      <c r="C341" s="11" t="inlineStr">
        <is>
          <t>Alternative source-grounded interpretations</t>
        </is>
      </c>
      <c r="D341" s="11" t="inlineStr">
        <is>
          <t>A modelled change can differ from subtraction, and coincidence is possible; no supplied definition explains complete identity.</t>
        </is>
      </c>
    </row>
    <row r="342" ht="180" customFormat="1" customHeight="1" s="8">
      <c r="A342" s="12" t="inlineStr">
        <is>
          <t>2024::jama.2024.6063::C011</t>
        </is>
      </c>
      <c r="B342" s="12" t="n">
        <v>0</v>
      </c>
      <c r="C342" s="12" t="inlineStr">
        <is>
          <t>Source evidence</t>
        </is>
      </c>
      <c r="D342" s="12" t="inlineStr">
        <is>
          <t>Both rows print 0.07 (-1.19 to 1.33), P = .92; glucose arm changes are 0.09 (-0.07 to 0.24) and 0.15 (-0.01 to 0.31).</t>
        </is>
      </c>
    </row>
    <row r="343" ht="180" customFormat="1" customHeight="1" s="8">
      <c r="A343" s="11" t="inlineStr">
        <is>
          <t>2024::jama.2024.6063::C011</t>
        </is>
      </c>
      <c r="B343" s="11" t="n">
        <v>1</v>
      </c>
      <c r="C343" s="11" t="inlineStr">
        <is>
          <t>Reported-versus-comparator</t>
        </is>
      </c>
      <c r="D343" s="11" t="inlineStr">
        <is>
          <t>Identical estimate/interval/P output for separately labelled measures with different arm-level changes.</t>
        </is>
      </c>
    </row>
    <row r="344" ht="180" customFormat="1" customHeight="1" s="8">
      <c r="A344" s="12" t="inlineStr">
        <is>
          <t>2024::jama.2024.6063::C011</t>
        </is>
      </c>
      <c r="B344" s="12" t="n">
        <v>2</v>
      </c>
      <c r="C344" s="12" t="inlineStr">
        <is>
          <t>Calculation</t>
        </is>
      </c>
      <c r="D344" s="12" t="inlineStr">
        <is>
          <t>The three between-group fields match exactly. Diagnostic glucose contrast: 0.09 - 0.15 = -0.06, which does not reconstruct an adjusted model.</t>
        </is>
      </c>
    </row>
    <row r="345" ht="180" customFormat="1" customHeight="1" s="8">
      <c r="A345" s="11" t="inlineStr">
        <is>
          <t>2024::jama.2024.6063::C011</t>
        </is>
      </c>
      <c r="B345" s="11" t="n">
        <v>3</v>
      </c>
      <c r="C345" s="11" t="inlineStr">
        <is>
          <t>Alternative source-grounded interpretations</t>
        </is>
      </c>
      <c r="D345" s="11" t="inlineStr">
        <is>
          <t>A separately modelled glucose result may differ from subtraction, and equality may be coincidental; no supplied rule explains the full repeated output.</t>
        </is>
      </c>
    </row>
    <row r="346" ht="180" customFormat="1" customHeight="1" s="8">
      <c r="A346" s="12" t="inlineStr">
        <is>
          <t>2024::jama.2024.6063::C012</t>
        </is>
      </c>
      <c r="B346" s="12" t="n">
        <v>0</v>
      </c>
      <c r="C346" s="12" t="inlineStr">
        <is>
          <t>Source evidence</t>
        </is>
      </c>
      <c r="D346" s="12" t="inlineStr">
        <is>
          <t>Key Points prints 0.30 (95% CI -6.9 to 6.4; P = .94). Abstract, Table 2, and Results print -0.3; eTable 1 prints -0.27 (-6.92 to 6.38), P = .94.</t>
        </is>
      </c>
    </row>
    <row r="347" ht="180" customFormat="1" customHeight="1" s="8">
      <c r="A347" s="11" t="inlineStr">
        <is>
          <t>2024::jama.2024.6063::C012</t>
        </is>
      </c>
      <c r="B347" s="11" t="n">
        <v>1</v>
      </c>
      <c r="C347" s="11" t="inlineStr">
        <is>
          <t>Reported-versus-comparator</t>
        </is>
      </c>
      <c r="D347" s="11" t="inlineStr">
        <is>
          <t>Positive 0.30 in Key Points versus negative matched point estimates with matching intervals and P values.</t>
        </is>
      </c>
    </row>
    <row r="348" ht="180" customFormat="1" customHeight="1" s="8">
      <c r="A348" s="12" t="inlineStr">
        <is>
          <t>2024::jama.2024.6063::C012</t>
        </is>
      </c>
      <c r="B348" s="12" t="n">
        <v>2</v>
      </c>
      <c r="C348" s="12" t="inlineStr">
        <is>
          <t>Calculation</t>
        </is>
      </c>
      <c r="D348" s="12" t="inlineStr">
        <is>
          <t>Rounding -0.27 to one decimal gives -0.3, not +0.30.</t>
        </is>
      </c>
    </row>
    <row r="349" ht="180" customFormat="1" customHeight="1" s="8">
      <c r="A349" s="11" t="inlineStr">
        <is>
          <t>2024::jama.2024.6063::C012</t>
        </is>
      </c>
      <c r="B349" s="11" t="n">
        <v>3</v>
      </c>
      <c r="C349" s="11" t="inlineStr">
        <is>
          <t>Alternative source-grounded interpretations</t>
        </is>
      </c>
      <c r="D349" s="11" t="inlineStr">
        <is>
          <t>Key Points may intend an unsigned magnitude; one display may use an unstated opposite operand order; or a sign may have been lost. The sources do not define a common signed contrast orientation.</t>
        </is>
      </c>
    </row>
    <row r="350" ht="180" customFormat="1" customHeight="1" s="8">
      <c r="A350" s="12" t="inlineStr">
        <is>
          <t>2024::jama.2024.6063::C013</t>
        </is>
      </c>
      <c r="B350" s="12" t="n">
        <v>0</v>
      </c>
      <c r="C350" s="12" t="inlineStr">
        <is>
          <t>Source evidence</t>
        </is>
      </c>
      <c r="D350" s="12" t="inlineStr">
        <is>
          <t>Table 3 prints pain in extremity as 1 krill and 6 placebo events. Abstract, narrative, and eTable 7 print lower-extremity/pain-in-extremity as 1 and 5.</t>
        </is>
      </c>
    </row>
    <row r="351" ht="180" customFormat="1" customHeight="1" s="8">
      <c r="A351" s="11" t="inlineStr">
        <is>
          <t>2024::jama.2024.6063::C013</t>
        </is>
      </c>
      <c r="B351" s="11" t="n">
        <v>1</v>
      </c>
      <c r="C351" s="11" t="inlineStr">
        <is>
          <t>Reported-versus-comparator</t>
        </is>
      </c>
      <c r="D351" s="11" t="inlineStr">
        <is>
          <t>Table 3 placebo count 6 versus three matched displays’ placebo count 5.</t>
        </is>
      </c>
    </row>
    <row r="352" ht="180" customFormat="1" customHeight="1" s="8">
      <c r="A352" s="12" t="inlineStr">
        <is>
          <t>2024::jama.2024.6063::C013</t>
        </is>
      </c>
      <c r="B352" s="12" t="n">
        <v>2</v>
      </c>
      <c r="C352" s="12" t="inlineStr">
        <is>
          <t>Calculation</t>
        </is>
      </c>
      <c r="D352" s="12" t="inlineStr">
        <is>
          <t>Krill is 1 in all locations; placebo differs by one event: 6 - 5 = 1.</t>
        </is>
      </c>
    </row>
    <row r="353" ht="180" customFormat="1" customHeight="1" s="8">
      <c r="A353" s="11" t="inlineStr">
        <is>
          <t>2024::jama.2024.6063::C013</t>
        </is>
      </c>
      <c r="B353" s="11" t="n">
        <v>3</v>
      </c>
      <c r="C353" s="11" t="inlineStr">
        <is>
          <t>Alternative source-grounded interpretations</t>
        </is>
      </c>
      <c r="D353" s="11" t="inlineStr">
        <is>
          <t>The phrasings could denote different coding aggregates, though eTable 7 uses Pain in extremity and prints 5; a transcription difference is also possible.</t>
        </is>
      </c>
    </row>
    <row r="354" ht="180" customFormat="1" customHeight="1" s="8">
      <c r="A354" s="12" t="inlineStr">
        <is>
          <t>2024::jama.2024.6063::C014</t>
        </is>
      </c>
      <c r="B354" s="12" t="n">
        <v>0</v>
      </c>
      <c r="C354" s="12" t="inlineStr">
        <is>
          <t>Source evidence</t>
        </is>
      </c>
      <c r="D354" s="12" t="inlineStr">
        <is>
          <t>Footnote a cites eTable 4 for detailed information. eTable 4 is Change in secondary endpoints; the narrative cites eTable 7, Summary of adverse events.</t>
        </is>
      </c>
    </row>
    <row r="355" ht="180" customFormat="1" customHeight="1" s="8">
      <c r="A355" s="11" t="inlineStr">
        <is>
          <t>2024::jama.2024.6063::C014</t>
        </is>
      </c>
      <c r="B355" s="11" t="n">
        <v>1</v>
      </c>
      <c r="C355" s="11" t="inlineStr">
        <is>
          <t>Reported-versus-comparator</t>
        </is>
      </c>
      <c r="D355" s="11" t="inlineStr">
        <is>
          <t>Footnote destination eTable 4 versus the supplied table that contains the stated adverse-event subject, eTable 7.</t>
        </is>
      </c>
    </row>
    <row r="356" ht="180" customFormat="1" customHeight="1" s="8">
      <c r="A356" s="12" t="inlineStr">
        <is>
          <t>2024::jama.2024.6063::C014</t>
        </is>
      </c>
      <c r="B356" s="12" t="n">
        <v>2</v>
      </c>
      <c r="C356" s="12" t="inlineStr">
        <is>
          <t>Calculation</t>
        </is>
      </c>
      <c r="D356" s="12" t="inlineStr">
        <is>
          <t>Not applicable; logical header/content matching identifies eTable 4 as a secondary-endpoint table and eTable 7 as the adverse-event table.</t>
        </is>
      </c>
    </row>
    <row r="357" ht="180" customFormat="1" customHeight="1" s="8">
      <c r="A357" s="11" t="inlineStr">
        <is>
          <t>2024::jama.2024.6063::C014</t>
        </is>
      </c>
      <c r="B357" s="11" t="n">
        <v>3</v>
      </c>
      <c r="C357" s="11" t="inlineStr">
        <is>
          <t>Alternative source-grounded interpretations</t>
        </is>
      </c>
      <c r="D357" s="11" t="inlineStr">
        <is>
          <t>Footnote a may retain an earlier supplement numbering scheme.</t>
        </is>
      </c>
    </row>
    <row r="358" ht="180" customFormat="1" customHeight="1" s="8">
      <c r="A358" s="12" t="inlineStr">
        <is>
          <t>2024::jama.2024.6063::C015</t>
        </is>
      </c>
      <c r="B358" s="12" t="n">
        <v>0</v>
      </c>
      <c r="C358" s="12" t="inlineStr">
        <is>
          <t>Source evidence</t>
        </is>
      </c>
      <c r="D358" s="12" t="inlineStr">
        <is>
          <t>Footnote c cites eTables 5 and 6. Those tables concern WORMS effusion score and analgesic use; the narrative cites eTable 8, the serious-adverse-event table.</t>
        </is>
      </c>
    </row>
    <row r="359" ht="180" customFormat="1" customHeight="1" s="8">
      <c r="A359" s="11" t="inlineStr">
        <is>
          <t>2024::jama.2024.6063::C015</t>
        </is>
      </c>
      <c r="B359" s="11" t="n">
        <v>1</v>
      </c>
      <c r="C359" s="11" t="inlineStr">
        <is>
          <t>Reported-versus-comparator</t>
        </is>
      </c>
      <c r="D359" s="11" t="inlineStr">
        <is>
          <t>Footnote destinations eTables 5/6 versus eTable 8, which contains the stated serious-event subject.</t>
        </is>
      </c>
    </row>
    <row r="360" ht="180" customFormat="1" customHeight="1" s="8">
      <c r="A360" s="12" t="inlineStr">
        <is>
          <t>2024::jama.2024.6063::C015</t>
        </is>
      </c>
      <c r="B360" s="12" t="n">
        <v>2</v>
      </c>
      <c r="C360" s="12" t="inlineStr">
        <is>
          <t>Calculation</t>
        </is>
      </c>
      <c r="D360" s="12" t="inlineStr">
        <is>
          <t>Not applicable; neither eTable 5 nor eTable 6 contains serious-event detail, while eTable 8 does.</t>
        </is>
      </c>
    </row>
    <row r="361" ht="180" customFormat="1" customHeight="1" s="8">
      <c r="A361" s="11" t="inlineStr">
        <is>
          <t>2024::jama.2024.6063::C015</t>
        </is>
      </c>
      <c r="B361" s="11" t="n">
        <v>3</v>
      </c>
      <c r="C361" s="11" t="inlineStr">
        <is>
          <t>Alternative source-grounded interpretations</t>
        </is>
      </c>
      <c r="D361" s="11" t="inlineStr">
        <is>
          <t>The footnote may reflect an earlier supplement layout or numbering scheme.</t>
        </is>
      </c>
    </row>
    <row r="362" ht="180" customFormat="1" customHeight="1" s="8">
      <c r="A362" s="12" t="inlineStr">
        <is>
          <t>2024::jama.2024.6063::C016</t>
        </is>
      </c>
      <c r="B362" s="12" t="n">
        <v>0</v>
      </c>
      <c r="C362" s="12" t="inlineStr">
        <is>
          <t>Source evidence</t>
        </is>
      </c>
      <c r="D362" s="12" t="inlineStr">
        <is>
          <t>Main text states 95% consumed at least 80% of softgels over 24 weeks and cites eTable 2. The overall row prints n = 167, 82 (98.8%), and 81 (96.4%); its footnote separately names 165.</t>
        </is>
      </c>
    </row>
    <row r="363" ht="180" customFormat="1" customHeight="1" s="8">
      <c r="A363" s="11" t="inlineStr">
        <is>
          <t>2024::jama.2024.6063::C016</t>
        </is>
      </c>
      <c r="B363" s="11" t="n">
        <v>1</v>
      </c>
      <c r="C363" s="11" t="inlineStr">
        <is>
          <t>Reported-versus-comparator</t>
        </is>
      </c>
      <c r="D363" s="11" t="inlineStr">
        <is>
          <t>Main-text 95% versus pooled 163 of 167 from the cited row.</t>
        </is>
      </c>
    </row>
    <row r="364" ht="180" customFormat="1" customHeight="1" s="8">
      <c r="A364" s="12" t="inlineStr">
        <is>
          <t>2024::jama.2024.6063::C016</t>
        </is>
      </c>
      <c r="B364" s="12" t="n">
        <v>2</v>
      </c>
      <c r="C364" s="12" t="inlineStr">
        <is>
          <t>Calculation</t>
        </is>
      </c>
      <c r="D364" s="12" t="inlineStr">
        <is>
          <t>82 + 81 = 163; 163/167 × 100 = 97.6048%, displayed as 97.6% or 98%, not 95%.</t>
        </is>
      </c>
    </row>
    <row r="365" ht="180" customFormat="1" customHeight="1" s="8">
      <c r="A365" s="11" t="inlineStr">
        <is>
          <t>2024::jama.2024.6063::C016</t>
        </is>
      </c>
      <c r="B365" s="11" t="n">
        <v>3</v>
      </c>
      <c r="C365" s="11" t="inlineStr">
        <is>
          <t>Alternative source-grounded interpretations</t>
        </is>
      </c>
      <c r="D365" s="11" t="inlineStr">
        <is>
          <t>The main text may use an unstated subset or earlier table version; the cited table itself names both 167 and 165.</t>
        </is>
      </c>
    </row>
  </sheetData>
  <autoFilter ref="A1:D365"/>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E35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 width="90" customWidth="1" style="8" min="5" max="5"/>
  </cols>
  <sheetData>
    <row r="1" ht="42" customFormat="1" customHeight="1" s="8">
      <c r="A1" s="5" t="inlineStr">
        <is>
          <t>key</t>
        </is>
      </c>
      <c r="B1" s="5" t="inlineStr">
        <is>
          <t>kind</t>
        </is>
      </c>
      <c r="C1" s="5" t="inlineStr">
        <is>
          <t>order</t>
        </is>
      </c>
      <c r="D1" s="5" t="inlineStr">
        <is>
          <t>label</t>
        </is>
      </c>
      <c r="E1" s="5" t="inlineStr">
        <is>
          <t>href</t>
        </is>
      </c>
    </row>
    <row r="2" ht="90" customFormat="1" customHeight="1" s="8">
      <c r="A2" s="12" t="inlineStr">
        <is>
          <t>2024::jama.2024.0318::C001</t>
        </is>
      </c>
      <c r="B2" s="12" t="inlineStr">
        <is>
          <t>sourceLinks</t>
        </is>
      </c>
      <c r="C2" s="12" t="n">
        <v>0</v>
      </c>
      <c r="D2" s="12" t="inlineStr">
        <is>
          <t>jama_courcoulas_2024_oi_240004_1721756962.76052.pdf — PDF p. 3</t>
        </is>
      </c>
      <c r="E2" s="12" t="inlineStr">
        <is>
          <t>../../2024/jama.2024.0318/jama_courcoulas_2024_oi_240004_1721756962.76052.pdf#page=3</t>
        </is>
      </c>
    </row>
    <row r="3" ht="90" customFormat="1" customHeight="1" s="8">
      <c r="A3" s="11" t="inlineStr">
        <is>
          <t>2024::jama.2024.0318::C001</t>
        </is>
      </c>
      <c r="B3" s="11" t="inlineStr">
        <is>
          <t>evidencePaths</t>
        </is>
      </c>
      <c r="C3" s="11" t="n">
        <v>0</v>
      </c>
      <c r="D3" s="11" t="inlineStr">
        <is>
          <t>2024/jama.2024.0318/.ai_paper_validation/review_1_5_3/source_inventory.md</t>
        </is>
      </c>
      <c r="E3" s="11" t="inlineStr">
        <is>
          <t>../../2024/jama.2024.0318/.ai_paper_validation/review_1_5_3/source_inventory.md</t>
        </is>
      </c>
    </row>
    <row r="4" ht="90" customFormat="1" customHeight="1" s="8">
      <c r="A4" s="12" t="inlineStr">
        <is>
          <t>2024::jama.2024.0318::C002</t>
        </is>
      </c>
      <c r="B4" s="12" t="inlineStr">
        <is>
          <t>sourceLinks</t>
        </is>
      </c>
      <c r="C4" s="12" t="n">
        <v>0</v>
      </c>
      <c r="D4" s="12" t="inlineStr">
        <is>
          <t>joi240004supp2_prod_1721756962.82552.pdf — PDF p. 15</t>
        </is>
      </c>
      <c r="E4" s="12" t="inlineStr">
        <is>
          <t>../../2024/jama.2024.0318/joi240004supp2_prod_1721756962.82552.pdf#page=15</t>
        </is>
      </c>
    </row>
    <row r="5" ht="90" customFormat="1" customHeight="1" s="8">
      <c r="A5" s="11" t="inlineStr">
        <is>
          <t>2024::jama.2024.0318::C002</t>
        </is>
      </c>
      <c r="B5" s="11" t="inlineStr">
        <is>
          <t>sourceLinks</t>
        </is>
      </c>
      <c r="C5" s="11" t="n">
        <v>1</v>
      </c>
      <c r="D5" s="11" t="inlineStr">
        <is>
          <t>joi240004supp2_prod_1721756962.82552.pdf — PDF p. 16</t>
        </is>
      </c>
      <c r="E5" s="11" t="inlineStr">
        <is>
          <t>../../2024/jama.2024.0318/joi240004supp2_prod_1721756962.82552.pdf#page=16</t>
        </is>
      </c>
    </row>
    <row r="6" ht="90" customFormat="1" customHeight="1" s="8">
      <c r="A6" s="12" t="inlineStr">
        <is>
          <t>2024::jama.2024.0318::C002</t>
        </is>
      </c>
      <c r="B6" s="12" t="inlineStr">
        <is>
          <t>sourceLinks</t>
        </is>
      </c>
      <c r="C6" s="12" t="n">
        <v>2</v>
      </c>
      <c r="D6" s="12" t="inlineStr">
        <is>
          <t>jama_courcoulas_2024_oi_240004_1721756962.76052.pdf — PDF p. 3</t>
        </is>
      </c>
      <c r="E6" s="12" t="inlineStr">
        <is>
          <t>../../2024/jama.2024.0318/jama_courcoulas_2024_oi_240004_1721756962.76052.pdf#page=3</t>
        </is>
      </c>
    </row>
    <row r="7" ht="90" customFormat="1" customHeight="1" s="8">
      <c r="A7" s="11" t="inlineStr">
        <is>
          <t>2024::jama.2024.0318::C002</t>
        </is>
      </c>
      <c r="B7" s="11" t="inlineStr">
        <is>
          <t>evidencePaths</t>
        </is>
      </c>
      <c r="C7" s="11" t="n">
        <v>0</v>
      </c>
      <c r="D7" s="11" t="inlineStr">
        <is>
          <t>2024/jama.2024.0318/.ai_paper_validation/review_1_5_3/source_inventory.md</t>
        </is>
      </c>
      <c r="E7" s="11" t="inlineStr">
        <is>
          <t>../../2024/jama.2024.0318/.ai_paper_validation/review_1_5_3/source_inventory.md</t>
        </is>
      </c>
    </row>
    <row r="8" ht="90" customFormat="1" customHeight="1" s="8">
      <c r="A8" s="12" t="inlineStr">
        <is>
          <t>2024::jama.2024.0318::C002</t>
        </is>
      </c>
      <c r="B8" s="12" t="inlineStr">
        <is>
          <t>evidencePaths</t>
        </is>
      </c>
      <c r="C8" s="12" t="n">
        <v>1</v>
      </c>
      <c r="D8" s="12" t="inlineStr">
        <is>
          <t>2024/jama.2024.0318/.ai_paper_validation/review_1_5_3/verification/evidence_recheck.md</t>
        </is>
      </c>
      <c r="E8" s="12" t="inlineStr">
        <is>
          <t>../../2024/jama.2024.0318/.ai_paper_validation/review_1_5_3/verification/evidence_recheck.md</t>
        </is>
      </c>
    </row>
    <row r="9" ht="90" customFormat="1" customHeight="1" s="8">
      <c r="A9" s="11" t="inlineStr">
        <is>
          <t>2024::jama.2024.0318::C003</t>
        </is>
      </c>
      <c r="B9" s="11" t="inlineStr">
        <is>
          <t>sourceLinks</t>
        </is>
      </c>
      <c r="C9" s="11" t="n">
        <v>0</v>
      </c>
      <c r="D9" s="11" t="inlineStr">
        <is>
          <t>jama_courcoulas_2024_oi_240004_1721756962.76052.pdf — PDF p. 1</t>
        </is>
      </c>
      <c r="E9" s="11" t="inlineStr">
        <is>
          <t>../../2024/jama.2024.0318/jama_courcoulas_2024_oi_240004_1721756962.76052.pdf#page=1</t>
        </is>
      </c>
    </row>
    <row r="10" ht="90" customFormat="1" customHeight="1" s="8">
      <c r="A10" s="12" t="inlineStr">
        <is>
          <t>2024::jama.2024.0318::C003</t>
        </is>
      </c>
      <c r="B10" s="12" t="inlineStr">
        <is>
          <t>sourceLinks</t>
        </is>
      </c>
      <c r="C10" s="12" t="n">
        <v>1</v>
      </c>
      <c r="D10" s="12" t="inlineStr">
        <is>
          <t>jama_courcoulas_2024_oi_240004_1721756962.76052.pdf — PDF p. 3</t>
        </is>
      </c>
      <c r="E10" s="12" t="inlineStr">
        <is>
          <t>../../2024/jama.2024.0318/jama_courcoulas_2024_oi_240004_1721756962.76052.pdf#page=3</t>
        </is>
      </c>
    </row>
    <row r="11" ht="90" customFormat="1" customHeight="1" s="8">
      <c r="A11" s="11" t="inlineStr">
        <is>
          <t>2024::jama.2024.0318::C003</t>
        </is>
      </c>
      <c r="B11" s="11" t="inlineStr">
        <is>
          <t>sourceLinks</t>
        </is>
      </c>
      <c r="C11" s="11" t="n">
        <v>2</v>
      </c>
      <c r="D11" s="11" t="inlineStr">
        <is>
          <t>joi240004supp2_prod_1721756962.82552.pdf — PDF p. 15</t>
        </is>
      </c>
      <c r="E11" s="11" t="inlineStr">
        <is>
          <t>../../2024/jama.2024.0318/joi240004supp2_prod_1721756962.82552.pdf#page=15</t>
        </is>
      </c>
    </row>
    <row r="12" ht="90" customFormat="1" customHeight="1" s="8">
      <c r="A12" s="12" t="inlineStr">
        <is>
          <t>2024::jama.2024.0318::C003</t>
        </is>
      </c>
      <c r="B12" s="12" t="inlineStr">
        <is>
          <t>evidencePaths</t>
        </is>
      </c>
      <c r="C12" s="12" t="n">
        <v>0</v>
      </c>
      <c r="D12" s="12" t="inlineStr">
        <is>
          <t>2024/jama.2024.0318/.ai_paper_validation/review_1_5_3/source_inventory.md</t>
        </is>
      </c>
      <c r="E12" s="12" t="inlineStr">
        <is>
          <t>../../2024/jama.2024.0318/.ai_paper_validation/review_1_5_3/source_inventory.md</t>
        </is>
      </c>
    </row>
    <row r="13" ht="90" customFormat="1" customHeight="1" s="8">
      <c r="A13" s="11" t="inlineStr">
        <is>
          <t>2024::jama.2024.0318::C004</t>
        </is>
      </c>
      <c r="B13" s="11" t="inlineStr">
        <is>
          <t>sourceLinks</t>
        </is>
      </c>
      <c r="C13" s="11" t="n">
        <v>0</v>
      </c>
      <c r="D13" s="11" t="inlineStr">
        <is>
          <t>jama_courcoulas_2024_oi_240004_1721756962.76052.pdf — PDF p. 4</t>
        </is>
      </c>
      <c r="E13" s="11" t="inlineStr">
        <is>
          <t>../../2024/jama.2024.0318/jama_courcoulas_2024_oi_240004_1721756962.76052.pdf#page=4</t>
        </is>
      </c>
    </row>
    <row r="14" ht="90" customFormat="1" customHeight="1" s="8">
      <c r="A14" s="12" t="inlineStr">
        <is>
          <t>2024::jama.2024.0318::C004</t>
        </is>
      </c>
      <c r="B14" s="12" t="inlineStr">
        <is>
          <t>sourceLinks</t>
        </is>
      </c>
      <c r="C14" s="12" t="n">
        <v>1</v>
      </c>
      <c r="D14" s="12" t="inlineStr">
        <is>
          <t>jama_courcoulas_2024_oi_240004_1721756962.76052.pdf — PDF p. 6</t>
        </is>
      </c>
      <c r="E14" s="12" t="inlineStr">
        <is>
          <t>../../2024/jama.2024.0318/jama_courcoulas_2024_oi_240004_1721756962.76052.pdf#page=6</t>
        </is>
      </c>
    </row>
    <row r="15" ht="90" customFormat="1" customHeight="1" s="8">
      <c r="A15" s="11" t="inlineStr">
        <is>
          <t>2024::jama.2024.0318::C004</t>
        </is>
      </c>
      <c r="B15" s="11" t="inlineStr">
        <is>
          <t>sourceLinks</t>
        </is>
      </c>
      <c r="C15" s="11" t="n">
        <v>2</v>
      </c>
      <c r="D15" s="11" t="inlineStr">
        <is>
          <t>joi240004supp2_prod_1721756962.82552.pdf — PDF p. 4</t>
        </is>
      </c>
      <c r="E15" s="11" t="inlineStr">
        <is>
          <t>../../2024/jama.2024.0318/joi240004supp2_prod_1721756962.82552.pdf#page=4</t>
        </is>
      </c>
    </row>
    <row r="16" ht="90" customFormat="1" customHeight="1" s="8">
      <c r="A16" s="12" t="inlineStr">
        <is>
          <t>2024::jama.2024.0318::C004</t>
        </is>
      </c>
      <c r="B16" s="12" t="inlineStr">
        <is>
          <t>evidencePaths</t>
        </is>
      </c>
      <c r="C16" s="12" t="n">
        <v>0</v>
      </c>
      <c r="D16" s="12" t="inlineStr">
        <is>
          <t>2024/jama.2024.0318/.ai_paper_validation/review_1_5_3/source_inventory.md</t>
        </is>
      </c>
      <c r="E16" s="12" t="inlineStr">
        <is>
          <t>../../2024/jama.2024.0318/.ai_paper_validation/review_1_5_3/source_inventory.md</t>
        </is>
      </c>
    </row>
    <row r="17" ht="90" customFormat="1" customHeight="1" s="8">
      <c r="A17" s="11" t="inlineStr">
        <is>
          <t>2024::jama.2024.0318::C004</t>
        </is>
      </c>
      <c r="B17" s="11" t="inlineStr">
        <is>
          <t>evidencePaths</t>
        </is>
      </c>
      <c r="C17" s="11" t="n">
        <v>1</v>
      </c>
      <c r="D17" s="11" t="inlineStr">
        <is>
          <t>2024/jama.2024.0318/.ai_paper_validation/review_1_5_3/verification/evidence_recheck.md</t>
        </is>
      </c>
      <c r="E17" s="11" t="inlineStr">
        <is>
          <t>../../2024/jama.2024.0318/.ai_paper_validation/review_1_5_3/verification/evidence_recheck.md</t>
        </is>
      </c>
    </row>
    <row r="18" ht="90" customFormat="1" customHeight="1" s="8">
      <c r="A18" s="12" t="inlineStr">
        <is>
          <t>2024::jama.2024.0318::C005</t>
        </is>
      </c>
      <c r="B18" s="12" t="inlineStr">
        <is>
          <t>sourceLinks</t>
        </is>
      </c>
      <c r="C18" s="12" t="n">
        <v>0</v>
      </c>
      <c r="D18" s="12" t="inlineStr">
        <is>
          <t>jama_courcoulas_2024_oi_240004_1721756962.76052.pdf — PDF p. 1</t>
        </is>
      </c>
      <c r="E18" s="12" t="inlineStr">
        <is>
          <t>../../2024/jama.2024.0318/jama_courcoulas_2024_oi_240004_1721756962.76052.pdf#page=1</t>
        </is>
      </c>
    </row>
    <row r="19" ht="90" customFormat="1" customHeight="1" s="8">
      <c r="A19" s="11" t="inlineStr">
        <is>
          <t>2024::jama.2024.0318::C005</t>
        </is>
      </c>
      <c r="B19" s="11" t="inlineStr">
        <is>
          <t>sourceLinks</t>
        </is>
      </c>
      <c r="C19" s="11" t="n">
        <v>1</v>
      </c>
      <c r="D19" s="11" t="inlineStr">
        <is>
          <t>jama_courcoulas_2024_oi_240004_1721756962.76052.pdf — PDF p. 3</t>
        </is>
      </c>
      <c r="E19" s="11" t="inlineStr">
        <is>
          <t>../../2024/jama.2024.0318/jama_courcoulas_2024_oi_240004_1721756962.76052.pdf#page=3</t>
        </is>
      </c>
    </row>
    <row r="20" ht="90" customFormat="1" customHeight="1" s="8">
      <c r="A20" s="12" t="inlineStr">
        <is>
          <t>2024::jama.2024.0318::C005</t>
        </is>
      </c>
      <c r="B20" s="12" t="inlineStr">
        <is>
          <t>sourceLinks</t>
        </is>
      </c>
      <c r="C20" s="12" t="n">
        <v>2</v>
      </c>
      <c r="D20" s="12" t="inlineStr">
        <is>
          <t>jama_courcoulas_2024_oi_240004_1721756962.76052.pdf — PDF p. 7</t>
        </is>
      </c>
      <c r="E20" s="12" t="inlineStr">
        <is>
          <t>../../2024/jama.2024.0318/jama_courcoulas_2024_oi_240004_1721756962.76052.pdf#page=7</t>
        </is>
      </c>
    </row>
    <row r="21" ht="90" customFormat="1" customHeight="1" s="8">
      <c r="A21" s="11" t="inlineStr">
        <is>
          <t>2024::jama.2024.0318::C005</t>
        </is>
      </c>
      <c r="B21" s="11" t="inlineStr">
        <is>
          <t>sourceLinks</t>
        </is>
      </c>
      <c r="C21" s="11" t="n">
        <v>3</v>
      </c>
      <c r="D21" s="11" t="inlineStr">
        <is>
          <t>jama_courcoulas_2024_oi_240004_1721756962.76052.pdf — PDF p. 8</t>
        </is>
      </c>
      <c r="E21" s="11" t="inlineStr">
        <is>
          <t>../../2024/jama.2024.0318/jama_courcoulas_2024_oi_240004_1721756962.76052.pdf#page=8</t>
        </is>
      </c>
    </row>
    <row r="22" ht="90" customFormat="1" customHeight="1" s="8">
      <c r="A22" s="12" t="inlineStr">
        <is>
          <t>2024::jama.2024.0318::C005</t>
        </is>
      </c>
      <c r="B22" s="12" t="inlineStr">
        <is>
          <t>evidencePaths</t>
        </is>
      </c>
      <c r="C22" s="12" t="n">
        <v>0</v>
      </c>
      <c r="D22" s="12" t="inlineStr">
        <is>
          <t>2024/jama.2024.0318/.ai_paper_validation/review_1_5_3/source_inventory.md</t>
        </is>
      </c>
      <c r="E22" s="12" t="inlineStr">
        <is>
          <t>../../2024/jama.2024.0318/.ai_paper_validation/review_1_5_3/source_inventory.md</t>
        </is>
      </c>
    </row>
    <row r="23" ht="90" customFormat="1" customHeight="1" s="8">
      <c r="A23" s="11" t="inlineStr">
        <is>
          <t>2024::jama.2024.0318::C006</t>
        </is>
      </c>
      <c r="B23" s="11" t="inlineStr">
        <is>
          <t>sourceLinks</t>
        </is>
      </c>
      <c r="C23" s="11" t="n">
        <v>0</v>
      </c>
      <c r="D23" s="11" t="inlineStr">
        <is>
          <t>jama_courcoulas_2024_oi_240004_1721756962.76052.pdf — PDF p. 7</t>
        </is>
      </c>
      <c r="E23" s="11" t="inlineStr">
        <is>
          <t>../../2024/jama.2024.0318/jama_courcoulas_2024_oi_240004_1721756962.76052.pdf#page=7</t>
        </is>
      </c>
    </row>
    <row r="24" ht="90" customFormat="1" customHeight="1" s="8">
      <c r="A24" s="12" t="inlineStr">
        <is>
          <t>2024::jama.2024.0318::C006</t>
        </is>
      </c>
      <c r="B24" s="12" t="inlineStr">
        <is>
          <t>sourceLinks</t>
        </is>
      </c>
      <c r="C24" s="12" t="n">
        <v>1</v>
      </c>
      <c r="D24" s="12" t="inlineStr">
        <is>
          <t>joi240004supp2_prod_1721756962.82552.pdf — PDF p. 13</t>
        </is>
      </c>
      <c r="E24" s="12" t="inlineStr">
        <is>
          <t>../../2024/jama.2024.0318/joi240004supp2_prod_1721756962.82552.pdf#page=13</t>
        </is>
      </c>
    </row>
    <row r="25" ht="90" customFormat="1" customHeight="1" s="8">
      <c r="A25" s="11" t="inlineStr">
        <is>
          <t>2024::jama.2024.0318::C006</t>
        </is>
      </c>
      <c r="B25" s="11" t="inlineStr">
        <is>
          <t>evidencePaths</t>
        </is>
      </c>
      <c r="C25" s="11" t="n">
        <v>0</v>
      </c>
      <c r="D25" s="11" t="inlineStr">
        <is>
          <t>2024/jama.2024.0318/.ai_paper_validation/review_1_5_3/source_inventory.md</t>
        </is>
      </c>
      <c r="E25" s="11" t="inlineStr">
        <is>
          <t>../../2024/jama.2024.0318/.ai_paper_validation/review_1_5_3/source_inventory.md</t>
        </is>
      </c>
    </row>
    <row r="26" ht="90" customFormat="1" customHeight="1" s="8">
      <c r="A26" s="12" t="inlineStr">
        <is>
          <t>2024::jama.2024.0572::C001</t>
        </is>
      </c>
      <c r="B26" s="12" t="inlineStr">
        <is>
          <t>sourceLinks</t>
        </is>
      </c>
      <c r="C26" s="12" t="n">
        <v>0</v>
      </c>
      <c r="D26" s="12" t="inlineStr">
        <is>
          <t>Main article Figure 2 — PDF p. 7</t>
        </is>
      </c>
      <c r="E26" s="12" t="inlineStr">
        <is>
          <t>../../2024/jama.2024.0572/jama_sarraj_2024_oi_240006_1708623114.96234.pdf#page=7</t>
        </is>
      </c>
    </row>
    <row r="27" ht="90" customFormat="1" customHeight="1" s="8">
      <c r="A27" s="11" t="inlineStr">
        <is>
          <t>2024::jama.2024.0572::C001</t>
        </is>
      </c>
      <c r="B27" s="11" t="inlineStr">
        <is>
          <t>sourceLinks</t>
        </is>
      </c>
      <c r="C27" s="11" t="n">
        <v>1</v>
      </c>
      <c r="D27" s="11" t="inlineStr">
        <is>
          <t>Supplement 5 eTable 2 — PDF p. 38</t>
        </is>
      </c>
      <c r="E27" s="11" t="inlineStr">
        <is>
          <t>../../2024/jama.2024.0572/joi240006supp5_prod_1708623115.01733.pdf#page=38</t>
        </is>
      </c>
    </row>
    <row r="28" ht="90" customFormat="1" customHeight="1" s="8">
      <c r="A28" s="12" t="inlineStr">
        <is>
          <t>2024::jama.2024.0572::C001</t>
        </is>
      </c>
      <c r="B28" s="12" t="inlineStr">
        <is>
          <t>sourceLinks</t>
        </is>
      </c>
      <c r="C28" s="12" t="n">
        <v>2</v>
      </c>
      <c r="D28" s="12" t="inlineStr">
        <is>
          <t>main Results population statement — PDF p. 4</t>
        </is>
      </c>
      <c r="E28" s="12" t="inlineStr">
        <is>
          <t>../../2024/jama.2024.0572/jama_sarraj_2024_oi_240006_1708623114.96234.pdf#page=4</t>
        </is>
      </c>
    </row>
    <row r="29" ht="90" customFormat="1" customHeight="1" s="8">
      <c r="A29" s="11" t="inlineStr">
        <is>
          <t>2024::jama.2024.0572::C001</t>
        </is>
      </c>
      <c r="B29" s="11" t="inlineStr">
        <is>
          <t>sourceLinks</t>
        </is>
      </c>
      <c r="C29" s="11" t="n">
        <v>3</v>
      </c>
      <c r="D29" s="11" t="inlineStr">
        <is>
          <t>Supplement 5 eFigure 3 — PDF p. 8</t>
        </is>
      </c>
      <c r="E29" s="11" t="inlineStr">
        <is>
          <t>../../2024/jama.2024.0572/joi240006supp5_prod_1708623115.01733.pdf#page=8</t>
        </is>
      </c>
    </row>
    <row r="30" ht="90" customFormat="1" customHeight="1" s="8">
      <c r="A30" s="12" t="inlineStr">
        <is>
          <t>2024::jama.2024.0572::C001</t>
        </is>
      </c>
      <c r="B30" s="12" t="inlineStr">
        <is>
          <t>evidencePaths</t>
        </is>
      </c>
      <c r="C30" s="12" t="n">
        <v>0</v>
      </c>
      <c r="D30" s="12" t="inlineStr">
        <is>
          <t>2024/jama.2024.0572/.ai_paper_validation/review_1_5_3/source_inventory.md</t>
        </is>
      </c>
      <c r="E30" s="12" t="inlineStr">
        <is>
          <t>../../2024/jama.2024.0572/.ai_paper_validation/review_1_5_3/source_inventory.md</t>
        </is>
      </c>
    </row>
    <row r="31" ht="90" customFormat="1" customHeight="1" s="8">
      <c r="A31" s="11" t="inlineStr">
        <is>
          <t>2024::jama.2024.0572::C001</t>
        </is>
      </c>
      <c r="B31" s="11" t="inlineStr">
        <is>
          <t>evidencePaths</t>
        </is>
      </c>
      <c r="C31" s="11" t="n">
        <v>1</v>
      </c>
      <c r="D31" s="11" t="inlineStr">
        <is>
          <t>2024/jama.2024.0572/.ai_paper_validation/review_1_5_3/verification/evidence_recheck.md</t>
        </is>
      </c>
      <c r="E31" s="11" t="inlineStr">
        <is>
          <t>../../2024/jama.2024.0572/.ai_paper_validation/review_1_5_3/verification/evidence_recheck.md</t>
        </is>
      </c>
    </row>
    <row r="32" ht="90" customFormat="1" customHeight="1" s="8">
      <c r="A32" s="12" t="inlineStr">
        <is>
          <t>2024::jama.2024.0572::C002</t>
        </is>
      </c>
      <c r="B32" s="12" t="inlineStr">
        <is>
          <t>sourceLinks</t>
        </is>
      </c>
      <c r="C32" s="12" t="n">
        <v>0</v>
      </c>
      <c r="D32" s="12" t="inlineStr">
        <is>
          <t>Main narrative — PDF p. 6</t>
        </is>
      </c>
      <c r="E32" s="12" t="inlineStr">
        <is>
          <t>../../2024/jama.2024.0572/jama_sarraj_2024_oi_240006_1708623114.96234.pdf#page=6</t>
        </is>
      </c>
    </row>
    <row r="33" ht="90" customFormat="1" customHeight="1" s="8">
      <c r="A33" s="11" t="inlineStr">
        <is>
          <t>2024::jama.2024.0572::C002</t>
        </is>
      </c>
      <c r="B33" s="11" t="inlineStr">
        <is>
          <t>sourceLinks</t>
        </is>
      </c>
      <c r="C33" s="11" t="n">
        <v>1</v>
      </c>
      <c r="D33" s="11" t="inlineStr">
        <is>
          <t>Main Table 2 — PDF p. 7</t>
        </is>
      </c>
      <c r="E33" s="11" t="inlineStr">
        <is>
          <t>../../2024/jama.2024.0572/jama_sarraj_2024_oi_240006_1708623114.96234.pdf#page=7</t>
        </is>
      </c>
    </row>
    <row r="34" ht="90" customFormat="1" customHeight="1" s="8">
      <c r="A34" s="12" t="inlineStr">
        <is>
          <t>2024::jama.2024.0572::C002</t>
        </is>
      </c>
      <c r="B34" s="12" t="inlineStr">
        <is>
          <t>sourceLinks</t>
        </is>
      </c>
      <c r="C34" s="12" t="n">
        <v>2</v>
      </c>
      <c r="D34" s="12" t="inlineStr">
        <is>
          <t>Main Table 3 — PDF p. 9</t>
        </is>
      </c>
      <c r="E34" s="12" t="inlineStr">
        <is>
          <t>../../2024/jama.2024.0572/jama_sarraj_2024_oi_240006_1708623114.96234.pdf#page=9</t>
        </is>
      </c>
    </row>
    <row r="35" ht="90" customFormat="1" customHeight="1" s="8">
      <c r="A35" s="11" t="inlineStr">
        <is>
          <t>2024::jama.2024.0572::C002</t>
        </is>
      </c>
      <c r="B35" s="11" t="inlineStr">
        <is>
          <t>sourceLinks</t>
        </is>
      </c>
      <c r="C35" s="11" t="n">
        <v>3</v>
      </c>
      <c r="D35" s="11" t="inlineStr">
        <is>
          <t>trial SAP — PDF p. 17</t>
        </is>
      </c>
      <c r="E35" s="11" t="inlineStr">
        <is>
          <t>../../2024/jama.2024.0572/joi240006supp3_prod_1708623114.99733.pdf#page=17</t>
        </is>
      </c>
    </row>
    <row r="36" ht="90" customFormat="1" customHeight="1" s="8">
      <c r="A36" s="12" t="inlineStr">
        <is>
          <t>2024::jama.2024.0572::C002</t>
        </is>
      </c>
      <c r="B36" s="12" t="inlineStr">
        <is>
          <t>sourceLinks</t>
        </is>
      </c>
      <c r="C36" s="12" t="n">
        <v>4</v>
      </c>
      <c r="D36" s="12" t="inlineStr">
        <is>
          <t>secondary-analysis SAP — PDF p. 4</t>
        </is>
      </c>
      <c r="E36" s="12" t="inlineStr">
        <is>
          <t>../../2024/jama.2024.0572/joi240006supp4_prod_1708623115.00733.pdf#page=4</t>
        </is>
      </c>
    </row>
    <row r="37" ht="90" customFormat="1" customHeight="1" s="8">
      <c r="A37" s="11" t="inlineStr">
        <is>
          <t>2024::jama.2024.0572::C002</t>
        </is>
      </c>
      <c r="B37" s="11" t="inlineStr">
        <is>
          <t>sourceLinks</t>
        </is>
      </c>
      <c r="C37" s="11" t="n">
        <v>5</v>
      </c>
      <c r="D37" s="11" t="inlineStr">
        <is>
          <t>Supplement 5 eTable 7 — PDF p. 43</t>
        </is>
      </c>
      <c r="E37" s="11" t="inlineStr">
        <is>
          <t>../../2024/jama.2024.0572/joi240006supp5_prod_1708623115.01733.pdf#page=43</t>
        </is>
      </c>
    </row>
    <row r="38" ht="90" customFormat="1" customHeight="1" s="8">
      <c r="A38" s="12" t="inlineStr">
        <is>
          <t>2024::jama.2024.0572::C002</t>
        </is>
      </c>
      <c r="B38" s="12" t="inlineStr">
        <is>
          <t>evidencePaths</t>
        </is>
      </c>
      <c r="C38" s="12" t="n">
        <v>0</v>
      </c>
      <c r="D38" s="12" t="inlineStr">
        <is>
          <t>2024/jama.2024.0572/.ai_paper_validation/review_1_5_3/source_inventory.md</t>
        </is>
      </c>
      <c r="E38" s="12" t="inlineStr">
        <is>
          <t>../../2024/jama.2024.0572/.ai_paper_validation/review_1_5_3/source_inventory.md</t>
        </is>
      </c>
    </row>
    <row r="39" ht="90" customFormat="1" customHeight="1" s="8">
      <c r="A39" s="11" t="inlineStr">
        <is>
          <t>2024::jama.2024.0572::C002</t>
        </is>
      </c>
      <c r="B39" s="11" t="inlineStr">
        <is>
          <t>evidencePaths</t>
        </is>
      </c>
      <c r="C39" s="11" t="n">
        <v>1</v>
      </c>
      <c r="D39" s="11" t="inlineStr">
        <is>
          <t>2024/jama.2024.0572/.ai_paper_validation/review_1_5_3/verification/evidence_recheck.md</t>
        </is>
      </c>
      <c r="E39" s="11" t="inlineStr">
        <is>
          <t>../../2024/jama.2024.0572/.ai_paper_validation/review_1_5_3/verification/evidence_recheck.md</t>
        </is>
      </c>
    </row>
    <row r="40" ht="90" customFormat="1" customHeight="1" s="8">
      <c r="A40" s="12" t="inlineStr">
        <is>
          <t>2024::jama.2024.11057::C001</t>
        </is>
      </c>
      <c r="B40" s="12" t="inlineStr">
        <is>
          <t>sourceLinks</t>
        </is>
      </c>
      <c r="C40" s="12" t="n">
        <v>0</v>
      </c>
      <c r="D40" s="12" t="inlineStr">
        <is>
          <t>jama_graham_2024_oi_240078_1739900423.19074.pdf — PDF p. 3</t>
        </is>
      </c>
      <c r="E40" s="12" t="inlineStr">
        <is>
          <t>../../2024/jama.2024.11057/jama_graham_2024_oi_240078_1739900423.19074.pdf#page=3</t>
        </is>
      </c>
    </row>
    <row r="41" ht="90" customFormat="1" customHeight="1" s="8">
      <c r="A41" s="11" t="inlineStr">
        <is>
          <t>2024::jama.2024.11057::C001</t>
        </is>
      </c>
      <c r="B41" s="11" t="inlineStr">
        <is>
          <t>sourceLinks</t>
        </is>
      </c>
      <c r="C41" s="11" t="n">
        <v>1</v>
      </c>
      <c r="D41" s="11" t="inlineStr">
        <is>
          <t>joi240078supp1_prod_1739900423.22574.pdf — PDF p. 2</t>
        </is>
      </c>
      <c r="E41" s="11" t="inlineStr">
        <is>
          <t>../../2024/jama.2024.11057/joi240078supp1_prod_1739900423.22574.pdf#page=2</t>
        </is>
      </c>
    </row>
    <row r="42" ht="90" customFormat="1" customHeight="1" s="8">
      <c r="A42" s="12" t="inlineStr">
        <is>
          <t>2024::jama.2024.11057::C001</t>
        </is>
      </c>
      <c r="B42" s="12" t="inlineStr">
        <is>
          <t>sourceLinks</t>
        </is>
      </c>
      <c r="C42" s="12" t="n">
        <v>2</v>
      </c>
      <c r="D42" s="12" t="inlineStr">
        <is>
          <t>joi240078supp2_prod_1739900423.24574.pdf — PDF p. 2</t>
        </is>
      </c>
      <c r="E42" s="12" t="inlineStr">
        <is>
          <t>../../2024/jama.2024.11057/joi240078supp2_prod_1739900423.24574.pdf#page=2</t>
        </is>
      </c>
    </row>
    <row r="43" ht="90" customFormat="1" customHeight="1" s="8">
      <c r="A43" s="11" t="inlineStr">
        <is>
          <t>2024::jama.2024.11057::C001</t>
        </is>
      </c>
      <c r="B43" s="11" t="inlineStr">
        <is>
          <t>evidencePaths</t>
        </is>
      </c>
      <c r="C43" s="11" t="n">
        <v>0</v>
      </c>
      <c r="D43" s="11" t="inlineStr">
        <is>
          <t>2024/jama.2024.11057/.ai_paper_validation/review_1_5_3/source_inventory.md</t>
        </is>
      </c>
      <c r="E43" s="11" t="inlineStr">
        <is>
          <t>../../2024/jama.2024.11057/.ai_paper_validation/review_1_5_3/source_inventory.md</t>
        </is>
      </c>
    </row>
    <row r="44" ht="90" customFormat="1" customHeight="1" s="8">
      <c r="A44" s="12" t="inlineStr">
        <is>
          <t>2024::jama.2024.11057::C001</t>
        </is>
      </c>
      <c r="B44" s="12" t="inlineStr">
        <is>
          <t>evidencePaths</t>
        </is>
      </c>
      <c r="C44" s="12" t="n">
        <v>1</v>
      </c>
      <c r="D44" s="12" t="inlineStr">
        <is>
          <t>2024/jama.2024.11057/.ai_paper_validation/review_1_5_3/verification/evidence_recheck.md</t>
        </is>
      </c>
      <c r="E44" s="12" t="inlineStr">
        <is>
          <t>../../2024/jama.2024.11057/.ai_paper_validation/review_1_5_3/verification/evidence_recheck.md</t>
        </is>
      </c>
    </row>
    <row r="45" ht="90" customFormat="1" customHeight="1" s="8">
      <c r="A45" s="11" t="inlineStr">
        <is>
          <t>2024::jama.2024.11057::C002</t>
        </is>
      </c>
      <c r="B45" s="11" t="inlineStr">
        <is>
          <t>sourceLinks</t>
        </is>
      </c>
      <c r="C45" s="11" t="n">
        <v>0</v>
      </c>
      <c r="D45" s="11" t="inlineStr">
        <is>
          <t>joi240078supp2_prod_1739900423.24574.pdf — PDF p. 12</t>
        </is>
      </c>
      <c r="E45" s="11" t="inlineStr">
        <is>
          <t>../../2024/jama.2024.11057/joi240078supp2_prod_1739900423.24574.pdf#page=12</t>
        </is>
      </c>
    </row>
    <row r="46" ht="90" customFormat="1" customHeight="1" s="8">
      <c r="A46" s="12" t="inlineStr">
        <is>
          <t>2024::jama.2024.11057::C002</t>
        </is>
      </c>
      <c r="B46" s="12" t="inlineStr">
        <is>
          <t>sourceLinks</t>
        </is>
      </c>
      <c r="C46" s="12" t="n">
        <v>1</v>
      </c>
      <c r="D46" s="12" t="inlineStr">
        <is>
          <t>joi240078supp2_prod_1739900423.24574.pdf — PDF p. 13</t>
        </is>
      </c>
      <c r="E46" s="12" t="inlineStr">
        <is>
          <t>../../2024/jama.2024.11057/joi240078supp2_prod_1739900423.24574.pdf#page=13</t>
        </is>
      </c>
    </row>
    <row r="47" ht="90" customFormat="1" customHeight="1" s="8">
      <c r="A47" s="11" t="inlineStr">
        <is>
          <t>2024::jama.2024.11057::C002</t>
        </is>
      </c>
      <c r="B47" s="11" t="inlineStr">
        <is>
          <t>sourceLinks</t>
        </is>
      </c>
      <c r="C47" s="11" t="n">
        <v>2</v>
      </c>
      <c r="D47" s="11" t="inlineStr">
        <is>
          <t>jama_graham_2024_oi_240078_1739900423.19074.pdf — PDF p. 4</t>
        </is>
      </c>
      <c r="E47" s="11" t="inlineStr">
        <is>
          <t>../../2024/jama.2024.11057/jama_graham_2024_oi_240078_1739900423.19074.pdf#page=4</t>
        </is>
      </c>
    </row>
    <row r="48" ht="90" customFormat="1" customHeight="1" s="8">
      <c r="A48" s="12" t="inlineStr">
        <is>
          <t>2024::jama.2024.11057::C002</t>
        </is>
      </c>
      <c r="B48" s="12" t="inlineStr">
        <is>
          <t>evidencePaths</t>
        </is>
      </c>
      <c r="C48" s="12" t="n">
        <v>0</v>
      </c>
      <c r="D48" s="12" t="inlineStr">
        <is>
          <t>2024/jama.2024.11057/.ai_paper_validation/review_1_5_3/source_inventory.md</t>
        </is>
      </c>
      <c r="E48" s="12" t="inlineStr">
        <is>
          <t>../../2024/jama.2024.11057/.ai_paper_validation/review_1_5_3/source_inventory.md</t>
        </is>
      </c>
    </row>
    <row r="49" ht="90" customFormat="1" customHeight="1" s="8">
      <c r="A49" s="11" t="inlineStr">
        <is>
          <t>2024::jama.2024.11057::C002</t>
        </is>
      </c>
      <c r="B49" s="11" t="inlineStr">
        <is>
          <t>evidencePaths</t>
        </is>
      </c>
      <c r="C49" s="11" t="n">
        <v>1</v>
      </c>
      <c r="D49" s="11" t="inlineStr">
        <is>
          <t>2024/jama.2024.11057/.ai_paper_validation/review_1_5_3/verification/evidence_recheck.md</t>
        </is>
      </c>
      <c r="E49" s="11" t="inlineStr">
        <is>
          <t>../../2024/jama.2024.11057/.ai_paper_validation/review_1_5_3/verification/evidence_recheck.md</t>
        </is>
      </c>
    </row>
    <row r="50" ht="90" customFormat="1" customHeight="1" s="8">
      <c r="A50" s="12" t="inlineStr">
        <is>
          <t>2024::jama.2024.11057::C003</t>
        </is>
      </c>
      <c r="B50" s="12" t="inlineStr">
        <is>
          <t>sourceLinks</t>
        </is>
      </c>
      <c r="C50" s="12" t="n">
        <v>0</v>
      </c>
      <c r="D50" s="12" t="inlineStr">
        <is>
          <t>joi240078supp2_prod_1739900423.24574.pdf — PDF p. 5</t>
        </is>
      </c>
      <c r="E50" s="12" t="inlineStr">
        <is>
          <t>../../2024/jama.2024.11057/joi240078supp2_prod_1739900423.24574.pdf#page=5</t>
        </is>
      </c>
    </row>
    <row r="51" ht="90" customFormat="1" customHeight="1" s="8">
      <c r="A51" s="11" t="inlineStr">
        <is>
          <t>2024::jama.2024.11057::C003</t>
        </is>
      </c>
      <c r="B51" s="11" t="inlineStr">
        <is>
          <t>sourceLinks</t>
        </is>
      </c>
      <c r="C51" s="11" t="n">
        <v>1</v>
      </c>
      <c r="D51" s="11" t="inlineStr">
        <is>
          <t>joi240078supp2_prod_1739900423.24574.pdf — PDF p. 14</t>
        </is>
      </c>
      <c r="E51" s="11" t="inlineStr">
        <is>
          <t>../../2024/jama.2024.11057/joi240078supp2_prod_1739900423.24574.pdf#page=14</t>
        </is>
      </c>
    </row>
    <row r="52" ht="90" customFormat="1" customHeight="1" s="8">
      <c r="A52" s="12" t="inlineStr">
        <is>
          <t>2024::jama.2024.11057::C003</t>
        </is>
      </c>
      <c r="B52" s="12" t="inlineStr">
        <is>
          <t>sourceLinks</t>
        </is>
      </c>
      <c r="C52" s="12" t="n">
        <v>2</v>
      </c>
      <c r="D52" s="12" t="inlineStr">
        <is>
          <t>jama_graham_2024_oi_240078_1739900423.19074.pdf — PDF p. 4</t>
        </is>
      </c>
      <c r="E52" s="12" t="inlineStr">
        <is>
          <t>../../2024/jama.2024.11057/jama_graham_2024_oi_240078_1739900423.19074.pdf#page=4</t>
        </is>
      </c>
    </row>
    <row r="53" ht="90" customFormat="1" customHeight="1" s="8">
      <c r="A53" s="11" t="inlineStr">
        <is>
          <t>2024::jama.2024.11057::C003</t>
        </is>
      </c>
      <c r="B53" s="11" t="inlineStr">
        <is>
          <t>evidencePaths</t>
        </is>
      </c>
      <c r="C53" s="11" t="n">
        <v>0</v>
      </c>
      <c r="D53" s="11" t="inlineStr">
        <is>
          <t>2024/jama.2024.11057/.ai_paper_validation/review_1_5_3/source_inventory.md</t>
        </is>
      </c>
      <c r="E53" s="11" t="inlineStr">
        <is>
          <t>../../2024/jama.2024.11057/.ai_paper_validation/review_1_5_3/source_inventory.md</t>
        </is>
      </c>
    </row>
    <row r="54" ht="90" customFormat="1" customHeight="1" s="8">
      <c r="A54" s="12" t="inlineStr">
        <is>
          <t>2024::jama.2024.11057::C003</t>
        </is>
      </c>
      <c r="B54" s="12" t="inlineStr">
        <is>
          <t>evidencePaths</t>
        </is>
      </c>
      <c r="C54" s="12" t="n">
        <v>1</v>
      </c>
      <c r="D54" s="12" t="inlineStr">
        <is>
          <t>2024/jama.2024.11057/.ai_paper_validation/review_1_5_3/verification/evidence_recheck_C003.md</t>
        </is>
      </c>
      <c r="E54" s="12" t="inlineStr">
        <is>
          <t>../../2024/jama.2024.11057/.ai_paper_validation/review_1_5_3/verification/evidence_recheck_C003.md</t>
        </is>
      </c>
    </row>
    <row r="55" ht="90" customFormat="1" customHeight="1" s="8">
      <c r="A55" s="11" t="inlineStr">
        <is>
          <t>2024::jama.2024.12829::C001</t>
        </is>
      </c>
      <c r="B55" s="11" t="inlineStr">
        <is>
          <t>sourceLinks</t>
        </is>
      </c>
      <c r="C55" s="11" t="n">
        <v>0</v>
      </c>
      <c r="D55" s="11" t="inlineStr">
        <is>
          <t>DOC-001 Table 1, PDF p. 6</t>
        </is>
      </c>
      <c r="E55" s="11" t="inlineStr">
        <is>
          <t>../../2024/jama.2024.12829/jama_sun_2024_oi_240088_1746815064.14747.pdf#page=6</t>
        </is>
      </c>
    </row>
    <row r="56" ht="90" customFormat="1" customHeight="1" s="8">
      <c r="A56" s="12" t="inlineStr">
        <is>
          <t>2024::jama.2024.12829::C001</t>
        </is>
      </c>
      <c r="B56" s="12" t="inlineStr">
        <is>
          <t>evidencePaths</t>
        </is>
      </c>
      <c r="C56" s="12" t="n">
        <v>0</v>
      </c>
      <c r="D56" s="12" t="inlineStr">
        <is>
          <t>2024/jama.2024.12829/.ai_paper_validation/review_1_5_3/source_inventory.md</t>
        </is>
      </c>
      <c r="E56" s="12" t="inlineStr">
        <is>
          <t>../../2024/jama.2024.12829/.ai_paper_validation/review_1_5_3/source_inventory.md</t>
        </is>
      </c>
    </row>
    <row r="57" ht="90" customFormat="1" customHeight="1" s="8">
      <c r="A57" s="11" t="inlineStr">
        <is>
          <t>2024::jama.2024.12829::C002</t>
        </is>
      </c>
      <c r="B57" s="11" t="inlineStr">
        <is>
          <t>sourceLinks</t>
        </is>
      </c>
      <c r="C57" s="11" t="n">
        <v>0</v>
      </c>
      <c r="D57" s="11" t="inlineStr">
        <is>
          <t>DOC-001 Table 1, PDF p. 6</t>
        </is>
      </c>
      <c r="E57" s="11" t="inlineStr">
        <is>
          <t>../../2024/jama.2024.12829/jama_sun_2024_oi_240088_1746815064.14747.pdf#page=6</t>
        </is>
      </c>
    </row>
    <row r="58" ht="90" customFormat="1" customHeight="1" s="8">
      <c r="A58" s="12" t="inlineStr">
        <is>
          <t>2024::jama.2024.12829::C002</t>
        </is>
      </c>
      <c r="B58" s="12" t="inlineStr">
        <is>
          <t>sourceLinks</t>
        </is>
      </c>
      <c r="C58" s="12" t="n">
        <v>1</v>
      </c>
      <c r="D58" s="12" t="inlineStr">
        <is>
          <t>DOC-002 Table S1, PDF p. 14</t>
        </is>
      </c>
      <c r="E58" s="12" t="inlineStr">
        <is>
          <t>../../2024/jama.2024.12829/joi240088supp1_prod_1746815064.21247.pdf#page=14</t>
        </is>
      </c>
    </row>
    <row r="59" ht="90" customFormat="1" customHeight="1" s="8">
      <c r="A59" s="11" t="inlineStr">
        <is>
          <t>2024::jama.2024.12829::C002</t>
        </is>
      </c>
      <c r="B59" s="11" t="inlineStr">
        <is>
          <t>evidencePaths</t>
        </is>
      </c>
      <c r="C59" s="11" t="n">
        <v>0</v>
      </c>
      <c r="D59" s="11" t="inlineStr">
        <is>
          <t>2024/jama.2024.12829/.ai_paper_validation/review_1_5_3/source_inventory.md</t>
        </is>
      </c>
      <c r="E59" s="11" t="inlineStr">
        <is>
          <t>../../2024/jama.2024.12829/.ai_paper_validation/review_1_5_3/source_inventory.md</t>
        </is>
      </c>
    </row>
    <row r="60" ht="90" customFormat="1" customHeight="1" s="8">
      <c r="A60" s="12" t="inlineStr">
        <is>
          <t>2024::jama.2024.12829::C003</t>
        </is>
      </c>
      <c r="B60" s="12" t="inlineStr">
        <is>
          <t>sourceLinks</t>
        </is>
      </c>
      <c r="C60" s="12" t="n">
        <v>0</v>
      </c>
      <c r="D60" s="12" t="inlineStr">
        <is>
          <t>DOC-002 Table S4, PDF p. 17</t>
        </is>
      </c>
      <c r="E60" s="12" t="inlineStr">
        <is>
          <t>../../2024/jama.2024.12829/joi240088supp1_prod_1746815064.21247.pdf#page=17</t>
        </is>
      </c>
    </row>
    <row r="61" ht="90" customFormat="1" customHeight="1" s="8">
      <c r="A61" s="11" t="inlineStr">
        <is>
          <t>2024::jama.2024.12829::C003</t>
        </is>
      </c>
      <c r="B61" s="11" t="inlineStr">
        <is>
          <t>evidencePaths</t>
        </is>
      </c>
      <c r="C61" s="11" t="n">
        <v>0</v>
      </c>
      <c r="D61" s="11" t="inlineStr">
        <is>
          <t>2024/jama.2024.12829/.ai_paper_validation/review_1_5_3/source_inventory.md</t>
        </is>
      </c>
      <c r="E61" s="11" t="inlineStr">
        <is>
          <t>../../2024/jama.2024.12829/.ai_paper_validation/review_1_5_3/source_inventory.md</t>
        </is>
      </c>
    </row>
    <row r="62" ht="90" customFormat="1" customHeight="1" s="8">
      <c r="A62" s="12" t="inlineStr">
        <is>
          <t>2024::jama.2024.12829::C004</t>
        </is>
      </c>
      <c r="B62" s="12" t="inlineStr">
        <is>
          <t>sourceLinks</t>
        </is>
      </c>
      <c r="C62" s="12" t="n">
        <v>0</v>
      </c>
      <c r="D62" s="12" t="inlineStr">
        <is>
          <t>DOC-002 Table S6, PDF p. 19</t>
        </is>
      </c>
      <c r="E62" s="12" t="inlineStr">
        <is>
          <t>../../2024/jama.2024.12829/joi240088supp1_prod_1746815064.21247.pdf#page=19</t>
        </is>
      </c>
    </row>
    <row r="63" ht="90" customFormat="1" customHeight="1" s="8">
      <c r="A63" s="11" t="inlineStr">
        <is>
          <t>2024::jama.2024.12829::C004</t>
        </is>
      </c>
      <c r="B63" s="11" t="inlineStr">
        <is>
          <t>evidencePaths</t>
        </is>
      </c>
      <c r="C63" s="11" t="n">
        <v>0</v>
      </c>
      <c r="D63" s="11" t="inlineStr">
        <is>
          <t>2024/jama.2024.12829/.ai_paper_validation/review_1_5_3/source_inventory.md</t>
        </is>
      </c>
      <c r="E63" s="11" t="inlineStr">
        <is>
          <t>../../2024/jama.2024.12829/.ai_paper_validation/review_1_5_3/source_inventory.md</t>
        </is>
      </c>
    </row>
    <row r="64" ht="90" customFormat="1" customHeight="1" s="8">
      <c r="A64" s="12" t="inlineStr">
        <is>
          <t>2024::jama.2024.12829::C005</t>
        </is>
      </c>
      <c r="B64" s="12" t="inlineStr">
        <is>
          <t>sourceLinks</t>
        </is>
      </c>
      <c r="C64" s="12" t="n">
        <v>0</v>
      </c>
      <c r="D64" s="12" t="inlineStr">
        <is>
          <t>DOC-002 Table S7, PDF p. 20</t>
        </is>
      </c>
      <c r="E64" s="12" t="inlineStr">
        <is>
          <t>../../2024/jama.2024.12829/joi240088supp1_prod_1746815064.21247.pdf#page=20</t>
        </is>
      </c>
    </row>
    <row r="65" ht="90" customFormat="1" customHeight="1" s="8">
      <c r="A65" s="11" t="inlineStr">
        <is>
          <t>2024::jama.2024.12829::C005</t>
        </is>
      </c>
      <c r="B65" s="11" t="inlineStr">
        <is>
          <t>sourceLinks</t>
        </is>
      </c>
      <c r="C65" s="11" t="n">
        <v>1</v>
      </c>
      <c r="D65" s="11" t="inlineStr">
        <is>
          <t>DOC-001 Figure 1, PDF p. 5</t>
        </is>
      </c>
      <c r="E65" s="11" t="inlineStr">
        <is>
          <t>../../2024/jama.2024.12829/jama_sun_2024_oi_240088_1746815064.14747.pdf#page=5</t>
        </is>
      </c>
    </row>
    <row r="66" ht="90" customFormat="1" customHeight="1" s="8">
      <c r="A66" s="12" t="inlineStr">
        <is>
          <t>2024::jama.2024.12829::C005</t>
        </is>
      </c>
      <c r="B66" s="12" t="inlineStr">
        <is>
          <t>sourceLinks</t>
        </is>
      </c>
      <c r="C66" s="12" t="n">
        <v>2</v>
      </c>
      <c r="D66" s="12" t="inlineStr">
        <is>
          <t>DOC-002 Table S10, PDF p. 23</t>
        </is>
      </c>
      <c r="E66" s="12" t="inlineStr">
        <is>
          <t>../../2024/jama.2024.12829/joi240088supp1_prod_1746815064.21247.pdf#page=23</t>
        </is>
      </c>
    </row>
    <row r="67" ht="90" customFormat="1" customHeight="1" s="8">
      <c r="A67" s="11" t="inlineStr">
        <is>
          <t>2024::jama.2024.12829::C005</t>
        </is>
      </c>
      <c r="B67" s="11" t="inlineStr">
        <is>
          <t>evidencePaths</t>
        </is>
      </c>
      <c r="C67" s="11" t="n">
        <v>0</v>
      </c>
      <c r="D67" s="11" t="inlineStr">
        <is>
          <t>2024/jama.2024.12829/.ai_paper_validation/review_1_5_3/source_inventory.md</t>
        </is>
      </c>
      <c r="E67" s="11" t="inlineStr">
        <is>
          <t>../../2024/jama.2024.12829/.ai_paper_validation/review_1_5_3/source_inventory.md</t>
        </is>
      </c>
    </row>
    <row r="68" ht="90" customFormat="1" customHeight="1" s="8">
      <c r="A68" s="12" t="inlineStr">
        <is>
          <t>2024::jama.2024.12829::C006</t>
        </is>
      </c>
      <c r="B68" s="12" t="inlineStr">
        <is>
          <t>sourceLinks</t>
        </is>
      </c>
      <c r="C68" s="12" t="n">
        <v>0</v>
      </c>
      <c r="D68" s="12" t="inlineStr">
        <is>
          <t>DOC-002 Table S8, PDF p. 21</t>
        </is>
      </c>
      <c r="E68" s="12" t="inlineStr">
        <is>
          <t>../../2024/jama.2024.12829/joi240088supp1_prod_1746815064.21247.pdf#page=21</t>
        </is>
      </c>
    </row>
    <row r="69" ht="90" customFormat="1" customHeight="1" s="8">
      <c r="A69" s="11" t="inlineStr">
        <is>
          <t>2024::jama.2024.12829::C006</t>
        </is>
      </c>
      <c r="B69" s="11" t="inlineStr">
        <is>
          <t>sourceLinks</t>
        </is>
      </c>
      <c r="C69" s="11" t="n">
        <v>1</v>
      </c>
      <c r="D69" s="11" t="inlineStr">
        <is>
          <t>DOC-001 Figure 1, PDF p. 5</t>
        </is>
      </c>
      <c r="E69" s="11" t="inlineStr">
        <is>
          <t>../../2024/jama.2024.12829/jama_sun_2024_oi_240088_1746815064.14747.pdf#page=5</t>
        </is>
      </c>
    </row>
    <row r="70" ht="90" customFormat="1" customHeight="1" s="8">
      <c r="A70" s="12" t="inlineStr">
        <is>
          <t>2024::jama.2024.12829::C006</t>
        </is>
      </c>
      <c r="B70" s="12" t="inlineStr">
        <is>
          <t>sourceLinks</t>
        </is>
      </c>
      <c r="C70" s="12" t="n">
        <v>2</v>
      </c>
      <c r="D70" s="12" t="inlineStr">
        <is>
          <t>DOC-002 Table S10, PDF p. 23</t>
        </is>
      </c>
      <c r="E70" s="12" t="inlineStr">
        <is>
          <t>../../2024/jama.2024.12829/joi240088supp1_prod_1746815064.21247.pdf#page=23</t>
        </is>
      </c>
    </row>
    <row r="71" ht="90" customFormat="1" customHeight="1" s="8">
      <c r="A71" s="11" t="inlineStr">
        <is>
          <t>2024::jama.2024.12829::C006</t>
        </is>
      </c>
      <c r="B71" s="11" t="inlineStr">
        <is>
          <t>evidencePaths</t>
        </is>
      </c>
      <c r="C71" s="11" t="n">
        <v>0</v>
      </c>
      <c r="D71" s="11" t="inlineStr">
        <is>
          <t>2024/jama.2024.12829/.ai_paper_validation/review_1_5_3/source_inventory.md</t>
        </is>
      </c>
      <c r="E71" s="11" t="inlineStr">
        <is>
          <t>../../2024/jama.2024.12829/.ai_paper_validation/review_1_5_3/source_inventory.md</t>
        </is>
      </c>
    </row>
    <row r="72" ht="90" customFormat="1" customHeight="1" s="8">
      <c r="A72" s="12" t="inlineStr">
        <is>
          <t>2024::jama.2024.12829::C006</t>
        </is>
      </c>
      <c r="B72" s="12" t="inlineStr">
        <is>
          <t>evidencePaths</t>
        </is>
      </c>
      <c r="C72" s="12" t="n">
        <v>1</v>
      </c>
      <c r="D72" s="12" t="inlineStr">
        <is>
          <t>2024/jama.2024.12829/.ai_paper_validation/review_1_5_3/verification/evidence_recheck.md</t>
        </is>
      </c>
      <c r="E72" s="12" t="inlineStr">
        <is>
          <t>../../2024/jama.2024.12829/.ai_paper_validation/review_1_5_3/verification/evidence_recheck.md</t>
        </is>
      </c>
    </row>
    <row r="73" ht="90" customFormat="1" customHeight="1" s="8">
      <c r="A73" s="11" t="inlineStr">
        <is>
          <t>2024::jama.2024.12829::C007</t>
        </is>
      </c>
      <c r="B73" s="11" t="inlineStr">
        <is>
          <t>sourceLinks</t>
        </is>
      </c>
      <c r="C73" s="11" t="n">
        <v>0</v>
      </c>
      <c r="D73" s="11" t="inlineStr">
        <is>
          <t>DOC-002 Table S9, PDF p. 22</t>
        </is>
      </c>
      <c r="E73" s="11" t="inlineStr">
        <is>
          <t>../../2024/jama.2024.12829/joi240088supp1_prod_1746815064.21247.pdf#page=22</t>
        </is>
      </c>
    </row>
    <row r="74" ht="90" customFormat="1" customHeight="1" s="8">
      <c r="A74" s="12" t="inlineStr">
        <is>
          <t>2024::jama.2024.12829::C007</t>
        </is>
      </c>
      <c r="B74" s="12" t="inlineStr">
        <is>
          <t>sourceLinks</t>
        </is>
      </c>
      <c r="C74" s="12" t="n">
        <v>1</v>
      </c>
      <c r="D74" s="12" t="inlineStr">
        <is>
          <t>DOC-002 Table S10, PDF p. 23</t>
        </is>
      </c>
      <c r="E74" s="12" t="inlineStr">
        <is>
          <t>../../2024/jama.2024.12829/joi240088supp1_prod_1746815064.21247.pdf#page=23</t>
        </is>
      </c>
    </row>
    <row r="75" ht="90" customFormat="1" customHeight="1" s="8">
      <c r="A75" s="11" t="inlineStr">
        <is>
          <t>2024::jama.2024.12829::C007</t>
        </is>
      </c>
      <c r="B75" s="11" t="inlineStr">
        <is>
          <t>evidencePaths</t>
        </is>
      </c>
      <c r="C75" s="11" t="n">
        <v>0</v>
      </c>
      <c r="D75" s="11" t="inlineStr">
        <is>
          <t>2024/jama.2024.12829/.ai_paper_validation/review_1_5_3/source_inventory.md</t>
        </is>
      </c>
      <c r="E75" s="11" t="inlineStr">
        <is>
          <t>../../2024/jama.2024.12829/.ai_paper_validation/review_1_5_3/source_inventory.md</t>
        </is>
      </c>
    </row>
    <row r="76" ht="90" customFormat="1" customHeight="1" s="8">
      <c r="A76" s="12" t="inlineStr">
        <is>
          <t>2024::jama.2024.12829::C008</t>
        </is>
      </c>
      <c r="B76" s="12" t="inlineStr">
        <is>
          <t>sourceLinks</t>
        </is>
      </c>
      <c r="C76" s="12" t="n">
        <v>0</v>
      </c>
      <c r="D76" s="12" t="inlineStr">
        <is>
          <t>DOC-001 eligibility, PDF p. 2</t>
        </is>
      </c>
      <c r="E76" s="12" t="inlineStr">
        <is>
          <t>../../2024/jama.2024.12829/jama_sun_2024_oi_240088_1746815064.14747.pdf#page=2</t>
        </is>
      </c>
    </row>
    <row r="77" ht="90" customFormat="1" customHeight="1" s="8">
      <c r="A77" s="11" t="inlineStr">
        <is>
          <t>2024::jama.2024.12829::C008</t>
        </is>
      </c>
      <c r="B77" s="11" t="inlineStr">
        <is>
          <t>sourceLinks</t>
        </is>
      </c>
      <c r="C77" s="11" t="n">
        <v>1</v>
      </c>
      <c r="D77" s="11" t="inlineStr">
        <is>
          <t>DOC-001 Figure 1, PDF p. 5</t>
        </is>
      </c>
      <c r="E77" s="11" t="inlineStr">
        <is>
          <t>../../2024/jama.2024.12829/jama_sun_2024_oi_240088_1746815064.14747.pdf#page=5</t>
        </is>
      </c>
    </row>
    <row r="78" ht="90" customFormat="1" customHeight="1" s="8">
      <c r="A78" s="12" t="inlineStr">
        <is>
          <t>2024::jama.2024.12829::C008</t>
        </is>
      </c>
      <c r="B78" s="12" t="inlineStr">
        <is>
          <t>sourceLinks</t>
        </is>
      </c>
      <c r="C78" s="12" t="n">
        <v>2</v>
      </c>
      <c r="D78" s="12" t="inlineStr">
        <is>
          <t>DOC-001 Table 1, PDF p. 6</t>
        </is>
      </c>
      <c r="E78" s="12" t="inlineStr">
        <is>
          <t>../../2024/jama.2024.12829/jama_sun_2024_oi_240088_1746815064.14747.pdf#page=6</t>
        </is>
      </c>
    </row>
    <row r="79" ht="90" customFormat="1" customHeight="1" s="8">
      <c r="A79" s="11" t="inlineStr">
        <is>
          <t>2024::jama.2024.12829::C008</t>
        </is>
      </c>
      <c r="B79" s="11" t="inlineStr">
        <is>
          <t>evidencePaths</t>
        </is>
      </c>
      <c r="C79" s="11" t="n">
        <v>0</v>
      </c>
      <c r="D79" s="11" t="inlineStr">
        <is>
          <t>2024/jama.2024.12829/.ai_paper_validation/review_1_5_3/source_inventory.md</t>
        </is>
      </c>
      <c r="E79" s="11" t="inlineStr">
        <is>
          <t>../../2024/jama.2024.12829/.ai_paper_validation/review_1_5_3/source_inventory.md</t>
        </is>
      </c>
    </row>
    <row r="80" ht="90" customFormat="1" customHeight="1" s="8">
      <c r="A80" s="12" t="inlineStr">
        <is>
          <t>2024::jama.2024.12829::C009</t>
        </is>
      </c>
      <c r="B80" s="12" t="inlineStr">
        <is>
          <t>sourceLinks</t>
        </is>
      </c>
      <c r="C80" s="12" t="n">
        <v>0</v>
      </c>
      <c r="D80" s="12" t="inlineStr">
        <is>
          <t>DOC-002 study-design graphic, PDF p. 6</t>
        </is>
      </c>
      <c r="E80" s="12" t="inlineStr">
        <is>
          <t>../../2024/jama.2024.12829/joi240088supp1_prod_1746815064.21247.pdf#page=6</t>
        </is>
      </c>
    </row>
    <row r="81" ht="90" customFormat="1" customHeight="1" s="8">
      <c r="A81" s="11" t="inlineStr">
        <is>
          <t>2024::jama.2024.12829::C009</t>
        </is>
      </c>
      <c r="B81" s="11" t="inlineStr">
        <is>
          <t>sourceLinks</t>
        </is>
      </c>
      <c r="C81" s="11" t="n">
        <v>1</v>
      </c>
      <c r="D81" s="11" t="inlineStr">
        <is>
          <t>DOC-001 schedule, PDF p. 3</t>
        </is>
      </c>
      <c r="E81" s="11" t="inlineStr">
        <is>
          <t>../../2024/jama.2024.12829/jama_sun_2024_oi_240088_1746815064.14747.pdf#page=3</t>
        </is>
      </c>
    </row>
    <row r="82" ht="90" customFormat="1" customHeight="1" s="8">
      <c r="A82" s="12" t="inlineStr">
        <is>
          <t>2024::jama.2024.12829::C009</t>
        </is>
      </c>
      <c r="B82" s="12" t="inlineStr">
        <is>
          <t>sourceLinks</t>
        </is>
      </c>
      <c r="C82" s="12" t="n">
        <v>2</v>
      </c>
      <c r="D82" s="12" t="inlineStr">
        <is>
          <t>DOC-003 schedule, PDF p. 15</t>
        </is>
      </c>
      <c r="E82" s="12" t="inlineStr">
        <is>
          <t>../../2024/jama.2024.12829/joi240088supp2_prod_1746815064.36071.pdf#page=15</t>
        </is>
      </c>
    </row>
    <row r="83" ht="90" customFormat="1" customHeight="1" s="8">
      <c r="A83" s="11" t="inlineStr">
        <is>
          <t>2024::jama.2024.12829::C009</t>
        </is>
      </c>
      <c r="B83" s="11" t="inlineStr">
        <is>
          <t>evidencePaths</t>
        </is>
      </c>
      <c r="C83" s="11" t="n">
        <v>0</v>
      </c>
      <c r="D83" s="11" t="inlineStr">
        <is>
          <t>2024/jama.2024.12829/.ai_paper_validation/review_1_5_3/source_inventory.md</t>
        </is>
      </c>
      <c r="E83" s="11" t="inlineStr">
        <is>
          <t>../../2024/jama.2024.12829/.ai_paper_validation/review_1_5_3/source_inventory.md</t>
        </is>
      </c>
    </row>
    <row r="84" ht="90" customFormat="1" customHeight="1" s="8">
      <c r="A84" s="12" t="inlineStr">
        <is>
          <t>2024::jama.2024.12829::C009</t>
        </is>
      </c>
      <c r="B84" s="12" t="inlineStr">
        <is>
          <t>evidencePaths</t>
        </is>
      </c>
      <c r="C84" s="12" t="n">
        <v>1</v>
      </c>
      <c r="D84" s="12" t="inlineStr">
        <is>
          <t>2024/jama.2024.12829/.ai_paper_validation/review_1_5_3/verification/evidence_recheck.md</t>
        </is>
      </c>
      <c r="E84" s="12" t="inlineStr">
        <is>
          <t>../../2024/jama.2024.12829/.ai_paper_validation/review_1_5_3/verification/evidence_recheck.md</t>
        </is>
      </c>
    </row>
    <row r="85" ht="90" customFormat="1" customHeight="1" s="8">
      <c r="A85" s="11" t="inlineStr">
        <is>
          <t>2024::jama.2024.12829::C010</t>
        </is>
      </c>
      <c r="B85" s="11" t="inlineStr">
        <is>
          <t>sourceLinks</t>
        </is>
      </c>
      <c r="C85" s="11" t="n">
        <v>0</v>
      </c>
      <c r="D85" s="11" t="inlineStr">
        <is>
          <t>DOC-003 synopsis, PDF p. 7</t>
        </is>
      </c>
      <c r="E85" s="11" t="inlineStr">
        <is>
          <t>../../2024/jama.2024.12829/joi240088supp2_prod_1746815064.36071.pdf#page=7</t>
        </is>
      </c>
    </row>
    <row r="86" ht="90" customFormat="1" customHeight="1" s="8">
      <c r="A86" s="12" t="inlineStr">
        <is>
          <t>2024::jama.2024.12829::C010</t>
        </is>
      </c>
      <c r="B86" s="12" t="inlineStr">
        <is>
          <t>sourceLinks</t>
        </is>
      </c>
      <c r="C86" s="12" t="n">
        <v>1</v>
      </c>
      <c r="D86" s="12" t="inlineStr">
        <is>
          <t>DOC-003 body eligibility, PDF p. 21</t>
        </is>
      </c>
      <c r="E86" s="12" t="inlineStr">
        <is>
          <t>../../2024/jama.2024.12829/joi240088supp2_prod_1746815064.36071.pdf#page=21</t>
        </is>
      </c>
    </row>
    <row r="87" ht="90" customFormat="1" customHeight="1" s="8">
      <c r="A87" s="11" t="inlineStr">
        <is>
          <t>2024::jama.2024.12829::C010</t>
        </is>
      </c>
      <c r="B87" s="11" t="inlineStr">
        <is>
          <t>evidencePaths</t>
        </is>
      </c>
      <c r="C87" s="11" t="n">
        <v>0</v>
      </c>
      <c r="D87" s="11" t="inlineStr">
        <is>
          <t>2024/jama.2024.12829/.ai_paper_validation/review_1_5_3/source_inventory.md</t>
        </is>
      </c>
      <c r="E87" s="11" t="inlineStr">
        <is>
          <t>../../2024/jama.2024.12829/.ai_paper_validation/review_1_5_3/source_inventory.md</t>
        </is>
      </c>
    </row>
    <row r="88" ht="90" customFormat="1" customHeight="1" s="8">
      <c r="A88" s="12" t="inlineStr">
        <is>
          <t>2024::jama.2024.12829::C010</t>
        </is>
      </c>
      <c r="B88" s="12" t="inlineStr">
        <is>
          <t>evidencePaths</t>
        </is>
      </c>
      <c r="C88" s="12" t="n">
        <v>1</v>
      </c>
      <c r="D88" s="12" t="inlineStr">
        <is>
          <t>2024/jama.2024.12829/.ai_paper_validation/review_1_5_3/verification/evidence_recheck.md</t>
        </is>
      </c>
      <c r="E88" s="12" t="inlineStr">
        <is>
          <t>../../2024/jama.2024.12829/.ai_paper_validation/review_1_5_3/verification/evidence_recheck.md</t>
        </is>
      </c>
    </row>
    <row r="89" ht="90" customFormat="1" customHeight="1" s="8">
      <c r="A89" s="11" t="inlineStr">
        <is>
          <t>2024::jama.2024.12829::C011</t>
        </is>
      </c>
      <c r="B89" s="11" t="inlineStr">
        <is>
          <t>sourceLinks</t>
        </is>
      </c>
      <c r="C89" s="11" t="n">
        <v>0</v>
      </c>
      <c r="D89" s="11" t="inlineStr">
        <is>
          <t>DOC-002 Table S3, PDF p. 16</t>
        </is>
      </c>
      <c r="E89" s="11" t="inlineStr">
        <is>
          <t>../../2024/jama.2024.12829/joi240088supp1_prod_1746815064.21247.pdf#page=16</t>
        </is>
      </c>
    </row>
    <row r="90" ht="90" customFormat="1" customHeight="1" s="8">
      <c r="A90" s="12" t="inlineStr">
        <is>
          <t>2024::jama.2024.12829::C011</t>
        </is>
      </c>
      <c r="B90" s="12" t="inlineStr">
        <is>
          <t>evidencePaths</t>
        </is>
      </c>
      <c r="C90" s="12" t="n">
        <v>0</v>
      </c>
      <c r="D90" s="12" t="inlineStr">
        <is>
          <t>2024/jama.2024.12829/.ai_paper_validation/review_1_5_3/source_inventory.md</t>
        </is>
      </c>
      <c r="E90" s="12" t="inlineStr">
        <is>
          <t>../../2024/jama.2024.12829/.ai_paper_validation/review_1_5_3/source_inventory.md</t>
        </is>
      </c>
    </row>
    <row r="91" ht="90" customFormat="1" customHeight="1" s="8">
      <c r="A91" s="11" t="inlineStr">
        <is>
          <t>2024::jama.2024.12829::C012</t>
        </is>
      </c>
      <c r="B91" s="11" t="inlineStr">
        <is>
          <t>sourceLinks</t>
        </is>
      </c>
      <c r="C91" s="11" t="n">
        <v>0</v>
      </c>
      <c r="D91" s="11" t="inlineStr">
        <is>
          <t>DOC-002 Figure S1, PDF p. 10</t>
        </is>
      </c>
      <c r="E91" s="11" t="inlineStr">
        <is>
          <t>../../2024/jama.2024.12829/joi240088supp1_prod_1746815064.21247.pdf#page=10</t>
        </is>
      </c>
    </row>
    <row r="92" ht="90" customFormat="1" customHeight="1" s="8">
      <c r="A92" s="12" t="inlineStr">
        <is>
          <t>2024::jama.2024.12829::C012</t>
        </is>
      </c>
      <c r="B92" s="12" t="inlineStr">
        <is>
          <t>evidencePaths</t>
        </is>
      </c>
      <c r="C92" s="12" t="n">
        <v>0</v>
      </c>
      <c r="D92" s="12" t="inlineStr">
        <is>
          <t>2024/jama.2024.12829/.ai_paper_validation/review_1_5_3/source_inventory.md</t>
        </is>
      </c>
      <c r="E92" s="12" t="inlineStr">
        <is>
          <t>../../2024/jama.2024.12829/.ai_paper_validation/review_1_5_3/source_inventory.md</t>
        </is>
      </c>
    </row>
    <row r="93" ht="90" customFormat="1" customHeight="1" s="8">
      <c r="A93" s="11" t="inlineStr">
        <is>
          <t>2024::jama.2024.12829::C013</t>
        </is>
      </c>
      <c r="B93" s="11" t="inlineStr">
        <is>
          <t>sourceLinks</t>
        </is>
      </c>
      <c r="C93" s="11" t="n">
        <v>0</v>
      </c>
      <c r="D93" s="11" t="inlineStr">
        <is>
          <t>DOC-003 Protocol V2.0 paragraph, PDF p. 35</t>
        </is>
      </c>
      <c r="E93" s="11" t="inlineStr">
        <is>
          <t>../../2024/jama.2024.12829/joi240088supp2_prod_1746815064.36071.pdf#page=35</t>
        </is>
      </c>
    </row>
    <row r="94" ht="90" customFormat="1" customHeight="1" s="8">
      <c r="A94" s="12" t="inlineStr">
        <is>
          <t>2024::jama.2024.12829::C013</t>
        </is>
      </c>
      <c r="B94" s="12" t="inlineStr">
        <is>
          <t>sourceLinks</t>
        </is>
      </c>
      <c r="C94" s="12" t="n">
        <v>1</v>
      </c>
      <c r="D94" s="12" t="inlineStr">
        <is>
          <t>DOC-003 Protocol V2.3 paragraph, PDF p. 96</t>
        </is>
      </c>
      <c r="E94" s="12" t="inlineStr">
        <is>
          <t>../../2024/jama.2024.12829/joi240088supp2_prod_1746815064.36071.pdf#page=96</t>
        </is>
      </c>
    </row>
    <row r="95" ht="90" customFormat="1" customHeight="1" s="8">
      <c r="A95" s="11" t="inlineStr">
        <is>
          <t>2024::jama.2024.12829::C013</t>
        </is>
      </c>
      <c r="B95" s="11" t="inlineStr">
        <is>
          <t>sourceLinks</t>
        </is>
      </c>
      <c r="C95" s="11" t="n">
        <v>2</v>
      </c>
      <c r="D95" s="11" t="inlineStr">
        <is>
          <t>DOC-003 schedule, PDF p. 15</t>
        </is>
      </c>
      <c r="E95" s="11" t="inlineStr">
        <is>
          <t>../../2024/jama.2024.12829/joi240088supp2_prod_1746815064.36071.pdf#page=15</t>
        </is>
      </c>
    </row>
    <row r="96" ht="90" customFormat="1" customHeight="1" s="8">
      <c r="A96" s="12" t="inlineStr">
        <is>
          <t>2024::jama.2024.12829::C013</t>
        </is>
      </c>
      <c r="B96" s="12" t="inlineStr">
        <is>
          <t>evidencePaths</t>
        </is>
      </c>
      <c r="C96" s="12" t="n">
        <v>0</v>
      </c>
      <c r="D96" s="12" t="inlineStr">
        <is>
          <t>2024/jama.2024.12829/.ai_paper_validation/review_1_5_3/source_inventory.md</t>
        </is>
      </c>
      <c r="E96" s="12" t="inlineStr">
        <is>
          <t>../../2024/jama.2024.12829/.ai_paper_validation/review_1_5_3/source_inventory.md</t>
        </is>
      </c>
    </row>
    <row r="97" ht="90" customFormat="1" customHeight="1" s="8">
      <c r="A97" s="11" t="inlineStr">
        <is>
          <t>2024::jama.2024.12829::C013</t>
        </is>
      </c>
      <c r="B97" s="11" t="inlineStr">
        <is>
          <t>evidencePaths</t>
        </is>
      </c>
      <c r="C97" s="11" t="n">
        <v>1</v>
      </c>
      <c r="D97" s="11" t="inlineStr">
        <is>
          <t>2024/jama.2024.12829/.ai_paper_validation/review_1_5_3/verification/evidence_recheck.md</t>
        </is>
      </c>
      <c r="E97" s="11" t="inlineStr">
        <is>
          <t>../../2024/jama.2024.12829/.ai_paper_validation/review_1_5_3/verification/evidence_recheck.md</t>
        </is>
      </c>
    </row>
    <row r="98" ht="90" customFormat="1" customHeight="1" s="8">
      <c r="A98" s="12" t="inlineStr">
        <is>
          <t>2024::jama.2024.12829::C014</t>
        </is>
      </c>
      <c r="B98" s="12" t="inlineStr">
        <is>
          <t>sourceLinks</t>
        </is>
      </c>
      <c r="C98" s="12" t="n">
        <v>0</v>
      </c>
      <c r="D98" s="12" t="inlineStr">
        <is>
          <t>DOC-002 Table S9, PDF p. 22</t>
        </is>
      </c>
      <c r="E98" s="12" t="inlineStr">
        <is>
          <t>../../2024/jama.2024.12829/joi240088supp1_prod_1746815064.21247.pdf#page=22</t>
        </is>
      </c>
    </row>
    <row r="99" ht="90" customFormat="1" customHeight="1" s="8">
      <c r="A99" s="11" t="inlineStr">
        <is>
          <t>2024::jama.2024.12829::C014</t>
        </is>
      </c>
      <c r="B99" s="11" t="inlineStr">
        <is>
          <t>sourceLinks</t>
        </is>
      </c>
      <c r="C99" s="11" t="n">
        <v>1</v>
      </c>
      <c r="D99" s="11" t="inlineStr">
        <is>
          <t>DOC-002 Table S10, PDF p. 23</t>
        </is>
      </c>
      <c r="E99" s="11" t="inlineStr">
        <is>
          <t>../../2024/jama.2024.12829/joi240088supp1_prod_1746815064.21247.pdf#page=23</t>
        </is>
      </c>
    </row>
    <row r="100" ht="90" customFormat="1" customHeight="1" s="8">
      <c r="A100" s="12" t="inlineStr">
        <is>
          <t>2024::jama.2024.12829::C014</t>
        </is>
      </c>
      <c r="B100" s="12" t="inlineStr">
        <is>
          <t>evidencePaths</t>
        </is>
      </c>
      <c r="C100" s="12" t="n">
        <v>0</v>
      </c>
      <c r="D100" s="12" t="inlineStr">
        <is>
          <t>2024/jama.2024.12829/.ai_paper_validation/review_1_5_3/source_inventory.md</t>
        </is>
      </c>
      <c r="E100" s="12" t="inlineStr">
        <is>
          <t>../../2024/jama.2024.12829/.ai_paper_validation/review_1_5_3/source_inventory.md</t>
        </is>
      </c>
    </row>
    <row r="101" ht="90" customFormat="1" customHeight="1" s="8">
      <c r="A101" s="11" t="inlineStr">
        <is>
          <t>2024::jama.2024.12829::C015</t>
        </is>
      </c>
      <c r="B101" s="11" t="inlineStr">
        <is>
          <t>sourceLinks</t>
        </is>
      </c>
      <c r="C101" s="11" t="n">
        <v>0</v>
      </c>
      <c r="D101" s="11" t="inlineStr">
        <is>
          <t>DOC-001 narrative, PDF p. 4</t>
        </is>
      </c>
      <c r="E101" s="11" t="inlineStr">
        <is>
          <t>../../2024/jama.2024.12829/jama_sun_2024_oi_240088_1746815064.14747.pdf#page=4</t>
        </is>
      </c>
    </row>
    <row r="102" ht="90" customFormat="1" customHeight="1" s="8">
      <c r="A102" s="12" t="inlineStr">
        <is>
          <t>2024::jama.2024.12829::C015</t>
        </is>
      </c>
      <c r="B102" s="12" t="inlineStr">
        <is>
          <t>sourceLinks</t>
        </is>
      </c>
      <c r="C102" s="12" t="n">
        <v>1</v>
      </c>
      <c r="D102" s="12" t="inlineStr">
        <is>
          <t>DOC-001 Figure 1, PDF p. 5</t>
        </is>
      </c>
      <c r="E102" s="12" t="inlineStr">
        <is>
          <t>../../2024/jama.2024.12829/jama_sun_2024_oi_240088_1746815064.14747.pdf#page=5</t>
        </is>
      </c>
    </row>
    <row r="103" ht="90" customFormat="1" customHeight="1" s="8">
      <c r="A103" s="11" t="inlineStr">
        <is>
          <t>2024::jama.2024.12829::C015</t>
        </is>
      </c>
      <c r="B103" s="11" t="inlineStr">
        <is>
          <t>evidencePaths</t>
        </is>
      </c>
      <c r="C103" s="11" t="n">
        <v>0</v>
      </c>
      <c r="D103" s="11" t="inlineStr">
        <is>
          <t>2024/jama.2024.12829/.ai_paper_validation/review_1_5_3/source_inventory.md</t>
        </is>
      </c>
      <c r="E103" s="11" t="inlineStr">
        <is>
          <t>../../2024/jama.2024.12829/.ai_paper_validation/review_1_5_3/source_inventory.md</t>
        </is>
      </c>
    </row>
    <row r="104" ht="90" customFormat="1" customHeight="1" s="8">
      <c r="A104" s="12" t="inlineStr">
        <is>
          <t>2024::jama.2024.12829::C016</t>
        </is>
      </c>
      <c r="B104" s="12" t="inlineStr">
        <is>
          <t>sourceLinks</t>
        </is>
      </c>
      <c r="C104" s="12" t="n">
        <v>0</v>
      </c>
      <c r="D104" s="12" t="inlineStr">
        <is>
          <t>DOC-001 primary narrative, PDF p. 5</t>
        </is>
      </c>
      <c r="E104" s="12" t="inlineStr">
        <is>
          <t>../../2024/jama.2024.12829/jama_sun_2024_oi_240088_1746815064.14747.pdf#page=5</t>
        </is>
      </c>
    </row>
    <row r="105" ht="90" customFormat="1" customHeight="1" s="8">
      <c r="A105" s="11" t="inlineStr">
        <is>
          <t>2024::jama.2024.12829::C016</t>
        </is>
      </c>
      <c r="B105" s="11" t="inlineStr">
        <is>
          <t>sourceLinks</t>
        </is>
      </c>
      <c r="C105" s="11" t="n">
        <v>1</v>
      </c>
      <c r="D105" s="11" t="inlineStr">
        <is>
          <t>DOC-001 Table 2, PDF p. 8</t>
        </is>
      </c>
      <c r="E105" s="11" t="inlineStr">
        <is>
          <t>../../2024/jama.2024.12829/jama_sun_2024_oi_240088_1746815064.14747.pdf#page=8</t>
        </is>
      </c>
    </row>
    <row r="106" ht="90" customFormat="1" customHeight="1" s="8">
      <c r="A106" s="12" t="inlineStr">
        <is>
          <t>2024::jama.2024.12829::C016</t>
        </is>
      </c>
      <c r="B106" s="12" t="inlineStr">
        <is>
          <t>sourceLinks</t>
        </is>
      </c>
      <c r="C106" s="12" t="n">
        <v>2</v>
      </c>
      <c r="D106" s="12" t="inlineStr">
        <is>
          <t>DOC-002 Table S6, PDF p. 19</t>
        </is>
      </c>
      <c r="E106" s="12" t="inlineStr">
        <is>
          <t>../../2024/jama.2024.12829/joi240088supp1_prod_1746815064.21247.pdf#page=19</t>
        </is>
      </c>
    </row>
    <row r="107" ht="90" customFormat="1" customHeight="1" s="8">
      <c r="A107" s="11" t="inlineStr">
        <is>
          <t>2024::jama.2024.12829::C016</t>
        </is>
      </c>
      <c r="B107" s="11" t="inlineStr">
        <is>
          <t>evidencePaths</t>
        </is>
      </c>
      <c r="C107" s="11" t="n">
        <v>0</v>
      </c>
      <c r="D107" s="11" t="inlineStr">
        <is>
          <t>2024/jama.2024.12829/.ai_paper_validation/review_1_5_3/source_inventory.md</t>
        </is>
      </c>
      <c r="E107" s="11" t="inlineStr">
        <is>
          <t>../../2024/jama.2024.12829/.ai_paper_validation/review_1_5_3/source_inventory.md</t>
        </is>
      </c>
    </row>
    <row r="108" ht="90" customFormat="1" customHeight="1" s="8">
      <c r="A108" s="12" t="inlineStr">
        <is>
          <t>2024::jama.2024.12829::C017</t>
        </is>
      </c>
      <c r="B108" s="12" t="inlineStr">
        <is>
          <t>sourceLinks</t>
        </is>
      </c>
      <c r="C108" s="12" t="n">
        <v>0</v>
      </c>
      <c r="D108" s="12" t="inlineStr">
        <is>
          <t>DOC-001 Table 2, PDF p. 8</t>
        </is>
      </c>
      <c r="E108" s="12" t="inlineStr">
        <is>
          <t>../../2024/jama.2024.12829/jama_sun_2024_oi_240088_1746815064.14747.pdf#page=8</t>
        </is>
      </c>
    </row>
    <row r="109" ht="90" customFormat="1" customHeight="1" s="8">
      <c r="A109" s="11" t="inlineStr">
        <is>
          <t>2024::jama.2024.12829::C017</t>
        </is>
      </c>
      <c r="B109" s="11" t="inlineStr">
        <is>
          <t>evidencePaths</t>
        </is>
      </c>
      <c r="C109" s="11" t="n">
        <v>0</v>
      </c>
      <c r="D109" s="11" t="inlineStr">
        <is>
          <t>2024/jama.2024.12829/.ai_paper_validation/review_1_5_3/source_inventory.md</t>
        </is>
      </c>
      <c r="E109" s="11" t="inlineStr">
        <is>
          <t>../../2024/jama.2024.12829/.ai_paper_validation/review_1_5_3/source_inventory.md</t>
        </is>
      </c>
    </row>
    <row r="110" ht="90" customFormat="1" customHeight="1" s="8">
      <c r="A110" s="12" t="inlineStr">
        <is>
          <t>2024::jama.2024.19585::C001</t>
        </is>
      </c>
      <c r="B110" s="12" t="inlineStr">
        <is>
          <t>sourceLinks</t>
        </is>
      </c>
      <c r="C110" s="12" t="n">
        <v>0</v>
      </c>
      <c r="D110" s="12" t="inlineStr">
        <is>
          <t>jama_dupuis_2024_oi_240111_1733431204.38761.pdf — Figure 1, PDF p. 5</t>
        </is>
      </c>
      <c r="E110" s="12" t="inlineStr">
        <is>
          <t>../../2024/jama.2024.19585/jama_dupuis_2024_oi_240111_1733431204.38761.pdf#page=5</t>
        </is>
      </c>
    </row>
    <row r="111" ht="90" customFormat="1" customHeight="1" s="8">
      <c r="A111" s="11" t="inlineStr">
        <is>
          <t>2024::jama.2024.19585::C001</t>
        </is>
      </c>
      <c r="B111" s="11" t="inlineStr">
        <is>
          <t>evidencePaths</t>
        </is>
      </c>
      <c r="C111" s="11" t="n">
        <v>0</v>
      </c>
      <c r="D111" s="11" t="inlineStr">
        <is>
          <t>2024/jama.2024.19585/.ai_paper_validation/review_1_5_3/source_inventory.md</t>
        </is>
      </c>
      <c r="E111" s="11" t="inlineStr">
        <is>
          <t>../../2024/jama.2024.19585/.ai_paper_validation/review_1_5_3/source_inventory.md</t>
        </is>
      </c>
    </row>
    <row r="112" ht="90" customFormat="1" customHeight="1" s="8">
      <c r="A112" s="12" t="inlineStr">
        <is>
          <t>2024::jama.2024.19585::C001</t>
        </is>
      </c>
      <c r="B112" s="12" t="inlineStr">
        <is>
          <t>evidencePaths</t>
        </is>
      </c>
      <c r="C112" s="12" t="n">
        <v>1</v>
      </c>
      <c r="D112" s="12" t="inlineStr">
        <is>
          <t>2024/jama.2024.19585/.ai_paper_validation/review_1_5_3/verification/evidence_recheck.md</t>
        </is>
      </c>
      <c r="E112" s="12" t="inlineStr">
        <is>
          <t>../../2024/jama.2024.19585/.ai_paper_validation/review_1_5_3/verification/evidence_recheck.md</t>
        </is>
      </c>
    </row>
    <row r="113" ht="90" customFormat="1" customHeight="1" s="8">
      <c r="A113" s="11" t="inlineStr">
        <is>
          <t>2024::jama.2024.19585::C002</t>
        </is>
      </c>
      <c r="B113" s="11" t="inlineStr">
        <is>
          <t>sourceLinks</t>
        </is>
      </c>
      <c r="C113" s="11" t="n">
        <v>0</v>
      </c>
      <c r="D113" s="11" t="inlineStr">
        <is>
          <t>jama_dupuis_2024_oi_240111_1733431204.38761.pdf — narrative, PDF p. 2</t>
        </is>
      </c>
      <c r="E113" s="11" t="inlineStr">
        <is>
          <t>../../2024/jama.2024.19585/jama_dupuis_2024_oi_240111_1733431204.38761.pdf#page=2</t>
        </is>
      </c>
    </row>
    <row r="114" ht="90" customFormat="1" customHeight="1" s="8">
      <c r="A114" s="12" t="inlineStr">
        <is>
          <t>2024::jama.2024.19585::C002</t>
        </is>
      </c>
      <c r="B114" s="12" t="inlineStr">
        <is>
          <t>sourceLinks</t>
        </is>
      </c>
      <c r="C114" s="12" t="n">
        <v>1</v>
      </c>
      <c r="D114" s="12" t="inlineStr">
        <is>
          <t>joi240111supp2_prod_1733431204.76024.pdf — eTable 3, PDF p. 6</t>
        </is>
      </c>
      <c r="E114" s="12" t="inlineStr">
        <is>
          <t>../../2024/jama.2024.19585/joi240111supp2_prod_1733431204.76024.pdf#page=6</t>
        </is>
      </c>
    </row>
    <row r="115" ht="90" customFormat="1" customHeight="1" s="8">
      <c r="A115" s="11" t="inlineStr">
        <is>
          <t>2024::jama.2024.19585::C002</t>
        </is>
      </c>
      <c r="B115" s="11" t="inlineStr">
        <is>
          <t>evidencePaths</t>
        </is>
      </c>
      <c r="C115" s="11" t="n">
        <v>0</v>
      </c>
      <c r="D115" s="11" t="inlineStr">
        <is>
          <t>2024/jama.2024.19585/.ai_paper_validation/review_1_5_3/source_inventory.md</t>
        </is>
      </c>
      <c r="E115" s="11" t="inlineStr">
        <is>
          <t>../../2024/jama.2024.19585/.ai_paper_validation/review_1_5_3/source_inventory.md</t>
        </is>
      </c>
    </row>
    <row r="116" ht="90" customFormat="1" customHeight="1" s="8">
      <c r="A116" s="12" t="inlineStr">
        <is>
          <t>2024::jama.2024.19585::C003</t>
        </is>
      </c>
      <c r="B116" s="12" t="inlineStr">
        <is>
          <t>sourceLinks</t>
        </is>
      </c>
      <c r="C116" s="12" t="n">
        <v>0</v>
      </c>
      <c r="D116" s="12" t="inlineStr">
        <is>
          <t>joi240111supp2_prod_1733431204.76024.pdf — eTable 10 start, PDF p. 13</t>
        </is>
      </c>
      <c r="E116" s="12" t="inlineStr">
        <is>
          <t>../../2024/jama.2024.19585/joi240111supp2_prod_1733431204.76024.pdf#page=13</t>
        </is>
      </c>
    </row>
    <row r="117" ht="90" customFormat="1" customHeight="1" s="8">
      <c r="A117" s="11" t="inlineStr">
        <is>
          <t>2024::jama.2024.19585::C003</t>
        </is>
      </c>
      <c r="B117" s="11" t="inlineStr">
        <is>
          <t>sourceLinks</t>
        </is>
      </c>
      <c r="C117" s="11" t="n">
        <v>1</v>
      </c>
      <c r="D117" s="11" t="inlineStr">
        <is>
          <t>joi240111supp2_prod_1733431204.76024.pdf — eTable 10 continued values, PDF p. 14</t>
        </is>
      </c>
      <c r="E117" s="11" t="inlineStr">
        <is>
          <t>../../2024/jama.2024.19585/joi240111supp2_prod_1733431204.76024.pdf#page=14</t>
        </is>
      </c>
    </row>
    <row r="118" ht="90" customFormat="1" customHeight="1" s="8">
      <c r="A118" s="12" t="inlineStr">
        <is>
          <t>2024::jama.2024.19585::C003</t>
        </is>
      </c>
      <c r="B118" s="12" t="inlineStr">
        <is>
          <t>sourceLinks</t>
        </is>
      </c>
      <c r="C118" s="12" t="n">
        <v>2</v>
      </c>
      <c r="D118" s="12" t="inlineStr">
        <is>
          <t>joi240111supp2_prod_1733431204.76024.pdf — eTable 10 footnote, PDF p. 15</t>
        </is>
      </c>
      <c r="E118" s="12" t="inlineStr">
        <is>
          <t>../../2024/jama.2024.19585/joi240111supp2_prod_1733431204.76024.pdf#page=15</t>
        </is>
      </c>
    </row>
    <row r="119" ht="90" customFormat="1" customHeight="1" s="8">
      <c r="A119" s="11" t="inlineStr">
        <is>
          <t>2024::jama.2024.19585::C003</t>
        </is>
      </c>
      <c r="B119" s="11" t="inlineStr">
        <is>
          <t>sourceLinks</t>
        </is>
      </c>
      <c r="C119" s="11" t="n">
        <v>3</v>
      </c>
      <c r="D119" s="11" t="inlineStr">
        <is>
          <t>joi240111supp2_prod_1733431204.76024.pdf — eMethods, PDF p. 22</t>
        </is>
      </c>
      <c r="E119" s="11" t="inlineStr">
        <is>
          <t>../../2024/jama.2024.19585/joi240111supp2_prod_1733431204.76024.pdf#page=22</t>
        </is>
      </c>
    </row>
    <row r="120" ht="90" customFormat="1" customHeight="1" s="8">
      <c r="A120" s="12" t="inlineStr">
        <is>
          <t>2024::jama.2024.19585::C003</t>
        </is>
      </c>
      <c r="B120" s="12" t="inlineStr">
        <is>
          <t>evidencePaths</t>
        </is>
      </c>
      <c r="C120" s="12" t="n">
        <v>0</v>
      </c>
      <c r="D120" s="12" t="inlineStr">
        <is>
          <t>2024/jama.2024.19585/.ai_paper_validation/review_1_5_3/source_inventory.md</t>
        </is>
      </c>
      <c r="E120" s="12" t="inlineStr">
        <is>
          <t>../../2024/jama.2024.19585/.ai_paper_validation/review_1_5_3/source_inventory.md</t>
        </is>
      </c>
    </row>
    <row r="121" ht="90" customFormat="1" customHeight="1" s="8">
      <c r="A121" s="11" t="inlineStr">
        <is>
          <t>2024::jama.2024.2302::C001</t>
        </is>
      </c>
      <c r="B121" s="11" t="inlineStr">
        <is>
          <t>sourceLinks</t>
        </is>
      </c>
      <c r="C121" s="11" t="n">
        <v>0</v>
      </c>
      <c r="D121" s="11" t="inlineStr">
        <is>
          <t>main article — PDF p. 6</t>
        </is>
      </c>
      <c r="E121" s="11" t="inlineStr">
        <is>
          <t>../../2024/jama.2024.2302/jama_blakely_2024_oi_240020_1710443209.74411.pdf#page=6</t>
        </is>
      </c>
    </row>
    <row r="122" ht="90" customFormat="1" customHeight="1" s="8">
      <c r="A122" s="12" t="inlineStr">
        <is>
          <t>2024::jama.2024.2302::C001</t>
        </is>
      </c>
      <c r="B122" s="12" t="inlineStr">
        <is>
          <t>sourceLinks</t>
        </is>
      </c>
      <c r="C122" s="12" t="n">
        <v>1</v>
      </c>
      <c r="D122" s="12" t="inlineStr">
        <is>
          <t>results supplement — PDF p. 5</t>
        </is>
      </c>
      <c r="E122" s="12" t="inlineStr">
        <is>
          <t>../../2024/jama.2024.2302/joi240020supp3_prod_1710443209.75411.pdf#page=5</t>
        </is>
      </c>
    </row>
    <row r="123" ht="90" customFormat="1" customHeight="1" s="8">
      <c r="A123" s="11" t="inlineStr">
        <is>
          <t>2024::jama.2024.2302::C001</t>
        </is>
      </c>
      <c r="B123" s="11" t="inlineStr">
        <is>
          <t>sourceLinks</t>
        </is>
      </c>
      <c r="C123" s="11" t="n">
        <v>2</v>
      </c>
      <c r="D123" s="11" t="inlineStr">
        <is>
          <t>protocol — PDF p. 2</t>
        </is>
      </c>
      <c r="E123" s="11" t="inlineStr">
        <is>
          <t>../../2024/jama.2024.2302/joi240020supp1_prod_1710443209.74911.pdf#page=2</t>
        </is>
      </c>
    </row>
    <row r="124" ht="90" customFormat="1" customHeight="1" s="8">
      <c r="A124" s="12" t="inlineStr">
        <is>
          <t>2024::jama.2024.2302::C001</t>
        </is>
      </c>
      <c r="B124" s="12" t="inlineStr">
        <is>
          <t>sourceLinks</t>
        </is>
      </c>
      <c r="C124" s="12" t="n">
        <v>3</v>
      </c>
      <c r="D124" s="12" t="inlineStr">
        <is>
          <t>SAP — PDF p. 4</t>
        </is>
      </c>
      <c r="E124" s="12" t="inlineStr">
        <is>
          <t>../../2024/jama.2024.2302/joi240020supp2_prod_1710443209.75411.pdf#page=4</t>
        </is>
      </c>
    </row>
    <row r="125" ht="90" customFormat="1" customHeight="1" s="8">
      <c r="A125" s="11" t="inlineStr">
        <is>
          <t>2024::jama.2024.2302::C001</t>
        </is>
      </c>
      <c r="B125" s="11" t="inlineStr">
        <is>
          <t>evidencePaths</t>
        </is>
      </c>
      <c r="C125" s="11" t="n">
        <v>0</v>
      </c>
      <c r="D125" s="11" t="inlineStr">
        <is>
          <t>2024/jama.2024.2302/.ai_paper_validation/review_1_5_3/source_inventory.md</t>
        </is>
      </c>
      <c r="E125" s="11" t="inlineStr">
        <is>
          <t>../../2024/jama.2024.2302/.ai_paper_validation/review_1_5_3/source_inventory.md</t>
        </is>
      </c>
    </row>
    <row r="126" ht="90" customFormat="1" customHeight="1" s="8">
      <c r="A126" s="12" t="inlineStr">
        <is>
          <t>2024::jama.2024.2302::C001</t>
        </is>
      </c>
      <c r="B126" s="12" t="inlineStr">
        <is>
          <t>evidencePaths</t>
        </is>
      </c>
      <c r="C126" s="12" t="n">
        <v>1</v>
      </c>
      <c r="D126" s="12" t="inlineStr">
        <is>
          <t>2024/jama.2024.2302/.ai_paper_validation/review_1_5_3/verification/evidence_recheck.md</t>
        </is>
      </c>
      <c r="E126" s="12" t="inlineStr">
        <is>
          <t>../../2024/jama.2024.2302/.ai_paper_validation/review_1_5_3/verification/evidence_recheck.md</t>
        </is>
      </c>
    </row>
    <row r="127" ht="90" customFormat="1" customHeight="1" s="8">
      <c r="A127" s="11" t="inlineStr">
        <is>
          <t>2024::jama.2024.2302::C002</t>
        </is>
      </c>
      <c r="B127" s="11" t="inlineStr">
        <is>
          <t>sourceLinks</t>
        </is>
      </c>
      <c r="C127" s="11" t="n">
        <v>0</v>
      </c>
      <c r="D127" s="11" t="inlineStr">
        <is>
          <t>protocol — PDF p. 3</t>
        </is>
      </c>
      <c r="E127" s="11" t="inlineStr">
        <is>
          <t>../../2024/jama.2024.2302/joi240020supp1_prod_1710443209.74911.pdf#page=3</t>
        </is>
      </c>
    </row>
    <row r="128" ht="90" customFormat="1" customHeight="1" s="8">
      <c r="A128" s="12" t="inlineStr">
        <is>
          <t>2024::jama.2024.2302::C002</t>
        </is>
      </c>
      <c r="B128" s="12" t="inlineStr">
        <is>
          <t>sourceLinks</t>
        </is>
      </c>
      <c r="C128" s="12" t="n">
        <v>1</v>
      </c>
      <c r="D128" s="12" t="inlineStr">
        <is>
          <t>protocol — PDF p. 12</t>
        </is>
      </c>
      <c r="E128" s="12" t="inlineStr">
        <is>
          <t>../../2024/jama.2024.2302/joi240020supp1_prod_1710443209.74911.pdf#page=12</t>
        </is>
      </c>
    </row>
    <row r="129" ht="90" customFormat="1" customHeight="1" s="8">
      <c r="A129" s="11" t="inlineStr">
        <is>
          <t>2024::jama.2024.2302::C002</t>
        </is>
      </c>
      <c r="B129" s="11" t="inlineStr">
        <is>
          <t>sourceLinks</t>
        </is>
      </c>
      <c r="C129" s="11" t="n">
        <v>2</v>
      </c>
      <c r="D129" s="11" t="inlineStr">
        <is>
          <t>SAP — PDF p. 3</t>
        </is>
      </c>
      <c r="E129" s="11" t="inlineStr">
        <is>
          <t>../../2024/jama.2024.2302/joi240020supp2_prod_1710443209.75411.pdf#page=3</t>
        </is>
      </c>
    </row>
    <row r="130" ht="90" customFormat="1" customHeight="1" s="8">
      <c r="A130" s="12" t="inlineStr">
        <is>
          <t>2024::jama.2024.2302::C002</t>
        </is>
      </c>
      <c r="B130" s="12" t="inlineStr">
        <is>
          <t>evidencePaths</t>
        </is>
      </c>
      <c r="C130" s="12" t="n">
        <v>0</v>
      </c>
      <c r="D130" s="12" t="inlineStr">
        <is>
          <t>2024/jama.2024.2302/.ai_paper_validation/review_1_5_3/source_inventory.md</t>
        </is>
      </c>
      <c r="E130" s="12" t="inlineStr">
        <is>
          <t>../../2024/jama.2024.2302/.ai_paper_validation/review_1_5_3/source_inventory.md</t>
        </is>
      </c>
    </row>
    <row r="131" ht="90" customFormat="1" customHeight="1" s="8">
      <c r="A131" s="11" t="inlineStr">
        <is>
          <t>2024::jama.2024.2302::C002</t>
        </is>
      </c>
      <c r="B131" s="11" t="inlineStr">
        <is>
          <t>evidencePaths</t>
        </is>
      </c>
      <c r="C131" s="11" t="n">
        <v>1</v>
      </c>
      <c r="D131" s="11" t="inlineStr">
        <is>
          <t>2024/jama.2024.2302/.ai_paper_validation/review_1_5_3/verification/evidence_recheck.md</t>
        </is>
      </c>
      <c r="E131" s="11" t="inlineStr">
        <is>
          <t>../../2024/jama.2024.2302/.ai_paper_validation/review_1_5_3/verification/evidence_recheck.md</t>
        </is>
      </c>
    </row>
    <row r="132" ht="90" customFormat="1" customHeight="1" s="8">
      <c r="A132" s="12" t="inlineStr">
        <is>
          <t>2024::jama.2024.2302::C003</t>
        </is>
      </c>
      <c r="B132" s="12" t="inlineStr">
        <is>
          <t>sourceLinks</t>
        </is>
      </c>
      <c r="C132" s="12" t="n">
        <v>0</v>
      </c>
      <c r="D132" s="12" t="inlineStr">
        <is>
          <t>main article — PDF p. 4</t>
        </is>
      </c>
      <c r="E132" s="12" t="inlineStr">
        <is>
          <t>../../2024/jama.2024.2302/jama_blakely_2024_oi_240020_1710443209.74411.pdf#page=4</t>
        </is>
      </c>
    </row>
    <row r="133" ht="90" customFormat="1" customHeight="1" s="8">
      <c r="A133" s="11" t="inlineStr">
        <is>
          <t>2024::jama.2024.2302::C003</t>
        </is>
      </c>
      <c r="B133" s="11" t="inlineStr">
        <is>
          <t>sourceLinks</t>
        </is>
      </c>
      <c r="C133" s="11" t="n">
        <v>1</v>
      </c>
      <c r="D133" s="11" t="inlineStr">
        <is>
          <t>SAP — PDF p. 8</t>
        </is>
      </c>
      <c r="E133" s="11" t="inlineStr">
        <is>
          <t>../../2024/jama.2024.2302/joi240020supp2_prod_1710443209.75411.pdf#page=8</t>
        </is>
      </c>
    </row>
    <row r="134" ht="90" customFormat="1" customHeight="1" s="8">
      <c r="A134" s="12" t="inlineStr">
        <is>
          <t>2024::jama.2024.2302::C003</t>
        </is>
      </c>
      <c r="B134" s="12" t="inlineStr">
        <is>
          <t>evidencePaths</t>
        </is>
      </c>
      <c r="C134" s="12" t="n">
        <v>0</v>
      </c>
      <c r="D134" s="12" t="inlineStr">
        <is>
          <t>2024/jama.2024.2302/.ai_paper_validation/review_1_5_3/source_inventory.md</t>
        </is>
      </c>
      <c r="E134" s="12" t="inlineStr">
        <is>
          <t>../../2024/jama.2024.2302/.ai_paper_validation/review_1_5_3/source_inventory.md</t>
        </is>
      </c>
    </row>
    <row r="135" ht="90" customFormat="1" customHeight="1" s="8">
      <c r="A135" s="11" t="inlineStr">
        <is>
          <t>2024::jama.2024.2302::C003</t>
        </is>
      </c>
      <c r="B135" s="11" t="inlineStr">
        <is>
          <t>evidencePaths</t>
        </is>
      </c>
      <c r="C135" s="11" t="n">
        <v>1</v>
      </c>
      <c r="D135" s="11" t="inlineStr">
        <is>
          <t>2024/jama.2024.2302/.ai_paper_validation/review_1_5_3/verification/evidence_recheck.md</t>
        </is>
      </c>
      <c r="E135" s="11" t="inlineStr">
        <is>
          <t>../../2024/jama.2024.2302/.ai_paper_validation/review_1_5_3/verification/evidence_recheck.md</t>
        </is>
      </c>
    </row>
    <row r="136" ht="90" customFormat="1" customHeight="1" s="8">
      <c r="A136" s="12" t="inlineStr">
        <is>
          <t>2024::jama.2024.2302::C004</t>
        </is>
      </c>
      <c r="B136" s="12" t="inlineStr">
        <is>
          <t>sourceLinks</t>
        </is>
      </c>
      <c r="C136" s="12" t="n">
        <v>0</v>
      </c>
      <c r="D136" s="12" t="inlineStr">
        <is>
          <t>main article — PDF p. 8</t>
        </is>
      </c>
      <c r="E136" s="12" t="inlineStr">
        <is>
          <t>../../2024/jama.2024.2302/jama_blakely_2024_oi_240020_1710443209.74411.pdf#page=8</t>
        </is>
      </c>
    </row>
    <row r="137" ht="90" customFormat="1" customHeight="1" s="8">
      <c r="A137" s="11" t="inlineStr">
        <is>
          <t>2024::jama.2024.2302::C004</t>
        </is>
      </c>
      <c r="B137" s="11" t="inlineStr">
        <is>
          <t>sourceLinks</t>
        </is>
      </c>
      <c r="C137" s="11" t="n">
        <v>1</v>
      </c>
      <c r="D137" s="11" t="inlineStr">
        <is>
          <t>SAP — PDF p. 3</t>
        </is>
      </c>
      <c r="E137" s="11" t="inlineStr">
        <is>
          <t>../../2024/jama.2024.2302/joi240020supp2_prod_1710443209.75411.pdf#page=3</t>
        </is>
      </c>
    </row>
    <row r="138" ht="90" customFormat="1" customHeight="1" s="8">
      <c r="A138" s="12" t="inlineStr">
        <is>
          <t>2024::jama.2024.2302::C004</t>
        </is>
      </c>
      <c r="B138" s="12" t="inlineStr">
        <is>
          <t>sourceLinks</t>
        </is>
      </c>
      <c r="C138" s="12" t="n">
        <v>2</v>
      </c>
      <c r="D138" s="12" t="inlineStr">
        <is>
          <t>SAP — PDF p. 8</t>
        </is>
      </c>
      <c r="E138" s="12" t="inlineStr">
        <is>
          <t>../../2024/jama.2024.2302/joi240020supp2_prod_1710443209.75411.pdf#page=8</t>
        </is>
      </c>
    </row>
    <row r="139" ht="90" customFormat="1" customHeight="1" s="8">
      <c r="A139" s="11" t="inlineStr">
        <is>
          <t>2024::jama.2024.2302::C004</t>
        </is>
      </c>
      <c r="B139" s="11" t="inlineStr">
        <is>
          <t>sourceLinks</t>
        </is>
      </c>
      <c r="C139" s="11" t="n">
        <v>3</v>
      </c>
      <c r="D139" s="11" t="inlineStr">
        <is>
          <t>SAP — PDF p. 9</t>
        </is>
      </c>
      <c r="E139" s="11" t="inlineStr">
        <is>
          <t>../../2024/jama.2024.2302/joi240020supp2_prod_1710443209.75411.pdf#page=9</t>
        </is>
      </c>
    </row>
    <row r="140" ht="90" customFormat="1" customHeight="1" s="8">
      <c r="A140" s="12" t="inlineStr">
        <is>
          <t>2024::jama.2024.2302::C004</t>
        </is>
      </c>
      <c r="B140" s="12" t="inlineStr">
        <is>
          <t>evidencePaths</t>
        </is>
      </c>
      <c r="C140" s="12" t="n">
        <v>0</v>
      </c>
      <c r="D140" s="12" t="inlineStr">
        <is>
          <t>2024/jama.2024.2302/.ai_paper_validation/review_1_5_3/source_inventory.md</t>
        </is>
      </c>
      <c r="E140" s="12" t="inlineStr">
        <is>
          <t>../../2024/jama.2024.2302/.ai_paper_validation/review_1_5_3/source_inventory.md</t>
        </is>
      </c>
    </row>
    <row r="141" ht="90" customFormat="1" customHeight="1" s="8">
      <c r="A141" s="11" t="inlineStr">
        <is>
          <t>2024::jama.2024.2302::C004</t>
        </is>
      </c>
      <c r="B141" s="11" t="inlineStr">
        <is>
          <t>evidencePaths</t>
        </is>
      </c>
      <c r="C141" s="11" t="n">
        <v>1</v>
      </c>
      <c r="D141" s="11" t="inlineStr">
        <is>
          <t>2024/jama.2024.2302/.ai_paper_validation/review_1_5_3/verification/evidence_recheck.md</t>
        </is>
      </c>
      <c r="E141" s="11" t="inlineStr">
        <is>
          <t>../../2024/jama.2024.2302/.ai_paper_validation/review_1_5_3/verification/evidence_recheck.md</t>
        </is>
      </c>
    </row>
    <row r="142" ht="90" customFormat="1" customHeight="1" s="8">
      <c r="A142" s="12" t="inlineStr">
        <is>
          <t>2024::jama.2024.2302::C005</t>
        </is>
      </c>
      <c r="B142" s="12" t="inlineStr">
        <is>
          <t>sourceLinks</t>
        </is>
      </c>
      <c r="C142" s="12" t="n">
        <v>0</v>
      </c>
      <c r="D142" s="12" t="inlineStr">
        <is>
          <t>protocol — PDF p. 3</t>
        </is>
      </c>
      <c r="E142" s="12" t="inlineStr">
        <is>
          <t>../../2024/jama.2024.2302/joi240020supp1_prod_1710443209.74911.pdf#page=3</t>
        </is>
      </c>
    </row>
    <row r="143" ht="90" customFormat="1" customHeight="1" s="8">
      <c r="A143" s="11" t="inlineStr">
        <is>
          <t>2024::jama.2024.2302::C005</t>
        </is>
      </c>
      <c r="B143" s="11" t="inlineStr">
        <is>
          <t>sourceLinks</t>
        </is>
      </c>
      <c r="C143" s="11" t="n">
        <v>1</v>
      </c>
      <c r="D143" s="11" t="inlineStr">
        <is>
          <t>protocol — PDF p. 11</t>
        </is>
      </c>
      <c r="E143" s="11" t="inlineStr">
        <is>
          <t>../../2024/jama.2024.2302/joi240020supp1_prod_1710443209.74911.pdf#page=11</t>
        </is>
      </c>
    </row>
    <row r="144" ht="90" customFormat="1" customHeight="1" s="8">
      <c r="A144" s="12" t="inlineStr">
        <is>
          <t>2024::jama.2024.2302::C005</t>
        </is>
      </c>
      <c r="B144" s="12" t="inlineStr">
        <is>
          <t>sourceLinks</t>
        </is>
      </c>
      <c r="C144" s="12" t="n">
        <v>2</v>
      </c>
      <c r="D144" s="12" t="inlineStr">
        <is>
          <t>SAP — PDF p. 7</t>
        </is>
      </c>
      <c r="E144" s="12" t="inlineStr">
        <is>
          <t>../../2024/jama.2024.2302/joi240020supp2_prod_1710443209.75411.pdf#page=7</t>
        </is>
      </c>
    </row>
    <row r="145" ht="90" customFormat="1" customHeight="1" s="8">
      <c r="A145" s="11" t="inlineStr">
        <is>
          <t>2024::jama.2024.2302::C005</t>
        </is>
      </c>
      <c r="B145" s="11" t="inlineStr">
        <is>
          <t>sourceLinks</t>
        </is>
      </c>
      <c r="C145" s="11" t="n">
        <v>3</v>
      </c>
      <c r="D145" s="11" t="inlineStr">
        <is>
          <t>main article — PDF p. 3</t>
        </is>
      </c>
      <c r="E145" s="11" t="inlineStr">
        <is>
          <t>../../2024/jama.2024.2302/jama_blakely_2024_oi_240020_1710443209.74411.pdf#page=3</t>
        </is>
      </c>
    </row>
    <row r="146" ht="90" customFormat="1" customHeight="1" s="8">
      <c r="A146" s="12" t="inlineStr">
        <is>
          <t>2024::jama.2024.2302::C005</t>
        </is>
      </c>
      <c r="B146" s="12" t="inlineStr">
        <is>
          <t>sourceLinks</t>
        </is>
      </c>
      <c r="C146" s="12" t="n">
        <v>4</v>
      </c>
      <c r="D146" s="12" t="inlineStr">
        <is>
          <t>Main article — PDF p. 6</t>
        </is>
      </c>
      <c r="E146" s="12" t="inlineStr">
        <is>
          <t>../../2024/jama.2024.2302/jama_blakely_2024_oi_240020_1710443209.74411.pdf#page=6</t>
        </is>
      </c>
    </row>
    <row r="147" ht="90" customFormat="1" customHeight="1" s="8">
      <c r="A147" s="11" t="inlineStr">
        <is>
          <t>2024::jama.2024.2302::C005</t>
        </is>
      </c>
      <c r="B147" s="11" t="inlineStr">
        <is>
          <t>evidencePaths</t>
        </is>
      </c>
      <c r="C147" s="11" t="n">
        <v>0</v>
      </c>
      <c r="D147" s="11" t="inlineStr">
        <is>
          <t>2024/jama.2024.2302/.ai_paper_validation/review_1_5_3/source_inventory.md</t>
        </is>
      </c>
      <c r="E147" s="11" t="inlineStr">
        <is>
          <t>../../2024/jama.2024.2302/.ai_paper_validation/review_1_5_3/source_inventory.md</t>
        </is>
      </c>
    </row>
    <row r="148" ht="90" customFormat="1" customHeight="1" s="8">
      <c r="A148" s="12" t="inlineStr">
        <is>
          <t>2024::jama.2024.2302::C005</t>
        </is>
      </c>
      <c r="B148" s="12" t="inlineStr">
        <is>
          <t>evidencePaths</t>
        </is>
      </c>
      <c r="C148" s="12" t="n">
        <v>1</v>
      </c>
      <c r="D148" s="12" t="inlineStr">
        <is>
          <t>2024/jama.2024.2302/.ai_paper_validation/review_1_5_3/verification/evidence_recheck.md</t>
        </is>
      </c>
      <c r="E148" s="12" t="inlineStr">
        <is>
          <t>../../2024/jama.2024.2302/.ai_paper_validation/review_1_5_3/verification/evidence_recheck.md</t>
        </is>
      </c>
    </row>
    <row r="149" ht="90" customFormat="1" customHeight="1" s="8">
      <c r="A149" s="11" t="inlineStr">
        <is>
          <t>2024::jama.2024.23898::C001</t>
        </is>
      </c>
      <c r="B149" s="11" t="inlineStr">
        <is>
          <t>sourceLinks</t>
        </is>
      </c>
      <c r="C149" s="11" t="n">
        <v>0</v>
      </c>
      <c r="D149" s="11" t="inlineStr">
        <is>
          <t>main article — PDF p. 1</t>
        </is>
      </c>
      <c r="E149" s="11" t="inlineStr">
        <is>
          <t>../../2024/jama.2024.23898/jama_paterson_2024_oi_240139_1741633738.12862.pdf#page=1</t>
        </is>
      </c>
    </row>
    <row r="150" ht="90" customFormat="1" customHeight="1" s="8">
      <c r="A150" s="12" t="inlineStr">
        <is>
          <t>2024::jama.2024.23898::C001</t>
        </is>
      </c>
      <c r="B150" s="12" t="inlineStr">
        <is>
          <t>sourceLinks</t>
        </is>
      </c>
      <c r="C150" s="12" t="n">
        <v>1</v>
      </c>
      <c r="D150" s="12" t="inlineStr">
        <is>
          <t>main article — PDF p. 5</t>
        </is>
      </c>
      <c r="E150" s="12" t="inlineStr">
        <is>
          <t>../../2024/jama.2024.23898/jama_paterson_2024_oi_240139_1741633738.12862.pdf#page=5</t>
        </is>
      </c>
    </row>
    <row r="151" ht="90" customFormat="1" customHeight="1" s="8">
      <c r="A151" s="11" t="inlineStr">
        <is>
          <t>2024::jama.2024.23898::C001</t>
        </is>
      </c>
      <c r="B151" s="11" t="inlineStr">
        <is>
          <t>sourceLinks</t>
        </is>
      </c>
      <c r="C151" s="11" t="n">
        <v>2</v>
      </c>
      <c r="D151" s="11" t="inlineStr">
        <is>
          <t>main article — PDF p. 6</t>
        </is>
      </c>
      <c r="E151" s="11" t="inlineStr">
        <is>
          <t>../../2024/jama.2024.23898/jama_paterson_2024_oi_240139_1741633738.12862.pdf#page=6</t>
        </is>
      </c>
    </row>
    <row r="152" ht="90" customFormat="1" customHeight="1" s="8">
      <c r="A152" s="12" t="inlineStr">
        <is>
          <t>2024::jama.2024.23898::C001</t>
        </is>
      </c>
      <c r="B152" s="12" t="inlineStr">
        <is>
          <t>sourceLinks</t>
        </is>
      </c>
      <c r="C152" s="12" t="n">
        <v>3</v>
      </c>
      <c r="D152" s="12" t="inlineStr">
        <is>
          <t>SAP — PDF p. 9</t>
        </is>
      </c>
      <c r="E152" s="12" t="inlineStr">
        <is>
          <t>../../2024/jama.2024.23898/joi240139supp2_prod_1741633738.17362.pdf#page=9</t>
        </is>
      </c>
    </row>
    <row r="153" ht="90" customFormat="1" customHeight="1" s="8">
      <c r="A153" s="11" t="inlineStr">
        <is>
          <t>2024::jama.2024.23898::C001</t>
        </is>
      </c>
      <c r="B153" s="11" t="inlineStr">
        <is>
          <t>evidencePaths</t>
        </is>
      </c>
      <c r="C153" s="11" t="n">
        <v>0</v>
      </c>
      <c r="D153" s="11" t="inlineStr">
        <is>
          <t>2024/jama.2024.23898/.ai_paper_validation/review_1_5_3/source_inventory.md</t>
        </is>
      </c>
      <c r="E153" s="11" t="inlineStr">
        <is>
          <t>../../2024/jama.2024.23898/.ai_paper_validation/review_1_5_3/source_inventory.md</t>
        </is>
      </c>
    </row>
    <row r="154" ht="90" customFormat="1" customHeight="1" s="8">
      <c r="A154" s="12" t="inlineStr">
        <is>
          <t>2024::jama.2024.23898::C001</t>
        </is>
      </c>
      <c r="B154" s="12" t="inlineStr">
        <is>
          <t>evidencePaths</t>
        </is>
      </c>
      <c r="C154" s="12" t="n">
        <v>1</v>
      </c>
      <c r="D154" s="12" t="inlineStr">
        <is>
          <t>2024/jama.2024.23898/.ai_paper_validation/review_1_5_3/checkers/cross_source_consistency.md</t>
        </is>
      </c>
      <c r="E154" s="12" t="inlineStr">
        <is>
          <t>../../2024/jama.2024.23898/.ai_paper_validation/review_1_5_3/checkers/cross_source_consistency.md</t>
        </is>
      </c>
    </row>
    <row r="155" ht="90" customFormat="1" customHeight="1" s="8">
      <c r="A155" s="11" t="inlineStr">
        <is>
          <t>2024::jama.2024.23898::C001</t>
        </is>
      </c>
      <c r="B155" s="11" t="inlineStr">
        <is>
          <t>evidencePaths</t>
        </is>
      </c>
      <c r="C155" s="11" t="n">
        <v>2</v>
      </c>
      <c r="D155" s="11" t="inlineStr">
        <is>
          <t>2024/jama.2024.23898/.ai_paper_validation/review_1_5_3/checkers/statistical_pass_2.md</t>
        </is>
      </c>
      <c r="E155" s="11" t="inlineStr">
        <is>
          <t>../../2024/jama.2024.23898/.ai_paper_validation/review_1_5_3/checkers/statistical_pass_2.md</t>
        </is>
      </c>
    </row>
    <row r="156" ht="90" customFormat="1" customHeight="1" s="8">
      <c r="A156" s="12" t="inlineStr">
        <is>
          <t>2024::jama.2024.23898::C002</t>
        </is>
      </c>
      <c r="B156" s="12" t="inlineStr">
        <is>
          <t>sourceLinks</t>
        </is>
      </c>
      <c r="C156" s="12" t="n">
        <v>0</v>
      </c>
      <c r="D156" s="12" t="inlineStr">
        <is>
          <t>main article — PDF p. 4</t>
        </is>
      </c>
      <c r="E156" s="12" t="inlineStr">
        <is>
          <t>../../2024/jama.2024.23898/jama_paterson_2024_oi_240139_1741633738.12862.pdf#page=4</t>
        </is>
      </c>
    </row>
    <row r="157" ht="90" customFormat="1" customHeight="1" s="8">
      <c r="A157" s="11" t="inlineStr">
        <is>
          <t>2024::jama.2024.23898::C002</t>
        </is>
      </c>
      <c r="B157" s="11" t="inlineStr">
        <is>
          <t>sourceLinks</t>
        </is>
      </c>
      <c r="C157" s="11" t="n">
        <v>1</v>
      </c>
      <c r="D157" s="11" t="inlineStr">
        <is>
          <t>main article — PDF p. 6</t>
        </is>
      </c>
      <c r="E157" s="11" t="inlineStr">
        <is>
          <t>../../2024/jama.2024.23898/jama_paterson_2024_oi_240139_1741633738.12862.pdf#page=6</t>
        </is>
      </c>
    </row>
    <row r="158" ht="90" customFormat="1" customHeight="1" s="8">
      <c r="A158" s="12" t="inlineStr">
        <is>
          <t>2024::jama.2024.23898::C002</t>
        </is>
      </c>
      <c r="B158" s="12" t="inlineStr">
        <is>
          <t>sourceLinks</t>
        </is>
      </c>
      <c r="C158" s="12" t="n">
        <v>2</v>
      </c>
      <c r="D158" s="12" t="inlineStr">
        <is>
          <t>protocol — PDF p. 17</t>
        </is>
      </c>
      <c r="E158" s="12" t="inlineStr">
        <is>
          <t>../../2024/jama.2024.23898/joi240139supp1_prod_1741633738.16362.pdf#page=17</t>
        </is>
      </c>
    </row>
    <row r="159" ht="90" customFormat="1" customHeight="1" s="8">
      <c r="A159" s="11" t="inlineStr">
        <is>
          <t>2024::jama.2024.23898::C002</t>
        </is>
      </c>
      <c r="B159" s="11" t="inlineStr">
        <is>
          <t>sourceLinks</t>
        </is>
      </c>
      <c r="C159" s="11" t="n">
        <v>3</v>
      </c>
      <c r="D159" s="11" t="inlineStr">
        <is>
          <t>SAP — PDF p. 11</t>
        </is>
      </c>
      <c r="E159" s="11" t="inlineStr">
        <is>
          <t>../../2024/jama.2024.23898/joi240139supp2_prod_1741633738.17362.pdf#page=11</t>
        </is>
      </c>
    </row>
    <row r="160" ht="90" customFormat="1" customHeight="1" s="8">
      <c r="A160" s="12" t="inlineStr">
        <is>
          <t>2024::jama.2024.23898::C002</t>
        </is>
      </c>
      <c r="B160" s="12" t="inlineStr">
        <is>
          <t>evidencePaths</t>
        </is>
      </c>
      <c r="C160" s="12" t="n">
        <v>0</v>
      </c>
      <c r="D160" s="12" t="inlineStr">
        <is>
          <t>2024/jama.2024.23898/.ai_paper_validation/review_1_5_3/source_inventory.md</t>
        </is>
      </c>
      <c r="E160" s="12" t="inlineStr">
        <is>
          <t>../../2024/jama.2024.23898/.ai_paper_validation/review_1_5_3/source_inventory.md</t>
        </is>
      </c>
    </row>
    <row r="161" ht="90" customFormat="1" customHeight="1" s="8">
      <c r="A161" s="11" t="inlineStr">
        <is>
          <t>2024::jama.2024.23898::C002</t>
        </is>
      </c>
      <c r="B161" s="11" t="inlineStr">
        <is>
          <t>evidencePaths</t>
        </is>
      </c>
      <c r="C161" s="11" t="n">
        <v>1</v>
      </c>
      <c r="D161" s="11" t="inlineStr">
        <is>
          <t>2024/jama.2024.23898/.ai_paper_validation/review_1_5_3/checkers/cross_source_consistency.md</t>
        </is>
      </c>
      <c r="E161" s="11" t="inlineStr">
        <is>
          <t>../../2024/jama.2024.23898/.ai_paper_validation/review_1_5_3/checkers/cross_source_consistency.md</t>
        </is>
      </c>
    </row>
    <row r="162" ht="90" customFormat="1" customHeight="1" s="8">
      <c r="A162" s="12" t="inlineStr">
        <is>
          <t>2024::jama.2024.23898::C002</t>
        </is>
      </c>
      <c r="B162" s="12" t="inlineStr">
        <is>
          <t>evidencePaths</t>
        </is>
      </c>
      <c r="C162" s="12" t="n">
        <v>2</v>
      </c>
      <c r="D162" s="12" t="inlineStr">
        <is>
          <t>2024/jama.2024.23898/.ai_paper_validation/review_1_5_3/checkers/statistical_pass_2.md</t>
        </is>
      </c>
      <c r="E162" s="12" t="inlineStr">
        <is>
          <t>../../2024/jama.2024.23898/.ai_paper_validation/review_1_5_3/checkers/statistical_pass_2.md</t>
        </is>
      </c>
    </row>
    <row r="163" ht="90" customFormat="1" customHeight="1" s="8">
      <c r="A163" s="11" t="inlineStr">
        <is>
          <t>2024::jama.2024.23898::C003</t>
        </is>
      </c>
      <c r="B163" s="11" t="inlineStr">
        <is>
          <t>sourceLinks</t>
        </is>
      </c>
      <c r="C163" s="11" t="n">
        <v>0</v>
      </c>
      <c r="D163" s="11" t="inlineStr">
        <is>
          <t>main article — PDF p. 4</t>
        </is>
      </c>
      <c r="E163" s="11" t="inlineStr">
        <is>
          <t>../../2024/jama.2024.23898/jama_paterson_2024_oi_240139_1741633738.12862.pdf#page=4</t>
        </is>
      </c>
    </row>
    <row r="164" ht="90" customFormat="1" customHeight="1" s="8">
      <c r="A164" s="12" t="inlineStr">
        <is>
          <t>2024::jama.2024.23898::C003</t>
        </is>
      </c>
      <c r="B164" s="12" t="inlineStr">
        <is>
          <t>sourceLinks</t>
        </is>
      </c>
      <c r="C164" s="12" t="n">
        <v>1</v>
      </c>
      <c r="D164" s="12" t="inlineStr">
        <is>
          <t>main article — PDF p. 8</t>
        </is>
      </c>
      <c r="E164" s="12" t="inlineStr">
        <is>
          <t>../../2024/jama.2024.23898/jama_paterson_2024_oi_240139_1741633738.12862.pdf#page=8</t>
        </is>
      </c>
    </row>
    <row r="165" ht="90" customFormat="1" customHeight="1" s="8">
      <c r="A165" s="11" t="inlineStr">
        <is>
          <t>2024::jama.2024.23898::C003</t>
        </is>
      </c>
      <c r="B165" s="11" t="inlineStr">
        <is>
          <t>sourceLinks</t>
        </is>
      </c>
      <c r="C165" s="11" t="n">
        <v>2</v>
      </c>
      <c r="D165" s="11" t="inlineStr">
        <is>
          <t>protocol — PDF p. 18</t>
        </is>
      </c>
      <c r="E165" s="11" t="inlineStr">
        <is>
          <t>../../2024/jama.2024.23898/joi240139supp1_prod_1741633738.16362.pdf#page=18</t>
        </is>
      </c>
    </row>
    <row r="166" ht="90" customFormat="1" customHeight="1" s="8">
      <c r="A166" s="12" t="inlineStr">
        <is>
          <t>2024::jama.2024.23898::C003</t>
        </is>
      </c>
      <c r="B166" s="12" t="inlineStr">
        <is>
          <t>sourceLinks</t>
        </is>
      </c>
      <c r="C166" s="12" t="n">
        <v>3</v>
      </c>
      <c r="D166" s="12" t="inlineStr">
        <is>
          <t>SAP — PDF p. 10</t>
        </is>
      </c>
      <c r="E166" s="12" t="inlineStr">
        <is>
          <t>../../2024/jama.2024.23898/joi240139supp2_prod_1741633738.17362.pdf#page=10</t>
        </is>
      </c>
    </row>
    <row r="167" ht="90" customFormat="1" customHeight="1" s="8">
      <c r="A167" s="11" t="inlineStr">
        <is>
          <t>2024::jama.2024.23898::C003</t>
        </is>
      </c>
      <c r="B167" s="11" t="inlineStr">
        <is>
          <t>sourceLinks</t>
        </is>
      </c>
      <c r="C167" s="11" t="n">
        <v>4</v>
      </c>
      <c r="D167" s="11" t="inlineStr">
        <is>
          <t>SAP — PDF p. 27</t>
        </is>
      </c>
      <c r="E167" s="11" t="inlineStr">
        <is>
          <t>../../2024/jama.2024.23898/joi240139supp2_prod_1741633738.17362.pdf#page=27</t>
        </is>
      </c>
    </row>
    <row r="168" ht="90" customFormat="1" customHeight="1" s="8">
      <c r="A168" s="12" t="inlineStr">
        <is>
          <t>2024::jama.2024.23898::C003</t>
        </is>
      </c>
      <c r="B168" s="12" t="inlineStr">
        <is>
          <t>evidencePaths</t>
        </is>
      </c>
      <c r="C168" s="12" t="n">
        <v>0</v>
      </c>
      <c r="D168" s="12" t="inlineStr">
        <is>
          <t>2024/jama.2024.23898/.ai_paper_validation/review_1_5_3/source_inventory.md</t>
        </is>
      </c>
      <c r="E168" s="12" t="inlineStr">
        <is>
          <t>../../2024/jama.2024.23898/.ai_paper_validation/review_1_5_3/source_inventory.md</t>
        </is>
      </c>
    </row>
    <row r="169" ht="90" customFormat="1" customHeight="1" s="8">
      <c r="A169" s="11" t="inlineStr">
        <is>
          <t>2024::jama.2024.23898::C003</t>
        </is>
      </c>
      <c r="B169" s="11" t="inlineStr">
        <is>
          <t>evidencePaths</t>
        </is>
      </c>
      <c r="C169" s="11" t="n">
        <v>1</v>
      </c>
      <c r="D169" s="11" t="inlineStr">
        <is>
          <t>2024/jama.2024.23898/.ai_paper_validation/review_1_5_3/checkers/cross_source_consistency.md</t>
        </is>
      </c>
      <c r="E169" s="11" t="inlineStr">
        <is>
          <t>../../2024/jama.2024.23898/.ai_paper_validation/review_1_5_3/checkers/cross_source_consistency.md</t>
        </is>
      </c>
    </row>
    <row r="170" ht="90" customFormat="1" customHeight="1" s="8">
      <c r="A170" s="12" t="inlineStr">
        <is>
          <t>2024::jama.2024.23898::C003</t>
        </is>
      </c>
      <c r="B170" s="12" t="inlineStr">
        <is>
          <t>evidencePaths</t>
        </is>
      </c>
      <c r="C170" s="12" t="n">
        <v>2</v>
      </c>
      <c r="D170" s="12" t="inlineStr">
        <is>
          <t>2024/jama.2024.23898/.ai_paper_validation/review_1_5_3/checkers/statistical_pass_2.md</t>
        </is>
      </c>
      <c r="E170" s="12" t="inlineStr">
        <is>
          <t>../../2024/jama.2024.23898/.ai_paper_validation/review_1_5_3/checkers/statistical_pass_2.md</t>
        </is>
      </c>
    </row>
    <row r="171" ht="90" customFormat="1" customHeight="1" s="8">
      <c r="A171" s="11" t="inlineStr">
        <is>
          <t>2024::jama.2024.23898::C004</t>
        </is>
      </c>
      <c r="B171" s="11" t="inlineStr">
        <is>
          <t>sourceLinks</t>
        </is>
      </c>
      <c r="C171" s="11" t="n">
        <v>0</v>
      </c>
      <c r="D171" s="11" t="inlineStr">
        <is>
          <t>protocol — PDF p. 17</t>
        </is>
      </c>
      <c r="E171" s="11" t="inlineStr">
        <is>
          <t>../../2024/jama.2024.23898/joi240139supp1_prod_1741633738.16362.pdf#page=17</t>
        </is>
      </c>
    </row>
    <row r="172" ht="90" customFormat="1" customHeight="1" s="8">
      <c r="A172" s="12" t="inlineStr">
        <is>
          <t>2024::jama.2024.23898::C004</t>
        </is>
      </c>
      <c r="B172" s="12" t="inlineStr">
        <is>
          <t>sourceLinks</t>
        </is>
      </c>
      <c r="C172" s="12" t="n">
        <v>1</v>
      </c>
      <c r="D172" s="12" t="inlineStr">
        <is>
          <t>protocol — PDF p. 18</t>
        </is>
      </c>
      <c r="E172" s="12" t="inlineStr">
        <is>
          <t>../../2024/jama.2024.23898/joi240139supp1_prod_1741633738.16362.pdf#page=18</t>
        </is>
      </c>
    </row>
    <row r="173" ht="90" customFormat="1" customHeight="1" s="8">
      <c r="A173" s="11" t="inlineStr">
        <is>
          <t>2024::jama.2024.23898::C004</t>
        </is>
      </c>
      <c r="B173" s="11" t="inlineStr">
        <is>
          <t>sourceLinks</t>
        </is>
      </c>
      <c r="C173" s="11" t="n">
        <v>2</v>
      </c>
      <c r="D173" s="11" t="inlineStr">
        <is>
          <t>SAP — PDF p. 15</t>
        </is>
      </c>
      <c r="E173" s="11" t="inlineStr">
        <is>
          <t>../../2024/jama.2024.23898/joi240139supp2_prod_1741633738.17362.pdf#page=15</t>
        </is>
      </c>
    </row>
    <row r="174" ht="90" customFormat="1" customHeight="1" s="8">
      <c r="A174" s="12" t="inlineStr">
        <is>
          <t>2024::jama.2024.23898::C004</t>
        </is>
      </c>
      <c r="B174" s="12" t="inlineStr">
        <is>
          <t>sourceLinks</t>
        </is>
      </c>
      <c r="C174" s="12" t="n">
        <v>3</v>
      </c>
      <c r="D174" s="12" t="inlineStr">
        <is>
          <t>results supplement — PDF p. 2</t>
        </is>
      </c>
      <c r="E174" s="12" t="inlineStr">
        <is>
          <t>../../2024/jama.2024.23898/joi240139supp3_prod_1741633738.18862.pdf#page=2</t>
        </is>
      </c>
    </row>
    <row r="175" ht="90" customFormat="1" customHeight="1" s="8">
      <c r="A175" s="11" t="inlineStr">
        <is>
          <t>2024::jama.2024.23898::C004</t>
        </is>
      </c>
      <c r="B175" s="11" t="inlineStr">
        <is>
          <t>evidencePaths</t>
        </is>
      </c>
      <c r="C175" s="11" t="n">
        <v>0</v>
      </c>
      <c r="D175" s="11" t="inlineStr">
        <is>
          <t>2024/jama.2024.23898/.ai_paper_validation/review_1_5_3/source_inventory.md</t>
        </is>
      </c>
      <c r="E175" s="11" t="inlineStr">
        <is>
          <t>../../2024/jama.2024.23898/.ai_paper_validation/review_1_5_3/source_inventory.md</t>
        </is>
      </c>
    </row>
    <row r="176" ht="90" customFormat="1" customHeight="1" s="8">
      <c r="A176" s="12" t="inlineStr">
        <is>
          <t>2024::jama.2024.23898::C004</t>
        </is>
      </c>
      <c r="B176" s="12" t="inlineStr">
        <is>
          <t>evidencePaths</t>
        </is>
      </c>
      <c r="C176" s="12" t="n">
        <v>1</v>
      </c>
      <c r="D176" s="12" t="inlineStr">
        <is>
          <t>2024/jama.2024.23898/.ai_paper_validation/review_1_5_3/checkers/cross_source_consistency.md</t>
        </is>
      </c>
      <c r="E176" s="12" t="inlineStr">
        <is>
          <t>../../2024/jama.2024.23898/.ai_paper_validation/review_1_5_3/checkers/cross_source_consistency.md</t>
        </is>
      </c>
    </row>
    <row r="177" ht="90" customFormat="1" customHeight="1" s="8">
      <c r="A177" s="11" t="inlineStr">
        <is>
          <t>2024::jama.2024.23898::C004</t>
        </is>
      </c>
      <c r="B177" s="11" t="inlineStr">
        <is>
          <t>evidencePaths</t>
        </is>
      </c>
      <c r="C177" s="11" t="n">
        <v>2</v>
      </c>
      <c r="D177" s="11" t="inlineStr">
        <is>
          <t>2024/jama.2024.23898/.ai_paper_validation/review_1_5_3/checkers/statistical_pass_2.md</t>
        </is>
      </c>
      <c r="E177" s="11" t="inlineStr">
        <is>
          <t>../../2024/jama.2024.23898/.ai_paper_validation/review_1_5_3/checkers/statistical_pass_2.md</t>
        </is>
      </c>
    </row>
    <row r="178" ht="90" customFormat="1" customHeight="1" s="8">
      <c r="A178" s="12" t="inlineStr">
        <is>
          <t>2024::jama.2024.23898::C005</t>
        </is>
      </c>
      <c r="B178" s="12" t="inlineStr">
        <is>
          <t>sourceLinks</t>
        </is>
      </c>
      <c r="C178" s="12" t="n">
        <v>0</v>
      </c>
      <c r="D178" s="12" t="inlineStr">
        <is>
          <t>results supplement — PDF p. 2</t>
        </is>
      </c>
      <c r="E178" s="12" t="inlineStr">
        <is>
          <t>../../2024/jama.2024.23898/joi240139supp3_prod_1741633738.18862.pdf#page=2</t>
        </is>
      </c>
    </row>
    <row r="179" ht="90" customFormat="1" customHeight="1" s="8">
      <c r="A179" s="11" t="inlineStr">
        <is>
          <t>2024::jama.2024.23898::C005</t>
        </is>
      </c>
      <c r="B179" s="11" t="inlineStr">
        <is>
          <t>sourceLinks</t>
        </is>
      </c>
      <c r="C179" s="11" t="n">
        <v>1</v>
      </c>
      <c r="D179" s="11" t="inlineStr">
        <is>
          <t>SAP — PDF p. 15</t>
        </is>
      </c>
      <c r="E179" s="11" t="inlineStr">
        <is>
          <t>../../2024/jama.2024.23898/joi240139supp2_prod_1741633738.17362.pdf#page=15</t>
        </is>
      </c>
    </row>
    <row r="180" ht="90" customFormat="1" customHeight="1" s="8">
      <c r="A180" s="12" t="inlineStr">
        <is>
          <t>2024::jama.2024.23898::C005</t>
        </is>
      </c>
      <c r="B180" s="12" t="inlineStr">
        <is>
          <t>evidencePaths</t>
        </is>
      </c>
      <c r="C180" s="12" t="n">
        <v>0</v>
      </c>
      <c r="D180" s="12" t="inlineStr">
        <is>
          <t>2024/jama.2024.23898/.ai_paper_validation/review_1_5_3/source_inventory.md</t>
        </is>
      </c>
      <c r="E180" s="12" t="inlineStr">
        <is>
          <t>../../2024/jama.2024.23898/.ai_paper_validation/review_1_5_3/source_inventory.md</t>
        </is>
      </c>
    </row>
    <row r="181" ht="90" customFormat="1" customHeight="1" s="8">
      <c r="A181" s="11" t="inlineStr">
        <is>
          <t>2024::jama.2024.23898::C005</t>
        </is>
      </c>
      <c r="B181" s="11" t="inlineStr">
        <is>
          <t>evidencePaths</t>
        </is>
      </c>
      <c r="C181" s="11" t="n">
        <v>1</v>
      </c>
      <c r="D181" s="11" t="inlineStr">
        <is>
          <t>2024/jama.2024.23898/.ai_paper_validation/review_1_5_3/checkers/statistical_pass_2.md</t>
        </is>
      </c>
      <c r="E181" s="11" t="inlineStr">
        <is>
          <t>../../2024/jama.2024.23898/.ai_paper_validation/review_1_5_3/checkers/statistical_pass_2.md</t>
        </is>
      </c>
    </row>
    <row r="182" ht="90" customFormat="1" customHeight="1" s="8">
      <c r="A182" s="12" t="inlineStr">
        <is>
          <t>2024::jama.2024.23898::C006</t>
        </is>
      </c>
      <c r="B182" s="12" t="inlineStr">
        <is>
          <t>sourceLinks</t>
        </is>
      </c>
      <c r="C182" s="12" t="n">
        <v>0</v>
      </c>
      <c r="D182" s="12" t="inlineStr">
        <is>
          <t>main article — PDF p. 5</t>
        </is>
      </c>
      <c r="E182" s="12" t="inlineStr">
        <is>
          <t>../../2024/jama.2024.23898/jama_paterson_2024_oi_240139_1741633738.12862.pdf#page=5</t>
        </is>
      </c>
    </row>
    <row r="183" ht="90" customFormat="1" customHeight="1" s="8">
      <c r="A183" s="11" t="inlineStr">
        <is>
          <t>2024::jama.2024.23898::C006</t>
        </is>
      </c>
      <c r="B183" s="11" t="inlineStr">
        <is>
          <t>sourceLinks</t>
        </is>
      </c>
      <c r="C183" s="11" t="n">
        <v>1</v>
      </c>
      <c r="D183" s="11" t="inlineStr">
        <is>
          <t>main article — PDF p. 6</t>
        </is>
      </c>
      <c r="E183" s="11" t="inlineStr">
        <is>
          <t>../../2024/jama.2024.23898/jama_paterson_2024_oi_240139_1741633738.12862.pdf#page=6</t>
        </is>
      </c>
    </row>
    <row r="184" ht="90" customFormat="1" customHeight="1" s="8">
      <c r="A184" s="12" t="inlineStr">
        <is>
          <t>2024::jama.2024.23898::C006</t>
        </is>
      </c>
      <c r="B184" s="12" t="inlineStr">
        <is>
          <t>sourceLinks</t>
        </is>
      </c>
      <c r="C184" s="12" t="n">
        <v>2</v>
      </c>
      <c r="D184" s="12" t="inlineStr">
        <is>
          <t>SAP — PDF p. 13</t>
        </is>
      </c>
      <c r="E184" s="12" t="inlineStr">
        <is>
          <t>../../2024/jama.2024.23898/joi240139supp2_prod_1741633738.17362.pdf#page=13</t>
        </is>
      </c>
    </row>
    <row r="185" ht="90" customFormat="1" customHeight="1" s="8">
      <c r="A185" s="11" t="inlineStr">
        <is>
          <t>2024::jama.2024.23898::C006</t>
        </is>
      </c>
      <c r="B185" s="11" t="inlineStr">
        <is>
          <t>sourceLinks</t>
        </is>
      </c>
      <c r="C185" s="11" t="n">
        <v>3</v>
      </c>
      <c r="D185" s="11" t="inlineStr">
        <is>
          <t>SAP — PDF p. 14</t>
        </is>
      </c>
      <c r="E185" s="11" t="inlineStr">
        <is>
          <t>../../2024/jama.2024.23898/joi240139supp2_prod_1741633738.17362.pdf#page=14</t>
        </is>
      </c>
    </row>
    <row r="186" ht="90" customFormat="1" customHeight="1" s="8">
      <c r="A186" s="12" t="inlineStr">
        <is>
          <t>2024::jama.2024.23898::C006</t>
        </is>
      </c>
      <c r="B186" s="12" t="inlineStr">
        <is>
          <t>evidencePaths</t>
        </is>
      </c>
      <c r="C186" s="12" t="n">
        <v>0</v>
      </c>
      <c r="D186" s="12" t="inlineStr">
        <is>
          <t>2024/jama.2024.23898/.ai_paper_validation/review_1_5_3/source_inventory.md</t>
        </is>
      </c>
      <c r="E186" s="12" t="inlineStr">
        <is>
          <t>../../2024/jama.2024.23898/.ai_paper_validation/review_1_5_3/source_inventory.md</t>
        </is>
      </c>
    </row>
    <row r="187" ht="90" customFormat="1" customHeight="1" s="8">
      <c r="A187" s="11" t="inlineStr">
        <is>
          <t>2024::jama.2024.23898::C006</t>
        </is>
      </c>
      <c r="B187" s="11" t="inlineStr">
        <is>
          <t>evidencePaths</t>
        </is>
      </c>
      <c r="C187" s="11" t="n">
        <v>1</v>
      </c>
      <c r="D187" s="11" t="inlineStr">
        <is>
          <t>2024/jama.2024.23898/.ai_paper_validation/review_1_5_3/checkers/statistical_pass_2.md</t>
        </is>
      </c>
      <c r="E187" s="11" t="inlineStr">
        <is>
          <t>../../2024/jama.2024.23898/.ai_paper_validation/review_1_5_3/checkers/statistical_pass_2.md</t>
        </is>
      </c>
    </row>
    <row r="188" ht="90" customFormat="1" customHeight="1" s="8">
      <c r="A188" s="12" t="inlineStr">
        <is>
          <t>2024::jama.2024.23898::C007</t>
        </is>
      </c>
      <c r="B188" s="12" t="inlineStr">
        <is>
          <t>sourceLinks</t>
        </is>
      </c>
      <c r="C188" s="12" t="n">
        <v>0</v>
      </c>
      <c r="D188" s="12" t="inlineStr">
        <is>
          <t>main article — PDF p. 5</t>
        </is>
      </c>
      <c r="E188" s="12" t="inlineStr">
        <is>
          <t>../../2024/jama.2024.23898/jama_paterson_2024_oi_240139_1741633738.12862.pdf#page=5</t>
        </is>
      </c>
    </row>
    <row r="189" ht="90" customFormat="1" customHeight="1" s="8">
      <c r="A189" s="11" t="inlineStr">
        <is>
          <t>2024::jama.2024.23898::C007</t>
        </is>
      </c>
      <c r="B189" s="11" t="inlineStr">
        <is>
          <t>sourceLinks</t>
        </is>
      </c>
      <c r="C189" s="11" t="n">
        <v>1</v>
      </c>
      <c r="D189" s="11" t="inlineStr">
        <is>
          <t>SAP — PDF p. 15</t>
        </is>
      </c>
      <c r="E189" s="11" t="inlineStr">
        <is>
          <t>../../2024/jama.2024.23898/joi240139supp2_prod_1741633738.17362.pdf#page=15</t>
        </is>
      </c>
    </row>
    <row r="190" ht="90" customFormat="1" customHeight="1" s="8">
      <c r="A190" s="12" t="inlineStr">
        <is>
          <t>2024::jama.2024.23898::C007</t>
        </is>
      </c>
      <c r="B190" s="12" t="inlineStr">
        <is>
          <t>sourceLinks</t>
        </is>
      </c>
      <c r="C190" s="12" t="n">
        <v>2</v>
      </c>
      <c r="D190" s="12" t="inlineStr">
        <is>
          <t>results supplement — PDF p. 2</t>
        </is>
      </c>
      <c r="E190" s="12" t="inlineStr">
        <is>
          <t>../../2024/jama.2024.23898/joi240139supp3_prod_1741633738.18862.pdf#page=2</t>
        </is>
      </c>
    </row>
    <row r="191" ht="90" customFormat="1" customHeight="1" s="8">
      <c r="A191" s="11" t="inlineStr">
        <is>
          <t>2024::jama.2024.23898::C007</t>
        </is>
      </c>
      <c r="B191" s="11" t="inlineStr">
        <is>
          <t>evidencePaths</t>
        </is>
      </c>
      <c r="C191" s="11" t="n">
        <v>0</v>
      </c>
      <c r="D191" s="11" t="inlineStr">
        <is>
          <t>2024/jama.2024.23898/.ai_paper_validation/review_1_5_3/source_inventory.md</t>
        </is>
      </c>
      <c r="E191" s="11" t="inlineStr">
        <is>
          <t>../../2024/jama.2024.23898/.ai_paper_validation/review_1_5_3/source_inventory.md</t>
        </is>
      </c>
    </row>
    <row r="192" ht="90" customFormat="1" customHeight="1" s="8">
      <c r="A192" s="12" t="inlineStr">
        <is>
          <t>2024::jama.2024.23898::C007</t>
        </is>
      </c>
      <c r="B192" s="12" t="inlineStr">
        <is>
          <t>evidencePaths</t>
        </is>
      </c>
      <c r="C192" s="12" t="n">
        <v>1</v>
      </c>
      <c r="D192" s="12" t="inlineStr">
        <is>
          <t>2024/jama.2024.23898/.ai_paper_validation/review_1_5_3/checkers/statistical_pass_2.md</t>
        </is>
      </c>
      <c r="E192" s="12" t="inlineStr">
        <is>
          <t>../../2024/jama.2024.23898/.ai_paper_validation/review_1_5_3/checkers/statistical_pass_2.md</t>
        </is>
      </c>
    </row>
    <row r="193" ht="90" customFormat="1" customHeight="1" s="8">
      <c r="A193" s="11" t="inlineStr">
        <is>
          <t>2024::jama.2024.25786::C001</t>
        </is>
      </c>
      <c r="B193" s="11" t="inlineStr">
        <is>
          <t>sourceLinks</t>
        </is>
      </c>
      <c r="C193" s="11" t="n">
        <v>0</v>
      </c>
      <c r="D193" s="11" t="inlineStr">
        <is>
          <t>Supplement 2, eTable 2, PDF p. 15</t>
        </is>
      </c>
      <c r="E193" s="11" t="inlineStr">
        <is>
          <t>../../2024/jama.2024.25786/joi240147supp2_prod_1738701765.29201.pdf#page=15</t>
        </is>
      </c>
    </row>
    <row r="194" ht="90" customFormat="1" customHeight="1" s="8">
      <c r="A194" s="12" t="inlineStr">
        <is>
          <t>2024::jama.2024.25786::C001</t>
        </is>
      </c>
      <c r="B194" s="12" t="inlineStr">
        <is>
          <t>evidencePaths</t>
        </is>
      </c>
      <c r="C194" s="12" t="n">
        <v>0</v>
      </c>
      <c r="D194" s="12" t="inlineStr">
        <is>
          <t>2024/jama.2024.25786/.ai_paper_validation/review_1_5_3/source_inventory.md</t>
        </is>
      </c>
      <c r="E194" s="12" t="inlineStr">
        <is>
          <t>../../2024/jama.2024.25786/.ai_paper_validation/review_1_5_3/source_inventory.md</t>
        </is>
      </c>
    </row>
    <row r="195" ht="90" customFormat="1" customHeight="1" s="8">
      <c r="A195" s="11" t="inlineStr">
        <is>
          <t>2024::jama.2024.25786::C002</t>
        </is>
      </c>
      <c r="B195" s="11" t="inlineStr">
        <is>
          <t>sourceLinks</t>
        </is>
      </c>
      <c r="C195" s="11" t="n">
        <v>0</v>
      </c>
      <c r="D195" s="11" t="inlineStr">
        <is>
          <t>Supplement 2, eTable 2, PDF p. 15</t>
        </is>
      </c>
      <c r="E195" s="11" t="inlineStr">
        <is>
          <t>../../2024/jama.2024.25786/joi240147supp2_prod_1738701765.29201.pdf#page=15</t>
        </is>
      </c>
    </row>
    <row r="196" ht="90" customFormat="1" customHeight="1" s="8">
      <c r="A196" s="12" t="inlineStr">
        <is>
          <t>2024::jama.2024.25786::C002</t>
        </is>
      </c>
      <c r="B196" s="12" t="inlineStr">
        <is>
          <t>evidencePaths</t>
        </is>
      </c>
      <c r="C196" s="12" t="n">
        <v>0</v>
      </c>
      <c r="D196" s="12" t="inlineStr">
        <is>
          <t>2024/jama.2024.25786/.ai_paper_validation/review_1_5_3/source_inventory.md</t>
        </is>
      </c>
      <c r="E196" s="12" t="inlineStr">
        <is>
          <t>../../2024/jama.2024.25786/.ai_paper_validation/review_1_5_3/source_inventory.md</t>
        </is>
      </c>
    </row>
    <row r="197" ht="90" customFormat="1" customHeight="1" s="8">
      <c r="A197" s="11" t="inlineStr">
        <is>
          <t>2024::jama.2024.25786::C003</t>
        </is>
      </c>
      <c r="B197" s="11" t="inlineStr">
        <is>
          <t>sourceLinks</t>
        </is>
      </c>
      <c r="C197" s="11" t="n">
        <v>0</v>
      </c>
      <c r="D197" s="11" t="inlineStr">
        <is>
          <t>Supplement 2, eTable 4, PDF p. 17</t>
        </is>
      </c>
      <c r="E197" s="11" t="inlineStr">
        <is>
          <t>../../2024/jama.2024.25786/joi240147supp2_prod_1738701765.29201.pdf#page=17</t>
        </is>
      </c>
    </row>
    <row r="198" ht="90" customFormat="1" customHeight="1" s="8">
      <c r="A198" s="12" t="inlineStr">
        <is>
          <t>2024::jama.2024.25786::C003</t>
        </is>
      </c>
      <c r="B198" s="12" t="inlineStr">
        <is>
          <t>sourceLinks</t>
        </is>
      </c>
      <c r="C198" s="12" t="n">
        <v>1</v>
      </c>
      <c r="D198" s="12" t="inlineStr">
        <is>
          <t>Supplement 2, eTable 7, PDF p. 20</t>
        </is>
      </c>
      <c r="E198" s="12" t="inlineStr">
        <is>
          <t>../../2024/jama.2024.25786/joi240147supp2_prod_1738701765.29201.pdf#page=20</t>
        </is>
      </c>
    </row>
    <row r="199" ht="90" customFormat="1" customHeight="1" s="8">
      <c r="A199" s="11" t="inlineStr">
        <is>
          <t>2024::jama.2024.25786::C003</t>
        </is>
      </c>
      <c r="B199" s="11" t="inlineStr">
        <is>
          <t>sourceLinks</t>
        </is>
      </c>
      <c r="C199" s="11" t="n">
        <v>2</v>
      </c>
      <c r="D199" s="11" t="inlineStr">
        <is>
          <t>Main article, PDF p. 5</t>
        </is>
      </c>
      <c r="E199" s="11" t="inlineStr">
        <is>
          <t>../../2024/jama.2024.25786/jama_arleth_2024_oi_240147_1738701765.27201.pdf#page=5</t>
        </is>
      </c>
    </row>
    <row r="200" ht="90" customFormat="1" customHeight="1" s="8">
      <c r="A200" s="12" t="inlineStr">
        <is>
          <t>2024::jama.2024.25786::C003</t>
        </is>
      </c>
      <c r="B200" s="12" t="inlineStr">
        <is>
          <t>evidencePaths</t>
        </is>
      </c>
      <c r="C200" s="12" t="n">
        <v>0</v>
      </c>
      <c r="D200" s="12" t="inlineStr">
        <is>
          <t>2024/jama.2024.25786/.ai_paper_validation/review_1_5_3/source_inventory.md</t>
        </is>
      </c>
      <c r="E200" s="12" t="inlineStr">
        <is>
          <t>../../2024/jama.2024.25786/.ai_paper_validation/review_1_5_3/source_inventory.md</t>
        </is>
      </c>
    </row>
    <row r="201" ht="90" customFormat="1" customHeight="1" s="8">
      <c r="A201" s="11" t="inlineStr">
        <is>
          <t>2024::jama.2024.25786::C003</t>
        </is>
      </c>
      <c r="B201" s="11" t="inlineStr">
        <is>
          <t>evidencePaths</t>
        </is>
      </c>
      <c r="C201" s="11" t="n">
        <v>1</v>
      </c>
      <c r="D201" s="11" t="inlineStr">
        <is>
          <t>2024/jama.2024.25786/.ai_paper_validation/review_1_5_3/verification/evidence_recheck.md</t>
        </is>
      </c>
      <c r="E201" s="11" t="inlineStr">
        <is>
          <t>../../2024/jama.2024.25786/.ai_paper_validation/review_1_5_3/verification/evidence_recheck.md</t>
        </is>
      </c>
    </row>
    <row r="202" ht="90" customFormat="1" customHeight="1" s="8">
      <c r="A202" s="12" t="inlineStr">
        <is>
          <t>2024::jama.2024.25786::C004</t>
        </is>
      </c>
      <c r="B202" s="12" t="inlineStr">
        <is>
          <t>sourceLinks</t>
        </is>
      </c>
      <c r="C202" s="12" t="n">
        <v>0</v>
      </c>
      <c r="D202" s="12" t="inlineStr">
        <is>
          <t>Main article, Figure 4, PDF p. 8</t>
        </is>
      </c>
      <c r="E202" s="12" t="inlineStr">
        <is>
          <t>../../2024/jama.2024.25786/jama_arleth_2024_oi_240147_1738701765.27201.pdf#page=8</t>
        </is>
      </c>
    </row>
    <row r="203" ht="90" customFormat="1" customHeight="1" s="8">
      <c r="A203" s="11" t="inlineStr">
        <is>
          <t>2024::jama.2024.25786::C004</t>
        </is>
      </c>
      <c r="B203" s="11" t="inlineStr">
        <is>
          <t>sourceLinks</t>
        </is>
      </c>
      <c r="C203" s="11" t="n">
        <v>1</v>
      </c>
      <c r="D203" s="11" t="inlineStr">
        <is>
          <t>Supplement 2, eTable 7, PDF p. 20</t>
        </is>
      </c>
      <c r="E203" s="11" t="inlineStr">
        <is>
          <t>../../2024/jama.2024.25786/joi240147supp2_prod_1738701765.29201.pdf#page=20</t>
        </is>
      </c>
    </row>
    <row r="204" ht="90" customFormat="1" customHeight="1" s="8">
      <c r="A204" s="12" t="inlineStr">
        <is>
          <t>2024::jama.2024.25786::C004</t>
        </is>
      </c>
      <c r="B204" s="12" t="inlineStr">
        <is>
          <t>evidencePaths</t>
        </is>
      </c>
      <c r="C204" s="12" t="n">
        <v>0</v>
      </c>
      <c r="D204" s="12" t="inlineStr">
        <is>
          <t>2024/jama.2024.25786/.ai_paper_validation/review_1_5_3/source_inventory.md</t>
        </is>
      </c>
      <c r="E204" s="12" t="inlineStr">
        <is>
          <t>../../2024/jama.2024.25786/.ai_paper_validation/review_1_5_3/source_inventory.md</t>
        </is>
      </c>
    </row>
    <row r="205" ht="90" customFormat="1" customHeight="1" s="8">
      <c r="A205" s="11" t="inlineStr">
        <is>
          <t>2024::jama.2024.25786::C004</t>
        </is>
      </c>
      <c r="B205" s="11" t="inlineStr">
        <is>
          <t>evidencePaths</t>
        </is>
      </c>
      <c r="C205" s="11" t="n">
        <v>1</v>
      </c>
      <c r="D205" s="11" t="inlineStr">
        <is>
          <t>2024/jama.2024.25786/.ai_paper_validation/review_1_5_3/verification/evidence_recheck.md</t>
        </is>
      </c>
      <c r="E205" s="11" t="inlineStr">
        <is>
          <t>../../2024/jama.2024.25786/.ai_paper_validation/review_1_5_3/verification/evidence_recheck.md</t>
        </is>
      </c>
    </row>
    <row r="206" ht="90" customFormat="1" customHeight="1" s="8">
      <c r="A206" s="12" t="inlineStr">
        <is>
          <t>2024::jama.2024.25786::C005</t>
        </is>
      </c>
      <c r="B206" s="12" t="inlineStr">
        <is>
          <t>sourceLinks</t>
        </is>
      </c>
      <c r="C206" s="12" t="n">
        <v>0</v>
      </c>
      <c r="D206" s="12" t="inlineStr">
        <is>
          <t>Main article, Figure 4, PDF p. 8</t>
        </is>
      </c>
      <c r="E206" s="12" t="inlineStr">
        <is>
          <t>../../2024/jama.2024.25786/jama_arleth_2024_oi_240147_1738701765.27201.pdf#page=8</t>
        </is>
      </c>
    </row>
    <row r="207" ht="90" customFormat="1" customHeight="1" s="8">
      <c r="A207" s="11" t="inlineStr">
        <is>
          <t>2024::jama.2024.25786::C005</t>
        </is>
      </c>
      <c r="B207" s="11" t="inlineStr">
        <is>
          <t>sourceLinks</t>
        </is>
      </c>
      <c r="C207" s="11" t="n">
        <v>1</v>
      </c>
      <c r="D207" s="11" t="inlineStr">
        <is>
          <t>Supplement 2, eTable 7, PDF p. 20</t>
        </is>
      </c>
      <c r="E207" s="11" t="inlineStr">
        <is>
          <t>../../2024/jama.2024.25786/joi240147supp2_prod_1738701765.29201.pdf#page=20</t>
        </is>
      </c>
    </row>
    <row r="208" ht="90" customFormat="1" customHeight="1" s="8">
      <c r="A208" s="12" t="inlineStr">
        <is>
          <t>2024::jama.2024.25786::C005</t>
        </is>
      </c>
      <c r="B208" s="12" t="inlineStr">
        <is>
          <t>evidencePaths</t>
        </is>
      </c>
      <c r="C208" s="12" t="n">
        <v>0</v>
      </c>
      <c r="D208" s="12" t="inlineStr">
        <is>
          <t>2024/jama.2024.25786/.ai_paper_validation/review_1_5_3/source_inventory.md</t>
        </is>
      </c>
      <c r="E208" s="12" t="inlineStr">
        <is>
          <t>../../2024/jama.2024.25786/.ai_paper_validation/review_1_5_3/source_inventory.md</t>
        </is>
      </c>
    </row>
    <row r="209" ht="90" customFormat="1" customHeight="1" s="8">
      <c r="A209" s="11" t="inlineStr">
        <is>
          <t>2024::jama.2024.25786::C005</t>
        </is>
      </c>
      <c r="B209" s="11" t="inlineStr">
        <is>
          <t>evidencePaths</t>
        </is>
      </c>
      <c r="C209" s="11" t="n">
        <v>1</v>
      </c>
      <c r="D209" s="11" t="inlineStr">
        <is>
          <t>2024/jama.2024.25786/.ai_paper_validation/review_1_5_3/verification/evidence_recheck.md</t>
        </is>
      </c>
      <c r="E209" s="11" t="inlineStr">
        <is>
          <t>../../2024/jama.2024.25786/.ai_paper_validation/review_1_5_3/verification/evidence_recheck.md</t>
        </is>
      </c>
    </row>
    <row r="210" ht="90" customFormat="1" customHeight="1" s="8">
      <c r="A210" s="12" t="inlineStr">
        <is>
          <t>2024::jama.2024.25786::C006</t>
        </is>
      </c>
      <c r="B210" s="12" t="inlineStr">
        <is>
          <t>sourceLinks</t>
        </is>
      </c>
      <c r="C210" s="12" t="n">
        <v>0</v>
      </c>
      <c r="D210" s="12" t="inlineStr">
        <is>
          <t>Supplement 2, eTable 10, PDF p. 24</t>
        </is>
      </c>
      <c r="E210" s="12" t="inlineStr">
        <is>
          <t>../../2024/jama.2024.25786/joi240147supp2_prod_1738701765.29201.pdf#page=24</t>
        </is>
      </c>
    </row>
    <row r="211" ht="90" customFormat="1" customHeight="1" s="8">
      <c r="A211" s="11" t="inlineStr">
        <is>
          <t>2024::jama.2024.25786::C006</t>
        </is>
      </c>
      <c r="B211" s="11" t="inlineStr">
        <is>
          <t>sourceLinks</t>
        </is>
      </c>
      <c r="C211" s="11" t="n">
        <v>1</v>
      </c>
      <c r="D211" s="11" t="inlineStr">
        <is>
          <t>Main article, Figure 1, PDF p. 3</t>
        </is>
      </c>
      <c r="E211" s="11" t="inlineStr">
        <is>
          <t>../../2024/jama.2024.25786/jama_arleth_2024_oi_240147_1738701765.27201.pdf#page=3</t>
        </is>
      </c>
    </row>
    <row r="212" ht="90" customFormat="1" customHeight="1" s="8">
      <c r="A212" s="12" t="inlineStr">
        <is>
          <t>2024::jama.2024.25786::C006</t>
        </is>
      </c>
      <c r="B212" s="12" t="inlineStr">
        <is>
          <t>evidencePaths</t>
        </is>
      </c>
      <c r="C212" s="12" t="n">
        <v>0</v>
      </c>
      <c r="D212" s="12" t="inlineStr">
        <is>
          <t>2024/jama.2024.25786/.ai_paper_validation/review_1_5_3/source_inventory.md</t>
        </is>
      </c>
      <c r="E212" s="12" t="inlineStr">
        <is>
          <t>../../2024/jama.2024.25786/.ai_paper_validation/review_1_5_3/source_inventory.md</t>
        </is>
      </c>
    </row>
    <row r="213" ht="90" customFormat="1" customHeight="1" s="8">
      <c r="A213" s="11" t="inlineStr">
        <is>
          <t>2024::jama.2024.25786::C006</t>
        </is>
      </c>
      <c r="B213" s="11" t="inlineStr">
        <is>
          <t>evidencePaths</t>
        </is>
      </c>
      <c r="C213" s="11" t="n">
        <v>1</v>
      </c>
      <c r="D213" s="11" t="inlineStr">
        <is>
          <t>2024/jama.2024.25786/.ai_paper_validation/review_1_5_3/verification/evidence_recheck.md</t>
        </is>
      </c>
      <c r="E213" s="11" t="inlineStr">
        <is>
          <t>../../2024/jama.2024.25786/.ai_paper_validation/review_1_5_3/verification/evidence_recheck.md</t>
        </is>
      </c>
    </row>
    <row r="214" ht="90" customFormat="1" customHeight="1" s="8">
      <c r="A214" s="12" t="inlineStr">
        <is>
          <t>2024::jama.2024.25786::C007</t>
        </is>
      </c>
      <c r="B214" s="12" t="inlineStr">
        <is>
          <t>sourceLinks</t>
        </is>
      </c>
      <c r="C214" s="12" t="n">
        <v>0</v>
      </c>
      <c r="D214" s="12" t="inlineStr">
        <is>
          <t>Supplement 2, eTable 10, PDF p. 24</t>
        </is>
      </c>
      <c r="E214" s="12" t="inlineStr">
        <is>
          <t>../../2024/jama.2024.25786/joi240147supp2_prod_1738701765.29201.pdf#page=24</t>
        </is>
      </c>
    </row>
    <row r="215" ht="90" customFormat="1" customHeight="1" s="8">
      <c r="A215" s="11" t="inlineStr">
        <is>
          <t>2024::jama.2024.25786::C007</t>
        </is>
      </c>
      <c r="B215" s="11" t="inlineStr">
        <is>
          <t>sourceLinks</t>
        </is>
      </c>
      <c r="C215" s="11" t="n">
        <v>1</v>
      </c>
      <c r="D215" s="11" t="inlineStr">
        <is>
          <t>Main article, Figure 1, PDF p. 3</t>
        </is>
      </c>
      <c r="E215" s="11" t="inlineStr">
        <is>
          <t>../../2024/jama.2024.25786/jama_arleth_2024_oi_240147_1738701765.27201.pdf#page=3</t>
        </is>
      </c>
    </row>
    <row r="216" ht="90" customFormat="1" customHeight="1" s="8">
      <c r="A216" s="12" t="inlineStr">
        <is>
          <t>2024::jama.2024.25786::C007</t>
        </is>
      </c>
      <c r="B216" s="12" t="inlineStr">
        <is>
          <t>evidencePaths</t>
        </is>
      </c>
      <c r="C216" s="12" t="n">
        <v>0</v>
      </c>
      <c r="D216" s="12" t="inlineStr">
        <is>
          <t>2024/jama.2024.25786/.ai_paper_validation/review_1_5_3/source_inventory.md</t>
        </is>
      </c>
      <c r="E216" s="12" t="inlineStr">
        <is>
          <t>../../2024/jama.2024.25786/.ai_paper_validation/review_1_5_3/source_inventory.md</t>
        </is>
      </c>
    </row>
    <row r="217" ht="90" customFormat="1" customHeight="1" s="8">
      <c r="A217" s="11" t="inlineStr">
        <is>
          <t>2024::jama.2024.25786::C007</t>
        </is>
      </c>
      <c r="B217" s="11" t="inlineStr">
        <is>
          <t>evidencePaths</t>
        </is>
      </c>
      <c r="C217" s="11" t="n">
        <v>1</v>
      </c>
      <c r="D217" s="11" t="inlineStr">
        <is>
          <t>2024/jama.2024.25786/.ai_paper_validation/review_1_5_3/verification/evidence_recheck.md</t>
        </is>
      </c>
      <c r="E217" s="11" t="inlineStr">
        <is>
          <t>../../2024/jama.2024.25786/.ai_paper_validation/review_1_5_3/verification/evidence_recheck.md</t>
        </is>
      </c>
    </row>
    <row r="218" ht="90" customFormat="1" customHeight="1" s="8">
      <c r="A218" s="12" t="inlineStr">
        <is>
          <t>2024::jama.2024.25786::C008</t>
        </is>
      </c>
      <c r="B218" s="12" t="inlineStr">
        <is>
          <t>sourceLinks</t>
        </is>
      </c>
      <c r="C218" s="12" t="n">
        <v>0</v>
      </c>
      <c r="D218" s="12" t="inlineStr">
        <is>
          <t>Supplement 2, eTable 11, PDF p. 25</t>
        </is>
      </c>
      <c r="E218" s="12" t="inlineStr">
        <is>
          <t>../../2024/jama.2024.25786/joi240147supp2_prod_1738701765.29201.pdf#page=25</t>
        </is>
      </c>
    </row>
    <row r="219" ht="90" customFormat="1" customHeight="1" s="8">
      <c r="A219" s="11" t="inlineStr">
        <is>
          <t>2024::jama.2024.25786::C008</t>
        </is>
      </c>
      <c r="B219" s="11" t="inlineStr">
        <is>
          <t>evidencePaths</t>
        </is>
      </c>
      <c r="C219" s="11" t="n">
        <v>0</v>
      </c>
      <c r="D219" s="11" t="inlineStr">
        <is>
          <t>2024/jama.2024.25786/.ai_paper_validation/review_1_5_3/source_inventory.md</t>
        </is>
      </c>
      <c r="E219" s="11" t="inlineStr">
        <is>
          <t>../../2024/jama.2024.25786/.ai_paper_validation/review_1_5_3/source_inventory.md</t>
        </is>
      </c>
    </row>
    <row r="220" ht="90" customFormat="1" customHeight="1" s="8">
      <c r="A220" s="12" t="inlineStr">
        <is>
          <t>2024::jama.2024.4183::C001</t>
        </is>
      </c>
      <c r="B220" s="12" t="inlineStr">
        <is>
          <t>sourceLinks</t>
        </is>
      </c>
      <c r="C220" s="12" t="n">
        <v>0</v>
      </c>
      <c r="D220" s="12" t="inlineStr">
        <is>
          <t>Main article p. 1</t>
        </is>
      </c>
      <c r="E220" s="12" t="inlineStr">
        <is>
          <t>../../2024/jama.2024.4183/jama_cinciripini_2024_oi_240036_1716416465.98349.pdf#page=1</t>
        </is>
      </c>
    </row>
    <row r="221" ht="90" customFormat="1" customHeight="1" s="8">
      <c r="A221" s="11" t="inlineStr">
        <is>
          <t>2024::jama.2024.4183::C001</t>
        </is>
      </c>
      <c r="B221" s="11" t="inlineStr">
        <is>
          <t>sourceLinks</t>
        </is>
      </c>
      <c r="C221" s="11" t="n">
        <v>1</v>
      </c>
      <c r="D221" s="11" t="inlineStr">
        <is>
          <t>Main article p. 6</t>
        </is>
      </c>
      <c r="E221" s="11" t="inlineStr">
        <is>
          <t>../../2024/jama.2024.4183/jama_cinciripini_2024_oi_240036_1716416465.98349.pdf#page=6</t>
        </is>
      </c>
    </row>
    <row r="222" ht="90" customFormat="1" customHeight="1" s="8">
      <c r="A222" s="12" t="inlineStr">
        <is>
          <t>2024::jama.2024.4183::C001</t>
        </is>
      </c>
      <c r="B222" s="12" t="inlineStr">
        <is>
          <t>evidencePaths</t>
        </is>
      </c>
      <c r="C222" s="12" t="n">
        <v>0</v>
      </c>
      <c r="D222" s="12" t="inlineStr">
        <is>
          <t>2024/jama.2024.4183/.ai_paper_validation/review_1_5_3/source_inventory.md</t>
        </is>
      </c>
      <c r="E222" s="12" t="inlineStr">
        <is>
          <t>../../2024/jama.2024.4183/.ai_paper_validation/review_1_5_3/source_inventory.md</t>
        </is>
      </c>
    </row>
    <row r="223" ht="90" customFormat="1" customHeight="1" s="8">
      <c r="A223" s="11" t="inlineStr">
        <is>
          <t>2024::jama.2024.4183::C002</t>
        </is>
      </c>
      <c r="B223" s="11" t="inlineStr">
        <is>
          <t>sourceLinks</t>
        </is>
      </c>
      <c r="C223" s="11" t="n">
        <v>0</v>
      </c>
      <c r="D223" s="11" t="inlineStr">
        <is>
          <t>Main article p. 5</t>
        </is>
      </c>
      <c r="E223" s="11" t="inlineStr">
        <is>
          <t>../../2024/jama.2024.4183/jama_cinciripini_2024_oi_240036_1716416465.98349.pdf#page=5</t>
        </is>
      </c>
    </row>
    <row r="224" ht="90" customFormat="1" customHeight="1" s="8">
      <c r="A224" s="12" t="inlineStr">
        <is>
          <t>2024::jama.2024.4183::C002</t>
        </is>
      </c>
      <c r="B224" s="12" t="inlineStr">
        <is>
          <t>evidencePaths</t>
        </is>
      </c>
      <c r="C224" s="12" t="n">
        <v>0</v>
      </c>
      <c r="D224" s="12" t="inlineStr">
        <is>
          <t>2024/jama.2024.4183/.ai_paper_validation/review_1_5_3/source_inventory.md</t>
        </is>
      </c>
      <c r="E224" s="12" t="inlineStr">
        <is>
          <t>../../2024/jama.2024.4183/.ai_paper_validation/review_1_5_3/source_inventory.md</t>
        </is>
      </c>
    </row>
    <row r="225" ht="90" customFormat="1" customHeight="1" s="8">
      <c r="A225" s="11" t="inlineStr">
        <is>
          <t>2024::jama.2024.4183::C003</t>
        </is>
      </c>
      <c r="B225" s="11" t="inlineStr">
        <is>
          <t>sourceLinks</t>
        </is>
      </c>
      <c r="C225" s="11" t="n">
        <v>0</v>
      </c>
      <c r="D225" s="11" t="inlineStr">
        <is>
          <t>Main article p. 4</t>
        </is>
      </c>
      <c r="E225" s="11" t="inlineStr">
        <is>
          <t>../../2024/jama.2024.4183/jama_cinciripini_2024_oi_240036_1716416465.98349.pdf#page=4</t>
        </is>
      </c>
    </row>
    <row r="226" ht="90" customFormat="1" customHeight="1" s="8">
      <c r="A226" s="12" t="inlineStr">
        <is>
          <t>2024::jama.2024.4183::C003</t>
        </is>
      </c>
      <c r="B226" s="12" t="inlineStr">
        <is>
          <t>sourceLinks</t>
        </is>
      </c>
      <c r="C226" s="12" t="n">
        <v>1</v>
      </c>
      <c r="D226" s="12" t="inlineStr">
        <is>
          <t>Main article p. 6</t>
        </is>
      </c>
      <c r="E226" s="12" t="inlineStr">
        <is>
          <t>../../2024/jama.2024.4183/jama_cinciripini_2024_oi_240036_1716416465.98349.pdf#page=6</t>
        </is>
      </c>
    </row>
    <row r="227" ht="90" customFormat="1" customHeight="1" s="8">
      <c r="A227" s="11" t="inlineStr">
        <is>
          <t>2024::jama.2024.4183::C003</t>
        </is>
      </c>
      <c r="B227" s="11" t="inlineStr">
        <is>
          <t>evidencePaths</t>
        </is>
      </c>
      <c r="C227" s="11" t="n">
        <v>0</v>
      </c>
      <c r="D227" s="11" t="inlineStr">
        <is>
          <t>2024/jama.2024.4183/.ai_paper_validation/review_1_5_3/source_inventory.md</t>
        </is>
      </c>
      <c r="E227" s="11" t="inlineStr">
        <is>
          <t>../../2024/jama.2024.4183/.ai_paper_validation/review_1_5_3/source_inventory.md</t>
        </is>
      </c>
    </row>
    <row r="228" ht="90" customFormat="1" customHeight="1" s="8">
      <c r="A228" s="12" t="inlineStr">
        <is>
          <t>2024::jama.2024.4183::C004</t>
        </is>
      </c>
      <c r="B228" s="12" t="inlineStr">
        <is>
          <t>sourceLinks</t>
        </is>
      </c>
      <c r="C228" s="12" t="n">
        <v>0</v>
      </c>
      <c r="D228" s="12" t="inlineStr">
        <is>
          <t>Main article p. 1</t>
        </is>
      </c>
      <c r="E228" s="12" t="inlineStr">
        <is>
          <t>../../2024/jama.2024.4183/jama_cinciripini_2024_oi_240036_1716416465.98349.pdf#page=1</t>
        </is>
      </c>
    </row>
    <row r="229" ht="90" customFormat="1" customHeight="1" s="8">
      <c r="A229" s="11" t="inlineStr">
        <is>
          <t>2024::jama.2024.4183::C004</t>
        </is>
      </c>
      <c r="B229" s="11" t="inlineStr">
        <is>
          <t>sourceLinks</t>
        </is>
      </c>
      <c r="C229" s="11" t="n">
        <v>1</v>
      </c>
      <c r="D229" s="11" t="inlineStr">
        <is>
          <t>Main article p. 4</t>
        </is>
      </c>
      <c r="E229" s="11" t="inlineStr">
        <is>
          <t>../../2024/jama.2024.4183/jama_cinciripini_2024_oi_240036_1716416465.98349.pdf#page=4</t>
        </is>
      </c>
    </row>
    <row r="230" ht="90" customFormat="1" customHeight="1" s="8">
      <c r="A230" s="12" t="inlineStr">
        <is>
          <t>2024::jama.2024.4183::C004</t>
        </is>
      </c>
      <c r="B230" s="12" t="inlineStr">
        <is>
          <t>sourceLinks</t>
        </is>
      </c>
      <c r="C230" s="12" t="n">
        <v>2</v>
      </c>
      <c r="D230" s="12" t="inlineStr">
        <is>
          <t>Main article p. 6</t>
        </is>
      </c>
      <c r="E230" s="12" t="inlineStr">
        <is>
          <t>../../2024/jama.2024.4183/jama_cinciripini_2024_oi_240036_1716416465.98349.pdf#page=6</t>
        </is>
      </c>
    </row>
    <row r="231" ht="90" customFormat="1" customHeight="1" s="8">
      <c r="A231" s="11" t="inlineStr">
        <is>
          <t>2024::jama.2024.4183::C004</t>
        </is>
      </c>
      <c r="B231" s="11" t="inlineStr">
        <is>
          <t>evidencePaths</t>
        </is>
      </c>
      <c r="C231" s="11" t="n">
        <v>0</v>
      </c>
      <c r="D231" s="11" t="inlineStr">
        <is>
          <t>2024/jama.2024.4183/.ai_paper_validation/review_1_5_3/source_inventory.md</t>
        </is>
      </c>
      <c r="E231" s="11" t="inlineStr">
        <is>
          <t>../../2024/jama.2024.4183/.ai_paper_validation/review_1_5_3/source_inventory.md</t>
        </is>
      </c>
    </row>
    <row r="232" ht="90" customFormat="1" customHeight="1" s="8">
      <c r="A232" s="12" t="inlineStr">
        <is>
          <t>2024::jama.2024.4183::C005</t>
        </is>
      </c>
      <c r="B232" s="12" t="inlineStr">
        <is>
          <t>sourceLinks</t>
        </is>
      </c>
      <c r="C232" s="12" t="n">
        <v>0</v>
      </c>
      <c r="D232" s="12" t="inlineStr">
        <is>
          <t>Main article p. 1</t>
        </is>
      </c>
      <c r="E232" s="12" t="inlineStr">
        <is>
          <t>../../2024/jama.2024.4183/jama_cinciripini_2024_oi_240036_1716416465.98349.pdf#page=1</t>
        </is>
      </c>
    </row>
    <row r="233" ht="90" customFormat="1" customHeight="1" s="8">
      <c r="A233" s="11" t="inlineStr">
        <is>
          <t>2024::jama.2024.4183::C005</t>
        </is>
      </c>
      <c r="B233" s="11" t="inlineStr">
        <is>
          <t>sourceLinks</t>
        </is>
      </c>
      <c r="C233" s="11" t="n">
        <v>1</v>
      </c>
      <c r="D233" s="11" t="inlineStr">
        <is>
          <t>Main article p. 5</t>
        </is>
      </c>
      <c r="E233" s="11" t="inlineStr">
        <is>
          <t>../../2024/jama.2024.4183/jama_cinciripini_2024_oi_240036_1716416465.98349.pdf#page=5</t>
        </is>
      </c>
    </row>
    <row r="234" ht="90" customFormat="1" customHeight="1" s="8">
      <c r="A234" s="12" t="inlineStr">
        <is>
          <t>2024::jama.2024.4183::C005</t>
        </is>
      </c>
      <c r="B234" s="12" t="inlineStr">
        <is>
          <t>sourceLinks</t>
        </is>
      </c>
      <c r="C234" s="12" t="n">
        <v>2</v>
      </c>
      <c r="D234" s="12" t="inlineStr">
        <is>
          <t>Supplement 2 p. 21</t>
        </is>
      </c>
      <c r="E234" s="12" t="inlineStr">
        <is>
          <t>../../2024/jama.2024.4183/joi240036supp2_prod_1716416466.01349.pdf#page=21</t>
        </is>
      </c>
    </row>
    <row r="235" ht="90" customFormat="1" customHeight="1" s="8">
      <c r="A235" s="11" t="inlineStr">
        <is>
          <t>2024::jama.2024.4183::C005</t>
        </is>
      </c>
      <c r="B235" s="11" t="inlineStr">
        <is>
          <t>evidencePaths</t>
        </is>
      </c>
      <c r="C235" s="11" t="n">
        <v>0</v>
      </c>
      <c r="D235" s="11" t="inlineStr">
        <is>
          <t>2024/jama.2024.4183/.ai_paper_validation/review_1_5_3/source_inventory.md</t>
        </is>
      </c>
      <c r="E235" s="11" t="inlineStr">
        <is>
          <t>../../2024/jama.2024.4183/.ai_paper_validation/review_1_5_3/source_inventory.md</t>
        </is>
      </c>
    </row>
    <row r="236" ht="90" customFormat="1" customHeight="1" s="8">
      <c r="A236" s="12" t="inlineStr">
        <is>
          <t>2024::jama.2024.4183::C005</t>
        </is>
      </c>
      <c r="B236" s="12" t="inlineStr">
        <is>
          <t>evidencePaths</t>
        </is>
      </c>
      <c r="C236" s="12" t="n">
        <v>1</v>
      </c>
      <c r="D236" s="12" t="inlineStr">
        <is>
          <t>2024/jama.2024.4183/.ai_paper_validation/review_1_5_3/verification/evidence_recheck.md</t>
        </is>
      </c>
      <c r="E236" s="12" t="inlineStr">
        <is>
          <t>../../2024/jama.2024.4183/.ai_paper_validation/review_1_5_3/verification/evidence_recheck.md</t>
        </is>
      </c>
    </row>
    <row r="237" ht="90" customFormat="1" customHeight="1" s="8">
      <c r="A237" s="11" t="inlineStr">
        <is>
          <t>2024::jama.2024.4183::C006</t>
        </is>
      </c>
      <c r="B237" s="11" t="inlineStr">
        <is>
          <t>sourceLinks</t>
        </is>
      </c>
      <c r="C237" s="11" t="n">
        <v>0</v>
      </c>
      <c r="D237" s="11" t="inlineStr">
        <is>
          <t>Main article p. 1</t>
        </is>
      </c>
      <c r="E237" s="11" t="inlineStr">
        <is>
          <t>../../2024/jama.2024.4183/jama_cinciripini_2024_oi_240036_1716416465.98349.pdf#page=1</t>
        </is>
      </c>
    </row>
    <row r="238" ht="90" customFormat="1" customHeight="1" s="8">
      <c r="A238" s="12" t="inlineStr">
        <is>
          <t>2024::jama.2024.4183::C006</t>
        </is>
      </c>
      <c r="B238" s="12" t="inlineStr">
        <is>
          <t>sourceLinks</t>
        </is>
      </c>
      <c r="C238" s="12" t="n">
        <v>1</v>
      </c>
      <c r="D238" s="12" t="inlineStr">
        <is>
          <t>Main article p. 5</t>
        </is>
      </c>
      <c r="E238" s="12" t="inlineStr">
        <is>
          <t>../../2024/jama.2024.4183/jama_cinciripini_2024_oi_240036_1716416465.98349.pdf#page=5</t>
        </is>
      </c>
    </row>
    <row r="239" ht="90" customFormat="1" customHeight="1" s="8">
      <c r="A239" s="11" t="inlineStr">
        <is>
          <t>2024::jama.2024.4183::C006</t>
        </is>
      </c>
      <c r="B239" s="11" t="inlineStr">
        <is>
          <t>sourceLinks</t>
        </is>
      </c>
      <c r="C239" s="11" t="n">
        <v>2</v>
      </c>
      <c r="D239" s="11" t="inlineStr">
        <is>
          <t>Supplement 2 p. 21</t>
        </is>
      </c>
      <c r="E239" s="11" t="inlineStr">
        <is>
          <t>../../2024/jama.2024.4183/joi240036supp2_prod_1716416466.01349.pdf#page=21</t>
        </is>
      </c>
    </row>
    <row r="240" ht="90" customFormat="1" customHeight="1" s="8">
      <c r="A240" s="12" t="inlineStr">
        <is>
          <t>2024::jama.2024.4183::C006</t>
        </is>
      </c>
      <c r="B240" s="12" t="inlineStr">
        <is>
          <t>evidencePaths</t>
        </is>
      </c>
      <c r="C240" s="12" t="n">
        <v>0</v>
      </c>
      <c r="D240" s="12" t="inlineStr">
        <is>
          <t>2024/jama.2024.4183/.ai_paper_validation/review_1_5_3/source_inventory.md</t>
        </is>
      </c>
      <c r="E240" s="12" t="inlineStr">
        <is>
          <t>../../2024/jama.2024.4183/.ai_paper_validation/review_1_5_3/source_inventory.md</t>
        </is>
      </c>
    </row>
    <row r="241" ht="90" customFormat="1" customHeight="1" s="8">
      <c r="A241" s="11" t="inlineStr">
        <is>
          <t>2024::jama.2024.4183::C006</t>
        </is>
      </c>
      <c r="B241" s="11" t="inlineStr">
        <is>
          <t>evidencePaths</t>
        </is>
      </c>
      <c r="C241" s="11" t="n">
        <v>1</v>
      </c>
      <c r="D241" s="11" t="inlineStr">
        <is>
          <t>2024/jama.2024.4183/.ai_paper_validation/review_1_5_3/verification/evidence_recheck.md</t>
        </is>
      </c>
      <c r="E241" s="11" t="inlineStr">
        <is>
          <t>../../2024/jama.2024.4183/.ai_paper_validation/review_1_5_3/verification/evidence_recheck.md</t>
        </is>
      </c>
    </row>
    <row r="242" ht="90" customFormat="1" customHeight="1" s="8">
      <c r="A242" s="12" t="inlineStr">
        <is>
          <t>2024::jama.2024.4183::C007</t>
        </is>
      </c>
      <c r="B242" s="12" t="inlineStr">
        <is>
          <t>sourceLinks</t>
        </is>
      </c>
      <c r="C242" s="12" t="n">
        <v>0</v>
      </c>
      <c r="D242" s="12" t="inlineStr">
        <is>
          <t>Main article p. 1</t>
        </is>
      </c>
      <c r="E242" s="12" t="inlineStr">
        <is>
          <t>../../2024/jama.2024.4183/jama_cinciripini_2024_oi_240036_1716416465.98349.pdf#page=1</t>
        </is>
      </c>
    </row>
    <row r="243" ht="90" customFormat="1" customHeight="1" s="8">
      <c r="A243" s="11" t="inlineStr">
        <is>
          <t>2024::jama.2024.4183::C007</t>
        </is>
      </c>
      <c r="B243" s="11" t="inlineStr">
        <is>
          <t>sourceLinks</t>
        </is>
      </c>
      <c r="C243" s="11" t="n">
        <v>1</v>
      </c>
      <c r="D243" s="11" t="inlineStr">
        <is>
          <t>Main article p. 5</t>
        </is>
      </c>
      <c r="E243" s="11" t="inlineStr">
        <is>
          <t>../../2024/jama.2024.4183/jama_cinciripini_2024_oi_240036_1716416465.98349.pdf#page=5</t>
        </is>
      </c>
    </row>
    <row r="244" ht="90" customFormat="1" customHeight="1" s="8">
      <c r="A244" s="12" t="inlineStr">
        <is>
          <t>2024::jama.2024.4183::C007</t>
        </is>
      </c>
      <c r="B244" s="12" t="inlineStr">
        <is>
          <t>sourceLinks</t>
        </is>
      </c>
      <c r="C244" s="12" t="n">
        <v>2</v>
      </c>
      <c r="D244" s="12" t="inlineStr">
        <is>
          <t>Main article p. 7</t>
        </is>
      </c>
      <c r="E244" s="12" t="inlineStr">
        <is>
          <t>../../2024/jama.2024.4183/jama_cinciripini_2024_oi_240036_1716416465.98349.pdf#page=7</t>
        </is>
      </c>
    </row>
    <row r="245" ht="90" customFormat="1" customHeight="1" s="8">
      <c r="A245" s="11" t="inlineStr">
        <is>
          <t>2024::jama.2024.4183::C007</t>
        </is>
      </c>
      <c r="B245" s="11" t="inlineStr">
        <is>
          <t>sourceLinks</t>
        </is>
      </c>
      <c r="C245" s="11" t="n">
        <v>3</v>
      </c>
      <c r="D245" s="11" t="inlineStr">
        <is>
          <t>Supplement 2 p. 21</t>
        </is>
      </c>
      <c r="E245" s="11" t="inlineStr">
        <is>
          <t>../../2024/jama.2024.4183/joi240036supp2_prod_1716416466.01349.pdf#page=21</t>
        </is>
      </c>
    </row>
    <row r="246" ht="90" customFormat="1" customHeight="1" s="8">
      <c r="A246" s="12" t="inlineStr">
        <is>
          <t>2024::jama.2024.4183::C007</t>
        </is>
      </c>
      <c r="B246" s="12" t="inlineStr">
        <is>
          <t>evidencePaths</t>
        </is>
      </c>
      <c r="C246" s="12" t="n">
        <v>0</v>
      </c>
      <c r="D246" s="12" t="inlineStr">
        <is>
          <t>2024/jama.2024.4183/.ai_paper_validation/review_1_5_3/source_inventory.md</t>
        </is>
      </c>
      <c r="E246" s="12" t="inlineStr">
        <is>
          <t>../../2024/jama.2024.4183/.ai_paper_validation/review_1_5_3/source_inventory.md</t>
        </is>
      </c>
    </row>
    <row r="247" ht="90" customFormat="1" customHeight="1" s="8">
      <c r="A247" s="11" t="inlineStr">
        <is>
          <t>2024::jama.2024.4183::C007</t>
        </is>
      </c>
      <c r="B247" s="11" t="inlineStr">
        <is>
          <t>evidencePaths</t>
        </is>
      </c>
      <c r="C247" s="11" t="n">
        <v>1</v>
      </c>
      <c r="D247" s="11" t="inlineStr">
        <is>
          <t>2024/jama.2024.4183/.ai_paper_validation/review_1_5_3/verification/evidence_recheck.md</t>
        </is>
      </c>
      <c r="E247" s="11" t="inlineStr">
        <is>
          <t>../../2024/jama.2024.4183/.ai_paper_validation/review_1_5_3/verification/evidence_recheck.md</t>
        </is>
      </c>
    </row>
    <row r="248" ht="90" customFormat="1" customHeight="1" s="8">
      <c r="A248" s="12" t="inlineStr">
        <is>
          <t>2024::jama.2024.4183::C008</t>
        </is>
      </c>
      <c r="B248" s="12" t="inlineStr">
        <is>
          <t>sourceLinks</t>
        </is>
      </c>
      <c r="C248" s="12" t="n">
        <v>0</v>
      </c>
      <c r="D248" s="12" t="inlineStr">
        <is>
          <t>Main article p. 1</t>
        </is>
      </c>
      <c r="E248" s="12" t="inlineStr">
        <is>
          <t>../../2024/jama.2024.4183/jama_cinciripini_2024_oi_240036_1716416465.98349.pdf#page=1</t>
        </is>
      </c>
    </row>
    <row r="249" ht="90" customFormat="1" customHeight="1" s="8">
      <c r="A249" s="11" t="inlineStr">
        <is>
          <t>2024::jama.2024.4183::C008</t>
        </is>
      </c>
      <c r="B249" s="11" t="inlineStr">
        <is>
          <t>sourceLinks</t>
        </is>
      </c>
      <c r="C249" s="11" t="n">
        <v>1</v>
      </c>
      <c r="D249" s="11" t="inlineStr">
        <is>
          <t>Main article p. 5</t>
        </is>
      </c>
      <c r="E249" s="11" t="inlineStr">
        <is>
          <t>../../2024/jama.2024.4183/jama_cinciripini_2024_oi_240036_1716416465.98349.pdf#page=5</t>
        </is>
      </c>
    </row>
    <row r="250" ht="90" customFormat="1" customHeight="1" s="8">
      <c r="A250" s="12" t="inlineStr">
        <is>
          <t>2024::jama.2024.4183::C008</t>
        </is>
      </c>
      <c r="B250" s="12" t="inlineStr">
        <is>
          <t>sourceLinks</t>
        </is>
      </c>
      <c r="C250" s="12" t="n">
        <v>2</v>
      </c>
      <c r="D250" s="12" t="inlineStr">
        <is>
          <t>Supplement 2 p. 21</t>
        </is>
      </c>
      <c r="E250" s="12" t="inlineStr">
        <is>
          <t>../../2024/jama.2024.4183/joi240036supp2_prod_1716416466.01349.pdf#page=21</t>
        </is>
      </c>
    </row>
    <row r="251" ht="90" customFormat="1" customHeight="1" s="8">
      <c r="A251" s="11" t="inlineStr">
        <is>
          <t>2024::jama.2024.4183::C008</t>
        </is>
      </c>
      <c r="B251" s="11" t="inlineStr">
        <is>
          <t>evidencePaths</t>
        </is>
      </c>
      <c r="C251" s="11" t="n">
        <v>0</v>
      </c>
      <c r="D251" s="11" t="inlineStr">
        <is>
          <t>2024/jama.2024.4183/.ai_paper_validation/review_1_5_3/source_inventory.md</t>
        </is>
      </c>
      <c r="E251" s="11" t="inlineStr">
        <is>
          <t>../../2024/jama.2024.4183/.ai_paper_validation/review_1_5_3/source_inventory.md</t>
        </is>
      </c>
    </row>
    <row r="252" ht="90" customFormat="1" customHeight="1" s="8">
      <c r="A252" s="12" t="inlineStr">
        <is>
          <t>2024::jama.2024.4183::C009</t>
        </is>
      </c>
      <c r="B252" s="12" t="inlineStr">
        <is>
          <t>sourceLinks</t>
        </is>
      </c>
      <c r="C252" s="12" t="n">
        <v>0</v>
      </c>
      <c r="D252" s="12" t="inlineStr">
        <is>
          <t>Main article p. 7</t>
        </is>
      </c>
      <c r="E252" s="12" t="inlineStr">
        <is>
          <t>../../2024/jama.2024.4183/jama_cinciripini_2024_oi_240036_1716416465.98349.pdf#page=7</t>
        </is>
      </c>
    </row>
    <row r="253" ht="90" customFormat="1" customHeight="1" s="8">
      <c r="A253" s="11" t="inlineStr">
        <is>
          <t>2024::jama.2024.4183::C009</t>
        </is>
      </c>
      <c r="B253" s="11" t="inlineStr">
        <is>
          <t>sourceLinks</t>
        </is>
      </c>
      <c r="C253" s="11" t="n">
        <v>1</v>
      </c>
      <c r="D253" s="11" t="inlineStr">
        <is>
          <t>Supplement 2 p. 21</t>
        </is>
      </c>
      <c r="E253" s="11" t="inlineStr">
        <is>
          <t>../../2024/jama.2024.4183/joi240036supp2_prod_1716416466.01349.pdf#page=21</t>
        </is>
      </c>
    </row>
    <row r="254" ht="90" customFormat="1" customHeight="1" s="8">
      <c r="A254" s="12" t="inlineStr">
        <is>
          <t>2024::jama.2024.4183::C009</t>
        </is>
      </c>
      <c r="B254" s="12" t="inlineStr">
        <is>
          <t>evidencePaths</t>
        </is>
      </c>
      <c r="C254" s="12" t="n">
        <v>0</v>
      </c>
      <c r="D254" s="12" t="inlineStr">
        <is>
          <t>2024/jama.2024.4183/.ai_paper_validation/review_1_5_3/source_inventory.md</t>
        </is>
      </c>
      <c r="E254" s="12" t="inlineStr">
        <is>
          <t>../../2024/jama.2024.4183/.ai_paper_validation/review_1_5_3/source_inventory.md</t>
        </is>
      </c>
    </row>
    <row r="255" ht="90" customFormat="1" customHeight="1" s="8">
      <c r="A255" s="11" t="inlineStr">
        <is>
          <t>2024::jama.2024.4183::C010</t>
        </is>
      </c>
      <c r="B255" s="11" t="inlineStr">
        <is>
          <t>sourceLinks</t>
        </is>
      </c>
      <c r="C255" s="11" t="n">
        <v>0</v>
      </c>
      <c r="D255" s="11" t="inlineStr">
        <is>
          <t>Protocol p. 32</t>
        </is>
      </c>
      <c r="E255" s="11" t="inlineStr">
        <is>
          <t>../../2024/jama.2024.4183/joi240036supp1_prod_1716416466.00349.pdf#page=32</t>
        </is>
      </c>
    </row>
    <row r="256" ht="90" customFormat="1" customHeight="1" s="8">
      <c r="A256" s="12" t="inlineStr">
        <is>
          <t>2024::jama.2024.4183::C010</t>
        </is>
      </c>
      <c r="B256" s="12" t="inlineStr">
        <is>
          <t>evidencePaths</t>
        </is>
      </c>
      <c r="C256" s="12" t="n">
        <v>0</v>
      </c>
      <c r="D256" s="12" t="inlineStr">
        <is>
          <t>2024/jama.2024.4183/.ai_paper_validation/review_1_5_3/source_inventory.md</t>
        </is>
      </c>
      <c r="E256" s="12" t="inlineStr">
        <is>
          <t>../../2024/jama.2024.4183/.ai_paper_validation/review_1_5_3/source_inventory.md</t>
        </is>
      </c>
    </row>
    <row r="257" ht="90" customFormat="1" customHeight="1" s="8">
      <c r="A257" s="11" t="inlineStr">
        <is>
          <t>2024::jama.2024.4183::C010</t>
        </is>
      </c>
      <c r="B257" s="11" t="inlineStr">
        <is>
          <t>evidencePaths</t>
        </is>
      </c>
      <c r="C257" s="11" t="n">
        <v>1</v>
      </c>
      <c r="D257" s="11" t="inlineStr">
        <is>
          <t>2024/jama.2024.4183/.ai_paper_validation/review_1_5_3/verification/evidence_recheck.md</t>
        </is>
      </c>
      <c r="E257" s="11" t="inlineStr">
        <is>
          <t>../../2024/jama.2024.4183/.ai_paper_validation/review_1_5_3/verification/evidence_recheck.md</t>
        </is>
      </c>
    </row>
    <row r="258" ht="90" customFormat="1" customHeight="1" s="8">
      <c r="A258" s="12" t="inlineStr">
        <is>
          <t>2024::jama.2024.4183::C011</t>
        </is>
      </c>
      <c r="B258" s="12" t="inlineStr">
        <is>
          <t>sourceLinks</t>
        </is>
      </c>
      <c r="C258" s="12" t="n">
        <v>0</v>
      </c>
      <c r="D258" s="12" t="inlineStr">
        <is>
          <t>Protocol p. 34</t>
        </is>
      </c>
      <c r="E258" s="12" t="inlineStr">
        <is>
          <t>../../2024/jama.2024.4183/joi240036supp1_prod_1716416466.00349.pdf#page=34</t>
        </is>
      </c>
    </row>
    <row r="259" ht="90" customFormat="1" customHeight="1" s="8">
      <c r="A259" s="11" t="inlineStr">
        <is>
          <t>2024::jama.2024.4183::C011</t>
        </is>
      </c>
      <c r="B259" s="11" t="inlineStr">
        <is>
          <t>evidencePaths</t>
        </is>
      </c>
      <c r="C259" s="11" t="n">
        <v>0</v>
      </c>
      <c r="D259" s="11" t="inlineStr">
        <is>
          <t>2024/jama.2024.4183/.ai_paper_validation/review_1_5_3/source_inventory.md</t>
        </is>
      </c>
      <c r="E259" s="11" t="inlineStr">
        <is>
          <t>../../2024/jama.2024.4183/.ai_paper_validation/review_1_5_3/source_inventory.md</t>
        </is>
      </c>
    </row>
    <row r="260" ht="90" customFormat="1" customHeight="1" s="8">
      <c r="A260" s="12" t="inlineStr">
        <is>
          <t>2024::jama.2024.4183::C011</t>
        </is>
      </c>
      <c r="B260" s="12" t="inlineStr">
        <is>
          <t>evidencePaths</t>
        </is>
      </c>
      <c r="C260" s="12" t="n">
        <v>1</v>
      </c>
      <c r="D260" s="12" t="inlineStr">
        <is>
          <t>2024/jama.2024.4183/.ai_paper_validation/review_1_5_3/verification/evidence_recheck.md</t>
        </is>
      </c>
      <c r="E260" s="12" t="inlineStr">
        <is>
          <t>../../2024/jama.2024.4183/.ai_paper_validation/review_1_5_3/verification/evidence_recheck.md</t>
        </is>
      </c>
    </row>
    <row r="261" ht="90" customFormat="1" customHeight="1" s="8">
      <c r="A261" s="11" t="inlineStr">
        <is>
          <t>2024::jama.2024.4183::C012</t>
        </is>
      </c>
      <c r="B261" s="11" t="inlineStr">
        <is>
          <t>sourceLinks</t>
        </is>
      </c>
      <c r="C261" s="11" t="n">
        <v>0</v>
      </c>
      <c r="D261" s="11" t="inlineStr">
        <is>
          <t>Protocol p. 29</t>
        </is>
      </c>
      <c r="E261" s="11" t="inlineStr">
        <is>
          <t>../../2024/jama.2024.4183/joi240036supp1_prod_1716416466.00349.pdf#page=29</t>
        </is>
      </c>
    </row>
    <row r="262" ht="90" customFormat="1" customHeight="1" s="8">
      <c r="A262" s="12" t="inlineStr">
        <is>
          <t>2024::jama.2024.4183::C012</t>
        </is>
      </c>
      <c r="B262" s="12" t="inlineStr">
        <is>
          <t>sourceLinks</t>
        </is>
      </c>
      <c r="C262" s="12" t="n">
        <v>1</v>
      </c>
      <c r="D262" s="12" t="inlineStr">
        <is>
          <t>Protocol p. 33</t>
        </is>
      </c>
      <c r="E262" s="12" t="inlineStr">
        <is>
          <t>../../2024/jama.2024.4183/joi240036supp1_prod_1716416466.00349.pdf#page=33</t>
        </is>
      </c>
    </row>
    <row r="263" ht="90" customFormat="1" customHeight="1" s="8">
      <c r="A263" s="11" t="inlineStr">
        <is>
          <t>2024::jama.2024.4183::C012</t>
        </is>
      </c>
      <c r="B263" s="11" t="inlineStr">
        <is>
          <t>sourceLinks</t>
        </is>
      </c>
      <c r="C263" s="11" t="n">
        <v>2</v>
      </c>
      <c r="D263" s="11" t="inlineStr">
        <is>
          <t>Protocol p. 34</t>
        </is>
      </c>
      <c r="E263" s="11" t="inlineStr">
        <is>
          <t>../../2024/jama.2024.4183/joi240036supp1_prod_1716416466.00349.pdf#page=34</t>
        </is>
      </c>
    </row>
    <row r="264" ht="90" customFormat="1" customHeight="1" s="8">
      <c r="A264" s="12" t="inlineStr">
        <is>
          <t>2024::jama.2024.4183::C012</t>
        </is>
      </c>
      <c r="B264" s="12" t="inlineStr">
        <is>
          <t>evidencePaths</t>
        </is>
      </c>
      <c r="C264" s="12" t="n">
        <v>0</v>
      </c>
      <c r="D264" s="12" t="inlineStr">
        <is>
          <t>2024/jama.2024.4183/.ai_paper_validation/review_1_5_3/source_inventory.md</t>
        </is>
      </c>
      <c r="E264" s="12" t="inlineStr">
        <is>
          <t>../../2024/jama.2024.4183/.ai_paper_validation/review_1_5_3/source_inventory.md</t>
        </is>
      </c>
    </row>
    <row r="265" ht="90" customFormat="1" customHeight="1" s="8">
      <c r="A265" s="11" t="inlineStr">
        <is>
          <t>2024::jama.2024.4183::C012</t>
        </is>
      </c>
      <c r="B265" s="11" t="inlineStr">
        <is>
          <t>evidencePaths</t>
        </is>
      </c>
      <c r="C265" s="11" t="n">
        <v>1</v>
      </c>
      <c r="D265" s="11" t="inlineStr">
        <is>
          <t>2024/jama.2024.4183/.ai_paper_validation/review_1_5_3/verification/evidence_recheck.md</t>
        </is>
      </c>
      <c r="E265" s="11" t="inlineStr">
        <is>
          <t>../../2024/jama.2024.4183/.ai_paper_validation/review_1_5_3/verification/evidence_recheck.md</t>
        </is>
      </c>
    </row>
    <row r="266" ht="90" customFormat="1" customHeight="1" s="8">
      <c r="A266" s="12" t="inlineStr">
        <is>
          <t>2024::jama.2024.4183::C013</t>
        </is>
      </c>
      <c r="B266" s="12" t="inlineStr">
        <is>
          <t>sourceLinks</t>
        </is>
      </c>
      <c r="C266" s="12" t="n">
        <v>0</v>
      </c>
      <c r="D266" s="12" t="inlineStr">
        <is>
          <t>Supplement 2 p. 19</t>
        </is>
      </c>
      <c r="E266" s="12" t="inlineStr">
        <is>
          <t>../../2024/jama.2024.4183/joi240036supp2_prod_1716416466.01349.pdf#page=19</t>
        </is>
      </c>
    </row>
    <row r="267" ht="90" customFormat="1" customHeight="1" s="8">
      <c r="A267" s="11" t="inlineStr">
        <is>
          <t>2024::jama.2024.4183::C013</t>
        </is>
      </c>
      <c r="B267" s="11" t="inlineStr">
        <is>
          <t>evidencePaths</t>
        </is>
      </c>
      <c r="C267" s="11" t="n">
        <v>0</v>
      </c>
      <c r="D267" s="11" t="inlineStr">
        <is>
          <t>2024/jama.2024.4183/.ai_paper_validation/review_1_5_3/source_inventory.md</t>
        </is>
      </c>
      <c r="E267" s="11" t="inlineStr">
        <is>
          <t>../../2024/jama.2024.4183/.ai_paper_validation/review_1_5_3/source_inventory.md</t>
        </is>
      </c>
    </row>
    <row r="268" ht="90" customFormat="1" customHeight="1" s="8">
      <c r="A268" s="12" t="inlineStr">
        <is>
          <t>2024::jama.2024.4183::C014</t>
        </is>
      </c>
      <c r="B268" s="12" t="inlineStr">
        <is>
          <t>sourceLinks</t>
        </is>
      </c>
      <c r="C268" s="12" t="n">
        <v>0</v>
      </c>
      <c r="D268" s="12" t="inlineStr">
        <is>
          <t>Supplement 2 p. 10</t>
        </is>
      </c>
      <c r="E268" s="12" t="inlineStr">
        <is>
          <t>../../2024/jama.2024.4183/joi240036supp2_prod_1716416466.01349.pdf#page=10</t>
        </is>
      </c>
    </row>
    <row r="269" ht="90" customFormat="1" customHeight="1" s="8">
      <c r="A269" s="11" t="inlineStr">
        <is>
          <t>2024::jama.2024.4183::C014</t>
        </is>
      </c>
      <c r="B269" s="11" t="inlineStr">
        <is>
          <t>sourceLinks</t>
        </is>
      </c>
      <c r="C269" s="11" t="n">
        <v>1</v>
      </c>
      <c r="D269" s="11" t="inlineStr">
        <is>
          <t>Supplement 2 p. 15</t>
        </is>
      </c>
      <c r="E269" s="11" t="inlineStr">
        <is>
          <t>../../2024/jama.2024.4183/joi240036supp2_prod_1716416466.01349.pdf#page=15</t>
        </is>
      </c>
    </row>
    <row r="270" ht="90" customFormat="1" customHeight="1" s="8">
      <c r="A270" s="12" t="inlineStr">
        <is>
          <t>2024::jama.2024.4183::C014</t>
        </is>
      </c>
      <c r="B270" s="12" t="inlineStr">
        <is>
          <t>evidencePaths</t>
        </is>
      </c>
      <c r="C270" s="12" t="n">
        <v>0</v>
      </c>
      <c r="D270" s="12" t="inlineStr">
        <is>
          <t>2024/jama.2024.4183/.ai_paper_validation/review_1_5_3/source_inventory.md</t>
        </is>
      </c>
      <c r="E270" s="12" t="inlineStr">
        <is>
          <t>../../2024/jama.2024.4183/.ai_paper_validation/review_1_5_3/source_inventory.md</t>
        </is>
      </c>
    </row>
    <row r="271" ht="90" customFormat="1" customHeight="1" s="8">
      <c r="A271" s="11" t="inlineStr">
        <is>
          <t>2024::jama.2024.4183::C015</t>
        </is>
      </c>
      <c r="B271" s="11" t="inlineStr">
        <is>
          <t>sourceLinks</t>
        </is>
      </c>
      <c r="C271" s="11" t="n">
        <v>0</v>
      </c>
      <c r="D271" s="11" t="inlineStr">
        <is>
          <t>Supplement 2 p. 10</t>
        </is>
      </c>
      <c r="E271" s="11" t="inlineStr">
        <is>
          <t>../../2024/jama.2024.4183/joi240036supp2_prod_1716416466.01349.pdf#page=10</t>
        </is>
      </c>
    </row>
    <row r="272" ht="90" customFormat="1" customHeight="1" s="8">
      <c r="A272" s="12" t="inlineStr">
        <is>
          <t>2024::jama.2024.4183::C015</t>
        </is>
      </c>
      <c r="B272" s="12" t="inlineStr">
        <is>
          <t>sourceLinks</t>
        </is>
      </c>
      <c r="C272" s="12" t="n">
        <v>1</v>
      </c>
      <c r="D272" s="12" t="inlineStr">
        <is>
          <t>Supplement 2 p. 15</t>
        </is>
      </c>
      <c r="E272" s="12" t="inlineStr">
        <is>
          <t>../../2024/jama.2024.4183/joi240036supp2_prod_1716416466.01349.pdf#page=15</t>
        </is>
      </c>
    </row>
    <row r="273" ht="90" customFormat="1" customHeight="1" s="8">
      <c r="A273" s="11" t="inlineStr">
        <is>
          <t>2024::jama.2024.4183::C015</t>
        </is>
      </c>
      <c r="B273" s="11" t="inlineStr">
        <is>
          <t>evidencePaths</t>
        </is>
      </c>
      <c r="C273" s="11" t="n">
        <v>0</v>
      </c>
      <c r="D273" s="11" t="inlineStr">
        <is>
          <t>2024/jama.2024.4183/.ai_paper_validation/review_1_5_3/source_inventory.md</t>
        </is>
      </c>
      <c r="E273" s="11" t="inlineStr">
        <is>
          <t>../../2024/jama.2024.4183/.ai_paper_validation/review_1_5_3/source_inventory.md</t>
        </is>
      </c>
    </row>
    <row r="274" ht="90" customFormat="1" customHeight="1" s="8">
      <c r="A274" s="12" t="inlineStr">
        <is>
          <t>2024::jama.2024.4183::C016</t>
        </is>
      </c>
      <c r="B274" s="12" t="inlineStr">
        <is>
          <t>sourceLinks</t>
        </is>
      </c>
      <c r="C274" s="12" t="n">
        <v>0</v>
      </c>
      <c r="D274" s="12" t="inlineStr">
        <is>
          <t>Supplement 2 p. 10</t>
        </is>
      </c>
      <c r="E274" s="12" t="inlineStr">
        <is>
          <t>../../2024/jama.2024.4183/joi240036supp2_prod_1716416466.01349.pdf#page=10</t>
        </is>
      </c>
    </row>
    <row r="275" ht="90" customFormat="1" customHeight="1" s="8">
      <c r="A275" s="11" t="inlineStr">
        <is>
          <t>2024::jama.2024.4183::C016</t>
        </is>
      </c>
      <c r="B275" s="11" t="inlineStr">
        <is>
          <t>sourceLinks</t>
        </is>
      </c>
      <c r="C275" s="11" t="n">
        <v>1</v>
      </c>
      <c r="D275" s="11" t="inlineStr">
        <is>
          <t>Supplement 2 p. 33</t>
        </is>
      </c>
      <c r="E275" s="11" t="inlineStr">
        <is>
          <t>../../2024/jama.2024.4183/joi240036supp2_prod_1716416466.01349.pdf#page=33</t>
        </is>
      </c>
    </row>
    <row r="276" ht="90" customFormat="1" customHeight="1" s="8">
      <c r="A276" s="12" t="inlineStr">
        <is>
          <t>2024::jama.2024.4183::C016</t>
        </is>
      </c>
      <c r="B276" s="12" t="inlineStr">
        <is>
          <t>evidencePaths</t>
        </is>
      </c>
      <c r="C276" s="12" t="n">
        <v>0</v>
      </c>
      <c r="D276" s="12" t="inlineStr">
        <is>
          <t>2024/jama.2024.4183/.ai_paper_validation/review_1_5_3/source_inventory.md</t>
        </is>
      </c>
      <c r="E276" s="12" t="inlineStr">
        <is>
          <t>../../2024/jama.2024.4183/.ai_paper_validation/review_1_5_3/source_inventory.md</t>
        </is>
      </c>
    </row>
    <row r="277" ht="90" customFormat="1" customHeight="1" s="8">
      <c r="A277" s="11" t="inlineStr">
        <is>
          <t>2024::jama.2024.4183::C017</t>
        </is>
      </c>
      <c r="B277" s="11" t="inlineStr">
        <is>
          <t>sourceLinks</t>
        </is>
      </c>
      <c r="C277" s="11" t="n">
        <v>0</v>
      </c>
      <c r="D277" s="11" t="inlineStr">
        <is>
          <t>Supplement 2 p. 10</t>
        </is>
      </c>
      <c r="E277" s="11" t="inlineStr">
        <is>
          <t>../../2024/jama.2024.4183/joi240036supp2_prod_1716416466.01349.pdf#page=10</t>
        </is>
      </c>
    </row>
    <row r="278" ht="90" customFormat="1" customHeight="1" s="8">
      <c r="A278" s="12" t="inlineStr">
        <is>
          <t>2024::jama.2024.4183::C017</t>
        </is>
      </c>
      <c r="B278" s="12" t="inlineStr">
        <is>
          <t>sourceLinks</t>
        </is>
      </c>
      <c r="C278" s="12" t="n">
        <v>1</v>
      </c>
      <c r="D278" s="12" t="inlineStr">
        <is>
          <t>Supplement 2 p. 11</t>
        </is>
      </c>
      <c r="E278" s="12" t="inlineStr">
        <is>
          <t>../../2024/jama.2024.4183/joi240036supp2_prod_1716416466.01349.pdf#page=11</t>
        </is>
      </c>
    </row>
    <row r="279" ht="90" customFormat="1" customHeight="1" s="8">
      <c r="A279" s="11" t="inlineStr">
        <is>
          <t>2024::jama.2024.4183::C017</t>
        </is>
      </c>
      <c r="B279" s="11" t="inlineStr">
        <is>
          <t>sourceLinks</t>
        </is>
      </c>
      <c r="C279" s="11" t="n">
        <v>2</v>
      </c>
      <c r="D279" s="11" t="inlineStr">
        <is>
          <t>Supplement 2 p. 15</t>
        </is>
      </c>
      <c r="E279" s="11" t="inlineStr">
        <is>
          <t>../../2024/jama.2024.4183/joi240036supp2_prod_1716416466.01349.pdf#page=15</t>
        </is>
      </c>
    </row>
    <row r="280" ht="90" customFormat="1" customHeight="1" s="8">
      <c r="A280" s="12" t="inlineStr">
        <is>
          <t>2024::jama.2024.4183::C017</t>
        </is>
      </c>
      <c r="B280" s="12" t="inlineStr">
        <is>
          <t>sourceLinks</t>
        </is>
      </c>
      <c r="C280" s="12" t="n">
        <v>3</v>
      </c>
      <c r="D280" s="12" t="inlineStr">
        <is>
          <t>Supplement 2 p. 33</t>
        </is>
      </c>
      <c r="E280" s="12" t="inlineStr">
        <is>
          <t>../../2024/jama.2024.4183/joi240036supp2_prod_1716416466.01349.pdf#page=33</t>
        </is>
      </c>
    </row>
    <row r="281" ht="90" customFormat="1" customHeight="1" s="8">
      <c r="A281" s="11" t="inlineStr">
        <is>
          <t>2024::jama.2024.4183::C017</t>
        </is>
      </c>
      <c r="B281" s="11" t="inlineStr">
        <is>
          <t>sourceLinks</t>
        </is>
      </c>
      <c r="C281" s="11" t="n">
        <v>4</v>
      </c>
      <c r="D281" s="11" t="inlineStr">
        <is>
          <t>Supplement 2 p. 34</t>
        </is>
      </c>
      <c r="E281" s="11" t="inlineStr">
        <is>
          <t>../../2024/jama.2024.4183/joi240036supp2_prod_1716416466.01349.pdf#page=34</t>
        </is>
      </c>
    </row>
    <row r="282" ht="90" customFormat="1" customHeight="1" s="8">
      <c r="A282" s="12" t="inlineStr">
        <is>
          <t>2024::jama.2024.4183::C017</t>
        </is>
      </c>
      <c r="B282" s="12" t="inlineStr">
        <is>
          <t>evidencePaths</t>
        </is>
      </c>
      <c r="C282" s="12" t="n">
        <v>0</v>
      </c>
      <c r="D282" s="12" t="inlineStr">
        <is>
          <t>2024/jama.2024.4183/.ai_paper_validation/review_1_5_3/source_inventory.md</t>
        </is>
      </c>
      <c r="E282" s="12" t="inlineStr">
        <is>
          <t>../../2024/jama.2024.4183/.ai_paper_validation/review_1_5_3/source_inventory.md</t>
        </is>
      </c>
    </row>
    <row r="283" ht="90" customFormat="1" customHeight="1" s="8">
      <c r="A283" s="11" t="inlineStr">
        <is>
          <t>2024::jama.2024.4183::C018</t>
        </is>
      </c>
      <c r="B283" s="11" t="inlineStr">
        <is>
          <t>sourceLinks</t>
        </is>
      </c>
      <c r="C283" s="11" t="n">
        <v>0</v>
      </c>
      <c r="D283" s="11" t="inlineStr">
        <is>
          <t>Supplement 2 p. 11</t>
        </is>
      </c>
      <c r="E283" s="11" t="inlineStr">
        <is>
          <t>../../2024/jama.2024.4183/joi240036supp2_prod_1716416466.01349.pdf#page=11</t>
        </is>
      </c>
    </row>
    <row r="284" ht="90" customFormat="1" customHeight="1" s="8">
      <c r="A284" s="12" t="inlineStr">
        <is>
          <t>2024::jama.2024.4183::C018</t>
        </is>
      </c>
      <c r="B284" s="12" t="inlineStr">
        <is>
          <t>sourceLinks</t>
        </is>
      </c>
      <c r="C284" s="12" t="n">
        <v>1</v>
      </c>
      <c r="D284" s="12" t="inlineStr">
        <is>
          <t>Supplement 2 p. 15</t>
        </is>
      </c>
      <c r="E284" s="12" t="inlineStr">
        <is>
          <t>../../2024/jama.2024.4183/joi240036supp2_prod_1716416466.01349.pdf#page=15</t>
        </is>
      </c>
    </row>
    <row r="285" ht="90" customFormat="1" customHeight="1" s="8">
      <c r="A285" s="11" t="inlineStr">
        <is>
          <t>2024::jama.2024.4183::C018</t>
        </is>
      </c>
      <c r="B285" s="11" t="inlineStr">
        <is>
          <t>sourceLinks</t>
        </is>
      </c>
      <c r="C285" s="11" t="n">
        <v>2</v>
      </c>
      <c r="D285" s="11" t="inlineStr">
        <is>
          <t>Supplement 2 p. 35</t>
        </is>
      </c>
      <c r="E285" s="11" t="inlineStr">
        <is>
          <t>../../2024/jama.2024.4183/joi240036supp2_prod_1716416466.01349.pdf#page=35</t>
        </is>
      </c>
    </row>
    <row r="286" ht="90" customFormat="1" customHeight="1" s="8">
      <c r="A286" s="12" t="inlineStr">
        <is>
          <t>2024::jama.2024.4183::C018</t>
        </is>
      </c>
      <c r="B286" s="12" t="inlineStr">
        <is>
          <t>evidencePaths</t>
        </is>
      </c>
      <c r="C286" s="12" t="n">
        <v>0</v>
      </c>
      <c r="D286" s="12" t="inlineStr">
        <is>
          <t>2024/jama.2024.4183/.ai_paper_validation/review_1_5_3/source_inventory.md</t>
        </is>
      </c>
      <c r="E286" s="12" t="inlineStr">
        <is>
          <t>../../2024/jama.2024.4183/.ai_paper_validation/review_1_5_3/source_inventory.md</t>
        </is>
      </c>
    </row>
    <row r="287" ht="90" customFormat="1" customHeight="1" s="8">
      <c r="A287" s="11" t="inlineStr">
        <is>
          <t>2024::jama.2024.4183::C019</t>
        </is>
      </c>
      <c r="B287" s="11" t="inlineStr">
        <is>
          <t>sourceLinks</t>
        </is>
      </c>
      <c r="C287" s="11" t="n">
        <v>0</v>
      </c>
      <c r="D287" s="11" t="inlineStr">
        <is>
          <t>Supplement 2 p. 11</t>
        </is>
      </c>
      <c r="E287" s="11" t="inlineStr">
        <is>
          <t>../../2024/jama.2024.4183/joi240036supp2_prod_1716416466.01349.pdf#page=11</t>
        </is>
      </c>
    </row>
    <row r="288" ht="90" customFormat="1" customHeight="1" s="8">
      <c r="A288" s="12" t="inlineStr">
        <is>
          <t>2024::jama.2024.4183::C019</t>
        </is>
      </c>
      <c r="B288" s="12" t="inlineStr">
        <is>
          <t>sourceLinks</t>
        </is>
      </c>
      <c r="C288" s="12" t="n">
        <v>1</v>
      </c>
      <c r="D288" s="12" t="inlineStr">
        <is>
          <t>Supplement 2 p. 31</t>
        </is>
      </c>
      <c r="E288" s="12" t="inlineStr">
        <is>
          <t>../../2024/jama.2024.4183/joi240036supp2_prod_1716416466.01349.pdf#page=31</t>
        </is>
      </c>
    </row>
    <row r="289" ht="90" customFormat="1" customHeight="1" s="8">
      <c r="A289" s="11" t="inlineStr">
        <is>
          <t>2024::jama.2024.4183::C019</t>
        </is>
      </c>
      <c r="B289" s="11" t="inlineStr">
        <is>
          <t>sourceLinks</t>
        </is>
      </c>
      <c r="C289" s="11" t="n">
        <v>2</v>
      </c>
      <c r="D289" s="11" t="inlineStr">
        <is>
          <t>Supplement 2 p. 33</t>
        </is>
      </c>
      <c r="E289" s="11" t="inlineStr">
        <is>
          <t>../../2024/jama.2024.4183/joi240036supp2_prod_1716416466.01349.pdf#page=33</t>
        </is>
      </c>
    </row>
    <row r="290" ht="90" customFormat="1" customHeight="1" s="8">
      <c r="A290" s="12" t="inlineStr">
        <is>
          <t>2024::jama.2024.4183::C019</t>
        </is>
      </c>
      <c r="B290" s="12" t="inlineStr">
        <is>
          <t>evidencePaths</t>
        </is>
      </c>
      <c r="C290" s="12" t="n">
        <v>0</v>
      </c>
      <c r="D290" s="12" t="inlineStr">
        <is>
          <t>2024/jama.2024.4183/.ai_paper_validation/review_1_5_3/source_inventory.md</t>
        </is>
      </c>
      <c r="E290" s="12" t="inlineStr">
        <is>
          <t>../../2024/jama.2024.4183/.ai_paper_validation/review_1_5_3/source_inventory.md</t>
        </is>
      </c>
    </row>
    <row r="291" ht="90" customFormat="1" customHeight="1" s="8">
      <c r="A291" s="11" t="inlineStr">
        <is>
          <t>2024::jama.2024.4183::C020</t>
        </is>
      </c>
      <c r="B291" s="11" t="inlineStr">
        <is>
          <t>sourceLinks</t>
        </is>
      </c>
      <c r="C291" s="11" t="n">
        <v>0</v>
      </c>
      <c r="D291" s="11" t="inlineStr">
        <is>
          <t>Supplement 2 p. 12</t>
        </is>
      </c>
      <c r="E291" s="11" t="inlineStr">
        <is>
          <t>../../2024/jama.2024.4183/joi240036supp2_prod_1716416466.01349.pdf#page=12</t>
        </is>
      </c>
    </row>
    <row r="292" ht="90" customFormat="1" customHeight="1" s="8">
      <c r="A292" s="12" t="inlineStr">
        <is>
          <t>2024::jama.2024.4183::C020</t>
        </is>
      </c>
      <c r="B292" s="12" t="inlineStr">
        <is>
          <t>sourceLinks</t>
        </is>
      </c>
      <c r="C292" s="12" t="n">
        <v>1</v>
      </c>
      <c r="D292" s="12" t="inlineStr">
        <is>
          <t>Supplement 2 p. 16</t>
        </is>
      </c>
      <c r="E292" s="12" t="inlineStr">
        <is>
          <t>../../2024/jama.2024.4183/joi240036supp2_prod_1716416466.01349.pdf#page=16</t>
        </is>
      </c>
    </row>
    <row r="293" ht="90" customFormat="1" customHeight="1" s="8">
      <c r="A293" s="11" t="inlineStr">
        <is>
          <t>2024::jama.2024.4183::C020</t>
        </is>
      </c>
      <c r="B293" s="11" t="inlineStr">
        <is>
          <t>sourceLinks</t>
        </is>
      </c>
      <c r="C293" s="11" t="n">
        <v>2</v>
      </c>
      <c r="D293" s="11" t="inlineStr">
        <is>
          <t>Supplement 2 p. 35</t>
        </is>
      </c>
      <c r="E293" s="11" t="inlineStr">
        <is>
          <t>../../2024/jama.2024.4183/joi240036supp2_prod_1716416466.01349.pdf#page=35</t>
        </is>
      </c>
    </row>
    <row r="294" ht="90" customFormat="1" customHeight="1" s="8">
      <c r="A294" s="12" t="inlineStr">
        <is>
          <t>2024::jama.2024.4183::C020</t>
        </is>
      </c>
      <c r="B294" s="12" t="inlineStr">
        <is>
          <t>evidencePaths</t>
        </is>
      </c>
      <c r="C294" s="12" t="n">
        <v>0</v>
      </c>
      <c r="D294" s="12" t="inlineStr">
        <is>
          <t>2024/jama.2024.4183/.ai_paper_validation/review_1_5_3/source_inventory.md</t>
        </is>
      </c>
      <c r="E294" s="12" t="inlineStr">
        <is>
          <t>../../2024/jama.2024.4183/.ai_paper_validation/review_1_5_3/source_inventory.md</t>
        </is>
      </c>
    </row>
    <row r="295" ht="90" customFormat="1" customHeight="1" s="8">
      <c r="A295" s="11" t="inlineStr">
        <is>
          <t>2024::jama.2024.4183::C021</t>
        </is>
      </c>
      <c r="B295" s="11" t="inlineStr">
        <is>
          <t>sourceLinks</t>
        </is>
      </c>
      <c r="C295" s="11" t="n">
        <v>0</v>
      </c>
      <c r="D295" s="11" t="inlineStr">
        <is>
          <t>Supplement 2 p. 10</t>
        </is>
      </c>
      <c r="E295" s="11" t="inlineStr">
        <is>
          <t>../../2024/jama.2024.4183/joi240036supp2_prod_1716416466.01349.pdf#page=10</t>
        </is>
      </c>
    </row>
    <row r="296" ht="90" customFormat="1" customHeight="1" s="8">
      <c r="A296" s="12" t="inlineStr">
        <is>
          <t>2024::jama.2024.4183::C021</t>
        </is>
      </c>
      <c r="B296" s="12" t="inlineStr">
        <is>
          <t>sourceLinks</t>
        </is>
      </c>
      <c r="C296" s="12" t="n">
        <v>1</v>
      </c>
      <c r="D296" s="12" t="inlineStr">
        <is>
          <t>Supplement 2 p. 34</t>
        </is>
      </c>
      <c r="E296" s="12" t="inlineStr">
        <is>
          <t>../../2024/jama.2024.4183/joi240036supp2_prod_1716416466.01349.pdf#page=34</t>
        </is>
      </c>
    </row>
    <row r="297" ht="90" customFormat="1" customHeight="1" s="8">
      <c r="A297" s="11" t="inlineStr">
        <is>
          <t>2024::jama.2024.4183::C021</t>
        </is>
      </c>
      <c r="B297" s="11" t="inlineStr">
        <is>
          <t>sourceLinks</t>
        </is>
      </c>
      <c r="C297" s="11" t="n">
        <v>2</v>
      </c>
      <c r="D297" s="11" t="inlineStr">
        <is>
          <t>Supplement 2 p. 35</t>
        </is>
      </c>
      <c r="E297" s="11" t="inlineStr">
        <is>
          <t>../../2024/jama.2024.4183/joi240036supp2_prod_1716416466.01349.pdf#page=35</t>
        </is>
      </c>
    </row>
    <row r="298" ht="90" customFormat="1" customHeight="1" s="8">
      <c r="A298" s="12" t="inlineStr">
        <is>
          <t>2024::jama.2024.4183::C021</t>
        </is>
      </c>
      <c r="B298" s="12" t="inlineStr">
        <is>
          <t>evidencePaths</t>
        </is>
      </c>
      <c r="C298" s="12" t="n">
        <v>0</v>
      </c>
      <c r="D298" s="12" t="inlineStr">
        <is>
          <t>2024/jama.2024.4183/.ai_paper_validation/review_1_5_3/source_inventory.md</t>
        </is>
      </c>
      <c r="E298" s="12" t="inlineStr">
        <is>
          <t>../../2024/jama.2024.4183/.ai_paper_validation/review_1_5_3/source_inventory.md</t>
        </is>
      </c>
    </row>
    <row r="299" ht="90" customFormat="1" customHeight="1" s="8">
      <c r="A299" s="11" t="inlineStr">
        <is>
          <t>2024::jama.2024.4183::C022</t>
        </is>
      </c>
      <c r="B299" s="11" t="inlineStr">
        <is>
          <t>sourceLinks</t>
        </is>
      </c>
      <c r="C299" s="11" t="n">
        <v>0</v>
      </c>
      <c r="D299" s="11" t="inlineStr">
        <is>
          <t>Supplement 2 p. 12</t>
        </is>
      </c>
      <c r="E299" s="11" t="inlineStr">
        <is>
          <t>../../2024/jama.2024.4183/joi240036supp2_prod_1716416466.01349.pdf#page=12</t>
        </is>
      </c>
    </row>
    <row r="300" ht="90" customFormat="1" customHeight="1" s="8">
      <c r="A300" s="12" t="inlineStr">
        <is>
          <t>2024::jama.2024.4183::C022</t>
        </is>
      </c>
      <c r="B300" s="12" t="inlineStr">
        <is>
          <t>sourceLinks</t>
        </is>
      </c>
      <c r="C300" s="12" t="n">
        <v>1</v>
      </c>
      <c r="D300" s="12" t="inlineStr">
        <is>
          <t>Supplement 2 p. 33</t>
        </is>
      </c>
      <c r="E300" s="12" t="inlineStr">
        <is>
          <t>../../2024/jama.2024.4183/joi240036supp2_prod_1716416466.01349.pdf#page=33</t>
        </is>
      </c>
    </row>
    <row r="301" ht="90" customFormat="1" customHeight="1" s="8">
      <c r="A301" s="11" t="inlineStr">
        <is>
          <t>2024::jama.2024.4183::C022</t>
        </is>
      </c>
      <c r="B301" s="11" t="inlineStr">
        <is>
          <t>sourceLinks</t>
        </is>
      </c>
      <c r="C301" s="11" t="n">
        <v>2</v>
      </c>
      <c r="D301" s="11" t="inlineStr">
        <is>
          <t>Supplement 2 p. 34</t>
        </is>
      </c>
      <c r="E301" s="11" t="inlineStr">
        <is>
          <t>../../2024/jama.2024.4183/joi240036supp2_prod_1716416466.01349.pdf#page=34</t>
        </is>
      </c>
    </row>
    <row r="302" ht="90" customFormat="1" customHeight="1" s="8">
      <c r="A302" s="12" t="inlineStr">
        <is>
          <t>2024::jama.2024.4183::C022</t>
        </is>
      </c>
      <c r="B302" s="12" t="inlineStr">
        <is>
          <t>evidencePaths</t>
        </is>
      </c>
      <c r="C302" s="12" t="n">
        <v>0</v>
      </c>
      <c r="D302" s="12" t="inlineStr">
        <is>
          <t>2024/jama.2024.4183/.ai_paper_validation/review_1_5_3/source_inventory.md</t>
        </is>
      </c>
      <c r="E302" s="12" t="inlineStr">
        <is>
          <t>../../2024/jama.2024.4183/.ai_paper_validation/review_1_5_3/source_inventory.md</t>
        </is>
      </c>
    </row>
    <row r="303" ht="90" customFormat="1" customHeight="1" s="8">
      <c r="A303" s="11" t="inlineStr">
        <is>
          <t>2024::jama.2024.4183::C023</t>
        </is>
      </c>
      <c r="B303" s="11" t="inlineStr">
        <is>
          <t>sourceLinks</t>
        </is>
      </c>
      <c r="C303" s="11" t="n">
        <v>0</v>
      </c>
      <c r="D303" s="11" t="inlineStr">
        <is>
          <t>Supplement 2 p. 19</t>
        </is>
      </c>
      <c r="E303" s="11" t="inlineStr">
        <is>
          <t>../../2024/jama.2024.4183/joi240036supp2_prod_1716416466.01349.pdf#page=19</t>
        </is>
      </c>
    </row>
    <row r="304" ht="90" customFormat="1" customHeight="1" s="8">
      <c r="A304" s="12" t="inlineStr">
        <is>
          <t>2024::jama.2024.4183::C023</t>
        </is>
      </c>
      <c r="B304" s="12" t="inlineStr">
        <is>
          <t>evidencePaths</t>
        </is>
      </c>
      <c r="C304" s="12" t="n">
        <v>0</v>
      </c>
      <c r="D304" s="12" t="inlineStr">
        <is>
          <t>2024/jama.2024.4183/.ai_paper_validation/review_1_5_3/source_inventory.md</t>
        </is>
      </c>
      <c r="E304" s="12" t="inlineStr">
        <is>
          <t>../../2024/jama.2024.4183/.ai_paper_validation/review_1_5_3/source_inventory.md</t>
        </is>
      </c>
    </row>
    <row r="305" ht="90" customFormat="1" customHeight="1" s="8">
      <c r="A305" s="11" t="inlineStr">
        <is>
          <t>2024::jama.2024.4183::C023</t>
        </is>
      </c>
      <c r="B305" s="11" t="inlineStr">
        <is>
          <t>evidencePaths</t>
        </is>
      </c>
      <c r="C305" s="11" t="n">
        <v>1</v>
      </c>
      <c r="D305" s="11" t="inlineStr">
        <is>
          <t>2024/jama.2024.4183/.ai_paper_validation/review_1_5_3/verification/evidence_recheck.md</t>
        </is>
      </c>
      <c r="E305" s="11" t="inlineStr">
        <is>
          <t>../../2024/jama.2024.4183/.ai_paper_validation/review_1_5_3/verification/evidence_recheck.md</t>
        </is>
      </c>
    </row>
    <row r="306" ht="90" customFormat="1" customHeight="1" s="8">
      <c r="A306" s="12" t="inlineStr">
        <is>
          <t>2024::jama.2024.4183::C024</t>
        </is>
      </c>
      <c r="B306" s="12" t="inlineStr">
        <is>
          <t>sourceLinks</t>
        </is>
      </c>
      <c r="C306" s="12" t="n">
        <v>0</v>
      </c>
      <c r="D306" s="12" t="inlineStr">
        <is>
          <t>Supplement 2 p. 19</t>
        </is>
      </c>
      <c r="E306" s="12" t="inlineStr">
        <is>
          <t>../../2024/jama.2024.4183/joi240036supp2_prod_1716416466.01349.pdf#page=19</t>
        </is>
      </c>
    </row>
    <row r="307" ht="90" customFormat="1" customHeight="1" s="8">
      <c r="A307" s="11" t="inlineStr">
        <is>
          <t>2024::jama.2024.4183::C024</t>
        </is>
      </c>
      <c r="B307" s="11" t="inlineStr">
        <is>
          <t>evidencePaths</t>
        </is>
      </c>
      <c r="C307" s="11" t="n">
        <v>0</v>
      </c>
      <c r="D307" s="11" t="inlineStr">
        <is>
          <t>2024/jama.2024.4183/.ai_paper_validation/review_1_5_3/source_inventory.md</t>
        </is>
      </c>
      <c r="E307" s="11" t="inlineStr">
        <is>
          <t>../../2024/jama.2024.4183/.ai_paper_validation/review_1_5_3/source_inventory.md</t>
        </is>
      </c>
    </row>
    <row r="308" ht="90" customFormat="1" customHeight="1" s="8">
      <c r="A308" s="12" t="inlineStr">
        <is>
          <t>2024::jama.2024.4183::C024</t>
        </is>
      </c>
      <c r="B308" s="12" t="inlineStr">
        <is>
          <t>evidencePaths</t>
        </is>
      </c>
      <c r="C308" s="12" t="n">
        <v>1</v>
      </c>
      <c r="D308" s="12" t="inlineStr">
        <is>
          <t>2024/jama.2024.4183/.ai_paper_validation/review_1_5_3/verification/evidence_recheck.md</t>
        </is>
      </c>
      <c r="E308" s="12" t="inlineStr">
        <is>
          <t>../../2024/jama.2024.4183/.ai_paper_validation/review_1_5_3/verification/evidence_recheck.md</t>
        </is>
      </c>
    </row>
    <row r="309" ht="90" customFormat="1" customHeight="1" s="8">
      <c r="A309" s="11" t="inlineStr">
        <is>
          <t>2024::jama.2024.6063::C001</t>
        </is>
      </c>
      <c r="B309" s="11" t="inlineStr">
        <is>
          <t>sourceLinks</t>
        </is>
      </c>
      <c r="C309" s="11" t="n">
        <v>0</v>
      </c>
      <c r="D309" s="11" t="inlineStr">
        <is>
          <t>Main article — PDF p. 3</t>
        </is>
      </c>
      <c r="E309" s="11" t="inlineStr">
        <is>
          <t>../../2024/jama.2024.6063/jama_laslett_2024_oi_240048_1727199125.7595.pdf#page=3</t>
        </is>
      </c>
    </row>
    <row r="310" ht="90" customFormat="1" customHeight="1" s="8">
      <c r="A310" s="12" t="inlineStr">
        <is>
          <t>2024::jama.2024.6063::C001</t>
        </is>
      </c>
      <c r="B310" s="12" t="inlineStr">
        <is>
          <t>sourceLinks</t>
        </is>
      </c>
      <c r="C310" s="12" t="n">
        <v>1</v>
      </c>
      <c r="D310" s="12" t="inlineStr">
        <is>
          <t>Main article — PDF p. 7</t>
        </is>
      </c>
      <c r="E310" s="12" t="inlineStr">
        <is>
          <t>../../2024/jama.2024.6063/jama_laslett_2024_oi_240048_1727199125.7595.pdf#page=7</t>
        </is>
      </c>
    </row>
    <row r="311" ht="90" customFormat="1" customHeight="1" s="8">
      <c r="A311" s="11" t="inlineStr">
        <is>
          <t>2024::jama.2024.6063::C001</t>
        </is>
      </c>
      <c r="B311" s="11" t="inlineStr">
        <is>
          <t>evidencePaths</t>
        </is>
      </c>
      <c r="C311" s="11" t="n">
        <v>0</v>
      </c>
      <c r="D311" s="11" t="inlineStr">
        <is>
          <t>2024/jama.2024.6063/.ai_paper_validation/review_1_5_3/source_inventory.md</t>
        </is>
      </c>
      <c r="E311" s="11" t="inlineStr">
        <is>
          <t>../../2024/jama.2024.6063/.ai_paper_validation/review_1_5_3/source_inventory.md</t>
        </is>
      </c>
    </row>
    <row r="312" ht="90" customFormat="1" customHeight="1" s="8">
      <c r="A312" s="12" t="inlineStr">
        <is>
          <t>2024::jama.2024.6063::C002</t>
        </is>
      </c>
      <c r="B312" s="12" t="inlineStr">
        <is>
          <t>sourceLinks</t>
        </is>
      </c>
      <c r="C312" s="12" t="n">
        <v>0</v>
      </c>
      <c r="D312" s="12" t="inlineStr">
        <is>
          <t>Supplement 3 — PDF p. 3</t>
        </is>
      </c>
      <c r="E312" s="12" t="inlineStr">
        <is>
          <t>../../2024/jama.2024.6063/joi240048supp3_prod_1727199125.83025.pdf#page=3</t>
        </is>
      </c>
    </row>
    <row r="313" ht="90" customFormat="1" customHeight="1" s="8">
      <c r="A313" s="11" t="inlineStr">
        <is>
          <t>2024::jama.2024.6063::C002</t>
        </is>
      </c>
      <c r="B313" s="11" t="inlineStr">
        <is>
          <t>evidencePaths</t>
        </is>
      </c>
      <c r="C313" s="11" t="n">
        <v>0</v>
      </c>
      <c r="D313" s="11" t="inlineStr">
        <is>
          <t>2024/jama.2024.6063/.ai_paper_validation/review_1_5_3/source_inventory.md</t>
        </is>
      </c>
      <c r="E313" s="11" t="inlineStr">
        <is>
          <t>../../2024/jama.2024.6063/.ai_paper_validation/review_1_5_3/source_inventory.md</t>
        </is>
      </c>
    </row>
    <row r="314" ht="90" customFormat="1" customHeight="1" s="8">
      <c r="A314" s="12" t="inlineStr">
        <is>
          <t>2024::jama.2024.6063::C003</t>
        </is>
      </c>
      <c r="B314" s="12" t="inlineStr">
        <is>
          <t>sourceLinks</t>
        </is>
      </c>
      <c r="C314" s="12" t="n">
        <v>0</v>
      </c>
      <c r="D314" s="12" t="inlineStr">
        <is>
          <t>Supplement 3 — PDF p. 8</t>
        </is>
      </c>
      <c r="E314" s="12" t="inlineStr">
        <is>
          <t>../../2024/jama.2024.6063/joi240048supp3_prod_1727199125.83025.pdf#page=8</t>
        </is>
      </c>
    </row>
    <row r="315" ht="90" customFormat="1" customHeight="1" s="8">
      <c r="A315" s="11" t="inlineStr">
        <is>
          <t>2024::jama.2024.6063::C003</t>
        </is>
      </c>
      <c r="B315" s="11" t="inlineStr">
        <is>
          <t>evidencePaths</t>
        </is>
      </c>
      <c r="C315" s="11" t="n">
        <v>0</v>
      </c>
      <c r="D315" s="11" t="inlineStr">
        <is>
          <t>2024/jama.2024.6063/.ai_paper_validation/review_1_5_3/source_inventory.md</t>
        </is>
      </c>
      <c r="E315" s="11" t="inlineStr">
        <is>
          <t>../../2024/jama.2024.6063/.ai_paper_validation/review_1_5_3/source_inventory.md</t>
        </is>
      </c>
    </row>
    <row r="316" ht="90" customFormat="1" customHeight="1" s="8">
      <c r="A316" s="12" t="inlineStr">
        <is>
          <t>2024::jama.2024.6063::C004</t>
        </is>
      </c>
      <c r="B316" s="12" t="inlineStr">
        <is>
          <t>sourceLinks</t>
        </is>
      </c>
      <c r="C316" s="12" t="n">
        <v>0</v>
      </c>
      <c r="D316" s="12" t="inlineStr">
        <is>
          <t>Supplement 3 — PDF p. 8</t>
        </is>
      </c>
      <c r="E316" s="12" t="inlineStr">
        <is>
          <t>../../2024/jama.2024.6063/joi240048supp3_prod_1727199125.83025.pdf#page=8</t>
        </is>
      </c>
    </row>
    <row r="317" ht="90" customFormat="1" customHeight="1" s="8">
      <c r="A317" s="11" t="inlineStr">
        <is>
          <t>2024::jama.2024.6063::C004</t>
        </is>
      </c>
      <c r="B317" s="11" t="inlineStr">
        <is>
          <t>evidencePaths</t>
        </is>
      </c>
      <c r="C317" s="11" t="n">
        <v>0</v>
      </c>
      <c r="D317" s="11" t="inlineStr">
        <is>
          <t>2024/jama.2024.6063/.ai_paper_validation/review_1_5_3/source_inventory.md</t>
        </is>
      </c>
      <c r="E317" s="11" t="inlineStr">
        <is>
          <t>../../2024/jama.2024.6063/.ai_paper_validation/review_1_5_3/source_inventory.md</t>
        </is>
      </c>
    </row>
    <row r="318" ht="90" customFormat="1" customHeight="1" s="8">
      <c r="A318" s="12" t="inlineStr">
        <is>
          <t>2024::jama.2024.6063::C005</t>
        </is>
      </c>
      <c r="B318" s="12" t="inlineStr">
        <is>
          <t>sourceLinks</t>
        </is>
      </c>
      <c r="C318" s="12" t="n">
        <v>0</v>
      </c>
      <c r="D318" s="12" t="inlineStr">
        <is>
          <t>Supplement 3 — PDF p. 8</t>
        </is>
      </c>
      <c r="E318" s="12" t="inlineStr">
        <is>
          <t>../../2024/jama.2024.6063/joi240048supp3_prod_1727199125.83025.pdf#page=8</t>
        </is>
      </c>
    </row>
    <row r="319" ht="90" customFormat="1" customHeight="1" s="8">
      <c r="A319" s="11" t="inlineStr">
        <is>
          <t>2024::jama.2024.6063::C005</t>
        </is>
      </c>
      <c r="B319" s="11" t="inlineStr">
        <is>
          <t>evidencePaths</t>
        </is>
      </c>
      <c r="C319" s="11" t="n">
        <v>0</v>
      </c>
      <c r="D319" s="11" t="inlineStr">
        <is>
          <t>2024/jama.2024.6063/.ai_paper_validation/review_1_5_3/source_inventory.md</t>
        </is>
      </c>
      <c r="E319" s="11" t="inlineStr">
        <is>
          <t>../../2024/jama.2024.6063/.ai_paper_validation/review_1_5_3/source_inventory.md</t>
        </is>
      </c>
    </row>
    <row r="320" ht="90" customFormat="1" customHeight="1" s="8">
      <c r="A320" s="12" t="inlineStr">
        <is>
          <t>2024::jama.2024.6063::C006</t>
        </is>
      </c>
      <c r="B320" s="12" t="inlineStr">
        <is>
          <t>sourceLinks</t>
        </is>
      </c>
      <c r="C320" s="12" t="n">
        <v>0</v>
      </c>
      <c r="D320" s="12" t="inlineStr">
        <is>
          <t>Supplement 3 — PDF p. 8</t>
        </is>
      </c>
      <c r="E320" s="12" t="inlineStr">
        <is>
          <t>../../2024/jama.2024.6063/joi240048supp3_prod_1727199125.83025.pdf#page=8</t>
        </is>
      </c>
    </row>
    <row r="321" ht="90" customFormat="1" customHeight="1" s="8">
      <c r="A321" s="11" t="inlineStr">
        <is>
          <t>2024::jama.2024.6063::C006</t>
        </is>
      </c>
      <c r="B321" s="11" t="inlineStr">
        <is>
          <t>evidencePaths</t>
        </is>
      </c>
      <c r="C321" s="11" t="n">
        <v>0</v>
      </c>
      <c r="D321" s="11" t="inlineStr">
        <is>
          <t>2024/jama.2024.6063/.ai_paper_validation/review_1_5_3/source_inventory.md</t>
        </is>
      </c>
      <c r="E321" s="11" t="inlineStr">
        <is>
          <t>../../2024/jama.2024.6063/.ai_paper_validation/review_1_5_3/source_inventory.md</t>
        </is>
      </c>
    </row>
    <row r="322" ht="90" customFormat="1" customHeight="1" s="8">
      <c r="A322" s="12" t="inlineStr">
        <is>
          <t>2024::jama.2024.6063::C007</t>
        </is>
      </c>
      <c r="B322" s="12" t="inlineStr">
        <is>
          <t>sourceLinks</t>
        </is>
      </c>
      <c r="C322" s="12" t="n">
        <v>0</v>
      </c>
      <c r="D322" s="12" t="inlineStr">
        <is>
          <t>Supplement 3 — PDF p. 8</t>
        </is>
      </c>
      <c r="E322" s="12" t="inlineStr">
        <is>
          <t>../../2024/jama.2024.6063/joi240048supp3_prod_1727199125.83025.pdf#page=8</t>
        </is>
      </c>
    </row>
    <row r="323" ht="90" customFormat="1" customHeight="1" s="8">
      <c r="A323" s="11" t="inlineStr">
        <is>
          <t>2024::jama.2024.6063::C007</t>
        </is>
      </c>
      <c r="B323" s="11" t="inlineStr">
        <is>
          <t>evidencePaths</t>
        </is>
      </c>
      <c r="C323" s="11" t="n">
        <v>0</v>
      </c>
      <c r="D323" s="11" t="inlineStr">
        <is>
          <t>2024/jama.2024.6063/.ai_paper_validation/review_1_5_3/source_inventory.md</t>
        </is>
      </c>
      <c r="E323" s="11" t="inlineStr">
        <is>
          <t>../../2024/jama.2024.6063/.ai_paper_validation/review_1_5_3/source_inventory.md</t>
        </is>
      </c>
    </row>
    <row r="324" ht="90" customFormat="1" customHeight="1" s="8">
      <c r="A324" s="12" t="inlineStr">
        <is>
          <t>2024::jama.2024.6063::C008</t>
        </is>
      </c>
      <c r="B324" s="12" t="inlineStr">
        <is>
          <t>sourceLinks</t>
        </is>
      </c>
      <c r="C324" s="12" t="n">
        <v>0</v>
      </c>
      <c r="D324" s="12" t="inlineStr">
        <is>
          <t>Supplement 3 — PDF p. 8</t>
        </is>
      </c>
      <c r="E324" s="12" t="inlineStr">
        <is>
          <t>../../2024/jama.2024.6063/joi240048supp3_prod_1727199125.83025.pdf#page=8</t>
        </is>
      </c>
    </row>
    <row r="325" ht="90" customFormat="1" customHeight="1" s="8">
      <c r="A325" s="11" t="inlineStr">
        <is>
          <t>2024::jama.2024.6063::C008</t>
        </is>
      </c>
      <c r="B325" s="11" t="inlineStr">
        <is>
          <t>evidencePaths</t>
        </is>
      </c>
      <c r="C325" s="11" t="n">
        <v>0</v>
      </c>
      <c r="D325" s="11" t="inlineStr">
        <is>
          <t>2024/jama.2024.6063/.ai_paper_validation/review_1_5_3/source_inventory.md</t>
        </is>
      </c>
      <c r="E325" s="11" t="inlineStr">
        <is>
          <t>../../2024/jama.2024.6063/.ai_paper_validation/review_1_5_3/source_inventory.md</t>
        </is>
      </c>
    </row>
    <row r="326" ht="90" customFormat="1" customHeight="1" s="8">
      <c r="A326" s="12" t="inlineStr">
        <is>
          <t>2024::jama.2024.6063::C009</t>
        </is>
      </c>
      <c r="B326" s="12" t="inlineStr">
        <is>
          <t>sourceLinks</t>
        </is>
      </c>
      <c r="C326" s="12" t="n">
        <v>0</v>
      </c>
      <c r="D326" s="12" t="inlineStr">
        <is>
          <t>Supplement 3 — PDF p. 5</t>
        </is>
      </c>
      <c r="E326" s="12" t="inlineStr">
        <is>
          <t>../../2024/jama.2024.6063/joi240048supp3_prod_1727199125.83025.pdf#page=5</t>
        </is>
      </c>
    </row>
    <row r="327" ht="90" customFormat="1" customHeight="1" s="8">
      <c r="A327" s="11" t="inlineStr">
        <is>
          <t>2024::jama.2024.6063::C009</t>
        </is>
      </c>
      <c r="B327" s="11" t="inlineStr">
        <is>
          <t>evidencePaths</t>
        </is>
      </c>
      <c r="C327" s="11" t="n">
        <v>0</v>
      </c>
      <c r="D327" s="11" t="inlineStr">
        <is>
          <t>2024/jama.2024.6063/.ai_paper_validation/review_1_5_3/source_inventory.md</t>
        </is>
      </c>
      <c r="E327" s="11" t="inlineStr">
        <is>
          <t>../../2024/jama.2024.6063/.ai_paper_validation/review_1_5_3/source_inventory.md</t>
        </is>
      </c>
    </row>
    <row r="328" ht="90" customFormat="1" customHeight="1" s="8">
      <c r="A328" s="12" t="inlineStr">
        <is>
          <t>2024::jama.2024.6063::C010</t>
        </is>
      </c>
      <c r="B328" s="12" t="inlineStr">
        <is>
          <t>sourceLinks</t>
        </is>
      </c>
      <c r="C328" s="12" t="n">
        <v>0</v>
      </c>
      <c r="D328" s="12" t="inlineStr">
        <is>
          <t>Supplement 3 — PDF p. 6</t>
        </is>
      </c>
      <c r="E328" s="12" t="inlineStr">
        <is>
          <t>../../2024/jama.2024.6063/joi240048supp3_prod_1727199125.83025.pdf#page=6</t>
        </is>
      </c>
    </row>
    <row r="329" ht="90" customFormat="1" customHeight="1" s="8">
      <c r="A329" s="11" t="inlineStr">
        <is>
          <t>2024::jama.2024.6063::C010</t>
        </is>
      </c>
      <c r="B329" s="11" t="inlineStr">
        <is>
          <t>evidencePaths</t>
        </is>
      </c>
      <c r="C329" s="11" t="n">
        <v>0</v>
      </c>
      <c r="D329" s="11" t="inlineStr">
        <is>
          <t>2024/jama.2024.6063/.ai_paper_validation/review_1_5_3/source_inventory.md</t>
        </is>
      </c>
      <c r="E329" s="11" t="inlineStr">
        <is>
          <t>../../2024/jama.2024.6063/.ai_paper_validation/review_1_5_3/source_inventory.md</t>
        </is>
      </c>
    </row>
    <row r="330" ht="90" customFormat="1" customHeight="1" s="8">
      <c r="A330" s="12" t="inlineStr">
        <is>
          <t>2024::jama.2024.6063::C011</t>
        </is>
      </c>
      <c r="B330" s="12" t="inlineStr">
        <is>
          <t>sourceLinks</t>
        </is>
      </c>
      <c r="C330" s="12" t="n">
        <v>0</v>
      </c>
      <c r="D330" s="12" t="inlineStr">
        <is>
          <t>Supplement 3 — PDF p. 6</t>
        </is>
      </c>
      <c r="E330" s="12" t="inlineStr">
        <is>
          <t>../../2024/jama.2024.6063/joi240048supp3_prod_1727199125.83025.pdf#page=6</t>
        </is>
      </c>
    </row>
    <row r="331" ht="90" customFormat="1" customHeight="1" s="8">
      <c r="A331" s="11" t="inlineStr">
        <is>
          <t>2024::jama.2024.6063::C011</t>
        </is>
      </c>
      <c r="B331" s="11" t="inlineStr">
        <is>
          <t>evidencePaths</t>
        </is>
      </c>
      <c r="C331" s="11" t="n">
        <v>0</v>
      </c>
      <c r="D331" s="11" t="inlineStr">
        <is>
          <t>2024/jama.2024.6063/.ai_paper_validation/review_1_5_3/source_inventory.md</t>
        </is>
      </c>
      <c r="E331" s="11" t="inlineStr">
        <is>
          <t>../../2024/jama.2024.6063/.ai_paper_validation/review_1_5_3/source_inventory.md</t>
        </is>
      </c>
    </row>
    <row r="332" ht="90" customFormat="1" customHeight="1" s="8">
      <c r="A332" s="12" t="inlineStr">
        <is>
          <t>2024::jama.2024.6063::C012</t>
        </is>
      </c>
      <c r="B332" s="12" t="inlineStr">
        <is>
          <t>sourceLinks</t>
        </is>
      </c>
      <c r="C332" s="12" t="n">
        <v>0</v>
      </c>
      <c r="D332" s="12" t="inlineStr">
        <is>
          <t>Main article — PDF p. 2</t>
        </is>
      </c>
      <c r="E332" s="12" t="inlineStr">
        <is>
          <t>../../2024/jama.2024.6063/jama_laslett_2024_oi_240048_1727199125.7595.pdf#page=2</t>
        </is>
      </c>
    </row>
    <row r="333" ht="90" customFormat="1" customHeight="1" s="8">
      <c r="A333" s="11" t="inlineStr">
        <is>
          <t>2024::jama.2024.6063::C012</t>
        </is>
      </c>
      <c r="B333" s="11" t="inlineStr">
        <is>
          <t>sourceLinks</t>
        </is>
      </c>
      <c r="C333" s="11" t="n">
        <v>1</v>
      </c>
      <c r="D333" s="11" t="inlineStr">
        <is>
          <t>Main article — PDF p. 1</t>
        </is>
      </c>
      <c r="E333" s="11" t="inlineStr">
        <is>
          <t>../../2024/jama.2024.6063/jama_laslett_2024_oi_240048_1727199125.7595.pdf#page=1</t>
        </is>
      </c>
    </row>
    <row r="334" ht="90" customFormat="1" customHeight="1" s="8">
      <c r="A334" s="12" t="inlineStr">
        <is>
          <t>2024::jama.2024.6063::C012</t>
        </is>
      </c>
      <c r="B334" s="12" t="inlineStr">
        <is>
          <t>sourceLinks</t>
        </is>
      </c>
      <c r="C334" s="12" t="n">
        <v>2</v>
      </c>
      <c r="D334" s="12" t="inlineStr">
        <is>
          <t>Main article — PDF p. 6</t>
        </is>
      </c>
      <c r="E334" s="12" t="inlineStr">
        <is>
          <t>../../2024/jama.2024.6063/jama_laslett_2024_oi_240048_1727199125.7595.pdf#page=6</t>
        </is>
      </c>
    </row>
    <row r="335" ht="90" customFormat="1" customHeight="1" s="8">
      <c r="A335" s="11" t="inlineStr">
        <is>
          <t>2024::jama.2024.6063::C012</t>
        </is>
      </c>
      <c r="B335" s="11" t="inlineStr">
        <is>
          <t>sourceLinks</t>
        </is>
      </c>
      <c r="C335" s="11" t="n">
        <v>3</v>
      </c>
      <c r="D335" s="11" t="inlineStr">
        <is>
          <t>Main article — PDF p. 7</t>
        </is>
      </c>
      <c r="E335" s="11" t="inlineStr">
        <is>
          <t>../../2024/jama.2024.6063/jama_laslett_2024_oi_240048_1727199125.7595.pdf#page=7</t>
        </is>
      </c>
    </row>
    <row r="336" ht="90" customFormat="1" customHeight="1" s="8">
      <c r="A336" s="12" t="inlineStr">
        <is>
          <t>2024::jama.2024.6063::C012</t>
        </is>
      </c>
      <c r="B336" s="12" t="inlineStr">
        <is>
          <t>sourceLinks</t>
        </is>
      </c>
      <c r="C336" s="12" t="n">
        <v>4</v>
      </c>
      <c r="D336" s="12" t="inlineStr">
        <is>
          <t>Supplement 3 — PDF p. 2</t>
        </is>
      </c>
      <c r="E336" s="12" t="inlineStr">
        <is>
          <t>../../2024/jama.2024.6063/joi240048supp3_prod_1727199125.83025.pdf#page=2</t>
        </is>
      </c>
    </row>
    <row r="337" ht="90" customFormat="1" customHeight="1" s="8">
      <c r="A337" s="11" t="inlineStr">
        <is>
          <t>2024::jama.2024.6063::C012</t>
        </is>
      </c>
      <c r="B337" s="11" t="inlineStr">
        <is>
          <t>evidencePaths</t>
        </is>
      </c>
      <c r="C337" s="11" t="n">
        <v>0</v>
      </c>
      <c r="D337" s="11" t="inlineStr">
        <is>
          <t>2024/jama.2024.6063/.ai_paper_validation/review_1_5_3/source_inventory.md</t>
        </is>
      </c>
      <c r="E337" s="11" t="inlineStr">
        <is>
          <t>../../2024/jama.2024.6063/.ai_paper_validation/review_1_5_3/source_inventory.md</t>
        </is>
      </c>
    </row>
    <row r="338" ht="90" customFormat="1" customHeight="1" s="8">
      <c r="A338" s="12" t="inlineStr">
        <is>
          <t>2024::jama.2024.6063::C012</t>
        </is>
      </c>
      <c r="B338" s="12" t="inlineStr">
        <is>
          <t>evidencePaths</t>
        </is>
      </c>
      <c r="C338" s="12" t="n">
        <v>1</v>
      </c>
      <c r="D338" s="12" t="inlineStr">
        <is>
          <t>2024/jama.2024.6063/.ai_paper_validation/review_1_5_3/verification/evidence_recheck.md</t>
        </is>
      </c>
      <c r="E338" s="12" t="inlineStr">
        <is>
          <t>../../2024/jama.2024.6063/.ai_paper_validation/review_1_5_3/verification/evidence_recheck.md</t>
        </is>
      </c>
    </row>
    <row r="339" ht="90" customFormat="1" customHeight="1" s="8">
      <c r="A339" s="11" t="inlineStr">
        <is>
          <t>2024::jama.2024.6063::C013</t>
        </is>
      </c>
      <c r="B339" s="11" t="inlineStr">
        <is>
          <t>sourceLinks</t>
        </is>
      </c>
      <c r="C339" s="11" t="n">
        <v>0</v>
      </c>
      <c r="D339" s="11" t="inlineStr">
        <is>
          <t>Main article — PDF p. 1</t>
        </is>
      </c>
      <c r="E339" s="11" t="inlineStr">
        <is>
          <t>../../2024/jama.2024.6063/jama_laslett_2024_oi_240048_1727199125.7595.pdf#page=1</t>
        </is>
      </c>
    </row>
    <row r="340" ht="90" customFormat="1" customHeight="1" s="8">
      <c r="A340" s="12" t="inlineStr">
        <is>
          <t>2024::jama.2024.6063::C013</t>
        </is>
      </c>
      <c r="B340" s="12" t="inlineStr">
        <is>
          <t>sourceLinks</t>
        </is>
      </c>
      <c r="C340" s="12" t="n">
        <v>1</v>
      </c>
      <c r="D340" s="12" t="inlineStr">
        <is>
          <t>Main article — PDF p. 8</t>
        </is>
      </c>
      <c r="E340" s="12" t="inlineStr">
        <is>
          <t>../../2024/jama.2024.6063/jama_laslett_2024_oi_240048_1727199125.7595.pdf#page=8</t>
        </is>
      </c>
    </row>
    <row r="341" ht="90" customFormat="1" customHeight="1" s="8">
      <c r="A341" s="11" t="inlineStr">
        <is>
          <t>2024::jama.2024.6063::C013</t>
        </is>
      </c>
      <c r="B341" s="11" t="inlineStr">
        <is>
          <t>sourceLinks</t>
        </is>
      </c>
      <c r="C341" s="11" t="n">
        <v>2</v>
      </c>
      <c r="D341" s="11" t="inlineStr">
        <is>
          <t>Supplement 3 — PDF p. 10</t>
        </is>
      </c>
      <c r="E341" s="11" t="inlineStr">
        <is>
          <t>../../2024/jama.2024.6063/joi240048supp3_prod_1727199125.83025.pdf#page=10</t>
        </is>
      </c>
    </row>
    <row r="342" ht="90" customFormat="1" customHeight="1" s="8">
      <c r="A342" s="12" t="inlineStr">
        <is>
          <t>2024::jama.2024.6063::C013</t>
        </is>
      </c>
      <c r="B342" s="12" t="inlineStr">
        <is>
          <t>evidencePaths</t>
        </is>
      </c>
      <c r="C342" s="12" t="n">
        <v>0</v>
      </c>
      <c r="D342" s="12" t="inlineStr">
        <is>
          <t>2024/jama.2024.6063/.ai_paper_validation/review_1_5_3/source_inventory.md</t>
        </is>
      </c>
      <c r="E342" s="12" t="inlineStr">
        <is>
          <t>../../2024/jama.2024.6063/.ai_paper_validation/review_1_5_3/source_inventory.md</t>
        </is>
      </c>
    </row>
    <row r="343" ht="90" customFormat="1" customHeight="1" s="8">
      <c r="A343" s="11" t="inlineStr">
        <is>
          <t>2024::jama.2024.6063::C013</t>
        </is>
      </c>
      <c r="B343" s="11" t="inlineStr">
        <is>
          <t>evidencePaths</t>
        </is>
      </c>
      <c r="C343" s="11" t="n">
        <v>1</v>
      </c>
      <c r="D343" s="11" t="inlineStr">
        <is>
          <t>2024/jama.2024.6063/.ai_paper_validation/review_1_5_3/verification/evidence_recheck.md</t>
        </is>
      </c>
      <c r="E343" s="11" t="inlineStr">
        <is>
          <t>../../2024/jama.2024.6063/.ai_paper_validation/review_1_5_3/verification/evidence_recheck.md</t>
        </is>
      </c>
    </row>
    <row r="344" ht="90" customFormat="1" customHeight="1" s="8">
      <c r="A344" s="12" t="inlineStr">
        <is>
          <t>2024::jama.2024.6063::C014</t>
        </is>
      </c>
      <c r="B344" s="12" t="inlineStr">
        <is>
          <t>sourceLinks</t>
        </is>
      </c>
      <c r="C344" s="12" t="n">
        <v>0</v>
      </c>
      <c r="D344" s="12" t="inlineStr">
        <is>
          <t>Main article — PDF p. 8</t>
        </is>
      </c>
      <c r="E344" s="12" t="inlineStr">
        <is>
          <t>../../2024/jama.2024.6063/jama_laslett_2024_oi_240048_1727199125.7595.pdf#page=8</t>
        </is>
      </c>
    </row>
    <row r="345" ht="90" customFormat="1" customHeight="1" s="8">
      <c r="A345" s="11" t="inlineStr">
        <is>
          <t>2024::jama.2024.6063::C014</t>
        </is>
      </c>
      <c r="B345" s="11" t="inlineStr">
        <is>
          <t>sourceLinks</t>
        </is>
      </c>
      <c r="C345" s="11" t="n">
        <v>1</v>
      </c>
      <c r="D345" s="11" t="inlineStr">
        <is>
          <t>Supplement 3 — PDF p. 5</t>
        </is>
      </c>
      <c r="E345" s="11" t="inlineStr">
        <is>
          <t>../../2024/jama.2024.6063/joi240048supp3_prod_1727199125.83025.pdf#page=5</t>
        </is>
      </c>
    </row>
    <row r="346" ht="90" customFormat="1" customHeight="1" s="8">
      <c r="A346" s="12" t="inlineStr">
        <is>
          <t>2024::jama.2024.6063::C014</t>
        </is>
      </c>
      <c r="B346" s="12" t="inlineStr">
        <is>
          <t>sourceLinks</t>
        </is>
      </c>
      <c r="C346" s="12" t="n">
        <v>2</v>
      </c>
      <c r="D346" s="12" t="inlineStr">
        <is>
          <t>Supplement 3 — PDF p. 10</t>
        </is>
      </c>
      <c r="E346" s="12" t="inlineStr">
        <is>
          <t>../../2024/jama.2024.6063/joi240048supp3_prod_1727199125.83025.pdf#page=10</t>
        </is>
      </c>
    </row>
    <row r="347" ht="90" customFormat="1" customHeight="1" s="8">
      <c r="A347" s="11" t="inlineStr">
        <is>
          <t>2024::jama.2024.6063::C014</t>
        </is>
      </c>
      <c r="B347" s="11" t="inlineStr">
        <is>
          <t>evidencePaths</t>
        </is>
      </c>
      <c r="C347" s="11" t="n">
        <v>0</v>
      </c>
      <c r="D347" s="11" t="inlineStr">
        <is>
          <t>2024/jama.2024.6063/.ai_paper_validation/review_1_5_3/source_inventory.md</t>
        </is>
      </c>
      <c r="E347" s="11" t="inlineStr">
        <is>
          <t>../../2024/jama.2024.6063/.ai_paper_validation/review_1_5_3/source_inventory.md</t>
        </is>
      </c>
    </row>
    <row r="348" ht="90" customFormat="1" customHeight="1" s="8">
      <c r="A348" s="12" t="inlineStr">
        <is>
          <t>2024::jama.2024.6063::C014</t>
        </is>
      </c>
      <c r="B348" s="12" t="inlineStr">
        <is>
          <t>evidencePaths</t>
        </is>
      </c>
      <c r="C348" s="12" t="n">
        <v>1</v>
      </c>
      <c r="D348" s="12" t="inlineStr">
        <is>
          <t>2024/jama.2024.6063/.ai_paper_validation/review_1_5_3/verification/evidence_recheck.md</t>
        </is>
      </c>
      <c r="E348" s="12" t="inlineStr">
        <is>
          <t>../../2024/jama.2024.6063/.ai_paper_validation/review_1_5_3/verification/evidence_recheck.md</t>
        </is>
      </c>
    </row>
    <row r="349" ht="90" customFormat="1" customHeight="1" s="8">
      <c r="A349" s="11" t="inlineStr">
        <is>
          <t>2024::jama.2024.6063::C015</t>
        </is>
      </c>
      <c r="B349" s="11" t="inlineStr">
        <is>
          <t>sourceLinks</t>
        </is>
      </c>
      <c r="C349" s="11" t="n">
        <v>0</v>
      </c>
      <c r="D349" s="11" t="inlineStr">
        <is>
          <t>Main article — PDF p. 8</t>
        </is>
      </c>
      <c r="E349" s="11" t="inlineStr">
        <is>
          <t>../../2024/jama.2024.6063/jama_laslett_2024_oi_240048_1727199125.7595.pdf#page=8</t>
        </is>
      </c>
    </row>
    <row r="350" ht="90" customFormat="1" customHeight="1" s="8">
      <c r="A350" s="12" t="inlineStr">
        <is>
          <t>2024::jama.2024.6063::C015</t>
        </is>
      </c>
      <c r="B350" s="12" t="inlineStr">
        <is>
          <t>sourceLinks</t>
        </is>
      </c>
      <c r="C350" s="12" t="n">
        <v>1</v>
      </c>
      <c r="D350" s="12" t="inlineStr">
        <is>
          <t>Supplement 3 — PDF p. 8</t>
        </is>
      </c>
      <c r="E350" s="12" t="inlineStr">
        <is>
          <t>../../2024/jama.2024.6063/joi240048supp3_prod_1727199125.83025.pdf#page=8</t>
        </is>
      </c>
    </row>
    <row r="351" ht="90" customFormat="1" customHeight="1" s="8">
      <c r="A351" s="11" t="inlineStr">
        <is>
          <t>2024::jama.2024.6063::C015</t>
        </is>
      </c>
      <c r="B351" s="11" t="inlineStr">
        <is>
          <t>sourceLinks</t>
        </is>
      </c>
      <c r="C351" s="11" t="n">
        <v>2</v>
      </c>
      <c r="D351" s="11" t="inlineStr">
        <is>
          <t>Supplement 3 — PDF p. 9</t>
        </is>
      </c>
      <c r="E351" s="11" t="inlineStr">
        <is>
          <t>../../2024/jama.2024.6063/joi240048supp3_prod_1727199125.83025.pdf#page=9</t>
        </is>
      </c>
    </row>
    <row r="352" ht="90" customFormat="1" customHeight="1" s="8">
      <c r="A352" s="12" t="inlineStr">
        <is>
          <t>2024::jama.2024.6063::C015</t>
        </is>
      </c>
      <c r="B352" s="12" t="inlineStr">
        <is>
          <t>sourceLinks</t>
        </is>
      </c>
      <c r="C352" s="12" t="n">
        <v>3</v>
      </c>
      <c r="D352" s="12" t="inlineStr">
        <is>
          <t>Supplement 3 — PDF p. 14</t>
        </is>
      </c>
      <c r="E352" s="12" t="inlineStr">
        <is>
          <t>../../2024/jama.2024.6063/joi240048supp3_prod_1727199125.83025.pdf#page=14</t>
        </is>
      </c>
    </row>
    <row r="353" ht="90" customFormat="1" customHeight="1" s="8">
      <c r="A353" s="11" t="inlineStr">
        <is>
          <t>2024::jama.2024.6063::C015</t>
        </is>
      </c>
      <c r="B353" s="11" t="inlineStr">
        <is>
          <t>evidencePaths</t>
        </is>
      </c>
      <c r="C353" s="11" t="n">
        <v>0</v>
      </c>
      <c r="D353" s="11" t="inlineStr">
        <is>
          <t>2024/jama.2024.6063/.ai_paper_validation/review_1_5_3/source_inventory.md</t>
        </is>
      </c>
      <c r="E353" s="11" t="inlineStr">
        <is>
          <t>../../2024/jama.2024.6063/.ai_paper_validation/review_1_5_3/source_inventory.md</t>
        </is>
      </c>
    </row>
    <row r="354" ht="90" customFormat="1" customHeight="1" s="8">
      <c r="A354" s="12" t="inlineStr">
        <is>
          <t>2024::jama.2024.6063::C015</t>
        </is>
      </c>
      <c r="B354" s="12" t="inlineStr">
        <is>
          <t>evidencePaths</t>
        </is>
      </c>
      <c r="C354" s="12" t="n">
        <v>1</v>
      </c>
      <c r="D354" s="12" t="inlineStr">
        <is>
          <t>2024/jama.2024.6063/.ai_paper_validation/review_1_5_3/verification/evidence_recheck.md</t>
        </is>
      </c>
      <c r="E354" s="12" t="inlineStr">
        <is>
          <t>../../2024/jama.2024.6063/.ai_paper_validation/review_1_5_3/verification/evidence_recheck.md</t>
        </is>
      </c>
    </row>
    <row r="355" ht="90" customFormat="1" customHeight="1" s="8">
      <c r="A355" s="11" t="inlineStr">
        <is>
          <t>2024::jama.2024.6063::C016</t>
        </is>
      </c>
      <c r="B355" s="11" t="inlineStr">
        <is>
          <t>sourceLinks</t>
        </is>
      </c>
      <c r="C355" s="11" t="n">
        <v>0</v>
      </c>
      <c r="D355" s="11" t="inlineStr">
        <is>
          <t>Main article — PDF p. 7</t>
        </is>
      </c>
      <c r="E355" s="11" t="inlineStr">
        <is>
          <t>../../2024/jama.2024.6063/jama_laslett_2024_oi_240048_1727199125.7595.pdf#page=7</t>
        </is>
      </c>
    </row>
    <row r="356" ht="90" customFormat="1" customHeight="1" s="8">
      <c r="A356" s="12" t="inlineStr">
        <is>
          <t>2024::jama.2024.6063::C016</t>
        </is>
      </c>
      <c r="B356" s="12" t="inlineStr">
        <is>
          <t>sourceLinks</t>
        </is>
      </c>
      <c r="C356" s="12" t="n">
        <v>1</v>
      </c>
      <c r="D356" s="12" t="inlineStr">
        <is>
          <t>Supplement 3 — PDF p. 3</t>
        </is>
      </c>
      <c r="E356" s="12" t="inlineStr">
        <is>
          <t>../../2024/jama.2024.6063/joi240048supp3_prod_1727199125.83025.pdf#page=3</t>
        </is>
      </c>
    </row>
    <row r="357" ht="90" customFormat="1" customHeight="1" s="8">
      <c r="A357" s="11" t="inlineStr">
        <is>
          <t>2024::jama.2024.6063::C016</t>
        </is>
      </c>
      <c r="B357" s="11" t="inlineStr">
        <is>
          <t>evidencePaths</t>
        </is>
      </c>
      <c r="C357" s="11" t="n">
        <v>0</v>
      </c>
      <c r="D357" s="11" t="inlineStr">
        <is>
          <t>2024/jama.2024.6063/.ai_paper_validation/review_1_5_3/source_inventory.md</t>
        </is>
      </c>
      <c r="E357" s="11" t="inlineStr">
        <is>
          <t>../../2024/jama.2024.6063/.ai_paper_validation/review_1_5_3/source_inventory.md</t>
        </is>
      </c>
    </row>
    <row r="358" ht="90" customFormat="1" customHeight="1" s="8">
      <c r="A358" s="12" t="inlineStr">
        <is>
          <t>2024::jama.2024.6063::C016</t>
        </is>
      </c>
      <c r="B358" s="12" t="inlineStr">
        <is>
          <t>evidencePaths</t>
        </is>
      </c>
      <c r="C358" s="12" t="n">
        <v>1</v>
      </c>
      <c r="D358" s="12" t="inlineStr">
        <is>
          <t>2024/jama.2024.6063/.ai_paper_validation/review_1_5_3/verification/evidence_recheck.md</t>
        </is>
      </c>
      <c r="E358" s="12" t="inlineStr">
        <is>
          <t>../../2024/jama.2024.6063/.ai_paper_validation/review_1_5_3/verification/evidence_recheck.md</t>
        </is>
      </c>
    </row>
  </sheetData>
  <autoFilter ref="A1:E35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D108"/>
  <sheetViews>
    <sheetView showGridLines="0" workbookViewId="0">
      <pane xSplit="1" ySplit="1" topLeftCell="B2" activePane="bottomRight" state="frozen"/>
      <selection activeCell="A1" sqref="A1"/>
    </sheetView>
  </sheetViews>
  <sheetFormatPr baseColWidth="8" defaultRowHeight="15"/>
  <cols>
    <col width="44" customWidth="1" style="8" min="1" max="1"/>
    <col width="26" customWidth="1" style="8" min="2" max="2"/>
    <col width="26" customWidth="1" style="8" min="3" max="3"/>
    <col width="26" customWidth="1" style="8" min="4" max="4"/>
  </cols>
  <sheetData>
    <row r="1" ht="42" customFormat="1" customHeight="1" s="8">
      <c r="A1" s="5" t="inlineStr">
        <is>
          <t>key</t>
        </is>
      </c>
      <c r="B1" s="5" t="inlineStr">
        <is>
          <t>kind</t>
        </is>
      </c>
      <c r="C1" s="5" t="inlineStr">
        <is>
          <t>order</t>
        </is>
      </c>
      <c r="D1" s="5" t="inlineStr">
        <is>
          <t>relationship</t>
        </is>
      </c>
    </row>
    <row r="2" ht="90" customFormat="1" customHeight="1" s="8">
      <c r="A2" s="12" t="inlineStr">
        <is>
          <t>2024::jama.2024.0318::C001</t>
        </is>
      </c>
      <c r="B2" s="12" t="inlineStr">
        <is>
          <t>relations</t>
        </is>
      </c>
      <c r="C2" s="12" t="n">
        <v>0</v>
      </c>
      <c r="D2" s="12" t="inlineStr">
        <is>
          <t>S_W</t>
        </is>
      </c>
    </row>
    <row r="3" ht="90" customFormat="1" customHeight="1" s="8">
      <c r="A3" s="11" t="inlineStr">
        <is>
          <t>2024::jama.2024.0318::C002</t>
        </is>
      </c>
      <c r="B3" s="11" t="inlineStr">
        <is>
          <t>relations</t>
        </is>
      </c>
      <c r="C3" s="11" t="n">
        <v>0</v>
      </c>
      <c r="D3" s="11" t="inlineStr">
        <is>
          <t>S_W</t>
        </is>
      </c>
    </row>
    <row r="4" ht="90" customFormat="1" customHeight="1" s="8">
      <c r="A4" s="12" t="inlineStr">
        <is>
          <t>2024::jama.2024.0318::C003</t>
        </is>
      </c>
      <c r="B4" s="12" t="inlineStr">
        <is>
          <t>relations</t>
        </is>
      </c>
      <c r="C4" s="12" t="n">
        <v>0</v>
      </c>
      <c r="D4" s="12" t="inlineStr">
        <is>
          <t>S_C</t>
        </is>
      </c>
    </row>
    <row r="5" ht="90" customFormat="1" customHeight="1" s="8">
      <c r="A5" s="11" t="inlineStr">
        <is>
          <t>2024::jama.2024.0318::C004</t>
        </is>
      </c>
      <c r="B5" s="11" t="inlineStr">
        <is>
          <t>relations</t>
        </is>
      </c>
      <c r="C5" s="11" t="n">
        <v>0</v>
      </c>
      <c r="D5" s="11" t="inlineStr">
        <is>
          <t>S_W</t>
        </is>
      </c>
    </row>
    <row r="6" ht="90" customFormat="1" customHeight="1" s="8">
      <c r="A6" s="12" t="inlineStr">
        <is>
          <t>2024::jama.2024.0318::C005</t>
        </is>
      </c>
      <c r="B6" s="12" t="inlineStr">
        <is>
          <t>relations</t>
        </is>
      </c>
      <c r="C6" s="12" t="n">
        <v>0</v>
      </c>
      <c r="D6" s="12" t="inlineStr">
        <is>
          <t>S_W</t>
        </is>
      </c>
    </row>
    <row r="7" ht="90" customFormat="1" customHeight="1" s="8">
      <c r="A7" s="11" t="inlineStr">
        <is>
          <t>2024::jama.2024.0318::C006</t>
        </is>
      </c>
      <c r="B7" s="11" t="inlineStr">
        <is>
          <t>relations</t>
        </is>
      </c>
      <c r="C7" s="11" t="n">
        <v>0</v>
      </c>
      <c r="D7" s="11" t="inlineStr">
        <is>
          <t>S_C</t>
        </is>
      </c>
    </row>
    <row r="8" ht="90" customFormat="1" customHeight="1" s="8">
      <c r="A8" s="12" t="inlineStr">
        <is>
          <t>2024::jama.2024.0572::C001</t>
        </is>
      </c>
      <c r="B8" s="12" t="inlineStr">
        <is>
          <t>relations</t>
        </is>
      </c>
      <c r="C8" s="12" t="n">
        <v>0</v>
      </c>
      <c r="D8" s="12" t="inlineStr">
        <is>
          <t>S_C</t>
        </is>
      </c>
    </row>
    <row r="9" ht="90" customFormat="1" customHeight="1" s="8">
      <c r="A9" s="11" t="inlineStr">
        <is>
          <t>2024::jama.2024.0572::C002</t>
        </is>
      </c>
      <c r="B9" s="11" t="inlineStr">
        <is>
          <t>relations</t>
        </is>
      </c>
      <c r="C9" s="11" t="n">
        <v>0</v>
      </c>
      <c r="D9" s="11" t="inlineStr">
        <is>
          <t>S_W</t>
        </is>
      </c>
    </row>
    <row r="10" ht="90" customFormat="1" customHeight="1" s="8">
      <c r="A10" s="12" t="inlineStr">
        <is>
          <t>2024::jama.2024.11057::C001</t>
        </is>
      </c>
      <c r="B10" s="12" t="inlineStr">
        <is>
          <t>relations</t>
        </is>
      </c>
      <c r="C10" s="12" t="n">
        <v>0</v>
      </c>
      <c r="D10" s="12" t="inlineStr">
        <is>
          <t>P_R</t>
        </is>
      </c>
    </row>
    <row r="11" ht="90" customFormat="1" customHeight="1" s="8">
      <c r="A11" s="11" t="inlineStr">
        <is>
          <t>2024::jama.2024.11057::C001</t>
        </is>
      </c>
      <c r="B11" s="11" t="inlineStr">
        <is>
          <t>relations</t>
        </is>
      </c>
      <c r="C11" s="11" t="n">
        <v>1</v>
      </c>
      <c r="D11" s="11" t="inlineStr">
        <is>
          <t>S_C</t>
        </is>
      </c>
    </row>
    <row r="12" ht="90" customFormat="1" customHeight="1" s="8">
      <c r="A12" s="12" t="inlineStr">
        <is>
          <t>2024::jama.2024.11057::C002</t>
        </is>
      </c>
      <c r="B12" s="12" t="inlineStr">
        <is>
          <t>relations</t>
        </is>
      </c>
      <c r="C12" s="12" t="n">
        <v>0</v>
      </c>
      <c r="D12" s="12" t="inlineStr">
        <is>
          <t>S_W</t>
        </is>
      </c>
    </row>
    <row r="13" ht="90" customFormat="1" customHeight="1" s="8">
      <c r="A13" s="11" t="inlineStr">
        <is>
          <t>2024::jama.2024.11057::C003</t>
        </is>
      </c>
      <c r="B13" s="11" t="inlineStr">
        <is>
          <t>relations</t>
        </is>
      </c>
      <c r="C13" s="11" t="n">
        <v>0</v>
      </c>
      <c r="D13" s="11" t="inlineStr">
        <is>
          <t>S_W</t>
        </is>
      </c>
    </row>
    <row r="14" ht="90" customFormat="1" customHeight="1" s="8">
      <c r="A14" s="12" t="inlineStr">
        <is>
          <t>2024::jama.2024.12829::C001</t>
        </is>
      </c>
      <c r="B14" s="12" t="inlineStr">
        <is>
          <t>relations</t>
        </is>
      </c>
      <c r="C14" s="12" t="n">
        <v>0</v>
      </c>
      <c r="D14" s="12" t="inlineStr">
        <is>
          <t>S_W</t>
        </is>
      </c>
    </row>
    <row r="15" ht="90" customFormat="1" customHeight="1" s="8">
      <c r="A15" s="11" t="inlineStr">
        <is>
          <t>2024::jama.2024.12829::C002</t>
        </is>
      </c>
      <c r="B15" s="11" t="inlineStr">
        <is>
          <t>relations</t>
        </is>
      </c>
      <c r="C15" s="11" t="n">
        <v>0</v>
      </c>
      <c r="D15" s="11" t="inlineStr">
        <is>
          <t>S_W</t>
        </is>
      </c>
    </row>
    <row r="16" ht="90" customFormat="1" customHeight="1" s="8">
      <c r="A16" s="12" t="inlineStr">
        <is>
          <t>2024::jama.2024.12829::C003</t>
        </is>
      </c>
      <c r="B16" s="12" t="inlineStr">
        <is>
          <t>relations</t>
        </is>
      </c>
      <c r="C16" s="12" t="n">
        <v>0</v>
      </c>
      <c r="D16" s="12" t="inlineStr">
        <is>
          <t>S_W</t>
        </is>
      </c>
    </row>
    <row r="17" ht="90" customFormat="1" customHeight="1" s="8">
      <c r="A17" s="11" t="inlineStr">
        <is>
          <t>2024::jama.2024.12829::C004</t>
        </is>
      </c>
      <c r="B17" s="11" t="inlineStr">
        <is>
          <t>relations</t>
        </is>
      </c>
      <c r="C17" s="11" t="n">
        <v>0</v>
      </c>
      <c r="D17" s="11" t="inlineStr">
        <is>
          <t>S_W</t>
        </is>
      </c>
    </row>
    <row r="18" ht="90" customFormat="1" customHeight="1" s="8">
      <c r="A18" s="12" t="inlineStr">
        <is>
          <t>2024::jama.2024.12829::C005</t>
        </is>
      </c>
      <c r="B18" s="12" t="inlineStr">
        <is>
          <t>relations</t>
        </is>
      </c>
      <c r="C18" s="12" t="n">
        <v>0</v>
      </c>
      <c r="D18" s="12" t="inlineStr">
        <is>
          <t>S_W</t>
        </is>
      </c>
    </row>
    <row r="19" ht="90" customFormat="1" customHeight="1" s="8">
      <c r="A19" s="11" t="inlineStr">
        <is>
          <t>2024::jama.2024.12829::C006</t>
        </is>
      </c>
      <c r="B19" s="11" t="inlineStr">
        <is>
          <t>relations</t>
        </is>
      </c>
      <c r="C19" s="11" t="n">
        <v>0</v>
      </c>
      <c r="D19" s="11" t="inlineStr">
        <is>
          <t>S_W</t>
        </is>
      </c>
    </row>
    <row r="20" ht="90" customFormat="1" customHeight="1" s="8">
      <c r="A20" s="12" t="inlineStr">
        <is>
          <t>2024::jama.2024.12829::C007</t>
        </is>
      </c>
      <c r="B20" s="12" t="inlineStr">
        <is>
          <t>relations</t>
        </is>
      </c>
      <c r="C20" s="12" t="n">
        <v>0</v>
      </c>
      <c r="D20" s="12" t="inlineStr">
        <is>
          <t>S_W</t>
        </is>
      </c>
    </row>
    <row r="21" ht="90" customFormat="1" customHeight="1" s="8">
      <c r="A21" s="11" t="inlineStr">
        <is>
          <t>2024::jama.2024.12829::C008</t>
        </is>
      </c>
      <c r="B21" s="11" t="inlineStr">
        <is>
          <t>relations</t>
        </is>
      </c>
      <c r="C21" s="11" t="n">
        <v>0</v>
      </c>
      <c r="D21" s="11" t="inlineStr">
        <is>
          <t>S_W</t>
        </is>
      </c>
    </row>
    <row r="22" ht="90" customFormat="1" customHeight="1" s="8">
      <c r="A22" s="12" t="inlineStr">
        <is>
          <t>2024::jama.2024.12829::C009</t>
        </is>
      </c>
      <c r="B22" s="12" t="inlineStr">
        <is>
          <t>relations</t>
        </is>
      </c>
      <c r="C22" s="12" t="n">
        <v>0</v>
      </c>
      <c r="D22" s="12" t="inlineStr">
        <is>
          <t>P_R</t>
        </is>
      </c>
    </row>
    <row r="23" ht="90" customFormat="1" customHeight="1" s="8">
      <c r="A23" s="11" t="inlineStr">
        <is>
          <t>2024::jama.2024.12829::C009</t>
        </is>
      </c>
      <c r="B23" s="11" t="inlineStr">
        <is>
          <t>relations</t>
        </is>
      </c>
      <c r="C23" s="11" t="n">
        <v>1</v>
      </c>
      <c r="D23" s="11" t="inlineStr">
        <is>
          <t>S_C</t>
        </is>
      </c>
    </row>
    <row r="24" ht="90" customFormat="1" customHeight="1" s="8">
      <c r="A24" s="12" t="inlineStr">
        <is>
          <t>2024::jama.2024.12829::C010</t>
        </is>
      </c>
      <c r="B24" s="12" t="inlineStr">
        <is>
          <t>relations</t>
        </is>
      </c>
      <c r="C24" s="12" t="n">
        <v>0</v>
      </c>
      <c r="D24" s="12" t="inlineStr">
        <is>
          <t>P_P</t>
        </is>
      </c>
    </row>
    <row r="25" ht="90" customFormat="1" customHeight="1" s="8">
      <c r="A25" s="11" t="inlineStr">
        <is>
          <t>2024::jama.2024.12829::C011</t>
        </is>
      </c>
      <c r="B25" s="11" t="inlineStr">
        <is>
          <t>relations</t>
        </is>
      </c>
      <c r="C25" s="11" t="n">
        <v>0</v>
      </c>
      <c r="D25" s="11" t="inlineStr">
        <is>
          <t>S_W</t>
        </is>
      </c>
    </row>
    <row r="26" ht="90" customFormat="1" customHeight="1" s="8">
      <c r="A26" s="12" t="inlineStr">
        <is>
          <t>2024::jama.2024.12829::C012</t>
        </is>
      </c>
      <c r="B26" s="12" t="inlineStr">
        <is>
          <t>relations</t>
        </is>
      </c>
      <c r="C26" s="12" t="n">
        <v>0</v>
      </c>
      <c r="D26" s="12" t="inlineStr">
        <is>
          <t>S_W</t>
        </is>
      </c>
    </row>
    <row r="27" ht="90" customFormat="1" customHeight="1" s="8">
      <c r="A27" s="11" t="inlineStr">
        <is>
          <t>2024::jama.2024.12829::C013</t>
        </is>
      </c>
      <c r="B27" s="11" t="inlineStr">
        <is>
          <t>relations</t>
        </is>
      </c>
      <c r="C27" s="11" t="n">
        <v>0</v>
      </c>
      <c r="D27" s="11" t="inlineStr">
        <is>
          <t>P_P</t>
        </is>
      </c>
    </row>
    <row r="28" ht="90" customFormat="1" customHeight="1" s="8">
      <c r="A28" s="12" t="inlineStr">
        <is>
          <t>2024::jama.2024.12829::C014</t>
        </is>
      </c>
      <c r="B28" s="12" t="inlineStr">
        <is>
          <t>relations</t>
        </is>
      </c>
      <c r="C28" s="12" t="n">
        <v>0</v>
      </c>
      <c r="D28" s="12" t="inlineStr">
        <is>
          <t>S_W</t>
        </is>
      </c>
    </row>
    <row r="29" ht="90" customFormat="1" customHeight="1" s="8">
      <c r="A29" s="11" t="inlineStr">
        <is>
          <t>2024::jama.2024.12829::C015</t>
        </is>
      </c>
      <c r="B29" s="11" t="inlineStr">
        <is>
          <t>relations</t>
        </is>
      </c>
      <c r="C29" s="11" t="n">
        <v>0</v>
      </c>
      <c r="D29" s="11" t="inlineStr">
        <is>
          <t>S_W</t>
        </is>
      </c>
    </row>
    <row r="30" ht="90" customFormat="1" customHeight="1" s="8">
      <c r="A30" s="12" t="inlineStr">
        <is>
          <t>2024::jama.2024.12829::C016</t>
        </is>
      </c>
      <c r="B30" s="12" t="inlineStr">
        <is>
          <t>relations</t>
        </is>
      </c>
      <c r="C30" s="12" t="n">
        <v>0</v>
      </c>
      <c r="D30" s="12" t="inlineStr">
        <is>
          <t>S_C</t>
        </is>
      </c>
    </row>
    <row r="31" ht="90" customFormat="1" customHeight="1" s="8">
      <c r="A31" s="11" t="inlineStr">
        <is>
          <t>2024::jama.2024.12829::C017</t>
        </is>
      </c>
      <c r="B31" s="11" t="inlineStr">
        <is>
          <t>relations</t>
        </is>
      </c>
      <c r="C31" s="11" t="n">
        <v>0</v>
      </c>
      <c r="D31" s="11" t="inlineStr">
        <is>
          <t>S_W</t>
        </is>
      </c>
    </row>
    <row r="32" ht="90" customFormat="1" customHeight="1" s="8">
      <c r="A32" s="12" t="inlineStr">
        <is>
          <t>2024::jama.2024.19585::C001</t>
        </is>
      </c>
      <c r="B32" s="12" t="inlineStr">
        <is>
          <t>relations</t>
        </is>
      </c>
      <c r="C32" s="12" t="n">
        <v>0</v>
      </c>
      <c r="D32" s="12" t="inlineStr">
        <is>
          <t>S_W</t>
        </is>
      </c>
    </row>
    <row r="33" ht="90" customFormat="1" customHeight="1" s="8">
      <c r="A33" s="11" t="inlineStr">
        <is>
          <t>2024::jama.2024.19585::C002</t>
        </is>
      </c>
      <c r="B33" s="11" t="inlineStr">
        <is>
          <t>relations</t>
        </is>
      </c>
      <c r="C33" s="11" t="n">
        <v>0</v>
      </c>
      <c r="D33" s="11" t="inlineStr">
        <is>
          <t>S_C</t>
        </is>
      </c>
    </row>
    <row r="34" ht="90" customFormat="1" customHeight="1" s="8">
      <c r="A34" s="12" t="inlineStr">
        <is>
          <t>2024::jama.2024.19585::C003</t>
        </is>
      </c>
      <c r="B34" s="12" t="inlineStr">
        <is>
          <t>relations</t>
        </is>
      </c>
      <c r="C34" s="12" t="n">
        <v>0</v>
      </c>
      <c r="D34" s="12" t="inlineStr">
        <is>
          <t>S_W</t>
        </is>
      </c>
    </row>
    <row r="35" ht="90" customFormat="1" customHeight="1" s="8">
      <c r="A35" s="11" t="inlineStr">
        <is>
          <t>2024::jama.2024.2302::C001</t>
        </is>
      </c>
      <c r="B35" s="11" t="inlineStr">
        <is>
          <t>relations</t>
        </is>
      </c>
      <c r="C35" s="11" t="n">
        <v>0</v>
      </c>
      <c r="D35" s="11" t="inlineStr">
        <is>
          <t>P_R</t>
        </is>
      </c>
    </row>
    <row r="36" ht="90" customFormat="1" customHeight="1" s="8">
      <c r="A36" s="12" t="inlineStr">
        <is>
          <t>2024::jama.2024.2302::C001</t>
        </is>
      </c>
      <c r="B36" s="12" t="inlineStr">
        <is>
          <t>relations</t>
        </is>
      </c>
      <c r="C36" s="12" t="n">
        <v>1</v>
      </c>
      <c r="D36" s="12" t="inlineStr">
        <is>
          <t>P_P</t>
        </is>
      </c>
    </row>
    <row r="37" ht="90" customFormat="1" customHeight="1" s="8">
      <c r="A37" s="11" t="inlineStr">
        <is>
          <t>2024::jama.2024.2302::C001</t>
        </is>
      </c>
      <c r="B37" s="11" t="inlineStr">
        <is>
          <t>relations</t>
        </is>
      </c>
      <c r="C37" s="11" t="n">
        <v>2</v>
      </c>
      <c r="D37" s="11" t="inlineStr">
        <is>
          <t>S_C</t>
        </is>
      </c>
    </row>
    <row r="38" ht="90" customFormat="1" customHeight="1" s="8">
      <c r="A38" s="12" t="inlineStr">
        <is>
          <t>2024::jama.2024.2302::C002</t>
        </is>
      </c>
      <c r="B38" s="12" t="inlineStr">
        <is>
          <t>relations</t>
        </is>
      </c>
      <c r="C38" s="12" t="n">
        <v>0</v>
      </c>
      <c r="D38" s="12" t="inlineStr">
        <is>
          <t>P_P</t>
        </is>
      </c>
    </row>
    <row r="39" ht="90" customFormat="1" customHeight="1" s="8">
      <c r="A39" s="11" t="inlineStr">
        <is>
          <t>2024::jama.2024.2302::C003</t>
        </is>
      </c>
      <c r="B39" s="11" t="inlineStr">
        <is>
          <t>relations</t>
        </is>
      </c>
      <c r="C39" s="11" t="n">
        <v>0</v>
      </c>
      <c r="D39" s="11" t="inlineStr">
        <is>
          <t>P_R</t>
        </is>
      </c>
    </row>
    <row r="40" ht="90" customFormat="1" customHeight="1" s="8">
      <c r="A40" s="12" t="inlineStr">
        <is>
          <t>2024::jama.2024.2302::C004</t>
        </is>
      </c>
      <c r="B40" s="12" t="inlineStr">
        <is>
          <t>relations</t>
        </is>
      </c>
      <c r="C40" s="12" t="n">
        <v>0</v>
      </c>
      <c r="D40" s="12" t="inlineStr">
        <is>
          <t>P_R</t>
        </is>
      </c>
    </row>
    <row r="41" ht="90" customFormat="1" customHeight="1" s="8">
      <c r="A41" s="11" t="inlineStr">
        <is>
          <t>2024::jama.2024.2302::C004</t>
        </is>
      </c>
      <c r="B41" s="11" t="inlineStr">
        <is>
          <t>relations</t>
        </is>
      </c>
      <c r="C41" s="11" t="n">
        <v>1</v>
      </c>
      <c r="D41" s="11" t="inlineStr">
        <is>
          <t>P_P</t>
        </is>
      </c>
    </row>
    <row r="42" ht="90" customFormat="1" customHeight="1" s="8">
      <c r="A42" s="12" t="inlineStr">
        <is>
          <t>2024::jama.2024.2302::C005</t>
        </is>
      </c>
      <c r="B42" s="12" t="inlineStr">
        <is>
          <t>relations</t>
        </is>
      </c>
      <c r="C42" s="12" t="n">
        <v>0</v>
      </c>
      <c r="D42" s="12" t="inlineStr">
        <is>
          <t>P_R</t>
        </is>
      </c>
    </row>
    <row r="43" ht="90" customFormat="1" customHeight="1" s="8">
      <c r="A43" s="11" t="inlineStr">
        <is>
          <t>2024::jama.2024.2302::C005</t>
        </is>
      </c>
      <c r="B43" s="11" t="inlineStr">
        <is>
          <t>relations</t>
        </is>
      </c>
      <c r="C43" s="11" t="n">
        <v>1</v>
      </c>
      <c r="D43" s="11" t="inlineStr">
        <is>
          <t>P_P</t>
        </is>
      </c>
    </row>
    <row r="44" ht="90" customFormat="1" customHeight="1" s="8">
      <c r="A44" s="12" t="inlineStr">
        <is>
          <t>2024::jama.2024.23898::C001</t>
        </is>
      </c>
      <c r="B44" s="12" t="inlineStr">
        <is>
          <t>relations</t>
        </is>
      </c>
      <c r="C44" s="12" t="n">
        <v>0</v>
      </c>
      <c r="D44" s="12" t="inlineStr">
        <is>
          <t>P_R</t>
        </is>
      </c>
    </row>
    <row r="45" ht="90" customFormat="1" customHeight="1" s="8">
      <c r="A45" s="11" t="inlineStr">
        <is>
          <t>2024::jama.2024.23898::C002</t>
        </is>
      </c>
      <c r="B45" s="11" t="inlineStr">
        <is>
          <t>relations</t>
        </is>
      </c>
      <c r="C45" s="11" t="n">
        <v>0</v>
      </c>
      <c r="D45" s="11" t="inlineStr">
        <is>
          <t>P_R</t>
        </is>
      </c>
    </row>
    <row r="46" ht="90" customFormat="1" customHeight="1" s="8">
      <c r="A46" s="12" t="inlineStr">
        <is>
          <t>2024::jama.2024.23898::C003</t>
        </is>
      </c>
      <c r="B46" s="12" t="inlineStr">
        <is>
          <t>relations</t>
        </is>
      </c>
      <c r="C46" s="12" t="n">
        <v>0</v>
      </c>
      <c r="D46" s="12" t="inlineStr">
        <is>
          <t>P_R</t>
        </is>
      </c>
    </row>
    <row r="47" ht="90" customFormat="1" customHeight="1" s="8">
      <c r="A47" s="11" t="inlineStr">
        <is>
          <t>2024::jama.2024.23898::C003</t>
        </is>
      </c>
      <c r="B47" s="11" t="inlineStr">
        <is>
          <t>relations</t>
        </is>
      </c>
      <c r="C47" s="11" t="n">
        <v>1</v>
      </c>
      <c r="D47" s="11" t="inlineStr">
        <is>
          <t>S_W</t>
        </is>
      </c>
    </row>
    <row r="48" ht="90" customFormat="1" customHeight="1" s="8">
      <c r="A48" s="12" t="inlineStr">
        <is>
          <t>2024::jama.2024.23898::C004</t>
        </is>
      </c>
      <c r="B48" s="12" t="inlineStr">
        <is>
          <t>relations</t>
        </is>
      </c>
      <c r="C48" s="12" t="n">
        <v>0</v>
      </c>
      <c r="D48" s="12" t="inlineStr">
        <is>
          <t>P_R</t>
        </is>
      </c>
    </row>
    <row r="49" ht="90" customFormat="1" customHeight="1" s="8">
      <c r="A49" s="11" t="inlineStr">
        <is>
          <t>2024::jama.2024.23898::C005</t>
        </is>
      </c>
      <c r="B49" s="11" t="inlineStr">
        <is>
          <t>relations</t>
        </is>
      </c>
      <c r="C49" s="11" t="n">
        <v>0</v>
      </c>
      <c r="D49" s="11" t="inlineStr">
        <is>
          <t>S_W</t>
        </is>
      </c>
    </row>
    <row r="50" ht="90" customFormat="1" customHeight="1" s="8">
      <c r="A50" s="12" t="inlineStr">
        <is>
          <t>2024::jama.2024.23898::C006</t>
        </is>
      </c>
      <c r="B50" s="12" t="inlineStr">
        <is>
          <t>relations</t>
        </is>
      </c>
      <c r="C50" s="12" t="n">
        <v>0</v>
      </c>
      <c r="D50" s="12" t="inlineStr">
        <is>
          <t>S_W</t>
        </is>
      </c>
    </row>
    <row r="51" ht="90" customFormat="1" customHeight="1" s="8">
      <c r="A51" s="11" t="inlineStr">
        <is>
          <t>2024::jama.2024.23898::C007</t>
        </is>
      </c>
      <c r="B51" s="11" t="inlineStr">
        <is>
          <t>relations</t>
        </is>
      </c>
      <c r="C51" s="11" t="n">
        <v>0</v>
      </c>
      <c r="D51" s="11" t="inlineStr">
        <is>
          <t>P_R</t>
        </is>
      </c>
    </row>
    <row r="52" ht="90" customFormat="1" customHeight="1" s="8">
      <c r="A52" s="12" t="inlineStr">
        <is>
          <t>2024::jama.2024.23898::C007</t>
        </is>
      </c>
      <c r="B52" s="12" t="inlineStr">
        <is>
          <t>relations</t>
        </is>
      </c>
      <c r="C52" s="12" t="n">
        <v>1</v>
      </c>
      <c r="D52" s="12" t="inlineStr">
        <is>
          <t>S_C</t>
        </is>
      </c>
    </row>
    <row r="53" ht="90" customFormat="1" customHeight="1" s="8">
      <c r="A53" s="11" t="inlineStr">
        <is>
          <t>2024::jama.2024.25786::C001</t>
        </is>
      </c>
      <c r="B53" s="11" t="inlineStr">
        <is>
          <t>relations</t>
        </is>
      </c>
      <c r="C53" s="11" t="n">
        <v>0</v>
      </c>
      <c r="D53" s="11" t="inlineStr">
        <is>
          <t>S_W</t>
        </is>
      </c>
    </row>
    <row r="54" ht="90" customFormat="1" customHeight="1" s="8">
      <c r="A54" s="12" t="inlineStr">
        <is>
          <t>2024::jama.2024.25786::C002</t>
        </is>
      </c>
      <c r="B54" s="12" t="inlineStr">
        <is>
          <t>relations</t>
        </is>
      </c>
      <c r="C54" s="12" t="n">
        <v>0</v>
      </c>
      <c r="D54" s="12" t="inlineStr">
        <is>
          <t>S_W</t>
        </is>
      </c>
    </row>
    <row r="55" ht="90" customFormat="1" customHeight="1" s="8">
      <c r="A55" s="11" t="inlineStr">
        <is>
          <t>2024::jama.2024.25786::C003</t>
        </is>
      </c>
      <c r="B55" s="11" t="inlineStr">
        <is>
          <t>relations</t>
        </is>
      </c>
      <c r="C55" s="11" t="n">
        <v>0</v>
      </c>
      <c r="D55" s="11" t="inlineStr">
        <is>
          <t>S_W</t>
        </is>
      </c>
    </row>
    <row r="56" ht="90" customFormat="1" customHeight="1" s="8">
      <c r="A56" s="12" t="inlineStr">
        <is>
          <t>2024::jama.2024.25786::C004</t>
        </is>
      </c>
      <c r="B56" s="12" t="inlineStr">
        <is>
          <t>relations</t>
        </is>
      </c>
      <c r="C56" s="12" t="n">
        <v>0</v>
      </c>
      <c r="D56" s="12" t="inlineStr">
        <is>
          <t>S_C</t>
        </is>
      </c>
    </row>
    <row r="57" ht="90" customFormat="1" customHeight="1" s="8">
      <c r="A57" s="11" t="inlineStr">
        <is>
          <t>2024::jama.2024.25786::C004</t>
        </is>
      </c>
      <c r="B57" s="11" t="inlineStr">
        <is>
          <t>relations</t>
        </is>
      </c>
      <c r="C57" s="11" t="n">
        <v>1</v>
      </c>
      <c r="D57" s="11" t="inlineStr">
        <is>
          <t>S_W</t>
        </is>
      </c>
    </row>
    <row r="58" ht="90" customFormat="1" customHeight="1" s="8">
      <c r="A58" s="12" t="inlineStr">
        <is>
          <t>2024::jama.2024.25786::C005</t>
        </is>
      </c>
      <c r="B58" s="12" t="inlineStr">
        <is>
          <t>relations</t>
        </is>
      </c>
      <c r="C58" s="12" t="n">
        <v>0</v>
      </c>
      <c r="D58" s="12" t="inlineStr">
        <is>
          <t>S_C</t>
        </is>
      </c>
    </row>
    <row r="59" ht="90" customFormat="1" customHeight="1" s="8">
      <c r="A59" s="11" t="inlineStr">
        <is>
          <t>2024::jama.2024.25786::C005</t>
        </is>
      </c>
      <c r="B59" s="11" t="inlineStr">
        <is>
          <t>relations</t>
        </is>
      </c>
      <c r="C59" s="11" t="n">
        <v>1</v>
      </c>
      <c r="D59" s="11" t="inlineStr">
        <is>
          <t>S_W</t>
        </is>
      </c>
    </row>
    <row r="60" ht="90" customFormat="1" customHeight="1" s="8">
      <c r="A60" s="12" t="inlineStr">
        <is>
          <t>2024::jama.2024.25786::C006</t>
        </is>
      </c>
      <c r="B60" s="12" t="inlineStr">
        <is>
          <t>relations</t>
        </is>
      </c>
      <c r="C60" s="12" t="n">
        <v>0</v>
      </c>
      <c r="D60" s="12" t="inlineStr">
        <is>
          <t>S_C</t>
        </is>
      </c>
    </row>
    <row r="61" ht="90" customFormat="1" customHeight="1" s="8">
      <c r="A61" s="11" t="inlineStr">
        <is>
          <t>2024::jama.2024.25786::C006</t>
        </is>
      </c>
      <c r="B61" s="11" t="inlineStr">
        <is>
          <t>relations</t>
        </is>
      </c>
      <c r="C61" s="11" t="n">
        <v>1</v>
      </c>
      <c r="D61" s="11" t="inlineStr">
        <is>
          <t>S_W</t>
        </is>
      </c>
    </row>
    <row r="62" ht="90" customFormat="1" customHeight="1" s="8">
      <c r="A62" s="12" t="inlineStr">
        <is>
          <t>2024::jama.2024.25786::C007</t>
        </is>
      </c>
      <c r="B62" s="12" t="inlineStr">
        <is>
          <t>relations</t>
        </is>
      </c>
      <c r="C62" s="12" t="n">
        <v>0</v>
      </c>
      <c r="D62" s="12" t="inlineStr">
        <is>
          <t>S_W</t>
        </is>
      </c>
    </row>
    <row r="63" ht="90" customFormat="1" customHeight="1" s="8">
      <c r="A63" s="11" t="inlineStr">
        <is>
          <t>2024::jama.2024.25786::C008</t>
        </is>
      </c>
      <c r="B63" s="11" t="inlineStr">
        <is>
          <t>relations</t>
        </is>
      </c>
      <c r="C63" s="11" t="n">
        <v>0</v>
      </c>
      <c r="D63" s="11" t="inlineStr">
        <is>
          <t>S_W</t>
        </is>
      </c>
    </row>
    <row r="64" ht="90" customFormat="1" customHeight="1" s="8">
      <c r="A64" s="12" t="inlineStr">
        <is>
          <t>2024::jama.2024.4183::C001</t>
        </is>
      </c>
      <c r="B64" s="12" t="inlineStr">
        <is>
          <t>relations</t>
        </is>
      </c>
      <c r="C64" s="12" t="n">
        <v>0</v>
      </c>
      <c r="D64" s="12" t="inlineStr">
        <is>
          <t>S_W</t>
        </is>
      </c>
    </row>
    <row r="65" ht="90" customFormat="1" customHeight="1" s="8">
      <c r="A65" s="11" t="inlineStr">
        <is>
          <t>2024::jama.2024.4183::C002</t>
        </is>
      </c>
      <c r="B65" s="11" t="inlineStr">
        <is>
          <t>relations</t>
        </is>
      </c>
      <c r="C65" s="11" t="n">
        <v>0</v>
      </c>
      <c r="D65" s="11" t="inlineStr">
        <is>
          <t>S_W</t>
        </is>
      </c>
    </row>
    <row r="66" ht="90" customFormat="1" customHeight="1" s="8">
      <c r="A66" s="12" t="inlineStr">
        <is>
          <t>2024::jama.2024.4183::C003</t>
        </is>
      </c>
      <c r="B66" s="12" t="inlineStr">
        <is>
          <t>relations</t>
        </is>
      </c>
      <c r="C66" s="12" t="n">
        <v>0</v>
      </c>
      <c r="D66" s="12" t="inlineStr">
        <is>
          <t>S_W</t>
        </is>
      </c>
    </row>
    <row r="67" ht="90" customFormat="1" customHeight="1" s="8">
      <c r="A67" s="11" t="inlineStr">
        <is>
          <t>2024::jama.2024.4183::C004</t>
        </is>
      </c>
      <c r="B67" s="11" t="inlineStr">
        <is>
          <t>relations</t>
        </is>
      </c>
      <c r="C67" s="11" t="n">
        <v>0</v>
      </c>
      <c r="D67" s="11" t="inlineStr">
        <is>
          <t>S_W</t>
        </is>
      </c>
    </row>
    <row r="68" ht="90" customFormat="1" customHeight="1" s="8">
      <c r="A68" s="12" t="inlineStr">
        <is>
          <t>2024::jama.2024.4183::C005</t>
        </is>
      </c>
      <c r="B68" s="12" t="inlineStr">
        <is>
          <t>relations</t>
        </is>
      </c>
      <c r="C68" s="12" t="n">
        <v>0</v>
      </c>
      <c r="D68" s="12" t="inlineStr">
        <is>
          <t>S_C</t>
        </is>
      </c>
    </row>
    <row r="69" ht="90" customFormat="1" customHeight="1" s="8">
      <c r="A69" s="11" t="inlineStr">
        <is>
          <t>2024::jama.2024.4183::C005</t>
        </is>
      </c>
      <c r="B69" s="11" t="inlineStr">
        <is>
          <t>relations</t>
        </is>
      </c>
      <c r="C69" s="11" t="n">
        <v>1</v>
      </c>
      <c r="D69" s="11" t="inlineStr">
        <is>
          <t>S_W</t>
        </is>
      </c>
    </row>
    <row r="70" ht="90" customFormat="1" customHeight="1" s="8">
      <c r="A70" s="12" t="inlineStr">
        <is>
          <t>2024::jama.2024.4183::C006</t>
        </is>
      </c>
      <c r="B70" s="12" t="inlineStr">
        <is>
          <t>relations</t>
        </is>
      </c>
      <c r="C70" s="12" t="n">
        <v>0</v>
      </c>
      <c r="D70" s="12" t="inlineStr">
        <is>
          <t>S_C</t>
        </is>
      </c>
    </row>
    <row r="71" ht="90" customFormat="1" customHeight="1" s="8">
      <c r="A71" s="11" t="inlineStr">
        <is>
          <t>2024::jama.2024.4183::C006</t>
        </is>
      </c>
      <c r="B71" s="11" t="inlineStr">
        <is>
          <t>relations</t>
        </is>
      </c>
      <c r="C71" s="11" t="n">
        <v>1</v>
      </c>
      <c r="D71" s="11" t="inlineStr">
        <is>
          <t>S_W</t>
        </is>
      </c>
    </row>
    <row r="72" ht="90" customFormat="1" customHeight="1" s="8">
      <c r="A72" s="12" t="inlineStr">
        <is>
          <t>2024::jama.2024.4183::C007</t>
        </is>
      </c>
      <c r="B72" s="12" t="inlineStr">
        <is>
          <t>relations</t>
        </is>
      </c>
      <c r="C72" s="12" t="n">
        <v>0</v>
      </c>
      <c r="D72" s="12" t="inlineStr">
        <is>
          <t>S_C</t>
        </is>
      </c>
    </row>
    <row r="73" ht="90" customFormat="1" customHeight="1" s="8">
      <c r="A73" s="11" t="inlineStr">
        <is>
          <t>2024::jama.2024.4183::C007</t>
        </is>
      </c>
      <c r="B73" s="11" t="inlineStr">
        <is>
          <t>relations</t>
        </is>
      </c>
      <c r="C73" s="11" t="n">
        <v>1</v>
      </c>
      <c r="D73" s="11" t="inlineStr">
        <is>
          <t>S_W</t>
        </is>
      </c>
    </row>
    <row r="74" ht="90" customFormat="1" customHeight="1" s="8">
      <c r="A74" s="12" t="inlineStr">
        <is>
          <t>2024::jama.2024.4183::C008</t>
        </is>
      </c>
      <c r="B74" s="12" t="inlineStr">
        <is>
          <t>relations</t>
        </is>
      </c>
      <c r="C74" s="12" t="n">
        <v>0</v>
      </c>
      <c r="D74" s="12" t="inlineStr">
        <is>
          <t>S_C</t>
        </is>
      </c>
    </row>
    <row r="75" ht="90" customFormat="1" customHeight="1" s="8">
      <c r="A75" s="11" t="inlineStr">
        <is>
          <t>2024::jama.2024.4183::C009</t>
        </is>
      </c>
      <c r="B75" s="11" t="inlineStr">
        <is>
          <t>relations</t>
        </is>
      </c>
      <c r="C75" s="11" t="n">
        <v>0</v>
      </c>
      <c r="D75" s="11" t="inlineStr">
        <is>
          <t>S_C</t>
        </is>
      </c>
    </row>
    <row r="76" ht="90" customFormat="1" customHeight="1" s="8">
      <c r="A76" s="12" t="inlineStr">
        <is>
          <t>2024::jama.2024.4183::C010</t>
        </is>
      </c>
      <c r="B76" s="12" t="inlineStr">
        <is>
          <t>relations</t>
        </is>
      </c>
      <c r="C76" s="12" t="n">
        <v>0</v>
      </c>
      <c r="D76" s="12" t="inlineStr">
        <is>
          <t>P_P</t>
        </is>
      </c>
    </row>
    <row r="77" ht="90" customFormat="1" customHeight="1" s="8">
      <c r="A77" s="11" t="inlineStr">
        <is>
          <t>2024::jama.2024.4183::C011</t>
        </is>
      </c>
      <c r="B77" s="11" t="inlineStr">
        <is>
          <t>relations</t>
        </is>
      </c>
      <c r="C77" s="11" t="n">
        <v>0</v>
      </c>
      <c r="D77" s="11" t="inlineStr">
        <is>
          <t>P_P</t>
        </is>
      </c>
    </row>
    <row r="78" ht="90" customFormat="1" customHeight="1" s="8">
      <c r="A78" s="12" t="inlineStr">
        <is>
          <t>2024::jama.2024.4183::C012</t>
        </is>
      </c>
      <c r="B78" s="12" t="inlineStr">
        <is>
          <t>relations</t>
        </is>
      </c>
      <c r="C78" s="12" t="n">
        <v>0</v>
      </c>
      <c r="D78" s="12" t="inlineStr">
        <is>
          <t>P_P</t>
        </is>
      </c>
    </row>
    <row r="79" ht="90" customFormat="1" customHeight="1" s="8">
      <c r="A79" s="11" t="inlineStr">
        <is>
          <t>2024::jama.2024.4183::C013</t>
        </is>
      </c>
      <c r="B79" s="11" t="inlineStr">
        <is>
          <t>relations</t>
        </is>
      </c>
      <c r="C79" s="11" t="n">
        <v>0</v>
      </c>
      <c r="D79" s="11" t="inlineStr">
        <is>
          <t>S_W</t>
        </is>
      </c>
    </row>
    <row r="80" ht="90" customFormat="1" customHeight="1" s="8">
      <c r="A80" s="12" t="inlineStr">
        <is>
          <t>2024::jama.2024.4183::C014</t>
        </is>
      </c>
      <c r="B80" s="12" t="inlineStr">
        <is>
          <t>relations</t>
        </is>
      </c>
      <c r="C80" s="12" t="n">
        <v>0</v>
      </c>
      <c r="D80" s="12" t="inlineStr">
        <is>
          <t>S_W</t>
        </is>
      </c>
    </row>
    <row r="81" ht="90" customFormat="1" customHeight="1" s="8">
      <c r="A81" s="11" t="inlineStr">
        <is>
          <t>2024::jama.2024.4183::C015</t>
        </is>
      </c>
      <c r="B81" s="11" t="inlineStr">
        <is>
          <t>relations</t>
        </is>
      </c>
      <c r="C81" s="11" t="n">
        <v>0</v>
      </c>
      <c r="D81" s="11" t="inlineStr">
        <is>
          <t>S_W</t>
        </is>
      </c>
    </row>
    <row r="82" ht="90" customFormat="1" customHeight="1" s="8">
      <c r="A82" s="12" t="inlineStr">
        <is>
          <t>2024::jama.2024.4183::C016</t>
        </is>
      </c>
      <c r="B82" s="12" t="inlineStr">
        <is>
          <t>relations</t>
        </is>
      </c>
      <c r="C82" s="12" t="n">
        <v>0</v>
      </c>
      <c r="D82" s="12" t="inlineStr">
        <is>
          <t>S_W</t>
        </is>
      </c>
    </row>
    <row r="83" ht="90" customFormat="1" customHeight="1" s="8">
      <c r="A83" s="11" t="inlineStr">
        <is>
          <t>2024::jama.2024.4183::C017</t>
        </is>
      </c>
      <c r="B83" s="11" t="inlineStr">
        <is>
          <t>relations</t>
        </is>
      </c>
      <c r="C83" s="11" t="n">
        <v>0</v>
      </c>
      <c r="D83" s="11" t="inlineStr">
        <is>
          <t>S_W</t>
        </is>
      </c>
    </row>
    <row r="84" ht="90" customFormat="1" customHeight="1" s="8">
      <c r="A84" s="12" t="inlineStr">
        <is>
          <t>2024::jama.2024.4183::C018</t>
        </is>
      </c>
      <c r="B84" s="12" t="inlineStr">
        <is>
          <t>relations</t>
        </is>
      </c>
      <c r="C84" s="12" t="n">
        <v>0</v>
      </c>
      <c r="D84" s="12" t="inlineStr">
        <is>
          <t>S_W</t>
        </is>
      </c>
    </row>
    <row r="85" ht="90" customFormat="1" customHeight="1" s="8">
      <c r="A85" s="11" t="inlineStr">
        <is>
          <t>2024::jama.2024.4183::C019</t>
        </is>
      </c>
      <c r="B85" s="11" t="inlineStr">
        <is>
          <t>relations</t>
        </is>
      </c>
      <c r="C85" s="11" t="n">
        <v>0</v>
      </c>
      <c r="D85" s="11" t="inlineStr">
        <is>
          <t>S_W</t>
        </is>
      </c>
    </row>
    <row r="86" ht="90" customFormat="1" customHeight="1" s="8">
      <c r="A86" s="12" t="inlineStr">
        <is>
          <t>2024::jama.2024.4183::C020</t>
        </is>
      </c>
      <c r="B86" s="12" t="inlineStr">
        <is>
          <t>relations</t>
        </is>
      </c>
      <c r="C86" s="12" t="n">
        <v>0</v>
      </c>
      <c r="D86" s="12" t="inlineStr">
        <is>
          <t>S_W</t>
        </is>
      </c>
    </row>
    <row r="87" ht="90" customFormat="1" customHeight="1" s="8">
      <c r="A87" s="11" t="inlineStr">
        <is>
          <t>2024::jama.2024.4183::C021</t>
        </is>
      </c>
      <c r="B87" s="11" t="inlineStr">
        <is>
          <t>relations</t>
        </is>
      </c>
      <c r="C87" s="11" t="n">
        <v>0</v>
      </c>
      <c r="D87" s="11" t="inlineStr">
        <is>
          <t>S_W</t>
        </is>
      </c>
    </row>
    <row r="88" ht="90" customFormat="1" customHeight="1" s="8">
      <c r="A88" s="12" t="inlineStr">
        <is>
          <t>2024::jama.2024.4183::C022</t>
        </is>
      </c>
      <c r="B88" s="12" t="inlineStr">
        <is>
          <t>relations</t>
        </is>
      </c>
      <c r="C88" s="12" t="n">
        <v>0</v>
      </c>
      <c r="D88" s="12" t="inlineStr">
        <is>
          <t>S_W</t>
        </is>
      </c>
    </row>
    <row r="89" ht="90" customFormat="1" customHeight="1" s="8">
      <c r="A89" s="11" t="inlineStr">
        <is>
          <t>2024::jama.2024.4183::C023</t>
        </is>
      </c>
      <c r="B89" s="11" t="inlineStr">
        <is>
          <t>relations</t>
        </is>
      </c>
      <c r="C89" s="11" t="n">
        <v>0</v>
      </c>
      <c r="D89" s="11" t="inlineStr">
        <is>
          <t>S_W</t>
        </is>
      </c>
    </row>
    <row r="90" ht="90" customFormat="1" customHeight="1" s="8">
      <c r="A90" s="12" t="inlineStr">
        <is>
          <t>2024::jama.2024.4183::C024</t>
        </is>
      </c>
      <c r="B90" s="12" t="inlineStr">
        <is>
          <t>relations</t>
        </is>
      </c>
      <c r="C90" s="12" t="n">
        <v>0</v>
      </c>
      <c r="D90" s="12" t="inlineStr">
        <is>
          <t>S_W</t>
        </is>
      </c>
    </row>
    <row r="91" ht="90" customFormat="1" customHeight="1" s="8">
      <c r="A91" s="11" t="inlineStr">
        <is>
          <t>2024::jama.2024.6063::C001</t>
        </is>
      </c>
      <c r="B91" s="11" t="inlineStr">
        <is>
          <t>relations</t>
        </is>
      </c>
      <c r="C91" s="11" t="n">
        <v>0</v>
      </c>
      <c r="D91" s="11" t="inlineStr">
        <is>
          <t>S_W</t>
        </is>
      </c>
    </row>
    <row r="92" ht="90" customFormat="1" customHeight="1" s="8">
      <c r="A92" s="12" t="inlineStr">
        <is>
          <t>2024::jama.2024.6063::C002</t>
        </is>
      </c>
      <c r="B92" s="12" t="inlineStr">
        <is>
          <t>relations</t>
        </is>
      </c>
      <c r="C92" s="12" t="n">
        <v>0</v>
      </c>
      <c r="D92" s="12" t="inlineStr">
        <is>
          <t>S_W</t>
        </is>
      </c>
    </row>
    <row r="93" ht="90" customFormat="1" customHeight="1" s="8">
      <c r="A93" s="11" t="inlineStr">
        <is>
          <t>2024::jama.2024.6063::C003</t>
        </is>
      </c>
      <c r="B93" s="11" t="inlineStr">
        <is>
          <t>relations</t>
        </is>
      </c>
      <c r="C93" s="11" t="n">
        <v>0</v>
      </c>
      <c r="D93" s="11" t="inlineStr">
        <is>
          <t>S_W</t>
        </is>
      </c>
    </row>
    <row r="94" ht="90" customFormat="1" customHeight="1" s="8">
      <c r="A94" s="12" t="inlineStr">
        <is>
          <t>2024::jama.2024.6063::C004</t>
        </is>
      </c>
      <c r="B94" s="12" t="inlineStr">
        <is>
          <t>relations</t>
        </is>
      </c>
      <c r="C94" s="12" t="n">
        <v>0</v>
      </c>
      <c r="D94" s="12" t="inlineStr">
        <is>
          <t>S_W</t>
        </is>
      </c>
    </row>
    <row r="95" ht="90" customFormat="1" customHeight="1" s="8">
      <c r="A95" s="11" t="inlineStr">
        <is>
          <t>2024::jama.2024.6063::C005</t>
        </is>
      </c>
      <c r="B95" s="11" t="inlineStr">
        <is>
          <t>relations</t>
        </is>
      </c>
      <c r="C95" s="11" t="n">
        <v>0</v>
      </c>
      <c r="D95" s="11" t="inlineStr">
        <is>
          <t>S_W</t>
        </is>
      </c>
    </row>
    <row r="96" ht="90" customFormat="1" customHeight="1" s="8">
      <c r="A96" s="12" t="inlineStr">
        <is>
          <t>2024::jama.2024.6063::C006</t>
        </is>
      </c>
      <c r="B96" s="12" t="inlineStr">
        <is>
          <t>relations</t>
        </is>
      </c>
      <c r="C96" s="12" t="n">
        <v>0</v>
      </c>
      <c r="D96" s="12" t="inlineStr">
        <is>
          <t>S_W</t>
        </is>
      </c>
    </row>
    <row r="97" ht="90" customFormat="1" customHeight="1" s="8">
      <c r="A97" s="11" t="inlineStr">
        <is>
          <t>2024::jama.2024.6063::C007</t>
        </is>
      </c>
      <c r="B97" s="11" t="inlineStr">
        <is>
          <t>relations</t>
        </is>
      </c>
      <c r="C97" s="11" t="n">
        <v>0</v>
      </c>
      <c r="D97" s="11" t="inlineStr">
        <is>
          <t>S_W</t>
        </is>
      </c>
    </row>
    <row r="98" ht="90" customFormat="1" customHeight="1" s="8">
      <c r="A98" s="12" t="inlineStr">
        <is>
          <t>2024::jama.2024.6063::C008</t>
        </is>
      </c>
      <c r="B98" s="12" t="inlineStr">
        <is>
          <t>relations</t>
        </is>
      </c>
      <c r="C98" s="12" t="n">
        <v>0</v>
      </c>
      <c r="D98" s="12" t="inlineStr">
        <is>
          <t>S_W</t>
        </is>
      </c>
    </row>
    <row r="99" ht="90" customFormat="1" customHeight="1" s="8">
      <c r="A99" s="11" t="inlineStr">
        <is>
          <t>2024::jama.2024.6063::C009</t>
        </is>
      </c>
      <c r="B99" s="11" t="inlineStr">
        <is>
          <t>relations</t>
        </is>
      </c>
      <c r="C99" s="11" t="n">
        <v>0</v>
      </c>
      <c r="D99" s="11" t="inlineStr">
        <is>
          <t>S_W</t>
        </is>
      </c>
    </row>
    <row r="100" ht="90" customFormat="1" customHeight="1" s="8">
      <c r="A100" s="12" t="inlineStr">
        <is>
          <t>2024::jama.2024.6063::C010</t>
        </is>
      </c>
      <c r="B100" s="12" t="inlineStr">
        <is>
          <t>relations</t>
        </is>
      </c>
      <c r="C100" s="12" t="n">
        <v>0</v>
      </c>
      <c r="D100" s="12" t="inlineStr">
        <is>
          <t>S_W</t>
        </is>
      </c>
    </row>
    <row r="101" ht="90" customFormat="1" customHeight="1" s="8">
      <c r="A101" s="11" t="inlineStr">
        <is>
          <t>2024::jama.2024.6063::C011</t>
        </is>
      </c>
      <c r="B101" s="11" t="inlineStr">
        <is>
          <t>relations</t>
        </is>
      </c>
      <c r="C101" s="11" t="n">
        <v>0</v>
      </c>
      <c r="D101" s="11" t="inlineStr">
        <is>
          <t>S_W</t>
        </is>
      </c>
    </row>
    <row r="102" ht="90" customFormat="1" customHeight="1" s="8">
      <c r="A102" s="12" t="inlineStr">
        <is>
          <t>2024::jama.2024.6063::C012</t>
        </is>
      </c>
      <c r="B102" s="12" t="inlineStr">
        <is>
          <t>relations</t>
        </is>
      </c>
      <c r="C102" s="12" t="n">
        <v>0</v>
      </c>
      <c r="D102" s="12" t="inlineStr">
        <is>
          <t>S_C</t>
        </is>
      </c>
    </row>
    <row r="103" ht="90" customFormat="1" customHeight="1" s="8">
      <c r="A103" s="11" t="inlineStr">
        <is>
          <t>2024::jama.2024.6063::C012</t>
        </is>
      </c>
      <c r="B103" s="11" t="inlineStr">
        <is>
          <t>relations</t>
        </is>
      </c>
      <c r="C103" s="11" t="n">
        <v>1</v>
      </c>
      <c r="D103" s="11" t="inlineStr">
        <is>
          <t>S_W</t>
        </is>
      </c>
    </row>
    <row r="104" ht="90" customFormat="1" customHeight="1" s="8">
      <c r="A104" s="12" t="inlineStr">
        <is>
          <t>2024::jama.2024.6063::C013</t>
        </is>
      </c>
      <c r="B104" s="12" t="inlineStr">
        <is>
          <t>relations</t>
        </is>
      </c>
      <c r="C104" s="12" t="n">
        <v>0</v>
      </c>
      <c r="D104" s="12" t="inlineStr">
        <is>
          <t>S_C</t>
        </is>
      </c>
    </row>
    <row r="105" ht="90" customFormat="1" customHeight="1" s="8">
      <c r="A105" s="11" t="inlineStr">
        <is>
          <t>2024::jama.2024.6063::C013</t>
        </is>
      </c>
      <c r="B105" s="11" t="inlineStr">
        <is>
          <t>relations</t>
        </is>
      </c>
      <c r="C105" s="11" t="n">
        <v>1</v>
      </c>
      <c r="D105" s="11" t="inlineStr">
        <is>
          <t>S_W</t>
        </is>
      </c>
    </row>
    <row r="106" ht="90" customFormat="1" customHeight="1" s="8">
      <c r="A106" s="12" t="inlineStr">
        <is>
          <t>2024::jama.2024.6063::C014</t>
        </is>
      </c>
      <c r="B106" s="12" t="inlineStr">
        <is>
          <t>relations</t>
        </is>
      </c>
      <c r="C106" s="12" t="n">
        <v>0</v>
      </c>
      <c r="D106" s="12" t="inlineStr">
        <is>
          <t>S_C</t>
        </is>
      </c>
    </row>
    <row r="107" ht="90" customFormat="1" customHeight="1" s="8">
      <c r="A107" s="11" t="inlineStr">
        <is>
          <t>2024::jama.2024.6063::C015</t>
        </is>
      </c>
      <c r="B107" s="11" t="inlineStr">
        <is>
          <t>relations</t>
        </is>
      </c>
      <c r="C107" s="11" t="n">
        <v>0</v>
      </c>
      <c r="D107" s="11" t="inlineStr">
        <is>
          <t>S_C</t>
        </is>
      </c>
    </row>
    <row r="108" ht="90" customFormat="1" customHeight="1" s="8">
      <c r="A108" s="12" t="inlineStr">
        <is>
          <t>2024::jama.2024.6063::C016</t>
        </is>
      </c>
      <c r="B108" s="12" t="inlineStr">
        <is>
          <t>relations</t>
        </is>
      </c>
      <c r="C108" s="12" t="n">
        <v>0</v>
      </c>
      <c r="D108" s="12" t="inlineStr">
        <is>
          <t>S_C</t>
        </is>
      </c>
    </row>
  </sheetData>
  <autoFilter ref="A1:D108"/>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54"/>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6" customWidth="1" style="8" min="1" max="1"/>
    <col width="30" customWidth="1" style="8" min="2" max="2"/>
    <col width="40" customWidth="1" style="8" min="3" max="3"/>
    <col width="100" customWidth="1" style="8" min="4" max="4"/>
    <col width="28" customWidth="1" style="8" min="5" max="5"/>
  </cols>
  <sheetData>
    <row r="1" ht="42" customFormat="1" customHeight="1" s="8">
      <c r="A1" s="14" t="inlineStr">
        <is>
          <t>Field name</t>
        </is>
      </c>
      <c r="B1" s="14" t="inlineStr">
        <is>
          <t>Option / value</t>
        </is>
      </c>
      <c r="C1" s="14" t="inlineStr">
        <is>
          <t>Requirement / scope</t>
        </is>
      </c>
      <c r="D1" s="14" t="inlineStr">
        <is>
          <t>Explanation and example</t>
        </is>
      </c>
      <c r="E1" s="14" t="inlineStr">
        <is>
          <t>Internal key</t>
        </is>
      </c>
    </row>
    <row r="2" ht="100" customFormat="1" customHeight="1" s="8">
      <c r="A2" s="15" t="inlineStr">
        <is>
          <t>How to read this Codebook</t>
        </is>
      </c>
      <c r="B2" s="15" t="n"/>
      <c r="C2" s="15" t="n"/>
      <c r="D2" s="15" t="n"/>
      <c r="E2" s="15" t="n"/>
    </row>
    <row r="3" ht="100" customFormat="1" customHeight="1" s="8">
      <c r="A3" s="16" t="inlineStr">
        <is>
          <t>1  |  Common decisions and optional notes</t>
        </is>
      </c>
      <c r="B3" s="16" t="n"/>
      <c r="C3" s="16" t="n"/>
      <c r="D3" s="16" t="n"/>
      <c r="E3" s="16" t="n"/>
    </row>
    <row r="4" ht="100" customFormat="1" customHeight="1" s="8">
      <c r="A4" s="15" t="inlineStr">
        <is>
          <t>Disposition</t>
        </is>
      </c>
      <c r="B4" s="15" t="inlineStr">
        <is>
          <t>FIELD</t>
        </is>
      </c>
      <c r="C4" s="15" t="inlineStr">
        <is>
          <t>Required; all domains</t>
        </is>
      </c>
      <c r="D4" s="15" t="inlineStr">
        <is>
          <t>Keep, exclude, or defer as discuss. Blank is untouched. No AI disposition is preselected. discuss is an independent unresolved response, not a shared workflow.</t>
        </is>
      </c>
      <c r="E4" s="15" t="inlineStr">
        <is>
          <t>disposition</t>
        </is>
      </c>
    </row>
    <row r="5" ht="100" customFormat="1" customHeight="1" s="8">
      <c r="A5" s="16" t="n"/>
      <c r="B5" s="16" t="inlineStr">
        <is>
          <t>retain</t>
        </is>
      </c>
      <c r="C5" s="16" t="inlineStr">
        <is>
          <t>Option</t>
        </is>
      </c>
      <c r="D5" s="16" t="inlineStr">
        <is>
          <t>Retain candidate. After human review, keep this finding in the applicable review results; retaining a protocol discrepancy does not automatically confirm an issue.</t>
        </is>
      </c>
      <c r="E5" s="16" t="n"/>
    </row>
    <row r="6" ht="100" customFormat="1" customHeight="1" s="8">
      <c r="A6" s="15" t="n"/>
      <c r="B6" s="15" t="inlineStr">
        <is>
          <t>exclude</t>
        </is>
      </c>
      <c r="C6" s="15" t="inlineStr">
        <is>
          <t>Option</t>
        </is>
      </c>
      <c r="D6" s="15" t="inlineStr">
        <is>
          <t>Do not retain. The candidate has been assessed and should not remain as a finding, for example because the apparent mismatch has a satisfactory explanation.</t>
        </is>
      </c>
      <c r="E6" s="15" t="n"/>
    </row>
    <row r="7" ht="100" customFormat="1" customHeight="1" s="8">
      <c r="A7" s="16" t="n"/>
      <c r="B7" s="16" t="inlineStr">
        <is>
          <t>discuss</t>
        </is>
      </c>
      <c r="C7" s="16" t="inlineStr">
        <is>
          <t>Option</t>
        </is>
      </c>
      <c r="D7" s="16" t="inlineStr">
        <is>
          <t>Needs discussion. The reviewer has considered the candidate but cannot settle the disposition without further discussion. This is a decision to defer, not an untouched blank. In this version, it can be PRIMARY READY but remains unresolved; no shared resolution step is required.</t>
        </is>
      </c>
      <c r="E7" s="16" t="n"/>
    </row>
    <row r="8" ht="100" customFormat="1" customHeight="1" s="8">
      <c r="A8" s="15" t="inlineStr">
        <is>
          <t>Review domain</t>
        </is>
      </c>
      <c r="B8" s="15" t="inlineStr">
        <is>
          <t>FIELD</t>
        </is>
      </c>
      <c r="C8" s="15" t="inlineStr">
        <is>
          <t>Required; all domains</t>
        </is>
      </c>
      <c r="D8" s="15" t="inlineStr">
        <is>
          <t>Choose the assessment branch first. It controls automatic not_applicable defaults and which judgments are required. All four choices are available; the frozen document relationship code does not change.</t>
        </is>
      </c>
      <c r="E8" s="15" t="inlineStr">
        <is>
          <t>domain</t>
        </is>
      </c>
    </row>
    <row r="9" ht="100" customFormat="1" customHeight="1" s="8">
      <c r="A9" s="16" t="n"/>
      <c r="B9" s="16" t="inlineStr">
        <is>
          <t>statistical_results</t>
        </is>
      </c>
      <c r="C9" s="16" t="inlineStr">
        <is>
          <t>Option</t>
        </is>
      </c>
      <c r="D9" s="16" t="inlineStr">
        <is>
          <t>Statistical results (S_C / S_W). Assess reported numbers, estimates, intervals, denominators or statistical claims in the current report materials.</t>
        </is>
      </c>
      <c r="E9" s="16" t="n"/>
    </row>
    <row r="10" ht="100" customFormat="1" customHeight="1" s="8">
      <c r="A10" s="15" t="n"/>
      <c r="B10" s="15" t="inlineStr">
        <is>
          <t>report_internal_inconsistency</t>
        </is>
      </c>
      <c r="C10" s="15" t="inlineStr">
        <is>
          <t>Option</t>
        </is>
      </c>
      <c r="D10" s="15"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0" s="15" t="n"/>
    </row>
    <row r="11" ht="100" customFormat="1" customHeight="1" s="8">
      <c r="A11" s="16" t="n"/>
      <c r="B11" s="16" t="inlineStr">
        <is>
          <t>protocol_report</t>
        </is>
      </c>
      <c r="C11" s="16" t="inlineStr">
        <is>
          <t>Option</t>
        </is>
      </c>
      <c r="D11" s="16" t="inlineStr">
        <is>
          <t>Protocol-report (P_R). Assess whether planned and reported conduct or analyses meaningfully differ, using the compared materials. No search for acknowledgment or reasons for changes is required.</t>
        </is>
      </c>
      <c r="E11" s="16" t="n"/>
    </row>
    <row r="12" ht="100" customFormat="1" customHeight="1" s="8">
      <c r="A12" s="15" t="n"/>
      <c r="B12" s="15" t="inlineStr">
        <is>
          <t>plan_material</t>
        </is>
      </c>
      <c r="C12" s="15" t="inlineStr">
        <is>
          <t>Option</t>
        </is>
      </c>
      <c r="D12" s="15" t="inlineStr">
        <is>
          <t>Plan material (P_P). Assess an inconsistency involving planning materials themselves rather than a planned-versus-reported result. The original relationship code remains unchanged.</t>
        </is>
      </c>
      <c r="E12" s="15" t="n"/>
    </row>
    <row r="13" ht="100" customFormat="1" customHeight="1" s="8">
      <c r="A13" s="16" t="inlineStr">
        <is>
          <t>Complete</t>
        </is>
      </c>
      <c r="B13" s="16" t="inlineStr">
        <is>
          <t>FIELD</t>
        </is>
      </c>
      <c r="C13" s="16" t="inlineStr">
        <is>
          <t>Required; each row</t>
        </is>
      </c>
      <c r="D13" s="16" t="inlineStr">
        <is>
          <t>Use no while drafting and primary_done after manual review. Before revising a completed row reset to no; review again, then mark primary_done. Excel cannot automatically reset an entered flag.</t>
        </is>
      </c>
      <c r="E13" s="16" t="inlineStr">
        <is>
          <t>reviewComplete</t>
        </is>
      </c>
    </row>
    <row r="14" ht="100" customFormat="1" customHeight="1" s="8">
      <c r="A14" s="15" t="n"/>
      <c r="B14" s="15" t="inlineStr">
        <is>
          <t>no</t>
        </is>
      </c>
      <c r="C14" s="15" t="inlineStr">
        <is>
          <t>Option</t>
        </is>
      </c>
      <c r="D14" s="15" t="inlineStr">
        <is>
          <t>Draft. The reviewer has not yet confirmed manual review complete.</t>
        </is>
      </c>
      <c r="E14" s="15" t="n"/>
    </row>
    <row r="15" ht="100" customFormat="1" customHeight="1" s="8">
      <c r="A15" s="16" t="inlineStr">
        <is>
          <t>Validation hint</t>
        </is>
      </c>
      <c r="B15" s="16" t="inlineStr">
        <is>
          <t>FIELD</t>
        </is>
      </c>
      <c r="C15" s="16" t="inlineStr">
        <is>
          <t>Calculated</t>
        </is>
      </c>
      <c r="D15" s="16" t="inlineStr">
        <is>
          <t>Calculated entry checks for this reviewer. PRIMARY READY means independent entry complete. discuss may remain unresolved. Checks does not establish scientific accuracy or protect source/formula cells.</t>
        </is>
      </c>
      <c r="E15" s="16" t="inlineStr">
        <is>
          <t>readiness</t>
        </is>
      </c>
    </row>
    <row r="16" ht="100" customFormat="1" customHeight="1" s="8">
      <c r="A16" s="15" t="inlineStr">
        <is>
          <t>Notes (optional)</t>
        </is>
      </c>
      <c r="B16" s="15" t="inlineStr">
        <is>
          <t>FIELD</t>
        </is>
      </c>
      <c r="C16" s="15" t="inlineStr">
        <is>
          <t>Optional</t>
        </is>
      </c>
      <c r="D16" s="15" t="inlineStr">
        <is>
          <t>Optional English context. Clearing removes the text; blank means no answer.</t>
        </is>
      </c>
      <c r="E16" s="15" t="inlineStr">
        <is>
          <t>notes</t>
        </is>
      </c>
    </row>
    <row r="17" ht="100" customFormat="1" customHeight="1" s="8">
      <c r="A17" s="16" t="inlineStr">
        <is>
          <t>2  |  Statistical results: two required judgments</t>
        </is>
      </c>
      <c r="B17" s="16" t="n"/>
      <c r="C17" s="16" t="n"/>
      <c r="D17" s="16" t="n"/>
      <c r="E17" s="16" t="n"/>
    </row>
    <row r="18" ht="100" customFormat="1" customHeight="1" s="8">
      <c r="A18" s="15" t="inlineStr">
        <is>
          <t>Statistcal_or_numerical issue</t>
        </is>
      </c>
      <c r="B18" s="15" t="inlineStr">
        <is>
          <t>FIELD</t>
        </is>
      </c>
      <c r="C18" s="15" t="inlineStr">
        <is>
          <t>Required; retained statistical_results</t>
        </is>
      </c>
      <c r="D18" s="15" t="inlineStr">
        <is>
          <t>Does a statistical or numerical reporting issue exist? Example: a reported percentage conflicts with its stated numerator and denominator after checking definitions. Certainty is separate from importance.</t>
        </is>
      </c>
      <c r="E18" s="15" t="inlineStr">
        <is>
          <t>statisticalIssueStatus</t>
        </is>
      </c>
    </row>
    <row r="19" ht="100" customFormat="1" customHeight="1" s="8">
      <c r="A19" s="16" t="n"/>
      <c r="B19" s="16" t="inlineStr">
        <is>
          <t>confirmed_issue</t>
        </is>
      </c>
      <c r="C19" s="16" t="inlineStr">
        <is>
          <t>Option</t>
        </is>
      </c>
      <c r="D19" s="16" t="inlineStr">
        <is>
          <t>Confirmed statistical or numerical reporting issue. The available evidence establishes a reporting issue or contradiction, even if the correct replacement value is not known.</t>
        </is>
      </c>
      <c r="E19" s="16" t="n"/>
    </row>
    <row r="20" ht="100" customFormat="1" customHeight="1" s="8">
      <c r="A20" s="15" t="n"/>
      <c r="B20" s="15" t="inlineStr">
        <is>
          <t>probable_issue</t>
        </is>
      </c>
      <c r="C20" s="15" t="inlineStr">
        <is>
          <t>Option</t>
        </is>
      </c>
      <c r="D20" s="15" t="inlineStr">
        <is>
          <t>Probable statistical or numerical reporting issue. The evidence favors a reporting issue, but an unresolved limitation or plausible alternative prevents confirmation.</t>
        </is>
      </c>
      <c r="E20" s="15" t="n"/>
    </row>
    <row r="21" ht="100" customFormat="1" customHeight="1" s="8">
      <c r="A21" s="16" t="n"/>
      <c r="B21" s="16" t="inlineStr">
        <is>
          <t>not_issue</t>
        </is>
      </c>
      <c r="C21" s="16" t="inlineStr">
        <is>
          <t>Option</t>
        </is>
      </c>
      <c r="D21" s="16" t="inlineStr">
        <is>
          <t>Not a statistical or numerical issue. The apparent discrepancy is consistent with a valid calculation, definition, analysis method or reporting context.</t>
        </is>
      </c>
      <c r="E21" s="16" t="n"/>
    </row>
    <row r="22" ht="100" customFormat="1" customHeight="1" s="8">
      <c r="A22" s="15" t="n"/>
      <c r="B22" s="15" t="inlineStr">
        <is>
          <t>indeterminate</t>
        </is>
      </c>
      <c r="C22" s="15" t="inlineStr">
        <is>
          <t>Option</t>
        </is>
      </c>
      <c r="D22" s="15" t="inlineStr">
        <is>
          <t>Indeterminate. The available evidence does not support deciding whether a statistical or numerical reporting issue exists; neither confirmation nor dismissal is justified.</t>
        </is>
      </c>
      <c r="E22" s="15" t="n"/>
    </row>
    <row r="23" ht="100" customFormat="1" customHeight="1" s="8">
      <c r="A23" s="16" t="n"/>
      <c r="B23" s="16" t="inlineStr">
        <is>
          <t>not_applicable</t>
        </is>
      </c>
      <c r="C23" s="16" t="inlineStr">
        <is>
          <t>Option</t>
        </is>
      </c>
      <c r="D23" s="16" t="inlineStr">
        <is>
          <t>Automatic default outside this field's review domain or for a non-retained candidate. It is not an issue verdict, missing evidence, or an unanswered applicable question. Do not choose it for an applicable field.</t>
        </is>
      </c>
      <c r="E23" s="16" t="n"/>
    </row>
    <row r="24" ht="100" customFormat="1" customHeight="1" s="8">
      <c r="A24" s="15" t="inlineStr">
        <is>
          <t>Substantiveness</t>
        </is>
      </c>
      <c r="B24" s="15" t="inlineStr">
        <is>
          <t>FIELD</t>
        </is>
      </c>
      <c r="C24" s="15" t="inlineStr">
        <is>
          <t>Required; retained statistical_results</t>
        </is>
      </c>
      <c r="D24" s="15" t="inlineStr">
        <is>
          <t>Could the issue meaningfully affect interpretation or data use? A harmless spacing typo is minor_presentation; an ambiguous extractable effect estimate may be substantive. An issue can be confirmed yet minor.</t>
        </is>
      </c>
      <c r="E24" s="15" t="inlineStr">
        <is>
          <t>substantiveStatus</t>
        </is>
      </c>
    </row>
    <row r="25" ht="100" customFormat="1" customHeight="1" s="8">
      <c r="A25" s="16" t="n"/>
      <c r="B25" s="16" t="inlineStr">
        <is>
          <t>substantive</t>
        </is>
      </c>
      <c r="C25" s="16" t="inlineStr">
        <is>
          <t>Option</t>
        </is>
      </c>
      <c r="D25" s="16" t="inlineStr">
        <is>
          <t>Substantive. The issue could meaningfully change interpretation, data extraction or downstream analysis, rather than only the presentation of the result.</t>
        </is>
      </c>
      <c r="E25" s="16" t="n"/>
    </row>
    <row r="26" ht="100" customFormat="1" customHeight="1" s="8">
      <c r="A26" s="15" t="n"/>
      <c r="B26" s="15" t="inlineStr">
        <is>
          <t>minor_presentation</t>
        </is>
      </c>
      <c r="C26" s="15" t="inlineStr">
        <is>
          <t>Option</t>
        </is>
      </c>
      <c r="D26" s="15" t="inlineStr">
        <is>
          <t>Minor or presentation only. The intended result remains clear and the issue is a small formatting, labeling or typographic problem without a meaningful change in interpretation.</t>
        </is>
      </c>
      <c r="E26" s="15" t="n"/>
    </row>
    <row r="27" ht="100" customFormat="1" customHeight="1" s="8">
      <c r="A27" s="16" t="n"/>
      <c r="B27" s="16" t="inlineStr">
        <is>
          <t>indeterminate</t>
        </is>
      </c>
      <c r="C27" s="16" t="inlineStr">
        <is>
          <t>Option</t>
        </is>
      </c>
      <c r="D27" s="16" t="inlineStr">
        <is>
          <t>Indeterminate. There is not enough information to decide whether the issue is substantive or limited to presentation.</t>
        </is>
      </c>
      <c r="E27" s="16" t="n"/>
    </row>
    <row r="28" ht="100" customFormat="1" customHeight="1" s="8">
      <c r="A28" s="15" t="n"/>
      <c r="B28" s="15" t="inlineStr">
        <is>
          <t>not_applicable</t>
        </is>
      </c>
      <c r="C28" s="15" t="inlineStr">
        <is>
          <t>Option</t>
        </is>
      </c>
      <c r="D28" s="15" t="inlineStr">
        <is>
          <t>Automatic default outside this field's review domain or for a non-retained candidate. It is not an issue verdict, missing evidence, or an unanswered applicable question. Do not choose it for an applicable field.</t>
        </is>
      </c>
      <c r="E28" s="15" t="n"/>
    </row>
    <row r="29" ht="100" customFormat="1" customHeight="1" s="8">
      <c r="A29" s="16" t="inlineStr">
        <is>
          <t>Downstream impact</t>
        </is>
      </c>
      <c r="B29" s="16" t="inlineStr">
        <is>
          <t>FIELD</t>
        </is>
      </c>
      <c r="C29" s="16" t="inlineStr">
        <is>
          <t>Optional; retained statistical_results</t>
        </is>
      </c>
      <c r="D29" s="16"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29" s="16" t="inlineStr">
        <is>
          <t>downstreamImpact</t>
        </is>
      </c>
    </row>
    <row r="30" ht="100" customFormat="1" customHeight="1" s="8">
      <c r="A30" s="15" t="n"/>
      <c r="B30" s="15" t="inlineStr">
        <is>
          <t>direct</t>
        </is>
      </c>
      <c r="C30" s="15" t="inlineStr">
        <is>
          <t>Option</t>
        </is>
      </c>
      <c r="D30" s="15" t="inlineStr">
        <is>
          <t>Direct extraction or analysis impact. The affected value or definition is itself an input to data extraction or subsequent analysis; this describes potential impact, not proven downstream harm.</t>
        </is>
      </c>
      <c r="E30" s="15" t="n"/>
    </row>
    <row r="31" ht="100" customFormat="1" customHeight="1" s="8">
      <c r="A31" s="16" t="n"/>
      <c r="B31" s="16" t="inlineStr">
        <is>
          <t>possible</t>
        </is>
      </c>
      <c r="C31" s="16" t="inlineStr">
        <is>
          <t>Option</t>
        </is>
      </c>
      <c r="D31" s="16" t="inlineStr">
        <is>
          <t>Possible downstream impact. A plausible route to affecting later interpretation, extraction or analysis exists, but the connection is indirect or uncertain.</t>
        </is>
      </c>
      <c r="E31" s="16" t="n"/>
    </row>
    <row r="32" ht="100" customFormat="1" customHeight="1" s="8">
      <c r="A32" s="15" t="n"/>
      <c r="B32" s="15" t="inlineStr">
        <is>
          <t>unlikely</t>
        </is>
      </c>
      <c r="C32" s="15" t="inlineStr">
        <is>
          <t>Option</t>
        </is>
      </c>
      <c r="D32" s="15" t="inlineStr">
        <is>
          <t>Unlikely downstream impact. The issue is unlikely to change extracted information or later analysis because the relevant result remains clear and usable.</t>
        </is>
      </c>
      <c r="E32" s="15" t="n"/>
    </row>
    <row r="33" ht="100" customFormat="1" customHeight="1" s="8">
      <c r="A33" s="16" t="n"/>
      <c r="B33" s="16" t="inlineStr">
        <is>
          <t>unknown</t>
        </is>
      </c>
      <c r="C33" s="16" t="inlineStr">
        <is>
          <t>Option</t>
        </is>
      </c>
      <c r="D33" s="16" t="inlineStr">
        <is>
          <t>Unable to assess. The materials do not establish enough about the affected information or its likely use to judge downstream impact.</t>
        </is>
      </c>
      <c r="E33" s="16" t="n"/>
    </row>
    <row r="34" ht="100" customFormat="1" customHeight="1" s="8">
      <c r="A34" s="15" t="n"/>
      <c r="B34" s="15" t="inlineStr">
        <is>
          <t>not_applicable</t>
        </is>
      </c>
      <c r="C34" s="15" t="inlineStr">
        <is>
          <t>Option</t>
        </is>
      </c>
      <c r="D34" s="15" t="inlineStr">
        <is>
          <t>Automatic default outside this field's review domain or for a non-retained candidate. It is not an issue verdict, missing evidence, or an unanswered applicable question. Do not choose it for an applicable field.</t>
        </is>
      </c>
      <c r="E34" s="15" t="n"/>
    </row>
    <row r="35" ht="100" customFormat="1" customHeight="1" s="8">
      <c r="A35" s="16" t="inlineStr">
        <is>
          <t>3  |  Report internal or planning-material inconsistency</t>
        </is>
      </c>
      <c r="B35" s="16" t="n"/>
      <c r="C35" s="16" t="n"/>
      <c r="D35" s="16" t="n"/>
      <c r="E35" s="16" t="n"/>
    </row>
    <row r="36" ht="100" customFormat="1" customHeight="1" s="8">
      <c r="A36" s="15" t="inlineStr">
        <is>
          <t>Report-internal or planning-material inconsistency</t>
        </is>
      </c>
      <c r="B36" s="15" t="inlineStr">
        <is>
          <t>FIELD</t>
        </is>
      </c>
      <c r="C36" s="15" t="inlineStr">
        <is>
          <t>Required; retained report_internal_inconsistency or plan_material</t>
        </is>
      </c>
      <c r="D36" s="15"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6" s="15" t="inlineStr">
        <is>
          <t>internalStatus</t>
        </is>
      </c>
    </row>
    <row r="37" ht="100" customFormat="1" customHeight="1" s="8">
      <c r="A37" s="16" t="n"/>
      <c r="B37" s="16" t="inlineStr">
        <is>
          <t>substantive_inconsistency</t>
        </is>
      </c>
      <c r="C37" s="16" t="inlineStr">
        <is>
          <t>Option</t>
        </is>
      </c>
      <c r="D37" s="16" t="inlineStr">
        <is>
          <t>Substantive inconsistency. Conflicting statements, values, labels, or descriptions in the compared report or planning materials could materially change how the study, population, procedures or results are understood.</t>
        </is>
      </c>
      <c r="E37" s="16" t="n"/>
    </row>
    <row r="38" ht="100" customFormat="1" customHeight="1" s="8">
      <c r="A38" s="15" t="n"/>
      <c r="B38" s="15" t="inlineStr">
        <is>
          <t>minor_presentation</t>
        </is>
      </c>
      <c r="C38" s="15" t="inlineStr">
        <is>
          <t>Option</t>
        </is>
      </c>
      <c r="D38" s="15" t="inlineStr">
        <is>
          <t>Minor presentation inconsistency. A real discrepancy exists, but it mainly affects presentation, including minor wording or labeling problems, and the intended meaning remains clear. Example: an imprecise label whose intended meaning is clear from context.</t>
        </is>
      </c>
      <c r="E38" s="15" t="n"/>
    </row>
    <row r="39" ht="100" customFormat="1" customHeight="1" s="8">
      <c r="A39" s="16" t="n"/>
      <c r="B39" s="16" t="inlineStr">
        <is>
          <t>non_inconsistency</t>
        </is>
      </c>
      <c r="C39" s="16" t="inlineStr">
        <is>
          <t>Option</t>
        </is>
      </c>
      <c r="D39" s="16"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39" s="16" t="n"/>
    </row>
    <row r="40" ht="100" customFormat="1" customHeight="1" s="8">
      <c r="A40" s="15" t="n"/>
      <c r="B40" s="15" t="inlineStr">
        <is>
          <t>indeterminate</t>
        </is>
      </c>
      <c r="C40" s="15" t="inlineStr">
        <is>
          <t>Option</t>
        </is>
      </c>
      <c r="D40" s="15" t="inlineStr">
        <is>
          <t>Indeterminate. The available material is insufficient to establish whether the statements conflict or how important any conflict is.</t>
        </is>
      </c>
      <c r="E40" s="15" t="n"/>
    </row>
    <row r="41" ht="100" customFormat="1" customHeight="1" s="8">
      <c r="A41" s="16" t="n"/>
      <c r="B41" s="16" t="inlineStr">
        <is>
          <t>not_applicable</t>
        </is>
      </c>
      <c r="C41" s="16" t="inlineStr">
        <is>
          <t>Option</t>
        </is>
      </c>
      <c r="D41" s="16" t="inlineStr">
        <is>
          <t>Automatic default outside this field's review domain or for a non-retained candidate. It is not an issue verdict, missing evidence, or an unanswered applicable question. Do not choose it for an applicable field.</t>
        </is>
      </c>
      <c r="E41" s="16" t="n"/>
    </row>
    <row r="42" ht="100" customFormat="1" customHeight="1" s="8">
      <c r="A42" s="15" t="inlineStr">
        <is>
          <t>4  |  Protocol versus report: optional description only</t>
        </is>
      </c>
      <c r="B42" s="15" t="n"/>
      <c r="C42" s="15" t="n"/>
      <c r="D42" s="15" t="n"/>
      <c r="E42" s="15" t="n"/>
    </row>
    <row r="43" ht="100" customFormat="1" customHeight="1" s="8">
      <c r="A43" s="16" t="inlineStr">
        <is>
          <t>Protocol interpretation</t>
        </is>
      </c>
      <c r="B43" s="16" t="inlineStr">
        <is>
          <t>FIELD</t>
        </is>
      </c>
      <c r="C43" s="16" t="inlineStr">
        <is>
          <t>Optional; retained protocol_report</t>
        </is>
      </c>
      <c r="D43" s="16"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3" s="16" t="inlineStr">
        <is>
          <t>protocolInterpretation</t>
        </is>
      </c>
    </row>
    <row r="44" ht="100" customFormat="1" customHeight="1" s="8">
      <c r="A44" s="15" t="n"/>
      <c r="B44" s="15" t="inlineStr">
        <is>
          <t>substantive_difference</t>
        </is>
      </c>
      <c r="C44" s="15" t="inlineStr">
        <is>
          <t>Option</t>
        </is>
      </c>
      <c r="D44" s="15"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4" s="15" t="n"/>
    </row>
    <row r="45" ht="100" customFormat="1" customHeight="1" s="8">
      <c r="A45" s="16" t="n"/>
      <c r="B45" s="16" t="inlineStr">
        <is>
          <t>minor_presentation</t>
        </is>
      </c>
      <c r="C45" s="16" t="inlineStr">
        <is>
          <t>Option</t>
        </is>
      </c>
      <c r="D45" s="16" t="inlineStr">
        <is>
          <t>Minor presentation difference. A minor wording, labeling or presentation problem exists, but the intended planned and reported meaning or conduct remains clear. Example: an imprecise outcome label clarified by the same definition in both documents.</t>
        </is>
      </c>
      <c r="E45" s="16" t="n"/>
    </row>
    <row r="46" ht="100" customFormat="1" customHeight="1" s="8">
      <c r="A46" s="15" t="n"/>
      <c r="B46" s="15" t="inlineStr">
        <is>
          <t>version_timing</t>
        </is>
      </c>
      <c r="C46" s="15" t="inlineStr">
        <is>
          <t>Option</t>
        </is>
      </c>
      <c r="D46" s="15" t="inlineStr">
        <is>
          <t>Version or timing ambiguity. The difference may reflect which protocol version or date is being compared; the sequence cannot be resolved from the available material.</t>
        </is>
      </c>
      <c r="E46" s="15" t="n"/>
    </row>
    <row r="47" ht="100" customFormat="1" customHeight="1" s="8">
      <c r="A47" s="16" t="n"/>
      <c r="B47" s="16" t="inlineStr">
        <is>
          <t>non_inconsistency</t>
        </is>
      </c>
      <c r="C47" s="16" t="inlineStr">
        <is>
          <t>Option</t>
        </is>
      </c>
      <c r="D47" s="16"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7" s="16" t="n"/>
    </row>
    <row r="48" ht="100" customFormat="1" customHeight="1" s="8">
      <c r="A48" s="15" t="n"/>
      <c r="B48" s="15" t="inlineStr">
        <is>
          <t>indeterminate</t>
        </is>
      </c>
      <c r="C48" s="15" t="inlineStr">
        <is>
          <t>Option</t>
        </is>
      </c>
      <c r="D48" s="15" t="inlineStr">
        <is>
          <t>Indeterminate. The available evidence cannot support a more specific interpretation of the planned-versus-reported difference.</t>
        </is>
      </c>
      <c r="E48" s="15" t="n"/>
    </row>
    <row r="49" ht="100" customFormat="1" customHeight="1" s="8">
      <c r="A49" s="16" t="n"/>
      <c r="B49" s="16" t="inlineStr">
        <is>
          <t>not_applicable</t>
        </is>
      </c>
      <c r="C49" s="16" t="inlineStr">
        <is>
          <t>Option</t>
        </is>
      </c>
      <c r="D49" s="16" t="inlineStr">
        <is>
          <t>Automatic default outside this field's review domain or for a non-retained candidate. It is not an issue verdict, missing evidence, or an unanswered applicable question. Do not choose it for an applicable field.</t>
        </is>
      </c>
      <c r="E49" s="16" t="n"/>
    </row>
    <row r="50" ht="100" customFormat="1" customHeight="1" s="8">
      <c r="A50" s="15" t="inlineStr">
        <is>
          <t>5  |  Candidate context</t>
        </is>
      </c>
      <c r="B50" s="15" t="n"/>
      <c r="C50" s="15" t="n"/>
      <c r="D50" s="15" t="n"/>
      <c r="E50" s="15" t="n"/>
    </row>
    <row r="51" ht="100" customFormat="1" customHeight="1" s="8">
      <c r="A51" s="16" t="inlineStr">
        <is>
          <t>Candidate key</t>
        </is>
      </c>
      <c r="B51" s="16" t="inlineStr">
        <is>
          <t>FIELD</t>
        </is>
      </c>
      <c r="C51" s="16" t="inlineStr">
        <is>
          <t>Reference</t>
        </is>
      </c>
      <c r="D51" s="16" t="inlineStr">
        <is>
          <t>Unique candidate identity used for matching, even after complete rows are reordered. Never edit this value.</t>
        </is>
      </c>
      <c r="E51" s="16" t="inlineStr">
        <is>
          <t>key</t>
        </is>
      </c>
    </row>
    <row r="52" ht="100" customFormat="1" customHeight="1" s="8">
      <c r="A52" s="15" t="inlineStr">
        <is>
          <t>Candidate title</t>
        </is>
      </c>
      <c r="B52" s="15" t="inlineStr">
        <is>
          <t>FIELD</t>
        </is>
      </c>
      <c r="C52" s="15" t="inlineStr">
        <is>
          <t>Reference</t>
        </is>
      </c>
      <c r="D52" s="15" t="inlineStr">
        <is>
          <t>Short candidate title. A candidate is an AI flag for human assessment, not a confirmed issue.</t>
        </is>
      </c>
      <c r="E52" s="15" t="inlineStr">
        <is>
          <t>title</t>
        </is>
      </c>
    </row>
    <row r="53" ht="100" customFormat="1" customHeight="1" s="8">
      <c r="A53" s="16" t="inlineStr">
        <is>
          <t>Source location</t>
        </is>
      </c>
      <c r="B53" s="16" t="inlineStr">
        <is>
          <t>FIELD</t>
        </is>
      </c>
      <c r="C53" s="16" t="inlineStr">
        <is>
          <t>Source reference; this reviewer</t>
        </is>
      </c>
      <c r="D53" s="16" t="inlineStr">
        <is>
          <t>Where to check the source claim. Use Candidates, Evidence and Links for context and the original paper files.</t>
        </is>
      </c>
      <c r="E53" s="16" t="inlineStr">
        <is>
          <t>locations</t>
        </is>
      </c>
    </row>
    <row r="54" ht="100" customFormat="1" customHeight="1" s="8">
      <c r="A54" s="15" t="inlineStr">
        <is>
          <t>Complete</t>
        </is>
      </c>
      <c r="B54" s="15" t="inlineStr">
        <is>
          <t>primary_done</t>
        </is>
      </c>
      <c r="C54" s="15" t="inlineStr">
        <is>
          <t>Primary review</t>
        </is>
      </c>
      <c r="D54" s="15" t="inlineStr">
        <is>
          <t>Human reviewed; independent entry complete. Scientific uncertainty may remain as discuss.</t>
        </is>
      </c>
      <c r="E54" s="15" t="inlineStr">
        <is>
          <t>reviewComplete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E8"/>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 customWidth="1" style="8" min="1" max="1"/>
    <col width="54" customWidth="1" style="8" min="2" max="2"/>
    <col width="25" customWidth="1" style="8" min="3" max="3"/>
    <col width="35" customWidth="1" style="8" min="4" max="4"/>
    <col width="26" customWidth="1" style="8" min="5" max="5"/>
  </cols>
  <sheetData>
    <row r="1" ht="42" customFormat="1" customHeight="1" s="8">
      <c r="A1" s="14" t="inlineStr">
        <is>
          <t>Domain when D=retain</t>
        </is>
      </c>
      <c r="B1" s="14" t="inlineStr">
        <is>
          <t>Required</t>
        </is>
      </c>
      <c r="C1" s="14" t="inlineStr">
        <is>
          <t>Optional</t>
        </is>
      </c>
      <c r="D1" s="14" t="inlineStr">
        <is>
          <t>Inactive</t>
        </is>
      </c>
      <c r="E1" s="14" t="inlineStr">
        <is>
          <t>Default</t>
        </is>
      </c>
    </row>
    <row r="2" ht="60" customFormat="1" customHeight="1" s="8">
      <c r="A2" s="15" t="inlineStr">
        <is>
          <t>statistical_results</t>
        </is>
      </c>
      <c r="B2" s="15" t="inlineStr">
        <is>
          <t>H, I</t>
        </is>
      </c>
      <c r="C2" s="15" t="inlineStr">
        <is>
          <t>J</t>
        </is>
      </c>
      <c r="D2" s="15" t="inlineStr">
        <is>
          <t>K, L</t>
        </is>
      </c>
      <c r="E2" s="15" t="inlineStr">
        <is>
          <t>not_applicable</t>
        </is>
      </c>
    </row>
    <row r="3" ht="60" customFormat="1" customHeight="1" s="8">
      <c r="A3" s="16" t="inlineStr">
        <is>
          <t>report_internal_inconsistency</t>
        </is>
      </c>
      <c r="B3" s="16" t="inlineStr">
        <is>
          <t>K</t>
        </is>
      </c>
      <c r="C3" s="16" t="inlineStr">
        <is>
          <t>None</t>
        </is>
      </c>
      <c r="D3" s="16" t="inlineStr">
        <is>
          <t>H, I, J, L</t>
        </is>
      </c>
      <c r="E3" s="16" t="inlineStr">
        <is>
          <t>not_applicable</t>
        </is>
      </c>
    </row>
    <row r="4" ht="60" customFormat="1" customHeight="1" s="8">
      <c r="A4" s="15" t="inlineStr">
        <is>
          <t>plan_material</t>
        </is>
      </c>
      <c r="B4" s="15" t="inlineStr">
        <is>
          <t>K</t>
        </is>
      </c>
      <c r="C4" s="15" t="inlineStr">
        <is>
          <t>None</t>
        </is>
      </c>
      <c r="D4" s="15" t="inlineStr">
        <is>
          <t>H, I, J, L</t>
        </is>
      </c>
      <c r="E4" s="15" t="inlineStr">
        <is>
          <t>not_applicable</t>
        </is>
      </c>
    </row>
    <row r="5" ht="60" customFormat="1" customHeight="1" s="8">
      <c r="A5" s="16" t="inlineStr">
        <is>
          <t>protocol_report</t>
        </is>
      </c>
      <c r="B5" s="16" t="inlineStr">
        <is>
          <t>None</t>
        </is>
      </c>
      <c r="C5" s="16" t="inlineStr">
        <is>
          <t>L</t>
        </is>
      </c>
      <c r="D5" s="16" t="inlineStr">
        <is>
          <t>H, I, J, K</t>
        </is>
      </c>
      <c r="E5" s="16" t="inlineStr">
        <is>
          <t>not_applicable</t>
        </is>
      </c>
    </row>
    <row r="6" ht="60" customFormat="1" customHeight="1" s="8">
      <c r="A6" s="15" t="inlineStr">
        <is>
          <t>exclude / discuss</t>
        </is>
      </c>
      <c r="B6" s="15" t="inlineStr">
        <is>
          <t>D and E remain required</t>
        </is>
      </c>
      <c r="C6" s="15" t="inlineStr">
        <is>
          <t>R notes</t>
        </is>
      </c>
      <c r="D6" s="15" t="inlineStr">
        <is>
          <t>H, I, J, K, L</t>
        </is>
      </c>
      <c r="E6" s="15" t="inlineStr">
        <is>
          <t>not_applicable</t>
        </is>
      </c>
    </row>
    <row r="7" ht="60" customFormat="1" customHeight="1" s="8">
      <c r="A7" s="16" t="inlineStr">
        <is>
          <t>Source</t>
        </is>
      </c>
      <c r="B7" s="16" t="inlineStr">
        <is>
          <t>WORKFLOW.md sections 5–6; v.2.1.5.3 Codebook</t>
        </is>
      </c>
      <c r="C7" s="16" t="n"/>
      <c r="D7" s="16" t="n"/>
      <c r="E7" s="16" t="n"/>
    </row>
    <row r="8" ht="60" customFormat="1" customHeight="1" s="8">
      <c r="A8" s="15" t="inlineStr">
        <is>
          <t>Protection</t>
        </is>
      </c>
      <c r="B8" s="15" t="inlineStr">
        <is>
          <t>None. Fixed rules are a visible reference; all cells remain unlocked.</t>
        </is>
      </c>
      <c r="C8" s="15" t="n"/>
      <c r="D8" s="15" t="n"/>
      <c r="E8" s="15" t="n"/>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6"/>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3" customWidth="1" style="8" min="1" max="1"/>
    <col width="112" customWidth="1" style="8" min="2" max="2"/>
  </cols>
  <sheetData>
    <row r="1" ht="42" customFormat="1" customHeight="1" s="8">
      <c r="A1" s="14" t="inlineStr">
        <is>
          <t>field</t>
        </is>
      </c>
      <c r="B1" s="14" t="inlineStr">
        <is>
          <t>value</t>
        </is>
      </c>
    </row>
    <row r="2" ht="68" customFormat="1" customHeight="1" s="8">
      <c r="A2" s="15" t="inlineStr">
        <is>
          <t>version</t>
        </is>
      </c>
      <c r="B2" s="15" t="inlineStr">
        <is>
          <t>v.2.3.1</t>
        </is>
      </c>
    </row>
    <row r="3" ht="68" customFormat="1" customHeight="1" s="8">
      <c r="A3" s="16" t="inlineStr">
        <is>
          <t>schema</t>
        </is>
      </c>
      <c r="B3" s="16" t="inlineStr">
        <is>
          <t>xlsx-adjudication-independent-primary-2.3.1</t>
        </is>
      </c>
    </row>
    <row r="4" ht="68" customFormat="1" customHeight="1" s="8">
      <c r="A4" s="15" t="inlineStr">
        <is>
          <t>year</t>
        </is>
      </c>
      <c r="B4" s="15" t="n">
        <v>2024</v>
      </c>
    </row>
    <row r="5" ht="68" customFormat="1" customHeight="1" s="8">
      <c r="A5" s="16" t="inlineStr">
        <is>
          <t>role</t>
        </is>
      </c>
      <c r="B5" s="16" t="inlineStr">
        <is>
          <t>R_A</t>
        </is>
      </c>
    </row>
    <row r="6" ht="68" customFormat="1" customHeight="1" s="8">
      <c r="A6" s="15" t="inlineStr">
        <is>
          <t>papers / candidates</t>
        </is>
      </c>
      <c r="B6" s="15" t="inlineStr">
        <is>
          <t>10 / 91</t>
        </is>
      </c>
    </row>
    <row r="7" ht="68" customFormat="1" customHeight="1" s="8">
      <c r="A7" s="16" t="inlineStr">
        <is>
          <t>workflow</t>
        </is>
      </c>
      <c r="B7" s="16" t="inlineStr">
        <is>
          <t>Independent primary review; all review-time checks and results use internal Excel formulas.</t>
        </is>
      </c>
    </row>
    <row r="8" ht="68" customFormat="1" customHeight="1" s="8">
      <c r="A8" s="15" t="inlineStr">
        <is>
          <t>protection_ranges</t>
        </is>
      </c>
      <c r="B8" s="15" t="inlineStr">
        <is>
          <t>None. All cells and styles, including unused cells, explicitly unlocked; no passwords or workbook structure protection.</t>
        </is>
      </c>
    </row>
    <row r="9" ht="68" customFormat="1" customHeight="1" s="8">
      <c r="A9" s="16" t="inlineStr">
        <is>
          <t>baseline_protection</t>
        </is>
      </c>
      <c r="B9" s="16" t="inlineStr">
        <is>
          <t>Inspected v.2.1.5.3 was entirely unprotected.</t>
        </is>
      </c>
    </row>
    <row r="10" ht="68" customFormat="1" customHeight="1" s="8">
      <c r="A10" s="15" t="inlineStr">
        <is>
          <t>source</t>
        </is>
      </c>
      <c r="B10" s="15" t="inlineStr">
        <is>
          <t>Frozen annual baseline and matching 2024 source-catalog subset; no human answers imported.</t>
        </is>
      </c>
    </row>
    <row r="11" ht="68" customFormat="1" customHeight="1" s="8">
      <c r="A11" s="16" t="inlineStr">
        <is>
          <t>paper_gate_adaptation</t>
        </is>
      </c>
      <c r="B11" s="16" t="inlineStr">
        <is>
          <t>Outcome counts withheld until every paper row is PRIMARY READY and no disposition is discuss. Primary completion is independent of scientific resolution.</t>
        </is>
      </c>
    </row>
    <row r="12" ht="68" customFormat="1" customHeight="1" s="8">
      <c r="A12" s="15" t="inlineStr">
        <is>
          <t>key_matching</t>
        </is>
      </c>
      <c r="B12" s="15" t="inlineStr">
        <is>
          <t>Result lookups use candidate key within the original paper. Whole-row sorting is supported; preserve complete A:R rows and all keys.</t>
        </is>
      </c>
    </row>
    <row r="13" ht="68" customFormat="1" customHeight="1" s="8">
      <c r="A13" s="16" t="inlineStr">
        <is>
          <t>source_links</t>
        </is>
      </c>
      <c r="B13" s="16" t="inlineStr">
        <is>
          <t>Source cell values preserved verbatim. Hyperlink targets separately rebased from repository root for this output directory; keep folder layout when making working copies.</t>
        </is>
      </c>
    </row>
    <row r="14" ht="68" customFormat="1" customHeight="1" s="8">
      <c r="A14" s="15" t="inlineStr">
        <is>
          <t>columns A-C</t>
        </is>
      </c>
      <c r="B14" s="15" t="inlineStr">
        <is>
          <t>Frozen candidate key, title and source location.</t>
        </is>
      </c>
    </row>
    <row r="15" ht="68" customFormat="1" customHeight="1" s="8">
      <c r="A15" s="16" t="inlineStr">
        <is>
          <t>columns D-G</t>
        </is>
      </c>
      <c r="B15" s="16" t="inlineStr">
        <is>
          <t>Disposition; editable AI-suggested domain; manual completion; calculated primary validation hint.</t>
        </is>
      </c>
    </row>
    <row r="16" ht="68" customFormat="1" customHeight="1" s="8">
      <c r="A16" s="15" t="inlineStr">
        <is>
          <t>columns H-L</t>
        </is>
      </c>
      <c r="B16" s="15" t="inlineStr">
        <is>
          <t>Statistical issue; substantiveness; optional downstream impact; internal/planning inconsistency; optional protocol interpretation.</t>
        </is>
      </c>
    </row>
    <row r="17" ht="68" customFormat="1" customHeight="1" s="8">
      <c r="A17" s="16" t="inlineStr">
        <is>
          <t>columns M-Q</t>
        </is>
      </c>
      <c r="B17" s="16" t="inlineStr">
        <is>
          <t>Blank hidden spacers, no inputs or calculations.</t>
        </is>
      </c>
    </row>
    <row r="18" ht="68" customFormat="1" customHeight="1" s="8">
      <c r="A18" s="15" t="inlineStr">
        <is>
          <t>column R</t>
        </is>
      </c>
      <c r="B18" s="15" t="inlineStr">
        <is>
          <t>Optional English notes.</t>
        </is>
      </c>
    </row>
    <row r="19" ht="68" customFormat="1" customHeight="1" s="8">
      <c r="A19" s="16" t="inlineStr">
        <is>
          <t>validation_limit</t>
        </is>
      </c>
      <c r="B19" s="16" t="inlineStr">
        <is>
          <t>No desktop Excel or compatible calculation/rendering engine available during construction. See VALIDATION.md; interactive smoke test pending.</t>
        </is>
      </c>
    </row>
    <row r="20" ht="68" customFormat="1" customHeight="1" s="8">
      <c r="A20" s="15" t="inlineStr">
        <is>
          <t>source_sha256: human_adjudication_v_2_1_5_3_2024.xlsx</t>
        </is>
      </c>
      <c r="B20" s="15" t="inlineStr">
        <is>
          <t>354ae37b35059fa9cf11c2c311c471eb65449475592c55a2d5e88eff413aa33b</t>
        </is>
      </c>
    </row>
    <row r="21" ht="68" customFormat="1" customHeight="1" s="8">
      <c r="A21" s="16" t="inlineStr">
        <is>
          <t>source_sha256: source_catalog_v_2_1_5_3.xlsx</t>
        </is>
      </c>
      <c r="B21" s="16" t="inlineStr">
        <is>
          <t>d663598f70f1a06f19baa64c6bcf999762fd67f44d47479de248f2ded18adbc5</t>
        </is>
      </c>
    </row>
    <row r="22" ht="68" customFormat="1" customHeight="1" s="8">
      <c r="A22" s="15" t="inlineStr">
        <is>
          <t>source_sha256: USAGE.md</t>
        </is>
      </c>
      <c r="B22" s="15" t="inlineStr">
        <is>
          <t>596712ad9dca62b511c1b05ea522604aa009c8d99a9c1e899e963da342454552</t>
        </is>
      </c>
    </row>
    <row r="23" ht="68" customFormat="1" customHeight="1" s="8">
      <c r="A23" s="16" t="inlineStr">
        <is>
          <t>source_sha256: DESIGN.md</t>
        </is>
      </c>
      <c r="B23" s="16" t="inlineStr">
        <is>
          <t>663f0b1b2bf966bbea2428cf567732a0fa76bb29603c73947a710887ce1ab871</t>
        </is>
      </c>
    </row>
    <row r="24" ht="68" customFormat="1" customHeight="1" s="8">
      <c r="A24" s="15" t="inlineStr">
        <is>
          <t>source_sha256: VALIDATION.md</t>
        </is>
      </c>
      <c r="B24" s="15" t="inlineStr">
        <is>
          <t>9140a611103ba0f90a9bdd20f7c2b85d43ada738a9d3ec92a01d1dae006c9cbe</t>
        </is>
      </c>
    </row>
    <row r="25" ht="68" customFormat="1" customHeight="1" s="8">
      <c r="A25" s="16" t="inlineStr">
        <is>
          <t>source_sha256: build.mjs</t>
        </is>
      </c>
      <c r="B25" s="16" t="inlineStr">
        <is>
          <t>dc18bbc9e9d90365ac1bbd42465f6654a593cc742f6c4629125e99572a6ff3d8</t>
        </is>
      </c>
    </row>
    <row r="26" ht="68" customFormat="1" customHeight="1" s="8">
      <c r="A26" s="15" t="inlineStr">
        <is>
          <t>source_sha256: codebook.json</t>
        </is>
      </c>
      <c r="B26" s="15" t="inlineStr">
        <is>
          <t>ac8b19fb1bbf9b55a1ad86644f07d1b33ad2f9ca30c073c25493b733b837a7d5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2026-09-19T05:13:45Z</dcterms:created>
  <dcterms:modified xsi:type="dcterms:W3CDTF">2026-09-19T05:15:09Z</dcterms:modified>
</cp:coreProperties>
</file>